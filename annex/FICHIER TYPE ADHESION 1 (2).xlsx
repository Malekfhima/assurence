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si\Desktop\STIP\assurence\annex\"/>
    </mc:Choice>
  </mc:AlternateContent>
  <xr:revisionPtr revIDLastSave="0" documentId="13_ncr:1_{9AC42929-1D89-42A5-8829-C7977BEE2B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  <sheet name="Feuil2" sheetId="2" r:id="rId2"/>
    <sheet name="Feuil3" sheetId="3" r:id="rId3"/>
    <sheet name="Feuil4" sheetId="4" r:id="rId4"/>
  </sheets>
  <externalReferences>
    <externalReference r:id="rId5"/>
  </externalReferences>
  <definedNames>
    <definedName name="_xlnm._FilterDatabase" localSheetId="0" hidden="1">Feuil1!$A$1:$O$1</definedName>
    <definedName name="_xlnm._FilterDatabase" localSheetId="2" hidden="1">Feuil3!$A$6:$E$6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19" i="1" l="1"/>
  <c r="J2119" i="1"/>
  <c r="K2119" i="1"/>
  <c r="I2122" i="1"/>
  <c r="J2122" i="1"/>
  <c r="K2122" i="1"/>
  <c r="I2125" i="1"/>
  <c r="J2125" i="1"/>
  <c r="K2125" i="1"/>
  <c r="I2129" i="1"/>
  <c r="J2129" i="1"/>
  <c r="K2129" i="1"/>
  <c r="G2130" i="1"/>
  <c r="I2130" i="1"/>
  <c r="J2130" i="1"/>
  <c r="K2130" i="1"/>
  <c r="I2133" i="1"/>
  <c r="J2133" i="1"/>
  <c r="K2133" i="1"/>
  <c r="G2134" i="1"/>
  <c r="I2134" i="1"/>
  <c r="J2134" i="1"/>
  <c r="K2134" i="1"/>
  <c r="J2137" i="1"/>
  <c r="K2137" i="1"/>
  <c r="I2141" i="1"/>
  <c r="J2141" i="1"/>
  <c r="K2141" i="1"/>
  <c r="G2142" i="1"/>
  <c r="I2142" i="1"/>
  <c r="J2142" i="1"/>
  <c r="K2142" i="1"/>
  <c r="G2143" i="1"/>
  <c r="I2143" i="1"/>
  <c r="J2143" i="1"/>
  <c r="K2143" i="1"/>
  <c r="I2145" i="1"/>
  <c r="J2145" i="1"/>
  <c r="K2145" i="1"/>
  <c r="C2147" i="1"/>
  <c r="D2147" i="1"/>
  <c r="E2147" i="1"/>
  <c r="F2147" i="1"/>
  <c r="G2147" i="1"/>
  <c r="I2147" i="1"/>
  <c r="J2147" i="1"/>
  <c r="K2147" i="1"/>
  <c r="I2148" i="1"/>
  <c r="J2148" i="1"/>
  <c r="K2148" i="1"/>
  <c r="G2149" i="1"/>
  <c r="I2149" i="1"/>
  <c r="J2149" i="1"/>
  <c r="K2149" i="1"/>
  <c r="G2150" i="1"/>
  <c r="I2150" i="1"/>
  <c r="J2150" i="1"/>
  <c r="K2150" i="1"/>
  <c r="I2152" i="1"/>
  <c r="J2152" i="1"/>
  <c r="K2152" i="1"/>
  <c r="I2155" i="1"/>
  <c r="J2155" i="1"/>
  <c r="K2155" i="1"/>
  <c r="I2158" i="1"/>
  <c r="J2158" i="1"/>
  <c r="K2158" i="1"/>
  <c r="G2159" i="1"/>
  <c r="I2159" i="1"/>
  <c r="J2159" i="1"/>
  <c r="K2159" i="1"/>
  <c r="C2160" i="1"/>
  <c r="D2160" i="1"/>
  <c r="E2160" i="1"/>
  <c r="F2160" i="1"/>
  <c r="G2160" i="1"/>
  <c r="I2160" i="1"/>
  <c r="J2160" i="1"/>
  <c r="K2160" i="1"/>
  <c r="C2161" i="1"/>
  <c r="D2161" i="1"/>
  <c r="E2161" i="1"/>
  <c r="F2161" i="1"/>
  <c r="G2161" i="1"/>
  <c r="I2161" i="1"/>
  <c r="J2161" i="1"/>
  <c r="K2161" i="1"/>
  <c r="C2162" i="1"/>
  <c r="D2162" i="1"/>
  <c r="E2162" i="1"/>
  <c r="F2162" i="1"/>
  <c r="G2162" i="1"/>
  <c r="I2162" i="1"/>
  <c r="J2162" i="1"/>
  <c r="K2162" i="1"/>
  <c r="C2163" i="1"/>
  <c r="D2163" i="1"/>
  <c r="E2163" i="1"/>
  <c r="F2163" i="1"/>
  <c r="G2163" i="1"/>
  <c r="I2163" i="1"/>
  <c r="J2163" i="1"/>
  <c r="K2163" i="1"/>
  <c r="C2164" i="1"/>
  <c r="D2164" i="1"/>
  <c r="E2164" i="1"/>
  <c r="F2164" i="1"/>
  <c r="G2164" i="1"/>
  <c r="I2164" i="1"/>
  <c r="J2164" i="1"/>
  <c r="K2164" i="1"/>
  <c r="C2165" i="1"/>
  <c r="D2165" i="1"/>
  <c r="E2165" i="1"/>
  <c r="F2165" i="1"/>
  <c r="G2165" i="1"/>
  <c r="I2165" i="1"/>
  <c r="J2165" i="1"/>
  <c r="K2165" i="1"/>
  <c r="C2166" i="1"/>
  <c r="D2166" i="1"/>
  <c r="E2166" i="1"/>
  <c r="F2166" i="1"/>
  <c r="G2166" i="1"/>
  <c r="I2166" i="1"/>
  <c r="J2166" i="1"/>
  <c r="K2166" i="1"/>
  <c r="C2167" i="1"/>
  <c r="D2167" i="1"/>
  <c r="E2167" i="1"/>
  <c r="F2167" i="1"/>
  <c r="G2167" i="1"/>
  <c r="I2167" i="1"/>
  <c r="J2167" i="1"/>
  <c r="K2167" i="1"/>
  <c r="C2168" i="1"/>
  <c r="D2168" i="1"/>
  <c r="E2168" i="1"/>
  <c r="F2168" i="1"/>
  <c r="G2168" i="1"/>
  <c r="I2168" i="1"/>
  <c r="J2168" i="1"/>
  <c r="K2168" i="1"/>
  <c r="C2169" i="1"/>
  <c r="D2169" i="1"/>
  <c r="E2169" i="1"/>
  <c r="F2169" i="1"/>
  <c r="G2169" i="1"/>
  <c r="I2169" i="1"/>
  <c r="J2169" i="1"/>
  <c r="K2169" i="1"/>
  <c r="C2170" i="1"/>
  <c r="D2170" i="1"/>
  <c r="E2170" i="1"/>
  <c r="F2170" i="1"/>
  <c r="G2170" i="1"/>
  <c r="I2170" i="1"/>
  <c r="J2170" i="1"/>
  <c r="K2170" i="1"/>
  <c r="C2171" i="1"/>
  <c r="D2171" i="1"/>
  <c r="E2171" i="1"/>
  <c r="F2171" i="1"/>
  <c r="G2171" i="1"/>
  <c r="I2171" i="1"/>
  <c r="J2171" i="1"/>
  <c r="K2171" i="1"/>
  <c r="C2172" i="1"/>
  <c r="D2172" i="1"/>
  <c r="E2172" i="1"/>
  <c r="F2172" i="1"/>
  <c r="G2172" i="1"/>
  <c r="I2172" i="1"/>
  <c r="J2172" i="1"/>
  <c r="K2172" i="1"/>
  <c r="C2173" i="1"/>
  <c r="D2173" i="1"/>
  <c r="E2173" i="1"/>
  <c r="F2173" i="1"/>
  <c r="G2173" i="1"/>
  <c r="I2173" i="1"/>
  <c r="J2173" i="1"/>
  <c r="K2173" i="1"/>
  <c r="C2174" i="1"/>
  <c r="D2174" i="1"/>
  <c r="E2174" i="1"/>
  <c r="F2174" i="1"/>
  <c r="G2174" i="1"/>
  <c r="I2174" i="1"/>
  <c r="J2174" i="1"/>
  <c r="K2174" i="1"/>
  <c r="C2175" i="1"/>
  <c r="D2175" i="1"/>
  <c r="E2175" i="1"/>
  <c r="F2175" i="1"/>
  <c r="G2175" i="1"/>
  <c r="I2175" i="1"/>
  <c r="J2175" i="1"/>
  <c r="K2175" i="1"/>
  <c r="C2176" i="1"/>
  <c r="D2176" i="1"/>
  <c r="E2176" i="1"/>
  <c r="F2176" i="1"/>
  <c r="G2176" i="1"/>
  <c r="I2176" i="1"/>
  <c r="J2176" i="1"/>
  <c r="K2176" i="1"/>
  <c r="C2177" i="1"/>
  <c r="D2177" i="1"/>
  <c r="E2177" i="1"/>
  <c r="F2177" i="1"/>
  <c r="G2177" i="1"/>
  <c r="I2177" i="1"/>
  <c r="J2177" i="1"/>
  <c r="K2177" i="1"/>
  <c r="C2178" i="1"/>
  <c r="D2178" i="1"/>
  <c r="E2178" i="1"/>
  <c r="F2178" i="1"/>
  <c r="G2178" i="1"/>
  <c r="I2178" i="1"/>
  <c r="J2178" i="1"/>
  <c r="K2178" i="1"/>
  <c r="C2179" i="1"/>
  <c r="D2179" i="1"/>
  <c r="E2179" i="1"/>
  <c r="F2179" i="1"/>
  <c r="G2179" i="1"/>
  <c r="I2179" i="1"/>
  <c r="J2179" i="1"/>
  <c r="K2179" i="1"/>
  <c r="C2180" i="1"/>
  <c r="D2180" i="1"/>
  <c r="E2180" i="1"/>
  <c r="F2180" i="1"/>
  <c r="G2180" i="1"/>
  <c r="I2180" i="1"/>
  <c r="J2180" i="1"/>
  <c r="K2180" i="1"/>
  <c r="C2181" i="1"/>
  <c r="D2181" i="1"/>
  <c r="E2181" i="1"/>
  <c r="F2181" i="1"/>
  <c r="G2181" i="1"/>
  <c r="I2181" i="1"/>
  <c r="J2181" i="1"/>
  <c r="K2181" i="1"/>
  <c r="C2182" i="1"/>
  <c r="D2182" i="1"/>
  <c r="E2182" i="1"/>
  <c r="F2182" i="1"/>
  <c r="G2182" i="1"/>
  <c r="I2182" i="1"/>
  <c r="J2182" i="1"/>
  <c r="K2182" i="1"/>
  <c r="C2183" i="1"/>
  <c r="D2183" i="1"/>
  <c r="E2183" i="1"/>
  <c r="F2183" i="1"/>
  <c r="G2183" i="1"/>
  <c r="I2183" i="1"/>
  <c r="J2183" i="1"/>
  <c r="K2183" i="1"/>
  <c r="C2184" i="1"/>
  <c r="D2184" i="1"/>
  <c r="E2184" i="1"/>
  <c r="F2184" i="1"/>
  <c r="G2184" i="1"/>
  <c r="I2184" i="1"/>
  <c r="J2184" i="1"/>
  <c r="K2184" i="1"/>
  <c r="C2185" i="1"/>
  <c r="D2185" i="1"/>
  <c r="E2185" i="1"/>
  <c r="F2185" i="1"/>
  <c r="G2185" i="1"/>
  <c r="I2185" i="1"/>
  <c r="J2185" i="1"/>
  <c r="K2185" i="1"/>
  <c r="C2186" i="1"/>
  <c r="D2186" i="1"/>
  <c r="E2186" i="1"/>
  <c r="F2186" i="1"/>
  <c r="G2186" i="1"/>
  <c r="I2186" i="1"/>
  <c r="J2186" i="1"/>
  <c r="K2186" i="1"/>
  <c r="C2187" i="1"/>
  <c r="D2187" i="1"/>
  <c r="E2187" i="1"/>
  <c r="F2187" i="1"/>
  <c r="G2187" i="1"/>
  <c r="I2187" i="1"/>
  <c r="J2187" i="1"/>
  <c r="K2187" i="1"/>
  <c r="C2188" i="1"/>
  <c r="D2188" i="1"/>
  <c r="E2188" i="1"/>
  <c r="F2188" i="1"/>
  <c r="G2188" i="1"/>
  <c r="I2188" i="1"/>
  <c r="J2188" i="1"/>
  <c r="K2188" i="1"/>
  <c r="C2189" i="1"/>
  <c r="D2189" i="1"/>
  <c r="E2189" i="1"/>
  <c r="F2189" i="1"/>
  <c r="G2189" i="1"/>
  <c r="I2189" i="1"/>
  <c r="J2189" i="1"/>
  <c r="K2189" i="1"/>
  <c r="C2190" i="1"/>
  <c r="D2190" i="1"/>
  <c r="E2190" i="1"/>
  <c r="F2190" i="1"/>
  <c r="G2190" i="1"/>
  <c r="I2190" i="1"/>
  <c r="J2190" i="1"/>
  <c r="K2190" i="1"/>
  <c r="C2191" i="1"/>
  <c r="D2191" i="1"/>
  <c r="E2191" i="1"/>
  <c r="F2191" i="1"/>
  <c r="G2191" i="1"/>
  <c r="I2191" i="1"/>
  <c r="J2191" i="1"/>
  <c r="K2191" i="1"/>
  <c r="C2192" i="1"/>
  <c r="D2192" i="1"/>
  <c r="E2192" i="1"/>
  <c r="F2192" i="1"/>
  <c r="G2192" i="1"/>
  <c r="I2192" i="1"/>
  <c r="J2192" i="1"/>
  <c r="K2192" i="1"/>
  <c r="C2193" i="1"/>
  <c r="D2193" i="1"/>
  <c r="E2193" i="1"/>
  <c r="F2193" i="1"/>
  <c r="G2193" i="1"/>
  <c r="I2193" i="1"/>
  <c r="J2193" i="1"/>
  <c r="K2193" i="1"/>
  <c r="C2194" i="1"/>
  <c r="D2194" i="1"/>
  <c r="E2194" i="1"/>
  <c r="F2194" i="1"/>
  <c r="G2194" i="1"/>
  <c r="I2194" i="1"/>
  <c r="J2194" i="1"/>
  <c r="K2194" i="1"/>
  <c r="C2195" i="1"/>
  <c r="D2195" i="1"/>
  <c r="E2195" i="1"/>
  <c r="F2195" i="1"/>
  <c r="G2195" i="1"/>
  <c r="I2195" i="1"/>
  <c r="J2195" i="1"/>
  <c r="K2195" i="1"/>
  <c r="C2196" i="1"/>
  <c r="D2196" i="1"/>
  <c r="E2196" i="1"/>
  <c r="F2196" i="1"/>
  <c r="G2196" i="1"/>
  <c r="I2196" i="1"/>
  <c r="J2196" i="1"/>
  <c r="K2196" i="1"/>
  <c r="C2197" i="1"/>
  <c r="D2197" i="1"/>
  <c r="E2197" i="1"/>
  <c r="F2197" i="1"/>
  <c r="G2197" i="1"/>
  <c r="I2197" i="1"/>
  <c r="J2197" i="1"/>
  <c r="K2197" i="1"/>
  <c r="C2198" i="1"/>
  <c r="D2198" i="1"/>
  <c r="E2198" i="1"/>
  <c r="F2198" i="1"/>
  <c r="G2198" i="1"/>
  <c r="I2198" i="1"/>
  <c r="J2198" i="1"/>
  <c r="K2198" i="1"/>
  <c r="C2199" i="1"/>
  <c r="D2199" i="1"/>
  <c r="E2199" i="1"/>
  <c r="F2199" i="1"/>
  <c r="G2199" i="1"/>
  <c r="I2199" i="1"/>
  <c r="J2199" i="1"/>
  <c r="K2199" i="1"/>
  <c r="C2200" i="1"/>
  <c r="D2200" i="1"/>
  <c r="E2200" i="1"/>
  <c r="F2200" i="1"/>
  <c r="G2200" i="1"/>
  <c r="I2200" i="1"/>
  <c r="J2200" i="1"/>
  <c r="K2200" i="1"/>
  <c r="C2201" i="1"/>
  <c r="D2201" i="1"/>
  <c r="E2201" i="1"/>
  <c r="F2201" i="1"/>
  <c r="G2201" i="1"/>
  <c r="I2201" i="1"/>
  <c r="J2201" i="1"/>
  <c r="K2201" i="1"/>
  <c r="C2202" i="1"/>
  <c r="D2202" i="1"/>
  <c r="E2202" i="1"/>
  <c r="F2202" i="1"/>
  <c r="G2202" i="1"/>
  <c r="I2202" i="1"/>
  <c r="J2202" i="1"/>
  <c r="K2202" i="1"/>
  <c r="C2203" i="1"/>
  <c r="D2203" i="1"/>
  <c r="E2203" i="1"/>
  <c r="F2203" i="1"/>
  <c r="G2203" i="1"/>
  <c r="I2203" i="1"/>
  <c r="J2203" i="1"/>
  <c r="K2203" i="1"/>
  <c r="C2204" i="1"/>
  <c r="D2204" i="1"/>
  <c r="E2204" i="1"/>
  <c r="F2204" i="1"/>
  <c r="G2204" i="1"/>
  <c r="I2204" i="1"/>
  <c r="J2204" i="1"/>
  <c r="K2204" i="1"/>
  <c r="C2205" i="1"/>
  <c r="D2205" i="1"/>
  <c r="E2205" i="1"/>
  <c r="F2205" i="1"/>
  <c r="G2205" i="1"/>
  <c r="I2205" i="1"/>
  <c r="J2205" i="1"/>
  <c r="K2205" i="1"/>
  <c r="C2206" i="1"/>
  <c r="D2206" i="1"/>
  <c r="E2206" i="1"/>
  <c r="F2206" i="1"/>
  <c r="G2206" i="1"/>
  <c r="I2206" i="1"/>
  <c r="J2206" i="1"/>
  <c r="K2206" i="1"/>
  <c r="C2207" i="1"/>
  <c r="D2207" i="1"/>
  <c r="E2207" i="1"/>
  <c r="F2207" i="1"/>
  <c r="G2207" i="1"/>
  <c r="I2207" i="1"/>
  <c r="J2207" i="1"/>
  <c r="K2207" i="1"/>
  <c r="C2208" i="1"/>
  <c r="D2208" i="1"/>
  <c r="E2208" i="1"/>
  <c r="F2208" i="1"/>
  <c r="G2208" i="1"/>
  <c r="I2208" i="1"/>
  <c r="J2208" i="1"/>
  <c r="K2208" i="1"/>
  <c r="C2209" i="1"/>
  <c r="D2209" i="1"/>
  <c r="E2209" i="1"/>
  <c r="F2209" i="1"/>
  <c r="G2209" i="1"/>
  <c r="I2209" i="1"/>
  <c r="J2209" i="1"/>
  <c r="K2209" i="1"/>
  <c r="C2210" i="1"/>
  <c r="D2210" i="1"/>
  <c r="E2210" i="1"/>
  <c r="F2210" i="1"/>
  <c r="G2210" i="1"/>
  <c r="I2210" i="1"/>
  <c r="J2210" i="1"/>
  <c r="K2210" i="1"/>
  <c r="C2211" i="1"/>
  <c r="D2211" i="1"/>
  <c r="E2211" i="1"/>
  <c r="F2211" i="1"/>
  <c r="G2211" i="1"/>
  <c r="I2211" i="1"/>
  <c r="J2211" i="1"/>
  <c r="K2211" i="1"/>
  <c r="C2212" i="1"/>
  <c r="D2212" i="1"/>
  <c r="E2212" i="1"/>
  <c r="F2212" i="1"/>
  <c r="G2212" i="1"/>
  <c r="I2212" i="1"/>
  <c r="J2212" i="1"/>
  <c r="K2212" i="1"/>
  <c r="C2213" i="1"/>
  <c r="D2213" i="1"/>
  <c r="E2213" i="1"/>
  <c r="F2213" i="1"/>
  <c r="G2213" i="1"/>
  <c r="I2213" i="1"/>
  <c r="J2213" i="1"/>
  <c r="K2213" i="1"/>
  <c r="C2214" i="1"/>
  <c r="D2214" i="1"/>
  <c r="E2214" i="1"/>
  <c r="F2214" i="1"/>
  <c r="G2214" i="1"/>
  <c r="I2214" i="1"/>
  <c r="J2214" i="1"/>
  <c r="K2214" i="1"/>
  <c r="C2215" i="1"/>
  <c r="D2215" i="1"/>
  <c r="E2215" i="1"/>
  <c r="F2215" i="1"/>
  <c r="G2215" i="1"/>
  <c r="I2215" i="1"/>
  <c r="J2215" i="1"/>
  <c r="K2215" i="1"/>
  <c r="C2216" i="1"/>
  <c r="D2216" i="1"/>
  <c r="E2216" i="1"/>
  <c r="F2216" i="1"/>
  <c r="G2216" i="1"/>
  <c r="I2216" i="1"/>
  <c r="J2216" i="1"/>
  <c r="K2216" i="1"/>
  <c r="C2217" i="1"/>
  <c r="D2217" i="1"/>
  <c r="E2217" i="1"/>
  <c r="F2217" i="1"/>
  <c r="G2217" i="1"/>
  <c r="I2217" i="1"/>
  <c r="J2217" i="1"/>
  <c r="K2217" i="1"/>
  <c r="C2218" i="1"/>
  <c r="D2218" i="1"/>
  <c r="E2218" i="1"/>
  <c r="F2218" i="1"/>
  <c r="G2218" i="1"/>
  <c r="I2218" i="1"/>
  <c r="J2218" i="1"/>
  <c r="K2218" i="1"/>
  <c r="C2219" i="1"/>
  <c r="D2219" i="1"/>
  <c r="E2219" i="1"/>
  <c r="F2219" i="1"/>
  <c r="G2219" i="1"/>
  <c r="I2219" i="1"/>
  <c r="J2219" i="1"/>
  <c r="K2219" i="1"/>
  <c r="C2220" i="1"/>
  <c r="D2220" i="1"/>
  <c r="E2220" i="1"/>
  <c r="F2220" i="1"/>
  <c r="G2220" i="1"/>
  <c r="I2220" i="1"/>
  <c r="J2220" i="1"/>
  <c r="K2220" i="1"/>
  <c r="C2221" i="1"/>
  <c r="D2221" i="1"/>
  <c r="E2221" i="1"/>
  <c r="F2221" i="1"/>
  <c r="G2221" i="1"/>
  <c r="I2221" i="1"/>
  <c r="J2221" i="1"/>
  <c r="K2221" i="1"/>
  <c r="C2222" i="1"/>
  <c r="D2222" i="1"/>
  <c r="E2222" i="1"/>
  <c r="F2222" i="1"/>
  <c r="G2222" i="1"/>
  <c r="I2222" i="1"/>
  <c r="J2222" i="1"/>
  <c r="K2222" i="1"/>
  <c r="C2223" i="1"/>
  <c r="D2223" i="1"/>
  <c r="E2223" i="1"/>
  <c r="F2223" i="1"/>
  <c r="G2223" i="1"/>
  <c r="I2223" i="1"/>
  <c r="J2223" i="1"/>
  <c r="K2223" i="1"/>
  <c r="C2224" i="1"/>
  <c r="D2224" i="1"/>
  <c r="E2224" i="1"/>
  <c r="F2224" i="1"/>
  <c r="G2224" i="1"/>
  <c r="I2224" i="1"/>
  <c r="J2224" i="1"/>
  <c r="K2224" i="1"/>
  <c r="C2225" i="1"/>
  <c r="D2225" i="1"/>
  <c r="E2225" i="1"/>
  <c r="F2225" i="1"/>
  <c r="G2225" i="1"/>
  <c r="I2225" i="1"/>
  <c r="J2225" i="1"/>
  <c r="K2225" i="1"/>
  <c r="C2226" i="1"/>
  <c r="D2226" i="1"/>
  <c r="E2226" i="1"/>
  <c r="F2226" i="1"/>
  <c r="G2226" i="1"/>
  <c r="I2226" i="1"/>
  <c r="J2226" i="1"/>
  <c r="K2226" i="1"/>
  <c r="C2227" i="1"/>
  <c r="D2227" i="1"/>
  <c r="E2227" i="1"/>
  <c r="F2227" i="1"/>
  <c r="G2227" i="1"/>
  <c r="I2227" i="1"/>
  <c r="J2227" i="1"/>
  <c r="K2227" i="1"/>
  <c r="C2228" i="1"/>
  <c r="D2228" i="1"/>
  <c r="E2228" i="1"/>
  <c r="F2228" i="1"/>
  <c r="G2228" i="1"/>
  <c r="I2228" i="1"/>
  <c r="J2228" i="1"/>
  <c r="K2228" i="1"/>
  <c r="C2229" i="1"/>
  <c r="D2229" i="1"/>
  <c r="E2229" i="1"/>
  <c r="F2229" i="1"/>
  <c r="G2229" i="1"/>
  <c r="I2229" i="1"/>
  <c r="J2229" i="1"/>
  <c r="K2229" i="1"/>
  <c r="C2230" i="1"/>
  <c r="D2230" i="1"/>
  <c r="E2230" i="1"/>
  <c r="F2230" i="1"/>
  <c r="G2230" i="1"/>
  <c r="I2230" i="1"/>
  <c r="J2230" i="1"/>
  <c r="K2230" i="1"/>
  <c r="C2231" i="1"/>
  <c r="D2231" i="1"/>
  <c r="E2231" i="1"/>
  <c r="F2231" i="1"/>
  <c r="G2231" i="1"/>
  <c r="I2231" i="1"/>
  <c r="J2231" i="1"/>
  <c r="K2231" i="1"/>
  <c r="C2232" i="1"/>
  <c r="D2232" i="1"/>
  <c r="E2232" i="1"/>
  <c r="F2232" i="1"/>
  <c r="G2232" i="1"/>
  <c r="I2232" i="1"/>
  <c r="J2232" i="1"/>
  <c r="K2232" i="1"/>
  <c r="C2233" i="1"/>
  <c r="D2233" i="1"/>
  <c r="E2233" i="1"/>
  <c r="F2233" i="1"/>
  <c r="G2233" i="1"/>
  <c r="I2233" i="1"/>
  <c r="J2233" i="1"/>
  <c r="K2233" i="1"/>
  <c r="C2234" i="1"/>
  <c r="D2234" i="1"/>
  <c r="E2234" i="1"/>
  <c r="F2234" i="1"/>
  <c r="G2234" i="1"/>
  <c r="I2234" i="1"/>
  <c r="J2234" i="1"/>
  <c r="K2234" i="1"/>
  <c r="C2235" i="1"/>
  <c r="D2235" i="1"/>
  <c r="E2235" i="1"/>
  <c r="F2235" i="1"/>
  <c r="G2235" i="1"/>
  <c r="I2235" i="1"/>
  <c r="J2235" i="1"/>
  <c r="K2235" i="1"/>
  <c r="C2236" i="1"/>
  <c r="D2236" i="1"/>
  <c r="E2236" i="1"/>
  <c r="F2236" i="1"/>
  <c r="G2236" i="1"/>
  <c r="I2236" i="1"/>
  <c r="J2236" i="1"/>
  <c r="K2236" i="1"/>
  <c r="C2237" i="1"/>
  <c r="D2237" i="1"/>
  <c r="E2237" i="1"/>
  <c r="F2237" i="1"/>
  <c r="G2237" i="1"/>
  <c r="I2237" i="1"/>
  <c r="J2237" i="1"/>
  <c r="K2237" i="1"/>
  <c r="C2238" i="1"/>
  <c r="D2238" i="1"/>
  <c r="E2238" i="1"/>
  <c r="F2238" i="1"/>
  <c r="G2238" i="1"/>
  <c r="I2238" i="1"/>
  <c r="J2238" i="1"/>
  <c r="K2238" i="1"/>
  <c r="C2239" i="1"/>
  <c r="D2239" i="1"/>
  <c r="E2239" i="1"/>
  <c r="F2239" i="1"/>
  <c r="G2239" i="1"/>
  <c r="I2239" i="1"/>
  <c r="J2239" i="1"/>
  <c r="K2239" i="1"/>
  <c r="C2240" i="1"/>
  <c r="D2240" i="1"/>
  <c r="E2240" i="1"/>
  <c r="F2240" i="1"/>
  <c r="G2240" i="1"/>
  <c r="I2240" i="1"/>
  <c r="J2240" i="1"/>
  <c r="K2240" i="1"/>
  <c r="C2241" i="1"/>
  <c r="D2241" i="1"/>
  <c r="E2241" i="1"/>
  <c r="F2241" i="1"/>
  <c r="G2241" i="1"/>
  <c r="I2241" i="1"/>
  <c r="J2241" i="1"/>
  <c r="K2241" i="1"/>
  <c r="C2242" i="1"/>
  <c r="D2242" i="1"/>
  <c r="E2242" i="1"/>
  <c r="F2242" i="1"/>
  <c r="G2242" i="1"/>
  <c r="I2242" i="1"/>
  <c r="J2242" i="1"/>
  <c r="K2242" i="1"/>
  <c r="C2243" i="1"/>
  <c r="D2243" i="1"/>
  <c r="E2243" i="1"/>
  <c r="F2243" i="1"/>
  <c r="G2243" i="1"/>
  <c r="I2243" i="1"/>
  <c r="J2243" i="1"/>
  <c r="K2243" i="1"/>
  <c r="C2244" i="1"/>
  <c r="D2244" i="1"/>
  <c r="E2244" i="1"/>
  <c r="F2244" i="1"/>
  <c r="G2244" i="1"/>
  <c r="I2244" i="1"/>
  <c r="J2244" i="1"/>
  <c r="K2244" i="1"/>
  <c r="C2245" i="1"/>
  <c r="D2245" i="1"/>
  <c r="E2245" i="1"/>
  <c r="F2245" i="1"/>
  <c r="G2245" i="1"/>
  <c r="I2245" i="1"/>
  <c r="J2245" i="1"/>
  <c r="K2245" i="1"/>
  <c r="C2246" i="1"/>
  <c r="D2246" i="1"/>
  <c r="E2246" i="1"/>
  <c r="F2246" i="1"/>
  <c r="G2246" i="1"/>
  <c r="I2246" i="1"/>
  <c r="J2246" i="1"/>
  <c r="K2246" i="1"/>
  <c r="C2247" i="1"/>
  <c r="D2247" i="1"/>
  <c r="E2247" i="1"/>
  <c r="F2247" i="1"/>
  <c r="G2247" i="1"/>
  <c r="I2247" i="1"/>
  <c r="J2247" i="1"/>
  <c r="K2247" i="1"/>
  <c r="C2248" i="1"/>
  <c r="D2248" i="1"/>
  <c r="E2248" i="1"/>
  <c r="F2248" i="1"/>
  <c r="G2248" i="1"/>
  <c r="I2248" i="1"/>
  <c r="J2248" i="1"/>
  <c r="K2248" i="1"/>
  <c r="C2249" i="1"/>
  <c r="D2249" i="1"/>
  <c r="E2249" i="1"/>
  <c r="F2249" i="1"/>
  <c r="G2249" i="1"/>
  <c r="I2249" i="1"/>
  <c r="J2249" i="1"/>
  <c r="K2249" i="1"/>
  <c r="C2250" i="1"/>
  <c r="D2250" i="1"/>
  <c r="E2250" i="1"/>
  <c r="F2250" i="1"/>
  <c r="G2250" i="1"/>
  <c r="I2250" i="1"/>
  <c r="J2250" i="1"/>
  <c r="K2250" i="1"/>
  <c r="C2251" i="1"/>
  <c r="D2251" i="1"/>
  <c r="E2251" i="1"/>
  <c r="F2251" i="1"/>
  <c r="G2251" i="1"/>
  <c r="I2251" i="1"/>
  <c r="J2251" i="1"/>
  <c r="K2251" i="1"/>
  <c r="C2252" i="1"/>
  <c r="D2252" i="1"/>
  <c r="E2252" i="1"/>
  <c r="F2252" i="1"/>
  <c r="G2252" i="1"/>
  <c r="I2252" i="1"/>
  <c r="J2252" i="1"/>
  <c r="K2252" i="1"/>
  <c r="C2253" i="1"/>
  <c r="D2253" i="1"/>
  <c r="E2253" i="1"/>
  <c r="F2253" i="1"/>
  <c r="G2253" i="1"/>
  <c r="I2253" i="1"/>
  <c r="J2253" i="1"/>
  <c r="K2253" i="1"/>
  <c r="C2254" i="1"/>
  <c r="D2254" i="1"/>
  <c r="E2254" i="1"/>
  <c r="F2254" i="1"/>
  <c r="G2254" i="1"/>
  <c r="I2254" i="1"/>
  <c r="J2254" i="1"/>
  <c r="K2254" i="1"/>
  <c r="C2255" i="1"/>
  <c r="D2255" i="1"/>
  <c r="E2255" i="1"/>
  <c r="F2255" i="1"/>
  <c r="G2255" i="1"/>
  <c r="I2255" i="1"/>
  <c r="J2255" i="1"/>
  <c r="K2255" i="1"/>
  <c r="C2256" i="1"/>
  <c r="D2256" i="1"/>
  <c r="E2256" i="1"/>
  <c r="F2256" i="1"/>
  <c r="G2256" i="1"/>
  <c r="I2256" i="1"/>
  <c r="J2256" i="1"/>
  <c r="K2256" i="1"/>
  <c r="C2257" i="1"/>
  <c r="D2257" i="1"/>
  <c r="E2257" i="1"/>
  <c r="F2257" i="1"/>
  <c r="G2257" i="1"/>
  <c r="I2257" i="1"/>
  <c r="J2257" i="1"/>
  <c r="K2257" i="1"/>
  <c r="C2258" i="1"/>
  <c r="D2258" i="1"/>
  <c r="E2258" i="1"/>
  <c r="F2258" i="1"/>
  <c r="G2258" i="1"/>
  <c r="I2258" i="1"/>
  <c r="J2258" i="1"/>
  <c r="K2258" i="1"/>
  <c r="C2259" i="1"/>
  <c r="D2259" i="1"/>
  <c r="E2259" i="1"/>
  <c r="F2259" i="1"/>
  <c r="G2259" i="1"/>
  <c r="I2259" i="1"/>
  <c r="J2259" i="1"/>
  <c r="K2259" i="1"/>
  <c r="C2260" i="1"/>
  <c r="D2260" i="1"/>
  <c r="E2260" i="1"/>
  <c r="F2260" i="1"/>
  <c r="G2260" i="1"/>
  <c r="I2260" i="1"/>
  <c r="J2260" i="1"/>
  <c r="K2260" i="1"/>
  <c r="C2261" i="1"/>
  <c r="D2261" i="1"/>
  <c r="E2261" i="1"/>
  <c r="F2261" i="1"/>
  <c r="G2261" i="1"/>
  <c r="I2261" i="1"/>
  <c r="J2261" i="1"/>
  <c r="K2261" i="1"/>
  <c r="C2262" i="1"/>
  <c r="D2262" i="1"/>
  <c r="E2262" i="1"/>
  <c r="F2262" i="1"/>
  <c r="G2262" i="1"/>
  <c r="I2262" i="1"/>
  <c r="J2262" i="1"/>
  <c r="K2262" i="1"/>
  <c r="C2263" i="1"/>
  <c r="D2263" i="1"/>
  <c r="E2263" i="1"/>
  <c r="F2263" i="1"/>
  <c r="G2263" i="1"/>
  <c r="I2263" i="1"/>
  <c r="J2263" i="1"/>
  <c r="K2263" i="1"/>
  <c r="C2264" i="1"/>
  <c r="D2264" i="1"/>
  <c r="E2264" i="1"/>
  <c r="F2264" i="1"/>
  <c r="G2264" i="1"/>
  <c r="I2264" i="1"/>
  <c r="J2264" i="1"/>
  <c r="K2264" i="1"/>
  <c r="C2265" i="1"/>
  <c r="D2265" i="1"/>
  <c r="E2265" i="1"/>
  <c r="F2265" i="1"/>
  <c r="G2265" i="1"/>
  <c r="I2265" i="1"/>
  <c r="J2265" i="1"/>
  <c r="K2265" i="1"/>
  <c r="C2266" i="1"/>
  <c r="D2266" i="1"/>
  <c r="E2266" i="1"/>
  <c r="F2266" i="1"/>
  <c r="G2266" i="1"/>
  <c r="I2266" i="1"/>
  <c r="J2266" i="1"/>
  <c r="K2266" i="1"/>
  <c r="C2267" i="1"/>
  <c r="D2267" i="1"/>
  <c r="E2267" i="1"/>
  <c r="F2267" i="1"/>
  <c r="G2267" i="1"/>
  <c r="I2267" i="1"/>
  <c r="J2267" i="1"/>
  <c r="K2267" i="1"/>
  <c r="C2268" i="1"/>
  <c r="D2268" i="1"/>
  <c r="E2268" i="1"/>
  <c r="F2268" i="1"/>
  <c r="G2268" i="1"/>
  <c r="I2268" i="1"/>
  <c r="J2268" i="1"/>
  <c r="K2268" i="1"/>
  <c r="C2269" i="1"/>
  <c r="D2269" i="1"/>
  <c r="E2269" i="1"/>
  <c r="F2269" i="1"/>
  <c r="G2269" i="1"/>
  <c r="I2269" i="1"/>
  <c r="J2269" i="1"/>
  <c r="K2269" i="1"/>
  <c r="C2270" i="1"/>
  <c r="D2270" i="1"/>
  <c r="E2270" i="1"/>
  <c r="F2270" i="1"/>
  <c r="G2270" i="1"/>
  <c r="I2270" i="1"/>
  <c r="J2270" i="1"/>
  <c r="K2270" i="1"/>
  <c r="C2271" i="1"/>
  <c r="D2271" i="1"/>
  <c r="E2271" i="1"/>
  <c r="F2271" i="1"/>
  <c r="G2271" i="1"/>
  <c r="I2271" i="1"/>
  <c r="J2271" i="1"/>
  <c r="K2271" i="1"/>
  <c r="C2272" i="1"/>
  <c r="D2272" i="1"/>
  <c r="E2272" i="1"/>
  <c r="F2272" i="1"/>
  <c r="G2272" i="1"/>
  <c r="I2272" i="1"/>
  <c r="J2272" i="1"/>
  <c r="K2272" i="1"/>
  <c r="C2273" i="1"/>
  <c r="D2273" i="1"/>
  <c r="E2273" i="1"/>
  <c r="F2273" i="1"/>
  <c r="G2273" i="1"/>
  <c r="I2273" i="1"/>
  <c r="J2273" i="1"/>
  <c r="K2273" i="1"/>
  <c r="C2274" i="1"/>
  <c r="D2274" i="1"/>
  <c r="E2274" i="1"/>
  <c r="F2274" i="1"/>
  <c r="G2274" i="1"/>
  <c r="I2274" i="1"/>
  <c r="J2274" i="1"/>
  <c r="K2274" i="1"/>
  <c r="C2275" i="1"/>
  <c r="D2275" i="1"/>
  <c r="E2275" i="1"/>
  <c r="F2275" i="1"/>
  <c r="G2275" i="1"/>
  <c r="I2275" i="1"/>
  <c r="J2275" i="1"/>
  <c r="K2275" i="1"/>
  <c r="C2276" i="1"/>
  <c r="D2276" i="1"/>
  <c r="E2276" i="1"/>
  <c r="F2276" i="1"/>
  <c r="G2276" i="1"/>
  <c r="I2276" i="1"/>
  <c r="J2276" i="1"/>
  <c r="K2276" i="1"/>
  <c r="C2277" i="1"/>
  <c r="D2277" i="1"/>
  <c r="E2277" i="1"/>
  <c r="F2277" i="1"/>
  <c r="G2277" i="1"/>
  <c r="I2277" i="1"/>
  <c r="J2277" i="1"/>
  <c r="K2277" i="1"/>
  <c r="C2278" i="1"/>
  <c r="D2278" i="1"/>
  <c r="E2278" i="1"/>
  <c r="F2278" i="1"/>
  <c r="G2278" i="1"/>
  <c r="I2278" i="1"/>
  <c r="J2278" i="1"/>
  <c r="K2278" i="1"/>
  <c r="C2279" i="1"/>
  <c r="D2279" i="1"/>
  <c r="E2279" i="1"/>
  <c r="F2279" i="1"/>
  <c r="G2279" i="1"/>
  <c r="I2279" i="1"/>
  <c r="J2279" i="1"/>
  <c r="K2279" i="1"/>
  <c r="C2280" i="1"/>
  <c r="D2280" i="1"/>
  <c r="E2280" i="1"/>
  <c r="F2280" i="1"/>
  <c r="G2280" i="1"/>
  <c r="I2280" i="1"/>
  <c r="J2280" i="1"/>
  <c r="K2280" i="1"/>
  <c r="C2281" i="1"/>
  <c r="D2281" i="1"/>
  <c r="E2281" i="1"/>
  <c r="F2281" i="1"/>
  <c r="G2281" i="1"/>
  <c r="I2281" i="1"/>
  <c r="J2281" i="1"/>
  <c r="K2281" i="1"/>
  <c r="C2282" i="1"/>
  <c r="D2282" i="1"/>
  <c r="E2282" i="1"/>
  <c r="F2282" i="1"/>
  <c r="G2282" i="1"/>
  <c r="I2282" i="1"/>
  <c r="J2282" i="1"/>
  <c r="K2282" i="1"/>
  <c r="C2283" i="1"/>
  <c r="D2283" i="1"/>
  <c r="E2283" i="1"/>
  <c r="F2283" i="1"/>
  <c r="G2283" i="1"/>
  <c r="I2283" i="1"/>
  <c r="J2283" i="1"/>
  <c r="K2283" i="1"/>
  <c r="C2284" i="1"/>
  <c r="D2284" i="1"/>
  <c r="E2284" i="1"/>
  <c r="F2284" i="1"/>
  <c r="G2284" i="1"/>
  <c r="I2284" i="1"/>
  <c r="J2284" i="1"/>
  <c r="K2284" i="1"/>
  <c r="C2285" i="1"/>
  <c r="D2285" i="1"/>
  <c r="E2285" i="1"/>
  <c r="F2285" i="1"/>
  <c r="G2285" i="1"/>
  <c r="I2285" i="1"/>
  <c r="J2285" i="1"/>
  <c r="K2285" i="1"/>
  <c r="C2286" i="1"/>
  <c r="D2286" i="1"/>
  <c r="E2286" i="1"/>
  <c r="F2286" i="1"/>
  <c r="G2286" i="1"/>
  <c r="I2286" i="1"/>
  <c r="J2286" i="1"/>
  <c r="K2286" i="1"/>
  <c r="C2287" i="1"/>
  <c r="D2287" i="1"/>
  <c r="E2287" i="1"/>
  <c r="F2287" i="1"/>
  <c r="G2287" i="1"/>
  <c r="I2287" i="1"/>
  <c r="J2287" i="1"/>
  <c r="K2287" i="1"/>
  <c r="C2288" i="1"/>
  <c r="D2288" i="1"/>
  <c r="E2288" i="1"/>
  <c r="F2288" i="1"/>
  <c r="G2288" i="1"/>
  <c r="I2288" i="1"/>
  <c r="J2288" i="1"/>
  <c r="K2288" i="1"/>
  <c r="C2289" i="1"/>
  <c r="D2289" i="1"/>
  <c r="E2289" i="1"/>
  <c r="F2289" i="1"/>
  <c r="G2289" i="1"/>
  <c r="I2289" i="1"/>
  <c r="J2289" i="1"/>
  <c r="K2289" i="1"/>
  <c r="C2290" i="1"/>
  <c r="D2290" i="1"/>
  <c r="E2290" i="1"/>
  <c r="F2290" i="1"/>
  <c r="G2290" i="1"/>
  <c r="I2290" i="1"/>
  <c r="J2290" i="1"/>
  <c r="K2290" i="1"/>
  <c r="C2291" i="1"/>
  <c r="D2291" i="1"/>
  <c r="E2291" i="1"/>
  <c r="F2291" i="1"/>
  <c r="G2291" i="1"/>
  <c r="I2291" i="1"/>
  <c r="J2291" i="1"/>
  <c r="K2291" i="1"/>
  <c r="C2292" i="1"/>
  <c r="D2292" i="1"/>
  <c r="E2292" i="1"/>
  <c r="F2292" i="1"/>
  <c r="G2292" i="1"/>
  <c r="I2292" i="1"/>
  <c r="J2292" i="1"/>
  <c r="K2292" i="1"/>
  <c r="C2293" i="1"/>
  <c r="D2293" i="1"/>
  <c r="E2293" i="1"/>
  <c r="F2293" i="1"/>
  <c r="G2293" i="1"/>
  <c r="I2293" i="1"/>
  <c r="J2293" i="1"/>
  <c r="K2293" i="1"/>
  <c r="C2294" i="1"/>
  <c r="D2294" i="1"/>
  <c r="E2294" i="1"/>
  <c r="F2294" i="1"/>
  <c r="G2294" i="1"/>
  <c r="I2294" i="1"/>
  <c r="J2294" i="1"/>
  <c r="K2294" i="1"/>
  <c r="C2295" i="1"/>
  <c r="D2295" i="1"/>
  <c r="E2295" i="1"/>
  <c r="F2295" i="1"/>
  <c r="G2295" i="1"/>
  <c r="I2295" i="1"/>
  <c r="J2295" i="1"/>
  <c r="K2295" i="1"/>
  <c r="C2296" i="1"/>
  <c r="D2296" i="1"/>
  <c r="E2296" i="1"/>
  <c r="F2296" i="1"/>
  <c r="G2296" i="1"/>
  <c r="I2296" i="1"/>
  <c r="J2296" i="1"/>
  <c r="K2296" i="1"/>
  <c r="C2297" i="1"/>
  <c r="D2297" i="1"/>
  <c r="E2297" i="1"/>
  <c r="F2297" i="1"/>
  <c r="G2297" i="1"/>
  <c r="I2297" i="1"/>
  <c r="J2297" i="1"/>
  <c r="K2297" i="1"/>
  <c r="C2298" i="1"/>
  <c r="D2298" i="1"/>
  <c r="E2298" i="1"/>
  <c r="F2298" i="1"/>
  <c r="G2298" i="1"/>
  <c r="I2298" i="1"/>
  <c r="J2298" i="1"/>
  <c r="K2298" i="1"/>
  <c r="C2299" i="1"/>
  <c r="D2299" i="1"/>
  <c r="E2299" i="1"/>
  <c r="F2299" i="1"/>
  <c r="G2299" i="1"/>
  <c r="I2299" i="1"/>
  <c r="J2299" i="1"/>
  <c r="K2299" i="1"/>
  <c r="C2300" i="1"/>
  <c r="D2300" i="1"/>
  <c r="E2300" i="1"/>
  <c r="F2300" i="1"/>
  <c r="G2300" i="1"/>
  <c r="I2300" i="1"/>
  <c r="J2300" i="1"/>
  <c r="K2300" i="1"/>
  <c r="C2301" i="1"/>
  <c r="D2301" i="1"/>
  <c r="E2301" i="1"/>
  <c r="F2301" i="1"/>
  <c r="G2301" i="1"/>
  <c r="I2301" i="1"/>
  <c r="J2301" i="1"/>
  <c r="K2301" i="1"/>
  <c r="C2302" i="1"/>
  <c r="D2302" i="1"/>
  <c r="E2302" i="1"/>
  <c r="F2302" i="1"/>
  <c r="G2302" i="1"/>
  <c r="I2302" i="1"/>
  <c r="J2302" i="1"/>
  <c r="K2302" i="1"/>
  <c r="C2303" i="1"/>
  <c r="D2303" i="1"/>
  <c r="E2303" i="1"/>
  <c r="F2303" i="1"/>
  <c r="G2303" i="1"/>
  <c r="I2303" i="1"/>
  <c r="J2303" i="1"/>
  <c r="K2303" i="1"/>
  <c r="C2304" i="1"/>
  <c r="D2304" i="1"/>
  <c r="E2304" i="1"/>
  <c r="F2304" i="1"/>
  <c r="G2304" i="1"/>
  <c r="I2304" i="1"/>
  <c r="J2304" i="1"/>
  <c r="K2304" i="1"/>
  <c r="C2305" i="1"/>
  <c r="D2305" i="1"/>
  <c r="E2305" i="1"/>
  <c r="F2305" i="1"/>
  <c r="G2305" i="1"/>
  <c r="I2305" i="1"/>
  <c r="J2305" i="1"/>
  <c r="K2305" i="1"/>
  <c r="C2306" i="1"/>
  <c r="D2306" i="1"/>
  <c r="E2306" i="1"/>
  <c r="F2306" i="1"/>
  <c r="G2306" i="1"/>
  <c r="I2306" i="1"/>
  <c r="J2306" i="1"/>
  <c r="K2306" i="1"/>
  <c r="C2307" i="1"/>
  <c r="D2307" i="1"/>
  <c r="E2307" i="1"/>
  <c r="F2307" i="1"/>
  <c r="G2307" i="1"/>
  <c r="I2307" i="1"/>
  <c r="J2307" i="1"/>
  <c r="K2307" i="1"/>
  <c r="C2308" i="1"/>
  <c r="D2308" i="1"/>
  <c r="E2308" i="1"/>
  <c r="F2308" i="1"/>
  <c r="G2308" i="1"/>
  <c r="I2308" i="1"/>
  <c r="J2308" i="1"/>
  <c r="K2308" i="1"/>
  <c r="C2309" i="1"/>
  <c r="D2309" i="1"/>
  <c r="E2309" i="1"/>
  <c r="F2309" i="1"/>
  <c r="G2309" i="1"/>
  <c r="I2309" i="1"/>
  <c r="J2309" i="1"/>
  <c r="K2309" i="1"/>
  <c r="C2310" i="1"/>
  <c r="D2310" i="1"/>
  <c r="E2310" i="1"/>
  <c r="F2310" i="1"/>
  <c r="G2310" i="1"/>
  <c r="I2310" i="1"/>
  <c r="J2310" i="1"/>
  <c r="K2310" i="1"/>
  <c r="C2311" i="1"/>
  <c r="D2311" i="1"/>
  <c r="E2311" i="1"/>
  <c r="F2311" i="1"/>
  <c r="G2311" i="1"/>
  <c r="I2311" i="1"/>
  <c r="J2311" i="1"/>
  <c r="K2311" i="1"/>
  <c r="C2312" i="1"/>
  <c r="D2312" i="1"/>
  <c r="E2312" i="1"/>
  <c r="F2312" i="1"/>
  <c r="G2312" i="1"/>
  <c r="I2312" i="1"/>
  <c r="J2312" i="1"/>
  <c r="K2312" i="1"/>
  <c r="C2313" i="1"/>
  <c r="D2313" i="1"/>
  <c r="E2313" i="1"/>
  <c r="F2313" i="1"/>
  <c r="G2313" i="1"/>
  <c r="I2313" i="1"/>
  <c r="J2313" i="1"/>
  <c r="K2313" i="1"/>
  <c r="C2314" i="1"/>
  <c r="D2314" i="1"/>
  <c r="E2314" i="1"/>
  <c r="F2314" i="1"/>
  <c r="G2314" i="1"/>
  <c r="I2314" i="1"/>
  <c r="J2314" i="1"/>
  <c r="K2314" i="1"/>
  <c r="C2315" i="1"/>
  <c r="D2315" i="1"/>
  <c r="E2315" i="1"/>
  <c r="F2315" i="1"/>
  <c r="G2315" i="1"/>
  <c r="I2315" i="1"/>
  <c r="J2315" i="1"/>
  <c r="K2315" i="1"/>
  <c r="C2316" i="1"/>
  <c r="D2316" i="1"/>
  <c r="E2316" i="1"/>
  <c r="F2316" i="1"/>
  <c r="G2316" i="1"/>
  <c r="I2316" i="1"/>
  <c r="J2316" i="1"/>
  <c r="K2316" i="1"/>
  <c r="C2317" i="1"/>
  <c r="D2317" i="1"/>
  <c r="E2317" i="1"/>
  <c r="F2317" i="1"/>
  <c r="G2317" i="1"/>
  <c r="I2317" i="1"/>
  <c r="J2317" i="1"/>
  <c r="K2317" i="1"/>
  <c r="C2318" i="1"/>
  <c r="D2318" i="1"/>
  <c r="E2318" i="1"/>
  <c r="F2318" i="1"/>
  <c r="G2318" i="1"/>
  <c r="I2318" i="1"/>
  <c r="J2318" i="1"/>
  <c r="K2318" i="1"/>
  <c r="C2319" i="1"/>
  <c r="D2319" i="1"/>
  <c r="E2319" i="1"/>
  <c r="F2319" i="1"/>
  <c r="G2319" i="1"/>
  <c r="I2319" i="1"/>
  <c r="J2319" i="1"/>
  <c r="K2319" i="1"/>
  <c r="C2320" i="1"/>
  <c r="D2320" i="1"/>
  <c r="E2320" i="1"/>
  <c r="F2320" i="1"/>
  <c r="G2320" i="1"/>
  <c r="I2320" i="1"/>
  <c r="J2320" i="1"/>
  <c r="K2320" i="1"/>
  <c r="C2321" i="1"/>
  <c r="D2321" i="1"/>
  <c r="E2321" i="1"/>
  <c r="F2321" i="1"/>
  <c r="G2321" i="1"/>
  <c r="I2321" i="1"/>
  <c r="J2321" i="1"/>
  <c r="K2321" i="1"/>
  <c r="C2322" i="1"/>
  <c r="D2322" i="1"/>
  <c r="E2322" i="1"/>
  <c r="F2322" i="1"/>
  <c r="G2322" i="1"/>
  <c r="I2322" i="1"/>
  <c r="J2322" i="1"/>
  <c r="K2322" i="1"/>
  <c r="C2323" i="1"/>
  <c r="D2323" i="1"/>
  <c r="E2323" i="1"/>
  <c r="F2323" i="1"/>
  <c r="G2323" i="1"/>
  <c r="I2323" i="1"/>
  <c r="J2323" i="1"/>
  <c r="K2323" i="1"/>
  <c r="C2324" i="1"/>
  <c r="D2324" i="1"/>
  <c r="E2324" i="1"/>
  <c r="F2324" i="1"/>
  <c r="G2324" i="1"/>
  <c r="I2324" i="1"/>
  <c r="J2324" i="1"/>
  <c r="K2324" i="1"/>
  <c r="C2325" i="1"/>
  <c r="D2325" i="1"/>
  <c r="E2325" i="1"/>
  <c r="F2325" i="1"/>
  <c r="G2325" i="1"/>
  <c r="I2325" i="1"/>
  <c r="J2325" i="1"/>
  <c r="K2325" i="1"/>
  <c r="C2326" i="1"/>
  <c r="D2326" i="1"/>
  <c r="E2326" i="1"/>
  <c r="F2326" i="1"/>
  <c r="G2326" i="1"/>
  <c r="I2326" i="1"/>
  <c r="J2326" i="1"/>
  <c r="K2326" i="1"/>
  <c r="C2327" i="1"/>
  <c r="D2327" i="1"/>
  <c r="E2327" i="1"/>
  <c r="F2327" i="1"/>
  <c r="G2327" i="1"/>
  <c r="I2327" i="1"/>
  <c r="J2327" i="1"/>
  <c r="K2327" i="1"/>
  <c r="C2328" i="1"/>
  <c r="D2328" i="1"/>
  <c r="E2328" i="1"/>
  <c r="F2328" i="1"/>
  <c r="G2328" i="1"/>
  <c r="I2328" i="1"/>
  <c r="J2328" i="1"/>
  <c r="K2328" i="1"/>
  <c r="C2329" i="1"/>
  <c r="D2329" i="1"/>
  <c r="E2329" i="1"/>
  <c r="F2329" i="1"/>
  <c r="G2329" i="1"/>
  <c r="I2329" i="1"/>
  <c r="J2329" i="1"/>
  <c r="K2329" i="1"/>
  <c r="C2330" i="1"/>
  <c r="D2330" i="1"/>
  <c r="E2330" i="1"/>
  <c r="F2330" i="1"/>
  <c r="G2330" i="1"/>
  <c r="I2330" i="1"/>
  <c r="J2330" i="1"/>
  <c r="K2330" i="1"/>
  <c r="C2331" i="1"/>
  <c r="D2331" i="1"/>
  <c r="E2331" i="1"/>
  <c r="F2331" i="1"/>
  <c r="G2331" i="1"/>
  <c r="I2331" i="1"/>
  <c r="J2331" i="1"/>
  <c r="K2331" i="1"/>
  <c r="C2332" i="1"/>
  <c r="D2332" i="1"/>
  <c r="E2332" i="1"/>
  <c r="F2332" i="1"/>
  <c r="G2332" i="1"/>
  <c r="I2332" i="1"/>
  <c r="J2332" i="1"/>
  <c r="K2332" i="1"/>
  <c r="C2333" i="1"/>
  <c r="D2333" i="1"/>
  <c r="E2333" i="1"/>
  <c r="F2333" i="1"/>
  <c r="G2333" i="1"/>
  <c r="I2333" i="1"/>
  <c r="J2333" i="1"/>
  <c r="K2333" i="1"/>
  <c r="C2334" i="1"/>
  <c r="D2334" i="1"/>
  <c r="E2334" i="1"/>
  <c r="F2334" i="1"/>
  <c r="G2334" i="1"/>
  <c r="I2334" i="1"/>
  <c r="J2334" i="1"/>
  <c r="K2334" i="1"/>
  <c r="C2335" i="1"/>
  <c r="D2335" i="1"/>
  <c r="E2335" i="1"/>
  <c r="F2335" i="1"/>
  <c r="G2335" i="1"/>
  <c r="I2335" i="1"/>
  <c r="J2335" i="1"/>
  <c r="K2335" i="1"/>
  <c r="C2336" i="1"/>
  <c r="D2336" i="1"/>
  <c r="E2336" i="1"/>
  <c r="F2336" i="1"/>
  <c r="G2336" i="1"/>
  <c r="I2336" i="1"/>
  <c r="J2336" i="1"/>
  <c r="K2336" i="1"/>
  <c r="C2337" i="1"/>
  <c r="D2337" i="1"/>
  <c r="E2337" i="1"/>
  <c r="F2337" i="1"/>
  <c r="G2337" i="1"/>
  <c r="I2337" i="1"/>
  <c r="J2337" i="1"/>
  <c r="K2337" i="1"/>
  <c r="C2338" i="1"/>
  <c r="D2338" i="1"/>
  <c r="E2338" i="1"/>
  <c r="F2338" i="1"/>
  <c r="G2338" i="1"/>
  <c r="I2338" i="1"/>
  <c r="J2338" i="1"/>
  <c r="K2338" i="1"/>
  <c r="C2339" i="1"/>
  <c r="D2339" i="1"/>
  <c r="E2339" i="1"/>
  <c r="F2339" i="1"/>
  <c r="G2339" i="1"/>
  <c r="I2339" i="1"/>
  <c r="J2339" i="1"/>
  <c r="K2339" i="1"/>
  <c r="C2340" i="1"/>
  <c r="D2340" i="1"/>
  <c r="E2340" i="1"/>
  <c r="F2340" i="1"/>
  <c r="G2340" i="1"/>
  <c r="I2340" i="1"/>
  <c r="J2340" i="1"/>
  <c r="K2340" i="1"/>
  <c r="C2341" i="1"/>
  <c r="D2341" i="1"/>
  <c r="E2341" i="1"/>
  <c r="F2341" i="1"/>
  <c r="G2341" i="1"/>
  <c r="I2341" i="1"/>
  <c r="J2341" i="1"/>
  <c r="K2341" i="1"/>
  <c r="C2342" i="1"/>
  <c r="D2342" i="1"/>
  <c r="E2342" i="1"/>
  <c r="F2342" i="1"/>
  <c r="G2342" i="1"/>
  <c r="I2342" i="1"/>
  <c r="J2342" i="1"/>
  <c r="K2342" i="1"/>
  <c r="C2343" i="1"/>
  <c r="D2343" i="1"/>
  <c r="E2343" i="1"/>
  <c r="F2343" i="1"/>
  <c r="G2343" i="1"/>
  <c r="I2343" i="1"/>
  <c r="J2343" i="1"/>
  <c r="K2343" i="1"/>
  <c r="C2344" i="1"/>
  <c r="D2344" i="1"/>
  <c r="E2344" i="1"/>
  <c r="F2344" i="1"/>
  <c r="G2344" i="1"/>
  <c r="I2344" i="1"/>
  <c r="J2344" i="1"/>
  <c r="K2344" i="1"/>
  <c r="C2345" i="1"/>
  <c r="D2345" i="1"/>
  <c r="E2345" i="1"/>
  <c r="F2345" i="1"/>
  <c r="G2345" i="1"/>
  <c r="I2345" i="1"/>
  <c r="J2345" i="1"/>
  <c r="K2345" i="1"/>
  <c r="C2346" i="1"/>
  <c r="D2346" i="1"/>
  <c r="E2346" i="1"/>
  <c r="F2346" i="1"/>
  <c r="G2346" i="1"/>
  <c r="I2346" i="1"/>
  <c r="J2346" i="1"/>
  <c r="K2346" i="1"/>
  <c r="C2347" i="1"/>
  <c r="D2347" i="1"/>
  <c r="E2347" i="1"/>
  <c r="F2347" i="1"/>
  <c r="G2347" i="1"/>
  <c r="I2347" i="1"/>
  <c r="J2347" i="1"/>
  <c r="K2347" i="1"/>
  <c r="C2348" i="1"/>
  <c r="D2348" i="1"/>
  <c r="E2348" i="1"/>
  <c r="F2348" i="1"/>
  <c r="G2348" i="1"/>
  <c r="I2348" i="1"/>
  <c r="J2348" i="1"/>
  <c r="K2348" i="1"/>
  <c r="C2349" i="1"/>
  <c r="D2349" i="1"/>
  <c r="E2349" i="1"/>
  <c r="F2349" i="1"/>
  <c r="G2349" i="1"/>
  <c r="I2349" i="1"/>
  <c r="J2349" i="1"/>
  <c r="K2349" i="1"/>
  <c r="C2350" i="1"/>
  <c r="D2350" i="1"/>
  <c r="E2350" i="1"/>
  <c r="F2350" i="1"/>
  <c r="G2350" i="1"/>
  <c r="I2350" i="1"/>
  <c r="J2350" i="1"/>
  <c r="K2350" i="1"/>
  <c r="C2351" i="1"/>
  <c r="D2351" i="1"/>
  <c r="E2351" i="1"/>
  <c r="F2351" i="1"/>
  <c r="G2351" i="1"/>
  <c r="I2351" i="1"/>
  <c r="J2351" i="1"/>
  <c r="K2351" i="1"/>
  <c r="C2352" i="1"/>
  <c r="D2352" i="1"/>
  <c r="E2352" i="1"/>
  <c r="F2352" i="1"/>
  <c r="G2352" i="1"/>
  <c r="I2352" i="1"/>
  <c r="J2352" i="1"/>
  <c r="K2352" i="1"/>
  <c r="C2353" i="1"/>
  <c r="D2353" i="1"/>
  <c r="E2353" i="1"/>
  <c r="F2353" i="1"/>
  <c r="G2353" i="1"/>
  <c r="I2353" i="1"/>
  <c r="J2353" i="1"/>
  <c r="K2353" i="1"/>
  <c r="C2354" i="1"/>
  <c r="D2354" i="1"/>
  <c r="E2354" i="1"/>
  <c r="F2354" i="1"/>
  <c r="G2354" i="1"/>
  <c r="I2354" i="1"/>
  <c r="J2354" i="1"/>
  <c r="K2354" i="1"/>
  <c r="C2355" i="1"/>
  <c r="D2355" i="1"/>
  <c r="E2355" i="1"/>
  <c r="F2355" i="1"/>
  <c r="G2355" i="1"/>
  <c r="I2355" i="1"/>
  <c r="J2355" i="1"/>
  <c r="K2355" i="1"/>
  <c r="C2356" i="1"/>
  <c r="D2356" i="1"/>
  <c r="E2356" i="1"/>
  <c r="F2356" i="1"/>
  <c r="G2356" i="1"/>
  <c r="I2356" i="1"/>
  <c r="J2356" i="1"/>
  <c r="K2356" i="1"/>
  <c r="C2357" i="1"/>
  <c r="D2357" i="1"/>
  <c r="E2357" i="1"/>
  <c r="F2357" i="1"/>
  <c r="G2357" i="1"/>
  <c r="I2357" i="1"/>
  <c r="J2357" i="1"/>
  <c r="K2357" i="1"/>
  <c r="C2358" i="1"/>
  <c r="D2358" i="1"/>
  <c r="E2358" i="1"/>
  <c r="F2358" i="1"/>
  <c r="G2358" i="1"/>
  <c r="I2358" i="1"/>
  <c r="J2358" i="1"/>
  <c r="K2358" i="1"/>
  <c r="C2359" i="1"/>
  <c r="D2359" i="1"/>
  <c r="E2359" i="1"/>
  <c r="F2359" i="1"/>
  <c r="G2359" i="1"/>
  <c r="I2359" i="1"/>
  <c r="J2359" i="1"/>
  <c r="K2359" i="1"/>
  <c r="C2360" i="1"/>
  <c r="D2360" i="1"/>
  <c r="E2360" i="1"/>
  <c r="F2360" i="1"/>
  <c r="G2360" i="1"/>
  <c r="I2360" i="1"/>
  <c r="J2360" i="1"/>
  <c r="K2360" i="1"/>
  <c r="C2361" i="1"/>
  <c r="D2361" i="1"/>
  <c r="E2361" i="1"/>
  <c r="F2361" i="1"/>
  <c r="G2361" i="1"/>
  <c r="I2361" i="1"/>
  <c r="J2361" i="1"/>
  <c r="K2361" i="1"/>
  <c r="C2362" i="1"/>
  <c r="D2362" i="1"/>
  <c r="E2362" i="1"/>
  <c r="F2362" i="1"/>
  <c r="G2362" i="1"/>
  <c r="I2362" i="1"/>
  <c r="J2362" i="1"/>
  <c r="K2362" i="1"/>
  <c r="C2363" i="1"/>
  <c r="D2363" i="1"/>
  <c r="E2363" i="1"/>
  <c r="F2363" i="1"/>
  <c r="G2363" i="1"/>
  <c r="I2363" i="1"/>
  <c r="J2363" i="1"/>
  <c r="K2363" i="1"/>
  <c r="C2364" i="1"/>
  <c r="D2364" i="1"/>
  <c r="E2364" i="1"/>
  <c r="F2364" i="1"/>
  <c r="G2364" i="1"/>
  <c r="I2364" i="1"/>
  <c r="J2364" i="1"/>
  <c r="K2364" i="1"/>
  <c r="C2365" i="1"/>
  <c r="D2365" i="1"/>
  <c r="E2365" i="1"/>
  <c r="F2365" i="1"/>
  <c r="G2365" i="1"/>
  <c r="I2365" i="1"/>
  <c r="J2365" i="1"/>
  <c r="K2365" i="1"/>
  <c r="C2366" i="1"/>
  <c r="D2366" i="1"/>
  <c r="E2366" i="1"/>
  <c r="F2366" i="1"/>
  <c r="G2366" i="1"/>
  <c r="I2366" i="1"/>
  <c r="J2366" i="1"/>
  <c r="K2366" i="1"/>
  <c r="C2367" i="1"/>
  <c r="D2367" i="1"/>
  <c r="E2367" i="1"/>
  <c r="F2367" i="1"/>
  <c r="G2367" i="1"/>
  <c r="I2367" i="1"/>
  <c r="J2367" i="1"/>
  <c r="K2367" i="1"/>
  <c r="C2368" i="1"/>
  <c r="D2368" i="1"/>
  <c r="E2368" i="1"/>
  <c r="F2368" i="1"/>
  <c r="G2368" i="1"/>
  <c r="I2368" i="1"/>
  <c r="J2368" i="1"/>
  <c r="K2368" i="1"/>
  <c r="C2369" i="1"/>
  <c r="D2369" i="1"/>
  <c r="E2369" i="1"/>
  <c r="F2369" i="1"/>
  <c r="G2369" i="1"/>
  <c r="I2369" i="1"/>
  <c r="J2369" i="1"/>
  <c r="K2369" i="1"/>
  <c r="C2370" i="1"/>
  <c r="D2370" i="1"/>
  <c r="E2370" i="1"/>
  <c r="F2370" i="1"/>
  <c r="G2370" i="1"/>
  <c r="I2370" i="1"/>
  <c r="J2370" i="1"/>
  <c r="K2370" i="1"/>
  <c r="C2371" i="1"/>
  <c r="D2371" i="1"/>
  <c r="E2371" i="1"/>
  <c r="F2371" i="1"/>
  <c r="G2371" i="1"/>
  <c r="I2371" i="1"/>
  <c r="J2371" i="1"/>
  <c r="K2371" i="1"/>
  <c r="C2372" i="1"/>
  <c r="D2372" i="1"/>
  <c r="E2372" i="1"/>
  <c r="F2372" i="1"/>
  <c r="G2372" i="1"/>
  <c r="I2372" i="1"/>
  <c r="J2372" i="1"/>
  <c r="K2372" i="1"/>
  <c r="C2373" i="1"/>
  <c r="D2373" i="1"/>
  <c r="E2373" i="1"/>
  <c r="F2373" i="1"/>
  <c r="G2373" i="1"/>
  <c r="I2373" i="1"/>
  <c r="J2373" i="1"/>
  <c r="K2373" i="1"/>
  <c r="C2374" i="1"/>
  <c r="D2374" i="1"/>
  <c r="E2374" i="1"/>
  <c r="F2374" i="1"/>
  <c r="G2374" i="1"/>
  <c r="I2374" i="1"/>
  <c r="J2374" i="1"/>
  <c r="K2374" i="1"/>
  <c r="C2375" i="1"/>
  <c r="D2375" i="1"/>
  <c r="E2375" i="1"/>
  <c r="F2375" i="1"/>
  <c r="G2375" i="1"/>
  <c r="I2375" i="1"/>
  <c r="J2375" i="1"/>
  <c r="K2375" i="1"/>
  <c r="C2376" i="1"/>
  <c r="D2376" i="1"/>
  <c r="E2376" i="1"/>
  <c r="F2376" i="1"/>
  <c r="G2376" i="1"/>
  <c r="I2376" i="1"/>
  <c r="J2376" i="1"/>
  <c r="K2376" i="1"/>
  <c r="C2377" i="1"/>
  <c r="D2377" i="1"/>
  <c r="E2377" i="1"/>
  <c r="F2377" i="1"/>
  <c r="G2377" i="1"/>
  <c r="I2377" i="1"/>
  <c r="J2377" i="1"/>
  <c r="K2377" i="1"/>
  <c r="C2378" i="1"/>
  <c r="D2378" i="1"/>
  <c r="E2378" i="1"/>
  <c r="F2378" i="1"/>
  <c r="G2378" i="1"/>
  <c r="I2378" i="1"/>
  <c r="J2378" i="1"/>
  <c r="K2378" i="1"/>
  <c r="C2379" i="1"/>
  <c r="D2379" i="1"/>
  <c r="E2379" i="1"/>
  <c r="F2379" i="1"/>
  <c r="G2379" i="1"/>
  <c r="I2379" i="1"/>
  <c r="J2379" i="1"/>
  <c r="K2379" i="1"/>
  <c r="C2380" i="1"/>
  <c r="D2380" i="1"/>
  <c r="E2380" i="1"/>
  <c r="F2380" i="1"/>
  <c r="G2380" i="1"/>
  <c r="I2380" i="1"/>
  <c r="J2380" i="1"/>
  <c r="K2380" i="1"/>
  <c r="C2381" i="1"/>
  <c r="D2381" i="1"/>
  <c r="E2381" i="1"/>
  <c r="F2381" i="1"/>
  <c r="G2381" i="1"/>
  <c r="I2381" i="1"/>
  <c r="J2381" i="1"/>
  <c r="K2381" i="1"/>
  <c r="C2382" i="1"/>
  <c r="D2382" i="1"/>
  <c r="E2382" i="1"/>
  <c r="F2382" i="1"/>
  <c r="G2382" i="1"/>
  <c r="I2382" i="1"/>
  <c r="J2382" i="1"/>
  <c r="K2382" i="1"/>
  <c r="C2383" i="1"/>
  <c r="D2383" i="1"/>
  <c r="E2383" i="1"/>
  <c r="F2383" i="1"/>
  <c r="G2383" i="1"/>
  <c r="I2383" i="1"/>
  <c r="J2383" i="1"/>
  <c r="K2383" i="1"/>
  <c r="C2384" i="1"/>
  <c r="D2384" i="1"/>
  <c r="E2384" i="1"/>
  <c r="F2384" i="1"/>
  <c r="G2384" i="1"/>
  <c r="I2384" i="1"/>
  <c r="J2384" i="1"/>
  <c r="K2384" i="1"/>
  <c r="C2385" i="1"/>
  <c r="D2385" i="1"/>
  <c r="E2385" i="1"/>
  <c r="F2385" i="1"/>
  <c r="G2385" i="1"/>
  <c r="I2385" i="1"/>
  <c r="J2385" i="1"/>
  <c r="K2385" i="1"/>
  <c r="C2386" i="1"/>
  <c r="D2386" i="1"/>
  <c r="E2386" i="1"/>
  <c r="F2386" i="1"/>
  <c r="G2386" i="1"/>
  <c r="I2386" i="1"/>
  <c r="J2386" i="1"/>
  <c r="K2386" i="1"/>
  <c r="C2387" i="1"/>
  <c r="D2387" i="1"/>
  <c r="E2387" i="1"/>
  <c r="F2387" i="1"/>
  <c r="G2387" i="1"/>
  <c r="I2387" i="1"/>
  <c r="J2387" i="1"/>
  <c r="K2387" i="1"/>
  <c r="C2388" i="1"/>
  <c r="D2388" i="1"/>
  <c r="E2388" i="1"/>
  <c r="F2388" i="1"/>
  <c r="G2388" i="1"/>
  <c r="I2388" i="1"/>
  <c r="J2388" i="1"/>
  <c r="K2388" i="1"/>
  <c r="K2014" i="1"/>
  <c r="J2014" i="1"/>
  <c r="I2014" i="1"/>
  <c r="F2014" i="1"/>
  <c r="E2014" i="1"/>
  <c r="D2014" i="1"/>
  <c r="C2014" i="1"/>
  <c r="K1977" i="1"/>
  <c r="J1977" i="1"/>
  <c r="I1977" i="1"/>
  <c r="F1977" i="1"/>
  <c r="E1977" i="1"/>
  <c r="D1977" i="1"/>
  <c r="C1977" i="1"/>
  <c r="D667" i="1" l="1"/>
  <c r="O1984" i="1"/>
  <c r="O1983" i="1"/>
  <c r="O1970" i="1"/>
  <c r="O1971" i="1"/>
  <c r="O1972" i="1"/>
  <c r="C2" i="1"/>
  <c r="D2" i="1"/>
  <c r="E2" i="1"/>
  <c r="F2" i="1"/>
  <c r="G2" i="1"/>
  <c r="I2" i="1"/>
  <c r="J2" i="1"/>
  <c r="K2" i="1"/>
  <c r="I3" i="1"/>
  <c r="J3" i="1"/>
  <c r="K3" i="1"/>
  <c r="O3" i="1"/>
  <c r="G4" i="1"/>
  <c r="I4" i="1"/>
  <c r="J4" i="1"/>
  <c r="K4" i="1"/>
  <c r="O4" i="1"/>
  <c r="G5" i="1"/>
  <c r="I5" i="1"/>
  <c r="J5" i="1"/>
  <c r="K5" i="1"/>
  <c r="O5" i="1"/>
  <c r="G6" i="1"/>
  <c r="I6" i="1"/>
  <c r="J6" i="1"/>
  <c r="K6" i="1"/>
  <c r="O6" i="1"/>
  <c r="G7" i="1"/>
  <c r="I7" i="1"/>
  <c r="J7" i="1"/>
  <c r="K7" i="1"/>
  <c r="O7" i="1"/>
  <c r="C8" i="1"/>
  <c r="D8" i="1"/>
  <c r="E8" i="1"/>
  <c r="F8" i="1"/>
  <c r="I8" i="1"/>
  <c r="J8" i="1"/>
  <c r="K8" i="1"/>
  <c r="G9" i="1"/>
  <c r="I9" i="1"/>
  <c r="J9" i="1"/>
  <c r="K9" i="1"/>
  <c r="C10" i="1"/>
  <c r="D10" i="1"/>
  <c r="E10" i="1"/>
  <c r="F10" i="1"/>
  <c r="G10" i="1"/>
  <c r="I10" i="1"/>
  <c r="J10" i="1"/>
  <c r="K10" i="1"/>
  <c r="I11" i="1"/>
  <c r="J11" i="1"/>
  <c r="K11" i="1"/>
  <c r="O11" i="1"/>
  <c r="G12" i="1"/>
  <c r="I12" i="1"/>
  <c r="J12" i="1"/>
  <c r="K12" i="1"/>
  <c r="O12" i="1"/>
  <c r="C13" i="1"/>
  <c r="D13" i="1"/>
  <c r="E13" i="1"/>
  <c r="F13" i="1"/>
  <c r="G13" i="1"/>
  <c r="I13" i="1"/>
  <c r="J13" i="1"/>
  <c r="K13" i="1"/>
  <c r="I14" i="1"/>
  <c r="J14" i="1"/>
  <c r="K14" i="1"/>
  <c r="O14" i="1"/>
  <c r="G15" i="1"/>
  <c r="I15" i="1"/>
  <c r="J15" i="1"/>
  <c r="K15" i="1"/>
  <c r="O15" i="1"/>
  <c r="C16" i="1"/>
  <c r="D16" i="1"/>
  <c r="E16" i="1"/>
  <c r="F16" i="1"/>
  <c r="G16" i="1"/>
  <c r="I16" i="1"/>
  <c r="J16" i="1"/>
  <c r="K16" i="1"/>
  <c r="I17" i="1"/>
  <c r="J17" i="1"/>
  <c r="K17" i="1"/>
  <c r="O17" i="1"/>
  <c r="G18" i="1"/>
  <c r="I18" i="1"/>
  <c r="J18" i="1"/>
  <c r="K18" i="1"/>
  <c r="O18" i="1"/>
  <c r="G19" i="1"/>
  <c r="I19" i="1"/>
  <c r="J19" i="1"/>
  <c r="K19" i="1"/>
  <c r="O19" i="1"/>
  <c r="C20" i="1"/>
  <c r="D20" i="1"/>
  <c r="E20" i="1"/>
  <c r="F20" i="1"/>
  <c r="G20" i="1"/>
  <c r="I20" i="1"/>
  <c r="J20" i="1"/>
  <c r="K20" i="1"/>
  <c r="I21" i="1"/>
  <c r="J21" i="1"/>
  <c r="K21" i="1"/>
  <c r="O21" i="1"/>
  <c r="G22" i="1"/>
  <c r="I22" i="1"/>
  <c r="J22" i="1"/>
  <c r="K22" i="1"/>
  <c r="O22" i="1"/>
  <c r="G23" i="1"/>
  <c r="I23" i="1"/>
  <c r="J23" i="1"/>
  <c r="K23" i="1"/>
  <c r="O23" i="1"/>
  <c r="C24" i="1"/>
  <c r="D24" i="1"/>
  <c r="E24" i="1"/>
  <c r="F24" i="1"/>
  <c r="G24" i="1"/>
  <c r="I24" i="1"/>
  <c r="J24" i="1"/>
  <c r="K24" i="1"/>
  <c r="I25" i="1"/>
  <c r="J25" i="1"/>
  <c r="K25" i="1"/>
  <c r="O25" i="1"/>
  <c r="G26" i="1"/>
  <c r="I26" i="1"/>
  <c r="J26" i="1"/>
  <c r="K26" i="1"/>
  <c r="O26" i="1"/>
  <c r="G27" i="1"/>
  <c r="I27" i="1"/>
  <c r="J27" i="1"/>
  <c r="K27" i="1"/>
  <c r="O27" i="1"/>
  <c r="C28" i="1"/>
  <c r="D28" i="1"/>
  <c r="E28" i="1"/>
  <c r="F28" i="1"/>
  <c r="G28" i="1"/>
  <c r="I28" i="1"/>
  <c r="J28" i="1"/>
  <c r="K28" i="1"/>
  <c r="I29" i="1"/>
  <c r="J29" i="1"/>
  <c r="K29" i="1"/>
  <c r="O29" i="1"/>
  <c r="G30" i="1"/>
  <c r="I30" i="1"/>
  <c r="J30" i="1"/>
  <c r="K30" i="1"/>
  <c r="O30" i="1"/>
  <c r="G31" i="1"/>
  <c r="I31" i="1"/>
  <c r="J31" i="1"/>
  <c r="K31" i="1"/>
  <c r="O31" i="1"/>
  <c r="G32" i="1"/>
  <c r="I32" i="1"/>
  <c r="J32" i="1"/>
  <c r="K32" i="1"/>
  <c r="O32" i="1"/>
  <c r="C33" i="1"/>
  <c r="D33" i="1"/>
  <c r="E33" i="1"/>
  <c r="F33" i="1"/>
  <c r="G33" i="1"/>
  <c r="I33" i="1"/>
  <c r="J33" i="1"/>
  <c r="K33" i="1"/>
  <c r="I34" i="1"/>
  <c r="J34" i="1"/>
  <c r="K34" i="1"/>
  <c r="O34" i="1"/>
  <c r="G35" i="1"/>
  <c r="I35" i="1"/>
  <c r="J35" i="1"/>
  <c r="K35" i="1"/>
  <c r="O35" i="1"/>
  <c r="G36" i="1"/>
  <c r="I36" i="1"/>
  <c r="J36" i="1"/>
  <c r="K36" i="1"/>
  <c r="O36" i="1"/>
  <c r="G37" i="1"/>
  <c r="I37" i="1"/>
  <c r="J37" i="1"/>
  <c r="K37" i="1"/>
  <c r="O37" i="1"/>
  <c r="G38" i="1"/>
  <c r="I38" i="1"/>
  <c r="J38" i="1"/>
  <c r="K38" i="1"/>
  <c r="O38" i="1"/>
  <c r="C39" i="1"/>
  <c r="D39" i="1"/>
  <c r="E39" i="1"/>
  <c r="F39" i="1"/>
  <c r="G39" i="1"/>
  <c r="I39" i="1"/>
  <c r="J39" i="1"/>
  <c r="K39" i="1"/>
  <c r="I40" i="1"/>
  <c r="J40" i="1"/>
  <c r="K40" i="1"/>
  <c r="O40" i="1"/>
  <c r="G41" i="1"/>
  <c r="I41" i="1"/>
  <c r="J41" i="1"/>
  <c r="K41" i="1"/>
  <c r="O41" i="1"/>
  <c r="G42" i="1"/>
  <c r="I42" i="1"/>
  <c r="J42" i="1"/>
  <c r="K42" i="1"/>
  <c r="O42" i="1"/>
  <c r="C43" i="1"/>
  <c r="D43" i="1"/>
  <c r="E43" i="1"/>
  <c r="F43" i="1"/>
  <c r="G43" i="1"/>
  <c r="I43" i="1"/>
  <c r="J43" i="1"/>
  <c r="K43" i="1"/>
  <c r="I44" i="1"/>
  <c r="J44" i="1"/>
  <c r="K44" i="1"/>
  <c r="O44" i="1"/>
  <c r="G45" i="1"/>
  <c r="I45" i="1"/>
  <c r="J45" i="1"/>
  <c r="K45" i="1"/>
  <c r="O45" i="1"/>
  <c r="G46" i="1"/>
  <c r="I46" i="1"/>
  <c r="J46" i="1"/>
  <c r="K46" i="1"/>
  <c r="O46" i="1"/>
  <c r="G47" i="1"/>
  <c r="I47" i="1"/>
  <c r="J47" i="1"/>
  <c r="K47" i="1"/>
  <c r="O47" i="1"/>
  <c r="C48" i="1"/>
  <c r="D48" i="1"/>
  <c r="E48" i="1"/>
  <c r="F48" i="1"/>
  <c r="G48" i="1"/>
  <c r="I48" i="1"/>
  <c r="J48" i="1"/>
  <c r="K48" i="1"/>
  <c r="I49" i="1"/>
  <c r="J49" i="1"/>
  <c r="K49" i="1"/>
  <c r="O49" i="1"/>
  <c r="G50" i="1"/>
  <c r="I50" i="1"/>
  <c r="J50" i="1"/>
  <c r="K50" i="1"/>
  <c r="O50" i="1"/>
  <c r="C51" i="1"/>
  <c r="D51" i="1"/>
  <c r="E51" i="1"/>
  <c r="F51" i="1"/>
  <c r="G51" i="1"/>
  <c r="I51" i="1"/>
  <c r="J51" i="1"/>
  <c r="K51" i="1"/>
  <c r="I52" i="1"/>
  <c r="J52" i="1"/>
  <c r="K52" i="1"/>
  <c r="O52" i="1"/>
  <c r="G53" i="1"/>
  <c r="I53" i="1"/>
  <c r="J53" i="1"/>
  <c r="K53" i="1"/>
  <c r="O53" i="1"/>
  <c r="G54" i="1"/>
  <c r="I54" i="1"/>
  <c r="J54" i="1"/>
  <c r="K54" i="1"/>
  <c r="O54" i="1"/>
  <c r="C55" i="1"/>
  <c r="D55" i="1"/>
  <c r="E55" i="1"/>
  <c r="F55" i="1"/>
  <c r="G55" i="1"/>
  <c r="I55" i="1"/>
  <c r="J55" i="1"/>
  <c r="K55" i="1"/>
  <c r="I56" i="1"/>
  <c r="J56" i="1"/>
  <c r="K56" i="1"/>
  <c r="O56" i="1"/>
  <c r="C57" i="1"/>
  <c r="D57" i="1"/>
  <c r="E57" i="1"/>
  <c r="F57" i="1"/>
  <c r="G57" i="1"/>
  <c r="I57" i="1"/>
  <c r="J57" i="1"/>
  <c r="K57" i="1"/>
  <c r="I58" i="1"/>
  <c r="J58" i="1"/>
  <c r="K58" i="1"/>
  <c r="O58" i="1"/>
  <c r="G59" i="1"/>
  <c r="I59" i="1"/>
  <c r="J59" i="1"/>
  <c r="K59" i="1"/>
  <c r="O59" i="1"/>
  <c r="G60" i="1"/>
  <c r="I60" i="1"/>
  <c r="J60" i="1"/>
  <c r="K60" i="1"/>
  <c r="O60" i="1"/>
  <c r="G61" i="1"/>
  <c r="I61" i="1"/>
  <c r="J61" i="1"/>
  <c r="K61" i="1"/>
  <c r="O61" i="1"/>
  <c r="C62" i="1"/>
  <c r="D62" i="1"/>
  <c r="E62" i="1"/>
  <c r="F62" i="1"/>
  <c r="G62" i="1"/>
  <c r="I62" i="1"/>
  <c r="J62" i="1"/>
  <c r="K62" i="1"/>
  <c r="I63" i="1"/>
  <c r="J63" i="1"/>
  <c r="K63" i="1"/>
  <c r="O63" i="1"/>
  <c r="G64" i="1"/>
  <c r="I64" i="1"/>
  <c r="J64" i="1"/>
  <c r="K64" i="1"/>
  <c r="O64" i="1"/>
  <c r="G65" i="1"/>
  <c r="I65" i="1"/>
  <c r="J65" i="1"/>
  <c r="K65" i="1"/>
  <c r="O65" i="1"/>
  <c r="G66" i="1"/>
  <c r="I66" i="1"/>
  <c r="J66" i="1"/>
  <c r="K66" i="1"/>
  <c r="O66" i="1"/>
  <c r="G67" i="1"/>
  <c r="I67" i="1"/>
  <c r="J67" i="1"/>
  <c r="K67" i="1"/>
  <c r="O67" i="1"/>
  <c r="C68" i="1"/>
  <c r="D68" i="1"/>
  <c r="E68" i="1"/>
  <c r="F68" i="1"/>
  <c r="G68" i="1"/>
  <c r="I68" i="1"/>
  <c r="J68" i="1"/>
  <c r="K68" i="1"/>
  <c r="I69" i="1"/>
  <c r="J69" i="1"/>
  <c r="K69" i="1"/>
  <c r="O69" i="1"/>
  <c r="F70" i="1"/>
  <c r="G70" i="1"/>
  <c r="I70" i="1"/>
  <c r="J70" i="1"/>
  <c r="K70" i="1"/>
  <c r="O70" i="1"/>
  <c r="F71" i="1"/>
  <c r="G71" i="1"/>
  <c r="I71" i="1"/>
  <c r="J71" i="1"/>
  <c r="K71" i="1"/>
  <c r="O71" i="1"/>
  <c r="F72" i="1"/>
  <c r="G72" i="1"/>
  <c r="I72" i="1"/>
  <c r="J72" i="1"/>
  <c r="K72" i="1"/>
  <c r="O72" i="1"/>
  <c r="C73" i="1"/>
  <c r="D73" i="1"/>
  <c r="E73" i="1"/>
  <c r="F73" i="1"/>
  <c r="G73" i="1"/>
  <c r="I73" i="1"/>
  <c r="J73" i="1"/>
  <c r="K73" i="1"/>
  <c r="I74" i="1"/>
  <c r="J74" i="1"/>
  <c r="K74" i="1"/>
  <c r="O74" i="1"/>
  <c r="G75" i="1"/>
  <c r="I75" i="1"/>
  <c r="J75" i="1"/>
  <c r="K75" i="1"/>
  <c r="O75" i="1"/>
  <c r="G76" i="1"/>
  <c r="I76" i="1"/>
  <c r="J76" i="1"/>
  <c r="K76" i="1"/>
  <c r="O76" i="1"/>
  <c r="G77" i="1"/>
  <c r="I77" i="1"/>
  <c r="J77" i="1"/>
  <c r="K77" i="1"/>
  <c r="O77" i="1"/>
  <c r="G78" i="1"/>
  <c r="I78" i="1"/>
  <c r="J78" i="1"/>
  <c r="K78" i="1"/>
  <c r="O78" i="1"/>
  <c r="C79" i="1"/>
  <c r="D79" i="1"/>
  <c r="E79" i="1"/>
  <c r="F79" i="1"/>
  <c r="G79" i="1"/>
  <c r="I79" i="1"/>
  <c r="J79" i="1"/>
  <c r="K79" i="1"/>
  <c r="I80" i="1"/>
  <c r="J80" i="1"/>
  <c r="K80" i="1"/>
  <c r="O80" i="1"/>
  <c r="G81" i="1"/>
  <c r="I81" i="1"/>
  <c r="J81" i="1"/>
  <c r="K81" i="1"/>
  <c r="O81" i="1"/>
  <c r="G82" i="1"/>
  <c r="I82" i="1"/>
  <c r="J82" i="1"/>
  <c r="K82" i="1"/>
  <c r="O82" i="1"/>
  <c r="G83" i="1"/>
  <c r="I83" i="1"/>
  <c r="J83" i="1"/>
  <c r="K83" i="1"/>
  <c r="O83" i="1"/>
  <c r="G84" i="1"/>
  <c r="I84" i="1"/>
  <c r="J84" i="1"/>
  <c r="K84" i="1"/>
  <c r="O84" i="1"/>
  <c r="C85" i="1"/>
  <c r="D85" i="1"/>
  <c r="E85" i="1"/>
  <c r="F85" i="1"/>
  <c r="G85" i="1"/>
  <c r="I85" i="1"/>
  <c r="J85" i="1"/>
  <c r="K85" i="1"/>
  <c r="I86" i="1"/>
  <c r="J86" i="1"/>
  <c r="K86" i="1"/>
  <c r="O86" i="1"/>
  <c r="G87" i="1"/>
  <c r="I87" i="1"/>
  <c r="J87" i="1"/>
  <c r="K87" i="1"/>
  <c r="O87" i="1"/>
  <c r="G88" i="1"/>
  <c r="I88" i="1"/>
  <c r="J88" i="1"/>
  <c r="K88" i="1"/>
  <c r="O88" i="1"/>
  <c r="G89" i="1"/>
  <c r="I89" i="1"/>
  <c r="J89" i="1"/>
  <c r="K89" i="1"/>
  <c r="O89" i="1"/>
  <c r="C90" i="1"/>
  <c r="D90" i="1"/>
  <c r="E90" i="1"/>
  <c r="F90" i="1"/>
  <c r="G90" i="1"/>
  <c r="I90" i="1"/>
  <c r="J90" i="1"/>
  <c r="K90" i="1"/>
  <c r="I91" i="1"/>
  <c r="J91" i="1"/>
  <c r="K91" i="1"/>
  <c r="O91" i="1"/>
  <c r="G92" i="1"/>
  <c r="I92" i="1"/>
  <c r="J92" i="1"/>
  <c r="K92" i="1"/>
  <c r="O92" i="1"/>
  <c r="G93" i="1"/>
  <c r="I93" i="1"/>
  <c r="J93" i="1"/>
  <c r="K93" i="1"/>
  <c r="O93" i="1"/>
  <c r="G94" i="1"/>
  <c r="I94" i="1"/>
  <c r="J94" i="1"/>
  <c r="K94" i="1"/>
  <c r="O94" i="1"/>
  <c r="G95" i="1"/>
  <c r="I95" i="1"/>
  <c r="J95" i="1"/>
  <c r="K95" i="1"/>
  <c r="O95" i="1"/>
  <c r="C96" i="1"/>
  <c r="D96" i="1"/>
  <c r="E96" i="1"/>
  <c r="F96" i="1"/>
  <c r="G96" i="1"/>
  <c r="I96" i="1"/>
  <c r="J96" i="1"/>
  <c r="K96" i="1"/>
  <c r="I97" i="1"/>
  <c r="J97" i="1"/>
  <c r="K97" i="1"/>
  <c r="O97" i="1"/>
  <c r="G98" i="1"/>
  <c r="I98" i="1"/>
  <c r="J98" i="1"/>
  <c r="K98" i="1"/>
  <c r="O98" i="1"/>
  <c r="G99" i="1"/>
  <c r="I99" i="1"/>
  <c r="J99" i="1"/>
  <c r="K99" i="1"/>
  <c r="O99" i="1"/>
  <c r="G100" i="1"/>
  <c r="I100" i="1"/>
  <c r="J100" i="1"/>
  <c r="K100" i="1"/>
  <c r="O100" i="1"/>
  <c r="G101" i="1"/>
  <c r="I101" i="1"/>
  <c r="J101" i="1"/>
  <c r="K101" i="1"/>
  <c r="O101" i="1"/>
  <c r="G102" i="1"/>
  <c r="I102" i="1"/>
  <c r="J102" i="1"/>
  <c r="K102" i="1"/>
  <c r="O102" i="1"/>
  <c r="C103" i="1"/>
  <c r="D103" i="1"/>
  <c r="E103" i="1"/>
  <c r="F103" i="1"/>
  <c r="G103" i="1"/>
  <c r="I103" i="1"/>
  <c r="J103" i="1"/>
  <c r="K103" i="1"/>
  <c r="I104" i="1"/>
  <c r="J104" i="1"/>
  <c r="K104" i="1"/>
  <c r="O104" i="1"/>
  <c r="G105" i="1"/>
  <c r="I105" i="1"/>
  <c r="J105" i="1"/>
  <c r="K105" i="1"/>
  <c r="O105" i="1"/>
  <c r="G106" i="1"/>
  <c r="I106" i="1"/>
  <c r="J106" i="1"/>
  <c r="K106" i="1"/>
  <c r="O106" i="1"/>
  <c r="C107" i="1"/>
  <c r="D107" i="1"/>
  <c r="E107" i="1"/>
  <c r="F107" i="1"/>
  <c r="G107" i="1"/>
  <c r="I107" i="1"/>
  <c r="J107" i="1"/>
  <c r="K107" i="1"/>
  <c r="I108" i="1"/>
  <c r="J108" i="1"/>
  <c r="K108" i="1"/>
  <c r="O108" i="1"/>
  <c r="G109" i="1"/>
  <c r="I109" i="1"/>
  <c r="J109" i="1"/>
  <c r="K109" i="1"/>
  <c r="O109" i="1"/>
  <c r="G110" i="1"/>
  <c r="I110" i="1"/>
  <c r="J110" i="1"/>
  <c r="K110" i="1"/>
  <c r="O110" i="1"/>
  <c r="G111" i="1"/>
  <c r="I111" i="1"/>
  <c r="J111" i="1"/>
  <c r="K111" i="1"/>
  <c r="O111" i="1"/>
  <c r="C112" i="1"/>
  <c r="D112" i="1"/>
  <c r="E112" i="1"/>
  <c r="F112" i="1"/>
  <c r="G112" i="1"/>
  <c r="I112" i="1"/>
  <c r="J112" i="1"/>
  <c r="K112" i="1"/>
  <c r="I113" i="1"/>
  <c r="J113" i="1"/>
  <c r="K113" i="1"/>
  <c r="O113" i="1"/>
  <c r="G114" i="1"/>
  <c r="I114" i="1"/>
  <c r="J114" i="1"/>
  <c r="K114" i="1"/>
  <c r="O114" i="1"/>
  <c r="C115" i="1"/>
  <c r="D115" i="1"/>
  <c r="E115" i="1"/>
  <c r="F115" i="1"/>
  <c r="G115" i="1"/>
  <c r="I115" i="1"/>
  <c r="J115" i="1"/>
  <c r="K115" i="1"/>
  <c r="I116" i="1"/>
  <c r="J116" i="1"/>
  <c r="K116" i="1"/>
  <c r="O116" i="1"/>
  <c r="G117" i="1"/>
  <c r="I117" i="1"/>
  <c r="J117" i="1"/>
  <c r="K117" i="1"/>
  <c r="O117" i="1"/>
  <c r="G118" i="1"/>
  <c r="I118" i="1"/>
  <c r="J118" i="1"/>
  <c r="K118" i="1"/>
  <c r="O118" i="1"/>
  <c r="G119" i="1"/>
  <c r="I119" i="1"/>
  <c r="J119" i="1"/>
  <c r="K119" i="1"/>
  <c r="O119" i="1"/>
  <c r="C120" i="1"/>
  <c r="D120" i="1"/>
  <c r="E120" i="1"/>
  <c r="F120" i="1"/>
  <c r="G120" i="1"/>
  <c r="I120" i="1"/>
  <c r="J120" i="1"/>
  <c r="K120" i="1"/>
  <c r="G121" i="1"/>
  <c r="I121" i="1"/>
  <c r="J121" i="1"/>
  <c r="K121" i="1"/>
  <c r="O121" i="1"/>
  <c r="G122" i="1"/>
  <c r="I122" i="1"/>
  <c r="J122" i="1"/>
  <c r="K122" i="1"/>
  <c r="O122" i="1"/>
  <c r="G123" i="1"/>
  <c r="I123" i="1"/>
  <c r="J123" i="1"/>
  <c r="K123" i="1"/>
  <c r="O123" i="1"/>
  <c r="C124" i="1"/>
  <c r="D124" i="1"/>
  <c r="E124" i="1"/>
  <c r="F124" i="1"/>
  <c r="G124" i="1"/>
  <c r="I124" i="1"/>
  <c r="J124" i="1"/>
  <c r="K124" i="1"/>
  <c r="I125" i="1"/>
  <c r="J125" i="1"/>
  <c r="K125" i="1"/>
  <c r="O125" i="1"/>
  <c r="G126" i="1"/>
  <c r="I126" i="1"/>
  <c r="J126" i="1"/>
  <c r="K126" i="1"/>
  <c r="O126" i="1"/>
  <c r="C127" i="1"/>
  <c r="D127" i="1"/>
  <c r="E127" i="1"/>
  <c r="F127" i="1"/>
  <c r="G127" i="1"/>
  <c r="I127" i="1"/>
  <c r="J127" i="1"/>
  <c r="K127" i="1"/>
  <c r="I128" i="1"/>
  <c r="J128" i="1"/>
  <c r="K128" i="1"/>
  <c r="O128" i="1"/>
  <c r="G129" i="1"/>
  <c r="I129" i="1"/>
  <c r="J129" i="1"/>
  <c r="K129" i="1"/>
  <c r="O129" i="1"/>
  <c r="C130" i="1"/>
  <c r="D130" i="1"/>
  <c r="E130" i="1"/>
  <c r="F130" i="1"/>
  <c r="G130" i="1"/>
  <c r="I130" i="1"/>
  <c r="J130" i="1"/>
  <c r="K130" i="1"/>
  <c r="I131" i="1"/>
  <c r="J131" i="1"/>
  <c r="K131" i="1"/>
  <c r="O131" i="1"/>
  <c r="G132" i="1"/>
  <c r="I132" i="1"/>
  <c r="J132" i="1"/>
  <c r="K132" i="1"/>
  <c r="O132" i="1"/>
  <c r="C133" i="1"/>
  <c r="D133" i="1"/>
  <c r="E133" i="1"/>
  <c r="F133" i="1"/>
  <c r="G133" i="1"/>
  <c r="I133" i="1"/>
  <c r="J133" i="1"/>
  <c r="K133" i="1"/>
  <c r="I134" i="1"/>
  <c r="J134" i="1"/>
  <c r="K134" i="1"/>
  <c r="O134" i="1"/>
  <c r="C135" i="1"/>
  <c r="D135" i="1"/>
  <c r="E135" i="1"/>
  <c r="F135" i="1"/>
  <c r="G135" i="1"/>
  <c r="I135" i="1"/>
  <c r="J135" i="1"/>
  <c r="K135" i="1"/>
  <c r="I136" i="1"/>
  <c r="J136" i="1"/>
  <c r="K136" i="1"/>
  <c r="O136" i="1"/>
  <c r="G137" i="1"/>
  <c r="I137" i="1"/>
  <c r="J137" i="1"/>
  <c r="K137" i="1"/>
  <c r="O137" i="1"/>
  <c r="G138" i="1"/>
  <c r="I138" i="1"/>
  <c r="J138" i="1"/>
  <c r="K138" i="1"/>
  <c r="O138" i="1"/>
  <c r="C139" i="1"/>
  <c r="D139" i="1"/>
  <c r="E139" i="1"/>
  <c r="F139" i="1"/>
  <c r="G139" i="1"/>
  <c r="I139" i="1"/>
  <c r="J139" i="1"/>
  <c r="K139" i="1"/>
  <c r="I140" i="1"/>
  <c r="J140" i="1"/>
  <c r="K140" i="1"/>
  <c r="O140" i="1"/>
  <c r="G141" i="1"/>
  <c r="I141" i="1"/>
  <c r="J141" i="1"/>
  <c r="K141" i="1"/>
  <c r="O141" i="1"/>
  <c r="G142" i="1"/>
  <c r="I142" i="1"/>
  <c r="J142" i="1"/>
  <c r="K142" i="1"/>
  <c r="O142" i="1"/>
  <c r="C143" i="1"/>
  <c r="D143" i="1"/>
  <c r="E143" i="1"/>
  <c r="F143" i="1"/>
  <c r="G143" i="1"/>
  <c r="I143" i="1"/>
  <c r="J143" i="1"/>
  <c r="K143" i="1"/>
  <c r="I144" i="1"/>
  <c r="J144" i="1"/>
  <c r="K144" i="1"/>
  <c r="O144" i="1"/>
  <c r="G145" i="1"/>
  <c r="I145" i="1"/>
  <c r="J145" i="1"/>
  <c r="K145" i="1"/>
  <c r="O145" i="1"/>
  <c r="G146" i="1"/>
  <c r="I146" i="1"/>
  <c r="J146" i="1"/>
  <c r="K146" i="1"/>
  <c r="O146" i="1"/>
  <c r="G147" i="1"/>
  <c r="I147" i="1"/>
  <c r="J147" i="1"/>
  <c r="K147" i="1"/>
  <c r="O147" i="1"/>
  <c r="C148" i="1"/>
  <c r="D148" i="1"/>
  <c r="E148" i="1"/>
  <c r="F148" i="1"/>
  <c r="G148" i="1"/>
  <c r="I148" i="1"/>
  <c r="J148" i="1"/>
  <c r="K148" i="1"/>
  <c r="I149" i="1"/>
  <c r="J149" i="1"/>
  <c r="K149" i="1"/>
  <c r="O149" i="1"/>
  <c r="G150" i="1"/>
  <c r="I150" i="1"/>
  <c r="J150" i="1"/>
  <c r="K150" i="1"/>
  <c r="O150" i="1"/>
  <c r="G151" i="1"/>
  <c r="I151" i="1"/>
  <c r="J151" i="1"/>
  <c r="K151" i="1"/>
  <c r="O151" i="1"/>
  <c r="C152" i="1"/>
  <c r="D152" i="1"/>
  <c r="E152" i="1"/>
  <c r="F152" i="1"/>
  <c r="G152" i="1"/>
  <c r="I152" i="1"/>
  <c r="J152" i="1"/>
  <c r="K152" i="1"/>
  <c r="I153" i="1"/>
  <c r="J153" i="1"/>
  <c r="K153" i="1"/>
  <c r="O153" i="1"/>
  <c r="G154" i="1"/>
  <c r="I154" i="1"/>
  <c r="J154" i="1"/>
  <c r="K154" i="1"/>
  <c r="O154" i="1"/>
  <c r="G155" i="1"/>
  <c r="I155" i="1"/>
  <c r="J155" i="1"/>
  <c r="K155" i="1"/>
  <c r="O155" i="1"/>
  <c r="G156" i="1"/>
  <c r="I156" i="1"/>
  <c r="J156" i="1"/>
  <c r="K156" i="1"/>
  <c r="O156" i="1"/>
  <c r="C157" i="1"/>
  <c r="D157" i="1"/>
  <c r="E157" i="1"/>
  <c r="F157" i="1"/>
  <c r="G157" i="1"/>
  <c r="I157" i="1"/>
  <c r="J157" i="1"/>
  <c r="K157" i="1"/>
  <c r="I158" i="1"/>
  <c r="J158" i="1"/>
  <c r="K158" i="1"/>
  <c r="O158" i="1"/>
  <c r="G159" i="1"/>
  <c r="I159" i="1"/>
  <c r="J159" i="1"/>
  <c r="K159" i="1"/>
  <c r="O159" i="1"/>
  <c r="G160" i="1"/>
  <c r="I160" i="1"/>
  <c r="J160" i="1"/>
  <c r="K160" i="1"/>
  <c r="O160" i="1"/>
  <c r="C161" i="1"/>
  <c r="D161" i="1"/>
  <c r="E161" i="1"/>
  <c r="F161" i="1"/>
  <c r="G161" i="1"/>
  <c r="I161" i="1"/>
  <c r="J161" i="1"/>
  <c r="K161" i="1"/>
  <c r="I162" i="1"/>
  <c r="J162" i="1"/>
  <c r="K162" i="1"/>
  <c r="O162" i="1"/>
  <c r="G163" i="1"/>
  <c r="I163" i="1"/>
  <c r="J163" i="1"/>
  <c r="K163" i="1"/>
  <c r="O163" i="1"/>
  <c r="G164" i="1"/>
  <c r="I164" i="1"/>
  <c r="J164" i="1"/>
  <c r="K164" i="1"/>
  <c r="O164" i="1"/>
  <c r="G165" i="1"/>
  <c r="I165" i="1"/>
  <c r="J165" i="1"/>
  <c r="K165" i="1"/>
  <c r="O165" i="1"/>
  <c r="G166" i="1"/>
  <c r="I166" i="1"/>
  <c r="J166" i="1"/>
  <c r="K166" i="1"/>
  <c r="O166" i="1"/>
  <c r="C167" i="1"/>
  <c r="D167" i="1"/>
  <c r="E167" i="1"/>
  <c r="F167" i="1"/>
  <c r="G167" i="1"/>
  <c r="I167" i="1"/>
  <c r="J167" i="1"/>
  <c r="K167" i="1"/>
  <c r="I168" i="1"/>
  <c r="J168" i="1"/>
  <c r="K168" i="1"/>
  <c r="O168" i="1"/>
  <c r="G169" i="1"/>
  <c r="I169" i="1"/>
  <c r="J169" i="1"/>
  <c r="K169" i="1"/>
  <c r="O169" i="1"/>
  <c r="G170" i="1"/>
  <c r="I170" i="1"/>
  <c r="J170" i="1"/>
  <c r="K170" i="1"/>
  <c r="O170" i="1"/>
  <c r="G171" i="1"/>
  <c r="I171" i="1"/>
  <c r="J171" i="1"/>
  <c r="K171" i="1"/>
  <c r="O171" i="1"/>
  <c r="C172" i="1"/>
  <c r="D172" i="1"/>
  <c r="E172" i="1"/>
  <c r="F172" i="1"/>
  <c r="G172" i="1"/>
  <c r="I172" i="1"/>
  <c r="J172" i="1"/>
  <c r="K172" i="1"/>
  <c r="I173" i="1"/>
  <c r="J173" i="1"/>
  <c r="K173" i="1"/>
  <c r="O173" i="1"/>
  <c r="G174" i="1"/>
  <c r="I174" i="1"/>
  <c r="J174" i="1"/>
  <c r="K174" i="1"/>
  <c r="O174" i="1"/>
  <c r="G175" i="1"/>
  <c r="I175" i="1"/>
  <c r="J175" i="1"/>
  <c r="K175" i="1"/>
  <c r="O175" i="1"/>
  <c r="G176" i="1"/>
  <c r="I176" i="1"/>
  <c r="J176" i="1"/>
  <c r="K176" i="1"/>
  <c r="O176" i="1"/>
  <c r="C177" i="1"/>
  <c r="D177" i="1"/>
  <c r="E177" i="1"/>
  <c r="F177" i="1"/>
  <c r="G177" i="1"/>
  <c r="I177" i="1"/>
  <c r="J177" i="1"/>
  <c r="K177" i="1"/>
  <c r="I178" i="1"/>
  <c r="J178" i="1"/>
  <c r="K178" i="1"/>
  <c r="O178" i="1"/>
  <c r="G179" i="1"/>
  <c r="I179" i="1"/>
  <c r="J179" i="1"/>
  <c r="K179" i="1"/>
  <c r="O179" i="1"/>
  <c r="G180" i="1"/>
  <c r="I180" i="1"/>
  <c r="J180" i="1"/>
  <c r="K180" i="1"/>
  <c r="O180" i="1"/>
  <c r="G181" i="1"/>
  <c r="I181" i="1"/>
  <c r="J181" i="1"/>
  <c r="K181" i="1"/>
  <c r="O181" i="1"/>
  <c r="G182" i="1"/>
  <c r="I182" i="1"/>
  <c r="J182" i="1"/>
  <c r="K182" i="1"/>
  <c r="O182" i="1"/>
  <c r="G183" i="1"/>
  <c r="I183" i="1"/>
  <c r="J183" i="1"/>
  <c r="K183" i="1"/>
  <c r="O183" i="1"/>
  <c r="G184" i="1"/>
  <c r="I184" i="1"/>
  <c r="J184" i="1"/>
  <c r="K184" i="1"/>
  <c r="O184" i="1"/>
  <c r="C185" i="1"/>
  <c r="D185" i="1"/>
  <c r="E185" i="1"/>
  <c r="F185" i="1"/>
  <c r="G185" i="1"/>
  <c r="I185" i="1"/>
  <c r="J185" i="1"/>
  <c r="K185" i="1"/>
  <c r="I186" i="1"/>
  <c r="J186" i="1"/>
  <c r="K186" i="1"/>
  <c r="O186" i="1"/>
  <c r="G187" i="1"/>
  <c r="I187" i="1"/>
  <c r="J187" i="1"/>
  <c r="K187" i="1"/>
  <c r="O187" i="1"/>
  <c r="C189" i="1"/>
  <c r="D189" i="1"/>
  <c r="E189" i="1"/>
  <c r="F189" i="1"/>
  <c r="G189" i="1"/>
  <c r="I189" i="1"/>
  <c r="J189" i="1"/>
  <c r="K189" i="1"/>
  <c r="I190" i="1"/>
  <c r="J190" i="1"/>
  <c r="K190" i="1"/>
  <c r="O190" i="1"/>
  <c r="G191" i="1"/>
  <c r="I191" i="1"/>
  <c r="J191" i="1"/>
  <c r="K191" i="1"/>
  <c r="O191" i="1"/>
  <c r="G192" i="1"/>
  <c r="I192" i="1"/>
  <c r="J192" i="1"/>
  <c r="K192" i="1"/>
  <c r="O192" i="1"/>
  <c r="G193" i="1"/>
  <c r="I193" i="1"/>
  <c r="J193" i="1"/>
  <c r="K193" i="1"/>
  <c r="O193" i="1"/>
  <c r="C194" i="1"/>
  <c r="D194" i="1"/>
  <c r="E194" i="1"/>
  <c r="F194" i="1"/>
  <c r="G194" i="1"/>
  <c r="I194" i="1"/>
  <c r="J194" i="1"/>
  <c r="K194" i="1"/>
  <c r="I195" i="1"/>
  <c r="J195" i="1"/>
  <c r="K195" i="1"/>
  <c r="O195" i="1"/>
  <c r="G196" i="1"/>
  <c r="I196" i="1"/>
  <c r="J196" i="1"/>
  <c r="K196" i="1"/>
  <c r="O196" i="1"/>
  <c r="G197" i="1"/>
  <c r="I197" i="1"/>
  <c r="J197" i="1"/>
  <c r="K197" i="1"/>
  <c r="O197" i="1"/>
  <c r="C198" i="1"/>
  <c r="D198" i="1"/>
  <c r="E198" i="1"/>
  <c r="F198" i="1"/>
  <c r="G198" i="1"/>
  <c r="I198" i="1"/>
  <c r="J198" i="1"/>
  <c r="K198" i="1"/>
  <c r="I199" i="1"/>
  <c r="J199" i="1"/>
  <c r="K199" i="1"/>
  <c r="O199" i="1"/>
  <c r="G200" i="1"/>
  <c r="I200" i="1"/>
  <c r="J200" i="1"/>
  <c r="K200" i="1"/>
  <c r="O200" i="1"/>
  <c r="C201" i="1"/>
  <c r="D201" i="1"/>
  <c r="E201" i="1"/>
  <c r="F201" i="1"/>
  <c r="G201" i="1"/>
  <c r="I201" i="1"/>
  <c r="J201" i="1"/>
  <c r="K201" i="1"/>
  <c r="I202" i="1"/>
  <c r="J202" i="1"/>
  <c r="K202" i="1"/>
  <c r="O202" i="1"/>
  <c r="G203" i="1"/>
  <c r="I203" i="1"/>
  <c r="J203" i="1"/>
  <c r="K203" i="1"/>
  <c r="O203" i="1"/>
  <c r="G204" i="1"/>
  <c r="I204" i="1"/>
  <c r="J204" i="1"/>
  <c r="K204" i="1"/>
  <c r="O204" i="1"/>
  <c r="C205" i="1"/>
  <c r="D205" i="1"/>
  <c r="E205" i="1"/>
  <c r="F205" i="1"/>
  <c r="G205" i="1"/>
  <c r="I205" i="1"/>
  <c r="J205" i="1"/>
  <c r="K205" i="1"/>
  <c r="I206" i="1"/>
  <c r="J206" i="1"/>
  <c r="K206" i="1"/>
  <c r="O206" i="1"/>
  <c r="G207" i="1"/>
  <c r="I207" i="1"/>
  <c r="J207" i="1"/>
  <c r="K207" i="1"/>
  <c r="O207" i="1"/>
  <c r="G208" i="1"/>
  <c r="I208" i="1"/>
  <c r="J208" i="1"/>
  <c r="K208" i="1"/>
  <c r="O208" i="1"/>
  <c r="C209" i="1"/>
  <c r="D209" i="1"/>
  <c r="E209" i="1"/>
  <c r="F209" i="1"/>
  <c r="G209" i="1"/>
  <c r="I209" i="1"/>
  <c r="J209" i="1"/>
  <c r="K209" i="1"/>
  <c r="I210" i="1"/>
  <c r="J210" i="1"/>
  <c r="K210" i="1"/>
  <c r="O210" i="1"/>
  <c r="G211" i="1"/>
  <c r="I211" i="1"/>
  <c r="J211" i="1"/>
  <c r="K211" i="1"/>
  <c r="O211" i="1"/>
  <c r="G212" i="1"/>
  <c r="I212" i="1"/>
  <c r="J212" i="1"/>
  <c r="K212" i="1"/>
  <c r="O212" i="1"/>
  <c r="C213" i="1"/>
  <c r="D213" i="1"/>
  <c r="E213" i="1"/>
  <c r="F213" i="1"/>
  <c r="G213" i="1"/>
  <c r="I213" i="1"/>
  <c r="J213" i="1"/>
  <c r="K213" i="1"/>
  <c r="I214" i="1"/>
  <c r="J214" i="1"/>
  <c r="K214" i="1"/>
  <c r="O214" i="1"/>
  <c r="G215" i="1"/>
  <c r="I215" i="1"/>
  <c r="J215" i="1"/>
  <c r="K215" i="1"/>
  <c r="O215" i="1"/>
  <c r="G216" i="1"/>
  <c r="I216" i="1"/>
  <c r="J216" i="1"/>
  <c r="K216" i="1"/>
  <c r="O216" i="1"/>
  <c r="G217" i="1"/>
  <c r="I217" i="1"/>
  <c r="J217" i="1"/>
  <c r="K217" i="1"/>
  <c r="O217" i="1"/>
  <c r="G218" i="1"/>
  <c r="I218" i="1"/>
  <c r="J218" i="1"/>
  <c r="K218" i="1"/>
  <c r="O218" i="1"/>
  <c r="C219" i="1"/>
  <c r="D219" i="1"/>
  <c r="E219" i="1"/>
  <c r="F219" i="1"/>
  <c r="G219" i="1"/>
  <c r="I219" i="1"/>
  <c r="J219" i="1"/>
  <c r="K219" i="1"/>
  <c r="I220" i="1"/>
  <c r="J220" i="1"/>
  <c r="K220" i="1"/>
  <c r="O220" i="1"/>
  <c r="G221" i="1"/>
  <c r="I221" i="1"/>
  <c r="J221" i="1"/>
  <c r="K221" i="1"/>
  <c r="O221" i="1"/>
  <c r="G222" i="1"/>
  <c r="I222" i="1"/>
  <c r="J222" i="1"/>
  <c r="K222" i="1"/>
  <c r="O222" i="1"/>
  <c r="G223" i="1"/>
  <c r="I223" i="1"/>
  <c r="J223" i="1"/>
  <c r="K223" i="1"/>
  <c r="O223" i="1"/>
  <c r="C224" i="1"/>
  <c r="D224" i="1"/>
  <c r="E224" i="1"/>
  <c r="F224" i="1"/>
  <c r="G224" i="1"/>
  <c r="I224" i="1"/>
  <c r="J224" i="1"/>
  <c r="K224" i="1"/>
  <c r="I225" i="1"/>
  <c r="J225" i="1"/>
  <c r="K225" i="1"/>
  <c r="O225" i="1"/>
  <c r="G226" i="1"/>
  <c r="I226" i="1"/>
  <c r="J226" i="1"/>
  <c r="K226" i="1"/>
  <c r="O226" i="1"/>
  <c r="C227" i="1"/>
  <c r="D227" i="1"/>
  <c r="E227" i="1"/>
  <c r="F227" i="1"/>
  <c r="G227" i="1"/>
  <c r="I227" i="1"/>
  <c r="J227" i="1"/>
  <c r="K227" i="1"/>
  <c r="I228" i="1"/>
  <c r="J228" i="1"/>
  <c r="K228" i="1"/>
  <c r="O228" i="1"/>
  <c r="G229" i="1"/>
  <c r="I229" i="1"/>
  <c r="J229" i="1"/>
  <c r="K229" i="1"/>
  <c r="O229" i="1"/>
  <c r="G230" i="1"/>
  <c r="I230" i="1"/>
  <c r="J230" i="1"/>
  <c r="K230" i="1"/>
  <c r="O230" i="1"/>
  <c r="G231" i="1"/>
  <c r="I231" i="1"/>
  <c r="J231" i="1"/>
  <c r="K231" i="1"/>
  <c r="O231" i="1"/>
  <c r="G232" i="1"/>
  <c r="I232" i="1"/>
  <c r="J232" i="1"/>
  <c r="K232" i="1"/>
  <c r="O232" i="1"/>
  <c r="C233" i="1"/>
  <c r="D233" i="1"/>
  <c r="E233" i="1"/>
  <c r="F233" i="1"/>
  <c r="G233" i="1"/>
  <c r="I233" i="1"/>
  <c r="J233" i="1"/>
  <c r="K233" i="1"/>
  <c r="I234" i="1"/>
  <c r="J234" i="1"/>
  <c r="K234" i="1"/>
  <c r="O234" i="1"/>
  <c r="G235" i="1"/>
  <c r="I235" i="1"/>
  <c r="J235" i="1"/>
  <c r="K235" i="1"/>
  <c r="O235" i="1"/>
  <c r="G236" i="1"/>
  <c r="I236" i="1"/>
  <c r="J236" i="1"/>
  <c r="K236" i="1"/>
  <c r="O236" i="1"/>
  <c r="G237" i="1"/>
  <c r="I237" i="1"/>
  <c r="J237" i="1"/>
  <c r="K237" i="1"/>
  <c r="O237" i="1"/>
  <c r="C238" i="1"/>
  <c r="D238" i="1"/>
  <c r="E238" i="1"/>
  <c r="F238" i="1"/>
  <c r="G238" i="1"/>
  <c r="I238" i="1"/>
  <c r="J238" i="1"/>
  <c r="K238" i="1"/>
  <c r="I239" i="1"/>
  <c r="J239" i="1"/>
  <c r="K239" i="1"/>
  <c r="O239" i="1"/>
  <c r="G240" i="1"/>
  <c r="I240" i="1"/>
  <c r="J240" i="1"/>
  <c r="K240" i="1"/>
  <c r="O240" i="1"/>
  <c r="G241" i="1"/>
  <c r="I241" i="1"/>
  <c r="J241" i="1"/>
  <c r="K241" i="1"/>
  <c r="O241" i="1"/>
  <c r="C242" i="1"/>
  <c r="D242" i="1"/>
  <c r="E242" i="1"/>
  <c r="F242" i="1"/>
  <c r="G242" i="1"/>
  <c r="I242" i="1"/>
  <c r="J242" i="1"/>
  <c r="K242" i="1"/>
  <c r="I243" i="1"/>
  <c r="J243" i="1"/>
  <c r="K243" i="1"/>
  <c r="O243" i="1"/>
  <c r="G244" i="1"/>
  <c r="I244" i="1"/>
  <c r="J244" i="1"/>
  <c r="K244" i="1"/>
  <c r="O244" i="1"/>
  <c r="G245" i="1"/>
  <c r="I245" i="1"/>
  <c r="J245" i="1"/>
  <c r="K245" i="1"/>
  <c r="O245" i="1"/>
  <c r="C246" i="1"/>
  <c r="D246" i="1"/>
  <c r="E246" i="1"/>
  <c r="F246" i="1"/>
  <c r="G246" i="1"/>
  <c r="I246" i="1"/>
  <c r="J246" i="1"/>
  <c r="K246" i="1"/>
  <c r="I247" i="1"/>
  <c r="J247" i="1"/>
  <c r="K247" i="1"/>
  <c r="O247" i="1"/>
  <c r="G248" i="1"/>
  <c r="I248" i="1"/>
  <c r="J248" i="1"/>
  <c r="K248" i="1"/>
  <c r="O248" i="1"/>
  <c r="G249" i="1"/>
  <c r="I249" i="1"/>
  <c r="J249" i="1"/>
  <c r="K249" i="1"/>
  <c r="O249" i="1"/>
  <c r="G250" i="1"/>
  <c r="I250" i="1"/>
  <c r="J250" i="1"/>
  <c r="K250" i="1"/>
  <c r="O250" i="1"/>
  <c r="C251" i="1"/>
  <c r="D251" i="1"/>
  <c r="E251" i="1"/>
  <c r="F251" i="1"/>
  <c r="G251" i="1"/>
  <c r="I251" i="1"/>
  <c r="J251" i="1"/>
  <c r="K251" i="1"/>
  <c r="I252" i="1"/>
  <c r="J252" i="1"/>
  <c r="K252" i="1"/>
  <c r="O252" i="1"/>
  <c r="G253" i="1"/>
  <c r="I253" i="1"/>
  <c r="J253" i="1"/>
  <c r="K253" i="1"/>
  <c r="O253" i="1"/>
  <c r="G254" i="1"/>
  <c r="I254" i="1"/>
  <c r="J254" i="1"/>
  <c r="K254" i="1"/>
  <c r="O254" i="1"/>
  <c r="G255" i="1"/>
  <c r="I255" i="1"/>
  <c r="J255" i="1"/>
  <c r="K255" i="1"/>
  <c r="O255" i="1"/>
  <c r="G256" i="1"/>
  <c r="I256" i="1"/>
  <c r="J256" i="1"/>
  <c r="K256" i="1"/>
  <c r="O256" i="1"/>
  <c r="C257" i="1"/>
  <c r="D257" i="1"/>
  <c r="E257" i="1"/>
  <c r="F257" i="1"/>
  <c r="G257" i="1"/>
  <c r="I257" i="1"/>
  <c r="J257" i="1"/>
  <c r="K257" i="1"/>
  <c r="I258" i="1"/>
  <c r="J258" i="1"/>
  <c r="K258" i="1"/>
  <c r="O258" i="1"/>
  <c r="C259" i="1"/>
  <c r="D259" i="1"/>
  <c r="E259" i="1"/>
  <c r="F259" i="1"/>
  <c r="G259" i="1"/>
  <c r="I259" i="1"/>
  <c r="J259" i="1"/>
  <c r="K259" i="1"/>
  <c r="I260" i="1"/>
  <c r="J260" i="1"/>
  <c r="K260" i="1"/>
  <c r="O260" i="1"/>
  <c r="G261" i="1"/>
  <c r="I261" i="1"/>
  <c r="J261" i="1"/>
  <c r="K261" i="1"/>
  <c r="O261" i="1"/>
  <c r="G262" i="1"/>
  <c r="I262" i="1"/>
  <c r="J262" i="1"/>
  <c r="K262" i="1"/>
  <c r="O262" i="1"/>
  <c r="G263" i="1"/>
  <c r="I263" i="1"/>
  <c r="J263" i="1"/>
  <c r="K263" i="1"/>
  <c r="O263" i="1"/>
  <c r="G264" i="1"/>
  <c r="I264" i="1"/>
  <c r="J264" i="1"/>
  <c r="K264" i="1"/>
  <c r="O264" i="1"/>
  <c r="C265" i="1"/>
  <c r="D265" i="1"/>
  <c r="E265" i="1"/>
  <c r="F265" i="1"/>
  <c r="G265" i="1"/>
  <c r="I265" i="1"/>
  <c r="J265" i="1"/>
  <c r="K265" i="1"/>
  <c r="I266" i="1"/>
  <c r="J266" i="1"/>
  <c r="K266" i="1"/>
  <c r="O266" i="1"/>
  <c r="G267" i="1"/>
  <c r="I267" i="1"/>
  <c r="J267" i="1"/>
  <c r="K267" i="1"/>
  <c r="O267" i="1"/>
  <c r="G268" i="1"/>
  <c r="I268" i="1"/>
  <c r="J268" i="1"/>
  <c r="K268" i="1"/>
  <c r="O268" i="1"/>
  <c r="G269" i="1"/>
  <c r="I269" i="1"/>
  <c r="J269" i="1"/>
  <c r="K269" i="1"/>
  <c r="O269" i="1"/>
  <c r="G270" i="1"/>
  <c r="I270" i="1"/>
  <c r="J270" i="1"/>
  <c r="K270" i="1"/>
  <c r="O270" i="1"/>
  <c r="C271" i="1"/>
  <c r="D271" i="1"/>
  <c r="E271" i="1"/>
  <c r="F271" i="1"/>
  <c r="G271" i="1"/>
  <c r="I271" i="1"/>
  <c r="J271" i="1"/>
  <c r="K271" i="1"/>
  <c r="I272" i="1"/>
  <c r="J272" i="1"/>
  <c r="K272" i="1"/>
  <c r="O272" i="1"/>
  <c r="G273" i="1"/>
  <c r="I273" i="1"/>
  <c r="J273" i="1"/>
  <c r="K273" i="1"/>
  <c r="O273" i="1"/>
  <c r="G274" i="1"/>
  <c r="I274" i="1"/>
  <c r="J274" i="1"/>
  <c r="K274" i="1"/>
  <c r="O274" i="1"/>
  <c r="G275" i="1"/>
  <c r="I275" i="1"/>
  <c r="J275" i="1"/>
  <c r="K275" i="1"/>
  <c r="O275" i="1"/>
  <c r="C276" i="1"/>
  <c r="D276" i="1"/>
  <c r="E276" i="1"/>
  <c r="F276" i="1"/>
  <c r="G276" i="1"/>
  <c r="I276" i="1"/>
  <c r="J276" i="1"/>
  <c r="K276" i="1"/>
  <c r="I277" i="1"/>
  <c r="J277" i="1"/>
  <c r="K277" i="1"/>
  <c r="O277" i="1"/>
  <c r="G278" i="1"/>
  <c r="I278" i="1"/>
  <c r="J278" i="1"/>
  <c r="K278" i="1"/>
  <c r="O278" i="1"/>
  <c r="G279" i="1"/>
  <c r="I279" i="1"/>
  <c r="J279" i="1"/>
  <c r="K279" i="1"/>
  <c r="O279" i="1"/>
  <c r="G280" i="1"/>
  <c r="I280" i="1"/>
  <c r="J280" i="1"/>
  <c r="K280" i="1"/>
  <c r="O280" i="1"/>
  <c r="C281" i="1"/>
  <c r="D281" i="1"/>
  <c r="E281" i="1"/>
  <c r="F281" i="1"/>
  <c r="G281" i="1"/>
  <c r="I281" i="1"/>
  <c r="J281" i="1"/>
  <c r="K281" i="1"/>
  <c r="I282" i="1"/>
  <c r="J282" i="1"/>
  <c r="K282" i="1"/>
  <c r="O282" i="1"/>
  <c r="G283" i="1"/>
  <c r="I283" i="1"/>
  <c r="J283" i="1"/>
  <c r="K283" i="1"/>
  <c r="O283" i="1"/>
  <c r="G284" i="1"/>
  <c r="I284" i="1"/>
  <c r="J284" i="1"/>
  <c r="K284" i="1"/>
  <c r="O284" i="1"/>
  <c r="G285" i="1"/>
  <c r="I285" i="1"/>
  <c r="J285" i="1"/>
  <c r="K285" i="1"/>
  <c r="O285" i="1"/>
  <c r="G286" i="1"/>
  <c r="I286" i="1"/>
  <c r="J286" i="1"/>
  <c r="K286" i="1"/>
  <c r="O286" i="1"/>
  <c r="G287" i="1"/>
  <c r="I287" i="1"/>
  <c r="J287" i="1"/>
  <c r="K287" i="1"/>
  <c r="O287" i="1"/>
  <c r="C288" i="1"/>
  <c r="D288" i="1"/>
  <c r="E288" i="1"/>
  <c r="F288" i="1"/>
  <c r="G288" i="1"/>
  <c r="I288" i="1"/>
  <c r="J288" i="1"/>
  <c r="K288" i="1"/>
  <c r="I289" i="1"/>
  <c r="J289" i="1"/>
  <c r="K289" i="1"/>
  <c r="O289" i="1"/>
  <c r="G290" i="1"/>
  <c r="I290" i="1"/>
  <c r="J290" i="1"/>
  <c r="K290" i="1"/>
  <c r="O290" i="1"/>
  <c r="G291" i="1"/>
  <c r="I291" i="1"/>
  <c r="J291" i="1"/>
  <c r="K291" i="1"/>
  <c r="O291" i="1"/>
  <c r="C292" i="1"/>
  <c r="D292" i="1"/>
  <c r="E292" i="1"/>
  <c r="F292" i="1"/>
  <c r="G292" i="1"/>
  <c r="I292" i="1"/>
  <c r="J292" i="1"/>
  <c r="K292" i="1"/>
  <c r="I293" i="1"/>
  <c r="J293" i="1"/>
  <c r="K293" i="1"/>
  <c r="O293" i="1"/>
  <c r="G294" i="1"/>
  <c r="I294" i="1"/>
  <c r="J294" i="1"/>
  <c r="K294" i="1"/>
  <c r="O294" i="1"/>
  <c r="G295" i="1"/>
  <c r="I295" i="1"/>
  <c r="J295" i="1"/>
  <c r="K295" i="1"/>
  <c r="O295" i="1"/>
  <c r="C296" i="1"/>
  <c r="D296" i="1"/>
  <c r="E296" i="1"/>
  <c r="F296" i="1"/>
  <c r="G296" i="1"/>
  <c r="I296" i="1"/>
  <c r="J296" i="1"/>
  <c r="K296" i="1"/>
  <c r="I297" i="1"/>
  <c r="J297" i="1"/>
  <c r="K297" i="1"/>
  <c r="O297" i="1"/>
  <c r="G298" i="1"/>
  <c r="I298" i="1"/>
  <c r="J298" i="1"/>
  <c r="K298" i="1"/>
  <c r="O298" i="1"/>
  <c r="G299" i="1"/>
  <c r="I299" i="1"/>
  <c r="J299" i="1"/>
  <c r="K299" i="1"/>
  <c r="O299" i="1"/>
  <c r="G300" i="1"/>
  <c r="I300" i="1"/>
  <c r="J300" i="1"/>
  <c r="K300" i="1"/>
  <c r="O300" i="1"/>
  <c r="C301" i="1"/>
  <c r="D301" i="1"/>
  <c r="E301" i="1"/>
  <c r="F301" i="1"/>
  <c r="G301" i="1"/>
  <c r="I301" i="1"/>
  <c r="J301" i="1"/>
  <c r="K301" i="1"/>
  <c r="I302" i="1"/>
  <c r="J302" i="1"/>
  <c r="K302" i="1"/>
  <c r="O302" i="1"/>
  <c r="G303" i="1"/>
  <c r="I303" i="1"/>
  <c r="J303" i="1"/>
  <c r="K303" i="1"/>
  <c r="O303" i="1"/>
  <c r="G304" i="1"/>
  <c r="I304" i="1"/>
  <c r="J304" i="1"/>
  <c r="K304" i="1"/>
  <c r="O304" i="1"/>
  <c r="G305" i="1"/>
  <c r="I305" i="1"/>
  <c r="J305" i="1"/>
  <c r="K305" i="1"/>
  <c r="O305" i="1"/>
  <c r="C306" i="1"/>
  <c r="D306" i="1"/>
  <c r="E306" i="1"/>
  <c r="F306" i="1"/>
  <c r="G306" i="1"/>
  <c r="I306" i="1"/>
  <c r="J306" i="1"/>
  <c r="K306" i="1"/>
  <c r="I307" i="1"/>
  <c r="J307" i="1"/>
  <c r="K307" i="1"/>
  <c r="O307" i="1"/>
  <c r="G308" i="1"/>
  <c r="I308" i="1"/>
  <c r="J308" i="1"/>
  <c r="K308" i="1"/>
  <c r="O308" i="1"/>
  <c r="G309" i="1"/>
  <c r="I309" i="1"/>
  <c r="J309" i="1"/>
  <c r="K309" i="1"/>
  <c r="O309" i="1"/>
  <c r="G310" i="1"/>
  <c r="I310" i="1"/>
  <c r="J310" i="1"/>
  <c r="K310" i="1"/>
  <c r="O310" i="1"/>
  <c r="G311" i="1"/>
  <c r="I311" i="1"/>
  <c r="J311" i="1"/>
  <c r="K311" i="1"/>
  <c r="O311" i="1"/>
  <c r="C312" i="1"/>
  <c r="D312" i="1"/>
  <c r="E312" i="1"/>
  <c r="F312" i="1"/>
  <c r="G312" i="1"/>
  <c r="I312" i="1"/>
  <c r="J312" i="1"/>
  <c r="K312" i="1"/>
  <c r="I313" i="1"/>
  <c r="J313" i="1"/>
  <c r="K313" i="1"/>
  <c r="O313" i="1"/>
  <c r="G314" i="1"/>
  <c r="I314" i="1"/>
  <c r="J314" i="1"/>
  <c r="K314" i="1"/>
  <c r="O314" i="1"/>
  <c r="G315" i="1"/>
  <c r="I315" i="1"/>
  <c r="J315" i="1"/>
  <c r="K315" i="1"/>
  <c r="O315" i="1"/>
  <c r="G316" i="1"/>
  <c r="I316" i="1"/>
  <c r="J316" i="1"/>
  <c r="K316" i="1"/>
  <c r="O316" i="1"/>
  <c r="G317" i="1"/>
  <c r="I317" i="1"/>
  <c r="J317" i="1"/>
  <c r="K317" i="1"/>
  <c r="O317" i="1"/>
  <c r="C318" i="1"/>
  <c r="D318" i="1"/>
  <c r="E318" i="1"/>
  <c r="F318" i="1"/>
  <c r="G318" i="1"/>
  <c r="I318" i="1"/>
  <c r="J318" i="1"/>
  <c r="K318" i="1"/>
  <c r="I319" i="1"/>
  <c r="J319" i="1"/>
  <c r="K319" i="1"/>
  <c r="O319" i="1"/>
  <c r="G320" i="1"/>
  <c r="I320" i="1"/>
  <c r="J320" i="1"/>
  <c r="K320" i="1"/>
  <c r="O320" i="1"/>
  <c r="G321" i="1"/>
  <c r="I321" i="1"/>
  <c r="J321" i="1"/>
  <c r="K321" i="1"/>
  <c r="O321" i="1"/>
  <c r="G322" i="1"/>
  <c r="I322" i="1"/>
  <c r="J322" i="1"/>
  <c r="K322" i="1"/>
  <c r="O322" i="1"/>
  <c r="G323" i="1"/>
  <c r="I323" i="1"/>
  <c r="J323" i="1"/>
  <c r="K323" i="1"/>
  <c r="O323" i="1"/>
  <c r="C324" i="1"/>
  <c r="D324" i="1"/>
  <c r="E324" i="1"/>
  <c r="F324" i="1"/>
  <c r="G324" i="1"/>
  <c r="I324" i="1"/>
  <c r="J324" i="1"/>
  <c r="K324" i="1"/>
  <c r="I325" i="1"/>
  <c r="J325" i="1"/>
  <c r="K325" i="1"/>
  <c r="O325" i="1"/>
  <c r="G326" i="1"/>
  <c r="I326" i="1"/>
  <c r="J326" i="1"/>
  <c r="K326" i="1"/>
  <c r="O326" i="1"/>
  <c r="G327" i="1"/>
  <c r="I327" i="1"/>
  <c r="J327" i="1"/>
  <c r="K327" i="1"/>
  <c r="O327" i="1"/>
  <c r="C329" i="1"/>
  <c r="D329" i="1"/>
  <c r="E329" i="1"/>
  <c r="F329" i="1"/>
  <c r="G329" i="1"/>
  <c r="I329" i="1"/>
  <c r="J329" i="1"/>
  <c r="K329" i="1"/>
  <c r="I330" i="1"/>
  <c r="J330" i="1"/>
  <c r="K330" i="1"/>
  <c r="O330" i="1"/>
  <c r="G331" i="1"/>
  <c r="I331" i="1"/>
  <c r="J331" i="1"/>
  <c r="K331" i="1"/>
  <c r="O331" i="1"/>
  <c r="G332" i="1"/>
  <c r="I332" i="1"/>
  <c r="J332" i="1"/>
  <c r="K332" i="1"/>
  <c r="O332" i="1"/>
  <c r="C333" i="1"/>
  <c r="D333" i="1"/>
  <c r="E333" i="1"/>
  <c r="F333" i="1"/>
  <c r="G333" i="1"/>
  <c r="I333" i="1"/>
  <c r="J333" i="1"/>
  <c r="K333" i="1"/>
  <c r="I334" i="1"/>
  <c r="J334" i="1"/>
  <c r="K334" i="1"/>
  <c r="O334" i="1"/>
  <c r="G335" i="1"/>
  <c r="I335" i="1"/>
  <c r="J335" i="1"/>
  <c r="K335" i="1"/>
  <c r="O335" i="1"/>
  <c r="G336" i="1"/>
  <c r="I336" i="1"/>
  <c r="J336" i="1"/>
  <c r="K336" i="1"/>
  <c r="O336" i="1"/>
  <c r="G337" i="1"/>
  <c r="I337" i="1"/>
  <c r="J337" i="1"/>
  <c r="K337" i="1"/>
  <c r="O337" i="1"/>
  <c r="G338" i="1"/>
  <c r="I338" i="1"/>
  <c r="J338" i="1"/>
  <c r="K338" i="1"/>
  <c r="O338" i="1"/>
  <c r="C339" i="1"/>
  <c r="D339" i="1"/>
  <c r="E339" i="1"/>
  <c r="F339" i="1"/>
  <c r="G339" i="1"/>
  <c r="I339" i="1"/>
  <c r="J339" i="1"/>
  <c r="K339" i="1"/>
  <c r="I340" i="1"/>
  <c r="J340" i="1"/>
  <c r="K340" i="1"/>
  <c r="G341" i="1"/>
  <c r="I341" i="1"/>
  <c r="J341" i="1"/>
  <c r="K341" i="1"/>
  <c r="G342" i="1"/>
  <c r="I342" i="1"/>
  <c r="J342" i="1"/>
  <c r="K342" i="1"/>
  <c r="G343" i="1"/>
  <c r="I343" i="1"/>
  <c r="J343" i="1"/>
  <c r="K343" i="1"/>
  <c r="G344" i="1"/>
  <c r="I344" i="1"/>
  <c r="J344" i="1"/>
  <c r="K344" i="1"/>
  <c r="C345" i="1"/>
  <c r="D345" i="1"/>
  <c r="E345" i="1"/>
  <c r="F345" i="1"/>
  <c r="G345" i="1"/>
  <c r="I345" i="1"/>
  <c r="J345" i="1"/>
  <c r="K345" i="1"/>
  <c r="I346" i="1"/>
  <c r="J346" i="1"/>
  <c r="K346" i="1"/>
  <c r="O346" i="1"/>
  <c r="G347" i="1"/>
  <c r="I347" i="1"/>
  <c r="J347" i="1"/>
  <c r="K347" i="1"/>
  <c r="O347" i="1"/>
  <c r="G348" i="1"/>
  <c r="I348" i="1"/>
  <c r="J348" i="1"/>
  <c r="K348" i="1"/>
  <c r="O348" i="1"/>
  <c r="G349" i="1"/>
  <c r="I349" i="1"/>
  <c r="J349" i="1"/>
  <c r="K349" i="1"/>
  <c r="O349" i="1"/>
  <c r="C350" i="1"/>
  <c r="D350" i="1"/>
  <c r="E350" i="1"/>
  <c r="F350" i="1"/>
  <c r="G350" i="1"/>
  <c r="I350" i="1"/>
  <c r="J350" i="1"/>
  <c r="K350" i="1"/>
  <c r="I351" i="1"/>
  <c r="J351" i="1"/>
  <c r="K351" i="1"/>
  <c r="O351" i="1"/>
  <c r="G352" i="1"/>
  <c r="I352" i="1"/>
  <c r="J352" i="1"/>
  <c r="K352" i="1"/>
  <c r="O352" i="1"/>
  <c r="G353" i="1"/>
  <c r="I353" i="1"/>
  <c r="J353" i="1"/>
  <c r="K353" i="1"/>
  <c r="O353" i="1"/>
  <c r="G354" i="1"/>
  <c r="I354" i="1"/>
  <c r="J354" i="1"/>
  <c r="K354" i="1"/>
  <c r="O354" i="1"/>
  <c r="C355" i="1"/>
  <c r="D355" i="1"/>
  <c r="E355" i="1"/>
  <c r="F355" i="1"/>
  <c r="G355" i="1"/>
  <c r="I355" i="1"/>
  <c r="J355" i="1"/>
  <c r="K355" i="1"/>
  <c r="I356" i="1"/>
  <c r="J356" i="1"/>
  <c r="K356" i="1"/>
  <c r="O356" i="1"/>
  <c r="G357" i="1"/>
  <c r="I357" i="1"/>
  <c r="J357" i="1"/>
  <c r="K357" i="1"/>
  <c r="O357" i="1"/>
  <c r="G358" i="1"/>
  <c r="I358" i="1"/>
  <c r="J358" i="1"/>
  <c r="K358" i="1"/>
  <c r="O358" i="1"/>
  <c r="G359" i="1"/>
  <c r="I359" i="1"/>
  <c r="J359" i="1"/>
  <c r="K359" i="1"/>
  <c r="O359" i="1"/>
  <c r="C360" i="1"/>
  <c r="D360" i="1"/>
  <c r="E360" i="1"/>
  <c r="F360" i="1"/>
  <c r="G360" i="1"/>
  <c r="I360" i="1"/>
  <c r="J360" i="1"/>
  <c r="K360" i="1"/>
  <c r="I361" i="1"/>
  <c r="J361" i="1"/>
  <c r="K361" i="1"/>
  <c r="O361" i="1"/>
  <c r="G362" i="1"/>
  <c r="I362" i="1"/>
  <c r="J362" i="1"/>
  <c r="K362" i="1"/>
  <c r="O362" i="1"/>
  <c r="G363" i="1"/>
  <c r="I363" i="1"/>
  <c r="J363" i="1"/>
  <c r="K363" i="1"/>
  <c r="O363" i="1"/>
  <c r="G364" i="1"/>
  <c r="I364" i="1"/>
  <c r="J364" i="1"/>
  <c r="K364" i="1"/>
  <c r="O364" i="1"/>
  <c r="C365" i="1"/>
  <c r="D365" i="1"/>
  <c r="E365" i="1"/>
  <c r="F365" i="1"/>
  <c r="G365" i="1"/>
  <c r="I365" i="1"/>
  <c r="J365" i="1"/>
  <c r="K365" i="1"/>
  <c r="I366" i="1"/>
  <c r="J366" i="1"/>
  <c r="K366" i="1"/>
  <c r="O366" i="1"/>
  <c r="G367" i="1"/>
  <c r="I367" i="1"/>
  <c r="J367" i="1"/>
  <c r="K367" i="1"/>
  <c r="O367" i="1"/>
  <c r="G368" i="1"/>
  <c r="I368" i="1"/>
  <c r="J368" i="1"/>
  <c r="K368" i="1"/>
  <c r="O368" i="1"/>
  <c r="G369" i="1"/>
  <c r="I369" i="1"/>
  <c r="J369" i="1"/>
  <c r="K369" i="1"/>
  <c r="O369" i="1"/>
  <c r="C370" i="1"/>
  <c r="D370" i="1"/>
  <c r="E370" i="1"/>
  <c r="F370" i="1"/>
  <c r="G370" i="1"/>
  <c r="I370" i="1"/>
  <c r="J370" i="1"/>
  <c r="K370" i="1"/>
  <c r="I371" i="1"/>
  <c r="J371" i="1"/>
  <c r="K371" i="1"/>
  <c r="O371" i="1"/>
  <c r="G372" i="1"/>
  <c r="I372" i="1"/>
  <c r="J372" i="1"/>
  <c r="K372" i="1"/>
  <c r="O372" i="1"/>
  <c r="G373" i="1"/>
  <c r="I373" i="1"/>
  <c r="J373" i="1"/>
  <c r="K373" i="1"/>
  <c r="O373" i="1"/>
  <c r="G374" i="1"/>
  <c r="I374" i="1"/>
  <c r="J374" i="1"/>
  <c r="K374" i="1"/>
  <c r="O374" i="1"/>
  <c r="C375" i="1"/>
  <c r="D375" i="1"/>
  <c r="E375" i="1"/>
  <c r="F375" i="1"/>
  <c r="G375" i="1"/>
  <c r="I375" i="1"/>
  <c r="J375" i="1"/>
  <c r="K375" i="1"/>
  <c r="C376" i="1"/>
  <c r="D376" i="1"/>
  <c r="E376" i="1"/>
  <c r="F376" i="1"/>
  <c r="G376" i="1"/>
  <c r="I376" i="1"/>
  <c r="J376" i="1"/>
  <c r="K376" i="1"/>
  <c r="I377" i="1"/>
  <c r="J377" i="1"/>
  <c r="K377" i="1"/>
  <c r="O377" i="1"/>
  <c r="G378" i="1"/>
  <c r="I378" i="1"/>
  <c r="J378" i="1"/>
  <c r="K378" i="1"/>
  <c r="O378" i="1"/>
  <c r="G379" i="1"/>
  <c r="I379" i="1"/>
  <c r="J379" i="1"/>
  <c r="K379" i="1"/>
  <c r="O379" i="1"/>
  <c r="G380" i="1"/>
  <c r="I380" i="1"/>
  <c r="J380" i="1"/>
  <c r="K380" i="1"/>
  <c r="O380" i="1"/>
  <c r="C381" i="1"/>
  <c r="D381" i="1"/>
  <c r="E381" i="1"/>
  <c r="F381" i="1"/>
  <c r="G381" i="1"/>
  <c r="I381" i="1"/>
  <c r="J381" i="1"/>
  <c r="K381" i="1"/>
  <c r="I382" i="1"/>
  <c r="J382" i="1"/>
  <c r="K382" i="1"/>
  <c r="O382" i="1"/>
  <c r="G383" i="1"/>
  <c r="I383" i="1"/>
  <c r="J383" i="1"/>
  <c r="K383" i="1"/>
  <c r="O383" i="1"/>
  <c r="G384" i="1"/>
  <c r="I384" i="1"/>
  <c r="J384" i="1"/>
  <c r="K384" i="1"/>
  <c r="O384" i="1"/>
  <c r="G385" i="1"/>
  <c r="I385" i="1"/>
  <c r="J385" i="1"/>
  <c r="K385" i="1"/>
  <c r="O385" i="1"/>
  <c r="C386" i="1"/>
  <c r="D386" i="1"/>
  <c r="E386" i="1"/>
  <c r="F386" i="1"/>
  <c r="G386" i="1"/>
  <c r="I386" i="1"/>
  <c r="J386" i="1"/>
  <c r="K386" i="1"/>
  <c r="I387" i="1"/>
  <c r="J387" i="1"/>
  <c r="K387" i="1"/>
  <c r="O387" i="1"/>
  <c r="G388" i="1"/>
  <c r="I388" i="1"/>
  <c r="J388" i="1"/>
  <c r="K388" i="1"/>
  <c r="O388" i="1"/>
  <c r="G389" i="1"/>
  <c r="I389" i="1"/>
  <c r="J389" i="1"/>
  <c r="K389" i="1"/>
  <c r="O389" i="1"/>
  <c r="G390" i="1"/>
  <c r="I390" i="1"/>
  <c r="J390" i="1"/>
  <c r="K390" i="1"/>
  <c r="O390" i="1"/>
  <c r="G391" i="1"/>
  <c r="I391" i="1"/>
  <c r="J391" i="1"/>
  <c r="K391" i="1"/>
  <c r="O391" i="1"/>
  <c r="C392" i="1"/>
  <c r="D392" i="1"/>
  <c r="E392" i="1"/>
  <c r="F392" i="1"/>
  <c r="G392" i="1"/>
  <c r="I392" i="1"/>
  <c r="J392" i="1"/>
  <c r="K392" i="1"/>
  <c r="I393" i="1"/>
  <c r="J393" i="1"/>
  <c r="K393" i="1"/>
  <c r="O393" i="1"/>
  <c r="G394" i="1"/>
  <c r="I394" i="1"/>
  <c r="J394" i="1"/>
  <c r="K394" i="1"/>
  <c r="O394" i="1"/>
  <c r="G395" i="1"/>
  <c r="I395" i="1"/>
  <c r="J395" i="1"/>
  <c r="K395" i="1"/>
  <c r="O395" i="1"/>
  <c r="G396" i="1"/>
  <c r="I396" i="1"/>
  <c r="J396" i="1"/>
  <c r="K396" i="1"/>
  <c r="O396" i="1"/>
  <c r="C397" i="1"/>
  <c r="D397" i="1"/>
  <c r="E397" i="1"/>
  <c r="F397" i="1"/>
  <c r="G397" i="1"/>
  <c r="I397" i="1"/>
  <c r="J397" i="1"/>
  <c r="K397" i="1"/>
  <c r="I398" i="1"/>
  <c r="J398" i="1"/>
  <c r="K398" i="1"/>
  <c r="O398" i="1"/>
  <c r="G399" i="1"/>
  <c r="I399" i="1"/>
  <c r="J399" i="1"/>
  <c r="K399" i="1"/>
  <c r="O399" i="1"/>
  <c r="G400" i="1"/>
  <c r="I400" i="1"/>
  <c r="J400" i="1"/>
  <c r="K400" i="1"/>
  <c r="O400" i="1"/>
  <c r="C401" i="1"/>
  <c r="D401" i="1"/>
  <c r="E401" i="1"/>
  <c r="F401" i="1"/>
  <c r="G401" i="1"/>
  <c r="I401" i="1"/>
  <c r="J401" i="1"/>
  <c r="K401" i="1"/>
  <c r="I402" i="1"/>
  <c r="J402" i="1"/>
  <c r="K402" i="1"/>
  <c r="O402" i="1"/>
  <c r="G403" i="1"/>
  <c r="I403" i="1"/>
  <c r="J403" i="1"/>
  <c r="K403" i="1"/>
  <c r="O403" i="1"/>
  <c r="C404" i="1"/>
  <c r="D404" i="1"/>
  <c r="E404" i="1"/>
  <c r="F404" i="1"/>
  <c r="G404" i="1"/>
  <c r="I404" i="1"/>
  <c r="J404" i="1"/>
  <c r="K404" i="1"/>
  <c r="I405" i="1"/>
  <c r="J405" i="1"/>
  <c r="K405" i="1"/>
  <c r="O405" i="1"/>
  <c r="G406" i="1"/>
  <c r="I406" i="1"/>
  <c r="J406" i="1"/>
  <c r="K406" i="1"/>
  <c r="O406" i="1"/>
  <c r="G407" i="1"/>
  <c r="I407" i="1"/>
  <c r="J407" i="1"/>
  <c r="K407" i="1"/>
  <c r="O407" i="1"/>
  <c r="G408" i="1"/>
  <c r="I408" i="1"/>
  <c r="J408" i="1"/>
  <c r="K408" i="1"/>
  <c r="O408" i="1"/>
  <c r="G409" i="1"/>
  <c r="I409" i="1"/>
  <c r="J409" i="1"/>
  <c r="K409" i="1"/>
  <c r="O409" i="1"/>
  <c r="G410" i="1"/>
  <c r="I410" i="1"/>
  <c r="J410" i="1"/>
  <c r="K410" i="1"/>
  <c r="O410" i="1"/>
  <c r="G411" i="1"/>
  <c r="I411" i="1"/>
  <c r="J411" i="1"/>
  <c r="K411" i="1"/>
  <c r="O411" i="1"/>
  <c r="C412" i="1"/>
  <c r="D412" i="1"/>
  <c r="E412" i="1"/>
  <c r="F412" i="1"/>
  <c r="G412" i="1"/>
  <c r="I412" i="1"/>
  <c r="J412" i="1"/>
  <c r="K412" i="1"/>
  <c r="I413" i="1"/>
  <c r="J413" i="1"/>
  <c r="K413" i="1"/>
  <c r="O413" i="1"/>
  <c r="G414" i="1"/>
  <c r="I414" i="1"/>
  <c r="J414" i="1"/>
  <c r="K414" i="1"/>
  <c r="O414" i="1"/>
  <c r="G415" i="1"/>
  <c r="I415" i="1"/>
  <c r="J415" i="1"/>
  <c r="K415" i="1"/>
  <c r="O415" i="1"/>
  <c r="G416" i="1"/>
  <c r="I416" i="1"/>
  <c r="J416" i="1"/>
  <c r="K416" i="1"/>
  <c r="O416" i="1"/>
  <c r="F417" i="1"/>
  <c r="G417" i="1"/>
  <c r="I417" i="1"/>
  <c r="J417" i="1"/>
  <c r="K417" i="1"/>
  <c r="O417" i="1"/>
  <c r="C418" i="1"/>
  <c r="D418" i="1"/>
  <c r="E418" i="1"/>
  <c r="F418" i="1"/>
  <c r="G418" i="1"/>
  <c r="I418" i="1"/>
  <c r="J418" i="1"/>
  <c r="K418" i="1"/>
  <c r="I419" i="1"/>
  <c r="J419" i="1"/>
  <c r="K419" i="1"/>
  <c r="O419" i="1"/>
  <c r="G420" i="1"/>
  <c r="I420" i="1"/>
  <c r="J420" i="1"/>
  <c r="K420" i="1"/>
  <c r="O420" i="1"/>
  <c r="G421" i="1"/>
  <c r="I421" i="1"/>
  <c r="J421" i="1"/>
  <c r="K421" i="1"/>
  <c r="O421" i="1"/>
  <c r="C422" i="1"/>
  <c r="D422" i="1"/>
  <c r="E422" i="1"/>
  <c r="F422" i="1"/>
  <c r="G422" i="1"/>
  <c r="I422" i="1"/>
  <c r="J422" i="1"/>
  <c r="K422" i="1"/>
  <c r="I423" i="1"/>
  <c r="J423" i="1"/>
  <c r="K423" i="1"/>
  <c r="O423" i="1"/>
  <c r="G424" i="1"/>
  <c r="I424" i="1"/>
  <c r="J424" i="1"/>
  <c r="K424" i="1"/>
  <c r="O424" i="1"/>
  <c r="G425" i="1"/>
  <c r="I425" i="1"/>
  <c r="J425" i="1"/>
  <c r="K425" i="1"/>
  <c r="O425" i="1"/>
  <c r="G426" i="1"/>
  <c r="I426" i="1"/>
  <c r="J426" i="1"/>
  <c r="K426" i="1"/>
  <c r="O426" i="1"/>
  <c r="C427" i="1"/>
  <c r="D427" i="1"/>
  <c r="E427" i="1"/>
  <c r="F427" i="1"/>
  <c r="G427" i="1"/>
  <c r="I427" i="1"/>
  <c r="J427" i="1"/>
  <c r="K427" i="1"/>
  <c r="I428" i="1"/>
  <c r="J428" i="1"/>
  <c r="K428" i="1"/>
  <c r="O428" i="1"/>
  <c r="G429" i="1"/>
  <c r="I429" i="1"/>
  <c r="J429" i="1"/>
  <c r="K429" i="1"/>
  <c r="O429" i="1"/>
  <c r="G430" i="1"/>
  <c r="I430" i="1"/>
  <c r="J430" i="1"/>
  <c r="K430" i="1"/>
  <c r="O430" i="1"/>
  <c r="G431" i="1"/>
  <c r="I431" i="1"/>
  <c r="J431" i="1"/>
  <c r="K431" i="1"/>
  <c r="O431" i="1"/>
  <c r="C432" i="1"/>
  <c r="D432" i="1"/>
  <c r="E432" i="1"/>
  <c r="F432" i="1"/>
  <c r="G432" i="1"/>
  <c r="I432" i="1"/>
  <c r="J432" i="1"/>
  <c r="K432" i="1"/>
  <c r="I433" i="1"/>
  <c r="J433" i="1"/>
  <c r="K433" i="1"/>
  <c r="O433" i="1"/>
  <c r="G434" i="1"/>
  <c r="I434" i="1"/>
  <c r="J434" i="1"/>
  <c r="K434" i="1"/>
  <c r="O434" i="1"/>
  <c r="G435" i="1"/>
  <c r="I435" i="1"/>
  <c r="J435" i="1"/>
  <c r="K435" i="1"/>
  <c r="O435" i="1"/>
  <c r="C436" i="1"/>
  <c r="D436" i="1"/>
  <c r="E436" i="1"/>
  <c r="F436" i="1"/>
  <c r="G436" i="1"/>
  <c r="I436" i="1"/>
  <c r="J436" i="1"/>
  <c r="K436" i="1"/>
  <c r="I437" i="1"/>
  <c r="J437" i="1"/>
  <c r="K437" i="1"/>
  <c r="O437" i="1"/>
  <c r="G438" i="1"/>
  <c r="I438" i="1"/>
  <c r="J438" i="1"/>
  <c r="K438" i="1"/>
  <c r="O438" i="1"/>
  <c r="G439" i="1"/>
  <c r="I439" i="1"/>
  <c r="J439" i="1"/>
  <c r="K439" i="1"/>
  <c r="O439" i="1"/>
  <c r="G440" i="1"/>
  <c r="I440" i="1"/>
  <c r="J440" i="1"/>
  <c r="K440" i="1"/>
  <c r="O440" i="1"/>
  <c r="G441" i="1"/>
  <c r="I441" i="1"/>
  <c r="J441" i="1"/>
  <c r="K441" i="1"/>
  <c r="O441" i="1"/>
  <c r="G442" i="1"/>
  <c r="I442" i="1"/>
  <c r="J442" i="1"/>
  <c r="K442" i="1"/>
  <c r="O442" i="1"/>
  <c r="G443" i="1"/>
  <c r="I443" i="1"/>
  <c r="J443" i="1"/>
  <c r="K443" i="1"/>
  <c r="O443" i="1"/>
  <c r="C444" i="1"/>
  <c r="D444" i="1"/>
  <c r="E444" i="1"/>
  <c r="F444" i="1"/>
  <c r="G444" i="1"/>
  <c r="I444" i="1"/>
  <c r="J444" i="1"/>
  <c r="K444" i="1"/>
  <c r="I445" i="1"/>
  <c r="J445" i="1"/>
  <c r="K445" i="1"/>
  <c r="O445" i="1"/>
  <c r="G446" i="1"/>
  <c r="I446" i="1"/>
  <c r="J446" i="1"/>
  <c r="K446" i="1"/>
  <c r="O446" i="1"/>
  <c r="G447" i="1"/>
  <c r="I447" i="1"/>
  <c r="J447" i="1"/>
  <c r="K447" i="1"/>
  <c r="O447" i="1"/>
  <c r="G448" i="1"/>
  <c r="I448" i="1"/>
  <c r="J448" i="1"/>
  <c r="K448" i="1"/>
  <c r="O448" i="1"/>
  <c r="G449" i="1"/>
  <c r="I449" i="1"/>
  <c r="J449" i="1"/>
  <c r="K449" i="1"/>
  <c r="O449" i="1"/>
  <c r="C450" i="1"/>
  <c r="D450" i="1"/>
  <c r="E450" i="1"/>
  <c r="F450" i="1"/>
  <c r="G450" i="1"/>
  <c r="I450" i="1"/>
  <c r="J450" i="1"/>
  <c r="K450" i="1"/>
  <c r="I451" i="1"/>
  <c r="J451" i="1"/>
  <c r="K451" i="1"/>
  <c r="O451" i="1"/>
  <c r="G452" i="1"/>
  <c r="I452" i="1"/>
  <c r="J452" i="1"/>
  <c r="K452" i="1"/>
  <c r="O452" i="1"/>
  <c r="G453" i="1"/>
  <c r="I453" i="1"/>
  <c r="J453" i="1"/>
  <c r="K453" i="1"/>
  <c r="O453" i="1"/>
  <c r="G454" i="1"/>
  <c r="I454" i="1"/>
  <c r="J454" i="1"/>
  <c r="K454" i="1"/>
  <c r="O454" i="1"/>
  <c r="C455" i="1"/>
  <c r="D455" i="1"/>
  <c r="E455" i="1"/>
  <c r="F455" i="1"/>
  <c r="G455" i="1"/>
  <c r="I455" i="1"/>
  <c r="J455" i="1"/>
  <c r="K455" i="1"/>
  <c r="I456" i="1"/>
  <c r="J456" i="1"/>
  <c r="K456" i="1"/>
  <c r="O456" i="1"/>
  <c r="G457" i="1"/>
  <c r="I457" i="1"/>
  <c r="J457" i="1"/>
  <c r="K457" i="1"/>
  <c r="O457" i="1"/>
  <c r="G458" i="1"/>
  <c r="I458" i="1"/>
  <c r="J458" i="1"/>
  <c r="K458" i="1"/>
  <c r="O458" i="1"/>
  <c r="G459" i="1"/>
  <c r="I459" i="1"/>
  <c r="J459" i="1"/>
  <c r="K459" i="1"/>
  <c r="O459" i="1"/>
  <c r="C461" i="1"/>
  <c r="D461" i="1"/>
  <c r="E461" i="1"/>
  <c r="F461" i="1"/>
  <c r="G461" i="1"/>
  <c r="I461" i="1"/>
  <c r="J461" i="1"/>
  <c r="K461" i="1"/>
  <c r="I462" i="1"/>
  <c r="J462" i="1"/>
  <c r="K462" i="1"/>
  <c r="O462" i="1"/>
  <c r="G463" i="1"/>
  <c r="I463" i="1"/>
  <c r="J463" i="1"/>
  <c r="K463" i="1"/>
  <c r="O463" i="1"/>
  <c r="C464" i="1"/>
  <c r="D464" i="1"/>
  <c r="E464" i="1"/>
  <c r="F464" i="1"/>
  <c r="G464" i="1"/>
  <c r="I464" i="1"/>
  <c r="J464" i="1"/>
  <c r="K464" i="1"/>
  <c r="I465" i="1"/>
  <c r="J465" i="1"/>
  <c r="K465" i="1"/>
  <c r="O465" i="1"/>
  <c r="G466" i="1"/>
  <c r="I466" i="1"/>
  <c r="J466" i="1"/>
  <c r="K466" i="1"/>
  <c r="O466" i="1"/>
  <c r="G467" i="1"/>
  <c r="I467" i="1"/>
  <c r="J467" i="1"/>
  <c r="K467" i="1"/>
  <c r="O467" i="1"/>
  <c r="G468" i="1"/>
  <c r="I468" i="1"/>
  <c r="J468" i="1"/>
  <c r="K468" i="1"/>
  <c r="O468" i="1"/>
  <c r="G469" i="1"/>
  <c r="I469" i="1"/>
  <c r="J469" i="1"/>
  <c r="K469" i="1"/>
  <c r="O469" i="1"/>
  <c r="C470" i="1"/>
  <c r="D470" i="1"/>
  <c r="E470" i="1"/>
  <c r="F470" i="1"/>
  <c r="G470" i="1"/>
  <c r="I470" i="1"/>
  <c r="J470" i="1"/>
  <c r="K470" i="1"/>
  <c r="I471" i="1"/>
  <c r="J471" i="1"/>
  <c r="K471" i="1"/>
  <c r="O471" i="1"/>
  <c r="G472" i="1"/>
  <c r="I472" i="1"/>
  <c r="J472" i="1"/>
  <c r="K472" i="1"/>
  <c r="O472" i="1"/>
  <c r="G473" i="1"/>
  <c r="I473" i="1"/>
  <c r="J473" i="1"/>
  <c r="K473" i="1"/>
  <c r="O473" i="1"/>
  <c r="G474" i="1"/>
  <c r="I474" i="1"/>
  <c r="J474" i="1"/>
  <c r="K474" i="1"/>
  <c r="O474" i="1"/>
  <c r="C475" i="1"/>
  <c r="D475" i="1"/>
  <c r="E475" i="1"/>
  <c r="F475" i="1"/>
  <c r="G475" i="1"/>
  <c r="I475" i="1"/>
  <c r="J475" i="1"/>
  <c r="K475" i="1"/>
  <c r="I476" i="1"/>
  <c r="J476" i="1"/>
  <c r="K476" i="1"/>
  <c r="O476" i="1"/>
  <c r="G477" i="1"/>
  <c r="I477" i="1"/>
  <c r="J477" i="1"/>
  <c r="K477" i="1"/>
  <c r="O477" i="1"/>
  <c r="G478" i="1"/>
  <c r="I478" i="1"/>
  <c r="J478" i="1"/>
  <c r="K478" i="1"/>
  <c r="O478" i="1"/>
  <c r="G479" i="1"/>
  <c r="I479" i="1"/>
  <c r="J479" i="1"/>
  <c r="K479" i="1"/>
  <c r="O479" i="1"/>
  <c r="G480" i="1"/>
  <c r="I480" i="1"/>
  <c r="J480" i="1"/>
  <c r="K480" i="1"/>
  <c r="O480" i="1"/>
  <c r="G481" i="1"/>
  <c r="I481" i="1"/>
  <c r="J481" i="1"/>
  <c r="K481" i="1"/>
  <c r="O481" i="1"/>
  <c r="C482" i="1"/>
  <c r="D482" i="1"/>
  <c r="E482" i="1"/>
  <c r="F482" i="1"/>
  <c r="G482" i="1"/>
  <c r="I482" i="1"/>
  <c r="J482" i="1"/>
  <c r="K482" i="1"/>
  <c r="I483" i="1"/>
  <c r="J483" i="1"/>
  <c r="K483" i="1"/>
  <c r="O483" i="1"/>
  <c r="G484" i="1"/>
  <c r="I484" i="1"/>
  <c r="J484" i="1"/>
  <c r="K484" i="1"/>
  <c r="O484" i="1"/>
  <c r="G485" i="1"/>
  <c r="I485" i="1"/>
  <c r="J485" i="1"/>
  <c r="K485" i="1"/>
  <c r="O485" i="1"/>
  <c r="G486" i="1"/>
  <c r="I486" i="1"/>
  <c r="J486" i="1"/>
  <c r="K486" i="1"/>
  <c r="O486" i="1"/>
  <c r="C487" i="1"/>
  <c r="D487" i="1"/>
  <c r="E487" i="1"/>
  <c r="F487" i="1"/>
  <c r="G487" i="1"/>
  <c r="I487" i="1"/>
  <c r="J487" i="1"/>
  <c r="K487" i="1"/>
  <c r="I488" i="1"/>
  <c r="J488" i="1"/>
  <c r="K488" i="1"/>
  <c r="O488" i="1"/>
  <c r="G489" i="1"/>
  <c r="I489" i="1"/>
  <c r="J489" i="1"/>
  <c r="K489" i="1"/>
  <c r="O489" i="1"/>
  <c r="G490" i="1"/>
  <c r="I490" i="1"/>
  <c r="J490" i="1"/>
  <c r="K490" i="1"/>
  <c r="O490" i="1"/>
  <c r="G491" i="1"/>
  <c r="I491" i="1"/>
  <c r="J491" i="1"/>
  <c r="K491" i="1"/>
  <c r="O491" i="1"/>
  <c r="C492" i="1"/>
  <c r="D492" i="1"/>
  <c r="E492" i="1"/>
  <c r="F492" i="1"/>
  <c r="G492" i="1"/>
  <c r="I492" i="1"/>
  <c r="J492" i="1"/>
  <c r="K492" i="1"/>
  <c r="I493" i="1"/>
  <c r="J493" i="1"/>
  <c r="K493" i="1"/>
  <c r="O493" i="1"/>
  <c r="C494" i="1"/>
  <c r="D494" i="1"/>
  <c r="E494" i="1"/>
  <c r="F494" i="1"/>
  <c r="I494" i="1"/>
  <c r="J494" i="1"/>
  <c r="K494" i="1"/>
  <c r="I495" i="1"/>
  <c r="J495" i="1"/>
  <c r="K495" i="1"/>
  <c r="O495" i="1"/>
  <c r="G496" i="1"/>
  <c r="I496" i="1"/>
  <c r="J496" i="1"/>
  <c r="K496" i="1"/>
  <c r="O496" i="1"/>
  <c r="G497" i="1"/>
  <c r="I497" i="1"/>
  <c r="J497" i="1"/>
  <c r="K497" i="1"/>
  <c r="O497" i="1"/>
  <c r="G498" i="1"/>
  <c r="I498" i="1"/>
  <c r="J498" i="1"/>
  <c r="K498" i="1"/>
  <c r="O498" i="1"/>
  <c r="C499" i="1"/>
  <c r="D499" i="1"/>
  <c r="E499" i="1"/>
  <c r="F499" i="1"/>
  <c r="G499" i="1"/>
  <c r="I499" i="1"/>
  <c r="J499" i="1"/>
  <c r="K499" i="1"/>
  <c r="I500" i="1"/>
  <c r="J500" i="1"/>
  <c r="K500" i="1"/>
  <c r="O500" i="1"/>
  <c r="G501" i="1"/>
  <c r="I501" i="1"/>
  <c r="J501" i="1"/>
  <c r="K501" i="1"/>
  <c r="O501" i="1"/>
  <c r="G502" i="1"/>
  <c r="I502" i="1"/>
  <c r="J502" i="1"/>
  <c r="K502" i="1"/>
  <c r="O502" i="1"/>
  <c r="C503" i="1"/>
  <c r="D503" i="1"/>
  <c r="E503" i="1"/>
  <c r="F503" i="1"/>
  <c r="G503" i="1"/>
  <c r="I503" i="1"/>
  <c r="J503" i="1"/>
  <c r="K503" i="1"/>
  <c r="I504" i="1"/>
  <c r="J504" i="1"/>
  <c r="K504" i="1"/>
  <c r="O504" i="1"/>
  <c r="G505" i="1"/>
  <c r="I505" i="1"/>
  <c r="J505" i="1"/>
  <c r="K505" i="1"/>
  <c r="O505" i="1"/>
  <c r="G506" i="1"/>
  <c r="I506" i="1"/>
  <c r="J506" i="1"/>
  <c r="K506" i="1"/>
  <c r="O506" i="1"/>
  <c r="C507" i="1"/>
  <c r="D507" i="1"/>
  <c r="E507" i="1"/>
  <c r="F507" i="1"/>
  <c r="G507" i="1"/>
  <c r="I507" i="1"/>
  <c r="J507" i="1"/>
  <c r="K507" i="1"/>
  <c r="I508" i="1"/>
  <c r="J508" i="1"/>
  <c r="K508" i="1"/>
  <c r="O508" i="1"/>
  <c r="G509" i="1"/>
  <c r="I509" i="1"/>
  <c r="J509" i="1"/>
  <c r="K509" i="1"/>
  <c r="O509" i="1"/>
  <c r="G510" i="1"/>
  <c r="I510" i="1"/>
  <c r="J510" i="1"/>
  <c r="K510" i="1"/>
  <c r="O510" i="1"/>
  <c r="G511" i="1"/>
  <c r="I511" i="1"/>
  <c r="J511" i="1"/>
  <c r="K511" i="1"/>
  <c r="O511" i="1"/>
  <c r="C512" i="1"/>
  <c r="D512" i="1"/>
  <c r="E512" i="1"/>
  <c r="F512" i="1"/>
  <c r="G512" i="1"/>
  <c r="I512" i="1"/>
  <c r="J512" i="1"/>
  <c r="K512" i="1"/>
  <c r="I513" i="1"/>
  <c r="J513" i="1"/>
  <c r="K513" i="1"/>
  <c r="O513" i="1"/>
  <c r="G514" i="1"/>
  <c r="I514" i="1"/>
  <c r="J514" i="1"/>
  <c r="K514" i="1"/>
  <c r="O514" i="1"/>
  <c r="G515" i="1"/>
  <c r="I515" i="1"/>
  <c r="J515" i="1"/>
  <c r="K515" i="1"/>
  <c r="O515" i="1"/>
  <c r="G516" i="1"/>
  <c r="I516" i="1"/>
  <c r="J516" i="1"/>
  <c r="K516" i="1"/>
  <c r="O516" i="1"/>
  <c r="C517" i="1"/>
  <c r="D517" i="1"/>
  <c r="E517" i="1"/>
  <c r="F517" i="1"/>
  <c r="G517" i="1"/>
  <c r="I517" i="1"/>
  <c r="J517" i="1"/>
  <c r="K517" i="1"/>
  <c r="I518" i="1"/>
  <c r="J518" i="1"/>
  <c r="K518" i="1"/>
  <c r="O518" i="1"/>
  <c r="G519" i="1"/>
  <c r="I519" i="1"/>
  <c r="J519" i="1"/>
  <c r="K519" i="1"/>
  <c r="O519" i="1"/>
  <c r="G520" i="1"/>
  <c r="I520" i="1"/>
  <c r="J520" i="1"/>
  <c r="K520" i="1"/>
  <c r="O520" i="1"/>
  <c r="G521" i="1"/>
  <c r="I521" i="1"/>
  <c r="J521" i="1"/>
  <c r="K521" i="1"/>
  <c r="O521" i="1"/>
  <c r="C522" i="1"/>
  <c r="D522" i="1"/>
  <c r="E522" i="1"/>
  <c r="F522" i="1"/>
  <c r="G522" i="1"/>
  <c r="I522" i="1"/>
  <c r="J522" i="1"/>
  <c r="K522" i="1"/>
  <c r="I523" i="1"/>
  <c r="J523" i="1"/>
  <c r="K523" i="1"/>
  <c r="O523" i="1"/>
  <c r="G524" i="1"/>
  <c r="I524" i="1"/>
  <c r="J524" i="1"/>
  <c r="K524" i="1"/>
  <c r="O524" i="1"/>
  <c r="G525" i="1"/>
  <c r="I525" i="1"/>
  <c r="J525" i="1"/>
  <c r="K525" i="1"/>
  <c r="O525" i="1"/>
  <c r="G526" i="1"/>
  <c r="I526" i="1"/>
  <c r="J526" i="1"/>
  <c r="K526" i="1"/>
  <c r="O526" i="1"/>
  <c r="C527" i="1"/>
  <c r="D527" i="1"/>
  <c r="E527" i="1"/>
  <c r="F527" i="1"/>
  <c r="G527" i="1"/>
  <c r="I527" i="1"/>
  <c r="J527" i="1"/>
  <c r="K527" i="1"/>
  <c r="I528" i="1"/>
  <c r="J528" i="1"/>
  <c r="K528" i="1"/>
  <c r="O528" i="1"/>
  <c r="G529" i="1"/>
  <c r="I529" i="1"/>
  <c r="J529" i="1"/>
  <c r="K529" i="1"/>
  <c r="O529" i="1"/>
  <c r="G530" i="1"/>
  <c r="I530" i="1"/>
  <c r="J530" i="1"/>
  <c r="K530" i="1"/>
  <c r="O530" i="1"/>
  <c r="C532" i="1"/>
  <c r="D532" i="1"/>
  <c r="E532" i="1"/>
  <c r="F532" i="1"/>
  <c r="G532" i="1"/>
  <c r="I532" i="1"/>
  <c r="J532" i="1"/>
  <c r="K532" i="1"/>
  <c r="I533" i="1"/>
  <c r="J533" i="1"/>
  <c r="K533" i="1"/>
  <c r="O533" i="1"/>
  <c r="G534" i="1"/>
  <c r="I534" i="1"/>
  <c r="J534" i="1"/>
  <c r="K534" i="1"/>
  <c r="O534" i="1"/>
  <c r="G535" i="1"/>
  <c r="I535" i="1"/>
  <c r="J535" i="1"/>
  <c r="K535" i="1"/>
  <c r="O535" i="1"/>
  <c r="C536" i="1"/>
  <c r="D536" i="1"/>
  <c r="E536" i="1"/>
  <c r="F536" i="1"/>
  <c r="G536" i="1"/>
  <c r="I536" i="1"/>
  <c r="J536" i="1"/>
  <c r="K536" i="1"/>
  <c r="I537" i="1"/>
  <c r="J537" i="1"/>
  <c r="K537" i="1"/>
  <c r="O537" i="1"/>
  <c r="G538" i="1"/>
  <c r="I538" i="1"/>
  <c r="J538" i="1"/>
  <c r="K538" i="1"/>
  <c r="O538" i="1"/>
  <c r="G539" i="1"/>
  <c r="I539" i="1"/>
  <c r="J539" i="1"/>
  <c r="K539" i="1"/>
  <c r="O539" i="1"/>
  <c r="C540" i="1"/>
  <c r="D540" i="1"/>
  <c r="E540" i="1"/>
  <c r="F540" i="1"/>
  <c r="G540" i="1"/>
  <c r="I540" i="1"/>
  <c r="J540" i="1"/>
  <c r="K540" i="1"/>
  <c r="I541" i="1"/>
  <c r="J541" i="1"/>
  <c r="K541" i="1"/>
  <c r="O541" i="1"/>
  <c r="G542" i="1"/>
  <c r="I542" i="1"/>
  <c r="J542" i="1"/>
  <c r="K542" i="1"/>
  <c r="O542" i="1"/>
  <c r="G543" i="1"/>
  <c r="I543" i="1"/>
  <c r="J543" i="1"/>
  <c r="K543" i="1"/>
  <c r="O543" i="1"/>
  <c r="G544" i="1"/>
  <c r="I544" i="1"/>
  <c r="J544" i="1"/>
  <c r="K544" i="1"/>
  <c r="O544" i="1"/>
  <c r="C545" i="1"/>
  <c r="D545" i="1"/>
  <c r="E545" i="1"/>
  <c r="F545" i="1"/>
  <c r="G545" i="1"/>
  <c r="I545" i="1"/>
  <c r="J545" i="1"/>
  <c r="K545" i="1"/>
  <c r="I546" i="1"/>
  <c r="J546" i="1"/>
  <c r="K546" i="1"/>
  <c r="O546" i="1"/>
  <c r="G547" i="1"/>
  <c r="I547" i="1"/>
  <c r="J547" i="1"/>
  <c r="K547" i="1"/>
  <c r="O547" i="1"/>
  <c r="G548" i="1"/>
  <c r="I548" i="1"/>
  <c r="J548" i="1"/>
  <c r="K548" i="1"/>
  <c r="O548" i="1"/>
  <c r="C549" i="1"/>
  <c r="D549" i="1"/>
  <c r="E549" i="1"/>
  <c r="F549" i="1"/>
  <c r="G549" i="1"/>
  <c r="I549" i="1"/>
  <c r="J549" i="1"/>
  <c r="K549" i="1"/>
  <c r="I550" i="1"/>
  <c r="J550" i="1"/>
  <c r="K550" i="1"/>
  <c r="O550" i="1"/>
  <c r="G551" i="1"/>
  <c r="I551" i="1"/>
  <c r="J551" i="1"/>
  <c r="K551" i="1"/>
  <c r="O551" i="1"/>
  <c r="G552" i="1"/>
  <c r="I552" i="1"/>
  <c r="J552" i="1"/>
  <c r="K552" i="1"/>
  <c r="O552" i="1"/>
  <c r="C553" i="1"/>
  <c r="D553" i="1"/>
  <c r="E553" i="1"/>
  <c r="F553" i="1"/>
  <c r="G553" i="1"/>
  <c r="I553" i="1"/>
  <c r="J553" i="1"/>
  <c r="K553" i="1"/>
  <c r="I554" i="1"/>
  <c r="J554" i="1"/>
  <c r="K554" i="1"/>
  <c r="O554" i="1"/>
  <c r="G555" i="1"/>
  <c r="I555" i="1"/>
  <c r="J555" i="1"/>
  <c r="K555" i="1"/>
  <c r="O555" i="1"/>
  <c r="G556" i="1"/>
  <c r="I556" i="1"/>
  <c r="J556" i="1"/>
  <c r="K556" i="1"/>
  <c r="O556" i="1"/>
  <c r="G557" i="1"/>
  <c r="I557" i="1"/>
  <c r="J557" i="1"/>
  <c r="K557" i="1"/>
  <c r="O557" i="1"/>
  <c r="C558" i="1"/>
  <c r="D558" i="1"/>
  <c r="E558" i="1"/>
  <c r="F558" i="1"/>
  <c r="G558" i="1"/>
  <c r="I558" i="1"/>
  <c r="J558" i="1"/>
  <c r="K558" i="1"/>
  <c r="I559" i="1"/>
  <c r="J559" i="1"/>
  <c r="K559" i="1"/>
  <c r="O559" i="1"/>
  <c r="G560" i="1"/>
  <c r="I560" i="1"/>
  <c r="J560" i="1"/>
  <c r="K560" i="1"/>
  <c r="O560" i="1"/>
  <c r="G561" i="1"/>
  <c r="I561" i="1"/>
  <c r="J561" i="1"/>
  <c r="K561" i="1"/>
  <c r="O561" i="1"/>
  <c r="G562" i="1"/>
  <c r="I562" i="1"/>
  <c r="J562" i="1"/>
  <c r="K562" i="1"/>
  <c r="O562" i="1"/>
  <c r="C563" i="1"/>
  <c r="D563" i="1"/>
  <c r="E563" i="1"/>
  <c r="F563" i="1"/>
  <c r="G563" i="1"/>
  <c r="I563" i="1"/>
  <c r="J563" i="1"/>
  <c r="K563" i="1"/>
  <c r="I564" i="1"/>
  <c r="J564" i="1"/>
  <c r="K564" i="1"/>
  <c r="O564" i="1"/>
  <c r="G565" i="1"/>
  <c r="I565" i="1"/>
  <c r="J565" i="1"/>
  <c r="K565" i="1"/>
  <c r="O565" i="1"/>
  <c r="G566" i="1"/>
  <c r="I566" i="1"/>
  <c r="J566" i="1"/>
  <c r="K566" i="1"/>
  <c r="O566" i="1"/>
  <c r="G567" i="1"/>
  <c r="I567" i="1"/>
  <c r="J567" i="1"/>
  <c r="K567" i="1"/>
  <c r="O567" i="1"/>
  <c r="C568" i="1"/>
  <c r="D568" i="1"/>
  <c r="E568" i="1"/>
  <c r="F568" i="1"/>
  <c r="G568" i="1"/>
  <c r="I568" i="1"/>
  <c r="J568" i="1"/>
  <c r="K568" i="1"/>
  <c r="I569" i="1"/>
  <c r="J569" i="1"/>
  <c r="K569" i="1"/>
  <c r="O569" i="1"/>
  <c r="G570" i="1"/>
  <c r="I570" i="1"/>
  <c r="J570" i="1"/>
  <c r="K570" i="1"/>
  <c r="O570" i="1"/>
  <c r="G571" i="1"/>
  <c r="I571" i="1"/>
  <c r="J571" i="1"/>
  <c r="K571" i="1"/>
  <c r="O571" i="1"/>
  <c r="C572" i="1"/>
  <c r="D572" i="1"/>
  <c r="E572" i="1"/>
  <c r="F572" i="1"/>
  <c r="G572" i="1"/>
  <c r="I572" i="1"/>
  <c r="J572" i="1"/>
  <c r="K572" i="1"/>
  <c r="I573" i="1"/>
  <c r="J573" i="1"/>
  <c r="K573" i="1"/>
  <c r="O573" i="1"/>
  <c r="G574" i="1"/>
  <c r="I574" i="1"/>
  <c r="J574" i="1"/>
  <c r="K574" i="1"/>
  <c r="O574" i="1"/>
  <c r="G575" i="1"/>
  <c r="I575" i="1"/>
  <c r="J575" i="1"/>
  <c r="K575" i="1"/>
  <c r="O575" i="1"/>
  <c r="C576" i="1"/>
  <c r="D576" i="1"/>
  <c r="E576" i="1"/>
  <c r="F576" i="1"/>
  <c r="G576" i="1"/>
  <c r="I576" i="1"/>
  <c r="J576" i="1"/>
  <c r="K576" i="1"/>
  <c r="I577" i="1"/>
  <c r="J577" i="1"/>
  <c r="K577" i="1"/>
  <c r="O577" i="1"/>
  <c r="G578" i="1"/>
  <c r="I578" i="1"/>
  <c r="J578" i="1"/>
  <c r="K578" i="1"/>
  <c r="O578" i="1"/>
  <c r="C580" i="1"/>
  <c r="D580" i="1"/>
  <c r="E580" i="1"/>
  <c r="F580" i="1"/>
  <c r="G580" i="1"/>
  <c r="I580" i="1"/>
  <c r="J580" i="1"/>
  <c r="K580" i="1"/>
  <c r="G581" i="1"/>
  <c r="I581" i="1"/>
  <c r="J581" i="1"/>
  <c r="K581" i="1"/>
  <c r="O581" i="1"/>
  <c r="I583" i="1"/>
  <c r="J583" i="1"/>
  <c r="K583" i="1"/>
  <c r="O583" i="1"/>
  <c r="C584" i="1"/>
  <c r="D584" i="1"/>
  <c r="E584" i="1"/>
  <c r="F584" i="1"/>
  <c r="G584" i="1"/>
  <c r="I584" i="1"/>
  <c r="J584" i="1"/>
  <c r="K584" i="1"/>
  <c r="I585" i="1"/>
  <c r="J585" i="1"/>
  <c r="K585" i="1"/>
  <c r="O585" i="1"/>
  <c r="G586" i="1"/>
  <c r="I586" i="1"/>
  <c r="J586" i="1"/>
  <c r="K586" i="1"/>
  <c r="O586" i="1"/>
  <c r="G587" i="1"/>
  <c r="I587" i="1"/>
  <c r="J587" i="1"/>
  <c r="K587" i="1"/>
  <c r="O587" i="1"/>
  <c r="C588" i="1"/>
  <c r="D588" i="1"/>
  <c r="E588" i="1"/>
  <c r="F588" i="1"/>
  <c r="G588" i="1"/>
  <c r="I588" i="1"/>
  <c r="J588" i="1"/>
  <c r="K588" i="1"/>
  <c r="I589" i="1"/>
  <c r="J589" i="1"/>
  <c r="K589" i="1"/>
  <c r="G590" i="1"/>
  <c r="I590" i="1"/>
  <c r="J590" i="1"/>
  <c r="K590" i="1"/>
  <c r="G591" i="1"/>
  <c r="I591" i="1"/>
  <c r="J591" i="1"/>
  <c r="K591" i="1"/>
  <c r="G592" i="1"/>
  <c r="I592" i="1"/>
  <c r="J592" i="1"/>
  <c r="K592" i="1"/>
  <c r="G593" i="1"/>
  <c r="I593" i="1"/>
  <c r="J593" i="1"/>
  <c r="K593" i="1"/>
  <c r="C594" i="1"/>
  <c r="D594" i="1"/>
  <c r="E594" i="1"/>
  <c r="F594" i="1"/>
  <c r="I594" i="1"/>
  <c r="J594" i="1"/>
  <c r="K594" i="1"/>
  <c r="I595" i="1"/>
  <c r="J595" i="1"/>
  <c r="K595" i="1"/>
  <c r="O595" i="1"/>
  <c r="G596" i="1"/>
  <c r="I596" i="1"/>
  <c r="J596" i="1"/>
  <c r="K596" i="1"/>
  <c r="O596" i="1"/>
  <c r="G597" i="1"/>
  <c r="I597" i="1"/>
  <c r="J597" i="1"/>
  <c r="K597" i="1"/>
  <c r="O597" i="1"/>
  <c r="C598" i="1"/>
  <c r="D598" i="1"/>
  <c r="E598" i="1"/>
  <c r="F598" i="1"/>
  <c r="G598" i="1"/>
  <c r="I598" i="1"/>
  <c r="J598" i="1"/>
  <c r="K598" i="1"/>
  <c r="I599" i="1"/>
  <c r="J599" i="1"/>
  <c r="K599" i="1"/>
  <c r="O599" i="1"/>
  <c r="C600" i="1"/>
  <c r="D600" i="1"/>
  <c r="E600" i="1"/>
  <c r="F600" i="1"/>
  <c r="G600" i="1"/>
  <c r="I600" i="1"/>
  <c r="J600" i="1"/>
  <c r="K600" i="1"/>
  <c r="I601" i="1"/>
  <c r="J601" i="1"/>
  <c r="K601" i="1"/>
  <c r="O601" i="1"/>
  <c r="G602" i="1"/>
  <c r="I602" i="1"/>
  <c r="J602" i="1"/>
  <c r="K602" i="1"/>
  <c r="O602" i="1"/>
  <c r="G603" i="1"/>
  <c r="I603" i="1"/>
  <c r="J603" i="1"/>
  <c r="K603" i="1"/>
  <c r="O603" i="1"/>
  <c r="C604" i="1"/>
  <c r="D604" i="1"/>
  <c r="E604" i="1"/>
  <c r="F604" i="1"/>
  <c r="G604" i="1"/>
  <c r="I604" i="1"/>
  <c r="J604" i="1"/>
  <c r="K604" i="1"/>
  <c r="C605" i="1"/>
  <c r="D605" i="1"/>
  <c r="E605" i="1"/>
  <c r="F605" i="1"/>
  <c r="I605" i="1"/>
  <c r="J605" i="1"/>
  <c r="K605" i="1"/>
  <c r="D609" i="1"/>
  <c r="E609" i="1"/>
  <c r="F609" i="1"/>
  <c r="G609" i="1"/>
  <c r="I609" i="1"/>
  <c r="J609" i="1"/>
  <c r="K609" i="1"/>
  <c r="I610" i="1"/>
  <c r="J610" i="1"/>
  <c r="K610" i="1"/>
  <c r="O610" i="1"/>
  <c r="G611" i="1"/>
  <c r="I611" i="1"/>
  <c r="J611" i="1"/>
  <c r="K611" i="1"/>
  <c r="O611" i="1"/>
  <c r="C612" i="1"/>
  <c r="D612" i="1"/>
  <c r="E612" i="1"/>
  <c r="F612" i="1"/>
  <c r="I612" i="1"/>
  <c r="J612" i="1"/>
  <c r="K612" i="1"/>
  <c r="C614" i="1"/>
  <c r="D614" i="1"/>
  <c r="E614" i="1"/>
  <c r="F614" i="1"/>
  <c r="G614" i="1"/>
  <c r="I614" i="1"/>
  <c r="J614" i="1"/>
  <c r="K614" i="1"/>
  <c r="I615" i="1"/>
  <c r="J615" i="1"/>
  <c r="K615" i="1"/>
  <c r="O615" i="1"/>
  <c r="G616" i="1"/>
  <c r="I616" i="1"/>
  <c r="J616" i="1"/>
  <c r="K616" i="1"/>
  <c r="O616" i="1"/>
  <c r="G617" i="1"/>
  <c r="I617" i="1"/>
  <c r="J617" i="1"/>
  <c r="K617" i="1"/>
  <c r="O617" i="1"/>
  <c r="C618" i="1"/>
  <c r="D618" i="1"/>
  <c r="E618" i="1"/>
  <c r="F618" i="1"/>
  <c r="I618" i="1"/>
  <c r="J618" i="1"/>
  <c r="K618" i="1"/>
  <c r="I619" i="1"/>
  <c r="J619" i="1"/>
  <c r="K619" i="1"/>
  <c r="O619" i="1"/>
  <c r="G620" i="1"/>
  <c r="G621" i="1"/>
  <c r="I621" i="1"/>
  <c r="J621" i="1"/>
  <c r="K621" i="1"/>
  <c r="O621" i="1"/>
  <c r="C623" i="1"/>
  <c r="D623" i="1"/>
  <c r="E623" i="1"/>
  <c r="F623" i="1"/>
  <c r="G623" i="1"/>
  <c r="I623" i="1"/>
  <c r="J623" i="1"/>
  <c r="K623" i="1"/>
  <c r="G624" i="1"/>
  <c r="I624" i="1"/>
  <c r="J624" i="1"/>
  <c r="K624" i="1"/>
  <c r="O624" i="1"/>
  <c r="C625" i="1"/>
  <c r="D625" i="1"/>
  <c r="E625" i="1"/>
  <c r="F625" i="1"/>
  <c r="G625" i="1"/>
  <c r="I625" i="1"/>
  <c r="J625" i="1"/>
  <c r="K625" i="1"/>
  <c r="I626" i="1"/>
  <c r="J626" i="1"/>
  <c r="K626" i="1"/>
  <c r="O626" i="1"/>
  <c r="G627" i="1"/>
  <c r="I627" i="1"/>
  <c r="J627" i="1"/>
  <c r="K627" i="1"/>
  <c r="O627" i="1"/>
  <c r="G628" i="1"/>
  <c r="I628" i="1"/>
  <c r="J628" i="1"/>
  <c r="K628" i="1"/>
  <c r="O628" i="1"/>
  <c r="G629" i="1"/>
  <c r="I629" i="1"/>
  <c r="J629" i="1"/>
  <c r="K629" i="1"/>
  <c r="O629" i="1"/>
  <c r="C630" i="1"/>
  <c r="D630" i="1"/>
  <c r="E630" i="1"/>
  <c r="F630" i="1"/>
  <c r="I630" i="1"/>
  <c r="J630" i="1"/>
  <c r="K630" i="1"/>
  <c r="I631" i="1"/>
  <c r="J631" i="1"/>
  <c r="K631" i="1"/>
  <c r="O631" i="1"/>
  <c r="C634" i="1"/>
  <c r="D634" i="1"/>
  <c r="E634" i="1"/>
  <c r="F634" i="1"/>
  <c r="I634" i="1"/>
  <c r="J634" i="1"/>
  <c r="K634" i="1"/>
  <c r="I635" i="1"/>
  <c r="J635" i="1"/>
  <c r="K635" i="1"/>
  <c r="O635" i="1"/>
  <c r="G636" i="1"/>
  <c r="I636" i="1"/>
  <c r="J636" i="1"/>
  <c r="K636" i="1"/>
  <c r="O636" i="1"/>
  <c r="C637" i="1"/>
  <c r="D637" i="1"/>
  <c r="E637" i="1"/>
  <c r="F637" i="1"/>
  <c r="I637" i="1"/>
  <c r="J637" i="1"/>
  <c r="K637" i="1"/>
  <c r="I638" i="1"/>
  <c r="J638" i="1"/>
  <c r="K638" i="1"/>
  <c r="O638" i="1"/>
  <c r="G639" i="1"/>
  <c r="I639" i="1"/>
  <c r="J639" i="1"/>
  <c r="K639" i="1"/>
  <c r="O639" i="1"/>
  <c r="G640" i="1"/>
  <c r="I640" i="1"/>
  <c r="J640" i="1"/>
  <c r="K640" i="1"/>
  <c r="O640" i="1"/>
  <c r="C642" i="1"/>
  <c r="D642" i="1"/>
  <c r="E642" i="1"/>
  <c r="F642" i="1"/>
  <c r="G642" i="1"/>
  <c r="I642" i="1"/>
  <c r="J642" i="1"/>
  <c r="K642" i="1"/>
  <c r="C643" i="1"/>
  <c r="D643" i="1"/>
  <c r="E643" i="1"/>
  <c r="F643" i="1"/>
  <c r="I643" i="1"/>
  <c r="J643" i="1"/>
  <c r="K643" i="1"/>
  <c r="I644" i="1"/>
  <c r="J644" i="1"/>
  <c r="K644" i="1"/>
  <c r="O644" i="1"/>
  <c r="C647" i="1"/>
  <c r="D647" i="1"/>
  <c r="E647" i="1"/>
  <c r="F647" i="1"/>
  <c r="I647" i="1"/>
  <c r="J647" i="1"/>
  <c r="K647" i="1"/>
  <c r="C650" i="1"/>
  <c r="D650" i="1"/>
  <c r="E650" i="1"/>
  <c r="F650" i="1"/>
  <c r="G650" i="1"/>
  <c r="I650" i="1"/>
  <c r="J650" i="1"/>
  <c r="K650" i="1"/>
  <c r="C651" i="1"/>
  <c r="D651" i="1"/>
  <c r="E651" i="1"/>
  <c r="F651" i="1"/>
  <c r="I651" i="1"/>
  <c r="J651" i="1"/>
  <c r="K651" i="1"/>
  <c r="G652" i="1"/>
  <c r="I652" i="1"/>
  <c r="J652" i="1"/>
  <c r="K652" i="1"/>
  <c r="O652" i="1"/>
  <c r="C653" i="1"/>
  <c r="D653" i="1"/>
  <c r="E653" i="1"/>
  <c r="F653" i="1"/>
  <c r="G653" i="1"/>
  <c r="I653" i="1"/>
  <c r="J653" i="1"/>
  <c r="K653" i="1"/>
  <c r="C654" i="1"/>
  <c r="D654" i="1"/>
  <c r="E654" i="1"/>
  <c r="F654" i="1"/>
  <c r="G654" i="1"/>
  <c r="I654" i="1"/>
  <c r="J654" i="1"/>
  <c r="K654" i="1"/>
  <c r="E655" i="1"/>
  <c r="F655" i="1"/>
  <c r="I655" i="1"/>
  <c r="J655" i="1"/>
  <c r="K655" i="1"/>
  <c r="E659" i="1"/>
  <c r="F659" i="1"/>
  <c r="I659" i="1"/>
  <c r="J659" i="1"/>
  <c r="K659" i="1"/>
  <c r="C662" i="1"/>
  <c r="D662" i="1"/>
  <c r="E662" i="1"/>
  <c r="F662" i="1"/>
  <c r="I662" i="1"/>
  <c r="J662" i="1"/>
  <c r="K662" i="1"/>
  <c r="C665" i="1"/>
  <c r="D665" i="1"/>
  <c r="E665" i="1"/>
  <c r="F665" i="1"/>
  <c r="G665" i="1"/>
  <c r="I665" i="1"/>
  <c r="J665" i="1"/>
  <c r="K665" i="1"/>
  <c r="C666" i="1"/>
  <c r="D666" i="1"/>
  <c r="E666" i="1"/>
  <c r="F666" i="1"/>
  <c r="G666" i="1"/>
  <c r="I666" i="1"/>
  <c r="J666" i="1"/>
  <c r="K666" i="1"/>
  <c r="C667" i="1"/>
  <c r="E667" i="1"/>
  <c r="F667" i="1"/>
  <c r="I667" i="1"/>
  <c r="J667" i="1"/>
  <c r="K667" i="1"/>
  <c r="C670" i="1"/>
  <c r="D670" i="1"/>
  <c r="E670" i="1"/>
  <c r="F670" i="1"/>
  <c r="G670" i="1"/>
  <c r="I670" i="1"/>
  <c r="J670" i="1"/>
  <c r="K670" i="1"/>
  <c r="C671" i="1"/>
  <c r="D671" i="1"/>
  <c r="E671" i="1"/>
  <c r="F671" i="1"/>
  <c r="G671" i="1"/>
  <c r="I671" i="1"/>
  <c r="J671" i="1"/>
  <c r="K671" i="1"/>
  <c r="C672" i="1"/>
  <c r="D672" i="1"/>
  <c r="E672" i="1"/>
  <c r="F672" i="1"/>
  <c r="G672" i="1"/>
  <c r="I672" i="1"/>
  <c r="J672" i="1"/>
  <c r="K672" i="1"/>
  <c r="C673" i="1"/>
  <c r="D673" i="1"/>
  <c r="E673" i="1"/>
  <c r="F673" i="1"/>
  <c r="G673" i="1"/>
  <c r="I673" i="1"/>
  <c r="J673" i="1"/>
  <c r="K673" i="1"/>
  <c r="D674" i="1"/>
  <c r="E674" i="1"/>
  <c r="I674" i="1"/>
  <c r="J674" i="1"/>
  <c r="K674" i="1"/>
  <c r="O674" i="1"/>
  <c r="D675" i="1"/>
  <c r="E675" i="1"/>
  <c r="I675" i="1"/>
  <c r="J675" i="1"/>
  <c r="K675" i="1"/>
  <c r="C678" i="1"/>
  <c r="D678" i="1"/>
  <c r="E678" i="1"/>
  <c r="F678" i="1"/>
  <c r="G678" i="1"/>
  <c r="I678" i="1"/>
  <c r="J678" i="1"/>
  <c r="K678" i="1"/>
  <c r="I679" i="1"/>
  <c r="J679" i="1"/>
  <c r="K679" i="1"/>
  <c r="G680" i="1"/>
  <c r="I680" i="1"/>
  <c r="J680" i="1"/>
  <c r="K680" i="1"/>
  <c r="G681" i="1"/>
  <c r="I681" i="1"/>
  <c r="J681" i="1"/>
  <c r="K681" i="1"/>
  <c r="G682" i="1"/>
  <c r="I682" i="1"/>
  <c r="J682" i="1"/>
  <c r="K682" i="1"/>
  <c r="C683" i="1"/>
  <c r="D683" i="1"/>
  <c r="E683" i="1"/>
  <c r="F683" i="1"/>
  <c r="G683" i="1"/>
  <c r="I683" i="1"/>
  <c r="J683" i="1"/>
  <c r="K683" i="1"/>
  <c r="C688" i="1"/>
  <c r="D688" i="1"/>
  <c r="E688" i="1"/>
  <c r="F688" i="1"/>
  <c r="G688" i="1"/>
  <c r="I688" i="1"/>
  <c r="J688" i="1"/>
  <c r="K688" i="1"/>
  <c r="C692" i="1"/>
  <c r="D692" i="1"/>
  <c r="E692" i="1"/>
  <c r="F692" i="1"/>
  <c r="I692" i="1"/>
  <c r="J692" i="1"/>
  <c r="K692" i="1"/>
  <c r="C696" i="1"/>
  <c r="D696" i="1"/>
  <c r="E696" i="1"/>
  <c r="F696" i="1"/>
  <c r="I696" i="1"/>
  <c r="J696" i="1"/>
  <c r="K696" i="1"/>
  <c r="C699" i="1"/>
  <c r="D699" i="1"/>
  <c r="E699" i="1"/>
  <c r="F699" i="1"/>
  <c r="I699" i="1"/>
  <c r="J699" i="1"/>
  <c r="K699" i="1"/>
  <c r="C703" i="1"/>
  <c r="D703" i="1"/>
  <c r="E703" i="1"/>
  <c r="F703" i="1"/>
  <c r="G703" i="1"/>
  <c r="I703" i="1"/>
  <c r="J703" i="1"/>
  <c r="K703" i="1"/>
  <c r="I704" i="1"/>
  <c r="J704" i="1"/>
  <c r="K704" i="1"/>
  <c r="O704" i="1"/>
  <c r="G705" i="1"/>
  <c r="I705" i="1"/>
  <c r="J705" i="1"/>
  <c r="K705" i="1"/>
  <c r="O705" i="1"/>
  <c r="G706" i="1"/>
  <c r="I706" i="1"/>
  <c r="J706" i="1"/>
  <c r="K706" i="1"/>
  <c r="O706" i="1"/>
  <c r="C707" i="1"/>
  <c r="D707" i="1"/>
  <c r="E707" i="1"/>
  <c r="F707" i="1"/>
  <c r="G707" i="1"/>
  <c r="I707" i="1"/>
  <c r="J707" i="1"/>
  <c r="K707" i="1"/>
  <c r="C708" i="1"/>
  <c r="I708" i="1"/>
  <c r="J708" i="1"/>
  <c r="K708" i="1"/>
  <c r="O708" i="1"/>
  <c r="G709" i="1"/>
  <c r="I709" i="1"/>
  <c r="J709" i="1"/>
  <c r="K709" i="1"/>
  <c r="O709" i="1"/>
  <c r="G710" i="1"/>
  <c r="I710" i="1"/>
  <c r="J710" i="1"/>
  <c r="K710" i="1"/>
  <c r="O710" i="1"/>
  <c r="G711" i="1"/>
  <c r="I711" i="1"/>
  <c r="J711" i="1"/>
  <c r="K711" i="1"/>
  <c r="O711" i="1"/>
  <c r="C712" i="1"/>
  <c r="D712" i="1"/>
  <c r="E712" i="1"/>
  <c r="F712" i="1"/>
  <c r="G712" i="1"/>
  <c r="I712" i="1"/>
  <c r="J712" i="1"/>
  <c r="K712" i="1"/>
  <c r="I713" i="1"/>
  <c r="J713" i="1"/>
  <c r="K713" i="1"/>
  <c r="O713" i="1"/>
  <c r="G714" i="1"/>
  <c r="I714" i="1"/>
  <c r="J714" i="1"/>
  <c r="K714" i="1"/>
  <c r="O714" i="1"/>
  <c r="G715" i="1"/>
  <c r="I715" i="1"/>
  <c r="J715" i="1"/>
  <c r="K715" i="1"/>
  <c r="O715" i="1"/>
  <c r="G716" i="1"/>
  <c r="I716" i="1"/>
  <c r="J716" i="1"/>
  <c r="K716" i="1"/>
  <c r="O716" i="1"/>
  <c r="C717" i="1"/>
  <c r="D717" i="1"/>
  <c r="E717" i="1"/>
  <c r="F717" i="1"/>
  <c r="G717" i="1"/>
  <c r="I717" i="1"/>
  <c r="J717" i="1"/>
  <c r="K717" i="1"/>
  <c r="I718" i="1"/>
  <c r="J718" i="1"/>
  <c r="K718" i="1"/>
  <c r="O718" i="1"/>
  <c r="C719" i="1"/>
  <c r="D719" i="1"/>
  <c r="E719" i="1"/>
  <c r="F719" i="1"/>
  <c r="G719" i="1"/>
  <c r="I719" i="1"/>
  <c r="J719" i="1"/>
  <c r="K719" i="1"/>
  <c r="I720" i="1"/>
  <c r="J720" i="1"/>
  <c r="K720" i="1"/>
  <c r="O720" i="1"/>
  <c r="G721" i="1"/>
  <c r="I721" i="1"/>
  <c r="J721" i="1"/>
  <c r="K721" i="1"/>
  <c r="O721" i="1"/>
  <c r="C722" i="1"/>
  <c r="D722" i="1"/>
  <c r="E722" i="1"/>
  <c r="F722" i="1"/>
  <c r="G722" i="1"/>
  <c r="I722" i="1"/>
  <c r="J722" i="1"/>
  <c r="K722" i="1"/>
  <c r="I723" i="1"/>
  <c r="J723" i="1"/>
  <c r="K723" i="1"/>
  <c r="O723" i="1"/>
  <c r="G724" i="1"/>
  <c r="I724" i="1"/>
  <c r="J724" i="1"/>
  <c r="K724" i="1"/>
  <c r="O724" i="1"/>
  <c r="G725" i="1"/>
  <c r="I725" i="1"/>
  <c r="J725" i="1"/>
  <c r="K725" i="1"/>
  <c r="O725" i="1"/>
  <c r="G726" i="1"/>
  <c r="I726" i="1"/>
  <c r="J726" i="1"/>
  <c r="K726" i="1"/>
  <c r="O726" i="1"/>
  <c r="G727" i="1"/>
  <c r="I727" i="1"/>
  <c r="J727" i="1"/>
  <c r="K727" i="1"/>
  <c r="O727" i="1"/>
  <c r="G728" i="1"/>
  <c r="I728" i="1"/>
  <c r="J728" i="1"/>
  <c r="K728" i="1"/>
  <c r="O728" i="1"/>
  <c r="C729" i="1"/>
  <c r="D729" i="1"/>
  <c r="E729" i="1"/>
  <c r="F729" i="1"/>
  <c r="G729" i="1"/>
  <c r="I729" i="1"/>
  <c r="J729" i="1"/>
  <c r="K729" i="1"/>
  <c r="C730" i="1"/>
  <c r="I730" i="1"/>
  <c r="J730" i="1"/>
  <c r="K730" i="1"/>
  <c r="O730" i="1"/>
  <c r="G731" i="1"/>
  <c r="I731" i="1"/>
  <c r="J731" i="1"/>
  <c r="K731" i="1"/>
  <c r="O731" i="1"/>
  <c r="G732" i="1"/>
  <c r="I732" i="1"/>
  <c r="J732" i="1"/>
  <c r="K732" i="1"/>
  <c r="O732" i="1"/>
  <c r="C733" i="1"/>
  <c r="D733" i="1"/>
  <c r="E733" i="1"/>
  <c r="F733" i="1"/>
  <c r="G733" i="1"/>
  <c r="I733" i="1"/>
  <c r="J733" i="1"/>
  <c r="K733" i="1"/>
  <c r="I734" i="1"/>
  <c r="J734" i="1"/>
  <c r="K734" i="1"/>
  <c r="O734" i="1"/>
  <c r="G735" i="1"/>
  <c r="I735" i="1"/>
  <c r="J735" i="1"/>
  <c r="K735" i="1"/>
  <c r="O735" i="1"/>
  <c r="G736" i="1"/>
  <c r="I736" i="1"/>
  <c r="J736" i="1"/>
  <c r="K736" i="1"/>
  <c r="O736" i="1"/>
  <c r="C737" i="1"/>
  <c r="D737" i="1"/>
  <c r="E737" i="1"/>
  <c r="F737" i="1"/>
  <c r="G737" i="1"/>
  <c r="I737" i="1"/>
  <c r="J737" i="1"/>
  <c r="K737" i="1"/>
  <c r="C738" i="1"/>
  <c r="I738" i="1"/>
  <c r="J738" i="1"/>
  <c r="K738" i="1"/>
  <c r="O738" i="1"/>
  <c r="G739" i="1"/>
  <c r="I739" i="1"/>
  <c r="J739" i="1"/>
  <c r="K739" i="1"/>
  <c r="O739" i="1"/>
  <c r="G740" i="1"/>
  <c r="I740" i="1"/>
  <c r="J740" i="1"/>
  <c r="K740" i="1"/>
  <c r="O740" i="1"/>
  <c r="G741" i="1"/>
  <c r="I741" i="1"/>
  <c r="J741" i="1"/>
  <c r="K741" i="1"/>
  <c r="O741" i="1"/>
  <c r="C742" i="1"/>
  <c r="D742" i="1"/>
  <c r="E742" i="1"/>
  <c r="F742" i="1"/>
  <c r="G742" i="1"/>
  <c r="I742" i="1"/>
  <c r="J742" i="1"/>
  <c r="K742" i="1"/>
  <c r="I743" i="1"/>
  <c r="J743" i="1"/>
  <c r="K743" i="1"/>
  <c r="O743" i="1"/>
  <c r="G744" i="1"/>
  <c r="I744" i="1"/>
  <c r="J744" i="1"/>
  <c r="K744" i="1"/>
  <c r="O744" i="1"/>
  <c r="G745" i="1"/>
  <c r="I745" i="1"/>
  <c r="J745" i="1"/>
  <c r="K745" i="1"/>
  <c r="O745" i="1"/>
  <c r="G746" i="1"/>
  <c r="I746" i="1"/>
  <c r="J746" i="1"/>
  <c r="K746" i="1"/>
  <c r="O746" i="1"/>
  <c r="G747" i="1"/>
  <c r="I747" i="1"/>
  <c r="J747" i="1"/>
  <c r="K747" i="1"/>
  <c r="O747" i="1"/>
  <c r="G748" i="1"/>
  <c r="I748" i="1"/>
  <c r="J748" i="1"/>
  <c r="K748" i="1"/>
  <c r="O748" i="1"/>
  <c r="C749" i="1"/>
  <c r="D749" i="1"/>
  <c r="E749" i="1"/>
  <c r="F749" i="1"/>
  <c r="G749" i="1"/>
  <c r="I749" i="1"/>
  <c r="J749" i="1"/>
  <c r="K749" i="1"/>
  <c r="I750" i="1"/>
  <c r="J750" i="1"/>
  <c r="K750" i="1"/>
  <c r="O750" i="1"/>
  <c r="C751" i="1"/>
  <c r="D751" i="1"/>
  <c r="E751" i="1"/>
  <c r="F751" i="1"/>
  <c r="G751" i="1"/>
  <c r="I751" i="1"/>
  <c r="J751" i="1"/>
  <c r="K751" i="1"/>
  <c r="I752" i="1"/>
  <c r="J752" i="1"/>
  <c r="K752" i="1"/>
  <c r="O752" i="1"/>
  <c r="G753" i="1"/>
  <c r="I753" i="1"/>
  <c r="J753" i="1"/>
  <c r="K753" i="1"/>
  <c r="O753" i="1"/>
  <c r="G754" i="1"/>
  <c r="I754" i="1"/>
  <c r="J754" i="1"/>
  <c r="K754" i="1"/>
  <c r="O754" i="1"/>
  <c r="C755" i="1"/>
  <c r="D755" i="1"/>
  <c r="E755" i="1"/>
  <c r="F755" i="1"/>
  <c r="G755" i="1"/>
  <c r="I755" i="1"/>
  <c r="J755" i="1"/>
  <c r="K755" i="1"/>
  <c r="I756" i="1"/>
  <c r="J756" i="1"/>
  <c r="K756" i="1"/>
  <c r="O756" i="1"/>
  <c r="G757" i="1"/>
  <c r="I757" i="1"/>
  <c r="J757" i="1"/>
  <c r="K757" i="1"/>
  <c r="O757" i="1"/>
  <c r="G758" i="1"/>
  <c r="I758" i="1"/>
  <c r="J758" i="1"/>
  <c r="K758" i="1"/>
  <c r="O758" i="1"/>
  <c r="G759" i="1"/>
  <c r="I759" i="1"/>
  <c r="J759" i="1"/>
  <c r="K759" i="1"/>
  <c r="O759" i="1"/>
  <c r="C760" i="1"/>
  <c r="D760" i="1"/>
  <c r="E760" i="1"/>
  <c r="F760" i="1"/>
  <c r="G760" i="1"/>
  <c r="I760" i="1"/>
  <c r="J760" i="1"/>
  <c r="K760" i="1"/>
  <c r="I761" i="1"/>
  <c r="J761" i="1"/>
  <c r="K761" i="1"/>
  <c r="O761" i="1"/>
  <c r="C762" i="1"/>
  <c r="D762" i="1"/>
  <c r="E762" i="1"/>
  <c r="F762" i="1"/>
  <c r="G762" i="1"/>
  <c r="I762" i="1"/>
  <c r="J762" i="1"/>
  <c r="K762" i="1"/>
  <c r="I763" i="1"/>
  <c r="J763" i="1"/>
  <c r="K763" i="1"/>
  <c r="O763" i="1"/>
  <c r="G764" i="1"/>
  <c r="I764" i="1"/>
  <c r="J764" i="1"/>
  <c r="K764" i="1"/>
  <c r="O764" i="1"/>
  <c r="G765" i="1"/>
  <c r="I765" i="1"/>
  <c r="J765" i="1"/>
  <c r="K765" i="1"/>
  <c r="O765" i="1"/>
  <c r="C766" i="1"/>
  <c r="D766" i="1"/>
  <c r="E766" i="1"/>
  <c r="F766" i="1"/>
  <c r="G766" i="1"/>
  <c r="I766" i="1"/>
  <c r="J766" i="1"/>
  <c r="K766" i="1"/>
  <c r="I767" i="1"/>
  <c r="J767" i="1"/>
  <c r="K767" i="1"/>
  <c r="O767" i="1"/>
  <c r="G768" i="1"/>
  <c r="I768" i="1"/>
  <c r="J768" i="1"/>
  <c r="K768" i="1"/>
  <c r="O768" i="1"/>
  <c r="G769" i="1"/>
  <c r="I769" i="1"/>
  <c r="J769" i="1"/>
  <c r="K769" i="1"/>
  <c r="O769" i="1"/>
  <c r="G770" i="1"/>
  <c r="I770" i="1"/>
  <c r="J770" i="1"/>
  <c r="K770" i="1"/>
  <c r="O770" i="1"/>
  <c r="C771" i="1"/>
  <c r="D771" i="1"/>
  <c r="E771" i="1"/>
  <c r="F771" i="1"/>
  <c r="G771" i="1"/>
  <c r="I771" i="1"/>
  <c r="J771" i="1"/>
  <c r="K771" i="1"/>
  <c r="I772" i="1"/>
  <c r="J772" i="1"/>
  <c r="K772" i="1"/>
  <c r="O772" i="1"/>
  <c r="G773" i="1"/>
  <c r="I773" i="1"/>
  <c r="J773" i="1"/>
  <c r="K773" i="1"/>
  <c r="O773" i="1"/>
  <c r="G774" i="1"/>
  <c r="I774" i="1"/>
  <c r="J774" i="1"/>
  <c r="K774" i="1"/>
  <c r="O774" i="1"/>
  <c r="G775" i="1"/>
  <c r="I775" i="1"/>
  <c r="J775" i="1"/>
  <c r="K775" i="1"/>
  <c r="O775" i="1"/>
  <c r="G776" i="1"/>
  <c r="I776" i="1"/>
  <c r="J776" i="1"/>
  <c r="K776" i="1"/>
  <c r="O776" i="1"/>
  <c r="C777" i="1"/>
  <c r="D777" i="1"/>
  <c r="E777" i="1"/>
  <c r="F777" i="1"/>
  <c r="G777" i="1"/>
  <c r="I777" i="1"/>
  <c r="J777" i="1"/>
  <c r="K777" i="1"/>
  <c r="C778" i="1"/>
  <c r="I778" i="1"/>
  <c r="J778" i="1"/>
  <c r="K778" i="1"/>
  <c r="O778" i="1"/>
  <c r="G779" i="1"/>
  <c r="I779" i="1"/>
  <c r="J779" i="1"/>
  <c r="K779" i="1"/>
  <c r="O779" i="1"/>
  <c r="G780" i="1"/>
  <c r="I780" i="1"/>
  <c r="J780" i="1"/>
  <c r="K780" i="1"/>
  <c r="O780" i="1"/>
  <c r="G781" i="1"/>
  <c r="I781" i="1"/>
  <c r="J781" i="1"/>
  <c r="K781" i="1"/>
  <c r="O781" i="1"/>
  <c r="C782" i="1"/>
  <c r="D782" i="1"/>
  <c r="E782" i="1"/>
  <c r="F782" i="1"/>
  <c r="G782" i="1"/>
  <c r="I782" i="1"/>
  <c r="J782" i="1"/>
  <c r="K782" i="1"/>
  <c r="I783" i="1"/>
  <c r="J783" i="1"/>
  <c r="K783" i="1"/>
  <c r="O783" i="1"/>
  <c r="G784" i="1"/>
  <c r="I784" i="1"/>
  <c r="J784" i="1"/>
  <c r="K784" i="1"/>
  <c r="O784" i="1"/>
  <c r="C785" i="1"/>
  <c r="D785" i="1"/>
  <c r="E785" i="1"/>
  <c r="F785" i="1"/>
  <c r="G785" i="1"/>
  <c r="I785" i="1"/>
  <c r="J785" i="1"/>
  <c r="K785" i="1"/>
  <c r="I786" i="1"/>
  <c r="J786" i="1"/>
  <c r="K786" i="1"/>
  <c r="O786" i="1"/>
  <c r="G787" i="1"/>
  <c r="I787" i="1"/>
  <c r="J787" i="1"/>
  <c r="K787" i="1"/>
  <c r="O787" i="1"/>
  <c r="G788" i="1"/>
  <c r="I788" i="1"/>
  <c r="J788" i="1"/>
  <c r="K788" i="1"/>
  <c r="O788" i="1"/>
  <c r="G789" i="1"/>
  <c r="I789" i="1"/>
  <c r="J789" i="1"/>
  <c r="K789" i="1"/>
  <c r="O789" i="1"/>
  <c r="C790" i="1"/>
  <c r="D790" i="1"/>
  <c r="E790" i="1"/>
  <c r="F790" i="1"/>
  <c r="G790" i="1"/>
  <c r="I790" i="1"/>
  <c r="J790" i="1"/>
  <c r="K790" i="1"/>
  <c r="I791" i="1"/>
  <c r="J791" i="1"/>
  <c r="K791" i="1"/>
  <c r="O791" i="1"/>
  <c r="G792" i="1"/>
  <c r="I792" i="1"/>
  <c r="J792" i="1"/>
  <c r="K792" i="1"/>
  <c r="O792" i="1"/>
  <c r="G793" i="1"/>
  <c r="I793" i="1"/>
  <c r="J793" i="1"/>
  <c r="K793" i="1"/>
  <c r="O793" i="1"/>
  <c r="G794" i="1"/>
  <c r="I794" i="1"/>
  <c r="J794" i="1"/>
  <c r="K794" i="1"/>
  <c r="O794" i="1"/>
  <c r="G795" i="1"/>
  <c r="I795" i="1"/>
  <c r="J795" i="1"/>
  <c r="K795" i="1"/>
  <c r="O795" i="1"/>
  <c r="G796" i="1"/>
  <c r="I796" i="1"/>
  <c r="J796" i="1"/>
  <c r="K796" i="1"/>
  <c r="O796" i="1"/>
  <c r="C797" i="1"/>
  <c r="D797" i="1"/>
  <c r="E797" i="1"/>
  <c r="F797" i="1"/>
  <c r="G797" i="1"/>
  <c r="I797" i="1"/>
  <c r="J797" i="1"/>
  <c r="K797" i="1"/>
  <c r="I798" i="1"/>
  <c r="J798" i="1"/>
  <c r="K798" i="1"/>
  <c r="O798" i="1"/>
  <c r="G799" i="1"/>
  <c r="I799" i="1"/>
  <c r="J799" i="1"/>
  <c r="K799" i="1"/>
  <c r="O799" i="1"/>
  <c r="G800" i="1"/>
  <c r="I800" i="1"/>
  <c r="J800" i="1"/>
  <c r="K800" i="1"/>
  <c r="O800" i="1"/>
  <c r="C801" i="1"/>
  <c r="D801" i="1"/>
  <c r="E801" i="1"/>
  <c r="F801" i="1"/>
  <c r="G801" i="1"/>
  <c r="I801" i="1"/>
  <c r="J801" i="1"/>
  <c r="K801" i="1"/>
  <c r="I802" i="1"/>
  <c r="J802" i="1"/>
  <c r="K802" i="1"/>
  <c r="O802" i="1"/>
  <c r="G803" i="1"/>
  <c r="I803" i="1"/>
  <c r="J803" i="1"/>
  <c r="K803" i="1"/>
  <c r="O803" i="1"/>
  <c r="G804" i="1"/>
  <c r="I804" i="1"/>
  <c r="J804" i="1"/>
  <c r="K804" i="1"/>
  <c r="O804" i="1"/>
  <c r="G805" i="1"/>
  <c r="I805" i="1"/>
  <c r="J805" i="1"/>
  <c r="K805" i="1"/>
  <c r="O805" i="1"/>
  <c r="G806" i="1"/>
  <c r="I806" i="1"/>
  <c r="J806" i="1"/>
  <c r="K806" i="1"/>
  <c r="O806" i="1"/>
  <c r="C807" i="1"/>
  <c r="D807" i="1"/>
  <c r="E807" i="1"/>
  <c r="F807" i="1"/>
  <c r="G807" i="1"/>
  <c r="I807" i="1"/>
  <c r="J807" i="1"/>
  <c r="K807" i="1"/>
  <c r="I808" i="1"/>
  <c r="J808" i="1"/>
  <c r="K808" i="1"/>
  <c r="O808" i="1"/>
  <c r="G809" i="1"/>
  <c r="I809" i="1"/>
  <c r="J809" i="1"/>
  <c r="K809" i="1"/>
  <c r="O809" i="1"/>
  <c r="C810" i="1"/>
  <c r="D810" i="1"/>
  <c r="E810" i="1"/>
  <c r="F810" i="1"/>
  <c r="G810" i="1"/>
  <c r="I810" i="1"/>
  <c r="J810" i="1"/>
  <c r="K810" i="1"/>
  <c r="I811" i="1"/>
  <c r="J811" i="1"/>
  <c r="K811" i="1"/>
  <c r="O811" i="1"/>
  <c r="G812" i="1"/>
  <c r="I812" i="1"/>
  <c r="J812" i="1"/>
  <c r="K812" i="1"/>
  <c r="O812" i="1"/>
  <c r="G813" i="1"/>
  <c r="I813" i="1"/>
  <c r="J813" i="1"/>
  <c r="K813" i="1"/>
  <c r="O813" i="1"/>
  <c r="G814" i="1"/>
  <c r="I814" i="1"/>
  <c r="J814" i="1"/>
  <c r="K814" i="1"/>
  <c r="O814" i="1"/>
  <c r="C815" i="1"/>
  <c r="D815" i="1"/>
  <c r="E815" i="1"/>
  <c r="F815" i="1"/>
  <c r="G815" i="1"/>
  <c r="I815" i="1"/>
  <c r="J815" i="1"/>
  <c r="K815" i="1"/>
  <c r="I816" i="1"/>
  <c r="J816" i="1"/>
  <c r="K816" i="1"/>
  <c r="O816" i="1"/>
  <c r="G817" i="1"/>
  <c r="I817" i="1"/>
  <c r="J817" i="1"/>
  <c r="K817" i="1"/>
  <c r="O817" i="1"/>
  <c r="G818" i="1"/>
  <c r="I818" i="1"/>
  <c r="J818" i="1"/>
  <c r="K818" i="1"/>
  <c r="O818" i="1"/>
  <c r="G819" i="1"/>
  <c r="I819" i="1"/>
  <c r="J819" i="1"/>
  <c r="K819" i="1"/>
  <c r="O819" i="1"/>
  <c r="G820" i="1"/>
  <c r="I820" i="1"/>
  <c r="J820" i="1"/>
  <c r="K820" i="1"/>
  <c r="O820" i="1"/>
  <c r="C821" i="1"/>
  <c r="D821" i="1"/>
  <c r="E821" i="1"/>
  <c r="F821" i="1"/>
  <c r="G821" i="1"/>
  <c r="I821" i="1"/>
  <c r="J821" i="1"/>
  <c r="K821" i="1"/>
  <c r="C822" i="1"/>
  <c r="I822" i="1"/>
  <c r="J822" i="1"/>
  <c r="K822" i="1"/>
  <c r="O822" i="1"/>
  <c r="G823" i="1"/>
  <c r="I823" i="1"/>
  <c r="J823" i="1"/>
  <c r="K823" i="1"/>
  <c r="O823" i="1"/>
  <c r="G824" i="1"/>
  <c r="I824" i="1"/>
  <c r="J824" i="1"/>
  <c r="K824" i="1"/>
  <c r="O824" i="1"/>
  <c r="C825" i="1"/>
  <c r="D825" i="1"/>
  <c r="E825" i="1"/>
  <c r="F825" i="1"/>
  <c r="G825" i="1"/>
  <c r="I825" i="1"/>
  <c r="J825" i="1"/>
  <c r="K825" i="1"/>
  <c r="C826" i="1"/>
  <c r="I826" i="1"/>
  <c r="J826" i="1"/>
  <c r="K826" i="1"/>
  <c r="O826" i="1"/>
  <c r="G827" i="1"/>
  <c r="I827" i="1"/>
  <c r="J827" i="1"/>
  <c r="K827" i="1"/>
  <c r="O827" i="1"/>
  <c r="G828" i="1"/>
  <c r="I828" i="1"/>
  <c r="J828" i="1"/>
  <c r="K828" i="1"/>
  <c r="O828" i="1"/>
  <c r="C829" i="1"/>
  <c r="D829" i="1"/>
  <c r="E829" i="1"/>
  <c r="F829" i="1"/>
  <c r="G829" i="1"/>
  <c r="I829" i="1"/>
  <c r="J829" i="1"/>
  <c r="K829" i="1"/>
  <c r="I830" i="1"/>
  <c r="J830" i="1"/>
  <c r="K830" i="1"/>
  <c r="O830" i="1"/>
  <c r="G831" i="1"/>
  <c r="I831" i="1"/>
  <c r="J831" i="1"/>
  <c r="K831" i="1"/>
  <c r="O831" i="1"/>
  <c r="G832" i="1"/>
  <c r="I832" i="1"/>
  <c r="J832" i="1"/>
  <c r="K832" i="1"/>
  <c r="O832" i="1"/>
  <c r="G833" i="1"/>
  <c r="I833" i="1"/>
  <c r="J833" i="1"/>
  <c r="K833" i="1"/>
  <c r="O833" i="1"/>
  <c r="C834" i="1"/>
  <c r="D834" i="1"/>
  <c r="E834" i="1"/>
  <c r="F834" i="1"/>
  <c r="G834" i="1"/>
  <c r="I834" i="1"/>
  <c r="J834" i="1"/>
  <c r="K834" i="1"/>
  <c r="I835" i="1"/>
  <c r="J835" i="1"/>
  <c r="K835" i="1"/>
  <c r="O835" i="1"/>
  <c r="G836" i="1"/>
  <c r="I836" i="1"/>
  <c r="J836" i="1"/>
  <c r="K836" i="1"/>
  <c r="O836" i="1"/>
  <c r="G837" i="1"/>
  <c r="I837" i="1"/>
  <c r="J837" i="1"/>
  <c r="K837" i="1"/>
  <c r="O837" i="1"/>
  <c r="G838" i="1"/>
  <c r="I838" i="1"/>
  <c r="J838" i="1"/>
  <c r="K838" i="1"/>
  <c r="O838" i="1"/>
  <c r="G839" i="1"/>
  <c r="I839" i="1"/>
  <c r="J839" i="1"/>
  <c r="K839" i="1"/>
  <c r="O839" i="1"/>
  <c r="G840" i="1"/>
  <c r="I840" i="1"/>
  <c r="J840" i="1"/>
  <c r="K840" i="1"/>
  <c r="O840" i="1"/>
  <c r="G841" i="1"/>
  <c r="I841" i="1"/>
  <c r="J841" i="1"/>
  <c r="K841" i="1"/>
  <c r="O841" i="1"/>
  <c r="C842" i="1"/>
  <c r="D842" i="1"/>
  <c r="E842" i="1"/>
  <c r="F842" i="1"/>
  <c r="G842" i="1"/>
  <c r="I842" i="1"/>
  <c r="J842" i="1"/>
  <c r="K842" i="1"/>
  <c r="I843" i="1"/>
  <c r="J843" i="1"/>
  <c r="K843" i="1"/>
  <c r="O843" i="1"/>
  <c r="G844" i="1"/>
  <c r="I844" i="1"/>
  <c r="J844" i="1"/>
  <c r="K844" i="1"/>
  <c r="O844" i="1"/>
  <c r="C845" i="1"/>
  <c r="D845" i="1"/>
  <c r="E845" i="1"/>
  <c r="F845" i="1"/>
  <c r="G845" i="1"/>
  <c r="I845" i="1"/>
  <c r="J845" i="1"/>
  <c r="K845" i="1"/>
  <c r="C846" i="1"/>
  <c r="I846" i="1"/>
  <c r="J846" i="1"/>
  <c r="K846" i="1"/>
  <c r="O846" i="1"/>
  <c r="G847" i="1"/>
  <c r="I847" i="1"/>
  <c r="J847" i="1"/>
  <c r="K847" i="1"/>
  <c r="O847" i="1"/>
  <c r="G848" i="1"/>
  <c r="I848" i="1"/>
  <c r="J848" i="1"/>
  <c r="K848" i="1"/>
  <c r="O848" i="1"/>
  <c r="G849" i="1"/>
  <c r="I849" i="1"/>
  <c r="J849" i="1"/>
  <c r="K849" i="1"/>
  <c r="O849" i="1"/>
  <c r="G850" i="1"/>
  <c r="I850" i="1"/>
  <c r="J850" i="1"/>
  <c r="K850" i="1"/>
  <c r="O850" i="1"/>
  <c r="G851" i="1"/>
  <c r="I851" i="1"/>
  <c r="J851" i="1"/>
  <c r="K851" i="1"/>
  <c r="O851" i="1"/>
  <c r="C852" i="1"/>
  <c r="D852" i="1"/>
  <c r="E852" i="1"/>
  <c r="F852" i="1"/>
  <c r="G852" i="1"/>
  <c r="I852" i="1"/>
  <c r="J852" i="1"/>
  <c r="K852" i="1"/>
  <c r="I853" i="1"/>
  <c r="J853" i="1"/>
  <c r="K853" i="1"/>
  <c r="O853" i="1"/>
  <c r="G854" i="1"/>
  <c r="I854" i="1"/>
  <c r="J854" i="1"/>
  <c r="K854" i="1"/>
  <c r="O854" i="1"/>
  <c r="G855" i="1"/>
  <c r="I855" i="1"/>
  <c r="J855" i="1"/>
  <c r="K855" i="1"/>
  <c r="O855" i="1"/>
  <c r="G856" i="1"/>
  <c r="I856" i="1"/>
  <c r="J856" i="1"/>
  <c r="K856" i="1"/>
  <c r="O856" i="1"/>
  <c r="C857" i="1"/>
  <c r="D857" i="1"/>
  <c r="E857" i="1"/>
  <c r="F857" i="1"/>
  <c r="G857" i="1"/>
  <c r="I857" i="1"/>
  <c r="J857" i="1"/>
  <c r="K857" i="1"/>
  <c r="I858" i="1"/>
  <c r="J858" i="1"/>
  <c r="K858" i="1"/>
  <c r="O858" i="1"/>
  <c r="G859" i="1"/>
  <c r="I859" i="1"/>
  <c r="J859" i="1"/>
  <c r="K859" i="1"/>
  <c r="O859" i="1"/>
  <c r="F860" i="1"/>
  <c r="G860" i="1"/>
  <c r="I860" i="1"/>
  <c r="J860" i="1"/>
  <c r="K860" i="1"/>
  <c r="O860" i="1"/>
  <c r="C861" i="1"/>
  <c r="D861" i="1"/>
  <c r="E861" i="1"/>
  <c r="F861" i="1"/>
  <c r="G861" i="1"/>
  <c r="I861" i="1"/>
  <c r="J861" i="1"/>
  <c r="K861" i="1"/>
  <c r="I862" i="1"/>
  <c r="J862" i="1"/>
  <c r="K862" i="1"/>
  <c r="O862" i="1"/>
  <c r="G863" i="1"/>
  <c r="I863" i="1"/>
  <c r="J863" i="1"/>
  <c r="K863" i="1"/>
  <c r="O863" i="1"/>
  <c r="G864" i="1"/>
  <c r="I864" i="1"/>
  <c r="J864" i="1"/>
  <c r="K864" i="1"/>
  <c r="O864" i="1"/>
  <c r="G865" i="1"/>
  <c r="I865" i="1"/>
  <c r="J865" i="1"/>
  <c r="K865" i="1"/>
  <c r="O865" i="1"/>
  <c r="C866" i="1"/>
  <c r="D866" i="1"/>
  <c r="E866" i="1"/>
  <c r="F866" i="1"/>
  <c r="G866" i="1"/>
  <c r="I866" i="1"/>
  <c r="J866" i="1"/>
  <c r="K866" i="1"/>
  <c r="I867" i="1"/>
  <c r="J867" i="1"/>
  <c r="K867" i="1"/>
  <c r="O867" i="1"/>
  <c r="G868" i="1"/>
  <c r="I868" i="1"/>
  <c r="J868" i="1"/>
  <c r="K868" i="1"/>
  <c r="O868" i="1"/>
  <c r="G869" i="1"/>
  <c r="I869" i="1"/>
  <c r="J869" i="1"/>
  <c r="K869" i="1"/>
  <c r="O869" i="1"/>
  <c r="G870" i="1"/>
  <c r="I870" i="1"/>
  <c r="J870" i="1"/>
  <c r="K870" i="1"/>
  <c r="O870" i="1"/>
  <c r="C871" i="1"/>
  <c r="D871" i="1"/>
  <c r="E871" i="1"/>
  <c r="F871" i="1"/>
  <c r="G871" i="1"/>
  <c r="I871" i="1"/>
  <c r="J871" i="1"/>
  <c r="K871" i="1"/>
  <c r="I872" i="1"/>
  <c r="J872" i="1"/>
  <c r="K872" i="1"/>
  <c r="O872" i="1"/>
  <c r="G873" i="1"/>
  <c r="I873" i="1"/>
  <c r="J873" i="1"/>
  <c r="K873" i="1"/>
  <c r="O873" i="1"/>
  <c r="G874" i="1"/>
  <c r="I874" i="1"/>
  <c r="J874" i="1"/>
  <c r="K874" i="1"/>
  <c r="O874" i="1"/>
  <c r="G875" i="1"/>
  <c r="I875" i="1"/>
  <c r="J875" i="1"/>
  <c r="K875" i="1"/>
  <c r="O875" i="1"/>
  <c r="G876" i="1"/>
  <c r="I876" i="1"/>
  <c r="J876" i="1"/>
  <c r="K876" i="1"/>
  <c r="O876" i="1"/>
  <c r="C877" i="1"/>
  <c r="D877" i="1"/>
  <c r="E877" i="1"/>
  <c r="F877" i="1"/>
  <c r="G877" i="1"/>
  <c r="I877" i="1"/>
  <c r="J877" i="1"/>
  <c r="K877" i="1"/>
  <c r="I878" i="1"/>
  <c r="J878" i="1"/>
  <c r="K878" i="1"/>
  <c r="O878" i="1"/>
  <c r="G879" i="1"/>
  <c r="I879" i="1"/>
  <c r="J879" i="1"/>
  <c r="K879" i="1"/>
  <c r="O879" i="1"/>
  <c r="G880" i="1"/>
  <c r="I880" i="1"/>
  <c r="J880" i="1"/>
  <c r="K880" i="1"/>
  <c r="O880" i="1"/>
  <c r="G881" i="1"/>
  <c r="I881" i="1"/>
  <c r="J881" i="1"/>
  <c r="K881" i="1"/>
  <c r="O881" i="1"/>
  <c r="G882" i="1"/>
  <c r="I882" i="1"/>
  <c r="J882" i="1"/>
  <c r="K882" i="1"/>
  <c r="O882" i="1"/>
  <c r="G883" i="1"/>
  <c r="I883" i="1"/>
  <c r="J883" i="1"/>
  <c r="K883" i="1"/>
  <c r="O883" i="1"/>
  <c r="C884" i="1"/>
  <c r="D884" i="1"/>
  <c r="E884" i="1"/>
  <c r="F884" i="1"/>
  <c r="G884" i="1"/>
  <c r="I884" i="1"/>
  <c r="J884" i="1"/>
  <c r="K884" i="1"/>
  <c r="C885" i="1"/>
  <c r="I885" i="1"/>
  <c r="J885" i="1"/>
  <c r="K885" i="1"/>
  <c r="O885" i="1"/>
  <c r="G886" i="1"/>
  <c r="I886" i="1"/>
  <c r="J886" i="1"/>
  <c r="K886" i="1"/>
  <c r="O886" i="1"/>
  <c r="G887" i="1"/>
  <c r="I887" i="1"/>
  <c r="J887" i="1"/>
  <c r="K887" i="1"/>
  <c r="O887" i="1"/>
  <c r="C888" i="1"/>
  <c r="D888" i="1"/>
  <c r="E888" i="1"/>
  <c r="F888" i="1"/>
  <c r="G888" i="1"/>
  <c r="I888" i="1"/>
  <c r="J888" i="1"/>
  <c r="K888" i="1"/>
  <c r="I889" i="1"/>
  <c r="J889" i="1"/>
  <c r="K889" i="1"/>
  <c r="O889" i="1"/>
  <c r="G890" i="1"/>
  <c r="I890" i="1"/>
  <c r="J890" i="1"/>
  <c r="K890" i="1"/>
  <c r="O890" i="1"/>
  <c r="G891" i="1"/>
  <c r="I891" i="1"/>
  <c r="J891" i="1"/>
  <c r="K891" i="1"/>
  <c r="O891" i="1"/>
  <c r="G892" i="1"/>
  <c r="I892" i="1"/>
  <c r="J892" i="1"/>
  <c r="K892" i="1"/>
  <c r="O892" i="1"/>
  <c r="C893" i="1"/>
  <c r="D893" i="1"/>
  <c r="E893" i="1"/>
  <c r="F893" i="1"/>
  <c r="G893" i="1"/>
  <c r="I893" i="1"/>
  <c r="J893" i="1"/>
  <c r="K893" i="1"/>
  <c r="I894" i="1"/>
  <c r="J894" i="1"/>
  <c r="K894" i="1"/>
  <c r="O894" i="1"/>
  <c r="G895" i="1"/>
  <c r="I895" i="1"/>
  <c r="J895" i="1"/>
  <c r="K895" i="1"/>
  <c r="O895" i="1"/>
  <c r="G896" i="1"/>
  <c r="I896" i="1"/>
  <c r="J896" i="1"/>
  <c r="K896" i="1"/>
  <c r="O896" i="1"/>
  <c r="G897" i="1"/>
  <c r="I897" i="1"/>
  <c r="J897" i="1"/>
  <c r="K897" i="1"/>
  <c r="O897" i="1"/>
  <c r="G898" i="1"/>
  <c r="I898" i="1"/>
  <c r="J898" i="1"/>
  <c r="K898" i="1"/>
  <c r="O898" i="1"/>
  <c r="G899" i="1"/>
  <c r="I899" i="1"/>
  <c r="J899" i="1"/>
  <c r="K899" i="1"/>
  <c r="O899" i="1"/>
  <c r="C900" i="1"/>
  <c r="D900" i="1"/>
  <c r="E900" i="1"/>
  <c r="F900" i="1"/>
  <c r="G900" i="1"/>
  <c r="I900" i="1"/>
  <c r="J900" i="1"/>
  <c r="K900" i="1"/>
  <c r="I901" i="1"/>
  <c r="J901" i="1"/>
  <c r="K901" i="1"/>
  <c r="O901" i="1"/>
  <c r="G902" i="1"/>
  <c r="I902" i="1"/>
  <c r="J902" i="1"/>
  <c r="K902" i="1"/>
  <c r="O902" i="1"/>
  <c r="G903" i="1"/>
  <c r="I903" i="1"/>
  <c r="J903" i="1"/>
  <c r="K903" i="1"/>
  <c r="O903" i="1"/>
  <c r="G904" i="1"/>
  <c r="I904" i="1"/>
  <c r="J904" i="1"/>
  <c r="K904" i="1"/>
  <c r="O904" i="1"/>
  <c r="C905" i="1"/>
  <c r="D905" i="1"/>
  <c r="E905" i="1"/>
  <c r="F905" i="1"/>
  <c r="G905" i="1"/>
  <c r="I905" i="1"/>
  <c r="J905" i="1"/>
  <c r="K905" i="1"/>
  <c r="I906" i="1"/>
  <c r="J906" i="1"/>
  <c r="K906" i="1"/>
  <c r="O906" i="1"/>
  <c r="G907" i="1"/>
  <c r="I907" i="1"/>
  <c r="J907" i="1"/>
  <c r="K907" i="1"/>
  <c r="O907" i="1"/>
  <c r="C908" i="1"/>
  <c r="D908" i="1"/>
  <c r="E908" i="1"/>
  <c r="F908" i="1"/>
  <c r="G908" i="1"/>
  <c r="I908" i="1"/>
  <c r="J908" i="1"/>
  <c r="K908" i="1"/>
  <c r="I909" i="1"/>
  <c r="J909" i="1"/>
  <c r="K909" i="1"/>
  <c r="O909" i="1"/>
  <c r="G910" i="1"/>
  <c r="I910" i="1"/>
  <c r="J910" i="1"/>
  <c r="K910" i="1"/>
  <c r="O910" i="1"/>
  <c r="G911" i="1"/>
  <c r="I911" i="1"/>
  <c r="J911" i="1"/>
  <c r="K911" i="1"/>
  <c r="O911" i="1"/>
  <c r="G912" i="1"/>
  <c r="I912" i="1"/>
  <c r="J912" i="1"/>
  <c r="K912" i="1"/>
  <c r="O912" i="1"/>
  <c r="G913" i="1"/>
  <c r="I913" i="1"/>
  <c r="J913" i="1"/>
  <c r="K913" i="1"/>
  <c r="O913" i="1"/>
  <c r="C914" i="1"/>
  <c r="D914" i="1"/>
  <c r="E914" i="1"/>
  <c r="F914" i="1"/>
  <c r="G914" i="1"/>
  <c r="I914" i="1"/>
  <c r="J914" i="1"/>
  <c r="K914" i="1"/>
  <c r="I915" i="1"/>
  <c r="J915" i="1"/>
  <c r="K915" i="1"/>
  <c r="O915" i="1"/>
  <c r="G916" i="1"/>
  <c r="I916" i="1"/>
  <c r="J916" i="1"/>
  <c r="K916" i="1"/>
  <c r="O916" i="1"/>
  <c r="G917" i="1"/>
  <c r="I917" i="1"/>
  <c r="J917" i="1"/>
  <c r="K917" i="1"/>
  <c r="O917" i="1"/>
  <c r="G918" i="1"/>
  <c r="I918" i="1"/>
  <c r="J918" i="1"/>
  <c r="K918" i="1"/>
  <c r="O918" i="1"/>
  <c r="C919" i="1"/>
  <c r="D919" i="1"/>
  <c r="E919" i="1"/>
  <c r="F919" i="1"/>
  <c r="G919" i="1"/>
  <c r="I919" i="1"/>
  <c r="J919" i="1"/>
  <c r="K919" i="1"/>
  <c r="I920" i="1"/>
  <c r="J920" i="1"/>
  <c r="K920" i="1"/>
  <c r="O920" i="1"/>
  <c r="G921" i="1"/>
  <c r="I921" i="1"/>
  <c r="J921" i="1"/>
  <c r="K921" i="1"/>
  <c r="O921" i="1"/>
  <c r="G922" i="1"/>
  <c r="I922" i="1"/>
  <c r="J922" i="1"/>
  <c r="K922" i="1"/>
  <c r="O922" i="1"/>
  <c r="G923" i="1"/>
  <c r="I923" i="1"/>
  <c r="J923" i="1"/>
  <c r="K923" i="1"/>
  <c r="O923" i="1"/>
  <c r="C924" i="1"/>
  <c r="D924" i="1"/>
  <c r="E924" i="1"/>
  <c r="F924" i="1"/>
  <c r="G924" i="1"/>
  <c r="I924" i="1"/>
  <c r="J924" i="1"/>
  <c r="K924" i="1"/>
  <c r="C925" i="1"/>
  <c r="I925" i="1"/>
  <c r="J925" i="1"/>
  <c r="K925" i="1"/>
  <c r="O925" i="1"/>
  <c r="G926" i="1"/>
  <c r="I926" i="1"/>
  <c r="J926" i="1"/>
  <c r="K926" i="1"/>
  <c r="O926" i="1"/>
  <c r="G927" i="1"/>
  <c r="I927" i="1"/>
  <c r="J927" i="1"/>
  <c r="K927" i="1"/>
  <c r="O927" i="1"/>
  <c r="C928" i="1"/>
  <c r="D928" i="1"/>
  <c r="E928" i="1"/>
  <c r="F928" i="1"/>
  <c r="G928" i="1"/>
  <c r="I928" i="1"/>
  <c r="J928" i="1"/>
  <c r="K928" i="1"/>
  <c r="I929" i="1"/>
  <c r="J929" i="1"/>
  <c r="K929" i="1"/>
  <c r="O929" i="1"/>
  <c r="G930" i="1"/>
  <c r="I930" i="1"/>
  <c r="J930" i="1"/>
  <c r="K930" i="1"/>
  <c r="O930" i="1"/>
  <c r="G931" i="1"/>
  <c r="I931" i="1"/>
  <c r="J931" i="1"/>
  <c r="K931" i="1"/>
  <c r="O931" i="1"/>
  <c r="G932" i="1"/>
  <c r="I932" i="1"/>
  <c r="J932" i="1"/>
  <c r="K932" i="1"/>
  <c r="O932" i="1"/>
  <c r="G933" i="1"/>
  <c r="I933" i="1"/>
  <c r="J933" i="1"/>
  <c r="K933" i="1"/>
  <c r="O933" i="1"/>
  <c r="C934" i="1"/>
  <c r="D934" i="1"/>
  <c r="E934" i="1"/>
  <c r="F934" i="1"/>
  <c r="G934" i="1"/>
  <c r="I934" i="1"/>
  <c r="J934" i="1"/>
  <c r="K934" i="1"/>
  <c r="I935" i="1"/>
  <c r="J935" i="1"/>
  <c r="K935" i="1"/>
  <c r="O935" i="1"/>
  <c r="C936" i="1"/>
  <c r="D936" i="1"/>
  <c r="E936" i="1"/>
  <c r="F936" i="1"/>
  <c r="G936" i="1"/>
  <c r="I936" i="1"/>
  <c r="J936" i="1"/>
  <c r="K936" i="1"/>
  <c r="I937" i="1"/>
  <c r="J937" i="1"/>
  <c r="K937" i="1"/>
  <c r="O937" i="1"/>
  <c r="G938" i="1"/>
  <c r="I938" i="1"/>
  <c r="J938" i="1"/>
  <c r="K938" i="1"/>
  <c r="O938" i="1"/>
  <c r="G939" i="1"/>
  <c r="I939" i="1"/>
  <c r="J939" i="1"/>
  <c r="K939" i="1"/>
  <c r="O939" i="1"/>
  <c r="G940" i="1"/>
  <c r="I940" i="1"/>
  <c r="J940" i="1"/>
  <c r="K940" i="1"/>
  <c r="O940" i="1"/>
  <c r="C941" i="1"/>
  <c r="D941" i="1"/>
  <c r="E941" i="1"/>
  <c r="F941" i="1"/>
  <c r="G941" i="1"/>
  <c r="I941" i="1"/>
  <c r="J941" i="1"/>
  <c r="K941" i="1"/>
  <c r="I942" i="1"/>
  <c r="J942" i="1"/>
  <c r="K942" i="1"/>
  <c r="O942" i="1"/>
  <c r="G943" i="1"/>
  <c r="I943" i="1"/>
  <c r="J943" i="1"/>
  <c r="K943" i="1"/>
  <c r="O943" i="1"/>
  <c r="C944" i="1"/>
  <c r="D944" i="1"/>
  <c r="E944" i="1"/>
  <c r="F944" i="1"/>
  <c r="G944" i="1"/>
  <c r="I944" i="1"/>
  <c r="J944" i="1"/>
  <c r="K944" i="1"/>
  <c r="I945" i="1"/>
  <c r="J945" i="1"/>
  <c r="K945" i="1"/>
  <c r="O945" i="1"/>
  <c r="G946" i="1"/>
  <c r="I946" i="1"/>
  <c r="J946" i="1"/>
  <c r="K946" i="1"/>
  <c r="O946" i="1"/>
  <c r="G947" i="1"/>
  <c r="I947" i="1"/>
  <c r="J947" i="1"/>
  <c r="K947" i="1"/>
  <c r="O947" i="1"/>
  <c r="G948" i="1"/>
  <c r="I948" i="1"/>
  <c r="J948" i="1"/>
  <c r="K948" i="1"/>
  <c r="O948" i="1"/>
  <c r="C949" i="1"/>
  <c r="D949" i="1"/>
  <c r="E949" i="1"/>
  <c r="F949" i="1"/>
  <c r="G949" i="1"/>
  <c r="I949" i="1"/>
  <c r="J949" i="1"/>
  <c r="K949" i="1"/>
  <c r="I950" i="1"/>
  <c r="J950" i="1"/>
  <c r="K950" i="1"/>
  <c r="O950" i="1"/>
  <c r="G951" i="1"/>
  <c r="I951" i="1"/>
  <c r="J951" i="1"/>
  <c r="K951" i="1"/>
  <c r="O951" i="1"/>
  <c r="G952" i="1"/>
  <c r="I952" i="1"/>
  <c r="J952" i="1"/>
  <c r="K952" i="1"/>
  <c r="O952" i="1"/>
  <c r="G953" i="1"/>
  <c r="I953" i="1"/>
  <c r="J953" i="1"/>
  <c r="K953" i="1"/>
  <c r="O953" i="1"/>
  <c r="G954" i="1"/>
  <c r="I954" i="1"/>
  <c r="J954" i="1"/>
  <c r="K954" i="1"/>
  <c r="O954" i="1"/>
  <c r="C955" i="1"/>
  <c r="D955" i="1"/>
  <c r="E955" i="1"/>
  <c r="F955" i="1"/>
  <c r="G955" i="1"/>
  <c r="I955" i="1"/>
  <c r="J955" i="1"/>
  <c r="K955" i="1"/>
  <c r="I956" i="1"/>
  <c r="J956" i="1"/>
  <c r="K956" i="1"/>
  <c r="O956" i="1"/>
  <c r="G957" i="1"/>
  <c r="I957" i="1"/>
  <c r="J957" i="1"/>
  <c r="K957" i="1"/>
  <c r="O957" i="1"/>
  <c r="G958" i="1"/>
  <c r="I958" i="1"/>
  <c r="J958" i="1"/>
  <c r="K958" i="1"/>
  <c r="O958" i="1"/>
  <c r="G959" i="1"/>
  <c r="I959" i="1"/>
  <c r="J959" i="1"/>
  <c r="K959" i="1"/>
  <c r="O959" i="1"/>
  <c r="G960" i="1"/>
  <c r="I960" i="1"/>
  <c r="J960" i="1"/>
  <c r="K960" i="1"/>
  <c r="O960" i="1"/>
  <c r="C961" i="1"/>
  <c r="D961" i="1"/>
  <c r="E961" i="1"/>
  <c r="F961" i="1"/>
  <c r="G961" i="1"/>
  <c r="I961" i="1"/>
  <c r="J961" i="1"/>
  <c r="K961" i="1"/>
  <c r="C962" i="1"/>
  <c r="I962" i="1"/>
  <c r="J962" i="1"/>
  <c r="K962" i="1"/>
  <c r="O962" i="1"/>
  <c r="G963" i="1"/>
  <c r="I963" i="1"/>
  <c r="J963" i="1"/>
  <c r="K963" i="1"/>
  <c r="O963" i="1"/>
  <c r="G964" i="1"/>
  <c r="I964" i="1"/>
  <c r="J964" i="1"/>
  <c r="K964" i="1"/>
  <c r="O964" i="1"/>
  <c r="G965" i="1"/>
  <c r="I965" i="1"/>
  <c r="J965" i="1"/>
  <c r="K965" i="1"/>
  <c r="O965" i="1"/>
  <c r="G966" i="1"/>
  <c r="I966" i="1"/>
  <c r="J966" i="1"/>
  <c r="K966" i="1"/>
  <c r="O966" i="1"/>
  <c r="G967" i="1"/>
  <c r="I967" i="1"/>
  <c r="J967" i="1"/>
  <c r="K967" i="1"/>
  <c r="O967" i="1"/>
  <c r="C968" i="1"/>
  <c r="D968" i="1"/>
  <c r="E968" i="1"/>
  <c r="F968" i="1"/>
  <c r="G968" i="1"/>
  <c r="I968" i="1"/>
  <c r="J968" i="1"/>
  <c r="K968" i="1"/>
  <c r="I969" i="1"/>
  <c r="J969" i="1"/>
  <c r="K969" i="1"/>
  <c r="O969" i="1"/>
  <c r="G970" i="1"/>
  <c r="I970" i="1"/>
  <c r="J970" i="1"/>
  <c r="K970" i="1"/>
  <c r="O970" i="1"/>
  <c r="G971" i="1"/>
  <c r="I971" i="1"/>
  <c r="J971" i="1"/>
  <c r="K971" i="1"/>
  <c r="O971" i="1"/>
  <c r="G972" i="1"/>
  <c r="I972" i="1"/>
  <c r="J972" i="1"/>
  <c r="K972" i="1"/>
  <c r="O972" i="1"/>
  <c r="C973" i="1"/>
  <c r="D973" i="1"/>
  <c r="E973" i="1"/>
  <c r="F973" i="1"/>
  <c r="G973" i="1"/>
  <c r="I973" i="1"/>
  <c r="J973" i="1"/>
  <c r="K973" i="1"/>
  <c r="I974" i="1"/>
  <c r="J974" i="1"/>
  <c r="K974" i="1"/>
  <c r="O974" i="1"/>
  <c r="G975" i="1"/>
  <c r="I975" i="1"/>
  <c r="J975" i="1"/>
  <c r="K975" i="1"/>
  <c r="O975" i="1"/>
  <c r="C976" i="1"/>
  <c r="D976" i="1"/>
  <c r="E976" i="1"/>
  <c r="F976" i="1"/>
  <c r="G976" i="1"/>
  <c r="I976" i="1"/>
  <c r="J976" i="1"/>
  <c r="K976" i="1"/>
  <c r="I977" i="1"/>
  <c r="J977" i="1"/>
  <c r="K977" i="1"/>
  <c r="O977" i="1"/>
  <c r="G978" i="1"/>
  <c r="I978" i="1"/>
  <c r="J978" i="1"/>
  <c r="K978" i="1"/>
  <c r="O978" i="1"/>
  <c r="G979" i="1"/>
  <c r="I979" i="1"/>
  <c r="J979" i="1"/>
  <c r="K979" i="1"/>
  <c r="O979" i="1"/>
  <c r="G980" i="1"/>
  <c r="I980" i="1"/>
  <c r="J980" i="1"/>
  <c r="K980" i="1"/>
  <c r="O980" i="1"/>
  <c r="C981" i="1"/>
  <c r="D981" i="1"/>
  <c r="E981" i="1"/>
  <c r="F981" i="1"/>
  <c r="G981" i="1"/>
  <c r="I981" i="1"/>
  <c r="J981" i="1"/>
  <c r="K981" i="1"/>
  <c r="I982" i="1"/>
  <c r="J982" i="1"/>
  <c r="K982" i="1"/>
  <c r="O982" i="1"/>
  <c r="G983" i="1"/>
  <c r="I983" i="1"/>
  <c r="J983" i="1"/>
  <c r="K983" i="1"/>
  <c r="O983" i="1"/>
  <c r="G984" i="1"/>
  <c r="I984" i="1"/>
  <c r="J984" i="1"/>
  <c r="K984" i="1"/>
  <c r="O984" i="1"/>
  <c r="G985" i="1"/>
  <c r="I985" i="1"/>
  <c r="J985" i="1"/>
  <c r="K985" i="1"/>
  <c r="O985" i="1"/>
  <c r="C986" i="1"/>
  <c r="D986" i="1"/>
  <c r="E986" i="1"/>
  <c r="F986" i="1"/>
  <c r="G986" i="1"/>
  <c r="I986" i="1"/>
  <c r="J986" i="1"/>
  <c r="K986" i="1"/>
  <c r="I987" i="1"/>
  <c r="J987" i="1"/>
  <c r="K987" i="1"/>
  <c r="O987" i="1"/>
  <c r="G988" i="1"/>
  <c r="I988" i="1"/>
  <c r="J988" i="1"/>
  <c r="K988" i="1"/>
  <c r="O988" i="1"/>
  <c r="G989" i="1"/>
  <c r="I989" i="1"/>
  <c r="J989" i="1"/>
  <c r="K989" i="1"/>
  <c r="O989" i="1"/>
  <c r="C990" i="1"/>
  <c r="D990" i="1"/>
  <c r="E990" i="1"/>
  <c r="F990" i="1"/>
  <c r="G990" i="1"/>
  <c r="I990" i="1"/>
  <c r="J990" i="1"/>
  <c r="K990" i="1"/>
  <c r="I991" i="1"/>
  <c r="J991" i="1"/>
  <c r="K991" i="1"/>
  <c r="O991" i="1"/>
  <c r="G992" i="1"/>
  <c r="I992" i="1"/>
  <c r="J992" i="1"/>
  <c r="K992" i="1"/>
  <c r="O992" i="1"/>
  <c r="G993" i="1"/>
  <c r="I993" i="1"/>
  <c r="J993" i="1"/>
  <c r="K993" i="1"/>
  <c r="O993" i="1"/>
  <c r="G994" i="1"/>
  <c r="I994" i="1"/>
  <c r="J994" i="1"/>
  <c r="K994" i="1"/>
  <c r="O994" i="1"/>
  <c r="C995" i="1"/>
  <c r="D995" i="1"/>
  <c r="E995" i="1"/>
  <c r="F995" i="1"/>
  <c r="G995" i="1"/>
  <c r="I995" i="1"/>
  <c r="J995" i="1"/>
  <c r="K995" i="1"/>
  <c r="I996" i="1"/>
  <c r="J996" i="1"/>
  <c r="K996" i="1"/>
  <c r="O996" i="1"/>
  <c r="G997" i="1"/>
  <c r="I997" i="1"/>
  <c r="J997" i="1"/>
  <c r="K997" i="1"/>
  <c r="O997" i="1"/>
  <c r="G998" i="1"/>
  <c r="I998" i="1"/>
  <c r="J998" i="1"/>
  <c r="K998" i="1"/>
  <c r="O998" i="1"/>
  <c r="C999" i="1"/>
  <c r="D999" i="1"/>
  <c r="E999" i="1"/>
  <c r="F999" i="1"/>
  <c r="G999" i="1"/>
  <c r="I999" i="1"/>
  <c r="J999" i="1"/>
  <c r="K999" i="1"/>
  <c r="I1000" i="1"/>
  <c r="J1000" i="1"/>
  <c r="K1000" i="1"/>
  <c r="O1000" i="1"/>
  <c r="G1001" i="1"/>
  <c r="I1001" i="1"/>
  <c r="J1001" i="1"/>
  <c r="K1001" i="1"/>
  <c r="O1001" i="1"/>
  <c r="G1002" i="1"/>
  <c r="I1002" i="1"/>
  <c r="J1002" i="1"/>
  <c r="K1002" i="1"/>
  <c r="O1002" i="1"/>
  <c r="G1003" i="1"/>
  <c r="I1003" i="1"/>
  <c r="J1003" i="1"/>
  <c r="K1003" i="1"/>
  <c r="O1003" i="1"/>
  <c r="G1004" i="1"/>
  <c r="I1004" i="1"/>
  <c r="J1004" i="1"/>
  <c r="K1004" i="1"/>
  <c r="O1004" i="1"/>
  <c r="C1005" i="1"/>
  <c r="D1005" i="1"/>
  <c r="E1005" i="1"/>
  <c r="F1005" i="1"/>
  <c r="G1005" i="1"/>
  <c r="I1005" i="1"/>
  <c r="J1005" i="1"/>
  <c r="K1005" i="1"/>
  <c r="I1006" i="1"/>
  <c r="J1006" i="1"/>
  <c r="K1006" i="1"/>
  <c r="O1006" i="1"/>
  <c r="G1007" i="1"/>
  <c r="I1007" i="1"/>
  <c r="J1007" i="1"/>
  <c r="K1007" i="1"/>
  <c r="O1007" i="1"/>
  <c r="G1008" i="1"/>
  <c r="I1008" i="1"/>
  <c r="J1008" i="1"/>
  <c r="K1008" i="1"/>
  <c r="O1008" i="1"/>
  <c r="G1009" i="1"/>
  <c r="I1009" i="1"/>
  <c r="J1009" i="1"/>
  <c r="K1009" i="1"/>
  <c r="O1009" i="1"/>
  <c r="C1010" i="1"/>
  <c r="D1010" i="1"/>
  <c r="E1010" i="1"/>
  <c r="F1010" i="1"/>
  <c r="G1010" i="1"/>
  <c r="I1010" i="1"/>
  <c r="J1010" i="1"/>
  <c r="K1010" i="1"/>
  <c r="I1011" i="1"/>
  <c r="J1011" i="1"/>
  <c r="K1011" i="1"/>
  <c r="O1011" i="1"/>
  <c r="G1012" i="1"/>
  <c r="I1012" i="1"/>
  <c r="J1012" i="1"/>
  <c r="K1012" i="1"/>
  <c r="O1012" i="1"/>
  <c r="G1013" i="1"/>
  <c r="I1013" i="1"/>
  <c r="J1013" i="1"/>
  <c r="K1013" i="1"/>
  <c r="O1013" i="1"/>
  <c r="G1014" i="1"/>
  <c r="I1014" i="1"/>
  <c r="J1014" i="1"/>
  <c r="K1014" i="1"/>
  <c r="O1014" i="1"/>
  <c r="C1015" i="1"/>
  <c r="D1015" i="1"/>
  <c r="E1015" i="1"/>
  <c r="F1015" i="1"/>
  <c r="G1015" i="1"/>
  <c r="I1015" i="1"/>
  <c r="J1015" i="1"/>
  <c r="K1015" i="1"/>
  <c r="I1016" i="1"/>
  <c r="J1016" i="1"/>
  <c r="K1016" i="1"/>
  <c r="O1016" i="1"/>
  <c r="G1017" i="1"/>
  <c r="I1017" i="1"/>
  <c r="J1017" i="1"/>
  <c r="K1017" i="1"/>
  <c r="O1017" i="1"/>
  <c r="G1018" i="1"/>
  <c r="I1018" i="1"/>
  <c r="J1018" i="1"/>
  <c r="K1018" i="1"/>
  <c r="O1018" i="1"/>
  <c r="G1019" i="1"/>
  <c r="I1019" i="1"/>
  <c r="J1019" i="1"/>
  <c r="K1019" i="1"/>
  <c r="O1019" i="1"/>
  <c r="C1020" i="1"/>
  <c r="D1020" i="1"/>
  <c r="E1020" i="1"/>
  <c r="F1020" i="1"/>
  <c r="G1020" i="1"/>
  <c r="I1020" i="1"/>
  <c r="J1020" i="1"/>
  <c r="K1020" i="1"/>
  <c r="C1021" i="1"/>
  <c r="D1021" i="1"/>
  <c r="E1021" i="1"/>
  <c r="F1021" i="1"/>
  <c r="G1021" i="1"/>
  <c r="I1021" i="1"/>
  <c r="J1021" i="1"/>
  <c r="K1021" i="1"/>
  <c r="I1022" i="1"/>
  <c r="J1022" i="1"/>
  <c r="K1022" i="1"/>
  <c r="O1022" i="1"/>
  <c r="G1023" i="1"/>
  <c r="I1023" i="1"/>
  <c r="J1023" i="1"/>
  <c r="K1023" i="1"/>
  <c r="O1023" i="1"/>
  <c r="G1024" i="1"/>
  <c r="I1024" i="1"/>
  <c r="J1024" i="1"/>
  <c r="K1024" i="1"/>
  <c r="O1024" i="1"/>
  <c r="G1025" i="1"/>
  <c r="I1025" i="1"/>
  <c r="J1025" i="1"/>
  <c r="K1025" i="1"/>
  <c r="O1025" i="1"/>
  <c r="C1027" i="1"/>
  <c r="D1027" i="1"/>
  <c r="E1027" i="1"/>
  <c r="F1027" i="1"/>
  <c r="G1027" i="1"/>
  <c r="I1027" i="1"/>
  <c r="J1027" i="1"/>
  <c r="K1027" i="1"/>
  <c r="I1028" i="1"/>
  <c r="J1028" i="1"/>
  <c r="K1028" i="1"/>
  <c r="O1028" i="1"/>
  <c r="G1029" i="1"/>
  <c r="I1029" i="1"/>
  <c r="J1029" i="1"/>
  <c r="K1029" i="1"/>
  <c r="O1029" i="1"/>
  <c r="G1030" i="1"/>
  <c r="I1030" i="1"/>
  <c r="J1030" i="1"/>
  <c r="K1030" i="1"/>
  <c r="O1030" i="1"/>
  <c r="G1031" i="1"/>
  <c r="I1031" i="1"/>
  <c r="J1031" i="1"/>
  <c r="K1031" i="1"/>
  <c r="O1031" i="1"/>
  <c r="C1032" i="1"/>
  <c r="D1032" i="1"/>
  <c r="E1032" i="1"/>
  <c r="F1032" i="1"/>
  <c r="G1032" i="1"/>
  <c r="I1032" i="1"/>
  <c r="J1032" i="1"/>
  <c r="K1032" i="1"/>
  <c r="I1033" i="1"/>
  <c r="J1033" i="1"/>
  <c r="K1033" i="1"/>
  <c r="O1033" i="1"/>
  <c r="G1034" i="1"/>
  <c r="I1034" i="1"/>
  <c r="J1034" i="1"/>
  <c r="K1034" i="1"/>
  <c r="O1034" i="1"/>
  <c r="G1035" i="1"/>
  <c r="I1035" i="1"/>
  <c r="J1035" i="1"/>
  <c r="K1035" i="1"/>
  <c r="O1035" i="1"/>
  <c r="G1036" i="1"/>
  <c r="I1036" i="1"/>
  <c r="J1036" i="1"/>
  <c r="K1036" i="1"/>
  <c r="O1036" i="1"/>
  <c r="G1037" i="1"/>
  <c r="I1037" i="1"/>
  <c r="J1037" i="1"/>
  <c r="K1037" i="1"/>
  <c r="O1037" i="1"/>
  <c r="C1038" i="1"/>
  <c r="D1038" i="1"/>
  <c r="E1038" i="1"/>
  <c r="F1038" i="1"/>
  <c r="G1038" i="1"/>
  <c r="I1038" i="1"/>
  <c r="J1038" i="1"/>
  <c r="K1038" i="1"/>
  <c r="I1039" i="1"/>
  <c r="J1039" i="1"/>
  <c r="K1039" i="1"/>
  <c r="O1039" i="1"/>
  <c r="C1040" i="1"/>
  <c r="D1040" i="1"/>
  <c r="E1040" i="1"/>
  <c r="F1040" i="1"/>
  <c r="G1040" i="1"/>
  <c r="I1040" i="1"/>
  <c r="J1040" i="1"/>
  <c r="K1040" i="1"/>
  <c r="C1041" i="1"/>
  <c r="D1041" i="1"/>
  <c r="E1041" i="1"/>
  <c r="F1041" i="1"/>
  <c r="G1041" i="1"/>
  <c r="I1041" i="1"/>
  <c r="J1041" i="1"/>
  <c r="K1041" i="1"/>
  <c r="I1042" i="1"/>
  <c r="J1042" i="1"/>
  <c r="K1042" i="1"/>
  <c r="O1042" i="1"/>
  <c r="G1043" i="1"/>
  <c r="I1043" i="1"/>
  <c r="J1043" i="1"/>
  <c r="K1043" i="1"/>
  <c r="O1043" i="1"/>
  <c r="G1044" i="1"/>
  <c r="I1044" i="1"/>
  <c r="J1044" i="1"/>
  <c r="K1044" i="1"/>
  <c r="O1044" i="1"/>
  <c r="G1045" i="1"/>
  <c r="I1045" i="1"/>
  <c r="J1045" i="1"/>
  <c r="K1045" i="1"/>
  <c r="O1045" i="1"/>
  <c r="G1046" i="1"/>
  <c r="I1046" i="1"/>
  <c r="J1046" i="1"/>
  <c r="K1046" i="1"/>
  <c r="O1046" i="1"/>
  <c r="C1047" i="1"/>
  <c r="D1047" i="1"/>
  <c r="E1047" i="1"/>
  <c r="F1047" i="1"/>
  <c r="G1047" i="1"/>
  <c r="I1047" i="1"/>
  <c r="J1047" i="1"/>
  <c r="K1047" i="1"/>
  <c r="I1048" i="1"/>
  <c r="J1048" i="1"/>
  <c r="K1048" i="1"/>
  <c r="O1048" i="1"/>
  <c r="G1049" i="1"/>
  <c r="I1049" i="1"/>
  <c r="J1049" i="1"/>
  <c r="K1049" i="1"/>
  <c r="O1049" i="1"/>
  <c r="G1050" i="1"/>
  <c r="I1050" i="1"/>
  <c r="J1050" i="1"/>
  <c r="K1050" i="1"/>
  <c r="O1050" i="1"/>
  <c r="G1051" i="1"/>
  <c r="I1051" i="1"/>
  <c r="J1051" i="1"/>
  <c r="K1051" i="1"/>
  <c r="O1051" i="1"/>
  <c r="G1052" i="1"/>
  <c r="I1052" i="1"/>
  <c r="J1052" i="1"/>
  <c r="K1052" i="1"/>
  <c r="O1052" i="1"/>
  <c r="G1053" i="1"/>
  <c r="I1053" i="1"/>
  <c r="J1053" i="1"/>
  <c r="K1053" i="1"/>
  <c r="O1053" i="1"/>
  <c r="C1054" i="1"/>
  <c r="D1054" i="1"/>
  <c r="E1054" i="1"/>
  <c r="F1054" i="1"/>
  <c r="G1054" i="1"/>
  <c r="I1054" i="1"/>
  <c r="J1054" i="1"/>
  <c r="K1054" i="1"/>
  <c r="I1055" i="1"/>
  <c r="J1055" i="1"/>
  <c r="K1055" i="1"/>
  <c r="O1055" i="1"/>
  <c r="G1056" i="1"/>
  <c r="I1056" i="1"/>
  <c r="J1056" i="1"/>
  <c r="K1056" i="1"/>
  <c r="O1056" i="1"/>
  <c r="G1057" i="1"/>
  <c r="I1057" i="1"/>
  <c r="J1057" i="1"/>
  <c r="K1057" i="1"/>
  <c r="O1057" i="1"/>
  <c r="G1058" i="1"/>
  <c r="I1058" i="1"/>
  <c r="J1058" i="1"/>
  <c r="K1058" i="1"/>
  <c r="O1058" i="1"/>
  <c r="C1059" i="1"/>
  <c r="D1059" i="1"/>
  <c r="E1059" i="1"/>
  <c r="F1059" i="1"/>
  <c r="G1059" i="1"/>
  <c r="I1059" i="1"/>
  <c r="J1059" i="1"/>
  <c r="K1059" i="1"/>
  <c r="C1060" i="1"/>
  <c r="I1060" i="1"/>
  <c r="J1060" i="1"/>
  <c r="K1060" i="1"/>
  <c r="O1060" i="1"/>
  <c r="G1061" i="1"/>
  <c r="I1061" i="1"/>
  <c r="J1061" i="1"/>
  <c r="K1061" i="1"/>
  <c r="O1061" i="1"/>
  <c r="G1062" i="1"/>
  <c r="I1062" i="1"/>
  <c r="J1062" i="1"/>
  <c r="K1062" i="1"/>
  <c r="O1062" i="1"/>
  <c r="C1063" i="1"/>
  <c r="D1063" i="1"/>
  <c r="E1063" i="1"/>
  <c r="F1063" i="1"/>
  <c r="G1063" i="1"/>
  <c r="I1063" i="1"/>
  <c r="J1063" i="1"/>
  <c r="K1063" i="1"/>
  <c r="I1064" i="1"/>
  <c r="J1064" i="1"/>
  <c r="K1064" i="1"/>
  <c r="O1064" i="1"/>
  <c r="G1065" i="1"/>
  <c r="I1065" i="1"/>
  <c r="J1065" i="1"/>
  <c r="K1065" i="1"/>
  <c r="O1065" i="1"/>
  <c r="G1066" i="1"/>
  <c r="I1066" i="1"/>
  <c r="J1066" i="1"/>
  <c r="K1066" i="1"/>
  <c r="O1066" i="1"/>
  <c r="C1067" i="1"/>
  <c r="D1067" i="1"/>
  <c r="E1067" i="1"/>
  <c r="F1067" i="1"/>
  <c r="G1067" i="1"/>
  <c r="I1067" i="1"/>
  <c r="J1067" i="1"/>
  <c r="K1067" i="1"/>
  <c r="I1068" i="1"/>
  <c r="J1068" i="1"/>
  <c r="K1068" i="1"/>
  <c r="O1068" i="1"/>
  <c r="G1069" i="1"/>
  <c r="I1069" i="1"/>
  <c r="J1069" i="1"/>
  <c r="K1069" i="1"/>
  <c r="O1069" i="1"/>
  <c r="G1070" i="1"/>
  <c r="I1070" i="1"/>
  <c r="J1070" i="1"/>
  <c r="K1070" i="1"/>
  <c r="O1070" i="1"/>
  <c r="G1071" i="1"/>
  <c r="I1071" i="1"/>
  <c r="J1071" i="1"/>
  <c r="K1071" i="1"/>
  <c r="O1071" i="1"/>
  <c r="C1072" i="1"/>
  <c r="D1072" i="1"/>
  <c r="E1072" i="1"/>
  <c r="F1072" i="1"/>
  <c r="G1072" i="1"/>
  <c r="I1072" i="1"/>
  <c r="J1072" i="1"/>
  <c r="K1072" i="1"/>
  <c r="I1073" i="1"/>
  <c r="J1073" i="1"/>
  <c r="K1073" i="1"/>
  <c r="O1073" i="1"/>
  <c r="G1074" i="1"/>
  <c r="I1074" i="1"/>
  <c r="J1074" i="1"/>
  <c r="K1074" i="1"/>
  <c r="O1074" i="1"/>
  <c r="G1075" i="1"/>
  <c r="I1075" i="1"/>
  <c r="J1075" i="1"/>
  <c r="K1075" i="1"/>
  <c r="O1075" i="1"/>
  <c r="G1076" i="1"/>
  <c r="I1076" i="1"/>
  <c r="J1076" i="1"/>
  <c r="K1076" i="1"/>
  <c r="O1076" i="1"/>
  <c r="C1077" i="1"/>
  <c r="D1077" i="1"/>
  <c r="E1077" i="1"/>
  <c r="F1077" i="1"/>
  <c r="G1077" i="1"/>
  <c r="I1077" i="1"/>
  <c r="J1077" i="1"/>
  <c r="K1077" i="1"/>
  <c r="I1078" i="1"/>
  <c r="J1078" i="1"/>
  <c r="K1078" i="1"/>
  <c r="O1078" i="1"/>
  <c r="G1079" i="1"/>
  <c r="I1079" i="1"/>
  <c r="J1079" i="1"/>
  <c r="K1079" i="1"/>
  <c r="O1079" i="1"/>
  <c r="G1080" i="1"/>
  <c r="I1080" i="1"/>
  <c r="J1080" i="1"/>
  <c r="K1080" i="1"/>
  <c r="O1080" i="1"/>
  <c r="G1081" i="1"/>
  <c r="I1081" i="1"/>
  <c r="J1081" i="1"/>
  <c r="K1081" i="1"/>
  <c r="O1081" i="1"/>
  <c r="C1082" i="1"/>
  <c r="D1082" i="1"/>
  <c r="E1082" i="1"/>
  <c r="F1082" i="1"/>
  <c r="G1082" i="1"/>
  <c r="I1082" i="1"/>
  <c r="J1082" i="1"/>
  <c r="K1082" i="1"/>
  <c r="I1083" i="1"/>
  <c r="J1083" i="1"/>
  <c r="K1083" i="1"/>
  <c r="O1083" i="1"/>
  <c r="G1084" i="1"/>
  <c r="I1084" i="1"/>
  <c r="J1084" i="1"/>
  <c r="K1084" i="1"/>
  <c r="O1084" i="1"/>
  <c r="G1085" i="1"/>
  <c r="I1085" i="1"/>
  <c r="J1085" i="1"/>
  <c r="K1085" i="1"/>
  <c r="O1085" i="1"/>
  <c r="G1086" i="1"/>
  <c r="I1086" i="1"/>
  <c r="J1086" i="1"/>
  <c r="K1086" i="1"/>
  <c r="O1086" i="1"/>
  <c r="G1087" i="1"/>
  <c r="I1087" i="1"/>
  <c r="J1087" i="1"/>
  <c r="K1087" i="1"/>
  <c r="O1087" i="1"/>
  <c r="G1088" i="1"/>
  <c r="I1088" i="1"/>
  <c r="J1088" i="1"/>
  <c r="K1088" i="1"/>
  <c r="O1088" i="1"/>
  <c r="C1089" i="1"/>
  <c r="D1089" i="1"/>
  <c r="E1089" i="1"/>
  <c r="F1089" i="1"/>
  <c r="G1089" i="1"/>
  <c r="I1089" i="1"/>
  <c r="J1089" i="1"/>
  <c r="K1089" i="1"/>
  <c r="I1090" i="1"/>
  <c r="J1090" i="1"/>
  <c r="K1090" i="1"/>
  <c r="O1090" i="1"/>
  <c r="G1091" i="1"/>
  <c r="I1091" i="1"/>
  <c r="J1091" i="1"/>
  <c r="K1091" i="1"/>
  <c r="O1091" i="1"/>
  <c r="G1092" i="1"/>
  <c r="I1092" i="1"/>
  <c r="J1092" i="1"/>
  <c r="K1092" i="1"/>
  <c r="O1092" i="1"/>
  <c r="G1093" i="1"/>
  <c r="I1093" i="1"/>
  <c r="J1093" i="1"/>
  <c r="K1093" i="1"/>
  <c r="O1093" i="1"/>
  <c r="C1094" i="1"/>
  <c r="D1094" i="1"/>
  <c r="E1094" i="1"/>
  <c r="F1094" i="1"/>
  <c r="G1094" i="1"/>
  <c r="I1094" i="1"/>
  <c r="J1094" i="1"/>
  <c r="K1094" i="1"/>
  <c r="I1095" i="1"/>
  <c r="J1095" i="1"/>
  <c r="K1095" i="1"/>
  <c r="O1095" i="1"/>
  <c r="G1096" i="1"/>
  <c r="I1096" i="1"/>
  <c r="J1096" i="1"/>
  <c r="K1096" i="1"/>
  <c r="O1096" i="1"/>
  <c r="G1097" i="1"/>
  <c r="I1097" i="1"/>
  <c r="J1097" i="1"/>
  <c r="K1097" i="1"/>
  <c r="O1097" i="1"/>
  <c r="G1098" i="1"/>
  <c r="I1098" i="1"/>
  <c r="J1098" i="1"/>
  <c r="K1098" i="1"/>
  <c r="O1098" i="1"/>
  <c r="C1099" i="1"/>
  <c r="D1099" i="1"/>
  <c r="E1099" i="1"/>
  <c r="F1099" i="1"/>
  <c r="G1099" i="1"/>
  <c r="I1099" i="1"/>
  <c r="J1099" i="1"/>
  <c r="K1099" i="1"/>
  <c r="I1100" i="1"/>
  <c r="J1100" i="1"/>
  <c r="K1100" i="1"/>
  <c r="O1100" i="1"/>
  <c r="G1101" i="1"/>
  <c r="I1101" i="1"/>
  <c r="J1101" i="1"/>
  <c r="K1101" i="1"/>
  <c r="O1101" i="1"/>
  <c r="G1102" i="1"/>
  <c r="I1102" i="1"/>
  <c r="J1102" i="1"/>
  <c r="K1102" i="1"/>
  <c r="O1102" i="1"/>
  <c r="C1103" i="1"/>
  <c r="D1103" i="1"/>
  <c r="E1103" i="1"/>
  <c r="F1103" i="1"/>
  <c r="G1103" i="1"/>
  <c r="I1103" i="1"/>
  <c r="J1103" i="1"/>
  <c r="K1103" i="1"/>
  <c r="I1104" i="1"/>
  <c r="J1104" i="1"/>
  <c r="K1104" i="1"/>
  <c r="O1104" i="1"/>
  <c r="G1105" i="1"/>
  <c r="I1105" i="1"/>
  <c r="J1105" i="1"/>
  <c r="K1105" i="1"/>
  <c r="O1105" i="1"/>
  <c r="F1106" i="1"/>
  <c r="G1106" i="1"/>
  <c r="I1106" i="1"/>
  <c r="J1106" i="1"/>
  <c r="K1106" i="1"/>
  <c r="O1106" i="1"/>
  <c r="C1107" i="1"/>
  <c r="D1107" i="1"/>
  <c r="E1107" i="1"/>
  <c r="F1107" i="1"/>
  <c r="G1107" i="1"/>
  <c r="I1107" i="1"/>
  <c r="J1107" i="1"/>
  <c r="K1107" i="1"/>
  <c r="I1108" i="1"/>
  <c r="J1108" i="1"/>
  <c r="K1108" i="1"/>
  <c r="O1108" i="1"/>
  <c r="G1109" i="1"/>
  <c r="I1109" i="1"/>
  <c r="J1109" i="1"/>
  <c r="K1109" i="1"/>
  <c r="O1109" i="1"/>
  <c r="G1110" i="1"/>
  <c r="I1110" i="1"/>
  <c r="J1110" i="1"/>
  <c r="K1110" i="1"/>
  <c r="O1110" i="1"/>
  <c r="C1111" i="1"/>
  <c r="D1111" i="1"/>
  <c r="E1111" i="1"/>
  <c r="F1111" i="1"/>
  <c r="G1111" i="1"/>
  <c r="I1111" i="1"/>
  <c r="J1111" i="1"/>
  <c r="K1111" i="1"/>
  <c r="I1112" i="1"/>
  <c r="J1112" i="1"/>
  <c r="K1112" i="1"/>
  <c r="O1112" i="1"/>
  <c r="G1113" i="1"/>
  <c r="I1113" i="1"/>
  <c r="J1113" i="1"/>
  <c r="K1113" i="1"/>
  <c r="O1113" i="1"/>
  <c r="G1114" i="1"/>
  <c r="I1114" i="1"/>
  <c r="J1114" i="1"/>
  <c r="K1114" i="1"/>
  <c r="O1114" i="1"/>
  <c r="G1115" i="1"/>
  <c r="I1115" i="1"/>
  <c r="J1115" i="1"/>
  <c r="K1115" i="1"/>
  <c r="O1115" i="1"/>
  <c r="C1116" i="1"/>
  <c r="D1116" i="1"/>
  <c r="E1116" i="1"/>
  <c r="F1116" i="1"/>
  <c r="G1116" i="1"/>
  <c r="I1116" i="1"/>
  <c r="J1116" i="1"/>
  <c r="K1116" i="1"/>
  <c r="I1117" i="1"/>
  <c r="J1117" i="1"/>
  <c r="K1117" i="1"/>
  <c r="O1117" i="1"/>
  <c r="G1118" i="1"/>
  <c r="I1118" i="1"/>
  <c r="J1118" i="1"/>
  <c r="K1118" i="1"/>
  <c r="O1118" i="1"/>
  <c r="G1119" i="1"/>
  <c r="I1119" i="1"/>
  <c r="J1119" i="1"/>
  <c r="K1119" i="1"/>
  <c r="O1119" i="1"/>
  <c r="C1120" i="1"/>
  <c r="D1120" i="1"/>
  <c r="E1120" i="1"/>
  <c r="F1120" i="1"/>
  <c r="G1120" i="1"/>
  <c r="I1120" i="1"/>
  <c r="J1120" i="1"/>
  <c r="K1120" i="1"/>
  <c r="C1121" i="1"/>
  <c r="D1121" i="1"/>
  <c r="E1121" i="1"/>
  <c r="F1121" i="1"/>
  <c r="G1121" i="1"/>
  <c r="I1121" i="1"/>
  <c r="J1121" i="1"/>
  <c r="K1121" i="1"/>
  <c r="I1122" i="1"/>
  <c r="J1122" i="1"/>
  <c r="K1122" i="1"/>
  <c r="O1122" i="1"/>
  <c r="G1123" i="1"/>
  <c r="I1123" i="1"/>
  <c r="J1123" i="1"/>
  <c r="K1123" i="1"/>
  <c r="O1123" i="1"/>
  <c r="G1124" i="1"/>
  <c r="I1124" i="1"/>
  <c r="J1124" i="1"/>
  <c r="K1124" i="1"/>
  <c r="O1124" i="1"/>
  <c r="C1126" i="1"/>
  <c r="D1126" i="1"/>
  <c r="E1126" i="1"/>
  <c r="F1126" i="1"/>
  <c r="G1126" i="1"/>
  <c r="I1126" i="1"/>
  <c r="J1126" i="1"/>
  <c r="K1126" i="1"/>
  <c r="I1127" i="1"/>
  <c r="J1127" i="1"/>
  <c r="K1127" i="1"/>
  <c r="O1127" i="1"/>
  <c r="G1128" i="1"/>
  <c r="I1128" i="1"/>
  <c r="J1128" i="1"/>
  <c r="K1128" i="1"/>
  <c r="O1128" i="1"/>
  <c r="G1129" i="1"/>
  <c r="I1129" i="1"/>
  <c r="J1129" i="1"/>
  <c r="K1129" i="1"/>
  <c r="O1129" i="1"/>
  <c r="G1130" i="1"/>
  <c r="I1130" i="1"/>
  <c r="J1130" i="1"/>
  <c r="K1130" i="1"/>
  <c r="O1130" i="1"/>
  <c r="C1131" i="1"/>
  <c r="D1131" i="1"/>
  <c r="E1131" i="1"/>
  <c r="F1131" i="1"/>
  <c r="G1131" i="1"/>
  <c r="I1131" i="1"/>
  <c r="J1131" i="1"/>
  <c r="K1131" i="1"/>
  <c r="C1132" i="1"/>
  <c r="I1132" i="1"/>
  <c r="J1132" i="1"/>
  <c r="K1132" i="1"/>
  <c r="O1132" i="1"/>
  <c r="G1133" i="1"/>
  <c r="I1133" i="1"/>
  <c r="J1133" i="1"/>
  <c r="K1133" i="1"/>
  <c r="O1133" i="1"/>
  <c r="G1134" i="1"/>
  <c r="I1134" i="1"/>
  <c r="J1134" i="1"/>
  <c r="K1134" i="1"/>
  <c r="O1134" i="1"/>
  <c r="G1135" i="1"/>
  <c r="I1135" i="1"/>
  <c r="J1135" i="1"/>
  <c r="K1135" i="1"/>
  <c r="O1135" i="1"/>
  <c r="G1136" i="1"/>
  <c r="I1136" i="1"/>
  <c r="J1136" i="1"/>
  <c r="K1136" i="1"/>
  <c r="O1136" i="1"/>
  <c r="C1137" i="1"/>
  <c r="D1137" i="1"/>
  <c r="E1137" i="1"/>
  <c r="F1137" i="1"/>
  <c r="G1137" i="1"/>
  <c r="I1137" i="1"/>
  <c r="J1137" i="1"/>
  <c r="K1137" i="1"/>
  <c r="I1138" i="1"/>
  <c r="J1138" i="1"/>
  <c r="K1138" i="1"/>
  <c r="O1138" i="1"/>
  <c r="G1139" i="1"/>
  <c r="I1139" i="1"/>
  <c r="J1139" i="1"/>
  <c r="K1139" i="1"/>
  <c r="O1139" i="1"/>
  <c r="G1140" i="1"/>
  <c r="I1140" i="1"/>
  <c r="J1140" i="1"/>
  <c r="K1140" i="1"/>
  <c r="O1140" i="1"/>
  <c r="G1141" i="1"/>
  <c r="I1141" i="1"/>
  <c r="J1141" i="1"/>
  <c r="K1141" i="1"/>
  <c r="O1141" i="1"/>
  <c r="C1143" i="1"/>
  <c r="D1143" i="1"/>
  <c r="E1143" i="1"/>
  <c r="F1143" i="1"/>
  <c r="G1143" i="1"/>
  <c r="I1143" i="1"/>
  <c r="J1143" i="1"/>
  <c r="K1143" i="1"/>
  <c r="I1144" i="1"/>
  <c r="J1144" i="1"/>
  <c r="K1144" i="1"/>
  <c r="O1144" i="1"/>
  <c r="G1145" i="1"/>
  <c r="I1145" i="1"/>
  <c r="J1145" i="1"/>
  <c r="K1145" i="1"/>
  <c r="O1145" i="1"/>
  <c r="G1146" i="1"/>
  <c r="I1146" i="1"/>
  <c r="J1146" i="1"/>
  <c r="K1146" i="1"/>
  <c r="O1146" i="1"/>
  <c r="G1147" i="1"/>
  <c r="I1147" i="1"/>
  <c r="J1147" i="1"/>
  <c r="K1147" i="1"/>
  <c r="O1147" i="1"/>
  <c r="C1148" i="1"/>
  <c r="D1148" i="1"/>
  <c r="E1148" i="1"/>
  <c r="F1148" i="1"/>
  <c r="G1148" i="1"/>
  <c r="I1148" i="1"/>
  <c r="J1148" i="1"/>
  <c r="K1148" i="1"/>
  <c r="I1149" i="1"/>
  <c r="J1149" i="1"/>
  <c r="K1149" i="1"/>
  <c r="O1149" i="1"/>
  <c r="G1150" i="1"/>
  <c r="I1150" i="1"/>
  <c r="J1150" i="1"/>
  <c r="K1150" i="1"/>
  <c r="O1150" i="1"/>
  <c r="G1151" i="1"/>
  <c r="I1151" i="1"/>
  <c r="J1151" i="1"/>
  <c r="K1151" i="1"/>
  <c r="O1151" i="1"/>
  <c r="G1152" i="1"/>
  <c r="I1152" i="1"/>
  <c r="J1152" i="1"/>
  <c r="K1152" i="1"/>
  <c r="O1152" i="1"/>
  <c r="C1153" i="1"/>
  <c r="D1153" i="1"/>
  <c r="E1153" i="1"/>
  <c r="F1153" i="1"/>
  <c r="G1153" i="1"/>
  <c r="I1153" i="1"/>
  <c r="J1153" i="1"/>
  <c r="K1153" i="1"/>
  <c r="I1154" i="1"/>
  <c r="J1154" i="1"/>
  <c r="K1154" i="1"/>
  <c r="O1154" i="1"/>
  <c r="G1155" i="1"/>
  <c r="I1155" i="1"/>
  <c r="J1155" i="1"/>
  <c r="K1155" i="1"/>
  <c r="O1155" i="1"/>
  <c r="G1156" i="1"/>
  <c r="I1156" i="1"/>
  <c r="J1156" i="1"/>
  <c r="K1156" i="1"/>
  <c r="O1156" i="1"/>
  <c r="G1157" i="1"/>
  <c r="I1157" i="1"/>
  <c r="J1157" i="1"/>
  <c r="K1157" i="1"/>
  <c r="O1157" i="1"/>
  <c r="G1158" i="1"/>
  <c r="I1158" i="1"/>
  <c r="J1158" i="1"/>
  <c r="K1158" i="1"/>
  <c r="O1158" i="1"/>
  <c r="C1159" i="1"/>
  <c r="D1159" i="1"/>
  <c r="E1159" i="1"/>
  <c r="F1159" i="1"/>
  <c r="G1159" i="1"/>
  <c r="I1159" i="1"/>
  <c r="J1159" i="1"/>
  <c r="K1159" i="1"/>
  <c r="I1160" i="1"/>
  <c r="J1160" i="1"/>
  <c r="K1160" i="1"/>
  <c r="O1160" i="1"/>
  <c r="G1161" i="1"/>
  <c r="I1161" i="1"/>
  <c r="J1161" i="1"/>
  <c r="K1161" i="1"/>
  <c r="O1161" i="1"/>
  <c r="G1162" i="1"/>
  <c r="I1162" i="1"/>
  <c r="J1162" i="1"/>
  <c r="K1162" i="1"/>
  <c r="O1162" i="1"/>
  <c r="G1163" i="1"/>
  <c r="I1163" i="1"/>
  <c r="J1163" i="1"/>
  <c r="K1163" i="1"/>
  <c r="O1163" i="1"/>
  <c r="G1164" i="1"/>
  <c r="I1164" i="1"/>
  <c r="J1164" i="1"/>
  <c r="K1164" i="1"/>
  <c r="O1164" i="1"/>
  <c r="C1165" i="1"/>
  <c r="D1165" i="1"/>
  <c r="E1165" i="1"/>
  <c r="F1165" i="1"/>
  <c r="G1165" i="1"/>
  <c r="I1165" i="1"/>
  <c r="J1165" i="1"/>
  <c r="K1165" i="1"/>
  <c r="I1166" i="1"/>
  <c r="J1166" i="1"/>
  <c r="K1166" i="1"/>
  <c r="O1166" i="1"/>
  <c r="G1167" i="1"/>
  <c r="I1167" i="1"/>
  <c r="J1167" i="1"/>
  <c r="K1167" i="1"/>
  <c r="O1167" i="1"/>
  <c r="G1168" i="1"/>
  <c r="I1168" i="1"/>
  <c r="J1168" i="1"/>
  <c r="K1168" i="1"/>
  <c r="O1168" i="1"/>
  <c r="G1169" i="1"/>
  <c r="I1169" i="1"/>
  <c r="J1169" i="1"/>
  <c r="K1169" i="1"/>
  <c r="O1169" i="1"/>
  <c r="C1170" i="1"/>
  <c r="D1170" i="1"/>
  <c r="E1170" i="1"/>
  <c r="F1170" i="1"/>
  <c r="G1170" i="1"/>
  <c r="I1170" i="1"/>
  <c r="J1170" i="1"/>
  <c r="K1170" i="1"/>
  <c r="I1171" i="1"/>
  <c r="J1171" i="1"/>
  <c r="K1171" i="1"/>
  <c r="O1171" i="1"/>
  <c r="G1172" i="1"/>
  <c r="I1172" i="1"/>
  <c r="J1172" i="1"/>
  <c r="K1172" i="1"/>
  <c r="O1172" i="1"/>
  <c r="G1173" i="1"/>
  <c r="I1173" i="1"/>
  <c r="J1173" i="1"/>
  <c r="K1173" i="1"/>
  <c r="O1173" i="1"/>
  <c r="G1174" i="1"/>
  <c r="I1174" i="1"/>
  <c r="J1174" i="1"/>
  <c r="K1174" i="1"/>
  <c r="O1174" i="1"/>
  <c r="C1175" i="1"/>
  <c r="D1175" i="1"/>
  <c r="E1175" i="1"/>
  <c r="F1175" i="1"/>
  <c r="G1175" i="1"/>
  <c r="I1175" i="1"/>
  <c r="J1175" i="1"/>
  <c r="K1175" i="1"/>
  <c r="C1176" i="1"/>
  <c r="I1176" i="1"/>
  <c r="J1176" i="1"/>
  <c r="K1176" i="1"/>
  <c r="O1176" i="1"/>
  <c r="G1177" i="1"/>
  <c r="I1177" i="1"/>
  <c r="J1177" i="1"/>
  <c r="K1177" i="1"/>
  <c r="O1177" i="1"/>
  <c r="G1178" i="1"/>
  <c r="I1178" i="1"/>
  <c r="J1178" i="1"/>
  <c r="K1178" i="1"/>
  <c r="O1178" i="1"/>
  <c r="G1179" i="1"/>
  <c r="I1179" i="1"/>
  <c r="J1179" i="1"/>
  <c r="K1179" i="1"/>
  <c r="O1179" i="1"/>
  <c r="G1180" i="1"/>
  <c r="I1180" i="1"/>
  <c r="J1180" i="1"/>
  <c r="K1180" i="1"/>
  <c r="O1180" i="1"/>
  <c r="C1181" i="1"/>
  <c r="D1181" i="1"/>
  <c r="E1181" i="1"/>
  <c r="F1181" i="1"/>
  <c r="G1181" i="1"/>
  <c r="I1181" i="1"/>
  <c r="J1181" i="1"/>
  <c r="K1181" i="1"/>
  <c r="C1182" i="1"/>
  <c r="I1182" i="1"/>
  <c r="J1182" i="1"/>
  <c r="K1182" i="1"/>
  <c r="O1182" i="1"/>
  <c r="G1183" i="1"/>
  <c r="I1183" i="1"/>
  <c r="J1183" i="1"/>
  <c r="K1183" i="1"/>
  <c r="O1183" i="1"/>
  <c r="G1184" i="1"/>
  <c r="I1184" i="1"/>
  <c r="J1184" i="1"/>
  <c r="K1184" i="1"/>
  <c r="O1184" i="1"/>
  <c r="C1185" i="1"/>
  <c r="D1185" i="1"/>
  <c r="E1185" i="1"/>
  <c r="F1185" i="1"/>
  <c r="G1185" i="1"/>
  <c r="I1185" i="1"/>
  <c r="J1185" i="1"/>
  <c r="K1185" i="1"/>
  <c r="I1186" i="1"/>
  <c r="J1186" i="1"/>
  <c r="K1186" i="1"/>
  <c r="O1186" i="1"/>
  <c r="G1187" i="1"/>
  <c r="I1187" i="1"/>
  <c r="J1187" i="1"/>
  <c r="K1187" i="1"/>
  <c r="O1187" i="1"/>
  <c r="G1188" i="1"/>
  <c r="I1188" i="1"/>
  <c r="J1188" i="1"/>
  <c r="K1188" i="1"/>
  <c r="O1188" i="1"/>
  <c r="G1189" i="1"/>
  <c r="I1189" i="1"/>
  <c r="J1189" i="1"/>
  <c r="K1189" i="1"/>
  <c r="O1189" i="1"/>
  <c r="G1190" i="1"/>
  <c r="I1190" i="1"/>
  <c r="J1190" i="1"/>
  <c r="K1190" i="1"/>
  <c r="O1190" i="1"/>
  <c r="C1191" i="1"/>
  <c r="D1191" i="1"/>
  <c r="E1191" i="1"/>
  <c r="F1191" i="1"/>
  <c r="G1191" i="1"/>
  <c r="I1191" i="1"/>
  <c r="J1191" i="1"/>
  <c r="K1191" i="1"/>
  <c r="I1192" i="1"/>
  <c r="J1192" i="1"/>
  <c r="K1192" i="1"/>
  <c r="O1192" i="1"/>
  <c r="G1193" i="1"/>
  <c r="I1193" i="1"/>
  <c r="J1193" i="1"/>
  <c r="K1193" i="1"/>
  <c r="O1193" i="1"/>
  <c r="G1194" i="1"/>
  <c r="I1194" i="1"/>
  <c r="J1194" i="1"/>
  <c r="K1194" i="1"/>
  <c r="O1194" i="1"/>
  <c r="C1195" i="1"/>
  <c r="D1195" i="1"/>
  <c r="E1195" i="1"/>
  <c r="F1195" i="1"/>
  <c r="G1195" i="1"/>
  <c r="I1195" i="1"/>
  <c r="J1195" i="1"/>
  <c r="K1195" i="1"/>
  <c r="I1196" i="1"/>
  <c r="J1196" i="1"/>
  <c r="K1196" i="1"/>
  <c r="O1196" i="1"/>
  <c r="G1197" i="1"/>
  <c r="I1197" i="1"/>
  <c r="J1197" i="1"/>
  <c r="K1197" i="1"/>
  <c r="O1197" i="1"/>
  <c r="G1198" i="1"/>
  <c r="I1198" i="1"/>
  <c r="J1198" i="1"/>
  <c r="K1198" i="1"/>
  <c r="O1198" i="1"/>
  <c r="G1199" i="1"/>
  <c r="I1199" i="1"/>
  <c r="J1199" i="1"/>
  <c r="K1199" i="1"/>
  <c r="O1199" i="1"/>
  <c r="G1200" i="1"/>
  <c r="I1200" i="1"/>
  <c r="J1200" i="1"/>
  <c r="K1200" i="1"/>
  <c r="O1200" i="1"/>
  <c r="C1201" i="1"/>
  <c r="D1201" i="1"/>
  <c r="E1201" i="1"/>
  <c r="F1201" i="1"/>
  <c r="G1201" i="1"/>
  <c r="I1201" i="1"/>
  <c r="J1201" i="1"/>
  <c r="K1201" i="1"/>
  <c r="C1202" i="1"/>
  <c r="I1202" i="1"/>
  <c r="J1202" i="1"/>
  <c r="K1202" i="1"/>
  <c r="O1202" i="1"/>
  <c r="G1203" i="1"/>
  <c r="I1203" i="1"/>
  <c r="J1203" i="1"/>
  <c r="K1203" i="1"/>
  <c r="O1203" i="1"/>
  <c r="C1204" i="1"/>
  <c r="D1204" i="1"/>
  <c r="E1204" i="1"/>
  <c r="F1204" i="1"/>
  <c r="G1204" i="1"/>
  <c r="I1204" i="1"/>
  <c r="J1204" i="1"/>
  <c r="K1204" i="1"/>
  <c r="I1205" i="1"/>
  <c r="J1205" i="1"/>
  <c r="K1205" i="1"/>
  <c r="O1205" i="1"/>
  <c r="G1206" i="1"/>
  <c r="I1206" i="1"/>
  <c r="J1206" i="1"/>
  <c r="K1206" i="1"/>
  <c r="O1206" i="1"/>
  <c r="G1207" i="1"/>
  <c r="I1207" i="1"/>
  <c r="J1207" i="1"/>
  <c r="K1207" i="1"/>
  <c r="O1207" i="1"/>
  <c r="G1208" i="1"/>
  <c r="I1208" i="1"/>
  <c r="J1208" i="1"/>
  <c r="K1208" i="1"/>
  <c r="O1208" i="1"/>
  <c r="C1209" i="1"/>
  <c r="D1209" i="1"/>
  <c r="E1209" i="1"/>
  <c r="F1209" i="1"/>
  <c r="G1209" i="1"/>
  <c r="I1209" i="1"/>
  <c r="J1209" i="1"/>
  <c r="K1209" i="1"/>
  <c r="I1210" i="1"/>
  <c r="J1210" i="1"/>
  <c r="K1210" i="1"/>
  <c r="O1210" i="1"/>
  <c r="G1211" i="1"/>
  <c r="I1211" i="1"/>
  <c r="J1211" i="1"/>
  <c r="K1211" i="1"/>
  <c r="O1211" i="1"/>
  <c r="G1212" i="1"/>
  <c r="I1212" i="1"/>
  <c r="J1212" i="1"/>
  <c r="K1212" i="1"/>
  <c r="O1212" i="1"/>
  <c r="G1213" i="1"/>
  <c r="I1213" i="1"/>
  <c r="J1213" i="1"/>
  <c r="K1213" i="1"/>
  <c r="O1213" i="1"/>
  <c r="G1214" i="1"/>
  <c r="I1214" i="1"/>
  <c r="J1214" i="1"/>
  <c r="K1214" i="1"/>
  <c r="O1214" i="1"/>
  <c r="C1215" i="1"/>
  <c r="D1215" i="1"/>
  <c r="E1215" i="1"/>
  <c r="F1215" i="1"/>
  <c r="G1215" i="1"/>
  <c r="I1215" i="1"/>
  <c r="J1215" i="1"/>
  <c r="K1215" i="1"/>
  <c r="C1216" i="1"/>
  <c r="I1216" i="1"/>
  <c r="J1216" i="1"/>
  <c r="K1216" i="1"/>
  <c r="O1216" i="1"/>
  <c r="G1217" i="1"/>
  <c r="I1217" i="1"/>
  <c r="J1217" i="1"/>
  <c r="K1217" i="1"/>
  <c r="O1217" i="1"/>
  <c r="G1218" i="1"/>
  <c r="I1218" i="1"/>
  <c r="J1218" i="1"/>
  <c r="K1218" i="1"/>
  <c r="O1218" i="1"/>
  <c r="G1219" i="1"/>
  <c r="I1219" i="1"/>
  <c r="J1219" i="1"/>
  <c r="K1219" i="1"/>
  <c r="O1219" i="1"/>
  <c r="G1220" i="1"/>
  <c r="I1220" i="1"/>
  <c r="J1220" i="1"/>
  <c r="K1220" i="1"/>
  <c r="O1220" i="1"/>
  <c r="C1221" i="1"/>
  <c r="D1221" i="1"/>
  <c r="E1221" i="1"/>
  <c r="F1221" i="1"/>
  <c r="G1221" i="1"/>
  <c r="I1221" i="1"/>
  <c r="J1221" i="1"/>
  <c r="K1221" i="1"/>
  <c r="I1222" i="1"/>
  <c r="J1222" i="1"/>
  <c r="K1222" i="1"/>
  <c r="O1222" i="1"/>
  <c r="G1223" i="1"/>
  <c r="I1223" i="1"/>
  <c r="J1223" i="1"/>
  <c r="K1223" i="1"/>
  <c r="O1223" i="1"/>
  <c r="G1224" i="1"/>
  <c r="I1224" i="1"/>
  <c r="J1224" i="1"/>
  <c r="K1224" i="1"/>
  <c r="O1224" i="1"/>
  <c r="C1225" i="1"/>
  <c r="D1225" i="1"/>
  <c r="E1225" i="1"/>
  <c r="F1225" i="1"/>
  <c r="G1225" i="1"/>
  <c r="I1225" i="1"/>
  <c r="J1225" i="1"/>
  <c r="K1225" i="1"/>
  <c r="I1226" i="1"/>
  <c r="J1226" i="1"/>
  <c r="K1226" i="1"/>
  <c r="O1226" i="1"/>
  <c r="G1227" i="1"/>
  <c r="I1227" i="1"/>
  <c r="J1227" i="1"/>
  <c r="K1227" i="1"/>
  <c r="O1227" i="1"/>
  <c r="G1228" i="1"/>
  <c r="I1228" i="1"/>
  <c r="J1228" i="1"/>
  <c r="K1228" i="1"/>
  <c r="O1228" i="1"/>
  <c r="G1229" i="1"/>
  <c r="I1229" i="1"/>
  <c r="J1229" i="1"/>
  <c r="K1229" i="1"/>
  <c r="O1229" i="1"/>
  <c r="C1230" i="1"/>
  <c r="D1230" i="1"/>
  <c r="E1230" i="1"/>
  <c r="F1230" i="1"/>
  <c r="G1230" i="1"/>
  <c r="I1230" i="1"/>
  <c r="J1230" i="1"/>
  <c r="K1230" i="1"/>
  <c r="I1231" i="1"/>
  <c r="J1231" i="1"/>
  <c r="K1231" i="1"/>
  <c r="O1231" i="1"/>
  <c r="G1232" i="1"/>
  <c r="I1232" i="1"/>
  <c r="J1232" i="1"/>
  <c r="K1232" i="1"/>
  <c r="O1232" i="1"/>
  <c r="G1233" i="1"/>
  <c r="I1233" i="1"/>
  <c r="J1233" i="1"/>
  <c r="K1233" i="1"/>
  <c r="O1233" i="1"/>
  <c r="G1234" i="1"/>
  <c r="I1234" i="1"/>
  <c r="J1234" i="1"/>
  <c r="K1234" i="1"/>
  <c r="O1234" i="1"/>
  <c r="C1235" i="1"/>
  <c r="D1235" i="1"/>
  <c r="E1235" i="1"/>
  <c r="F1235" i="1"/>
  <c r="G1235" i="1"/>
  <c r="I1235" i="1"/>
  <c r="J1235" i="1"/>
  <c r="K1235" i="1"/>
  <c r="I1236" i="1"/>
  <c r="J1236" i="1"/>
  <c r="K1236" i="1"/>
  <c r="O1236" i="1"/>
  <c r="G1237" i="1"/>
  <c r="I1237" i="1"/>
  <c r="J1237" i="1"/>
  <c r="K1237" i="1"/>
  <c r="O1237" i="1"/>
  <c r="G1238" i="1"/>
  <c r="I1238" i="1"/>
  <c r="J1238" i="1"/>
  <c r="K1238" i="1"/>
  <c r="O1238" i="1"/>
  <c r="G1239" i="1"/>
  <c r="I1239" i="1"/>
  <c r="J1239" i="1"/>
  <c r="K1239" i="1"/>
  <c r="O1239" i="1"/>
  <c r="C1240" i="1"/>
  <c r="D1240" i="1"/>
  <c r="E1240" i="1"/>
  <c r="F1240" i="1"/>
  <c r="G1240" i="1"/>
  <c r="I1240" i="1"/>
  <c r="J1240" i="1"/>
  <c r="K1240" i="1"/>
  <c r="I1241" i="1"/>
  <c r="J1241" i="1"/>
  <c r="K1241" i="1"/>
  <c r="O1241" i="1"/>
  <c r="G1242" i="1"/>
  <c r="I1242" i="1"/>
  <c r="J1242" i="1"/>
  <c r="K1242" i="1"/>
  <c r="O1242" i="1"/>
  <c r="G1243" i="1"/>
  <c r="I1243" i="1"/>
  <c r="J1243" i="1"/>
  <c r="K1243" i="1"/>
  <c r="O1243" i="1"/>
  <c r="C1245" i="1"/>
  <c r="D1245" i="1"/>
  <c r="E1245" i="1"/>
  <c r="F1245" i="1"/>
  <c r="G1245" i="1"/>
  <c r="I1245" i="1"/>
  <c r="J1245" i="1"/>
  <c r="K1245" i="1"/>
  <c r="I1246" i="1"/>
  <c r="J1246" i="1"/>
  <c r="K1246" i="1"/>
  <c r="O1245" i="1"/>
  <c r="C1247" i="1"/>
  <c r="D1247" i="1"/>
  <c r="E1247" i="1"/>
  <c r="F1247" i="1"/>
  <c r="G1247" i="1"/>
  <c r="I1247" i="1"/>
  <c r="J1247" i="1"/>
  <c r="K1247" i="1"/>
  <c r="I1248" i="1"/>
  <c r="J1248" i="1"/>
  <c r="K1248" i="1"/>
  <c r="O1247" i="1"/>
  <c r="G1249" i="1"/>
  <c r="I1249" i="1"/>
  <c r="J1249" i="1"/>
  <c r="K1249" i="1"/>
  <c r="O1248" i="1"/>
  <c r="G1250" i="1"/>
  <c r="I1250" i="1"/>
  <c r="J1250" i="1"/>
  <c r="K1250" i="1"/>
  <c r="O1249" i="1"/>
  <c r="G1251" i="1"/>
  <c r="I1251" i="1"/>
  <c r="J1251" i="1"/>
  <c r="K1251" i="1"/>
  <c r="O1250" i="1"/>
  <c r="G1252" i="1"/>
  <c r="I1252" i="1"/>
  <c r="J1252" i="1"/>
  <c r="K1252" i="1"/>
  <c r="O1251" i="1"/>
  <c r="C1253" i="1"/>
  <c r="D1253" i="1"/>
  <c r="E1253" i="1"/>
  <c r="F1253" i="1"/>
  <c r="G1253" i="1"/>
  <c r="I1253" i="1"/>
  <c r="J1253" i="1"/>
  <c r="K1253" i="1"/>
  <c r="I1254" i="1"/>
  <c r="J1254" i="1"/>
  <c r="K1254" i="1"/>
  <c r="O1253" i="1"/>
  <c r="G1255" i="1"/>
  <c r="I1255" i="1"/>
  <c r="J1255" i="1"/>
  <c r="K1255" i="1"/>
  <c r="O1254" i="1"/>
  <c r="G1256" i="1"/>
  <c r="I1256" i="1"/>
  <c r="J1256" i="1"/>
  <c r="K1256" i="1"/>
  <c r="O1255" i="1"/>
  <c r="G1257" i="1"/>
  <c r="I1257" i="1"/>
  <c r="J1257" i="1"/>
  <c r="K1257" i="1"/>
  <c r="O1256" i="1"/>
  <c r="C1258" i="1"/>
  <c r="D1258" i="1"/>
  <c r="E1258" i="1"/>
  <c r="F1258" i="1"/>
  <c r="G1258" i="1"/>
  <c r="I1258" i="1"/>
  <c r="J1258" i="1"/>
  <c r="K1258" i="1"/>
  <c r="I1259" i="1"/>
  <c r="J1259" i="1"/>
  <c r="K1259" i="1"/>
  <c r="O1258" i="1"/>
  <c r="G1260" i="1"/>
  <c r="I1260" i="1"/>
  <c r="J1260" i="1"/>
  <c r="K1260" i="1"/>
  <c r="O1259" i="1"/>
  <c r="G1261" i="1"/>
  <c r="I1261" i="1"/>
  <c r="J1261" i="1"/>
  <c r="K1261" i="1"/>
  <c r="O1260" i="1"/>
  <c r="G1262" i="1"/>
  <c r="I1262" i="1"/>
  <c r="J1262" i="1"/>
  <c r="K1262" i="1"/>
  <c r="O1261" i="1"/>
  <c r="C1263" i="1"/>
  <c r="D1263" i="1"/>
  <c r="E1263" i="1"/>
  <c r="F1263" i="1"/>
  <c r="G1263" i="1"/>
  <c r="I1263" i="1"/>
  <c r="J1263" i="1"/>
  <c r="K1263" i="1"/>
  <c r="I1264" i="1"/>
  <c r="J1264" i="1"/>
  <c r="K1264" i="1"/>
  <c r="O1263" i="1"/>
  <c r="G1265" i="1"/>
  <c r="I1265" i="1"/>
  <c r="J1265" i="1"/>
  <c r="K1265" i="1"/>
  <c r="O1264" i="1"/>
  <c r="G1266" i="1"/>
  <c r="I1266" i="1"/>
  <c r="J1266" i="1"/>
  <c r="K1266" i="1"/>
  <c r="O1265" i="1"/>
  <c r="G1267" i="1"/>
  <c r="I1267" i="1"/>
  <c r="J1267" i="1"/>
  <c r="K1267" i="1"/>
  <c r="O1266" i="1"/>
  <c r="C1268" i="1"/>
  <c r="D1268" i="1"/>
  <c r="E1268" i="1"/>
  <c r="F1268" i="1"/>
  <c r="G1268" i="1"/>
  <c r="I1268" i="1"/>
  <c r="J1268" i="1"/>
  <c r="K1268" i="1"/>
  <c r="I1269" i="1"/>
  <c r="J1269" i="1"/>
  <c r="K1269" i="1"/>
  <c r="O1268" i="1"/>
  <c r="G1270" i="1"/>
  <c r="I1270" i="1"/>
  <c r="J1270" i="1"/>
  <c r="K1270" i="1"/>
  <c r="O1269" i="1"/>
  <c r="G1271" i="1"/>
  <c r="I1271" i="1"/>
  <c r="J1271" i="1"/>
  <c r="K1271" i="1"/>
  <c r="O1270" i="1"/>
  <c r="C1272" i="1"/>
  <c r="D1272" i="1"/>
  <c r="E1272" i="1"/>
  <c r="F1272" i="1"/>
  <c r="G1272" i="1"/>
  <c r="I1272" i="1"/>
  <c r="J1272" i="1"/>
  <c r="K1272" i="1"/>
  <c r="I1273" i="1"/>
  <c r="J1273" i="1"/>
  <c r="K1273" i="1"/>
  <c r="O1272" i="1"/>
  <c r="G1274" i="1"/>
  <c r="I1274" i="1"/>
  <c r="J1274" i="1"/>
  <c r="K1274" i="1"/>
  <c r="O1273" i="1"/>
  <c r="G1275" i="1"/>
  <c r="I1275" i="1"/>
  <c r="J1275" i="1"/>
  <c r="K1275" i="1"/>
  <c r="O1274" i="1"/>
  <c r="G1276" i="1"/>
  <c r="I1276" i="1"/>
  <c r="J1276" i="1"/>
  <c r="K1276" i="1"/>
  <c r="O1275" i="1"/>
  <c r="C1277" i="1"/>
  <c r="D1277" i="1"/>
  <c r="E1277" i="1"/>
  <c r="F1277" i="1"/>
  <c r="G1277" i="1"/>
  <c r="I1277" i="1"/>
  <c r="J1277" i="1"/>
  <c r="K1277" i="1"/>
  <c r="E1278" i="1"/>
  <c r="I1278" i="1"/>
  <c r="J1278" i="1"/>
  <c r="K1278" i="1"/>
  <c r="O1277" i="1"/>
  <c r="G1279" i="1"/>
  <c r="I1279" i="1"/>
  <c r="J1279" i="1"/>
  <c r="K1279" i="1"/>
  <c r="O1278" i="1"/>
  <c r="C1282" i="1"/>
  <c r="D1282" i="1"/>
  <c r="E1282" i="1"/>
  <c r="F1282" i="1"/>
  <c r="G1282" i="1"/>
  <c r="I1282" i="1"/>
  <c r="J1282" i="1"/>
  <c r="K1282" i="1"/>
  <c r="I1283" i="1"/>
  <c r="J1283" i="1"/>
  <c r="K1283" i="1"/>
  <c r="O1280" i="1"/>
  <c r="G1284" i="1"/>
  <c r="I1284" i="1"/>
  <c r="J1284" i="1"/>
  <c r="K1284" i="1"/>
  <c r="O1282" i="1"/>
  <c r="G1285" i="1"/>
  <c r="I1285" i="1"/>
  <c r="J1285" i="1"/>
  <c r="K1285" i="1"/>
  <c r="O1283" i="1"/>
  <c r="C1286" i="1"/>
  <c r="D1286" i="1"/>
  <c r="E1286" i="1"/>
  <c r="F1286" i="1"/>
  <c r="G1286" i="1"/>
  <c r="I1286" i="1"/>
  <c r="J1286" i="1"/>
  <c r="K1286" i="1"/>
  <c r="I1287" i="1"/>
  <c r="J1287" i="1"/>
  <c r="K1287" i="1"/>
  <c r="O1285" i="1"/>
  <c r="G1288" i="1"/>
  <c r="I1288" i="1"/>
  <c r="J1288" i="1"/>
  <c r="K1288" i="1"/>
  <c r="O1286" i="1"/>
  <c r="G1289" i="1"/>
  <c r="I1289" i="1"/>
  <c r="J1289" i="1"/>
  <c r="K1289" i="1"/>
  <c r="O1287" i="1"/>
  <c r="G1290" i="1"/>
  <c r="I1290" i="1"/>
  <c r="J1290" i="1"/>
  <c r="K1290" i="1"/>
  <c r="O1288" i="1"/>
  <c r="C1291" i="1"/>
  <c r="D1291" i="1"/>
  <c r="E1291" i="1"/>
  <c r="F1291" i="1"/>
  <c r="G1291" i="1"/>
  <c r="I1291" i="1"/>
  <c r="J1291" i="1"/>
  <c r="K1291" i="1"/>
  <c r="I1292" i="1"/>
  <c r="J1292" i="1"/>
  <c r="K1292" i="1"/>
  <c r="O1290" i="1"/>
  <c r="G1293" i="1"/>
  <c r="I1293" i="1"/>
  <c r="J1293" i="1"/>
  <c r="K1293" i="1"/>
  <c r="O1291" i="1"/>
  <c r="G1294" i="1"/>
  <c r="I1294" i="1"/>
  <c r="J1294" i="1"/>
  <c r="K1294" i="1"/>
  <c r="O1292" i="1"/>
  <c r="G1295" i="1"/>
  <c r="I1295" i="1"/>
  <c r="J1295" i="1"/>
  <c r="K1295" i="1"/>
  <c r="O1293" i="1"/>
  <c r="C1297" i="1"/>
  <c r="D1297" i="1"/>
  <c r="E1297" i="1"/>
  <c r="F1297" i="1"/>
  <c r="G1297" i="1"/>
  <c r="I1297" i="1"/>
  <c r="J1297" i="1"/>
  <c r="K1297" i="1"/>
  <c r="I1298" i="1"/>
  <c r="J1298" i="1"/>
  <c r="K1298" i="1"/>
  <c r="O1295" i="1"/>
  <c r="G1299" i="1"/>
  <c r="I1299" i="1"/>
  <c r="J1299" i="1"/>
  <c r="K1299" i="1"/>
  <c r="O1297" i="1"/>
  <c r="G1300" i="1"/>
  <c r="I1300" i="1"/>
  <c r="J1300" i="1"/>
  <c r="K1300" i="1"/>
  <c r="O1298" i="1"/>
  <c r="C1301" i="1"/>
  <c r="D1301" i="1"/>
  <c r="E1301" i="1"/>
  <c r="F1301" i="1"/>
  <c r="G1301" i="1"/>
  <c r="I1301" i="1"/>
  <c r="J1301" i="1"/>
  <c r="K1301" i="1"/>
  <c r="C1302" i="1"/>
  <c r="D1302" i="1"/>
  <c r="E1302" i="1"/>
  <c r="F1302" i="1"/>
  <c r="G1302" i="1"/>
  <c r="I1302" i="1"/>
  <c r="J1302" i="1"/>
  <c r="K1302" i="1"/>
  <c r="I1303" i="1"/>
  <c r="J1303" i="1"/>
  <c r="K1303" i="1"/>
  <c r="O1301" i="1"/>
  <c r="G1304" i="1"/>
  <c r="I1304" i="1"/>
  <c r="J1304" i="1"/>
  <c r="K1304" i="1"/>
  <c r="O1302" i="1"/>
  <c r="G1305" i="1"/>
  <c r="I1305" i="1"/>
  <c r="J1305" i="1"/>
  <c r="K1305" i="1"/>
  <c r="O1303" i="1"/>
  <c r="G1306" i="1"/>
  <c r="I1306" i="1"/>
  <c r="J1306" i="1"/>
  <c r="K1306" i="1"/>
  <c r="O1304" i="1"/>
  <c r="C1308" i="1"/>
  <c r="D1308" i="1"/>
  <c r="E1308" i="1"/>
  <c r="F1308" i="1"/>
  <c r="G1308" i="1"/>
  <c r="I1308" i="1"/>
  <c r="J1308" i="1"/>
  <c r="K1308" i="1"/>
  <c r="I1309" i="1"/>
  <c r="J1309" i="1"/>
  <c r="K1309" i="1"/>
  <c r="O1306" i="1"/>
  <c r="G1310" i="1"/>
  <c r="I1310" i="1"/>
  <c r="J1310" i="1"/>
  <c r="K1310" i="1"/>
  <c r="O1307" i="1"/>
  <c r="G1311" i="1"/>
  <c r="I1311" i="1"/>
  <c r="J1311" i="1"/>
  <c r="K1311" i="1"/>
  <c r="O1308" i="1"/>
  <c r="G1312" i="1"/>
  <c r="I1312" i="1"/>
  <c r="J1312" i="1"/>
  <c r="K1312" i="1"/>
  <c r="O1309" i="1"/>
  <c r="G1313" i="1"/>
  <c r="I1313" i="1"/>
  <c r="J1313" i="1"/>
  <c r="K1313" i="1"/>
  <c r="O1310" i="1"/>
  <c r="C1314" i="1"/>
  <c r="D1314" i="1"/>
  <c r="E1314" i="1"/>
  <c r="F1314" i="1"/>
  <c r="G1314" i="1"/>
  <c r="I1314" i="1"/>
  <c r="J1314" i="1"/>
  <c r="K1314" i="1"/>
  <c r="I1315" i="1"/>
  <c r="J1315" i="1"/>
  <c r="K1315" i="1"/>
  <c r="O1312" i="1"/>
  <c r="G1316" i="1"/>
  <c r="I1316" i="1"/>
  <c r="J1316" i="1"/>
  <c r="K1316" i="1"/>
  <c r="O1313" i="1"/>
  <c r="G1317" i="1"/>
  <c r="I1317" i="1"/>
  <c r="J1317" i="1"/>
  <c r="K1317" i="1"/>
  <c r="O1314" i="1"/>
  <c r="G1318" i="1"/>
  <c r="I1318" i="1"/>
  <c r="J1318" i="1"/>
  <c r="K1318" i="1"/>
  <c r="O1315" i="1"/>
  <c r="G1319" i="1"/>
  <c r="I1319" i="1"/>
  <c r="J1319" i="1"/>
  <c r="K1319" i="1"/>
  <c r="O1316" i="1"/>
  <c r="C1320" i="1"/>
  <c r="D1320" i="1"/>
  <c r="E1320" i="1"/>
  <c r="F1320" i="1"/>
  <c r="G1320" i="1"/>
  <c r="I1320" i="1"/>
  <c r="J1320" i="1"/>
  <c r="K1320" i="1"/>
  <c r="I1321" i="1"/>
  <c r="J1321" i="1"/>
  <c r="K1321" i="1"/>
  <c r="O1318" i="1"/>
  <c r="G1322" i="1"/>
  <c r="I1322" i="1"/>
  <c r="J1322" i="1"/>
  <c r="K1322" i="1"/>
  <c r="O1319" i="1"/>
  <c r="G1323" i="1"/>
  <c r="I1323" i="1"/>
  <c r="J1323" i="1"/>
  <c r="K1323" i="1"/>
  <c r="O1320" i="1"/>
  <c r="C1324" i="1"/>
  <c r="D1324" i="1"/>
  <c r="E1324" i="1"/>
  <c r="F1324" i="1"/>
  <c r="G1324" i="1"/>
  <c r="I1324" i="1"/>
  <c r="J1324" i="1"/>
  <c r="K1324" i="1"/>
  <c r="I1325" i="1"/>
  <c r="J1325" i="1"/>
  <c r="K1325" i="1"/>
  <c r="O1322" i="1"/>
  <c r="G1326" i="1"/>
  <c r="I1326" i="1"/>
  <c r="J1326" i="1"/>
  <c r="K1326" i="1"/>
  <c r="O1323" i="1"/>
  <c r="G1327" i="1"/>
  <c r="I1327" i="1"/>
  <c r="J1327" i="1"/>
  <c r="K1327" i="1"/>
  <c r="O1324" i="1"/>
  <c r="F1328" i="1"/>
  <c r="G1328" i="1"/>
  <c r="I1328" i="1"/>
  <c r="J1328" i="1"/>
  <c r="K1328" i="1"/>
  <c r="O1325" i="1"/>
  <c r="C1329" i="1"/>
  <c r="D1329" i="1"/>
  <c r="E1329" i="1"/>
  <c r="F1329" i="1"/>
  <c r="G1329" i="1"/>
  <c r="I1329" i="1"/>
  <c r="J1329" i="1"/>
  <c r="K1329" i="1"/>
  <c r="I1330" i="1"/>
  <c r="J1330" i="1"/>
  <c r="K1330" i="1"/>
  <c r="O1327" i="1"/>
  <c r="G1331" i="1"/>
  <c r="I1331" i="1"/>
  <c r="J1331" i="1"/>
  <c r="K1331" i="1"/>
  <c r="O1328" i="1"/>
  <c r="G1332" i="1"/>
  <c r="I1332" i="1"/>
  <c r="J1332" i="1"/>
  <c r="K1332" i="1"/>
  <c r="O1329" i="1"/>
  <c r="C1333" i="1"/>
  <c r="D1333" i="1"/>
  <c r="E1333" i="1"/>
  <c r="F1333" i="1"/>
  <c r="G1333" i="1"/>
  <c r="I1333" i="1"/>
  <c r="J1333" i="1"/>
  <c r="K1333" i="1"/>
  <c r="I1334" i="1"/>
  <c r="J1334" i="1"/>
  <c r="K1334" i="1"/>
  <c r="O1331" i="1"/>
  <c r="G1335" i="1"/>
  <c r="I1335" i="1"/>
  <c r="J1335" i="1"/>
  <c r="K1335" i="1"/>
  <c r="O1332" i="1"/>
  <c r="G1336" i="1"/>
  <c r="I1336" i="1"/>
  <c r="J1336" i="1"/>
  <c r="K1336" i="1"/>
  <c r="O1333" i="1"/>
  <c r="G1337" i="1"/>
  <c r="I1337" i="1"/>
  <c r="J1337" i="1"/>
  <c r="K1337" i="1"/>
  <c r="O1334" i="1"/>
  <c r="G1338" i="1"/>
  <c r="I1338" i="1"/>
  <c r="J1338" i="1"/>
  <c r="K1338" i="1"/>
  <c r="O1335" i="1"/>
  <c r="C1339" i="1"/>
  <c r="D1339" i="1"/>
  <c r="E1339" i="1"/>
  <c r="F1339" i="1"/>
  <c r="G1339" i="1"/>
  <c r="I1339" i="1"/>
  <c r="J1339" i="1"/>
  <c r="K1339" i="1"/>
  <c r="I1340" i="1"/>
  <c r="J1340" i="1"/>
  <c r="K1340" i="1"/>
  <c r="O1337" i="1"/>
  <c r="G1341" i="1"/>
  <c r="I1341" i="1"/>
  <c r="J1341" i="1"/>
  <c r="K1341" i="1"/>
  <c r="O1338" i="1"/>
  <c r="G1342" i="1"/>
  <c r="I1342" i="1"/>
  <c r="J1342" i="1"/>
  <c r="K1342" i="1"/>
  <c r="O1339" i="1"/>
  <c r="G1343" i="1"/>
  <c r="I1343" i="1"/>
  <c r="J1343" i="1"/>
  <c r="K1343" i="1"/>
  <c r="O1340" i="1"/>
  <c r="G1344" i="1"/>
  <c r="I1344" i="1"/>
  <c r="J1344" i="1"/>
  <c r="K1344" i="1"/>
  <c r="O1341" i="1"/>
  <c r="C1345" i="1"/>
  <c r="D1345" i="1"/>
  <c r="E1345" i="1"/>
  <c r="F1345" i="1"/>
  <c r="G1345" i="1"/>
  <c r="I1345" i="1"/>
  <c r="J1345" i="1"/>
  <c r="K1345" i="1"/>
  <c r="I1346" i="1"/>
  <c r="J1346" i="1"/>
  <c r="K1346" i="1"/>
  <c r="O1343" i="1"/>
  <c r="G1347" i="1"/>
  <c r="I1347" i="1"/>
  <c r="J1347" i="1"/>
  <c r="K1347" i="1"/>
  <c r="O1344" i="1"/>
  <c r="G1348" i="1"/>
  <c r="I1348" i="1"/>
  <c r="J1348" i="1"/>
  <c r="K1348" i="1"/>
  <c r="O1345" i="1"/>
  <c r="G1349" i="1"/>
  <c r="I1349" i="1"/>
  <c r="J1349" i="1"/>
  <c r="K1349" i="1"/>
  <c r="O1346" i="1"/>
  <c r="C1350" i="1"/>
  <c r="D1350" i="1"/>
  <c r="E1350" i="1"/>
  <c r="F1350" i="1"/>
  <c r="G1350" i="1"/>
  <c r="I1350" i="1"/>
  <c r="J1350" i="1"/>
  <c r="K1350" i="1"/>
  <c r="I1351" i="1"/>
  <c r="J1351" i="1"/>
  <c r="K1351" i="1"/>
  <c r="O1348" i="1"/>
  <c r="G1352" i="1"/>
  <c r="I1352" i="1"/>
  <c r="J1352" i="1"/>
  <c r="K1352" i="1"/>
  <c r="O1349" i="1"/>
  <c r="G1353" i="1"/>
  <c r="I1353" i="1"/>
  <c r="J1353" i="1"/>
  <c r="K1353" i="1"/>
  <c r="O1350" i="1"/>
  <c r="G1354" i="1"/>
  <c r="I1354" i="1"/>
  <c r="J1354" i="1"/>
  <c r="K1354" i="1"/>
  <c r="O1351" i="1"/>
  <c r="C1355" i="1"/>
  <c r="D1355" i="1"/>
  <c r="E1355" i="1"/>
  <c r="F1355" i="1"/>
  <c r="G1355" i="1"/>
  <c r="I1355" i="1"/>
  <c r="J1355" i="1"/>
  <c r="K1355" i="1"/>
  <c r="I1356" i="1"/>
  <c r="J1356" i="1"/>
  <c r="K1356" i="1"/>
  <c r="O1353" i="1"/>
  <c r="G1357" i="1"/>
  <c r="I1357" i="1"/>
  <c r="J1357" i="1"/>
  <c r="K1357" i="1"/>
  <c r="O1354" i="1"/>
  <c r="G1358" i="1"/>
  <c r="I1358" i="1"/>
  <c r="J1358" i="1"/>
  <c r="K1358" i="1"/>
  <c r="O1355" i="1"/>
  <c r="C1359" i="1"/>
  <c r="D1359" i="1"/>
  <c r="E1359" i="1"/>
  <c r="F1359" i="1"/>
  <c r="G1359" i="1"/>
  <c r="I1359" i="1"/>
  <c r="J1359" i="1"/>
  <c r="K1359" i="1"/>
  <c r="I1360" i="1"/>
  <c r="J1360" i="1"/>
  <c r="K1360" i="1"/>
  <c r="O1357" i="1"/>
  <c r="G1361" i="1"/>
  <c r="I1361" i="1"/>
  <c r="J1361" i="1"/>
  <c r="K1361" i="1"/>
  <c r="O1358" i="1"/>
  <c r="G1362" i="1"/>
  <c r="I1362" i="1"/>
  <c r="J1362" i="1"/>
  <c r="K1362" i="1"/>
  <c r="O1359" i="1"/>
  <c r="G1363" i="1"/>
  <c r="I1363" i="1"/>
  <c r="J1363" i="1"/>
  <c r="K1363" i="1"/>
  <c r="O1360" i="1"/>
  <c r="C1364" i="1"/>
  <c r="D1364" i="1"/>
  <c r="E1364" i="1"/>
  <c r="F1364" i="1"/>
  <c r="G1364" i="1"/>
  <c r="I1364" i="1"/>
  <c r="J1364" i="1"/>
  <c r="K1364" i="1"/>
  <c r="I1365" i="1"/>
  <c r="J1365" i="1"/>
  <c r="K1365" i="1"/>
  <c r="O1362" i="1"/>
  <c r="G1366" i="1"/>
  <c r="I1366" i="1"/>
  <c r="J1366" i="1"/>
  <c r="K1366" i="1"/>
  <c r="O1363" i="1"/>
  <c r="G1367" i="1"/>
  <c r="I1367" i="1"/>
  <c r="J1367" i="1"/>
  <c r="K1367" i="1"/>
  <c r="O1364" i="1"/>
  <c r="G1368" i="1"/>
  <c r="I1368" i="1"/>
  <c r="J1368" i="1"/>
  <c r="K1368" i="1"/>
  <c r="O1365" i="1"/>
  <c r="C1369" i="1"/>
  <c r="D1369" i="1"/>
  <c r="E1369" i="1"/>
  <c r="F1369" i="1"/>
  <c r="G1369" i="1"/>
  <c r="I1369" i="1"/>
  <c r="J1369" i="1"/>
  <c r="K1369" i="1"/>
  <c r="I1370" i="1"/>
  <c r="J1370" i="1"/>
  <c r="K1370" i="1"/>
  <c r="O1367" i="1"/>
  <c r="G1371" i="1"/>
  <c r="I1371" i="1"/>
  <c r="J1371" i="1"/>
  <c r="K1371" i="1"/>
  <c r="O1368" i="1"/>
  <c r="G1372" i="1"/>
  <c r="I1372" i="1"/>
  <c r="J1372" i="1"/>
  <c r="K1372" i="1"/>
  <c r="O1369" i="1"/>
  <c r="C1374" i="1"/>
  <c r="D1374" i="1"/>
  <c r="E1374" i="1"/>
  <c r="F1374" i="1"/>
  <c r="G1374" i="1"/>
  <c r="I1374" i="1"/>
  <c r="J1374" i="1"/>
  <c r="K1374" i="1"/>
  <c r="I1375" i="1"/>
  <c r="J1375" i="1"/>
  <c r="K1375" i="1"/>
  <c r="O1371" i="1"/>
  <c r="G1376" i="1"/>
  <c r="I1376" i="1"/>
  <c r="J1376" i="1"/>
  <c r="K1376" i="1"/>
  <c r="O1372" i="1"/>
  <c r="G1377" i="1"/>
  <c r="I1377" i="1"/>
  <c r="J1377" i="1"/>
  <c r="K1377" i="1"/>
  <c r="O1374" i="1"/>
  <c r="G1378" i="1"/>
  <c r="I1378" i="1"/>
  <c r="J1378" i="1"/>
  <c r="K1378" i="1"/>
  <c r="O1375" i="1"/>
  <c r="C1379" i="1"/>
  <c r="D1379" i="1"/>
  <c r="E1379" i="1"/>
  <c r="F1379" i="1"/>
  <c r="G1379" i="1"/>
  <c r="I1379" i="1"/>
  <c r="J1379" i="1"/>
  <c r="K1379" i="1"/>
  <c r="I1380" i="1"/>
  <c r="J1380" i="1"/>
  <c r="K1380" i="1"/>
  <c r="O1377" i="1"/>
  <c r="G1381" i="1"/>
  <c r="I1381" i="1"/>
  <c r="J1381" i="1"/>
  <c r="K1381" i="1"/>
  <c r="O1378" i="1"/>
  <c r="G1382" i="1"/>
  <c r="I1382" i="1"/>
  <c r="J1382" i="1"/>
  <c r="K1382" i="1"/>
  <c r="O1379" i="1"/>
  <c r="G1383" i="1"/>
  <c r="I1383" i="1"/>
  <c r="J1383" i="1"/>
  <c r="K1383" i="1"/>
  <c r="O1380" i="1"/>
  <c r="C1384" i="1"/>
  <c r="D1384" i="1"/>
  <c r="E1384" i="1"/>
  <c r="F1384" i="1"/>
  <c r="G1384" i="1"/>
  <c r="I1384" i="1"/>
  <c r="J1384" i="1"/>
  <c r="K1384" i="1"/>
  <c r="C1385" i="1"/>
  <c r="I1385" i="1"/>
  <c r="J1385" i="1"/>
  <c r="K1385" i="1"/>
  <c r="O1382" i="1"/>
  <c r="G1386" i="1"/>
  <c r="I1386" i="1"/>
  <c r="J1386" i="1"/>
  <c r="K1386" i="1"/>
  <c r="O1383" i="1"/>
  <c r="G1387" i="1"/>
  <c r="I1387" i="1"/>
  <c r="J1387" i="1"/>
  <c r="K1387" i="1"/>
  <c r="O1384" i="1"/>
  <c r="G1388" i="1"/>
  <c r="I1388" i="1"/>
  <c r="J1388" i="1"/>
  <c r="K1388" i="1"/>
  <c r="O1385" i="1"/>
  <c r="C1389" i="1"/>
  <c r="D1389" i="1"/>
  <c r="E1389" i="1"/>
  <c r="F1389" i="1"/>
  <c r="G1389" i="1"/>
  <c r="I1389" i="1"/>
  <c r="J1389" i="1"/>
  <c r="K1389" i="1"/>
  <c r="I1390" i="1"/>
  <c r="J1390" i="1"/>
  <c r="K1390" i="1"/>
  <c r="O1387" i="1"/>
  <c r="G1391" i="1"/>
  <c r="I1391" i="1"/>
  <c r="J1391" i="1"/>
  <c r="K1391" i="1"/>
  <c r="O1388" i="1"/>
  <c r="G1392" i="1"/>
  <c r="I1392" i="1"/>
  <c r="J1392" i="1"/>
  <c r="K1392" i="1"/>
  <c r="O1389" i="1"/>
  <c r="G1393" i="1"/>
  <c r="I1393" i="1"/>
  <c r="J1393" i="1"/>
  <c r="K1393" i="1"/>
  <c r="O1390" i="1"/>
  <c r="C1394" i="1"/>
  <c r="D1394" i="1"/>
  <c r="E1394" i="1"/>
  <c r="F1394" i="1"/>
  <c r="G1394" i="1"/>
  <c r="I1394" i="1"/>
  <c r="J1394" i="1"/>
  <c r="K1394" i="1"/>
  <c r="C1395" i="1"/>
  <c r="I1395" i="1"/>
  <c r="J1395" i="1"/>
  <c r="K1395" i="1"/>
  <c r="O1392" i="1"/>
  <c r="G1396" i="1"/>
  <c r="I1396" i="1"/>
  <c r="J1396" i="1"/>
  <c r="K1396" i="1"/>
  <c r="O1393" i="1"/>
  <c r="C1397" i="1"/>
  <c r="D1397" i="1"/>
  <c r="E1397" i="1"/>
  <c r="F1397" i="1"/>
  <c r="G1397" i="1"/>
  <c r="I1397" i="1"/>
  <c r="J1397" i="1"/>
  <c r="K1397" i="1"/>
  <c r="I1398" i="1"/>
  <c r="J1398" i="1"/>
  <c r="K1398" i="1"/>
  <c r="O1395" i="1"/>
  <c r="G1399" i="1"/>
  <c r="I1399" i="1"/>
  <c r="J1399" i="1"/>
  <c r="K1399" i="1"/>
  <c r="O1396" i="1"/>
  <c r="G1400" i="1"/>
  <c r="I1400" i="1"/>
  <c r="J1400" i="1"/>
  <c r="K1400" i="1"/>
  <c r="O1397" i="1"/>
  <c r="G1401" i="1"/>
  <c r="I1401" i="1"/>
  <c r="J1401" i="1"/>
  <c r="K1401" i="1"/>
  <c r="O1398" i="1"/>
  <c r="C1402" i="1"/>
  <c r="D1402" i="1"/>
  <c r="E1402" i="1"/>
  <c r="F1402" i="1"/>
  <c r="G1402" i="1"/>
  <c r="I1402" i="1"/>
  <c r="J1402" i="1"/>
  <c r="K1402" i="1"/>
  <c r="G1403" i="1"/>
  <c r="I1403" i="1"/>
  <c r="J1403" i="1"/>
  <c r="K1403" i="1"/>
  <c r="O1400" i="1"/>
  <c r="G1404" i="1"/>
  <c r="I1404" i="1"/>
  <c r="J1404" i="1"/>
  <c r="K1404" i="1"/>
  <c r="O1401" i="1"/>
  <c r="C1405" i="1"/>
  <c r="E1405" i="1"/>
  <c r="F1405" i="1"/>
  <c r="G1405" i="1"/>
  <c r="I1405" i="1"/>
  <c r="J1405" i="1"/>
  <c r="K1405" i="1"/>
  <c r="I1406" i="1"/>
  <c r="J1406" i="1"/>
  <c r="K1406" i="1"/>
  <c r="O1403" i="1"/>
  <c r="G1407" i="1"/>
  <c r="I1407" i="1"/>
  <c r="J1407" i="1"/>
  <c r="K1407" i="1"/>
  <c r="O1404" i="1"/>
  <c r="G1408" i="1"/>
  <c r="I1408" i="1"/>
  <c r="J1408" i="1"/>
  <c r="K1408" i="1"/>
  <c r="O1405" i="1"/>
  <c r="G1409" i="1"/>
  <c r="I1409" i="1"/>
  <c r="J1409" i="1"/>
  <c r="K1409" i="1"/>
  <c r="O1406" i="1"/>
  <c r="C1410" i="1"/>
  <c r="D1410" i="1"/>
  <c r="E1410" i="1"/>
  <c r="F1410" i="1"/>
  <c r="G1410" i="1"/>
  <c r="I1410" i="1"/>
  <c r="J1410" i="1"/>
  <c r="K1410" i="1"/>
  <c r="I1411" i="1"/>
  <c r="J1411" i="1"/>
  <c r="K1411" i="1"/>
  <c r="O1408" i="1"/>
  <c r="G1412" i="1"/>
  <c r="I1412" i="1"/>
  <c r="J1412" i="1"/>
  <c r="K1412" i="1"/>
  <c r="O1409" i="1"/>
  <c r="G1413" i="1"/>
  <c r="I1413" i="1"/>
  <c r="J1413" i="1"/>
  <c r="K1413" i="1"/>
  <c r="O1410" i="1"/>
  <c r="G1414" i="1"/>
  <c r="I1414" i="1"/>
  <c r="J1414" i="1"/>
  <c r="K1414" i="1"/>
  <c r="O1411" i="1"/>
  <c r="G1415" i="1"/>
  <c r="I1415" i="1"/>
  <c r="J1415" i="1"/>
  <c r="K1415" i="1"/>
  <c r="O1412" i="1"/>
  <c r="C1416" i="1"/>
  <c r="D1416" i="1"/>
  <c r="E1416" i="1"/>
  <c r="F1416" i="1"/>
  <c r="G1416" i="1"/>
  <c r="I1416" i="1"/>
  <c r="J1416" i="1"/>
  <c r="K1416" i="1"/>
  <c r="I1417" i="1"/>
  <c r="J1417" i="1"/>
  <c r="K1417" i="1"/>
  <c r="O1414" i="1"/>
  <c r="G1418" i="1"/>
  <c r="I1418" i="1"/>
  <c r="J1418" i="1"/>
  <c r="K1418" i="1"/>
  <c r="O1415" i="1"/>
  <c r="G1419" i="1"/>
  <c r="I1419" i="1"/>
  <c r="J1419" i="1"/>
  <c r="K1419" i="1"/>
  <c r="O1416" i="1"/>
  <c r="G1420" i="1"/>
  <c r="I1420" i="1"/>
  <c r="J1420" i="1"/>
  <c r="K1420" i="1"/>
  <c r="O1417" i="1"/>
  <c r="C1421" i="1"/>
  <c r="D1421" i="1"/>
  <c r="E1421" i="1"/>
  <c r="F1421" i="1"/>
  <c r="G1421" i="1"/>
  <c r="I1421" i="1"/>
  <c r="J1421" i="1"/>
  <c r="K1421" i="1"/>
  <c r="I1422" i="1"/>
  <c r="J1422" i="1"/>
  <c r="K1422" i="1"/>
  <c r="O1419" i="1"/>
  <c r="G1423" i="1"/>
  <c r="I1423" i="1"/>
  <c r="J1423" i="1"/>
  <c r="K1423" i="1"/>
  <c r="O1420" i="1"/>
  <c r="G1424" i="1"/>
  <c r="I1424" i="1"/>
  <c r="J1424" i="1"/>
  <c r="K1424" i="1"/>
  <c r="O1421" i="1"/>
  <c r="G1425" i="1"/>
  <c r="I1425" i="1"/>
  <c r="J1425" i="1"/>
  <c r="K1425" i="1"/>
  <c r="O1422" i="1"/>
  <c r="C1426" i="1"/>
  <c r="D1426" i="1"/>
  <c r="E1426" i="1"/>
  <c r="F1426" i="1"/>
  <c r="G1426" i="1"/>
  <c r="I1426" i="1"/>
  <c r="J1426" i="1"/>
  <c r="K1426" i="1"/>
  <c r="I1427" i="1"/>
  <c r="J1427" i="1"/>
  <c r="K1427" i="1"/>
  <c r="O1424" i="1"/>
  <c r="G1428" i="1"/>
  <c r="I1428" i="1"/>
  <c r="J1428" i="1"/>
  <c r="K1428" i="1"/>
  <c r="O1425" i="1"/>
  <c r="G1429" i="1"/>
  <c r="I1429" i="1"/>
  <c r="J1429" i="1"/>
  <c r="K1429" i="1"/>
  <c r="O1426" i="1"/>
  <c r="G1430" i="1"/>
  <c r="I1430" i="1"/>
  <c r="J1430" i="1"/>
  <c r="K1430" i="1"/>
  <c r="O1427" i="1"/>
  <c r="C1431" i="1"/>
  <c r="D1431" i="1"/>
  <c r="E1431" i="1"/>
  <c r="F1431" i="1"/>
  <c r="G1431" i="1"/>
  <c r="I1431" i="1"/>
  <c r="J1431" i="1"/>
  <c r="K1431" i="1"/>
  <c r="I1432" i="1"/>
  <c r="J1432" i="1"/>
  <c r="K1432" i="1"/>
  <c r="O1429" i="1"/>
  <c r="G1433" i="1"/>
  <c r="I1433" i="1"/>
  <c r="J1433" i="1"/>
  <c r="K1433" i="1"/>
  <c r="O1430" i="1"/>
  <c r="F1434" i="1"/>
  <c r="G1434" i="1"/>
  <c r="I1434" i="1"/>
  <c r="J1434" i="1"/>
  <c r="K1434" i="1"/>
  <c r="O1431" i="1"/>
  <c r="C1435" i="1"/>
  <c r="D1435" i="1"/>
  <c r="E1435" i="1"/>
  <c r="F1435" i="1"/>
  <c r="G1435" i="1"/>
  <c r="I1435" i="1"/>
  <c r="J1435" i="1"/>
  <c r="K1435" i="1"/>
  <c r="G1436" i="1"/>
  <c r="I1436" i="1"/>
  <c r="J1436" i="1"/>
  <c r="K1436" i="1"/>
  <c r="O1433" i="1"/>
  <c r="G1437" i="1"/>
  <c r="I1437" i="1"/>
  <c r="J1437" i="1"/>
  <c r="K1437" i="1"/>
  <c r="O1434" i="1"/>
  <c r="G1438" i="1"/>
  <c r="I1438" i="1"/>
  <c r="J1438" i="1"/>
  <c r="K1438" i="1"/>
  <c r="O1435" i="1"/>
  <c r="G1439" i="1"/>
  <c r="I1439" i="1"/>
  <c r="J1439" i="1"/>
  <c r="K1439" i="1"/>
  <c r="O1436" i="1"/>
  <c r="G1440" i="1"/>
  <c r="I1440" i="1"/>
  <c r="J1440" i="1"/>
  <c r="K1440" i="1"/>
  <c r="O1437" i="1"/>
  <c r="C1441" i="1"/>
  <c r="D1441" i="1"/>
  <c r="E1441" i="1"/>
  <c r="F1441" i="1"/>
  <c r="I1441" i="1"/>
  <c r="J1441" i="1"/>
  <c r="K1441" i="1"/>
  <c r="I1442" i="1"/>
  <c r="J1442" i="1"/>
  <c r="K1442" i="1"/>
  <c r="O1439" i="1"/>
  <c r="C1443" i="1"/>
  <c r="D1443" i="1"/>
  <c r="E1443" i="1"/>
  <c r="F1443" i="1"/>
  <c r="G1443" i="1"/>
  <c r="I1443" i="1"/>
  <c r="J1443" i="1"/>
  <c r="K1443" i="1"/>
  <c r="I1444" i="1"/>
  <c r="J1444" i="1"/>
  <c r="K1444" i="1"/>
  <c r="O1441" i="1"/>
  <c r="G1445" i="1"/>
  <c r="I1445" i="1"/>
  <c r="J1445" i="1"/>
  <c r="K1445" i="1"/>
  <c r="O1442" i="1"/>
  <c r="G1446" i="1"/>
  <c r="I1446" i="1"/>
  <c r="J1446" i="1"/>
  <c r="K1446" i="1"/>
  <c r="O1443" i="1"/>
  <c r="C1447" i="1"/>
  <c r="D1447" i="1"/>
  <c r="E1447" i="1"/>
  <c r="F1447" i="1"/>
  <c r="G1447" i="1"/>
  <c r="I1447" i="1"/>
  <c r="J1447" i="1"/>
  <c r="K1447" i="1"/>
  <c r="I1448" i="1"/>
  <c r="J1448" i="1"/>
  <c r="K1448" i="1"/>
  <c r="O1445" i="1"/>
  <c r="G1449" i="1"/>
  <c r="I1449" i="1"/>
  <c r="J1449" i="1"/>
  <c r="K1449" i="1"/>
  <c r="O1446" i="1"/>
  <c r="G1450" i="1"/>
  <c r="I1450" i="1"/>
  <c r="J1450" i="1"/>
  <c r="K1450" i="1"/>
  <c r="O1447" i="1"/>
  <c r="G1451" i="1"/>
  <c r="I1451" i="1"/>
  <c r="J1451" i="1"/>
  <c r="K1451" i="1"/>
  <c r="O1448" i="1"/>
  <c r="C1452" i="1"/>
  <c r="D1452" i="1"/>
  <c r="E1452" i="1"/>
  <c r="F1452" i="1"/>
  <c r="G1452" i="1"/>
  <c r="I1452" i="1"/>
  <c r="J1452" i="1"/>
  <c r="K1452" i="1"/>
  <c r="I1453" i="1"/>
  <c r="J1453" i="1"/>
  <c r="K1453" i="1"/>
  <c r="O1450" i="1"/>
  <c r="G1454" i="1"/>
  <c r="I1454" i="1"/>
  <c r="J1454" i="1"/>
  <c r="K1454" i="1"/>
  <c r="O1451" i="1"/>
  <c r="G1455" i="1"/>
  <c r="I1455" i="1"/>
  <c r="J1455" i="1"/>
  <c r="K1455" i="1"/>
  <c r="O1452" i="1"/>
  <c r="C1456" i="1"/>
  <c r="D1456" i="1"/>
  <c r="E1456" i="1"/>
  <c r="F1456" i="1"/>
  <c r="G1456" i="1"/>
  <c r="I1456" i="1"/>
  <c r="J1456" i="1"/>
  <c r="K1456" i="1"/>
  <c r="I1457" i="1"/>
  <c r="J1457" i="1"/>
  <c r="K1457" i="1"/>
  <c r="O1454" i="1"/>
  <c r="G1458" i="1"/>
  <c r="I1458" i="1"/>
  <c r="J1458" i="1"/>
  <c r="K1458" i="1"/>
  <c r="O1455" i="1"/>
  <c r="G1459" i="1"/>
  <c r="I1459" i="1"/>
  <c r="J1459" i="1"/>
  <c r="K1459" i="1"/>
  <c r="O1456" i="1"/>
  <c r="G1460" i="1"/>
  <c r="I1460" i="1"/>
  <c r="J1460" i="1"/>
  <c r="K1460" i="1"/>
  <c r="O1457" i="1"/>
  <c r="C1461" i="1"/>
  <c r="D1461" i="1"/>
  <c r="E1461" i="1"/>
  <c r="F1461" i="1"/>
  <c r="G1461" i="1"/>
  <c r="I1461" i="1"/>
  <c r="J1461" i="1"/>
  <c r="K1461" i="1"/>
  <c r="C1462" i="1"/>
  <c r="I1462" i="1"/>
  <c r="J1462" i="1"/>
  <c r="K1462" i="1"/>
  <c r="O1459" i="1"/>
  <c r="G1463" i="1"/>
  <c r="I1463" i="1"/>
  <c r="J1463" i="1"/>
  <c r="K1463" i="1"/>
  <c r="O1460" i="1"/>
  <c r="G1464" i="1"/>
  <c r="I1464" i="1"/>
  <c r="J1464" i="1"/>
  <c r="K1464" i="1"/>
  <c r="O1461" i="1"/>
  <c r="C1465" i="1"/>
  <c r="D1465" i="1"/>
  <c r="E1465" i="1"/>
  <c r="F1465" i="1"/>
  <c r="G1465" i="1"/>
  <c r="I1465" i="1"/>
  <c r="J1465" i="1"/>
  <c r="K1465" i="1"/>
  <c r="I1466" i="1"/>
  <c r="J1466" i="1"/>
  <c r="K1466" i="1"/>
  <c r="O1463" i="1"/>
  <c r="G1467" i="1"/>
  <c r="I1467" i="1"/>
  <c r="J1467" i="1"/>
  <c r="K1467" i="1"/>
  <c r="O1464" i="1"/>
  <c r="G1468" i="1"/>
  <c r="I1468" i="1"/>
  <c r="J1468" i="1"/>
  <c r="K1468" i="1"/>
  <c r="O1465" i="1"/>
  <c r="G1469" i="1"/>
  <c r="I1469" i="1"/>
  <c r="J1469" i="1"/>
  <c r="K1469" i="1"/>
  <c r="O1466" i="1"/>
  <c r="G1470" i="1"/>
  <c r="I1470" i="1"/>
  <c r="J1470" i="1"/>
  <c r="K1470" i="1"/>
  <c r="O1467" i="1"/>
  <c r="C1471" i="1"/>
  <c r="D1471" i="1"/>
  <c r="E1471" i="1"/>
  <c r="F1471" i="1"/>
  <c r="G1471" i="1"/>
  <c r="I1471" i="1"/>
  <c r="J1471" i="1"/>
  <c r="K1471" i="1"/>
  <c r="I1472" i="1"/>
  <c r="J1472" i="1"/>
  <c r="K1472" i="1"/>
  <c r="O1469" i="1"/>
  <c r="G1473" i="1"/>
  <c r="I1473" i="1"/>
  <c r="J1473" i="1"/>
  <c r="K1473" i="1"/>
  <c r="O1470" i="1"/>
  <c r="G1474" i="1"/>
  <c r="I1474" i="1"/>
  <c r="J1474" i="1"/>
  <c r="K1474" i="1"/>
  <c r="O1471" i="1"/>
  <c r="C1475" i="1"/>
  <c r="D1475" i="1"/>
  <c r="E1475" i="1"/>
  <c r="F1475" i="1"/>
  <c r="G1475" i="1"/>
  <c r="I1475" i="1"/>
  <c r="J1475" i="1"/>
  <c r="K1475" i="1"/>
  <c r="I1476" i="1"/>
  <c r="J1476" i="1"/>
  <c r="K1476" i="1"/>
  <c r="O1473" i="1"/>
  <c r="G1477" i="1"/>
  <c r="I1477" i="1"/>
  <c r="J1477" i="1"/>
  <c r="K1477" i="1"/>
  <c r="O1474" i="1"/>
  <c r="G1478" i="1"/>
  <c r="I1478" i="1"/>
  <c r="J1478" i="1"/>
  <c r="K1478" i="1"/>
  <c r="O1475" i="1"/>
  <c r="G1479" i="1"/>
  <c r="I1479" i="1"/>
  <c r="J1479" i="1"/>
  <c r="K1479" i="1"/>
  <c r="O1476" i="1"/>
  <c r="C1480" i="1"/>
  <c r="D1480" i="1"/>
  <c r="E1480" i="1"/>
  <c r="F1480" i="1"/>
  <c r="G1480" i="1"/>
  <c r="I1480" i="1"/>
  <c r="J1480" i="1"/>
  <c r="K1480" i="1"/>
  <c r="I1481" i="1"/>
  <c r="J1481" i="1"/>
  <c r="K1481" i="1"/>
  <c r="O1478" i="1"/>
  <c r="G1482" i="1"/>
  <c r="I1482" i="1"/>
  <c r="J1482" i="1"/>
  <c r="K1482" i="1"/>
  <c r="O1479" i="1"/>
  <c r="G1483" i="1"/>
  <c r="I1483" i="1"/>
  <c r="J1483" i="1"/>
  <c r="K1483" i="1"/>
  <c r="O1480" i="1"/>
  <c r="G1484" i="1"/>
  <c r="I1484" i="1"/>
  <c r="J1484" i="1"/>
  <c r="K1484" i="1"/>
  <c r="O1481" i="1"/>
  <c r="C1485" i="1"/>
  <c r="D1485" i="1"/>
  <c r="E1485" i="1"/>
  <c r="F1485" i="1"/>
  <c r="G1485" i="1"/>
  <c r="I1485" i="1"/>
  <c r="J1485" i="1"/>
  <c r="K1485" i="1"/>
  <c r="I1486" i="1"/>
  <c r="J1486" i="1"/>
  <c r="K1486" i="1"/>
  <c r="O1483" i="1"/>
  <c r="G1487" i="1"/>
  <c r="I1487" i="1"/>
  <c r="J1487" i="1"/>
  <c r="K1487" i="1"/>
  <c r="O1484" i="1"/>
  <c r="G1488" i="1"/>
  <c r="I1488" i="1"/>
  <c r="J1488" i="1"/>
  <c r="K1488" i="1"/>
  <c r="O1485" i="1"/>
  <c r="G1489" i="1"/>
  <c r="I1489" i="1"/>
  <c r="J1489" i="1"/>
  <c r="K1489" i="1"/>
  <c r="O1486" i="1"/>
  <c r="C1490" i="1"/>
  <c r="D1490" i="1"/>
  <c r="E1490" i="1"/>
  <c r="F1490" i="1"/>
  <c r="G1490" i="1"/>
  <c r="I1490" i="1"/>
  <c r="J1490" i="1"/>
  <c r="K1490" i="1"/>
  <c r="I1491" i="1"/>
  <c r="J1491" i="1"/>
  <c r="K1491" i="1"/>
  <c r="O1488" i="1"/>
  <c r="G1492" i="1"/>
  <c r="I1492" i="1"/>
  <c r="J1492" i="1"/>
  <c r="K1492" i="1"/>
  <c r="O1489" i="1"/>
  <c r="G1493" i="1"/>
  <c r="I1493" i="1"/>
  <c r="J1493" i="1"/>
  <c r="K1493" i="1"/>
  <c r="O1490" i="1"/>
  <c r="G1494" i="1"/>
  <c r="I1494" i="1"/>
  <c r="J1494" i="1"/>
  <c r="K1494" i="1"/>
  <c r="O1491" i="1"/>
  <c r="C1495" i="1"/>
  <c r="D1495" i="1"/>
  <c r="E1495" i="1"/>
  <c r="F1495" i="1"/>
  <c r="G1495" i="1"/>
  <c r="I1495" i="1"/>
  <c r="J1495" i="1"/>
  <c r="K1495" i="1"/>
  <c r="I1496" i="1"/>
  <c r="J1496" i="1"/>
  <c r="K1496" i="1"/>
  <c r="O1493" i="1"/>
  <c r="G1497" i="1"/>
  <c r="I1497" i="1"/>
  <c r="J1497" i="1"/>
  <c r="K1497" i="1"/>
  <c r="O1494" i="1"/>
  <c r="G1498" i="1"/>
  <c r="I1498" i="1"/>
  <c r="J1498" i="1"/>
  <c r="K1498" i="1"/>
  <c r="O1495" i="1"/>
  <c r="C1499" i="1"/>
  <c r="D1499" i="1"/>
  <c r="E1499" i="1"/>
  <c r="F1499" i="1"/>
  <c r="G1499" i="1"/>
  <c r="I1499" i="1"/>
  <c r="J1499" i="1"/>
  <c r="K1499" i="1"/>
  <c r="I1500" i="1"/>
  <c r="J1500" i="1"/>
  <c r="K1500" i="1"/>
  <c r="O1497" i="1"/>
  <c r="G1501" i="1"/>
  <c r="I1501" i="1"/>
  <c r="J1501" i="1"/>
  <c r="K1501" i="1"/>
  <c r="O1498" i="1"/>
  <c r="G1502" i="1"/>
  <c r="I1502" i="1"/>
  <c r="J1502" i="1"/>
  <c r="K1502" i="1"/>
  <c r="O1499" i="1"/>
  <c r="C1503" i="1"/>
  <c r="D1503" i="1"/>
  <c r="E1503" i="1"/>
  <c r="F1503" i="1"/>
  <c r="G1503" i="1"/>
  <c r="I1503" i="1"/>
  <c r="J1503" i="1"/>
  <c r="K1503" i="1"/>
  <c r="I1504" i="1"/>
  <c r="J1504" i="1"/>
  <c r="K1504" i="1"/>
  <c r="O1501" i="1"/>
  <c r="G1505" i="1"/>
  <c r="I1505" i="1"/>
  <c r="J1505" i="1"/>
  <c r="K1505" i="1"/>
  <c r="O1502" i="1"/>
  <c r="C1507" i="1"/>
  <c r="D1507" i="1"/>
  <c r="E1507" i="1"/>
  <c r="F1507" i="1"/>
  <c r="G1507" i="1"/>
  <c r="I1507" i="1"/>
  <c r="J1507" i="1"/>
  <c r="K1507" i="1"/>
  <c r="I1508" i="1"/>
  <c r="J1508" i="1"/>
  <c r="K1508" i="1"/>
  <c r="O1505" i="1"/>
  <c r="G1509" i="1"/>
  <c r="I1509" i="1"/>
  <c r="J1509" i="1"/>
  <c r="K1509" i="1"/>
  <c r="O1506" i="1"/>
  <c r="G1510" i="1"/>
  <c r="I1510" i="1"/>
  <c r="J1510" i="1"/>
  <c r="K1510" i="1"/>
  <c r="O1507" i="1"/>
  <c r="C1512" i="1"/>
  <c r="D1512" i="1"/>
  <c r="E1512" i="1"/>
  <c r="F1512" i="1"/>
  <c r="G1512" i="1"/>
  <c r="I1512" i="1"/>
  <c r="J1512" i="1"/>
  <c r="K1512" i="1"/>
  <c r="I1513" i="1"/>
  <c r="J1513" i="1"/>
  <c r="K1513" i="1"/>
  <c r="O1509" i="1"/>
  <c r="G1514" i="1"/>
  <c r="I1514" i="1"/>
  <c r="J1514" i="1"/>
  <c r="K1514" i="1"/>
  <c r="O1510" i="1"/>
  <c r="G1515" i="1"/>
  <c r="I1515" i="1"/>
  <c r="J1515" i="1"/>
  <c r="K1515" i="1"/>
  <c r="O1511" i="1"/>
  <c r="G1516" i="1"/>
  <c r="I1516" i="1"/>
  <c r="J1516" i="1"/>
  <c r="K1516" i="1"/>
  <c r="O1512" i="1"/>
  <c r="G1517" i="1"/>
  <c r="I1517" i="1"/>
  <c r="J1517" i="1"/>
  <c r="K1517" i="1"/>
  <c r="O1513" i="1"/>
  <c r="C1518" i="1"/>
  <c r="D1518" i="1"/>
  <c r="E1518" i="1"/>
  <c r="F1518" i="1"/>
  <c r="G1518" i="1"/>
  <c r="I1518" i="1"/>
  <c r="J1518" i="1"/>
  <c r="K1518" i="1"/>
  <c r="C1519" i="1"/>
  <c r="D1519" i="1"/>
  <c r="E1519" i="1"/>
  <c r="F1519" i="1"/>
  <c r="G1519" i="1"/>
  <c r="I1519" i="1"/>
  <c r="J1519" i="1"/>
  <c r="K1519" i="1"/>
  <c r="I1520" i="1"/>
  <c r="J1520" i="1"/>
  <c r="K1520" i="1"/>
  <c r="O1516" i="1"/>
  <c r="G1521" i="1"/>
  <c r="I1521" i="1"/>
  <c r="J1521" i="1"/>
  <c r="K1521" i="1"/>
  <c r="O1517" i="1"/>
  <c r="G1522" i="1"/>
  <c r="I1522" i="1"/>
  <c r="J1522" i="1"/>
  <c r="K1522" i="1"/>
  <c r="O1518" i="1"/>
  <c r="G1523" i="1"/>
  <c r="I1523" i="1"/>
  <c r="J1523" i="1"/>
  <c r="K1523" i="1"/>
  <c r="O1519" i="1"/>
  <c r="D1524" i="1"/>
  <c r="E1524" i="1"/>
  <c r="F1524" i="1"/>
  <c r="G1524" i="1"/>
  <c r="I1524" i="1"/>
  <c r="J1524" i="1"/>
  <c r="K1524" i="1"/>
  <c r="I1525" i="1"/>
  <c r="J1525" i="1"/>
  <c r="K1525" i="1"/>
  <c r="O1521" i="1"/>
  <c r="G1526" i="1"/>
  <c r="I1526" i="1"/>
  <c r="J1526" i="1"/>
  <c r="K1526" i="1"/>
  <c r="O1522" i="1"/>
  <c r="G1527" i="1"/>
  <c r="I1527" i="1"/>
  <c r="J1527" i="1"/>
  <c r="K1527" i="1"/>
  <c r="O1523" i="1"/>
  <c r="G1528" i="1"/>
  <c r="I1528" i="1"/>
  <c r="J1528" i="1"/>
  <c r="K1528" i="1"/>
  <c r="O1524" i="1"/>
  <c r="C1531" i="1"/>
  <c r="D1531" i="1"/>
  <c r="E1531" i="1"/>
  <c r="F1531" i="1"/>
  <c r="G1531" i="1"/>
  <c r="I1531" i="1"/>
  <c r="J1531" i="1"/>
  <c r="K1531" i="1"/>
  <c r="I1532" i="1"/>
  <c r="J1532" i="1"/>
  <c r="K1532" i="1"/>
  <c r="O1527" i="1"/>
  <c r="G1533" i="1"/>
  <c r="I1533" i="1"/>
  <c r="J1533" i="1"/>
  <c r="K1533" i="1"/>
  <c r="O1528" i="1"/>
  <c r="G1534" i="1"/>
  <c r="I1534" i="1"/>
  <c r="J1534" i="1"/>
  <c r="K1534" i="1"/>
  <c r="O1529" i="1"/>
  <c r="G1535" i="1"/>
  <c r="I1535" i="1"/>
  <c r="J1535" i="1"/>
  <c r="K1535" i="1"/>
  <c r="O1531" i="1"/>
  <c r="C1536" i="1"/>
  <c r="D1536" i="1"/>
  <c r="E1536" i="1"/>
  <c r="F1536" i="1"/>
  <c r="G1536" i="1"/>
  <c r="I1536" i="1"/>
  <c r="J1536" i="1"/>
  <c r="K1536" i="1"/>
  <c r="I1537" i="1"/>
  <c r="J1537" i="1"/>
  <c r="K1537" i="1"/>
  <c r="O1533" i="1"/>
  <c r="G1538" i="1"/>
  <c r="I1538" i="1"/>
  <c r="J1538" i="1"/>
  <c r="K1538" i="1"/>
  <c r="O1534" i="1"/>
  <c r="G1539" i="1"/>
  <c r="I1539" i="1"/>
  <c r="J1539" i="1"/>
  <c r="K1539" i="1"/>
  <c r="O1535" i="1"/>
  <c r="G1540" i="1"/>
  <c r="I1540" i="1"/>
  <c r="J1540" i="1"/>
  <c r="K1540" i="1"/>
  <c r="O1536" i="1"/>
  <c r="C1541" i="1"/>
  <c r="D1541" i="1"/>
  <c r="E1541" i="1"/>
  <c r="F1541" i="1"/>
  <c r="G1541" i="1"/>
  <c r="I1541" i="1"/>
  <c r="J1541" i="1"/>
  <c r="K1541" i="1"/>
  <c r="I1542" i="1"/>
  <c r="J1542" i="1"/>
  <c r="K1542" i="1"/>
  <c r="O1538" i="1"/>
  <c r="G1543" i="1"/>
  <c r="I1543" i="1"/>
  <c r="J1543" i="1"/>
  <c r="K1543" i="1"/>
  <c r="O1539" i="1"/>
  <c r="G1544" i="1"/>
  <c r="I1544" i="1"/>
  <c r="J1544" i="1"/>
  <c r="K1544" i="1"/>
  <c r="O1540" i="1"/>
  <c r="C1547" i="1"/>
  <c r="D1547" i="1"/>
  <c r="E1547" i="1"/>
  <c r="F1547" i="1"/>
  <c r="G1547" i="1"/>
  <c r="I1547" i="1"/>
  <c r="J1547" i="1"/>
  <c r="K1547" i="1"/>
  <c r="I1548" i="1"/>
  <c r="J1548" i="1"/>
  <c r="K1548" i="1"/>
  <c r="O1543" i="1"/>
  <c r="G1549" i="1"/>
  <c r="I1549" i="1"/>
  <c r="J1549" i="1"/>
  <c r="K1549" i="1"/>
  <c r="O1544" i="1"/>
  <c r="G1550" i="1"/>
  <c r="I1550" i="1"/>
  <c r="J1550" i="1"/>
  <c r="K1550" i="1"/>
  <c r="O1545" i="1"/>
  <c r="C1551" i="1"/>
  <c r="D1551" i="1"/>
  <c r="E1551" i="1"/>
  <c r="F1551" i="1"/>
  <c r="G1551" i="1"/>
  <c r="I1551" i="1"/>
  <c r="J1551" i="1"/>
  <c r="K1551" i="1"/>
  <c r="I1552" i="1"/>
  <c r="J1552" i="1"/>
  <c r="K1552" i="1"/>
  <c r="O1548" i="1"/>
  <c r="G1553" i="1"/>
  <c r="I1553" i="1"/>
  <c r="J1553" i="1"/>
  <c r="K1553" i="1"/>
  <c r="O1549" i="1"/>
  <c r="G1554" i="1"/>
  <c r="I1554" i="1"/>
  <c r="J1554" i="1"/>
  <c r="K1554" i="1"/>
  <c r="O1550" i="1"/>
  <c r="C1556" i="1"/>
  <c r="D1556" i="1"/>
  <c r="E1556" i="1"/>
  <c r="F1556" i="1"/>
  <c r="G1556" i="1"/>
  <c r="I1556" i="1"/>
  <c r="J1556" i="1"/>
  <c r="K1556" i="1"/>
  <c r="I1557" i="1"/>
  <c r="J1557" i="1"/>
  <c r="K1557" i="1"/>
  <c r="O1552" i="1"/>
  <c r="G1558" i="1"/>
  <c r="I1558" i="1"/>
  <c r="J1558" i="1"/>
  <c r="K1558" i="1"/>
  <c r="O1553" i="1"/>
  <c r="G1559" i="1"/>
  <c r="I1559" i="1"/>
  <c r="J1559" i="1"/>
  <c r="K1559" i="1"/>
  <c r="O1554" i="1"/>
  <c r="G1560" i="1"/>
  <c r="I1560" i="1"/>
  <c r="J1560" i="1"/>
  <c r="K1560" i="1"/>
  <c r="O1556" i="1"/>
  <c r="C1561" i="1"/>
  <c r="D1561" i="1"/>
  <c r="E1561" i="1"/>
  <c r="F1561" i="1"/>
  <c r="G1561" i="1"/>
  <c r="I1561" i="1"/>
  <c r="J1561" i="1"/>
  <c r="K1561" i="1"/>
  <c r="C1562" i="1"/>
  <c r="D1562" i="1"/>
  <c r="E1562" i="1"/>
  <c r="F1562" i="1"/>
  <c r="G1562" i="1"/>
  <c r="I1562" i="1"/>
  <c r="J1562" i="1"/>
  <c r="K1562" i="1"/>
  <c r="I1563" i="1"/>
  <c r="J1563" i="1"/>
  <c r="K1563" i="1"/>
  <c r="O1559" i="1"/>
  <c r="G1564" i="1"/>
  <c r="I1564" i="1"/>
  <c r="J1564" i="1"/>
  <c r="K1564" i="1"/>
  <c r="O1560" i="1"/>
  <c r="G1565" i="1"/>
  <c r="I1565" i="1"/>
  <c r="J1565" i="1"/>
  <c r="K1565" i="1"/>
  <c r="O1561" i="1"/>
  <c r="C1567" i="1"/>
  <c r="D1567" i="1"/>
  <c r="E1567" i="1"/>
  <c r="F1567" i="1"/>
  <c r="G1567" i="1"/>
  <c r="I1567" i="1"/>
  <c r="J1567" i="1"/>
  <c r="K1567" i="1"/>
  <c r="I1568" i="1"/>
  <c r="J1568" i="1"/>
  <c r="K1568" i="1"/>
  <c r="O1563" i="1"/>
  <c r="G1569" i="1"/>
  <c r="I1569" i="1"/>
  <c r="J1569" i="1"/>
  <c r="K1569" i="1"/>
  <c r="O1564" i="1"/>
  <c r="C1571" i="1"/>
  <c r="D1571" i="1"/>
  <c r="E1571" i="1"/>
  <c r="F1571" i="1"/>
  <c r="G1571" i="1"/>
  <c r="I1571" i="1"/>
  <c r="J1571" i="1"/>
  <c r="K1571" i="1"/>
  <c r="C1572" i="1"/>
  <c r="D1572" i="1"/>
  <c r="E1572" i="1"/>
  <c r="F1572" i="1"/>
  <c r="G1572" i="1"/>
  <c r="I1572" i="1"/>
  <c r="J1572" i="1"/>
  <c r="K1572" i="1"/>
  <c r="I1573" i="1"/>
  <c r="J1573" i="1"/>
  <c r="K1573" i="1"/>
  <c r="O1568" i="1"/>
  <c r="G1574" i="1"/>
  <c r="I1574" i="1"/>
  <c r="J1574" i="1"/>
  <c r="K1574" i="1"/>
  <c r="O1569" i="1"/>
  <c r="G1575" i="1"/>
  <c r="I1575" i="1"/>
  <c r="J1575" i="1"/>
  <c r="K1575" i="1"/>
  <c r="O1570" i="1"/>
  <c r="G1576" i="1"/>
  <c r="I1576" i="1"/>
  <c r="J1576" i="1"/>
  <c r="K1576" i="1"/>
  <c r="O1571" i="1"/>
  <c r="C1577" i="1"/>
  <c r="D1577" i="1"/>
  <c r="E1577" i="1"/>
  <c r="F1577" i="1"/>
  <c r="I1577" i="1"/>
  <c r="J1577" i="1"/>
  <c r="K1577" i="1"/>
  <c r="I1578" i="1"/>
  <c r="J1578" i="1"/>
  <c r="K1578" i="1"/>
  <c r="O1573" i="1"/>
  <c r="G1579" i="1"/>
  <c r="I1579" i="1"/>
  <c r="J1579" i="1"/>
  <c r="K1579" i="1"/>
  <c r="O1574" i="1"/>
  <c r="G1580" i="1"/>
  <c r="I1580" i="1"/>
  <c r="J1580" i="1"/>
  <c r="K1580" i="1"/>
  <c r="O1575" i="1"/>
  <c r="C1581" i="1"/>
  <c r="D1581" i="1"/>
  <c r="E1581" i="1"/>
  <c r="F1581" i="1"/>
  <c r="G1581" i="1"/>
  <c r="I1581" i="1"/>
  <c r="J1581" i="1"/>
  <c r="K1581" i="1"/>
  <c r="I1582" i="1"/>
  <c r="J1582" i="1"/>
  <c r="K1582" i="1"/>
  <c r="O1577" i="1"/>
  <c r="G1583" i="1"/>
  <c r="I1583" i="1"/>
  <c r="J1583" i="1"/>
  <c r="K1583" i="1"/>
  <c r="O1578" i="1"/>
  <c r="G1584" i="1"/>
  <c r="I1584" i="1"/>
  <c r="J1584" i="1"/>
  <c r="K1584" i="1"/>
  <c r="O1579" i="1"/>
  <c r="C1586" i="1"/>
  <c r="D1586" i="1"/>
  <c r="E1586" i="1"/>
  <c r="F1586" i="1"/>
  <c r="G1586" i="1"/>
  <c r="I1586" i="1"/>
  <c r="J1586" i="1"/>
  <c r="K1586" i="1"/>
  <c r="I1587" i="1"/>
  <c r="J1587" i="1"/>
  <c r="K1587" i="1"/>
  <c r="O1582" i="1"/>
  <c r="G1588" i="1"/>
  <c r="I1588" i="1"/>
  <c r="J1588" i="1"/>
  <c r="K1588" i="1"/>
  <c r="O1583" i="1"/>
  <c r="G1589" i="1"/>
  <c r="I1589" i="1"/>
  <c r="J1589" i="1"/>
  <c r="K1589" i="1"/>
  <c r="O1584" i="1"/>
  <c r="C1590" i="1"/>
  <c r="D1590" i="1"/>
  <c r="E1590" i="1"/>
  <c r="F1590" i="1"/>
  <c r="G1590" i="1"/>
  <c r="I1590" i="1"/>
  <c r="J1590" i="1"/>
  <c r="K1590" i="1"/>
  <c r="I1591" i="1"/>
  <c r="J1591" i="1"/>
  <c r="K1591" i="1"/>
  <c r="O1586" i="1"/>
  <c r="G1592" i="1"/>
  <c r="I1592" i="1"/>
  <c r="J1592" i="1"/>
  <c r="K1592" i="1"/>
  <c r="O1587" i="1"/>
  <c r="C1593" i="1"/>
  <c r="D1593" i="1"/>
  <c r="E1593" i="1"/>
  <c r="F1593" i="1"/>
  <c r="G1593" i="1"/>
  <c r="I1593" i="1"/>
  <c r="J1593" i="1"/>
  <c r="K1593" i="1"/>
  <c r="I1594" i="1"/>
  <c r="J1594" i="1"/>
  <c r="K1594" i="1"/>
  <c r="O1589" i="1"/>
  <c r="G1595" i="1"/>
  <c r="I1595" i="1"/>
  <c r="J1595" i="1"/>
  <c r="K1595" i="1"/>
  <c r="O1590" i="1"/>
  <c r="G1596" i="1"/>
  <c r="I1596" i="1"/>
  <c r="J1596" i="1"/>
  <c r="K1596" i="1"/>
  <c r="O1591" i="1"/>
  <c r="G1597" i="1"/>
  <c r="I1597" i="1"/>
  <c r="J1597" i="1"/>
  <c r="K1597" i="1"/>
  <c r="O1592" i="1"/>
  <c r="C1599" i="1"/>
  <c r="D1599" i="1"/>
  <c r="E1599" i="1"/>
  <c r="F1599" i="1"/>
  <c r="G1599" i="1"/>
  <c r="I1599" i="1"/>
  <c r="J1599" i="1"/>
  <c r="K1599" i="1"/>
  <c r="I1600" i="1"/>
  <c r="J1600" i="1"/>
  <c r="K1600" i="1"/>
  <c r="O1595" i="1"/>
  <c r="G1601" i="1"/>
  <c r="I1601" i="1"/>
  <c r="J1601" i="1"/>
  <c r="K1601" i="1"/>
  <c r="O1596" i="1"/>
  <c r="C1603" i="1"/>
  <c r="D1603" i="1"/>
  <c r="E1603" i="1"/>
  <c r="F1603" i="1"/>
  <c r="G1603" i="1"/>
  <c r="I1603" i="1"/>
  <c r="J1603" i="1"/>
  <c r="K1603" i="1"/>
  <c r="C1604" i="1"/>
  <c r="D1604" i="1"/>
  <c r="E1604" i="1"/>
  <c r="F1604" i="1"/>
  <c r="I1604" i="1"/>
  <c r="J1604" i="1"/>
  <c r="K1604" i="1"/>
  <c r="C1607" i="1"/>
  <c r="D1607" i="1"/>
  <c r="E1607" i="1"/>
  <c r="F1607" i="1"/>
  <c r="G1607" i="1"/>
  <c r="I1607" i="1"/>
  <c r="J1607" i="1"/>
  <c r="K1607" i="1"/>
  <c r="I1608" i="1"/>
  <c r="J1608" i="1"/>
  <c r="K1608" i="1"/>
  <c r="O1603" i="1"/>
  <c r="G1609" i="1"/>
  <c r="I1609" i="1"/>
  <c r="J1609" i="1"/>
  <c r="K1609" i="1"/>
  <c r="O1604" i="1"/>
  <c r="G1610" i="1"/>
  <c r="I1610" i="1"/>
  <c r="J1610" i="1"/>
  <c r="K1610" i="1"/>
  <c r="O1605" i="1"/>
  <c r="C1611" i="1"/>
  <c r="D1611" i="1"/>
  <c r="E1611" i="1"/>
  <c r="F1611" i="1"/>
  <c r="G1611" i="1"/>
  <c r="I1611" i="1"/>
  <c r="J1611" i="1"/>
  <c r="K1611" i="1"/>
  <c r="I1612" i="1"/>
  <c r="J1612" i="1"/>
  <c r="K1612" i="1"/>
  <c r="O1607" i="1"/>
  <c r="G1613" i="1"/>
  <c r="I1613" i="1"/>
  <c r="J1613" i="1"/>
  <c r="K1613" i="1"/>
  <c r="O1608" i="1"/>
  <c r="G1614" i="1"/>
  <c r="I1614" i="1"/>
  <c r="J1614" i="1"/>
  <c r="K1614" i="1"/>
  <c r="O1609" i="1"/>
  <c r="C1615" i="1"/>
  <c r="D1615" i="1"/>
  <c r="E1615" i="1"/>
  <c r="F1615" i="1"/>
  <c r="I1615" i="1"/>
  <c r="J1615" i="1"/>
  <c r="K1615" i="1"/>
  <c r="C1618" i="1"/>
  <c r="D1618" i="1"/>
  <c r="E1618" i="1"/>
  <c r="F1618" i="1"/>
  <c r="G1618" i="1"/>
  <c r="I1618" i="1"/>
  <c r="J1618" i="1"/>
  <c r="K1618" i="1"/>
  <c r="C1619" i="1"/>
  <c r="D1619" i="1"/>
  <c r="E1619" i="1"/>
  <c r="F1619" i="1"/>
  <c r="G1619" i="1"/>
  <c r="I1619" i="1"/>
  <c r="J1619" i="1"/>
  <c r="K1619" i="1"/>
  <c r="C1620" i="1"/>
  <c r="D1620" i="1"/>
  <c r="E1620" i="1"/>
  <c r="F1620" i="1"/>
  <c r="G1620" i="1"/>
  <c r="I1620" i="1"/>
  <c r="J1620" i="1"/>
  <c r="K1620" i="1"/>
  <c r="C1621" i="1"/>
  <c r="D1621" i="1"/>
  <c r="E1621" i="1"/>
  <c r="F1621" i="1"/>
  <c r="G1621" i="1"/>
  <c r="I1621" i="1"/>
  <c r="J1621" i="1"/>
  <c r="K1621" i="1"/>
  <c r="I1622" i="1"/>
  <c r="J1622" i="1"/>
  <c r="K1622" i="1"/>
  <c r="O1615" i="1"/>
  <c r="G1623" i="1"/>
  <c r="I1623" i="1"/>
  <c r="J1623" i="1"/>
  <c r="K1623" i="1"/>
  <c r="O1618" i="1"/>
  <c r="C1625" i="1"/>
  <c r="D1625" i="1"/>
  <c r="E1625" i="1"/>
  <c r="F1625" i="1"/>
  <c r="I1625" i="1"/>
  <c r="J1625" i="1"/>
  <c r="K1625" i="1"/>
  <c r="I1626" i="1"/>
  <c r="J1626" i="1"/>
  <c r="K1626" i="1"/>
  <c r="O1620" i="1"/>
  <c r="C1628" i="1"/>
  <c r="D1628" i="1"/>
  <c r="E1628" i="1"/>
  <c r="F1628" i="1"/>
  <c r="G1628" i="1"/>
  <c r="I1628" i="1"/>
  <c r="J1628" i="1"/>
  <c r="K1628" i="1"/>
  <c r="C1629" i="1"/>
  <c r="D1629" i="1"/>
  <c r="E1629" i="1"/>
  <c r="F1629" i="1"/>
  <c r="G1629" i="1"/>
  <c r="I1629" i="1"/>
  <c r="J1629" i="1"/>
  <c r="K1629" i="1"/>
  <c r="C1630" i="1"/>
  <c r="D1630" i="1"/>
  <c r="E1630" i="1"/>
  <c r="F1630" i="1"/>
  <c r="I1630" i="1"/>
  <c r="J1630" i="1"/>
  <c r="K1630" i="1"/>
  <c r="I1631" i="1"/>
  <c r="J1631" i="1"/>
  <c r="K1631" i="1"/>
  <c r="O1626" i="1"/>
  <c r="G1632" i="1"/>
  <c r="I1632" i="1"/>
  <c r="J1632" i="1"/>
  <c r="K1632" i="1"/>
  <c r="O1627" i="1"/>
  <c r="C1633" i="1"/>
  <c r="D1633" i="1"/>
  <c r="E1633" i="1"/>
  <c r="F1633" i="1"/>
  <c r="G1633" i="1"/>
  <c r="I1633" i="1"/>
  <c r="J1633" i="1"/>
  <c r="K1633" i="1"/>
  <c r="C1634" i="1"/>
  <c r="D1634" i="1"/>
  <c r="E1634" i="1"/>
  <c r="F1634" i="1"/>
  <c r="I1634" i="1"/>
  <c r="J1634" i="1"/>
  <c r="K1634" i="1"/>
  <c r="I1635" i="1"/>
  <c r="J1635" i="1"/>
  <c r="K1635" i="1"/>
  <c r="O1630" i="1"/>
  <c r="G1636" i="1"/>
  <c r="I1636" i="1"/>
  <c r="J1636" i="1"/>
  <c r="K1636" i="1"/>
  <c r="O1631" i="1"/>
  <c r="C1637" i="1"/>
  <c r="D1637" i="1"/>
  <c r="E1637" i="1"/>
  <c r="F1637" i="1"/>
  <c r="G1637" i="1"/>
  <c r="I1637" i="1"/>
  <c r="J1637" i="1"/>
  <c r="K1637" i="1"/>
  <c r="C1638" i="1"/>
  <c r="D1638" i="1"/>
  <c r="E1638" i="1"/>
  <c r="F1638" i="1"/>
  <c r="G1638" i="1"/>
  <c r="I1638" i="1"/>
  <c r="J1638" i="1"/>
  <c r="K1638" i="1"/>
  <c r="C1639" i="1"/>
  <c r="D1639" i="1"/>
  <c r="E1639" i="1"/>
  <c r="F1639" i="1"/>
  <c r="G1639" i="1"/>
  <c r="I1639" i="1"/>
  <c r="J1639" i="1"/>
  <c r="K1639" i="1"/>
  <c r="C1640" i="1"/>
  <c r="I1640" i="1"/>
  <c r="J1640" i="1"/>
  <c r="K1640" i="1"/>
  <c r="O1635" i="1"/>
  <c r="G1641" i="1"/>
  <c r="I1641" i="1"/>
  <c r="J1641" i="1"/>
  <c r="K1641" i="1"/>
  <c r="O1636" i="1"/>
  <c r="G1642" i="1"/>
  <c r="I1642" i="1"/>
  <c r="J1642" i="1"/>
  <c r="K1642" i="1"/>
  <c r="O1637" i="1"/>
  <c r="C1643" i="1"/>
  <c r="D1643" i="1"/>
  <c r="E1643" i="1"/>
  <c r="F1643" i="1"/>
  <c r="G1643" i="1"/>
  <c r="I1643" i="1"/>
  <c r="J1643" i="1"/>
  <c r="K1643" i="1"/>
  <c r="C1644" i="1"/>
  <c r="D1644" i="1"/>
  <c r="E1644" i="1"/>
  <c r="F1644" i="1"/>
  <c r="G1644" i="1"/>
  <c r="I1644" i="1"/>
  <c r="J1644" i="1"/>
  <c r="K1644" i="1"/>
  <c r="C1645" i="1"/>
  <c r="D1645" i="1"/>
  <c r="E1645" i="1"/>
  <c r="F1645" i="1"/>
  <c r="G1645" i="1"/>
  <c r="I1645" i="1"/>
  <c r="J1645" i="1"/>
  <c r="K1645" i="1"/>
  <c r="C1646" i="1"/>
  <c r="D1646" i="1"/>
  <c r="E1646" i="1"/>
  <c r="F1646" i="1"/>
  <c r="G1646" i="1"/>
  <c r="I1646" i="1"/>
  <c r="J1646" i="1"/>
  <c r="K1646" i="1"/>
  <c r="C1647" i="1"/>
  <c r="D1647" i="1"/>
  <c r="E1647" i="1"/>
  <c r="F1647" i="1"/>
  <c r="I1647" i="1"/>
  <c r="J1647" i="1"/>
  <c r="K1647" i="1"/>
  <c r="I1648" i="1"/>
  <c r="J1648" i="1"/>
  <c r="K1648" i="1"/>
  <c r="O1643" i="1"/>
  <c r="C1649" i="1"/>
  <c r="D1649" i="1"/>
  <c r="E1649" i="1"/>
  <c r="F1649" i="1"/>
  <c r="G1649" i="1"/>
  <c r="I1649" i="1"/>
  <c r="J1649" i="1"/>
  <c r="K1649" i="1"/>
  <c r="C1650" i="1"/>
  <c r="D1650" i="1"/>
  <c r="E1650" i="1"/>
  <c r="F1650" i="1"/>
  <c r="G1650" i="1"/>
  <c r="I1650" i="1"/>
  <c r="J1650" i="1"/>
  <c r="K1650" i="1"/>
  <c r="C1651" i="1"/>
  <c r="D1651" i="1"/>
  <c r="E1651" i="1"/>
  <c r="F1651" i="1"/>
  <c r="G1651" i="1"/>
  <c r="I1651" i="1"/>
  <c r="J1651" i="1"/>
  <c r="K1651" i="1"/>
  <c r="C1652" i="1"/>
  <c r="D1652" i="1"/>
  <c r="E1652" i="1"/>
  <c r="F1652" i="1"/>
  <c r="G1652" i="1"/>
  <c r="I1652" i="1"/>
  <c r="J1652" i="1"/>
  <c r="K1652" i="1"/>
  <c r="C1653" i="1"/>
  <c r="D1653" i="1"/>
  <c r="E1653" i="1"/>
  <c r="F1653" i="1"/>
  <c r="G1653" i="1"/>
  <c r="I1653" i="1"/>
  <c r="J1653" i="1"/>
  <c r="K1653" i="1"/>
  <c r="E1654" i="1"/>
  <c r="F1654" i="1"/>
  <c r="I1654" i="1"/>
  <c r="J1654" i="1"/>
  <c r="K1654" i="1"/>
  <c r="C1657" i="1"/>
  <c r="D1657" i="1"/>
  <c r="E1657" i="1"/>
  <c r="F1657" i="1"/>
  <c r="G1657" i="1"/>
  <c r="I1657" i="1"/>
  <c r="J1657" i="1"/>
  <c r="K1657" i="1"/>
  <c r="C1658" i="1"/>
  <c r="D1658" i="1"/>
  <c r="E1658" i="1"/>
  <c r="F1658" i="1"/>
  <c r="G1658" i="1"/>
  <c r="I1658" i="1"/>
  <c r="J1658" i="1"/>
  <c r="K1658" i="1"/>
  <c r="I1659" i="1"/>
  <c r="J1659" i="1"/>
  <c r="K1659" i="1"/>
  <c r="O1652" i="1"/>
  <c r="G1660" i="1"/>
  <c r="I1660" i="1"/>
  <c r="J1660" i="1"/>
  <c r="K1660" i="1"/>
  <c r="O1653" i="1"/>
  <c r="G1661" i="1"/>
  <c r="I1661" i="1"/>
  <c r="J1661" i="1"/>
  <c r="K1661" i="1"/>
  <c r="O1654" i="1"/>
  <c r="G1662" i="1"/>
  <c r="I1662" i="1"/>
  <c r="J1662" i="1"/>
  <c r="K1662" i="1"/>
  <c r="O1657" i="1"/>
  <c r="C1663" i="1"/>
  <c r="D1663" i="1"/>
  <c r="E1663" i="1"/>
  <c r="F1663" i="1"/>
  <c r="G1663" i="1"/>
  <c r="I1663" i="1"/>
  <c r="J1663" i="1"/>
  <c r="K1663" i="1"/>
  <c r="C1664" i="1"/>
  <c r="D1664" i="1"/>
  <c r="E1664" i="1"/>
  <c r="F1664" i="1"/>
  <c r="I1664" i="1"/>
  <c r="J1664" i="1"/>
  <c r="K1664" i="1"/>
  <c r="I1665" i="1"/>
  <c r="J1665" i="1"/>
  <c r="K1665" i="1"/>
  <c r="O1660" i="1"/>
  <c r="C1668" i="1"/>
  <c r="D1668" i="1"/>
  <c r="E1668" i="1"/>
  <c r="F1668" i="1"/>
  <c r="G1668" i="1"/>
  <c r="I1668" i="1"/>
  <c r="J1668" i="1"/>
  <c r="K1668" i="1"/>
  <c r="C1669" i="1"/>
  <c r="D1669" i="1"/>
  <c r="E1669" i="1"/>
  <c r="F1669" i="1"/>
  <c r="G1669" i="1"/>
  <c r="I1669" i="1"/>
  <c r="J1669" i="1"/>
  <c r="K1669" i="1"/>
  <c r="C1670" i="1"/>
  <c r="D1670" i="1"/>
  <c r="E1670" i="1"/>
  <c r="F1670" i="1"/>
  <c r="G1670" i="1"/>
  <c r="I1670" i="1"/>
  <c r="J1670" i="1"/>
  <c r="K1670" i="1"/>
  <c r="C1671" i="1"/>
  <c r="D1671" i="1"/>
  <c r="E1671" i="1"/>
  <c r="I1671" i="1"/>
  <c r="J1671" i="1"/>
  <c r="K1671" i="1"/>
  <c r="C1672" i="1"/>
  <c r="D1672" i="1"/>
  <c r="E1672" i="1"/>
  <c r="F1672" i="1"/>
  <c r="G1672" i="1"/>
  <c r="I1672" i="1"/>
  <c r="J1672" i="1"/>
  <c r="K1672" i="1"/>
  <c r="D1673" i="1"/>
  <c r="E1673" i="1"/>
  <c r="F1673" i="1"/>
  <c r="I1673" i="1"/>
  <c r="J1673" i="1"/>
  <c r="K1673" i="1"/>
  <c r="C1676" i="1"/>
  <c r="D1676" i="1"/>
  <c r="E1676" i="1"/>
  <c r="F1676" i="1"/>
  <c r="I1676" i="1"/>
  <c r="J1676" i="1"/>
  <c r="K1676" i="1"/>
  <c r="C1678" i="1"/>
  <c r="D1678" i="1"/>
  <c r="E1678" i="1"/>
  <c r="F1678" i="1"/>
  <c r="G1678" i="1"/>
  <c r="I1678" i="1"/>
  <c r="J1678" i="1"/>
  <c r="K1678" i="1"/>
  <c r="C1679" i="1"/>
  <c r="D1679" i="1"/>
  <c r="E1679" i="1"/>
  <c r="F1679" i="1"/>
  <c r="G1679" i="1"/>
  <c r="I1679" i="1"/>
  <c r="J1679" i="1"/>
  <c r="K1679" i="1"/>
  <c r="C1680" i="1"/>
  <c r="D1680" i="1"/>
  <c r="E1680" i="1"/>
  <c r="F1680" i="1"/>
  <c r="G1680" i="1"/>
  <c r="I1680" i="1"/>
  <c r="J1680" i="1"/>
  <c r="K1680" i="1"/>
  <c r="C1681" i="1"/>
  <c r="D1681" i="1"/>
  <c r="E1681" i="1"/>
  <c r="F1681" i="1"/>
  <c r="G1681" i="1"/>
  <c r="I1681" i="1"/>
  <c r="J1681" i="1"/>
  <c r="K1681" i="1"/>
  <c r="C1682" i="1"/>
  <c r="D1682" i="1"/>
  <c r="E1682" i="1"/>
  <c r="F1682" i="1"/>
  <c r="G1682" i="1"/>
  <c r="I1682" i="1"/>
  <c r="J1682" i="1"/>
  <c r="K1682" i="1"/>
  <c r="I1683" i="1"/>
  <c r="J1683" i="1"/>
  <c r="K1683" i="1"/>
  <c r="O1676" i="1"/>
  <c r="G1684" i="1"/>
  <c r="I1684" i="1"/>
  <c r="J1684" i="1"/>
  <c r="K1684" i="1"/>
  <c r="O1678" i="1"/>
  <c r="C1686" i="1"/>
  <c r="D1686" i="1"/>
  <c r="E1686" i="1"/>
  <c r="F1686" i="1"/>
  <c r="G1686" i="1"/>
  <c r="I1686" i="1"/>
  <c r="J1686" i="1"/>
  <c r="K1686" i="1"/>
  <c r="C1687" i="1"/>
  <c r="D1687" i="1"/>
  <c r="E1687" i="1"/>
  <c r="F1687" i="1"/>
  <c r="I1687" i="1"/>
  <c r="J1687" i="1"/>
  <c r="K1687" i="1"/>
  <c r="C1690" i="1"/>
  <c r="D1690" i="1"/>
  <c r="E1690" i="1"/>
  <c r="F1690" i="1"/>
  <c r="I1690" i="1"/>
  <c r="J1690" i="1"/>
  <c r="K1690" i="1"/>
  <c r="C1693" i="1"/>
  <c r="D1693" i="1"/>
  <c r="E1693" i="1"/>
  <c r="F1693" i="1"/>
  <c r="G1693" i="1"/>
  <c r="I1693" i="1"/>
  <c r="J1693" i="1"/>
  <c r="K1693" i="1"/>
  <c r="C1694" i="1"/>
  <c r="D1694" i="1"/>
  <c r="E1694" i="1"/>
  <c r="F1694" i="1"/>
  <c r="G1694" i="1"/>
  <c r="I1694" i="1"/>
  <c r="J1694" i="1"/>
  <c r="K1694" i="1"/>
  <c r="C1695" i="1"/>
  <c r="D1695" i="1"/>
  <c r="E1695" i="1"/>
  <c r="F1695" i="1"/>
  <c r="G1695" i="1"/>
  <c r="I1695" i="1"/>
  <c r="J1695" i="1"/>
  <c r="K1695" i="1"/>
  <c r="C1696" i="1"/>
  <c r="D1696" i="1"/>
  <c r="E1696" i="1"/>
  <c r="F1696" i="1"/>
  <c r="G1696" i="1"/>
  <c r="I1696" i="1"/>
  <c r="J1696" i="1"/>
  <c r="K1696" i="1"/>
  <c r="C1697" i="1"/>
  <c r="D1697" i="1"/>
  <c r="E1697" i="1"/>
  <c r="F1697" i="1"/>
  <c r="G1697" i="1"/>
  <c r="I1697" i="1"/>
  <c r="J1697" i="1"/>
  <c r="K1697" i="1"/>
  <c r="C1698" i="1"/>
  <c r="D1698" i="1"/>
  <c r="E1698" i="1"/>
  <c r="F1698" i="1"/>
  <c r="G1698" i="1"/>
  <c r="I1698" i="1"/>
  <c r="J1698" i="1"/>
  <c r="K1698" i="1"/>
  <c r="C1699" i="1"/>
  <c r="D1699" i="1"/>
  <c r="E1699" i="1"/>
  <c r="F1699" i="1"/>
  <c r="G1699" i="1"/>
  <c r="I1699" i="1"/>
  <c r="J1699" i="1"/>
  <c r="K1699" i="1"/>
  <c r="C1700" i="1"/>
  <c r="D1700" i="1"/>
  <c r="E1700" i="1"/>
  <c r="F1700" i="1"/>
  <c r="I1700" i="1"/>
  <c r="J1700" i="1"/>
  <c r="K1700" i="1"/>
  <c r="C1703" i="1"/>
  <c r="D1703" i="1"/>
  <c r="E1703" i="1"/>
  <c r="F1703" i="1"/>
  <c r="G1703" i="1"/>
  <c r="I1703" i="1"/>
  <c r="J1703" i="1"/>
  <c r="K1703" i="1"/>
  <c r="C1704" i="1"/>
  <c r="D1704" i="1"/>
  <c r="E1704" i="1"/>
  <c r="F1704" i="1"/>
  <c r="I1704" i="1"/>
  <c r="J1704" i="1"/>
  <c r="K1704" i="1"/>
  <c r="C1706" i="1"/>
  <c r="D1706" i="1"/>
  <c r="E1706" i="1"/>
  <c r="F1706" i="1"/>
  <c r="G1706" i="1"/>
  <c r="I1706" i="1"/>
  <c r="J1706" i="1"/>
  <c r="K1706" i="1"/>
  <c r="I1707" i="1"/>
  <c r="J1707" i="1"/>
  <c r="K1707" i="1"/>
  <c r="O1698" i="1"/>
  <c r="G1708" i="1"/>
  <c r="I1708" i="1"/>
  <c r="J1708" i="1"/>
  <c r="K1708" i="1"/>
  <c r="O1699" i="1"/>
  <c r="G1709" i="1"/>
  <c r="I1709" i="1"/>
  <c r="J1709" i="1"/>
  <c r="K1709" i="1"/>
  <c r="O1700" i="1"/>
  <c r="C1710" i="1"/>
  <c r="D1710" i="1"/>
  <c r="E1710" i="1"/>
  <c r="F1710" i="1"/>
  <c r="G1710" i="1"/>
  <c r="I1710" i="1"/>
  <c r="J1710" i="1"/>
  <c r="K1710" i="1"/>
  <c r="C1711" i="1"/>
  <c r="D1711" i="1"/>
  <c r="E1711" i="1"/>
  <c r="F1711" i="1"/>
  <c r="I1711" i="1"/>
  <c r="J1711" i="1"/>
  <c r="K1711" i="1"/>
  <c r="C1714" i="1"/>
  <c r="D1714" i="1"/>
  <c r="E1714" i="1"/>
  <c r="F1714" i="1"/>
  <c r="G1714" i="1"/>
  <c r="I1714" i="1"/>
  <c r="J1714" i="1"/>
  <c r="K1714" i="1"/>
  <c r="C1715" i="1"/>
  <c r="D1715" i="1"/>
  <c r="E1715" i="1"/>
  <c r="F1715" i="1"/>
  <c r="G1715" i="1"/>
  <c r="I1715" i="1"/>
  <c r="J1715" i="1"/>
  <c r="K1715" i="1"/>
  <c r="C1716" i="1"/>
  <c r="D1716" i="1"/>
  <c r="E1716" i="1"/>
  <c r="F1716" i="1"/>
  <c r="G1716" i="1"/>
  <c r="I1716" i="1"/>
  <c r="J1716" i="1"/>
  <c r="K1716" i="1"/>
  <c r="I1717" i="1"/>
  <c r="J1717" i="1"/>
  <c r="K1717" i="1"/>
  <c r="O1709" i="1"/>
  <c r="G1718" i="1"/>
  <c r="I1718" i="1"/>
  <c r="J1718" i="1"/>
  <c r="K1718" i="1"/>
  <c r="O1710" i="1"/>
  <c r="G1719" i="1"/>
  <c r="I1719" i="1"/>
  <c r="J1719" i="1"/>
  <c r="K1719" i="1"/>
  <c r="O1711" i="1"/>
  <c r="G1720" i="1"/>
  <c r="I1720" i="1"/>
  <c r="J1720" i="1"/>
  <c r="K1720" i="1"/>
  <c r="O1714" i="1"/>
  <c r="C1721" i="1"/>
  <c r="D1721" i="1"/>
  <c r="E1721" i="1"/>
  <c r="I1721" i="1"/>
  <c r="J1721" i="1"/>
  <c r="K1721" i="1"/>
  <c r="I1722" i="1"/>
  <c r="O1716" i="1"/>
  <c r="I1723" i="1"/>
  <c r="O1717" i="1"/>
  <c r="C1724" i="1"/>
  <c r="I1724" i="1"/>
  <c r="J1724" i="1"/>
  <c r="K1724" i="1"/>
  <c r="O1718" i="1"/>
  <c r="G1725" i="1"/>
  <c r="I1725" i="1"/>
  <c r="J1725" i="1"/>
  <c r="K1725" i="1"/>
  <c r="O1719" i="1"/>
  <c r="G1726" i="1"/>
  <c r="I1726" i="1"/>
  <c r="J1726" i="1"/>
  <c r="K1726" i="1"/>
  <c r="O1720" i="1"/>
  <c r="G1727" i="1"/>
  <c r="I1727" i="1"/>
  <c r="J1727" i="1"/>
  <c r="K1727" i="1"/>
  <c r="O1721" i="1"/>
  <c r="G1728" i="1"/>
  <c r="I1728" i="1"/>
  <c r="J1728" i="1"/>
  <c r="K1728" i="1"/>
  <c r="O1722" i="1"/>
  <c r="C1729" i="1"/>
  <c r="D1729" i="1"/>
  <c r="E1729" i="1"/>
  <c r="F1729" i="1"/>
  <c r="G1729" i="1"/>
  <c r="I1729" i="1"/>
  <c r="J1729" i="1"/>
  <c r="K1729" i="1"/>
  <c r="I1730" i="1"/>
  <c r="J1730" i="1"/>
  <c r="K1730" i="1"/>
  <c r="O1724" i="1"/>
  <c r="G1731" i="1"/>
  <c r="I1731" i="1"/>
  <c r="J1731" i="1"/>
  <c r="K1731" i="1"/>
  <c r="O1725" i="1"/>
  <c r="G1732" i="1"/>
  <c r="I1732" i="1"/>
  <c r="J1732" i="1"/>
  <c r="K1732" i="1"/>
  <c r="O1726" i="1"/>
  <c r="G1733" i="1"/>
  <c r="I1733" i="1"/>
  <c r="J1733" i="1"/>
  <c r="K1733" i="1"/>
  <c r="O1727" i="1"/>
  <c r="G1734" i="1"/>
  <c r="I1734" i="1"/>
  <c r="J1734" i="1"/>
  <c r="K1734" i="1"/>
  <c r="O1728" i="1"/>
  <c r="C1735" i="1"/>
  <c r="D1735" i="1"/>
  <c r="E1735" i="1"/>
  <c r="F1735" i="1"/>
  <c r="G1735" i="1"/>
  <c r="I1735" i="1"/>
  <c r="J1735" i="1"/>
  <c r="K1735" i="1"/>
  <c r="I1736" i="1"/>
  <c r="J1736" i="1"/>
  <c r="K1736" i="1"/>
  <c r="O1730" i="1"/>
  <c r="G1737" i="1"/>
  <c r="I1737" i="1"/>
  <c r="J1737" i="1"/>
  <c r="K1737" i="1"/>
  <c r="O1731" i="1"/>
  <c r="G1738" i="1"/>
  <c r="I1738" i="1"/>
  <c r="J1738" i="1"/>
  <c r="K1738" i="1"/>
  <c r="O1732" i="1"/>
  <c r="G1739" i="1"/>
  <c r="I1739" i="1"/>
  <c r="J1739" i="1"/>
  <c r="K1739" i="1"/>
  <c r="O1733" i="1"/>
  <c r="C1740" i="1"/>
  <c r="D1740" i="1"/>
  <c r="E1740" i="1"/>
  <c r="F1740" i="1"/>
  <c r="G1740" i="1"/>
  <c r="I1740" i="1"/>
  <c r="J1740" i="1"/>
  <c r="K1740" i="1"/>
  <c r="I1741" i="1"/>
  <c r="J1741" i="1"/>
  <c r="K1741" i="1"/>
  <c r="O1735" i="1"/>
  <c r="G1742" i="1"/>
  <c r="I1742" i="1"/>
  <c r="J1742" i="1"/>
  <c r="K1742" i="1"/>
  <c r="O1736" i="1"/>
  <c r="G1743" i="1"/>
  <c r="I1743" i="1"/>
  <c r="J1743" i="1"/>
  <c r="K1743" i="1"/>
  <c r="O1737" i="1"/>
  <c r="G1744" i="1"/>
  <c r="I1744" i="1"/>
  <c r="J1744" i="1"/>
  <c r="K1744" i="1"/>
  <c r="O1738" i="1"/>
  <c r="C1745" i="1"/>
  <c r="D1745" i="1"/>
  <c r="E1745" i="1"/>
  <c r="F1745" i="1"/>
  <c r="G1745" i="1"/>
  <c r="I1745" i="1"/>
  <c r="J1745" i="1"/>
  <c r="K1745" i="1"/>
  <c r="C1746" i="1"/>
  <c r="D1746" i="1"/>
  <c r="E1746" i="1"/>
  <c r="F1746" i="1"/>
  <c r="G1746" i="1"/>
  <c r="I1746" i="1"/>
  <c r="J1746" i="1"/>
  <c r="K1746" i="1"/>
  <c r="C1749" i="1"/>
  <c r="D1749" i="1"/>
  <c r="E1749" i="1"/>
  <c r="F1749" i="1"/>
  <c r="G1749" i="1"/>
  <c r="I1749" i="1"/>
  <c r="J1749" i="1"/>
  <c r="K1749" i="1"/>
  <c r="I1750" i="1"/>
  <c r="J1750" i="1"/>
  <c r="K1750" i="1"/>
  <c r="O1743" i="1"/>
  <c r="G1751" i="1"/>
  <c r="I1751" i="1"/>
  <c r="J1751" i="1"/>
  <c r="K1751" i="1"/>
  <c r="O1744" i="1"/>
  <c r="G1752" i="1"/>
  <c r="I1752" i="1"/>
  <c r="J1752" i="1"/>
  <c r="K1752" i="1"/>
  <c r="O1745" i="1"/>
  <c r="G1753" i="1"/>
  <c r="I1753" i="1"/>
  <c r="J1753" i="1"/>
  <c r="K1753" i="1"/>
  <c r="O1746" i="1"/>
  <c r="C1754" i="1"/>
  <c r="D1754" i="1"/>
  <c r="E1754" i="1"/>
  <c r="F1754" i="1"/>
  <c r="G1754" i="1"/>
  <c r="I1754" i="1"/>
  <c r="J1754" i="1"/>
  <c r="K1754" i="1"/>
  <c r="I1755" i="1"/>
  <c r="J1755" i="1"/>
  <c r="K1755" i="1"/>
  <c r="O1749" i="1"/>
  <c r="G1756" i="1"/>
  <c r="I1756" i="1"/>
  <c r="J1756" i="1"/>
  <c r="K1756" i="1"/>
  <c r="O1750" i="1"/>
  <c r="G1757" i="1"/>
  <c r="I1757" i="1"/>
  <c r="J1757" i="1"/>
  <c r="K1757" i="1"/>
  <c r="O1751" i="1"/>
  <c r="G1758" i="1"/>
  <c r="I1758" i="1"/>
  <c r="J1758" i="1"/>
  <c r="K1758" i="1"/>
  <c r="O1752" i="1"/>
  <c r="C1759" i="1"/>
  <c r="D1759" i="1"/>
  <c r="E1759" i="1"/>
  <c r="F1759" i="1"/>
  <c r="G1759" i="1"/>
  <c r="I1759" i="1"/>
  <c r="J1759" i="1"/>
  <c r="K1759" i="1"/>
  <c r="I1760" i="1"/>
  <c r="J1760" i="1"/>
  <c r="K1760" i="1"/>
  <c r="O1754" i="1"/>
  <c r="G1761" i="1"/>
  <c r="I1761" i="1"/>
  <c r="J1761" i="1"/>
  <c r="K1761" i="1"/>
  <c r="O1755" i="1"/>
  <c r="G1762" i="1"/>
  <c r="I1762" i="1"/>
  <c r="J1762" i="1"/>
  <c r="K1762" i="1"/>
  <c r="O1756" i="1"/>
  <c r="C1763" i="1"/>
  <c r="D1763" i="1"/>
  <c r="E1763" i="1"/>
  <c r="F1763" i="1"/>
  <c r="G1763" i="1"/>
  <c r="I1763" i="1"/>
  <c r="J1763" i="1"/>
  <c r="K1763" i="1"/>
  <c r="I1764" i="1"/>
  <c r="J1764" i="1"/>
  <c r="K1764" i="1"/>
  <c r="O1758" i="1"/>
  <c r="G1765" i="1"/>
  <c r="I1765" i="1"/>
  <c r="J1765" i="1"/>
  <c r="K1765" i="1"/>
  <c r="O1759" i="1"/>
  <c r="G1766" i="1"/>
  <c r="I1766" i="1"/>
  <c r="J1766" i="1"/>
  <c r="K1766" i="1"/>
  <c r="O1760" i="1"/>
  <c r="C1767" i="1"/>
  <c r="D1767" i="1"/>
  <c r="E1767" i="1"/>
  <c r="F1767" i="1"/>
  <c r="G1767" i="1"/>
  <c r="I1767" i="1"/>
  <c r="J1767" i="1"/>
  <c r="K1767" i="1"/>
  <c r="I1768" i="1"/>
  <c r="J1768" i="1"/>
  <c r="K1768" i="1"/>
  <c r="O1762" i="1"/>
  <c r="G1769" i="1"/>
  <c r="I1769" i="1"/>
  <c r="J1769" i="1"/>
  <c r="K1769" i="1"/>
  <c r="O1763" i="1"/>
  <c r="G1770" i="1"/>
  <c r="I1770" i="1"/>
  <c r="J1770" i="1"/>
  <c r="K1770" i="1"/>
  <c r="O1764" i="1"/>
  <c r="C1771" i="1"/>
  <c r="D1771" i="1"/>
  <c r="E1771" i="1"/>
  <c r="F1771" i="1"/>
  <c r="G1771" i="1"/>
  <c r="I1771" i="1"/>
  <c r="J1771" i="1"/>
  <c r="K1771" i="1"/>
  <c r="I1772" i="1"/>
  <c r="J1772" i="1"/>
  <c r="K1772" i="1"/>
  <c r="O1766" i="1"/>
  <c r="G1773" i="1"/>
  <c r="I1773" i="1"/>
  <c r="J1773" i="1"/>
  <c r="K1773" i="1"/>
  <c r="O1767" i="1"/>
  <c r="G1774" i="1"/>
  <c r="I1774" i="1"/>
  <c r="J1774" i="1"/>
  <c r="K1774" i="1"/>
  <c r="O1768" i="1"/>
  <c r="C1775" i="1"/>
  <c r="D1775" i="1"/>
  <c r="E1775" i="1"/>
  <c r="F1775" i="1"/>
  <c r="G1775" i="1"/>
  <c r="I1775" i="1"/>
  <c r="J1775" i="1"/>
  <c r="K1775" i="1"/>
  <c r="I1776" i="1"/>
  <c r="J1776" i="1"/>
  <c r="K1776" i="1"/>
  <c r="O1770" i="1"/>
  <c r="G1777" i="1"/>
  <c r="I1777" i="1"/>
  <c r="J1777" i="1"/>
  <c r="K1777" i="1"/>
  <c r="O1771" i="1"/>
  <c r="G1778" i="1"/>
  <c r="I1778" i="1"/>
  <c r="J1778" i="1"/>
  <c r="K1778" i="1"/>
  <c r="O1772" i="1"/>
  <c r="D1779" i="1"/>
  <c r="E1779" i="1"/>
  <c r="F1779" i="1"/>
  <c r="G1779" i="1"/>
  <c r="I1779" i="1"/>
  <c r="J1779" i="1"/>
  <c r="K1779" i="1"/>
  <c r="I1780" i="1"/>
  <c r="J1780" i="1"/>
  <c r="K1780" i="1"/>
  <c r="O1774" i="1"/>
  <c r="G1781" i="1"/>
  <c r="I1781" i="1"/>
  <c r="J1781" i="1"/>
  <c r="K1781" i="1"/>
  <c r="O1775" i="1"/>
  <c r="G1782" i="1"/>
  <c r="I1782" i="1"/>
  <c r="J1782" i="1"/>
  <c r="K1782" i="1"/>
  <c r="O1776" i="1"/>
  <c r="C1783" i="1"/>
  <c r="D1783" i="1"/>
  <c r="E1783" i="1"/>
  <c r="F1783" i="1"/>
  <c r="G1783" i="1"/>
  <c r="I1783" i="1"/>
  <c r="J1783" i="1"/>
  <c r="K1783" i="1"/>
  <c r="I1784" i="1"/>
  <c r="J1784" i="1"/>
  <c r="K1784" i="1"/>
  <c r="O1778" i="1"/>
  <c r="G1785" i="1"/>
  <c r="I1785" i="1"/>
  <c r="J1785" i="1"/>
  <c r="K1785" i="1"/>
  <c r="O1779" i="1"/>
  <c r="G1786" i="1"/>
  <c r="I1786" i="1"/>
  <c r="J1786" i="1"/>
  <c r="K1786" i="1"/>
  <c r="O1780" i="1"/>
  <c r="G1787" i="1"/>
  <c r="I1787" i="1"/>
  <c r="J1787" i="1"/>
  <c r="K1787" i="1"/>
  <c r="O1781" i="1"/>
  <c r="C1788" i="1"/>
  <c r="D1788" i="1"/>
  <c r="E1788" i="1"/>
  <c r="F1788" i="1"/>
  <c r="G1788" i="1"/>
  <c r="I1788" i="1"/>
  <c r="J1788" i="1"/>
  <c r="K1788" i="1"/>
  <c r="C1790" i="1"/>
  <c r="D1790" i="1"/>
  <c r="E1790" i="1"/>
  <c r="F1790" i="1"/>
  <c r="G1790" i="1"/>
  <c r="I1790" i="1"/>
  <c r="J1790" i="1"/>
  <c r="K1790" i="1"/>
  <c r="I1791" i="1"/>
  <c r="J1791" i="1"/>
  <c r="K1791" i="1"/>
  <c r="O1784" i="1"/>
  <c r="G1792" i="1"/>
  <c r="I1792" i="1"/>
  <c r="J1792" i="1"/>
  <c r="K1792" i="1"/>
  <c r="O1785" i="1"/>
  <c r="G1793" i="1"/>
  <c r="I1793" i="1"/>
  <c r="J1793" i="1"/>
  <c r="K1793" i="1"/>
  <c r="O1786" i="1"/>
  <c r="G1794" i="1"/>
  <c r="I1794" i="1"/>
  <c r="J1794" i="1"/>
  <c r="K1794" i="1"/>
  <c r="O1787" i="1"/>
  <c r="C1795" i="1"/>
  <c r="D1795" i="1"/>
  <c r="E1795" i="1"/>
  <c r="F1795" i="1"/>
  <c r="G1795" i="1"/>
  <c r="I1795" i="1"/>
  <c r="J1795" i="1"/>
  <c r="K1795" i="1"/>
  <c r="I1796" i="1"/>
  <c r="J1796" i="1"/>
  <c r="K1796" i="1"/>
  <c r="O1790" i="1"/>
  <c r="G1797" i="1"/>
  <c r="I1797" i="1"/>
  <c r="J1797" i="1"/>
  <c r="K1797" i="1"/>
  <c r="O1791" i="1"/>
  <c r="C1799" i="1"/>
  <c r="D1799" i="1"/>
  <c r="E1799" i="1"/>
  <c r="F1799" i="1"/>
  <c r="I1799" i="1"/>
  <c r="J1799" i="1"/>
  <c r="K1799" i="1"/>
  <c r="I1800" i="1"/>
  <c r="J1800" i="1"/>
  <c r="K1800" i="1"/>
  <c r="O1793" i="1"/>
  <c r="G1801" i="1"/>
  <c r="I1801" i="1"/>
  <c r="J1801" i="1"/>
  <c r="K1801" i="1"/>
  <c r="O1794" i="1"/>
  <c r="C1803" i="1"/>
  <c r="D1803" i="1"/>
  <c r="E1803" i="1"/>
  <c r="F1803" i="1"/>
  <c r="G1803" i="1"/>
  <c r="I1803" i="1"/>
  <c r="J1803" i="1"/>
  <c r="K1803" i="1"/>
  <c r="I1804" i="1"/>
  <c r="J1804" i="1"/>
  <c r="K1804" i="1"/>
  <c r="O1797" i="1"/>
  <c r="G1805" i="1"/>
  <c r="I1805" i="1"/>
  <c r="J1805" i="1"/>
  <c r="K1805" i="1"/>
  <c r="O1799" i="1"/>
  <c r="G1806" i="1"/>
  <c r="I1806" i="1"/>
  <c r="J1806" i="1"/>
  <c r="K1806" i="1"/>
  <c r="O1800" i="1"/>
  <c r="G1807" i="1"/>
  <c r="I1807" i="1"/>
  <c r="J1807" i="1"/>
  <c r="K1807" i="1"/>
  <c r="O1801" i="1"/>
  <c r="G1808" i="1"/>
  <c r="I1808" i="1"/>
  <c r="J1808" i="1"/>
  <c r="K1808" i="1"/>
  <c r="O1802" i="1"/>
  <c r="C1809" i="1"/>
  <c r="D1809" i="1"/>
  <c r="E1809" i="1"/>
  <c r="F1809" i="1"/>
  <c r="G1809" i="1"/>
  <c r="I1809" i="1"/>
  <c r="J1809" i="1"/>
  <c r="K1809" i="1"/>
  <c r="C1810" i="1"/>
  <c r="D1810" i="1"/>
  <c r="E1810" i="1"/>
  <c r="F1810" i="1"/>
  <c r="G1810" i="1"/>
  <c r="I1810" i="1"/>
  <c r="J1810" i="1"/>
  <c r="K1810" i="1"/>
  <c r="I1811" i="1"/>
  <c r="J1811" i="1"/>
  <c r="K1811" i="1"/>
  <c r="O1805" i="1"/>
  <c r="G1812" i="1"/>
  <c r="I1812" i="1"/>
  <c r="J1812" i="1"/>
  <c r="K1812" i="1"/>
  <c r="O1806" i="1"/>
  <c r="G1813" i="1"/>
  <c r="I1813" i="1"/>
  <c r="J1813" i="1"/>
  <c r="K1813" i="1"/>
  <c r="O1807" i="1"/>
  <c r="G1814" i="1"/>
  <c r="I1814" i="1"/>
  <c r="J1814" i="1"/>
  <c r="K1814" i="1"/>
  <c r="O1808" i="1"/>
  <c r="C1816" i="1"/>
  <c r="E1816" i="1"/>
  <c r="I1816" i="1"/>
  <c r="J1816" i="1"/>
  <c r="K1816" i="1"/>
  <c r="C1818" i="1"/>
  <c r="D1818" i="1"/>
  <c r="E1818" i="1"/>
  <c r="F1818" i="1"/>
  <c r="G1818" i="1"/>
  <c r="I1818" i="1"/>
  <c r="J1818" i="1"/>
  <c r="K1818" i="1"/>
  <c r="C1821" i="1"/>
  <c r="D1821" i="1"/>
  <c r="E1821" i="1"/>
  <c r="F1821" i="1"/>
  <c r="G1821" i="1"/>
  <c r="I1821" i="1"/>
  <c r="J1821" i="1"/>
  <c r="K1821" i="1"/>
  <c r="G1822" i="1"/>
  <c r="I1822" i="1"/>
  <c r="J1822" i="1"/>
  <c r="K1822" i="1"/>
  <c r="O1814" i="1"/>
  <c r="G1823" i="1"/>
  <c r="I1823" i="1"/>
  <c r="J1823" i="1"/>
  <c r="K1823" i="1"/>
  <c r="O1815" i="1"/>
  <c r="G1824" i="1"/>
  <c r="I1824" i="1"/>
  <c r="J1824" i="1"/>
  <c r="K1824" i="1"/>
  <c r="O1816" i="1"/>
  <c r="C1825" i="1"/>
  <c r="D1825" i="1"/>
  <c r="E1825" i="1"/>
  <c r="F1825" i="1"/>
  <c r="G1825" i="1"/>
  <c r="I1825" i="1"/>
  <c r="J1825" i="1"/>
  <c r="K1825" i="1"/>
  <c r="G1826" i="1"/>
  <c r="I1826" i="1"/>
  <c r="J1826" i="1"/>
  <c r="K1826" i="1"/>
  <c r="O1819" i="1"/>
  <c r="G1827" i="1"/>
  <c r="I1827" i="1"/>
  <c r="J1827" i="1"/>
  <c r="K1827" i="1"/>
  <c r="O1821" i="1"/>
  <c r="G1830" i="1"/>
  <c r="J1830" i="1"/>
  <c r="K1830" i="1"/>
  <c r="O1823" i="1"/>
  <c r="C1832" i="1"/>
  <c r="D1832" i="1"/>
  <c r="E1832" i="1"/>
  <c r="F1832" i="1"/>
  <c r="I1832" i="1"/>
  <c r="J1832" i="1"/>
  <c r="K1832" i="1"/>
  <c r="C1835" i="1"/>
  <c r="D1835" i="1"/>
  <c r="E1835" i="1"/>
  <c r="F1835" i="1"/>
  <c r="I1835" i="1"/>
  <c r="J1835" i="1"/>
  <c r="K1835" i="1"/>
  <c r="C1839" i="1"/>
  <c r="D1839" i="1"/>
  <c r="E1839" i="1"/>
  <c r="F1839" i="1"/>
  <c r="I1839" i="1"/>
  <c r="J1839" i="1"/>
  <c r="K1839" i="1"/>
  <c r="C1841" i="1"/>
  <c r="D1841" i="1"/>
  <c r="E1841" i="1"/>
  <c r="F1841" i="1"/>
  <c r="G1841" i="1"/>
  <c r="I1841" i="1"/>
  <c r="J1841" i="1"/>
  <c r="K1841" i="1"/>
  <c r="C1842" i="1"/>
  <c r="D1842" i="1"/>
  <c r="E1842" i="1"/>
  <c r="F1842" i="1"/>
  <c r="I1842" i="1"/>
  <c r="J1842" i="1"/>
  <c r="K1842" i="1"/>
  <c r="G1843" i="1"/>
  <c r="I1843" i="1"/>
  <c r="J1843" i="1"/>
  <c r="K1843" i="1"/>
  <c r="O1830" i="1"/>
  <c r="G1844" i="1"/>
  <c r="I1844" i="1"/>
  <c r="J1844" i="1"/>
  <c r="K1844" i="1"/>
  <c r="O1831" i="1"/>
  <c r="C1846" i="1"/>
  <c r="D1846" i="1"/>
  <c r="E1846" i="1"/>
  <c r="F1846" i="1"/>
  <c r="I1846" i="1"/>
  <c r="J1846" i="1"/>
  <c r="K1846" i="1"/>
  <c r="G1847" i="1"/>
  <c r="I1847" i="1"/>
  <c r="J1847" i="1"/>
  <c r="K1847" i="1"/>
  <c r="O1833" i="1"/>
  <c r="G1851" i="1"/>
  <c r="I1851" i="1"/>
  <c r="J1851" i="1"/>
  <c r="K1851" i="1"/>
  <c r="O1841" i="1"/>
  <c r="G1852" i="1"/>
  <c r="I1852" i="1"/>
  <c r="J1852" i="1"/>
  <c r="K1852" i="1"/>
  <c r="O1842" i="1"/>
  <c r="G1853" i="1"/>
  <c r="I1853" i="1"/>
  <c r="J1853" i="1"/>
  <c r="K1853" i="1"/>
  <c r="O1843" i="1"/>
  <c r="G1857" i="1"/>
  <c r="I1857" i="1"/>
  <c r="J1857" i="1"/>
  <c r="K1857" i="1"/>
  <c r="O1848" i="1"/>
  <c r="C1859" i="1"/>
  <c r="D1859" i="1"/>
  <c r="E1859" i="1"/>
  <c r="F1859" i="1"/>
  <c r="G1859" i="1"/>
  <c r="I1859" i="1"/>
  <c r="J1859" i="1"/>
  <c r="K1859" i="1"/>
  <c r="C1864" i="1"/>
  <c r="D1864" i="1"/>
  <c r="E1864" i="1"/>
  <c r="I1864" i="1"/>
  <c r="J1864" i="1"/>
  <c r="K1864" i="1"/>
  <c r="C1865" i="1"/>
  <c r="D1865" i="1"/>
  <c r="E1865" i="1"/>
  <c r="F1865" i="1"/>
  <c r="G1865" i="1"/>
  <c r="I1865" i="1"/>
  <c r="K1865" i="1"/>
  <c r="G1866" i="1"/>
  <c r="I1866" i="1"/>
  <c r="J1866" i="1"/>
  <c r="K1866" i="1"/>
  <c r="O1858" i="1"/>
  <c r="G1867" i="1"/>
  <c r="I1867" i="1"/>
  <c r="J1867" i="1"/>
  <c r="K1867" i="1"/>
  <c r="O1859" i="1"/>
  <c r="G1868" i="1"/>
  <c r="I1868" i="1"/>
  <c r="J1868" i="1"/>
  <c r="K1868" i="1"/>
  <c r="O1860" i="1"/>
  <c r="G1869" i="1"/>
  <c r="I1869" i="1"/>
  <c r="J1869" i="1"/>
  <c r="K1869" i="1"/>
  <c r="O1861" i="1"/>
  <c r="C1871" i="1"/>
  <c r="D1871" i="1"/>
  <c r="E1871" i="1"/>
  <c r="F1871" i="1"/>
  <c r="I1871" i="1"/>
  <c r="J1871" i="1"/>
  <c r="K1871" i="1"/>
  <c r="I1872" i="1"/>
  <c r="J1872" i="1"/>
  <c r="K1872" i="1"/>
  <c r="O1864" i="1"/>
  <c r="C1876" i="1"/>
  <c r="D1876" i="1"/>
  <c r="E1876" i="1"/>
  <c r="F1876" i="1"/>
  <c r="I1876" i="1"/>
  <c r="J1876" i="1"/>
  <c r="K1876" i="1"/>
  <c r="C1878" i="1"/>
  <c r="D1878" i="1"/>
  <c r="E1878" i="1"/>
  <c r="F1878" i="1"/>
  <c r="I1878" i="1"/>
  <c r="J1878" i="1"/>
  <c r="K1878" i="1"/>
  <c r="I1880" i="1"/>
  <c r="J1880" i="1"/>
  <c r="K1880" i="1"/>
  <c r="O1871" i="1"/>
  <c r="G1881" i="1"/>
  <c r="I1881" i="1"/>
  <c r="J1881" i="1"/>
  <c r="K1881" i="1"/>
  <c r="O1872" i="1"/>
  <c r="C1883" i="1"/>
  <c r="D1883" i="1"/>
  <c r="E1883" i="1"/>
  <c r="F1883" i="1"/>
  <c r="G1883" i="1"/>
  <c r="I1883" i="1"/>
  <c r="J1883" i="1"/>
  <c r="K1883" i="1"/>
  <c r="I1884" i="1"/>
  <c r="J1884" i="1"/>
  <c r="K1884" i="1"/>
  <c r="O1875" i="1"/>
  <c r="G1885" i="1"/>
  <c r="I1885" i="1"/>
  <c r="J1885" i="1"/>
  <c r="K1885" i="1"/>
  <c r="O1876" i="1"/>
  <c r="G1886" i="1"/>
  <c r="I1886" i="1"/>
  <c r="J1886" i="1"/>
  <c r="K1886" i="1"/>
  <c r="O1877" i="1"/>
  <c r="G1887" i="1"/>
  <c r="I1887" i="1"/>
  <c r="J1887" i="1"/>
  <c r="K1887" i="1"/>
  <c r="O1878" i="1"/>
  <c r="I1889" i="1"/>
  <c r="J1889" i="1"/>
  <c r="K1889" i="1"/>
  <c r="O1880" i="1"/>
  <c r="G1890" i="1"/>
  <c r="I1890" i="1"/>
  <c r="J1890" i="1"/>
  <c r="K1890" i="1"/>
  <c r="O1881" i="1"/>
  <c r="I1895" i="1"/>
  <c r="J1895" i="1"/>
  <c r="K1895" i="1"/>
  <c r="O1886" i="1"/>
  <c r="G1896" i="1"/>
  <c r="I1896" i="1"/>
  <c r="J1896" i="1"/>
  <c r="K1896" i="1"/>
  <c r="O1887" i="1"/>
  <c r="C1904" i="1"/>
  <c r="D1904" i="1"/>
  <c r="E1904" i="1"/>
  <c r="F1904" i="1"/>
  <c r="G1904" i="1"/>
  <c r="I1904" i="1"/>
  <c r="J1904" i="1"/>
  <c r="K1904" i="1"/>
  <c r="I1905" i="1"/>
  <c r="J1905" i="1"/>
  <c r="K1905" i="1"/>
  <c r="O1893" i="1"/>
  <c r="G1906" i="1"/>
  <c r="I1906" i="1"/>
  <c r="J1906" i="1"/>
  <c r="K1906" i="1"/>
  <c r="O1894" i="1"/>
  <c r="G1907" i="1"/>
  <c r="I1907" i="1"/>
  <c r="J1907" i="1"/>
  <c r="K1907" i="1"/>
  <c r="O1895" i="1"/>
  <c r="G1908" i="1"/>
  <c r="I1908" i="1"/>
  <c r="J1908" i="1"/>
  <c r="K1908" i="1"/>
  <c r="O1896" i="1"/>
  <c r="C1909" i="1"/>
  <c r="D1909" i="1"/>
  <c r="E1909" i="1"/>
  <c r="F1909" i="1"/>
  <c r="G1909" i="1"/>
  <c r="I1909" i="1"/>
  <c r="J1909" i="1"/>
  <c r="K1909" i="1"/>
  <c r="G1910" i="1"/>
  <c r="I1910" i="1"/>
  <c r="J1910" i="1"/>
  <c r="K1910" i="1"/>
  <c r="O1899" i="1"/>
  <c r="G1911" i="1"/>
  <c r="I1911" i="1"/>
  <c r="J1911" i="1"/>
  <c r="K1911" i="1"/>
  <c r="O1902" i="1"/>
  <c r="G1912" i="1"/>
  <c r="I1912" i="1"/>
  <c r="J1912" i="1"/>
  <c r="K1912" i="1"/>
  <c r="O1903" i="1"/>
  <c r="G1913" i="1"/>
  <c r="I1913" i="1"/>
  <c r="J1913" i="1"/>
  <c r="K1913" i="1"/>
  <c r="O1904" i="1"/>
  <c r="O1905" i="1"/>
  <c r="I1915" i="1"/>
  <c r="J1915" i="1"/>
  <c r="K1915" i="1"/>
  <c r="G1916" i="1"/>
  <c r="I1916" i="1"/>
  <c r="J1916" i="1"/>
  <c r="K1916" i="1"/>
  <c r="O1907" i="1"/>
  <c r="O1908" i="1"/>
  <c r="C1918" i="1"/>
  <c r="D1918" i="1"/>
  <c r="E1918" i="1"/>
  <c r="F1918" i="1"/>
  <c r="G1918" i="1"/>
  <c r="I1918" i="1"/>
  <c r="J1918" i="1"/>
  <c r="K1918" i="1"/>
  <c r="I1919" i="1"/>
  <c r="J1919" i="1"/>
  <c r="K1919" i="1"/>
  <c r="O1910" i="1"/>
  <c r="G1920" i="1"/>
  <c r="I1920" i="1"/>
  <c r="J1920" i="1"/>
  <c r="K1920" i="1"/>
  <c r="O1911" i="1"/>
  <c r="G1921" i="1"/>
  <c r="I1921" i="1"/>
  <c r="J1921" i="1"/>
  <c r="K1921" i="1"/>
  <c r="O1912" i="1"/>
  <c r="O1913" i="1"/>
  <c r="O1916" i="1"/>
  <c r="O1917" i="1"/>
  <c r="O1918" i="1"/>
  <c r="I1932" i="1"/>
  <c r="J1932" i="1"/>
  <c r="K1932" i="1"/>
  <c r="K1934" i="1"/>
  <c r="I1936" i="1"/>
  <c r="J1936" i="1"/>
  <c r="K1936" i="1"/>
  <c r="G1937" i="1"/>
  <c r="I1937" i="1"/>
  <c r="J1937" i="1"/>
  <c r="K1937" i="1"/>
  <c r="C1939" i="1"/>
  <c r="D1939" i="1"/>
  <c r="E1939" i="1"/>
  <c r="F1939" i="1"/>
  <c r="G1939" i="1"/>
  <c r="I1939" i="1"/>
  <c r="J1939" i="1"/>
  <c r="K1939" i="1"/>
  <c r="I1941" i="1"/>
  <c r="J1941" i="1"/>
  <c r="K1941" i="1"/>
  <c r="O1933" i="1"/>
  <c r="O1935" i="1"/>
  <c r="I1948" i="1"/>
  <c r="J1948" i="1"/>
  <c r="K1948" i="1"/>
  <c r="O1936" i="1"/>
  <c r="I1952" i="1"/>
  <c r="J1952" i="1"/>
  <c r="K1952" i="1"/>
  <c r="O1940" i="1"/>
  <c r="G1953" i="1"/>
  <c r="I1953" i="1"/>
  <c r="J1953" i="1"/>
  <c r="K1953" i="1"/>
  <c r="G1954" i="1"/>
  <c r="I1954" i="1"/>
  <c r="J1954" i="1"/>
  <c r="K1954" i="1"/>
  <c r="G1955" i="1"/>
  <c r="I1955" i="1"/>
  <c r="J1955" i="1"/>
  <c r="K1955" i="1"/>
  <c r="G1956" i="1"/>
  <c r="I1956" i="1"/>
  <c r="J1956" i="1"/>
  <c r="K1956" i="1"/>
  <c r="O1946" i="1"/>
  <c r="I1958" i="1"/>
  <c r="J1958" i="1"/>
  <c r="K1958" i="1"/>
  <c r="I1961" i="1"/>
  <c r="J1961" i="1"/>
  <c r="K1961" i="1"/>
  <c r="O1950" i="1"/>
  <c r="G1962" i="1"/>
  <c r="I1962" i="1"/>
  <c r="J1962" i="1"/>
  <c r="K1962" i="1"/>
  <c r="O1951" i="1"/>
  <c r="G1963" i="1"/>
  <c r="I1963" i="1"/>
  <c r="J1963" i="1"/>
  <c r="K1963" i="1"/>
  <c r="O1952" i="1"/>
  <c r="O1953" i="1"/>
  <c r="O1954" i="1"/>
  <c r="G1967" i="1"/>
  <c r="I1967" i="1"/>
  <c r="J1967" i="1"/>
  <c r="K1967" i="1"/>
  <c r="O1956" i="1"/>
  <c r="G1968" i="1"/>
  <c r="I1968" i="1"/>
  <c r="J1968" i="1"/>
  <c r="K1968" i="1"/>
  <c r="G1969" i="1"/>
  <c r="I1969" i="1"/>
  <c r="J1969" i="1"/>
  <c r="K1969" i="1"/>
  <c r="O1958" i="1"/>
  <c r="G1970" i="1"/>
  <c r="I1970" i="1"/>
  <c r="J1970" i="1"/>
  <c r="K1970" i="1"/>
  <c r="O1960" i="1"/>
  <c r="O1961" i="1"/>
  <c r="I1972" i="1"/>
  <c r="J1972" i="1"/>
  <c r="K1972" i="1"/>
  <c r="G1973" i="1"/>
  <c r="I1973" i="1"/>
  <c r="J1973" i="1"/>
  <c r="K1973" i="1"/>
  <c r="G1974" i="1"/>
  <c r="I1974" i="1"/>
  <c r="J1974" i="1"/>
  <c r="K1974" i="1"/>
  <c r="O1965" i="1"/>
  <c r="O1966" i="1"/>
  <c r="I1978" i="1"/>
  <c r="J1978" i="1"/>
  <c r="K1978" i="1"/>
  <c r="O1968" i="1"/>
  <c r="F1980" i="1"/>
  <c r="I1980" i="1"/>
  <c r="J1980" i="1"/>
  <c r="K1980" i="1"/>
  <c r="I1981" i="1"/>
  <c r="J1981" i="1"/>
  <c r="K1981" i="1"/>
  <c r="G1982" i="1"/>
  <c r="I1982" i="1"/>
  <c r="J1982" i="1"/>
  <c r="K1982" i="1"/>
  <c r="G1983" i="1"/>
  <c r="I1983" i="1"/>
  <c r="J1983" i="1"/>
  <c r="K1983" i="1"/>
  <c r="G1984" i="1"/>
  <c r="I1984" i="1"/>
  <c r="J1984" i="1"/>
  <c r="K1984" i="1"/>
  <c r="I1986" i="1"/>
  <c r="J1986" i="1"/>
  <c r="K1986" i="1"/>
  <c r="G1987" i="1"/>
  <c r="I1987" i="1"/>
  <c r="J1987" i="1"/>
  <c r="K1987" i="1"/>
  <c r="O1976" i="1"/>
  <c r="G1988" i="1"/>
  <c r="I1988" i="1"/>
  <c r="J1988" i="1"/>
  <c r="K1988" i="1"/>
  <c r="O1978" i="1"/>
  <c r="O1980" i="1"/>
  <c r="O1981" i="1"/>
  <c r="O1982" i="1"/>
  <c r="G1999" i="1"/>
  <c r="I1999" i="1"/>
  <c r="J1999" i="1"/>
  <c r="K1999" i="1"/>
  <c r="G2000" i="1"/>
  <c r="I2000" i="1"/>
  <c r="J2000" i="1"/>
  <c r="K2000" i="1"/>
  <c r="G2001" i="1"/>
  <c r="I2001" i="1"/>
  <c r="J2001" i="1"/>
  <c r="K2001" i="1"/>
  <c r="O1986" i="1"/>
  <c r="I2003" i="1"/>
  <c r="J2003" i="1"/>
  <c r="K2003" i="1"/>
  <c r="O1987" i="1"/>
  <c r="G2004" i="1"/>
  <c r="I2004" i="1"/>
  <c r="J2004" i="1"/>
  <c r="K2004" i="1"/>
  <c r="O1988" i="1"/>
  <c r="I2007" i="1"/>
  <c r="J2007" i="1"/>
  <c r="K2007" i="1"/>
  <c r="O1999" i="1"/>
  <c r="O2000" i="1"/>
  <c r="I2015" i="1"/>
  <c r="J2015" i="1"/>
  <c r="K2015" i="1"/>
  <c r="O2004" i="1"/>
  <c r="I2018" i="1"/>
  <c r="J2018" i="1"/>
  <c r="K2018" i="1"/>
  <c r="O2007" i="1"/>
  <c r="I2023" i="1"/>
  <c r="J2023" i="1"/>
  <c r="K2023" i="1"/>
  <c r="F2025" i="1"/>
  <c r="I2030" i="1"/>
  <c r="J2030" i="1"/>
  <c r="K2030" i="1"/>
  <c r="O2018" i="1"/>
  <c r="G2031" i="1"/>
  <c r="I2031" i="1"/>
  <c r="J2031" i="1"/>
  <c r="K2031" i="1"/>
  <c r="G2032" i="1"/>
  <c r="I2032" i="1"/>
  <c r="J2032" i="1"/>
  <c r="K2032" i="1"/>
  <c r="I2034" i="1"/>
  <c r="J2034" i="1"/>
  <c r="K2034" i="1"/>
  <c r="O2023" i="1"/>
  <c r="G2035" i="1"/>
  <c r="I2035" i="1"/>
  <c r="J2035" i="1"/>
  <c r="K2035" i="1"/>
  <c r="G2036" i="1"/>
  <c r="I2036" i="1"/>
  <c r="J2036" i="1"/>
  <c r="K2036" i="1"/>
  <c r="I2038" i="1"/>
  <c r="J2038" i="1"/>
  <c r="K2038" i="1"/>
  <c r="O2030" i="1"/>
  <c r="I2043" i="1"/>
  <c r="J2043" i="1"/>
  <c r="K2043" i="1"/>
  <c r="O2031" i="1"/>
  <c r="O2032" i="1"/>
  <c r="O2034" i="1"/>
  <c r="O2035" i="1"/>
  <c r="I2048" i="1"/>
  <c r="J2048" i="1"/>
  <c r="K2048" i="1"/>
  <c r="O2036" i="1"/>
  <c r="O2038" i="1"/>
  <c r="O2043" i="1"/>
  <c r="O2048" i="1"/>
  <c r="I2063" i="1"/>
  <c r="J2063" i="1"/>
  <c r="K2063" i="1"/>
  <c r="G2064" i="1"/>
  <c r="I2064" i="1"/>
  <c r="J2064" i="1"/>
  <c r="K2064" i="1"/>
  <c r="O2063" i="1"/>
  <c r="O2064" i="1"/>
  <c r="I2085" i="1"/>
  <c r="J2085" i="1"/>
  <c r="K2085" i="1"/>
  <c r="G2090" i="1"/>
  <c r="I2090" i="1"/>
  <c r="J2090" i="1"/>
  <c r="K2090" i="1"/>
  <c r="G2091" i="1"/>
  <c r="I2091" i="1"/>
  <c r="J2091" i="1"/>
  <c r="K2091" i="1"/>
  <c r="G2092" i="1"/>
  <c r="I2092" i="1"/>
  <c r="J2092" i="1"/>
  <c r="K2092" i="1"/>
  <c r="I2096" i="1"/>
  <c r="J2096" i="1"/>
  <c r="K2096" i="1"/>
  <c r="O2085" i="1"/>
  <c r="O2090" i="1"/>
  <c r="O2091" i="1"/>
  <c r="O2092" i="1"/>
  <c r="I2106" i="1"/>
  <c r="J2106" i="1"/>
  <c r="I2110" i="1"/>
  <c r="J2110" i="1"/>
  <c r="K2110" i="1"/>
  <c r="O2096" i="1"/>
  <c r="O2106" i="1"/>
  <c r="O2110" i="1"/>
  <c r="O2276" i="4"/>
  <c r="K2276" i="4"/>
  <c r="J2276" i="4"/>
  <c r="I2276" i="4"/>
  <c r="G2276" i="4"/>
  <c r="F2276" i="4"/>
  <c r="E2276" i="4"/>
  <c r="D2276" i="4"/>
  <c r="C2276" i="4"/>
  <c r="O2275" i="4"/>
  <c r="K2275" i="4"/>
  <c r="J2275" i="4"/>
  <c r="I2275" i="4"/>
  <c r="G2275" i="4"/>
  <c r="F2275" i="4"/>
  <c r="E2275" i="4"/>
  <c r="D2275" i="4"/>
  <c r="C2275" i="4"/>
  <c r="O2274" i="4"/>
  <c r="K2274" i="4"/>
  <c r="J2274" i="4"/>
  <c r="I2274" i="4"/>
  <c r="G2274" i="4"/>
  <c r="F2274" i="4"/>
  <c r="E2274" i="4"/>
  <c r="D2274" i="4"/>
  <c r="C2274" i="4"/>
  <c r="O2273" i="4"/>
  <c r="K2273" i="4"/>
  <c r="J2273" i="4"/>
  <c r="I2273" i="4"/>
  <c r="G2273" i="4"/>
  <c r="F2273" i="4"/>
  <c r="E2273" i="4"/>
  <c r="D2273" i="4"/>
  <c r="C2273" i="4"/>
  <c r="O2272" i="4"/>
  <c r="K2272" i="4"/>
  <c r="J2272" i="4"/>
  <c r="I2272" i="4"/>
  <c r="G2272" i="4"/>
  <c r="F2272" i="4"/>
  <c r="E2272" i="4"/>
  <c r="D2272" i="4"/>
  <c r="C2272" i="4"/>
  <c r="O2271" i="4"/>
  <c r="K2271" i="4"/>
  <c r="J2271" i="4"/>
  <c r="I2271" i="4"/>
  <c r="G2271" i="4"/>
  <c r="F2271" i="4"/>
  <c r="E2271" i="4"/>
  <c r="D2271" i="4"/>
  <c r="C2271" i="4"/>
  <c r="O2270" i="4"/>
  <c r="K2270" i="4"/>
  <c r="J2270" i="4"/>
  <c r="I2270" i="4"/>
  <c r="G2270" i="4"/>
  <c r="F2270" i="4"/>
  <c r="E2270" i="4"/>
  <c r="D2270" i="4"/>
  <c r="C2270" i="4"/>
  <c r="O2269" i="4"/>
  <c r="K2269" i="4"/>
  <c r="J2269" i="4"/>
  <c r="I2269" i="4"/>
  <c r="G2269" i="4"/>
  <c r="F2269" i="4"/>
  <c r="E2269" i="4"/>
  <c r="D2269" i="4"/>
  <c r="C2269" i="4"/>
  <c r="O2268" i="4"/>
  <c r="K2268" i="4"/>
  <c r="J2268" i="4"/>
  <c r="I2268" i="4"/>
  <c r="G2268" i="4"/>
  <c r="F2268" i="4"/>
  <c r="E2268" i="4"/>
  <c r="D2268" i="4"/>
  <c r="C2268" i="4"/>
  <c r="O2267" i="4"/>
  <c r="K2267" i="4"/>
  <c r="J2267" i="4"/>
  <c r="I2267" i="4"/>
  <c r="G2267" i="4"/>
  <c r="F2267" i="4"/>
  <c r="E2267" i="4"/>
  <c r="D2267" i="4"/>
  <c r="C2267" i="4"/>
  <c r="O2266" i="4"/>
  <c r="K2266" i="4"/>
  <c r="J2266" i="4"/>
  <c r="I2266" i="4"/>
  <c r="G2266" i="4"/>
  <c r="F2266" i="4"/>
  <c r="E2266" i="4"/>
  <c r="D2266" i="4"/>
  <c r="C2266" i="4"/>
  <c r="O2265" i="4"/>
  <c r="K2265" i="4"/>
  <c r="J2265" i="4"/>
  <c r="I2265" i="4"/>
  <c r="G2265" i="4"/>
  <c r="F2265" i="4"/>
  <c r="E2265" i="4"/>
  <c r="D2265" i="4"/>
  <c r="C2265" i="4"/>
  <c r="O2264" i="4"/>
  <c r="K2264" i="4"/>
  <c r="J2264" i="4"/>
  <c r="I2264" i="4"/>
  <c r="G2264" i="4"/>
  <c r="F2264" i="4"/>
  <c r="E2264" i="4"/>
  <c r="D2264" i="4"/>
  <c r="C2264" i="4"/>
  <c r="O2263" i="4"/>
  <c r="K2263" i="4"/>
  <c r="J2263" i="4"/>
  <c r="I2263" i="4"/>
  <c r="G2263" i="4"/>
  <c r="F2263" i="4"/>
  <c r="E2263" i="4"/>
  <c r="D2263" i="4"/>
  <c r="C2263" i="4"/>
  <c r="O2262" i="4"/>
  <c r="K2262" i="4"/>
  <c r="J2262" i="4"/>
  <c r="I2262" i="4"/>
  <c r="G2262" i="4"/>
  <c r="F2262" i="4"/>
  <c r="E2262" i="4"/>
  <c r="D2262" i="4"/>
  <c r="C2262" i="4"/>
  <c r="O2261" i="4"/>
  <c r="K2261" i="4"/>
  <c r="J2261" i="4"/>
  <c r="I2261" i="4"/>
  <c r="G2261" i="4"/>
  <c r="F2261" i="4"/>
  <c r="E2261" i="4"/>
  <c r="D2261" i="4"/>
  <c r="C2261" i="4"/>
  <c r="O2260" i="4"/>
  <c r="K2260" i="4"/>
  <c r="J2260" i="4"/>
  <c r="I2260" i="4"/>
  <c r="G2260" i="4"/>
  <c r="F2260" i="4"/>
  <c r="E2260" i="4"/>
  <c r="D2260" i="4"/>
  <c r="C2260" i="4"/>
  <c r="O2259" i="4"/>
  <c r="K2259" i="4"/>
  <c r="J2259" i="4"/>
  <c r="I2259" i="4"/>
  <c r="G2259" i="4"/>
  <c r="F2259" i="4"/>
  <c r="E2259" i="4"/>
  <c r="D2259" i="4"/>
  <c r="C2259" i="4"/>
  <c r="O2258" i="4"/>
  <c r="K2258" i="4"/>
  <c r="J2258" i="4"/>
  <c r="I2258" i="4"/>
  <c r="G2258" i="4"/>
  <c r="F2258" i="4"/>
  <c r="E2258" i="4"/>
  <c r="D2258" i="4"/>
  <c r="C2258" i="4"/>
  <c r="O2257" i="4"/>
  <c r="K2257" i="4"/>
  <c r="J2257" i="4"/>
  <c r="I2257" i="4"/>
  <c r="G2257" i="4"/>
  <c r="F2257" i="4"/>
  <c r="E2257" i="4"/>
  <c r="D2257" i="4"/>
  <c r="C2257" i="4"/>
  <c r="O2256" i="4"/>
  <c r="K2256" i="4"/>
  <c r="J2256" i="4"/>
  <c r="I2256" i="4"/>
  <c r="G2256" i="4"/>
  <c r="F2256" i="4"/>
  <c r="E2256" i="4"/>
  <c r="D2256" i="4"/>
  <c r="C2256" i="4"/>
  <c r="O2255" i="4"/>
  <c r="K2255" i="4"/>
  <c r="J2255" i="4"/>
  <c r="I2255" i="4"/>
  <c r="G2255" i="4"/>
  <c r="F2255" i="4"/>
  <c r="E2255" i="4"/>
  <c r="D2255" i="4"/>
  <c r="C2255" i="4"/>
  <c r="O2254" i="4"/>
  <c r="K2254" i="4"/>
  <c r="J2254" i="4"/>
  <c r="I2254" i="4"/>
  <c r="G2254" i="4"/>
  <c r="F2254" i="4"/>
  <c r="E2254" i="4"/>
  <c r="D2254" i="4"/>
  <c r="C2254" i="4"/>
  <c r="O2253" i="4"/>
  <c r="K2253" i="4"/>
  <c r="J2253" i="4"/>
  <c r="I2253" i="4"/>
  <c r="G2253" i="4"/>
  <c r="F2253" i="4"/>
  <c r="E2253" i="4"/>
  <c r="D2253" i="4"/>
  <c r="C2253" i="4"/>
  <c r="O2252" i="4"/>
  <c r="K2252" i="4"/>
  <c r="J2252" i="4"/>
  <c r="I2252" i="4"/>
  <c r="G2252" i="4"/>
  <c r="F2252" i="4"/>
  <c r="E2252" i="4"/>
  <c r="D2252" i="4"/>
  <c r="C2252" i="4"/>
  <c r="O2251" i="4"/>
  <c r="K2251" i="4"/>
  <c r="J2251" i="4"/>
  <c r="I2251" i="4"/>
  <c r="G2251" i="4"/>
  <c r="F2251" i="4"/>
  <c r="E2251" i="4"/>
  <c r="D2251" i="4"/>
  <c r="C2251" i="4"/>
  <c r="O2250" i="4"/>
  <c r="K2250" i="4"/>
  <c r="J2250" i="4"/>
  <c r="I2250" i="4"/>
  <c r="G2250" i="4"/>
  <c r="F2250" i="4"/>
  <c r="E2250" i="4"/>
  <c r="D2250" i="4"/>
  <c r="C2250" i="4"/>
  <c r="O2249" i="4"/>
  <c r="K2249" i="4"/>
  <c r="J2249" i="4"/>
  <c r="I2249" i="4"/>
  <c r="G2249" i="4"/>
  <c r="F2249" i="4"/>
  <c r="E2249" i="4"/>
  <c r="D2249" i="4"/>
  <c r="C2249" i="4"/>
  <c r="O2248" i="4"/>
  <c r="K2248" i="4"/>
  <c r="J2248" i="4"/>
  <c r="I2248" i="4"/>
  <c r="G2248" i="4"/>
  <c r="F2248" i="4"/>
  <c r="E2248" i="4"/>
  <c r="D2248" i="4"/>
  <c r="C2248" i="4"/>
  <c r="O2247" i="4"/>
  <c r="K2247" i="4"/>
  <c r="J2247" i="4"/>
  <c r="I2247" i="4"/>
  <c r="G2247" i="4"/>
  <c r="F2247" i="4"/>
  <c r="E2247" i="4"/>
  <c r="D2247" i="4"/>
  <c r="C2247" i="4"/>
  <c r="O2246" i="4"/>
  <c r="K2246" i="4"/>
  <c r="J2246" i="4"/>
  <c r="I2246" i="4"/>
  <c r="G2246" i="4"/>
  <c r="F2246" i="4"/>
  <c r="E2246" i="4"/>
  <c r="D2246" i="4"/>
  <c r="C2246" i="4"/>
  <c r="O2245" i="4"/>
  <c r="K2245" i="4"/>
  <c r="J2245" i="4"/>
  <c r="I2245" i="4"/>
  <c r="G2245" i="4"/>
  <c r="F2245" i="4"/>
  <c r="E2245" i="4"/>
  <c r="D2245" i="4"/>
  <c r="C2245" i="4"/>
  <c r="O2244" i="4"/>
  <c r="K2244" i="4"/>
  <c r="J2244" i="4"/>
  <c r="I2244" i="4"/>
  <c r="G2244" i="4"/>
  <c r="F2244" i="4"/>
  <c r="E2244" i="4"/>
  <c r="D2244" i="4"/>
  <c r="C2244" i="4"/>
  <c r="O2243" i="4"/>
  <c r="K2243" i="4"/>
  <c r="J2243" i="4"/>
  <c r="I2243" i="4"/>
  <c r="G2243" i="4"/>
  <c r="F2243" i="4"/>
  <c r="E2243" i="4"/>
  <c r="D2243" i="4"/>
  <c r="C2243" i="4"/>
  <c r="O2242" i="4"/>
  <c r="K2242" i="4"/>
  <c r="J2242" i="4"/>
  <c r="I2242" i="4"/>
  <c r="G2242" i="4"/>
  <c r="F2242" i="4"/>
  <c r="E2242" i="4"/>
  <c r="D2242" i="4"/>
  <c r="C2242" i="4"/>
  <c r="O2241" i="4"/>
  <c r="K2241" i="4"/>
  <c r="J2241" i="4"/>
  <c r="I2241" i="4"/>
  <c r="G2241" i="4"/>
  <c r="F2241" i="4"/>
  <c r="E2241" i="4"/>
  <c r="D2241" i="4"/>
  <c r="C2241" i="4"/>
  <c r="O2240" i="4"/>
  <c r="K2240" i="4"/>
  <c r="J2240" i="4"/>
  <c r="I2240" i="4"/>
  <c r="G2240" i="4"/>
  <c r="F2240" i="4"/>
  <c r="E2240" i="4"/>
  <c r="D2240" i="4"/>
  <c r="C2240" i="4"/>
  <c r="O2239" i="4"/>
  <c r="K2239" i="4"/>
  <c r="J2239" i="4"/>
  <c r="I2239" i="4"/>
  <c r="G2239" i="4"/>
  <c r="F2239" i="4"/>
  <c r="E2239" i="4"/>
  <c r="D2239" i="4"/>
  <c r="C2239" i="4"/>
  <c r="O2238" i="4"/>
  <c r="K2238" i="4"/>
  <c r="J2238" i="4"/>
  <c r="I2238" i="4"/>
  <c r="G2238" i="4"/>
  <c r="F2238" i="4"/>
  <c r="E2238" i="4"/>
  <c r="D2238" i="4"/>
  <c r="C2238" i="4"/>
  <c r="O2237" i="4"/>
  <c r="K2237" i="4"/>
  <c r="J2237" i="4"/>
  <c r="I2237" i="4"/>
  <c r="G2237" i="4"/>
  <c r="F2237" i="4"/>
  <c r="E2237" i="4"/>
  <c r="D2237" i="4"/>
  <c r="C2237" i="4"/>
  <c r="O2236" i="4"/>
  <c r="K2236" i="4"/>
  <c r="J2236" i="4"/>
  <c r="I2236" i="4"/>
  <c r="G2236" i="4"/>
  <c r="F2236" i="4"/>
  <c r="E2236" i="4"/>
  <c r="D2236" i="4"/>
  <c r="C2236" i="4"/>
  <c r="O2235" i="4"/>
  <c r="K2235" i="4"/>
  <c r="J2235" i="4"/>
  <c r="I2235" i="4"/>
  <c r="G2235" i="4"/>
  <c r="F2235" i="4"/>
  <c r="E2235" i="4"/>
  <c r="D2235" i="4"/>
  <c r="C2235" i="4"/>
  <c r="O2234" i="4"/>
  <c r="K2234" i="4"/>
  <c r="J2234" i="4"/>
  <c r="I2234" i="4"/>
  <c r="G2234" i="4"/>
  <c r="F2234" i="4"/>
  <c r="E2234" i="4"/>
  <c r="D2234" i="4"/>
  <c r="C2234" i="4"/>
  <c r="O2233" i="4"/>
  <c r="K2233" i="4"/>
  <c r="J2233" i="4"/>
  <c r="I2233" i="4"/>
  <c r="G2233" i="4"/>
  <c r="F2233" i="4"/>
  <c r="E2233" i="4"/>
  <c r="D2233" i="4"/>
  <c r="C2233" i="4"/>
  <c r="O2232" i="4"/>
  <c r="K2232" i="4"/>
  <c r="J2232" i="4"/>
  <c r="I2232" i="4"/>
  <c r="G2232" i="4"/>
  <c r="F2232" i="4"/>
  <c r="E2232" i="4"/>
  <c r="D2232" i="4"/>
  <c r="C2232" i="4"/>
  <c r="O2231" i="4"/>
  <c r="K2231" i="4"/>
  <c r="J2231" i="4"/>
  <c r="I2231" i="4"/>
  <c r="G2231" i="4"/>
  <c r="F2231" i="4"/>
  <c r="E2231" i="4"/>
  <c r="D2231" i="4"/>
  <c r="C2231" i="4"/>
  <c r="O2230" i="4"/>
  <c r="K2230" i="4"/>
  <c r="J2230" i="4"/>
  <c r="I2230" i="4"/>
  <c r="G2230" i="4"/>
  <c r="F2230" i="4"/>
  <c r="E2230" i="4"/>
  <c r="D2230" i="4"/>
  <c r="C2230" i="4"/>
  <c r="O2229" i="4"/>
  <c r="K2229" i="4"/>
  <c r="J2229" i="4"/>
  <c r="I2229" i="4"/>
  <c r="G2229" i="4"/>
  <c r="F2229" i="4"/>
  <c r="E2229" i="4"/>
  <c r="D2229" i="4"/>
  <c r="C2229" i="4"/>
  <c r="O2228" i="4"/>
  <c r="K2228" i="4"/>
  <c r="J2228" i="4"/>
  <c r="I2228" i="4"/>
  <c r="G2228" i="4"/>
  <c r="F2228" i="4"/>
  <c r="E2228" i="4"/>
  <c r="D2228" i="4"/>
  <c r="C2228" i="4"/>
  <c r="O2227" i="4"/>
  <c r="K2227" i="4"/>
  <c r="J2227" i="4"/>
  <c r="I2227" i="4"/>
  <c r="G2227" i="4"/>
  <c r="F2227" i="4"/>
  <c r="E2227" i="4"/>
  <c r="D2227" i="4"/>
  <c r="C2227" i="4"/>
  <c r="O2226" i="4"/>
  <c r="K2226" i="4"/>
  <c r="J2226" i="4"/>
  <c r="I2226" i="4"/>
  <c r="G2226" i="4"/>
  <c r="F2226" i="4"/>
  <c r="E2226" i="4"/>
  <c r="D2226" i="4"/>
  <c r="C2226" i="4"/>
  <c r="O2225" i="4"/>
  <c r="K2225" i="4"/>
  <c r="J2225" i="4"/>
  <c r="I2225" i="4"/>
  <c r="G2225" i="4"/>
  <c r="F2225" i="4"/>
  <c r="E2225" i="4"/>
  <c r="D2225" i="4"/>
  <c r="C2225" i="4"/>
  <c r="O2224" i="4"/>
  <c r="K2224" i="4"/>
  <c r="J2224" i="4"/>
  <c r="I2224" i="4"/>
  <c r="G2224" i="4"/>
  <c r="F2224" i="4"/>
  <c r="E2224" i="4"/>
  <c r="D2224" i="4"/>
  <c r="C2224" i="4"/>
  <c r="O2223" i="4"/>
  <c r="K2223" i="4"/>
  <c r="J2223" i="4"/>
  <c r="I2223" i="4"/>
  <c r="G2223" i="4"/>
  <c r="F2223" i="4"/>
  <c r="E2223" i="4"/>
  <c r="D2223" i="4"/>
  <c r="C2223" i="4"/>
  <c r="O2222" i="4"/>
  <c r="K2222" i="4"/>
  <c r="J2222" i="4"/>
  <c r="I2222" i="4"/>
  <c r="G2222" i="4"/>
  <c r="F2222" i="4"/>
  <c r="E2222" i="4"/>
  <c r="D2222" i="4"/>
  <c r="C2222" i="4"/>
  <c r="O2221" i="4"/>
  <c r="K2221" i="4"/>
  <c r="J2221" i="4"/>
  <c r="I2221" i="4"/>
  <c r="G2221" i="4"/>
  <c r="F2221" i="4"/>
  <c r="E2221" i="4"/>
  <c r="D2221" i="4"/>
  <c r="C2221" i="4"/>
  <c r="O2220" i="4"/>
  <c r="K2220" i="4"/>
  <c r="J2220" i="4"/>
  <c r="I2220" i="4"/>
  <c r="G2220" i="4"/>
  <c r="F2220" i="4"/>
  <c r="E2220" i="4"/>
  <c r="D2220" i="4"/>
  <c r="C2220" i="4"/>
  <c r="O2219" i="4"/>
  <c r="K2219" i="4"/>
  <c r="J2219" i="4"/>
  <c r="I2219" i="4"/>
  <c r="G2219" i="4"/>
  <c r="F2219" i="4"/>
  <c r="E2219" i="4"/>
  <c r="D2219" i="4"/>
  <c r="C2219" i="4"/>
  <c r="O2218" i="4"/>
  <c r="K2218" i="4"/>
  <c r="J2218" i="4"/>
  <c r="I2218" i="4"/>
  <c r="G2218" i="4"/>
  <c r="F2218" i="4"/>
  <c r="E2218" i="4"/>
  <c r="D2218" i="4"/>
  <c r="C2218" i="4"/>
  <c r="O2217" i="4"/>
  <c r="K2217" i="4"/>
  <c r="J2217" i="4"/>
  <c r="I2217" i="4"/>
  <c r="G2217" i="4"/>
  <c r="F2217" i="4"/>
  <c r="E2217" i="4"/>
  <c r="D2217" i="4"/>
  <c r="C2217" i="4"/>
  <c r="O2216" i="4"/>
  <c r="K2216" i="4"/>
  <c r="J2216" i="4"/>
  <c r="I2216" i="4"/>
  <c r="G2216" i="4"/>
  <c r="F2216" i="4"/>
  <c r="E2216" i="4"/>
  <c r="D2216" i="4"/>
  <c r="C2216" i="4"/>
  <c r="O2215" i="4"/>
  <c r="K2215" i="4"/>
  <c r="J2215" i="4"/>
  <c r="I2215" i="4"/>
  <c r="G2215" i="4"/>
  <c r="F2215" i="4"/>
  <c r="E2215" i="4"/>
  <c r="D2215" i="4"/>
  <c r="C2215" i="4"/>
  <c r="O2214" i="4"/>
  <c r="K2214" i="4"/>
  <c r="J2214" i="4"/>
  <c r="I2214" i="4"/>
  <c r="G2214" i="4"/>
  <c r="F2214" i="4"/>
  <c r="E2214" i="4"/>
  <c r="D2214" i="4"/>
  <c r="C2214" i="4"/>
  <c r="O2213" i="4"/>
  <c r="K2213" i="4"/>
  <c r="J2213" i="4"/>
  <c r="I2213" i="4"/>
  <c r="G2213" i="4"/>
  <c r="F2213" i="4"/>
  <c r="E2213" i="4"/>
  <c r="D2213" i="4"/>
  <c r="C2213" i="4"/>
  <c r="O2212" i="4"/>
  <c r="K2212" i="4"/>
  <c r="J2212" i="4"/>
  <c r="I2212" i="4"/>
  <c r="G2212" i="4"/>
  <c r="F2212" i="4"/>
  <c r="E2212" i="4"/>
  <c r="D2212" i="4"/>
  <c r="C2212" i="4"/>
  <c r="O2211" i="4"/>
  <c r="K2211" i="4"/>
  <c r="J2211" i="4"/>
  <c r="I2211" i="4"/>
  <c r="G2211" i="4"/>
  <c r="F2211" i="4"/>
  <c r="E2211" i="4"/>
  <c r="D2211" i="4"/>
  <c r="C2211" i="4"/>
  <c r="O2210" i="4"/>
  <c r="K2210" i="4"/>
  <c r="J2210" i="4"/>
  <c r="I2210" i="4"/>
  <c r="G2210" i="4"/>
  <c r="F2210" i="4"/>
  <c r="E2210" i="4"/>
  <c r="D2210" i="4"/>
  <c r="C2210" i="4"/>
  <c r="O2209" i="4"/>
  <c r="K2209" i="4"/>
  <c r="J2209" i="4"/>
  <c r="I2209" i="4"/>
  <c r="G2209" i="4"/>
  <c r="F2209" i="4"/>
  <c r="E2209" i="4"/>
  <c r="D2209" i="4"/>
  <c r="C2209" i="4"/>
  <c r="O2208" i="4"/>
  <c r="K2208" i="4"/>
  <c r="J2208" i="4"/>
  <c r="I2208" i="4"/>
  <c r="G2208" i="4"/>
  <c r="F2208" i="4"/>
  <c r="E2208" i="4"/>
  <c r="D2208" i="4"/>
  <c r="C2208" i="4"/>
  <c r="O2207" i="4"/>
  <c r="K2207" i="4"/>
  <c r="J2207" i="4"/>
  <c r="I2207" i="4"/>
  <c r="G2207" i="4"/>
  <c r="F2207" i="4"/>
  <c r="E2207" i="4"/>
  <c r="D2207" i="4"/>
  <c r="C2207" i="4"/>
  <c r="O2206" i="4"/>
  <c r="K2206" i="4"/>
  <c r="J2206" i="4"/>
  <c r="I2206" i="4"/>
  <c r="G2206" i="4"/>
  <c r="F2206" i="4"/>
  <c r="E2206" i="4"/>
  <c r="D2206" i="4"/>
  <c r="C2206" i="4"/>
  <c r="O2205" i="4"/>
  <c r="K2205" i="4"/>
  <c r="J2205" i="4"/>
  <c r="I2205" i="4"/>
  <c r="G2205" i="4"/>
  <c r="F2205" i="4"/>
  <c r="E2205" i="4"/>
  <c r="D2205" i="4"/>
  <c r="C2205" i="4"/>
  <c r="O2204" i="4"/>
  <c r="K2204" i="4"/>
  <c r="J2204" i="4"/>
  <c r="I2204" i="4"/>
  <c r="G2204" i="4"/>
  <c r="F2204" i="4"/>
  <c r="E2204" i="4"/>
  <c r="D2204" i="4"/>
  <c r="C2204" i="4"/>
  <c r="O2203" i="4"/>
  <c r="K2203" i="4"/>
  <c r="J2203" i="4"/>
  <c r="I2203" i="4"/>
  <c r="G2203" i="4"/>
  <c r="F2203" i="4"/>
  <c r="E2203" i="4"/>
  <c r="D2203" i="4"/>
  <c r="C2203" i="4"/>
  <c r="O2202" i="4"/>
  <c r="K2202" i="4"/>
  <c r="J2202" i="4"/>
  <c r="I2202" i="4"/>
  <c r="G2202" i="4"/>
  <c r="F2202" i="4"/>
  <c r="E2202" i="4"/>
  <c r="D2202" i="4"/>
  <c r="C2202" i="4"/>
  <c r="O2201" i="4"/>
  <c r="K2201" i="4"/>
  <c r="J2201" i="4"/>
  <c r="I2201" i="4"/>
  <c r="G2201" i="4"/>
  <c r="F2201" i="4"/>
  <c r="E2201" i="4"/>
  <c r="D2201" i="4"/>
  <c r="C2201" i="4"/>
  <c r="O2200" i="4"/>
  <c r="K2200" i="4"/>
  <c r="J2200" i="4"/>
  <c r="I2200" i="4"/>
  <c r="G2200" i="4"/>
  <c r="F2200" i="4"/>
  <c r="E2200" i="4"/>
  <c r="D2200" i="4"/>
  <c r="C2200" i="4"/>
  <c r="O2199" i="4"/>
  <c r="K2199" i="4"/>
  <c r="J2199" i="4"/>
  <c r="I2199" i="4"/>
  <c r="G2199" i="4"/>
  <c r="F2199" i="4"/>
  <c r="E2199" i="4"/>
  <c r="D2199" i="4"/>
  <c r="C2199" i="4"/>
  <c r="O2198" i="4"/>
  <c r="K2198" i="4"/>
  <c r="J2198" i="4"/>
  <c r="I2198" i="4"/>
  <c r="G2198" i="4"/>
  <c r="F2198" i="4"/>
  <c r="E2198" i="4"/>
  <c r="D2198" i="4"/>
  <c r="C2198" i="4"/>
  <c r="O2197" i="4"/>
  <c r="K2197" i="4"/>
  <c r="J2197" i="4"/>
  <c r="I2197" i="4"/>
  <c r="G2197" i="4"/>
  <c r="F2197" i="4"/>
  <c r="E2197" i="4"/>
  <c r="D2197" i="4"/>
  <c r="C2197" i="4"/>
  <c r="O2196" i="4"/>
  <c r="K2196" i="4"/>
  <c r="J2196" i="4"/>
  <c r="I2196" i="4"/>
  <c r="G2196" i="4"/>
  <c r="F2196" i="4"/>
  <c r="E2196" i="4"/>
  <c r="D2196" i="4"/>
  <c r="C2196" i="4"/>
  <c r="O2195" i="4"/>
  <c r="K2195" i="4"/>
  <c r="J2195" i="4"/>
  <c r="I2195" i="4"/>
  <c r="G2195" i="4"/>
  <c r="F2195" i="4"/>
  <c r="E2195" i="4"/>
  <c r="D2195" i="4"/>
  <c r="C2195" i="4"/>
  <c r="O2194" i="4"/>
  <c r="K2194" i="4"/>
  <c r="J2194" i="4"/>
  <c r="I2194" i="4"/>
  <c r="G2194" i="4"/>
  <c r="F2194" i="4"/>
  <c r="E2194" i="4"/>
  <c r="D2194" i="4"/>
  <c r="C2194" i="4"/>
  <c r="O2193" i="4"/>
  <c r="K2193" i="4"/>
  <c r="J2193" i="4"/>
  <c r="I2193" i="4"/>
  <c r="G2193" i="4"/>
  <c r="F2193" i="4"/>
  <c r="E2193" i="4"/>
  <c r="D2193" i="4"/>
  <c r="C2193" i="4"/>
  <c r="O2192" i="4"/>
  <c r="K2192" i="4"/>
  <c r="J2192" i="4"/>
  <c r="I2192" i="4"/>
  <c r="G2192" i="4"/>
  <c r="F2192" i="4"/>
  <c r="E2192" i="4"/>
  <c r="D2192" i="4"/>
  <c r="C2192" i="4"/>
  <c r="O2191" i="4"/>
  <c r="K2191" i="4"/>
  <c r="J2191" i="4"/>
  <c r="I2191" i="4"/>
  <c r="G2191" i="4"/>
  <c r="F2191" i="4"/>
  <c r="E2191" i="4"/>
  <c r="D2191" i="4"/>
  <c r="C2191" i="4"/>
  <c r="O2190" i="4"/>
  <c r="K2190" i="4"/>
  <c r="J2190" i="4"/>
  <c r="I2190" i="4"/>
  <c r="G2190" i="4"/>
  <c r="F2190" i="4"/>
  <c r="E2190" i="4"/>
  <c r="D2190" i="4"/>
  <c r="C2190" i="4"/>
  <c r="O2189" i="4"/>
  <c r="K2189" i="4"/>
  <c r="J2189" i="4"/>
  <c r="I2189" i="4"/>
  <c r="G2189" i="4"/>
  <c r="F2189" i="4"/>
  <c r="E2189" i="4"/>
  <c r="D2189" i="4"/>
  <c r="C2189" i="4"/>
  <c r="O2188" i="4"/>
  <c r="K2188" i="4"/>
  <c r="J2188" i="4"/>
  <c r="I2188" i="4"/>
  <c r="G2188" i="4"/>
  <c r="F2188" i="4"/>
  <c r="E2188" i="4"/>
  <c r="D2188" i="4"/>
  <c r="C2188" i="4"/>
  <c r="O2187" i="4"/>
  <c r="K2187" i="4"/>
  <c r="J2187" i="4"/>
  <c r="I2187" i="4"/>
  <c r="G2187" i="4"/>
  <c r="F2187" i="4"/>
  <c r="E2187" i="4"/>
  <c r="D2187" i="4"/>
  <c r="C2187" i="4"/>
  <c r="O2186" i="4"/>
  <c r="K2186" i="4"/>
  <c r="J2186" i="4"/>
  <c r="I2186" i="4"/>
  <c r="G2186" i="4"/>
  <c r="F2186" i="4"/>
  <c r="E2186" i="4"/>
  <c r="D2186" i="4"/>
  <c r="C2186" i="4"/>
  <c r="O2185" i="4"/>
  <c r="K2185" i="4"/>
  <c r="J2185" i="4"/>
  <c r="I2185" i="4"/>
  <c r="G2185" i="4"/>
  <c r="F2185" i="4"/>
  <c r="E2185" i="4"/>
  <c r="D2185" i="4"/>
  <c r="C2185" i="4"/>
  <c r="O2184" i="4"/>
  <c r="K2184" i="4"/>
  <c r="J2184" i="4"/>
  <c r="I2184" i="4"/>
  <c r="G2184" i="4"/>
  <c r="F2184" i="4"/>
  <c r="E2184" i="4"/>
  <c r="D2184" i="4"/>
  <c r="C2184" i="4"/>
  <c r="O2183" i="4"/>
  <c r="K2183" i="4"/>
  <c r="J2183" i="4"/>
  <c r="I2183" i="4"/>
  <c r="G2183" i="4"/>
  <c r="F2183" i="4"/>
  <c r="E2183" i="4"/>
  <c r="D2183" i="4"/>
  <c r="C2183" i="4"/>
  <c r="O2182" i="4"/>
  <c r="K2182" i="4"/>
  <c r="J2182" i="4"/>
  <c r="I2182" i="4"/>
  <c r="G2182" i="4"/>
  <c r="F2182" i="4"/>
  <c r="E2182" i="4"/>
  <c r="D2182" i="4"/>
  <c r="C2182" i="4"/>
  <c r="O2181" i="4"/>
  <c r="K2181" i="4"/>
  <c r="J2181" i="4"/>
  <c r="I2181" i="4"/>
  <c r="G2181" i="4"/>
  <c r="F2181" i="4"/>
  <c r="E2181" i="4"/>
  <c r="D2181" i="4"/>
  <c r="C2181" i="4"/>
  <c r="O2180" i="4"/>
  <c r="K2180" i="4"/>
  <c r="J2180" i="4"/>
  <c r="I2180" i="4"/>
  <c r="G2180" i="4"/>
  <c r="F2180" i="4"/>
  <c r="E2180" i="4"/>
  <c r="D2180" i="4"/>
  <c r="C2180" i="4"/>
  <c r="O2179" i="4"/>
  <c r="K2179" i="4"/>
  <c r="J2179" i="4"/>
  <c r="I2179" i="4"/>
  <c r="G2179" i="4"/>
  <c r="F2179" i="4"/>
  <c r="E2179" i="4"/>
  <c r="D2179" i="4"/>
  <c r="C2179" i="4"/>
  <c r="O2178" i="4"/>
  <c r="K2178" i="4"/>
  <c r="J2178" i="4"/>
  <c r="I2178" i="4"/>
  <c r="G2178" i="4"/>
  <c r="F2178" i="4"/>
  <c r="E2178" i="4"/>
  <c r="D2178" i="4"/>
  <c r="C2178" i="4"/>
  <c r="O2177" i="4"/>
  <c r="K2177" i="4"/>
  <c r="J2177" i="4"/>
  <c r="I2177" i="4"/>
  <c r="G2177" i="4"/>
  <c r="F2177" i="4"/>
  <c r="E2177" i="4"/>
  <c r="D2177" i="4"/>
  <c r="C2177" i="4"/>
  <c r="O2176" i="4"/>
  <c r="K2176" i="4"/>
  <c r="J2176" i="4"/>
  <c r="I2176" i="4"/>
  <c r="G2176" i="4"/>
  <c r="F2176" i="4"/>
  <c r="E2176" i="4"/>
  <c r="D2176" i="4"/>
  <c r="C2176" i="4"/>
  <c r="O2175" i="4"/>
  <c r="K2175" i="4"/>
  <c r="J2175" i="4"/>
  <c r="I2175" i="4"/>
  <c r="G2175" i="4"/>
  <c r="F2175" i="4"/>
  <c r="E2175" i="4"/>
  <c r="D2175" i="4"/>
  <c r="C2175" i="4"/>
  <c r="O2174" i="4"/>
  <c r="K2174" i="4"/>
  <c r="J2174" i="4"/>
  <c r="I2174" i="4"/>
  <c r="G2174" i="4"/>
  <c r="F2174" i="4"/>
  <c r="E2174" i="4"/>
  <c r="D2174" i="4"/>
  <c r="C2174" i="4"/>
  <c r="O2173" i="4"/>
  <c r="K2173" i="4"/>
  <c r="J2173" i="4"/>
  <c r="I2173" i="4"/>
  <c r="G2173" i="4"/>
  <c r="F2173" i="4"/>
  <c r="E2173" i="4"/>
  <c r="D2173" i="4"/>
  <c r="C2173" i="4"/>
  <c r="O2172" i="4"/>
  <c r="K2172" i="4"/>
  <c r="J2172" i="4"/>
  <c r="I2172" i="4"/>
  <c r="G2172" i="4"/>
  <c r="F2172" i="4"/>
  <c r="E2172" i="4"/>
  <c r="D2172" i="4"/>
  <c r="C2172" i="4"/>
  <c r="O2171" i="4"/>
  <c r="K2171" i="4"/>
  <c r="J2171" i="4"/>
  <c r="I2171" i="4"/>
  <c r="G2171" i="4"/>
  <c r="F2171" i="4"/>
  <c r="E2171" i="4"/>
  <c r="D2171" i="4"/>
  <c r="C2171" i="4"/>
  <c r="O2170" i="4"/>
  <c r="K2170" i="4"/>
  <c r="J2170" i="4"/>
  <c r="I2170" i="4"/>
  <c r="G2170" i="4"/>
  <c r="F2170" i="4"/>
  <c r="E2170" i="4"/>
  <c r="D2170" i="4"/>
  <c r="C2170" i="4"/>
  <c r="O2169" i="4"/>
  <c r="K2169" i="4"/>
  <c r="J2169" i="4"/>
  <c r="I2169" i="4"/>
  <c r="G2169" i="4"/>
  <c r="F2169" i="4"/>
  <c r="E2169" i="4"/>
  <c r="D2169" i="4"/>
  <c r="C2169" i="4"/>
  <c r="O2168" i="4"/>
  <c r="K2168" i="4"/>
  <c r="J2168" i="4"/>
  <c r="I2168" i="4"/>
  <c r="G2168" i="4"/>
  <c r="F2168" i="4"/>
  <c r="E2168" i="4"/>
  <c r="D2168" i="4"/>
  <c r="C2168" i="4"/>
  <c r="O2167" i="4"/>
  <c r="K2167" i="4"/>
  <c r="J2167" i="4"/>
  <c r="I2167" i="4"/>
  <c r="G2167" i="4"/>
  <c r="F2167" i="4"/>
  <c r="E2167" i="4"/>
  <c r="D2167" i="4"/>
  <c r="C2167" i="4"/>
  <c r="O2166" i="4"/>
  <c r="K2166" i="4"/>
  <c r="J2166" i="4"/>
  <c r="I2166" i="4"/>
  <c r="G2166" i="4"/>
  <c r="F2166" i="4"/>
  <c r="E2166" i="4"/>
  <c r="D2166" i="4"/>
  <c r="C2166" i="4"/>
  <c r="O2165" i="4"/>
  <c r="K2165" i="4"/>
  <c r="J2165" i="4"/>
  <c r="I2165" i="4"/>
  <c r="G2165" i="4"/>
  <c r="F2165" i="4"/>
  <c r="E2165" i="4"/>
  <c r="D2165" i="4"/>
  <c r="C2165" i="4"/>
  <c r="O2164" i="4"/>
  <c r="K2164" i="4"/>
  <c r="J2164" i="4"/>
  <c r="I2164" i="4"/>
  <c r="G2164" i="4"/>
  <c r="F2164" i="4"/>
  <c r="E2164" i="4"/>
  <c r="D2164" i="4"/>
  <c r="C2164" i="4"/>
  <c r="O2163" i="4"/>
  <c r="K2163" i="4"/>
  <c r="J2163" i="4"/>
  <c r="I2163" i="4"/>
  <c r="G2163" i="4"/>
  <c r="F2163" i="4"/>
  <c r="E2163" i="4"/>
  <c r="D2163" i="4"/>
  <c r="C2163" i="4"/>
  <c r="O2162" i="4"/>
  <c r="K2162" i="4"/>
  <c r="J2162" i="4"/>
  <c r="I2162" i="4"/>
  <c r="G2162" i="4"/>
  <c r="F2162" i="4"/>
  <c r="E2162" i="4"/>
  <c r="D2162" i="4"/>
  <c r="C2162" i="4"/>
  <c r="O2161" i="4"/>
  <c r="K2161" i="4"/>
  <c r="J2161" i="4"/>
  <c r="I2161" i="4"/>
  <c r="G2161" i="4"/>
  <c r="F2161" i="4"/>
  <c r="E2161" i="4"/>
  <c r="D2161" i="4"/>
  <c r="C2161" i="4"/>
  <c r="O2160" i="4"/>
  <c r="K2160" i="4"/>
  <c r="J2160" i="4"/>
  <c r="I2160" i="4"/>
  <c r="G2160" i="4"/>
  <c r="F2160" i="4"/>
  <c r="E2160" i="4"/>
  <c r="D2160" i="4"/>
  <c r="C2160" i="4"/>
  <c r="O2159" i="4"/>
  <c r="K2159" i="4"/>
  <c r="J2159" i="4"/>
  <c r="I2159" i="4"/>
  <c r="G2159" i="4"/>
  <c r="F2159" i="4"/>
  <c r="E2159" i="4"/>
  <c r="D2159" i="4"/>
  <c r="C2159" i="4"/>
  <c r="O2158" i="4"/>
  <c r="K2158" i="4"/>
  <c r="J2158" i="4"/>
  <c r="I2158" i="4"/>
  <c r="G2158" i="4"/>
  <c r="F2158" i="4"/>
  <c r="E2158" i="4"/>
  <c r="D2158" i="4"/>
  <c r="C2158" i="4"/>
  <c r="O2157" i="4"/>
  <c r="K2157" i="4"/>
  <c r="J2157" i="4"/>
  <c r="I2157" i="4"/>
  <c r="G2157" i="4"/>
  <c r="F2157" i="4"/>
  <c r="E2157" i="4"/>
  <c r="D2157" i="4"/>
  <c r="C2157" i="4"/>
  <c r="O2156" i="4"/>
  <c r="K2156" i="4"/>
  <c r="J2156" i="4"/>
  <c r="I2156" i="4"/>
  <c r="G2156" i="4"/>
  <c r="F2156" i="4"/>
  <c r="E2156" i="4"/>
  <c r="D2156" i="4"/>
  <c r="C2156" i="4"/>
  <c r="O2155" i="4"/>
  <c r="K2155" i="4"/>
  <c r="J2155" i="4"/>
  <c r="I2155" i="4"/>
  <c r="G2155" i="4"/>
  <c r="F2155" i="4"/>
  <c r="E2155" i="4"/>
  <c r="D2155" i="4"/>
  <c r="C2155" i="4"/>
  <c r="O2154" i="4"/>
  <c r="K2154" i="4"/>
  <c r="J2154" i="4"/>
  <c r="I2154" i="4"/>
  <c r="G2154" i="4"/>
  <c r="F2154" i="4"/>
  <c r="E2154" i="4"/>
  <c r="D2154" i="4"/>
  <c r="C2154" i="4"/>
  <c r="O2153" i="4"/>
  <c r="K2153" i="4"/>
  <c r="J2153" i="4"/>
  <c r="I2153" i="4"/>
  <c r="G2153" i="4"/>
  <c r="F2153" i="4"/>
  <c r="E2153" i="4"/>
  <c r="D2153" i="4"/>
  <c r="C2153" i="4"/>
  <c r="O2152" i="4"/>
  <c r="K2152" i="4"/>
  <c r="J2152" i="4"/>
  <c r="I2152" i="4"/>
  <c r="G2152" i="4"/>
  <c r="F2152" i="4"/>
  <c r="E2152" i="4"/>
  <c r="D2152" i="4"/>
  <c r="C2152" i="4"/>
  <c r="O2151" i="4"/>
  <c r="K2151" i="4"/>
  <c r="J2151" i="4"/>
  <c r="I2151" i="4"/>
  <c r="G2151" i="4"/>
  <c r="F2151" i="4"/>
  <c r="E2151" i="4"/>
  <c r="D2151" i="4"/>
  <c r="C2151" i="4"/>
  <c r="O2150" i="4"/>
  <c r="K2150" i="4"/>
  <c r="J2150" i="4"/>
  <c r="I2150" i="4"/>
  <c r="G2150" i="4"/>
  <c r="F2150" i="4"/>
  <c r="E2150" i="4"/>
  <c r="D2150" i="4"/>
  <c r="C2150" i="4"/>
  <c r="O2149" i="4"/>
  <c r="K2149" i="4"/>
  <c r="J2149" i="4"/>
  <c r="I2149" i="4"/>
  <c r="G2149" i="4"/>
  <c r="F2149" i="4"/>
  <c r="E2149" i="4"/>
  <c r="D2149" i="4"/>
  <c r="C2149" i="4"/>
  <c r="O2148" i="4"/>
  <c r="K2148" i="4"/>
  <c r="J2148" i="4"/>
  <c r="I2148" i="4"/>
  <c r="G2148" i="4"/>
  <c r="F2148" i="4"/>
  <c r="E2148" i="4"/>
  <c r="D2148" i="4"/>
  <c r="C2148" i="4"/>
  <c r="O2147" i="4"/>
  <c r="K2147" i="4"/>
  <c r="J2147" i="4"/>
  <c r="I2147" i="4"/>
  <c r="G2147" i="4"/>
  <c r="F2147" i="4"/>
  <c r="E2147" i="4"/>
  <c r="D2147" i="4"/>
  <c r="C2147" i="4"/>
  <c r="O2146" i="4"/>
  <c r="K2146" i="4"/>
  <c r="J2146" i="4"/>
  <c r="I2146" i="4"/>
  <c r="G2146" i="4"/>
  <c r="F2146" i="4"/>
  <c r="E2146" i="4"/>
  <c r="D2146" i="4"/>
  <c r="C2146" i="4"/>
  <c r="O2145" i="4"/>
  <c r="K2145" i="4"/>
  <c r="J2145" i="4"/>
  <c r="I2145" i="4"/>
  <c r="G2145" i="4"/>
  <c r="F2145" i="4"/>
  <c r="E2145" i="4"/>
  <c r="D2145" i="4"/>
  <c r="C2145" i="4"/>
  <c r="O2144" i="4"/>
  <c r="K2144" i="4"/>
  <c r="J2144" i="4"/>
  <c r="I2144" i="4"/>
  <c r="G2144" i="4"/>
  <c r="F2144" i="4"/>
  <c r="E2144" i="4"/>
  <c r="D2144" i="4"/>
  <c r="C2144" i="4"/>
  <c r="O2143" i="4"/>
  <c r="K2143" i="4"/>
  <c r="J2143" i="4"/>
  <c r="I2143" i="4"/>
  <c r="G2143" i="4"/>
  <c r="F2143" i="4"/>
  <c r="E2143" i="4"/>
  <c r="D2143" i="4"/>
  <c r="C2143" i="4"/>
  <c r="O2142" i="4"/>
  <c r="K2142" i="4"/>
  <c r="J2142" i="4"/>
  <c r="I2142" i="4"/>
  <c r="G2142" i="4"/>
  <c r="F2142" i="4"/>
  <c r="E2142" i="4"/>
  <c r="D2142" i="4"/>
  <c r="C2142" i="4"/>
  <c r="O2141" i="4"/>
  <c r="K2141" i="4"/>
  <c r="J2141" i="4"/>
  <c r="I2141" i="4"/>
  <c r="G2141" i="4"/>
  <c r="F2141" i="4"/>
  <c r="E2141" i="4"/>
  <c r="D2141" i="4"/>
  <c r="C2141" i="4"/>
  <c r="O2140" i="4"/>
  <c r="K2140" i="4"/>
  <c r="J2140" i="4"/>
  <c r="I2140" i="4"/>
  <c r="G2140" i="4"/>
  <c r="F2140" i="4"/>
  <c r="E2140" i="4"/>
  <c r="D2140" i="4"/>
  <c r="C2140" i="4"/>
  <c r="O2139" i="4"/>
  <c r="K2139" i="4"/>
  <c r="J2139" i="4"/>
  <c r="I2139" i="4"/>
  <c r="G2139" i="4"/>
  <c r="F2139" i="4"/>
  <c r="E2139" i="4"/>
  <c r="D2139" i="4"/>
  <c r="C2139" i="4"/>
  <c r="O2138" i="4"/>
  <c r="K2138" i="4"/>
  <c r="J2138" i="4"/>
  <c r="I2138" i="4"/>
  <c r="G2138" i="4"/>
  <c r="F2138" i="4"/>
  <c r="E2138" i="4"/>
  <c r="D2138" i="4"/>
  <c r="C2138" i="4"/>
  <c r="O2137" i="4"/>
  <c r="K2137" i="4"/>
  <c r="J2137" i="4"/>
  <c r="I2137" i="4"/>
  <c r="G2137" i="4"/>
  <c r="F2137" i="4"/>
  <c r="E2137" i="4"/>
  <c r="D2137" i="4"/>
  <c r="C2137" i="4"/>
  <c r="O2136" i="4"/>
  <c r="K2136" i="4"/>
  <c r="J2136" i="4"/>
  <c r="I2136" i="4"/>
  <c r="G2136" i="4"/>
  <c r="F2136" i="4"/>
  <c r="E2136" i="4"/>
  <c r="D2136" i="4"/>
  <c r="C2136" i="4"/>
  <c r="O2135" i="4"/>
  <c r="K2135" i="4"/>
  <c r="J2135" i="4"/>
  <c r="I2135" i="4"/>
  <c r="G2135" i="4"/>
  <c r="F2135" i="4"/>
  <c r="E2135" i="4"/>
  <c r="D2135" i="4"/>
  <c r="C2135" i="4"/>
  <c r="O2134" i="4"/>
  <c r="K2134" i="4"/>
  <c r="J2134" i="4"/>
  <c r="I2134" i="4"/>
  <c r="G2134" i="4"/>
  <c r="F2134" i="4"/>
  <c r="E2134" i="4"/>
  <c r="D2134" i="4"/>
  <c r="C2134" i="4"/>
  <c r="O2133" i="4"/>
  <c r="K2133" i="4"/>
  <c r="J2133" i="4"/>
  <c r="I2133" i="4"/>
  <c r="G2133" i="4"/>
  <c r="F2133" i="4"/>
  <c r="E2133" i="4"/>
  <c r="D2133" i="4"/>
  <c r="C2133" i="4"/>
  <c r="O2132" i="4"/>
  <c r="K2132" i="4"/>
  <c r="J2132" i="4"/>
  <c r="I2132" i="4"/>
  <c r="G2132" i="4"/>
  <c r="F2132" i="4"/>
  <c r="E2132" i="4"/>
  <c r="D2132" i="4"/>
  <c r="C2132" i="4"/>
  <c r="O2131" i="4"/>
  <c r="K2131" i="4"/>
  <c r="J2131" i="4"/>
  <c r="I2131" i="4"/>
  <c r="G2131" i="4"/>
  <c r="F2131" i="4"/>
  <c r="E2131" i="4"/>
  <c r="D2131" i="4"/>
  <c r="C2131" i="4"/>
  <c r="O2130" i="4"/>
  <c r="K2130" i="4"/>
  <c r="J2130" i="4"/>
  <c r="I2130" i="4"/>
  <c r="G2130" i="4"/>
  <c r="F2130" i="4"/>
  <c r="E2130" i="4"/>
  <c r="D2130" i="4"/>
  <c r="C2130" i="4"/>
  <c r="O2129" i="4"/>
  <c r="K2129" i="4"/>
  <c r="J2129" i="4"/>
  <c r="I2129" i="4"/>
  <c r="G2129" i="4"/>
  <c r="F2129" i="4"/>
  <c r="E2129" i="4"/>
  <c r="D2129" i="4"/>
  <c r="C2129" i="4"/>
  <c r="O2128" i="4"/>
  <c r="K2128" i="4"/>
  <c r="J2128" i="4"/>
  <c r="I2128" i="4"/>
  <c r="G2128" i="4"/>
  <c r="F2128" i="4"/>
  <c r="E2128" i="4"/>
  <c r="D2128" i="4"/>
  <c r="C2128" i="4"/>
  <c r="O2127" i="4"/>
  <c r="K2127" i="4"/>
  <c r="J2127" i="4"/>
  <c r="I2127" i="4"/>
  <c r="G2127" i="4"/>
  <c r="F2127" i="4"/>
  <c r="E2127" i="4"/>
  <c r="D2127" i="4"/>
  <c r="C2127" i="4"/>
  <c r="O2126" i="4"/>
  <c r="K2126" i="4"/>
  <c r="J2126" i="4"/>
  <c r="I2126" i="4"/>
  <c r="G2126" i="4"/>
  <c r="F2126" i="4"/>
  <c r="E2126" i="4"/>
  <c r="D2126" i="4"/>
  <c r="C2126" i="4"/>
  <c r="O2125" i="4"/>
  <c r="K2125" i="4"/>
  <c r="J2125" i="4"/>
  <c r="I2125" i="4"/>
  <c r="G2125" i="4"/>
  <c r="F2125" i="4"/>
  <c r="E2125" i="4"/>
  <c r="D2125" i="4"/>
  <c r="C2125" i="4"/>
  <c r="O2124" i="4"/>
  <c r="K2124" i="4"/>
  <c r="J2124" i="4"/>
  <c r="I2124" i="4"/>
  <c r="G2124" i="4"/>
  <c r="F2124" i="4"/>
  <c r="E2124" i="4"/>
  <c r="D2124" i="4"/>
  <c r="C2124" i="4"/>
  <c r="O2123" i="4"/>
  <c r="K2123" i="4"/>
  <c r="J2123" i="4"/>
  <c r="I2123" i="4"/>
  <c r="G2123" i="4"/>
  <c r="F2123" i="4"/>
  <c r="E2123" i="4"/>
  <c r="D2123" i="4"/>
  <c r="C2123" i="4"/>
  <c r="O2122" i="4"/>
  <c r="K2122" i="4"/>
  <c r="J2122" i="4"/>
  <c r="I2122" i="4"/>
  <c r="G2122" i="4"/>
  <c r="F2122" i="4"/>
  <c r="E2122" i="4"/>
  <c r="D2122" i="4"/>
  <c r="C2122" i="4"/>
  <c r="O2121" i="4"/>
  <c r="K2121" i="4"/>
  <c r="J2121" i="4"/>
  <c r="I2121" i="4"/>
  <c r="G2121" i="4"/>
  <c r="F2121" i="4"/>
  <c r="E2121" i="4"/>
  <c r="D2121" i="4"/>
  <c r="C2121" i="4"/>
  <c r="O2120" i="4"/>
  <c r="K2120" i="4"/>
  <c r="J2120" i="4"/>
  <c r="I2120" i="4"/>
  <c r="G2120" i="4"/>
  <c r="F2120" i="4"/>
  <c r="E2120" i="4"/>
  <c r="D2120" i="4"/>
  <c r="C2120" i="4"/>
  <c r="O2119" i="4"/>
  <c r="K2119" i="4"/>
  <c r="J2119" i="4"/>
  <c r="I2119" i="4"/>
  <c r="G2119" i="4"/>
  <c r="F2119" i="4"/>
  <c r="E2119" i="4"/>
  <c r="D2119" i="4"/>
  <c r="C2119" i="4"/>
  <c r="O2118" i="4"/>
  <c r="K2118" i="4"/>
  <c r="J2118" i="4"/>
  <c r="I2118" i="4"/>
  <c r="G2118" i="4"/>
  <c r="F2118" i="4"/>
  <c r="E2118" i="4"/>
  <c r="D2118" i="4"/>
  <c r="C2118" i="4"/>
  <c r="O2117" i="4"/>
  <c r="K2117" i="4"/>
  <c r="J2117" i="4"/>
  <c r="I2117" i="4"/>
  <c r="G2117" i="4"/>
  <c r="F2117" i="4"/>
  <c r="E2117" i="4"/>
  <c r="D2117" i="4"/>
  <c r="C2117" i="4"/>
  <c r="O2116" i="4"/>
  <c r="K2116" i="4"/>
  <c r="J2116" i="4"/>
  <c r="I2116" i="4"/>
  <c r="G2116" i="4"/>
  <c r="F2116" i="4"/>
  <c r="E2116" i="4"/>
  <c r="D2116" i="4"/>
  <c r="C2116" i="4"/>
  <c r="O2115" i="4"/>
  <c r="K2115" i="4"/>
  <c r="J2115" i="4"/>
  <c r="I2115" i="4"/>
  <c r="G2115" i="4"/>
  <c r="F2115" i="4"/>
  <c r="E2115" i="4"/>
  <c r="D2115" i="4"/>
  <c r="C2115" i="4"/>
  <c r="O2114" i="4"/>
  <c r="K2114" i="4"/>
  <c r="J2114" i="4"/>
  <c r="I2114" i="4"/>
  <c r="G2114" i="4"/>
  <c r="F2114" i="4"/>
  <c r="E2114" i="4"/>
  <c r="D2114" i="4"/>
  <c r="C2114" i="4"/>
  <c r="O2113" i="4"/>
  <c r="K2113" i="4"/>
  <c r="J2113" i="4"/>
  <c r="I2113" i="4"/>
  <c r="G2113" i="4"/>
  <c r="F2113" i="4"/>
  <c r="E2113" i="4"/>
  <c r="D2113" i="4"/>
  <c r="C2113" i="4"/>
  <c r="O2112" i="4"/>
  <c r="K2112" i="4"/>
  <c r="J2112" i="4"/>
  <c r="I2112" i="4"/>
  <c r="G2112" i="4"/>
  <c r="F2112" i="4"/>
  <c r="E2112" i="4"/>
  <c r="D2112" i="4"/>
  <c r="C2112" i="4"/>
  <c r="O2111" i="4"/>
  <c r="K2111" i="4"/>
  <c r="J2111" i="4"/>
  <c r="I2111" i="4"/>
  <c r="G2111" i="4"/>
  <c r="F2111" i="4"/>
  <c r="E2111" i="4"/>
  <c r="D2111" i="4"/>
  <c r="C2111" i="4"/>
  <c r="O2110" i="4"/>
  <c r="K2110" i="4"/>
  <c r="J2110" i="4"/>
  <c r="I2110" i="4"/>
  <c r="G2110" i="4"/>
  <c r="F2110" i="4"/>
  <c r="E2110" i="4"/>
  <c r="D2110" i="4"/>
  <c r="C2110" i="4"/>
  <c r="O2109" i="4"/>
  <c r="K2109" i="4"/>
  <c r="J2109" i="4"/>
  <c r="I2109" i="4"/>
  <c r="G2109" i="4"/>
  <c r="F2109" i="4"/>
  <c r="E2109" i="4"/>
  <c r="D2109" i="4"/>
  <c r="C2109" i="4"/>
  <c r="O2108" i="4"/>
  <c r="K2108" i="4"/>
  <c r="J2108" i="4"/>
  <c r="I2108" i="4"/>
  <c r="G2108" i="4"/>
  <c r="F2108" i="4"/>
  <c r="E2108" i="4"/>
  <c r="D2108" i="4"/>
  <c r="C2108" i="4"/>
  <c r="O2107" i="4"/>
  <c r="K2107" i="4"/>
  <c r="J2107" i="4"/>
  <c r="I2107" i="4"/>
  <c r="G2107" i="4"/>
  <c r="F2107" i="4"/>
  <c r="E2107" i="4"/>
  <c r="D2107" i="4"/>
  <c r="C2107" i="4"/>
  <c r="O2106" i="4"/>
  <c r="K2106" i="4"/>
  <c r="J2106" i="4"/>
  <c r="I2106" i="4"/>
  <c r="G2106" i="4"/>
  <c r="F2106" i="4"/>
  <c r="E2106" i="4"/>
  <c r="D2106" i="4"/>
  <c r="C2106" i="4"/>
  <c r="O2105" i="4"/>
  <c r="K2105" i="4"/>
  <c r="J2105" i="4"/>
  <c r="I2105" i="4"/>
  <c r="G2105" i="4"/>
  <c r="F2105" i="4"/>
  <c r="E2105" i="4"/>
  <c r="D2105" i="4"/>
  <c r="C2105" i="4"/>
  <c r="O2104" i="4"/>
  <c r="K2104" i="4"/>
  <c r="J2104" i="4"/>
  <c r="I2104" i="4"/>
  <c r="G2104" i="4"/>
  <c r="F2104" i="4"/>
  <c r="E2104" i="4"/>
  <c r="D2104" i="4"/>
  <c r="C2104" i="4"/>
  <c r="O2103" i="4"/>
  <c r="K2103" i="4"/>
  <c r="J2103" i="4"/>
  <c r="I2103" i="4"/>
  <c r="G2103" i="4"/>
  <c r="F2103" i="4"/>
  <c r="E2103" i="4"/>
  <c r="D2103" i="4"/>
  <c r="C2103" i="4"/>
  <c r="O2102" i="4"/>
  <c r="K2102" i="4"/>
  <c r="J2102" i="4"/>
  <c r="I2102" i="4"/>
  <c r="G2102" i="4"/>
  <c r="F2102" i="4"/>
  <c r="E2102" i="4"/>
  <c r="D2102" i="4"/>
  <c r="C2102" i="4"/>
  <c r="O2101" i="4"/>
  <c r="K2101" i="4"/>
  <c r="J2101" i="4"/>
  <c r="I2101" i="4"/>
  <c r="G2101" i="4"/>
  <c r="F2101" i="4"/>
  <c r="E2101" i="4"/>
  <c r="D2101" i="4"/>
  <c r="C2101" i="4"/>
  <c r="O2100" i="4"/>
  <c r="K2100" i="4"/>
  <c r="J2100" i="4"/>
  <c r="I2100" i="4"/>
  <c r="G2100" i="4"/>
  <c r="F2100" i="4"/>
  <c r="E2100" i="4"/>
  <c r="D2100" i="4"/>
  <c r="C2100" i="4"/>
  <c r="O2099" i="4"/>
  <c r="K2099" i="4"/>
  <c r="J2099" i="4"/>
  <c r="I2099" i="4"/>
  <c r="G2099" i="4"/>
  <c r="F2099" i="4"/>
  <c r="E2099" i="4"/>
  <c r="D2099" i="4"/>
  <c r="C2099" i="4"/>
  <c r="O2098" i="4"/>
  <c r="K2098" i="4"/>
  <c r="J2098" i="4"/>
  <c r="I2098" i="4"/>
  <c r="G2098" i="4"/>
  <c r="F2098" i="4"/>
  <c r="E2098" i="4"/>
  <c r="D2098" i="4"/>
  <c r="C2098" i="4"/>
  <c r="O2097" i="4"/>
  <c r="K2097" i="4"/>
  <c r="J2097" i="4"/>
  <c r="I2097" i="4"/>
  <c r="G2097" i="4"/>
  <c r="F2097" i="4"/>
  <c r="E2097" i="4"/>
  <c r="D2097" i="4"/>
  <c r="C2097" i="4"/>
  <c r="O2096" i="4"/>
  <c r="K2096" i="4"/>
  <c r="J2096" i="4"/>
  <c r="I2096" i="4"/>
  <c r="G2096" i="4"/>
  <c r="F2096" i="4"/>
  <c r="E2096" i="4"/>
  <c r="D2096" i="4"/>
  <c r="C2096" i="4"/>
  <c r="O2095" i="4"/>
  <c r="K2095" i="4"/>
  <c r="J2095" i="4"/>
  <c r="I2095" i="4"/>
  <c r="G2095" i="4"/>
  <c r="F2095" i="4"/>
  <c r="E2095" i="4"/>
  <c r="D2095" i="4"/>
  <c r="C2095" i="4"/>
  <c r="O2094" i="4"/>
  <c r="K2094" i="4"/>
  <c r="J2094" i="4"/>
  <c r="I2094" i="4"/>
  <c r="G2094" i="4"/>
  <c r="F2094" i="4"/>
  <c r="E2094" i="4"/>
  <c r="D2094" i="4"/>
  <c r="C2094" i="4"/>
  <c r="O2093" i="4"/>
  <c r="K2093" i="4"/>
  <c r="J2093" i="4"/>
  <c r="I2093" i="4"/>
  <c r="G2093" i="4"/>
  <c r="F2093" i="4"/>
  <c r="E2093" i="4"/>
  <c r="D2093" i="4"/>
  <c r="C2093" i="4"/>
  <c r="O2092" i="4"/>
  <c r="K2092" i="4"/>
  <c r="J2092" i="4"/>
  <c r="I2092" i="4"/>
  <c r="G2092" i="4"/>
  <c r="F2092" i="4"/>
  <c r="E2092" i="4"/>
  <c r="D2092" i="4"/>
  <c r="C2092" i="4"/>
  <c r="O2091" i="4"/>
  <c r="K2091" i="4"/>
  <c r="J2091" i="4"/>
  <c r="I2091" i="4"/>
  <c r="G2091" i="4"/>
  <c r="F2091" i="4"/>
  <c r="E2091" i="4"/>
  <c r="D2091" i="4"/>
  <c r="C2091" i="4"/>
  <c r="O2090" i="4"/>
  <c r="K2090" i="4"/>
  <c r="J2090" i="4"/>
  <c r="I2090" i="4"/>
  <c r="G2090" i="4"/>
  <c r="F2090" i="4"/>
  <c r="E2090" i="4"/>
  <c r="D2090" i="4"/>
  <c r="C2090" i="4"/>
  <c r="O2089" i="4"/>
  <c r="K2089" i="4"/>
  <c r="J2089" i="4"/>
  <c r="I2089" i="4"/>
  <c r="G2089" i="4"/>
  <c r="F2089" i="4"/>
  <c r="E2089" i="4"/>
  <c r="D2089" i="4"/>
  <c r="C2089" i="4"/>
  <c r="O2088" i="4"/>
  <c r="K2088" i="4"/>
  <c r="J2088" i="4"/>
  <c r="I2088" i="4"/>
  <c r="G2088" i="4"/>
  <c r="F2088" i="4"/>
  <c r="E2088" i="4"/>
  <c r="D2088" i="4"/>
  <c r="C2088" i="4"/>
  <c r="O2087" i="4"/>
  <c r="K2087" i="4"/>
  <c r="J2087" i="4"/>
  <c r="I2087" i="4"/>
  <c r="G2087" i="4"/>
  <c r="F2087" i="4"/>
  <c r="E2087" i="4"/>
  <c r="D2087" i="4"/>
  <c r="C2087" i="4"/>
  <c r="O2086" i="4"/>
  <c r="K2086" i="4"/>
  <c r="J2086" i="4"/>
  <c r="I2086" i="4"/>
  <c r="G2086" i="4"/>
  <c r="F2086" i="4"/>
  <c r="E2086" i="4"/>
  <c r="D2086" i="4"/>
  <c r="C2086" i="4"/>
  <c r="O2085" i="4"/>
  <c r="K2085" i="4"/>
  <c r="J2085" i="4"/>
  <c r="I2085" i="4"/>
  <c r="G2085" i="4"/>
  <c r="F2085" i="4"/>
  <c r="E2085" i="4"/>
  <c r="D2085" i="4"/>
  <c r="C2085" i="4"/>
  <c r="O2084" i="4"/>
  <c r="K2084" i="4"/>
  <c r="J2084" i="4"/>
  <c r="I2084" i="4"/>
  <c r="G2084" i="4"/>
  <c r="F2084" i="4"/>
  <c r="E2084" i="4"/>
  <c r="D2084" i="4"/>
  <c r="C2084" i="4"/>
  <c r="O2083" i="4"/>
  <c r="K2083" i="4"/>
  <c r="J2083" i="4"/>
  <c r="I2083" i="4"/>
  <c r="G2083" i="4"/>
  <c r="F2083" i="4"/>
  <c r="E2083" i="4"/>
  <c r="D2083" i="4"/>
  <c r="C2083" i="4"/>
  <c r="O2082" i="4"/>
  <c r="K2082" i="4"/>
  <c r="J2082" i="4"/>
  <c r="I2082" i="4"/>
  <c r="G2082" i="4"/>
  <c r="F2082" i="4"/>
  <c r="E2082" i="4"/>
  <c r="D2082" i="4"/>
  <c r="C2082" i="4"/>
  <c r="O2081" i="4"/>
  <c r="K2081" i="4"/>
  <c r="J2081" i="4"/>
  <c r="I2081" i="4"/>
  <c r="G2081" i="4"/>
  <c r="F2081" i="4"/>
  <c r="E2081" i="4"/>
  <c r="D2081" i="4"/>
  <c r="C2081" i="4"/>
  <c r="O2080" i="4"/>
  <c r="K2080" i="4"/>
  <c r="J2080" i="4"/>
  <c r="I2080" i="4"/>
  <c r="G2080" i="4"/>
  <c r="F2080" i="4"/>
  <c r="E2080" i="4"/>
  <c r="D2080" i="4"/>
  <c r="C2080" i="4"/>
  <c r="O2079" i="4"/>
  <c r="K2079" i="4"/>
  <c r="J2079" i="4"/>
  <c r="I2079" i="4"/>
  <c r="G2079" i="4"/>
  <c r="F2079" i="4"/>
  <c r="E2079" i="4"/>
  <c r="D2079" i="4"/>
  <c r="C2079" i="4"/>
  <c r="O2078" i="4"/>
  <c r="K2078" i="4"/>
  <c r="J2078" i="4"/>
  <c r="I2078" i="4"/>
  <c r="G2078" i="4"/>
  <c r="F2078" i="4"/>
  <c r="E2078" i="4"/>
  <c r="D2078" i="4"/>
  <c r="C2078" i="4"/>
  <c r="O2077" i="4"/>
  <c r="K2077" i="4"/>
  <c r="J2077" i="4"/>
  <c r="I2077" i="4"/>
  <c r="G2077" i="4"/>
  <c r="F2077" i="4"/>
  <c r="E2077" i="4"/>
  <c r="D2077" i="4"/>
  <c r="C2077" i="4"/>
  <c r="O2076" i="4"/>
  <c r="K2076" i="4"/>
  <c r="J2076" i="4"/>
  <c r="I2076" i="4"/>
  <c r="G2076" i="4"/>
  <c r="F2076" i="4"/>
  <c r="E2076" i="4"/>
  <c r="D2076" i="4"/>
  <c r="C2076" i="4"/>
  <c r="O2075" i="4"/>
  <c r="K2075" i="4"/>
  <c r="J2075" i="4"/>
  <c r="I2075" i="4"/>
  <c r="G2075" i="4"/>
  <c r="F2075" i="4"/>
  <c r="E2075" i="4"/>
  <c r="D2075" i="4"/>
  <c r="C2075" i="4"/>
  <c r="O2074" i="4"/>
  <c r="K2074" i="4"/>
  <c r="J2074" i="4"/>
  <c r="I2074" i="4"/>
  <c r="G2074" i="4"/>
  <c r="F2074" i="4"/>
  <c r="E2074" i="4"/>
  <c r="D2074" i="4"/>
  <c r="C2074" i="4"/>
  <c r="O2073" i="4"/>
  <c r="K2073" i="4"/>
  <c r="J2073" i="4"/>
  <c r="I2073" i="4"/>
  <c r="G2073" i="4"/>
  <c r="F2073" i="4"/>
  <c r="E2073" i="4"/>
  <c r="D2073" i="4"/>
  <c r="C2073" i="4"/>
  <c r="O2072" i="4"/>
  <c r="K2072" i="4"/>
  <c r="J2072" i="4"/>
  <c r="I2072" i="4"/>
  <c r="G2072" i="4"/>
  <c r="F2072" i="4"/>
  <c r="E2072" i="4"/>
  <c r="D2072" i="4"/>
  <c r="C2072" i="4"/>
  <c r="O2071" i="4"/>
  <c r="K2071" i="4"/>
  <c r="J2071" i="4"/>
  <c r="I2071" i="4"/>
  <c r="G2071" i="4"/>
  <c r="F2071" i="4"/>
  <c r="E2071" i="4"/>
  <c r="D2071" i="4"/>
  <c r="C2071" i="4"/>
  <c r="O2070" i="4"/>
  <c r="K2070" i="4"/>
  <c r="J2070" i="4"/>
  <c r="I2070" i="4"/>
  <c r="G2070" i="4"/>
  <c r="F2070" i="4"/>
  <c r="E2070" i="4"/>
  <c r="D2070" i="4"/>
  <c r="C2070" i="4"/>
  <c r="O2069" i="4"/>
  <c r="K2069" i="4"/>
  <c r="J2069" i="4"/>
  <c r="I2069" i="4"/>
  <c r="G2069" i="4"/>
  <c r="F2069" i="4"/>
  <c r="E2069" i="4"/>
  <c r="D2069" i="4"/>
  <c r="C2069" i="4"/>
  <c r="O2068" i="4"/>
  <c r="K2068" i="4"/>
  <c r="J2068" i="4"/>
  <c r="I2068" i="4"/>
  <c r="G2068" i="4"/>
  <c r="F2068" i="4"/>
  <c r="E2068" i="4"/>
  <c r="D2068" i="4"/>
  <c r="C2068" i="4"/>
  <c r="O2067" i="4"/>
  <c r="K2067" i="4"/>
  <c r="J2067" i="4"/>
  <c r="I2067" i="4"/>
  <c r="G2067" i="4"/>
  <c r="F2067" i="4"/>
  <c r="E2067" i="4"/>
  <c r="D2067" i="4"/>
  <c r="C2067" i="4"/>
  <c r="O2066" i="4"/>
  <c r="K2066" i="4"/>
  <c r="J2066" i="4"/>
  <c r="I2066" i="4"/>
  <c r="G2066" i="4"/>
  <c r="F2066" i="4"/>
  <c r="E2066" i="4"/>
  <c r="D2066" i="4"/>
  <c r="C2066" i="4"/>
  <c r="O2065" i="4"/>
  <c r="K2065" i="4"/>
  <c r="J2065" i="4"/>
  <c r="I2065" i="4"/>
  <c r="G2065" i="4"/>
  <c r="F2065" i="4"/>
  <c r="E2065" i="4"/>
  <c r="D2065" i="4"/>
  <c r="C2065" i="4"/>
  <c r="O2064" i="4"/>
  <c r="K2064" i="4"/>
  <c r="J2064" i="4"/>
  <c r="I2064" i="4"/>
  <c r="G2064" i="4"/>
  <c r="F2064" i="4"/>
  <c r="E2064" i="4"/>
  <c r="D2064" i="4"/>
  <c r="C2064" i="4"/>
  <c r="O2063" i="4"/>
  <c r="K2063" i="4"/>
  <c r="J2063" i="4"/>
  <c r="I2063" i="4"/>
  <c r="G2063" i="4"/>
  <c r="F2063" i="4"/>
  <c r="E2063" i="4"/>
  <c r="D2063" i="4"/>
  <c r="C2063" i="4"/>
  <c r="O2062" i="4"/>
  <c r="K2062" i="4"/>
  <c r="J2062" i="4"/>
  <c r="I2062" i="4"/>
  <c r="G2062" i="4"/>
  <c r="F2062" i="4"/>
  <c r="E2062" i="4"/>
  <c r="D2062" i="4"/>
  <c r="C2062" i="4"/>
  <c r="O2061" i="4"/>
  <c r="K2061" i="4"/>
  <c r="J2061" i="4"/>
  <c r="I2061" i="4"/>
  <c r="G2061" i="4"/>
  <c r="F2061" i="4"/>
  <c r="E2061" i="4"/>
  <c r="D2061" i="4"/>
  <c r="C2061" i="4"/>
  <c r="O2060" i="4"/>
  <c r="K2060" i="4"/>
  <c r="J2060" i="4"/>
  <c r="I2060" i="4"/>
  <c r="G2060" i="4"/>
  <c r="F2060" i="4"/>
  <c r="E2060" i="4"/>
  <c r="D2060" i="4"/>
  <c r="C2060" i="4"/>
  <c r="O2059" i="4"/>
  <c r="K2059" i="4"/>
  <c r="J2059" i="4"/>
  <c r="I2059" i="4"/>
  <c r="G2059" i="4"/>
  <c r="F2059" i="4"/>
  <c r="E2059" i="4"/>
  <c r="D2059" i="4"/>
  <c r="C2059" i="4"/>
  <c r="O2058" i="4"/>
  <c r="K2058" i="4"/>
  <c r="J2058" i="4"/>
  <c r="I2058" i="4"/>
  <c r="G2058" i="4"/>
  <c r="F2058" i="4"/>
  <c r="E2058" i="4"/>
  <c r="D2058" i="4"/>
  <c r="C2058" i="4"/>
  <c r="O2057" i="4"/>
  <c r="K2057" i="4"/>
  <c r="J2057" i="4"/>
  <c r="I2057" i="4"/>
  <c r="G2057" i="4"/>
  <c r="F2057" i="4"/>
  <c r="E2057" i="4"/>
  <c r="D2057" i="4"/>
  <c r="C2057" i="4"/>
  <c r="O2056" i="4"/>
  <c r="K2056" i="4"/>
  <c r="J2056" i="4"/>
  <c r="I2056" i="4"/>
  <c r="G2056" i="4"/>
  <c r="F2056" i="4"/>
  <c r="E2056" i="4"/>
  <c r="D2056" i="4"/>
  <c r="C2056" i="4"/>
  <c r="O2055" i="4"/>
  <c r="K2055" i="4"/>
  <c r="J2055" i="4"/>
  <c r="I2055" i="4"/>
  <c r="G2055" i="4"/>
  <c r="F2055" i="4"/>
  <c r="E2055" i="4"/>
  <c r="D2055" i="4"/>
  <c r="C2055" i="4"/>
  <c r="O2054" i="4"/>
  <c r="K2054" i="4"/>
  <c r="J2054" i="4"/>
  <c r="I2054" i="4"/>
  <c r="G2054" i="4"/>
  <c r="F2054" i="4"/>
  <c r="E2054" i="4"/>
  <c r="D2054" i="4"/>
  <c r="C2054" i="4"/>
  <c r="O2053" i="4"/>
  <c r="K2053" i="4"/>
  <c r="J2053" i="4"/>
  <c r="I2053" i="4"/>
  <c r="G2053" i="4"/>
  <c r="F2053" i="4"/>
  <c r="E2053" i="4"/>
  <c r="D2053" i="4"/>
  <c r="C2053" i="4"/>
  <c r="O2052" i="4"/>
  <c r="K2052" i="4"/>
  <c r="J2052" i="4"/>
  <c r="I2052" i="4"/>
  <c r="G2052" i="4"/>
  <c r="F2052" i="4"/>
  <c r="E2052" i="4"/>
  <c r="D2052" i="4"/>
  <c r="C2052" i="4"/>
  <c r="O2051" i="4"/>
  <c r="K2051" i="4"/>
  <c r="J2051" i="4"/>
  <c r="I2051" i="4"/>
  <c r="G2051" i="4"/>
  <c r="F2051" i="4"/>
  <c r="E2051" i="4"/>
  <c r="D2051" i="4"/>
  <c r="C2051" i="4"/>
  <c r="O2050" i="4"/>
  <c r="K2050" i="4"/>
  <c r="J2050" i="4"/>
  <c r="I2050" i="4"/>
  <c r="G2050" i="4"/>
  <c r="F2050" i="4"/>
  <c r="E2050" i="4"/>
  <c r="D2050" i="4"/>
  <c r="C2050" i="4"/>
  <c r="O2049" i="4"/>
  <c r="K2049" i="4"/>
  <c r="J2049" i="4"/>
  <c r="I2049" i="4"/>
  <c r="G2049" i="4"/>
  <c r="F2049" i="4"/>
  <c r="E2049" i="4"/>
  <c r="D2049" i="4"/>
  <c r="C2049" i="4"/>
  <c r="O2048" i="4"/>
  <c r="K2048" i="4"/>
  <c r="J2048" i="4"/>
  <c r="I2048" i="4"/>
  <c r="G2048" i="4"/>
  <c r="F2048" i="4"/>
  <c r="E2048" i="4"/>
  <c r="D2048" i="4"/>
  <c r="C2048" i="4"/>
  <c r="O2047" i="4"/>
  <c r="K2047" i="4"/>
  <c r="J2047" i="4"/>
  <c r="I2047" i="4"/>
  <c r="G2047" i="4"/>
  <c r="F2047" i="4"/>
  <c r="E2047" i="4"/>
  <c r="D2047" i="4"/>
  <c r="C2047" i="4"/>
  <c r="O2046" i="4"/>
  <c r="K2046" i="4"/>
  <c r="J2046" i="4"/>
  <c r="I2046" i="4"/>
  <c r="G2046" i="4"/>
  <c r="F2046" i="4"/>
  <c r="E2046" i="4"/>
  <c r="D2046" i="4"/>
  <c r="C2046" i="4"/>
  <c r="O2045" i="4"/>
  <c r="K2045" i="4"/>
  <c r="J2045" i="4"/>
  <c r="I2045" i="4"/>
  <c r="G2045" i="4"/>
  <c r="F2045" i="4"/>
  <c r="E2045" i="4"/>
  <c r="D2045" i="4"/>
  <c r="C2045" i="4"/>
  <c r="O2044" i="4"/>
  <c r="K2044" i="4"/>
  <c r="J2044" i="4"/>
  <c r="I2044" i="4"/>
  <c r="G2044" i="4"/>
  <c r="F2044" i="4"/>
  <c r="E2044" i="4"/>
  <c r="D2044" i="4"/>
  <c r="C2044" i="4"/>
  <c r="O2043" i="4"/>
  <c r="K2043" i="4"/>
  <c r="J2043" i="4"/>
  <c r="I2043" i="4"/>
  <c r="G2043" i="4"/>
  <c r="F2043" i="4"/>
  <c r="E2043" i="4"/>
  <c r="D2043" i="4"/>
  <c r="C2043" i="4"/>
  <c r="O2042" i="4"/>
  <c r="K2042" i="4"/>
  <c r="J2042" i="4"/>
  <c r="I2042" i="4"/>
  <c r="G2042" i="4"/>
  <c r="F2042" i="4"/>
  <c r="E2042" i="4"/>
  <c r="D2042" i="4"/>
  <c r="C2042" i="4"/>
  <c r="O2041" i="4"/>
  <c r="K2041" i="4"/>
  <c r="J2041" i="4"/>
  <c r="I2041" i="4"/>
  <c r="G2041" i="4"/>
  <c r="F2041" i="4"/>
  <c r="E2041" i="4"/>
  <c r="D2041" i="4"/>
  <c r="C2041" i="4"/>
  <c r="O2040" i="4"/>
  <c r="K2040" i="4"/>
  <c r="J2040" i="4"/>
  <c r="I2040" i="4"/>
  <c r="G2040" i="4"/>
  <c r="F2040" i="4"/>
  <c r="E2040" i="4"/>
  <c r="D2040" i="4"/>
  <c r="C2040" i="4"/>
  <c r="O2039" i="4"/>
  <c r="K2039" i="4"/>
  <c r="J2039" i="4"/>
  <c r="I2039" i="4"/>
  <c r="G2039" i="4"/>
  <c r="F2039" i="4"/>
  <c r="E2039" i="4"/>
  <c r="D2039" i="4"/>
  <c r="C2039" i="4"/>
  <c r="O2038" i="4"/>
  <c r="K2038" i="4"/>
  <c r="J2038" i="4"/>
  <c r="I2038" i="4"/>
  <c r="G2038" i="4"/>
  <c r="F2038" i="4"/>
  <c r="E2038" i="4"/>
  <c r="D2038" i="4"/>
  <c r="C2038" i="4"/>
  <c r="O2037" i="4"/>
  <c r="K2037" i="4"/>
  <c r="J2037" i="4"/>
  <c r="I2037" i="4"/>
  <c r="G2037" i="4"/>
  <c r="F2037" i="4"/>
  <c r="E2037" i="4"/>
  <c r="D2037" i="4"/>
  <c r="C2037" i="4"/>
  <c r="O2036" i="4"/>
  <c r="K2036" i="4"/>
  <c r="J2036" i="4"/>
  <c r="I2036" i="4"/>
  <c r="G2036" i="4"/>
  <c r="F2036" i="4"/>
  <c r="E2036" i="4"/>
  <c r="D2036" i="4"/>
  <c r="C2036" i="4"/>
  <c r="O2035" i="4"/>
  <c r="K2035" i="4"/>
  <c r="J2035" i="4"/>
  <c r="I2035" i="4"/>
  <c r="G2035" i="4"/>
  <c r="F2035" i="4"/>
  <c r="E2035" i="4"/>
  <c r="D2035" i="4"/>
  <c r="C2035" i="4"/>
  <c r="O2034" i="4"/>
  <c r="K2034" i="4"/>
  <c r="J2034" i="4"/>
  <c r="I2034" i="4"/>
  <c r="G2034" i="4"/>
  <c r="F2034" i="4"/>
  <c r="E2034" i="4"/>
  <c r="D2034" i="4"/>
  <c r="C2034" i="4"/>
  <c r="O2033" i="4"/>
  <c r="K2033" i="4"/>
  <c r="J2033" i="4"/>
  <c r="I2033" i="4"/>
  <c r="G2033" i="4"/>
  <c r="F2033" i="4"/>
  <c r="E2033" i="4"/>
  <c r="D2033" i="4"/>
  <c r="C2033" i="4"/>
  <c r="O2032" i="4"/>
  <c r="K2032" i="4"/>
  <c r="J2032" i="4"/>
  <c r="I2032" i="4"/>
  <c r="G2032" i="4"/>
  <c r="F2032" i="4"/>
  <c r="E2032" i="4"/>
  <c r="D2032" i="4"/>
  <c r="C2032" i="4"/>
  <c r="O2031" i="4"/>
  <c r="K2031" i="4"/>
  <c r="J2031" i="4"/>
  <c r="I2031" i="4"/>
  <c r="G2031" i="4"/>
  <c r="F2031" i="4"/>
  <c r="E2031" i="4"/>
  <c r="D2031" i="4"/>
  <c r="C2031" i="4"/>
  <c r="O2030" i="4"/>
  <c r="K2030" i="4"/>
  <c r="J2030" i="4"/>
  <c r="I2030" i="4"/>
  <c r="G2030" i="4"/>
  <c r="F2030" i="4"/>
  <c r="E2030" i="4"/>
  <c r="D2030" i="4"/>
  <c r="C2030" i="4"/>
  <c r="O2029" i="4"/>
  <c r="K2029" i="4"/>
  <c r="J2029" i="4"/>
  <c r="I2029" i="4"/>
  <c r="G2029" i="4"/>
  <c r="F2029" i="4"/>
  <c r="E2029" i="4"/>
  <c r="D2029" i="4"/>
  <c r="C2029" i="4"/>
  <c r="O2028" i="4"/>
  <c r="K2028" i="4"/>
  <c r="J2028" i="4"/>
  <c r="I2028" i="4"/>
  <c r="G2028" i="4"/>
  <c r="F2028" i="4"/>
  <c r="E2028" i="4"/>
  <c r="D2028" i="4"/>
  <c r="C2028" i="4"/>
  <c r="O2027" i="4"/>
  <c r="K2027" i="4"/>
  <c r="J2027" i="4"/>
  <c r="I2027" i="4"/>
  <c r="G2027" i="4"/>
  <c r="F2027" i="4"/>
  <c r="E2027" i="4"/>
  <c r="D2027" i="4"/>
  <c r="C2027" i="4"/>
  <c r="O2026" i="4"/>
  <c r="K2026" i="4"/>
  <c r="J2026" i="4"/>
  <c r="I2026" i="4"/>
  <c r="G2026" i="4"/>
  <c r="F2026" i="4"/>
  <c r="E2026" i="4"/>
  <c r="D2026" i="4"/>
  <c r="C2026" i="4"/>
  <c r="O2025" i="4"/>
  <c r="K2025" i="4"/>
  <c r="J2025" i="4"/>
  <c r="I2025" i="4"/>
  <c r="G2025" i="4"/>
  <c r="F2025" i="4"/>
  <c r="E2025" i="4"/>
  <c r="D2025" i="4"/>
  <c r="C2025" i="4"/>
  <c r="O2024" i="4"/>
  <c r="K2024" i="4"/>
  <c r="J2024" i="4"/>
  <c r="I2024" i="4"/>
  <c r="G2024" i="4"/>
  <c r="F2024" i="4"/>
  <c r="E2024" i="4"/>
  <c r="D2024" i="4"/>
  <c r="C2024" i="4"/>
  <c r="O2023" i="4"/>
  <c r="K2023" i="4"/>
  <c r="J2023" i="4"/>
  <c r="I2023" i="4"/>
  <c r="G2023" i="4"/>
  <c r="F2023" i="4"/>
  <c r="E2023" i="4"/>
  <c r="D2023" i="4"/>
  <c r="C2023" i="4"/>
  <c r="O2022" i="4"/>
  <c r="K2022" i="4"/>
  <c r="J2022" i="4"/>
  <c r="I2022" i="4"/>
  <c r="G2022" i="4"/>
  <c r="F2022" i="4"/>
  <c r="E2022" i="4"/>
  <c r="D2022" i="4"/>
  <c r="C2022" i="4"/>
  <c r="O2021" i="4"/>
  <c r="K2021" i="4"/>
  <c r="J2021" i="4"/>
  <c r="I2021" i="4"/>
  <c r="G2021" i="4"/>
  <c r="F2021" i="4"/>
  <c r="E2021" i="4"/>
  <c r="D2021" i="4"/>
  <c r="C2021" i="4"/>
  <c r="O2020" i="4"/>
  <c r="K2020" i="4"/>
  <c r="J2020" i="4"/>
  <c r="I2020" i="4"/>
  <c r="G2020" i="4"/>
  <c r="F2020" i="4"/>
  <c r="E2020" i="4"/>
  <c r="D2020" i="4"/>
  <c r="C2020" i="4"/>
  <c r="O2019" i="4"/>
  <c r="K2019" i="4"/>
  <c r="J2019" i="4"/>
  <c r="I2019" i="4"/>
  <c r="G2019" i="4"/>
  <c r="F2019" i="4"/>
  <c r="E2019" i="4"/>
  <c r="D2019" i="4"/>
  <c r="C2019" i="4"/>
  <c r="O2018" i="4"/>
  <c r="K2018" i="4"/>
  <c r="J2018" i="4"/>
  <c r="I2018" i="4"/>
  <c r="G2018" i="4"/>
  <c r="F2018" i="4"/>
  <c r="E2018" i="4"/>
  <c r="D2018" i="4"/>
  <c r="C2018" i="4"/>
  <c r="O2017" i="4"/>
  <c r="K2017" i="4"/>
  <c r="J2017" i="4"/>
  <c r="I2017" i="4"/>
  <c r="G2017" i="4"/>
  <c r="F2017" i="4"/>
  <c r="E2017" i="4"/>
  <c r="D2017" i="4"/>
  <c r="C2017" i="4"/>
  <c r="O2016" i="4"/>
  <c r="K2016" i="4"/>
  <c r="J2016" i="4"/>
  <c r="I2016" i="4"/>
  <c r="G2016" i="4"/>
  <c r="F2016" i="4"/>
  <c r="E2016" i="4"/>
  <c r="D2016" i="4"/>
  <c r="C2016" i="4"/>
  <c r="O2015" i="4"/>
  <c r="K2015" i="4"/>
  <c r="J2015" i="4"/>
  <c r="I2015" i="4"/>
  <c r="G2015" i="4"/>
  <c r="F2015" i="4"/>
  <c r="E2015" i="4"/>
  <c r="D2015" i="4"/>
  <c r="C2015" i="4"/>
  <c r="O2014" i="4"/>
  <c r="K2014" i="4"/>
  <c r="J2014" i="4"/>
  <c r="I2014" i="4"/>
  <c r="G2014" i="4"/>
  <c r="F2014" i="4"/>
  <c r="E2014" i="4"/>
  <c r="D2014" i="4"/>
  <c r="C2014" i="4"/>
  <c r="O2013" i="4"/>
  <c r="K2013" i="4"/>
  <c r="J2013" i="4"/>
  <c r="I2013" i="4"/>
  <c r="G2013" i="4"/>
  <c r="F2013" i="4"/>
  <c r="E2013" i="4"/>
  <c r="D2013" i="4"/>
  <c r="C2013" i="4"/>
  <c r="O2012" i="4"/>
  <c r="K2012" i="4"/>
  <c r="J2012" i="4"/>
  <c r="I2012" i="4"/>
  <c r="G2012" i="4"/>
  <c r="F2012" i="4"/>
  <c r="E2012" i="4"/>
  <c r="D2012" i="4"/>
  <c r="C2012" i="4"/>
  <c r="O2011" i="4"/>
  <c r="K2011" i="4"/>
  <c r="J2011" i="4"/>
  <c r="I2011" i="4"/>
  <c r="G2011" i="4"/>
  <c r="F2011" i="4"/>
  <c r="E2011" i="4"/>
  <c r="D2011" i="4"/>
  <c r="C2011" i="4"/>
  <c r="O2010" i="4"/>
  <c r="K2010" i="4"/>
  <c r="J2010" i="4"/>
  <c r="I2010" i="4"/>
  <c r="G2010" i="4"/>
  <c r="F2010" i="4"/>
  <c r="E2010" i="4"/>
  <c r="D2010" i="4"/>
  <c r="C2010" i="4"/>
  <c r="O2009" i="4"/>
  <c r="K2009" i="4"/>
  <c r="J2009" i="4"/>
  <c r="I2009" i="4"/>
  <c r="G2009" i="4"/>
  <c r="F2009" i="4"/>
  <c r="E2009" i="4"/>
  <c r="D2009" i="4"/>
  <c r="C2009" i="4"/>
  <c r="O2008" i="4"/>
  <c r="K2008" i="4"/>
  <c r="J2008" i="4"/>
  <c r="I2008" i="4"/>
  <c r="G2008" i="4"/>
  <c r="F2008" i="4"/>
  <c r="E2008" i="4"/>
  <c r="D2008" i="4"/>
  <c r="C2008" i="4"/>
  <c r="O2007" i="4"/>
  <c r="K2007" i="4"/>
  <c r="J2007" i="4"/>
  <c r="I2007" i="4"/>
  <c r="G2007" i="4"/>
  <c r="F2007" i="4"/>
  <c r="E2007" i="4"/>
  <c r="D2007" i="4"/>
  <c r="C2007" i="4"/>
  <c r="O2006" i="4"/>
  <c r="K2006" i="4"/>
  <c r="J2006" i="4"/>
  <c r="I2006" i="4"/>
  <c r="G2006" i="4"/>
  <c r="F2006" i="4"/>
  <c r="E2006" i="4"/>
  <c r="D2006" i="4"/>
  <c r="C2006" i="4"/>
  <c r="O2005" i="4"/>
  <c r="K2005" i="4"/>
  <c r="J2005" i="4"/>
  <c r="I2005" i="4"/>
  <c r="G2005" i="4"/>
  <c r="F2005" i="4"/>
  <c r="E2005" i="4"/>
  <c r="D2005" i="4"/>
  <c r="C2005" i="4"/>
  <c r="O2004" i="4"/>
  <c r="K2004" i="4"/>
  <c r="J2004" i="4"/>
  <c r="I2004" i="4"/>
  <c r="G2004" i="4"/>
  <c r="F2004" i="4"/>
  <c r="E2004" i="4"/>
  <c r="D2004" i="4"/>
  <c r="C2004" i="4"/>
  <c r="O2003" i="4"/>
  <c r="K2003" i="4"/>
  <c r="J2003" i="4"/>
  <c r="I2003" i="4"/>
  <c r="G2003" i="4"/>
  <c r="F2003" i="4"/>
  <c r="E2003" i="4"/>
  <c r="D2003" i="4"/>
  <c r="C2003" i="4"/>
  <c r="O2002" i="4"/>
  <c r="K2002" i="4"/>
  <c r="J2002" i="4"/>
  <c r="I2002" i="4"/>
  <c r="G2002" i="4"/>
  <c r="F2002" i="4"/>
  <c r="E2002" i="4"/>
  <c r="D2002" i="4"/>
  <c r="C2002" i="4"/>
  <c r="O2001" i="4"/>
  <c r="K2001" i="4"/>
  <c r="J2001" i="4"/>
  <c r="I2001" i="4"/>
  <c r="G2001" i="4"/>
  <c r="F2001" i="4"/>
  <c r="E2001" i="4"/>
  <c r="D2001" i="4"/>
  <c r="C2001" i="4"/>
  <c r="O2000" i="4"/>
  <c r="K2000" i="4"/>
  <c r="J2000" i="4"/>
  <c r="I2000" i="4"/>
  <c r="G2000" i="4"/>
  <c r="F2000" i="4"/>
  <c r="E2000" i="4"/>
  <c r="D2000" i="4"/>
  <c r="C2000" i="4"/>
  <c r="O1999" i="4"/>
  <c r="K1999" i="4"/>
  <c r="J1999" i="4"/>
  <c r="I1999" i="4"/>
  <c r="G1999" i="4"/>
  <c r="F1999" i="4"/>
  <c r="E1999" i="4"/>
  <c r="D1999" i="4"/>
  <c r="C1999" i="4"/>
  <c r="O1998" i="4"/>
  <c r="K1998" i="4"/>
  <c r="J1998" i="4"/>
  <c r="I1998" i="4"/>
  <c r="G1998" i="4"/>
  <c r="F1998" i="4"/>
  <c r="E1998" i="4"/>
  <c r="D1998" i="4"/>
  <c r="C1998" i="4"/>
  <c r="O1997" i="4"/>
  <c r="K1997" i="4"/>
  <c r="J1997" i="4"/>
  <c r="I1997" i="4"/>
  <c r="G1997" i="4"/>
  <c r="F1997" i="4"/>
  <c r="E1997" i="4"/>
  <c r="D1997" i="4"/>
  <c r="C1997" i="4"/>
  <c r="O1996" i="4"/>
  <c r="K1996" i="4"/>
  <c r="J1996" i="4"/>
  <c r="I1996" i="4"/>
  <c r="G1996" i="4"/>
  <c r="F1996" i="4"/>
  <c r="E1996" i="4"/>
  <c r="D1996" i="4"/>
  <c r="C1996" i="4"/>
  <c r="O1995" i="4"/>
  <c r="K1995" i="4"/>
  <c r="J1995" i="4"/>
  <c r="I1995" i="4"/>
  <c r="G1995" i="4"/>
  <c r="F1995" i="4"/>
  <c r="E1995" i="4"/>
  <c r="D1995" i="4"/>
  <c r="C1995" i="4"/>
  <c r="O1994" i="4"/>
  <c r="K1994" i="4"/>
  <c r="J1994" i="4"/>
  <c r="I1994" i="4"/>
  <c r="G1994" i="4"/>
  <c r="F1994" i="4"/>
  <c r="E1994" i="4"/>
  <c r="D1994" i="4"/>
  <c r="C1994" i="4"/>
  <c r="O1993" i="4"/>
  <c r="K1993" i="4"/>
  <c r="J1993" i="4"/>
  <c r="I1993" i="4"/>
  <c r="G1993" i="4"/>
  <c r="F1993" i="4"/>
  <c r="E1993" i="4"/>
  <c r="D1993" i="4"/>
  <c r="C1993" i="4"/>
  <c r="O1992" i="4"/>
  <c r="K1992" i="4"/>
  <c r="J1992" i="4"/>
  <c r="I1992" i="4"/>
  <c r="G1992" i="4"/>
  <c r="F1992" i="4"/>
  <c r="E1992" i="4"/>
  <c r="D1992" i="4"/>
  <c r="C1992" i="4"/>
  <c r="O1991" i="4"/>
  <c r="K1991" i="4"/>
  <c r="J1991" i="4"/>
  <c r="I1991" i="4"/>
  <c r="G1991" i="4"/>
  <c r="F1991" i="4"/>
  <c r="E1991" i="4"/>
  <c r="D1991" i="4"/>
  <c r="C1991" i="4"/>
  <c r="O1990" i="4"/>
  <c r="K1990" i="4"/>
  <c r="J1990" i="4"/>
  <c r="I1990" i="4"/>
  <c r="G1990" i="4"/>
  <c r="F1990" i="4"/>
  <c r="E1990" i="4"/>
  <c r="D1990" i="4"/>
  <c r="C1990" i="4"/>
  <c r="O1989" i="4"/>
  <c r="K1989" i="4"/>
  <c r="J1989" i="4"/>
  <c r="I1989" i="4"/>
  <c r="G1989" i="4"/>
  <c r="F1989" i="4"/>
  <c r="E1989" i="4"/>
  <c r="D1989" i="4"/>
  <c r="C1989" i="4"/>
  <c r="O1988" i="4"/>
  <c r="K1988" i="4"/>
  <c r="J1988" i="4"/>
  <c r="I1988" i="4"/>
  <c r="G1988" i="4"/>
  <c r="F1988" i="4"/>
  <c r="E1988" i="4"/>
  <c r="D1988" i="4"/>
  <c r="C1988" i="4"/>
  <c r="O1987" i="4"/>
  <c r="K1987" i="4"/>
  <c r="J1987" i="4"/>
  <c r="I1987" i="4"/>
  <c r="G1987" i="4"/>
  <c r="F1987" i="4"/>
  <c r="E1987" i="4"/>
  <c r="D1987" i="4"/>
  <c r="C1987" i="4"/>
  <c r="O1986" i="4"/>
  <c r="K1986" i="4"/>
  <c r="J1986" i="4"/>
  <c r="I1986" i="4"/>
  <c r="G1986" i="4"/>
  <c r="F1986" i="4"/>
  <c r="E1986" i="4"/>
  <c r="D1986" i="4"/>
  <c r="C1986" i="4"/>
  <c r="O1985" i="4"/>
  <c r="K1985" i="4"/>
  <c r="J1985" i="4"/>
  <c r="I1985" i="4"/>
  <c r="G1985" i="4"/>
  <c r="F1985" i="4"/>
  <c r="E1985" i="4"/>
  <c r="D1985" i="4"/>
  <c r="C1985" i="4"/>
  <c r="O1984" i="4"/>
  <c r="K1984" i="4"/>
  <c r="J1984" i="4"/>
  <c r="I1984" i="4"/>
  <c r="G1984" i="4"/>
  <c r="F1984" i="4"/>
  <c r="E1984" i="4"/>
  <c r="D1984" i="4"/>
  <c r="C1984" i="4"/>
  <c r="O1983" i="4"/>
  <c r="K1983" i="4"/>
  <c r="J1983" i="4"/>
  <c r="I1983" i="4"/>
  <c r="G1983" i="4"/>
  <c r="F1983" i="4"/>
  <c r="E1983" i="4"/>
  <c r="D1983" i="4"/>
  <c r="C1983" i="4"/>
  <c r="O1982" i="4"/>
  <c r="K1982" i="4"/>
  <c r="J1982" i="4"/>
  <c r="I1982" i="4"/>
  <c r="G1982" i="4"/>
  <c r="F1982" i="4"/>
  <c r="E1982" i="4"/>
  <c r="D1982" i="4"/>
  <c r="C1982" i="4"/>
  <c r="O1981" i="4"/>
  <c r="K1981" i="4"/>
  <c r="J1981" i="4"/>
  <c r="I1981" i="4"/>
  <c r="G1981" i="4"/>
  <c r="F1981" i="4"/>
  <c r="E1981" i="4"/>
  <c r="D1981" i="4"/>
  <c r="C1981" i="4"/>
  <c r="O1980" i="4"/>
  <c r="K1980" i="4"/>
  <c r="J1980" i="4"/>
  <c r="I1980" i="4"/>
  <c r="G1980" i="4"/>
  <c r="F1980" i="4"/>
  <c r="E1980" i="4"/>
  <c r="D1980" i="4"/>
  <c r="C1980" i="4"/>
  <c r="O1979" i="4"/>
  <c r="K1979" i="4"/>
  <c r="J1979" i="4"/>
  <c r="I1979" i="4"/>
  <c r="G1979" i="4"/>
  <c r="F1979" i="4"/>
  <c r="E1979" i="4"/>
  <c r="D1979" i="4"/>
  <c r="C1979" i="4"/>
  <c r="O1978" i="4"/>
  <c r="K1978" i="4"/>
  <c r="J1978" i="4"/>
  <c r="I1978" i="4"/>
  <c r="G1978" i="4"/>
  <c r="F1978" i="4"/>
  <c r="E1978" i="4"/>
  <c r="D1978" i="4"/>
  <c r="C1978" i="4"/>
  <c r="O1977" i="4"/>
  <c r="K1977" i="4"/>
  <c r="J1977" i="4"/>
  <c r="I1977" i="4"/>
  <c r="G1977" i="4"/>
  <c r="F1977" i="4"/>
  <c r="E1977" i="4"/>
  <c r="D1977" i="4"/>
  <c r="C1977" i="4"/>
  <c r="O1976" i="4"/>
  <c r="K1976" i="4"/>
  <c r="J1976" i="4"/>
  <c r="I1976" i="4"/>
  <c r="G1976" i="4"/>
  <c r="F1976" i="4"/>
  <c r="E1976" i="4"/>
  <c r="D1976" i="4"/>
  <c r="C1976" i="4"/>
  <c r="O1975" i="4"/>
  <c r="K1975" i="4"/>
  <c r="J1975" i="4"/>
  <c r="I1975" i="4"/>
  <c r="G1975" i="4"/>
  <c r="F1975" i="4"/>
  <c r="E1975" i="4"/>
  <c r="D1975" i="4"/>
  <c r="C1975" i="4"/>
  <c r="O1974" i="4"/>
  <c r="K1974" i="4"/>
  <c r="J1974" i="4"/>
  <c r="I1974" i="4"/>
  <c r="G1974" i="4"/>
  <c r="F1974" i="4"/>
  <c r="E1974" i="4"/>
  <c r="D1974" i="4"/>
  <c r="C1974" i="4"/>
  <c r="O1973" i="4"/>
  <c r="K1973" i="4"/>
  <c r="J1973" i="4"/>
  <c r="I1973" i="4"/>
  <c r="G1973" i="4"/>
  <c r="F1973" i="4"/>
  <c r="E1973" i="4"/>
  <c r="D1973" i="4"/>
  <c r="C1973" i="4"/>
  <c r="O1972" i="4"/>
  <c r="K1972" i="4"/>
  <c r="J1972" i="4"/>
  <c r="I1972" i="4"/>
  <c r="G1972" i="4"/>
  <c r="F1972" i="4"/>
  <c r="E1972" i="4"/>
  <c r="D1972" i="4"/>
  <c r="C1972" i="4"/>
  <c r="O1971" i="4"/>
  <c r="K1971" i="4"/>
  <c r="J1971" i="4"/>
  <c r="I1971" i="4"/>
  <c r="G1971" i="4"/>
  <c r="F1971" i="4"/>
  <c r="E1971" i="4"/>
  <c r="D1971" i="4"/>
  <c r="C1971" i="4"/>
  <c r="O1970" i="4"/>
  <c r="K1970" i="4"/>
  <c r="J1970" i="4"/>
  <c r="I1970" i="4"/>
  <c r="G1970" i="4"/>
  <c r="F1970" i="4"/>
  <c r="E1970" i="4"/>
  <c r="D1970" i="4"/>
  <c r="C1970" i="4"/>
  <c r="O1969" i="4"/>
  <c r="K1969" i="4"/>
  <c r="J1969" i="4"/>
  <c r="I1969" i="4"/>
  <c r="G1969" i="4"/>
  <c r="F1969" i="4"/>
  <c r="E1969" i="4"/>
  <c r="D1969" i="4"/>
  <c r="C1969" i="4"/>
  <c r="O1968" i="4"/>
  <c r="K1968" i="4"/>
  <c r="J1968" i="4"/>
  <c r="I1968" i="4"/>
  <c r="G1968" i="4"/>
  <c r="F1968" i="4"/>
  <c r="E1968" i="4"/>
  <c r="D1968" i="4"/>
  <c r="C1968" i="4"/>
  <c r="O1967" i="4"/>
  <c r="K1967" i="4"/>
  <c r="J1967" i="4"/>
  <c r="I1967" i="4"/>
  <c r="G1967" i="4"/>
  <c r="F1967" i="4"/>
  <c r="E1967" i="4"/>
  <c r="D1967" i="4"/>
  <c r="C1967" i="4"/>
  <c r="O1966" i="4"/>
  <c r="K1966" i="4"/>
  <c r="J1966" i="4"/>
  <c r="I1966" i="4"/>
  <c r="G1966" i="4"/>
  <c r="F1966" i="4"/>
  <c r="E1966" i="4"/>
  <c r="D1966" i="4"/>
  <c r="C1966" i="4"/>
  <c r="O1965" i="4"/>
  <c r="K1965" i="4"/>
  <c r="J1965" i="4"/>
  <c r="I1965" i="4"/>
  <c r="G1965" i="4"/>
  <c r="F1965" i="4"/>
  <c r="E1965" i="4"/>
  <c r="D1965" i="4"/>
  <c r="C1965" i="4"/>
  <c r="O1964" i="4"/>
  <c r="K1964" i="4"/>
  <c r="J1964" i="4"/>
  <c r="I1964" i="4"/>
  <c r="G1964" i="4"/>
  <c r="F1964" i="4"/>
  <c r="E1964" i="4"/>
  <c r="D1964" i="4"/>
  <c r="C1964" i="4"/>
  <c r="O1963" i="4"/>
  <c r="K1963" i="4"/>
  <c r="J1963" i="4"/>
  <c r="I1963" i="4"/>
  <c r="G1963" i="4"/>
  <c r="F1963" i="4"/>
  <c r="E1963" i="4"/>
  <c r="D1963" i="4"/>
  <c r="C1963" i="4"/>
  <c r="O1962" i="4"/>
  <c r="K1962" i="4"/>
  <c r="J1962" i="4"/>
  <c r="I1962" i="4"/>
  <c r="G1962" i="4"/>
  <c r="F1962" i="4"/>
  <c r="E1962" i="4"/>
  <c r="D1962" i="4"/>
  <c r="C1962" i="4"/>
  <c r="O1961" i="4"/>
  <c r="K1961" i="4"/>
  <c r="J1961" i="4"/>
  <c r="I1961" i="4"/>
  <c r="G1961" i="4"/>
  <c r="F1961" i="4"/>
  <c r="E1961" i="4"/>
  <c r="D1961" i="4"/>
  <c r="C1961" i="4"/>
  <c r="O1960" i="4"/>
  <c r="K1960" i="4"/>
  <c r="J1960" i="4"/>
  <c r="I1960" i="4"/>
  <c r="G1960" i="4"/>
  <c r="F1960" i="4"/>
  <c r="E1960" i="4"/>
  <c r="D1960" i="4"/>
  <c r="C1960" i="4"/>
  <c r="O1959" i="4"/>
  <c r="K1959" i="4"/>
  <c r="J1959" i="4"/>
  <c r="I1959" i="4"/>
  <c r="G1959" i="4"/>
  <c r="F1959" i="4"/>
  <c r="E1959" i="4"/>
  <c r="D1959" i="4"/>
  <c r="C1959" i="4"/>
  <c r="O1958" i="4"/>
  <c r="K1958" i="4"/>
  <c r="J1958" i="4"/>
  <c r="I1958" i="4"/>
  <c r="G1958" i="4"/>
  <c r="F1958" i="4"/>
  <c r="E1958" i="4"/>
  <c r="D1958" i="4"/>
  <c r="C1958" i="4"/>
  <c r="O1957" i="4"/>
  <c r="K1957" i="4"/>
  <c r="J1957" i="4"/>
  <c r="I1957" i="4"/>
  <c r="G1957" i="4"/>
  <c r="F1957" i="4"/>
  <c r="E1957" i="4"/>
  <c r="D1957" i="4"/>
  <c r="C1957" i="4"/>
  <c r="O1956" i="4"/>
  <c r="K1956" i="4"/>
  <c r="J1956" i="4"/>
  <c r="I1956" i="4"/>
  <c r="G1956" i="4"/>
  <c r="F1956" i="4"/>
  <c r="E1956" i="4"/>
  <c r="D1956" i="4"/>
  <c r="C1956" i="4"/>
  <c r="O1955" i="4"/>
  <c r="K1955" i="4"/>
  <c r="J1955" i="4"/>
  <c r="I1955" i="4"/>
  <c r="G1955" i="4"/>
  <c r="F1955" i="4"/>
  <c r="E1955" i="4"/>
  <c r="D1955" i="4"/>
  <c r="C1955" i="4"/>
  <c r="O1954" i="4"/>
  <c r="K1954" i="4"/>
  <c r="J1954" i="4"/>
  <c r="I1954" i="4"/>
  <c r="G1954" i="4"/>
  <c r="F1954" i="4"/>
  <c r="E1954" i="4"/>
  <c r="D1954" i="4"/>
  <c r="C1954" i="4"/>
  <c r="O1953" i="4"/>
  <c r="K1953" i="4"/>
  <c r="J1953" i="4"/>
  <c r="I1953" i="4"/>
  <c r="G1953" i="4"/>
  <c r="F1953" i="4"/>
  <c r="E1953" i="4"/>
  <c r="D1953" i="4"/>
  <c r="C1953" i="4"/>
  <c r="O1952" i="4"/>
  <c r="K1952" i="4"/>
  <c r="J1952" i="4"/>
  <c r="I1952" i="4"/>
  <c r="G1952" i="4"/>
  <c r="F1952" i="4"/>
  <c r="E1952" i="4"/>
  <c r="D1952" i="4"/>
  <c r="C1952" i="4"/>
  <c r="O1951" i="4"/>
  <c r="K1951" i="4"/>
  <c r="J1951" i="4"/>
  <c r="I1951" i="4"/>
  <c r="G1951" i="4"/>
  <c r="F1951" i="4"/>
  <c r="E1951" i="4"/>
  <c r="D1951" i="4"/>
  <c r="C1951" i="4"/>
  <c r="O1950" i="4"/>
  <c r="K1950" i="4"/>
  <c r="J1950" i="4"/>
  <c r="I1950" i="4"/>
  <c r="G1950" i="4"/>
  <c r="F1950" i="4"/>
  <c r="E1950" i="4"/>
  <c r="D1950" i="4"/>
  <c r="C1950" i="4"/>
  <c r="O1949" i="4"/>
  <c r="K1949" i="4"/>
  <c r="J1949" i="4"/>
  <c r="I1949" i="4"/>
  <c r="G1949" i="4"/>
  <c r="F1949" i="4"/>
  <c r="E1949" i="4"/>
  <c r="D1949" i="4"/>
  <c r="C1949" i="4"/>
  <c r="O1948" i="4"/>
  <c r="K1948" i="4"/>
  <c r="J1948" i="4"/>
  <c r="I1948" i="4"/>
  <c r="G1948" i="4"/>
  <c r="F1948" i="4"/>
  <c r="E1948" i="4"/>
  <c r="D1948" i="4"/>
  <c r="C1948" i="4"/>
  <c r="O1947" i="4"/>
  <c r="K1947" i="4"/>
  <c r="J1947" i="4"/>
  <c r="I1947" i="4"/>
  <c r="G1947" i="4"/>
  <c r="F1947" i="4"/>
  <c r="E1947" i="4"/>
  <c r="D1947" i="4"/>
  <c r="C1947" i="4"/>
  <c r="O1946" i="4"/>
  <c r="K1946" i="4"/>
  <c r="J1946" i="4"/>
  <c r="I1946" i="4"/>
  <c r="G1946" i="4"/>
  <c r="F1946" i="4"/>
  <c r="E1946" i="4"/>
  <c r="D1946" i="4"/>
  <c r="C1946" i="4"/>
  <c r="O1945" i="4"/>
  <c r="K1945" i="4"/>
  <c r="J1945" i="4"/>
  <c r="I1945" i="4"/>
  <c r="G1945" i="4"/>
  <c r="F1945" i="4"/>
  <c r="E1945" i="4"/>
  <c r="D1945" i="4"/>
  <c r="C1945" i="4"/>
  <c r="O1944" i="4"/>
  <c r="K1944" i="4"/>
  <c r="J1944" i="4"/>
  <c r="I1944" i="4"/>
  <c r="G1944" i="4"/>
  <c r="F1944" i="4"/>
  <c r="E1944" i="4"/>
  <c r="D1944" i="4"/>
  <c r="C1944" i="4"/>
  <c r="O1943" i="4"/>
  <c r="K1943" i="4"/>
  <c r="J1943" i="4"/>
  <c r="I1943" i="4"/>
  <c r="G1943" i="4"/>
  <c r="F1943" i="4"/>
  <c r="E1943" i="4"/>
  <c r="D1943" i="4"/>
  <c r="C1943" i="4"/>
  <c r="O1942" i="4"/>
  <c r="K1942" i="4"/>
  <c r="J1942" i="4"/>
  <c r="I1942" i="4"/>
  <c r="G1942" i="4"/>
  <c r="F1942" i="4"/>
  <c r="E1942" i="4"/>
  <c r="D1942" i="4"/>
  <c r="C1942" i="4"/>
  <c r="O1941" i="4"/>
  <c r="K1941" i="4"/>
  <c r="J1941" i="4"/>
  <c r="I1941" i="4"/>
  <c r="G1941" i="4"/>
  <c r="F1941" i="4"/>
  <c r="E1941" i="4"/>
  <c r="D1941" i="4"/>
  <c r="C1941" i="4"/>
  <c r="O1940" i="4"/>
  <c r="K1940" i="4"/>
  <c r="J1940" i="4"/>
  <c r="I1940" i="4"/>
  <c r="G1940" i="4"/>
  <c r="F1940" i="4"/>
  <c r="E1940" i="4"/>
  <c r="D1940" i="4"/>
  <c r="C1940" i="4"/>
  <c r="O1939" i="4"/>
  <c r="K1939" i="4"/>
  <c r="J1939" i="4"/>
  <c r="I1939" i="4"/>
  <c r="G1939" i="4"/>
  <c r="F1939" i="4"/>
  <c r="E1939" i="4"/>
  <c r="D1939" i="4"/>
  <c r="C1939" i="4"/>
  <c r="O1938" i="4"/>
  <c r="K1938" i="4"/>
  <c r="J1938" i="4"/>
  <c r="I1938" i="4"/>
  <c r="G1938" i="4"/>
  <c r="F1938" i="4"/>
  <c r="E1938" i="4"/>
  <c r="D1938" i="4"/>
  <c r="C1938" i="4"/>
  <c r="O1937" i="4"/>
  <c r="K1937" i="4"/>
  <c r="J1937" i="4"/>
  <c r="I1937" i="4"/>
  <c r="G1937" i="4"/>
  <c r="F1937" i="4"/>
  <c r="E1937" i="4"/>
  <c r="D1937" i="4"/>
  <c r="C1937" i="4"/>
  <c r="O1936" i="4"/>
  <c r="K1936" i="4"/>
  <c r="J1936" i="4"/>
  <c r="I1936" i="4"/>
  <c r="G1936" i="4"/>
  <c r="F1936" i="4"/>
  <c r="E1936" i="4"/>
  <c r="D1936" i="4"/>
  <c r="C1936" i="4"/>
  <c r="O1935" i="4"/>
  <c r="K1935" i="4"/>
  <c r="J1935" i="4"/>
  <c r="I1935" i="4"/>
  <c r="G1935" i="4"/>
  <c r="F1935" i="4"/>
  <c r="E1935" i="4"/>
  <c r="D1935" i="4"/>
  <c r="C1935" i="4"/>
  <c r="O1934" i="4"/>
  <c r="K1934" i="4"/>
  <c r="J1934" i="4"/>
  <c r="I1934" i="4"/>
  <c r="G1934" i="4"/>
  <c r="F1934" i="4"/>
  <c r="E1934" i="4"/>
  <c r="D1934" i="4"/>
  <c r="C1934" i="4"/>
  <c r="O1933" i="4"/>
  <c r="K1933" i="4"/>
  <c r="J1933" i="4"/>
  <c r="I1933" i="4"/>
  <c r="G1933" i="4"/>
  <c r="F1933" i="4"/>
  <c r="E1933" i="4"/>
  <c r="D1933" i="4"/>
  <c r="C1933" i="4"/>
  <c r="O1932" i="4"/>
  <c r="K1932" i="4"/>
  <c r="J1932" i="4"/>
  <c r="I1932" i="4"/>
  <c r="G1932" i="4"/>
  <c r="F1932" i="4"/>
  <c r="E1932" i="4"/>
  <c r="D1932" i="4"/>
  <c r="C1932" i="4"/>
  <c r="O1931" i="4"/>
  <c r="K1931" i="4"/>
  <c r="J1931" i="4"/>
  <c r="I1931" i="4"/>
  <c r="G1931" i="4"/>
  <c r="F1931" i="4"/>
  <c r="E1931" i="4"/>
  <c r="D1931" i="4"/>
  <c r="C1931" i="4"/>
  <c r="O1930" i="4"/>
  <c r="K1930" i="4"/>
  <c r="J1930" i="4"/>
  <c r="I1930" i="4"/>
  <c r="G1930" i="4"/>
  <c r="F1930" i="4"/>
  <c r="E1930" i="4"/>
  <c r="D1930" i="4"/>
  <c r="C1930" i="4"/>
  <c r="O1929" i="4"/>
  <c r="K1929" i="4"/>
  <c r="J1929" i="4"/>
  <c r="I1929" i="4"/>
  <c r="G1929" i="4"/>
  <c r="F1929" i="4"/>
  <c r="E1929" i="4"/>
  <c r="D1929" i="4"/>
  <c r="C1929" i="4"/>
  <c r="O1928" i="4"/>
  <c r="K1928" i="4"/>
  <c r="J1928" i="4"/>
  <c r="I1928" i="4"/>
  <c r="G1928" i="4"/>
  <c r="F1928" i="4"/>
  <c r="E1928" i="4"/>
  <c r="D1928" i="4"/>
  <c r="C1928" i="4"/>
  <c r="O1927" i="4"/>
  <c r="K1927" i="4"/>
  <c r="J1927" i="4"/>
  <c r="I1927" i="4"/>
  <c r="G1927" i="4"/>
  <c r="F1927" i="4"/>
  <c r="E1927" i="4"/>
  <c r="D1927" i="4"/>
  <c r="C1927" i="4"/>
  <c r="O1926" i="4"/>
  <c r="K1926" i="4"/>
  <c r="J1926" i="4"/>
  <c r="I1926" i="4"/>
  <c r="G1926" i="4"/>
  <c r="F1926" i="4"/>
  <c r="E1926" i="4"/>
  <c r="D1926" i="4"/>
  <c r="C1926" i="4"/>
  <c r="O1925" i="4"/>
  <c r="K1925" i="4"/>
  <c r="J1925" i="4"/>
  <c r="I1925" i="4"/>
  <c r="G1925" i="4"/>
  <c r="F1925" i="4"/>
  <c r="E1925" i="4"/>
  <c r="D1925" i="4"/>
  <c r="C1925" i="4"/>
  <c r="O1924" i="4"/>
  <c r="K1924" i="4"/>
  <c r="J1924" i="4"/>
  <c r="I1924" i="4"/>
  <c r="G1924" i="4"/>
  <c r="F1924" i="4"/>
  <c r="E1924" i="4"/>
  <c r="D1924" i="4"/>
  <c r="C1924" i="4"/>
  <c r="O1923" i="4"/>
  <c r="K1923" i="4"/>
  <c r="J1923" i="4"/>
  <c r="I1923" i="4"/>
  <c r="G1923" i="4"/>
  <c r="F1923" i="4"/>
  <c r="E1923" i="4"/>
  <c r="D1923" i="4"/>
  <c r="C1923" i="4"/>
  <c r="O1922" i="4"/>
  <c r="K1922" i="4"/>
  <c r="J1922" i="4"/>
  <c r="I1922" i="4"/>
  <c r="G1922" i="4"/>
  <c r="F1922" i="4"/>
  <c r="E1922" i="4"/>
  <c r="D1922" i="4"/>
  <c r="C1922" i="4"/>
  <c r="O1921" i="4"/>
  <c r="K1921" i="4"/>
  <c r="J1921" i="4"/>
  <c r="I1921" i="4"/>
  <c r="G1921" i="4"/>
  <c r="F1921" i="4"/>
  <c r="E1921" i="4"/>
  <c r="D1921" i="4"/>
  <c r="C1921" i="4"/>
  <c r="O1920" i="4"/>
  <c r="K1920" i="4"/>
  <c r="J1920" i="4"/>
  <c r="I1920" i="4"/>
  <c r="G1920" i="4"/>
  <c r="F1920" i="4"/>
  <c r="E1920" i="4"/>
  <c r="D1920" i="4"/>
  <c r="C1920" i="4"/>
  <c r="O1919" i="4"/>
  <c r="K1919" i="4"/>
  <c r="J1919" i="4"/>
  <c r="I1919" i="4"/>
  <c r="G1919" i="4"/>
  <c r="F1919" i="4"/>
  <c r="E1919" i="4"/>
  <c r="D1919" i="4"/>
  <c r="C1919" i="4"/>
  <c r="O1918" i="4"/>
  <c r="K1918" i="4"/>
  <c r="J1918" i="4"/>
  <c r="I1918" i="4"/>
  <c r="G1918" i="4"/>
  <c r="F1918" i="4"/>
  <c r="E1918" i="4"/>
  <c r="D1918" i="4"/>
  <c r="C1918" i="4"/>
  <c r="O1917" i="4"/>
  <c r="K1917" i="4"/>
  <c r="J1917" i="4"/>
  <c r="I1917" i="4"/>
  <c r="G1917" i="4"/>
  <c r="F1917" i="4"/>
  <c r="E1917" i="4"/>
  <c r="D1917" i="4"/>
  <c r="C1917" i="4"/>
  <c r="O1916" i="4"/>
  <c r="K1916" i="4"/>
  <c r="J1916" i="4"/>
  <c r="I1916" i="4"/>
  <c r="G1916" i="4"/>
  <c r="F1916" i="4"/>
  <c r="E1916" i="4"/>
  <c r="D1916" i="4"/>
  <c r="C1916" i="4"/>
  <c r="O1915" i="4"/>
  <c r="K1915" i="4"/>
  <c r="J1915" i="4"/>
  <c r="I1915" i="4"/>
  <c r="G1915" i="4"/>
  <c r="F1915" i="4"/>
  <c r="E1915" i="4"/>
  <c r="D1915" i="4"/>
  <c r="C1915" i="4"/>
  <c r="O1914" i="4"/>
  <c r="K1914" i="4"/>
  <c r="J1914" i="4"/>
  <c r="I1914" i="4"/>
  <c r="G1914" i="4"/>
  <c r="F1914" i="4"/>
  <c r="E1914" i="4"/>
  <c r="D1914" i="4"/>
  <c r="C1914" i="4"/>
  <c r="O1913" i="4"/>
  <c r="K1913" i="4"/>
  <c r="J1913" i="4"/>
  <c r="I1913" i="4"/>
  <c r="G1913" i="4"/>
  <c r="F1913" i="4"/>
  <c r="E1913" i="4"/>
  <c r="D1913" i="4"/>
  <c r="C1913" i="4"/>
  <c r="O1912" i="4"/>
  <c r="K1912" i="4"/>
  <c r="J1912" i="4"/>
  <c r="I1912" i="4"/>
  <c r="G1912" i="4"/>
  <c r="F1912" i="4"/>
  <c r="E1912" i="4"/>
  <c r="D1912" i="4"/>
  <c r="C1912" i="4"/>
  <c r="O1911" i="4"/>
  <c r="K1911" i="4"/>
  <c r="J1911" i="4"/>
  <c r="I1911" i="4"/>
  <c r="G1911" i="4"/>
  <c r="F1911" i="4"/>
  <c r="E1911" i="4"/>
  <c r="D1911" i="4"/>
  <c r="C1911" i="4"/>
  <c r="O1910" i="4"/>
  <c r="K1910" i="4"/>
  <c r="J1910" i="4"/>
  <c r="I1910" i="4"/>
  <c r="G1910" i="4"/>
  <c r="F1910" i="4"/>
  <c r="E1910" i="4"/>
  <c r="D1910" i="4"/>
  <c r="C1910" i="4"/>
  <c r="O1909" i="4"/>
  <c r="K1909" i="4"/>
  <c r="J1909" i="4"/>
  <c r="I1909" i="4"/>
  <c r="G1909" i="4"/>
  <c r="F1909" i="4"/>
  <c r="E1909" i="4"/>
  <c r="D1909" i="4"/>
  <c r="C1909" i="4"/>
  <c r="O1908" i="4"/>
  <c r="K1908" i="4"/>
  <c r="J1908" i="4"/>
  <c r="I1908" i="4"/>
  <c r="G1908" i="4"/>
  <c r="F1908" i="4"/>
  <c r="E1908" i="4"/>
  <c r="D1908" i="4"/>
  <c r="C1908" i="4"/>
  <c r="O1907" i="4"/>
  <c r="K1907" i="4"/>
  <c r="J1907" i="4"/>
  <c r="I1907" i="4"/>
  <c r="G1907" i="4"/>
  <c r="F1907" i="4"/>
  <c r="E1907" i="4"/>
  <c r="D1907" i="4"/>
  <c r="C1907" i="4"/>
  <c r="O1906" i="4"/>
  <c r="K1906" i="4"/>
  <c r="J1906" i="4"/>
  <c r="I1906" i="4"/>
  <c r="G1906" i="4"/>
  <c r="F1906" i="4"/>
  <c r="E1906" i="4"/>
  <c r="D1906" i="4"/>
  <c r="C1906" i="4"/>
  <c r="O1905" i="4"/>
  <c r="K1905" i="4"/>
  <c r="J1905" i="4"/>
  <c r="I1905" i="4"/>
  <c r="G1905" i="4"/>
  <c r="F1905" i="4"/>
  <c r="E1905" i="4"/>
  <c r="D1905" i="4"/>
  <c r="C1905" i="4"/>
  <c r="O1904" i="4"/>
  <c r="K1904" i="4"/>
  <c r="J1904" i="4"/>
  <c r="I1904" i="4"/>
  <c r="G1904" i="4"/>
  <c r="F1904" i="4"/>
  <c r="E1904" i="4"/>
  <c r="D1904" i="4"/>
  <c r="C1904" i="4"/>
  <c r="O1903" i="4"/>
  <c r="K1903" i="4"/>
  <c r="J1903" i="4"/>
  <c r="I1903" i="4"/>
  <c r="G1903" i="4"/>
  <c r="F1903" i="4"/>
  <c r="E1903" i="4"/>
  <c r="D1903" i="4"/>
  <c r="C1903" i="4"/>
  <c r="O1902" i="4"/>
  <c r="K1902" i="4"/>
  <c r="J1902" i="4"/>
  <c r="I1902" i="4"/>
  <c r="G1902" i="4"/>
  <c r="F1902" i="4"/>
  <c r="E1902" i="4"/>
  <c r="D1902" i="4"/>
  <c r="C1902" i="4"/>
  <c r="O1901" i="4"/>
  <c r="K1901" i="4"/>
  <c r="J1901" i="4"/>
  <c r="I1901" i="4"/>
  <c r="G1901" i="4"/>
  <c r="F1901" i="4"/>
  <c r="E1901" i="4"/>
  <c r="D1901" i="4"/>
  <c r="C1901" i="4"/>
  <c r="O1900" i="4"/>
  <c r="K1900" i="4"/>
  <c r="J1900" i="4"/>
  <c r="I1900" i="4"/>
  <c r="G1900" i="4"/>
  <c r="F1900" i="4"/>
  <c r="E1900" i="4"/>
  <c r="D1900" i="4"/>
  <c r="C1900" i="4"/>
  <c r="O1899" i="4"/>
  <c r="K1899" i="4"/>
  <c r="J1899" i="4"/>
  <c r="I1899" i="4"/>
  <c r="G1899" i="4"/>
  <c r="F1899" i="4"/>
  <c r="E1899" i="4"/>
  <c r="D1899" i="4"/>
  <c r="C1899" i="4"/>
  <c r="O1898" i="4"/>
  <c r="K1898" i="4"/>
  <c r="J1898" i="4"/>
  <c r="I1898" i="4"/>
  <c r="G1898" i="4"/>
  <c r="F1898" i="4"/>
  <c r="E1898" i="4"/>
  <c r="D1898" i="4"/>
  <c r="C1898" i="4"/>
  <c r="O1897" i="4"/>
  <c r="K1897" i="4"/>
  <c r="J1897" i="4"/>
  <c r="I1897" i="4"/>
  <c r="G1897" i="4"/>
  <c r="F1897" i="4"/>
  <c r="E1897" i="4"/>
  <c r="D1897" i="4"/>
  <c r="C1897" i="4"/>
  <c r="O1896" i="4"/>
  <c r="K1896" i="4"/>
  <c r="J1896" i="4"/>
  <c r="I1896" i="4"/>
  <c r="G1896" i="4"/>
  <c r="F1896" i="4"/>
  <c r="E1896" i="4"/>
  <c r="D1896" i="4"/>
  <c r="C1896" i="4"/>
  <c r="O1895" i="4"/>
  <c r="K1895" i="4"/>
  <c r="J1895" i="4"/>
  <c r="I1895" i="4"/>
  <c r="G1895" i="4"/>
  <c r="F1895" i="4"/>
  <c r="E1895" i="4"/>
  <c r="D1895" i="4"/>
  <c r="C1895" i="4"/>
  <c r="O1894" i="4"/>
  <c r="K1894" i="4"/>
  <c r="J1894" i="4"/>
  <c r="I1894" i="4"/>
  <c r="G1894" i="4"/>
  <c r="F1894" i="4"/>
  <c r="E1894" i="4"/>
  <c r="D1894" i="4"/>
  <c r="C1894" i="4"/>
  <c r="O1893" i="4"/>
  <c r="K1893" i="4"/>
  <c r="J1893" i="4"/>
  <c r="I1893" i="4"/>
  <c r="G1893" i="4"/>
  <c r="F1893" i="4"/>
  <c r="E1893" i="4"/>
  <c r="D1893" i="4"/>
  <c r="C1893" i="4"/>
  <c r="O1892" i="4"/>
  <c r="K1892" i="4"/>
  <c r="J1892" i="4"/>
  <c r="I1892" i="4"/>
  <c r="G1892" i="4"/>
  <c r="F1892" i="4"/>
  <c r="E1892" i="4"/>
  <c r="D1892" i="4"/>
  <c r="C1892" i="4"/>
  <c r="O1891" i="4"/>
  <c r="K1891" i="4"/>
  <c r="J1891" i="4"/>
  <c r="I1891" i="4"/>
  <c r="G1891" i="4"/>
  <c r="F1891" i="4"/>
  <c r="E1891" i="4"/>
  <c r="D1891" i="4"/>
  <c r="C1891" i="4"/>
  <c r="O1890" i="4"/>
  <c r="K1890" i="4"/>
  <c r="J1890" i="4"/>
  <c r="I1890" i="4"/>
  <c r="G1890" i="4"/>
  <c r="F1890" i="4"/>
  <c r="E1890" i="4"/>
  <c r="D1890" i="4"/>
  <c r="C1890" i="4"/>
  <c r="O1889" i="4"/>
  <c r="K1889" i="4"/>
  <c r="J1889" i="4"/>
  <c r="I1889" i="4"/>
  <c r="G1889" i="4"/>
  <c r="F1889" i="4"/>
  <c r="E1889" i="4"/>
  <c r="D1889" i="4"/>
  <c r="C1889" i="4"/>
  <c r="O1888" i="4"/>
  <c r="K1888" i="4"/>
  <c r="J1888" i="4"/>
  <c r="I1888" i="4"/>
  <c r="G1888" i="4"/>
  <c r="F1888" i="4"/>
  <c r="E1888" i="4"/>
  <c r="D1888" i="4"/>
  <c r="C1888" i="4"/>
  <c r="O1887" i="4"/>
  <c r="K1887" i="4"/>
  <c r="J1887" i="4"/>
  <c r="I1887" i="4"/>
  <c r="G1887" i="4"/>
  <c r="F1887" i="4"/>
  <c r="E1887" i="4"/>
  <c r="D1887" i="4"/>
  <c r="C1887" i="4"/>
  <c r="O1886" i="4"/>
  <c r="K1886" i="4"/>
  <c r="J1886" i="4"/>
  <c r="I1886" i="4"/>
  <c r="G1886" i="4"/>
  <c r="F1886" i="4"/>
  <c r="E1886" i="4"/>
  <c r="D1886" i="4"/>
  <c r="C1886" i="4"/>
  <c r="O1885" i="4"/>
  <c r="K1885" i="4"/>
  <c r="J1885" i="4"/>
  <c r="I1885" i="4"/>
  <c r="G1885" i="4"/>
  <c r="F1885" i="4"/>
  <c r="E1885" i="4"/>
  <c r="D1885" i="4"/>
  <c r="C1885" i="4"/>
  <c r="O1884" i="4"/>
  <c r="K1884" i="4"/>
  <c r="J1884" i="4"/>
  <c r="I1884" i="4"/>
  <c r="G1884" i="4"/>
  <c r="F1884" i="4"/>
  <c r="E1884" i="4"/>
  <c r="D1884" i="4"/>
  <c r="C1884" i="4"/>
  <c r="O1883" i="4"/>
  <c r="K1883" i="4"/>
  <c r="J1883" i="4"/>
  <c r="I1883" i="4"/>
  <c r="G1883" i="4"/>
  <c r="F1883" i="4"/>
  <c r="E1883" i="4"/>
  <c r="D1883" i="4"/>
  <c r="C1883" i="4"/>
  <c r="O1882" i="4"/>
  <c r="K1882" i="4"/>
  <c r="J1882" i="4"/>
  <c r="I1882" i="4"/>
  <c r="G1882" i="4"/>
  <c r="F1882" i="4"/>
  <c r="E1882" i="4"/>
  <c r="D1882" i="4"/>
  <c r="C1882" i="4"/>
  <c r="O1881" i="4"/>
  <c r="K1881" i="4"/>
  <c r="J1881" i="4"/>
  <c r="I1881" i="4"/>
  <c r="G1881" i="4"/>
  <c r="F1881" i="4"/>
  <c r="E1881" i="4"/>
  <c r="D1881" i="4"/>
  <c r="C1881" i="4"/>
  <c r="O1880" i="4"/>
  <c r="K1880" i="4"/>
  <c r="J1880" i="4"/>
  <c r="I1880" i="4"/>
  <c r="G1880" i="4"/>
  <c r="F1880" i="4"/>
  <c r="E1880" i="4"/>
  <c r="D1880" i="4"/>
  <c r="C1880" i="4"/>
  <c r="O1879" i="4"/>
  <c r="K1879" i="4"/>
  <c r="J1879" i="4"/>
  <c r="I1879" i="4"/>
  <c r="G1879" i="4"/>
  <c r="F1879" i="4"/>
  <c r="E1879" i="4"/>
  <c r="D1879" i="4"/>
  <c r="C1879" i="4"/>
  <c r="O1878" i="4"/>
  <c r="K1878" i="4"/>
  <c r="J1878" i="4"/>
  <c r="I1878" i="4"/>
  <c r="G1878" i="4"/>
  <c r="F1878" i="4"/>
  <c r="E1878" i="4"/>
  <c r="D1878" i="4"/>
  <c r="C1878" i="4"/>
  <c r="O1877" i="4"/>
  <c r="K1877" i="4"/>
  <c r="J1877" i="4"/>
  <c r="I1877" i="4"/>
  <c r="G1877" i="4"/>
  <c r="F1877" i="4"/>
  <c r="E1877" i="4"/>
  <c r="D1877" i="4"/>
  <c r="C1877" i="4"/>
  <c r="O1876" i="4"/>
  <c r="K1876" i="4"/>
  <c r="J1876" i="4"/>
  <c r="I1876" i="4"/>
  <c r="G1876" i="4"/>
  <c r="F1876" i="4"/>
  <c r="E1876" i="4"/>
  <c r="D1876" i="4"/>
  <c r="C1876" i="4"/>
  <c r="O1875" i="4"/>
  <c r="K1875" i="4"/>
  <c r="J1875" i="4"/>
  <c r="I1875" i="4"/>
  <c r="G1875" i="4"/>
  <c r="F1875" i="4"/>
  <c r="E1875" i="4"/>
  <c r="D1875" i="4"/>
  <c r="C1875" i="4"/>
  <c r="O1874" i="4"/>
  <c r="K1874" i="4"/>
  <c r="J1874" i="4"/>
  <c r="I1874" i="4"/>
  <c r="G1874" i="4"/>
  <c r="F1874" i="4"/>
  <c r="E1874" i="4"/>
  <c r="D1874" i="4"/>
  <c r="C1874" i="4"/>
  <c r="O1873" i="4"/>
  <c r="K1873" i="4"/>
  <c r="J1873" i="4"/>
  <c r="I1873" i="4"/>
  <c r="G1873" i="4"/>
  <c r="F1873" i="4"/>
  <c r="E1873" i="4"/>
  <c r="D1873" i="4"/>
  <c r="C1873" i="4"/>
  <c r="O1872" i="4"/>
  <c r="K1872" i="4"/>
  <c r="J1872" i="4"/>
  <c r="I1872" i="4"/>
  <c r="G1872" i="4"/>
  <c r="F1872" i="4"/>
  <c r="E1872" i="4"/>
  <c r="D1872" i="4"/>
  <c r="C1872" i="4"/>
  <c r="O1871" i="4"/>
  <c r="K1871" i="4"/>
  <c r="J1871" i="4"/>
  <c r="I1871" i="4"/>
  <c r="G1871" i="4"/>
  <c r="F1871" i="4"/>
  <c r="E1871" i="4"/>
  <c r="D1871" i="4"/>
  <c r="C1871" i="4"/>
  <c r="O1870" i="4"/>
  <c r="K1870" i="4"/>
  <c r="J1870" i="4"/>
  <c r="I1870" i="4"/>
  <c r="G1870" i="4"/>
  <c r="F1870" i="4"/>
  <c r="E1870" i="4"/>
  <c r="D1870" i="4"/>
  <c r="C1870" i="4"/>
  <c r="O1869" i="4"/>
  <c r="K1869" i="4"/>
  <c r="J1869" i="4"/>
  <c r="I1869" i="4"/>
  <c r="G1869" i="4"/>
  <c r="F1869" i="4"/>
  <c r="E1869" i="4"/>
  <c r="D1869" i="4"/>
  <c r="C1869" i="4"/>
  <c r="O1868" i="4"/>
  <c r="K1868" i="4"/>
  <c r="J1868" i="4"/>
  <c r="I1868" i="4"/>
  <c r="G1868" i="4"/>
  <c r="F1868" i="4"/>
  <c r="E1868" i="4"/>
  <c r="D1868" i="4"/>
  <c r="C1868" i="4"/>
  <c r="O1867" i="4"/>
  <c r="K1867" i="4"/>
  <c r="J1867" i="4"/>
  <c r="I1867" i="4"/>
  <c r="G1867" i="4"/>
  <c r="F1867" i="4"/>
  <c r="E1867" i="4"/>
  <c r="D1867" i="4"/>
  <c r="C1867" i="4"/>
  <c r="O1866" i="4"/>
  <c r="K1866" i="4"/>
  <c r="J1866" i="4"/>
  <c r="I1866" i="4"/>
  <c r="G1866" i="4"/>
  <c r="F1866" i="4"/>
  <c r="E1866" i="4"/>
  <c r="D1866" i="4"/>
  <c r="C1866" i="4"/>
  <c r="O1865" i="4"/>
  <c r="K1865" i="4"/>
  <c r="J1865" i="4"/>
  <c r="I1865" i="4"/>
  <c r="G1865" i="4"/>
  <c r="F1865" i="4"/>
  <c r="E1865" i="4"/>
  <c r="D1865" i="4"/>
  <c r="C1865" i="4"/>
  <c r="O1864" i="4"/>
  <c r="K1864" i="4"/>
  <c r="J1864" i="4"/>
  <c r="I1864" i="4"/>
  <c r="G1864" i="4"/>
  <c r="F1864" i="4"/>
  <c r="E1864" i="4"/>
  <c r="D1864" i="4"/>
  <c r="C1864" i="4"/>
  <c r="O1863" i="4"/>
  <c r="K1863" i="4"/>
  <c r="J1863" i="4"/>
  <c r="I1863" i="4"/>
  <c r="G1863" i="4"/>
  <c r="F1863" i="4"/>
  <c r="E1863" i="4"/>
  <c r="D1863" i="4"/>
  <c r="C1863" i="4"/>
  <c r="O1862" i="4"/>
  <c r="K1862" i="4"/>
  <c r="J1862" i="4"/>
  <c r="I1862" i="4"/>
  <c r="G1862" i="4"/>
  <c r="F1862" i="4"/>
  <c r="E1862" i="4"/>
  <c r="D1862" i="4"/>
  <c r="C1862" i="4"/>
  <c r="O1861" i="4"/>
  <c r="K1861" i="4"/>
  <c r="J1861" i="4"/>
  <c r="I1861" i="4"/>
  <c r="G1861" i="4"/>
  <c r="F1861" i="4"/>
  <c r="E1861" i="4"/>
  <c r="D1861" i="4"/>
  <c r="C1861" i="4"/>
  <c r="O1860" i="4"/>
  <c r="K1860" i="4"/>
  <c r="J1860" i="4"/>
  <c r="I1860" i="4"/>
  <c r="G1860" i="4"/>
  <c r="F1860" i="4"/>
  <c r="E1860" i="4"/>
  <c r="D1860" i="4"/>
  <c r="C1860" i="4"/>
  <c r="O1859" i="4"/>
  <c r="K1859" i="4"/>
  <c r="J1859" i="4"/>
  <c r="I1859" i="4"/>
  <c r="G1859" i="4"/>
  <c r="F1859" i="4"/>
  <c r="E1859" i="4"/>
  <c r="D1859" i="4"/>
  <c r="C1859" i="4"/>
  <c r="O1858" i="4"/>
  <c r="K1858" i="4"/>
  <c r="J1858" i="4"/>
  <c r="I1858" i="4"/>
  <c r="G1858" i="4"/>
  <c r="F1858" i="4"/>
  <c r="E1858" i="4"/>
  <c r="D1858" i="4"/>
  <c r="C1858" i="4"/>
  <c r="O1857" i="4"/>
  <c r="K1857" i="4"/>
  <c r="J1857" i="4"/>
  <c r="I1857" i="4"/>
  <c r="G1857" i="4"/>
  <c r="F1857" i="4"/>
  <c r="E1857" i="4"/>
  <c r="D1857" i="4"/>
  <c r="C1857" i="4"/>
  <c r="O1856" i="4"/>
  <c r="K1856" i="4"/>
  <c r="J1856" i="4"/>
  <c r="I1856" i="4"/>
  <c r="G1856" i="4"/>
  <c r="F1856" i="4"/>
  <c r="E1856" i="4"/>
  <c r="D1856" i="4"/>
  <c r="C1856" i="4"/>
  <c r="O1855" i="4"/>
  <c r="K1855" i="4"/>
  <c r="J1855" i="4"/>
  <c r="I1855" i="4"/>
  <c r="G1855" i="4"/>
  <c r="F1855" i="4"/>
  <c r="E1855" i="4"/>
  <c r="D1855" i="4"/>
  <c r="C1855" i="4"/>
  <c r="O1854" i="4"/>
  <c r="K1854" i="4"/>
  <c r="J1854" i="4"/>
  <c r="I1854" i="4"/>
  <c r="G1854" i="4"/>
  <c r="F1854" i="4"/>
  <c r="E1854" i="4"/>
  <c r="D1854" i="4"/>
  <c r="C1854" i="4"/>
  <c r="O1853" i="4"/>
  <c r="K1853" i="4"/>
  <c r="J1853" i="4"/>
  <c r="I1853" i="4"/>
  <c r="G1853" i="4"/>
  <c r="F1853" i="4"/>
  <c r="E1853" i="4"/>
  <c r="D1853" i="4"/>
  <c r="C1853" i="4"/>
  <c r="O1852" i="4"/>
  <c r="K1852" i="4"/>
  <c r="J1852" i="4"/>
  <c r="I1852" i="4"/>
  <c r="G1852" i="4"/>
  <c r="F1852" i="4"/>
  <c r="E1852" i="4"/>
  <c r="D1852" i="4"/>
  <c r="C1852" i="4"/>
  <c r="O1851" i="4"/>
  <c r="K1851" i="4"/>
  <c r="J1851" i="4"/>
  <c r="I1851" i="4"/>
  <c r="G1851" i="4"/>
  <c r="F1851" i="4"/>
  <c r="E1851" i="4"/>
  <c r="D1851" i="4"/>
  <c r="C1851" i="4"/>
  <c r="O1850" i="4"/>
  <c r="K1850" i="4"/>
  <c r="J1850" i="4"/>
  <c r="I1850" i="4"/>
  <c r="G1850" i="4"/>
  <c r="F1850" i="4"/>
  <c r="E1850" i="4"/>
  <c r="D1850" i="4"/>
  <c r="C1850" i="4"/>
  <c r="O1849" i="4"/>
  <c r="K1849" i="4"/>
  <c r="J1849" i="4"/>
  <c r="I1849" i="4"/>
  <c r="G1849" i="4"/>
  <c r="F1849" i="4"/>
  <c r="E1849" i="4"/>
  <c r="D1849" i="4"/>
  <c r="C1849" i="4"/>
  <c r="O1848" i="4"/>
  <c r="K1848" i="4"/>
  <c r="J1848" i="4"/>
  <c r="I1848" i="4"/>
  <c r="G1848" i="4"/>
  <c r="F1848" i="4"/>
  <c r="E1848" i="4"/>
  <c r="D1848" i="4"/>
  <c r="C1848" i="4"/>
  <c r="O1847" i="4"/>
  <c r="K1847" i="4"/>
  <c r="J1847" i="4"/>
  <c r="I1847" i="4"/>
  <c r="G1847" i="4"/>
  <c r="F1847" i="4"/>
  <c r="E1847" i="4"/>
  <c r="D1847" i="4"/>
  <c r="C1847" i="4"/>
  <c r="O1846" i="4"/>
  <c r="K1846" i="4"/>
  <c r="J1846" i="4"/>
  <c r="I1846" i="4"/>
  <c r="G1846" i="4"/>
  <c r="F1846" i="4"/>
  <c r="E1846" i="4"/>
  <c r="D1846" i="4"/>
  <c r="C1846" i="4"/>
  <c r="O1845" i="4"/>
  <c r="K1845" i="4"/>
  <c r="J1845" i="4"/>
  <c r="I1845" i="4"/>
  <c r="G1845" i="4"/>
  <c r="F1845" i="4"/>
  <c r="E1845" i="4"/>
  <c r="D1845" i="4"/>
  <c r="C1845" i="4"/>
  <c r="O1844" i="4"/>
  <c r="K1844" i="4"/>
  <c r="J1844" i="4"/>
  <c r="I1844" i="4"/>
  <c r="G1844" i="4"/>
  <c r="F1844" i="4"/>
  <c r="E1844" i="4"/>
  <c r="D1844" i="4"/>
  <c r="C1844" i="4"/>
  <c r="O1843" i="4"/>
  <c r="K1843" i="4"/>
  <c r="J1843" i="4"/>
  <c r="I1843" i="4"/>
  <c r="G1843" i="4"/>
  <c r="F1843" i="4"/>
  <c r="E1843" i="4"/>
  <c r="D1843" i="4"/>
  <c r="C1843" i="4"/>
  <c r="O1842" i="4"/>
  <c r="K1842" i="4"/>
  <c r="J1842" i="4"/>
  <c r="I1842" i="4"/>
  <c r="G1842" i="4"/>
  <c r="F1842" i="4"/>
  <c r="E1842" i="4"/>
  <c r="D1842" i="4"/>
  <c r="C1842" i="4"/>
  <c r="O1841" i="4"/>
  <c r="K1841" i="4"/>
  <c r="J1841" i="4"/>
  <c r="I1841" i="4"/>
  <c r="G1841" i="4"/>
  <c r="F1841" i="4"/>
  <c r="E1841" i="4"/>
  <c r="D1841" i="4"/>
  <c r="C1841" i="4"/>
  <c r="O1840" i="4"/>
  <c r="K1840" i="4"/>
  <c r="J1840" i="4"/>
  <c r="I1840" i="4"/>
  <c r="G1840" i="4"/>
  <c r="F1840" i="4"/>
  <c r="E1840" i="4"/>
  <c r="D1840" i="4"/>
  <c r="C1840" i="4"/>
  <c r="O1839" i="4"/>
  <c r="K1839" i="4"/>
  <c r="J1839" i="4"/>
  <c r="I1839" i="4"/>
  <c r="G1839" i="4"/>
  <c r="F1839" i="4"/>
  <c r="E1839" i="4"/>
  <c r="D1839" i="4"/>
  <c r="C1839" i="4"/>
  <c r="O1838" i="4"/>
  <c r="K1838" i="4"/>
  <c r="J1838" i="4"/>
  <c r="I1838" i="4"/>
  <c r="G1838" i="4"/>
  <c r="F1838" i="4"/>
  <c r="E1838" i="4"/>
  <c r="D1838" i="4"/>
  <c r="C1838" i="4"/>
  <c r="O1837" i="4"/>
  <c r="K1837" i="4"/>
  <c r="J1837" i="4"/>
  <c r="I1837" i="4"/>
  <c r="G1837" i="4"/>
  <c r="F1837" i="4"/>
  <c r="E1837" i="4"/>
  <c r="D1837" i="4"/>
  <c r="C1837" i="4"/>
  <c r="O1836" i="4"/>
  <c r="K1836" i="4"/>
  <c r="J1836" i="4"/>
  <c r="I1836" i="4"/>
  <c r="G1836" i="4"/>
  <c r="F1836" i="4"/>
  <c r="E1836" i="4"/>
  <c r="D1836" i="4"/>
  <c r="C1836" i="4"/>
  <c r="O1835" i="4"/>
  <c r="K1835" i="4"/>
  <c r="J1835" i="4"/>
  <c r="I1835" i="4"/>
  <c r="G1835" i="4"/>
  <c r="F1835" i="4"/>
  <c r="E1835" i="4"/>
  <c r="D1835" i="4"/>
  <c r="C1835" i="4"/>
  <c r="O1834" i="4"/>
  <c r="K1834" i="4"/>
  <c r="J1834" i="4"/>
  <c r="I1834" i="4"/>
  <c r="G1834" i="4"/>
  <c r="F1834" i="4"/>
  <c r="E1834" i="4"/>
  <c r="D1834" i="4"/>
  <c r="C1834" i="4"/>
  <c r="O1833" i="4"/>
  <c r="K1833" i="4"/>
  <c r="J1833" i="4"/>
  <c r="I1833" i="4"/>
  <c r="G1833" i="4"/>
  <c r="F1833" i="4"/>
  <c r="E1833" i="4"/>
  <c r="D1833" i="4"/>
  <c r="C1833" i="4"/>
  <c r="O1832" i="4"/>
  <c r="K1832" i="4"/>
  <c r="J1832" i="4"/>
  <c r="I1832" i="4"/>
  <c r="G1832" i="4"/>
  <c r="F1832" i="4"/>
  <c r="E1832" i="4"/>
  <c r="D1832" i="4"/>
  <c r="C1832" i="4"/>
  <c r="O1831" i="4"/>
  <c r="K1831" i="4"/>
  <c r="J1831" i="4"/>
  <c r="I1831" i="4"/>
  <c r="G1831" i="4"/>
  <c r="F1831" i="4"/>
  <c r="E1831" i="4"/>
  <c r="D1831" i="4"/>
  <c r="C1831" i="4"/>
  <c r="O1830" i="4"/>
  <c r="K1830" i="4"/>
  <c r="J1830" i="4"/>
  <c r="I1830" i="4"/>
  <c r="G1830" i="4"/>
  <c r="F1830" i="4"/>
  <c r="E1830" i="4"/>
  <c r="D1830" i="4"/>
  <c r="C1830" i="4"/>
  <c r="O1829" i="4"/>
  <c r="K1829" i="4"/>
  <c r="J1829" i="4"/>
  <c r="I1829" i="4"/>
  <c r="G1829" i="4"/>
  <c r="F1829" i="4"/>
  <c r="E1829" i="4"/>
  <c r="D1829" i="4"/>
  <c r="C1829" i="4"/>
  <c r="O1828" i="4"/>
  <c r="K1828" i="4"/>
  <c r="J1828" i="4"/>
  <c r="I1828" i="4"/>
  <c r="G1828" i="4"/>
  <c r="F1828" i="4"/>
  <c r="E1828" i="4"/>
  <c r="D1828" i="4"/>
  <c r="C1828" i="4"/>
  <c r="O1827" i="4"/>
  <c r="K1827" i="4"/>
  <c r="J1827" i="4"/>
  <c r="I1827" i="4"/>
  <c r="G1827" i="4"/>
  <c r="F1827" i="4"/>
  <c r="E1827" i="4"/>
  <c r="D1827" i="4"/>
  <c r="C1827" i="4"/>
  <c r="O1826" i="4"/>
  <c r="K1826" i="4"/>
  <c r="J1826" i="4"/>
  <c r="I1826" i="4"/>
  <c r="G1826" i="4"/>
  <c r="F1826" i="4"/>
  <c r="E1826" i="4"/>
  <c r="D1826" i="4"/>
  <c r="C1826" i="4"/>
  <c r="O1825" i="4"/>
  <c r="K1825" i="4"/>
  <c r="J1825" i="4"/>
  <c r="I1825" i="4"/>
  <c r="G1825" i="4"/>
  <c r="F1825" i="4"/>
  <c r="E1825" i="4"/>
  <c r="D1825" i="4"/>
  <c r="C1825" i="4"/>
  <c r="O1824" i="4"/>
  <c r="K1824" i="4"/>
  <c r="J1824" i="4"/>
  <c r="I1824" i="4"/>
  <c r="G1824" i="4"/>
  <c r="F1824" i="4"/>
  <c r="E1824" i="4"/>
  <c r="D1824" i="4"/>
  <c r="C1824" i="4"/>
  <c r="O1823" i="4"/>
  <c r="K1823" i="4"/>
  <c r="J1823" i="4"/>
  <c r="I1823" i="4"/>
  <c r="G1823" i="4"/>
  <c r="F1823" i="4"/>
  <c r="E1823" i="4"/>
  <c r="D1823" i="4"/>
  <c r="C1823" i="4"/>
  <c r="O1822" i="4"/>
  <c r="K1822" i="4"/>
  <c r="J1822" i="4"/>
  <c r="I1822" i="4"/>
  <c r="G1822" i="4"/>
  <c r="F1822" i="4"/>
  <c r="E1822" i="4"/>
  <c r="D1822" i="4"/>
  <c r="C1822" i="4"/>
  <c r="O1821" i="4"/>
  <c r="K1821" i="4"/>
  <c r="J1821" i="4"/>
  <c r="I1821" i="4"/>
  <c r="G1821" i="4"/>
  <c r="F1821" i="4"/>
  <c r="E1821" i="4"/>
  <c r="D1821" i="4"/>
  <c r="C1821" i="4"/>
  <c r="O1820" i="4"/>
  <c r="K1820" i="4"/>
  <c r="J1820" i="4"/>
  <c r="I1820" i="4"/>
  <c r="G1820" i="4"/>
  <c r="F1820" i="4"/>
  <c r="E1820" i="4"/>
  <c r="D1820" i="4"/>
  <c r="C1820" i="4"/>
  <c r="O1819" i="4"/>
  <c r="K1819" i="4"/>
  <c r="J1819" i="4"/>
  <c r="I1819" i="4"/>
  <c r="G1819" i="4"/>
  <c r="O1818" i="4"/>
  <c r="K1818" i="4"/>
  <c r="J1818" i="4"/>
  <c r="I1818" i="4"/>
  <c r="O1816" i="4"/>
  <c r="K1816" i="4"/>
  <c r="J1816" i="4"/>
  <c r="I1816" i="4"/>
  <c r="G1816" i="4"/>
  <c r="O1815" i="4"/>
  <c r="K1815" i="4"/>
  <c r="J1815" i="4"/>
  <c r="I1815" i="4"/>
  <c r="G1815" i="4"/>
  <c r="O1814" i="4"/>
  <c r="K1814" i="4"/>
  <c r="J1814" i="4"/>
  <c r="I1814" i="4"/>
  <c r="G1814" i="4"/>
  <c r="O1813" i="4"/>
  <c r="K1813" i="4"/>
  <c r="J1813" i="4"/>
  <c r="I1813" i="4"/>
  <c r="K1812" i="4"/>
  <c r="J1812" i="4"/>
  <c r="I1812" i="4"/>
  <c r="G1812" i="4"/>
  <c r="F1812" i="4"/>
  <c r="E1812" i="4"/>
  <c r="D1812" i="4"/>
  <c r="C1812" i="4"/>
  <c r="O1811" i="4"/>
  <c r="K1811" i="4"/>
  <c r="J1811" i="4"/>
  <c r="I1811" i="4"/>
  <c r="G1811" i="4"/>
  <c r="O1810" i="4"/>
  <c r="K1810" i="4"/>
  <c r="J1810" i="4"/>
  <c r="I1810" i="4"/>
  <c r="K1808" i="4"/>
  <c r="J1808" i="4"/>
  <c r="I1808" i="4"/>
  <c r="F1808" i="4"/>
  <c r="E1808" i="4"/>
  <c r="D1808" i="4"/>
  <c r="C1808" i="4"/>
  <c r="K1806" i="4"/>
  <c r="J1806" i="4"/>
  <c r="I1806" i="4"/>
  <c r="F1806" i="4"/>
  <c r="E1806" i="4"/>
  <c r="D1806" i="4"/>
  <c r="C1806" i="4"/>
  <c r="O1803" i="4"/>
  <c r="K1803" i="4"/>
  <c r="J1803" i="4"/>
  <c r="I1803" i="4"/>
  <c r="K1802" i="4"/>
  <c r="J1802" i="4"/>
  <c r="I1802" i="4"/>
  <c r="F1802" i="4"/>
  <c r="E1802" i="4"/>
  <c r="D1802" i="4"/>
  <c r="C1802" i="4"/>
  <c r="O1800" i="4"/>
  <c r="K1800" i="4"/>
  <c r="J1800" i="4"/>
  <c r="I1800" i="4"/>
  <c r="G1800" i="4"/>
  <c r="O1799" i="4"/>
  <c r="K1799" i="4"/>
  <c r="J1799" i="4"/>
  <c r="I1799" i="4"/>
  <c r="G1799" i="4"/>
  <c r="O1798" i="4"/>
  <c r="K1798" i="4"/>
  <c r="J1798" i="4"/>
  <c r="I1798" i="4"/>
  <c r="G1798" i="4"/>
  <c r="O1797" i="4"/>
  <c r="K1797" i="4"/>
  <c r="J1797" i="4"/>
  <c r="I1797" i="4"/>
  <c r="G1797" i="4"/>
  <c r="K1796" i="4"/>
  <c r="I1796" i="4"/>
  <c r="G1796" i="4"/>
  <c r="F1796" i="4"/>
  <c r="E1796" i="4"/>
  <c r="D1796" i="4"/>
  <c r="C1796" i="4"/>
  <c r="K1795" i="4"/>
  <c r="J1795" i="4"/>
  <c r="I1795" i="4"/>
  <c r="E1795" i="4"/>
  <c r="D1795" i="4"/>
  <c r="C1795" i="4"/>
  <c r="K1790" i="4"/>
  <c r="J1790" i="4"/>
  <c r="I1790" i="4"/>
  <c r="G1790" i="4"/>
  <c r="F1790" i="4"/>
  <c r="E1790" i="4"/>
  <c r="D1790" i="4"/>
  <c r="C1790" i="4"/>
  <c r="O1788" i="4"/>
  <c r="K1788" i="4"/>
  <c r="J1788" i="4"/>
  <c r="I1788" i="4"/>
  <c r="G1788" i="4"/>
  <c r="O1784" i="4"/>
  <c r="K1784" i="4"/>
  <c r="J1784" i="4"/>
  <c r="I1784" i="4"/>
  <c r="G1784" i="4"/>
  <c r="O1783" i="4"/>
  <c r="K1783" i="4"/>
  <c r="J1783" i="4"/>
  <c r="I1783" i="4"/>
  <c r="G1783" i="4"/>
  <c r="O1782" i="4"/>
  <c r="K1782" i="4"/>
  <c r="J1782" i="4"/>
  <c r="I1782" i="4"/>
  <c r="G1782" i="4"/>
  <c r="O1780" i="4"/>
  <c r="K1780" i="4"/>
  <c r="J1780" i="4"/>
  <c r="I1780" i="4"/>
  <c r="G1780" i="4"/>
  <c r="K1779" i="4"/>
  <c r="J1779" i="4"/>
  <c r="I1779" i="4"/>
  <c r="F1779" i="4"/>
  <c r="E1779" i="4"/>
  <c r="D1779" i="4"/>
  <c r="C1779" i="4"/>
  <c r="O1778" i="4"/>
  <c r="K1778" i="4"/>
  <c r="J1778" i="4"/>
  <c r="I1778" i="4"/>
  <c r="G1778" i="4"/>
  <c r="O1777" i="4"/>
  <c r="K1777" i="4"/>
  <c r="J1777" i="4"/>
  <c r="I1777" i="4"/>
  <c r="G1777" i="4"/>
  <c r="K1776" i="4"/>
  <c r="J1776" i="4"/>
  <c r="I1776" i="4"/>
  <c r="F1776" i="4"/>
  <c r="E1776" i="4"/>
  <c r="D1776" i="4"/>
  <c r="C1776" i="4"/>
  <c r="K1775" i="4"/>
  <c r="J1775" i="4"/>
  <c r="I1775" i="4"/>
  <c r="G1775" i="4"/>
  <c r="F1775" i="4"/>
  <c r="E1775" i="4"/>
  <c r="D1775" i="4"/>
  <c r="C1775" i="4"/>
  <c r="K1774" i="4"/>
  <c r="J1774" i="4"/>
  <c r="I1774" i="4"/>
  <c r="G1774" i="4"/>
  <c r="F1774" i="4"/>
  <c r="E1774" i="4"/>
  <c r="D1774" i="4"/>
  <c r="C1774" i="4"/>
  <c r="K1773" i="4"/>
  <c r="J1773" i="4"/>
  <c r="I1773" i="4"/>
  <c r="G1773" i="4"/>
  <c r="F1773" i="4"/>
  <c r="E1773" i="4"/>
  <c r="D1773" i="4"/>
  <c r="C1773" i="4"/>
  <c r="K1772" i="4"/>
  <c r="J1772" i="4"/>
  <c r="I1772" i="4"/>
  <c r="G1772" i="4"/>
  <c r="F1772" i="4"/>
  <c r="E1772" i="4"/>
  <c r="D1772" i="4"/>
  <c r="C1772" i="4"/>
  <c r="O1771" i="4"/>
  <c r="K1771" i="4"/>
  <c r="J1771" i="4"/>
  <c r="G1771" i="4"/>
  <c r="O1769" i="4"/>
  <c r="K1769" i="4"/>
  <c r="J1769" i="4"/>
  <c r="I1769" i="4"/>
  <c r="G1769" i="4"/>
  <c r="O1768" i="4"/>
  <c r="K1768" i="4"/>
  <c r="J1768" i="4"/>
  <c r="I1768" i="4"/>
  <c r="G1768" i="4"/>
  <c r="K1767" i="4"/>
  <c r="J1767" i="4"/>
  <c r="I1767" i="4"/>
  <c r="G1767" i="4"/>
  <c r="F1767" i="4"/>
  <c r="E1767" i="4"/>
  <c r="D1767" i="4"/>
  <c r="C1767" i="4"/>
  <c r="O1766" i="4"/>
  <c r="K1766" i="4"/>
  <c r="J1766" i="4"/>
  <c r="I1766" i="4"/>
  <c r="G1766" i="4"/>
  <c r="O1765" i="4"/>
  <c r="K1765" i="4"/>
  <c r="J1765" i="4"/>
  <c r="I1765" i="4"/>
  <c r="G1765" i="4"/>
  <c r="O1764" i="4"/>
  <c r="K1764" i="4"/>
  <c r="J1764" i="4"/>
  <c r="I1764" i="4"/>
  <c r="G1764" i="4"/>
  <c r="K1763" i="4"/>
  <c r="J1763" i="4"/>
  <c r="I1763" i="4"/>
  <c r="G1763" i="4"/>
  <c r="F1763" i="4"/>
  <c r="E1763" i="4"/>
  <c r="D1763" i="4"/>
  <c r="C1763" i="4"/>
  <c r="K1761" i="4"/>
  <c r="J1761" i="4"/>
  <c r="I1761" i="4"/>
  <c r="G1761" i="4"/>
  <c r="F1761" i="4"/>
  <c r="E1761" i="4"/>
  <c r="D1761" i="4"/>
  <c r="C1761" i="4"/>
  <c r="K1760" i="4"/>
  <c r="J1760" i="4"/>
  <c r="I1760" i="4"/>
  <c r="G1760" i="4"/>
  <c r="F1760" i="4"/>
  <c r="E1760" i="4"/>
  <c r="C1760" i="4"/>
  <c r="O1758" i="4"/>
  <c r="K1758" i="4"/>
  <c r="J1758" i="4"/>
  <c r="I1758" i="4"/>
  <c r="G1758" i="4"/>
  <c r="O1757" i="4"/>
  <c r="K1757" i="4"/>
  <c r="J1757" i="4"/>
  <c r="I1757" i="4"/>
  <c r="G1757" i="4"/>
  <c r="O1756" i="4"/>
  <c r="K1756" i="4"/>
  <c r="J1756" i="4"/>
  <c r="I1756" i="4"/>
  <c r="G1756" i="4"/>
  <c r="O1755" i="4"/>
  <c r="K1755" i="4"/>
  <c r="J1755" i="4"/>
  <c r="I1755" i="4"/>
  <c r="K1754" i="4"/>
  <c r="J1754" i="4"/>
  <c r="I1754" i="4"/>
  <c r="G1754" i="4"/>
  <c r="F1754" i="4"/>
  <c r="E1754" i="4"/>
  <c r="D1754" i="4"/>
  <c r="C1754" i="4"/>
  <c r="K1753" i="4"/>
  <c r="J1753" i="4"/>
  <c r="I1753" i="4"/>
  <c r="G1753" i="4"/>
  <c r="F1753" i="4"/>
  <c r="E1753" i="4"/>
  <c r="D1753" i="4"/>
  <c r="C1753" i="4"/>
  <c r="O1752" i="4"/>
  <c r="K1752" i="4"/>
  <c r="J1752" i="4"/>
  <c r="I1752" i="4"/>
  <c r="G1752" i="4"/>
  <c r="O1751" i="4"/>
  <c r="K1751" i="4"/>
  <c r="J1751" i="4"/>
  <c r="I1751" i="4"/>
  <c r="G1751" i="4"/>
  <c r="O1750" i="4"/>
  <c r="K1750" i="4"/>
  <c r="J1750" i="4"/>
  <c r="I1750" i="4"/>
  <c r="G1750" i="4"/>
  <c r="O1749" i="4"/>
  <c r="K1749" i="4"/>
  <c r="J1749" i="4"/>
  <c r="I1749" i="4"/>
  <c r="G1749" i="4"/>
  <c r="O1748" i="4"/>
  <c r="K1748" i="4"/>
  <c r="J1748" i="4"/>
  <c r="I1748" i="4"/>
  <c r="K1747" i="4"/>
  <c r="J1747" i="4"/>
  <c r="I1747" i="4"/>
  <c r="G1747" i="4"/>
  <c r="F1747" i="4"/>
  <c r="E1747" i="4"/>
  <c r="D1747" i="4"/>
  <c r="C1747" i="4"/>
  <c r="O1745" i="4"/>
  <c r="K1745" i="4"/>
  <c r="J1745" i="4"/>
  <c r="I1745" i="4"/>
  <c r="G1745" i="4"/>
  <c r="O1744" i="4"/>
  <c r="K1744" i="4"/>
  <c r="J1744" i="4"/>
  <c r="I1744" i="4"/>
  <c r="K1743" i="4"/>
  <c r="J1743" i="4"/>
  <c r="I1743" i="4"/>
  <c r="F1743" i="4"/>
  <c r="E1743" i="4"/>
  <c r="D1743" i="4"/>
  <c r="C1743" i="4"/>
  <c r="O1742" i="4"/>
  <c r="K1742" i="4"/>
  <c r="J1742" i="4"/>
  <c r="I1742" i="4"/>
  <c r="G1742" i="4"/>
  <c r="O1741" i="4"/>
  <c r="K1741" i="4"/>
  <c r="J1741" i="4"/>
  <c r="I1741" i="4"/>
  <c r="K1740" i="4"/>
  <c r="J1740" i="4"/>
  <c r="I1740" i="4"/>
  <c r="G1740" i="4"/>
  <c r="F1740" i="4"/>
  <c r="E1740" i="4"/>
  <c r="D1740" i="4"/>
  <c r="C1740" i="4"/>
  <c r="O1739" i="4"/>
  <c r="K1739" i="4"/>
  <c r="J1739" i="4"/>
  <c r="I1739" i="4"/>
  <c r="G1739" i="4"/>
  <c r="O1738" i="4"/>
  <c r="K1738" i="4"/>
  <c r="J1738" i="4"/>
  <c r="I1738" i="4"/>
  <c r="G1738" i="4"/>
  <c r="O1737" i="4"/>
  <c r="K1737" i="4"/>
  <c r="J1737" i="4"/>
  <c r="I1737" i="4"/>
  <c r="G1737" i="4"/>
  <c r="O1736" i="4"/>
  <c r="K1736" i="4"/>
  <c r="J1736" i="4"/>
  <c r="I1736" i="4"/>
  <c r="K1735" i="4"/>
  <c r="J1735" i="4"/>
  <c r="I1735" i="4"/>
  <c r="G1735" i="4"/>
  <c r="F1735" i="4"/>
  <c r="E1735" i="4"/>
  <c r="D1735" i="4"/>
  <c r="C1735" i="4"/>
  <c r="K1734" i="4"/>
  <c r="J1734" i="4"/>
  <c r="I1734" i="4"/>
  <c r="G1734" i="4"/>
  <c r="F1734" i="4"/>
  <c r="E1734" i="4"/>
  <c r="D1734" i="4"/>
  <c r="C1734" i="4"/>
  <c r="O1733" i="4"/>
  <c r="K1733" i="4"/>
  <c r="J1733" i="4"/>
  <c r="I1733" i="4"/>
  <c r="G1733" i="4"/>
  <c r="O1732" i="4"/>
  <c r="K1732" i="4"/>
  <c r="J1732" i="4"/>
  <c r="I1732" i="4"/>
  <c r="G1732" i="4"/>
  <c r="O1731" i="4"/>
  <c r="K1731" i="4"/>
  <c r="J1731" i="4"/>
  <c r="I1731" i="4"/>
  <c r="G1731" i="4"/>
  <c r="O1730" i="4"/>
  <c r="K1730" i="4"/>
  <c r="J1730" i="4"/>
  <c r="I1730" i="4"/>
  <c r="K1729" i="4"/>
  <c r="J1729" i="4"/>
  <c r="I1729" i="4"/>
  <c r="G1729" i="4"/>
  <c r="F1729" i="4"/>
  <c r="E1729" i="4"/>
  <c r="D1729" i="4"/>
  <c r="C1729" i="4"/>
  <c r="O1728" i="4"/>
  <c r="K1728" i="4"/>
  <c r="J1728" i="4"/>
  <c r="I1728" i="4"/>
  <c r="G1728" i="4"/>
  <c r="O1727" i="4"/>
  <c r="K1727" i="4"/>
  <c r="J1727" i="4"/>
  <c r="I1727" i="4"/>
  <c r="G1727" i="4"/>
  <c r="O1726" i="4"/>
  <c r="K1726" i="4"/>
  <c r="J1726" i="4"/>
  <c r="I1726" i="4"/>
  <c r="K1725" i="4"/>
  <c r="J1725" i="4"/>
  <c r="I1725" i="4"/>
  <c r="G1725" i="4"/>
  <c r="F1725" i="4"/>
  <c r="E1725" i="4"/>
  <c r="D1725" i="4"/>
  <c r="C1725" i="4"/>
  <c r="O1724" i="4"/>
  <c r="K1724" i="4"/>
  <c r="J1724" i="4"/>
  <c r="I1724" i="4"/>
  <c r="G1724" i="4"/>
  <c r="O1723" i="4"/>
  <c r="K1723" i="4"/>
  <c r="J1723" i="4"/>
  <c r="I1723" i="4"/>
  <c r="G1723" i="4"/>
  <c r="O1722" i="4"/>
  <c r="K1722" i="4"/>
  <c r="J1722" i="4"/>
  <c r="I1722" i="4"/>
  <c r="K1721" i="4"/>
  <c r="J1721" i="4"/>
  <c r="I1721" i="4"/>
  <c r="G1721" i="4"/>
  <c r="F1721" i="4"/>
  <c r="E1721" i="4"/>
  <c r="D1721" i="4"/>
  <c r="C1721" i="4"/>
  <c r="O1720" i="4"/>
  <c r="K1720" i="4"/>
  <c r="J1720" i="4"/>
  <c r="I1720" i="4"/>
  <c r="G1720" i="4"/>
  <c r="O1719" i="4"/>
  <c r="K1719" i="4"/>
  <c r="J1719" i="4"/>
  <c r="I1719" i="4"/>
  <c r="G1719" i="4"/>
  <c r="O1718" i="4"/>
  <c r="K1718" i="4"/>
  <c r="J1718" i="4"/>
  <c r="I1718" i="4"/>
  <c r="K1717" i="4"/>
  <c r="J1717" i="4"/>
  <c r="I1717" i="4"/>
  <c r="G1717" i="4"/>
  <c r="F1717" i="4"/>
  <c r="E1717" i="4"/>
  <c r="D1717" i="4"/>
  <c r="C1717" i="4"/>
  <c r="O1716" i="4"/>
  <c r="K1716" i="4"/>
  <c r="J1716" i="4"/>
  <c r="I1716" i="4"/>
  <c r="G1716" i="4"/>
  <c r="O1715" i="4"/>
  <c r="K1715" i="4"/>
  <c r="J1715" i="4"/>
  <c r="I1715" i="4"/>
  <c r="G1715" i="4"/>
  <c r="O1714" i="4"/>
  <c r="K1714" i="4"/>
  <c r="J1714" i="4"/>
  <c r="I1714" i="4"/>
  <c r="K1713" i="4"/>
  <c r="J1713" i="4"/>
  <c r="I1713" i="4"/>
  <c r="G1713" i="4"/>
  <c r="F1713" i="4"/>
  <c r="E1713" i="4"/>
  <c r="D1713" i="4"/>
  <c r="C1713" i="4"/>
  <c r="O1712" i="4"/>
  <c r="K1712" i="4"/>
  <c r="J1712" i="4"/>
  <c r="I1712" i="4"/>
  <c r="G1712" i="4"/>
  <c r="O1711" i="4"/>
  <c r="K1711" i="4"/>
  <c r="J1711" i="4"/>
  <c r="I1711" i="4"/>
  <c r="G1711" i="4"/>
  <c r="O1710" i="4"/>
  <c r="K1710" i="4"/>
  <c r="J1710" i="4"/>
  <c r="I1710" i="4"/>
  <c r="K1709" i="4"/>
  <c r="J1709" i="4"/>
  <c r="I1709" i="4"/>
  <c r="G1709" i="4"/>
  <c r="F1709" i="4"/>
  <c r="E1709" i="4"/>
  <c r="D1709" i="4"/>
  <c r="C1709" i="4"/>
  <c r="O1708" i="4"/>
  <c r="K1708" i="4"/>
  <c r="J1708" i="4"/>
  <c r="I1708" i="4"/>
  <c r="G1708" i="4"/>
  <c r="O1707" i="4"/>
  <c r="K1707" i="4"/>
  <c r="J1707" i="4"/>
  <c r="I1707" i="4"/>
  <c r="G1707" i="4"/>
  <c r="O1706" i="4"/>
  <c r="K1706" i="4"/>
  <c r="J1706" i="4"/>
  <c r="I1706" i="4"/>
  <c r="K1705" i="4"/>
  <c r="J1705" i="4"/>
  <c r="I1705" i="4"/>
  <c r="G1705" i="4"/>
  <c r="F1705" i="4"/>
  <c r="E1705" i="4"/>
  <c r="D1705" i="4"/>
  <c r="C1705" i="4"/>
  <c r="O1704" i="4"/>
  <c r="K1704" i="4"/>
  <c r="J1704" i="4"/>
  <c r="I1704" i="4"/>
  <c r="G1704" i="4"/>
  <c r="O1703" i="4"/>
  <c r="K1703" i="4"/>
  <c r="J1703" i="4"/>
  <c r="I1703" i="4"/>
  <c r="G1703" i="4"/>
  <c r="O1702" i="4"/>
  <c r="K1702" i="4"/>
  <c r="J1702" i="4"/>
  <c r="I1702" i="4"/>
  <c r="G1702" i="4"/>
  <c r="O1701" i="4"/>
  <c r="K1701" i="4"/>
  <c r="J1701" i="4"/>
  <c r="I1701" i="4"/>
  <c r="K1700" i="4"/>
  <c r="J1700" i="4"/>
  <c r="I1700" i="4"/>
  <c r="G1700" i="4"/>
  <c r="F1700" i="4"/>
  <c r="E1700" i="4"/>
  <c r="D1700" i="4"/>
  <c r="C1700" i="4"/>
  <c r="O1699" i="4"/>
  <c r="K1699" i="4"/>
  <c r="J1699" i="4"/>
  <c r="I1699" i="4"/>
  <c r="G1699" i="4"/>
  <c r="O1698" i="4"/>
  <c r="K1698" i="4"/>
  <c r="J1698" i="4"/>
  <c r="I1698" i="4"/>
  <c r="G1698" i="4"/>
  <c r="O1697" i="4"/>
  <c r="K1697" i="4"/>
  <c r="J1697" i="4"/>
  <c r="I1697" i="4"/>
  <c r="G1697" i="4"/>
  <c r="O1696" i="4"/>
  <c r="K1696" i="4"/>
  <c r="J1696" i="4"/>
  <c r="I1696" i="4"/>
  <c r="K1695" i="4"/>
  <c r="J1695" i="4"/>
  <c r="I1695" i="4"/>
  <c r="G1695" i="4"/>
  <c r="F1695" i="4"/>
  <c r="E1695" i="4"/>
  <c r="D1695" i="4"/>
  <c r="C1695" i="4"/>
  <c r="K1693" i="4"/>
  <c r="J1693" i="4"/>
  <c r="I1693" i="4"/>
  <c r="G1693" i="4"/>
  <c r="F1693" i="4"/>
  <c r="E1693" i="4"/>
  <c r="D1693" i="4"/>
  <c r="C1693" i="4"/>
  <c r="K1692" i="4"/>
  <c r="J1692" i="4"/>
  <c r="I1692" i="4"/>
  <c r="G1692" i="4"/>
  <c r="F1692" i="4"/>
  <c r="E1692" i="4"/>
  <c r="D1692" i="4"/>
  <c r="C1692" i="4"/>
  <c r="O1691" i="4"/>
  <c r="K1691" i="4"/>
  <c r="J1691" i="4"/>
  <c r="I1691" i="4"/>
  <c r="G1691" i="4"/>
  <c r="O1690" i="4"/>
  <c r="K1690" i="4"/>
  <c r="J1690" i="4"/>
  <c r="I1690" i="4"/>
  <c r="G1690" i="4"/>
  <c r="O1689" i="4"/>
  <c r="K1689" i="4"/>
  <c r="J1689" i="4"/>
  <c r="I1689" i="4"/>
  <c r="G1689" i="4"/>
  <c r="O1688" i="4"/>
  <c r="K1688" i="4"/>
  <c r="J1688" i="4"/>
  <c r="I1688" i="4"/>
  <c r="K1687" i="4"/>
  <c r="J1687" i="4"/>
  <c r="I1687" i="4"/>
  <c r="G1687" i="4"/>
  <c r="F1687" i="4"/>
  <c r="E1687" i="4"/>
  <c r="D1687" i="4"/>
  <c r="C1687" i="4"/>
  <c r="O1686" i="4"/>
  <c r="K1686" i="4"/>
  <c r="J1686" i="4"/>
  <c r="I1686" i="4"/>
  <c r="G1686" i="4"/>
  <c r="O1685" i="4"/>
  <c r="K1685" i="4"/>
  <c r="J1685" i="4"/>
  <c r="I1685" i="4"/>
  <c r="G1685" i="4"/>
  <c r="O1684" i="4"/>
  <c r="K1684" i="4"/>
  <c r="J1684" i="4"/>
  <c r="I1684" i="4"/>
  <c r="G1684" i="4"/>
  <c r="O1683" i="4"/>
  <c r="K1683" i="4"/>
  <c r="J1683" i="4"/>
  <c r="I1683" i="4"/>
  <c r="K1682" i="4"/>
  <c r="J1682" i="4"/>
  <c r="I1682" i="4"/>
  <c r="G1682" i="4"/>
  <c r="F1682" i="4"/>
  <c r="E1682" i="4"/>
  <c r="D1682" i="4"/>
  <c r="C1682" i="4"/>
  <c r="O1681" i="4"/>
  <c r="K1681" i="4"/>
  <c r="J1681" i="4"/>
  <c r="I1681" i="4"/>
  <c r="G1681" i="4"/>
  <c r="O1680" i="4"/>
  <c r="K1680" i="4"/>
  <c r="J1680" i="4"/>
  <c r="I1680" i="4"/>
  <c r="G1680" i="4"/>
  <c r="O1679" i="4"/>
  <c r="K1679" i="4"/>
  <c r="J1679" i="4"/>
  <c r="I1679" i="4"/>
  <c r="G1679" i="4"/>
  <c r="O1678" i="4"/>
  <c r="K1678" i="4"/>
  <c r="J1678" i="4"/>
  <c r="I1678" i="4"/>
  <c r="G1678" i="4"/>
  <c r="O1677" i="4"/>
  <c r="K1677" i="4"/>
  <c r="J1677" i="4"/>
  <c r="I1677" i="4"/>
  <c r="K1676" i="4"/>
  <c r="J1676" i="4"/>
  <c r="I1676" i="4"/>
  <c r="G1676" i="4"/>
  <c r="F1676" i="4"/>
  <c r="E1676" i="4"/>
  <c r="D1676" i="4"/>
  <c r="C1676" i="4"/>
  <c r="O1675" i="4"/>
  <c r="K1675" i="4"/>
  <c r="J1675" i="4"/>
  <c r="I1675" i="4"/>
  <c r="G1675" i="4"/>
  <c r="O1674" i="4"/>
  <c r="K1674" i="4"/>
  <c r="J1674" i="4"/>
  <c r="I1674" i="4"/>
  <c r="G1674" i="4"/>
  <c r="O1673" i="4"/>
  <c r="K1673" i="4"/>
  <c r="J1673" i="4"/>
  <c r="I1673" i="4"/>
  <c r="G1673" i="4"/>
  <c r="O1672" i="4"/>
  <c r="K1672" i="4"/>
  <c r="J1672" i="4"/>
  <c r="I1672" i="4"/>
  <c r="G1672" i="4"/>
  <c r="O1671" i="4"/>
  <c r="K1671" i="4"/>
  <c r="J1671" i="4"/>
  <c r="I1671" i="4"/>
  <c r="C1671" i="4"/>
  <c r="O1670" i="4"/>
  <c r="I1670" i="4"/>
  <c r="O1669" i="4"/>
  <c r="I1669" i="4"/>
  <c r="K1668" i="4"/>
  <c r="J1668" i="4"/>
  <c r="I1668" i="4"/>
  <c r="E1668" i="4"/>
  <c r="D1668" i="4"/>
  <c r="C1668" i="4"/>
  <c r="O1667" i="4"/>
  <c r="K1667" i="4"/>
  <c r="J1667" i="4"/>
  <c r="I1667" i="4"/>
  <c r="G1667" i="4"/>
  <c r="O1666" i="4"/>
  <c r="K1666" i="4"/>
  <c r="J1666" i="4"/>
  <c r="I1666" i="4"/>
  <c r="G1666" i="4"/>
  <c r="O1665" i="4"/>
  <c r="K1665" i="4"/>
  <c r="J1665" i="4"/>
  <c r="I1665" i="4"/>
  <c r="G1665" i="4"/>
  <c r="O1664" i="4"/>
  <c r="K1664" i="4"/>
  <c r="J1664" i="4"/>
  <c r="I1664" i="4"/>
  <c r="K1663" i="4"/>
  <c r="J1663" i="4"/>
  <c r="I1663" i="4"/>
  <c r="G1663" i="4"/>
  <c r="F1663" i="4"/>
  <c r="E1663" i="4"/>
  <c r="D1663" i="4"/>
  <c r="C1663" i="4"/>
  <c r="K1662" i="4"/>
  <c r="J1662" i="4"/>
  <c r="I1662" i="4"/>
  <c r="G1662" i="4"/>
  <c r="F1662" i="4"/>
  <c r="E1662" i="4"/>
  <c r="D1662" i="4"/>
  <c r="C1662" i="4"/>
  <c r="K1661" i="4"/>
  <c r="J1661" i="4"/>
  <c r="I1661" i="4"/>
  <c r="G1661" i="4"/>
  <c r="F1661" i="4"/>
  <c r="E1661" i="4"/>
  <c r="D1661" i="4"/>
  <c r="C1661" i="4"/>
  <c r="K1660" i="4"/>
  <c r="J1660" i="4"/>
  <c r="I1660" i="4"/>
  <c r="G1660" i="4"/>
  <c r="F1660" i="4"/>
  <c r="E1660" i="4"/>
  <c r="D1660" i="4"/>
  <c r="C1660" i="4"/>
  <c r="K1659" i="4"/>
  <c r="J1659" i="4"/>
  <c r="I1659" i="4"/>
  <c r="G1659" i="4"/>
  <c r="F1659" i="4"/>
  <c r="E1659" i="4"/>
  <c r="D1659" i="4"/>
  <c r="C1659" i="4"/>
  <c r="O1658" i="4"/>
  <c r="K1658" i="4"/>
  <c r="J1658" i="4"/>
  <c r="I1658" i="4"/>
  <c r="G1658" i="4"/>
  <c r="O1657" i="4"/>
  <c r="K1657" i="4"/>
  <c r="J1657" i="4"/>
  <c r="I1657" i="4"/>
  <c r="G1657" i="4"/>
  <c r="O1656" i="4"/>
  <c r="K1656" i="4"/>
  <c r="J1656" i="4"/>
  <c r="I1656" i="4"/>
  <c r="K1655" i="4"/>
  <c r="J1655" i="4"/>
  <c r="I1655" i="4"/>
  <c r="G1655" i="4"/>
  <c r="F1655" i="4"/>
  <c r="E1655" i="4"/>
  <c r="D1655" i="4"/>
  <c r="C1655" i="4"/>
  <c r="K1654" i="4"/>
  <c r="J1654" i="4"/>
  <c r="I1654" i="4"/>
  <c r="G1654" i="4"/>
  <c r="F1654" i="4"/>
  <c r="E1654" i="4"/>
  <c r="D1654" i="4"/>
  <c r="C1654" i="4"/>
  <c r="K1653" i="4"/>
  <c r="J1653" i="4"/>
  <c r="I1653" i="4"/>
  <c r="G1653" i="4"/>
  <c r="F1653" i="4"/>
  <c r="E1653" i="4"/>
  <c r="D1653" i="4"/>
  <c r="C1653" i="4"/>
  <c r="K1652" i="4"/>
  <c r="J1652" i="4"/>
  <c r="I1652" i="4"/>
  <c r="G1652" i="4"/>
  <c r="F1652" i="4"/>
  <c r="E1652" i="4"/>
  <c r="D1652" i="4"/>
  <c r="C1652" i="4"/>
  <c r="K1651" i="4"/>
  <c r="J1651" i="4"/>
  <c r="I1651" i="4"/>
  <c r="G1651" i="4"/>
  <c r="F1651" i="4"/>
  <c r="E1651" i="4"/>
  <c r="D1651" i="4"/>
  <c r="C1651" i="4"/>
  <c r="K1650" i="4"/>
  <c r="J1650" i="4"/>
  <c r="I1650" i="4"/>
  <c r="G1650" i="4"/>
  <c r="F1650" i="4"/>
  <c r="E1650" i="4"/>
  <c r="D1650" i="4"/>
  <c r="C1650" i="4"/>
  <c r="K1649" i="4"/>
  <c r="J1649" i="4"/>
  <c r="I1649" i="4"/>
  <c r="G1649" i="4"/>
  <c r="F1649" i="4"/>
  <c r="E1649" i="4"/>
  <c r="D1649" i="4"/>
  <c r="C1649" i="4"/>
  <c r="K1648" i="4"/>
  <c r="J1648" i="4"/>
  <c r="I1648" i="4"/>
  <c r="G1648" i="4"/>
  <c r="F1648" i="4"/>
  <c r="E1648" i="4"/>
  <c r="D1648" i="4"/>
  <c r="C1648" i="4"/>
  <c r="K1647" i="4"/>
  <c r="J1647" i="4"/>
  <c r="I1647" i="4"/>
  <c r="G1647" i="4"/>
  <c r="F1647" i="4"/>
  <c r="E1647" i="4"/>
  <c r="D1647" i="4"/>
  <c r="C1647" i="4"/>
  <c r="K1646" i="4"/>
  <c r="J1646" i="4"/>
  <c r="I1646" i="4"/>
  <c r="G1646" i="4"/>
  <c r="F1646" i="4"/>
  <c r="E1646" i="4"/>
  <c r="D1646" i="4"/>
  <c r="C1646" i="4"/>
  <c r="K1645" i="4"/>
  <c r="J1645" i="4"/>
  <c r="I1645" i="4"/>
  <c r="G1645" i="4"/>
  <c r="F1645" i="4"/>
  <c r="E1645" i="4"/>
  <c r="D1645" i="4"/>
  <c r="C1645" i="4"/>
  <c r="K1644" i="4"/>
  <c r="J1644" i="4"/>
  <c r="I1644" i="4"/>
  <c r="G1644" i="4"/>
  <c r="F1644" i="4"/>
  <c r="E1644" i="4"/>
  <c r="D1644" i="4"/>
  <c r="C1644" i="4"/>
  <c r="K1643" i="4"/>
  <c r="J1643" i="4"/>
  <c r="I1643" i="4"/>
  <c r="G1643" i="4"/>
  <c r="F1643" i="4"/>
  <c r="E1643" i="4"/>
  <c r="D1643" i="4"/>
  <c r="C1643" i="4"/>
  <c r="K1642" i="4"/>
  <c r="J1642" i="4"/>
  <c r="I1642" i="4"/>
  <c r="G1642" i="4"/>
  <c r="F1642" i="4"/>
  <c r="E1642" i="4"/>
  <c r="D1642" i="4"/>
  <c r="C1642" i="4"/>
  <c r="O1640" i="4"/>
  <c r="K1640" i="4"/>
  <c r="J1640" i="4"/>
  <c r="I1640" i="4"/>
  <c r="G1640" i="4"/>
  <c r="O1639" i="4"/>
  <c r="K1639" i="4"/>
  <c r="J1639" i="4"/>
  <c r="I1639" i="4"/>
  <c r="K1638" i="4"/>
  <c r="J1638" i="4"/>
  <c r="I1638" i="4"/>
  <c r="G1638" i="4"/>
  <c r="F1638" i="4"/>
  <c r="E1638" i="4"/>
  <c r="D1638" i="4"/>
  <c r="C1638" i="4"/>
  <c r="K1637" i="4"/>
  <c r="J1637" i="4"/>
  <c r="I1637" i="4"/>
  <c r="G1637" i="4"/>
  <c r="F1637" i="4"/>
  <c r="E1637" i="4"/>
  <c r="D1637" i="4"/>
  <c r="C1637" i="4"/>
  <c r="K1636" i="4"/>
  <c r="J1636" i="4"/>
  <c r="I1636" i="4"/>
  <c r="G1636" i="4"/>
  <c r="F1636" i="4"/>
  <c r="E1636" i="4"/>
  <c r="D1636" i="4"/>
  <c r="C1636" i="4"/>
  <c r="K1635" i="4"/>
  <c r="J1635" i="4"/>
  <c r="I1635" i="4"/>
  <c r="G1635" i="4"/>
  <c r="F1635" i="4"/>
  <c r="E1635" i="4"/>
  <c r="D1635" i="4"/>
  <c r="C1635" i="4"/>
  <c r="K1634" i="4"/>
  <c r="J1634" i="4"/>
  <c r="I1634" i="4"/>
  <c r="G1634" i="4"/>
  <c r="F1634" i="4"/>
  <c r="E1634" i="4"/>
  <c r="D1634" i="4"/>
  <c r="C1634" i="4"/>
  <c r="K1633" i="4"/>
  <c r="J1633" i="4"/>
  <c r="I1633" i="4"/>
  <c r="G1633" i="4"/>
  <c r="F1633" i="4"/>
  <c r="E1633" i="4"/>
  <c r="D1633" i="4"/>
  <c r="C1633" i="4"/>
  <c r="K1631" i="4"/>
  <c r="J1631" i="4"/>
  <c r="I1631" i="4"/>
  <c r="F1631" i="4"/>
  <c r="E1631" i="4"/>
  <c r="D1631" i="4"/>
  <c r="C1631" i="4"/>
  <c r="K1630" i="4"/>
  <c r="J1630" i="4"/>
  <c r="I1630" i="4"/>
  <c r="G1630" i="4"/>
  <c r="F1630" i="4"/>
  <c r="E1630" i="4"/>
  <c r="D1630" i="4"/>
  <c r="C1630" i="4"/>
  <c r="K1629" i="4"/>
  <c r="J1629" i="4"/>
  <c r="I1629" i="4"/>
  <c r="E1629" i="4"/>
  <c r="D1629" i="4"/>
  <c r="C1629" i="4"/>
  <c r="K1628" i="4"/>
  <c r="J1628" i="4"/>
  <c r="I1628" i="4"/>
  <c r="G1628" i="4"/>
  <c r="F1628" i="4"/>
  <c r="E1628" i="4"/>
  <c r="D1628" i="4"/>
  <c r="C1628" i="4"/>
  <c r="K1627" i="4"/>
  <c r="J1627" i="4"/>
  <c r="I1627" i="4"/>
  <c r="G1627" i="4"/>
  <c r="F1627" i="4"/>
  <c r="E1627" i="4"/>
  <c r="D1627" i="4"/>
  <c r="C1627" i="4"/>
  <c r="K1626" i="4"/>
  <c r="J1626" i="4"/>
  <c r="I1626" i="4"/>
  <c r="G1626" i="4"/>
  <c r="F1626" i="4"/>
  <c r="E1626" i="4"/>
  <c r="D1626" i="4"/>
  <c r="C1626" i="4"/>
  <c r="O1624" i="4"/>
  <c r="K1624" i="4"/>
  <c r="J1624" i="4"/>
  <c r="I1624" i="4"/>
  <c r="K1623" i="4"/>
  <c r="J1623" i="4"/>
  <c r="I1623" i="4"/>
  <c r="F1623" i="4"/>
  <c r="E1623" i="4"/>
  <c r="D1623" i="4"/>
  <c r="C1623" i="4"/>
  <c r="K1622" i="4"/>
  <c r="J1622" i="4"/>
  <c r="I1622" i="4"/>
  <c r="G1622" i="4"/>
  <c r="F1622" i="4"/>
  <c r="E1622" i="4"/>
  <c r="D1622" i="4"/>
  <c r="C1622" i="4"/>
  <c r="O1621" i="4"/>
  <c r="K1621" i="4"/>
  <c r="J1621" i="4"/>
  <c r="I1621" i="4"/>
  <c r="G1621" i="4"/>
  <c r="O1620" i="4"/>
  <c r="K1620" i="4"/>
  <c r="J1620" i="4"/>
  <c r="I1620" i="4"/>
  <c r="G1620" i="4"/>
  <c r="O1619" i="4"/>
  <c r="K1619" i="4"/>
  <c r="J1619" i="4"/>
  <c r="I1619" i="4"/>
  <c r="G1619" i="4"/>
  <c r="O1618" i="4"/>
  <c r="K1618" i="4"/>
  <c r="J1618" i="4"/>
  <c r="I1618" i="4"/>
  <c r="K1617" i="4"/>
  <c r="J1617" i="4"/>
  <c r="I1617" i="4"/>
  <c r="G1617" i="4"/>
  <c r="F1617" i="4"/>
  <c r="E1617" i="4"/>
  <c r="D1617" i="4"/>
  <c r="C1617" i="4"/>
  <c r="K1616" i="4"/>
  <c r="J1616" i="4"/>
  <c r="I1616" i="4"/>
  <c r="G1616" i="4"/>
  <c r="F1616" i="4"/>
  <c r="E1616" i="4"/>
  <c r="D1616" i="4"/>
  <c r="C1616" i="4"/>
  <c r="K1615" i="4"/>
  <c r="J1615" i="4"/>
  <c r="I1615" i="4"/>
  <c r="G1615" i="4"/>
  <c r="F1615" i="4"/>
  <c r="E1615" i="4"/>
  <c r="D1615" i="4"/>
  <c r="C1615" i="4"/>
  <c r="K1614" i="4"/>
  <c r="J1614" i="4"/>
  <c r="I1614" i="4"/>
  <c r="G1614" i="4"/>
  <c r="F1614" i="4"/>
  <c r="E1614" i="4"/>
  <c r="D1614" i="4"/>
  <c r="C1614" i="4"/>
  <c r="K1613" i="4"/>
  <c r="J1613" i="4"/>
  <c r="I1613" i="4"/>
  <c r="G1613" i="4"/>
  <c r="F1613" i="4"/>
  <c r="E1613" i="4"/>
  <c r="D1613" i="4"/>
  <c r="C1613" i="4"/>
  <c r="K1612" i="4"/>
  <c r="J1612" i="4"/>
  <c r="I1612" i="4"/>
  <c r="G1612" i="4"/>
  <c r="F1612" i="4"/>
  <c r="E1612" i="4"/>
  <c r="D1612" i="4"/>
  <c r="C1612" i="4"/>
  <c r="K1611" i="4"/>
  <c r="J1611" i="4"/>
  <c r="I1611" i="4"/>
  <c r="G1611" i="4"/>
  <c r="F1611" i="4"/>
  <c r="E1611" i="4"/>
  <c r="D1611" i="4"/>
  <c r="C1611" i="4"/>
  <c r="K1610" i="4"/>
  <c r="J1610" i="4"/>
  <c r="I1610" i="4"/>
  <c r="G1610" i="4"/>
  <c r="F1610" i="4"/>
  <c r="E1610" i="4"/>
  <c r="D1610" i="4"/>
  <c r="C1610" i="4"/>
  <c r="O1609" i="4"/>
  <c r="K1609" i="4"/>
  <c r="J1609" i="4"/>
  <c r="I1609" i="4"/>
  <c r="K1608" i="4"/>
  <c r="J1608" i="4"/>
  <c r="I1608" i="4"/>
  <c r="F1608" i="4"/>
  <c r="E1608" i="4"/>
  <c r="D1608" i="4"/>
  <c r="C1608" i="4"/>
  <c r="K1607" i="4"/>
  <c r="J1607" i="4"/>
  <c r="I1607" i="4"/>
  <c r="G1607" i="4"/>
  <c r="F1607" i="4"/>
  <c r="E1607" i="4"/>
  <c r="D1607" i="4"/>
  <c r="C1607" i="4"/>
  <c r="K1606" i="4"/>
  <c r="J1606" i="4"/>
  <c r="I1606" i="4"/>
  <c r="G1606" i="4"/>
  <c r="F1606" i="4"/>
  <c r="E1606" i="4"/>
  <c r="D1606" i="4"/>
  <c r="C1606" i="4"/>
  <c r="K1605" i="4"/>
  <c r="J1605" i="4"/>
  <c r="I1605" i="4"/>
  <c r="G1605" i="4"/>
  <c r="F1605" i="4"/>
  <c r="E1605" i="4"/>
  <c r="D1605" i="4"/>
  <c r="C1605" i="4"/>
  <c r="K1604" i="4"/>
  <c r="J1604" i="4"/>
  <c r="I1604" i="4"/>
  <c r="G1604" i="4"/>
  <c r="F1604" i="4"/>
  <c r="E1604" i="4"/>
  <c r="D1604" i="4"/>
  <c r="C1604" i="4"/>
  <c r="O1603" i="4"/>
  <c r="K1603" i="4"/>
  <c r="J1603" i="4"/>
  <c r="I1603" i="4"/>
  <c r="G1603" i="4"/>
  <c r="O1602" i="4"/>
  <c r="K1602" i="4"/>
  <c r="J1602" i="4"/>
  <c r="I1602" i="4"/>
  <c r="G1602" i="4"/>
  <c r="O1601" i="4"/>
  <c r="K1601" i="4"/>
  <c r="J1601" i="4"/>
  <c r="I1601" i="4"/>
  <c r="C1601" i="4"/>
  <c r="K1600" i="4"/>
  <c r="J1600" i="4"/>
  <c r="I1600" i="4"/>
  <c r="G1600" i="4"/>
  <c r="F1600" i="4"/>
  <c r="E1600" i="4"/>
  <c r="D1600" i="4"/>
  <c r="C1600" i="4"/>
  <c r="K1599" i="4"/>
  <c r="J1599" i="4"/>
  <c r="I1599" i="4"/>
  <c r="G1599" i="4"/>
  <c r="F1599" i="4"/>
  <c r="E1599" i="4"/>
  <c r="D1599" i="4"/>
  <c r="C1599" i="4"/>
  <c r="K1598" i="4"/>
  <c r="J1598" i="4"/>
  <c r="I1598" i="4"/>
  <c r="G1598" i="4"/>
  <c r="F1598" i="4"/>
  <c r="E1598" i="4"/>
  <c r="D1598" i="4"/>
  <c r="C1598" i="4"/>
  <c r="O1597" i="4"/>
  <c r="K1597" i="4"/>
  <c r="J1597" i="4"/>
  <c r="I1597" i="4"/>
  <c r="G1597" i="4"/>
  <c r="O1596" i="4"/>
  <c r="K1596" i="4"/>
  <c r="J1596" i="4"/>
  <c r="I1596" i="4"/>
  <c r="K1595" i="4"/>
  <c r="J1595" i="4"/>
  <c r="I1595" i="4"/>
  <c r="F1595" i="4"/>
  <c r="E1595" i="4"/>
  <c r="D1595" i="4"/>
  <c r="C1595" i="4"/>
  <c r="K1594" i="4"/>
  <c r="J1594" i="4"/>
  <c r="I1594" i="4"/>
  <c r="G1594" i="4"/>
  <c r="F1594" i="4"/>
  <c r="E1594" i="4"/>
  <c r="D1594" i="4"/>
  <c r="C1594" i="4"/>
  <c r="O1593" i="4"/>
  <c r="K1593" i="4"/>
  <c r="J1593" i="4"/>
  <c r="I1593" i="4"/>
  <c r="G1593" i="4"/>
  <c r="O1592" i="4"/>
  <c r="K1592" i="4"/>
  <c r="J1592" i="4"/>
  <c r="I1592" i="4"/>
  <c r="K1591" i="4"/>
  <c r="J1591" i="4"/>
  <c r="I1591" i="4"/>
  <c r="F1591" i="4"/>
  <c r="E1591" i="4"/>
  <c r="D1591" i="4"/>
  <c r="C1591" i="4"/>
  <c r="K1590" i="4"/>
  <c r="J1590" i="4"/>
  <c r="I1590" i="4"/>
  <c r="G1590" i="4"/>
  <c r="F1590" i="4"/>
  <c r="E1590" i="4"/>
  <c r="D1590" i="4"/>
  <c r="C1590" i="4"/>
  <c r="K1589" i="4"/>
  <c r="J1589" i="4"/>
  <c r="I1589" i="4"/>
  <c r="G1589" i="4"/>
  <c r="F1589" i="4"/>
  <c r="E1589" i="4"/>
  <c r="D1589" i="4"/>
  <c r="C1589" i="4"/>
  <c r="O1587" i="4"/>
  <c r="K1587" i="4"/>
  <c r="J1587" i="4"/>
  <c r="I1587" i="4"/>
  <c r="K1586" i="4"/>
  <c r="J1586" i="4"/>
  <c r="I1586" i="4"/>
  <c r="F1586" i="4"/>
  <c r="E1586" i="4"/>
  <c r="D1586" i="4"/>
  <c r="C1586" i="4"/>
  <c r="O1585" i="4"/>
  <c r="K1585" i="4"/>
  <c r="J1585" i="4"/>
  <c r="I1585" i="4"/>
  <c r="G1585" i="4"/>
  <c r="F1585" i="4"/>
  <c r="O1584" i="4"/>
  <c r="K1584" i="4"/>
  <c r="J1584" i="4"/>
  <c r="I1584" i="4"/>
  <c r="K1583" i="4"/>
  <c r="J1583" i="4"/>
  <c r="I1583" i="4"/>
  <c r="G1583" i="4"/>
  <c r="F1583" i="4"/>
  <c r="E1583" i="4"/>
  <c r="D1583" i="4"/>
  <c r="C1583" i="4"/>
  <c r="K1582" i="4"/>
  <c r="J1582" i="4"/>
  <c r="I1582" i="4"/>
  <c r="G1582" i="4"/>
  <c r="F1582" i="4"/>
  <c r="E1582" i="4"/>
  <c r="D1582" i="4"/>
  <c r="C1582" i="4"/>
  <c r="K1581" i="4"/>
  <c r="J1581" i="4"/>
  <c r="I1581" i="4"/>
  <c r="G1581" i="4"/>
  <c r="F1581" i="4"/>
  <c r="E1581" i="4"/>
  <c r="D1581" i="4"/>
  <c r="C1581" i="4"/>
  <c r="K1580" i="4"/>
  <c r="J1580" i="4"/>
  <c r="I1580" i="4"/>
  <c r="G1580" i="4"/>
  <c r="F1580" i="4"/>
  <c r="E1580" i="4"/>
  <c r="D1580" i="4"/>
  <c r="C1580" i="4"/>
  <c r="K1579" i="4"/>
  <c r="J1579" i="4"/>
  <c r="I1579" i="4"/>
  <c r="G1579" i="4"/>
  <c r="F1579" i="4"/>
  <c r="E1579" i="4"/>
  <c r="D1579" i="4"/>
  <c r="C1579" i="4"/>
  <c r="O1578" i="4"/>
  <c r="K1578" i="4"/>
  <c r="J1578" i="4"/>
  <c r="I1578" i="4"/>
  <c r="G1578" i="4"/>
  <c r="O1577" i="4"/>
  <c r="K1577" i="4"/>
  <c r="J1577" i="4"/>
  <c r="I1577" i="4"/>
  <c r="G1577" i="4"/>
  <c r="O1576" i="4"/>
  <c r="K1576" i="4"/>
  <c r="J1576" i="4"/>
  <c r="I1576" i="4"/>
  <c r="K1575" i="4"/>
  <c r="J1575" i="4"/>
  <c r="I1575" i="4"/>
  <c r="G1575" i="4"/>
  <c r="F1575" i="4"/>
  <c r="E1575" i="4"/>
  <c r="D1575" i="4"/>
  <c r="C1575" i="4"/>
  <c r="O1574" i="4"/>
  <c r="K1574" i="4"/>
  <c r="J1574" i="4"/>
  <c r="I1574" i="4"/>
  <c r="G1574" i="4"/>
  <c r="O1573" i="4"/>
  <c r="K1573" i="4"/>
  <c r="J1573" i="4"/>
  <c r="I1573" i="4"/>
  <c r="G1573" i="4"/>
  <c r="O1572" i="4"/>
  <c r="K1572" i="4"/>
  <c r="J1572" i="4"/>
  <c r="I1572" i="4"/>
  <c r="K1571" i="4"/>
  <c r="J1571" i="4"/>
  <c r="I1571" i="4"/>
  <c r="G1571" i="4"/>
  <c r="F1571" i="4"/>
  <c r="E1571" i="4"/>
  <c r="D1571" i="4"/>
  <c r="C1571" i="4"/>
  <c r="K1569" i="4"/>
  <c r="J1569" i="4"/>
  <c r="I1569" i="4"/>
  <c r="G1569" i="4"/>
  <c r="F1569" i="4"/>
  <c r="E1569" i="4"/>
  <c r="D1569" i="4"/>
  <c r="C1569" i="4"/>
  <c r="K1568" i="4"/>
  <c r="J1568" i="4"/>
  <c r="I1568" i="4"/>
  <c r="G1568" i="4"/>
  <c r="F1568" i="4"/>
  <c r="E1568" i="4"/>
  <c r="D1568" i="4"/>
  <c r="C1568" i="4"/>
  <c r="O1566" i="4"/>
  <c r="K1566" i="4"/>
  <c r="J1566" i="4"/>
  <c r="I1566" i="4"/>
  <c r="G1566" i="4"/>
  <c r="O1565" i="4"/>
  <c r="K1565" i="4"/>
  <c r="J1565" i="4"/>
  <c r="I1565" i="4"/>
  <c r="K1564" i="4"/>
  <c r="J1564" i="4"/>
  <c r="I1564" i="4"/>
  <c r="G1564" i="4"/>
  <c r="F1564" i="4"/>
  <c r="E1564" i="4"/>
  <c r="D1564" i="4"/>
  <c r="C1564" i="4"/>
  <c r="O1562" i="4"/>
  <c r="K1562" i="4"/>
  <c r="J1562" i="4"/>
  <c r="I1562" i="4"/>
  <c r="G1562" i="4"/>
  <c r="O1561" i="4"/>
  <c r="K1561" i="4"/>
  <c r="J1561" i="4"/>
  <c r="I1561" i="4"/>
  <c r="G1561" i="4"/>
  <c r="O1560" i="4"/>
  <c r="K1560" i="4"/>
  <c r="J1560" i="4"/>
  <c r="I1560" i="4"/>
  <c r="G1560" i="4"/>
  <c r="O1559" i="4"/>
  <c r="K1559" i="4"/>
  <c r="J1559" i="4"/>
  <c r="I1559" i="4"/>
  <c r="K1558" i="4"/>
  <c r="J1558" i="4"/>
  <c r="I1558" i="4"/>
  <c r="G1558" i="4"/>
  <c r="F1558" i="4"/>
  <c r="E1558" i="4"/>
  <c r="D1558" i="4"/>
  <c r="C1558" i="4"/>
  <c r="O1557" i="4"/>
  <c r="K1557" i="4"/>
  <c r="J1557" i="4"/>
  <c r="I1557" i="4"/>
  <c r="G1557" i="4"/>
  <c r="O1556" i="4"/>
  <c r="K1556" i="4"/>
  <c r="J1556" i="4"/>
  <c r="I1556" i="4"/>
  <c r="K1555" i="4"/>
  <c r="J1555" i="4"/>
  <c r="I1555" i="4"/>
  <c r="G1555" i="4"/>
  <c r="F1555" i="4"/>
  <c r="E1555" i="4"/>
  <c r="D1555" i="4"/>
  <c r="C1555" i="4"/>
  <c r="O1554" i="4"/>
  <c r="K1554" i="4"/>
  <c r="J1554" i="4"/>
  <c r="I1554" i="4"/>
  <c r="G1554" i="4"/>
  <c r="O1553" i="4"/>
  <c r="K1553" i="4"/>
  <c r="J1553" i="4"/>
  <c r="I1553" i="4"/>
  <c r="G1553" i="4"/>
  <c r="O1552" i="4"/>
  <c r="K1552" i="4"/>
  <c r="J1552" i="4"/>
  <c r="I1552" i="4"/>
  <c r="K1551" i="4"/>
  <c r="J1551" i="4"/>
  <c r="I1551" i="4"/>
  <c r="G1551" i="4"/>
  <c r="F1551" i="4"/>
  <c r="E1551" i="4"/>
  <c r="D1551" i="4"/>
  <c r="C1551" i="4"/>
  <c r="O1549" i="4"/>
  <c r="K1549" i="4"/>
  <c r="J1549" i="4"/>
  <c r="I1549" i="4"/>
  <c r="G1549" i="4"/>
  <c r="O1548" i="4"/>
  <c r="K1548" i="4"/>
  <c r="J1548" i="4"/>
  <c r="I1548" i="4"/>
  <c r="G1548" i="4"/>
  <c r="O1547" i="4"/>
  <c r="K1547" i="4"/>
  <c r="J1547" i="4"/>
  <c r="I1547" i="4"/>
  <c r="K1546" i="4"/>
  <c r="J1546" i="4"/>
  <c r="I1546" i="4"/>
  <c r="G1546" i="4"/>
  <c r="F1546" i="4"/>
  <c r="E1546" i="4"/>
  <c r="D1546" i="4"/>
  <c r="C1546" i="4"/>
  <c r="O1545" i="4"/>
  <c r="K1545" i="4"/>
  <c r="J1545" i="4"/>
  <c r="I1545" i="4"/>
  <c r="G1545" i="4"/>
  <c r="O1544" i="4"/>
  <c r="K1544" i="4"/>
  <c r="J1544" i="4"/>
  <c r="I1544" i="4"/>
  <c r="G1544" i="4"/>
  <c r="O1543" i="4"/>
  <c r="K1543" i="4"/>
  <c r="J1543" i="4"/>
  <c r="I1543" i="4"/>
  <c r="K1542" i="4"/>
  <c r="J1542" i="4"/>
  <c r="I1542" i="4"/>
  <c r="F1542" i="4"/>
  <c r="E1542" i="4"/>
  <c r="D1542" i="4"/>
  <c r="C1542" i="4"/>
  <c r="O1541" i="4"/>
  <c r="K1541" i="4"/>
  <c r="J1541" i="4"/>
  <c r="I1541" i="4"/>
  <c r="G1541" i="4"/>
  <c r="O1540" i="4"/>
  <c r="K1540" i="4"/>
  <c r="J1540" i="4"/>
  <c r="I1540" i="4"/>
  <c r="G1540" i="4"/>
  <c r="O1539" i="4"/>
  <c r="K1539" i="4"/>
  <c r="J1539" i="4"/>
  <c r="I1539" i="4"/>
  <c r="G1539" i="4"/>
  <c r="O1538" i="4"/>
  <c r="K1538" i="4"/>
  <c r="J1538" i="4"/>
  <c r="I1538" i="4"/>
  <c r="K1537" i="4"/>
  <c r="J1537" i="4"/>
  <c r="I1537" i="4"/>
  <c r="G1537" i="4"/>
  <c r="F1537" i="4"/>
  <c r="E1537" i="4"/>
  <c r="D1537" i="4"/>
  <c r="C1537" i="4"/>
  <c r="K1536" i="4"/>
  <c r="J1536" i="4"/>
  <c r="I1536" i="4"/>
  <c r="G1536" i="4"/>
  <c r="F1536" i="4"/>
  <c r="E1536" i="4"/>
  <c r="D1536" i="4"/>
  <c r="C1536" i="4"/>
  <c r="O1535" i="4"/>
  <c r="K1535" i="4"/>
  <c r="J1535" i="4"/>
  <c r="I1535" i="4"/>
  <c r="G1535" i="4"/>
  <c r="O1534" i="4"/>
  <c r="K1534" i="4"/>
  <c r="J1534" i="4"/>
  <c r="I1534" i="4"/>
  <c r="K1533" i="4"/>
  <c r="J1533" i="4"/>
  <c r="I1533" i="4"/>
  <c r="G1533" i="4"/>
  <c r="F1533" i="4"/>
  <c r="E1533" i="4"/>
  <c r="D1533" i="4"/>
  <c r="C1533" i="4"/>
  <c r="O1532" i="4"/>
  <c r="K1532" i="4"/>
  <c r="J1532" i="4"/>
  <c r="I1532" i="4"/>
  <c r="G1532" i="4"/>
  <c r="O1531" i="4"/>
  <c r="K1531" i="4"/>
  <c r="J1531" i="4"/>
  <c r="I1531" i="4"/>
  <c r="G1531" i="4"/>
  <c r="O1530" i="4"/>
  <c r="K1530" i="4"/>
  <c r="J1530" i="4"/>
  <c r="I1530" i="4"/>
  <c r="K1529" i="4"/>
  <c r="J1529" i="4"/>
  <c r="I1529" i="4"/>
  <c r="G1529" i="4"/>
  <c r="F1529" i="4"/>
  <c r="E1529" i="4"/>
  <c r="D1529" i="4"/>
  <c r="C1529" i="4"/>
  <c r="K1528" i="4"/>
  <c r="J1528" i="4"/>
  <c r="I1528" i="4"/>
  <c r="G1528" i="4"/>
  <c r="F1528" i="4"/>
  <c r="E1528" i="4"/>
  <c r="D1528" i="4"/>
  <c r="C1528" i="4"/>
  <c r="O1527" i="4"/>
  <c r="K1527" i="4"/>
  <c r="J1527" i="4"/>
  <c r="I1527" i="4"/>
  <c r="G1527" i="4"/>
  <c r="O1526" i="4"/>
  <c r="K1526" i="4"/>
  <c r="J1526" i="4"/>
  <c r="I1526" i="4"/>
  <c r="G1526" i="4"/>
  <c r="O1525" i="4"/>
  <c r="K1525" i="4"/>
  <c r="J1525" i="4"/>
  <c r="I1525" i="4"/>
  <c r="G1525" i="4"/>
  <c r="O1524" i="4"/>
  <c r="K1524" i="4"/>
  <c r="J1524" i="4"/>
  <c r="I1524" i="4"/>
  <c r="C1524" i="4"/>
  <c r="K1523" i="4"/>
  <c r="J1523" i="4"/>
  <c r="I1523" i="4"/>
  <c r="G1523" i="4"/>
  <c r="F1523" i="4"/>
  <c r="E1523" i="4"/>
  <c r="D1523" i="4"/>
  <c r="C1523" i="4"/>
  <c r="O1522" i="4"/>
  <c r="K1522" i="4"/>
  <c r="J1522" i="4"/>
  <c r="I1522" i="4"/>
  <c r="G1522" i="4"/>
  <c r="O1521" i="4"/>
  <c r="K1521" i="4"/>
  <c r="J1521" i="4"/>
  <c r="I1521" i="4"/>
  <c r="G1521" i="4"/>
  <c r="O1520" i="4"/>
  <c r="K1520" i="4"/>
  <c r="J1520" i="4"/>
  <c r="I1520" i="4"/>
  <c r="K1519" i="4"/>
  <c r="J1519" i="4"/>
  <c r="I1519" i="4"/>
  <c r="G1519" i="4"/>
  <c r="F1519" i="4"/>
  <c r="E1519" i="4"/>
  <c r="D1519" i="4"/>
  <c r="C1519" i="4"/>
  <c r="O1518" i="4"/>
  <c r="K1518" i="4"/>
  <c r="J1518" i="4"/>
  <c r="I1518" i="4"/>
  <c r="G1518" i="4"/>
  <c r="O1517" i="4"/>
  <c r="K1517" i="4"/>
  <c r="J1517" i="4"/>
  <c r="I1517" i="4"/>
  <c r="G1517" i="4"/>
  <c r="O1516" i="4"/>
  <c r="K1516" i="4"/>
  <c r="J1516" i="4"/>
  <c r="I1516" i="4"/>
  <c r="K1515" i="4"/>
  <c r="J1515" i="4"/>
  <c r="I1515" i="4"/>
  <c r="G1515" i="4"/>
  <c r="F1515" i="4"/>
  <c r="E1515" i="4"/>
  <c r="D1515" i="4"/>
  <c r="C1515" i="4"/>
  <c r="O1513" i="4"/>
  <c r="K1513" i="4"/>
  <c r="J1513" i="4"/>
  <c r="I1513" i="4"/>
  <c r="G1513" i="4"/>
  <c r="O1512" i="4"/>
  <c r="K1512" i="4"/>
  <c r="J1512" i="4"/>
  <c r="I1512" i="4"/>
  <c r="G1512" i="4"/>
  <c r="O1511" i="4"/>
  <c r="K1511" i="4"/>
  <c r="J1511" i="4"/>
  <c r="I1511" i="4"/>
  <c r="K1510" i="4"/>
  <c r="J1510" i="4"/>
  <c r="I1510" i="4"/>
  <c r="G1510" i="4"/>
  <c r="F1510" i="4"/>
  <c r="E1510" i="4"/>
  <c r="D1510" i="4"/>
  <c r="C1510" i="4"/>
  <c r="O1509" i="4"/>
  <c r="K1509" i="4"/>
  <c r="J1509" i="4"/>
  <c r="I1509" i="4"/>
  <c r="G1509" i="4"/>
  <c r="O1508" i="4"/>
  <c r="K1508" i="4"/>
  <c r="J1508" i="4"/>
  <c r="I1508" i="4"/>
  <c r="G1508" i="4"/>
  <c r="O1507" i="4"/>
  <c r="K1507" i="4"/>
  <c r="J1507" i="4"/>
  <c r="I1507" i="4"/>
  <c r="G1507" i="4"/>
  <c r="O1506" i="4"/>
  <c r="K1506" i="4"/>
  <c r="J1506" i="4"/>
  <c r="I1506" i="4"/>
  <c r="K1505" i="4"/>
  <c r="J1505" i="4"/>
  <c r="I1505" i="4"/>
  <c r="G1505" i="4"/>
  <c r="F1505" i="4"/>
  <c r="E1505" i="4"/>
  <c r="D1505" i="4"/>
  <c r="C1505" i="4"/>
  <c r="O1504" i="4"/>
  <c r="K1504" i="4"/>
  <c r="J1504" i="4"/>
  <c r="I1504" i="4"/>
  <c r="G1504" i="4"/>
  <c r="O1503" i="4"/>
  <c r="K1503" i="4"/>
  <c r="J1503" i="4"/>
  <c r="I1503" i="4"/>
  <c r="G1503" i="4"/>
  <c r="O1502" i="4"/>
  <c r="K1502" i="4"/>
  <c r="J1502" i="4"/>
  <c r="I1502" i="4"/>
  <c r="G1502" i="4"/>
  <c r="O1501" i="4"/>
  <c r="K1501" i="4"/>
  <c r="J1501" i="4"/>
  <c r="I1501" i="4"/>
  <c r="K1500" i="4"/>
  <c r="J1500" i="4"/>
  <c r="I1500" i="4"/>
  <c r="G1500" i="4"/>
  <c r="F1500" i="4"/>
  <c r="E1500" i="4"/>
  <c r="D1500" i="4"/>
  <c r="C1500" i="4"/>
  <c r="O1498" i="4"/>
  <c r="K1498" i="4"/>
  <c r="J1498" i="4"/>
  <c r="I1498" i="4"/>
  <c r="G1498" i="4"/>
  <c r="O1497" i="4"/>
  <c r="K1497" i="4"/>
  <c r="J1497" i="4"/>
  <c r="I1497" i="4"/>
  <c r="G1497" i="4"/>
  <c r="O1496" i="4"/>
  <c r="K1496" i="4"/>
  <c r="J1496" i="4"/>
  <c r="I1496" i="4"/>
  <c r="G1496" i="4"/>
  <c r="O1495" i="4"/>
  <c r="K1495" i="4"/>
  <c r="J1495" i="4"/>
  <c r="I1495" i="4"/>
  <c r="K1494" i="4"/>
  <c r="J1494" i="4"/>
  <c r="I1494" i="4"/>
  <c r="G1494" i="4"/>
  <c r="F1494" i="4"/>
  <c r="E1494" i="4"/>
  <c r="D1494" i="4"/>
  <c r="O1493" i="4"/>
  <c r="K1493" i="4"/>
  <c r="J1493" i="4"/>
  <c r="I1493" i="4"/>
  <c r="G1493" i="4"/>
  <c r="O1492" i="4"/>
  <c r="K1492" i="4"/>
  <c r="J1492" i="4"/>
  <c r="I1492" i="4"/>
  <c r="G1492" i="4"/>
  <c r="O1491" i="4"/>
  <c r="K1491" i="4"/>
  <c r="J1491" i="4"/>
  <c r="I1491" i="4"/>
  <c r="G1491" i="4"/>
  <c r="O1490" i="4"/>
  <c r="K1490" i="4"/>
  <c r="J1490" i="4"/>
  <c r="I1490" i="4"/>
  <c r="K1489" i="4"/>
  <c r="J1489" i="4"/>
  <c r="I1489" i="4"/>
  <c r="G1489" i="4"/>
  <c r="F1489" i="4"/>
  <c r="E1489" i="4"/>
  <c r="D1489" i="4"/>
  <c r="C1489" i="4"/>
  <c r="K1488" i="4"/>
  <c r="J1488" i="4"/>
  <c r="I1488" i="4"/>
  <c r="G1488" i="4"/>
  <c r="F1488" i="4"/>
  <c r="E1488" i="4"/>
  <c r="D1488" i="4"/>
  <c r="C1488" i="4"/>
  <c r="O1487" i="4"/>
  <c r="K1487" i="4"/>
  <c r="J1487" i="4"/>
  <c r="I1487" i="4"/>
  <c r="G1487" i="4"/>
  <c r="O1486" i="4"/>
  <c r="K1486" i="4"/>
  <c r="J1486" i="4"/>
  <c r="I1486" i="4"/>
  <c r="G1486" i="4"/>
  <c r="O1485" i="4"/>
  <c r="K1485" i="4"/>
  <c r="J1485" i="4"/>
  <c r="I1485" i="4"/>
  <c r="G1485" i="4"/>
  <c r="O1484" i="4"/>
  <c r="K1484" i="4"/>
  <c r="J1484" i="4"/>
  <c r="I1484" i="4"/>
  <c r="G1484" i="4"/>
  <c r="O1483" i="4"/>
  <c r="K1483" i="4"/>
  <c r="J1483" i="4"/>
  <c r="I1483" i="4"/>
  <c r="K1482" i="4"/>
  <c r="J1482" i="4"/>
  <c r="I1482" i="4"/>
  <c r="G1482" i="4"/>
  <c r="F1482" i="4"/>
  <c r="E1482" i="4"/>
  <c r="D1482" i="4"/>
  <c r="C1482" i="4"/>
  <c r="O1481" i="4"/>
  <c r="K1481" i="4"/>
  <c r="J1481" i="4"/>
  <c r="I1481" i="4"/>
  <c r="G1481" i="4"/>
  <c r="O1480" i="4"/>
  <c r="K1480" i="4"/>
  <c r="J1480" i="4"/>
  <c r="I1480" i="4"/>
  <c r="G1480" i="4"/>
  <c r="O1479" i="4"/>
  <c r="K1479" i="4"/>
  <c r="J1479" i="4"/>
  <c r="I1479" i="4"/>
  <c r="K1478" i="4"/>
  <c r="J1478" i="4"/>
  <c r="I1478" i="4"/>
  <c r="G1478" i="4"/>
  <c r="F1478" i="4"/>
  <c r="E1478" i="4"/>
  <c r="D1478" i="4"/>
  <c r="C1478" i="4"/>
  <c r="O1476" i="4"/>
  <c r="K1476" i="4"/>
  <c r="J1476" i="4"/>
  <c r="I1476" i="4"/>
  <c r="G1476" i="4"/>
  <c r="O1475" i="4"/>
  <c r="K1475" i="4"/>
  <c r="J1475" i="4"/>
  <c r="I1475" i="4"/>
  <c r="K1474" i="4"/>
  <c r="J1474" i="4"/>
  <c r="I1474" i="4"/>
  <c r="G1474" i="4"/>
  <c r="F1474" i="4"/>
  <c r="E1474" i="4"/>
  <c r="D1474" i="4"/>
  <c r="C1474" i="4"/>
  <c r="O1473" i="4"/>
  <c r="K1473" i="4"/>
  <c r="J1473" i="4"/>
  <c r="I1473" i="4"/>
  <c r="G1473" i="4"/>
  <c r="O1472" i="4"/>
  <c r="K1472" i="4"/>
  <c r="J1472" i="4"/>
  <c r="I1472" i="4"/>
  <c r="G1472" i="4"/>
  <c r="O1471" i="4"/>
  <c r="K1471" i="4"/>
  <c r="J1471" i="4"/>
  <c r="I1471" i="4"/>
  <c r="K1470" i="4"/>
  <c r="J1470" i="4"/>
  <c r="I1470" i="4"/>
  <c r="G1470" i="4"/>
  <c r="F1470" i="4"/>
  <c r="E1470" i="4"/>
  <c r="D1470" i="4"/>
  <c r="C1470" i="4"/>
  <c r="O1469" i="4"/>
  <c r="K1469" i="4"/>
  <c r="J1469" i="4"/>
  <c r="I1469" i="4"/>
  <c r="G1469" i="4"/>
  <c r="O1468" i="4"/>
  <c r="K1468" i="4"/>
  <c r="J1468" i="4"/>
  <c r="I1468" i="4"/>
  <c r="G1468" i="4"/>
  <c r="O1467" i="4"/>
  <c r="K1467" i="4"/>
  <c r="J1467" i="4"/>
  <c r="I1467" i="4"/>
  <c r="K1466" i="4"/>
  <c r="J1466" i="4"/>
  <c r="I1466" i="4"/>
  <c r="G1466" i="4"/>
  <c r="F1466" i="4"/>
  <c r="E1466" i="4"/>
  <c r="D1466" i="4"/>
  <c r="C1466" i="4"/>
  <c r="O1465" i="4"/>
  <c r="K1465" i="4"/>
  <c r="J1465" i="4"/>
  <c r="I1465" i="4"/>
  <c r="G1465" i="4"/>
  <c r="O1464" i="4"/>
  <c r="K1464" i="4"/>
  <c r="J1464" i="4"/>
  <c r="I1464" i="4"/>
  <c r="G1464" i="4"/>
  <c r="O1463" i="4"/>
  <c r="K1463" i="4"/>
  <c r="J1463" i="4"/>
  <c r="I1463" i="4"/>
  <c r="G1463" i="4"/>
  <c r="O1462" i="4"/>
  <c r="K1462" i="4"/>
  <c r="J1462" i="4"/>
  <c r="I1462" i="4"/>
  <c r="K1461" i="4"/>
  <c r="J1461" i="4"/>
  <c r="I1461" i="4"/>
  <c r="G1461" i="4"/>
  <c r="F1461" i="4"/>
  <c r="E1461" i="4"/>
  <c r="D1461" i="4"/>
  <c r="C1461" i="4"/>
  <c r="O1460" i="4"/>
  <c r="K1460" i="4"/>
  <c r="J1460" i="4"/>
  <c r="I1460" i="4"/>
  <c r="G1460" i="4"/>
  <c r="O1459" i="4"/>
  <c r="K1459" i="4"/>
  <c r="J1459" i="4"/>
  <c r="I1459" i="4"/>
  <c r="G1459" i="4"/>
  <c r="O1458" i="4"/>
  <c r="K1458" i="4"/>
  <c r="J1458" i="4"/>
  <c r="I1458" i="4"/>
  <c r="G1458" i="4"/>
  <c r="O1457" i="4"/>
  <c r="K1457" i="4"/>
  <c r="J1457" i="4"/>
  <c r="I1457" i="4"/>
  <c r="K1456" i="4"/>
  <c r="J1456" i="4"/>
  <c r="I1456" i="4"/>
  <c r="G1456" i="4"/>
  <c r="F1456" i="4"/>
  <c r="E1456" i="4"/>
  <c r="D1456" i="4"/>
  <c r="C1456" i="4"/>
  <c r="O1455" i="4"/>
  <c r="K1455" i="4"/>
  <c r="J1455" i="4"/>
  <c r="I1455" i="4"/>
  <c r="G1455" i="4"/>
  <c r="O1454" i="4"/>
  <c r="K1454" i="4"/>
  <c r="J1454" i="4"/>
  <c r="I1454" i="4"/>
  <c r="G1454" i="4"/>
  <c r="O1453" i="4"/>
  <c r="K1453" i="4"/>
  <c r="J1453" i="4"/>
  <c r="I1453" i="4"/>
  <c r="G1453" i="4"/>
  <c r="O1452" i="4"/>
  <c r="K1452" i="4"/>
  <c r="J1452" i="4"/>
  <c r="I1452" i="4"/>
  <c r="K1451" i="4"/>
  <c r="J1451" i="4"/>
  <c r="I1451" i="4"/>
  <c r="G1451" i="4"/>
  <c r="F1451" i="4"/>
  <c r="E1451" i="4"/>
  <c r="D1451" i="4"/>
  <c r="C1451" i="4"/>
  <c r="O1450" i="4"/>
  <c r="K1450" i="4"/>
  <c r="J1450" i="4"/>
  <c r="I1450" i="4"/>
  <c r="G1450" i="4"/>
  <c r="O1449" i="4"/>
  <c r="K1449" i="4"/>
  <c r="J1449" i="4"/>
  <c r="I1449" i="4"/>
  <c r="G1449" i="4"/>
  <c r="O1448" i="4"/>
  <c r="K1448" i="4"/>
  <c r="J1448" i="4"/>
  <c r="I1448" i="4"/>
  <c r="G1448" i="4"/>
  <c r="O1447" i="4"/>
  <c r="K1447" i="4"/>
  <c r="J1447" i="4"/>
  <c r="I1447" i="4"/>
  <c r="K1446" i="4"/>
  <c r="J1446" i="4"/>
  <c r="I1446" i="4"/>
  <c r="G1446" i="4"/>
  <c r="F1446" i="4"/>
  <c r="E1446" i="4"/>
  <c r="D1446" i="4"/>
  <c r="C1446" i="4"/>
  <c r="O1445" i="4"/>
  <c r="K1445" i="4"/>
  <c r="J1445" i="4"/>
  <c r="I1445" i="4"/>
  <c r="G1445" i="4"/>
  <c r="O1444" i="4"/>
  <c r="K1444" i="4"/>
  <c r="J1444" i="4"/>
  <c r="I1444" i="4"/>
  <c r="G1444" i="4"/>
  <c r="O1443" i="4"/>
  <c r="K1443" i="4"/>
  <c r="J1443" i="4"/>
  <c r="I1443" i="4"/>
  <c r="K1442" i="4"/>
  <c r="J1442" i="4"/>
  <c r="I1442" i="4"/>
  <c r="G1442" i="4"/>
  <c r="F1442" i="4"/>
  <c r="E1442" i="4"/>
  <c r="D1442" i="4"/>
  <c r="C1442" i="4"/>
  <c r="O1441" i="4"/>
  <c r="K1441" i="4"/>
  <c r="J1441" i="4"/>
  <c r="I1441" i="4"/>
  <c r="G1441" i="4"/>
  <c r="O1440" i="4"/>
  <c r="K1440" i="4"/>
  <c r="J1440" i="4"/>
  <c r="I1440" i="4"/>
  <c r="G1440" i="4"/>
  <c r="O1439" i="4"/>
  <c r="K1439" i="4"/>
  <c r="J1439" i="4"/>
  <c r="I1439" i="4"/>
  <c r="G1439" i="4"/>
  <c r="O1438" i="4"/>
  <c r="K1438" i="4"/>
  <c r="J1438" i="4"/>
  <c r="I1438" i="4"/>
  <c r="G1438" i="4"/>
  <c r="O1437" i="4"/>
  <c r="K1437" i="4"/>
  <c r="J1437" i="4"/>
  <c r="I1437" i="4"/>
  <c r="K1436" i="4"/>
  <c r="J1436" i="4"/>
  <c r="I1436" i="4"/>
  <c r="G1436" i="4"/>
  <c r="F1436" i="4"/>
  <c r="E1436" i="4"/>
  <c r="D1436" i="4"/>
  <c r="C1436" i="4"/>
  <c r="O1435" i="4"/>
  <c r="K1435" i="4"/>
  <c r="J1435" i="4"/>
  <c r="I1435" i="4"/>
  <c r="G1435" i="4"/>
  <c r="O1434" i="4"/>
  <c r="K1434" i="4"/>
  <c r="J1434" i="4"/>
  <c r="I1434" i="4"/>
  <c r="G1434" i="4"/>
  <c r="O1433" i="4"/>
  <c r="K1433" i="4"/>
  <c r="J1433" i="4"/>
  <c r="I1433" i="4"/>
  <c r="C1433" i="4"/>
  <c r="K1432" i="4"/>
  <c r="J1432" i="4"/>
  <c r="I1432" i="4"/>
  <c r="G1432" i="4"/>
  <c r="F1432" i="4"/>
  <c r="E1432" i="4"/>
  <c r="D1432" i="4"/>
  <c r="C1432" i="4"/>
  <c r="O1431" i="4"/>
  <c r="K1431" i="4"/>
  <c r="J1431" i="4"/>
  <c r="I1431" i="4"/>
  <c r="G1431" i="4"/>
  <c r="O1430" i="4"/>
  <c r="K1430" i="4"/>
  <c r="J1430" i="4"/>
  <c r="I1430" i="4"/>
  <c r="G1430" i="4"/>
  <c r="O1429" i="4"/>
  <c r="K1429" i="4"/>
  <c r="J1429" i="4"/>
  <c r="I1429" i="4"/>
  <c r="G1429" i="4"/>
  <c r="O1428" i="4"/>
  <c r="K1428" i="4"/>
  <c r="J1428" i="4"/>
  <c r="I1428" i="4"/>
  <c r="K1427" i="4"/>
  <c r="J1427" i="4"/>
  <c r="I1427" i="4"/>
  <c r="G1427" i="4"/>
  <c r="F1427" i="4"/>
  <c r="E1427" i="4"/>
  <c r="D1427" i="4"/>
  <c r="C1427" i="4"/>
  <c r="O1426" i="4"/>
  <c r="K1426" i="4"/>
  <c r="J1426" i="4"/>
  <c r="I1426" i="4"/>
  <c r="G1426" i="4"/>
  <c r="O1425" i="4"/>
  <c r="K1425" i="4"/>
  <c r="J1425" i="4"/>
  <c r="I1425" i="4"/>
  <c r="G1425" i="4"/>
  <c r="O1424" i="4"/>
  <c r="K1424" i="4"/>
  <c r="J1424" i="4"/>
  <c r="I1424" i="4"/>
  <c r="K1423" i="4"/>
  <c r="J1423" i="4"/>
  <c r="I1423" i="4"/>
  <c r="G1423" i="4"/>
  <c r="F1423" i="4"/>
  <c r="E1423" i="4"/>
  <c r="D1423" i="4"/>
  <c r="C1423" i="4"/>
  <c r="O1422" i="4"/>
  <c r="K1422" i="4"/>
  <c r="J1422" i="4"/>
  <c r="I1422" i="4"/>
  <c r="G1422" i="4"/>
  <c r="O1421" i="4"/>
  <c r="K1421" i="4"/>
  <c r="J1421" i="4"/>
  <c r="I1421" i="4"/>
  <c r="G1421" i="4"/>
  <c r="O1420" i="4"/>
  <c r="K1420" i="4"/>
  <c r="J1420" i="4"/>
  <c r="I1420" i="4"/>
  <c r="G1420" i="4"/>
  <c r="O1419" i="4"/>
  <c r="K1419" i="4"/>
  <c r="J1419" i="4"/>
  <c r="I1419" i="4"/>
  <c r="K1418" i="4"/>
  <c r="J1418" i="4"/>
  <c r="I1418" i="4"/>
  <c r="G1418" i="4"/>
  <c r="F1418" i="4"/>
  <c r="E1418" i="4"/>
  <c r="D1418" i="4"/>
  <c r="C1418" i="4"/>
  <c r="O1417" i="4"/>
  <c r="K1417" i="4"/>
  <c r="J1417" i="4"/>
  <c r="I1417" i="4"/>
  <c r="G1417" i="4"/>
  <c r="O1416" i="4"/>
  <c r="K1416" i="4"/>
  <c r="J1416" i="4"/>
  <c r="I1416" i="4"/>
  <c r="G1416" i="4"/>
  <c r="O1415" i="4"/>
  <c r="K1415" i="4"/>
  <c r="J1415" i="4"/>
  <c r="I1415" i="4"/>
  <c r="K1414" i="4"/>
  <c r="J1414" i="4"/>
  <c r="I1414" i="4"/>
  <c r="G1414" i="4"/>
  <c r="F1414" i="4"/>
  <c r="E1414" i="4"/>
  <c r="D1414" i="4"/>
  <c r="C1414" i="4"/>
  <c r="O1413" i="4"/>
  <c r="K1413" i="4"/>
  <c r="J1413" i="4"/>
  <c r="I1413" i="4"/>
  <c r="K1412" i="4"/>
  <c r="J1412" i="4"/>
  <c r="I1412" i="4"/>
  <c r="F1412" i="4"/>
  <c r="E1412" i="4"/>
  <c r="D1412" i="4"/>
  <c r="C1412" i="4"/>
  <c r="O1411" i="4"/>
  <c r="K1411" i="4"/>
  <c r="J1411" i="4"/>
  <c r="I1411" i="4"/>
  <c r="G1411" i="4"/>
  <c r="O1410" i="4"/>
  <c r="K1410" i="4"/>
  <c r="J1410" i="4"/>
  <c r="I1410" i="4"/>
  <c r="G1410" i="4"/>
  <c r="O1409" i="4"/>
  <c r="K1409" i="4"/>
  <c r="J1409" i="4"/>
  <c r="I1409" i="4"/>
  <c r="G1409" i="4"/>
  <c r="O1408" i="4"/>
  <c r="K1408" i="4"/>
  <c r="J1408" i="4"/>
  <c r="I1408" i="4"/>
  <c r="G1408" i="4"/>
  <c r="O1407" i="4"/>
  <c r="K1407" i="4"/>
  <c r="J1407" i="4"/>
  <c r="I1407" i="4"/>
  <c r="G1407" i="4"/>
  <c r="K1406" i="4"/>
  <c r="J1406" i="4"/>
  <c r="I1406" i="4"/>
  <c r="G1406" i="4"/>
  <c r="F1406" i="4"/>
  <c r="E1406" i="4"/>
  <c r="D1406" i="4"/>
  <c r="C1406" i="4"/>
  <c r="O1405" i="4"/>
  <c r="K1405" i="4"/>
  <c r="J1405" i="4"/>
  <c r="I1405" i="4"/>
  <c r="G1405" i="4"/>
  <c r="F1405" i="4"/>
  <c r="O1404" i="4"/>
  <c r="K1404" i="4"/>
  <c r="J1404" i="4"/>
  <c r="I1404" i="4"/>
  <c r="G1404" i="4"/>
  <c r="O1403" i="4"/>
  <c r="K1403" i="4"/>
  <c r="J1403" i="4"/>
  <c r="I1403" i="4"/>
  <c r="K1402" i="4"/>
  <c r="J1402" i="4"/>
  <c r="I1402" i="4"/>
  <c r="G1402" i="4"/>
  <c r="F1402" i="4"/>
  <c r="E1402" i="4"/>
  <c r="D1402" i="4"/>
  <c r="C1402" i="4"/>
  <c r="O1401" i="4"/>
  <c r="K1401" i="4"/>
  <c r="J1401" i="4"/>
  <c r="I1401" i="4"/>
  <c r="G1401" i="4"/>
  <c r="O1400" i="4"/>
  <c r="K1400" i="4"/>
  <c r="J1400" i="4"/>
  <c r="I1400" i="4"/>
  <c r="G1400" i="4"/>
  <c r="O1399" i="4"/>
  <c r="K1399" i="4"/>
  <c r="J1399" i="4"/>
  <c r="I1399" i="4"/>
  <c r="G1399" i="4"/>
  <c r="O1398" i="4"/>
  <c r="K1398" i="4"/>
  <c r="J1398" i="4"/>
  <c r="I1398" i="4"/>
  <c r="K1397" i="4"/>
  <c r="J1397" i="4"/>
  <c r="I1397" i="4"/>
  <c r="G1397" i="4"/>
  <c r="F1397" i="4"/>
  <c r="E1397" i="4"/>
  <c r="D1397" i="4"/>
  <c r="C1397" i="4"/>
  <c r="O1396" i="4"/>
  <c r="K1396" i="4"/>
  <c r="J1396" i="4"/>
  <c r="I1396" i="4"/>
  <c r="G1396" i="4"/>
  <c r="O1395" i="4"/>
  <c r="K1395" i="4"/>
  <c r="J1395" i="4"/>
  <c r="I1395" i="4"/>
  <c r="G1395" i="4"/>
  <c r="O1394" i="4"/>
  <c r="K1394" i="4"/>
  <c r="J1394" i="4"/>
  <c r="I1394" i="4"/>
  <c r="G1394" i="4"/>
  <c r="O1393" i="4"/>
  <c r="K1393" i="4"/>
  <c r="J1393" i="4"/>
  <c r="I1393" i="4"/>
  <c r="K1392" i="4"/>
  <c r="J1392" i="4"/>
  <c r="I1392" i="4"/>
  <c r="G1392" i="4"/>
  <c r="F1392" i="4"/>
  <c r="E1392" i="4"/>
  <c r="D1392" i="4"/>
  <c r="C1392" i="4"/>
  <c r="O1391" i="4"/>
  <c r="K1391" i="4"/>
  <c r="J1391" i="4"/>
  <c r="I1391" i="4"/>
  <c r="G1391" i="4"/>
  <c r="O1390" i="4"/>
  <c r="K1390" i="4"/>
  <c r="J1390" i="4"/>
  <c r="I1390" i="4"/>
  <c r="G1390" i="4"/>
  <c r="O1389" i="4"/>
  <c r="K1389" i="4"/>
  <c r="J1389" i="4"/>
  <c r="I1389" i="4"/>
  <c r="G1389" i="4"/>
  <c r="O1388" i="4"/>
  <c r="K1388" i="4"/>
  <c r="J1388" i="4"/>
  <c r="I1388" i="4"/>
  <c r="K1387" i="4"/>
  <c r="J1387" i="4"/>
  <c r="I1387" i="4"/>
  <c r="G1387" i="4"/>
  <c r="F1387" i="4"/>
  <c r="E1387" i="4"/>
  <c r="D1387" i="4"/>
  <c r="C1387" i="4"/>
  <c r="O1386" i="4"/>
  <c r="K1386" i="4"/>
  <c r="J1386" i="4"/>
  <c r="I1386" i="4"/>
  <c r="G1386" i="4"/>
  <c r="O1385" i="4"/>
  <c r="K1385" i="4"/>
  <c r="J1385" i="4"/>
  <c r="I1385" i="4"/>
  <c r="G1385" i="4"/>
  <c r="O1384" i="4"/>
  <c r="K1384" i="4"/>
  <c r="J1384" i="4"/>
  <c r="I1384" i="4"/>
  <c r="G1384" i="4"/>
  <c r="O1383" i="4"/>
  <c r="K1383" i="4"/>
  <c r="J1383" i="4"/>
  <c r="I1383" i="4"/>
  <c r="G1383" i="4"/>
  <c r="O1382" i="4"/>
  <c r="K1382" i="4"/>
  <c r="J1382" i="4"/>
  <c r="I1382" i="4"/>
  <c r="K1381" i="4"/>
  <c r="J1381" i="4"/>
  <c r="I1381" i="4"/>
  <c r="G1381" i="4"/>
  <c r="F1381" i="4"/>
  <c r="E1381" i="4"/>
  <c r="D1381" i="4"/>
  <c r="C1381" i="4"/>
  <c r="O1380" i="4"/>
  <c r="K1380" i="4"/>
  <c r="J1380" i="4"/>
  <c r="I1380" i="4"/>
  <c r="G1380" i="4"/>
  <c r="O1379" i="4"/>
  <c r="K1379" i="4"/>
  <c r="J1379" i="4"/>
  <c r="I1379" i="4"/>
  <c r="G1379" i="4"/>
  <c r="O1378" i="4"/>
  <c r="K1378" i="4"/>
  <c r="J1378" i="4"/>
  <c r="I1378" i="4"/>
  <c r="G1378" i="4"/>
  <c r="O1377" i="4"/>
  <c r="K1377" i="4"/>
  <c r="J1377" i="4"/>
  <c r="I1377" i="4"/>
  <c r="K1376" i="4"/>
  <c r="J1376" i="4"/>
  <c r="I1376" i="4"/>
  <c r="G1376" i="4"/>
  <c r="F1376" i="4"/>
  <c r="E1376" i="4"/>
  <c r="C1376" i="4"/>
  <c r="O1375" i="4"/>
  <c r="K1375" i="4"/>
  <c r="J1375" i="4"/>
  <c r="I1375" i="4"/>
  <c r="G1375" i="4"/>
  <c r="O1374" i="4"/>
  <c r="K1374" i="4"/>
  <c r="J1374" i="4"/>
  <c r="I1374" i="4"/>
  <c r="G1374" i="4"/>
  <c r="K1373" i="4"/>
  <c r="J1373" i="4"/>
  <c r="I1373" i="4"/>
  <c r="G1373" i="4"/>
  <c r="F1373" i="4"/>
  <c r="E1373" i="4"/>
  <c r="D1373" i="4"/>
  <c r="C1373" i="4"/>
  <c r="O1372" i="4"/>
  <c r="K1372" i="4"/>
  <c r="J1372" i="4"/>
  <c r="I1372" i="4"/>
  <c r="G1372" i="4"/>
  <c r="O1371" i="4"/>
  <c r="K1371" i="4"/>
  <c r="J1371" i="4"/>
  <c r="I1371" i="4"/>
  <c r="G1371" i="4"/>
  <c r="O1370" i="4"/>
  <c r="K1370" i="4"/>
  <c r="J1370" i="4"/>
  <c r="I1370" i="4"/>
  <c r="G1370" i="4"/>
  <c r="O1369" i="4"/>
  <c r="K1369" i="4"/>
  <c r="J1369" i="4"/>
  <c r="I1369" i="4"/>
  <c r="K1368" i="4"/>
  <c r="J1368" i="4"/>
  <c r="I1368" i="4"/>
  <c r="G1368" i="4"/>
  <c r="F1368" i="4"/>
  <c r="E1368" i="4"/>
  <c r="D1368" i="4"/>
  <c r="C1368" i="4"/>
  <c r="O1367" i="4"/>
  <c r="K1367" i="4"/>
  <c r="J1367" i="4"/>
  <c r="I1367" i="4"/>
  <c r="G1367" i="4"/>
  <c r="O1366" i="4"/>
  <c r="K1366" i="4"/>
  <c r="J1366" i="4"/>
  <c r="I1366" i="4"/>
  <c r="C1366" i="4"/>
  <c r="K1365" i="4"/>
  <c r="J1365" i="4"/>
  <c r="I1365" i="4"/>
  <c r="G1365" i="4"/>
  <c r="F1365" i="4"/>
  <c r="E1365" i="4"/>
  <c r="D1365" i="4"/>
  <c r="C1365" i="4"/>
  <c r="O1364" i="4"/>
  <c r="K1364" i="4"/>
  <c r="J1364" i="4"/>
  <c r="I1364" i="4"/>
  <c r="G1364" i="4"/>
  <c r="O1363" i="4"/>
  <c r="K1363" i="4"/>
  <c r="J1363" i="4"/>
  <c r="I1363" i="4"/>
  <c r="G1363" i="4"/>
  <c r="O1362" i="4"/>
  <c r="K1362" i="4"/>
  <c r="J1362" i="4"/>
  <c r="I1362" i="4"/>
  <c r="G1362" i="4"/>
  <c r="O1361" i="4"/>
  <c r="K1361" i="4"/>
  <c r="J1361" i="4"/>
  <c r="I1361" i="4"/>
  <c r="C1361" i="4"/>
  <c r="K1360" i="4"/>
  <c r="J1360" i="4"/>
  <c r="I1360" i="4"/>
  <c r="G1360" i="4"/>
  <c r="F1360" i="4"/>
  <c r="E1360" i="4"/>
  <c r="D1360" i="4"/>
  <c r="C1360" i="4"/>
  <c r="O1359" i="4"/>
  <c r="K1359" i="4"/>
  <c r="J1359" i="4"/>
  <c r="I1359" i="4"/>
  <c r="G1359" i="4"/>
  <c r="O1358" i="4"/>
  <c r="K1358" i="4"/>
  <c r="J1358" i="4"/>
  <c r="I1358" i="4"/>
  <c r="G1358" i="4"/>
  <c r="O1357" i="4"/>
  <c r="K1357" i="4"/>
  <c r="J1357" i="4"/>
  <c r="I1357" i="4"/>
  <c r="G1357" i="4"/>
  <c r="O1356" i="4"/>
  <c r="K1356" i="4"/>
  <c r="J1356" i="4"/>
  <c r="I1356" i="4"/>
  <c r="C1356" i="4"/>
  <c r="K1355" i="4"/>
  <c r="J1355" i="4"/>
  <c r="I1355" i="4"/>
  <c r="G1355" i="4"/>
  <c r="F1355" i="4"/>
  <c r="E1355" i="4"/>
  <c r="D1355" i="4"/>
  <c r="C1355" i="4"/>
  <c r="O1354" i="4"/>
  <c r="K1354" i="4"/>
  <c r="J1354" i="4"/>
  <c r="I1354" i="4"/>
  <c r="G1354" i="4"/>
  <c r="O1353" i="4"/>
  <c r="K1353" i="4"/>
  <c r="J1353" i="4"/>
  <c r="I1353" i="4"/>
  <c r="G1353" i="4"/>
  <c r="O1352" i="4"/>
  <c r="K1352" i="4"/>
  <c r="J1352" i="4"/>
  <c r="I1352" i="4"/>
  <c r="G1352" i="4"/>
  <c r="O1351" i="4"/>
  <c r="K1351" i="4"/>
  <c r="J1351" i="4"/>
  <c r="I1351" i="4"/>
  <c r="K1350" i="4"/>
  <c r="J1350" i="4"/>
  <c r="I1350" i="4"/>
  <c r="G1350" i="4"/>
  <c r="F1350" i="4"/>
  <c r="E1350" i="4"/>
  <c r="D1350" i="4"/>
  <c r="C1350" i="4"/>
  <c r="O1349" i="4"/>
  <c r="K1349" i="4"/>
  <c r="J1349" i="4"/>
  <c r="I1349" i="4"/>
  <c r="G1349" i="4"/>
  <c r="O1348" i="4"/>
  <c r="K1348" i="4"/>
  <c r="J1348" i="4"/>
  <c r="I1348" i="4"/>
  <c r="G1348" i="4"/>
  <c r="O1347" i="4"/>
  <c r="K1347" i="4"/>
  <c r="J1347" i="4"/>
  <c r="I1347" i="4"/>
  <c r="G1347" i="4"/>
  <c r="O1346" i="4"/>
  <c r="K1346" i="4"/>
  <c r="J1346" i="4"/>
  <c r="I1346" i="4"/>
  <c r="C1346" i="4"/>
  <c r="K1345" i="4"/>
  <c r="J1345" i="4"/>
  <c r="I1345" i="4"/>
  <c r="G1345" i="4"/>
  <c r="F1345" i="4"/>
  <c r="E1345" i="4"/>
  <c r="D1345" i="4"/>
  <c r="C1345" i="4"/>
  <c r="O1344" i="4"/>
  <c r="K1344" i="4"/>
  <c r="J1344" i="4"/>
  <c r="I1344" i="4"/>
  <c r="G1344" i="4"/>
  <c r="F1344" i="4"/>
  <c r="O1343" i="4"/>
  <c r="K1343" i="4"/>
  <c r="J1343" i="4"/>
  <c r="I1343" i="4"/>
  <c r="G1343" i="4"/>
  <c r="O1342" i="4"/>
  <c r="K1342" i="4"/>
  <c r="J1342" i="4"/>
  <c r="I1342" i="4"/>
  <c r="C1342" i="4"/>
  <c r="K1341" i="4"/>
  <c r="J1341" i="4"/>
  <c r="I1341" i="4"/>
  <c r="G1341" i="4"/>
  <c r="F1341" i="4"/>
  <c r="E1341" i="4"/>
  <c r="D1341" i="4"/>
  <c r="C1341" i="4"/>
  <c r="O1340" i="4"/>
  <c r="K1340" i="4"/>
  <c r="J1340" i="4"/>
  <c r="I1340" i="4"/>
  <c r="G1340" i="4"/>
  <c r="O1339" i="4"/>
  <c r="K1339" i="4"/>
  <c r="J1339" i="4"/>
  <c r="I1339" i="4"/>
  <c r="G1339" i="4"/>
  <c r="O1338" i="4"/>
  <c r="K1338" i="4"/>
  <c r="J1338" i="4"/>
  <c r="I1338" i="4"/>
  <c r="G1338" i="4"/>
  <c r="O1337" i="4"/>
  <c r="K1337" i="4"/>
  <c r="J1337" i="4"/>
  <c r="I1337" i="4"/>
  <c r="K1336" i="4"/>
  <c r="J1336" i="4"/>
  <c r="I1336" i="4"/>
  <c r="G1336" i="4"/>
  <c r="F1336" i="4"/>
  <c r="E1336" i="4"/>
  <c r="D1336" i="4"/>
  <c r="C1336" i="4"/>
  <c r="O1335" i="4"/>
  <c r="K1335" i="4"/>
  <c r="J1335" i="4"/>
  <c r="I1335" i="4"/>
  <c r="G1335" i="4"/>
  <c r="F1335" i="4"/>
  <c r="O1334" i="4"/>
  <c r="K1334" i="4"/>
  <c r="J1334" i="4"/>
  <c r="I1334" i="4"/>
  <c r="G1334" i="4"/>
  <c r="O1333" i="4"/>
  <c r="K1333" i="4"/>
  <c r="J1333" i="4"/>
  <c r="I1333" i="4"/>
  <c r="G1333" i="4"/>
  <c r="O1332" i="4"/>
  <c r="K1332" i="4"/>
  <c r="J1332" i="4"/>
  <c r="I1332" i="4"/>
  <c r="K1331" i="4"/>
  <c r="J1331" i="4"/>
  <c r="I1331" i="4"/>
  <c r="G1331" i="4"/>
  <c r="F1331" i="4"/>
  <c r="E1331" i="4"/>
  <c r="D1331" i="4"/>
  <c r="C1331" i="4"/>
  <c r="O1330" i="4"/>
  <c r="K1330" i="4"/>
  <c r="J1330" i="4"/>
  <c r="I1330" i="4"/>
  <c r="G1330" i="4"/>
  <c r="O1329" i="4"/>
  <c r="K1329" i="4"/>
  <c r="J1329" i="4"/>
  <c r="I1329" i="4"/>
  <c r="G1329" i="4"/>
  <c r="O1328" i="4"/>
  <c r="K1328" i="4"/>
  <c r="J1328" i="4"/>
  <c r="I1328" i="4"/>
  <c r="K1327" i="4"/>
  <c r="J1327" i="4"/>
  <c r="I1327" i="4"/>
  <c r="G1327" i="4"/>
  <c r="F1327" i="4"/>
  <c r="E1327" i="4"/>
  <c r="D1327" i="4"/>
  <c r="C1327" i="4"/>
  <c r="O1326" i="4"/>
  <c r="K1326" i="4"/>
  <c r="J1326" i="4"/>
  <c r="I1326" i="4"/>
  <c r="G1326" i="4"/>
  <c r="O1325" i="4"/>
  <c r="K1325" i="4"/>
  <c r="J1325" i="4"/>
  <c r="I1325" i="4"/>
  <c r="G1325" i="4"/>
  <c r="O1324" i="4"/>
  <c r="K1324" i="4"/>
  <c r="J1324" i="4"/>
  <c r="I1324" i="4"/>
  <c r="G1324" i="4"/>
  <c r="O1323" i="4"/>
  <c r="K1323" i="4"/>
  <c r="J1323" i="4"/>
  <c r="I1323" i="4"/>
  <c r="C1323" i="4"/>
  <c r="K1322" i="4"/>
  <c r="J1322" i="4"/>
  <c r="I1322" i="4"/>
  <c r="G1322" i="4"/>
  <c r="F1322" i="4"/>
  <c r="E1322" i="4"/>
  <c r="D1322" i="4"/>
  <c r="C1322" i="4"/>
  <c r="O1321" i="4"/>
  <c r="K1321" i="4"/>
  <c r="J1321" i="4"/>
  <c r="I1321" i="4"/>
  <c r="G1321" i="4"/>
  <c r="O1320" i="4"/>
  <c r="K1320" i="4"/>
  <c r="J1320" i="4"/>
  <c r="I1320" i="4"/>
  <c r="G1320" i="4"/>
  <c r="O1319" i="4"/>
  <c r="K1319" i="4"/>
  <c r="J1319" i="4"/>
  <c r="I1319" i="4"/>
  <c r="G1319" i="4"/>
  <c r="O1318" i="4"/>
  <c r="K1318" i="4"/>
  <c r="J1318" i="4"/>
  <c r="I1318" i="4"/>
  <c r="K1317" i="4"/>
  <c r="J1317" i="4"/>
  <c r="I1317" i="4"/>
  <c r="G1317" i="4"/>
  <c r="F1317" i="4"/>
  <c r="E1317" i="4"/>
  <c r="D1317" i="4"/>
  <c r="C1317" i="4"/>
  <c r="O1316" i="4"/>
  <c r="K1316" i="4"/>
  <c r="J1316" i="4"/>
  <c r="I1316" i="4"/>
  <c r="G1316" i="4"/>
  <c r="O1315" i="4"/>
  <c r="K1315" i="4"/>
  <c r="J1315" i="4"/>
  <c r="I1315" i="4"/>
  <c r="G1315" i="4"/>
  <c r="O1314" i="4"/>
  <c r="K1314" i="4"/>
  <c r="J1314" i="4"/>
  <c r="I1314" i="4"/>
  <c r="G1314" i="4"/>
  <c r="O1313" i="4"/>
  <c r="K1313" i="4"/>
  <c r="J1313" i="4"/>
  <c r="I1313" i="4"/>
  <c r="G1313" i="4"/>
  <c r="O1312" i="4"/>
  <c r="K1312" i="4"/>
  <c r="J1312" i="4"/>
  <c r="I1312" i="4"/>
  <c r="K1311" i="4"/>
  <c r="J1311" i="4"/>
  <c r="I1311" i="4"/>
  <c r="G1311" i="4"/>
  <c r="F1311" i="4"/>
  <c r="E1311" i="4"/>
  <c r="D1311" i="4"/>
  <c r="C1311" i="4"/>
  <c r="O1310" i="4"/>
  <c r="K1310" i="4"/>
  <c r="J1310" i="4"/>
  <c r="I1310" i="4"/>
  <c r="G1310" i="4"/>
  <c r="O1309" i="4"/>
  <c r="K1309" i="4"/>
  <c r="J1309" i="4"/>
  <c r="I1309" i="4"/>
  <c r="G1309" i="4"/>
  <c r="O1308" i="4"/>
  <c r="K1308" i="4"/>
  <c r="J1308" i="4"/>
  <c r="I1308" i="4"/>
  <c r="G1308" i="4"/>
  <c r="O1307" i="4"/>
  <c r="K1307" i="4"/>
  <c r="J1307" i="4"/>
  <c r="I1307" i="4"/>
  <c r="G1307" i="4"/>
  <c r="O1306" i="4"/>
  <c r="K1306" i="4"/>
  <c r="J1306" i="4"/>
  <c r="I1306" i="4"/>
  <c r="K1305" i="4"/>
  <c r="J1305" i="4"/>
  <c r="I1305" i="4"/>
  <c r="G1305" i="4"/>
  <c r="F1305" i="4"/>
  <c r="E1305" i="4"/>
  <c r="D1305" i="4"/>
  <c r="C1305" i="4"/>
  <c r="O1304" i="4"/>
  <c r="K1304" i="4"/>
  <c r="J1304" i="4"/>
  <c r="I1304" i="4"/>
  <c r="G1304" i="4"/>
  <c r="O1303" i="4"/>
  <c r="K1303" i="4"/>
  <c r="J1303" i="4"/>
  <c r="I1303" i="4"/>
  <c r="G1303" i="4"/>
  <c r="O1302" i="4"/>
  <c r="K1302" i="4"/>
  <c r="J1302" i="4"/>
  <c r="I1302" i="4"/>
  <c r="K1301" i="4"/>
  <c r="J1301" i="4"/>
  <c r="I1301" i="4"/>
  <c r="G1301" i="4"/>
  <c r="F1301" i="4"/>
  <c r="E1301" i="4"/>
  <c r="D1301" i="4"/>
  <c r="C1301" i="4"/>
  <c r="O1300" i="4"/>
  <c r="K1300" i="4"/>
  <c r="J1300" i="4"/>
  <c r="I1300" i="4"/>
  <c r="G1300" i="4"/>
  <c r="F1300" i="4"/>
  <c r="O1299" i="4"/>
  <c r="K1299" i="4"/>
  <c r="J1299" i="4"/>
  <c r="I1299" i="4"/>
  <c r="G1299" i="4"/>
  <c r="O1298" i="4"/>
  <c r="K1298" i="4"/>
  <c r="J1298" i="4"/>
  <c r="I1298" i="4"/>
  <c r="G1298" i="4"/>
  <c r="O1297" i="4"/>
  <c r="K1297" i="4"/>
  <c r="J1297" i="4"/>
  <c r="I1297" i="4"/>
  <c r="K1296" i="4"/>
  <c r="J1296" i="4"/>
  <c r="I1296" i="4"/>
  <c r="G1296" i="4"/>
  <c r="F1296" i="4"/>
  <c r="E1296" i="4"/>
  <c r="D1296" i="4"/>
  <c r="C1296" i="4"/>
  <c r="O1295" i="4"/>
  <c r="K1295" i="4"/>
  <c r="J1295" i="4"/>
  <c r="I1295" i="4"/>
  <c r="G1295" i="4"/>
  <c r="O1294" i="4"/>
  <c r="K1294" i="4"/>
  <c r="J1294" i="4"/>
  <c r="I1294" i="4"/>
  <c r="G1294" i="4"/>
  <c r="O1293" i="4"/>
  <c r="K1293" i="4"/>
  <c r="J1293" i="4"/>
  <c r="I1293" i="4"/>
  <c r="K1292" i="4"/>
  <c r="J1292" i="4"/>
  <c r="I1292" i="4"/>
  <c r="G1292" i="4"/>
  <c r="F1292" i="4"/>
  <c r="E1292" i="4"/>
  <c r="D1292" i="4"/>
  <c r="C1292" i="4"/>
  <c r="O1291" i="4"/>
  <c r="K1291" i="4"/>
  <c r="J1291" i="4"/>
  <c r="I1291" i="4"/>
  <c r="G1291" i="4"/>
  <c r="O1290" i="4"/>
  <c r="K1290" i="4"/>
  <c r="J1290" i="4"/>
  <c r="I1290" i="4"/>
  <c r="G1290" i="4"/>
  <c r="O1289" i="4"/>
  <c r="K1289" i="4"/>
  <c r="J1289" i="4"/>
  <c r="I1289" i="4"/>
  <c r="G1289" i="4"/>
  <c r="O1288" i="4"/>
  <c r="K1288" i="4"/>
  <c r="J1288" i="4"/>
  <c r="I1288" i="4"/>
  <c r="G1288" i="4"/>
  <c r="O1287" i="4"/>
  <c r="K1287" i="4"/>
  <c r="J1287" i="4"/>
  <c r="I1287" i="4"/>
  <c r="K1286" i="4"/>
  <c r="J1286" i="4"/>
  <c r="I1286" i="4"/>
  <c r="G1286" i="4"/>
  <c r="F1286" i="4"/>
  <c r="E1286" i="4"/>
  <c r="D1286" i="4"/>
  <c r="C1286" i="4"/>
  <c r="O1285" i="4"/>
  <c r="K1285" i="4"/>
  <c r="J1285" i="4"/>
  <c r="I1285" i="4"/>
  <c r="G1285" i="4"/>
  <c r="O1284" i="4"/>
  <c r="K1284" i="4"/>
  <c r="J1284" i="4"/>
  <c r="I1284" i="4"/>
  <c r="G1284" i="4"/>
  <c r="O1283" i="4"/>
  <c r="K1283" i="4"/>
  <c r="J1283" i="4"/>
  <c r="I1283" i="4"/>
  <c r="G1283" i="4"/>
  <c r="O1282" i="4"/>
  <c r="K1282" i="4"/>
  <c r="J1282" i="4"/>
  <c r="I1282" i="4"/>
  <c r="G1282" i="4"/>
  <c r="O1281" i="4"/>
  <c r="K1281" i="4"/>
  <c r="J1281" i="4"/>
  <c r="I1281" i="4"/>
  <c r="K1280" i="4"/>
  <c r="J1280" i="4"/>
  <c r="I1280" i="4"/>
  <c r="G1280" i="4"/>
  <c r="F1280" i="4"/>
  <c r="E1280" i="4"/>
  <c r="D1280" i="4"/>
  <c r="C1280" i="4"/>
  <c r="O1279" i="4"/>
  <c r="K1279" i="4"/>
  <c r="J1279" i="4"/>
  <c r="I1279" i="4"/>
  <c r="G1279" i="4"/>
  <c r="O1278" i="4"/>
  <c r="K1278" i="4"/>
  <c r="J1278" i="4"/>
  <c r="I1278" i="4"/>
  <c r="G1278" i="4"/>
  <c r="O1277" i="4"/>
  <c r="K1277" i="4"/>
  <c r="J1277" i="4"/>
  <c r="I1277" i="4"/>
  <c r="G1277" i="4"/>
  <c r="O1276" i="4"/>
  <c r="K1276" i="4"/>
  <c r="J1276" i="4"/>
  <c r="I1276" i="4"/>
  <c r="K1275" i="4"/>
  <c r="J1275" i="4"/>
  <c r="I1275" i="4"/>
  <c r="G1275" i="4"/>
  <c r="F1275" i="4"/>
  <c r="E1275" i="4"/>
  <c r="D1275" i="4"/>
  <c r="C1275" i="4"/>
  <c r="K1274" i="4"/>
  <c r="J1274" i="4"/>
  <c r="I1274" i="4"/>
  <c r="G1274" i="4"/>
  <c r="F1274" i="4"/>
  <c r="E1274" i="4"/>
  <c r="D1274" i="4"/>
  <c r="C1274" i="4"/>
  <c r="O1273" i="4"/>
  <c r="K1273" i="4"/>
  <c r="J1273" i="4"/>
  <c r="I1273" i="4"/>
  <c r="G1273" i="4"/>
  <c r="O1272" i="4"/>
  <c r="K1272" i="4"/>
  <c r="J1272" i="4"/>
  <c r="I1272" i="4"/>
  <c r="G1272" i="4"/>
  <c r="O1271" i="4"/>
  <c r="K1271" i="4"/>
  <c r="J1271" i="4"/>
  <c r="I1271" i="4"/>
  <c r="K1270" i="4"/>
  <c r="J1270" i="4"/>
  <c r="I1270" i="4"/>
  <c r="G1270" i="4"/>
  <c r="F1270" i="4"/>
  <c r="E1270" i="4"/>
  <c r="D1270" i="4"/>
  <c r="C1270" i="4"/>
  <c r="O1269" i="4"/>
  <c r="K1269" i="4"/>
  <c r="J1269" i="4"/>
  <c r="I1269" i="4"/>
  <c r="G1269" i="4"/>
  <c r="O1268" i="4"/>
  <c r="K1268" i="4"/>
  <c r="J1268" i="4"/>
  <c r="I1268" i="4"/>
  <c r="G1268" i="4"/>
  <c r="O1267" i="4"/>
  <c r="K1267" i="4"/>
  <c r="J1267" i="4"/>
  <c r="I1267" i="4"/>
  <c r="G1267" i="4"/>
  <c r="O1266" i="4"/>
  <c r="K1266" i="4"/>
  <c r="J1266" i="4"/>
  <c r="I1266" i="4"/>
  <c r="K1265" i="4"/>
  <c r="J1265" i="4"/>
  <c r="I1265" i="4"/>
  <c r="G1265" i="4"/>
  <c r="F1265" i="4"/>
  <c r="E1265" i="4"/>
  <c r="D1265" i="4"/>
  <c r="C1265" i="4"/>
  <c r="O1264" i="4"/>
  <c r="K1264" i="4"/>
  <c r="J1264" i="4"/>
  <c r="I1264" i="4"/>
  <c r="G1264" i="4"/>
  <c r="O1263" i="4"/>
  <c r="K1263" i="4"/>
  <c r="J1263" i="4"/>
  <c r="I1263" i="4"/>
  <c r="G1263" i="4"/>
  <c r="O1262" i="4"/>
  <c r="K1262" i="4"/>
  <c r="J1262" i="4"/>
  <c r="I1262" i="4"/>
  <c r="G1262" i="4"/>
  <c r="O1261" i="4"/>
  <c r="K1261" i="4"/>
  <c r="J1261" i="4"/>
  <c r="I1261" i="4"/>
  <c r="C1261" i="4"/>
  <c r="K1260" i="4"/>
  <c r="J1260" i="4"/>
  <c r="I1260" i="4"/>
  <c r="G1260" i="4"/>
  <c r="F1260" i="4"/>
  <c r="E1260" i="4"/>
  <c r="D1260" i="4"/>
  <c r="C1260" i="4"/>
  <c r="O1259" i="4"/>
  <c r="K1259" i="4"/>
  <c r="J1259" i="4"/>
  <c r="I1259" i="4"/>
  <c r="G1259" i="4"/>
  <c r="O1258" i="4"/>
  <c r="K1258" i="4"/>
  <c r="J1258" i="4"/>
  <c r="I1258" i="4"/>
  <c r="G1258" i="4"/>
  <c r="O1257" i="4"/>
  <c r="K1257" i="4"/>
  <c r="J1257" i="4"/>
  <c r="I1257" i="4"/>
  <c r="K1256" i="4"/>
  <c r="J1256" i="4"/>
  <c r="I1256" i="4"/>
  <c r="G1256" i="4"/>
  <c r="F1256" i="4"/>
  <c r="E1256" i="4"/>
  <c r="D1256" i="4"/>
  <c r="C1256" i="4"/>
  <c r="O1255" i="4"/>
  <c r="K1255" i="4"/>
  <c r="J1255" i="4"/>
  <c r="I1255" i="4"/>
  <c r="G1255" i="4"/>
  <c r="O1254" i="4"/>
  <c r="K1254" i="4"/>
  <c r="J1254" i="4"/>
  <c r="I1254" i="4"/>
  <c r="E1254" i="4"/>
  <c r="K1253" i="4"/>
  <c r="J1253" i="4"/>
  <c r="I1253" i="4"/>
  <c r="G1253" i="4"/>
  <c r="F1253" i="4"/>
  <c r="E1253" i="4"/>
  <c r="D1253" i="4"/>
  <c r="C1253" i="4"/>
  <c r="O1252" i="4"/>
  <c r="K1252" i="4"/>
  <c r="J1252" i="4"/>
  <c r="I1252" i="4"/>
  <c r="G1252" i="4"/>
  <c r="O1251" i="4"/>
  <c r="K1251" i="4"/>
  <c r="J1251" i="4"/>
  <c r="I1251" i="4"/>
  <c r="G1251" i="4"/>
  <c r="O1250" i="4"/>
  <c r="K1250" i="4"/>
  <c r="J1250" i="4"/>
  <c r="I1250" i="4"/>
  <c r="G1250" i="4"/>
  <c r="O1249" i="4"/>
  <c r="K1249" i="4"/>
  <c r="J1249" i="4"/>
  <c r="I1249" i="4"/>
  <c r="K1248" i="4"/>
  <c r="J1248" i="4"/>
  <c r="I1248" i="4"/>
  <c r="G1248" i="4"/>
  <c r="F1248" i="4"/>
  <c r="E1248" i="4"/>
  <c r="D1248" i="4"/>
  <c r="C1248" i="4"/>
  <c r="O1247" i="4"/>
  <c r="K1247" i="4"/>
  <c r="J1247" i="4"/>
  <c r="I1247" i="4"/>
  <c r="G1247" i="4"/>
  <c r="O1246" i="4"/>
  <c r="K1246" i="4"/>
  <c r="J1246" i="4"/>
  <c r="I1246" i="4"/>
  <c r="G1246" i="4"/>
  <c r="O1245" i="4"/>
  <c r="K1245" i="4"/>
  <c r="J1245" i="4"/>
  <c r="I1245" i="4"/>
  <c r="K1244" i="4"/>
  <c r="J1244" i="4"/>
  <c r="I1244" i="4"/>
  <c r="G1244" i="4"/>
  <c r="F1244" i="4"/>
  <c r="E1244" i="4"/>
  <c r="D1244" i="4"/>
  <c r="C1244" i="4"/>
  <c r="O1243" i="4"/>
  <c r="K1243" i="4"/>
  <c r="J1243" i="4"/>
  <c r="I1243" i="4"/>
  <c r="G1243" i="4"/>
  <c r="O1242" i="4"/>
  <c r="K1242" i="4"/>
  <c r="J1242" i="4"/>
  <c r="I1242" i="4"/>
  <c r="G1242" i="4"/>
  <c r="O1241" i="4"/>
  <c r="K1241" i="4"/>
  <c r="J1241" i="4"/>
  <c r="I1241" i="4"/>
  <c r="G1241" i="4"/>
  <c r="O1240" i="4"/>
  <c r="K1240" i="4"/>
  <c r="J1240" i="4"/>
  <c r="I1240" i="4"/>
  <c r="K1239" i="4"/>
  <c r="J1239" i="4"/>
  <c r="I1239" i="4"/>
  <c r="G1239" i="4"/>
  <c r="F1239" i="4"/>
  <c r="E1239" i="4"/>
  <c r="D1239" i="4"/>
  <c r="C1239" i="4"/>
  <c r="O1238" i="4"/>
  <c r="K1238" i="4"/>
  <c r="J1238" i="4"/>
  <c r="I1238" i="4"/>
  <c r="G1238" i="4"/>
  <c r="O1237" i="4"/>
  <c r="K1237" i="4"/>
  <c r="J1237" i="4"/>
  <c r="I1237" i="4"/>
  <c r="G1237" i="4"/>
  <c r="O1236" i="4"/>
  <c r="K1236" i="4"/>
  <c r="J1236" i="4"/>
  <c r="I1236" i="4"/>
  <c r="G1236" i="4"/>
  <c r="O1235" i="4"/>
  <c r="K1235" i="4"/>
  <c r="J1235" i="4"/>
  <c r="I1235" i="4"/>
  <c r="K1234" i="4"/>
  <c r="J1234" i="4"/>
  <c r="I1234" i="4"/>
  <c r="G1234" i="4"/>
  <c r="F1234" i="4"/>
  <c r="E1234" i="4"/>
  <c r="D1234" i="4"/>
  <c r="C1234" i="4"/>
  <c r="O1233" i="4"/>
  <c r="K1233" i="4"/>
  <c r="J1233" i="4"/>
  <c r="I1233" i="4"/>
  <c r="G1233" i="4"/>
  <c r="O1232" i="4"/>
  <c r="K1232" i="4"/>
  <c r="J1232" i="4"/>
  <c r="I1232" i="4"/>
  <c r="G1232" i="4"/>
  <c r="O1231" i="4"/>
  <c r="K1231" i="4"/>
  <c r="J1231" i="4"/>
  <c r="I1231" i="4"/>
  <c r="G1231" i="4"/>
  <c r="O1230" i="4"/>
  <c r="K1230" i="4"/>
  <c r="J1230" i="4"/>
  <c r="I1230" i="4"/>
  <c r="K1229" i="4"/>
  <c r="J1229" i="4"/>
  <c r="I1229" i="4"/>
  <c r="G1229" i="4"/>
  <c r="F1229" i="4"/>
  <c r="E1229" i="4"/>
  <c r="D1229" i="4"/>
  <c r="C1229" i="4"/>
  <c r="O1228" i="4"/>
  <c r="K1228" i="4"/>
  <c r="J1228" i="4"/>
  <c r="I1228" i="4"/>
  <c r="G1228" i="4"/>
  <c r="O1227" i="4"/>
  <c r="K1227" i="4"/>
  <c r="J1227" i="4"/>
  <c r="I1227" i="4"/>
  <c r="G1227" i="4"/>
  <c r="O1226" i="4"/>
  <c r="K1226" i="4"/>
  <c r="J1226" i="4"/>
  <c r="I1226" i="4"/>
  <c r="G1226" i="4"/>
  <c r="O1225" i="4"/>
  <c r="K1225" i="4"/>
  <c r="J1225" i="4"/>
  <c r="I1225" i="4"/>
  <c r="G1225" i="4"/>
  <c r="O1224" i="4"/>
  <c r="K1224" i="4"/>
  <c r="J1224" i="4"/>
  <c r="I1224" i="4"/>
  <c r="K1223" i="4"/>
  <c r="J1223" i="4"/>
  <c r="I1223" i="4"/>
  <c r="G1223" i="4"/>
  <c r="F1223" i="4"/>
  <c r="E1223" i="4"/>
  <c r="D1223" i="4"/>
  <c r="C1223" i="4"/>
  <c r="O1222" i="4"/>
  <c r="K1222" i="4"/>
  <c r="J1222" i="4"/>
  <c r="I1222" i="4"/>
  <c r="K1221" i="4"/>
  <c r="J1221" i="4"/>
  <c r="I1221" i="4"/>
  <c r="G1221" i="4"/>
  <c r="F1221" i="4"/>
  <c r="E1221" i="4"/>
  <c r="D1221" i="4"/>
  <c r="C1221" i="4"/>
  <c r="O1220" i="4"/>
  <c r="K1220" i="4"/>
  <c r="J1220" i="4"/>
  <c r="I1220" i="4"/>
  <c r="G1220" i="4"/>
  <c r="O1219" i="4"/>
  <c r="K1219" i="4"/>
  <c r="J1219" i="4"/>
  <c r="I1219" i="4"/>
  <c r="G1219" i="4"/>
  <c r="O1218" i="4"/>
  <c r="K1218" i="4"/>
  <c r="J1218" i="4"/>
  <c r="I1218" i="4"/>
  <c r="K1217" i="4"/>
  <c r="J1217" i="4"/>
  <c r="I1217" i="4"/>
  <c r="G1217" i="4"/>
  <c r="F1217" i="4"/>
  <c r="E1217" i="4"/>
  <c r="D1217" i="4"/>
  <c r="C1217" i="4"/>
  <c r="O1216" i="4"/>
  <c r="K1216" i="4"/>
  <c r="J1216" i="4"/>
  <c r="I1216" i="4"/>
  <c r="G1216" i="4"/>
  <c r="O1215" i="4"/>
  <c r="K1215" i="4"/>
  <c r="J1215" i="4"/>
  <c r="I1215" i="4"/>
  <c r="G1215" i="4"/>
  <c r="O1214" i="4"/>
  <c r="K1214" i="4"/>
  <c r="J1214" i="4"/>
  <c r="I1214" i="4"/>
  <c r="G1214" i="4"/>
  <c r="O1213" i="4"/>
  <c r="K1213" i="4"/>
  <c r="J1213" i="4"/>
  <c r="I1213" i="4"/>
  <c r="K1212" i="4"/>
  <c r="J1212" i="4"/>
  <c r="I1212" i="4"/>
  <c r="G1212" i="4"/>
  <c r="F1212" i="4"/>
  <c r="E1212" i="4"/>
  <c r="D1212" i="4"/>
  <c r="C1212" i="4"/>
  <c r="O1211" i="4"/>
  <c r="K1211" i="4"/>
  <c r="J1211" i="4"/>
  <c r="I1211" i="4"/>
  <c r="G1211" i="4"/>
  <c r="O1210" i="4"/>
  <c r="K1210" i="4"/>
  <c r="J1210" i="4"/>
  <c r="I1210" i="4"/>
  <c r="G1210" i="4"/>
  <c r="O1209" i="4"/>
  <c r="K1209" i="4"/>
  <c r="J1209" i="4"/>
  <c r="I1209" i="4"/>
  <c r="G1209" i="4"/>
  <c r="O1208" i="4"/>
  <c r="K1208" i="4"/>
  <c r="J1208" i="4"/>
  <c r="I1208" i="4"/>
  <c r="K1207" i="4"/>
  <c r="J1207" i="4"/>
  <c r="I1207" i="4"/>
  <c r="G1207" i="4"/>
  <c r="F1207" i="4"/>
  <c r="E1207" i="4"/>
  <c r="D1207" i="4"/>
  <c r="C1207" i="4"/>
  <c r="O1206" i="4"/>
  <c r="K1206" i="4"/>
  <c r="J1206" i="4"/>
  <c r="I1206" i="4"/>
  <c r="G1206" i="4"/>
  <c r="O1205" i="4"/>
  <c r="K1205" i="4"/>
  <c r="J1205" i="4"/>
  <c r="I1205" i="4"/>
  <c r="G1205" i="4"/>
  <c r="O1204" i="4"/>
  <c r="K1204" i="4"/>
  <c r="J1204" i="4"/>
  <c r="I1204" i="4"/>
  <c r="G1204" i="4"/>
  <c r="O1203" i="4"/>
  <c r="K1203" i="4"/>
  <c r="J1203" i="4"/>
  <c r="I1203" i="4"/>
  <c r="K1202" i="4"/>
  <c r="J1202" i="4"/>
  <c r="I1202" i="4"/>
  <c r="G1202" i="4"/>
  <c r="F1202" i="4"/>
  <c r="E1202" i="4"/>
  <c r="D1202" i="4"/>
  <c r="C1202" i="4"/>
  <c r="O1201" i="4"/>
  <c r="K1201" i="4"/>
  <c r="J1201" i="4"/>
  <c r="I1201" i="4"/>
  <c r="G1201" i="4"/>
  <c r="O1200" i="4"/>
  <c r="K1200" i="4"/>
  <c r="J1200" i="4"/>
  <c r="I1200" i="4"/>
  <c r="G1200" i="4"/>
  <c r="O1199" i="4"/>
  <c r="K1199" i="4"/>
  <c r="J1199" i="4"/>
  <c r="I1199" i="4"/>
  <c r="K1198" i="4"/>
  <c r="J1198" i="4"/>
  <c r="I1198" i="4"/>
  <c r="G1198" i="4"/>
  <c r="F1198" i="4"/>
  <c r="E1198" i="4"/>
  <c r="D1198" i="4"/>
  <c r="C1198" i="4"/>
  <c r="O1197" i="4"/>
  <c r="K1197" i="4"/>
  <c r="J1197" i="4"/>
  <c r="I1197" i="4"/>
  <c r="G1197" i="4"/>
  <c r="O1196" i="4"/>
  <c r="K1196" i="4"/>
  <c r="J1196" i="4"/>
  <c r="I1196" i="4"/>
  <c r="G1196" i="4"/>
  <c r="O1195" i="4"/>
  <c r="K1195" i="4"/>
  <c r="J1195" i="4"/>
  <c r="I1195" i="4"/>
  <c r="G1195" i="4"/>
  <c r="O1194" i="4"/>
  <c r="K1194" i="4"/>
  <c r="J1194" i="4"/>
  <c r="I1194" i="4"/>
  <c r="G1194" i="4"/>
  <c r="O1193" i="4"/>
  <c r="K1193" i="4"/>
  <c r="J1193" i="4"/>
  <c r="I1193" i="4"/>
  <c r="C1193" i="4"/>
  <c r="K1192" i="4"/>
  <c r="J1192" i="4"/>
  <c r="I1192" i="4"/>
  <c r="G1192" i="4"/>
  <c r="F1192" i="4"/>
  <c r="E1192" i="4"/>
  <c r="D1192" i="4"/>
  <c r="C1192" i="4"/>
  <c r="O1191" i="4"/>
  <c r="K1191" i="4"/>
  <c r="J1191" i="4"/>
  <c r="I1191" i="4"/>
  <c r="G1191" i="4"/>
  <c r="O1190" i="4"/>
  <c r="K1190" i="4"/>
  <c r="J1190" i="4"/>
  <c r="I1190" i="4"/>
  <c r="G1190" i="4"/>
  <c r="O1189" i="4"/>
  <c r="K1189" i="4"/>
  <c r="J1189" i="4"/>
  <c r="I1189" i="4"/>
  <c r="G1189" i="4"/>
  <c r="O1188" i="4"/>
  <c r="K1188" i="4"/>
  <c r="J1188" i="4"/>
  <c r="I1188" i="4"/>
  <c r="G1188" i="4"/>
  <c r="O1187" i="4"/>
  <c r="K1187" i="4"/>
  <c r="J1187" i="4"/>
  <c r="I1187" i="4"/>
  <c r="K1186" i="4"/>
  <c r="J1186" i="4"/>
  <c r="I1186" i="4"/>
  <c r="G1186" i="4"/>
  <c r="F1186" i="4"/>
  <c r="E1186" i="4"/>
  <c r="D1186" i="4"/>
  <c r="C1186" i="4"/>
  <c r="O1185" i="4"/>
  <c r="K1185" i="4"/>
  <c r="J1185" i="4"/>
  <c r="I1185" i="4"/>
  <c r="G1185" i="4"/>
  <c r="O1184" i="4"/>
  <c r="K1184" i="4"/>
  <c r="J1184" i="4"/>
  <c r="I1184" i="4"/>
  <c r="G1184" i="4"/>
  <c r="O1183" i="4"/>
  <c r="K1183" i="4"/>
  <c r="J1183" i="4"/>
  <c r="I1183" i="4"/>
  <c r="G1183" i="4"/>
  <c r="O1182" i="4"/>
  <c r="K1182" i="4"/>
  <c r="J1182" i="4"/>
  <c r="I1182" i="4"/>
  <c r="K1181" i="4"/>
  <c r="J1181" i="4"/>
  <c r="I1181" i="4"/>
  <c r="G1181" i="4"/>
  <c r="F1181" i="4"/>
  <c r="E1181" i="4"/>
  <c r="D1181" i="4"/>
  <c r="C1181" i="4"/>
  <c r="O1180" i="4"/>
  <c r="K1180" i="4"/>
  <c r="J1180" i="4"/>
  <c r="I1180" i="4"/>
  <c r="G1180" i="4"/>
  <c r="O1179" i="4"/>
  <c r="K1179" i="4"/>
  <c r="J1179" i="4"/>
  <c r="I1179" i="4"/>
  <c r="C1179" i="4"/>
  <c r="K1178" i="4"/>
  <c r="J1178" i="4"/>
  <c r="I1178" i="4"/>
  <c r="G1178" i="4"/>
  <c r="F1178" i="4"/>
  <c r="E1178" i="4"/>
  <c r="D1178" i="4"/>
  <c r="C1178" i="4"/>
  <c r="O1177" i="4"/>
  <c r="K1177" i="4"/>
  <c r="J1177" i="4"/>
  <c r="I1177" i="4"/>
  <c r="G1177" i="4"/>
  <c r="O1176" i="4"/>
  <c r="K1176" i="4"/>
  <c r="J1176" i="4"/>
  <c r="I1176" i="4"/>
  <c r="G1176" i="4"/>
  <c r="O1175" i="4"/>
  <c r="K1175" i="4"/>
  <c r="J1175" i="4"/>
  <c r="I1175" i="4"/>
  <c r="G1175" i="4"/>
  <c r="O1174" i="4"/>
  <c r="K1174" i="4"/>
  <c r="J1174" i="4"/>
  <c r="I1174" i="4"/>
  <c r="G1174" i="4"/>
  <c r="O1173" i="4"/>
  <c r="K1173" i="4"/>
  <c r="J1173" i="4"/>
  <c r="I1173" i="4"/>
  <c r="K1172" i="4"/>
  <c r="J1172" i="4"/>
  <c r="I1172" i="4"/>
  <c r="G1172" i="4"/>
  <c r="F1172" i="4"/>
  <c r="E1172" i="4"/>
  <c r="D1172" i="4"/>
  <c r="C1172" i="4"/>
  <c r="O1171" i="4"/>
  <c r="K1171" i="4"/>
  <c r="J1171" i="4"/>
  <c r="I1171" i="4"/>
  <c r="G1171" i="4"/>
  <c r="O1170" i="4"/>
  <c r="K1170" i="4"/>
  <c r="J1170" i="4"/>
  <c r="I1170" i="4"/>
  <c r="G1170" i="4"/>
  <c r="O1169" i="4"/>
  <c r="K1169" i="4"/>
  <c r="J1169" i="4"/>
  <c r="I1169" i="4"/>
  <c r="K1168" i="4"/>
  <c r="J1168" i="4"/>
  <c r="I1168" i="4"/>
  <c r="G1168" i="4"/>
  <c r="F1168" i="4"/>
  <c r="E1168" i="4"/>
  <c r="D1168" i="4"/>
  <c r="C1168" i="4"/>
  <c r="O1167" i="4"/>
  <c r="K1167" i="4"/>
  <c r="J1167" i="4"/>
  <c r="I1167" i="4"/>
  <c r="G1167" i="4"/>
  <c r="O1166" i="4"/>
  <c r="K1166" i="4"/>
  <c r="J1166" i="4"/>
  <c r="I1166" i="4"/>
  <c r="G1166" i="4"/>
  <c r="O1165" i="4"/>
  <c r="K1165" i="4"/>
  <c r="J1165" i="4"/>
  <c r="I1165" i="4"/>
  <c r="G1165" i="4"/>
  <c r="O1164" i="4"/>
  <c r="K1164" i="4"/>
  <c r="J1164" i="4"/>
  <c r="I1164" i="4"/>
  <c r="G1164" i="4"/>
  <c r="O1163" i="4"/>
  <c r="K1163" i="4"/>
  <c r="J1163" i="4"/>
  <c r="I1163" i="4"/>
  <c r="K1162" i="4"/>
  <c r="J1162" i="4"/>
  <c r="I1162" i="4"/>
  <c r="G1162" i="4"/>
  <c r="F1162" i="4"/>
  <c r="E1162" i="4"/>
  <c r="D1162" i="4"/>
  <c r="C1162" i="4"/>
  <c r="O1161" i="4"/>
  <c r="K1161" i="4"/>
  <c r="J1161" i="4"/>
  <c r="I1161" i="4"/>
  <c r="G1161" i="4"/>
  <c r="O1160" i="4"/>
  <c r="K1160" i="4"/>
  <c r="J1160" i="4"/>
  <c r="I1160" i="4"/>
  <c r="G1160" i="4"/>
  <c r="O1159" i="4"/>
  <c r="K1159" i="4"/>
  <c r="J1159" i="4"/>
  <c r="I1159" i="4"/>
  <c r="C1159" i="4"/>
  <c r="K1158" i="4"/>
  <c r="J1158" i="4"/>
  <c r="I1158" i="4"/>
  <c r="G1158" i="4"/>
  <c r="F1158" i="4"/>
  <c r="E1158" i="4"/>
  <c r="D1158" i="4"/>
  <c r="C1158" i="4"/>
  <c r="O1157" i="4"/>
  <c r="K1157" i="4"/>
  <c r="J1157" i="4"/>
  <c r="I1157" i="4"/>
  <c r="G1157" i="4"/>
  <c r="O1156" i="4"/>
  <c r="K1156" i="4"/>
  <c r="J1156" i="4"/>
  <c r="I1156" i="4"/>
  <c r="G1156" i="4"/>
  <c r="O1155" i="4"/>
  <c r="K1155" i="4"/>
  <c r="J1155" i="4"/>
  <c r="I1155" i="4"/>
  <c r="G1155" i="4"/>
  <c r="O1154" i="4"/>
  <c r="K1154" i="4"/>
  <c r="J1154" i="4"/>
  <c r="I1154" i="4"/>
  <c r="G1154" i="4"/>
  <c r="O1153" i="4"/>
  <c r="K1153" i="4"/>
  <c r="J1153" i="4"/>
  <c r="I1153" i="4"/>
  <c r="C1153" i="4"/>
  <c r="K1152" i="4"/>
  <c r="J1152" i="4"/>
  <c r="I1152" i="4"/>
  <c r="G1152" i="4"/>
  <c r="F1152" i="4"/>
  <c r="E1152" i="4"/>
  <c r="D1152" i="4"/>
  <c r="C1152" i="4"/>
  <c r="O1151" i="4"/>
  <c r="K1151" i="4"/>
  <c r="J1151" i="4"/>
  <c r="I1151" i="4"/>
  <c r="G1151" i="4"/>
  <c r="O1150" i="4"/>
  <c r="K1150" i="4"/>
  <c r="J1150" i="4"/>
  <c r="I1150" i="4"/>
  <c r="G1150" i="4"/>
  <c r="O1149" i="4"/>
  <c r="K1149" i="4"/>
  <c r="J1149" i="4"/>
  <c r="I1149" i="4"/>
  <c r="G1149" i="4"/>
  <c r="O1148" i="4"/>
  <c r="K1148" i="4"/>
  <c r="J1148" i="4"/>
  <c r="I1148" i="4"/>
  <c r="K1147" i="4"/>
  <c r="J1147" i="4"/>
  <c r="I1147" i="4"/>
  <c r="G1147" i="4"/>
  <c r="F1147" i="4"/>
  <c r="E1147" i="4"/>
  <c r="D1147" i="4"/>
  <c r="C1147" i="4"/>
  <c r="O1146" i="4"/>
  <c r="K1146" i="4"/>
  <c r="J1146" i="4"/>
  <c r="I1146" i="4"/>
  <c r="G1146" i="4"/>
  <c r="O1145" i="4"/>
  <c r="K1145" i="4"/>
  <c r="J1145" i="4"/>
  <c r="I1145" i="4"/>
  <c r="G1145" i="4"/>
  <c r="O1144" i="4"/>
  <c r="K1144" i="4"/>
  <c r="J1144" i="4"/>
  <c r="I1144" i="4"/>
  <c r="G1144" i="4"/>
  <c r="O1143" i="4"/>
  <c r="K1143" i="4"/>
  <c r="J1143" i="4"/>
  <c r="I1143" i="4"/>
  <c r="K1142" i="4"/>
  <c r="J1142" i="4"/>
  <c r="I1142" i="4"/>
  <c r="G1142" i="4"/>
  <c r="F1142" i="4"/>
  <c r="E1142" i="4"/>
  <c r="D1142" i="4"/>
  <c r="C1142" i="4"/>
  <c r="O1141" i="4"/>
  <c r="K1141" i="4"/>
  <c r="J1141" i="4"/>
  <c r="I1141" i="4"/>
  <c r="G1141" i="4"/>
  <c r="O1140" i="4"/>
  <c r="K1140" i="4"/>
  <c r="J1140" i="4"/>
  <c r="I1140" i="4"/>
  <c r="G1140" i="4"/>
  <c r="O1139" i="4"/>
  <c r="K1139" i="4"/>
  <c r="J1139" i="4"/>
  <c r="I1139" i="4"/>
  <c r="G1139" i="4"/>
  <c r="O1138" i="4"/>
  <c r="K1138" i="4"/>
  <c r="J1138" i="4"/>
  <c r="I1138" i="4"/>
  <c r="G1138" i="4"/>
  <c r="O1137" i="4"/>
  <c r="K1137" i="4"/>
  <c r="J1137" i="4"/>
  <c r="I1137" i="4"/>
  <c r="K1136" i="4"/>
  <c r="J1136" i="4"/>
  <c r="I1136" i="4"/>
  <c r="G1136" i="4"/>
  <c r="F1136" i="4"/>
  <c r="E1136" i="4"/>
  <c r="D1136" i="4"/>
  <c r="C1136" i="4"/>
  <c r="O1135" i="4"/>
  <c r="K1135" i="4"/>
  <c r="J1135" i="4"/>
  <c r="I1135" i="4"/>
  <c r="G1135" i="4"/>
  <c r="O1134" i="4"/>
  <c r="K1134" i="4"/>
  <c r="J1134" i="4"/>
  <c r="I1134" i="4"/>
  <c r="G1134" i="4"/>
  <c r="O1133" i="4"/>
  <c r="K1133" i="4"/>
  <c r="J1133" i="4"/>
  <c r="I1133" i="4"/>
  <c r="G1133" i="4"/>
  <c r="O1132" i="4"/>
  <c r="K1132" i="4"/>
  <c r="J1132" i="4"/>
  <c r="I1132" i="4"/>
  <c r="G1132" i="4"/>
  <c r="O1131" i="4"/>
  <c r="K1131" i="4"/>
  <c r="J1131" i="4"/>
  <c r="I1131" i="4"/>
  <c r="K1130" i="4"/>
  <c r="J1130" i="4"/>
  <c r="I1130" i="4"/>
  <c r="G1130" i="4"/>
  <c r="F1130" i="4"/>
  <c r="E1130" i="4"/>
  <c r="D1130" i="4"/>
  <c r="C1130" i="4"/>
  <c r="O1129" i="4"/>
  <c r="K1129" i="4"/>
  <c r="J1129" i="4"/>
  <c r="I1129" i="4"/>
  <c r="G1129" i="4"/>
  <c r="O1128" i="4"/>
  <c r="K1128" i="4"/>
  <c r="J1128" i="4"/>
  <c r="I1128" i="4"/>
  <c r="G1128" i="4"/>
  <c r="O1127" i="4"/>
  <c r="K1127" i="4"/>
  <c r="J1127" i="4"/>
  <c r="I1127" i="4"/>
  <c r="G1127" i="4"/>
  <c r="O1126" i="4"/>
  <c r="K1126" i="4"/>
  <c r="J1126" i="4"/>
  <c r="I1126" i="4"/>
  <c r="K1125" i="4"/>
  <c r="J1125" i="4"/>
  <c r="I1125" i="4"/>
  <c r="G1125" i="4"/>
  <c r="F1125" i="4"/>
  <c r="E1125" i="4"/>
  <c r="D1125" i="4"/>
  <c r="C1125" i="4"/>
  <c r="O1124" i="4"/>
  <c r="K1124" i="4"/>
  <c r="J1124" i="4"/>
  <c r="I1124" i="4"/>
  <c r="G1124" i="4"/>
  <c r="O1123" i="4"/>
  <c r="K1123" i="4"/>
  <c r="J1123" i="4"/>
  <c r="I1123" i="4"/>
  <c r="G1123" i="4"/>
  <c r="O1122" i="4"/>
  <c r="K1122" i="4"/>
  <c r="J1122" i="4"/>
  <c r="I1122" i="4"/>
  <c r="G1122" i="4"/>
  <c r="O1121" i="4"/>
  <c r="K1121" i="4"/>
  <c r="J1121" i="4"/>
  <c r="I1121" i="4"/>
  <c r="K1120" i="4"/>
  <c r="J1120" i="4"/>
  <c r="I1120" i="4"/>
  <c r="G1120" i="4"/>
  <c r="F1120" i="4"/>
  <c r="E1120" i="4"/>
  <c r="D1120" i="4"/>
  <c r="C1120" i="4"/>
  <c r="O1118" i="4"/>
  <c r="K1118" i="4"/>
  <c r="J1118" i="4"/>
  <c r="I1118" i="4"/>
  <c r="G1118" i="4"/>
  <c r="O1117" i="4"/>
  <c r="K1117" i="4"/>
  <c r="J1117" i="4"/>
  <c r="I1117" i="4"/>
  <c r="G1117" i="4"/>
  <c r="O1116" i="4"/>
  <c r="K1116" i="4"/>
  <c r="J1116" i="4"/>
  <c r="I1116" i="4"/>
  <c r="G1116" i="4"/>
  <c r="O1115" i="4"/>
  <c r="K1115" i="4"/>
  <c r="J1115" i="4"/>
  <c r="I1115" i="4"/>
  <c r="K1114" i="4"/>
  <c r="J1114" i="4"/>
  <c r="I1114" i="4"/>
  <c r="G1114" i="4"/>
  <c r="F1114" i="4"/>
  <c r="E1114" i="4"/>
  <c r="D1114" i="4"/>
  <c r="C1114" i="4"/>
  <c r="O1113" i="4"/>
  <c r="K1113" i="4"/>
  <c r="J1113" i="4"/>
  <c r="I1113" i="4"/>
  <c r="G1113" i="4"/>
  <c r="O1112" i="4"/>
  <c r="K1112" i="4"/>
  <c r="J1112" i="4"/>
  <c r="I1112" i="4"/>
  <c r="G1112" i="4"/>
  <c r="O1111" i="4"/>
  <c r="K1111" i="4"/>
  <c r="J1111" i="4"/>
  <c r="I1111" i="4"/>
  <c r="G1111" i="4"/>
  <c r="O1110" i="4"/>
  <c r="K1110" i="4"/>
  <c r="J1110" i="4"/>
  <c r="I1110" i="4"/>
  <c r="G1110" i="4"/>
  <c r="O1109" i="4"/>
  <c r="K1109" i="4"/>
  <c r="J1109" i="4"/>
  <c r="I1109" i="4"/>
  <c r="C1109" i="4"/>
  <c r="K1108" i="4"/>
  <c r="J1108" i="4"/>
  <c r="I1108" i="4"/>
  <c r="G1108" i="4"/>
  <c r="F1108" i="4"/>
  <c r="E1108" i="4"/>
  <c r="D1108" i="4"/>
  <c r="C1108" i="4"/>
  <c r="O1107" i="4"/>
  <c r="K1107" i="4"/>
  <c r="J1107" i="4"/>
  <c r="I1107" i="4"/>
  <c r="G1107" i="4"/>
  <c r="O1106" i="4"/>
  <c r="K1106" i="4"/>
  <c r="J1106" i="4"/>
  <c r="I1106" i="4"/>
  <c r="G1106" i="4"/>
  <c r="O1105" i="4"/>
  <c r="K1105" i="4"/>
  <c r="J1105" i="4"/>
  <c r="I1105" i="4"/>
  <c r="G1105" i="4"/>
  <c r="O1104" i="4"/>
  <c r="K1104" i="4"/>
  <c r="J1104" i="4"/>
  <c r="I1104" i="4"/>
  <c r="K1103" i="4"/>
  <c r="J1103" i="4"/>
  <c r="I1103" i="4"/>
  <c r="G1103" i="4"/>
  <c r="F1103" i="4"/>
  <c r="E1103" i="4"/>
  <c r="D1103" i="4"/>
  <c r="C1103" i="4"/>
  <c r="O1102" i="4"/>
  <c r="K1102" i="4"/>
  <c r="J1102" i="4"/>
  <c r="I1102" i="4"/>
  <c r="G1102" i="4"/>
  <c r="O1101" i="4"/>
  <c r="K1101" i="4"/>
  <c r="J1101" i="4"/>
  <c r="I1101" i="4"/>
  <c r="G1101" i="4"/>
  <c r="O1100" i="4"/>
  <c r="K1100" i="4"/>
  <c r="J1100" i="4"/>
  <c r="I1100" i="4"/>
  <c r="K1099" i="4"/>
  <c r="J1099" i="4"/>
  <c r="I1099" i="4"/>
  <c r="G1099" i="4"/>
  <c r="F1099" i="4"/>
  <c r="E1099" i="4"/>
  <c r="D1099" i="4"/>
  <c r="C1099" i="4"/>
  <c r="K1098" i="4"/>
  <c r="J1098" i="4"/>
  <c r="I1098" i="4"/>
  <c r="G1098" i="4"/>
  <c r="F1098" i="4"/>
  <c r="E1098" i="4"/>
  <c r="D1098" i="4"/>
  <c r="C1098" i="4"/>
  <c r="O1097" i="4"/>
  <c r="K1097" i="4"/>
  <c r="J1097" i="4"/>
  <c r="I1097" i="4"/>
  <c r="G1097" i="4"/>
  <c r="O1096" i="4"/>
  <c r="K1096" i="4"/>
  <c r="J1096" i="4"/>
  <c r="I1096" i="4"/>
  <c r="G1096" i="4"/>
  <c r="O1095" i="4"/>
  <c r="K1095" i="4"/>
  <c r="J1095" i="4"/>
  <c r="I1095" i="4"/>
  <c r="K1094" i="4"/>
  <c r="J1094" i="4"/>
  <c r="I1094" i="4"/>
  <c r="G1094" i="4"/>
  <c r="F1094" i="4"/>
  <c r="E1094" i="4"/>
  <c r="D1094" i="4"/>
  <c r="C1094" i="4"/>
  <c r="O1093" i="4"/>
  <c r="K1093" i="4"/>
  <c r="J1093" i="4"/>
  <c r="I1093" i="4"/>
  <c r="G1093" i="4"/>
  <c r="O1092" i="4"/>
  <c r="K1092" i="4"/>
  <c r="J1092" i="4"/>
  <c r="I1092" i="4"/>
  <c r="G1092" i="4"/>
  <c r="O1091" i="4"/>
  <c r="K1091" i="4"/>
  <c r="J1091" i="4"/>
  <c r="I1091" i="4"/>
  <c r="G1091" i="4"/>
  <c r="O1090" i="4"/>
  <c r="K1090" i="4"/>
  <c r="J1090" i="4"/>
  <c r="I1090" i="4"/>
  <c r="K1089" i="4"/>
  <c r="J1089" i="4"/>
  <c r="I1089" i="4"/>
  <c r="G1089" i="4"/>
  <c r="F1089" i="4"/>
  <c r="E1089" i="4"/>
  <c r="D1089" i="4"/>
  <c r="C1089" i="4"/>
  <c r="O1088" i="4"/>
  <c r="K1088" i="4"/>
  <c r="J1088" i="4"/>
  <c r="I1088" i="4"/>
  <c r="G1088" i="4"/>
  <c r="O1087" i="4"/>
  <c r="K1087" i="4"/>
  <c r="J1087" i="4"/>
  <c r="I1087" i="4"/>
  <c r="G1087" i="4"/>
  <c r="O1086" i="4"/>
  <c r="K1086" i="4"/>
  <c r="J1086" i="4"/>
  <c r="I1086" i="4"/>
  <c r="K1085" i="4"/>
  <c r="J1085" i="4"/>
  <c r="I1085" i="4"/>
  <c r="G1085" i="4"/>
  <c r="F1085" i="4"/>
  <c r="E1085" i="4"/>
  <c r="D1085" i="4"/>
  <c r="C1085" i="4"/>
  <c r="O1084" i="4"/>
  <c r="K1084" i="4"/>
  <c r="J1084" i="4"/>
  <c r="I1084" i="4"/>
  <c r="G1084" i="4"/>
  <c r="F1084" i="4"/>
  <c r="O1083" i="4"/>
  <c r="K1083" i="4"/>
  <c r="J1083" i="4"/>
  <c r="I1083" i="4"/>
  <c r="G1083" i="4"/>
  <c r="O1082" i="4"/>
  <c r="K1082" i="4"/>
  <c r="J1082" i="4"/>
  <c r="I1082" i="4"/>
  <c r="K1081" i="4"/>
  <c r="J1081" i="4"/>
  <c r="I1081" i="4"/>
  <c r="G1081" i="4"/>
  <c r="F1081" i="4"/>
  <c r="E1081" i="4"/>
  <c r="D1081" i="4"/>
  <c r="C1081" i="4"/>
  <c r="O1080" i="4"/>
  <c r="K1080" i="4"/>
  <c r="J1080" i="4"/>
  <c r="I1080" i="4"/>
  <c r="G1080" i="4"/>
  <c r="O1079" i="4"/>
  <c r="K1079" i="4"/>
  <c r="J1079" i="4"/>
  <c r="I1079" i="4"/>
  <c r="G1079" i="4"/>
  <c r="O1078" i="4"/>
  <c r="K1078" i="4"/>
  <c r="J1078" i="4"/>
  <c r="I1078" i="4"/>
  <c r="K1077" i="4"/>
  <c r="J1077" i="4"/>
  <c r="I1077" i="4"/>
  <c r="G1077" i="4"/>
  <c r="F1077" i="4"/>
  <c r="E1077" i="4"/>
  <c r="D1077" i="4"/>
  <c r="C1077" i="4"/>
  <c r="O1076" i="4"/>
  <c r="K1076" i="4"/>
  <c r="J1076" i="4"/>
  <c r="I1076" i="4"/>
  <c r="G1076" i="4"/>
  <c r="O1075" i="4"/>
  <c r="K1075" i="4"/>
  <c r="J1075" i="4"/>
  <c r="I1075" i="4"/>
  <c r="G1075" i="4"/>
  <c r="O1074" i="4"/>
  <c r="K1074" i="4"/>
  <c r="J1074" i="4"/>
  <c r="I1074" i="4"/>
  <c r="G1074" i="4"/>
  <c r="O1073" i="4"/>
  <c r="K1073" i="4"/>
  <c r="J1073" i="4"/>
  <c r="I1073" i="4"/>
  <c r="K1072" i="4"/>
  <c r="J1072" i="4"/>
  <c r="I1072" i="4"/>
  <c r="G1072" i="4"/>
  <c r="F1072" i="4"/>
  <c r="E1072" i="4"/>
  <c r="D1072" i="4"/>
  <c r="C1072" i="4"/>
  <c r="O1071" i="4"/>
  <c r="K1071" i="4"/>
  <c r="J1071" i="4"/>
  <c r="I1071" i="4"/>
  <c r="G1071" i="4"/>
  <c r="O1070" i="4"/>
  <c r="K1070" i="4"/>
  <c r="J1070" i="4"/>
  <c r="I1070" i="4"/>
  <c r="G1070" i="4"/>
  <c r="O1069" i="4"/>
  <c r="K1069" i="4"/>
  <c r="J1069" i="4"/>
  <c r="I1069" i="4"/>
  <c r="G1069" i="4"/>
  <c r="O1068" i="4"/>
  <c r="K1068" i="4"/>
  <c r="J1068" i="4"/>
  <c r="I1068" i="4"/>
  <c r="K1067" i="4"/>
  <c r="J1067" i="4"/>
  <c r="I1067" i="4"/>
  <c r="G1067" i="4"/>
  <c r="F1067" i="4"/>
  <c r="E1067" i="4"/>
  <c r="D1067" i="4"/>
  <c r="C1067" i="4"/>
  <c r="O1066" i="4"/>
  <c r="K1066" i="4"/>
  <c r="J1066" i="4"/>
  <c r="I1066" i="4"/>
  <c r="G1066" i="4"/>
  <c r="O1065" i="4"/>
  <c r="K1065" i="4"/>
  <c r="J1065" i="4"/>
  <c r="I1065" i="4"/>
  <c r="G1065" i="4"/>
  <c r="O1064" i="4"/>
  <c r="K1064" i="4"/>
  <c r="J1064" i="4"/>
  <c r="I1064" i="4"/>
  <c r="G1064" i="4"/>
  <c r="O1063" i="4"/>
  <c r="K1063" i="4"/>
  <c r="J1063" i="4"/>
  <c r="I1063" i="4"/>
  <c r="G1063" i="4"/>
  <c r="O1062" i="4"/>
  <c r="K1062" i="4"/>
  <c r="J1062" i="4"/>
  <c r="I1062" i="4"/>
  <c r="G1062" i="4"/>
  <c r="O1061" i="4"/>
  <c r="K1061" i="4"/>
  <c r="J1061" i="4"/>
  <c r="I1061" i="4"/>
  <c r="K1060" i="4"/>
  <c r="J1060" i="4"/>
  <c r="I1060" i="4"/>
  <c r="G1060" i="4"/>
  <c r="F1060" i="4"/>
  <c r="E1060" i="4"/>
  <c r="D1060" i="4"/>
  <c r="C1060" i="4"/>
  <c r="O1059" i="4"/>
  <c r="K1059" i="4"/>
  <c r="J1059" i="4"/>
  <c r="I1059" i="4"/>
  <c r="G1059" i="4"/>
  <c r="O1058" i="4"/>
  <c r="K1058" i="4"/>
  <c r="J1058" i="4"/>
  <c r="I1058" i="4"/>
  <c r="G1058" i="4"/>
  <c r="O1057" i="4"/>
  <c r="K1057" i="4"/>
  <c r="J1057" i="4"/>
  <c r="I1057" i="4"/>
  <c r="G1057" i="4"/>
  <c r="O1056" i="4"/>
  <c r="K1056" i="4"/>
  <c r="J1056" i="4"/>
  <c r="I1056" i="4"/>
  <c r="K1055" i="4"/>
  <c r="J1055" i="4"/>
  <c r="I1055" i="4"/>
  <c r="G1055" i="4"/>
  <c r="F1055" i="4"/>
  <c r="E1055" i="4"/>
  <c r="D1055" i="4"/>
  <c r="C1055" i="4"/>
  <c r="O1054" i="4"/>
  <c r="K1054" i="4"/>
  <c r="J1054" i="4"/>
  <c r="I1054" i="4"/>
  <c r="G1054" i="4"/>
  <c r="O1053" i="4"/>
  <c r="K1053" i="4"/>
  <c r="J1053" i="4"/>
  <c r="I1053" i="4"/>
  <c r="G1053" i="4"/>
  <c r="O1052" i="4"/>
  <c r="K1052" i="4"/>
  <c r="J1052" i="4"/>
  <c r="I1052" i="4"/>
  <c r="G1052" i="4"/>
  <c r="O1051" i="4"/>
  <c r="K1051" i="4"/>
  <c r="J1051" i="4"/>
  <c r="I1051" i="4"/>
  <c r="C1051" i="4"/>
  <c r="K1050" i="4"/>
  <c r="J1050" i="4"/>
  <c r="I1050" i="4"/>
  <c r="G1050" i="4"/>
  <c r="F1050" i="4"/>
  <c r="E1050" i="4"/>
  <c r="D1050" i="4"/>
  <c r="C1050" i="4"/>
  <c r="O1049" i="4"/>
  <c r="K1049" i="4"/>
  <c r="J1049" i="4"/>
  <c r="I1049" i="4"/>
  <c r="G1049" i="4"/>
  <c r="O1048" i="4"/>
  <c r="K1048" i="4"/>
  <c r="J1048" i="4"/>
  <c r="I1048" i="4"/>
  <c r="G1048" i="4"/>
  <c r="O1047" i="4"/>
  <c r="K1047" i="4"/>
  <c r="J1047" i="4"/>
  <c r="I1047" i="4"/>
  <c r="G1047" i="4"/>
  <c r="O1046" i="4"/>
  <c r="K1046" i="4"/>
  <c r="J1046" i="4"/>
  <c r="I1046" i="4"/>
  <c r="K1045" i="4"/>
  <c r="J1045" i="4"/>
  <c r="I1045" i="4"/>
  <c r="G1045" i="4"/>
  <c r="F1045" i="4"/>
  <c r="E1045" i="4"/>
  <c r="D1045" i="4"/>
  <c r="C1045" i="4"/>
  <c r="O1044" i="4"/>
  <c r="K1044" i="4"/>
  <c r="J1044" i="4"/>
  <c r="I1044" i="4"/>
  <c r="G1044" i="4"/>
  <c r="O1043" i="4"/>
  <c r="K1043" i="4"/>
  <c r="J1043" i="4"/>
  <c r="I1043" i="4"/>
  <c r="G1043" i="4"/>
  <c r="O1042" i="4"/>
  <c r="K1042" i="4"/>
  <c r="J1042" i="4"/>
  <c r="I1042" i="4"/>
  <c r="K1041" i="4"/>
  <c r="J1041" i="4"/>
  <c r="I1041" i="4"/>
  <c r="G1041" i="4"/>
  <c r="F1041" i="4"/>
  <c r="E1041" i="4"/>
  <c r="D1041" i="4"/>
  <c r="C1041" i="4"/>
  <c r="O1040" i="4"/>
  <c r="K1040" i="4"/>
  <c r="J1040" i="4"/>
  <c r="I1040" i="4"/>
  <c r="G1040" i="4"/>
  <c r="O1039" i="4"/>
  <c r="K1039" i="4"/>
  <c r="J1039" i="4"/>
  <c r="I1039" i="4"/>
  <c r="G1039" i="4"/>
  <c r="O1038" i="4"/>
  <c r="K1038" i="4"/>
  <c r="J1038" i="4"/>
  <c r="I1038" i="4"/>
  <c r="C1038" i="4"/>
  <c r="K1037" i="4"/>
  <c r="J1037" i="4"/>
  <c r="I1037" i="4"/>
  <c r="G1037" i="4"/>
  <c r="F1037" i="4"/>
  <c r="E1037" i="4"/>
  <c r="D1037" i="4"/>
  <c r="C1037" i="4"/>
  <c r="O1036" i="4"/>
  <c r="K1036" i="4"/>
  <c r="J1036" i="4"/>
  <c r="I1036" i="4"/>
  <c r="G1036" i="4"/>
  <c r="O1035" i="4"/>
  <c r="K1035" i="4"/>
  <c r="J1035" i="4"/>
  <c r="I1035" i="4"/>
  <c r="G1035" i="4"/>
  <c r="O1034" i="4"/>
  <c r="K1034" i="4"/>
  <c r="J1034" i="4"/>
  <c r="I1034" i="4"/>
  <c r="G1034" i="4"/>
  <c r="O1033" i="4"/>
  <c r="K1033" i="4"/>
  <c r="J1033" i="4"/>
  <c r="I1033" i="4"/>
  <c r="K1032" i="4"/>
  <c r="J1032" i="4"/>
  <c r="I1032" i="4"/>
  <c r="G1032" i="4"/>
  <c r="F1032" i="4"/>
  <c r="E1032" i="4"/>
  <c r="D1032" i="4"/>
  <c r="C1032" i="4"/>
  <c r="O1031" i="4"/>
  <c r="K1031" i="4"/>
  <c r="J1031" i="4"/>
  <c r="I1031" i="4"/>
  <c r="G1031" i="4"/>
  <c r="O1030" i="4"/>
  <c r="K1030" i="4"/>
  <c r="J1030" i="4"/>
  <c r="I1030" i="4"/>
  <c r="G1030" i="4"/>
  <c r="O1029" i="4"/>
  <c r="K1029" i="4"/>
  <c r="J1029" i="4"/>
  <c r="I1029" i="4"/>
  <c r="G1029" i="4"/>
  <c r="O1028" i="4"/>
  <c r="K1028" i="4"/>
  <c r="J1028" i="4"/>
  <c r="I1028" i="4"/>
  <c r="G1028" i="4"/>
  <c r="O1027" i="4"/>
  <c r="K1027" i="4"/>
  <c r="J1027" i="4"/>
  <c r="I1027" i="4"/>
  <c r="G1027" i="4"/>
  <c r="O1026" i="4"/>
  <c r="K1026" i="4"/>
  <c r="J1026" i="4"/>
  <c r="I1026" i="4"/>
  <c r="C1026" i="4"/>
  <c r="K1025" i="4"/>
  <c r="J1025" i="4"/>
  <c r="I1025" i="4"/>
  <c r="G1025" i="4"/>
  <c r="F1025" i="4"/>
  <c r="E1025" i="4"/>
  <c r="D1025" i="4"/>
  <c r="C1025" i="4"/>
  <c r="O1024" i="4"/>
  <c r="K1024" i="4"/>
  <c r="J1024" i="4"/>
  <c r="I1024" i="4"/>
  <c r="G1024" i="4"/>
  <c r="O1023" i="4"/>
  <c r="K1023" i="4"/>
  <c r="J1023" i="4"/>
  <c r="I1023" i="4"/>
  <c r="G1023" i="4"/>
  <c r="O1022" i="4"/>
  <c r="K1022" i="4"/>
  <c r="J1022" i="4"/>
  <c r="I1022" i="4"/>
  <c r="G1022" i="4"/>
  <c r="O1021" i="4"/>
  <c r="K1021" i="4"/>
  <c r="J1021" i="4"/>
  <c r="I1021" i="4"/>
  <c r="G1021" i="4"/>
  <c r="O1020" i="4"/>
  <c r="K1020" i="4"/>
  <c r="J1020" i="4"/>
  <c r="I1020" i="4"/>
  <c r="K1019" i="4"/>
  <c r="J1019" i="4"/>
  <c r="I1019" i="4"/>
  <c r="G1019" i="4"/>
  <c r="F1019" i="4"/>
  <c r="E1019" i="4"/>
  <c r="D1019" i="4"/>
  <c r="C1019" i="4"/>
  <c r="K1018" i="4"/>
  <c r="J1018" i="4"/>
  <c r="I1018" i="4"/>
  <c r="G1018" i="4"/>
  <c r="F1018" i="4"/>
  <c r="E1018" i="4"/>
  <c r="D1018" i="4"/>
  <c r="C1018" i="4"/>
  <c r="O1017" i="4"/>
  <c r="K1017" i="4"/>
  <c r="J1017" i="4"/>
  <c r="I1017" i="4"/>
  <c r="K1016" i="4"/>
  <c r="J1016" i="4"/>
  <c r="I1016" i="4"/>
  <c r="G1016" i="4"/>
  <c r="F1016" i="4"/>
  <c r="E1016" i="4"/>
  <c r="D1016" i="4"/>
  <c r="C1016" i="4"/>
  <c r="O1015" i="4"/>
  <c r="K1015" i="4"/>
  <c r="J1015" i="4"/>
  <c r="I1015" i="4"/>
  <c r="G1015" i="4"/>
  <c r="O1014" i="4"/>
  <c r="K1014" i="4"/>
  <c r="J1014" i="4"/>
  <c r="I1014" i="4"/>
  <c r="G1014" i="4"/>
  <c r="O1013" i="4"/>
  <c r="K1013" i="4"/>
  <c r="J1013" i="4"/>
  <c r="I1013" i="4"/>
  <c r="G1013" i="4"/>
  <c r="O1012" i="4"/>
  <c r="K1012" i="4"/>
  <c r="J1012" i="4"/>
  <c r="I1012" i="4"/>
  <c r="G1012" i="4"/>
  <c r="O1011" i="4"/>
  <c r="K1011" i="4"/>
  <c r="J1011" i="4"/>
  <c r="I1011" i="4"/>
  <c r="K1010" i="4"/>
  <c r="J1010" i="4"/>
  <c r="I1010" i="4"/>
  <c r="G1010" i="4"/>
  <c r="F1010" i="4"/>
  <c r="E1010" i="4"/>
  <c r="D1010" i="4"/>
  <c r="C1010" i="4"/>
  <c r="O1009" i="4"/>
  <c r="K1009" i="4"/>
  <c r="J1009" i="4"/>
  <c r="I1009" i="4"/>
  <c r="G1009" i="4"/>
  <c r="O1008" i="4"/>
  <c r="K1008" i="4"/>
  <c r="J1008" i="4"/>
  <c r="I1008" i="4"/>
  <c r="G1008" i="4"/>
  <c r="O1007" i="4"/>
  <c r="K1007" i="4"/>
  <c r="J1007" i="4"/>
  <c r="I1007" i="4"/>
  <c r="G1007" i="4"/>
  <c r="O1006" i="4"/>
  <c r="K1006" i="4"/>
  <c r="J1006" i="4"/>
  <c r="I1006" i="4"/>
  <c r="K1005" i="4"/>
  <c r="J1005" i="4"/>
  <c r="I1005" i="4"/>
  <c r="G1005" i="4"/>
  <c r="F1005" i="4"/>
  <c r="E1005" i="4"/>
  <c r="D1005" i="4"/>
  <c r="C1005" i="4"/>
  <c r="O1003" i="4"/>
  <c r="K1003" i="4"/>
  <c r="J1003" i="4"/>
  <c r="I1003" i="4"/>
  <c r="G1003" i="4"/>
  <c r="O1002" i="4"/>
  <c r="K1002" i="4"/>
  <c r="J1002" i="4"/>
  <c r="I1002" i="4"/>
  <c r="G1002" i="4"/>
  <c r="O1001" i="4"/>
  <c r="K1001" i="4"/>
  <c r="J1001" i="4"/>
  <c r="I1001" i="4"/>
  <c r="G1001" i="4"/>
  <c r="O1000" i="4"/>
  <c r="K1000" i="4"/>
  <c r="J1000" i="4"/>
  <c r="I1000" i="4"/>
  <c r="K999" i="4"/>
  <c r="J999" i="4"/>
  <c r="I999" i="4"/>
  <c r="G999" i="4"/>
  <c r="F999" i="4"/>
  <c r="E999" i="4"/>
  <c r="D999" i="4"/>
  <c r="C999" i="4"/>
  <c r="K998" i="4"/>
  <c r="J998" i="4"/>
  <c r="I998" i="4"/>
  <c r="G998" i="4"/>
  <c r="F998" i="4"/>
  <c r="E998" i="4"/>
  <c r="D998" i="4"/>
  <c r="C998" i="4"/>
  <c r="O997" i="4"/>
  <c r="K997" i="4"/>
  <c r="J997" i="4"/>
  <c r="I997" i="4"/>
  <c r="G997" i="4"/>
  <c r="O996" i="4"/>
  <c r="K996" i="4"/>
  <c r="J996" i="4"/>
  <c r="I996" i="4"/>
  <c r="G996" i="4"/>
  <c r="O995" i="4"/>
  <c r="K995" i="4"/>
  <c r="J995" i="4"/>
  <c r="I995" i="4"/>
  <c r="G995" i="4"/>
  <c r="O994" i="4"/>
  <c r="K994" i="4"/>
  <c r="J994" i="4"/>
  <c r="I994" i="4"/>
  <c r="K993" i="4"/>
  <c r="J993" i="4"/>
  <c r="I993" i="4"/>
  <c r="G993" i="4"/>
  <c r="F993" i="4"/>
  <c r="E993" i="4"/>
  <c r="D993" i="4"/>
  <c r="C993" i="4"/>
  <c r="O992" i="4"/>
  <c r="K992" i="4"/>
  <c r="J992" i="4"/>
  <c r="I992" i="4"/>
  <c r="G992" i="4"/>
  <c r="O991" i="4"/>
  <c r="K991" i="4"/>
  <c r="J991" i="4"/>
  <c r="I991" i="4"/>
  <c r="G991" i="4"/>
  <c r="O990" i="4"/>
  <c r="K990" i="4"/>
  <c r="J990" i="4"/>
  <c r="I990" i="4"/>
  <c r="G990" i="4"/>
  <c r="O989" i="4"/>
  <c r="K989" i="4"/>
  <c r="J989" i="4"/>
  <c r="I989" i="4"/>
  <c r="K988" i="4"/>
  <c r="J988" i="4"/>
  <c r="I988" i="4"/>
  <c r="G988" i="4"/>
  <c r="F988" i="4"/>
  <c r="E988" i="4"/>
  <c r="D988" i="4"/>
  <c r="C988" i="4"/>
  <c r="O987" i="4"/>
  <c r="K987" i="4"/>
  <c r="J987" i="4"/>
  <c r="I987" i="4"/>
  <c r="G987" i="4"/>
  <c r="O986" i="4"/>
  <c r="K986" i="4"/>
  <c r="J986" i="4"/>
  <c r="I986" i="4"/>
  <c r="G986" i="4"/>
  <c r="O985" i="4"/>
  <c r="K985" i="4"/>
  <c r="J985" i="4"/>
  <c r="I985" i="4"/>
  <c r="G985" i="4"/>
  <c r="O984" i="4"/>
  <c r="K984" i="4"/>
  <c r="J984" i="4"/>
  <c r="I984" i="4"/>
  <c r="K983" i="4"/>
  <c r="J983" i="4"/>
  <c r="I983" i="4"/>
  <c r="G983" i="4"/>
  <c r="F983" i="4"/>
  <c r="E983" i="4"/>
  <c r="D983" i="4"/>
  <c r="C983" i="4"/>
  <c r="O982" i="4"/>
  <c r="K982" i="4"/>
  <c r="J982" i="4"/>
  <c r="I982" i="4"/>
  <c r="G982" i="4"/>
  <c r="O981" i="4"/>
  <c r="K981" i="4"/>
  <c r="J981" i="4"/>
  <c r="I981" i="4"/>
  <c r="G981" i="4"/>
  <c r="O980" i="4"/>
  <c r="K980" i="4"/>
  <c r="J980" i="4"/>
  <c r="I980" i="4"/>
  <c r="G980" i="4"/>
  <c r="O979" i="4"/>
  <c r="K979" i="4"/>
  <c r="J979" i="4"/>
  <c r="I979" i="4"/>
  <c r="G979" i="4"/>
  <c r="O978" i="4"/>
  <c r="K978" i="4"/>
  <c r="J978" i="4"/>
  <c r="I978" i="4"/>
  <c r="K977" i="4"/>
  <c r="J977" i="4"/>
  <c r="I977" i="4"/>
  <c r="G977" i="4"/>
  <c r="F977" i="4"/>
  <c r="E977" i="4"/>
  <c r="D977" i="4"/>
  <c r="C977" i="4"/>
  <c r="O976" i="4"/>
  <c r="K976" i="4"/>
  <c r="J976" i="4"/>
  <c r="I976" i="4"/>
  <c r="G976" i="4"/>
  <c r="O975" i="4"/>
  <c r="K975" i="4"/>
  <c r="J975" i="4"/>
  <c r="I975" i="4"/>
  <c r="G975" i="4"/>
  <c r="O974" i="4"/>
  <c r="K974" i="4"/>
  <c r="J974" i="4"/>
  <c r="I974" i="4"/>
  <c r="K973" i="4"/>
  <c r="J973" i="4"/>
  <c r="I973" i="4"/>
  <c r="G973" i="4"/>
  <c r="F973" i="4"/>
  <c r="E973" i="4"/>
  <c r="D973" i="4"/>
  <c r="C973" i="4"/>
  <c r="O972" i="4"/>
  <c r="K972" i="4"/>
  <c r="J972" i="4"/>
  <c r="I972" i="4"/>
  <c r="G972" i="4"/>
  <c r="O971" i="4"/>
  <c r="K971" i="4"/>
  <c r="J971" i="4"/>
  <c r="I971" i="4"/>
  <c r="G971" i="4"/>
  <c r="O970" i="4"/>
  <c r="K970" i="4"/>
  <c r="J970" i="4"/>
  <c r="I970" i="4"/>
  <c r="G970" i="4"/>
  <c r="O969" i="4"/>
  <c r="K969" i="4"/>
  <c r="J969" i="4"/>
  <c r="I969" i="4"/>
  <c r="K968" i="4"/>
  <c r="J968" i="4"/>
  <c r="I968" i="4"/>
  <c r="G968" i="4"/>
  <c r="F968" i="4"/>
  <c r="E968" i="4"/>
  <c r="D968" i="4"/>
  <c r="C968" i="4"/>
  <c r="O967" i="4"/>
  <c r="K967" i="4"/>
  <c r="J967" i="4"/>
  <c r="I967" i="4"/>
  <c r="G967" i="4"/>
  <c r="O966" i="4"/>
  <c r="K966" i="4"/>
  <c r="J966" i="4"/>
  <c r="I966" i="4"/>
  <c r="G966" i="4"/>
  <c r="O965" i="4"/>
  <c r="K965" i="4"/>
  <c r="J965" i="4"/>
  <c r="I965" i="4"/>
  <c r="K964" i="4"/>
  <c r="J964" i="4"/>
  <c r="I964" i="4"/>
  <c r="G964" i="4"/>
  <c r="F964" i="4"/>
  <c r="E964" i="4"/>
  <c r="D964" i="4"/>
  <c r="C964" i="4"/>
  <c r="O963" i="4"/>
  <c r="K963" i="4"/>
  <c r="J963" i="4"/>
  <c r="I963" i="4"/>
  <c r="G963" i="4"/>
  <c r="O962" i="4"/>
  <c r="K962" i="4"/>
  <c r="J962" i="4"/>
  <c r="I962" i="4"/>
  <c r="G962" i="4"/>
  <c r="O961" i="4"/>
  <c r="K961" i="4"/>
  <c r="J961" i="4"/>
  <c r="I961" i="4"/>
  <c r="G961" i="4"/>
  <c r="O960" i="4"/>
  <c r="K960" i="4"/>
  <c r="J960" i="4"/>
  <c r="I960" i="4"/>
  <c r="K959" i="4"/>
  <c r="J959" i="4"/>
  <c r="I959" i="4"/>
  <c r="G959" i="4"/>
  <c r="F959" i="4"/>
  <c r="E959" i="4"/>
  <c r="D959" i="4"/>
  <c r="C959" i="4"/>
  <c r="O958" i="4"/>
  <c r="K958" i="4"/>
  <c r="J958" i="4"/>
  <c r="I958" i="4"/>
  <c r="G958" i="4"/>
  <c r="O957" i="4"/>
  <c r="K957" i="4"/>
  <c r="J957" i="4"/>
  <c r="I957" i="4"/>
  <c r="G957" i="4"/>
  <c r="O956" i="4"/>
  <c r="K956" i="4"/>
  <c r="J956" i="4"/>
  <c r="I956" i="4"/>
  <c r="G956" i="4"/>
  <c r="O955" i="4"/>
  <c r="K955" i="4"/>
  <c r="J955" i="4"/>
  <c r="I955" i="4"/>
  <c r="K954" i="4"/>
  <c r="J954" i="4"/>
  <c r="I954" i="4"/>
  <c r="G954" i="4"/>
  <c r="F954" i="4"/>
  <c r="E954" i="4"/>
  <c r="D954" i="4"/>
  <c r="C954" i="4"/>
  <c r="O953" i="4"/>
  <c r="K953" i="4"/>
  <c r="J953" i="4"/>
  <c r="I953" i="4"/>
  <c r="G953" i="4"/>
  <c r="O952" i="4"/>
  <c r="K952" i="4"/>
  <c r="J952" i="4"/>
  <c r="I952" i="4"/>
  <c r="C952" i="4"/>
  <c r="K951" i="4"/>
  <c r="J951" i="4"/>
  <c r="I951" i="4"/>
  <c r="G951" i="4"/>
  <c r="F951" i="4"/>
  <c r="E951" i="4"/>
  <c r="D951" i="4"/>
  <c r="C951" i="4"/>
  <c r="O950" i="4"/>
  <c r="K950" i="4"/>
  <c r="J950" i="4"/>
  <c r="I950" i="4"/>
  <c r="G950" i="4"/>
  <c r="O949" i="4"/>
  <c r="K949" i="4"/>
  <c r="J949" i="4"/>
  <c r="I949" i="4"/>
  <c r="G949" i="4"/>
  <c r="O948" i="4"/>
  <c r="K948" i="4"/>
  <c r="J948" i="4"/>
  <c r="I948" i="4"/>
  <c r="G948" i="4"/>
  <c r="O947" i="4"/>
  <c r="K947" i="4"/>
  <c r="J947" i="4"/>
  <c r="I947" i="4"/>
  <c r="K946" i="4"/>
  <c r="J946" i="4"/>
  <c r="I946" i="4"/>
  <c r="G946" i="4"/>
  <c r="F946" i="4"/>
  <c r="E946" i="4"/>
  <c r="D946" i="4"/>
  <c r="C946" i="4"/>
  <c r="O945" i="4"/>
  <c r="K945" i="4"/>
  <c r="J945" i="4"/>
  <c r="I945" i="4"/>
  <c r="G945" i="4"/>
  <c r="O944" i="4"/>
  <c r="K944" i="4"/>
  <c r="J944" i="4"/>
  <c r="I944" i="4"/>
  <c r="G944" i="4"/>
  <c r="O943" i="4"/>
  <c r="K943" i="4"/>
  <c r="J943" i="4"/>
  <c r="I943" i="4"/>
  <c r="G943" i="4"/>
  <c r="O942" i="4"/>
  <c r="K942" i="4"/>
  <c r="J942" i="4"/>
  <c r="I942" i="4"/>
  <c r="G942" i="4"/>
  <c r="O941" i="4"/>
  <c r="K941" i="4"/>
  <c r="J941" i="4"/>
  <c r="I941" i="4"/>
  <c r="G941" i="4"/>
  <c r="O940" i="4"/>
  <c r="K940" i="4"/>
  <c r="J940" i="4"/>
  <c r="I940" i="4"/>
  <c r="C940" i="4"/>
  <c r="K939" i="4"/>
  <c r="J939" i="4"/>
  <c r="I939" i="4"/>
  <c r="G939" i="4"/>
  <c r="F939" i="4"/>
  <c r="E939" i="4"/>
  <c r="D939" i="4"/>
  <c r="C939" i="4"/>
  <c r="O938" i="4"/>
  <c r="K938" i="4"/>
  <c r="J938" i="4"/>
  <c r="I938" i="4"/>
  <c r="G938" i="4"/>
  <c r="O937" i="4"/>
  <c r="K937" i="4"/>
  <c r="J937" i="4"/>
  <c r="I937" i="4"/>
  <c r="G937" i="4"/>
  <c r="O936" i="4"/>
  <c r="K936" i="4"/>
  <c r="J936" i="4"/>
  <c r="I936" i="4"/>
  <c r="G936" i="4"/>
  <c r="O935" i="4"/>
  <c r="K935" i="4"/>
  <c r="J935" i="4"/>
  <c r="I935" i="4"/>
  <c r="G935" i="4"/>
  <c r="O934" i="4"/>
  <c r="K934" i="4"/>
  <c r="J934" i="4"/>
  <c r="I934" i="4"/>
  <c r="K933" i="4"/>
  <c r="J933" i="4"/>
  <c r="I933" i="4"/>
  <c r="G933" i="4"/>
  <c r="F933" i="4"/>
  <c r="E933" i="4"/>
  <c r="D933" i="4"/>
  <c r="C933" i="4"/>
  <c r="O932" i="4"/>
  <c r="K932" i="4"/>
  <c r="J932" i="4"/>
  <c r="I932" i="4"/>
  <c r="G932" i="4"/>
  <c r="O931" i="4"/>
  <c r="K931" i="4"/>
  <c r="J931" i="4"/>
  <c r="I931" i="4"/>
  <c r="G931" i="4"/>
  <c r="O930" i="4"/>
  <c r="K930" i="4"/>
  <c r="J930" i="4"/>
  <c r="I930" i="4"/>
  <c r="G930" i="4"/>
  <c r="O929" i="4"/>
  <c r="K929" i="4"/>
  <c r="J929" i="4"/>
  <c r="I929" i="4"/>
  <c r="G929" i="4"/>
  <c r="O928" i="4"/>
  <c r="K928" i="4"/>
  <c r="J928" i="4"/>
  <c r="I928" i="4"/>
  <c r="K927" i="4"/>
  <c r="J927" i="4"/>
  <c r="I927" i="4"/>
  <c r="G927" i="4"/>
  <c r="F927" i="4"/>
  <c r="E927" i="4"/>
  <c r="D927" i="4"/>
  <c r="C927" i="4"/>
  <c r="O926" i="4"/>
  <c r="K926" i="4"/>
  <c r="J926" i="4"/>
  <c r="I926" i="4"/>
  <c r="G926" i="4"/>
  <c r="O925" i="4"/>
  <c r="K925" i="4"/>
  <c r="J925" i="4"/>
  <c r="I925" i="4"/>
  <c r="G925" i="4"/>
  <c r="O924" i="4"/>
  <c r="K924" i="4"/>
  <c r="J924" i="4"/>
  <c r="I924" i="4"/>
  <c r="G924" i="4"/>
  <c r="O923" i="4"/>
  <c r="K923" i="4"/>
  <c r="J923" i="4"/>
  <c r="I923" i="4"/>
  <c r="K922" i="4"/>
  <c r="J922" i="4"/>
  <c r="I922" i="4"/>
  <c r="G922" i="4"/>
  <c r="F922" i="4"/>
  <c r="E922" i="4"/>
  <c r="D922" i="4"/>
  <c r="C922" i="4"/>
  <c r="O921" i="4"/>
  <c r="K921" i="4"/>
  <c r="J921" i="4"/>
  <c r="I921" i="4"/>
  <c r="G921" i="4"/>
  <c r="O920" i="4"/>
  <c r="K920" i="4"/>
  <c r="J920" i="4"/>
  <c r="I920" i="4"/>
  <c r="K919" i="4"/>
  <c r="J919" i="4"/>
  <c r="I919" i="4"/>
  <c r="G919" i="4"/>
  <c r="F919" i="4"/>
  <c r="E919" i="4"/>
  <c r="D919" i="4"/>
  <c r="C919" i="4"/>
  <c r="O918" i="4"/>
  <c r="K918" i="4"/>
  <c r="J918" i="4"/>
  <c r="I918" i="4"/>
  <c r="G918" i="4"/>
  <c r="O917" i="4"/>
  <c r="K917" i="4"/>
  <c r="J917" i="4"/>
  <c r="I917" i="4"/>
  <c r="G917" i="4"/>
  <c r="O916" i="4"/>
  <c r="K916" i="4"/>
  <c r="J916" i="4"/>
  <c r="I916" i="4"/>
  <c r="G916" i="4"/>
  <c r="O915" i="4"/>
  <c r="K915" i="4"/>
  <c r="J915" i="4"/>
  <c r="I915" i="4"/>
  <c r="C915" i="4"/>
  <c r="K914" i="4"/>
  <c r="J914" i="4"/>
  <c r="I914" i="4"/>
  <c r="G914" i="4"/>
  <c r="F914" i="4"/>
  <c r="E914" i="4"/>
  <c r="D914" i="4"/>
  <c r="C914" i="4"/>
  <c r="O913" i="4"/>
  <c r="K913" i="4"/>
  <c r="J913" i="4"/>
  <c r="I913" i="4"/>
  <c r="K912" i="4"/>
  <c r="J912" i="4"/>
  <c r="I912" i="4"/>
  <c r="G912" i="4"/>
  <c r="F912" i="4"/>
  <c r="E912" i="4"/>
  <c r="D912" i="4"/>
  <c r="C912" i="4"/>
  <c r="O911" i="4"/>
  <c r="K911" i="4"/>
  <c r="J911" i="4"/>
  <c r="I911" i="4"/>
  <c r="G911" i="4"/>
  <c r="O910" i="4"/>
  <c r="K910" i="4"/>
  <c r="J910" i="4"/>
  <c r="I910" i="4"/>
  <c r="G910" i="4"/>
  <c r="O909" i="4"/>
  <c r="K909" i="4"/>
  <c r="J909" i="4"/>
  <c r="I909" i="4"/>
  <c r="G909" i="4"/>
  <c r="O908" i="4"/>
  <c r="K908" i="4"/>
  <c r="J908" i="4"/>
  <c r="I908" i="4"/>
  <c r="G908" i="4"/>
  <c r="O907" i="4"/>
  <c r="K907" i="4"/>
  <c r="J907" i="4"/>
  <c r="I907" i="4"/>
  <c r="K906" i="4"/>
  <c r="J906" i="4"/>
  <c r="I906" i="4"/>
  <c r="G906" i="4"/>
  <c r="F906" i="4"/>
  <c r="E906" i="4"/>
  <c r="D906" i="4"/>
  <c r="C906" i="4"/>
  <c r="O905" i="4"/>
  <c r="K905" i="4"/>
  <c r="J905" i="4"/>
  <c r="I905" i="4"/>
  <c r="G905" i="4"/>
  <c r="O904" i="4"/>
  <c r="K904" i="4"/>
  <c r="J904" i="4"/>
  <c r="I904" i="4"/>
  <c r="G904" i="4"/>
  <c r="O903" i="4"/>
  <c r="K903" i="4"/>
  <c r="J903" i="4"/>
  <c r="I903" i="4"/>
  <c r="C903" i="4"/>
  <c r="K902" i="4"/>
  <c r="J902" i="4"/>
  <c r="I902" i="4"/>
  <c r="G902" i="4"/>
  <c r="F902" i="4"/>
  <c r="E902" i="4"/>
  <c r="D902" i="4"/>
  <c r="C902" i="4"/>
  <c r="O901" i="4"/>
  <c r="K901" i="4"/>
  <c r="J901" i="4"/>
  <c r="I901" i="4"/>
  <c r="G901" i="4"/>
  <c r="O900" i="4"/>
  <c r="K900" i="4"/>
  <c r="J900" i="4"/>
  <c r="I900" i="4"/>
  <c r="G900" i="4"/>
  <c r="O899" i="4"/>
  <c r="K899" i="4"/>
  <c r="J899" i="4"/>
  <c r="I899" i="4"/>
  <c r="G899" i="4"/>
  <c r="O898" i="4"/>
  <c r="K898" i="4"/>
  <c r="J898" i="4"/>
  <c r="I898" i="4"/>
  <c r="K897" i="4"/>
  <c r="J897" i="4"/>
  <c r="I897" i="4"/>
  <c r="G897" i="4"/>
  <c r="F897" i="4"/>
  <c r="E897" i="4"/>
  <c r="D897" i="4"/>
  <c r="C897" i="4"/>
  <c r="O896" i="4"/>
  <c r="K896" i="4"/>
  <c r="J896" i="4"/>
  <c r="I896" i="4"/>
  <c r="G896" i="4"/>
  <c r="O895" i="4"/>
  <c r="K895" i="4"/>
  <c r="J895" i="4"/>
  <c r="I895" i="4"/>
  <c r="G895" i="4"/>
  <c r="O894" i="4"/>
  <c r="K894" i="4"/>
  <c r="J894" i="4"/>
  <c r="I894" i="4"/>
  <c r="G894" i="4"/>
  <c r="O893" i="4"/>
  <c r="K893" i="4"/>
  <c r="J893" i="4"/>
  <c r="I893" i="4"/>
  <c r="K892" i="4"/>
  <c r="J892" i="4"/>
  <c r="I892" i="4"/>
  <c r="G892" i="4"/>
  <c r="F892" i="4"/>
  <c r="E892" i="4"/>
  <c r="D892" i="4"/>
  <c r="C892" i="4"/>
  <c r="O891" i="4"/>
  <c r="K891" i="4"/>
  <c r="J891" i="4"/>
  <c r="I891" i="4"/>
  <c r="G891" i="4"/>
  <c r="O890" i="4"/>
  <c r="K890" i="4"/>
  <c r="J890" i="4"/>
  <c r="I890" i="4"/>
  <c r="G890" i="4"/>
  <c r="O889" i="4"/>
  <c r="K889" i="4"/>
  <c r="J889" i="4"/>
  <c r="I889" i="4"/>
  <c r="G889" i="4"/>
  <c r="O888" i="4"/>
  <c r="K888" i="4"/>
  <c r="J888" i="4"/>
  <c r="I888" i="4"/>
  <c r="G888" i="4"/>
  <c r="O887" i="4"/>
  <c r="K887" i="4"/>
  <c r="J887" i="4"/>
  <c r="I887" i="4"/>
  <c r="K886" i="4"/>
  <c r="J886" i="4"/>
  <c r="I886" i="4"/>
  <c r="G886" i="4"/>
  <c r="F886" i="4"/>
  <c r="E886" i="4"/>
  <c r="D886" i="4"/>
  <c r="C886" i="4"/>
  <c r="O885" i="4"/>
  <c r="K885" i="4"/>
  <c r="J885" i="4"/>
  <c r="I885" i="4"/>
  <c r="G885" i="4"/>
  <c r="O884" i="4"/>
  <c r="K884" i="4"/>
  <c r="J884" i="4"/>
  <c r="I884" i="4"/>
  <c r="K883" i="4"/>
  <c r="J883" i="4"/>
  <c r="I883" i="4"/>
  <c r="G883" i="4"/>
  <c r="F883" i="4"/>
  <c r="E883" i="4"/>
  <c r="D883" i="4"/>
  <c r="C883" i="4"/>
  <c r="O882" i="4"/>
  <c r="K882" i="4"/>
  <c r="J882" i="4"/>
  <c r="I882" i="4"/>
  <c r="G882" i="4"/>
  <c r="O881" i="4"/>
  <c r="K881" i="4"/>
  <c r="J881" i="4"/>
  <c r="I881" i="4"/>
  <c r="G881" i="4"/>
  <c r="O880" i="4"/>
  <c r="K880" i="4"/>
  <c r="J880" i="4"/>
  <c r="I880" i="4"/>
  <c r="G880" i="4"/>
  <c r="O879" i="4"/>
  <c r="K879" i="4"/>
  <c r="J879" i="4"/>
  <c r="I879" i="4"/>
  <c r="K878" i="4"/>
  <c r="J878" i="4"/>
  <c r="I878" i="4"/>
  <c r="G878" i="4"/>
  <c r="F878" i="4"/>
  <c r="E878" i="4"/>
  <c r="D878" i="4"/>
  <c r="C878" i="4"/>
  <c r="O877" i="4"/>
  <c r="K877" i="4"/>
  <c r="J877" i="4"/>
  <c r="I877" i="4"/>
  <c r="G877" i="4"/>
  <c r="O876" i="4"/>
  <c r="K876" i="4"/>
  <c r="J876" i="4"/>
  <c r="I876" i="4"/>
  <c r="G876" i="4"/>
  <c r="O875" i="4"/>
  <c r="K875" i="4"/>
  <c r="J875" i="4"/>
  <c r="I875" i="4"/>
  <c r="G875" i="4"/>
  <c r="O874" i="4"/>
  <c r="K874" i="4"/>
  <c r="J874" i="4"/>
  <c r="I874" i="4"/>
  <c r="G874" i="4"/>
  <c r="O873" i="4"/>
  <c r="K873" i="4"/>
  <c r="J873" i="4"/>
  <c r="I873" i="4"/>
  <c r="G873" i="4"/>
  <c r="O872" i="4"/>
  <c r="K872" i="4"/>
  <c r="J872" i="4"/>
  <c r="I872" i="4"/>
  <c r="K871" i="4"/>
  <c r="J871" i="4"/>
  <c r="I871" i="4"/>
  <c r="G871" i="4"/>
  <c r="F871" i="4"/>
  <c r="E871" i="4"/>
  <c r="D871" i="4"/>
  <c r="C871" i="4"/>
  <c r="O870" i="4"/>
  <c r="K870" i="4"/>
  <c r="J870" i="4"/>
  <c r="I870" i="4"/>
  <c r="G870" i="4"/>
  <c r="O869" i="4"/>
  <c r="K869" i="4"/>
  <c r="J869" i="4"/>
  <c r="I869" i="4"/>
  <c r="G869" i="4"/>
  <c r="O868" i="4"/>
  <c r="K868" i="4"/>
  <c r="J868" i="4"/>
  <c r="I868" i="4"/>
  <c r="G868" i="4"/>
  <c r="O867" i="4"/>
  <c r="K867" i="4"/>
  <c r="J867" i="4"/>
  <c r="I867" i="4"/>
  <c r="K866" i="4"/>
  <c r="J866" i="4"/>
  <c r="I866" i="4"/>
  <c r="G866" i="4"/>
  <c r="F866" i="4"/>
  <c r="E866" i="4"/>
  <c r="D866" i="4"/>
  <c r="C866" i="4"/>
  <c r="O865" i="4"/>
  <c r="K865" i="4"/>
  <c r="J865" i="4"/>
  <c r="I865" i="4"/>
  <c r="G865" i="4"/>
  <c r="O864" i="4"/>
  <c r="K864" i="4"/>
  <c r="J864" i="4"/>
  <c r="I864" i="4"/>
  <c r="G864" i="4"/>
  <c r="O863" i="4"/>
  <c r="K863" i="4"/>
  <c r="J863" i="4"/>
  <c r="I863" i="4"/>
  <c r="C863" i="4"/>
  <c r="K862" i="4"/>
  <c r="J862" i="4"/>
  <c r="I862" i="4"/>
  <c r="G862" i="4"/>
  <c r="F862" i="4"/>
  <c r="E862" i="4"/>
  <c r="D862" i="4"/>
  <c r="C862" i="4"/>
  <c r="O861" i="4"/>
  <c r="K861" i="4"/>
  <c r="J861" i="4"/>
  <c r="I861" i="4"/>
  <c r="G861" i="4"/>
  <c r="O860" i="4"/>
  <c r="K860" i="4"/>
  <c r="J860" i="4"/>
  <c r="I860" i="4"/>
  <c r="G860" i="4"/>
  <c r="O859" i="4"/>
  <c r="K859" i="4"/>
  <c r="J859" i="4"/>
  <c r="I859" i="4"/>
  <c r="G859" i="4"/>
  <c r="O858" i="4"/>
  <c r="K858" i="4"/>
  <c r="J858" i="4"/>
  <c r="I858" i="4"/>
  <c r="G858" i="4"/>
  <c r="O857" i="4"/>
  <c r="K857" i="4"/>
  <c r="J857" i="4"/>
  <c r="I857" i="4"/>
  <c r="G857" i="4"/>
  <c r="O856" i="4"/>
  <c r="K856" i="4"/>
  <c r="J856" i="4"/>
  <c r="I856" i="4"/>
  <c r="K855" i="4"/>
  <c r="J855" i="4"/>
  <c r="I855" i="4"/>
  <c r="G855" i="4"/>
  <c r="F855" i="4"/>
  <c r="E855" i="4"/>
  <c r="D855" i="4"/>
  <c r="C855" i="4"/>
  <c r="O854" i="4"/>
  <c r="K854" i="4"/>
  <c r="J854" i="4"/>
  <c r="I854" i="4"/>
  <c r="G854" i="4"/>
  <c r="O853" i="4"/>
  <c r="K853" i="4"/>
  <c r="J853" i="4"/>
  <c r="I853" i="4"/>
  <c r="G853" i="4"/>
  <c r="O852" i="4"/>
  <c r="K852" i="4"/>
  <c r="J852" i="4"/>
  <c r="I852" i="4"/>
  <c r="G852" i="4"/>
  <c r="O851" i="4"/>
  <c r="K851" i="4"/>
  <c r="J851" i="4"/>
  <c r="I851" i="4"/>
  <c r="G851" i="4"/>
  <c r="O850" i="4"/>
  <c r="K850" i="4"/>
  <c r="J850" i="4"/>
  <c r="I850" i="4"/>
  <c r="K849" i="4"/>
  <c r="J849" i="4"/>
  <c r="I849" i="4"/>
  <c r="G849" i="4"/>
  <c r="F849" i="4"/>
  <c r="E849" i="4"/>
  <c r="D849" i="4"/>
  <c r="C849" i="4"/>
  <c r="O848" i="4"/>
  <c r="K848" i="4"/>
  <c r="J848" i="4"/>
  <c r="I848" i="4"/>
  <c r="G848" i="4"/>
  <c r="O847" i="4"/>
  <c r="K847" i="4"/>
  <c r="J847" i="4"/>
  <c r="I847" i="4"/>
  <c r="G847" i="4"/>
  <c r="O846" i="4"/>
  <c r="K846" i="4"/>
  <c r="J846" i="4"/>
  <c r="I846" i="4"/>
  <c r="G846" i="4"/>
  <c r="O845" i="4"/>
  <c r="K845" i="4"/>
  <c r="J845" i="4"/>
  <c r="I845" i="4"/>
  <c r="K844" i="4"/>
  <c r="J844" i="4"/>
  <c r="I844" i="4"/>
  <c r="G844" i="4"/>
  <c r="F844" i="4"/>
  <c r="E844" i="4"/>
  <c r="D844" i="4"/>
  <c r="C844" i="4"/>
  <c r="O843" i="4"/>
  <c r="K843" i="4"/>
  <c r="J843" i="4"/>
  <c r="I843" i="4"/>
  <c r="G843" i="4"/>
  <c r="O842" i="4"/>
  <c r="K842" i="4"/>
  <c r="J842" i="4"/>
  <c r="I842" i="4"/>
  <c r="G842" i="4"/>
  <c r="O841" i="4"/>
  <c r="K841" i="4"/>
  <c r="J841" i="4"/>
  <c r="I841" i="4"/>
  <c r="G841" i="4"/>
  <c r="O840" i="4"/>
  <c r="K840" i="4"/>
  <c r="J840" i="4"/>
  <c r="I840" i="4"/>
  <c r="C840" i="4"/>
  <c r="K839" i="4"/>
  <c r="J839" i="4"/>
  <c r="I839" i="4"/>
  <c r="G839" i="4"/>
  <c r="F839" i="4"/>
  <c r="E839" i="4"/>
  <c r="D839" i="4"/>
  <c r="C839" i="4"/>
  <c r="O838" i="4"/>
  <c r="K838" i="4"/>
  <c r="J838" i="4"/>
  <c r="I838" i="4"/>
  <c r="G838" i="4"/>
  <c r="F838" i="4"/>
  <c r="O837" i="4"/>
  <c r="K837" i="4"/>
  <c r="J837" i="4"/>
  <c r="I837" i="4"/>
  <c r="G837" i="4"/>
  <c r="O836" i="4"/>
  <c r="K836" i="4"/>
  <c r="J836" i="4"/>
  <c r="I836" i="4"/>
  <c r="K835" i="4"/>
  <c r="J835" i="4"/>
  <c r="I835" i="4"/>
  <c r="G835" i="4"/>
  <c r="F835" i="4"/>
  <c r="E835" i="4"/>
  <c r="D835" i="4"/>
  <c r="C835" i="4"/>
  <c r="O834" i="4"/>
  <c r="K834" i="4"/>
  <c r="J834" i="4"/>
  <c r="I834" i="4"/>
  <c r="G834" i="4"/>
  <c r="O833" i="4"/>
  <c r="K833" i="4"/>
  <c r="J833" i="4"/>
  <c r="I833" i="4"/>
  <c r="G833" i="4"/>
  <c r="O832" i="4"/>
  <c r="K832" i="4"/>
  <c r="J832" i="4"/>
  <c r="I832" i="4"/>
  <c r="G832" i="4"/>
  <c r="O831" i="4"/>
  <c r="K831" i="4"/>
  <c r="J831" i="4"/>
  <c r="I831" i="4"/>
  <c r="K830" i="4"/>
  <c r="J830" i="4"/>
  <c r="I830" i="4"/>
  <c r="G830" i="4"/>
  <c r="F830" i="4"/>
  <c r="E830" i="4"/>
  <c r="D830" i="4"/>
  <c r="C830" i="4"/>
  <c r="O829" i="4"/>
  <c r="K829" i="4"/>
  <c r="J829" i="4"/>
  <c r="I829" i="4"/>
  <c r="G829" i="4"/>
  <c r="O828" i="4"/>
  <c r="K828" i="4"/>
  <c r="J828" i="4"/>
  <c r="I828" i="4"/>
  <c r="G828" i="4"/>
  <c r="O827" i="4"/>
  <c r="K827" i="4"/>
  <c r="J827" i="4"/>
  <c r="I827" i="4"/>
  <c r="G827" i="4"/>
  <c r="O826" i="4"/>
  <c r="K826" i="4"/>
  <c r="J826" i="4"/>
  <c r="I826" i="4"/>
  <c r="G826" i="4"/>
  <c r="O825" i="4"/>
  <c r="K825" i="4"/>
  <c r="J825" i="4"/>
  <c r="I825" i="4"/>
  <c r="G825" i="4"/>
  <c r="O824" i="4"/>
  <c r="K824" i="4"/>
  <c r="J824" i="4"/>
  <c r="I824" i="4"/>
  <c r="C824" i="4"/>
  <c r="K823" i="4"/>
  <c r="J823" i="4"/>
  <c r="I823" i="4"/>
  <c r="G823" i="4"/>
  <c r="F823" i="4"/>
  <c r="E823" i="4"/>
  <c r="D823" i="4"/>
  <c r="C823" i="4"/>
  <c r="O822" i="4"/>
  <c r="K822" i="4"/>
  <c r="J822" i="4"/>
  <c r="I822" i="4"/>
  <c r="G822" i="4"/>
  <c r="O821" i="4"/>
  <c r="K821" i="4"/>
  <c r="J821" i="4"/>
  <c r="I821" i="4"/>
  <c r="K820" i="4"/>
  <c r="J820" i="4"/>
  <c r="I820" i="4"/>
  <c r="G820" i="4"/>
  <c r="F820" i="4"/>
  <c r="E820" i="4"/>
  <c r="D820" i="4"/>
  <c r="C820" i="4"/>
  <c r="O819" i="4"/>
  <c r="K819" i="4"/>
  <c r="J819" i="4"/>
  <c r="I819" i="4"/>
  <c r="G819" i="4"/>
  <c r="O818" i="4"/>
  <c r="K818" i="4"/>
  <c r="J818" i="4"/>
  <c r="I818" i="4"/>
  <c r="G818" i="4"/>
  <c r="O817" i="4"/>
  <c r="K817" i="4"/>
  <c r="J817" i="4"/>
  <c r="I817" i="4"/>
  <c r="G817" i="4"/>
  <c r="O816" i="4"/>
  <c r="K816" i="4"/>
  <c r="J816" i="4"/>
  <c r="I816" i="4"/>
  <c r="G816" i="4"/>
  <c r="O815" i="4"/>
  <c r="K815" i="4"/>
  <c r="J815" i="4"/>
  <c r="I815" i="4"/>
  <c r="G815" i="4"/>
  <c r="O814" i="4"/>
  <c r="K814" i="4"/>
  <c r="J814" i="4"/>
  <c r="I814" i="4"/>
  <c r="G814" i="4"/>
  <c r="O813" i="4"/>
  <c r="K813" i="4"/>
  <c r="J813" i="4"/>
  <c r="I813" i="4"/>
  <c r="K812" i="4"/>
  <c r="J812" i="4"/>
  <c r="I812" i="4"/>
  <c r="G812" i="4"/>
  <c r="F812" i="4"/>
  <c r="E812" i="4"/>
  <c r="D812" i="4"/>
  <c r="C812" i="4"/>
  <c r="O811" i="4"/>
  <c r="K811" i="4"/>
  <c r="J811" i="4"/>
  <c r="I811" i="4"/>
  <c r="G811" i="4"/>
  <c r="O810" i="4"/>
  <c r="K810" i="4"/>
  <c r="J810" i="4"/>
  <c r="I810" i="4"/>
  <c r="G810" i="4"/>
  <c r="O809" i="4"/>
  <c r="K809" i="4"/>
  <c r="J809" i="4"/>
  <c r="I809" i="4"/>
  <c r="G809" i="4"/>
  <c r="O808" i="4"/>
  <c r="K808" i="4"/>
  <c r="J808" i="4"/>
  <c r="I808" i="4"/>
  <c r="K807" i="4"/>
  <c r="J807" i="4"/>
  <c r="I807" i="4"/>
  <c r="G807" i="4"/>
  <c r="F807" i="4"/>
  <c r="E807" i="4"/>
  <c r="D807" i="4"/>
  <c r="C807" i="4"/>
  <c r="O806" i="4"/>
  <c r="K806" i="4"/>
  <c r="J806" i="4"/>
  <c r="I806" i="4"/>
  <c r="G806" i="4"/>
  <c r="O805" i="4"/>
  <c r="K805" i="4"/>
  <c r="J805" i="4"/>
  <c r="I805" i="4"/>
  <c r="G805" i="4"/>
  <c r="O804" i="4"/>
  <c r="K804" i="4"/>
  <c r="J804" i="4"/>
  <c r="I804" i="4"/>
  <c r="C804" i="4"/>
  <c r="K803" i="4"/>
  <c r="J803" i="4"/>
  <c r="I803" i="4"/>
  <c r="G803" i="4"/>
  <c r="F803" i="4"/>
  <c r="E803" i="4"/>
  <c r="D803" i="4"/>
  <c r="C803" i="4"/>
  <c r="O802" i="4"/>
  <c r="K802" i="4"/>
  <c r="J802" i="4"/>
  <c r="I802" i="4"/>
  <c r="G802" i="4"/>
  <c r="O801" i="4"/>
  <c r="K801" i="4"/>
  <c r="J801" i="4"/>
  <c r="I801" i="4"/>
  <c r="G801" i="4"/>
  <c r="O800" i="4"/>
  <c r="K800" i="4"/>
  <c r="J800" i="4"/>
  <c r="I800" i="4"/>
  <c r="C800" i="4"/>
  <c r="K799" i="4"/>
  <c r="J799" i="4"/>
  <c r="I799" i="4"/>
  <c r="G799" i="4"/>
  <c r="F799" i="4"/>
  <c r="E799" i="4"/>
  <c r="D799" i="4"/>
  <c r="C799" i="4"/>
  <c r="O798" i="4"/>
  <c r="K798" i="4"/>
  <c r="J798" i="4"/>
  <c r="I798" i="4"/>
  <c r="G798" i="4"/>
  <c r="O797" i="4"/>
  <c r="K797" i="4"/>
  <c r="J797" i="4"/>
  <c r="I797" i="4"/>
  <c r="G797" i="4"/>
  <c r="O796" i="4"/>
  <c r="K796" i="4"/>
  <c r="J796" i="4"/>
  <c r="I796" i="4"/>
  <c r="G796" i="4"/>
  <c r="O795" i="4"/>
  <c r="K795" i="4"/>
  <c r="J795" i="4"/>
  <c r="I795" i="4"/>
  <c r="G795" i="4"/>
  <c r="O794" i="4"/>
  <c r="K794" i="4"/>
  <c r="J794" i="4"/>
  <c r="I794" i="4"/>
  <c r="K793" i="4"/>
  <c r="J793" i="4"/>
  <c r="I793" i="4"/>
  <c r="G793" i="4"/>
  <c r="F793" i="4"/>
  <c r="E793" i="4"/>
  <c r="D793" i="4"/>
  <c r="C793" i="4"/>
  <c r="O792" i="4"/>
  <c r="K792" i="4"/>
  <c r="J792" i="4"/>
  <c r="I792" i="4"/>
  <c r="G792" i="4"/>
  <c r="O791" i="4"/>
  <c r="K791" i="4"/>
  <c r="J791" i="4"/>
  <c r="I791" i="4"/>
  <c r="G791" i="4"/>
  <c r="O790" i="4"/>
  <c r="K790" i="4"/>
  <c r="J790" i="4"/>
  <c r="I790" i="4"/>
  <c r="G790" i="4"/>
  <c r="O789" i="4"/>
  <c r="K789" i="4"/>
  <c r="J789" i="4"/>
  <c r="I789" i="4"/>
  <c r="K788" i="4"/>
  <c r="J788" i="4"/>
  <c r="I788" i="4"/>
  <c r="G788" i="4"/>
  <c r="F788" i="4"/>
  <c r="E788" i="4"/>
  <c r="D788" i="4"/>
  <c r="C788" i="4"/>
  <c r="O787" i="4"/>
  <c r="K787" i="4"/>
  <c r="J787" i="4"/>
  <c r="I787" i="4"/>
  <c r="G787" i="4"/>
  <c r="O786" i="4"/>
  <c r="K786" i="4"/>
  <c r="J786" i="4"/>
  <c r="I786" i="4"/>
  <c r="K785" i="4"/>
  <c r="J785" i="4"/>
  <c r="I785" i="4"/>
  <c r="G785" i="4"/>
  <c r="F785" i="4"/>
  <c r="E785" i="4"/>
  <c r="D785" i="4"/>
  <c r="C785" i="4"/>
  <c r="O784" i="4"/>
  <c r="K784" i="4"/>
  <c r="J784" i="4"/>
  <c r="I784" i="4"/>
  <c r="G784" i="4"/>
  <c r="O783" i="4"/>
  <c r="K783" i="4"/>
  <c r="J783" i="4"/>
  <c r="I783" i="4"/>
  <c r="G783" i="4"/>
  <c r="O782" i="4"/>
  <c r="K782" i="4"/>
  <c r="J782" i="4"/>
  <c r="I782" i="4"/>
  <c r="G782" i="4"/>
  <c r="O781" i="4"/>
  <c r="K781" i="4"/>
  <c r="J781" i="4"/>
  <c r="I781" i="4"/>
  <c r="G781" i="4"/>
  <c r="O780" i="4"/>
  <c r="K780" i="4"/>
  <c r="J780" i="4"/>
  <c r="I780" i="4"/>
  <c r="K779" i="4"/>
  <c r="J779" i="4"/>
  <c r="I779" i="4"/>
  <c r="G779" i="4"/>
  <c r="F779" i="4"/>
  <c r="E779" i="4"/>
  <c r="D779" i="4"/>
  <c r="C779" i="4"/>
  <c r="O778" i="4"/>
  <c r="K778" i="4"/>
  <c r="J778" i="4"/>
  <c r="I778" i="4"/>
  <c r="G778" i="4"/>
  <c r="O777" i="4"/>
  <c r="K777" i="4"/>
  <c r="J777" i="4"/>
  <c r="I777" i="4"/>
  <c r="G777" i="4"/>
  <c r="O776" i="4"/>
  <c r="K776" i="4"/>
  <c r="J776" i="4"/>
  <c r="I776" i="4"/>
  <c r="C776" i="4"/>
  <c r="K775" i="4"/>
  <c r="J775" i="4"/>
  <c r="I775" i="4"/>
  <c r="G775" i="4"/>
  <c r="F775" i="4"/>
  <c r="E775" i="4"/>
  <c r="D775" i="4"/>
  <c r="C775" i="4"/>
  <c r="O774" i="4"/>
  <c r="K774" i="4"/>
  <c r="J774" i="4"/>
  <c r="I774" i="4"/>
  <c r="G774" i="4"/>
  <c r="O773" i="4"/>
  <c r="K773" i="4"/>
  <c r="J773" i="4"/>
  <c r="I773" i="4"/>
  <c r="G773" i="4"/>
  <c r="O772" i="4"/>
  <c r="K772" i="4"/>
  <c r="J772" i="4"/>
  <c r="I772" i="4"/>
  <c r="G772" i="4"/>
  <c r="O771" i="4"/>
  <c r="K771" i="4"/>
  <c r="J771" i="4"/>
  <c r="I771" i="4"/>
  <c r="G771" i="4"/>
  <c r="O770" i="4"/>
  <c r="K770" i="4"/>
  <c r="J770" i="4"/>
  <c r="I770" i="4"/>
  <c r="G770" i="4"/>
  <c r="O769" i="4"/>
  <c r="K769" i="4"/>
  <c r="J769" i="4"/>
  <c r="I769" i="4"/>
  <c r="C769" i="4"/>
  <c r="K768" i="4"/>
  <c r="J768" i="4"/>
  <c r="I768" i="4"/>
  <c r="G768" i="4"/>
  <c r="F768" i="4"/>
  <c r="E768" i="4"/>
  <c r="D768" i="4"/>
  <c r="C768" i="4"/>
  <c r="O767" i="4"/>
  <c r="K767" i="4"/>
  <c r="J767" i="4"/>
  <c r="I767" i="4"/>
  <c r="G767" i="4"/>
  <c r="O766" i="4"/>
  <c r="K766" i="4"/>
  <c r="J766" i="4"/>
  <c r="I766" i="4"/>
  <c r="G766" i="4"/>
  <c r="O765" i="4"/>
  <c r="K765" i="4"/>
  <c r="J765" i="4"/>
  <c r="I765" i="4"/>
  <c r="G765" i="4"/>
  <c r="O764" i="4"/>
  <c r="K764" i="4"/>
  <c r="J764" i="4"/>
  <c r="I764" i="4"/>
  <c r="K763" i="4"/>
  <c r="J763" i="4"/>
  <c r="I763" i="4"/>
  <c r="G763" i="4"/>
  <c r="F763" i="4"/>
  <c r="E763" i="4"/>
  <c r="D763" i="4"/>
  <c r="C763" i="4"/>
  <c r="O762" i="4"/>
  <c r="K762" i="4"/>
  <c r="J762" i="4"/>
  <c r="I762" i="4"/>
  <c r="G762" i="4"/>
  <c r="O761" i="4"/>
  <c r="K761" i="4"/>
  <c r="J761" i="4"/>
  <c r="I761" i="4"/>
  <c r="K760" i="4"/>
  <c r="J760" i="4"/>
  <c r="I760" i="4"/>
  <c r="G760" i="4"/>
  <c r="F760" i="4"/>
  <c r="E760" i="4"/>
  <c r="D760" i="4"/>
  <c r="C760" i="4"/>
  <c r="O759" i="4"/>
  <c r="K759" i="4"/>
  <c r="J759" i="4"/>
  <c r="I759" i="4"/>
  <c r="G759" i="4"/>
  <c r="O758" i="4"/>
  <c r="K758" i="4"/>
  <c r="J758" i="4"/>
  <c r="I758" i="4"/>
  <c r="G758" i="4"/>
  <c r="O757" i="4"/>
  <c r="K757" i="4"/>
  <c r="J757" i="4"/>
  <c r="I757" i="4"/>
  <c r="G757" i="4"/>
  <c r="O756" i="4"/>
  <c r="K756" i="4"/>
  <c r="J756" i="4"/>
  <c r="I756" i="4"/>
  <c r="C756" i="4"/>
  <c r="K755" i="4"/>
  <c r="J755" i="4"/>
  <c r="I755" i="4"/>
  <c r="G755" i="4"/>
  <c r="F755" i="4"/>
  <c r="E755" i="4"/>
  <c r="D755" i="4"/>
  <c r="C755" i="4"/>
  <c r="O754" i="4"/>
  <c r="K754" i="4"/>
  <c r="J754" i="4"/>
  <c r="I754" i="4"/>
  <c r="G754" i="4"/>
  <c r="O753" i="4"/>
  <c r="K753" i="4"/>
  <c r="J753" i="4"/>
  <c r="I753" i="4"/>
  <c r="G753" i="4"/>
  <c r="O752" i="4"/>
  <c r="K752" i="4"/>
  <c r="J752" i="4"/>
  <c r="I752" i="4"/>
  <c r="G752" i="4"/>
  <c r="O751" i="4"/>
  <c r="K751" i="4"/>
  <c r="J751" i="4"/>
  <c r="I751" i="4"/>
  <c r="G751" i="4"/>
  <c r="O750" i="4"/>
  <c r="K750" i="4"/>
  <c r="J750" i="4"/>
  <c r="I750" i="4"/>
  <c r="K749" i="4"/>
  <c r="J749" i="4"/>
  <c r="I749" i="4"/>
  <c r="G749" i="4"/>
  <c r="F749" i="4"/>
  <c r="E749" i="4"/>
  <c r="D749" i="4"/>
  <c r="C749" i="4"/>
  <c r="O748" i="4"/>
  <c r="K748" i="4"/>
  <c r="J748" i="4"/>
  <c r="I748" i="4"/>
  <c r="G748" i="4"/>
  <c r="O747" i="4"/>
  <c r="K747" i="4"/>
  <c r="J747" i="4"/>
  <c r="I747" i="4"/>
  <c r="G747" i="4"/>
  <c r="O746" i="4"/>
  <c r="K746" i="4"/>
  <c r="J746" i="4"/>
  <c r="I746" i="4"/>
  <c r="G746" i="4"/>
  <c r="O745" i="4"/>
  <c r="K745" i="4"/>
  <c r="J745" i="4"/>
  <c r="I745" i="4"/>
  <c r="K744" i="4"/>
  <c r="J744" i="4"/>
  <c r="I744" i="4"/>
  <c r="G744" i="4"/>
  <c r="F744" i="4"/>
  <c r="E744" i="4"/>
  <c r="D744" i="4"/>
  <c r="C744" i="4"/>
  <c r="O743" i="4"/>
  <c r="K743" i="4"/>
  <c r="J743" i="4"/>
  <c r="I743" i="4"/>
  <c r="G743" i="4"/>
  <c r="O742" i="4"/>
  <c r="K742" i="4"/>
  <c r="J742" i="4"/>
  <c r="I742" i="4"/>
  <c r="G742" i="4"/>
  <c r="O741" i="4"/>
  <c r="K741" i="4"/>
  <c r="J741" i="4"/>
  <c r="I741" i="4"/>
  <c r="K740" i="4"/>
  <c r="J740" i="4"/>
  <c r="I740" i="4"/>
  <c r="G740" i="4"/>
  <c r="F740" i="4"/>
  <c r="E740" i="4"/>
  <c r="D740" i="4"/>
  <c r="C740" i="4"/>
  <c r="O739" i="4"/>
  <c r="K739" i="4"/>
  <c r="J739" i="4"/>
  <c r="I739" i="4"/>
  <c r="K738" i="4"/>
  <c r="J738" i="4"/>
  <c r="I738" i="4"/>
  <c r="G738" i="4"/>
  <c r="F738" i="4"/>
  <c r="E738" i="4"/>
  <c r="D738" i="4"/>
  <c r="C738" i="4"/>
  <c r="O737" i="4"/>
  <c r="K737" i="4"/>
  <c r="J737" i="4"/>
  <c r="I737" i="4"/>
  <c r="G737" i="4"/>
  <c r="O736" i="4"/>
  <c r="K736" i="4"/>
  <c r="J736" i="4"/>
  <c r="I736" i="4"/>
  <c r="G736" i="4"/>
  <c r="O735" i="4"/>
  <c r="K735" i="4"/>
  <c r="J735" i="4"/>
  <c r="I735" i="4"/>
  <c r="G735" i="4"/>
  <c r="O734" i="4"/>
  <c r="K734" i="4"/>
  <c r="J734" i="4"/>
  <c r="I734" i="4"/>
  <c r="K733" i="4"/>
  <c r="J733" i="4"/>
  <c r="I733" i="4"/>
  <c r="G733" i="4"/>
  <c r="F733" i="4"/>
  <c r="E733" i="4"/>
  <c r="D733" i="4"/>
  <c r="C733" i="4"/>
  <c r="O732" i="4"/>
  <c r="K732" i="4"/>
  <c r="J732" i="4"/>
  <c r="I732" i="4"/>
  <c r="G732" i="4"/>
  <c r="O731" i="4"/>
  <c r="K731" i="4"/>
  <c r="J731" i="4"/>
  <c r="I731" i="4"/>
  <c r="G731" i="4"/>
  <c r="O730" i="4"/>
  <c r="K730" i="4"/>
  <c r="J730" i="4"/>
  <c r="I730" i="4"/>
  <c r="K729" i="4"/>
  <c r="J729" i="4"/>
  <c r="I729" i="4"/>
  <c r="G729" i="4"/>
  <c r="F729" i="4"/>
  <c r="E729" i="4"/>
  <c r="D729" i="4"/>
  <c r="C729" i="4"/>
  <c r="O728" i="4"/>
  <c r="K728" i="4"/>
  <c r="J728" i="4"/>
  <c r="I728" i="4"/>
  <c r="K727" i="4"/>
  <c r="J727" i="4"/>
  <c r="I727" i="4"/>
  <c r="G727" i="4"/>
  <c r="F727" i="4"/>
  <c r="E727" i="4"/>
  <c r="D727" i="4"/>
  <c r="C727" i="4"/>
  <c r="O726" i="4"/>
  <c r="K726" i="4"/>
  <c r="J726" i="4"/>
  <c r="I726" i="4"/>
  <c r="G726" i="4"/>
  <c r="O725" i="4"/>
  <c r="K725" i="4"/>
  <c r="J725" i="4"/>
  <c r="I725" i="4"/>
  <c r="G725" i="4"/>
  <c r="O724" i="4"/>
  <c r="K724" i="4"/>
  <c r="J724" i="4"/>
  <c r="I724" i="4"/>
  <c r="G724" i="4"/>
  <c r="O723" i="4"/>
  <c r="K723" i="4"/>
  <c r="J723" i="4"/>
  <c r="I723" i="4"/>
  <c r="G723" i="4"/>
  <c r="O722" i="4"/>
  <c r="K722" i="4"/>
  <c r="J722" i="4"/>
  <c r="I722" i="4"/>
  <c r="G722" i="4"/>
  <c r="O721" i="4"/>
  <c r="K721" i="4"/>
  <c r="J721" i="4"/>
  <c r="I721" i="4"/>
  <c r="K720" i="4"/>
  <c r="J720" i="4"/>
  <c r="I720" i="4"/>
  <c r="G720" i="4"/>
  <c r="F720" i="4"/>
  <c r="E720" i="4"/>
  <c r="D720" i="4"/>
  <c r="C720" i="4"/>
  <c r="O719" i="4"/>
  <c r="K719" i="4"/>
  <c r="J719" i="4"/>
  <c r="I719" i="4"/>
  <c r="G719" i="4"/>
  <c r="O718" i="4"/>
  <c r="K718" i="4"/>
  <c r="J718" i="4"/>
  <c r="I718" i="4"/>
  <c r="G718" i="4"/>
  <c r="O717" i="4"/>
  <c r="K717" i="4"/>
  <c r="J717" i="4"/>
  <c r="I717" i="4"/>
  <c r="G717" i="4"/>
  <c r="O716" i="4"/>
  <c r="K716" i="4"/>
  <c r="J716" i="4"/>
  <c r="I716" i="4"/>
  <c r="C716" i="4"/>
  <c r="K715" i="4"/>
  <c r="J715" i="4"/>
  <c r="I715" i="4"/>
  <c r="G715" i="4"/>
  <c r="F715" i="4"/>
  <c r="E715" i="4"/>
  <c r="D715" i="4"/>
  <c r="C715" i="4"/>
  <c r="O714" i="4"/>
  <c r="K714" i="4"/>
  <c r="J714" i="4"/>
  <c r="I714" i="4"/>
  <c r="G714" i="4"/>
  <c r="O713" i="4"/>
  <c r="K713" i="4"/>
  <c r="J713" i="4"/>
  <c r="I713" i="4"/>
  <c r="G713" i="4"/>
  <c r="O712" i="4"/>
  <c r="K712" i="4"/>
  <c r="J712" i="4"/>
  <c r="I712" i="4"/>
  <c r="K711" i="4"/>
  <c r="J711" i="4"/>
  <c r="I711" i="4"/>
  <c r="G711" i="4"/>
  <c r="F711" i="4"/>
  <c r="E711" i="4"/>
  <c r="D711" i="4"/>
  <c r="C711" i="4"/>
  <c r="O710" i="4"/>
  <c r="K710" i="4"/>
  <c r="J710" i="4"/>
  <c r="I710" i="4"/>
  <c r="G710" i="4"/>
  <c r="O709" i="4"/>
  <c r="K709" i="4"/>
  <c r="J709" i="4"/>
  <c r="I709" i="4"/>
  <c r="G709" i="4"/>
  <c r="O708" i="4"/>
  <c r="K708" i="4"/>
  <c r="J708" i="4"/>
  <c r="I708" i="4"/>
  <c r="C708" i="4"/>
  <c r="K707" i="4"/>
  <c r="J707" i="4"/>
  <c r="I707" i="4"/>
  <c r="G707" i="4"/>
  <c r="F707" i="4"/>
  <c r="E707" i="4"/>
  <c r="D707" i="4"/>
  <c r="C707" i="4"/>
  <c r="O706" i="4"/>
  <c r="K706" i="4"/>
  <c r="J706" i="4"/>
  <c r="I706" i="4"/>
  <c r="G706" i="4"/>
  <c r="O705" i="4"/>
  <c r="K705" i="4"/>
  <c r="J705" i="4"/>
  <c r="I705" i="4"/>
  <c r="G705" i="4"/>
  <c r="O704" i="4"/>
  <c r="K704" i="4"/>
  <c r="J704" i="4"/>
  <c r="I704" i="4"/>
  <c r="G704" i="4"/>
  <c r="O703" i="4"/>
  <c r="K703" i="4"/>
  <c r="J703" i="4"/>
  <c r="I703" i="4"/>
  <c r="G703" i="4"/>
  <c r="O702" i="4"/>
  <c r="K702" i="4"/>
  <c r="J702" i="4"/>
  <c r="I702" i="4"/>
  <c r="G702" i="4"/>
  <c r="O701" i="4"/>
  <c r="K701" i="4"/>
  <c r="J701" i="4"/>
  <c r="I701" i="4"/>
  <c r="K700" i="4"/>
  <c r="J700" i="4"/>
  <c r="I700" i="4"/>
  <c r="G700" i="4"/>
  <c r="F700" i="4"/>
  <c r="E700" i="4"/>
  <c r="D700" i="4"/>
  <c r="C700" i="4"/>
  <c r="O699" i="4"/>
  <c r="K699" i="4"/>
  <c r="J699" i="4"/>
  <c r="I699" i="4"/>
  <c r="G699" i="4"/>
  <c r="O698" i="4"/>
  <c r="K698" i="4"/>
  <c r="J698" i="4"/>
  <c r="I698" i="4"/>
  <c r="K697" i="4"/>
  <c r="J697" i="4"/>
  <c r="I697" i="4"/>
  <c r="G697" i="4"/>
  <c r="F697" i="4"/>
  <c r="E697" i="4"/>
  <c r="D697" i="4"/>
  <c r="C697" i="4"/>
  <c r="O696" i="4"/>
  <c r="K696" i="4"/>
  <c r="J696" i="4"/>
  <c r="I696" i="4"/>
  <c r="K695" i="4"/>
  <c r="J695" i="4"/>
  <c r="I695" i="4"/>
  <c r="G695" i="4"/>
  <c r="F695" i="4"/>
  <c r="E695" i="4"/>
  <c r="D695" i="4"/>
  <c r="C695" i="4"/>
  <c r="O694" i="4"/>
  <c r="K694" i="4"/>
  <c r="J694" i="4"/>
  <c r="I694" i="4"/>
  <c r="G694" i="4"/>
  <c r="O693" i="4"/>
  <c r="K693" i="4"/>
  <c r="J693" i="4"/>
  <c r="I693" i="4"/>
  <c r="G693" i="4"/>
  <c r="O692" i="4"/>
  <c r="K692" i="4"/>
  <c r="J692" i="4"/>
  <c r="I692" i="4"/>
  <c r="G692" i="4"/>
  <c r="O691" i="4"/>
  <c r="K691" i="4"/>
  <c r="J691" i="4"/>
  <c r="I691" i="4"/>
  <c r="K690" i="4"/>
  <c r="J690" i="4"/>
  <c r="I690" i="4"/>
  <c r="G690" i="4"/>
  <c r="F690" i="4"/>
  <c r="E690" i="4"/>
  <c r="D690" i="4"/>
  <c r="C690" i="4"/>
  <c r="O689" i="4"/>
  <c r="K689" i="4"/>
  <c r="J689" i="4"/>
  <c r="I689" i="4"/>
  <c r="G689" i="4"/>
  <c r="O688" i="4"/>
  <c r="K688" i="4"/>
  <c r="J688" i="4"/>
  <c r="I688" i="4"/>
  <c r="G688" i="4"/>
  <c r="O687" i="4"/>
  <c r="K687" i="4"/>
  <c r="J687" i="4"/>
  <c r="I687" i="4"/>
  <c r="G687" i="4"/>
  <c r="O686" i="4"/>
  <c r="K686" i="4"/>
  <c r="J686" i="4"/>
  <c r="I686" i="4"/>
  <c r="C686" i="4"/>
  <c r="K685" i="4"/>
  <c r="J685" i="4"/>
  <c r="I685" i="4"/>
  <c r="G685" i="4"/>
  <c r="F685" i="4"/>
  <c r="E685" i="4"/>
  <c r="D685" i="4"/>
  <c r="C685" i="4"/>
  <c r="O684" i="4"/>
  <c r="K684" i="4"/>
  <c r="J684" i="4"/>
  <c r="I684" i="4"/>
  <c r="G684" i="4"/>
  <c r="O683" i="4"/>
  <c r="K683" i="4"/>
  <c r="J683" i="4"/>
  <c r="I683" i="4"/>
  <c r="G683" i="4"/>
  <c r="O682" i="4"/>
  <c r="K682" i="4"/>
  <c r="J682" i="4"/>
  <c r="I682" i="4"/>
  <c r="K681" i="4"/>
  <c r="J681" i="4"/>
  <c r="I681" i="4"/>
  <c r="G681" i="4"/>
  <c r="F681" i="4"/>
  <c r="E681" i="4"/>
  <c r="D681" i="4"/>
  <c r="C681" i="4"/>
  <c r="K678" i="4"/>
  <c r="J678" i="4"/>
  <c r="I678" i="4"/>
  <c r="F678" i="4"/>
  <c r="E678" i="4"/>
  <c r="D678" i="4"/>
  <c r="C678" i="4"/>
  <c r="K676" i="4"/>
  <c r="J676" i="4"/>
  <c r="I676" i="4"/>
  <c r="F676" i="4"/>
  <c r="E676" i="4"/>
  <c r="D676" i="4"/>
  <c r="C676" i="4"/>
  <c r="K672" i="4"/>
  <c r="J672" i="4"/>
  <c r="I672" i="4"/>
  <c r="F672" i="4"/>
  <c r="E672" i="4"/>
  <c r="D672" i="4"/>
  <c r="C672" i="4"/>
  <c r="K668" i="4"/>
  <c r="J668" i="4"/>
  <c r="I668" i="4"/>
  <c r="G668" i="4"/>
  <c r="F668" i="4"/>
  <c r="E668" i="4"/>
  <c r="D668" i="4"/>
  <c r="C668" i="4"/>
  <c r="K663" i="4"/>
  <c r="J663" i="4"/>
  <c r="I663" i="4"/>
  <c r="G663" i="4"/>
  <c r="F663" i="4"/>
  <c r="E663" i="4"/>
  <c r="D663" i="4"/>
  <c r="C663" i="4"/>
  <c r="K662" i="4"/>
  <c r="J662" i="4"/>
  <c r="I662" i="4"/>
  <c r="G662" i="4"/>
  <c r="K661" i="4"/>
  <c r="J661" i="4"/>
  <c r="I661" i="4"/>
  <c r="G661" i="4"/>
  <c r="K660" i="4"/>
  <c r="J660" i="4"/>
  <c r="I660" i="4"/>
  <c r="G660" i="4"/>
  <c r="K659" i="4"/>
  <c r="J659" i="4"/>
  <c r="I659" i="4"/>
  <c r="K658" i="4"/>
  <c r="J658" i="4"/>
  <c r="I658" i="4"/>
  <c r="G658" i="4"/>
  <c r="F658" i="4"/>
  <c r="E658" i="4"/>
  <c r="D658" i="4"/>
  <c r="C658" i="4"/>
  <c r="K655" i="4"/>
  <c r="J655" i="4"/>
  <c r="I655" i="4"/>
  <c r="E655" i="4"/>
  <c r="D655" i="4"/>
  <c r="O654" i="4"/>
  <c r="K654" i="4"/>
  <c r="J654" i="4"/>
  <c r="I654" i="4"/>
  <c r="E654" i="4"/>
  <c r="D654" i="4"/>
  <c r="K653" i="4"/>
  <c r="J653" i="4"/>
  <c r="I653" i="4"/>
  <c r="G653" i="4"/>
  <c r="F653" i="4"/>
  <c r="E653" i="4"/>
  <c r="D653" i="4"/>
  <c r="C653" i="4"/>
  <c r="K652" i="4"/>
  <c r="J652" i="4"/>
  <c r="I652" i="4"/>
  <c r="G652" i="4"/>
  <c r="F652" i="4"/>
  <c r="E652" i="4"/>
  <c r="D652" i="4"/>
  <c r="C652" i="4"/>
  <c r="K651" i="4"/>
  <c r="J651" i="4"/>
  <c r="I651" i="4"/>
  <c r="G651" i="4"/>
  <c r="F651" i="4"/>
  <c r="E651" i="4"/>
  <c r="D651" i="4"/>
  <c r="C651" i="4"/>
  <c r="K650" i="4"/>
  <c r="J650" i="4"/>
  <c r="I650" i="4"/>
  <c r="G650" i="4"/>
  <c r="F650" i="4"/>
  <c r="E650" i="4"/>
  <c r="D650" i="4"/>
  <c r="C650" i="4"/>
  <c r="K649" i="4"/>
  <c r="J649" i="4"/>
  <c r="I649" i="4"/>
  <c r="G649" i="4"/>
  <c r="F649" i="4"/>
  <c r="E649" i="4"/>
  <c r="D649" i="4"/>
  <c r="C649" i="4"/>
  <c r="K648" i="4"/>
  <c r="J648" i="4"/>
  <c r="I648" i="4"/>
  <c r="G648" i="4"/>
  <c r="F648" i="4"/>
  <c r="E648" i="4"/>
  <c r="D648" i="4"/>
  <c r="C648" i="4"/>
  <c r="K647" i="4"/>
  <c r="J647" i="4"/>
  <c r="I647" i="4"/>
  <c r="G647" i="4"/>
  <c r="F647" i="4"/>
  <c r="E647" i="4"/>
  <c r="D647" i="4"/>
  <c r="C647" i="4"/>
  <c r="K646" i="4"/>
  <c r="J646" i="4"/>
  <c r="I646" i="4"/>
  <c r="G646" i="4"/>
  <c r="F646" i="4"/>
  <c r="E646" i="4"/>
  <c r="D646" i="4"/>
  <c r="C646" i="4"/>
  <c r="K645" i="4"/>
  <c r="J645" i="4"/>
  <c r="I645" i="4"/>
  <c r="G645" i="4"/>
  <c r="F645" i="4"/>
  <c r="E645" i="4"/>
  <c r="D645" i="4"/>
  <c r="C645" i="4"/>
  <c r="K643" i="4"/>
  <c r="J643" i="4"/>
  <c r="I643" i="4"/>
  <c r="F643" i="4"/>
  <c r="E643" i="4"/>
  <c r="D643" i="4"/>
  <c r="C643" i="4"/>
  <c r="K642" i="4"/>
  <c r="J642" i="4"/>
  <c r="I642" i="4"/>
  <c r="G642" i="4"/>
  <c r="F642" i="4"/>
  <c r="E642" i="4"/>
  <c r="D642" i="4"/>
  <c r="C642" i="4"/>
  <c r="K641" i="4"/>
  <c r="J641" i="4"/>
  <c r="I641" i="4"/>
  <c r="G641" i="4"/>
  <c r="F641" i="4"/>
  <c r="E641" i="4"/>
  <c r="D641" i="4"/>
  <c r="C641" i="4"/>
  <c r="O640" i="4"/>
  <c r="K640" i="4"/>
  <c r="J640" i="4"/>
  <c r="I640" i="4"/>
  <c r="G640" i="4"/>
  <c r="K639" i="4"/>
  <c r="J639" i="4"/>
  <c r="I639" i="4"/>
  <c r="F639" i="4"/>
  <c r="E639" i="4"/>
  <c r="D639" i="4"/>
  <c r="C639" i="4"/>
  <c r="K638" i="4"/>
  <c r="J638" i="4"/>
  <c r="I638" i="4"/>
  <c r="G638" i="4"/>
  <c r="F638" i="4"/>
  <c r="E638" i="4"/>
  <c r="D638" i="4"/>
  <c r="C638" i="4"/>
  <c r="K636" i="4"/>
  <c r="J636" i="4"/>
  <c r="I636" i="4"/>
  <c r="G636" i="4"/>
  <c r="F636" i="4"/>
  <c r="E636" i="4"/>
  <c r="D636" i="4"/>
  <c r="C636" i="4"/>
  <c r="O635" i="4"/>
  <c r="K635" i="4"/>
  <c r="J635" i="4"/>
  <c r="I635" i="4"/>
  <c r="K634" i="4"/>
  <c r="J634" i="4"/>
  <c r="I634" i="4"/>
  <c r="F634" i="4"/>
  <c r="E634" i="4"/>
  <c r="D634" i="4"/>
  <c r="C634" i="4"/>
  <c r="K633" i="4"/>
  <c r="J633" i="4"/>
  <c r="I633" i="4"/>
  <c r="G633" i="4"/>
  <c r="F633" i="4"/>
  <c r="E633" i="4"/>
  <c r="D633" i="4"/>
  <c r="C633" i="4"/>
  <c r="O632" i="4"/>
  <c r="K632" i="4"/>
  <c r="J632" i="4"/>
  <c r="I632" i="4"/>
  <c r="G632" i="4"/>
  <c r="O631" i="4"/>
  <c r="K631" i="4"/>
  <c r="J631" i="4"/>
  <c r="I631" i="4"/>
  <c r="G631" i="4"/>
  <c r="O630" i="4"/>
  <c r="K630" i="4"/>
  <c r="J630" i="4"/>
  <c r="I630" i="4"/>
  <c r="K629" i="4"/>
  <c r="J629" i="4"/>
  <c r="I629" i="4"/>
  <c r="F629" i="4"/>
  <c r="E629" i="4"/>
  <c r="D629" i="4"/>
  <c r="C629" i="4"/>
  <c r="O628" i="4"/>
  <c r="K628" i="4"/>
  <c r="J628" i="4"/>
  <c r="I628" i="4"/>
  <c r="G628" i="4"/>
  <c r="O627" i="4"/>
  <c r="K627" i="4"/>
  <c r="J627" i="4"/>
  <c r="I627" i="4"/>
  <c r="K626" i="4"/>
  <c r="J626" i="4"/>
  <c r="I626" i="4"/>
  <c r="F626" i="4"/>
  <c r="E626" i="4"/>
  <c r="D626" i="4"/>
  <c r="C626" i="4"/>
  <c r="O625" i="4"/>
  <c r="K625" i="4"/>
  <c r="J625" i="4"/>
  <c r="I625" i="4"/>
  <c r="K624" i="4"/>
  <c r="J624" i="4"/>
  <c r="I624" i="4"/>
  <c r="F624" i="4"/>
  <c r="E624" i="4"/>
  <c r="D624" i="4"/>
  <c r="C624" i="4"/>
  <c r="O623" i="4"/>
  <c r="K623" i="4"/>
  <c r="J623" i="4"/>
  <c r="I623" i="4"/>
  <c r="G623" i="4"/>
  <c r="O622" i="4"/>
  <c r="K622" i="4"/>
  <c r="J622" i="4"/>
  <c r="I622" i="4"/>
  <c r="G622" i="4"/>
  <c r="O621" i="4"/>
  <c r="K621" i="4"/>
  <c r="J621" i="4"/>
  <c r="I621" i="4"/>
  <c r="G621" i="4"/>
  <c r="O620" i="4"/>
  <c r="K620" i="4"/>
  <c r="J620" i="4"/>
  <c r="I620" i="4"/>
  <c r="K619" i="4"/>
  <c r="J619" i="4"/>
  <c r="I619" i="4"/>
  <c r="G619" i="4"/>
  <c r="F619" i="4"/>
  <c r="E619" i="4"/>
  <c r="D619" i="4"/>
  <c r="C619" i="4"/>
  <c r="O618" i="4"/>
  <c r="K618" i="4"/>
  <c r="J618" i="4"/>
  <c r="I618" i="4"/>
  <c r="G618" i="4"/>
  <c r="K617" i="4"/>
  <c r="J617" i="4"/>
  <c r="I617" i="4"/>
  <c r="G617" i="4"/>
  <c r="F617" i="4"/>
  <c r="E617" i="4"/>
  <c r="D617" i="4"/>
  <c r="C617" i="4"/>
  <c r="O616" i="4"/>
  <c r="K616" i="4"/>
  <c r="J616" i="4"/>
  <c r="I616" i="4"/>
  <c r="G616" i="4"/>
  <c r="G615" i="4"/>
  <c r="O614" i="4"/>
  <c r="K614" i="4"/>
  <c r="J614" i="4"/>
  <c r="I614" i="4"/>
  <c r="K613" i="4"/>
  <c r="J613" i="4"/>
  <c r="I613" i="4"/>
  <c r="F613" i="4"/>
  <c r="E613" i="4"/>
  <c r="D613" i="4"/>
  <c r="C613" i="4"/>
  <c r="O612" i="4"/>
  <c r="K612" i="4"/>
  <c r="J612" i="4"/>
  <c r="I612" i="4"/>
  <c r="G612" i="4"/>
  <c r="O611" i="4"/>
  <c r="K611" i="4"/>
  <c r="J611" i="4"/>
  <c r="I611" i="4"/>
  <c r="G611" i="4"/>
  <c r="O610" i="4"/>
  <c r="K610" i="4"/>
  <c r="J610" i="4"/>
  <c r="I610" i="4"/>
  <c r="K609" i="4"/>
  <c r="J609" i="4"/>
  <c r="I609" i="4"/>
  <c r="G609" i="4"/>
  <c r="F609" i="4"/>
  <c r="E609" i="4"/>
  <c r="D609" i="4"/>
  <c r="C609" i="4"/>
  <c r="K608" i="4"/>
  <c r="J608" i="4"/>
  <c r="I608" i="4"/>
  <c r="G608" i="4"/>
  <c r="F608" i="4"/>
  <c r="E608" i="4"/>
  <c r="D608" i="4"/>
  <c r="C608" i="4"/>
  <c r="O607" i="4"/>
  <c r="K607" i="4"/>
  <c r="J607" i="4"/>
  <c r="I607" i="4"/>
  <c r="G607" i="4"/>
  <c r="O606" i="4"/>
  <c r="K606" i="4"/>
  <c r="J606" i="4"/>
  <c r="I606" i="4"/>
  <c r="K605" i="4"/>
  <c r="J605" i="4"/>
  <c r="I605" i="4"/>
  <c r="G605" i="4"/>
  <c r="F605" i="4"/>
  <c r="E605" i="4"/>
  <c r="D605" i="4"/>
  <c r="K603" i="4"/>
  <c r="J603" i="4"/>
  <c r="I603" i="4"/>
  <c r="G603" i="4"/>
  <c r="F603" i="4"/>
  <c r="E603" i="4"/>
  <c r="D603" i="4"/>
  <c r="C603" i="4"/>
  <c r="K602" i="4"/>
  <c r="J602" i="4"/>
  <c r="I602" i="4"/>
  <c r="G602" i="4"/>
  <c r="F602" i="4"/>
  <c r="E602" i="4"/>
  <c r="D602" i="4"/>
  <c r="C602" i="4"/>
  <c r="O601" i="4"/>
  <c r="K601" i="4"/>
  <c r="J601" i="4"/>
  <c r="I601" i="4"/>
  <c r="G601" i="4"/>
  <c r="O600" i="4"/>
  <c r="K600" i="4"/>
  <c r="J600" i="4"/>
  <c r="I600" i="4"/>
  <c r="G600" i="4"/>
  <c r="O599" i="4"/>
  <c r="K599" i="4"/>
  <c r="J599" i="4"/>
  <c r="I599" i="4"/>
  <c r="K598" i="4"/>
  <c r="J598" i="4"/>
  <c r="I598" i="4"/>
  <c r="G598" i="4"/>
  <c r="F598" i="4"/>
  <c r="E598" i="4"/>
  <c r="D598" i="4"/>
  <c r="C598" i="4"/>
  <c r="O597" i="4"/>
  <c r="K597" i="4"/>
  <c r="J597" i="4"/>
  <c r="I597" i="4"/>
  <c r="K596" i="4"/>
  <c r="J596" i="4"/>
  <c r="I596" i="4"/>
  <c r="G596" i="4"/>
  <c r="F596" i="4"/>
  <c r="E596" i="4"/>
  <c r="D596" i="4"/>
  <c r="C596" i="4"/>
  <c r="O595" i="4"/>
  <c r="K595" i="4"/>
  <c r="J595" i="4"/>
  <c r="I595" i="4"/>
  <c r="G595" i="4"/>
  <c r="O594" i="4"/>
  <c r="K594" i="4"/>
  <c r="J594" i="4"/>
  <c r="I594" i="4"/>
  <c r="G594" i="4"/>
  <c r="O593" i="4"/>
  <c r="K593" i="4"/>
  <c r="J593" i="4"/>
  <c r="I593" i="4"/>
  <c r="K592" i="4"/>
  <c r="J592" i="4"/>
  <c r="I592" i="4"/>
  <c r="F592" i="4"/>
  <c r="E592" i="4"/>
  <c r="D592" i="4"/>
  <c r="C592" i="4"/>
  <c r="K591" i="4"/>
  <c r="J591" i="4"/>
  <c r="I591" i="4"/>
  <c r="G591" i="4"/>
  <c r="K590" i="4"/>
  <c r="J590" i="4"/>
  <c r="I590" i="4"/>
  <c r="G590" i="4"/>
  <c r="K589" i="4"/>
  <c r="J589" i="4"/>
  <c r="I589" i="4"/>
  <c r="G589" i="4"/>
  <c r="K588" i="4"/>
  <c r="J588" i="4"/>
  <c r="I588" i="4"/>
  <c r="G588" i="4"/>
  <c r="K587" i="4"/>
  <c r="J587" i="4"/>
  <c r="I587" i="4"/>
  <c r="K586" i="4"/>
  <c r="J586" i="4"/>
  <c r="I586" i="4"/>
  <c r="G586" i="4"/>
  <c r="F586" i="4"/>
  <c r="E586" i="4"/>
  <c r="D586" i="4"/>
  <c r="C586" i="4"/>
  <c r="O585" i="4"/>
  <c r="K585" i="4"/>
  <c r="J585" i="4"/>
  <c r="I585" i="4"/>
  <c r="G585" i="4"/>
  <c r="O584" i="4"/>
  <c r="K584" i="4"/>
  <c r="J584" i="4"/>
  <c r="I584" i="4"/>
  <c r="G584" i="4"/>
  <c r="O583" i="4"/>
  <c r="K583" i="4"/>
  <c r="J583" i="4"/>
  <c r="I583" i="4"/>
  <c r="K582" i="4"/>
  <c r="J582" i="4"/>
  <c r="I582" i="4"/>
  <c r="G582" i="4"/>
  <c r="F582" i="4"/>
  <c r="E582" i="4"/>
  <c r="D582" i="4"/>
  <c r="C582" i="4"/>
  <c r="O581" i="4"/>
  <c r="K581" i="4"/>
  <c r="J581" i="4"/>
  <c r="I581" i="4"/>
  <c r="O579" i="4"/>
  <c r="K579" i="4"/>
  <c r="J579" i="4"/>
  <c r="I579" i="4"/>
  <c r="G579" i="4"/>
  <c r="K578" i="4"/>
  <c r="J578" i="4"/>
  <c r="I578" i="4"/>
  <c r="G578" i="4"/>
  <c r="F578" i="4"/>
  <c r="E578" i="4"/>
  <c r="D578" i="4"/>
  <c r="C578" i="4"/>
  <c r="O576" i="4"/>
  <c r="K576" i="4"/>
  <c r="J576" i="4"/>
  <c r="I576" i="4"/>
  <c r="G576" i="4"/>
  <c r="O575" i="4"/>
  <c r="K575" i="4"/>
  <c r="J575" i="4"/>
  <c r="I575" i="4"/>
  <c r="K574" i="4"/>
  <c r="J574" i="4"/>
  <c r="I574" i="4"/>
  <c r="G574" i="4"/>
  <c r="F574" i="4"/>
  <c r="E574" i="4"/>
  <c r="D574" i="4"/>
  <c r="C574" i="4"/>
  <c r="O573" i="4"/>
  <c r="K573" i="4"/>
  <c r="J573" i="4"/>
  <c r="I573" i="4"/>
  <c r="G573" i="4"/>
  <c r="O572" i="4"/>
  <c r="K572" i="4"/>
  <c r="J572" i="4"/>
  <c r="I572" i="4"/>
  <c r="G572" i="4"/>
  <c r="O571" i="4"/>
  <c r="K571" i="4"/>
  <c r="J571" i="4"/>
  <c r="I571" i="4"/>
  <c r="K570" i="4"/>
  <c r="J570" i="4"/>
  <c r="I570" i="4"/>
  <c r="G570" i="4"/>
  <c r="F570" i="4"/>
  <c r="E570" i="4"/>
  <c r="D570" i="4"/>
  <c r="C570" i="4"/>
  <c r="O569" i="4"/>
  <c r="K569" i="4"/>
  <c r="J569" i="4"/>
  <c r="I569" i="4"/>
  <c r="G569" i="4"/>
  <c r="O568" i="4"/>
  <c r="K568" i="4"/>
  <c r="J568" i="4"/>
  <c r="I568" i="4"/>
  <c r="G568" i="4"/>
  <c r="O567" i="4"/>
  <c r="K567" i="4"/>
  <c r="J567" i="4"/>
  <c r="I567" i="4"/>
  <c r="K566" i="4"/>
  <c r="J566" i="4"/>
  <c r="I566" i="4"/>
  <c r="G566" i="4"/>
  <c r="F566" i="4"/>
  <c r="E566" i="4"/>
  <c r="D566" i="4"/>
  <c r="C566" i="4"/>
  <c r="O565" i="4"/>
  <c r="K565" i="4"/>
  <c r="J565" i="4"/>
  <c r="I565" i="4"/>
  <c r="G565" i="4"/>
  <c r="O564" i="4"/>
  <c r="K564" i="4"/>
  <c r="J564" i="4"/>
  <c r="I564" i="4"/>
  <c r="G564" i="4"/>
  <c r="O563" i="4"/>
  <c r="K563" i="4"/>
  <c r="J563" i="4"/>
  <c r="I563" i="4"/>
  <c r="G563" i="4"/>
  <c r="O562" i="4"/>
  <c r="K562" i="4"/>
  <c r="J562" i="4"/>
  <c r="I562" i="4"/>
  <c r="K561" i="4"/>
  <c r="J561" i="4"/>
  <c r="I561" i="4"/>
  <c r="G561" i="4"/>
  <c r="F561" i="4"/>
  <c r="E561" i="4"/>
  <c r="D561" i="4"/>
  <c r="C561" i="4"/>
  <c r="O560" i="4"/>
  <c r="K560" i="4"/>
  <c r="J560" i="4"/>
  <c r="I560" i="4"/>
  <c r="G560" i="4"/>
  <c r="O559" i="4"/>
  <c r="K559" i="4"/>
  <c r="J559" i="4"/>
  <c r="I559" i="4"/>
  <c r="G559" i="4"/>
  <c r="O558" i="4"/>
  <c r="K558" i="4"/>
  <c r="J558" i="4"/>
  <c r="I558" i="4"/>
  <c r="G558" i="4"/>
  <c r="O557" i="4"/>
  <c r="K557" i="4"/>
  <c r="J557" i="4"/>
  <c r="I557" i="4"/>
  <c r="K556" i="4"/>
  <c r="J556" i="4"/>
  <c r="I556" i="4"/>
  <c r="G556" i="4"/>
  <c r="F556" i="4"/>
  <c r="E556" i="4"/>
  <c r="D556" i="4"/>
  <c r="C556" i="4"/>
  <c r="O555" i="4"/>
  <c r="K555" i="4"/>
  <c r="J555" i="4"/>
  <c r="I555" i="4"/>
  <c r="G555" i="4"/>
  <c r="O554" i="4"/>
  <c r="K554" i="4"/>
  <c r="J554" i="4"/>
  <c r="I554" i="4"/>
  <c r="G554" i="4"/>
  <c r="O553" i="4"/>
  <c r="K553" i="4"/>
  <c r="J553" i="4"/>
  <c r="I553" i="4"/>
  <c r="G553" i="4"/>
  <c r="O552" i="4"/>
  <c r="K552" i="4"/>
  <c r="J552" i="4"/>
  <c r="I552" i="4"/>
  <c r="K551" i="4"/>
  <c r="J551" i="4"/>
  <c r="I551" i="4"/>
  <c r="G551" i="4"/>
  <c r="F551" i="4"/>
  <c r="E551" i="4"/>
  <c r="D551" i="4"/>
  <c r="C551" i="4"/>
  <c r="O550" i="4"/>
  <c r="K550" i="4"/>
  <c r="J550" i="4"/>
  <c r="I550" i="4"/>
  <c r="G550" i="4"/>
  <c r="O549" i="4"/>
  <c r="K549" i="4"/>
  <c r="J549" i="4"/>
  <c r="I549" i="4"/>
  <c r="G549" i="4"/>
  <c r="O548" i="4"/>
  <c r="K548" i="4"/>
  <c r="J548" i="4"/>
  <c r="I548" i="4"/>
  <c r="K547" i="4"/>
  <c r="J547" i="4"/>
  <c r="I547" i="4"/>
  <c r="G547" i="4"/>
  <c r="F547" i="4"/>
  <c r="E547" i="4"/>
  <c r="D547" i="4"/>
  <c r="C547" i="4"/>
  <c r="O546" i="4"/>
  <c r="K546" i="4"/>
  <c r="J546" i="4"/>
  <c r="I546" i="4"/>
  <c r="G546" i="4"/>
  <c r="O545" i="4"/>
  <c r="K545" i="4"/>
  <c r="J545" i="4"/>
  <c r="I545" i="4"/>
  <c r="G545" i="4"/>
  <c r="O544" i="4"/>
  <c r="K544" i="4"/>
  <c r="J544" i="4"/>
  <c r="I544" i="4"/>
  <c r="K543" i="4"/>
  <c r="J543" i="4"/>
  <c r="I543" i="4"/>
  <c r="G543" i="4"/>
  <c r="F543" i="4"/>
  <c r="E543" i="4"/>
  <c r="D543" i="4"/>
  <c r="C543" i="4"/>
  <c r="O542" i="4"/>
  <c r="K542" i="4"/>
  <c r="J542" i="4"/>
  <c r="I542" i="4"/>
  <c r="G542" i="4"/>
  <c r="O541" i="4"/>
  <c r="K541" i="4"/>
  <c r="J541" i="4"/>
  <c r="I541" i="4"/>
  <c r="G541" i="4"/>
  <c r="O540" i="4"/>
  <c r="K540" i="4"/>
  <c r="J540" i="4"/>
  <c r="I540" i="4"/>
  <c r="G540" i="4"/>
  <c r="O539" i="4"/>
  <c r="K539" i="4"/>
  <c r="J539" i="4"/>
  <c r="I539" i="4"/>
  <c r="K538" i="4"/>
  <c r="J538" i="4"/>
  <c r="I538" i="4"/>
  <c r="G538" i="4"/>
  <c r="F538" i="4"/>
  <c r="E538" i="4"/>
  <c r="D538" i="4"/>
  <c r="C538" i="4"/>
  <c r="O537" i="4"/>
  <c r="K537" i="4"/>
  <c r="J537" i="4"/>
  <c r="I537" i="4"/>
  <c r="G537" i="4"/>
  <c r="O536" i="4"/>
  <c r="K536" i="4"/>
  <c r="J536" i="4"/>
  <c r="I536" i="4"/>
  <c r="G536" i="4"/>
  <c r="O535" i="4"/>
  <c r="K535" i="4"/>
  <c r="J535" i="4"/>
  <c r="I535" i="4"/>
  <c r="K534" i="4"/>
  <c r="J534" i="4"/>
  <c r="I534" i="4"/>
  <c r="G534" i="4"/>
  <c r="F534" i="4"/>
  <c r="E534" i="4"/>
  <c r="D534" i="4"/>
  <c r="C534" i="4"/>
  <c r="O533" i="4"/>
  <c r="K533" i="4"/>
  <c r="J533" i="4"/>
  <c r="I533" i="4"/>
  <c r="G533" i="4"/>
  <c r="O532" i="4"/>
  <c r="K532" i="4"/>
  <c r="J532" i="4"/>
  <c r="I532" i="4"/>
  <c r="G532" i="4"/>
  <c r="O531" i="4"/>
  <c r="K531" i="4"/>
  <c r="J531" i="4"/>
  <c r="I531" i="4"/>
  <c r="K530" i="4"/>
  <c r="J530" i="4"/>
  <c r="I530" i="4"/>
  <c r="G530" i="4"/>
  <c r="F530" i="4"/>
  <c r="E530" i="4"/>
  <c r="D530" i="4"/>
  <c r="C530" i="4"/>
  <c r="O528" i="4"/>
  <c r="K528" i="4"/>
  <c r="J528" i="4"/>
  <c r="I528" i="4"/>
  <c r="G528" i="4"/>
  <c r="O527" i="4"/>
  <c r="K527" i="4"/>
  <c r="J527" i="4"/>
  <c r="I527" i="4"/>
  <c r="G527" i="4"/>
  <c r="O526" i="4"/>
  <c r="K526" i="4"/>
  <c r="J526" i="4"/>
  <c r="I526" i="4"/>
  <c r="K525" i="4"/>
  <c r="J525" i="4"/>
  <c r="I525" i="4"/>
  <c r="G525" i="4"/>
  <c r="F525" i="4"/>
  <c r="E525" i="4"/>
  <c r="D525" i="4"/>
  <c r="C525" i="4"/>
  <c r="O524" i="4"/>
  <c r="K524" i="4"/>
  <c r="J524" i="4"/>
  <c r="I524" i="4"/>
  <c r="G524" i="4"/>
  <c r="O523" i="4"/>
  <c r="K523" i="4"/>
  <c r="J523" i="4"/>
  <c r="I523" i="4"/>
  <c r="G523" i="4"/>
  <c r="O522" i="4"/>
  <c r="K522" i="4"/>
  <c r="J522" i="4"/>
  <c r="I522" i="4"/>
  <c r="G522" i="4"/>
  <c r="O521" i="4"/>
  <c r="K521" i="4"/>
  <c r="J521" i="4"/>
  <c r="I521" i="4"/>
  <c r="K520" i="4"/>
  <c r="J520" i="4"/>
  <c r="I520" i="4"/>
  <c r="G520" i="4"/>
  <c r="F520" i="4"/>
  <c r="E520" i="4"/>
  <c r="D520" i="4"/>
  <c r="C520" i="4"/>
  <c r="O519" i="4"/>
  <c r="K519" i="4"/>
  <c r="J519" i="4"/>
  <c r="I519" i="4"/>
  <c r="G519" i="4"/>
  <c r="O518" i="4"/>
  <c r="K518" i="4"/>
  <c r="J518" i="4"/>
  <c r="I518" i="4"/>
  <c r="G518" i="4"/>
  <c r="O517" i="4"/>
  <c r="K517" i="4"/>
  <c r="J517" i="4"/>
  <c r="I517" i="4"/>
  <c r="G517" i="4"/>
  <c r="O516" i="4"/>
  <c r="K516" i="4"/>
  <c r="J516" i="4"/>
  <c r="I516" i="4"/>
  <c r="K515" i="4"/>
  <c r="J515" i="4"/>
  <c r="I515" i="4"/>
  <c r="G515" i="4"/>
  <c r="F515" i="4"/>
  <c r="E515" i="4"/>
  <c r="D515" i="4"/>
  <c r="C515" i="4"/>
  <c r="O514" i="4"/>
  <c r="K514" i="4"/>
  <c r="J514" i="4"/>
  <c r="I514" i="4"/>
  <c r="G514" i="4"/>
  <c r="O513" i="4"/>
  <c r="K513" i="4"/>
  <c r="J513" i="4"/>
  <c r="I513" i="4"/>
  <c r="G513" i="4"/>
  <c r="O512" i="4"/>
  <c r="K512" i="4"/>
  <c r="J512" i="4"/>
  <c r="I512" i="4"/>
  <c r="G512" i="4"/>
  <c r="O511" i="4"/>
  <c r="K511" i="4"/>
  <c r="J511" i="4"/>
  <c r="I511" i="4"/>
  <c r="K510" i="4"/>
  <c r="J510" i="4"/>
  <c r="I510" i="4"/>
  <c r="G510" i="4"/>
  <c r="F510" i="4"/>
  <c r="E510" i="4"/>
  <c r="D510" i="4"/>
  <c r="C510" i="4"/>
  <c r="O509" i="4"/>
  <c r="K509" i="4"/>
  <c r="J509" i="4"/>
  <c r="I509" i="4"/>
  <c r="G509" i="4"/>
  <c r="O508" i="4"/>
  <c r="K508" i="4"/>
  <c r="J508" i="4"/>
  <c r="I508" i="4"/>
  <c r="G508" i="4"/>
  <c r="O507" i="4"/>
  <c r="K507" i="4"/>
  <c r="J507" i="4"/>
  <c r="I507" i="4"/>
  <c r="G507" i="4"/>
  <c r="O506" i="4"/>
  <c r="K506" i="4"/>
  <c r="J506" i="4"/>
  <c r="I506" i="4"/>
  <c r="K505" i="4"/>
  <c r="J505" i="4"/>
  <c r="I505" i="4"/>
  <c r="G505" i="4"/>
  <c r="F505" i="4"/>
  <c r="E505" i="4"/>
  <c r="D505" i="4"/>
  <c r="C505" i="4"/>
  <c r="O504" i="4"/>
  <c r="K504" i="4"/>
  <c r="J504" i="4"/>
  <c r="I504" i="4"/>
  <c r="G504" i="4"/>
  <c r="O503" i="4"/>
  <c r="K503" i="4"/>
  <c r="J503" i="4"/>
  <c r="I503" i="4"/>
  <c r="G503" i="4"/>
  <c r="O502" i="4"/>
  <c r="K502" i="4"/>
  <c r="J502" i="4"/>
  <c r="I502" i="4"/>
  <c r="K501" i="4"/>
  <c r="J501" i="4"/>
  <c r="I501" i="4"/>
  <c r="G501" i="4"/>
  <c r="F501" i="4"/>
  <c r="E501" i="4"/>
  <c r="D501" i="4"/>
  <c r="C501" i="4"/>
  <c r="O500" i="4"/>
  <c r="K500" i="4"/>
  <c r="J500" i="4"/>
  <c r="I500" i="4"/>
  <c r="G500" i="4"/>
  <c r="O499" i="4"/>
  <c r="K499" i="4"/>
  <c r="J499" i="4"/>
  <c r="I499" i="4"/>
  <c r="G499" i="4"/>
  <c r="O498" i="4"/>
  <c r="K498" i="4"/>
  <c r="J498" i="4"/>
  <c r="I498" i="4"/>
  <c r="K497" i="4"/>
  <c r="J497" i="4"/>
  <c r="I497" i="4"/>
  <c r="G497" i="4"/>
  <c r="F497" i="4"/>
  <c r="E497" i="4"/>
  <c r="D497" i="4"/>
  <c r="C497" i="4"/>
  <c r="O496" i="4"/>
  <c r="K496" i="4"/>
  <c r="J496" i="4"/>
  <c r="I496" i="4"/>
  <c r="G496" i="4"/>
  <c r="O495" i="4"/>
  <c r="K495" i="4"/>
  <c r="J495" i="4"/>
  <c r="I495" i="4"/>
  <c r="G495" i="4"/>
  <c r="O494" i="4"/>
  <c r="K494" i="4"/>
  <c r="J494" i="4"/>
  <c r="I494" i="4"/>
  <c r="G494" i="4"/>
  <c r="O493" i="4"/>
  <c r="K493" i="4"/>
  <c r="J493" i="4"/>
  <c r="I493" i="4"/>
  <c r="K492" i="4"/>
  <c r="J492" i="4"/>
  <c r="I492" i="4"/>
  <c r="F492" i="4"/>
  <c r="E492" i="4"/>
  <c r="D492" i="4"/>
  <c r="C492" i="4"/>
  <c r="O491" i="4"/>
  <c r="K491" i="4"/>
  <c r="J491" i="4"/>
  <c r="I491" i="4"/>
  <c r="K490" i="4"/>
  <c r="J490" i="4"/>
  <c r="I490" i="4"/>
  <c r="G490" i="4"/>
  <c r="F490" i="4"/>
  <c r="E490" i="4"/>
  <c r="D490" i="4"/>
  <c r="C490" i="4"/>
  <c r="O489" i="4"/>
  <c r="K489" i="4"/>
  <c r="J489" i="4"/>
  <c r="I489" i="4"/>
  <c r="G489" i="4"/>
  <c r="O488" i="4"/>
  <c r="K488" i="4"/>
  <c r="J488" i="4"/>
  <c r="I488" i="4"/>
  <c r="G488" i="4"/>
  <c r="O487" i="4"/>
  <c r="K487" i="4"/>
  <c r="J487" i="4"/>
  <c r="I487" i="4"/>
  <c r="G487" i="4"/>
  <c r="O486" i="4"/>
  <c r="K486" i="4"/>
  <c r="J486" i="4"/>
  <c r="I486" i="4"/>
  <c r="K485" i="4"/>
  <c r="J485" i="4"/>
  <c r="I485" i="4"/>
  <c r="G485" i="4"/>
  <c r="F485" i="4"/>
  <c r="E485" i="4"/>
  <c r="D485" i="4"/>
  <c r="C485" i="4"/>
  <c r="O484" i="4"/>
  <c r="K484" i="4"/>
  <c r="J484" i="4"/>
  <c r="I484" i="4"/>
  <c r="G484" i="4"/>
  <c r="O483" i="4"/>
  <c r="K483" i="4"/>
  <c r="J483" i="4"/>
  <c r="I483" i="4"/>
  <c r="G483" i="4"/>
  <c r="O482" i="4"/>
  <c r="K482" i="4"/>
  <c r="J482" i="4"/>
  <c r="I482" i="4"/>
  <c r="G482" i="4"/>
  <c r="O481" i="4"/>
  <c r="K481" i="4"/>
  <c r="J481" i="4"/>
  <c r="I481" i="4"/>
  <c r="K480" i="4"/>
  <c r="J480" i="4"/>
  <c r="I480" i="4"/>
  <c r="G480" i="4"/>
  <c r="F480" i="4"/>
  <c r="E480" i="4"/>
  <c r="D480" i="4"/>
  <c r="C480" i="4"/>
  <c r="O479" i="4"/>
  <c r="K479" i="4"/>
  <c r="J479" i="4"/>
  <c r="I479" i="4"/>
  <c r="G479" i="4"/>
  <c r="O478" i="4"/>
  <c r="K478" i="4"/>
  <c r="J478" i="4"/>
  <c r="I478" i="4"/>
  <c r="G478" i="4"/>
  <c r="O477" i="4"/>
  <c r="K477" i="4"/>
  <c r="J477" i="4"/>
  <c r="I477" i="4"/>
  <c r="G477" i="4"/>
  <c r="O476" i="4"/>
  <c r="K476" i="4"/>
  <c r="J476" i="4"/>
  <c r="I476" i="4"/>
  <c r="G476" i="4"/>
  <c r="O475" i="4"/>
  <c r="K475" i="4"/>
  <c r="J475" i="4"/>
  <c r="I475" i="4"/>
  <c r="G475" i="4"/>
  <c r="O474" i="4"/>
  <c r="K474" i="4"/>
  <c r="J474" i="4"/>
  <c r="I474" i="4"/>
  <c r="K473" i="4"/>
  <c r="J473" i="4"/>
  <c r="I473" i="4"/>
  <c r="G473" i="4"/>
  <c r="F473" i="4"/>
  <c r="E473" i="4"/>
  <c r="D473" i="4"/>
  <c r="C473" i="4"/>
  <c r="O472" i="4"/>
  <c r="K472" i="4"/>
  <c r="J472" i="4"/>
  <c r="I472" i="4"/>
  <c r="G472" i="4"/>
  <c r="O471" i="4"/>
  <c r="K471" i="4"/>
  <c r="J471" i="4"/>
  <c r="I471" i="4"/>
  <c r="G471" i="4"/>
  <c r="O470" i="4"/>
  <c r="K470" i="4"/>
  <c r="J470" i="4"/>
  <c r="I470" i="4"/>
  <c r="G470" i="4"/>
  <c r="O469" i="4"/>
  <c r="K469" i="4"/>
  <c r="J469" i="4"/>
  <c r="I469" i="4"/>
  <c r="K468" i="4"/>
  <c r="J468" i="4"/>
  <c r="I468" i="4"/>
  <c r="G468" i="4"/>
  <c r="F468" i="4"/>
  <c r="E468" i="4"/>
  <c r="D468" i="4"/>
  <c r="C468" i="4"/>
  <c r="O467" i="4"/>
  <c r="K467" i="4"/>
  <c r="J467" i="4"/>
  <c r="I467" i="4"/>
  <c r="G467" i="4"/>
  <c r="O466" i="4"/>
  <c r="K466" i="4"/>
  <c r="J466" i="4"/>
  <c r="I466" i="4"/>
  <c r="G466" i="4"/>
  <c r="O465" i="4"/>
  <c r="K465" i="4"/>
  <c r="J465" i="4"/>
  <c r="I465" i="4"/>
  <c r="G465" i="4"/>
  <c r="O464" i="4"/>
  <c r="K464" i="4"/>
  <c r="J464" i="4"/>
  <c r="I464" i="4"/>
  <c r="G464" i="4"/>
  <c r="O463" i="4"/>
  <c r="K463" i="4"/>
  <c r="J463" i="4"/>
  <c r="I463" i="4"/>
  <c r="K462" i="4"/>
  <c r="J462" i="4"/>
  <c r="I462" i="4"/>
  <c r="G462" i="4"/>
  <c r="F462" i="4"/>
  <c r="E462" i="4"/>
  <c r="D462" i="4"/>
  <c r="C462" i="4"/>
  <c r="O461" i="4"/>
  <c r="K461" i="4"/>
  <c r="J461" i="4"/>
  <c r="I461" i="4"/>
  <c r="G461" i="4"/>
  <c r="O460" i="4"/>
  <c r="K460" i="4"/>
  <c r="J460" i="4"/>
  <c r="I460" i="4"/>
  <c r="K459" i="4"/>
  <c r="J459" i="4"/>
  <c r="I459" i="4"/>
  <c r="G459" i="4"/>
  <c r="F459" i="4"/>
  <c r="E459" i="4"/>
  <c r="D459" i="4"/>
  <c r="C459" i="4"/>
  <c r="O457" i="4"/>
  <c r="K457" i="4"/>
  <c r="J457" i="4"/>
  <c r="I457" i="4"/>
  <c r="G457" i="4"/>
  <c r="O456" i="4"/>
  <c r="K456" i="4"/>
  <c r="J456" i="4"/>
  <c r="I456" i="4"/>
  <c r="G456" i="4"/>
  <c r="O455" i="4"/>
  <c r="K455" i="4"/>
  <c r="J455" i="4"/>
  <c r="I455" i="4"/>
  <c r="G455" i="4"/>
  <c r="O454" i="4"/>
  <c r="K454" i="4"/>
  <c r="J454" i="4"/>
  <c r="I454" i="4"/>
  <c r="K453" i="4"/>
  <c r="J453" i="4"/>
  <c r="I453" i="4"/>
  <c r="G453" i="4"/>
  <c r="F453" i="4"/>
  <c r="E453" i="4"/>
  <c r="D453" i="4"/>
  <c r="C453" i="4"/>
  <c r="O452" i="4"/>
  <c r="K452" i="4"/>
  <c r="J452" i="4"/>
  <c r="I452" i="4"/>
  <c r="G452" i="4"/>
  <c r="O451" i="4"/>
  <c r="K451" i="4"/>
  <c r="J451" i="4"/>
  <c r="I451" i="4"/>
  <c r="G451" i="4"/>
  <c r="O450" i="4"/>
  <c r="K450" i="4"/>
  <c r="J450" i="4"/>
  <c r="I450" i="4"/>
  <c r="G450" i="4"/>
  <c r="O449" i="4"/>
  <c r="K449" i="4"/>
  <c r="J449" i="4"/>
  <c r="I449" i="4"/>
  <c r="K448" i="4"/>
  <c r="J448" i="4"/>
  <c r="I448" i="4"/>
  <c r="G448" i="4"/>
  <c r="F448" i="4"/>
  <c r="E448" i="4"/>
  <c r="D448" i="4"/>
  <c r="C448" i="4"/>
  <c r="O447" i="4"/>
  <c r="K447" i="4"/>
  <c r="J447" i="4"/>
  <c r="I447" i="4"/>
  <c r="G447" i="4"/>
  <c r="O446" i="4"/>
  <c r="K446" i="4"/>
  <c r="J446" i="4"/>
  <c r="I446" i="4"/>
  <c r="G446" i="4"/>
  <c r="O445" i="4"/>
  <c r="K445" i="4"/>
  <c r="J445" i="4"/>
  <c r="I445" i="4"/>
  <c r="G445" i="4"/>
  <c r="O444" i="4"/>
  <c r="K444" i="4"/>
  <c r="J444" i="4"/>
  <c r="I444" i="4"/>
  <c r="G444" i="4"/>
  <c r="O443" i="4"/>
  <c r="K443" i="4"/>
  <c r="J443" i="4"/>
  <c r="I443" i="4"/>
  <c r="K442" i="4"/>
  <c r="J442" i="4"/>
  <c r="I442" i="4"/>
  <c r="G442" i="4"/>
  <c r="F442" i="4"/>
  <c r="E442" i="4"/>
  <c r="D442" i="4"/>
  <c r="C442" i="4"/>
  <c r="O441" i="4"/>
  <c r="K441" i="4"/>
  <c r="J441" i="4"/>
  <c r="I441" i="4"/>
  <c r="G441" i="4"/>
  <c r="O440" i="4"/>
  <c r="K440" i="4"/>
  <c r="J440" i="4"/>
  <c r="I440" i="4"/>
  <c r="G440" i="4"/>
  <c r="O439" i="4"/>
  <c r="K439" i="4"/>
  <c r="J439" i="4"/>
  <c r="I439" i="4"/>
  <c r="G439" i="4"/>
  <c r="O438" i="4"/>
  <c r="K438" i="4"/>
  <c r="J438" i="4"/>
  <c r="I438" i="4"/>
  <c r="G438" i="4"/>
  <c r="O437" i="4"/>
  <c r="K437" i="4"/>
  <c r="J437" i="4"/>
  <c r="I437" i="4"/>
  <c r="G437" i="4"/>
  <c r="O436" i="4"/>
  <c r="K436" i="4"/>
  <c r="J436" i="4"/>
  <c r="I436" i="4"/>
  <c r="G436" i="4"/>
  <c r="O435" i="4"/>
  <c r="K435" i="4"/>
  <c r="J435" i="4"/>
  <c r="I435" i="4"/>
  <c r="K434" i="4"/>
  <c r="J434" i="4"/>
  <c r="I434" i="4"/>
  <c r="G434" i="4"/>
  <c r="F434" i="4"/>
  <c r="E434" i="4"/>
  <c r="D434" i="4"/>
  <c r="C434" i="4"/>
  <c r="O433" i="4"/>
  <c r="K433" i="4"/>
  <c r="J433" i="4"/>
  <c r="I433" i="4"/>
  <c r="G433" i="4"/>
  <c r="O432" i="4"/>
  <c r="K432" i="4"/>
  <c r="J432" i="4"/>
  <c r="I432" i="4"/>
  <c r="G432" i="4"/>
  <c r="O431" i="4"/>
  <c r="K431" i="4"/>
  <c r="J431" i="4"/>
  <c r="I431" i="4"/>
  <c r="K430" i="4"/>
  <c r="J430" i="4"/>
  <c r="I430" i="4"/>
  <c r="G430" i="4"/>
  <c r="F430" i="4"/>
  <c r="E430" i="4"/>
  <c r="D430" i="4"/>
  <c r="C430" i="4"/>
  <c r="O429" i="4"/>
  <c r="K429" i="4"/>
  <c r="J429" i="4"/>
  <c r="I429" i="4"/>
  <c r="G429" i="4"/>
  <c r="O428" i="4"/>
  <c r="K428" i="4"/>
  <c r="J428" i="4"/>
  <c r="I428" i="4"/>
  <c r="G428" i="4"/>
  <c r="O427" i="4"/>
  <c r="K427" i="4"/>
  <c r="J427" i="4"/>
  <c r="I427" i="4"/>
  <c r="G427" i="4"/>
  <c r="O426" i="4"/>
  <c r="K426" i="4"/>
  <c r="J426" i="4"/>
  <c r="I426" i="4"/>
  <c r="K425" i="4"/>
  <c r="J425" i="4"/>
  <c r="I425" i="4"/>
  <c r="G425" i="4"/>
  <c r="F425" i="4"/>
  <c r="E425" i="4"/>
  <c r="D425" i="4"/>
  <c r="C425" i="4"/>
  <c r="O424" i="4"/>
  <c r="K424" i="4"/>
  <c r="J424" i="4"/>
  <c r="I424" i="4"/>
  <c r="G424" i="4"/>
  <c r="O423" i="4"/>
  <c r="K423" i="4"/>
  <c r="J423" i="4"/>
  <c r="I423" i="4"/>
  <c r="G423" i="4"/>
  <c r="O422" i="4"/>
  <c r="K422" i="4"/>
  <c r="J422" i="4"/>
  <c r="I422" i="4"/>
  <c r="G422" i="4"/>
  <c r="O421" i="4"/>
  <c r="K421" i="4"/>
  <c r="J421" i="4"/>
  <c r="I421" i="4"/>
  <c r="K420" i="4"/>
  <c r="J420" i="4"/>
  <c r="I420" i="4"/>
  <c r="G420" i="4"/>
  <c r="F420" i="4"/>
  <c r="E420" i="4"/>
  <c r="D420" i="4"/>
  <c r="C420" i="4"/>
  <c r="O419" i="4"/>
  <c r="K419" i="4"/>
  <c r="J419" i="4"/>
  <c r="I419" i="4"/>
  <c r="G419" i="4"/>
  <c r="O418" i="4"/>
  <c r="K418" i="4"/>
  <c r="J418" i="4"/>
  <c r="I418" i="4"/>
  <c r="G418" i="4"/>
  <c r="O417" i="4"/>
  <c r="K417" i="4"/>
  <c r="J417" i="4"/>
  <c r="I417" i="4"/>
  <c r="K416" i="4"/>
  <c r="J416" i="4"/>
  <c r="I416" i="4"/>
  <c r="G416" i="4"/>
  <c r="F416" i="4"/>
  <c r="E416" i="4"/>
  <c r="D416" i="4"/>
  <c r="C416" i="4"/>
  <c r="O415" i="4"/>
  <c r="K415" i="4"/>
  <c r="J415" i="4"/>
  <c r="I415" i="4"/>
  <c r="G415" i="4"/>
  <c r="F415" i="4"/>
  <c r="O414" i="4"/>
  <c r="K414" i="4"/>
  <c r="J414" i="4"/>
  <c r="I414" i="4"/>
  <c r="G414" i="4"/>
  <c r="O413" i="4"/>
  <c r="K413" i="4"/>
  <c r="J413" i="4"/>
  <c r="I413" i="4"/>
  <c r="G413" i="4"/>
  <c r="O412" i="4"/>
  <c r="K412" i="4"/>
  <c r="J412" i="4"/>
  <c r="I412" i="4"/>
  <c r="G412" i="4"/>
  <c r="O411" i="4"/>
  <c r="K411" i="4"/>
  <c r="J411" i="4"/>
  <c r="I411" i="4"/>
  <c r="K410" i="4"/>
  <c r="J410" i="4"/>
  <c r="I410" i="4"/>
  <c r="G410" i="4"/>
  <c r="F410" i="4"/>
  <c r="E410" i="4"/>
  <c r="D410" i="4"/>
  <c r="C410" i="4"/>
  <c r="O409" i="4"/>
  <c r="K409" i="4"/>
  <c r="J409" i="4"/>
  <c r="I409" i="4"/>
  <c r="G409" i="4"/>
  <c r="O408" i="4"/>
  <c r="K408" i="4"/>
  <c r="J408" i="4"/>
  <c r="I408" i="4"/>
  <c r="G408" i="4"/>
  <c r="O407" i="4"/>
  <c r="K407" i="4"/>
  <c r="J407" i="4"/>
  <c r="I407" i="4"/>
  <c r="G407" i="4"/>
  <c r="O406" i="4"/>
  <c r="K406" i="4"/>
  <c r="J406" i="4"/>
  <c r="I406" i="4"/>
  <c r="G406" i="4"/>
  <c r="O405" i="4"/>
  <c r="K405" i="4"/>
  <c r="J405" i="4"/>
  <c r="I405" i="4"/>
  <c r="G405" i="4"/>
  <c r="O404" i="4"/>
  <c r="K404" i="4"/>
  <c r="J404" i="4"/>
  <c r="I404" i="4"/>
  <c r="G404" i="4"/>
  <c r="O403" i="4"/>
  <c r="K403" i="4"/>
  <c r="J403" i="4"/>
  <c r="I403" i="4"/>
  <c r="K402" i="4"/>
  <c r="J402" i="4"/>
  <c r="I402" i="4"/>
  <c r="G402" i="4"/>
  <c r="F402" i="4"/>
  <c r="E402" i="4"/>
  <c r="D402" i="4"/>
  <c r="C402" i="4"/>
  <c r="O401" i="4"/>
  <c r="K401" i="4"/>
  <c r="J401" i="4"/>
  <c r="I401" i="4"/>
  <c r="G401" i="4"/>
  <c r="O400" i="4"/>
  <c r="K400" i="4"/>
  <c r="J400" i="4"/>
  <c r="I400" i="4"/>
  <c r="K399" i="4"/>
  <c r="J399" i="4"/>
  <c r="I399" i="4"/>
  <c r="G399" i="4"/>
  <c r="F399" i="4"/>
  <c r="E399" i="4"/>
  <c r="D399" i="4"/>
  <c r="C399" i="4"/>
  <c r="O398" i="4"/>
  <c r="K398" i="4"/>
  <c r="J398" i="4"/>
  <c r="I398" i="4"/>
  <c r="G398" i="4"/>
  <c r="O397" i="4"/>
  <c r="K397" i="4"/>
  <c r="J397" i="4"/>
  <c r="I397" i="4"/>
  <c r="G397" i="4"/>
  <c r="O396" i="4"/>
  <c r="K396" i="4"/>
  <c r="J396" i="4"/>
  <c r="I396" i="4"/>
  <c r="K395" i="4"/>
  <c r="J395" i="4"/>
  <c r="I395" i="4"/>
  <c r="G395" i="4"/>
  <c r="F395" i="4"/>
  <c r="E395" i="4"/>
  <c r="D395" i="4"/>
  <c r="C395" i="4"/>
  <c r="O394" i="4"/>
  <c r="K394" i="4"/>
  <c r="J394" i="4"/>
  <c r="I394" i="4"/>
  <c r="G394" i="4"/>
  <c r="O393" i="4"/>
  <c r="K393" i="4"/>
  <c r="J393" i="4"/>
  <c r="I393" i="4"/>
  <c r="G393" i="4"/>
  <c r="O392" i="4"/>
  <c r="K392" i="4"/>
  <c r="J392" i="4"/>
  <c r="I392" i="4"/>
  <c r="G392" i="4"/>
  <c r="O391" i="4"/>
  <c r="K391" i="4"/>
  <c r="J391" i="4"/>
  <c r="I391" i="4"/>
  <c r="K390" i="4"/>
  <c r="J390" i="4"/>
  <c r="I390" i="4"/>
  <c r="G390" i="4"/>
  <c r="F390" i="4"/>
  <c r="E390" i="4"/>
  <c r="D390" i="4"/>
  <c r="C390" i="4"/>
  <c r="O389" i="4"/>
  <c r="K389" i="4"/>
  <c r="J389" i="4"/>
  <c r="I389" i="4"/>
  <c r="G389" i="4"/>
  <c r="O388" i="4"/>
  <c r="K388" i="4"/>
  <c r="J388" i="4"/>
  <c r="I388" i="4"/>
  <c r="G388" i="4"/>
  <c r="O387" i="4"/>
  <c r="K387" i="4"/>
  <c r="J387" i="4"/>
  <c r="I387" i="4"/>
  <c r="G387" i="4"/>
  <c r="O386" i="4"/>
  <c r="K386" i="4"/>
  <c r="J386" i="4"/>
  <c r="I386" i="4"/>
  <c r="G386" i="4"/>
  <c r="O385" i="4"/>
  <c r="K385" i="4"/>
  <c r="J385" i="4"/>
  <c r="I385" i="4"/>
  <c r="K384" i="4"/>
  <c r="J384" i="4"/>
  <c r="I384" i="4"/>
  <c r="G384" i="4"/>
  <c r="F384" i="4"/>
  <c r="E384" i="4"/>
  <c r="D384" i="4"/>
  <c r="C384" i="4"/>
  <c r="O383" i="4"/>
  <c r="K383" i="4"/>
  <c r="J383" i="4"/>
  <c r="I383" i="4"/>
  <c r="G383" i="4"/>
  <c r="O382" i="4"/>
  <c r="K382" i="4"/>
  <c r="J382" i="4"/>
  <c r="I382" i="4"/>
  <c r="G382" i="4"/>
  <c r="O381" i="4"/>
  <c r="K381" i="4"/>
  <c r="J381" i="4"/>
  <c r="I381" i="4"/>
  <c r="G381" i="4"/>
  <c r="O380" i="4"/>
  <c r="K380" i="4"/>
  <c r="J380" i="4"/>
  <c r="I380" i="4"/>
  <c r="K379" i="4"/>
  <c r="J379" i="4"/>
  <c r="I379" i="4"/>
  <c r="G379" i="4"/>
  <c r="F379" i="4"/>
  <c r="E379" i="4"/>
  <c r="D379" i="4"/>
  <c r="C379" i="4"/>
  <c r="O378" i="4"/>
  <c r="K378" i="4"/>
  <c r="J378" i="4"/>
  <c r="I378" i="4"/>
  <c r="G378" i="4"/>
  <c r="O377" i="4"/>
  <c r="K377" i="4"/>
  <c r="J377" i="4"/>
  <c r="I377" i="4"/>
  <c r="G377" i="4"/>
  <c r="O376" i="4"/>
  <c r="K376" i="4"/>
  <c r="J376" i="4"/>
  <c r="I376" i="4"/>
  <c r="G376" i="4"/>
  <c r="O375" i="4"/>
  <c r="K375" i="4"/>
  <c r="J375" i="4"/>
  <c r="I375" i="4"/>
  <c r="K374" i="4"/>
  <c r="J374" i="4"/>
  <c r="I374" i="4"/>
  <c r="G374" i="4"/>
  <c r="F374" i="4"/>
  <c r="E374" i="4"/>
  <c r="D374" i="4"/>
  <c r="C374" i="4"/>
  <c r="K373" i="4"/>
  <c r="J373" i="4"/>
  <c r="I373" i="4"/>
  <c r="G373" i="4"/>
  <c r="F373" i="4"/>
  <c r="E373" i="4"/>
  <c r="D373" i="4"/>
  <c r="C373" i="4"/>
  <c r="O372" i="4"/>
  <c r="K372" i="4"/>
  <c r="J372" i="4"/>
  <c r="I372" i="4"/>
  <c r="G372" i="4"/>
  <c r="O371" i="4"/>
  <c r="K371" i="4"/>
  <c r="J371" i="4"/>
  <c r="I371" i="4"/>
  <c r="G371" i="4"/>
  <c r="O370" i="4"/>
  <c r="K370" i="4"/>
  <c r="J370" i="4"/>
  <c r="I370" i="4"/>
  <c r="G370" i="4"/>
  <c r="O369" i="4"/>
  <c r="K369" i="4"/>
  <c r="J369" i="4"/>
  <c r="I369" i="4"/>
  <c r="K368" i="4"/>
  <c r="J368" i="4"/>
  <c r="I368" i="4"/>
  <c r="G368" i="4"/>
  <c r="F368" i="4"/>
  <c r="E368" i="4"/>
  <c r="D368" i="4"/>
  <c r="C368" i="4"/>
  <c r="O367" i="4"/>
  <c r="K367" i="4"/>
  <c r="J367" i="4"/>
  <c r="I367" i="4"/>
  <c r="G367" i="4"/>
  <c r="O366" i="4"/>
  <c r="K366" i="4"/>
  <c r="J366" i="4"/>
  <c r="I366" i="4"/>
  <c r="G366" i="4"/>
  <c r="O365" i="4"/>
  <c r="K365" i="4"/>
  <c r="J365" i="4"/>
  <c r="I365" i="4"/>
  <c r="G365" i="4"/>
  <c r="O364" i="4"/>
  <c r="K364" i="4"/>
  <c r="J364" i="4"/>
  <c r="I364" i="4"/>
  <c r="K363" i="4"/>
  <c r="J363" i="4"/>
  <c r="I363" i="4"/>
  <c r="G363" i="4"/>
  <c r="F363" i="4"/>
  <c r="E363" i="4"/>
  <c r="D363" i="4"/>
  <c r="C363" i="4"/>
  <c r="O362" i="4"/>
  <c r="K362" i="4"/>
  <c r="J362" i="4"/>
  <c r="I362" i="4"/>
  <c r="G362" i="4"/>
  <c r="O361" i="4"/>
  <c r="K361" i="4"/>
  <c r="J361" i="4"/>
  <c r="I361" i="4"/>
  <c r="G361" i="4"/>
  <c r="O360" i="4"/>
  <c r="K360" i="4"/>
  <c r="J360" i="4"/>
  <c r="I360" i="4"/>
  <c r="G360" i="4"/>
  <c r="O359" i="4"/>
  <c r="K359" i="4"/>
  <c r="J359" i="4"/>
  <c r="I359" i="4"/>
  <c r="K358" i="4"/>
  <c r="J358" i="4"/>
  <c r="I358" i="4"/>
  <c r="G358" i="4"/>
  <c r="F358" i="4"/>
  <c r="E358" i="4"/>
  <c r="D358" i="4"/>
  <c r="C358" i="4"/>
  <c r="O357" i="4"/>
  <c r="K357" i="4"/>
  <c r="J357" i="4"/>
  <c r="I357" i="4"/>
  <c r="G357" i="4"/>
  <c r="O356" i="4"/>
  <c r="K356" i="4"/>
  <c r="J356" i="4"/>
  <c r="I356" i="4"/>
  <c r="G356" i="4"/>
  <c r="O355" i="4"/>
  <c r="K355" i="4"/>
  <c r="J355" i="4"/>
  <c r="I355" i="4"/>
  <c r="G355" i="4"/>
  <c r="O354" i="4"/>
  <c r="K354" i="4"/>
  <c r="J354" i="4"/>
  <c r="I354" i="4"/>
  <c r="K353" i="4"/>
  <c r="J353" i="4"/>
  <c r="I353" i="4"/>
  <c r="G353" i="4"/>
  <c r="F353" i="4"/>
  <c r="E353" i="4"/>
  <c r="D353" i="4"/>
  <c r="C353" i="4"/>
  <c r="O352" i="4"/>
  <c r="K352" i="4"/>
  <c r="J352" i="4"/>
  <c r="I352" i="4"/>
  <c r="G352" i="4"/>
  <c r="O351" i="4"/>
  <c r="K351" i="4"/>
  <c r="J351" i="4"/>
  <c r="I351" i="4"/>
  <c r="G351" i="4"/>
  <c r="O350" i="4"/>
  <c r="K350" i="4"/>
  <c r="J350" i="4"/>
  <c r="I350" i="4"/>
  <c r="G350" i="4"/>
  <c r="O349" i="4"/>
  <c r="K349" i="4"/>
  <c r="J349" i="4"/>
  <c r="I349" i="4"/>
  <c r="K348" i="4"/>
  <c r="J348" i="4"/>
  <c r="I348" i="4"/>
  <c r="G348" i="4"/>
  <c r="F348" i="4"/>
  <c r="E348" i="4"/>
  <c r="D348" i="4"/>
  <c r="C348" i="4"/>
  <c r="O347" i="4"/>
  <c r="K347" i="4"/>
  <c r="J347" i="4"/>
  <c r="I347" i="4"/>
  <c r="G347" i="4"/>
  <c r="O346" i="4"/>
  <c r="K346" i="4"/>
  <c r="J346" i="4"/>
  <c r="I346" i="4"/>
  <c r="G346" i="4"/>
  <c r="O345" i="4"/>
  <c r="K345" i="4"/>
  <c r="J345" i="4"/>
  <c r="I345" i="4"/>
  <c r="G345" i="4"/>
  <c r="O344" i="4"/>
  <c r="K344" i="4"/>
  <c r="J344" i="4"/>
  <c r="I344" i="4"/>
  <c r="K343" i="4"/>
  <c r="J343" i="4"/>
  <c r="I343" i="4"/>
  <c r="G343" i="4"/>
  <c r="F343" i="4"/>
  <c r="E343" i="4"/>
  <c r="D343" i="4"/>
  <c r="C343" i="4"/>
  <c r="K342" i="4"/>
  <c r="J342" i="4"/>
  <c r="I342" i="4"/>
  <c r="G342" i="4"/>
  <c r="K341" i="4"/>
  <c r="J341" i="4"/>
  <c r="I341" i="4"/>
  <c r="G341" i="4"/>
  <c r="K340" i="4"/>
  <c r="J340" i="4"/>
  <c r="I340" i="4"/>
  <c r="G340" i="4"/>
  <c r="K339" i="4"/>
  <c r="J339" i="4"/>
  <c r="I339" i="4"/>
  <c r="G339" i="4"/>
  <c r="K338" i="4"/>
  <c r="J338" i="4"/>
  <c r="I338" i="4"/>
  <c r="K337" i="4"/>
  <c r="J337" i="4"/>
  <c r="I337" i="4"/>
  <c r="G337" i="4"/>
  <c r="F337" i="4"/>
  <c r="E337" i="4"/>
  <c r="D337" i="4"/>
  <c r="C337" i="4"/>
  <c r="O336" i="4"/>
  <c r="K336" i="4"/>
  <c r="J336" i="4"/>
  <c r="I336" i="4"/>
  <c r="G336" i="4"/>
  <c r="O335" i="4"/>
  <c r="K335" i="4"/>
  <c r="J335" i="4"/>
  <c r="I335" i="4"/>
  <c r="G335" i="4"/>
  <c r="O334" i="4"/>
  <c r="K334" i="4"/>
  <c r="J334" i="4"/>
  <c r="I334" i="4"/>
  <c r="G334" i="4"/>
  <c r="O333" i="4"/>
  <c r="K333" i="4"/>
  <c r="J333" i="4"/>
  <c r="I333" i="4"/>
  <c r="G333" i="4"/>
  <c r="O332" i="4"/>
  <c r="K332" i="4"/>
  <c r="J332" i="4"/>
  <c r="I332" i="4"/>
  <c r="K331" i="4"/>
  <c r="J331" i="4"/>
  <c r="I331" i="4"/>
  <c r="G331" i="4"/>
  <c r="F331" i="4"/>
  <c r="E331" i="4"/>
  <c r="D331" i="4"/>
  <c r="C331" i="4"/>
  <c r="O330" i="4"/>
  <c r="K330" i="4"/>
  <c r="J330" i="4"/>
  <c r="I330" i="4"/>
  <c r="G330" i="4"/>
  <c r="O329" i="4"/>
  <c r="K329" i="4"/>
  <c r="J329" i="4"/>
  <c r="I329" i="4"/>
  <c r="G329" i="4"/>
  <c r="O328" i="4"/>
  <c r="K328" i="4"/>
  <c r="J328" i="4"/>
  <c r="I328" i="4"/>
  <c r="K327" i="4"/>
  <c r="J327" i="4"/>
  <c r="I327" i="4"/>
  <c r="G327" i="4"/>
  <c r="F327" i="4"/>
  <c r="E327" i="4"/>
  <c r="D327" i="4"/>
  <c r="C327" i="4"/>
  <c r="O326" i="4"/>
  <c r="K326" i="4"/>
  <c r="J326" i="4"/>
  <c r="I326" i="4"/>
  <c r="G326" i="4"/>
  <c r="O325" i="4"/>
  <c r="K325" i="4"/>
  <c r="J325" i="4"/>
  <c r="I325" i="4"/>
  <c r="G325" i="4"/>
  <c r="O324" i="4"/>
  <c r="K324" i="4"/>
  <c r="J324" i="4"/>
  <c r="I324" i="4"/>
  <c r="K323" i="4"/>
  <c r="J323" i="4"/>
  <c r="I323" i="4"/>
  <c r="G323" i="4"/>
  <c r="F323" i="4"/>
  <c r="E323" i="4"/>
  <c r="D323" i="4"/>
  <c r="C323" i="4"/>
  <c r="O322" i="4"/>
  <c r="K322" i="4"/>
  <c r="J322" i="4"/>
  <c r="I322" i="4"/>
  <c r="G322" i="4"/>
  <c r="O321" i="4"/>
  <c r="K321" i="4"/>
  <c r="J321" i="4"/>
  <c r="I321" i="4"/>
  <c r="G321" i="4"/>
  <c r="O320" i="4"/>
  <c r="K320" i="4"/>
  <c r="J320" i="4"/>
  <c r="I320" i="4"/>
  <c r="G320" i="4"/>
  <c r="O319" i="4"/>
  <c r="K319" i="4"/>
  <c r="J319" i="4"/>
  <c r="I319" i="4"/>
  <c r="G319" i="4"/>
  <c r="O318" i="4"/>
  <c r="K318" i="4"/>
  <c r="J318" i="4"/>
  <c r="I318" i="4"/>
  <c r="K317" i="4"/>
  <c r="J317" i="4"/>
  <c r="I317" i="4"/>
  <c r="G317" i="4"/>
  <c r="F317" i="4"/>
  <c r="E317" i="4"/>
  <c r="D317" i="4"/>
  <c r="C317" i="4"/>
  <c r="O316" i="4"/>
  <c r="K316" i="4"/>
  <c r="J316" i="4"/>
  <c r="I316" i="4"/>
  <c r="G316" i="4"/>
  <c r="O315" i="4"/>
  <c r="K315" i="4"/>
  <c r="J315" i="4"/>
  <c r="I315" i="4"/>
  <c r="G315" i="4"/>
  <c r="O314" i="4"/>
  <c r="K314" i="4"/>
  <c r="J314" i="4"/>
  <c r="I314" i="4"/>
  <c r="G314" i="4"/>
  <c r="O313" i="4"/>
  <c r="K313" i="4"/>
  <c r="J313" i="4"/>
  <c r="I313" i="4"/>
  <c r="G313" i="4"/>
  <c r="O312" i="4"/>
  <c r="K312" i="4"/>
  <c r="J312" i="4"/>
  <c r="I312" i="4"/>
  <c r="K311" i="4"/>
  <c r="J311" i="4"/>
  <c r="I311" i="4"/>
  <c r="G311" i="4"/>
  <c r="F311" i="4"/>
  <c r="E311" i="4"/>
  <c r="D311" i="4"/>
  <c r="C311" i="4"/>
  <c r="O310" i="4"/>
  <c r="K310" i="4"/>
  <c r="J310" i="4"/>
  <c r="I310" i="4"/>
  <c r="G310" i="4"/>
  <c r="O309" i="4"/>
  <c r="K309" i="4"/>
  <c r="J309" i="4"/>
  <c r="I309" i="4"/>
  <c r="G309" i="4"/>
  <c r="O308" i="4"/>
  <c r="K308" i="4"/>
  <c r="J308" i="4"/>
  <c r="I308" i="4"/>
  <c r="G308" i="4"/>
  <c r="O307" i="4"/>
  <c r="K307" i="4"/>
  <c r="J307" i="4"/>
  <c r="I307" i="4"/>
  <c r="G307" i="4"/>
  <c r="O306" i="4"/>
  <c r="K306" i="4"/>
  <c r="J306" i="4"/>
  <c r="I306" i="4"/>
  <c r="K305" i="4"/>
  <c r="J305" i="4"/>
  <c r="I305" i="4"/>
  <c r="G305" i="4"/>
  <c r="F305" i="4"/>
  <c r="E305" i="4"/>
  <c r="D305" i="4"/>
  <c r="C305" i="4"/>
  <c r="O304" i="4"/>
  <c r="K304" i="4"/>
  <c r="J304" i="4"/>
  <c r="I304" i="4"/>
  <c r="G304" i="4"/>
  <c r="O303" i="4"/>
  <c r="K303" i="4"/>
  <c r="J303" i="4"/>
  <c r="I303" i="4"/>
  <c r="G303" i="4"/>
  <c r="O302" i="4"/>
  <c r="K302" i="4"/>
  <c r="J302" i="4"/>
  <c r="I302" i="4"/>
  <c r="G302" i="4"/>
  <c r="O301" i="4"/>
  <c r="K301" i="4"/>
  <c r="J301" i="4"/>
  <c r="I301" i="4"/>
  <c r="K300" i="4"/>
  <c r="J300" i="4"/>
  <c r="I300" i="4"/>
  <c r="G300" i="4"/>
  <c r="F300" i="4"/>
  <c r="E300" i="4"/>
  <c r="D300" i="4"/>
  <c r="C300" i="4"/>
  <c r="O299" i="4"/>
  <c r="K299" i="4"/>
  <c r="J299" i="4"/>
  <c r="I299" i="4"/>
  <c r="G299" i="4"/>
  <c r="O298" i="4"/>
  <c r="K298" i="4"/>
  <c r="J298" i="4"/>
  <c r="I298" i="4"/>
  <c r="G298" i="4"/>
  <c r="O297" i="4"/>
  <c r="K297" i="4"/>
  <c r="J297" i="4"/>
  <c r="I297" i="4"/>
  <c r="G297" i="4"/>
  <c r="O296" i="4"/>
  <c r="K296" i="4"/>
  <c r="J296" i="4"/>
  <c r="I296" i="4"/>
  <c r="K295" i="4"/>
  <c r="J295" i="4"/>
  <c r="I295" i="4"/>
  <c r="G295" i="4"/>
  <c r="F295" i="4"/>
  <c r="E295" i="4"/>
  <c r="D295" i="4"/>
  <c r="C295" i="4"/>
  <c r="O294" i="4"/>
  <c r="K294" i="4"/>
  <c r="J294" i="4"/>
  <c r="I294" i="4"/>
  <c r="G294" i="4"/>
  <c r="O293" i="4"/>
  <c r="K293" i="4"/>
  <c r="J293" i="4"/>
  <c r="I293" i="4"/>
  <c r="G293" i="4"/>
  <c r="O292" i="4"/>
  <c r="K292" i="4"/>
  <c r="J292" i="4"/>
  <c r="I292" i="4"/>
  <c r="K291" i="4"/>
  <c r="J291" i="4"/>
  <c r="I291" i="4"/>
  <c r="G291" i="4"/>
  <c r="F291" i="4"/>
  <c r="E291" i="4"/>
  <c r="D291" i="4"/>
  <c r="C291" i="4"/>
  <c r="O290" i="4"/>
  <c r="K290" i="4"/>
  <c r="J290" i="4"/>
  <c r="I290" i="4"/>
  <c r="G290" i="4"/>
  <c r="O289" i="4"/>
  <c r="K289" i="4"/>
  <c r="J289" i="4"/>
  <c r="I289" i="4"/>
  <c r="G289" i="4"/>
  <c r="O288" i="4"/>
  <c r="K288" i="4"/>
  <c r="J288" i="4"/>
  <c r="I288" i="4"/>
  <c r="K287" i="4"/>
  <c r="J287" i="4"/>
  <c r="I287" i="4"/>
  <c r="G287" i="4"/>
  <c r="F287" i="4"/>
  <c r="E287" i="4"/>
  <c r="D287" i="4"/>
  <c r="C287" i="4"/>
  <c r="O286" i="4"/>
  <c r="K286" i="4"/>
  <c r="J286" i="4"/>
  <c r="I286" i="4"/>
  <c r="G286" i="4"/>
  <c r="O285" i="4"/>
  <c r="K285" i="4"/>
  <c r="J285" i="4"/>
  <c r="I285" i="4"/>
  <c r="G285" i="4"/>
  <c r="O284" i="4"/>
  <c r="K284" i="4"/>
  <c r="J284" i="4"/>
  <c r="I284" i="4"/>
  <c r="G284" i="4"/>
  <c r="O283" i="4"/>
  <c r="K283" i="4"/>
  <c r="J283" i="4"/>
  <c r="I283" i="4"/>
  <c r="G283" i="4"/>
  <c r="O282" i="4"/>
  <c r="K282" i="4"/>
  <c r="J282" i="4"/>
  <c r="I282" i="4"/>
  <c r="G282" i="4"/>
  <c r="O281" i="4"/>
  <c r="K281" i="4"/>
  <c r="J281" i="4"/>
  <c r="I281" i="4"/>
  <c r="K280" i="4"/>
  <c r="J280" i="4"/>
  <c r="I280" i="4"/>
  <c r="G280" i="4"/>
  <c r="F280" i="4"/>
  <c r="E280" i="4"/>
  <c r="D280" i="4"/>
  <c r="C280" i="4"/>
  <c r="O279" i="4"/>
  <c r="K279" i="4"/>
  <c r="J279" i="4"/>
  <c r="I279" i="4"/>
  <c r="G279" i="4"/>
  <c r="O278" i="4"/>
  <c r="K278" i="4"/>
  <c r="J278" i="4"/>
  <c r="I278" i="4"/>
  <c r="G278" i="4"/>
  <c r="O277" i="4"/>
  <c r="K277" i="4"/>
  <c r="J277" i="4"/>
  <c r="I277" i="4"/>
  <c r="G277" i="4"/>
  <c r="O276" i="4"/>
  <c r="K276" i="4"/>
  <c r="J276" i="4"/>
  <c r="I276" i="4"/>
  <c r="K275" i="4"/>
  <c r="J275" i="4"/>
  <c r="I275" i="4"/>
  <c r="G275" i="4"/>
  <c r="F275" i="4"/>
  <c r="E275" i="4"/>
  <c r="D275" i="4"/>
  <c r="C275" i="4"/>
  <c r="O274" i="4"/>
  <c r="K274" i="4"/>
  <c r="J274" i="4"/>
  <c r="I274" i="4"/>
  <c r="G274" i="4"/>
  <c r="O273" i="4"/>
  <c r="K273" i="4"/>
  <c r="J273" i="4"/>
  <c r="I273" i="4"/>
  <c r="G273" i="4"/>
  <c r="O272" i="4"/>
  <c r="K272" i="4"/>
  <c r="J272" i="4"/>
  <c r="I272" i="4"/>
  <c r="G272" i="4"/>
  <c r="O271" i="4"/>
  <c r="K271" i="4"/>
  <c r="J271" i="4"/>
  <c r="I271" i="4"/>
  <c r="K270" i="4"/>
  <c r="J270" i="4"/>
  <c r="I270" i="4"/>
  <c r="G270" i="4"/>
  <c r="F270" i="4"/>
  <c r="E270" i="4"/>
  <c r="D270" i="4"/>
  <c r="C270" i="4"/>
  <c r="O269" i="4"/>
  <c r="K269" i="4"/>
  <c r="J269" i="4"/>
  <c r="I269" i="4"/>
  <c r="G269" i="4"/>
  <c r="O268" i="4"/>
  <c r="K268" i="4"/>
  <c r="J268" i="4"/>
  <c r="I268" i="4"/>
  <c r="G268" i="4"/>
  <c r="O267" i="4"/>
  <c r="K267" i="4"/>
  <c r="J267" i="4"/>
  <c r="I267" i="4"/>
  <c r="G267" i="4"/>
  <c r="O266" i="4"/>
  <c r="K266" i="4"/>
  <c r="J266" i="4"/>
  <c r="I266" i="4"/>
  <c r="G266" i="4"/>
  <c r="O265" i="4"/>
  <c r="K265" i="4"/>
  <c r="J265" i="4"/>
  <c r="I265" i="4"/>
  <c r="K264" i="4"/>
  <c r="J264" i="4"/>
  <c r="I264" i="4"/>
  <c r="G264" i="4"/>
  <c r="F264" i="4"/>
  <c r="E264" i="4"/>
  <c r="D264" i="4"/>
  <c r="C264" i="4"/>
  <c r="O263" i="4"/>
  <c r="K263" i="4"/>
  <c r="J263" i="4"/>
  <c r="I263" i="4"/>
  <c r="G263" i="4"/>
  <c r="O262" i="4"/>
  <c r="K262" i="4"/>
  <c r="J262" i="4"/>
  <c r="I262" i="4"/>
  <c r="G262" i="4"/>
  <c r="O261" i="4"/>
  <c r="K261" i="4"/>
  <c r="J261" i="4"/>
  <c r="I261" i="4"/>
  <c r="G261" i="4"/>
  <c r="O260" i="4"/>
  <c r="K260" i="4"/>
  <c r="J260" i="4"/>
  <c r="I260" i="4"/>
  <c r="G260" i="4"/>
  <c r="O259" i="4"/>
  <c r="K259" i="4"/>
  <c r="J259" i="4"/>
  <c r="I259" i="4"/>
  <c r="K258" i="4"/>
  <c r="J258" i="4"/>
  <c r="I258" i="4"/>
  <c r="G258" i="4"/>
  <c r="F258" i="4"/>
  <c r="E258" i="4"/>
  <c r="D258" i="4"/>
  <c r="C258" i="4"/>
  <c r="O257" i="4"/>
  <c r="K257" i="4"/>
  <c r="J257" i="4"/>
  <c r="I257" i="4"/>
  <c r="K256" i="4"/>
  <c r="J256" i="4"/>
  <c r="I256" i="4"/>
  <c r="G256" i="4"/>
  <c r="F256" i="4"/>
  <c r="E256" i="4"/>
  <c r="D256" i="4"/>
  <c r="C256" i="4"/>
  <c r="O255" i="4"/>
  <c r="K255" i="4"/>
  <c r="J255" i="4"/>
  <c r="I255" i="4"/>
  <c r="G255" i="4"/>
  <c r="O254" i="4"/>
  <c r="K254" i="4"/>
  <c r="J254" i="4"/>
  <c r="I254" i="4"/>
  <c r="G254" i="4"/>
  <c r="O253" i="4"/>
  <c r="K253" i="4"/>
  <c r="J253" i="4"/>
  <c r="I253" i="4"/>
  <c r="G253" i="4"/>
  <c r="O252" i="4"/>
  <c r="K252" i="4"/>
  <c r="J252" i="4"/>
  <c r="I252" i="4"/>
  <c r="G252" i="4"/>
  <c r="O251" i="4"/>
  <c r="K251" i="4"/>
  <c r="J251" i="4"/>
  <c r="I251" i="4"/>
  <c r="K250" i="4"/>
  <c r="J250" i="4"/>
  <c r="I250" i="4"/>
  <c r="G250" i="4"/>
  <c r="F250" i="4"/>
  <c r="E250" i="4"/>
  <c r="D250" i="4"/>
  <c r="C250" i="4"/>
  <c r="O249" i="4"/>
  <c r="K249" i="4"/>
  <c r="J249" i="4"/>
  <c r="I249" i="4"/>
  <c r="G249" i="4"/>
  <c r="O248" i="4"/>
  <c r="K248" i="4"/>
  <c r="J248" i="4"/>
  <c r="I248" i="4"/>
  <c r="G248" i="4"/>
  <c r="O247" i="4"/>
  <c r="K247" i="4"/>
  <c r="J247" i="4"/>
  <c r="I247" i="4"/>
  <c r="G247" i="4"/>
  <c r="O246" i="4"/>
  <c r="K246" i="4"/>
  <c r="J246" i="4"/>
  <c r="I246" i="4"/>
  <c r="K245" i="4"/>
  <c r="J245" i="4"/>
  <c r="I245" i="4"/>
  <c r="G245" i="4"/>
  <c r="F245" i="4"/>
  <c r="E245" i="4"/>
  <c r="D245" i="4"/>
  <c r="C245" i="4"/>
  <c r="O244" i="4"/>
  <c r="K244" i="4"/>
  <c r="J244" i="4"/>
  <c r="I244" i="4"/>
  <c r="G244" i="4"/>
  <c r="O243" i="4"/>
  <c r="K243" i="4"/>
  <c r="J243" i="4"/>
  <c r="I243" i="4"/>
  <c r="G243" i="4"/>
  <c r="O242" i="4"/>
  <c r="K242" i="4"/>
  <c r="J242" i="4"/>
  <c r="I242" i="4"/>
  <c r="K241" i="4"/>
  <c r="J241" i="4"/>
  <c r="I241" i="4"/>
  <c r="G241" i="4"/>
  <c r="F241" i="4"/>
  <c r="E241" i="4"/>
  <c r="D241" i="4"/>
  <c r="C241" i="4"/>
  <c r="O240" i="4"/>
  <c r="K240" i="4"/>
  <c r="J240" i="4"/>
  <c r="I240" i="4"/>
  <c r="G240" i="4"/>
  <c r="O239" i="4"/>
  <c r="K239" i="4"/>
  <c r="J239" i="4"/>
  <c r="I239" i="4"/>
  <c r="G239" i="4"/>
  <c r="O238" i="4"/>
  <c r="K238" i="4"/>
  <c r="J238" i="4"/>
  <c r="I238" i="4"/>
  <c r="K237" i="4"/>
  <c r="J237" i="4"/>
  <c r="I237" i="4"/>
  <c r="G237" i="4"/>
  <c r="F237" i="4"/>
  <c r="E237" i="4"/>
  <c r="D237" i="4"/>
  <c r="C237" i="4"/>
  <c r="O236" i="4"/>
  <c r="K236" i="4"/>
  <c r="J236" i="4"/>
  <c r="I236" i="4"/>
  <c r="G236" i="4"/>
  <c r="O235" i="4"/>
  <c r="K235" i="4"/>
  <c r="J235" i="4"/>
  <c r="I235" i="4"/>
  <c r="G235" i="4"/>
  <c r="O234" i="4"/>
  <c r="K234" i="4"/>
  <c r="J234" i="4"/>
  <c r="I234" i="4"/>
  <c r="G234" i="4"/>
  <c r="O233" i="4"/>
  <c r="K233" i="4"/>
  <c r="J233" i="4"/>
  <c r="I233" i="4"/>
  <c r="K232" i="4"/>
  <c r="J232" i="4"/>
  <c r="I232" i="4"/>
  <c r="G232" i="4"/>
  <c r="F232" i="4"/>
  <c r="E232" i="4"/>
  <c r="D232" i="4"/>
  <c r="C232" i="4"/>
  <c r="O231" i="4"/>
  <c r="K231" i="4"/>
  <c r="J231" i="4"/>
  <c r="I231" i="4"/>
  <c r="G231" i="4"/>
  <c r="O230" i="4"/>
  <c r="K230" i="4"/>
  <c r="J230" i="4"/>
  <c r="I230" i="4"/>
  <c r="G230" i="4"/>
  <c r="O229" i="4"/>
  <c r="K229" i="4"/>
  <c r="J229" i="4"/>
  <c r="I229" i="4"/>
  <c r="G229" i="4"/>
  <c r="O228" i="4"/>
  <c r="K228" i="4"/>
  <c r="J228" i="4"/>
  <c r="I228" i="4"/>
  <c r="G228" i="4"/>
  <c r="O227" i="4"/>
  <c r="K227" i="4"/>
  <c r="J227" i="4"/>
  <c r="I227" i="4"/>
  <c r="K226" i="4"/>
  <c r="J226" i="4"/>
  <c r="I226" i="4"/>
  <c r="G226" i="4"/>
  <c r="F226" i="4"/>
  <c r="E226" i="4"/>
  <c r="D226" i="4"/>
  <c r="C226" i="4"/>
  <c r="O225" i="4"/>
  <c r="K225" i="4"/>
  <c r="J225" i="4"/>
  <c r="I225" i="4"/>
  <c r="G225" i="4"/>
  <c r="O224" i="4"/>
  <c r="K224" i="4"/>
  <c r="J224" i="4"/>
  <c r="I224" i="4"/>
  <c r="K223" i="4"/>
  <c r="J223" i="4"/>
  <c r="I223" i="4"/>
  <c r="G223" i="4"/>
  <c r="F223" i="4"/>
  <c r="E223" i="4"/>
  <c r="D223" i="4"/>
  <c r="C223" i="4"/>
  <c r="O222" i="4"/>
  <c r="K222" i="4"/>
  <c r="J222" i="4"/>
  <c r="I222" i="4"/>
  <c r="G222" i="4"/>
  <c r="O221" i="4"/>
  <c r="K221" i="4"/>
  <c r="J221" i="4"/>
  <c r="I221" i="4"/>
  <c r="G221" i="4"/>
  <c r="O220" i="4"/>
  <c r="K220" i="4"/>
  <c r="J220" i="4"/>
  <c r="I220" i="4"/>
  <c r="G220" i="4"/>
  <c r="O219" i="4"/>
  <c r="K219" i="4"/>
  <c r="J219" i="4"/>
  <c r="I219" i="4"/>
  <c r="K218" i="4"/>
  <c r="J218" i="4"/>
  <c r="I218" i="4"/>
  <c r="G218" i="4"/>
  <c r="F218" i="4"/>
  <c r="E218" i="4"/>
  <c r="D218" i="4"/>
  <c r="C218" i="4"/>
  <c r="O217" i="4"/>
  <c r="K217" i="4"/>
  <c r="J217" i="4"/>
  <c r="I217" i="4"/>
  <c r="G217" i="4"/>
  <c r="O216" i="4"/>
  <c r="K216" i="4"/>
  <c r="J216" i="4"/>
  <c r="I216" i="4"/>
  <c r="G216" i="4"/>
  <c r="O215" i="4"/>
  <c r="K215" i="4"/>
  <c r="J215" i="4"/>
  <c r="I215" i="4"/>
  <c r="G215" i="4"/>
  <c r="O214" i="4"/>
  <c r="K214" i="4"/>
  <c r="J214" i="4"/>
  <c r="I214" i="4"/>
  <c r="G214" i="4"/>
  <c r="O213" i="4"/>
  <c r="K213" i="4"/>
  <c r="J213" i="4"/>
  <c r="I213" i="4"/>
  <c r="K212" i="4"/>
  <c r="J212" i="4"/>
  <c r="I212" i="4"/>
  <c r="G212" i="4"/>
  <c r="F212" i="4"/>
  <c r="E212" i="4"/>
  <c r="D212" i="4"/>
  <c r="C212" i="4"/>
  <c r="O211" i="4"/>
  <c r="K211" i="4"/>
  <c r="J211" i="4"/>
  <c r="I211" i="4"/>
  <c r="G211" i="4"/>
  <c r="O210" i="4"/>
  <c r="K210" i="4"/>
  <c r="J210" i="4"/>
  <c r="I210" i="4"/>
  <c r="G210" i="4"/>
  <c r="O209" i="4"/>
  <c r="K209" i="4"/>
  <c r="J209" i="4"/>
  <c r="I209" i="4"/>
  <c r="K208" i="4"/>
  <c r="J208" i="4"/>
  <c r="I208" i="4"/>
  <c r="G208" i="4"/>
  <c r="F208" i="4"/>
  <c r="E208" i="4"/>
  <c r="D208" i="4"/>
  <c r="C208" i="4"/>
  <c r="O207" i="4"/>
  <c r="K207" i="4"/>
  <c r="J207" i="4"/>
  <c r="I207" i="4"/>
  <c r="G207" i="4"/>
  <c r="O206" i="4"/>
  <c r="K206" i="4"/>
  <c r="J206" i="4"/>
  <c r="I206" i="4"/>
  <c r="G206" i="4"/>
  <c r="O205" i="4"/>
  <c r="K205" i="4"/>
  <c r="J205" i="4"/>
  <c r="I205" i="4"/>
  <c r="K204" i="4"/>
  <c r="J204" i="4"/>
  <c r="I204" i="4"/>
  <c r="G204" i="4"/>
  <c r="F204" i="4"/>
  <c r="E204" i="4"/>
  <c r="D204" i="4"/>
  <c r="C204" i="4"/>
  <c r="O203" i="4"/>
  <c r="K203" i="4"/>
  <c r="J203" i="4"/>
  <c r="I203" i="4"/>
  <c r="G203" i="4"/>
  <c r="O202" i="4"/>
  <c r="K202" i="4"/>
  <c r="J202" i="4"/>
  <c r="I202" i="4"/>
  <c r="G202" i="4"/>
  <c r="O201" i="4"/>
  <c r="K201" i="4"/>
  <c r="J201" i="4"/>
  <c r="I201" i="4"/>
  <c r="K200" i="4"/>
  <c r="J200" i="4"/>
  <c r="I200" i="4"/>
  <c r="G200" i="4"/>
  <c r="F200" i="4"/>
  <c r="E200" i="4"/>
  <c r="D200" i="4"/>
  <c r="C200" i="4"/>
  <c r="O199" i="4"/>
  <c r="K199" i="4"/>
  <c r="J199" i="4"/>
  <c r="I199" i="4"/>
  <c r="G199" i="4"/>
  <c r="O198" i="4"/>
  <c r="K198" i="4"/>
  <c r="J198" i="4"/>
  <c r="I198" i="4"/>
  <c r="K197" i="4"/>
  <c r="J197" i="4"/>
  <c r="I197" i="4"/>
  <c r="G197" i="4"/>
  <c r="F197" i="4"/>
  <c r="E197" i="4"/>
  <c r="D197" i="4"/>
  <c r="C197" i="4"/>
  <c r="O196" i="4"/>
  <c r="K196" i="4"/>
  <c r="J196" i="4"/>
  <c r="I196" i="4"/>
  <c r="G196" i="4"/>
  <c r="O195" i="4"/>
  <c r="K195" i="4"/>
  <c r="J195" i="4"/>
  <c r="I195" i="4"/>
  <c r="G195" i="4"/>
  <c r="O194" i="4"/>
  <c r="K194" i="4"/>
  <c r="J194" i="4"/>
  <c r="I194" i="4"/>
  <c r="K193" i="4"/>
  <c r="J193" i="4"/>
  <c r="I193" i="4"/>
  <c r="G193" i="4"/>
  <c r="F193" i="4"/>
  <c r="E193" i="4"/>
  <c r="D193" i="4"/>
  <c r="C193" i="4"/>
  <c r="O192" i="4"/>
  <c r="K192" i="4"/>
  <c r="J192" i="4"/>
  <c r="I192" i="4"/>
  <c r="G192" i="4"/>
  <c r="O191" i="4"/>
  <c r="K191" i="4"/>
  <c r="J191" i="4"/>
  <c r="I191" i="4"/>
  <c r="G191" i="4"/>
  <c r="O190" i="4"/>
  <c r="K190" i="4"/>
  <c r="J190" i="4"/>
  <c r="I190" i="4"/>
  <c r="G190" i="4"/>
  <c r="O189" i="4"/>
  <c r="K189" i="4"/>
  <c r="J189" i="4"/>
  <c r="I189" i="4"/>
  <c r="K188" i="4"/>
  <c r="J188" i="4"/>
  <c r="I188" i="4"/>
  <c r="G188" i="4"/>
  <c r="F188" i="4"/>
  <c r="E188" i="4"/>
  <c r="D188" i="4"/>
  <c r="C188" i="4"/>
  <c r="O186" i="4"/>
  <c r="K186" i="4"/>
  <c r="J186" i="4"/>
  <c r="I186" i="4"/>
  <c r="G186" i="4"/>
  <c r="O185" i="4"/>
  <c r="K185" i="4"/>
  <c r="J185" i="4"/>
  <c r="I185" i="4"/>
  <c r="K184" i="4"/>
  <c r="J184" i="4"/>
  <c r="I184" i="4"/>
  <c r="G184" i="4"/>
  <c r="F184" i="4"/>
  <c r="E184" i="4"/>
  <c r="D184" i="4"/>
  <c r="C184" i="4"/>
  <c r="O183" i="4"/>
  <c r="K183" i="4"/>
  <c r="J183" i="4"/>
  <c r="I183" i="4"/>
  <c r="G183" i="4"/>
  <c r="O182" i="4"/>
  <c r="K182" i="4"/>
  <c r="J182" i="4"/>
  <c r="I182" i="4"/>
  <c r="G182" i="4"/>
  <c r="O181" i="4"/>
  <c r="K181" i="4"/>
  <c r="J181" i="4"/>
  <c r="I181" i="4"/>
  <c r="G181" i="4"/>
  <c r="O180" i="4"/>
  <c r="K180" i="4"/>
  <c r="J180" i="4"/>
  <c r="I180" i="4"/>
  <c r="G180" i="4"/>
  <c r="O179" i="4"/>
  <c r="K179" i="4"/>
  <c r="J179" i="4"/>
  <c r="I179" i="4"/>
  <c r="G179" i="4"/>
  <c r="O178" i="4"/>
  <c r="K178" i="4"/>
  <c r="J178" i="4"/>
  <c r="I178" i="4"/>
  <c r="G178" i="4"/>
  <c r="O177" i="4"/>
  <c r="K177" i="4"/>
  <c r="J177" i="4"/>
  <c r="I177" i="4"/>
  <c r="K176" i="4"/>
  <c r="J176" i="4"/>
  <c r="I176" i="4"/>
  <c r="G176" i="4"/>
  <c r="F176" i="4"/>
  <c r="E176" i="4"/>
  <c r="D176" i="4"/>
  <c r="C176" i="4"/>
  <c r="O175" i="4"/>
  <c r="K175" i="4"/>
  <c r="J175" i="4"/>
  <c r="I175" i="4"/>
  <c r="G175" i="4"/>
  <c r="O174" i="4"/>
  <c r="K174" i="4"/>
  <c r="J174" i="4"/>
  <c r="I174" i="4"/>
  <c r="G174" i="4"/>
  <c r="O173" i="4"/>
  <c r="K173" i="4"/>
  <c r="J173" i="4"/>
  <c r="I173" i="4"/>
  <c r="G173" i="4"/>
  <c r="O172" i="4"/>
  <c r="K172" i="4"/>
  <c r="J172" i="4"/>
  <c r="I172" i="4"/>
  <c r="K171" i="4"/>
  <c r="J171" i="4"/>
  <c r="I171" i="4"/>
  <c r="G171" i="4"/>
  <c r="F171" i="4"/>
  <c r="E171" i="4"/>
  <c r="D171" i="4"/>
  <c r="C171" i="4"/>
  <c r="O170" i="4"/>
  <c r="K170" i="4"/>
  <c r="J170" i="4"/>
  <c r="I170" i="4"/>
  <c r="G170" i="4"/>
  <c r="O169" i="4"/>
  <c r="K169" i="4"/>
  <c r="J169" i="4"/>
  <c r="I169" i="4"/>
  <c r="G169" i="4"/>
  <c r="O168" i="4"/>
  <c r="K168" i="4"/>
  <c r="J168" i="4"/>
  <c r="I168" i="4"/>
  <c r="G168" i="4"/>
  <c r="O167" i="4"/>
  <c r="K167" i="4"/>
  <c r="J167" i="4"/>
  <c r="I167" i="4"/>
  <c r="K166" i="4"/>
  <c r="J166" i="4"/>
  <c r="I166" i="4"/>
  <c r="G166" i="4"/>
  <c r="F166" i="4"/>
  <c r="E166" i="4"/>
  <c r="D166" i="4"/>
  <c r="C166" i="4"/>
  <c r="O165" i="4"/>
  <c r="K165" i="4"/>
  <c r="J165" i="4"/>
  <c r="I165" i="4"/>
  <c r="G165" i="4"/>
  <c r="O164" i="4"/>
  <c r="K164" i="4"/>
  <c r="J164" i="4"/>
  <c r="I164" i="4"/>
  <c r="G164" i="4"/>
  <c r="O163" i="4"/>
  <c r="K163" i="4"/>
  <c r="J163" i="4"/>
  <c r="I163" i="4"/>
  <c r="G163" i="4"/>
  <c r="O162" i="4"/>
  <c r="K162" i="4"/>
  <c r="J162" i="4"/>
  <c r="I162" i="4"/>
  <c r="G162" i="4"/>
  <c r="O161" i="4"/>
  <c r="K161" i="4"/>
  <c r="J161" i="4"/>
  <c r="I161" i="4"/>
  <c r="K160" i="4"/>
  <c r="J160" i="4"/>
  <c r="I160" i="4"/>
  <c r="G160" i="4"/>
  <c r="F160" i="4"/>
  <c r="E160" i="4"/>
  <c r="D160" i="4"/>
  <c r="C160" i="4"/>
  <c r="O159" i="4"/>
  <c r="K159" i="4"/>
  <c r="J159" i="4"/>
  <c r="I159" i="4"/>
  <c r="G159" i="4"/>
  <c r="O158" i="4"/>
  <c r="K158" i="4"/>
  <c r="J158" i="4"/>
  <c r="I158" i="4"/>
  <c r="G158" i="4"/>
  <c r="O157" i="4"/>
  <c r="K157" i="4"/>
  <c r="J157" i="4"/>
  <c r="I157" i="4"/>
  <c r="K156" i="4"/>
  <c r="J156" i="4"/>
  <c r="I156" i="4"/>
  <c r="G156" i="4"/>
  <c r="F156" i="4"/>
  <c r="E156" i="4"/>
  <c r="D156" i="4"/>
  <c r="C156" i="4"/>
  <c r="O155" i="4"/>
  <c r="K155" i="4"/>
  <c r="J155" i="4"/>
  <c r="I155" i="4"/>
  <c r="G155" i="4"/>
  <c r="O154" i="4"/>
  <c r="K154" i="4"/>
  <c r="J154" i="4"/>
  <c r="I154" i="4"/>
  <c r="G154" i="4"/>
  <c r="O153" i="4"/>
  <c r="K153" i="4"/>
  <c r="J153" i="4"/>
  <c r="I153" i="4"/>
  <c r="G153" i="4"/>
  <c r="O152" i="4"/>
  <c r="K152" i="4"/>
  <c r="J152" i="4"/>
  <c r="I152" i="4"/>
  <c r="K151" i="4"/>
  <c r="J151" i="4"/>
  <c r="I151" i="4"/>
  <c r="G151" i="4"/>
  <c r="F151" i="4"/>
  <c r="E151" i="4"/>
  <c r="D151" i="4"/>
  <c r="C151" i="4"/>
  <c r="O150" i="4"/>
  <c r="K150" i="4"/>
  <c r="J150" i="4"/>
  <c r="I150" i="4"/>
  <c r="G150" i="4"/>
  <c r="O149" i="4"/>
  <c r="K149" i="4"/>
  <c r="J149" i="4"/>
  <c r="I149" i="4"/>
  <c r="G149" i="4"/>
  <c r="O148" i="4"/>
  <c r="K148" i="4"/>
  <c r="J148" i="4"/>
  <c r="I148" i="4"/>
  <c r="K147" i="4"/>
  <c r="J147" i="4"/>
  <c r="I147" i="4"/>
  <c r="G147" i="4"/>
  <c r="F147" i="4"/>
  <c r="E147" i="4"/>
  <c r="D147" i="4"/>
  <c r="C147" i="4"/>
  <c r="O146" i="4"/>
  <c r="K146" i="4"/>
  <c r="J146" i="4"/>
  <c r="I146" i="4"/>
  <c r="G146" i="4"/>
  <c r="O145" i="4"/>
  <c r="K145" i="4"/>
  <c r="J145" i="4"/>
  <c r="I145" i="4"/>
  <c r="G145" i="4"/>
  <c r="O144" i="4"/>
  <c r="K144" i="4"/>
  <c r="J144" i="4"/>
  <c r="I144" i="4"/>
  <c r="G144" i="4"/>
  <c r="O143" i="4"/>
  <c r="K143" i="4"/>
  <c r="J143" i="4"/>
  <c r="I143" i="4"/>
  <c r="K142" i="4"/>
  <c r="J142" i="4"/>
  <c r="I142" i="4"/>
  <c r="G142" i="4"/>
  <c r="F142" i="4"/>
  <c r="E142" i="4"/>
  <c r="D142" i="4"/>
  <c r="C142" i="4"/>
  <c r="O141" i="4"/>
  <c r="K141" i="4"/>
  <c r="J141" i="4"/>
  <c r="I141" i="4"/>
  <c r="G141" i="4"/>
  <c r="O140" i="4"/>
  <c r="K140" i="4"/>
  <c r="J140" i="4"/>
  <c r="I140" i="4"/>
  <c r="G140" i="4"/>
  <c r="O139" i="4"/>
  <c r="K139" i="4"/>
  <c r="J139" i="4"/>
  <c r="I139" i="4"/>
  <c r="K138" i="4"/>
  <c r="J138" i="4"/>
  <c r="I138" i="4"/>
  <c r="G138" i="4"/>
  <c r="F138" i="4"/>
  <c r="E138" i="4"/>
  <c r="D138" i="4"/>
  <c r="C138" i="4"/>
  <c r="O137" i="4"/>
  <c r="K137" i="4"/>
  <c r="J137" i="4"/>
  <c r="I137" i="4"/>
  <c r="G137" i="4"/>
  <c r="O136" i="4"/>
  <c r="K136" i="4"/>
  <c r="J136" i="4"/>
  <c r="I136" i="4"/>
  <c r="G136" i="4"/>
  <c r="O135" i="4"/>
  <c r="K135" i="4"/>
  <c r="J135" i="4"/>
  <c r="I135" i="4"/>
  <c r="K134" i="4"/>
  <c r="J134" i="4"/>
  <c r="I134" i="4"/>
  <c r="G134" i="4"/>
  <c r="F134" i="4"/>
  <c r="E134" i="4"/>
  <c r="D134" i="4"/>
  <c r="C134" i="4"/>
  <c r="O133" i="4"/>
  <c r="K133" i="4"/>
  <c r="J133" i="4"/>
  <c r="I133" i="4"/>
  <c r="K132" i="4"/>
  <c r="J132" i="4"/>
  <c r="I132" i="4"/>
  <c r="G132" i="4"/>
  <c r="F132" i="4"/>
  <c r="E132" i="4"/>
  <c r="D132" i="4"/>
  <c r="C132" i="4"/>
  <c r="O131" i="4"/>
  <c r="K131" i="4"/>
  <c r="J131" i="4"/>
  <c r="I131" i="4"/>
  <c r="G131" i="4"/>
  <c r="O130" i="4"/>
  <c r="K130" i="4"/>
  <c r="J130" i="4"/>
  <c r="I130" i="4"/>
  <c r="K129" i="4"/>
  <c r="J129" i="4"/>
  <c r="I129" i="4"/>
  <c r="G129" i="4"/>
  <c r="F129" i="4"/>
  <c r="E129" i="4"/>
  <c r="D129" i="4"/>
  <c r="C129" i="4"/>
  <c r="O128" i="4"/>
  <c r="K128" i="4"/>
  <c r="J128" i="4"/>
  <c r="I128" i="4"/>
  <c r="G128" i="4"/>
  <c r="O127" i="4"/>
  <c r="K127" i="4"/>
  <c r="J127" i="4"/>
  <c r="I127" i="4"/>
  <c r="K126" i="4"/>
  <c r="J126" i="4"/>
  <c r="I126" i="4"/>
  <c r="G126" i="4"/>
  <c r="F126" i="4"/>
  <c r="E126" i="4"/>
  <c r="D126" i="4"/>
  <c r="C126" i="4"/>
  <c r="O125" i="4"/>
  <c r="K125" i="4"/>
  <c r="J125" i="4"/>
  <c r="I125" i="4"/>
  <c r="G125" i="4"/>
  <c r="O124" i="4"/>
  <c r="K124" i="4"/>
  <c r="J124" i="4"/>
  <c r="I124" i="4"/>
  <c r="K123" i="4"/>
  <c r="J123" i="4"/>
  <c r="I123" i="4"/>
  <c r="G123" i="4"/>
  <c r="F123" i="4"/>
  <c r="E123" i="4"/>
  <c r="D123" i="4"/>
  <c r="C123" i="4"/>
  <c r="O122" i="4"/>
  <c r="K122" i="4"/>
  <c r="J122" i="4"/>
  <c r="I122" i="4"/>
  <c r="G122" i="4"/>
  <c r="O121" i="4"/>
  <c r="K121" i="4"/>
  <c r="J121" i="4"/>
  <c r="I121" i="4"/>
  <c r="G121" i="4"/>
  <c r="O120" i="4"/>
  <c r="K120" i="4"/>
  <c r="J120" i="4"/>
  <c r="I120" i="4"/>
  <c r="G120" i="4"/>
  <c r="K119" i="4"/>
  <c r="J119" i="4"/>
  <c r="I119" i="4"/>
  <c r="G119" i="4"/>
  <c r="F119" i="4"/>
  <c r="E119" i="4"/>
  <c r="D119" i="4"/>
  <c r="C119" i="4"/>
  <c r="O118" i="4"/>
  <c r="K118" i="4"/>
  <c r="J118" i="4"/>
  <c r="I118" i="4"/>
  <c r="G118" i="4"/>
  <c r="O117" i="4"/>
  <c r="K117" i="4"/>
  <c r="J117" i="4"/>
  <c r="I117" i="4"/>
  <c r="G117" i="4"/>
  <c r="O116" i="4"/>
  <c r="K116" i="4"/>
  <c r="J116" i="4"/>
  <c r="I116" i="4"/>
  <c r="G116" i="4"/>
  <c r="O115" i="4"/>
  <c r="K115" i="4"/>
  <c r="J115" i="4"/>
  <c r="I115" i="4"/>
  <c r="K114" i="4"/>
  <c r="J114" i="4"/>
  <c r="I114" i="4"/>
  <c r="G114" i="4"/>
  <c r="F114" i="4"/>
  <c r="E114" i="4"/>
  <c r="D114" i="4"/>
  <c r="C114" i="4"/>
  <c r="O113" i="4"/>
  <c r="K113" i="4"/>
  <c r="J113" i="4"/>
  <c r="I113" i="4"/>
  <c r="G113" i="4"/>
  <c r="O112" i="4"/>
  <c r="K112" i="4"/>
  <c r="J112" i="4"/>
  <c r="I112" i="4"/>
  <c r="K111" i="4"/>
  <c r="J111" i="4"/>
  <c r="I111" i="4"/>
  <c r="G111" i="4"/>
  <c r="F111" i="4"/>
  <c r="E111" i="4"/>
  <c r="D111" i="4"/>
  <c r="C111" i="4"/>
  <c r="O110" i="4"/>
  <c r="K110" i="4"/>
  <c r="J110" i="4"/>
  <c r="I110" i="4"/>
  <c r="G110" i="4"/>
  <c r="O109" i="4"/>
  <c r="K109" i="4"/>
  <c r="J109" i="4"/>
  <c r="I109" i="4"/>
  <c r="G109" i="4"/>
  <c r="O108" i="4"/>
  <c r="K108" i="4"/>
  <c r="J108" i="4"/>
  <c r="I108" i="4"/>
  <c r="G108" i="4"/>
  <c r="O107" i="4"/>
  <c r="K107" i="4"/>
  <c r="J107" i="4"/>
  <c r="I107" i="4"/>
  <c r="K106" i="4"/>
  <c r="J106" i="4"/>
  <c r="I106" i="4"/>
  <c r="G106" i="4"/>
  <c r="F106" i="4"/>
  <c r="E106" i="4"/>
  <c r="D106" i="4"/>
  <c r="C106" i="4"/>
  <c r="O105" i="4"/>
  <c r="K105" i="4"/>
  <c r="J105" i="4"/>
  <c r="I105" i="4"/>
  <c r="G105" i="4"/>
  <c r="O104" i="4"/>
  <c r="K104" i="4"/>
  <c r="J104" i="4"/>
  <c r="I104" i="4"/>
  <c r="G104" i="4"/>
  <c r="O103" i="4"/>
  <c r="K103" i="4"/>
  <c r="J103" i="4"/>
  <c r="I103" i="4"/>
  <c r="K102" i="4"/>
  <c r="J102" i="4"/>
  <c r="I102" i="4"/>
  <c r="G102" i="4"/>
  <c r="F102" i="4"/>
  <c r="E102" i="4"/>
  <c r="D102" i="4"/>
  <c r="C102" i="4"/>
  <c r="O101" i="4"/>
  <c r="K101" i="4"/>
  <c r="J101" i="4"/>
  <c r="I101" i="4"/>
  <c r="G101" i="4"/>
  <c r="O100" i="4"/>
  <c r="K100" i="4"/>
  <c r="J100" i="4"/>
  <c r="I100" i="4"/>
  <c r="G100" i="4"/>
  <c r="O99" i="4"/>
  <c r="K99" i="4"/>
  <c r="J99" i="4"/>
  <c r="I99" i="4"/>
  <c r="G99" i="4"/>
  <c r="O98" i="4"/>
  <c r="K98" i="4"/>
  <c r="J98" i="4"/>
  <c r="I98" i="4"/>
  <c r="G98" i="4"/>
  <c r="O97" i="4"/>
  <c r="K97" i="4"/>
  <c r="J97" i="4"/>
  <c r="I97" i="4"/>
  <c r="G97" i="4"/>
  <c r="O96" i="4"/>
  <c r="K96" i="4"/>
  <c r="J96" i="4"/>
  <c r="I96" i="4"/>
  <c r="K95" i="4"/>
  <c r="J95" i="4"/>
  <c r="I95" i="4"/>
  <c r="G95" i="4"/>
  <c r="F95" i="4"/>
  <c r="E95" i="4"/>
  <c r="D95" i="4"/>
  <c r="C95" i="4"/>
  <c r="O94" i="4"/>
  <c r="K94" i="4"/>
  <c r="J94" i="4"/>
  <c r="I94" i="4"/>
  <c r="G94" i="4"/>
  <c r="O93" i="4"/>
  <c r="K93" i="4"/>
  <c r="J93" i="4"/>
  <c r="I93" i="4"/>
  <c r="G93" i="4"/>
  <c r="O92" i="4"/>
  <c r="K92" i="4"/>
  <c r="J92" i="4"/>
  <c r="I92" i="4"/>
  <c r="G92" i="4"/>
  <c r="O91" i="4"/>
  <c r="K91" i="4"/>
  <c r="J91" i="4"/>
  <c r="I91" i="4"/>
  <c r="G91" i="4"/>
  <c r="O90" i="4"/>
  <c r="K90" i="4"/>
  <c r="J90" i="4"/>
  <c r="I90" i="4"/>
  <c r="K89" i="4"/>
  <c r="J89" i="4"/>
  <c r="I89" i="4"/>
  <c r="G89" i="4"/>
  <c r="F89" i="4"/>
  <c r="E89" i="4"/>
  <c r="D89" i="4"/>
  <c r="C89" i="4"/>
  <c r="O88" i="4"/>
  <c r="K88" i="4"/>
  <c r="J88" i="4"/>
  <c r="I88" i="4"/>
  <c r="G88" i="4"/>
  <c r="O87" i="4"/>
  <c r="K87" i="4"/>
  <c r="J87" i="4"/>
  <c r="I87" i="4"/>
  <c r="G87" i="4"/>
  <c r="O86" i="4"/>
  <c r="K86" i="4"/>
  <c r="J86" i="4"/>
  <c r="I86" i="4"/>
  <c r="G86" i="4"/>
  <c r="O85" i="4"/>
  <c r="K85" i="4"/>
  <c r="J85" i="4"/>
  <c r="I85" i="4"/>
  <c r="K84" i="4"/>
  <c r="J84" i="4"/>
  <c r="I84" i="4"/>
  <c r="G84" i="4"/>
  <c r="F84" i="4"/>
  <c r="E84" i="4"/>
  <c r="D84" i="4"/>
  <c r="C84" i="4"/>
  <c r="O83" i="4"/>
  <c r="K83" i="4"/>
  <c r="J83" i="4"/>
  <c r="I83" i="4"/>
  <c r="G83" i="4"/>
  <c r="O82" i="4"/>
  <c r="K82" i="4"/>
  <c r="J82" i="4"/>
  <c r="I82" i="4"/>
  <c r="G82" i="4"/>
  <c r="O81" i="4"/>
  <c r="K81" i="4"/>
  <c r="J81" i="4"/>
  <c r="I81" i="4"/>
  <c r="G81" i="4"/>
  <c r="O80" i="4"/>
  <c r="K80" i="4"/>
  <c r="J80" i="4"/>
  <c r="I80" i="4"/>
  <c r="G80" i="4"/>
  <c r="O79" i="4"/>
  <c r="K79" i="4"/>
  <c r="J79" i="4"/>
  <c r="I79" i="4"/>
  <c r="K78" i="4"/>
  <c r="J78" i="4"/>
  <c r="I78" i="4"/>
  <c r="G78" i="4"/>
  <c r="F78" i="4"/>
  <c r="E78" i="4"/>
  <c r="D78" i="4"/>
  <c r="C78" i="4"/>
  <c r="O77" i="4"/>
  <c r="K77" i="4"/>
  <c r="J77" i="4"/>
  <c r="I77" i="4"/>
  <c r="G77" i="4"/>
  <c r="O76" i="4"/>
  <c r="K76" i="4"/>
  <c r="J76" i="4"/>
  <c r="I76" i="4"/>
  <c r="G76" i="4"/>
  <c r="O75" i="4"/>
  <c r="K75" i="4"/>
  <c r="J75" i="4"/>
  <c r="I75" i="4"/>
  <c r="G75" i="4"/>
  <c r="O74" i="4"/>
  <c r="K74" i="4"/>
  <c r="J74" i="4"/>
  <c r="I74" i="4"/>
  <c r="G74" i="4"/>
  <c r="O73" i="4"/>
  <c r="K73" i="4"/>
  <c r="J73" i="4"/>
  <c r="I73" i="4"/>
  <c r="K72" i="4"/>
  <c r="J72" i="4"/>
  <c r="I72" i="4"/>
  <c r="G72" i="4"/>
  <c r="F72" i="4"/>
  <c r="E72" i="4"/>
  <c r="D72" i="4"/>
  <c r="C72" i="4"/>
  <c r="O71" i="4"/>
  <c r="K71" i="4"/>
  <c r="J71" i="4"/>
  <c r="I71" i="4"/>
  <c r="G71" i="4"/>
  <c r="F71" i="4"/>
  <c r="O70" i="4"/>
  <c r="K70" i="4"/>
  <c r="J70" i="4"/>
  <c r="I70" i="4"/>
  <c r="G70" i="4"/>
  <c r="F70" i="4"/>
  <c r="O69" i="4"/>
  <c r="K69" i="4"/>
  <c r="J69" i="4"/>
  <c r="I69" i="4"/>
  <c r="G69" i="4"/>
  <c r="F69" i="4"/>
  <c r="O68" i="4"/>
  <c r="K68" i="4"/>
  <c r="J68" i="4"/>
  <c r="I68" i="4"/>
  <c r="K67" i="4"/>
  <c r="J67" i="4"/>
  <c r="I67" i="4"/>
  <c r="G67" i="4"/>
  <c r="F67" i="4"/>
  <c r="E67" i="4"/>
  <c r="D67" i="4"/>
  <c r="C67" i="4"/>
  <c r="O66" i="4"/>
  <c r="K66" i="4"/>
  <c r="J66" i="4"/>
  <c r="I66" i="4"/>
  <c r="G66" i="4"/>
  <c r="O65" i="4"/>
  <c r="K65" i="4"/>
  <c r="J65" i="4"/>
  <c r="I65" i="4"/>
  <c r="G65" i="4"/>
  <c r="O64" i="4"/>
  <c r="K64" i="4"/>
  <c r="J64" i="4"/>
  <c r="I64" i="4"/>
  <c r="G64" i="4"/>
  <c r="O63" i="4"/>
  <c r="K63" i="4"/>
  <c r="J63" i="4"/>
  <c r="I63" i="4"/>
  <c r="G63" i="4"/>
  <c r="O62" i="4"/>
  <c r="K62" i="4"/>
  <c r="J62" i="4"/>
  <c r="I62" i="4"/>
  <c r="K61" i="4"/>
  <c r="J61" i="4"/>
  <c r="I61" i="4"/>
  <c r="G61" i="4"/>
  <c r="F61" i="4"/>
  <c r="E61" i="4"/>
  <c r="D61" i="4"/>
  <c r="C61" i="4"/>
  <c r="O60" i="4"/>
  <c r="K60" i="4"/>
  <c r="J60" i="4"/>
  <c r="I60" i="4"/>
  <c r="G60" i="4"/>
  <c r="O59" i="4"/>
  <c r="K59" i="4"/>
  <c r="J59" i="4"/>
  <c r="I59" i="4"/>
  <c r="G59" i="4"/>
  <c r="O58" i="4"/>
  <c r="K58" i="4"/>
  <c r="J58" i="4"/>
  <c r="I58" i="4"/>
  <c r="G58" i="4"/>
  <c r="O57" i="4"/>
  <c r="K57" i="4"/>
  <c r="J57" i="4"/>
  <c r="I57" i="4"/>
  <c r="K56" i="4"/>
  <c r="J56" i="4"/>
  <c r="I56" i="4"/>
  <c r="G56" i="4"/>
  <c r="F56" i="4"/>
  <c r="E56" i="4"/>
  <c r="D56" i="4"/>
  <c r="C56" i="4"/>
  <c r="O55" i="4"/>
  <c r="K55" i="4"/>
  <c r="J55" i="4"/>
  <c r="I55" i="4"/>
  <c r="K54" i="4"/>
  <c r="J54" i="4"/>
  <c r="I54" i="4"/>
  <c r="G54" i="4"/>
  <c r="F54" i="4"/>
  <c r="E54" i="4"/>
  <c r="D54" i="4"/>
  <c r="C54" i="4"/>
  <c r="O53" i="4"/>
  <c r="K53" i="4"/>
  <c r="J53" i="4"/>
  <c r="I53" i="4"/>
  <c r="G53" i="4"/>
  <c r="O52" i="4"/>
  <c r="K52" i="4"/>
  <c r="J52" i="4"/>
  <c r="I52" i="4"/>
  <c r="G52" i="4"/>
  <c r="O51" i="4"/>
  <c r="K51" i="4"/>
  <c r="J51" i="4"/>
  <c r="I51" i="4"/>
  <c r="K50" i="4"/>
  <c r="J50" i="4"/>
  <c r="I50" i="4"/>
  <c r="G50" i="4"/>
  <c r="F50" i="4"/>
  <c r="E50" i="4"/>
  <c r="D50" i="4"/>
  <c r="C50" i="4"/>
  <c r="O49" i="4"/>
  <c r="K49" i="4"/>
  <c r="J49" i="4"/>
  <c r="I49" i="4"/>
  <c r="G49" i="4"/>
  <c r="O48" i="4"/>
  <c r="K48" i="4"/>
  <c r="J48" i="4"/>
  <c r="I48" i="4"/>
  <c r="K47" i="4"/>
  <c r="J47" i="4"/>
  <c r="I47" i="4"/>
  <c r="G47" i="4"/>
  <c r="F47" i="4"/>
  <c r="E47" i="4"/>
  <c r="D47" i="4"/>
  <c r="C47" i="4"/>
  <c r="O46" i="4"/>
  <c r="K46" i="4"/>
  <c r="J46" i="4"/>
  <c r="I46" i="4"/>
  <c r="G46" i="4"/>
  <c r="O45" i="4"/>
  <c r="K45" i="4"/>
  <c r="J45" i="4"/>
  <c r="I45" i="4"/>
  <c r="G45" i="4"/>
  <c r="O44" i="4"/>
  <c r="K44" i="4"/>
  <c r="J44" i="4"/>
  <c r="I44" i="4"/>
  <c r="G44" i="4"/>
  <c r="O43" i="4"/>
  <c r="K43" i="4"/>
  <c r="J43" i="4"/>
  <c r="I43" i="4"/>
  <c r="K42" i="4"/>
  <c r="J42" i="4"/>
  <c r="I42" i="4"/>
  <c r="G42" i="4"/>
  <c r="F42" i="4"/>
  <c r="E42" i="4"/>
  <c r="D42" i="4"/>
  <c r="C42" i="4"/>
  <c r="O41" i="4"/>
  <c r="K41" i="4"/>
  <c r="J41" i="4"/>
  <c r="I41" i="4"/>
  <c r="G41" i="4"/>
  <c r="O40" i="4"/>
  <c r="K40" i="4"/>
  <c r="J40" i="4"/>
  <c r="I40" i="4"/>
  <c r="G40" i="4"/>
  <c r="O39" i="4"/>
  <c r="K39" i="4"/>
  <c r="J39" i="4"/>
  <c r="I39" i="4"/>
  <c r="K38" i="4"/>
  <c r="J38" i="4"/>
  <c r="I38" i="4"/>
  <c r="G38" i="4"/>
  <c r="F38" i="4"/>
  <c r="E38" i="4"/>
  <c r="D38" i="4"/>
  <c r="C38" i="4"/>
  <c r="O37" i="4"/>
  <c r="K37" i="4"/>
  <c r="J37" i="4"/>
  <c r="I37" i="4"/>
  <c r="G37" i="4"/>
  <c r="O36" i="4"/>
  <c r="K36" i="4"/>
  <c r="J36" i="4"/>
  <c r="I36" i="4"/>
  <c r="G36" i="4"/>
  <c r="O35" i="4"/>
  <c r="K35" i="4"/>
  <c r="J35" i="4"/>
  <c r="I35" i="4"/>
  <c r="G35" i="4"/>
  <c r="O34" i="4"/>
  <c r="K34" i="4"/>
  <c r="J34" i="4"/>
  <c r="I34" i="4"/>
  <c r="G34" i="4"/>
  <c r="O33" i="4"/>
  <c r="K33" i="4"/>
  <c r="J33" i="4"/>
  <c r="I33" i="4"/>
  <c r="K32" i="4"/>
  <c r="J32" i="4"/>
  <c r="I32" i="4"/>
  <c r="G32" i="4"/>
  <c r="F32" i="4"/>
  <c r="E32" i="4"/>
  <c r="D32" i="4"/>
  <c r="C32" i="4"/>
  <c r="O31" i="4"/>
  <c r="K31" i="4"/>
  <c r="J31" i="4"/>
  <c r="I31" i="4"/>
  <c r="G31" i="4"/>
  <c r="O30" i="4"/>
  <c r="K30" i="4"/>
  <c r="J30" i="4"/>
  <c r="I30" i="4"/>
  <c r="G30" i="4"/>
  <c r="O29" i="4"/>
  <c r="K29" i="4"/>
  <c r="J29" i="4"/>
  <c r="I29" i="4"/>
  <c r="G29" i="4"/>
  <c r="O28" i="4"/>
  <c r="K28" i="4"/>
  <c r="J28" i="4"/>
  <c r="I28" i="4"/>
  <c r="K27" i="4"/>
  <c r="J27" i="4"/>
  <c r="I27" i="4"/>
  <c r="G27" i="4"/>
  <c r="F27" i="4"/>
  <c r="E27" i="4"/>
  <c r="D27" i="4"/>
  <c r="C27" i="4"/>
  <c r="O26" i="4"/>
  <c r="K26" i="4"/>
  <c r="J26" i="4"/>
  <c r="I26" i="4"/>
  <c r="G26" i="4"/>
  <c r="O25" i="4"/>
  <c r="K25" i="4"/>
  <c r="J25" i="4"/>
  <c r="I25" i="4"/>
  <c r="G25" i="4"/>
  <c r="O24" i="4"/>
  <c r="K24" i="4"/>
  <c r="J24" i="4"/>
  <c r="I24" i="4"/>
  <c r="K23" i="4"/>
  <c r="J23" i="4"/>
  <c r="I23" i="4"/>
  <c r="G23" i="4"/>
  <c r="F23" i="4"/>
  <c r="E23" i="4"/>
  <c r="D23" i="4"/>
  <c r="C23" i="4"/>
  <c r="O22" i="4"/>
  <c r="K22" i="4"/>
  <c r="J22" i="4"/>
  <c r="I22" i="4"/>
  <c r="G22" i="4"/>
  <c r="O21" i="4"/>
  <c r="K21" i="4"/>
  <c r="J21" i="4"/>
  <c r="I21" i="4"/>
  <c r="G21" i="4"/>
  <c r="O20" i="4"/>
  <c r="K20" i="4"/>
  <c r="J20" i="4"/>
  <c r="I20" i="4"/>
  <c r="K19" i="4"/>
  <c r="J19" i="4"/>
  <c r="I19" i="4"/>
  <c r="G19" i="4"/>
  <c r="F19" i="4"/>
  <c r="E19" i="4"/>
  <c r="D19" i="4"/>
  <c r="C19" i="4"/>
  <c r="O18" i="4"/>
  <c r="K18" i="4"/>
  <c r="J18" i="4"/>
  <c r="I18" i="4"/>
  <c r="G18" i="4"/>
  <c r="O17" i="4"/>
  <c r="K17" i="4"/>
  <c r="J17" i="4"/>
  <c r="I17" i="4"/>
  <c r="G17" i="4"/>
  <c r="O16" i="4"/>
  <c r="K16" i="4"/>
  <c r="J16" i="4"/>
  <c r="I16" i="4"/>
  <c r="K15" i="4"/>
  <c r="J15" i="4"/>
  <c r="I15" i="4"/>
  <c r="G15" i="4"/>
  <c r="F15" i="4"/>
  <c r="E15" i="4"/>
  <c r="D15" i="4"/>
  <c r="C15" i="4"/>
  <c r="O14" i="4"/>
  <c r="K14" i="4"/>
  <c r="J14" i="4"/>
  <c r="I14" i="4"/>
  <c r="G14" i="4"/>
  <c r="O13" i="4"/>
  <c r="K13" i="4"/>
  <c r="J13" i="4"/>
  <c r="I13" i="4"/>
  <c r="K12" i="4"/>
  <c r="J12" i="4"/>
  <c r="I12" i="4"/>
  <c r="G12" i="4"/>
  <c r="F12" i="4"/>
  <c r="E12" i="4"/>
  <c r="D12" i="4"/>
  <c r="C12" i="4"/>
  <c r="O11" i="4"/>
  <c r="K11" i="4"/>
  <c r="J11" i="4"/>
  <c r="I11" i="4"/>
  <c r="G11" i="4"/>
  <c r="O10" i="4"/>
  <c r="K10" i="4"/>
  <c r="J10" i="4"/>
  <c r="I10" i="4"/>
  <c r="K9" i="4"/>
  <c r="J9" i="4"/>
  <c r="I9" i="4"/>
  <c r="G9" i="4"/>
  <c r="F9" i="4"/>
  <c r="E9" i="4"/>
  <c r="D9" i="4"/>
  <c r="C9" i="4"/>
  <c r="K8" i="4"/>
  <c r="J8" i="4"/>
  <c r="I8" i="4"/>
  <c r="G8" i="4"/>
  <c r="O7" i="4"/>
  <c r="K7" i="4"/>
  <c r="J7" i="4"/>
  <c r="I7" i="4"/>
  <c r="G7" i="4"/>
  <c r="O6" i="4"/>
  <c r="K6" i="4"/>
  <c r="J6" i="4"/>
  <c r="I6" i="4"/>
  <c r="G6" i="4"/>
  <c r="O5" i="4"/>
  <c r="K5" i="4"/>
  <c r="J5" i="4"/>
  <c r="I5" i="4"/>
  <c r="G5" i="4"/>
  <c r="O4" i="4"/>
  <c r="K4" i="4"/>
  <c r="J4" i="4"/>
  <c r="I4" i="4"/>
  <c r="G4" i="4"/>
  <c r="O3" i="4"/>
  <c r="K3" i="4"/>
  <c r="J3" i="4"/>
  <c r="I3" i="4"/>
  <c r="K2" i="4"/>
  <c r="J2" i="4"/>
  <c r="I2" i="4"/>
  <c r="G2" i="4"/>
  <c r="F2" i="4"/>
  <c r="E2" i="4"/>
  <c r="D2" i="4"/>
  <c r="C2" i="4"/>
  <c r="D19" i="3"/>
  <c r="C19" i="3"/>
  <c r="D18" i="3"/>
  <c r="C18" i="3"/>
  <c r="D14" i="3"/>
  <c r="C14" i="3"/>
  <c r="D13" i="3"/>
  <c r="C13" i="3"/>
  <c r="D9" i="3"/>
  <c r="C9" i="3"/>
  <c r="D205" i="3"/>
  <c r="C205" i="3"/>
  <c r="D386" i="3"/>
  <c r="C386" i="3"/>
  <c r="D397" i="3"/>
  <c r="C397" i="3"/>
  <c r="D396" i="3"/>
  <c r="C396" i="3"/>
  <c r="D400" i="3"/>
  <c r="C400" i="3"/>
  <c r="D399" i="3"/>
  <c r="C399" i="3"/>
  <c r="D401" i="3"/>
  <c r="C401" i="3"/>
  <c r="D398" i="3"/>
  <c r="C398" i="3"/>
  <c r="D389" i="3"/>
  <c r="C389" i="3"/>
  <c r="D390" i="3"/>
  <c r="C390" i="3"/>
  <c r="D395" i="3"/>
  <c r="C395" i="3"/>
  <c r="D311" i="3"/>
  <c r="C311" i="3"/>
  <c r="C394" i="3"/>
  <c r="D111" i="3"/>
  <c r="C111" i="3"/>
  <c r="D392" i="3"/>
  <c r="C392" i="3"/>
  <c r="D95" i="3"/>
  <c r="C95" i="3"/>
  <c r="D325" i="3"/>
  <c r="C325" i="3"/>
  <c r="D391" i="3"/>
  <c r="C391" i="3"/>
  <c r="D41" i="3"/>
  <c r="C41" i="3"/>
  <c r="D184" i="3"/>
  <c r="C184" i="3"/>
  <c r="D201" i="3"/>
  <c r="C201" i="3"/>
  <c r="D55" i="3"/>
  <c r="C55" i="3"/>
  <c r="D175" i="3"/>
  <c r="C175" i="3"/>
  <c r="D157" i="3"/>
  <c r="C157" i="3"/>
  <c r="D125" i="3"/>
  <c r="C125" i="3"/>
  <c r="D11" i="3"/>
  <c r="C11" i="3"/>
  <c r="D12" i="3"/>
  <c r="C12" i="3"/>
  <c r="D59" i="3"/>
  <c r="C59" i="3"/>
  <c r="D295" i="3"/>
  <c r="C295" i="3"/>
  <c r="D73" i="3"/>
  <c r="C73" i="3"/>
  <c r="D97" i="3"/>
  <c r="C97" i="3"/>
  <c r="D160" i="3"/>
  <c r="C160" i="3"/>
  <c r="D393" i="3"/>
  <c r="C393" i="3"/>
  <c r="D388" i="3"/>
  <c r="C388" i="3"/>
  <c r="D387" i="3"/>
  <c r="C387" i="3"/>
  <c r="D385" i="3"/>
  <c r="C385" i="3"/>
  <c r="D384" i="3"/>
  <c r="C384" i="3"/>
  <c r="D383" i="3"/>
  <c r="C383" i="3"/>
  <c r="D382" i="3"/>
  <c r="C382" i="3"/>
  <c r="D381" i="3"/>
  <c r="C381" i="3"/>
  <c r="D380" i="3"/>
  <c r="C380" i="3"/>
  <c r="D378" i="3"/>
  <c r="C378" i="3"/>
  <c r="D377" i="3"/>
  <c r="C377" i="3"/>
  <c r="D376" i="3"/>
  <c r="C376" i="3"/>
  <c r="D373" i="3"/>
  <c r="C373" i="3"/>
  <c r="D371" i="3"/>
  <c r="C371" i="3"/>
  <c r="D370" i="3"/>
  <c r="C370" i="3"/>
  <c r="D369" i="3"/>
  <c r="C369" i="3"/>
  <c r="D367" i="3"/>
  <c r="C367" i="3"/>
  <c r="D365" i="3"/>
  <c r="C365" i="3"/>
  <c r="D364" i="3"/>
  <c r="C364" i="3"/>
  <c r="D363" i="3"/>
  <c r="C363" i="3"/>
  <c r="D361" i="3"/>
  <c r="C361" i="3"/>
  <c r="D360" i="3"/>
  <c r="C360" i="3"/>
  <c r="D359" i="3"/>
  <c r="C359" i="3"/>
  <c r="D358" i="3"/>
  <c r="C358" i="3"/>
  <c r="D357" i="3"/>
  <c r="C357" i="3"/>
  <c r="D355" i="3"/>
  <c r="C355" i="3"/>
  <c r="D354" i="3"/>
  <c r="C354" i="3"/>
  <c r="D353" i="3"/>
  <c r="C353" i="3"/>
  <c r="D352" i="3"/>
  <c r="C352" i="3"/>
  <c r="D350" i="3"/>
  <c r="C350" i="3"/>
  <c r="D348" i="3"/>
  <c r="C348" i="3"/>
  <c r="D347" i="3"/>
  <c r="C347" i="3"/>
  <c r="D346" i="3"/>
  <c r="C346" i="3"/>
  <c r="D345" i="3"/>
  <c r="C345" i="3"/>
  <c r="D344" i="3"/>
  <c r="C344" i="3"/>
  <c r="D342" i="3"/>
  <c r="C342" i="3"/>
  <c r="D340" i="3"/>
  <c r="C340" i="3"/>
  <c r="D337" i="3"/>
  <c r="C337" i="3"/>
  <c r="D335" i="3"/>
  <c r="C335" i="3"/>
  <c r="D332" i="3"/>
  <c r="C332" i="3"/>
  <c r="D331" i="3"/>
  <c r="C331" i="3"/>
  <c r="D329" i="3"/>
  <c r="C329" i="3"/>
  <c r="D328" i="3"/>
  <c r="C328" i="3"/>
  <c r="D326" i="3"/>
  <c r="C326" i="3"/>
  <c r="D322" i="3"/>
  <c r="C322" i="3"/>
  <c r="D321" i="3"/>
  <c r="C321" i="3"/>
  <c r="D320" i="3"/>
  <c r="C320" i="3"/>
  <c r="D319" i="3"/>
  <c r="C319" i="3"/>
  <c r="D317" i="3"/>
  <c r="C317" i="3"/>
  <c r="D316" i="3"/>
  <c r="C316" i="3"/>
  <c r="D314" i="3"/>
  <c r="C314" i="3"/>
  <c r="D313" i="3"/>
  <c r="C313" i="3"/>
  <c r="D312" i="3"/>
  <c r="C312" i="3"/>
  <c r="D310" i="3"/>
  <c r="C310" i="3"/>
  <c r="D309" i="3"/>
  <c r="C309" i="3"/>
  <c r="D307" i="3"/>
  <c r="C307" i="3"/>
  <c r="D305" i="3"/>
  <c r="C305" i="3"/>
  <c r="D304" i="3"/>
  <c r="C304" i="3"/>
  <c r="D303" i="3"/>
  <c r="C303" i="3"/>
  <c r="D302" i="3"/>
  <c r="C302" i="3"/>
  <c r="D301" i="3"/>
  <c r="C301" i="3"/>
  <c r="D299" i="3"/>
  <c r="C299" i="3"/>
  <c r="D298" i="3"/>
  <c r="C298" i="3"/>
  <c r="D296" i="3"/>
  <c r="C296" i="3"/>
  <c r="D294" i="3"/>
  <c r="C294" i="3"/>
  <c r="D292" i="3"/>
  <c r="C292" i="3"/>
  <c r="D290" i="3"/>
  <c r="C290" i="3"/>
  <c r="D289" i="3"/>
  <c r="C289" i="3"/>
  <c r="D288" i="3"/>
  <c r="C288" i="3"/>
  <c r="D285" i="3"/>
  <c r="C285" i="3"/>
  <c r="D284" i="3"/>
  <c r="C284" i="3"/>
  <c r="D283" i="3"/>
  <c r="C283" i="3"/>
  <c r="D279" i="3"/>
  <c r="C279" i="3"/>
  <c r="D278" i="3"/>
  <c r="D277" i="3"/>
  <c r="C277" i="3"/>
  <c r="D276" i="3"/>
  <c r="C276" i="3"/>
  <c r="D275" i="3"/>
  <c r="C275" i="3"/>
  <c r="D268" i="3"/>
  <c r="C268" i="3"/>
  <c r="D267" i="3"/>
  <c r="C267" i="3"/>
  <c r="D266" i="3"/>
  <c r="C266" i="3"/>
  <c r="D263" i="3"/>
  <c r="C263" i="3"/>
  <c r="D262" i="3"/>
  <c r="C262" i="3"/>
  <c r="D261" i="3"/>
  <c r="C261" i="3"/>
  <c r="D257" i="3"/>
  <c r="C257" i="3"/>
  <c r="D256" i="3"/>
  <c r="C256" i="3"/>
  <c r="D254" i="3"/>
  <c r="C254" i="3"/>
  <c r="D253" i="3"/>
  <c r="C253" i="3"/>
  <c r="D250" i="3"/>
  <c r="C250" i="3"/>
  <c r="D249" i="3"/>
  <c r="C249" i="3"/>
  <c r="D248" i="3"/>
  <c r="C248" i="3"/>
  <c r="D246" i="3"/>
  <c r="C246" i="3"/>
  <c r="D245" i="3"/>
  <c r="C245" i="3"/>
  <c r="D244" i="3"/>
  <c r="C244" i="3"/>
  <c r="D243" i="3"/>
  <c r="C243" i="3"/>
  <c r="D242" i="3"/>
  <c r="C242" i="3"/>
  <c r="D240" i="3"/>
  <c r="C240" i="3"/>
  <c r="D238" i="3"/>
  <c r="C238" i="3"/>
  <c r="D237" i="3"/>
  <c r="C237" i="3"/>
  <c r="D236" i="3"/>
  <c r="C236" i="3"/>
  <c r="C235" i="3"/>
  <c r="D233" i="3"/>
  <c r="C233" i="3"/>
  <c r="D232" i="3"/>
  <c r="C232" i="3"/>
  <c r="D231" i="3"/>
  <c r="C231" i="3"/>
  <c r="D227" i="3"/>
  <c r="C227" i="3"/>
  <c r="D224" i="3"/>
  <c r="C224" i="3"/>
  <c r="D223" i="3"/>
  <c r="C223" i="3"/>
  <c r="D221" i="3"/>
  <c r="C221" i="3"/>
  <c r="D220" i="3"/>
  <c r="C220" i="3"/>
  <c r="D219" i="3"/>
  <c r="C219" i="3"/>
  <c r="D217" i="3"/>
  <c r="C217" i="3"/>
  <c r="D216" i="3"/>
  <c r="C216" i="3"/>
  <c r="D215" i="3"/>
  <c r="C215" i="3"/>
  <c r="D213" i="3"/>
  <c r="C213" i="3"/>
  <c r="D210" i="3"/>
  <c r="C210" i="3"/>
  <c r="D207" i="3"/>
  <c r="C207" i="3"/>
  <c r="D206" i="3"/>
  <c r="C206" i="3"/>
  <c r="D204" i="3"/>
  <c r="C204" i="3"/>
  <c r="D203" i="3"/>
  <c r="C203" i="3"/>
  <c r="D200" i="3"/>
  <c r="C200" i="3"/>
  <c r="D197" i="3"/>
  <c r="C197" i="3"/>
  <c r="D196" i="3"/>
  <c r="C196" i="3"/>
  <c r="D194" i="3"/>
  <c r="C194" i="3"/>
  <c r="D193" i="3"/>
  <c r="C193" i="3"/>
  <c r="D192" i="3"/>
  <c r="C192" i="3"/>
  <c r="D191" i="3"/>
  <c r="C191" i="3"/>
  <c r="D190" i="3"/>
  <c r="C190" i="3"/>
  <c r="D189" i="3"/>
  <c r="C189" i="3"/>
  <c r="D188" i="3"/>
  <c r="C188" i="3"/>
  <c r="D187" i="3"/>
  <c r="C187" i="3"/>
  <c r="D186" i="3"/>
  <c r="C186" i="3"/>
  <c r="D185" i="3"/>
  <c r="C185" i="3"/>
  <c r="D183" i="3"/>
  <c r="C183" i="3"/>
  <c r="D179" i="3"/>
  <c r="C179" i="3"/>
  <c r="D178" i="3"/>
  <c r="C178" i="3"/>
  <c r="D176" i="3"/>
  <c r="C176" i="3"/>
  <c r="D172" i="3"/>
  <c r="C172" i="3"/>
  <c r="D171" i="3"/>
  <c r="C171" i="3"/>
  <c r="D170" i="3"/>
  <c r="C170" i="3"/>
  <c r="D168" i="3"/>
  <c r="C168" i="3"/>
  <c r="D167" i="3"/>
  <c r="C167" i="3"/>
  <c r="D165" i="3"/>
  <c r="C165" i="3"/>
  <c r="D163" i="3"/>
  <c r="C163" i="3"/>
  <c r="D162" i="3"/>
  <c r="C162" i="3"/>
  <c r="D161" i="3"/>
  <c r="C161" i="3"/>
  <c r="D158" i="3"/>
  <c r="C158" i="3"/>
  <c r="D156" i="3"/>
  <c r="C156" i="3"/>
  <c r="D155" i="3"/>
  <c r="C155" i="3"/>
  <c r="D154" i="3"/>
  <c r="C154" i="3"/>
  <c r="D153" i="3"/>
  <c r="C153" i="3"/>
  <c r="D152" i="3"/>
  <c r="C152" i="3"/>
  <c r="D150" i="3"/>
  <c r="C150" i="3"/>
  <c r="D149" i="3"/>
  <c r="C149" i="3"/>
  <c r="D148" i="3"/>
  <c r="C148" i="3"/>
  <c r="D147" i="3"/>
  <c r="C147" i="3"/>
  <c r="D143" i="3"/>
  <c r="C143" i="3"/>
  <c r="D142" i="3"/>
  <c r="C142" i="3"/>
  <c r="D141" i="3"/>
  <c r="C141" i="3"/>
  <c r="D139" i="3"/>
  <c r="C139" i="3"/>
  <c r="D138" i="3"/>
  <c r="C138" i="3"/>
  <c r="D134" i="3"/>
  <c r="C134" i="3"/>
  <c r="D131" i="3"/>
  <c r="C131" i="3"/>
  <c r="D129" i="3"/>
  <c r="C129" i="3"/>
  <c r="D127" i="3"/>
  <c r="C127" i="3"/>
  <c r="D124" i="3"/>
  <c r="C124" i="3"/>
  <c r="D123" i="3"/>
  <c r="C123" i="3"/>
  <c r="D120" i="3"/>
  <c r="C120" i="3"/>
  <c r="D119" i="3"/>
  <c r="C119" i="3"/>
  <c r="D118" i="3"/>
  <c r="C118" i="3"/>
  <c r="D117" i="3"/>
  <c r="C117" i="3"/>
  <c r="D116" i="3"/>
  <c r="C116" i="3"/>
  <c r="D114" i="3"/>
  <c r="C114" i="3"/>
  <c r="D112" i="3"/>
  <c r="C112" i="3"/>
  <c r="D110" i="3"/>
  <c r="C110" i="3"/>
  <c r="D109" i="3"/>
  <c r="C109" i="3"/>
  <c r="D108" i="3"/>
  <c r="C108" i="3"/>
  <c r="D107" i="3"/>
  <c r="C107" i="3"/>
  <c r="D105" i="3"/>
  <c r="C105" i="3"/>
  <c r="D104" i="3"/>
  <c r="C104" i="3"/>
  <c r="D101" i="3"/>
  <c r="C101" i="3"/>
  <c r="D100" i="3"/>
  <c r="C100" i="3"/>
  <c r="D96" i="3"/>
  <c r="C96" i="3"/>
  <c r="D94" i="3"/>
  <c r="C94" i="3"/>
  <c r="D91" i="3"/>
  <c r="C91" i="3"/>
  <c r="D90" i="3"/>
  <c r="C90" i="3"/>
  <c r="D88" i="3"/>
  <c r="C88" i="3"/>
  <c r="D86" i="3"/>
  <c r="C86" i="3"/>
  <c r="D84" i="3"/>
  <c r="C84" i="3"/>
  <c r="D81" i="3"/>
  <c r="C81" i="3"/>
  <c r="D77" i="3"/>
  <c r="C77" i="3"/>
  <c r="D75" i="3"/>
  <c r="C75" i="3"/>
  <c r="D72" i="3"/>
  <c r="C72" i="3"/>
  <c r="D70" i="3"/>
  <c r="C70" i="3"/>
  <c r="D69" i="3"/>
  <c r="C69" i="3"/>
  <c r="D68" i="3"/>
  <c r="C68" i="3"/>
  <c r="D66" i="3"/>
  <c r="C66" i="3"/>
  <c r="D65" i="3"/>
  <c r="C65" i="3"/>
  <c r="D64" i="3"/>
  <c r="C64" i="3"/>
  <c r="D62" i="3"/>
  <c r="C62" i="3"/>
  <c r="D60" i="3"/>
  <c r="C60" i="3"/>
  <c r="D58" i="3"/>
  <c r="C58" i="3"/>
  <c r="D57" i="3"/>
  <c r="C57" i="3"/>
  <c r="D54" i="3"/>
  <c r="C54" i="3"/>
  <c r="D53" i="3"/>
  <c r="C53" i="3"/>
  <c r="D52" i="3"/>
  <c r="C52" i="3"/>
  <c r="D51" i="3"/>
  <c r="C51" i="3"/>
  <c r="D50" i="3"/>
  <c r="C50" i="3"/>
  <c r="D48" i="3"/>
  <c r="C48" i="3"/>
  <c r="D45" i="3"/>
  <c r="C45" i="3"/>
  <c r="D43" i="3"/>
  <c r="C43" i="3"/>
  <c r="D38" i="3"/>
  <c r="C38" i="3"/>
  <c r="D33" i="3"/>
  <c r="C33" i="3"/>
  <c r="D32" i="3"/>
  <c r="C32" i="3"/>
  <c r="D29" i="3"/>
  <c r="C29" i="3"/>
  <c r="D28" i="3"/>
  <c r="C28" i="3"/>
  <c r="D27" i="3"/>
  <c r="C27" i="3"/>
  <c r="D26" i="3"/>
  <c r="C26" i="3"/>
  <c r="D25" i="3"/>
  <c r="C25" i="3"/>
  <c r="D17" i="3"/>
  <c r="C17" i="3"/>
  <c r="D16" i="3"/>
  <c r="C16" i="3"/>
  <c r="D15" i="3"/>
  <c r="C15" i="3"/>
  <c r="D10" i="3"/>
  <c r="C10" i="3"/>
  <c r="D8" i="3"/>
  <c r="C8" i="3"/>
  <c r="D7" i="3"/>
  <c r="C7" i="3"/>
  <c r="D349" i="3"/>
  <c r="C349" i="3"/>
  <c r="D339" i="3"/>
  <c r="C339" i="3"/>
  <c r="D334" i="3"/>
  <c r="C334" i="3"/>
  <c r="D78" i="3"/>
  <c r="C78" i="3"/>
  <c r="D49" i="3"/>
  <c r="C49" i="3"/>
  <c r="D327" i="3"/>
  <c r="D379" i="3"/>
  <c r="C379" i="3"/>
  <c r="D375" i="3"/>
  <c r="C375" i="3"/>
  <c r="D374" i="3"/>
  <c r="C374" i="3"/>
  <c r="D372" i="3"/>
  <c r="C372" i="3"/>
  <c r="D368" i="3"/>
  <c r="C368" i="3"/>
  <c r="D366" i="3"/>
  <c r="C366" i="3"/>
  <c r="D362" i="3"/>
  <c r="C362" i="3"/>
  <c r="D356" i="3"/>
  <c r="C356" i="3"/>
  <c r="D351" i="3"/>
  <c r="C351" i="3"/>
  <c r="D343" i="3"/>
  <c r="C343" i="3"/>
  <c r="D341" i="3"/>
  <c r="C341" i="3"/>
  <c r="D338" i="3"/>
  <c r="C338" i="3"/>
  <c r="D336" i="3"/>
  <c r="C336" i="3"/>
  <c r="D333" i="3"/>
  <c r="C333" i="3"/>
  <c r="D330" i="3"/>
  <c r="C330" i="3"/>
  <c r="D324" i="3"/>
  <c r="C324" i="3"/>
  <c r="D323" i="3"/>
  <c r="C323" i="3"/>
  <c r="D318" i="3"/>
  <c r="C318" i="3"/>
  <c r="D315" i="3"/>
  <c r="C315" i="3"/>
  <c r="D308" i="3"/>
  <c r="C308" i="3"/>
  <c r="D306" i="3"/>
  <c r="C306" i="3"/>
  <c r="D300" i="3"/>
  <c r="C300" i="3"/>
  <c r="D297" i="3"/>
  <c r="D293" i="3"/>
  <c r="C293" i="3"/>
  <c r="D291" i="3"/>
  <c r="C291" i="3"/>
  <c r="D287" i="3"/>
  <c r="C287" i="3"/>
  <c r="D286" i="3"/>
  <c r="C286" i="3"/>
  <c r="D282" i="3"/>
  <c r="C282" i="3"/>
  <c r="D281" i="3"/>
  <c r="C281" i="3"/>
  <c r="D280" i="3"/>
  <c r="C280" i="3"/>
  <c r="D274" i="3"/>
  <c r="C274" i="3"/>
  <c r="D273" i="3"/>
  <c r="C273" i="3"/>
  <c r="D272" i="3"/>
  <c r="C272" i="3"/>
  <c r="D271" i="3"/>
  <c r="C271" i="3"/>
  <c r="D270" i="3"/>
  <c r="C270" i="3"/>
  <c r="D269" i="3"/>
  <c r="C269" i="3"/>
  <c r="D265" i="3"/>
  <c r="C265" i="3"/>
  <c r="D264" i="3"/>
  <c r="C264" i="3"/>
  <c r="D260" i="3"/>
  <c r="C260" i="3"/>
  <c r="D259" i="3"/>
  <c r="C259" i="3"/>
  <c r="D258" i="3"/>
  <c r="C258" i="3"/>
  <c r="D255" i="3"/>
  <c r="C255" i="3"/>
  <c r="D252" i="3"/>
  <c r="C252" i="3"/>
  <c r="D251" i="3"/>
  <c r="C251" i="3"/>
  <c r="D247" i="3"/>
  <c r="C247" i="3"/>
  <c r="D241" i="3"/>
  <c r="C241" i="3"/>
  <c r="D239" i="3"/>
  <c r="C239" i="3"/>
  <c r="D234" i="3"/>
  <c r="C234" i="3"/>
  <c r="D230" i="3"/>
  <c r="C230" i="3"/>
  <c r="D229" i="3"/>
  <c r="C229" i="3"/>
  <c r="D228" i="3"/>
  <c r="C228" i="3"/>
  <c r="D226" i="3"/>
  <c r="C226" i="3"/>
  <c r="D225" i="3"/>
  <c r="C225" i="3"/>
  <c r="D222" i="3"/>
  <c r="C222" i="3"/>
  <c r="D218" i="3"/>
  <c r="C218" i="3"/>
  <c r="D214" i="3"/>
  <c r="C214" i="3"/>
  <c r="D212" i="3"/>
  <c r="C212" i="3"/>
  <c r="D211" i="3"/>
  <c r="C211" i="3"/>
  <c r="D209" i="3"/>
  <c r="C209" i="3"/>
  <c r="D208" i="3"/>
  <c r="C208" i="3"/>
  <c r="D202" i="3"/>
  <c r="C202" i="3"/>
  <c r="D199" i="3"/>
  <c r="C199" i="3"/>
  <c r="D198" i="3"/>
  <c r="C198" i="3"/>
  <c r="D195" i="3"/>
  <c r="C195" i="3"/>
  <c r="D182" i="3"/>
  <c r="C182" i="3"/>
  <c r="D181" i="3"/>
  <c r="C181" i="3"/>
  <c r="D180" i="3"/>
  <c r="C180" i="3"/>
  <c r="D177" i="3"/>
  <c r="C177" i="3"/>
  <c r="D174" i="3"/>
  <c r="C174" i="3"/>
  <c r="D173" i="3"/>
  <c r="C173" i="3"/>
  <c r="D169" i="3"/>
  <c r="C169" i="3"/>
  <c r="D166" i="3"/>
  <c r="C166" i="3"/>
  <c r="D164" i="3"/>
  <c r="C164" i="3"/>
  <c r="D159" i="3"/>
  <c r="C159" i="3"/>
  <c r="D151" i="3"/>
  <c r="C151" i="3"/>
  <c r="D146" i="3"/>
  <c r="C146" i="3"/>
  <c r="D145" i="3"/>
  <c r="C145" i="3"/>
  <c r="D144" i="3"/>
  <c r="C144" i="3"/>
  <c r="D140" i="3"/>
  <c r="C140" i="3"/>
  <c r="D137" i="3"/>
  <c r="C137" i="3"/>
  <c r="D136" i="3"/>
  <c r="C136" i="3"/>
  <c r="D135" i="3"/>
  <c r="C135" i="3"/>
  <c r="D133" i="3"/>
  <c r="C133" i="3"/>
  <c r="D132" i="3"/>
  <c r="C132" i="3"/>
  <c r="D130" i="3"/>
  <c r="C130" i="3"/>
  <c r="D128" i="3"/>
  <c r="C128" i="3"/>
  <c r="D126" i="3"/>
  <c r="C126" i="3"/>
  <c r="D122" i="3"/>
  <c r="C122" i="3"/>
  <c r="D121" i="3"/>
  <c r="C121" i="3"/>
  <c r="D115" i="3"/>
  <c r="C115" i="3"/>
  <c r="D113" i="3"/>
  <c r="C113" i="3"/>
  <c r="D106" i="3"/>
  <c r="C106" i="3"/>
  <c r="D103" i="3"/>
  <c r="C103" i="3"/>
  <c r="D102" i="3"/>
  <c r="C102" i="3"/>
  <c r="D99" i="3"/>
  <c r="C99" i="3"/>
  <c r="D98" i="3"/>
  <c r="C98" i="3"/>
  <c r="D93" i="3"/>
  <c r="C93" i="3"/>
  <c r="D92" i="3"/>
  <c r="C92" i="3"/>
  <c r="D89" i="3"/>
  <c r="C89" i="3"/>
  <c r="D87" i="3"/>
  <c r="C87" i="3"/>
  <c r="D85" i="3"/>
  <c r="C85" i="3"/>
  <c r="D83" i="3"/>
  <c r="C83" i="3"/>
  <c r="D82" i="3"/>
  <c r="C82" i="3"/>
  <c r="D80" i="3"/>
  <c r="C80" i="3"/>
  <c r="D79" i="3"/>
  <c r="C79" i="3"/>
  <c r="D76" i="3"/>
  <c r="C76" i="3"/>
  <c r="D74" i="3"/>
  <c r="C74" i="3"/>
  <c r="D71" i="3"/>
  <c r="C71" i="3"/>
  <c r="D67" i="3"/>
  <c r="C67" i="3"/>
  <c r="D63" i="3"/>
  <c r="C63" i="3"/>
  <c r="D61" i="3"/>
  <c r="C61" i="3"/>
  <c r="D56" i="3"/>
  <c r="C56" i="3"/>
  <c r="D47" i="3"/>
  <c r="C47" i="3"/>
  <c r="D46" i="3"/>
  <c r="C46" i="3"/>
  <c r="D44" i="3"/>
  <c r="C44" i="3"/>
  <c r="D42" i="3"/>
  <c r="C42" i="3"/>
  <c r="D40" i="3"/>
  <c r="C40" i="3"/>
  <c r="D39" i="3"/>
  <c r="C39" i="3"/>
  <c r="D37" i="3"/>
  <c r="C37" i="3"/>
  <c r="D36" i="3"/>
  <c r="C36" i="3"/>
  <c r="D35" i="3"/>
  <c r="C35" i="3"/>
  <c r="D34" i="3"/>
  <c r="C34" i="3"/>
  <c r="D31" i="3"/>
  <c r="C31" i="3"/>
  <c r="D30" i="3"/>
  <c r="C30" i="3"/>
  <c r="D24" i="3"/>
  <c r="C24" i="3"/>
  <c r="D23" i="3"/>
  <c r="C23" i="3"/>
  <c r="D22" i="3"/>
  <c r="C22" i="3"/>
  <c r="D21" i="3"/>
  <c r="C21" i="3"/>
  <c r="D20" i="3"/>
  <c r="C20" i="3"/>
  <c r="M4" i="2" l="1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O703" i="1" s="1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O707" i="1" s="1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O2" i="1" s="1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O712" i="1" s="1"/>
  <c r="M80" i="2"/>
  <c r="O1753" i="1" s="1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O1748" i="1" s="1"/>
  <c r="M94" i="2"/>
  <c r="M95" i="2"/>
  <c r="M96" i="2"/>
  <c r="M97" i="2"/>
  <c r="M98" i="2"/>
  <c r="M99" i="2"/>
  <c r="M100" i="2"/>
  <c r="M101" i="2"/>
  <c r="M102" i="2"/>
  <c r="M103" i="2"/>
  <c r="O717" i="1" s="1"/>
  <c r="M104" i="2"/>
  <c r="M105" i="2"/>
  <c r="M106" i="2"/>
  <c r="M107" i="2"/>
  <c r="M108" i="2"/>
  <c r="O1892" i="1" s="1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O13" i="1" s="1"/>
  <c r="M122" i="2"/>
  <c r="M123" i="2"/>
  <c r="M124" i="2"/>
  <c r="M125" i="2"/>
  <c r="M126" i="2"/>
  <c r="M127" i="2"/>
  <c r="M128" i="2"/>
  <c r="O16" i="1" s="1"/>
  <c r="M129" i="2"/>
  <c r="M130" i="2"/>
  <c r="M131" i="2"/>
  <c r="M132" i="2"/>
  <c r="M133" i="2"/>
  <c r="M134" i="2"/>
  <c r="M135" i="2"/>
  <c r="M136" i="2"/>
  <c r="M137" i="2"/>
  <c r="M138" i="2"/>
  <c r="O722" i="1" s="1"/>
  <c r="M139" i="2"/>
  <c r="M140" i="2"/>
  <c r="M141" i="2"/>
  <c r="M142" i="2"/>
  <c r="M143" i="2"/>
  <c r="M144" i="2"/>
  <c r="M145" i="2"/>
  <c r="M146" i="2"/>
  <c r="M147" i="2"/>
  <c r="M148" i="2"/>
  <c r="O729" i="1" s="1"/>
  <c r="M149" i="2"/>
  <c r="M150" i="2"/>
  <c r="M151" i="2"/>
  <c r="M152" i="2"/>
  <c r="M153" i="2"/>
  <c r="M154" i="2"/>
  <c r="M155" i="2"/>
  <c r="M156" i="2"/>
  <c r="M157" i="2"/>
  <c r="M158" i="2"/>
  <c r="O20" i="1" s="1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O733" i="1" s="1"/>
  <c r="M194" i="2"/>
  <c r="O737" i="1" s="1"/>
  <c r="M195" i="2"/>
  <c r="M196" i="2"/>
  <c r="M197" i="2"/>
  <c r="M198" i="2"/>
  <c r="O742" i="1" s="1"/>
  <c r="M199" i="2"/>
  <c r="M200" i="2"/>
  <c r="M201" i="2"/>
  <c r="O28" i="1" s="1"/>
  <c r="M202" i="2"/>
  <c r="O33" i="1" s="1"/>
  <c r="M203" i="2"/>
  <c r="M204" i="2"/>
  <c r="M205" i="2"/>
  <c r="M206" i="2"/>
  <c r="M207" i="2"/>
  <c r="M208" i="2"/>
  <c r="M209" i="2"/>
  <c r="O39" i="1" s="1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O749" i="1" s="1"/>
  <c r="M230" i="2"/>
  <c r="M231" i="2"/>
  <c r="M232" i="2"/>
  <c r="M233" i="2"/>
  <c r="O43" i="1" s="1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O751" i="1" s="1"/>
  <c r="M262" i="2"/>
  <c r="M263" i="2"/>
  <c r="O755" i="1" s="1"/>
  <c r="M264" i="2"/>
  <c r="M265" i="2"/>
  <c r="M266" i="2"/>
  <c r="M267" i="2"/>
  <c r="M268" i="2"/>
  <c r="M269" i="2"/>
  <c r="M270" i="2"/>
  <c r="M271" i="2"/>
  <c r="M272" i="2"/>
  <c r="M273" i="2"/>
  <c r="M274" i="2"/>
  <c r="O760" i="1" s="1"/>
  <c r="M275" i="2"/>
  <c r="O48" i="1" s="1"/>
  <c r="M276" i="2"/>
  <c r="O51" i="1" s="1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O55" i="1" s="1"/>
  <c r="M290" i="2"/>
  <c r="M291" i="2"/>
  <c r="M292" i="2"/>
  <c r="M293" i="2"/>
  <c r="M294" i="2"/>
  <c r="M295" i="2"/>
  <c r="M296" i="2"/>
  <c r="O762" i="1" s="1"/>
  <c r="M297" i="2"/>
  <c r="M298" i="2"/>
  <c r="M299" i="2"/>
  <c r="M300" i="2"/>
  <c r="O57" i="1" s="1"/>
  <c r="M301" i="2"/>
  <c r="O62" i="1" s="1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O766" i="1" s="1"/>
  <c r="M317" i="2"/>
  <c r="M318" i="2"/>
  <c r="M319" i="2"/>
  <c r="M320" i="2"/>
  <c r="O68" i="1" s="1"/>
  <c r="M321" i="2"/>
  <c r="M322" i="2"/>
  <c r="M323" i="2"/>
  <c r="M324" i="2"/>
  <c r="M325" i="2"/>
  <c r="M326" i="2"/>
  <c r="O771" i="1" s="1"/>
  <c r="M327" i="2"/>
  <c r="M328" i="2"/>
  <c r="M329" i="2"/>
  <c r="M330" i="2"/>
  <c r="O79" i="1" s="1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O777" i="1" s="1"/>
  <c r="M347" i="2"/>
  <c r="M348" i="2"/>
  <c r="M349" i="2"/>
  <c r="M350" i="2"/>
  <c r="O85" i="1" s="1"/>
  <c r="M351" i="2"/>
  <c r="M352" i="2"/>
  <c r="O90" i="1" s="1"/>
  <c r="M353" i="2"/>
  <c r="O96" i="1" s="1"/>
  <c r="M354" i="2"/>
  <c r="M355" i="2"/>
  <c r="M356" i="2"/>
  <c r="M357" i="2"/>
  <c r="M358" i="2"/>
  <c r="M359" i="2"/>
  <c r="O782" i="1" s="1"/>
  <c r="M360" i="2"/>
  <c r="M361" i="2"/>
  <c r="O103" i="1" s="1"/>
  <c r="M362" i="2"/>
  <c r="M363" i="2"/>
  <c r="O785" i="1" s="1"/>
  <c r="M364" i="2"/>
  <c r="O790" i="1" s="1"/>
  <c r="M365" i="2"/>
  <c r="M366" i="2"/>
  <c r="M367" i="2"/>
  <c r="M368" i="2"/>
  <c r="M369" i="2"/>
  <c r="M370" i="2"/>
  <c r="M371" i="2"/>
  <c r="O797" i="1" s="1"/>
  <c r="M372" i="2"/>
  <c r="M373" i="2"/>
  <c r="M374" i="2"/>
  <c r="M375" i="2"/>
  <c r="M376" i="2"/>
  <c r="M377" i="2"/>
  <c r="M378" i="2"/>
  <c r="M379" i="2"/>
  <c r="M380" i="2"/>
  <c r="M381" i="2"/>
  <c r="O801" i="1" s="1"/>
  <c r="M382" i="2"/>
  <c r="M383" i="2"/>
  <c r="O107" i="1" s="1"/>
  <c r="M384" i="2"/>
  <c r="M385" i="2"/>
  <c r="M386" i="2"/>
  <c r="O112" i="1" s="1"/>
  <c r="M387" i="2"/>
  <c r="O807" i="1" s="1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O120" i="1" s="1"/>
  <c r="M406" i="2"/>
  <c r="O124" i="1" s="1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O127" i="1" s="1"/>
  <c r="M420" i="2"/>
  <c r="M421" i="2"/>
  <c r="O130" i="1" s="1"/>
  <c r="M422" i="2"/>
  <c r="M423" i="2"/>
  <c r="M424" i="2"/>
  <c r="M425" i="2"/>
  <c r="M426" i="2"/>
  <c r="M427" i="2"/>
  <c r="O133" i="1" s="1"/>
  <c r="M428" i="2"/>
  <c r="M429" i="2"/>
  <c r="M430" i="2"/>
  <c r="M431" i="2"/>
  <c r="M432" i="2"/>
  <c r="M433" i="2"/>
  <c r="M434" i="2"/>
  <c r="O815" i="1" s="1"/>
  <c r="M435" i="2"/>
  <c r="M436" i="2"/>
  <c r="M437" i="2"/>
  <c r="O139" i="1" s="1"/>
  <c r="M438" i="2"/>
  <c r="M439" i="2"/>
  <c r="O143" i="1" s="1"/>
  <c r="M440" i="2"/>
  <c r="M441" i="2"/>
  <c r="M442" i="2"/>
  <c r="M443" i="2"/>
  <c r="M444" i="2"/>
  <c r="M445" i="2"/>
  <c r="M446" i="2"/>
  <c r="M447" i="2"/>
  <c r="M448" i="2"/>
  <c r="M449" i="2"/>
  <c r="M450" i="2"/>
  <c r="O821" i="1" s="1"/>
  <c r="M451" i="2"/>
  <c r="M452" i="2"/>
  <c r="M453" i="2"/>
  <c r="M454" i="2"/>
  <c r="O1783" i="1" s="1"/>
  <c r="M455" i="2"/>
  <c r="M456" i="2"/>
  <c r="M457" i="2"/>
  <c r="O148" i="1" s="1"/>
  <c r="M458" i="2"/>
  <c r="M459" i="2"/>
  <c r="O825" i="1" s="1"/>
  <c r="M460" i="2"/>
  <c r="M461" i="2"/>
  <c r="M462" i="2"/>
  <c r="M463" i="2"/>
  <c r="O152" i="1" s="1"/>
  <c r="M464" i="2"/>
  <c r="M465" i="2"/>
  <c r="O829" i="1" s="1"/>
  <c r="M466" i="2"/>
  <c r="M467" i="2"/>
  <c r="M468" i="2"/>
  <c r="O834" i="1" s="1"/>
  <c r="M469" i="2"/>
  <c r="M470" i="2"/>
  <c r="M471" i="2"/>
  <c r="O157" i="1" s="1"/>
  <c r="M472" i="2"/>
  <c r="M473" i="2"/>
  <c r="O161" i="1" s="1"/>
  <c r="M474" i="2"/>
  <c r="M475" i="2"/>
  <c r="M476" i="2"/>
  <c r="O842" i="1" s="1"/>
  <c r="M477" i="2"/>
  <c r="M478" i="2"/>
  <c r="M479" i="2"/>
  <c r="O167" i="1" s="1"/>
  <c r="M480" i="2"/>
  <c r="M481" i="2"/>
  <c r="M482" i="2"/>
  <c r="M483" i="2"/>
  <c r="M484" i="2"/>
  <c r="M485" i="2"/>
  <c r="M486" i="2"/>
  <c r="M487" i="2"/>
  <c r="O845" i="1" s="1"/>
  <c r="M488" i="2"/>
  <c r="M489" i="2"/>
  <c r="O852" i="1" s="1"/>
  <c r="M490" i="2"/>
  <c r="M491" i="2"/>
  <c r="M492" i="2"/>
  <c r="M493" i="2"/>
  <c r="M494" i="2"/>
  <c r="M495" i="2"/>
  <c r="O857" i="1" s="1"/>
  <c r="M496" i="2"/>
  <c r="M497" i="2"/>
  <c r="M498" i="2"/>
  <c r="M499" i="2"/>
  <c r="M500" i="2"/>
  <c r="M501" i="2"/>
  <c r="M502" i="2"/>
  <c r="M503" i="2"/>
  <c r="M504" i="2"/>
  <c r="M505" i="2"/>
  <c r="O861" i="1" s="1"/>
  <c r="M506" i="2"/>
  <c r="M507" i="2"/>
  <c r="O866" i="1" s="1"/>
  <c r="M508" i="2"/>
  <c r="O871" i="1" s="1"/>
  <c r="M509" i="2"/>
  <c r="M510" i="2"/>
  <c r="M511" i="2"/>
  <c r="O877" i="1" s="1"/>
  <c r="M512" i="2"/>
  <c r="M513" i="2"/>
  <c r="O884" i="1" s="1"/>
  <c r="M514" i="2"/>
  <c r="M515" i="2"/>
  <c r="M516" i="2"/>
  <c r="O1769" i="1" s="1"/>
  <c r="M517" i="2"/>
  <c r="O172" i="1" s="1"/>
  <c r="M518" i="2"/>
  <c r="M519" i="2"/>
  <c r="O888" i="1" s="1"/>
  <c r="M520" i="2"/>
  <c r="M521" i="2"/>
  <c r="O893" i="1" s="1"/>
  <c r="M522" i="2"/>
  <c r="M523" i="2"/>
  <c r="M524" i="2"/>
  <c r="O1742" i="1" s="1"/>
  <c r="M525" i="2"/>
  <c r="M526" i="2"/>
  <c r="O900" i="1" s="1"/>
  <c r="M527" i="2"/>
  <c r="M528" i="2"/>
  <c r="O177" i="1" s="1"/>
  <c r="M529" i="2"/>
  <c r="M530" i="2"/>
  <c r="M531" i="2"/>
  <c r="M532" i="2"/>
  <c r="M533" i="2"/>
  <c r="M534" i="2"/>
  <c r="M535" i="2"/>
  <c r="M536" i="2"/>
  <c r="M537" i="2"/>
  <c r="M538" i="2"/>
  <c r="M539" i="2"/>
  <c r="O905" i="1" s="1"/>
  <c r="M540" i="2"/>
  <c r="M541" i="2"/>
  <c r="M542" i="2"/>
  <c r="O908" i="1" s="1"/>
  <c r="M543" i="2"/>
  <c r="M544" i="2"/>
  <c r="O914" i="1" s="1"/>
  <c r="M545" i="2"/>
  <c r="M546" i="2"/>
  <c r="O919" i="1" s="1"/>
  <c r="M547" i="2"/>
  <c r="M548" i="2"/>
  <c r="O189" i="1" s="1"/>
  <c r="M549" i="2"/>
  <c r="M550" i="2"/>
  <c r="M551" i="2"/>
  <c r="M552" i="2"/>
  <c r="M553" i="2"/>
  <c r="O924" i="1" s="1"/>
  <c r="M554" i="2"/>
  <c r="M555" i="2"/>
  <c r="M556" i="2"/>
  <c r="O928" i="1" s="1"/>
  <c r="M557" i="2"/>
  <c r="O934" i="1" s="1"/>
  <c r="M558" i="2"/>
  <c r="M559" i="2"/>
  <c r="M560" i="2"/>
  <c r="O936" i="1" s="1"/>
  <c r="M561" i="2"/>
  <c r="M562" i="2"/>
  <c r="M563" i="2"/>
  <c r="O198" i="1" s="1"/>
  <c r="M564" i="2"/>
  <c r="M565" i="2"/>
  <c r="M566" i="2"/>
  <c r="O941" i="1" s="1"/>
  <c r="M567" i="2"/>
  <c r="M568" i="2"/>
  <c r="M569" i="2"/>
  <c r="O1734" i="1" s="1"/>
  <c r="M570" i="2"/>
  <c r="O201" i="1" s="1"/>
  <c r="M571" i="2"/>
  <c r="M572" i="2"/>
  <c r="O944" i="1" s="1"/>
  <c r="M573" i="2"/>
  <c r="M574" i="2"/>
  <c r="M575" i="2"/>
  <c r="M576" i="2"/>
  <c r="M577" i="2"/>
  <c r="M578" i="2"/>
  <c r="M579" i="2"/>
  <c r="M580" i="2"/>
  <c r="M581" i="2"/>
  <c r="M582" i="2"/>
  <c r="O949" i="1" s="1"/>
  <c r="M583" i="2"/>
  <c r="M584" i="2"/>
  <c r="O955" i="1" s="1"/>
  <c r="M585" i="2"/>
  <c r="M586" i="2"/>
  <c r="M587" i="2"/>
  <c r="O209" i="1" s="1"/>
  <c r="M588" i="2"/>
  <c r="M589" i="2"/>
  <c r="M590" i="2"/>
  <c r="O213" i="1" s="1"/>
  <c r="M591" i="2"/>
  <c r="M592" i="2"/>
  <c r="M593" i="2"/>
  <c r="M594" i="2"/>
  <c r="O961" i="1" s="1"/>
  <c r="M595" i="2"/>
  <c r="O219" i="1" s="1"/>
  <c r="M596" i="2"/>
  <c r="M597" i="2"/>
  <c r="M598" i="2"/>
  <c r="M599" i="2"/>
  <c r="M600" i="2"/>
  <c r="M601" i="2"/>
  <c r="O224" i="1" s="1"/>
  <c r="M602" i="2"/>
  <c r="O968" i="1" s="1"/>
  <c r="M603" i="2"/>
  <c r="M604" i="2"/>
  <c r="M605" i="2"/>
  <c r="M606" i="2"/>
  <c r="O227" i="1" s="1"/>
  <c r="M607" i="2"/>
  <c r="M608" i="2"/>
  <c r="O973" i="1" s="1"/>
  <c r="M609" i="2"/>
  <c r="O233" i="1" s="1"/>
  <c r="M610" i="2"/>
  <c r="M611" i="2"/>
  <c r="O976" i="1" s="1"/>
  <c r="M612" i="2"/>
  <c r="O238" i="1" s="1"/>
  <c r="M613" i="2"/>
  <c r="M614" i="2"/>
  <c r="O981" i="1" s="1"/>
  <c r="M615" i="2"/>
  <c r="M616" i="2"/>
  <c r="M617" i="2"/>
  <c r="M618" i="2"/>
  <c r="M619" i="2"/>
  <c r="M620" i="2"/>
  <c r="M621" i="2"/>
  <c r="M622" i="2"/>
  <c r="O986" i="1" s="1"/>
  <c r="M623" i="2"/>
  <c r="M624" i="2"/>
  <c r="M625" i="2"/>
  <c r="O242" i="1" s="1"/>
  <c r="M626" i="2"/>
  <c r="O246" i="1" s="1"/>
  <c r="M627" i="2"/>
  <c r="M628" i="2"/>
  <c r="O990" i="1" s="1"/>
  <c r="M629" i="2"/>
  <c r="O1796" i="1" s="1"/>
  <c r="M630" i="2"/>
  <c r="M631" i="2"/>
  <c r="M632" i="2"/>
  <c r="O995" i="1" s="1"/>
  <c r="M633" i="2"/>
  <c r="M634" i="2"/>
  <c r="M635" i="2"/>
  <c r="M636" i="2"/>
  <c r="M637" i="2"/>
  <c r="M638" i="2"/>
  <c r="M639" i="2"/>
  <c r="M640" i="2"/>
  <c r="M641" i="2"/>
  <c r="O1739" i="1" s="1"/>
  <c r="M642" i="2"/>
  <c r="M643" i="2"/>
  <c r="O251" i="1" s="1"/>
  <c r="M644" i="2"/>
  <c r="M645" i="2"/>
  <c r="M646" i="2"/>
  <c r="O257" i="1" s="1"/>
  <c r="M647" i="2"/>
  <c r="O999" i="1" s="1"/>
  <c r="M648" i="2"/>
  <c r="O1005" i="1" s="1"/>
  <c r="M649" i="2"/>
  <c r="M650" i="2"/>
  <c r="O265" i="1" s="1"/>
  <c r="M651" i="2"/>
  <c r="O271" i="1" s="1"/>
  <c r="M652" i="2"/>
  <c r="O1010" i="1" s="1"/>
  <c r="M653" i="2"/>
  <c r="O1015" i="1" s="1"/>
  <c r="M654" i="2"/>
  <c r="M655" i="2"/>
  <c r="O1020" i="1" s="1"/>
  <c r="M656" i="2"/>
  <c r="M657" i="2"/>
  <c r="M658" i="2"/>
  <c r="M659" i="2"/>
  <c r="M660" i="2"/>
  <c r="M661" i="2"/>
  <c r="O1021" i="1" s="1"/>
  <c r="M662" i="2"/>
  <c r="O1027" i="1" s="1"/>
  <c r="M663" i="2"/>
  <c r="O1032" i="1" s="1"/>
  <c r="M664" i="2"/>
  <c r="O1804" i="1" s="1"/>
  <c r="M665" i="2"/>
  <c r="O1038" i="1" s="1"/>
  <c r="M666" i="2"/>
  <c r="O1040" i="1" s="1"/>
  <c r="M667" i="2"/>
  <c r="M668" i="2"/>
  <c r="O1041" i="1" s="1"/>
  <c r="M669" i="2"/>
  <c r="O288" i="1" s="1"/>
  <c r="M670" i="2"/>
  <c r="M671" i="2"/>
  <c r="M672" i="2"/>
  <c r="O1054" i="1" s="1"/>
  <c r="M673" i="2"/>
  <c r="M674" i="2"/>
  <c r="M675" i="2"/>
  <c r="M676" i="2"/>
  <c r="O1059" i="1" s="1"/>
  <c r="M677" i="2"/>
  <c r="O1063" i="1" s="1"/>
  <c r="M678" i="2"/>
  <c r="M679" i="2"/>
  <c r="M680" i="2"/>
  <c r="M681" i="2"/>
  <c r="M682" i="2"/>
  <c r="O1067" i="1" s="1"/>
  <c r="M683" i="2"/>
  <c r="O292" i="1" s="1"/>
  <c r="M684" i="2"/>
  <c r="M685" i="2"/>
  <c r="M686" i="2"/>
  <c r="M687" i="2"/>
  <c r="O296" i="1" s="1"/>
  <c r="M688" i="2"/>
  <c r="O1072" i="1" s="1"/>
  <c r="M689" i="2"/>
  <c r="M690" i="2"/>
  <c r="M691" i="2"/>
  <c r="M692" i="2"/>
  <c r="O1077" i="1" s="1"/>
  <c r="M693" i="2"/>
  <c r="O1082" i="1" s="1"/>
  <c r="M694" i="2"/>
  <c r="M695" i="2"/>
  <c r="M696" i="2"/>
  <c r="M697" i="2"/>
  <c r="M698" i="2"/>
  <c r="M699" i="2"/>
  <c r="O1757" i="1" s="1"/>
  <c r="M700" i="2"/>
  <c r="O301" i="1" s="1"/>
  <c r="M701" i="2"/>
  <c r="O1089" i="1" s="1"/>
  <c r="M702" i="2"/>
  <c r="M703" i="2"/>
  <c r="M704" i="2"/>
  <c r="M705" i="2"/>
  <c r="M706" i="2"/>
  <c r="O306" i="1" s="1"/>
  <c r="M707" i="2"/>
  <c r="O1094" i="1" s="1"/>
  <c r="M708" i="2"/>
  <c r="O312" i="1" s="1"/>
  <c r="M709" i="2"/>
  <c r="M710" i="2"/>
  <c r="M711" i="2"/>
  <c r="O1099" i="1" s="1"/>
  <c r="M712" i="2"/>
  <c r="O318" i="1" s="1"/>
  <c r="M713" i="2"/>
  <c r="O324" i="1" s="1"/>
  <c r="M714" i="2"/>
  <c r="O1103" i="1" s="1"/>
  <c r="M715" i="2"/>
  <c r="O329" i="1" s="1"/>
  <c r="M716" i="2"/>
  <c r="O333" i="1" s="1"/>
  <c r="M717" i="2"/>
  <c r="M718" i="2"/>
  <c r="M719" i="2"/>
  <c r="M720" i="2"/>
  <c r="O1107" i="1" s="1"/>
  <c r="M721" i="2"/>
  <c r="M722" i="2"/>
  <c r="O1111" i="1" s="1"/>
  <c r="M723" i="2"/>
  <c r="M724" i="2"/>
  <c r="M725" i="2"/>
  <c r="O345" i="1" s="1"/>
  <c r="M726" i="2"/>
  <c r="O1116" i="1" s="1"/>
  <c r="M727" i="2"/>
  <c r="M728" i="2"/>
  <c r="O1120" i="1" s="1"/>
  <c r="M729" i="2"/>
  <c r="O1121" i="1" s="1"/>
  <c r="M730" i="2"/>
  <c r="O1126" i="1" s="1"/>
  <c r="M731" i="2"/>
  <c r="O350" i="1" s="1"/>
  <c r="M732" i="2"/>
  <c r="O355" i="1" s="1"/>
  <c r="M733" i="2"/>
  <c r="M734" i="2"/>
  <c r="O360" i="1" s="1"/>
  <c r="M735" i="2"/>
  <c r="M736" i="2"/>
  <c r="O1131" i="1" s="1"/>
  <c r="M737" i="2"/>
  <c r="O1137" i="1" s="1"/>
  <c r="M738" i="2"/>
  <c r="O1143" i="1" s="1"/>
  <c r="M739" i="2"/>
  <c r="M740" i="2"/>
  <c r="O1148" i="1" s="1"/>
  <c r="M741" i="2"/>
  <c r="M742" i="2"/>
  <c r="O365" i="1" s="1"/>
  <c r="M743" i="2"/>
  <c r="O1153" i="1" s="1"/>
  <c r="M744" i="2"/>
  <c r="O1159" i="1" s="1"/>
  <c r="M745" i="2"/>
  <c r="M746" i="2"/>
  <c r="M747" i="2"/>
  <c r="O1165" i="1" s="1"/>
  <c r="M748" i="2"/>
  <c r="O1170" i="1" s="1"/>
  <c r="M749" i="2"/>
  <c r="M750" i="2"/>
  <c r="O1175" i="1" s="1"/>
  <c r="M751" i="2"/>
  <c r="O1761" i="1" s="1"/>
  <c r="M752" i="2"/>
  <c r="O1181" i="1" s="1"/>
  <c r="M753" i="2"/>
  <c r="M754" i="2"/>
  <c r="M755" i="2"/>
  <c r="O1723" i="1" s="1"/>
  <c r="M756" i="2"/>
  <c r="O1185" i="1" s="1"/>
  <c r="M757" i="2"/>
  <c r="O1191" i="1" s="1"/>
  <c r="M758" i="2"/>
  <c r="O1195" i="1" s="1"/>
  <c r="M759" i="2"/>
  <c r="O375" i="1" s="1"/>
  <c r="M760" i="2"/>
  <c r="O1201" i="1" s="1"/>
  <c r="M761" i="2"/>
  <c r="O376" i="1" s="1"/>
  <c r="M762" i="2"/>
  <c r="M763" i="2"/>
  <c r="O1204" i="1" s="1"/>
  <c r="M764" i="2"/>
  <c r="M765" i="2"/>
  <c r="O1898" i="1" s="1"/>
  <c r="M766" i="2"/>
  <c r="M767" i="2"/>
  <c r="M768" i="2"/>
  <c r="M769" i="2"/>
  <c r="M770" i="2"/>
  <c r="O381" i="1" s="1"/>
  <c r="M771" i="2"/>
  <c r="M772" i="2"/>
  <c r="O1209" i="1" s="1"/>
  <c r="M773" i="2"/>
  <c r="O386" i="1" s="1"/>
  <c r="M774" i="2"/>
  <c r="M775" i="2"/>
  <c r="O1215" i="1" s="1"/>
  <c r="M776" i="2"/>
  <c r="M777" i="2"/>
  <c r="O1221" i="1" s="1"/>
  <c r="M778" i="2"/>
  <c r="M779" i="2"/>
  <c r="O1225" i="1" s="1"/>
  <c r="M780" i="2"/>
  <c r="M781" i="2"/>
  <c r="M782" i="2"/>
  <c r="O392" i="1" s="1"/>
  <c r="M783" i="2"/>
  <c r="M784" i="2"/>
  <c r="O397" i="1" s="1"/>
  <c r="M785" i="2"/>
  <c r="M786" i="2"/>
  <c r="O1765" i="1" s="1"/>
  <c r="M787" i="2"/>
  <c r="O1230" i="1" s="1"/>
  <c r="M788" i="2"/>
  <c r="O401" i="1" s="1"/>
  <c r="M789" i="2"/>
  <c r="O1235" i="1" s="1"/>
  <c r="M790" i="2"/>
  <c r="O1240" i="1" s="1"/>
  <c r="M791" i="2"/>
  <c r="O1244" i="1" s="1"/>
  <c r="M792" i="2"/>
  <c r="M793" i="2"/>
  <c r="M794" i="2"/>
  <c r="M795" i="2"/>
  <c r="O412" i="1" s="1"/>
  <c r="M796" i="2"/>
  <c r="O418" i="1" s="1"/>
  <c r="M797" i="2"/>
  <c r="M798" i="2"/>
  <c r="M799" i="2"/>
  <c r="M800" i="2"/>
  <c r="M801" i="2"/>
  <c r="O1246" i="1" s="1"/>
  <c r="M802" i="2"/>
  <c r="M803" i="2"/>
  <c r="O1782" i="1" s="1"/>
  <c r="M804" i="2"/>
  <c r="O1252" i="1" s="1"/>
  <c r="M805" i="2"/>
  <c r="O1257" i="1" s="1"/>
  <c r="M806" i="2"/>
  <c r="O1262" i="1" s="1"/>
  <c r="M807" i="2"/>
  <c r="M808" i="2"/>
  <c r="O1267" i="1" s="1"/>
  <c r="M809" i="2"/>
  <c r="O1271" i="1" s="1"/>
  <c r="M810" i="2"/>
  <c r="O1276" i="1" s="1"/>
  <c r="M811" i="2"/>
  <c r="M812" i="2"/>
  <c r="M813" i="2"/>
  <c r="O1279" i="1" s="1"/>
  <c r="M814" i="2"/>
  <c r="O1284" i="1" s="1"/>
  <c r="M815" i="2"/>
  <c r="M816" i="2"/>
  <c r="O1289" i="1" s="1"/>
  <c r="M817" i="2"/>
  <c r="O1294" i="1" s="1"/>
  <c r="M818" i="2"/>
  <c r="M819" i="2"/>
  <c r="O422" i="1" s="1"/>
  <c r="M820" i="2"/>
  <c r="O1299" i="1" s="1"/>
  <c r="M821" i="2"/>
  <c r="M822" i="2"/>
  <c r="O1300" i="1" s="1"/>
  <c r="M823" i="2"/>
  <c r="O427" i="1" s="1"/>
  <c r="M824" i="2"/>
  <c r="M825" i="2"/>
  <c r="O432" i="1" s="1"/>
  <c r="M826" i="2"/>
  <c r="M827" i="2"/>
  <c r="O1305" i="1" s="1"/>
  <c r="M828" i="2"/>
  <c r="O1777" i="1" s="1"/>
  <c r="M829" i="2"/>
  <c r="O436" i="1" s="1"/>
  <c r="M830" i="2"/>
  <c r="O1311" i="1" s="1"/>
  <c r="M831" i="2"/>
  <c r="M832" i="2"/>
  <c r="O1317" i="1" s="1"/>
  <c r="M833" i="2"/>
  <c r="O1857" i="1" s="1"/>
  <c r="M834" i="2"/>
  <c r="O1321" i="1" s="1"/>
  <c r="M835" i="2"/>
  <c r="O1326" i="1" s="1"/>
  <c r="M836" i="2"/>
  <c r="M837" i="2"/>
  <c r="M838" i="2"/>
  <c r="M839" i="2"/>
  <c r="M840" i="2"/>
  <c r="M841" i="2"/>
  <c r="O450" i="1" s="1"/>
  <c r="M842" i="2"/>
  <c r="M843" i="2"/>
  <c r="O1336" i="1" s="1"/>
  <c r="M844" i="2"/>
  <c r="O455" i="1" s="1"/>
  <c r="M845" i="2"/>
  <c r="O461" i="1" s="1"/>
  <c r="M846" i="2"/>
  <c r="M847" i="2"/>
  <c r="M848" i="2"/>
  <c r="O1342" i="1" s="1"/>
  <c r="M849" i="2"/>
  <c r="O464" i="1" s="1"/>
  <c r="M850" i="2"/>
  <c r="O1347" i="1" s="1"/>
  <c r="M851" i="2"/>
  <c r="O1352" i="1" s="1"/>
  <c r="M852" i="2"/>
  <c r="M853" i="2"/>
  <c r="M854" i="2"/>
  <c r="M855" i="2"/>
  <c r="M856" i="2"/>
  <c r="O1356" i="1" s="1"/>
  <c r="M857" i="2"/>
  <c r="O470" i="1" s="1"/>
  <c r="M858" i="2"/>
  <c r="O1361" i="1" s="1"/>
  <c r="M859" i="2"/>
  <c r="M860" i="2"/>
  <c r="O1366" i="1" s="1"/>
  <c r="M861" i="2"/>
  <c r="O1370" i="1" s="1"/>
  <c r="M862" i="2"/>
  <c r="O475" i="1" s="1"/>
  <c r="M863" i="2"/>
  <c r="O1376" i="1" s="1"/>
  <c r="M864" i="2"/>
  <c r="M865" i="2"/>
  <c r="O1381" i="1" s="1"/>
  <c r="M866" i="2"/>
  <c r="M867" i="2"/>
  <c r="O482" i="1" s="1"/>
  <c r="M868" i="2"/>
  <c r="O487" i="1" s="1"/>
  <c r="M869" i="2"/>
  <c r="O1386" i="1" s="1"/>
  <c r="M870" i="2"/>
  <c r="M871" i="2"/>
  <c r="M872" i="2"/>
  <c r="O499" i="1" s="1"/>
  <c r="M873" i="2"/>
  <c r="O1391" i="1" s="1"/>
  <c r="M874" i="2"/>
  <c r="M875" i="2"/>
  <c r="O1394" i="1" s="1"/>
  <c r="M876" i="2"/>
  <c r="O1399" i="1" s="1"/>
  <c r="M877" i="2"/>
  <c r="O503" i="1" s="1"/>
  <c r="M878" i="2"/>
  <c r="O1402" i="1" s="1"/>
  <c r="M879" i="2"/>
  <c r="O1407" i="1" s="1"/>
  <c r="M880" i="2"/>
  <c r="O1413" i="1" s="1"/>
  <c r="M881" i="2"/>
  <c r="O1418" i="1" s="1"/>
  <c r="M882" i="2"/>
  <c r="O507" i="1" s="1"/>
  <c r="M883" i="2"/>
  <c r="O1423" i="1" s="1"/>
  <c r="M884" i="2"/>
  <c r="O512" i="1" s="1"/>
  <c r="M885" i="2"/>
  <c r="O1428" i="1" s="1"/>
  <c r="M886" i="2"/>
  <c r="M887" i="2"/>
  <c r="O1432" i="1" s="1"/>
  <c r="M888" i="2"/>
  <c r="M889" i="2"/>
  <c r="M890" i="2"/>
  <c r="O1438" i="1" s="1"/>
  <c r="M891" i="2"/>
  <c r="M892" i="2"/>
  <c r="M893" i="2"/>
  <c r="M894" i="2"/>
  <c r="O1440" i="1" s="1"/>
  <c r="M895" i="2"/>
  <c r="M896" i="2"/>
  <c r="M897" i="2"/>
  <c r="O1444" i="1" s="1"/>
  <c r="M898" i="2"/>
  <c r="M899" i="2"/>
  <c r="O517" i="1" s="1"/>
  <c r="M900" i="2"/>
  <c r="M901" i="2"/>
  <c r="M902" i="2"/>
  <c r="M903" i="2"/>
  <c r="M904" i="2"/>
  <c r="O1449" i="1" s="1"/>
  <c r="M905" i="2"/>
  <c r="O1453" i="1" s="1"/>
  <c r="M906" i="2"/>
  <c r="M907" i="2"/>
  <c r="M908" i="2"/>
  <c r="O1458" i="1" s="1"/>
  <c r="M909" i="2"/>
  <c r="O522" i="1" s="1"/>
  <c r="M910" i="2"/>
  <c r="M911" i="2"/>
  <c r="M912" i="2"/>
  <c r="M913" i="2"/>
  <c r="O1909" i="1" s="1"/>
  <c r="M914" i="2"/>
  <c r="O1462" i="1" s="1"/>
  <c r="M915" i="2"/>
  <c r="M916" i="2"/>
  <c r="M917" i="2"/>
  <c r="M918" i="2"/>
  <c r="O1468" i="1" s="1"/>
  <c r="M919" i="2"/>
  <c r="O532" i="1" s="1"/>
  <c r="M920" i="2"/>
  <c r="M921" i="2"/>
  <c r="M922" i="2"/>
  <c r="M923" i="2"/>
  <c r="O1472" i="1" s="1"/>
  <c r="M924" i="2"/>
  <c r="O1477" i="1" s="1"/>
  <c r="M925" i="2"/>
  <c r="O536" i="1" s="1"/>
  <c r="M926" i="2"/>
  <c r="M927" i="2"/>
  <c r="M928" i="2"/>
  <c r="O540" i="1" s="1"/>
  <c r="M929" i="2"/>
  <c r="O545" i="1" s="1"/>
  <c r="M930" i="2"/>
  <c r="M931" i="2"/>
  <c r="O1482" i="1" s="1"/>
  <c r="M932" i="2"/>
  <c r="M933" i="2"/>
  <c r="M934" i="2"/>
  <c r="O1487" i="1" s="1"/>
  <c r="M935" i="2"/>
  <c r="M936" i="2"/>
  <c r="M937" i="2"/>
  <c r="M938" i="2"/>
  <c r="M939" i="2"/>
  <c r="O1492" i="1" s="1"/>
  <c r="M940" i="2"/>
  <c r="O549" i="1" s="1"/>
  <c r="M941" i="2"/>
  <c r="O553" i="1" s="1"/>
  <c r="M942" i="2"/>
  <c r="M943" i="2"/>
  <c r="O1496" i="1" s="1"/>
  <c r="M944" i="2"/>
  <c r="O1500" i="1" s="1"/>
  <c r="M945" i="2"/>
  <c r="O1504" i="1" s="1"/>
  <c r="M946" i="2"/>
  <c r="M947" i="2"/>
  <c r="O558" i="1" s="1"/>
  <c r="M948" i="2"/>
  <c r="O563" i="1" s="1"/>
  <c r="M949" i="2"/>
  <c r="M950" i="2"/>
  <c r="O568" i="1" s="1"/>
  <c r="M951" i="2"/>
  <c r="O572" i="1" s="1"/>
  <c r="M952" i="2"/>
  <c r="O576" i="1" s="1"/>
  <c r="M953" i="2"/>
  <c r="O580" i="1" s="1"/>
  <c r="M954" i="2"/>
  <c r="O1508" i="1" s="1"/>
  <c r="M955" i="2"/>
  <c r="M956" i="2"/>
  <c r="O1514" i="1" s="1"/>
  <c r="M957" i="2"/>
  <c r="O1515" i="1" s="1"/>
  <c r="M958" i="2"/>
  <c r="O1520" i="1" s="1"/>
  <c r="M959" i="2"/>
  <c r="O1526" i="1" s="1"/>
  <c r="M960" i="2"/>
  <c r="O584" i="1" s="1"/>
  <c r="M961" i="2"/>
  <c r="O588" i="1" s="1"/>
  <c r="M962" i="2"/>
  <c r="O594" i="1" s="1"/>
  <c r="M963" i="2"/>
  <c r="O1532" i="1" s="1"/>
  <c r="M964" i="2"/>
  <c r="O1537" i="1" s="1"/>
  <c r="M965" i="2"/>
  <c r="O1542" i="1" s="1"/>
  <c r="M966" i="2"/>
  <c r="O598" i="1" s="1"/>
  <c r="M967" i="2"/>
  <c r="O600" i="1" s="1"/>
  <c r="M968" i="2"/>
  <c r="M969" i="2"/>
  <c r="O1547" i="1" s="1"/>
  <c r="M970" i="2"/>
  <c r="O1551" i="1" s="1"/>
  <c r="M971" i="2"/>
  <c r="O1557" i="1" s="1"/>
  <c r="M972" i="2"/>
  <c r="O604" i="1" s="1"/>
  <c r="M973" i="2"/>
  <c r="M974" i="2"/>
  <c r="M975" i="2"/>
  <c r="M976" i="2"/>
  <c r="M977" i="2"/>
  <c r="M978" i="2"/>
  <c r="O1558" i="1" s="1"/>
  <c r="M979" i="2"/>
  <c r="M980" i="2"/>
  <c r="O605" i="1" s="1"/>
  <c r="M981" i="2"/>
  <c r="M982" i="2"/>
  <c r="M983" i="2"/>
  <c r="O1562" i="1" s="1"/>
  <c r="M984" i="2"/>
  <c r="O1740" i="1" s="1"/>
  <c r="M985" i="2"/>
  <c r="O1565" i="1" s="1"/>
  <c r="M986" i="2"/>
  <c r="O609" i="1" s="1"/>
  <c r="M987" i="2"/>
  <c r="O1567" i="1" s="1"/>
  <c r="M988" i="2"/>
  <c r="M989" i="2"/>
  <c r="M990" i="2"/>
  <c r="M991" i="2"/>
  <c r="O1572" i="1" s="1"/>
  <c r="M992" i="2"/>
  <c r="M993" i="2"/>
  <c r="M994" i="2"/>
  <c r="M995" i="2"/>
  <c r="M996" i="2"/>
  <c r="M997" i="2"/>
  <c r="M998" i="2"/>
  <c r="M999" i="2"/>
  <c r="O1576" i="1" s="1"/>
  <c r="M1000" i="2"/>
  <c r="M1001" i="2"/>
  <c r="M1002" i="2"/>
  <c r="M1003" i="2"/>
  <c r="O1581" i="1" s="1"/>
  <c r="M1004" i="2"/>
  <c r="O1585" i="1" s="1"/>
  <c r="M1005" i="2"/>
  <c r="M1006" i="2"/>
  <c r="M1007" i="2"/>
  <c r="M1008" i="2"/>
  <c r="O1588" i="1" s="1"/>
  <c r="M1009" i="2"/>
  <c r="O1594" i="1" s="1"/>
  <c r="M1010" i="2"/>
  <c r="M1011" i="2"/>
  <c r="O1598" i="1" s="1"/>
  <c r="M1012" i="2"/>
  <c r="M1013" i="2"/>
  <c r="O618" i="1" s="1"/>
  <c r="M1014" i="2"/>
  <c r="M1015" i="2"/>
  <c r="O623" i="1" s="1"/>
  <c r="M1016" i="2"/>
  <c r="M1017" i="2"/>
  <c r="O1599" i="1" s="1"/>
  <c r="M1018" i="2"/>
  <c r="O1601" i="1" s="1"/>
  <c r="M1019" i="2"/>
  <c r="O1811" i="1" s="1"/>
  <c r="M1020" i="2"/>
  <c r="M1021" i="2"/>
  <c r="O1606" i="1" s="1"/>
  <c r="M1022" i="2"/>
  <c r="O1610" i="1" s="1"/>
  <c r="M1023" i="2"/>
  <c r="M1024" i="2"/>
  <c r="O1611" i="1" s="1"/>
  <c r="M1025" i="2"/>
  <c r="M1026" i="2"/>
  <c r="M1027" i="2"/>
  <c r="M1028" i="2"/>
  <c r="M1029" i="2"/>
  <c r="O625" i="1" s="1"/>
  <c r="M1030" i="2"/>
  <c r="O1612" i="1" s="1"/>
  <c r="M1031" i="2"/>
  <c r="M1032" i="2"/>
  <c r="M1033" i="2"/>
  <c r="O1613" i="1" s="1"/>
  <c r="M1034" i="2"/>
  <c r="O630" i="1" s="1"/>
  <c r="M1035" i="2"/>
  <c r="O1869" i="1" s="1"/>
  <c r="M1036" i="2"/>
  <c r="M1037" i="2"/>
  <c r="O1614" i="1" s="1"/>
  <c r="M1038" i="2"/>
  <c r="O1619" i="1" s="1"/>
  <c r="M1039" i="2"/>
  <c r="M1040" i="2"/>
  <c r="M1041" i="2"/>
  <c r="M1042" i="2"/>
  <c r="M1043" i="2"/>
  <c r="M1044" i="2"/>
  <c r="M1045" i="2"/>
  <c r="O1622" i="1" s="1"/>
  <c r="M1046" i="2"/>
  <c r="M1047" i="2"/>
  <c r="O1624" i="1" s="1"/>
  <c r="M1048" i="2"/>
  <c r="O634" i="1" s="1"/>
  <c r="M1049" i="2"/>
  <c r="M1050" i="2"/>
  <c r="O1625" i="1" s="1"/>
  <c r="M1051" i="2"/>
  <c r="M1052" i="2"/>
  <c r="M1053" i="2"/>
  <c r="M1054" i="2"/>
  <c r="M1055" i="2"/>
  <c r="O637" i="1" s="1"/>
  <c r="M1056" i="2"/>
  <c r="M1057" i="2"/>
  <c r="M1058" i="2"/>
  <c r="M1059" i="2"/>
  <c r="O1628" i="1" s="1"/>
  <c r="M1060" i="2"/>
  <c r="O1629" i="1" s="1"/>
  <c r="M1061" i="2"/>
  <c r="M1062" i="2"/>
  <c r="M1063" i="2"/>
  <c r="M1064" i="2"/>
  <c r="M1065" i="2"/>
  <c r="M1066" i="2"/>
  <c r="M1067" i="2"/>
  <c r="M1068" i="2"/>
  <c r="O1633" i="1" s="1"/>
  <c r="M1069" i="2"/>
  <c r="O1634" i="1" s="1"/>
  <c r="M1070" i="2"/>
  <c r="O642" i="1" s="1"/>
  <c r="M1071" i="2"/>
  <c r="O1638" i="1" s="1"/>
  <c r="M1072" i="2"/>
  <c r="O1639" i="1" s="1"/>
  <c r="M1073" i="2"/>
  <c r="O643" i="1" s="1"/>
  <c r="M1074" i="2"/>
  <c r="M1075" i="2"/>
  <c r="M1076" i="2"/>
  <c r="M1077" i="2"/>
  <c r="O1640" i="1" s="1"/>
  <c r="M1078" i="2"/>
  <c r="M1079" i="2"/>
  <c r="O647" i="1" s="1"/>
  <c r="M1080" i="2"/>
  <c r="M1081" i="2"/>
  <c r="M1082" i="2"/>
  <c r="M1083" i="2"/>
  <c r="O1641" i="1" s="1"/>
  <c r="M1084" i="2"/>
  <c r="O650" i="1" s="1"/>
  <c r="M1085" i="2"/>
  <c r="M1086" i="2"/>
  <c r="M1087" i="2"/>
  <c r="M1088" i="2"/>
  <c r="M1089" i="2"/>
  <c r="O1642" i="1" s="1"/>
  <c r="M1090" i="2"/>
  <c r="M1091" i="2"/>
  <c r="O1644" i="1" s="1"/>
  <c r="M1092" i="2"/>
  <c r="O1645" i="1" s="1"/>
  <c r="M1093" i="2"/>
  <c r="M1094" i="2"/>
  <c r="M1095" i="2"/>
  <c r="M1096" i="2"/>
  <c r="M1097" i="2"/>
  <c r="O651" i="1" s="1"/>
  <c r="M1098" i="2"/>
  <c r="O1646" i="1" s="1"/>
  <c r="M1099" i="2"/>
  <c r="O653" i="1" s="1"/>
  <c r="M1100" i="2"/>
  <c r="O1647" i="1" s="1"/>
  <c r="M1101" i="2"/>
  <c r="M1102" i="2"/>
  <c r="M1103" i="2"/>
  <c r="M1104" i="2"/>
  <c r="O1648" i="1" s="1"/>
  <c r="M1105" i="2"/>
  <c r="M1106" i="2"/>
  <c r="O1649" i="1" s="1"/>
  <c r="M1107" i="2"/>
  <c r="M1108" i="2"/>
  <c r="M1109" i="2"/>
  <c r="M1110" i="2"/>
  <c r="O1650" i="1" s="1"/>
  <c r="M1111" i="2"/>
  <c r="M1112" i="2"/>
  <c r="M1113" i="2"/>
  <c r="M1114" i="2"/>
  <c r="O1651" i="1" s="1"/>
  <c r="M1115" i="2"/>
  <c r="O1658" i="1" s="1"/>
  <c r="M1116" i="2"/>
  <c r="O1659" i="1" s="1"/>
  <c r="M1117" i="2"/>
  <c r="M1118" i="2"/>
  <c r="M1119" i="2"/>
  <c r="M1120" i="2"/>
  <c r="M1121" i="2"/>
  <c r="M1122" i="2"/>
  <c r="O1662" i="1" s="1"/>
  <c r="M1123" i="2"/>
  <c r="M1124" i="2"/>
  <c r="M1125" i="2"/>
  <c r="M1126" i="2"/>
  <c r="O654" i="1" s="1"/>
  <c r="M1127" i="2"/>
  <c r="M1128" i="2"/>
  <c r="O1663" i="1" s="1"/>
  <c r="M1129" i="2"/>
  <c r="O1664" i="1" s="1"/>
  <c r="M1130" i="2"/>
  <c r="M1131" i="2"/>
  <c r="O1665" i="1" s="1"/>
  <c r="M1132" i="2"/>
  <c r="M1133" i="2"/>
  <c r="M1134" i="2"/>
  <c r="O1666" i="1" s="1"/>
  <c r="M1135" i="2"/>
  <c r="O655" i="1" s="1"/>
  <c r="M1136" i="2"/>
  <c r="O1668" i="1" s="1"/>
  <c r="M1137" i="2"/>
  <c r="M1138" i="2"/>
  <c r="M1139" i="2"/>
  <c r="O1670" i="1" s="1"/>
  <c r="M1140" i="2"/>
  <c r="M1141" i="2"/>
  <c r="M1142" i="2"/>
  <c r="O1671" i="1" s="1"/>
  <c r="M1143" i="2"/>
  <c r="M1144" i="2"/>
  <c r="M1145" i="2"/>
  <c r="M1146" i="2"/>
  <c r="M1147" i="2"/>
  <c r="O1672" i="1" s="1"/>
  <c r="M1148" i="2"/>
  <c r="O1673" i="1" s="1"/>
  <c r="M1149" i="2"/>
  <c r="O659" i="1" s="1"/>
  <c r="M1150" i="2"/>
  <c r="O1674" i="1" s="1"/>
  <c r="M1151" i="2"/>
  <c r="M1152" i="2"/>
  <c r="O1675" i="1" s="1"/>
  <c r="M1153" i="2"/>
  <c r="M1154" i="2"/>
  <c r="O1680" i="1" s="1"/>
  <c r="M1155" i="2"/>
  <c r="O662" i="1" s="1"/>
  <c r="M1156" i="2"/>
  <c r="O1681" i="1" s="1"/>
  <c r="M1157" i="2"/>
  <c r="O665" i="1" s="1"/>
  <c r="M1158" i="2"/>
  <c r="O1682" i="1" s="1"/>
  <c r="M1159" i="2"/>
  <c r="O1683" i="1" s="1"/>
  <c r="M1160" i="2"/>
  <c r="O666" i="1" s="1"/>
  <c r="M1161" i="2"/>
  <c r="O1684" i="1" s="1"/>
  <c r="M1162" i="2"/>
  <c r="M1163" i="2"/>
  <c r="O667" i="1" s="1"/>
  <c r="M1164" i="2"/>
  <c r="O1685" i="1" s="1"/>
  <c r="M1165" i="2"/>
  <c r="O670" i="1" s="1"/>
  <c r="M1166" i="2"/>
  <c r="M1167" i="2"/>
  <c r="M1168" i="2"/>
  <c r="M1169" i="2"/>
  <c r="O1686" i="1" s="1"/>
  <c r="M1170" i="2"/>
  <c r="O1687" i="1" s="1"/>
  <c r="M1171" i="2"/>
  <c r="M1172" i="2"/>
  <c r="O1690" i="1" s="1"/>
  <c r="M1173" i="2"/>
  <c r="M1174" i="2"/>
  <c r="M1175" i="2"/>
  <c r="M1176" i="2"/>
  <c r="O673" i="1" s="1"/>
  <c r="M1177" i="2"/>
  <c r="O1693" i="1" s="1"/>
  <c r="M1178" i="2"/>
  <c r="M1179" i="2"/>
  <c r="O1694" i="1" s="1"/>
  <c r="M1180" i="2"/>
  <c r="O1695" i="1" s="1"/>
  <c r="M1181" i="2"/>
  <c r="O1696" i="1" s="1"/>
  <c r="M1182" i="2"/>
  <c r="M1183" i="2"/>
  <c r="M1184" i="2"/>
  <c r="M1185" i="2"/>
  <c r="M1186" i="2"/>
  <c r="O1697" i="1" s="1"/>
  <c r="M1187" i="2"/>
  <c r="O1703" i="1" s="1"/>
  <c r="M1188" i="2"/>
  <c r="M1189" i="2"/>
  <c r="O1967" i="1" s="1"/>
  <c r="M1190" i="2"/>
  <c r="M1191" i="2"/>
  <c r="M1192" i="2"/>
  <c r="O1706" i="1" s="1"/>
  <c r="M1193" i="2"/>
  <c r="O1863" i="1" s="1"/>
  <c r="M1194" i="2"/>
  <c r="O1707" i="1" s="1"/>
  <c r="M1195" i="2"/>
  <c r="M1196" i="2"/>
  <c r="O1708" i="1" s="1"/>
  <c r="M1197" i="2"/>
  <c r="M1198" i="2"/>
  <c r="M1199" i="2"/>
  <c r="M1200" i="2"/>
  <c r="M1201" i="2"/>
  <c r="M1202" i="2"/>
  <c r="M1203" i="2"/>
  <c r="M1204" i="2"/>
  <c r="O1825" i="1" s="1"/>
  <c r="M1205" i="2"/>
  <c r="M1206" i="2"/>
  <c r="M1207" i="2"/>
  <c r="O1818" i="1" s="1"/>
  <c r="M1208" i="2"/>
  <c r="M1209" i="2"/>
  <c r="O1788" i="1" s="1"/>
  <c r="M1210" i="2"/>
  <c r="M1211" i="2"/>
  <c r="M1212" i="2"/>
  <c r="M1213" i="2"/>
  <c r="M1214" i="2"/>
  <c r="O1803" i="1" s="1"/>
  <c r="M1215" i="2"/>
  <c r="O1715" i="1" s="1"/>
  <c r="M1216" i="2"/>
  <c r="M1217" i="2"/>
  <c r="O1810" i="1" s="1"/>
  <c r="M1218" i="2"/>
  <c r="O1813" i="1" s="1"/>
  <c r="M1219" i="2"/>
  <c r="M1220" i="2"/>
  <c r="O1832" i="1" s="1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O1929" i="1" s="1"/>
  <c r="M3" i="2"/>
  <c r="O2001" i="1" l="1"/>
  <c r="O2003" i="1"/>
  <c r="O1704" i="1"/>
  <c r="O1856" i="1"/>
  <c r="O671" i="1"/>
  <c r="O672" i="1"/>
  <c r="O655" i="4"/>
  <c r="O675" i="1"/>
  <c r="O1047" i="1"/>
  <c r="O1632" i="1"/>
  <c r="O115" i="1"/>
  <c r="O810" i="1"/>
  <c r="O719" i="1"/>
  <c r="O10" i="1"/>
  <c r="O444" i="1"/>
  <c r="O1330" i="1"/>
  <c r="O1725" i="4"/>
  <c r="O1773" i="1"/>
  <c r="O1763" i="4"/>
  <c r="O1753" i="4"/>
  <c r="O1772" i="4"/>
  <c r="O1663" i="4"/>
  <c r="O1661" i="4"/>
  <c r="O1795" i="4"/>
  <c r="O1660" i="4"/>
  <c r="O1653" i="4"/>
  <c r="O653" i="4"/>
  <c r="O1650" i="4"/>
  <c r="O652" i="4"/>
  <c r="O651" i="4"/>
  <c r="O1647" i="4"/>
  <c r="O648" i="4"/>
  <c r="O1643" i="4"/>
  <c r="O1638" i="4"/>
  <c r="O1636" i="4"/>
  <c r="O1631" i="4"/>
  <c r="O1627" i="4"/>
  <c r="O1623" i="4"/>
  <c r="O1614" i="4"/>
  <c r="O1613" i="4"/>
  <c r="O1611" i="4"/>
  <c r="O638" i="4"/>
  <c r="O1605" i="4"/>
  <c r="O1779" i="4"/>
  <c r="O1662" i="4"/>
  <c r="O1655" i="4"/>
  <c r="O1649" i="4"/>
  <c r="O1644" i="4"/>
  <c r="O1642" i="4"/>
  <c r="O1637" i="4"/>
  <c r="O1634" i="4"/>
  <c r="O1630" i="4"/>
  <c r="O642" i="4"/>
  <c r="O1626" i="4"/>
  <c r="O1617" i="4"/>
  <c r="O1616" i="4"/>
  <c r="O1615" i="4"/>
  <c r="O1612" i="4"/>
  <c r="O633" i="4"/>
  <c r="O1599" i="4"/>
  <c r="O1595" i="4"/>
  <c r="O1591" i="4"/>
  <c r="O626" i="4"/>
  <c r="O1586" i="4"/>
  <c r="O624" i="4"/>
  <c r="O1581" i="4"/>
  <c r="O1580" i="4"/>
  <c r="O1579" i="4"/>
  <c r="O1571" i="4"/>
  <c r="O1558" i="4"/>
  <c r="O1555" i="4"/>
  <c r="O605" i="4"/>
  <c r="O1693" i="4"/>
  <c r="O603" i="4"/>
  <c r="O1529" i="4"/>
  <c r="O602" i="4"/>
  <c r="O1523" i="4"/>
  <c r="O596" i="4"/>
  <c r="O1510" i="4"/>
  <c r="O592" i="4"/>
  <c r="O582" i="4"/>
  <c r="O1494" i="4"/>
  <c r="O1488" i="4"/>
  <c r="O1482" i="4"/>
  <c r="O574" i="4"/>
  <c r="O566" i="4"/>
  <c r="O561" i="4"/>
  <c r="O1474" i="4"/>
  <c r="O547" i="4"/>
  <c r="O1461" i="4"/>
  <c r="O538" i="4"/>
  <c r="O1451" i="4"/>
  <c r="O1442" i="4"/>
  <c r="O1436" i="4"/>
  <c r="O1432" i="4"/>
  <c r="O1423" i="4"/>
  <c r="O1414" i="4"/>
  <c r="O1412" i="4"/>
  <c r="O510" i="4"/>
  <c r="O505" i="4"/>
  <c r="O1387" i="4"/>
  <c r="O1376" i="4"/>
  <c r="O1373" i="4"/>
  <c r="O497" i="4"/>
  <c r="O485" i="4"/>
  <c r="O1760" i="4"/>
  <c r="O1668" i="4"/>
  <c r="O1740" i="4"/>
  <c r="O1767" i="4"/>
  <c r="O1802" i="4"/>
  <c r="O1659" i="4"/>
  <c r="O1654" i="4"/>
  <c r="O1652" i="4"/>
  <c r="O1651" i="4"/>
  <c r="O1648" i="4"/>
  <c r="O650" i="4"/>
  <c r="O649" i="4"/>
  <c r="O1646" i="4"/>
  <c r="O1645" i="4"/>
  <c r="O647" i="4"/>
  <c r="O646" i="4"/>
  <c r="O645" i="4"/>
  <c r="O1635" i="4"/>
  <c r="O1633" i="4"/>
  <c r="O643" i="4"/>
  <c r="O1629" i="4"/>
  <c r="O1628" i="4"/>
  <c r="O1622" i="4"/>
  <c r="O641" i="4"/>
  <c r="O639" i="4"/>
  <c r="O1610" i="4"/>
  <c r="O1608" i="4"/>
  <c r="O1607" i="4"/>
  <c r="O636" i="4"/>
  <c r="O1606" i="4"/>
  <c r="O634" i="4"/>
  <c r="O1604" i="4"/>
  <c r="O1600" i="4"/>
  <c r="O1594" i="4"/>
  <c r="O629" i="4"/>
  <c r="O1590" i="4"/>
  <c r="O1589" i="4"/>
  <c r="O1583" i="4"/>
  <c r="O1808" i="4"/>
  <c r="O1582" i="4"/>
  <c r="O619" i="4"/>
  <c r="O1575" i="4"/>
  <c r="O1761" i="4"/>
  <c r="O1569" i="4"/>
  <c r="O617" i="4"/>
  <c r="O613" i="4"/>
  <c r="O1568" i="4"/>
  <c r="O1564" i="4"/>
  <c r="O1551" i="4"/>
  <c r="O1546" i="4"/>
  <c r="O1542" i="4"/>
  <c r="O1537" i="4"/>
  <c r="O1536" i="4"/>
  <c r="O1533" i="4"/>
  <c r="O1528" i="4"/>
  <c r="O1519" i="4"/>
  <c r="O598" i="4"/>
  <c r="O1515" i="4"/>
  <c r="O1505" i="4"/>
  <c r="O586" i="4"/>
  <c r="O1500" i="4"/>
  <c r="O1489" i="4"/>
  <c r="O578" i="4"/>
  <c r="O570" i="4"/>
  <c r="O556" i="4"/>
  <c r="O1478" i="4"/>
  <c r="O1470" i="4"/>
  <c r="O551" i="4"/>
  <c r="O1466" i="4"/>
  <c r="O1456" i="4"/>
  <c r="O543" i="4"/>
  <c r="O534" i="4"/>
  <c r="O1446" i="4"/>
  <c r="O530" i="4"/>
  <c r="O520" i="4"/>
  <c r="O1427" i="4"/>
  <c r="O515" i="4"/>
  <c r="O1418" i="4"/>
  <c r="O1406" i="4"/>
  <c r="O1402" i="4"/>
  <c r="O1397" i="4"/>
  <c r="O1392" i="4"/>
  <c r="O1381" i="4"/>
  <c r="O501" i="4"/>
  <c r="O1368" i="4"/>
  <c r="O1365" i="4"/>
  <c r="O1360" i="4"/>
  <c r="O480" i="4"/>
  <c r="O1355" i="4"/>
  <c r="O1350" i="4"/>
  <c r="O1345" i="4"/>
  <c r="O468" i="4"/>
  <c r="O1327" i="4"/>
  <c r="O462" i="4"/>
  <c r="O459" i="4"/>
  <c r="O1311" i="4"/>
  <c r="O448" i="4"/>
  <c r="O1305" i="4"/>
  <c r="O442" i="4"/>
  <c r="O1301" i="4"/>
  <c r="O1796" i="4"/>
  <c r="O434" i="4"/>
  <c r="O1280" i="4"/>
  <c r="O430" i="4"/>
  <c r="O425" i="4"/>
  <c r="O420" i="4"/>
  <c r="O1270" i="4"/>
  <c r="O1256" i="4"/>
  <c r="O1248" i="4"/>
  <c r="O1234" i="4"/>
  <c r="O1734" i="4"/>
  <c r="O1223" i="4"/>
  <c r="O410" i="4"/>
  <c r="O1221" i="4"/>
  <c r="O1212" i="4"/>
  <c r="O1207" i="4"/>
  <c r="O1202" i="4"/>
  <c r="O1198" i="4"/>
  <c r="O1192" i="4"/>
  <c r="O384" i="4"/>
  <c r="O1181" i="4"/>
  <c r="O374" i="4"/>
  <c r="O373" i="4"/>
  <c r="O1168" i="4"/>
  <c r="O1676" i="4"/>
  <c r="O1713" i="4"/>
  <c r="O1142" i="4"/>
  <c r="O1130" i="4"/>
  <c r="O1114" i="4"/>
  <c r="O348" i="4"/>
  <c r="O1099" i="4"/>
  <c r="O343" i="4"/>
  <c r="O327" i="4"/>
  <c r="O323" i="4"/>
  <c r="O1077" i="4"/>
  <c r="O1072" i="4"/>
  <c r="O1067" i="4"/>
  <c r="O1709" i="4"/>
  <c r="O1060" i="4"/>
  <c r="O295" i="4"/>
  <c r="O291" i="4"/>
  <c r="O1041" i="4"/>
  <c r="O287" i="4"/>
  <c r="O1016" i="4"/>
  <c r="O1010" i="4"/>
  <c r="O999" i="4"/>
  <c r="O998" i="4"/>
  <c r="O993" i="4"/>
  <c r="O270" i="4"/>
  <c r="O977" i="4"/>
  <c r="O250" i="4"/>
  <c r="O1692" i="4"/>
  <c r="O1747" i="4"/>
  <c r="O241" i="4"/>
  <c r="O954" i="4"/>
  <c r="O232" i="4"/>
  <c r="O223" i="4"/>
  <c r="O218" i="4"/>
  <c r="O208" i="4"/>
  <c r="O1687" i="4"/>
  <c r="O197" i="4"/>
  <c r="O912" i="4"/>
  <c r="O902" i="4"/>
  <c r="O883" i="4"/>
  <c r="O871" i="4"/>
  <c r="O866" i="4"/>
  <c r="O171" i="4"/>
  <c r="O862" i="4"/>
  <c r="O855" i="4"/>
  <c r="O844" i="4"/>
  <c r="O839" i="4"/>
  <c r="O835" i="4"/>
  <c r="O830" i="4"/>
  <c r="O823" i="4"/>
  <c r="O166" i="4"/>
  <c r="O160" i="4"/>
  <c r="O156" i="4"/>
  <c r="O807" i="4"/>
  <c r="O151" i="4"/>
  <c r="O803" i="4"/>
  <c r="O147" i="4"/>
  <c r="O142" i="4"/>
  <c r="O138" i="4"/>
  <c r="O132" i="4"/>
  <c r="O129" i="4"/>
  <c r="O126" i="4"/>
  <c r="O119" i="4"/>
  <c r="O785" i="4"/>
  <c r="O106" i="4"/>
  <c r="O779" i="4"/>
  <c r="O775" i="4"/>
  <c r="O763" i="4"/>
  <c r="O102" i="4"/>
  <c r="O760" i="4"/>
  <c r="O95" i="4"/>
  <c r="O61" i="4"/>
  <c r="O54" i="4"/>
  <c r="O47" i="4"/>
  <c r="O733" i="4"/>
  <c r="O729" i="4"/>
  <c r="O42" i="4"/>
  <c r="O727" i="4"/>
  <c r="O38" i="4"/>
  <c r="O27" i="4"/>
  <c r="O711" i="4"/>
  <c r="O12" i="4"/>
  <c r="O695" i="4"/>
  <c r="O1700" i="4"/>
  <c r="O690" i="4"/>
  <c r="O685" i="4"/>
  <c r="O473" i="4"/>
  <c r="O1341" i="4"/>
  <c r="O1336" i="4"/>
  <c r="O1331" i="4"/>
  <c r="O1322" i="4"/>
  <c r="O1317" i="4"/>
  <c r="O453" i="4"/>
  <c r="O1296" i="4"/>
  <c r="O1292" i="4"/>
  <c r="O1286" i="4"/>
  <c r="O1729" i="4"/>
  <c r="O1275" i="4"/>
  <c r="O1274" i="4"/>
  <c r="O1265" i="4"/>
  <c r="O1260" i="4"/>
  <c r="O1253" i="4"/>
  <c r="O1244" i="4"/>
  <c r="O1239" i="4"/>
  <c r="O1229" i="4"/>
  <c r="O416" i="4"/>
  <c r="O1217" i="4"/>
  <c r="O399" i="4"/>
  <c r="O1717" i="4"/>
  <c r="O395" i="4"/>
  <c r="O390" i="4"/>
  <c r="O1186" i="4"/>
  <c r="O379" i="4"/>
  <c r="O1178" i="4"/>
  <c r="O1172" i="4"/>
  <c r="O1162" i="4"/>
  <c r="O1158" i="4"/>
  <c r="O1152" i="4"/>
  <c r="O1147" i="4"/>
  <c r="O1136" i="4"/>
  <c r="O363" i="4"/>
  <c r="O1125" i="4"/>
  <c r="O1120" i="4"/>
  <c r="O1108" i="4"/>
  <c r="O358" i="4"/>
  <c r="O353" i="4"/>
  <c r="O1103" i="4"/>
  <c r="O1098" i="4"/>
  <c r="O1094" i="4"/>
  <c r="O1089" i="4"/>
  <c r="O1085" i="4"/>
  <c r="O331" i="4"/>
  <c r="O1081" i="4"/>
  <c r="O317" i="4"/>
  <c r="O311" i="4"/>
  <c r="O305" i="4"/>
  <c r="O300" i="4"/>
  <c r="O1055" i="4"/>
  <c r="O1050" i="4"/>
  <c r="O1045" i="4"/>
  <c r="O1037" i="4"/>
  <c r="O1032" i="4"/>
  <c r="O1598" i="4"/>
  <c r="O1025" i="4"/>
  <c r="O1019" i="4"/>
  <c r="O1018" i="4"/>
  <c r="O1754" i="4"/>
  <c r="O1005" i="4"/>
  <c r="O988" i="4"/>
  <c r="O264" i="4"/>
  <c r="O983" i="4"/>
  <c r="O256" i="4"/>
  <c r="O973" i="4"/>
  <c r="O968" i="4"/>
  <c r="O245" i="4"/>
  <c r="O964" i="4"/>
  <c r="O959" i="4"/>
  <c r="O237" i="4"/>
  <c r="O951" i="4"/>
  <c r="O226" i="4"/>
  <c r="O946" i="4"/>
  <c r="O939" i="4"/>
  <c r="O212" i="4"/>
  <c r="O933" i="4"/>
  <c r="O927" i="4"/>
  <c r="O922" i="4"/>
  <c r="O200" i="4"/>
  <c r="O919" i="4"/>
  <c r="O914" i="4"/>
  <c r="O906" i="4"/>
  <c r="O188" i="4"/>
  <c r="O897" i="4"/>
  <c r="O892" i="4"/>
  <c r="O886" i="4"/>
  <c r="O176" i="4"/>
  <c r="O878" i="4"/>
  <c r="O1695" i="4"/>
  <c r="O1721" i="4"/>
  <c r="O849" i="4"/>
  <c r="O820" i="4"/>
  <c r="O812" i="4"/>
  <c r="O1735" i="4"/>
  <c r="O799" i="4"/>
  <c r="O793" i="4"/>
  <c r="O123" i="4"/>
  <c r="O114" i="4"/>
  <c r="O788" i="4"/>
  <c r="O111" i="4"/>
  <c r="O768" i="4"/>
  <c r="O89" i="4"/>
  <c r="O84" i="4"/>
  <c r="O755" i="4"/>
  <c r="O78" i="4"/>
  <c r="O749" i="4"/>
  <c r="O67" i="4"/>
  <c r="O744" i="4"/>
  <c r="O56" i="4"/>
  <c r="O740" i="4"/>
  <c r="O50" i="4"/>
  <c r="O738" i="4"/>
  <c r="O32" i="4"/>
  <c r="O720" i="4"/>
  <c r="O715" i="4"/>
  <c r="O19" i="4"/>
  <c r="O707" i="4"/>
  <c r="O700" i="4"/>
  <c r="O15" i="4"/>
  <c r="O697" i="4"/>
  <c r="O9" i="4"/>
  <c r="O1705" i="4"/>
  <c r="O2" i="4"/>
  <c r="O681" i="4"/>
</calcChain>
</file>

<file path=xl/sharedStrings.xml><?xml version="1.0" encoding="utf-8"?>
<sst xmlns="http://schemas.openxmlformats.org/spreadsheetml/2006/main" count="26037" uniqueCount="3278">
  <si>
    <t>matricule</t>
  </si>
  <si>
    <t>ordre</t>
  </si>
  <si>
    <t>nom</t>
  </si>
  <si>
    <t>prenom</t>
  </si>
  <si>
    <t>date_nais</t>
  </si>
  <si>
    <t>sexe</t>
  </si>
  <si>
    <t>etat_civil</t>
  </si>
  <si>
    <t>type_piece</t>
  </si>
  <si>
    <t>num_piece</t>
  </si>
  <si>
    <t>adresse</t>
  </si>
  <si>
    <t>ville</t>
  </si>
  <si>
    <t>code_postal</t>
  </si>
  <si>
    <t>gsm</t>
  </si>
  <si>
    <t>email</t>
  </si>
  <si>
    <t>rib</t>
  </si>
  <si>
    <t>M</t>
  </si>
  <si>
    <t>C</t>
  </si>
  <si>
    <t>F</t>
  </si>
  <si>
    <t>MOHAMED KARIM</t>
  </si>
  <si>
    <t>MAHJOUB</t>
  </si>
  <si>
    <t>MARWA</t>
  </si>
  <si>
    <t>BENAMER</t>
  </si>
  <si>
    <t>FAYCAL</t>
  </si>
  <si>
    <t>EL AMRI</t>
  </si>
  <si>
    <t>MONIA</t>
  </si>
  <si>
    <t>EL GARES</t>
  </si>
  <si>
    <t>BECHIR</t>
  </si>
  <si>
    <t>ARFAOUI</t>
  </si>
  <si>
    <t>ADEL</t>
  </si>
  <si>
    <t>BAYA</t>
  </si>
  <si>
    <t>ANIS</t>
  </si>
  <si>
    <t>LOTFI</t>
  </si>
  <si>
    <t>JALEL</t>
  </si>
  <si>
    <t>JARRAR</t>
  </si>
  <si>
    <t>MOHAMED</t>
  </si>
  <si>
    <t>BEL HADJ</t>
  </si>
  <si>
    <t>HAITHEM</t>
  </si>
  <si>
    <t>GRAIET</t>
  </si>
  <si>
    <t>BEN OTHMEN</t>
  </si>
  <si>
    <t>KARIM</t>
  </si>
  <si>
    <t>FETHI</t>
  </si>
  <si>
    <t>GAALOUL</t>
  </si>
  <si>
    <t>CHTIOUI</t>
  </si>
  <si>
    <t>BRAHIM</t>
  </si>
  <si>
    <t>KHELIL</t>
  </si>
  <si>
    <t>SALAH</t>
  </si>
  <si>
    <t>DAHMANI</t>
  </si>
  <si>
    <t>ABDENNACEUR</t>
  </si>
  <si>
    <t>ZIED</t>
  </si>
  <si>
    <t>JAWHAR</t>
  </si>
  <si>
    <t>GUERRIDA</t>
  </si>
  <si>
    <t>BOUNEB</t>
  </si>
  <si>
    <t>SAWSSEN</t>
  </si>
  <si>
    <t>KORTAS</t>
  </si>
  <si>
    <t>AMANI</t>
  </si>
  <si>
    <t>NASR</t>
  </si>
  <si>
    <t>KAMEL</t>
  </si>
  <si>
    <t>ATTIA</t>
  </si>
  <si>
    <t>EL GADHI</t>
  </si>
  <si>
    <t>JALEL BEN ALI</t>
  </si>
  <si>
    <t>MOHAMED SALAH</t>
  </si>
  <si>
    <t>YOUSSEF</t>
  </si>
  <si>
    <t>ROMDHANE</t>
  </si>
  <si>
    <t>ABDALLAH</t>
  </si>
  <si>
    <t>LOURIMI</t>
  </si>
  <si>
    <t>MEJRI</t>
  </si>
  <si>
    <t>ABDERRAZEK</t>
  </si>
  <si>
    <t>MOUSSA</t>
  </si>
  <si>
    <t>MOURAD</t>
  </si>
  <si>
    <t>HEDI</t>
  </si>
  <si>
    <t>WALID</t>
  </si>
  <si>
    <t>CHATTI</t>
  </si>
  <si>
    <t>IMED</t>
  </si>
  <si>
    <t>KHEDIMI</t>
  </si>
  <si>
    <t>MED HEDI</t>
  </si>
  <si>
    <t>MAOUA</t>
  </si>
  <si>
    <t>JAMEL</t>
  </si>
  <si>
    <t>IBRAHIM</t>
  </si>
  <si>
    <t>HEDHILI</t>
  </si>
  <si>
    <t>LAAJILI</t>
  </si>
  <si>
    <t>HASSINE</t>
  </si>
  <si>
    <t>HATEM</t>
  </si>
  <si>
    <t>NAMOUCHI</t>
  </si>
  <si>
    <t>BOUHLEL</t>
  </si>
  <si>
    <t>CHAARANA</t>
  </si>
  <si>
    <t>GUIZANI</t>
  </si>
  <si>
    <t>MOHAMED HOSNI</t>
  </si>
  <si>
    <t>DHAOUADI</t>
  </si>
  <si>
    <t>HAMDI</t>
  </si>
  <si>
    <t>AHMED</t>
  </si>
  <si>
    <t>FAOUZI</t>
  </si>
  <si>
    <t>ZID</t>
  </si>
  <si>
    <t>TAIEB</t>
  </si>
  <si>
    <t>HEDFI</t>
  </si>
  <si>
    <t>ELYES</t>
  </si>
  <si>
    <t>HADDAJI</t>
  </si>
  <si>
    <t>FEHMI</t>
  </si>
  <si>
    <t>ESSAFI</t>
  </si>
  <si>
    <t>ABDELAZIZ</t>
  </si>
  <si>
    <t>SADOK</t>
  </si>
  <si>
    <t>LAGRAS</t>
  </si>
  <si>
    <t>MOUNIR</t>
  </si>
  <si>
    <t>SAMIR</t>
  </si>
  <si>
    <t>HAMILA</t>
  </si>
  <si>
    <t>SASSI</t>
  </si>
  <si>
    <t>MAHMOUD</t>
  </si>
  <si>
    <t>FAKER</t>
  </si>
  <si>
    <t>YASSINE</t>
  </si>
  <si>
    <t>JADLAOUI</t>
  </si>
  <si>
    <t>HASSEN</t>
  </si>
  <si>
    <t>MOHAMED ALI</t>
  </si>
  <si>
    <t>SLAMA</t>
  </si>
  <si>
    <t>GHEZAL</t>
  </si>
  <si>
    <t>HMAIED</t>
  </si>
  <si>
    <t>MAATOUG</t>
  </si>
  <si>
    <t>SLAH</t>
  </si>
  <si>
    <t>RABII</t>
  </si>
  <si>
    <t>BALTI</t>
  </si>
  <si>
    <t>ALI</t>
  </si>
  <si>
    <t>LAHDHIRI</t>
  </si>
  <si>
    <t>MOHAMED SALEM</t>
  </si>
  <si>
    <t>GAZZAH</t>
  </si>
  <si>
    <t>HAMZA</t>
  </si>
  <si>
    <t>GADHI</t>
  </si>
  <si>
    <t>SOYAH</t>
  </si>
  <si>
    <t>FAROUK</t>
  </si>
  <si>
    <t>YAHYAOUI</t>
  </si>
  <si>
    <t>NACIR</t>
  </si>
  <si>
    <t>DHRIR</t>
  </si>
  <si>
    <t>SALEM</t>
  </si>
  <si>
    <t>FARES</t>
  </si>
  <si>
    <t>TRIAA</t>
  </si>
  <si>
    <t>ABDELMEJID</t>
  </si>
  <si>
    <t>SHAIEB</t>
  </si>
  <si>
    <t>NAOUFEL</t>
  </si>
  <si>
    <t>BOUZIR</t>
  </si>
  <si>
    <t>HAMADI</t>
  </si>
  <si>
    <t>MUSTAPHA</t>
  </si>
  <si>
    <t>ZOUITEN</t>
  </si>
  <si>
    <t>FOUED</t>
  </si>
  <si>
    <t>NEBIL</t>
  </si>
  <si>
    <t>BEJAOUI</t>
  </si>
  <si>
    <t>AIFA</t>
  </si>
  <si>
    <t>MEHDI</t>
  </si>
  <si>
    <t>OUNI</t>
  </si>
  <si>
    <t>KHALED</t>
  </si>
  <si>
    <t>MOHAMED BEN MOHAMED</t>
  </si>
  <si>
    <t>KEMIMECH</t>
  </si>
  <si>
    <t>BEN AHMED</t>
  </si>
  <si>
    <t>OMAR</t>
  </si>
  <si>
    <t>RACHED</t>
  </si>
  <si>
    <t>ISSAOUI</t>
  </si>
  <si>
    <t>SAYED</t>
  </si>
  <si>
    <t>NABLI</t>
  </si>
  <si>
    <t>WAHID</t>
  </si>
  <si>
    <t>ZARRAA</t>
  </si>
  <si>
    <t>NABIL</t>
  </si>
  <si>
    <t>HAMMOUDA</t>
  </si>
  <si>
    <t>OMRAMNE</t>
  </si>
  <si>
    <t>SOFIANE</t>
  </si>
  <si>
    <t>GHEZEL</t>
  </si>
  <si>
    <t>EL ABED</t>
  </si>
  <si>
    <t>BOURAOUI</t>
  </si>
  <si>
    <t>AMARA</t>
  </si>
  <si>
    <t>RAMZI</t>
  </si>
  <si>
    <t>MAMIA</t>
  </si>
  <si>
    <t>MONCEF</t>
  </si>
  <si>
    <t>NOUREDDINE</t>
  </si>
  <si>
    <t>GAMHA</t>
  </si>
  <si>
    <t>RADHOUANE</t>
  </si>
  <si>
    <t>MOHAMED SABEUR</t>
  </si>
  <si>
    <t>BEN YOUSSEF</t>
  </si>
  <si>
    <t>YASSER</t>
  </si>
  <si>
    <t>MATHLOUTHI</t>
  </si>
  <si>
    <t>FHIMA</t>
  </si>
  <si>
    <t>AHMED KHAIREDDINE</t>
  </si>
  <si>
    <t>GUEZGUEZ</t>
  </si>
  <si>
    <t>ABDELLAH</t>
  </si>
  <si>
    <t>MONDHER</t>
  </si>
  <si>
    <t>ZORGATI</t>
  </si>
  <si>
    <t>ZRELLI</t>
  </si>
  <si>
    <t>HABIB</t>
  </si>
  <si>
    <t>MKHININI</t>
  </si>
  <si>
    <t>EL BACH</t>
  </si>
  <si>
    <t>GUELLIM</t>
  </si>
  <si>
    <t>SKANDER</t>
  </si>
  <si>
    <t>GRAA</t>
  </si>
  <si>
    <t>MOHAMED BEN SALAH</t>
  </si>
  <si>
    <t>KAIBI</t>
  </si>
  <si>
    <t>HASSANI</t>
  </si>
  <si>
    <t>LADHARI</t>
  </si>
  <si>
    <t>JLASSI</t>
  </si>
  <si>
    <t>DRISS</t>
  </si>
  <si>
    <t>BHIRI</t>
  </si>
  <si>
    <t>ATEF</t>
  </si>
  <si>
    <t>GHANEM</t>
  </si>
  <si>
    <t>HMIDA</t>
  </si>
  <si>
    <t>MANSOUR</t>
  </si>
  <si>
    <t>SAMEH</t>
  </si>
  <si>
    <t>LOGHMARI</t>
  </si>
  <si>
    <t>NACEUR</t>
  </si>
  <si>
    <t>KHALIFA</t>
  </si>
  <si>
    <t>FEDJ</t>
  </si>
  <si>
    <t>KARMOUS</t>
  </si>
  <si>
    <t>CHERIF</t>
  </si>
  <si>
    <t>JMEGUER</t>
  </si>
  <si>
    <t>WASSEF</t>
  </si>
  <si>
    <t>HALLEB</t>
  </si>
  <si>
    <t>SAFOUANE</t>
  </si>
  <si>
    <t>ADLI</t>
  </si>
  <si>
    <t>YOUSFI</t>
  </si>
  <si>
    <t>MOHAMED SAHBI</t>
  </si>
  <si>
    <t>SAIFEDDINE</t>
  </si>
  <si>
    <t>KILANI</t>
  </si>
  <si>
    <t>MRIBAH</t>
  </si>
  <si>
    <t>GORCHENE</t>
  </si>
  <si>
    <t>RIADH</t>
  </si>
  <si>
    <t>BEN AMOR</t>
  </si>
  <si>
    <t>ADEM</t>
  </si>
  <si>
    <t>SAHBI</t>
  </si>
  <si>
    <t>LACHHAB</t>
  </si>
  <si>
    <t>DHAFER</t>
  </si>
  <si>
    <t>ISSAM</t>
  </si>
  <si>
    <t>HNIA</t>
  </si>
  <si>
    <t>HICHEM</t>
  </si>
  <si>
    <t>FNAYOU</t>
  </si>
  <si>
    <t>MOHAMED KAMEL</t>
  </si>
  <si>
    <t>KRIFA</t>
  </si>
  <si>
    <t>HAYKEL</t>
  </si>
  <si>
    <t>GLOULOU</t>
  </si>
  <si>
    <t>MOHAMED AMINE</t>
  </si>
  <si>
    <t>BEN SAAD</t>
  </si>
  <si>
    <t>WISSEM</t>
  </si>
  <si>
    <t>KACEM</t>
  </si>
  <si>
    <t>WAJDI</t>
  </si>
  <si>
    <t>ACHRAF</t>
  </si>
  <si>
    <t>BERRIRI</t>
  </si>
  <si>
    <t>HOUSSEM</t>
  </si>
  <si>
    <t>CHIHI</t>
  </si>
  <si>
    <t>MBAREK</t>
  </si>
  <si>
    <t>MOHAMED WASSIM</t>
  </si>
  <si>
    <t>ELGARES</t>
  </si>
  <si>
    <t>NEJMEDDINE</t>
  </si>
  <si>
    <t>BAILI</t>
  </si>
  <si>
    <t>ABDELHAFIDH</t>
  </si>
  <si>
    <t>BOUKRAA</t>
  </si>
  <si>
    <t>RIDHA</t>
  </si>
  <si>
    <t>KHAYACHI</t>
  </si>
  <si>
    <t>SAHLI</t>
  </si>
  <si>
    <t>ABDELLATIF</t>
  </si>
  <si>
    <t>LAYOUNI</t>
  </si>
  <si>
    <t>MABROUK</t>
  </si>
  <si>
    <t>BDAY</t>
  </si>
  <si>
    <t>SOUILEM</t>
  </si>
  <si>
    <t>ABBASSI</t>
  </si>
  <si>
    <t>ABDELJELIL</t>
  </si>
  <si>
    <t>LASSOUAD</t>
  </si>
  <si>
    <t>REBAI</t>
  </si>
  <si>
    <t>ABDELKERIM</t>
  </si>
  <si>
    <t>SLAHEDDINE</t>
  </si>
  <si>
    <t>ENGAZZOU</t>
  </si>
  <si>
    <t>BESSEM</t>
  </si>
  <si>
    <t>MEJDI</t>
  </si>
  <si>
    <t>RAOUF</t>
  </si>
  <si>
    <t>ACHOUR</t>
  </si>
  <si>
    <t>MZOUGHI</t>
  </si>
  <si>
    <t>KECHICHE</t>
  </si>
  <si>
    <t>HAYTHEM</t>
  </si>
  <si>
    <t>SRIDI</t>
  </si>
  <si>
    <t>HENI</t>
  </si>
  <si>
    <t>CHOKRI</t>
  </si>
  <si>
    <t>GHAZI</t>
  </si>
  <si>
    <t>ABDELHAMID</t>
  </si>
  <si>
    <t>ABDELHAKIM</t>
  </si>
  <si>
    <t>MAHER</t>
  </si>
  <si>
    <t>SOUSSI</t>
  </si>
  <si>
    <t>JAOUHAR</t>
  </si>
  <si>
    <t>ZMERLI</t>
  </si>
  <si>
    <t>AHMED AMINE</t>
  </si>
  <si>
    <t>MOUIN</t>
  </si>
  <si>
    <t>AYMEN</t>
  </si>
  <si>
    <t>RIAHI</t>
  </si>
  <si>
    <t>ANOIR</t>
  </si>
  <si>
    <t>BEN SALEM</t>
  </si>
  <si>
    <t>JIHED</t>
  </si>
  <si>
    <t>OUSSAMA</t>
  </si>
  <si>
    <t>BELLALOUNA</t>
  </si>
  <si>
    <t>YAHIA</t>
  </si>
  <si>
    <t>SAKHRI</t>
  </si>
  <si>
    <t>BEN KALIAA</t>
  </si>
  <si>
    <t>CHAFIK</t>
  </si>
  <si>
    <t>ANOUAR</t>
  </si>
  <si>
    <t>OUAJA</t>
  </si>
  <si>
    <t>MED ANIS</t>
  </si>
  <si>
    <t>ABDELKADER</t>
  </si>
  <si>
    <t>LAJIMI</t>
  </si>
  <si>
    <t>BILEL</t>
  </si>
  <si>
    <t>BOUAZZA</t>
  </si>
  <si>
    <t>MAROUAN</t>
  </si>
  <si>
    <t>HAFSIA</t>
  </si>
  <si>
    <t>SAID</t>
  </si>
  <si>
    <t>ALAAEDDINE</t>
  </si>
  <si>
    <t>CHIHAOUI</t>
  </si>
  <si>
    <t>HAFSI</t>
  </si>
  <si>
    <t>HACHICHA</t>
  </si>
  <si>
    <t>BEN NASR</t>
  </si>
  <si>
    <t>SAMI</t>
  </si>
  <si>
    <t>GAIEB</t>
  </si>
  <si>
    <t>WAHIB</t>
  </si>
  <si>
    <t>GAM</t>
  </si>
  <si>
    <t>SMIDA</t>
  </si>
  <si>
    <t>ANIS BEN MUSTAPHA</t>
  </si>
  <si>
    <t>JEBALI</t>
  </si>
  <si>
    <t>LAAROUSSI</t>
  </si>
  <si>
    <t>BEN HASSINE</t>
  </si>
  <si>
    <t>NADER</t>
  </si>
  <si>
    <t>REGAIEG</t>
  </si>
  <si>
    <t>MLAYEH</t>
  </si>
  <si>
    <t>SGHAIER</t>
  </si>
  <si>
    <t>HAFEDH</t>
  </si>
  <si>
    <t>DRIDI</t>
  </si>
  <si>
    <t>ZOUHAIER</t>
  </si>
  <si>
    <t>AYADI</t>
  </si>
  <si>
    <t>HOSNI</t>
  </si>
  <si>
    <t>SOUA</t>
  </si>
  <si>
    <t>LADJIMI</t>
  </si>
  <si>
    <t>FREDJ</t>
  </si>
  <si>
    <t>KTAIEB</t>
  </si>
  <si>
    <t>KASRAOUI</t>
  </si>
  <si>
    <t>SLIMENE</t>
  </si>
  <si>
    <t>ADNEN</t>
  </si>
  <si>
    <t>MOHAMED LAMINE</t>
  </si>
  <si>
    <t>NEJIB</t>
  </si>
  <si>
    <t>REJEB</t>
  </si>
  <si>
    <t>MOHAMED WALID</t>
  </si>
  <si>
    <t>ACHECH</t>
  </si>
  <si>
    <t>TAOUFIK</t>
  </si>
  <si>
    <t>MOKHTAR</t>
  </si>
  <si>
    <t>HAMDAOUI</t>
  </si>
  <si>
    <t>KHELIFA</t>
  </si>
  <si>
    <t>BAHRI</t>
  </si>
  <si>
    <t>BABAY</t>
  </si>
  <si>
    <t>ROUIS</t>
  </si>
  <si>
    <t>THEMEUR</t>
  </si>
  <si>
    <t>ZANINA</t>
  </si>
  <si>
    <t>DHIFALLAH</t>
  </si>
  <si>
    <t>ILYES</t>
  </si>
  <si>
    <t>ABDERRAOUF</t>
  </si>
  <si>
    <t>ALOUANE</t>
  </si>
  <si>
    <t>HMIDI</t>
  </si>
  <si>
    <t>ABBADI</t>
  </si>
  <si>
    <t>BOUALLOUCHA</t>
  </si>
  <si>
    <t>NOUIRA</t>
  </si>
  <si>
    <t>TAREK</t>
  </si>
  <si>
    <t>LADHERI</t>
  </si>
  <si>
    <t>EZZEDDINE</t>
  </si>
  <si>
    <t>AJROUD</t>
  </si>
  <si>
    <t>MOULDI</t>
  </si>
  <si>
    <t>BETTAIEB</t>
  </si>
  <si>
    <t>LAMINE</t>
  </si>
  <si>
    <t>BOURIGUA</t>
  </si>
  <si>
    <t>CHADI</t>
  </si>
  <si>
    <t>NASRI</t>
  </si>
  <si>
    <t>WAEL</t>
  </si>
  <si>
    <t>OMRANE</t>
  </si>
  <si>
    <t>NIZAR</t>
  </si>
  <si>
    <t>MAJDOUB</t>
  </si>
  <si>
    <t>FERID</t>
  </si>
  <si>
    <t>MAROUANE</t>
  </si>
  <si>
    <t>TOUMI</t>
  </si>
  <si>
    <t>MOHAMED FAOUZI</t>
  </si>
  <si>
    <t>SABEUR</t>
  </si>
  <si>
    <t>GAIDA</t>
  </si>
  <si>
    <t>LAJMI</t>
  </si>
  <si>
    <t>MOKHLAS</t>
  </si>
  <si>
    <t>AMMAR</t>
  </si>
  <si>
    <t>MIMOUNA</t>
  </si>
  <si>
    <t>JRAD</t>
  </si>
  <si>
    <t>TAHAR</t>
  </si>
  <si>
    <t>ABDELFATTEH</t>
  </si>
  <si>
    <t>ABDERRAZZEK</t>
  </si>
  <si>
    <t>MRIZEK</t>
  </si>
  <si>
    <t>RACHID</t>
  </si>
  <si>
    <t>NAJEH</t>
  </si>
  <si>
    <t>AMINE</t>
  </si>
  <si>
    <t>HOUCEM</t>
  </si>
  <si>
    <t>GRASSA</t>
  </si>
  <si>
    <t>LIMEM</t>
  </si>
  <si>
    <t>ASSOUDI</t>
  </si>
  <si>
    <t>FERJAOUI</t>
  </si>
  <si>
    <t>GHASSEN</t>
  </si>
  <si>
    <t>TLILI</t>
  </si>
  <si>
    <t>OTHMAN</t>
  </si>
  <si>
    <t>BAATI</t>
  </si>
  <si>
    <t>CHEBIL</t>
  </si>
  <si>
    <t>RAFIK</t>
  </si>
  <si>
    <t>ERGUEZ</t>
  </si>
  <si>
    <t>ROMDHANI</t>
  </si>
  <si>
    <t>BEN HADJ AMOR</t>
  </si>
  <si>
    <t>SOUISSI</t>
  </si>
  <si>
    <t>MOHSEN</t>
  </si>
  <si>
    <t>KHELIFI</t>
  </si>
  <si>
    <t>EMNA</t>
  </si>
  <si>
    <t>HELALI</t>
  </si>
  <si>
    <t>RAHMA</t>
  </si>
  <si>
    <t>TRIMECH</t>
  </si>
  <si>
    <t>FADI</t>
  </si>
  <si>
    <t>HANNACHI</t>
  </si>
  <si>
    <t>FAKHER</t>
  </si>
  <si>
    <t>ZBIDI</t>
  </si>
  <si>
    <t>MAKHLOUF</t>
  </si>
  <si>
    <t>KHEHDIRI</t>
  </si>
  <si>
    <t>MED HAFEDH</t>
  </si>
  <si>
    <t>AFEF</t>
  </si>
  <si>
    <t>LANDOLSI</t>
  </si>
  <si>
    <t>CHEHAIBI</t>
  </si>
  <si>
    <t>TAKOUA</t>
  </si>
  <si>
    <t>MANSOURI</t>
  </si>
  <si>
    <t>MED NEJIB</t>
  </si>
  <si>
    <t>MED FREDJ</t>
  </si>
  <si>
    <t>AHMED BEN MAHMOUD</t>
  </si>
  <si>
    <t>SAHNOUN</t>
  </si>
  <si>
    <t>SALLAH</t>
  </si>
  <si>
    <t>MOHAMED MAHER</t>
  </si>
  <si>
    <t>NEJI</t>
  </si>
  <si>
    <t>HAMDA NACEUR</t>
  </si>
  <si>
    <t>ACHECHE</t>
  </si>
  <si>
    <t>DHIB</t>
  </si>
  <si>
    <t>BOUZAMOUCHA</t>
  </si>
  <si>
    <t>JELLITI</t>
  </si>
  <si>
    <t>BEN ATTIA</t>
  </si>
  <si>
    <t>BELLIL</t>
  </si>
  <si>
    <t>MOHAMED MONCEF</t>
  </si>
  <si>
    <t>MOHAMED RIMEH</t>
  </si>
  <si>
    <t>OTHMEN</t>
  </si>
  <si>
    <t>ABDELKARIM</t>
  </si>
  <si>
    <t>CHIHEB</t>
  </si>
  <si>
    <t>HOUIJ</t>
  </si>
  <si>
    <t>SALLEM</t>
  </si>
  <si>
    <t>AMIRA</t>
  </si>
  <si>
    <t>SALHA</t>
  </si>
  <si>
    <t>MOHAMED YASSINE</t>
  </si>
  <si>
    <t>SBAII</t>
  </si>
  <si>
    <t>NEZIHA</t>
  </si>
  <si>
    <t>BAAZOUG</t>
  </si>
  <si>
    <t>KHALIL</t>
  </si>
  <si>
    <t>BOUARGOUB</t>
  </si>
  <si>
    <t>MEHREZ</t>
  </si>
  <si>
    <t>ELOUNI</t>
  </si>
  <si>
    <t>INES</t>
  </si>
  <si>
    <t>MHIRI</t>
  </si>
  <si>
    <t>ZAGGAR</t>
  </si>
  <si>
    <t>BADROUCH</t>
  </si>
  <si>
    <t>KAHLOUN</t>
  </si>
  <si>
    <t>HELLALI</t>
  </si>
  <si>
    <t>MOHAMED ISMAIL</t>
  </si>
  <si>
    <t>DOURA</t>
  </si>
  <si>
    <t>MAHFOUDH</t>
  </si>
  <si>
    <t>MALLEH</t>
  </si>
  <si>
    <t>AFIF</t>
  </si>
  <si>
    <t>JUILI</t>
  </si>
  <si>
    <t>CHEMKHI</t>
  </si>
  <si>
    <t>GANHOUBA</t>
  </si>
  <si>
    <t>LAADHARI</t>
  </si>
  <si>
    <t>MOHAMED RAMZI</t>
  </si>
  <si>
    <t>SOFIENE</t>
  </si>
  <si>
    <t>NAFFATI</t>
  </si>
  <si>
    <t>ATROUS</t>
  </si>
  <si>
    <t>CHEDLY</t>
  </si>
  <si>
    <t>MOHAMED BEN AHMED</t>
  </si>
  <si>
    <t>MNED</t>
  </si>
  <si>
    <t>JAIET</t>
  </si>
  <si>
    <t>AMOR</t>
  </si>
  <si>
    <t>BOHLI</t>
  </si>
  <si>
    <t>ABDELMAJID</t>
  </si>
  <si>
    <t>MOSBAH</t>
  </si>
  <si>
    <t>AFRIT</t>
  </si>
  <si>
    <t>KOUADA</t>
  </si>
  <si>
    <t>AMEUR</t>
  </si>
  <si>
    <t>NIDHAL</t>
  </si>
  <si>
    <t>SAIFELLAH</t>
  </si>
  <si>
    <t>BELGACEM</t>
  </si>
  <si>
    <t>MESSAOUD</t>
  </si>
  <si>
    <t>GOUIDER</t>
  </si>
  <si>
    <t>MED RIDHA</t>
  </si>
  <si>
    <t>LAMJED</t>
  </si>
  <si>
    <t>EL FKIH</t>
  </si>
  <si>
    <t>BEN AZIZA</t>
  </si>
  <si>
    <t>BOUBAKER</t>
  </si>
  <si>
    <t>Mle</t>
  </si>
  <si>
    <t>Nom</t>
  </si>
  <si>
    <t>Prenom</t>
  </si>
  <si>
    <t>Nom Père</t>
  </si>
  <si>
    <t>Nom mere</t>
  </si>
  <si>
    <t>Date naissance</t>
  </si>
  <si>
    <t>CIN</t>
  </si>
  <si>
    <t>CNSS</t>
  </si>
  <si>
    <t>Adresse</t>
  </si>
  <si>
    <t>S.F</t>
  </si>
  <si>
    <t>Sexe</t>
  </si>
  <si>
    <t>BEL HEDI</t>
  </si>
  <si>
    <t>SALOUA</t>
  </si>
  <si>
    <t>NULL</t>
  </si>
  <si>
    <t>GHALI</t>
  </si>
  <si>
    <t>112 Avenu Habib Bourguiba</t>
  </si>
  <si>
    <t>Teboulba</t>
  </si>
  <si>
    <t>H</t>
  </si>
  <si>
    <t>EL OUAFI</t>
  </si>
  <si>
    <t>GHRAIEB</t>
  </si>
  <si>
    <t>ERNEZ</t>
  </si>
  <si>
    <t>Rue El Houlel Essoundoussia Khezama Ouest</t>
  </si>
  <si>
    <t>Sousse</t>
  </si>
  <si>
    <t>Rue de Khourtoum</t>
  </si>
  <si>
    <t>Msaken 4070</t>
  </si>
  <si>
    <t>BOUCHAHDA</t>
  </si>
  <si>
    <t>MOHAMED TAIEB</t>
  </si>
  <si>
    <t>54 Rue du Martyr Ahmed Regaieg</t>
  </si>
  <si>
    <t>4, Rue Ahmed Chaouki</t>
  </si>
  <si>
    <t>RAZGALLAH</t>
  </si>
  <si>
    <t>MOHAMED HABIB</t>
  </si>
  <si>
    <t>Mahmoud</t>
  </si>
  <si>
    <t>Cherifa</t>
  </si>
  <si>
    <t>6 Rue de la Garre</t>
  </si>
  <si>
    <t>DABBABI</t>
  </si>
  <si>
    <t>AFIFA</t>
  </si>
  <si>
    <t>Rue abdelaziz El Aroui Skanes</t>
  </si>
  <si>
    <t>Monastir</t>
  </si>
  <si>
    <t>HARIRA</t>
  </si>
  <si>
    <t>P T T De Cherarda kairouan</t>
  </si>
  <si>
    <t>TRAD</t>
  </si>
  <si>
    <t>Rue de Koweit</t>
  </si>
  <si>
    <t>ABDERRAHMEN</t>
  </si>
  <si>
    <t>26,Rue Ouifek</t>
  </si>
  <si>
    <t>BRAHAM</t>
  </si>
  <si>
    <t>517 Rue 1er Juin</t>
  </si>
  <si>
    <t>Mohamed</t>
  </si>
  <si>
    <t>Aicha</t>
  </si>
  <si>
    <t>467 Rue 1er juin</t>
  </si>
  <si>
    <t>BOUGI</t>
  </si>
  <si>
    <t>Hassine</t>
  </si>
  <si>
    <t>32 Rue Mongi Bali</t>
  </si>
  <si>
    <t>59 R Chikh Sadok Chatti</t>
  </si>
  <si>
    <t>MUSTAHPA FAOUZI</t>
  </si>
  <si>
    <t>Chadlya</t>
  </si>
  <si>
    <t>01 Rue Fess</t>
  </si>
  <si>
    <t>Ibrahim</t>
  </si>
  <si>
    <t>Zohra</t>
  </si>
  <si>
    <t>CitÃ© Ennour rue Marrakech</t>
  </si>
  <si>
    <t>28 Rue de Bizerte</t>
  </si>
  <si>
    <t>LANDOULSI</t>
  </si>
  <si>
    <t>Route de Kairouan</t>
  </si>
  <si>
    <t>86 Rue1er juin</t>
  </si>
  <si>
    <t>GHACHEM</t>
  </si>
  <si>
    <t>MOHAMED RIDHA</t>
  </si>
  <si>
    <t>JEDIDI</t>
  </si>
  <si>
    <t>DALENDA</t>
  </si>
  <si>
    <t>FRIGUI</t>
  </si>
  <si>
    <t>BEN HMIDA</t>
  </si>
  <si>
    <t>4 Rue Salah Hafsa</t>
  </si>
  <si>
    <t>RACHIDA</t>
  </si>
  <si>
    <t>63 Rue 20 Mars</t>
  </si>
  <si>
    <t>64 Rue de la mosquÃ©</t>
  </si>
  <si>
    <t>37 Rue martyr Salah Hafsa</t>
  </si>
  <si>
    <t>BEN HAMOUDA</t>
  </si>
  <si>
    <t>Ali</t>
  </si>
  <si>
    <t>158 Rue Imam El Mezri</t>
  </si>
  <si>
    <t>BEN MOHAMED</t>
  </si>
  <si>
    <t>4014 Knaies</t>
  </si>
  <si>
    <t>Knaies 4014</t>
  </si>
  <si>
    <t>Emna</t>
  </si>
  <si>
    <t>12 Rue des Oranges</t>
  </si>
  <si>
    <t>Rue naceur Bay R de la Cornich</t>
  </si>
  <si>
    <t>M'KHININI</t>
  </si>
  <si>
    <t>Rue Mustapha Kheraief</t>
  </si>
  <si>
    <t>Messadine 4013</t>
  </si>
  <si>
    <t>KHEDIJA</t>
  </si>
  <si>
    <t>Rue BÃ©chir Maarouf Bouraoui</t>
  </si>
  <si>
    <t>V</t>
  </si>
  <si>
    <t>225 R Habib Thameur</t>
  </si>
  <si>
    <t>MOHAMED ABDDENNACEUR</t>
  </si>
  <si>
    <t>53 Rue Ahmed Regaieg</t>
  </si>
  <si>
    <t>SKHIRI</t>
  </si>
  <si>
    <t>BEN ABDALLAH</t>
  </si>
  <si>
    <t>142 RUE Khaireddine</t>
  </si>
  <si>
    <t>Fatma</t>
  </si>
  <si>
    <t>27 Rue Elkharrouba</t>
  </si>
  <si>
    <t>Rue El Bassatine M'saken Ouest</t>
  </si>
  <si>
    <t>HAMED</t>
  </si>
  <si>
    <t>Abdessalem</t>
  </si>
  <si>
    <t>62 Rue de l'indÃ©pendance</t>
  </si>
  <si>
    <t>333,Rue Ibn Charaf CitÃ© Erryad</t>
  </si>
  <si>
    <t>ZAHOUANI</t>
  </si>
  <si>
    <t>02, Rue Avicenne</t>
  </si>
  <si>
    <t>MEFTAH</t>
  </si>
  <si>
    <t>19 Avenu 20 Mars1956</t>
  </si>
  <si>
    <t>ATROUSSE</t>
  </si>
  <si>
    <t>SAMIA</t>
  </si>
  <si>
    <t>KNAIES</t>
  </si>
  <si>
    <t>Salem</t>
  </si>
  <si>
    <t>ABID</t>
  </si>
  <si>
    <t>FATMA</t>
  </si>
  <si>
    <t>Arbi</t>
  </si>
  <si>
    <t>Selma</t>
  </si>
  <si>
    <t>18 RUE ANABA</t>
  </si>
  <si>
    <t>20 Rue 9 Avril</t>
  </si>
  <si>
    <t>GUIRAT</t>
  </si>
  <si>
    <t>ZOHRA</t>
  </si>
  <si>
    <t>Hammouda</t>
  </si>
  <si>
    <t>Rekaya</t>
  </si>
  <si>
    <t>Rue 9 Avril nÂ°5</t>
  </si>
  <si>
    <t>2 Rue sidi Bel Hassen</t>
  </si>
  <si>
    <t>BEL HADJ SGHAIER</t>
  </si>
  <si>
    <t>4 Rue Sourour</t>
  </si>
  <si>
    <t>55 Route de Sfax</t>
  </si>
  <si>
    <t>BABAY ROUIS</t>
  </si>
  <si>
    <t>Fredj</t>
  </si>
  <si>
    <t>Mannena</t>
  </si>
  <si>
    <t>370 Rue Farhat Hached</t>
  </si>
  <si>
    <t>103,Rue HÃ©di Chaker</t>
  </si>
  <si>
    <t>MOHAMED ANOUAR</t>
  </si>
  <si>
    <t>GAIECH</t>
  </si>
  <si>
    <t>54, Rue du Caire</t>
  </si>
  <si>
    <t>TOUILA</t>
  </si>
  <si>
    <t>Rue Aziza Othmana</t>
  </si>
  <si>
    <t>5 Rue 9 Avril</t>
  </si>
  <si>
    <t>SAIDA</t>
  </si>
  <si>
    <t>Malika</t>
  </si>
  <si>
    <t>191, Rue Babel Sahloul I</t>
  </si>
  <si>
    <t>MEDIMEGH</t>
  </si>
  <si>
    <t>HAYET</t>
  </si>
  <si>
    <t>Bchira</t>
  </si>
  <si>
    <t>BOUKADDIDA</t>
  </si>
  <si>
    <t>Othmen</t>
  </si>
  <si>
    <t>9 Rue Salah Hafsa</t>
  </si>
  <si>
    <t>M'HAMED</t>
  </si>
  <si>
    <t>650Rue  El Azhar</t>
  </si>
  <si>
    <t>EL HANDOUS</t>
  </si>
  <si>
    <t>HAFSIA ALI</t>
  </si>
  <si>
    <t>Rue des villa</t>
  </si>
  <si>
    <t>D</t>
  </si>
  <si>
    <t>Sidi Abar</t>
  </si>
  <si>
    <t>Rue 20Mars prÃ©s du lycÃ©e</t>
  </si>
  <si>
    <t>46 Rue Ezzouhour</t>
  </si>
  <si>
    <t>52, Rue HÃ©di Khefacha CitÃ© Erriadh</t>
  </si>
  <si>
    <t>AMIMI</t>
  </si>
  <si>
    <t>Khedija</t>
  </si>
  <si>
    <t>90 Rue Rekeb</t>
  </si>
  <si>
    <t>ABDELWAHEB</t>
  </si>
  <si>
    <t>Ahmed</t>
  </si>
  <si>
    <t>Aouicha</t>
  </si>
  <si>
    <t>9 Rue El Kods</t>
  </si>
  <si>
    <t>Hassen</t>
  </si>
  <si>
    <t>Halima</t>
  </si>
  <si>
    <t>CitÃ© Farhat Hached NÂ°30 Bouhssina</t>
  </si>
  <si>
    <t>Abdelhamid</t>
  </si>
  <si>
    <t>17 Rue Sidi Bel Hassen</t>
  </si>
  <si>
    <t>4015 BORJINE</t>
  </si>
  <si>
    <t>Borjine 4015</t>
  </si>
  <si>
    <t>Younes</t>
  </si>
  <si>
    <t>Rue Kef</t>
  </si>
  <si>
    <t>KHALFALLAH</t>
  </si>
  <si>
    <t>108 Rue Mohamed Ali</t>
  </si>
  <si>
    <t>56 Rue Martyr Ahmed Regaieg</t>
  </si>
  <si>
    <t>Rue Mohamed Salah Sayadi Essouani</t>
  </si>
  <si>
    <t>72 Rue Yahia Ibn Omar</t>
  </si>
  <si>
    <t>137 Route de Sfax</t>
  </si>
  <si>
    <t>BEN HAMMOUDA</t>
  </si>
  <si>
    <t>NOURI</t>
  </si>
  <si>
    <t>54 rue Khaled Ibn El Walid</t>
  </si>
  <si>
    <t>78 Route de Sfax</t>
  </si>
  <si>
    <t>Amor</t>
  </si>
  <si>
    <t>74 CitÃ© Ettaamir</t>
  </si>
  <si>
    <t>BEN ATA</t>
  </si>
  <si>
    <t>MAALOUL</t>
  </si>
  <si>
    <t>Salah</t>
  </si>
  <si>
    <t>67 Rue Tazerka</t>
  </si>
  <si>
    <t>MLAYAH</t>
  </si>
  <si>
    <t>Youssef</t>
  </si>
  <si>
    <t>Bouraouia</t>
  </si>
  <si>
    <t>90 Route de Sfax</t>
  </si>
  <si>
    <t>BEN TKAIA</t>
  </si>
  <si>
    <t>FATHI</t>
  </si>
  <si>
    <t>8 R Ameur Bayoudh</t>
  </si>
  <si>
    <t>CitÃ© Ennour</t>
  </si>
  <si>
    <t>2 R Salah Hafsa</t>
  </si>
  <si>
    <t>KHADRI</t>
  </si>
  <si>
    <t>39 Av Houcine Ben Ali Erryadh</t>
  </si>
  <si>
    <t>BOUAOUINA</t>
  </si>
  <si>
    <t>4 Rue Med Ali</t>
  </si>
  <si>
    <t>ATA</t>
  </si>
  <si>
    <t>Rafika</t>
  </si>
  <si>
    <t>95 Rue Chikh Ladhari</t>
  </si>
  <si>
    <t>CHOUCHENE HAMILA</t>
  </si>
  <si>
    <t>Khdouja</t>
  </si>
  <si>
    <t>127 Rue de la mosquÃ©e</t>
  </si>
  <si>
    <t>MAHJOUB NOUIR</t>
  </si>
  <si>
    <t>Habiba</t>
  </si>
  <si>
    <t>37 rue Ibn Rochd</t>
  </si>
  <si>
    <t>Mohamed Salah</t>
  </si>
  <si>
    <t>Latifa</t>
  </si>
  <si>
    <t>38 Rue Yahya B Omar</t>
  </si>
  <si>
    <t>63 Rue Hamdoun 4029 Thrayette</t>
  </si>
  <si>
    <t>246 rue Mohamed Ali</t>
  </si>
  <si>
    <t>BEN ABDELJELIL</t>
  </si>
  <si>
    <t>41 R Ali Belhouan</t>
  </si>
  <si>
    <t>BEL HAIZA</t>
  </si>
  <si>
    <t>4016 Bâ€šni Kalthoum</t>
  </si>
  <si>
    <t>Hedhili</t>
  </si>
  <si>
    <t>Chalbia</t>
  </si>
  <si>
    <t>Rue Imam Ben Arfa</t>
  </si>
  <si>
    <t>59 Rue de l'IndÃ©pendance</t>
  </si>
  <si>
    <t>Belgacem</t>
  </si>
  <si>
    <t>Om Ezzine</t>
  </si>
  <si>
    <t>NAKOURI</t>
  </si>
  <si>
    <t>Khadouja</t>
  </si>
  <si>
    <t>Rue 20 Mars R GP1</t>
  </si>
  <si>
    <t>Souad</t>
  </si>
  <si>
    <t>NÂ°55 Erriadh 3  4023</t>
  </si>
  <si>
    <t>CitÃ© Erriadh</t>
  </si>
  <si>
    <t>Mohamed Tahar</t>
  </si>
  <si>
    <t>50 Rue de la garre</t>
  </si>
  <si>
    <t>NOUIR MAHJOUB</t>
  </si>
  <si>
    <t>37 Rue Ibn Rochd</t>
  </si>
  <si>
    <t>KRID BHIRI</t>
  </si>
  <si>
    <t>64 ROUTE DE SFAX MSAKEN</t>
  </si>
  <si>
    <t>39 Rue Habib Thameur</t>
  </si>
  <si>
    <t>41 Messadine</t>
  </si>
  <si>
    <t>BEN ABDELKERIM</t>
  </si>
  <si>
    <t>Habib</t>
  </si>
  <si>
    <t>Zakia</t>
  </si>
  <si>
    <t>18 Rue 9 Avril</t>
  </si>
  <si>
    <t>Rue de Iran</t>
  </si>
  <si>
    <t>17 Rue de Cair</t>
  </si>
  <si>
    <t>BP 97 CitÃ© Erriadh</t>
  </si>
  <si>
    <t>ATTROUSSE</t>
  </si>
  <si>
    <t>EL ARBI</t>
  </si>
  <si>
    <t>7 RUE ACHOUR MSAKEN</t>
  </si>
  <si>
    <t>KNANI</t>
  </si>
  <si>
    <t>Abderrahmen</t>
  </si>
  <si>
    <t>96 R Rajeh Brahim</t>
  </si>
  <si>
    <t>Akouda</t>
  </si>
  <si>
    <t>HATTAB</t>
  </si>
  <si>
    <t>Rue de Bayrout NÂ°4 Khesama</t>
  </si>
  <si>
    <t>86 R 1er juin 1955</t>
  </si>
  <si>
    <t>Rue El Houkoul</t>
  </si>
  <si>
    <t>ZOUINI</t>
  </si>
  <si>
    <t>SOUAD</t>
  </si>
  <si>
    <t>Hallouma</t>
  </si>
  <si>
    <t>48, Rue Amine Rayhani Erriadh</t>
  </si>
  <si>
    <t>FATEN</t>
  </si>
  <si>
    <t>Rue Chebba</t>
  </si>
  <si>
    <t>BEN KHALIFA</t>
  </si>
  <si>
    <t>42 Rue limam Ben Arfa</t>
  </si>
  <si>
    <t>HASHOUS</t>
  </si>
  <si>
    <t>Sidi El Hani</t>
  </si>
  <si>
    <t>Sidi El HÃ©ni 4025</t>
  </si>
  <si>
    <t>BOUJNEH</t>
  </si>
  <si>
    <t>7 Rue Taoufik El Hakim M'SAKEN</t>
  </si>
  <si>
    <t>KHEMAIES</t>
  </si>
  <si>
    <t>176 Rue de la mosquÃ©</t>
  </si>
  <si>
    <t>FATHALLAH</t>
  </si>
  <si>
    <t>61 Rue Ali Belhouane 4070 M'sa</t>
  </si>
  <si>
    <t>BOUZAMMOUCHA</t>
  </si>
  <si>
    <t>Brahim</t>
  </si>
  <si>
    <t>84 Rue Fadhel Ben Achour</t>
  </si>
  <si>
    <t>AJLANI</t>
  </si>
  <si>
    <t>10 Rue Barberousse 4001</t>
  </si>
  <si>
    <t>IBN RADHOUANE</t>
  </si>
  <si>
    <t>7 Rue 546 CitÃ© Laouina</t>
  </si>
  <si>
    <t>GUERMACHI</t>
  </si>
  <si>
    <t>73 Rue Mohamed Ali</t>
  </si>
  <si>
    <t>BEN SIK ALI</t>
  </si>
  <si>
    <t>HÃ©di</t>
  </si>
  <si>
    <t>Khadija</t>
  </si>
  <si>
    <t>76 Rue Tahar Sfar</t>
  </si>
  <si>
    <t>3 Rue Taoufik El Hakim</t>
  </si>
  <si>
    <t>LAKHAL</t>
  </si>
  <si>
    <t>670, Rue Essalem</t>
  </si>
  <si>
    <t>Avenue Taieb Hachicha</t>
  </si>
  <si>
    <t>26 Rue Abdelhamid El Gadhi</t>
  </si>
  <si>
    <t>EL HASSANI</t>
  </si>
  <si>
    <t>54 Rue Khaled Ibn El Walid</t>
  </si>
  <si>
    <t>sassia</t>
  </si>
  <si>
    <t>27 Rue Ammane</t>
  </si>
  <si>
    <t>Bdira</t>
  </si>
  <si>
    <t>134 Rue HÃ©di Chaker</t>
  </si>
  <si>
    <t>BOUGHATTAS</t>
  </si>
  <si>
    <t>6 Rue Samarkand</t>
  </si>
  <si>
    <t>137 Av Habib Bourguiba '</t>
  </si>
  <si>
    <t>7 RUE DAMAS PRES MOSQUEE HELLE</t>
  </si>
  <si>
    <t>BAHLOUL</t>
  </si>
  <si>
    <t>FADHEL</t>
  </si>
  <si>
    <t>Jamila</t>
  </si>
  <si>
    <t>Rue Taieb Hachicha</t>
  </si>
  <si>
    <t>Rue de Bayroute</t>
  </si>
  <si>
    <t>206 Rue de la mosquÃ©</t>
  </si>
  <si>
    <t>26 Rue Aziza Othmana</t>
  </si>
  <si>
    <t>Khemaies</t>
  </si>
  <si>
    <t>Rue 1er juin 1955</t>
  </si>
  <si>
    <t>BEL HADJ ALI</t>
  </si>
  <si>
    <t>Mariem</t>
  </si>
  <si>
    <t>284 Messadine</t>
  </si>
  <si>
    <t>CHEBBI</t>
  </si>
  <si>
    <t>44 Rue El Marr Sousse</t>
  </si>
  <si>
    <t>53 Rue 1er Juin</t>
  </si>
  <si>
    <t>ESSGHAIER</t>
  </si>
  <si>
    <t>312 Rue Farhat Hached</t>
  </si>
  <si>
    <t>6 Rue Hamda Hamila</t>
  </si>
  <si>
    <t>LAHMAR</t>
  </si>
  <si>
    <t>7 Rue Omar Ibn El Khattab Bouhssina</t>
  </si>
  <si>
    <t>35 Rue Abdelhamid Gadhi</t>
  </si>
  <si>
    <t>BEN CHOUAIEB</t>
  </si>
  <si>
    <t>LOUSSAIEF</t>
  </si>
  <si>
    <t>Slimene</t>
  </si>
  <si>
    <t>Kroussia</t>
  </si>
  <si>
    <t>111 Route de Tunis</t>
  </si>
  <si>
    <t>Hammam Sousse</t>
  </si>
  <si>
    <t>SAAD</t>
  </si>
  <si>
    <t>77 KNAIS 4014 MSAKEN</t>
  </si>
  <si>
    <t>SAADAOUI</t>
  </si>
  <si>
    <t>42 Rue Ali Bach Hamba</t>
  </si>
  <si>
    <t>SMA</t>
  </si>
  <si>
    <t>03 Rue Ezzouhour</t>
  </si>
  <si>
    <t>BEL AHDJ ALI</t>
  </si>
  <si>
    <t>4016 Beni Kalthoum</t>
  </si>
  <si>
    <t>BÃ©ni Kalthoum 4016</t>
  </si>
  <si>
    <t>EL AYEB</t>
  </si>
  <si>
    <t>NOUIGUES</t>
  </si>
  <si>
    <t>21 Rue BÃ©chir Sfar</t>
  </si>
  <si>
    <t>Alya</t>
  </si>
  <si>
    <t>Messouda</t>
  </si>
  <si>
    <t>15 Rue Sidi Abar</t>
  </si>
  <si>
    <t>Aziza</t>
  </si>
  <si>
    <t>BÃ©ni Rabiaa 4015</t>
  </si>
  <si>
    <t>BÃ©chir</t>
  </si>
  <si>
    <t>CitÃ© Saryach</t>
  </si>
  <si>
    <t>Hmida</t>
  </si>
  <si>
    <t>Route de Sfax</t>
  </si>
  <si>
    <t>BEL HADJ FREDJ</t>
  </si>
  <si>
    <t>SAADANA</t>
  </si>
  <si>
    <t>ALAYA</t>
  </si>
  <si>
    <t>104 Rue Zbidi</t>
  </si>
  <si>
    <t>183 Rue de la libertÃ©</t>
  </si>
  <si>
    <t>NÃ©ji</t>
  </si>
  <si>
    <t>867 Rue Arafet</t>
  </si>
  <si>
    <t>32 rue Khaled Ibn El walid</t>
  </si>
  <si>
    <t>68 Rue Mongi Bali 4070 M'saken</t>
  </si>
  <si>
    <t>51 Rue Aziza Othmana</t>
  </si>
  <si>
    <t>145 Rue Farhat Hached</t>
  </si>
  <si>
    <t>Jannet</t>
  </si>
  <si>
    <t>343 F LycÃ©e Farhat Hached</t>
  </si>
  <si>
    <t>TERZAG EL BHIRI</t>
  </si>
  <si>
    <t>68 Rue Essomaa</t>
  </si>
  <si>
    <t>Saad</t>
  </si>
  <si>
    <t>Rue Sidi Abar</t>
  </si>
  <si>
    <t>90 Rue de l'indÃ©pendance</t>
  </si>
  <si>
    <t>EL GAZZAH</t>
  </si>
  <si>
    <t>1 Rue Ennidhal</t>
  </si>
  <si>
    <t>EL MECHRI</t>
  </si>
  <si>
    <t>12 Rue Farhat Hached</t>
  </si>
  <si>
    <t>Rue Sidi Ben Hassen</t>
  </si>
  <si>
    <t>BOUGADDOUHA</t>
  </si>
  <si>
    <t>238 Rue Farhat Hached</t>
  </si>
  <si>
    <t>MAHJOUB KHELIFA</t>
  </si>
  <si>
    <t>Rue Habib Chatti Route de Kairouan</t>
  </si>
  <si>
    <t>398 Avenu Farhat Hached</t>
  </si>
  <si>
    <t>AKKARI</t>
  </si>
  <si>
    <t>Om Elkhir</t>
  </si>
  <si>
    <t>4014 knaies</t>
  </si>
  <si>
    <t>BEN KHELIFA</t>
  </si>
  <si>
    <t>HÃ©ni</t>
  </si>
  <si>
    <t>4025 Sidi El Hani</t>
  </si>
  <si>
    <t>177 Route de Sousse</t>
  </si>
  <si>
    <t>20 Rue de Monastir</t>
  </si>
  <si>
    <t>53 Rue de Bizert</t>
  </si>
  <si>
    <t>233 Rue Habib Thameur</t>
  </si>
  <si>
    <t>JEBNOUN</t>
  </si>
  <si>
    <t>Rue Sidi Bel Hassen</t>
  </si>
  <si>
    <t>71 Rue Abdelhamid El Gadhi</t>
  </si>
  <si>
    <t>Omezzine</t>
  </si>
  <si>
    <t>293 Rue Faraht Hached</t>
  </si>
  <si>
    <t>ABDELJAOUAD</t>
  </si>
  <si>
    <t>Jomaa</t>
  </si>
  <si>
    <t>134 Route de Moureddine</t>
  </si>
  <si>
    <t>14 Rue de Tripoli</t>
  </si>
  <si>
    <t>CHATTI ZOMMIT</t>
  </si>
  <si>
    <t>299 Rue Mohamed Ali</t>
  </si>
  <si>
    <t>18 bis Rue Bilel Ben Ribeh</t>
  </si>
  <si>
    <t>HAFSA</t>
  </si>
  <si>
    <t>18 RUE EL ETTIHAD MSAKEN</t>
  </si>
  <si>
    <t>FAOUZIA</t>
  </si>
  <si>
    <t>92 Rue de la garre</t>
  </si>
  <si>
    <t>Sayed</t>
  </si>
  <si>
    <t>79 Rue El Ghazali</t>
  </si>
  <si>
    <t>CHAKER</t>
  </si>
  <si>
    <t>149 Rue Martyr Salah Hafsa</t>
  </si>
  <si>
    <t>BEN TURKIA</t>
  </si>
  <si>
    <t>Route de Knaies</t>
  </si>
  <si>
    <t>NEFFATI</t>
  </si>
  <si>
    <t>Fattoum</t>
  </si>
  <si>
    <t>4015 Borjine</t>
  </si>
  <si>
    <t>5 Rue Mohamed Ali</t>
  </si>
  <si>
    <t>JMEGEUR</t>
  </si>
  <si>
    <t>93 Rue Zbidi</t>
  </si>
  <si>
    <t>4015 Beni Rabia</t>
  </si>
  <si>
    <t>Boubaker</t>
  </si>
  <si>
    <t>24 Rue de Monastir</t>
  </si>
  <si>
    <t>DOUDOU</t>
  </si>
  <si>
    <t>6 Rue de l'Ecole</t>
  </si>
  <si>
    <t>197 Rue Habib Thameur</t>
  </si>
  <si>
    <t>Route Sousse km 3</t>
  </si>
  <si>
    <t>BEN ALAYA</t>
  </si>
  <si>
    <t>Lallehom</t>
  </si>
  <si>
    <t>Rue Sanaa</t>
  </si>
  <si>
    <t>59 Rue 20 Mars</t>
  </si>
  <si>
    <t>SAKLI</t>
  </si>
  <si>
    <t>Mohamed Mokhtar</t>
  </si>
  <si>
    <t>Rachida</t>
  </si>
  <si>
    <t>27 Rue Ibn Khaldoun</t>
  </si>
  <si>
    <t>Khniss</t>
  </si>
  <si>
    <t>Khelifa</t>
  </si>
  <si>
    <t>135 Rue Limame Mezri</t>
  </si>
  <si>
    <t>TRIA</t>
  </si>
  <si>
    <t>MHAMED</t>
  </si>
  <si>
    <t>Rue de Zaghouane</t>
  </si>
  <si>
    <t>28 Rue Khaled Ibn Walid</t>
  </si>
  <si>
    <t>Mahbouba</t>
  </si>
  <si>
    <t>267 Rue Farhat Hached</t>
  </si>
  <si>
    <t>Naceur</t>
  </si>
  <si>
    <t>4014 Knais</t>
  </si>
  <si>
    <t>57 Rue de L'indÃ©pendance</t>
  </si>
  <si>
    <t>129 Rue de Caire</t>
  </si>
  <si>
    <t>Rue Zaghouan Saryech</t>
  </si>
  <si>
    <t>238 Rue 1er juin1955</t>
  </si>
  <si>
    <t>BEN ABDERRAHMEN</t>
  </si>
  <si>
    <t>81 RUE FARHAT HACHED MSAKEN</t>
  </si>
  <si>
    <t>BEN HADJ SGHAIER</t>
  </si>
  <si>
    <t>66 Rue de L'indÃ©pendance</t>
  </si>
  <si>
    <t>GREGUEB CHATTI</t>
  </si>
  <si>
    <t>126 Rue 1er juin</t>
  </si>
  <si>
    <t>31 Rue l'Ittihad</t>
  </si>
  <si>
    <t>HEMDEN</t>
  </si>
  <si>
    <t>20 Rue 20 Mars</t>
  </si>
  <si>
    <t>BEN ABDELJALIL</t>
  </si>
  <si>
    <t>MILED</t>
  </si>
  <si>
    <t>Rue de Turky</t>
  </si>
  <si>
    <t>4 Rue Yahya Ibn Omar</t>
  </si>
  <si>
    <t>HAMMAS</t>
  </si>
  <si>
    <t>ElGhouila</t>
  </si>
  <si>
    <t>273 Avenu Habib Thameur</t>
  </si>
  <si>
    <t>115 Rue Lahdhiri</t>
  </si>
  <si>
    <t>36 Rue Hannibal</t>
  </si>
  <si>
    <t>BEN ABDELJAOUED</t>
  </si>
  <si>
    <t>312 Rue 1er Juin</t>
  </si>
  <si>
    <t>Sassia</t>
  </si>
  <si>
    <t>858 Rue Arafat</t>
  </si>
  <si>
    <t>CHOUIKHA</t>
  </si>
  <si>
    <t>26 Rue Ahmed Ibn Abi Dhief</t>
  </si>
  <si>
    <t>HAMMED</t>
  </si>
  <si>
    <t>Rue Aziza Othmana Bir Makia</t>
  </si>
  <si>
    <t>Abdelaziz</t>
  </si>
  <si>
    <t>7 Rue Ahmed Regaieg</t>
  </si>
  <si>
    <t>10, Rue Errached, citÃ© Ennour</t>
  </si>
  <si>
    <t>BEN HAFAIEDH</t>
  </si>
  <si>
    <t>Knaies</t>
  </si>
  <si>
    <t>BEN MBAREK</t>
  </si>
  <si>
    <t>262 RUE 1 JUIN 1955 MSAKEN</t>
  </si>
  <si>
    <t>Rue Farhat Hached</t>
  </si>
  <si>
    <t>TERD</t>
  </si>
  <si>
    <t>1 Citâ€š Ettamir Sousse</t>
  </si>
  <si>
    <t>BEN ABELJELIL</t>
  </si>
  <si>
    <t>38 Rue Farhat Hached</t>
  </si>
  <si>
    <t>Essya</t>
  </si>
  <si>
    <t>62 Rue Taieb Hachicha</t>
  </si>
  <si>
    <t>28 Rue Achour</t>
  </si>
  <si>
    <t>181 Rue 5108 CitÃ© Erriadh</t>
  </si>
  <si>
    <t>Mostapha</t>
  </si>
  <si>
    <t>NÃ©jia</t>
  </si>
  <si>
    <t>21 Rue Elouroud</t>
  </si>
  <si>
    <t>BEN BRAHAM</t>
  </si>
  <si>
    <t>MOHAMED ELAZIZ</t>
  </si>
  <si>
    <t>CitÃ© Ibn Khaldoun Bloc NÂ°8</t>
  </si>
  <si>
    <t>Abdelkader</t>
  </si>
  <si>
    <t>Rue Moussa Ibn Noussaier</t>
  </si>
  <si>
    <t>SOUAYEH</t>
  </si>
  <si>
    <t>Foyer Jeunes filles</t>
  </si>
  <si>
    <t>CHIBA</t>
  </si>
  <si>
    <t>FETIHA</t>
  </si>
  <si>
    <t>Avenu La perle du Sahel Immeuble Ghannouchi</t>
  </si>
  <si>
    <t>FRAD</t>
  </si>
  <si>
    <t>1 RUE EL KONDY KHEZAMA OUEST S</t>
  </si>
  <si>
    <t>FENNICH</t>
  </si>
  <si>
    <t>163 Rue de la LibertÃ©</t>
  </si>
  <si>
    <t>34 Rue Imam Mezri</t>
  </si>
  <si>
    <t>BEN MARIEM</t>
  </si>
  <si>
    <t>95, Rue de la mosquÃ©</t>
  </si>
  <si>
    <t>22 Rue Omar Ibn Khattab</t>
  </si>
  <si>
    <t>Massoud</t>
  </si>
  <si>
    <t>Romdhana</t>
  </si>
  <si>
    <t>Abdallah</t>
  </si>
  <si>
    <t>Aichoucha</t>
  </si>
  <si>
    <t>13, Rue des Oranges</t>
  </si>
  <si>
    <t>Faffani</t>
  </si>
  <si>
    <t>Avenu 25 Juillet 1957 Rue 243 NÂ°4</t>
  </si>
  <si>
    <t>BOUABENE</t>
  </si>
  <si>
    <t>RAJA</t>
  </si>
  <si>
    <t>BLAIEJ</t>
  </si>
  <si>
    <t>AIDA</t>
  </si>
  <si>
    <t>HENDA</t>
  </si>
  <si>
    <t>78 Rue Mohamed Ali</t>
  </si>
  <si>
    <t>MEDIMAGH</t>
  </si>
  <si>
    <t>JALELEDDINE</t>
  </si>
  <si>
    <t>16 RUE BECHIR TARMIZ</t>
  </si>
  <si>
    <t>EL GAZZEH</t>
  </si>
  <si>
    <t>123 Rue Ammane</t>
  </si>
  <si>
    <t>ALOUANI</t>
  </si>
  <si>
    <t>53 CitÃ© Erriadh</t>
  </si>
  <si>
    <t>HOUCINE</t>
  </si>
  <si>
    <t>4025 Sidi ElHani</t>
  </si>
  <si>
    <t>LAROUI</t>
  </si>
  <si>
    <t>2 Rue El Moutanabbi</t>
  </si>
  <si>
    <t>ABDELBASSET</t>
  </si>
  <si>
    <t>Avenu La perle du sahel Immeuble Ghannouchi</t>
  </si>
  <si>
    <t>RATIBA</t>
  </si>
  <si>
    <t>52? Rue HÃ©di Khefacha CitÃ© Erriadh</t>
  </si>
  <si>
    <t>EL MAHFOUDH</t>
  </si>
  <si>
    <t>Mohamed Belgacem</t>
  </si>
  <si>
    <t>Taieb</t>
  </si>
  <si>
    <t>58 Rue Imame Ben Arfa</t>
  </si>
  <si>
    <t>HAOUAS</t>
  </si>
  <si>
    <t>187 Rue Rekab</t>
  </si>
  <si>
    <t>61 Rue Nidhal</t>
  </si>
  <si>
    <t>BEN AMMAR</t>
  </si>
  <si>
    <t>612, Rue Ali Balhouane CitÃ© Ezzouhour 4031</t>
  </si>
  <si>
    <t>JOMAA</t>
  </si>
  <si>
    <t>Hedi</t>
  </si>
  <si>
    <t>Ghezala</t>
  </si>
  <si>
    <t>4015 borjine</t>
  </si>
  <si>
    <t>Rue El Ouroud</t>
  </si>
  <si>
    <t>Romdhane</t>
  </si>
  <si>
    <t>88 rue Taieb Hachicha</t>
  </si>
  <si>
    <t>179 Rue Ali Belahouane</t>
  </si>
  <si>
    <t>32 RUE 2 MARS</t>
  </si>
  <si>
    <t>Sghaier</t>
  </si>
  <si>
    <t>Salha</t>
  </si>
  <si>
    <t>157 Messadine</t>
  </si>
  <si>
    <t>45 RUE TAIB MHIRI MSAKEN</t>
  </si>
  <si>
    <t>73,Rue de la RÃ©publique</t>
  </si>
  <si>
    <t>Kalaa Sghira</t>
  </si>
  <si>
    <t>RADHIA</t>
  </si>
  <si>
    <t>42 RUE HANNIBAL MSAKEN</t>
  </si>
  <si>
    <t>33 Rue Damas</t>
  </si>
  <si>
    <t>BEN NAGLA</t>
  </si>
  <si>
    <t>Zaineb</t>
  </si>
  <si>
    <t>329 Messaadine</t>
  </si>
  <si>
    <t>103  Av Farhat Hached</t>
  </si>
  <si>
    <t>HADJ ALI</t>
  </si>
  <si>
    <t>35 Rue Ellettihed</t>
  </si>
  <si>
    <t>6 Rue Marrakech</t>
  </si>
  <si>
    <t>230Rue Arafat</t>
  </si>
  <si>
    <t>ADEL BEN ABDERRAHMEN</t>
  </si>
  <si>
    <t>Sadok</t>
  </si>
  <si>
    <t>Bariza</t>
  </si>
  <si>
    <t>204 Rue Mohamed Ali</t>
  </si>
  <si>
    <t>4015 Beni Rabiaa</t>
  </si>
  <si>
    <t>Jilani</t>
  </si>
  <si>
    <t>Mabrouka</t>
  </si>
  <si>
    <t>Chadlia</t>
  </si>
  <si>
    <t>334 R F Hached</t>
  </si>
  <si>
    <t>14 Rue Rokeb</t>
  </si>
  <si>
    <t>Rue Imam Chefii</t>
  </si>
  <si>
    <t>172 R Elmalek FayÃ§al</t>
  </si>
  <si>
    <t>NOUIRA BOUJEBHA</t>
  </si>
  <si>
    <t>79 Route de M'saken</t>
  </si>
  <si>
    <t>Zaouit Sousse</t>
  </si>
  <si>
    <t>6 RUE HEDI KHEFACHA MENZEH 1 T</t>
  </si>
  <si>
    <t>Rue 126 N3 Imm STA</t>
  </si>
  <si>
    <t>Amina</t>
  </si>
  <si>
    <t>100,Rue Tebarka</t>
  </si>
  <si>
    <t>23 RUE ETIHAD</t>
  </si>
  <si>
    <t>JABALLAH</t>
  </si>
  <si>
    <t>ZANANE</t>
  </si>
  <si>
    <t>Rue sidi ben Hassen</t>
  </si>
  <si>
    <t>RAZGALAH</t>
  </si>
  <si>
    <t>34 Rue El Hana</t>
  </si>
  <si>
    <t>Rue Abou Zamaa Elbelaoui</t>
  </si>
  <si>
    <t>JAMILA</t>
  </si>
  <si>
    <t>CHARGUI</t>
  </si>
  <si>
    <t>AVENUE HABIB BORGUIBA 5000 MON</t>
  </si>
  <si>
    <t>NAZIHA</t>
  </si>
  <si>
    <t>93 Rue Aziza Othmana 4070 M'sa</t>
  </si>
  <si>
    <t>Massouda</t>
  </si>
  <si>
    <t>Rue Mohamed Ali</t>
  </si>
  <si>
    <t>Torkia</t>
  </si>
  <si>
    <t>LEILA</t>
  </si>
  <si>
    <t>Rue Abou Hamed El Ghazali</t>
  </si>
  <si>
    <t>ETTOUNSI</t>
  </si>
  <si>
    <t>Hsouna</t>
  </si>
  <si>
    <t>113 Rue Mongi Zribi</t>
  </si>
  <si>
    <t>MAOMED SALAH</t>
  </si>
  <si>
    <t>Sghaira</t>
  </si>
  <si>
    <t>191 Rue Ali Belhouane</t>
  </si>
  <si>
    <t>GUEDRI</t>
  </si>
  <si>
    <t>Rejab</t>
  </si>
  <si>
    <t>327, Rue Ibn Charaf</t>
  </si>
  <si>
    <t>10 RUE 20 MARS MSAKEN</t>
  </si>
  <si>
    <t>BEN ALI</t>
  </si>
  <si>
    <t>BHIRA</t>
  </si>
  <si>
    <t>BEN RACHED</t>
  </si>
  <si>
    <t>379 messadine</t>
  </si>
  <si>
    <t>247 R Mohamed Ali</t>
  </si>
  <si>
    <t>HAMROUNI</t>
  </si>
  <si>
    <t>LAZHAR</t>
  </si>
  <si>
    <t>RUE MOHAMED ALI 4013 MESSADINE</t>
  </si>
  <si>
    <t>40 Rue de l'environnement</t>
  </si>
  <si>
    <t>Fadhila</t>
  </si>
  <si>
    <t>15 Rue Bizert</t>
  </si>
  <si>
    <t>14 Rue Tarek Ibn Zied</t>
  </si>
  <si>
    <t>Moureddine</t>
  </si>
  <si>
    <t>55,Rue Sbitla Route de Sousse</t>
  </si>
  <si>
    <t>NÃ©jiba</t>
  </si>
  <si>
    <t>10 Rue BÃ©chir Sfar</t>
  </si>
  <si>
    <t>178 Rue de la RÃ©publique</t>
  </si>
  <si>
    <t>1 Rue Dimachk</t>
  </si>
  <si>
    <t>Messadine</t>
  </si>
  <si>
    <t>Mohamed HÃ©di</t>
  </si>
  <si>
    <t>7 Rue Tarek Ibn Zied</t>
  </si>
  <si>
    <t>22, Rue Chedly Mahjoub</t>
  </si>
  <si>
    <t>79 R Abou Hamed El Ghazali Bou</t>
  </si>
  <si>
    <t>ABDELHEDI</t>
  </si>
  <si>
    <t>01 Route de Sousse</t>
  </si>
  <si>
    <t>BEN HMED</t>
  </si>
  <si>
    <t>Zina</t>
  </si>
  <si>
    <t>8 Rue Ibn El Jazzar</t>
  </si>
  <si>
    <t>YAZIDI</t>
  </si>
  <si>
    <t>770 Borjine</t>
  </si>
  <si>
    <t>1 Rue 20 Mars</t>
  </si>
  <si>
    <t>241 Rue Mohamed Ali</t>
  </si>
  <si>
    <t>Rue 20 mars citÃ© jawhra</t>
  </si>
  <si>
    <t>5 Rue des Aglabittes</t>
  </si>
  <si>
    <t>Rue de la RÃ©publique</t>
  </si>
  <si>
    <t>3110 Sbikha</t>
  </si>
  <si>
    <t>Kairouan</t>
  </si>
  <si>
    <t>KOUIKI</t>
  </si>
  <si>
    <t>Rue Najd CitÃ© Ennour</t>
  </si>
  <si>
    <t>M'RIBAH</t>
  </si>
  <si>
    <t>AOUISSI</t>
  </si>
  <si>
    <t>62 Rue Dahmani Bouji</t>
  </si>
  <si>
    <t>BEN HASSEN</t>
  </si>
  <si>
    <t>105 A F Hached</t>
  </si>
  <si>
    <t>BELLAOU</t>
  </si>
  <si>
    <t>142 Rue Khaireddine</t>
  </si>
  <si>
    <t>94 Rue Khaled Ibn El Walid</t>
  </si>
  <si>
    <t>Rue du LycÃ©e</t>
  </si>
  <si>
    <t>49 Rue Imam Ibn Arafa</t>
  </si>
  <si>
    <t>BEN FKIH ALI</t>
  </si>
  <si>
    <t>Av 9 Avril</t>
  </si>
  <si>
    <t>Alaya</t>
  </si>
  <si>
    <t>75 Rue El Falah</t>
  </si>
  <si>
    <t>Touhami</t>
  </si>
  <si>
    <t>267 Av Kh Ibn Walid</t>
  </si>
  <si>
    <t>4016 beni kalthoum</t>
  </si>
  <si>
    <t>CHAOUR</t>
  </si>
  <si>
    <t>Chedly</t>
  </si>
  <si>
    <t>6 CitÃ© Farhat Hached</t>
  </si>
  <si>
    <t>17 Rue Zbidi 4070 M'saken</t>
  </si>
  <si>
    <t>NAGARA</t>
  </si>
  <si>
    <t>MEDAINI</t>
  </si>
  <si>
    <t>Rue 1er Jin</t>
  </si>
  <si>
    <t>ABDEHAMID</t>
  </si>
  <si>
    <t>BEN ATTIA BEN  NASR</t>
  </si>
  <si>
    <t>Chez Habib Labidi Djabline</t>
  </si>
  <si>
    <t>BEN LAHMEDI</t>
  </si>
  <si>
    <t>Sassi</t>
  </si>
  <si>
    <t>Rue 2046 NÂ°13 Khezama Ouest 4051</t>
  </si>
  <si>
    <t>Ichoucha</t>
  </si>
  <si>
    <t>553 RUE ABDELKADER EL JAZAIRI</t>
  </si>
  <si>
    <t>BEN RAJEH SAAFI</t>
  </si>
  <si>
    <t>Chez Med Zaggar 33 Rue Salah Hafsa</t>
  </si>
  <si>
    <t>RADHOUAN</t>
  </si>
  <si>
    <t>252 Rue Mohamed Ali</t>
  </si>
  <si>
    <t>ESSAAFI</t>
  </si>
  <si>
    <t>Akla</t>
  </si>
  <si>
    <t>Boujriouil</t>
  </si>
  <si>
    <t>BOUSSOUIFA</t>
  </si>
  <si>
    <t>93 Rue Salah Hafsa</t>
  </si>
  <si>
    <t>Chedlya</t>
  </si>
  <si>
    <t>4 R de Bizerte</t>
  </si>
  <si>
    <t>31 Rue Khaled Ibn El  Walid</t>
  </si>
  <si>
    <t>08 Rue Damas</t>
  </si>
  <si>
    <t>Tahar</t>
  </si>
  <si>
    <t>Rue 12 Mai</t>
  </si>
  <si>
    <t>74, Rue Mohamed Ali</t>
  </si>
  <si>
    <t>94 Rue de la mosquÃ©e</t>
  </si>
  <si>
    <t>HAMMAMI</t>
  </si>
  <si>
    <t>17 Rue Taieb El Mhiri</t>
  </si>
  <si>
    <t>Mohamed BÃ©chir</t>
  </si>
  <si>
    <t>Naziha</t>
  </si>
  <si>
    <t>75 Av Habib Bourguiba</t>
  </si>
  <si>
    <t>BEN AICHA</t>
  </si>
  <si>
    <t>35 Rue Zbidi</t>
  </si>
  <si>
    <t>Rue Bizerte 4070 M'saken</t>
  </si>
  <si>
    <t>BEN MESSAOUD</t>
  </si>
  <si>
    <t>ABDESSALEM</t>
  </si>
  <si>
    <t>2,Rue Abdelhamid El Gadhi</t>
  </si>
  <si>
    <t>EL KHESSIBI</t>
  </si>
  <si>
    <t>11 Rue de Kairouan</t>
  </si>
  <si>
    <t>ZRIDA</t>
  </si>
  <si>
    <t>CitÃ© Khezama Route de Tunis NÂ°232 prÃ©s du cafÃ© Hamed</t>
  </si>
  <si>
    <t>227 Rue Moussa Ibn Noussayer</t>
  </si>
  <si>
    <t>HECHMI</t>
  </si>
  <si>
    <t>Route de Monastir</t>
  </si>
  <si>
    <t>BEN YAHIA</t>
  </si>
  <si>
    <t>Ayda</t>
  </si>
  <si>
    <t>4013 messadine</t>
  </si>
  <si>
    <t>BEN FREDJ</t>
  </si>
  <si>
    <t>Ameur</t>
  </si>
  <si>
    <t>29 Rue Ibn Charaf</t>
  </si>
  <si>
    <t>BEN HAFAYEDH</t>
  </si>
  <si>
    <t>MONGI</t>
  </si>
  <si>
    <t>27 Rue El Houda</t>
  </si>
  <si>
    <t>41 Rue El Matar</t>
  </si>
  <si>
    <t>01 Rue BÃ©chir Sfar</t>
  </si>
  <si>
    <t>MFAREJ</t>
  </si>
  <si>
    <t>Zouhaier</t>
  </si>
  <si>
    <t>3 Rue des jardins Khezama</t>
  </si>
  <si>
    <t>221 Rue Ali Belahouane</t>
  </si>
  <si>
    <t>63 Rue Tahar Sfar</t>
  </si>
  <si>
    <t>122 Rue Hamda Hamila</t>
  </si>
  <si>
    <t>15 Rue El Hana</t>
  </si>
  <si>
    <t>95 Rue Farhat Hached</t>
  </si>
  <si>
    <t>BOUASSIDA</t>
  </si>
  <si>
    <t>36 Rue Grand Maghreb Ksibet sousse</t>
  </si>
  <si>
    <t>Impass Bagdad</t>
  </si>
  <si>
    <t>FAYALA</t>
  </si>
  <si>
    <t>LETAIEF</t>
  </si>
  <si>
    <t>Mongia</t>
  </si>
  <si>
    <t>Rue Hassen Ben  Noomen</t>
  </si>
  <si>
    <t>17 Rue de la Gare</t>
  </si>
  <si>
    <t>CHIBANI</t>
  </si>
  <si>
    <t>43 RUE DU CAIRE MSAKEN</t>
  </si>
  <si>
    <t>KRAIEM</t>
  </si>
  <si>
    <t>123 Rue 1er juin 1955</t>
  </si>
  <si>
    <t>BEN FKIH AHMED</t>
  </si>
  <si>
    <t>Route de kairouan</t>
  </si>
  <si>
    <t>REBHI</t>
  </si>
  <si>
    <t>142 Nouvelle CitÃ©</t>
  </si>
  <si>
    <t>EL KALBI</t>
  </si>
  <si>
    <t>Allala</t>
  </si>
  <si>
    <t>Nouvelle CitÃ©</t>
  </si>
  <si>
    <t>Rue F Hached</t>
  </si>
  <si>
    <t>Rebh</t>
  </si>
  <si>
    <t>108 Rue 401 CitÃ© L'Aouina</t>
  </si>
  <si>
    <t>Wassila</t>
  </si>
  <si>
    <t>26 Rue Dahmani Bougi</t>
  </si>
  <si>
    <t>khedija</t>
  </si>
  <si>
    <t>CitÃ© Ennour, Rue des Aglabites</t>
  </si>
  <si>
    <t>28 Rue Chedhly Mahjoub</t>
  </si>
  <si>
    <t>HADJ AMMAR</t>
  </si>
  <si>
    <t>BARHOUMI</t>
  </si>
  <si>
    <t>Rue El Wifek N 19</t>
  </si>
  <si>
    <t>El Maktouf</t>
  </si>
  <si>
    <t>Abdelahmid</t>
  </si>
  <si>
    <t>117 Rue Farhat Hached</t>
  </si>
  <si>
    <t>SAIEFEDDINE</t>
  </si>
  <si>
    <t>10 Route de Tunis Sousse</t>
  </si>
  <si>
    <t>153, Rue 20 Mars</t>
  </si>
  <si>
    <t>Najia</t>
  </si>
  <si>
    <t>12 Rue Ibn Rochd</t>
  </si>
  <si>
    <t>CHAIEB</t>
  </si>
  <si>
    <t>172 Rue sidi b Hassen</t>
  </si>
  <si>
    <t>BEL HADJ HASSEN</t>
  </si>
  <si>
    <t>4029 Kroussia</t>
  </si>
  <si>
    <t>94 Rue Sidi Abare</t>
  </si>
  <si>
    <t>IBN KHEBACHA</t>
  </si>
  <si>
    <t>Rue Ali Belhouan</t>
  </si>
  <si>
    <t>165 Rue El Hidaya</t>
  </si>
  <si>
    <t>BEN MANSOUR</t>
  </si>
  <si>
    <t>272 R Farhat Hached</t>
  </si>
  <si>
    <t>KHADHRAOUI</t>
  </si>
  <si>
    <t>89 Rue de Caire</t>
  </si>
  <si>
    <t>50 R Chedli Mahjoub</t>
  </si>
  <si>
    <t>TEMIMI</t>
  </si>
  <si>
    <t>Sahloul 1 A F H Lot N163 B C</t>
  </si>
  <si>
    <t>Abdellatif</t>
  </si>
  <si>
    <t>20 Rue Chedly Mahjoub</t>
  </si>
  <si>
    <t>HAMIDA</t>
  </si>
  <si>
    <t>118 Rue M Hamda Hamila</t>
  </si>
  <si>
    <t>262 Rue Habib Thameur</t>
  </si>
  <si>
    <t>Rue Zahrat El Afrah Sprols Im 1 NÂ°12</t>
  </si>
  <si>
    <t>Jaafar</t>
  </si>
  <si>
    <t>Rue Fatma Ezzahra, CitÃ© Ibn Khaldoun</t>
  </si>
  <si>
    <t>17 RUE JABRANE KHALIL JABRANE</t>
  </si>
  <si>
    <t>70 Rue Yahia Ibn Omar</t>
  </si>
  <si>
    <t>22 Rue  Djebline</t>
  </si>
  <si>
    <t>39 R Hamda Hamila</t>
  </si>
  <si>
    <t>23 Rue Salah Hafsa</t>
  </si>
  <si>
    <t>20 Rue  Mohamed Ali</t>
  </si>
  <si>
    <t>BERRAJEH</t>
  </si>
  <si>
    <t>KROUSSIA SIDI EL HENI</t>
  </si>
  <si>
    <t>TALEB</t>
  </si>
  <si>
    <t>BASMA</t>
  </si>
  <si>
    <t>Azzouz</t>
  </si>
  <si>
    <t>SLIMANE</t>
  </si>
  <si>
    <t>MOHAMED HEDI</t>
  </si>
  <si>
    <t>Rue Chikh Ladhari</t>
  </si>
  <si>
    <t>80 Rue 1er Juin 1955</t>
  </si>
  <si>
    <t>Route de sousse M'Saken</t>
  </si>
  <si>
    <t>Mansour</t>
  </si>
  <si>
    <t>MLISS</t>
  </si>
  <si>
    <t>Rue Benghazi</t>
  </si>
  <si>
    <t>GACEM</t>
  </si>
  <si>
    <t>05 Rue Abou El kacem Chebbi</t>
  </si>
  <si>
    <t>4014 KNAIS</t>
  </si>
  <si>
    <t>Route Monastir</t>
  </si>
  <si>
    <t>Rue El Hana</t>
  </si>
  <si>
    <t>Eljazia</t>
  </si>
  <si>
    <t>BEN MOUSSA</t>
  </si>
  <si>
    <t>204 Rue de la mosquÃ©e</t>
  </si>
  <si>
    <t>79 Rue du Caire</t>
  </si>
  <si>
    <t>184 R du Rekab</t>
  </si>
  <si>
    <t>3 RUE 485 BIR CHOUBEK</t>
  </si>
  <si>
    <t>193 R de la libertÃ©</t>
  </si>
  <si>
    <t>CitÃ© Ezzouhour</t>
  </si>
  <si>
    <t>6 Rue Martyr  Hamda Hamila</t>
  </si>
  <si>
    <t>38 Rue  Yahya Ibn Omar</t>
  </si>
  <si>
    <t>69 Rue Habib Thameur</t>
  </si>
  <si>
    <t>481 Ruote de Kairouan</t>
  </si>
  <si>
    <t>BEN AINA</t>
  </si>
  <si>
    <t>Ghabghoub</t>
  </si>
  <si>
    <t>2 Rue El Hana</t>
  </si>
  <si>
    <t>BEL HADJ MEFTAH</t>
  </si>
  <si>
    <t>Hebara</t>
  </si>
  <si>
    <t>935, Rue Echbilia</t>
  </si>
  <si>
    <t>LIMAM</t>
  </si>
  <si>
    <t>Rue Koobar</t>
  </si>
  <si>
    <t>7 Rue des Aglabittes</t>
  </si>
  <si>
    <t>ZIDI SAAFI</t>
  </si>
  <si>
    <t>Aouled Alouane</t>
  </si>
  <si>
    <t>21 R El Kadissia Ibn Khaldoun</t>
  </si>
  <si>
    <t>28 Rue des Aglabites</t>
  </si>
  <si>
    <t>07, Rue Omar Ibn El khattab</t>
  </si>
  <si>
    <t>75 Rue Bourguiba</t>
  </si>
  <si>
    <t>HAOUAS ZAHOUANI</t>
  </si>
  <si>
    <t>MOHAMED AMEN</t>
  </si>
  <si>
    <t>60 Rue 12 Mai</t>
  </si>
  <si>
    <t>EL MAAOUI</t>
  </si>
  <si>
    <t>ZOUBAIER</t>
  </si>
  <si>
    <t>79 Rue Wifek</t>
  </si>
  <si>
    <t>Rue Habib Bougatfa</t>
  </si>
  <si>
    <t>SFAR</t>
  </si>
  <si>
    <t>DJEBAL DAR OUAJA HIBOUB MEHDIA</t>
  </si>
  <si>
    <t>643 Rue Ibn Khaldoun</t>
  </si>
  <si>
    <t>FENNIRA</t>
  </si>
  <si>
    <t>HAFIDHA</t>
  </si>
  <si>
    <t>DABOUB</t>
  </si>
  <si>
    <t>SAMIRA</t>
  </si>
  <si>
    <t>17 Rue des Oranges</t>
  </si>
  <si>
    <t>KILANI CHOUICHINE</t>
  </si>
  <si>
    <t>Kilani</t>
  </si>
  <si>
    <t>27 Rue Omar Mokhtar</t>
  </si>
  <si>
    <t>NABILA</t>
  </si>
  <si>
    <t>29 R Abdelh El Gadhi</t>
  </si>
  <si>
    <t>12 Rue Ben Arafa</t>
  </si>
  <si>
    <t>Impasse Bagdad N9</t>
  </si>
  <si>
    <t>Hnia</t>
  </si>
  <si>
    <t>ZARROIGUI</t>
  </si>
  <si>
    <t>UGTT  MSAKEN</t>
  </si>
  <si>
    <t>62 Rue Elgzazha</t>
  </si>
  <si>
    <t>EL MLAYAH</t>
  </si>
  <si>
    <t>56 Rue Mohamed Ali</t>
  </si>
  <si>
    <t>40 Rue Annibal</t>
  </si>
  <si>
    <t>ESSAOUDI</t>
  </si>
  <si>
    <t>Rue  Asma Bint Abi Baker</t>
  </si>
  <si>
    <t>GARDALLOU</t>
  </si>
  <si>
    <t>Om Essaad</t>
  </si>
  <si>
    <t>R 20 Mars</t>
  </si>
  <si>
    <t>65 Rue Carthage</t>
  </si>
  <si>
    <t>BOUZAIENE</t>
  </si>
  <si>
    <t>11 Rue  2039 Khezama</t>
  </si>
  <si>
    <t>KOIUISSAH MAHJOUB</t>
  </si>
  <si>
    <t>25 Route de Sfax</t>
  </si>
  <si>
    <t>EL MEJRI</t>
  </si>
  <si>
    <t>29 Rue Essafa</t>
  </si>
  <si>
    <t>M'NED</t>
  </si>
  <si>
    <t>9 rue de l'or citâ€š ettamir sou</t>
  </si>
  <si>
    <t>Hafsia</t>
  </si>
  <si>
    <t>NAJOUA</t>
  </si>
  <si>
    <t>255, Rue Mohamed Ali</t>
  </si>
  <si>
    <t>CitÃ© Ennour Rue Marrakech</t>
  </si>
  <si>
    <t>94 Rue Sidi Abar</t>
  </si>
  <si>
    <t>BARKOUKCHI</t>
  </si>
  <si>
    <t>172 Bouhssina</t>
  </si>
  <si>
    <t>Salma</t>
  </si>
  <si>
    <t>Rue El Afef CitÃ© Ennour</t>
  </si>
  <si>
    <t>MOUFIDA</t>
  </si>
  <si>
    <t>36 Rue Elkhir</t>
  </si>
  <si>
    <t>Rue Habib Bourguiba 4041</t>
  </si>
  <si>
    <t>216 Rue 1er juin</t>
  </si>
  <si>
    <t>2 R Abdelhamid El Gadhi M'sake</t>
  </si>
  <si>
    <t>SABBAGH</t>
  </si>
  <si>
    <t>MOHAMED ADEL</t>
  </si>
  <si>
    <t>Rue de l'indÃ©pendance</t>
  </si>
  <si>
    <t>11 Rue Martyr Salah Hafsa</t>
  </si>
  <si>
    <t>Mannana</t>
  </si>
  <si>
    <t>370 Rue  Farhat  Hached</t>
  </si>
  <si>
    <t>Rue Seliana</t>
  </si>
  <si>
    <t>28 Rue Hassen Ibn Noomen</t>
  </si>
  <si>
    <t>163 rue mohamed ali m'saken</t>
  </si>
  <si>
    <t>DRABA</t>
  </si>
  <si>
    <t>SLIM</t>
  </si>
  <si>
    <t>Lot 271 A.F.H C.Sahloul.III</t>
  </si>
  <si>
    <t>GHADA</t>
  </si>
  <si>
    <t>SOUII</t>
  </si>
  <si>
    <t>50 rue de la gare</t>
  </si>
  <si>
    <t>MEHRI</t>
  </si>
  <si>
    <t>BASSEM</t>
  </si>
  <si>
    <t>Habib El Mouldi</t>
  </si>
  <si>
    <t>44, Rue El Amir Abdelkader</t>
  </si>
  <si>
    <t>4 R Taoufik Elhakim</t>
  </si>
  <si>
    <t>277 Rue Mohamed Ali</t>
  </si>
  <si>
    <t>237 Rue Habib Thameur</t>
  </si>
  <si>
    <t>27 Rue Ennidhalle</t>
  </si>
  <si>
    <t>117 Rue khaled Ibn El Walid</t>
  </si>
  <si>
    <t>40 Rue Abdelhamid El Gadhi</t>
  </si>
  <si>
    <t>FAREH</t>
  </si>
  <si>
    <t>ATTOUI</t>
  </si>
  <si>
    <t>NAIMA</t>
  </si>
  <si>
    <t>MANAI</t>
  </si>
  <si>
    <t>4 Rue de l'Oasis</t>
  </si>
  <si>
    <t>BEN ACHOUR</t>
  </si>
  <si>
    <t>INTISSAR</t>
  </si>
  <si>
    <t>Essayda</t>
  </si>
  <si>
    <t>23Rue Lettihed</t>
  </si>
  <si>
    <t>MDES</t>
  </si>
  <si>
    <t>98 Rue Yahia Ibn Omar</t>
  </si>
  <si>
    <t>1 R Ibn Zaidoun</t>
  </si>
  <si>
    <t>10 Rue Mohamed Ali</t>
  </si>
  <si>
    <t>22 Rue Allala El Fessi</t>
  </si>
  <si>
    <t>Rue de l'Environnement</t>
  </si>
  <si>
    <t>OUESLATI</t>
  </si>
  <si>
    <t>NAJIBA</t>
  </si>
  <si>
    <t>48 Rue e Hana M'saken 4070</t>
  </si>
  <si>
    <t>ATTIGUE</t>
  </si>
  <si>
    <t>NADHEM</t>
  </si>
  <si>
    <t>25 Av H Bourguiba</t>
  </si>
  <si>
    <t>Sidi Ameur</t>
  </si>
  <si>
    <t>Abdeaziz</t>
  </si>
  <si>
    <t>67 Rue Ali El Bach</t>
  </si>
  <si>
    <t>TEKAYA</t>
  </si>
  <si>
    <t>27 Rue Hannibal</t>
  </si>
  <si>
    <t>GHARSAALLAH</t>
  </si>
  <si>
    <t>Rue de la rÃ©publique</t>
  </si>
  <si>
    <t>Rue de la garre 4070 M'saken</t>
  </si>
  <si>
    <t>37 R de Kairouan M'Saken</t>
  </si>
  <si>
    <t>Rue Jammel</t>
  </si>
  <si>
    <t>BEN AMEUR</t>
  </si>
  <si>
    <t>NÂ° 111 Rue HÃ©di Khefacha</t>
  </si>
  <si>
    <t>09 Rue Zitouna</t>
  </si>
  <si>
    <t>14 Rue du Caire</t>
  </si>
  <si>
    <t>18 Cite Sidi Salem</t>
  </si>
  <si>
    <t>Bizert</t>
  </si>
  <si>
    <t>JANDOUBI</t>
  </si>
  <si>
    <t>MANNOUBI</t>
  </si>
  <si>
    <t>21,Rue Taoufik Ebdelli</t>
  </si>
  <si>
    <t>AOUIDA</t>
  </si>
  <si>
    <t>124 Rue de l'Indâ€špendance M'sa</t>
  </si>
  <si>
    <t>ZARGOUNI</t>
  </si>
  <si>
    <t>NEILA</t>
  </si>
  <si>
    <t>AGUIR</t>
  </si>
  <si>
    <t>CHAKROUN</t>
  </si>
  <si>
    <t>Najiba</t>
  </si>
  <si>
    <t>15 Rue Habib Thameur</t>
  </si>
  <si>
    <t>142 Rue Khaireddine Bacha</t>
  </si>
  <si>
    <t>75 Rue Rekeb</t>
  </si>
  <si>
    <t>34 Avenue Mohamed 5</t>
  </si>
  <si>
    <t>Ain mdhaker Enfida</t>
  </si>
  <si>
    <t>21 Rue Salah Gragueb</t>
  </si>
  <si>
    <t>Rue de Moknine</t>
  </si>
  <si>
    <t>300 Rue Ararfat</t>
  </si>
  <si>
    <t>156 Rue Mohamed Ali</t>
  </si>
  <si>
    <t>Rue 20 Mars</t>
  </si>
  <si>
    <t>Kalaa Kebira</t>
  </si>
  <si>
    <t>CHANTOU JMEGUER</t>
  </si>
  <si>
    <t>5 Rue Omar Al Mokhtar</t>
  </si>
  <si>
    <t>9 Rue El Bougi</t>
  </si>
  <si>
    <t>BOUKADIDA</t>
  </si>
  <si>
    <t>5 Rue Salah Hafsa</t>
  </si>
  <si>
    <t>Garde Nationale</t>
  </si>
  <si>
    <t>Chabila</t>
  </si>
  <si>
    <t>HAGER</t>
  </si>
  <si>
    <t>SAHBANI</t>
  </si>
  <si>
    <t>SMII</t>
  </si>
  <si>
    <t>435 Cite Ezzouhour 4031</t>
  </si>
  <si>
    <t>CHARAA</t>
  </si>
  <si>
    <t>5 Rue Ennajeh</t>
  </si>
  <si>
    <t>209, Rue Ali Belhwane</t>
  </si>
  <si>
    <t>77 Rue Tahar Sfar</t>
  </si>
  <si>
    <t>50 Rue Taieb Hachicha</t>
  </si>
  <si>
    <t>Laaroussi</t>
  </si>
  <si>
    <t>BEN BEKRI</t>
  </si>
  <si>
    <t>Fayala</t>
  </si>
  <si>
    <t>22,Rue des Aghlabites</t>
  </si>
  <si>
    <t>BEN ISMAIL</t>
  </si>
  <si>
    <t>6 Rue Assad Ibn Fourat</t>
  </si>
  <si>
    <t>14 Rue Hedi Chaker</t>
  </si>
  <si>
    <t>Nejia</t>
  </si>
  <si>
    <t>MOHAMED B BELGACEM</t>
  </si>
  <si>
    <t>Rue Amir Abdelkader</t>
  </si>
  <si>
    <t>27, Rue Najd citÃ© Ennour</t>
  </si>
  <si>
    <t>143 Rue HÃ©di Chaker</t>
  </si>
  <si>
    <t>KALBOUSSI</t>
  </si>
  <si>
    <t>BALTAGI</t>
  </si>
  <si>
    <t>MONTASAR</t>
  </si>
  <si>
    <t>WEDERNI</t>
  </si>
  <si>
    <t>BEN MABROUK</t>
  </si>
  <si>
    <t>MOHAMED HASSEN</t>
  </si>
  <si>
    <t>8 Rue Aziza Othmana</t>
  </si>
  <si>
    <t>12 Impasse Baghdad</t>
  </si>
  <si>
    <t>AHLEM</t>
  </si>
  <si>
    <t>ATTIG</t>
  </si>
  <si>
    <t>AV H bourguiba 5061 sidi ameur</t>
  </si>
  <si>
    <t>N224</t>
  </si>
  <si>
    <t>BOUBAKRI</t>
  </si>
  <si>
    <t>Aroussia</t>
  </si>
  <si>
    <t>27 Rue Abi Zamaa El Balaoui</t>
  </si>
  <si>
    <t>KHLIFA</t>
  </si>
  <si>
    <t>5 Rue El Hana</t>
  </si>
  <si>
    <t>FREDJ OUESLATI</t>
  </si>
  <si>
    <t>229 Rue Mohamed Ali</t>
  </si>
  <si>
    <t>133, Rue Echifa CitÃ© Erriadh</t>
  </si>
  <si>
    <t>3 Rue de Irak</t>
  </si>
  <si>
    <t>Mustapha</t>
  </si>
  <si>
    <t>KALAA KEBIRA</t>
  </si>
  <si>
    <t>Saliha</t>
  </si>
  <si>
    <t>17, Rue Jabrane Khalil Jabrane</t>
  </si>
  <si>
    <t>274 Rue Arafat</t>
  </si>
  <si>
    <t>182 Rue Mohamed Ali</t>
  </si>
  <si>
    <t>33 Rue 12 Mai</t>
  </si>
  <si>
    <t>BEN MASSOUD</t>
  </si>
  <si>
    <t>MADANI</t>
  </si>
  <si>
    <t>AMEL</t>
  </si>
  <si>
    <t>Saida</t>
  </si>
  <si>
    <t>Ezzohra</t>
  </si>
  <si>
    <t>Rue de l'IndÃ©pendance</t>
  </si>
  <si>
    <t>Faouzia</t>
  </si>
  <si>
    <t>Cite Ibn Khaldoun</t>
  </si>
  <si>
    <t>BEN NACEUR</t>
  </si>
  <si>
    <t>MOHAMED MEHDI</t>
  </si>
  <si>
    <t>53,Rue Mohamed El Kroui Bouhsina</t>
  </si>
  <si>
    <t>Mohamed Lamine</t>
  </si>
  <si>
    <t>Rue Pakestan</t>
  </si>
  <si>
    <t>23 Rue El Imam Mezri</t>
  </si>
  <si>
    <t>BEN SAOUD</t>
  </si>
  <si>
    <t>Nouri</t>
  </si>
  <si>
    <t>Badra</t>
  </si>
  <si>
    <t>42 Rue Errazi</t>
  </si>
  <si>
    <t>25 Rue Aboubaker Elkhouarezmi</t>
  </si>
  <si>
    <t>Radhia</t>
  </si>
  <si>
    <t>36 Rue El Imam Mezri</t>
  </si>
  <si>
    <t>256 Rue Farhat Hached</t>
  </si>
  <si>
    <t>BAKLOUTI</t>
  </si>
  <si>
    <t>23,Rue de Liban</t>
  </si>
  <si>
    <t>83 Rue Ali Bach Hamba</t>
  </si>
  <si>
    <t>1 rue mohamed ali msaken</t>
  </si>
  <si>
    <t>43 Rue du Caire</t>
  </si>
  <si>
    <t>21 Rue 20 Mars</t>
  </si>
  <si>
    <t>224 Rue Arafat</t>
  </si>
  <si>
    <t>MOHAMED NACEUR</t>
  </si>
  <si>
    <t>4 Rue El Montazah</t>
  </si>
  <si>
    <t>39 Rue 9 Avril</t>
  </si>
  <si>
    <t>Mounira</t>
  </si>
  <si>
    <t>28 Rue Khaled Ibn El Walid</t>
  </si>
  <si>
    <t>Rue Taieb Mhiri</t>
  </si>
  <si>
    <t>DOUAR OULED ABDALLAH</t>
  </si>
  <si>
    <t>1 Rue Mohamed Ali</t>
  </si>
  <si>
    <t>SAIED</t>
  </si>
  <si>
    <t>124 Rue Rekeb</t>
  </si>
  <si>
    <t>216 Rue 1er Juin</t>
  </si>
  <si>
    <t>Rue El Hidaya</t>
  </si>
  <si>
    <t>30 Rue Essaada</t>
  </si>
  <si>
    <t>76 Rue de Bizerte</t>
  </si>
  <si>
    <t>210 Rue El Asphahani</t>
  </si>
  <si>
    <t>193 Rue Ali Belhouane</t>
  </si>
  <si>
    <t>EL GUERGUEB</t>
  </si>
  <si>
    <t>Rue Essalem</t>
  </si>
  <si>
    <t>40 Cite Roumania</t>
  </si>
  <si>
    <t>Chafia</t>
  </si>
  <si>
    <t>118 Rue Mohamed Ali</t>
  </si>
  <si>
    <t>BEN AROUS</t>
  </si>
  <si>
    <t>204 Rue Arafat</t>
  </si>
  <si>
    <t>6 Rue Hassen Ibn Noomen</t>
  </si>
  <si>
    <t>61 Rue Ali Belhouane</t>
  </si>
  <si>
    <t>Mahamed</t>
  </si>
  <si>
    <t>274,Rue Arafat</t>
  </si>
  <si>
    <t>Rue 18 Janvier guengla M bourg</t>
  </si>
  <si>
    <t>WASSIM</t>
  </si>
  <si>
    <t>Assia</t>
  </si>
  <si>
    <t>22, Rue 18 Janvier</t>
  </si>
  <si>
    <t>Rue Ibn Khouldoun nÂ°623</t>
  </si>
  <si>
    <t>Rue Abdelkader Khattabi</t>
  </si>
  <si>
    <t>112,Rue El MÃ¢arri</t>
  </si>
  <si>
    <t>GRIRA LOKHDHIRI</t>
  </si>
  <si>
    <t>408 Rue 1er Juin</t>
  </si>
  <si>
    <t>EL HOTMANI</t>
  </si>
  <si>
    <t>90 Rue El Hana</t>
  </si>
  <si>
    <t>Bochra</t>
  </si>
  <si>
    <t>7 Rue Ezzouhour</t>
  </si>
  <si>
    <t>MKHININI ZAATOUT</t>
  </si>
  <si>
    <t>109 Rue de la mosquÃ©e</t>
  </si>
  <si>
    <t>SAKKA ROUIS</t>
  </si>
  <si>
    <t>10 Rue Amman</t>
  </si>
  <si>
    <t>AOUINI</t>
  </si>
  <si>
    <t>HADJ ABDALLAH</t>
  </si>
  <si>
    <t>2 Rue Abdelhamid Gadhi</t>
  </si>
  <si>
    <t>BEN RAJEH</t>
  </si>
  <si>
    <t>BEN ABDELJAOUAD</t>
  </si>
  <si>
    <t>BEN CHAOUACHA</t>
  </si>
  <si>
    <t>JED</t>
  </si>
  <si>
    <t>25 Rue Taoufik El Abdelli</t>
  </si>
  <si>
    <t>14 Rue Ali Ben Ghedhahem</t>
  </si>
  <si>
    <t>68 Rue du Soudan</t>
  </si>
  <si>
    <t>rue baghdad msaken</t>
  </si>
  <si>
    <t>455 Rue 1 juin</t>
  </si>
  <si>
    <t>126 Rue Djebline</t>
  </si>
  <si>
    <t>LAABIDI</t>
  </si>
  <si>
    <t>beni kaltoum</t>
  </si>
  <si>
    <t>Rue Ibn Charaf</t>
  </si>
  <si>
    <t>Sayda</t>
  </si>
  <si>
    <t>Rue Mohamed Ben Salem CitÃ© El Ghodrane</t>
  </si>
  <si>
    <t>Jalila</t>
  </si>
  <si>
    <t>AV Habib bourguiba</t>
  </si>
  <si>
    <t>Ezzaiet Azzouze Route de Kairouan</t>
  </si>
  <si>
    <t>BEN SALMA</t>
  </si>
  <si>
    <t>SAMET</t>
  </si>
  <si>
    <t>Route de Monastir km5</t>
  </si>
  <si>
    <t>4 Rue El Kram</t>
  </si>
  <si>
    <t>67 Rue Sidi Abar</t>
  </si>
  <si>
    <t>10 Rue Ammene</t>
  </si>
  <si>
    <t>6 Rue Hedi Chaker</t>
  </si>
  <si>
    <t>10 Rue El Amal</t>
  </si>
  <si>
    <t>44 Rue Mongi Bali</t>
  </si>
  <si>
    <t>17 Rue Essafsaf</t>
  </si>
  <si>
    <t>30 Rue Sadok Chatti</t>
  </si>
  <si>
    <t>3 Rue Mohamed Ali</t>
  </si>
  <si>
    <t>4015 beni rabiaa</t>
  </si>
  <si>
    <t>MOHAMED MEJDI</t>
  </si>
  <si>
    <t>12 Rue 20 Mars</t>
  </si>
  <si>
    <t>Maktouf</t>
  </si>
  <si>
    <t>840 Cite Ezzouhour</t>
  </si>
  <si>
    <t>Rue de la MosquÃ©e</t>
  </si>
  <si>
    <t>BEL ARBIA</t>
  </si>
  <si>
    <t>Rue Haroun Errachid</t>
  </si>
  <si>
    <t>396 Rue 1er juin</t>
  </si>
  <si>
    <t>Rue Tahar Sfar</t>
  </si>
  <si>
    <t>BEN ABDESSALEM</t>
  </si>
  <si>
    <t>266 rue zemzem msaken</t>
  </si>
  <si>
    <t>FKIH ALI</t>
  </si>
  <si>
    <t>11 Rue ibn sina</t>
  </si>
  <si>
    <t>20 Rue El Medina</t>
  </si>
  <si>
    <t>14 Rue de Monastir</t>
  </si>
  <si>
    <t>YACINE</t>
  </si>
  <si>
    <t>Chebila</t>
  </si>
  <si>
    <t>Ratiba</t>
  </si>
  <si>
    <t>CHELBI</t>
  </si>
  <si>
    <t>139 cite ettaamir sousse</t>
  </si>
  <si>
    <t>Abdelmejid</t>
  </si>
  <si>
    <t>93 rue Tahar sfar</t>
  </si>
  <si>
    <t>66 rue sidi abar</t>
  </si>
  <si>
    <t>RBEH</t>
  </si>
  <si>
    <t>Baya</t>
  </si>
  <si>
    <t>61 Avenu de la RÃ©publique</t>
  </si>
  <si>
    <t>23 Rue Dahmani Bougi</t>
  </si>
  <si>
    <t>122 Rue Tahar Sfar</t>
  </si>
  <si>
    <t>B.H.SGHAIER</t>
  </si>
  <si>
    <t>4 Rue Ezzouhour</t>
  </si>
  <si>
    <t>Moahmed</t>
  </si>
  <si>
    <t>8 Rue KÃ¢ab Ibn Zoubaier</t>
  </si>
  <si>
    <t>Nasr</t>
  </si>
  <si>
    <t>Moheddine</t>
  </si>
  <si>
    <t>Rue du Liban</t>
  </si>
  <si>
    <t>34, Rue Essafa</t>
  </si>
  <si>
    <t>BOUSOUIFA</t>
  </si>
  <si>
    <t>144 Rue Imem Mezri</t>
  </si>
  <si>
    <t>15 Rue Sidi  Abar</t>
  </si>
  <si>
    <t>MOHAMED ABDERRAOUF</t>
  </si>
  <si>
    <t>beni kalthoum</t>
  </si>
  <si>
    <t>Ida</t>
  </si>
  <si>
    <t>58, Rue Ali Bach Hamba</t>
  </si>
  <si>
    <t>TROUDI</t>
  </si>
  <si>
    <t>Kmar</t>
  </si>
  <si>
    <t>7 Rue de Mouritani</t>
  </si>
  <si>
    <t>137 Rue Ali Belhouane</t>
  </si>
  <si>
    <t>141 Route de Sfax</t>
  </si>
  <si>
    <t>Naima</t>
  </si>
  <si>
    <t>BEN ALITA</t>
  </si>
  <si>
    <t>Chebil</t>
  </si>
  <si>
    <t>Ecole de Frada</t>
  </si>
  <si>
    <t>238 Rue 1er juin</t>
  </si>
  <si>
    <t>Bachra</t>
  </si>
  <si>
    <t>14 Nouvelle CitÃ©</t>
  </si>
  <si>
    <t>BEN HADJ HASSEN</t>
  </si>
  <si>
    <t>Moncef</t>
  </si>
  <si>
    <t>29,Rue Martyr Salah Hafsa</t>
  </si>
  <si>
    <t>Ouled abdallah</t>
  </si>
  <si>
    <t>02 Rue El Imam Mezri</t>
  </si>
  <si>
    <t>BEL HADJ HASSINE</t>
  </si>
  <si>
    <t>SAOUDI</t>
  </si>
  <si>
    <t>MOEZ</t>
  </si>
  <si>
    <t>Rue Souhaiel Ben Amrou</t>
  </si>
  <si>
    <t>SAAFI</t>
  </si>
  <si>
    <t>55 AV 20 Mars</t>
  </si>
  <si>
    <t>Mohamed Taieb</t>
  </si>
  <si>
    <t>8 Impasse Essaada</t>
  </si>
  <si>
    <t>Kessibet Sousse</t>
  </si>
  <si>
    <t>163 Rue Hedi Chaker</t>
  </si>
  <si>
    <t>267 Rue Habib Thameur</t>
  </si>
  <si>
    <t>Rue Abdelkader el jaziri</t>
  </si>
  <si>
    <t>KAIES</t>
  </si>
  <si>
    <t>78 Rue Taieb Hachicha</t>
  </si>
  <si>
    <t>BEL GADHA</t>
  </si>
  <si>
    <t>NÂ°10</t>
  </si>
  <si>
    <t>EL BAHLOUL</t>
  </si>
  <si>
    <t>4 Rue Ibn Sina</t>
  </si>
  <si>
    <t>Omar</t>
  </si>
  <si>
    <t>1, Rue de la libertÃ©</t>
  </si>
  <si>
    <t>Ksour Essef</t>
  </si>
  <si>
    <t>Frada</t>
  </si>
  <si>
    <t>Wannes</t>
  </si>
  <si>
    <t>AV El Imam Abou Hanifa</t>
  </si>
  <si>
    <t>767 Rue Douali</t>
  </si>
  <si>
    <t>11, Rue 2348 CitÃ© Laouina</t>
  </si>
  <si>
    <t>MERIAH</t>
  </si>
  <si>
    <t>ZINELABIDINE</t>
  </si>
  <si>
    <t>Salwa</t>
  </si>
  <si>
    <t>R Yahia Ibn Khaled Essoussi Khezama</t>
  </si>
  <si>
    <t>52 Rue du Caire</t>
  </si>
  <si>
    <t>Zohar</t>
  </si>
  <si>
    <t>25 Rue Mohamed Ali</t>
  </si>
  <si>
    <t>10 Rue Ibn Hambel</t>
  </si>
  <si>
    <t>88 Rue Farhat Hached</t>
  </si>
  <si>
    <t>29 Rue Ain Draham</t>
  </si>
  <si>
    <t>06 Rue Sobhi Salah</t>
  </si>
  <si>
    <t>MOHAMED BEN ALI</t>
  </si>
  <si>
    <t>Rue Jedda</t>
  </si>
  <si>
    <t>51 Rue Ibn Badis</t>
  </si>
  <si>
    <t>10 Rue Ahmed Ibn Abi Dhiaf</t>
  </si>
  <si>
    <t>Bouraoui</t>
  </si>
  <si>
    <t>Toumia</t>
  </si>
  <si>
    <t>37 Rue de l'Independance</t>
  </si>
  <si>
    <t>Rue Ali Ben Ayed 4022</t>
  </si>
  <si>
    <t>BOUZAABIA</t>
  </si>
  <si>
    <t>Rue KHaled Ibn El Walid</t>
  </si>
  <si>
    <t>CitÃ© Ibn Khouldoun</t>
  </si>
  <si>
    <t>BEN KALIA</t>
  </si>
  <si>
    <t>19, Rue Omar El Mokhtar</t>
  </si>
  <si>
    <t>Rue Ali Belhouane</t>
  </si>
  <si>
    <t>HARB</t>
  </si>
  <si>
    <t>TERZEGUE</t>
  </si>
  <si>
    <t>Mongi</t>
  </si>
  <si>
    <t>10 Avenue El Aghalba</t>
  </si>
  <si>
    <t>EL FEKIH</t>
  </si>
  <si>
    <t>12 Rue Amna Braham</t>
  </si>
  <si>
    <t>Mohamed Chaabene</t>
  </si>
  <si>
    <t>Rue Youssef Temimi</t>
  </si>
  <si>
    <t>834, Rue de Lamekke Ezzahra</t>
  </si>
  <si>
    <t>Mahdia 5100</t>
  </si>
  <si>
    <t>Rue 623 AV Ibn Khaldoune</t>
  </si>
  <si>
    <t>Immeuble Salah CitÃ© Ettaamir</t>
  </si>
  <si>
    <t>Dalila</t>
  </si>
  <si>
    <t>19, Rue El Houda</t>
  </si>
  <si>
    <t>MEJBRI</t>
  </si>
  <si>
    <t>AYED</t>
  </si>
  <si>
    <t>09, Rue Singore</t>
  </si>
  <si>
    <t>2 Rue Mustapha Khraief</t>
  </si>
  <si>
    <t>BOUHLEL BOUGHDIRA</t>
  </si>
  <si>
    <t>MOHAMED CHAKER</t>
  </si>
  <si>
    <t>15 Rue des Oranges</t>
  </si>
  <si>
    <t>BEN JAAFAR</t>
  </si>
  <si>
    <t>kroussia</t>
  </si>
  <si>
    <t>AMMARI</t>
  </si>
  <si>
    <t>DHAHBI</t>
  </si>
  <si>
    <t>SOUHAIEL</t>
  </si>
  <si>
    <t>Au Batam</t>
  </si>
  <si>
    <t>27 Rue Bouhtouri Erriadh</t>
  </si>
  <si>
    <t>79 Rue Mendra</t>
  </si>
  <si>
    <t>HERMASSI</t>
  </si>
  <si>
    <t>OLFA</t>
  </si>
  <si>
    <t>98 Rue de l'independance</t>
  </si>
  <si>
    <t>Fatiha</t>
  </si>
  <si>
    <t>Rue Ksar Helal</t>
  </si>
  <si>
    <t>TOUATI</t>
  </si>
  <si>
    <t>Rue  Ahmed Zarrouk</t>
  </si>
  <si>
    <t>Gafsa</t>
  </si>
  <si>
    <t>BOUSOBINE</t>
  </si>
  <si>
    <t>Hamadi</t>
  </si>
  <si>
    <t>18 Rue Farhat Hached</t>
  </si>
  <si>
    <t>NOUIR</t>
  </si>
  <si>
    <t>102 Rue El Yamen</t>
  </si>
  <si>
    <t>22, Rue Kassara</t>
  </si>
  <si>
    <t>1 Rue Nidhal</t>
  </si>
  <si>
    <t>RueTripoli</t>
  </si>
  <si>
    <t>FAIDI</t>
  </si>
  <si>
    <t>14 Rue El Imam El Mezri</t>
  </si>
  <si>
    <t>DAHAY CHATTI</t>
  </si>
  <si>
    <t>73 Rue 1er Juin</t>
  </si>
  <si>
    <t>Rue 1er Juin</t>
  </si>
  <si>
    <t>31 Rue Omar Ibn Khattab</t>
  </si>
  <si>
    <t>CHAIBI</t>
  </si>
  <si>
    <t>SIHEM</t>
  </si>
  <si>
    <t>37 Rue de Sfax</t>
  </si>
  <si>
    <t>Rue Tahar Haddad</t>
  </si>
  <si>
    <t>MED ALI</t>
  </si>
  <si>
    <t>Echafi</t>
  </si>
  <si>
    <t>HÃ©dia</t>
  </si>
  <si>
    <t>CHEFIK</t>
  </si>
  <si>
    <t>20 Rue Ribat</t>
  </si>
  <si>
    <t>El Arbi</t>
  </si>
  <si>
    <t>Bchia</t>
  </si>
  <si>
    <t>Rue 5146 nÂ° 560</t>
  </si>
  <si>
    <t>9 Rue de Lybia</t>
  </si>
  <si>
    <t>BELKHIRIA</t>
  </si>
  <si>
    <t>46 Rue 15 Octobre</t>
  </si>
  <si>
    <t>BEKKEY</t>
  </si>
  <si>
    <t>AMENI</t>
  </si>
  <si>
    <t>16 Rue du Caire</t>
  </si>
  <si>
    <t>BEN SALAH</t>
  </si>
  <si>
    <t>BEZI</t>
  </si>
  <si>
    <t>SEBAI</t>
  </si>
  <si>
    <t>68, Rue Chohrour, CitÃ© Bougatfa 2</t>
  </si>
  <si>
    <t>8,R Kaab Ibn Zouhaier</t>
  </si>
  <si>
    <t>Elhaza</t>
  </si>
  <si>
    <t>571, Rue Taha Hassine</t>
  </si>
  <si>
    <t>71, Rue El Jahedh</t>
  </si>
  <si>
    <t>M'RIZEK</t>
  </si>
  <si>
    <t>Route de Moureddine</t>
  </si>
  <si>
    <t>69, Rue 20 Mars</t>
  </si>
  <si>
    <t>BACH</t>
  </si>
  <si>
    <t>54, rue de la mosquÃ©e</t>
  </si>
  <si>
    <t>Abdelkerim</t>
  </si>
  <si>
    <t>Rue Landalous CitÃ© Ibn Khouldoun</t>
  </si>
  <si>
    <t>38, Rue farhat Hached</t>
  </si>
  <si>
    <t>322,rue Farhat Hached</t>
  </si>
  <si>
    <t>Rue Ahmed Amine</t>
  </si>
  <si>
    <t>Rue Ibn Jazzar</t>
  </si>
  <si>
    <t>Rue Katar</t>
  </si>
  <si>
    <t>Abdelmotaleb</t>
  </si>
  <si>
    <t>126,Rue Carthage</t>
  </si>
  <si>
    <t>48,Rue el Imem Ibn Arfa</t>
  </si>
  <si>
    <t>184, Rue HÃ©di Chaker</t>
  </si>
  <si>
    <t>Rue Sayar</t>
  </si>
  <si>
    <t>171 Rue Ali Belhouane</t>
  </si>
  <si>
    <t>485 Rue 1er juin</t>
  </si>
  <si>
    <t>10, Rue Farhat Hached</t>
  </si>
  <si>
    <t>44 Rue Achour</t>
  </si>
  <si>
    <t>Moufida</t>
  </si>
  <si>
    <t>28 Rue Abdelhamid El Gadhi</t>
  </si>
  <si>
    <t>SOUA LAYOUNI</t>
  </si>
  <si>
    <t>13 Rue 20 Mars</t>
  </si>
  <si>
    <t>52 Rue Rekeb</t>
  </si>
  <si>
    <t>19 rue 20 mars</t>
  </si>
  <si>
    <t>Wahiba</t>
  </si>
  <si>
    <t>Route de Gremda km2 Ain Cheikh Rouhou</t>
  </si>
  <si>
    <t>Tunis</t>
  </si>
  <si>
    <t>ABDAOUI</t>
  </si>
  <si>
    <t>89, Rue Rekeb</t>
  </si>
  <si>
    <t>Aouled Kbaier</t>
  </si>
  <si>
    <t>Rue El Kods</t>
  </si>
  <si>
    <t>Rue Dahmani Bougi</t>
  </si>
  <si>
    <t>EL HAMDI</t>
  </si>
  <si>
    <t>Hadda</t>
  </si>
  <si>
    <t>Aouled Lakhchine</t>
  </si>
  <si>
    <t>Lotfi</t>
  </si>
  <si>
    <t>Nawalette</t>
  </si>
  <si>
    <t>Mna</t>
  </si>
  <si>
    <t>Aouled Ali Bel Hani</t>
  </si>
  <si>
    <t>KHEDHIRI</t>
  </si>
  <si>
    <t>Rue de Carthage</t>
  </si>
  <si>
    <t>84, Rue 12 Mai</t>
  </si>
  <si>
    <t>Rue El Khir</t>
  </si>
  <si>
    <t>Aouled Boubaker</t>
  </si>
  <si>
    <t>EL YAZIDI</t>
  </si>
  <si>
    <t>92 Knaies</t>
  </si>
  <si>
    <t>263, Rue Mohamed Ali</t>
  </si>
  <si>
    <t>52, Rue Imam Baydhaoui Khezama</t>
  </si>
  <si>
    <t>Nejiba</t>
  </si>
  <si>
    <t>35, Rue Ahmed Regaieg</t>
  </si>
  <si>
    <t>Ezzeddina</t>
  </si>
  <si>
    <t>20, Rue Jinene Sidi Tahar</t>
  </si>
  <si>
    <t>BEN AOUANA</t>
  </si>
  <si>
    <t>Meaoui</t>
  </si>
  <si>
    <t>Aouled Ali El HÃ©ni</t>
  </si>
  <si>
    <t>Ghanayet El Menzel Oueslatia</t>
  </si>
  <si>
    <t>30, Rue Monastir</t>
  </si>
  <si>
    <t>Echargui Hebira</t>
  </si>
  <si>
    <t>Mbarka</t>
  </si>
  <si>
    <t>El Hdaya Hajeb Layoun</t>
  </si>
  <si>
    <t>Khazzazia</t>
  </si>
  <si>
    <t>144, Rue Taieb Hachicha</t>
  </si>
  <si>
    <t>Mustapha Kamel</t>
  </si>
  <si>
    <t>21, Rue Khaled Ibn El Walid</t>
  </si>
  <si>
    <t>ALIBI</t>
  </si>
  <si>
    <t>Mohsen</t>
  </si>
  <si>
    <t>Henda</t>
  </si>
  <si>
    <t>Rue Kadissya</t>
  </si>
  <si>
    <t>ZARROUK</t>
  </si>
  <si>
    <t>KAIS</t>
  </si>
  <si>
    <t>Ismail</t>
  </si>
  <si>
    <t>Rue Mohamed Karoui Bouhssina</t>
  </si>
  <si>
    <t>BERGUIGA</t>
  </si>
  <si>
    <t>Najet</t>
  </si>
  <si>
    <t>Rue Youssef Saheb Ettabaa Khezama</t>
  </si>
  <si>
    <t>Hayet</t>
  </si>
  <si>
    <t>KERKENI</t>
  </si>
  <si>
    <t>Hamed</t>
  </si>
  <si>
    <t>Rue Omar Ibn Abdelaziz ouhssina</t>
  </si>
  <si>
    <t>ISMAIL</t>
  </si>
  <si>
    <t>Safia</t>
  </si>
  <si>
    <t>Rue Abdelamid El Gadhi</t>
  </si>
  <si>
    <t>Samira</t>
  </si>
  <si>
    <t>Rue Mongi Bali</t>
  </si>
  <si>
    <t>GUELLIME</t>
  </si>
  <si>
    <t>Rue Arafet</t>
  </si>
  <si>
    <t>Rue Takwa</t>
  </si>
  <si>
    <t>Impasse Achour</t>
  </si>
  <si>
    <t>ASMA</t>
  </si>
  <si>
    <t>Ezzeddine</t>
  </si>
  <si>
    <t>29, Rue de la mosquÃ©e</t>
  </si>
  <si>
    <t>Kalthoum</t>
  </si>
  <si>
    <t>Rue Dar Essalem Route de Knaies</t>
  </si>
  <si>
    <t>Khaled</t>
  </si>
  <si>
    <t>Mahfoudh</t>
  </si>
  <si>
    <t>KHADHROUI</t>
  </si>
  <si>
    <t>samira</t>
  </si>
  <si>
    <t>133, Rue Rekeb</t>
  </si>
  <si>
    <t>Ridha</t>
  </si>
  <si>
    <t>Neila</t>
  </si>
  <si>
    <t>Rue Ibn Sina CitÃ© Ibn Khouldoun</t>
  </si>
  <si>
    <t>Rue Mongi Zribi</t>
  </si>
  <si>
    <t>Rue des Aghlabides CitÃ© Ennour</t>
  </si>
  <si>
    <t>Adel</t>
  </si>
  <si>
    <t>467, Rue 1Juin</t>
  </si>
  <si>
    <t>Rue Imam Hambali</t>
  </si>
  <si>
    <t>Rue Chikh Ladheri</t>
  </si>
  <si>
    <t>Sallouha</t>
  </si>
  <si>
    <t>22, Rue 20 Mars</t>
  </si>
  <si>
    <t>Rue 3033 Tfala CitÃ© Laouina</t>
  </si>
  <si>
    <t>MOHAMED BILEL</t>
  </si>
  <si>
    <t>7, Rue Taoufik El Hakim</t>
  </si>
  <si>
    <t>Abderrazk</t>
  </si>
  <si>
    <t>Leila</t>
  </si>
  <si>
    <t>Rue Imam Malek</t>
  </si>
  <si>
    <t>Mohamed Gaaib</t>
  </si>
  <si>
    <t>17, Rue Khaled Ibn El Walid</t>
  </si>
  <si>
    <t>ABID BOUKADDIDA</t>
  </si>
  <si>
    <t>Ajmia</t>
  </si>
  <si>
    <t>Rue El Majd CitÃ© Ennour</t>
  </si>
  <si>
    <t>BEN LAMINE</t>
  </si>
  <si>
    <t>327, Rue 1er Juin 1955</t>
  </si>
  <si>
    <t>16, Rue 20 Mars</t>
  </si>
  <si>
    <t>Boujriwel</t>
  </si>
  <si>
    <t>76 Rue El Imem Malek</t>
  </si>
  <si>
    <t>MOHAMED AYMEN</t>
  </si>
  <si>
    <t>AbdelmÃ©jid</t>
  </si>
  <si>
    <t>Rue Bir Makkia</t>
  </si>
  <si>
    <t>Hichem</t>
  </si>
  <si>
    <t>Wafa</t>
  </si>
  <si>
    <t>Abdeljelil</t>
  </si>
  <si>
    <t>Najoua</t>
  </si>
  <si>
    <t>41, Rue Ali Belhouane</t>
  </si>
  <si>
    <t>Jamel</t>
  </si>
  <si>
    <t>Marwa</t>
  </si>
  <si>
    <t>46, Rue de la MosquÃ©</t>
  </si>
  <si>
    <t>Fathi</t>
  </si>
  <si>
    <t>Rue Makka</t>
  </si>
  <si>
    <t>Rue Bel Hassen</t>
  </si>
  <si>
    <t>MOHAMED YACINE</t>
  </si>
  <si>
    <t>Monia</t>
  </si>
  <si>
    <t>Route de Saryach</t>
  </si>
  <si>
    <t>Samia</t>
  </si>
  <si>
    <t>Rue Foudhaila CitÃ© Ennour</t>
  </si>
  <si>
    <t>Mohamed El HÃ©di</t>
  </si>
  <si>
    <t>Sonia</t>
  </si>
  <si>
    <t>Basma</t>
  </si>
  <si>
    <t>Abderrazek</t>
  </si>
  <si>
    <t>17, Rue des Oranges</t>
  </si>
  <si>
    <t>SFAIHI</t>
  </si>
  <si>
    <t>Mohamed Lotfi</t>
  </si>
  <si>
    <t>48, Rue Amine Ryahi</t>
  </si>
  <si>
    <t>Rue Salah Hafsa</t>
  </si>
  <si>
    <t>139, Rue Omene</t>
  </si>
  <si>
    <t>Rue Bassatine</t>
  </si>
  <si>
    <t>77, Rue Ettakwa</t>
  </si>
  <si>
    <t>Mustapha Faouzi</t>
  </si>
  <si>
    <t>35, Rue des rosiers</t>
  </si>
  <si>
    <t>Rue Andalous</t>
  </si>
  <si>
    <t>MKININI</t>
  </si>
  <si>
    <t>226, Rue Youssef Temimi</t>
  </si>
  <si>
    <t>KHAWLA</t>
  </si>
  <si>
    <t>10, Rue El Kods</t>
  </si>
  <si>
    <t>Rue 3004, CitÃ© El Ghodran</t>
  </si>
  <si>
    <t>12, Rue des Oranges</t>
  </si>
  <si>
    <t>IMEDEDDINE</t>
  </si>
  <si>
    <t>Amna</t>
  </si>
  <si>
    <t>GHANNEM</t>
  </si>
  <si>
    <t>Alam Sbikha</t>
  </si>
  <si>
    <t>Tounes</t>
  </si>
  <si>
    <t>El Bchachma Kondar</t>
  </si>
  <si>
    <t>53, Rue Aziza Othmana</t>
  </si>
  <si>
    <t>KHELIFA MAHJOUB</t>
  </si>
  <si>
    <t>Najah</t>
  </si>
  <si>
    <t>Rue Mohamed Habiba Chatti</t>
  </si>
  <si>
    <t>Houda</t>
  </si>
  <si>
    <t>HOUAS</t>
  </si>
  <si>
    <t>Rachid</t>
  </si>
  <si>
    <t>17, Rue Annaba</t>
  </si>
  <si>
    <t>SAHAIEB</t>
  </si>
  <si>
    <t>Najeh</t>
  </si>
  <si>
    <t>230, Rue Arafet</t>
  </si>
  <si>
    <t>Jalel</t>
  </si>
  <si>
    <t>Rue Fes</t>
  </si>
  <si>
    <t>Rue Imem Ben Arfa</t>
  </si>
  <si>
    <t>Taoufik</t>
  </si>
  <si>
    <t>Najla</t>
  </si>
  <si>
    <t>Mehrez</t>
  </si>
  <si>
    <t>Beni rabiaa</t>
  </si>
  <si>
    <t>Chrachir Kroussia</t>
  </si>
  <si>
    <t>34 Route de Tunis</t>
  </si>
  <si>
    <t>Nabila</t>
  </si>
  <si>
    <t>Kamel</t>
  </si>
  <si>
    <t>Sami</t>
  </si>
  <si>
    <t>149, Rue Sidi Bel Hassen</t>
  </si>
  <si>
    <t>Mounir</t>
  </si>
  <si>
    <t>52, Rue du Caire</t>
  </si>
  <si>
    <t>Hanen</t>
  </si>
  <si>
    <t>Rue de Kairouan Bouhsina</t>
  </si>
  <si>
    <t>KECHCICHE</t>
  </si>
  <si>
    <t>Essaida</t>
  </si>
  <si>
    <t>225, Rue Habib Thameur</t>
  </si>
  <si>
    <t>Faten</t>
  </si>
  <si>
    <t>79 Avenu Abou Hamed El Ghazali</t>
  </si>
  <si>
    <t>Med Habib</t>
  </si>
  <si>
    <t>Lamia</t>
  </si>
  <si>
    <t>Rue Martyr Hamda Hmila</t>
  </si>
  <si>
    <t>Sondos</t>
  </si>
  <si>
    <t>11, Rue Essada</t>
  </si>
  <si>
    <t>CHOUAIEB</t>
  </si>
  <si>
    <t>Echrachir</t>
  </si>
  <si>
    <t>Samir</t>
  </si>
  <si>
    <t>Rue Asma Bent Abi Baker</t>
  </si>
  <si>
    <t>Fethi</t>
  </si>
  <si>
    <t>Immeuble 47 NÂ°333 Omrane Sup</t>
  </si>
  <si>
    <t>Rue Iran Saryach</t>
  </si>
  <si>
    <t>8, Rue Amal</t>
  </si>
  <si>
    <t>Rue des Oranges</t>
  </si>
  <si>
    <t>02, Rue Oghanda</t>
  </si>
  <si>
    <t>Foued</t>
  </si>
  <si>
    <t>Rue Ibn Sina</t>
  </si>
  <si>
    <t>Noura</t>
  </si>
  <si>
    <t>23, Rue de la mosquÃ©e</t>
  </si>
  <si>
    <t>FARAH</t>
  </si>
  <si>
    <t>Chafik</t>
  </si>
  <si>
    <t>Dhouha</t>
  </si>
  <si>
    <t>Rue de la libertÃ©</t>
  </si>
  <si>
    <t>Rue Yaman</t>
  </si>
  <si>
    <t>Mohamed Karim</t>
  </si>
  <si>
    <t>Elhechmi</t>
  </si>
  <si>
    <t>Kadija</t>
  </si>
  <si>
    <t>Nabeul</t>
  </si>
  <si>
    <t>Abdel Fafeh</t>
  </si>
  <si>
    <t>Rue sidi bel Hasan</t>
  </si>
  <si>
    <t>Khaoula</t>
  </si>
  <si>
    <t>Jebali</t>
  </si>
  <si>
    <t>Rue hached 3120 ousletia</t>
  </si>
  <si>
    <t>RUE NOUHOUDH ALMITLAOUI</t>
  </si>
  <si>
    <t>FATNASSI</t>
  </si>
  <si>
    <t>DAR AMEN</t>
  </si>
  <si>
    <t>TRIGUI</t>
  </si>
  <si>
    <t>ALKHAFI 4 ALAIN DFAX</t>
  </si>
  <si>
    <t>KHADIMALLAH</t>
  </si>
  <si>
    <t>MABROUKA</t>
  </si>
  <si>
    <t>RUE SOUROUR NAHJ TAKADOM</t>
  </si>
  <si>
    <t>FAYZA</t>
  </si>
  <si>
    <t>RUE EZDIHAR</t>
  </si>
  <si>
    <t>DALILA</t>
  </si>
  <si>
    <t>RUE FARHET HACHED</t>
  </si>
  <si>
    <t>IBTISSEM</t>
  </si>
  <si>
    <t>RUE RIBAT MSAKEN</t>
  </si>
  <si>
    <t>MOHAMED EL HEDI</t>
  </si>
  <si>
    <t>KHADIJA</t>
  </si>
  <si>
    <t>OM lARAYES GAFSA</t>
  </si>
  <si>
    <t>BEN SASSI</t>
  </si>
  <si>
    <t>ZAINA</t>
  </si>
  <si>
    <t>RUE RIADH ALSANAD</t>
  </si>
  <si>
    <t>ALAEDDINE</t>
  </si>
  <si>
    <t>BEN KAMEL</t>
  </si>
  <si>
    <t>27 RUE  AL FATIMI</t>
  </si>
  <si>
    <t>RUE 04-12-52 KSAR</t>
  </si>
  <si>
    <t>MOHAMED SASSI</t>
  </si>
  <si>
    <t>AICHA</t>
  </si>
  <si>
    <t>DAKHLET AL AJEJ ALKAMOUR</t>
  </si>
  <si>
    <t>TAYEB</t>
  </si>
  <si>
    <t>RUE AINE MATRACH</t>
  </si>
  <si>
    <t>SAYAHI</t>
  </si>
  <si>
    <t>MBARKA</t>
  </si>
  <si>
    <t>KSAR ALHAMAM ALGHARBIA</t>
  </si>
  <si>
    <t>79 RUE ELWIFAK</t>
  </si>
  <si>
    <t>RUE ELMANDRA</t>
  </si>
  <si>
    <t>HADDA</t>
  </si>
  <si>
    <t>03 RUE AL ONS</t>
  </si>
  <si>
    <t>AZIZA</t>
  </si>
  <si>
    <t>RUE 2 MARS SBIKHA</t>
  </si>
  <si>
    <t>MAJIDA</t>
  </si>
  <si>
    <t>20 RUE SALEM BEN RAFAA ALMANSOURA</t>
  </si>
  <si>
    <t>HORCHANI</t>
  </si>
  <si>
    <t>NAHED</t>
  </si>
  <si>
    <t>RUE 9 AVRIL</t>
  </si>
  <si>
    <t>Rue Mohamed Mhala</t>
  </si>
  <si>
    <t>CHAOUKI</t>
  </si>
  <si>
    <t>112 Rue Colombo, CitÃ© Erriadh 5</t>
  </si>
  <si>
    <t>TIJANI</t>
  </si>
  <si>
    <t>HABIBA</t>
  </si>
  <si>
    <t>279 Rue 5112 citÃ© Erriadh</t>
  </si>
  <si>
    <t>RJIBA</t>
  </si>
  <si>
    <t>Rue Abdelhamid Rjiba</t>
  </si>
  <si>
    <t>SALLAM</t>
  </si>
  <si>
    <t>CitÃ© ElHana Bir Ali Ben Khalifa</t>
  </si>
  <si>
    <t>13 Rue Gharnata Sahbi 02</t>
  </si>
  <si>
    <t>Rue Ennakhil</t>
  </si>
  <si>
    <t>FATHIA</t>
  </si>
  <si>
    <t>25 Rue Kortoba</t>
  </si>
  <si>
    <t>Route  Al Ain km 1, Sfax</t>
  </si>
  <si>
    <t>54 rue alwaha</t>
  </si>
  <si>
    <t>Rue Salaheddin el Ayoubi</t>
  </si>
  <si>
    <t>OMOR</t>
  </si>
  <si>
    <t>ELABED</t>
  </si>
  <si>
    <t>RUE SIDI AABAR</t>
  </si>
  <si>
    <t>HESSINE</t>
  </si>
  <si>
    <t>WASSILA</t>
  </si>
  <si>
    <t>14 RUE GHORET JUIN</t>
  </si>
  <si>
    <t>BEN HADJ MESSAOUD</t>
  </si>
  <si>
    <t>AOULED ABDALLAH SIDI EL HENI</t>
  </si>
  <si>
    <t>RABIA</t>
  </si>
  <si>
    <t>BEN RABIA</t>
  </si>
  <si>
    <t>AZIZEDDINE</t>
  </si>
  <si>
    <t>FOUZIA</t>
  </si>
  <si>
    <t>48 Rue Monastir</t>
  </si>
  <si>
    <t>SEIF</t>
  </si>
  <si>
    <t>SALWA</t>
  </si>
  <si>
    <t>Rue ADRISSI Kalaa Sghuira</t>
  </si>
  <si>
    <t>NEJAT</t>
  </si>
  <si>
    <t>Rue CHIKH ALI BEN AMEUR Kalaa Kebira</t>
  </si>
  <si>
    <t>SAIF EDDINE</t>
  </si>
  <si>
    <t>ABDELATIF</t>
  </si>
  <si>
    <t>NAJWA</t>
  </si>
  <si>
    <t>45 Rue SIDI ABBAR</t>
  </si>
  <si>
    <t>ABDELRAOUF</t>
  </si>
  <si>
    <t>RUE EIN DRAHEM</t>
  </si>
  <si>
    <t>RUE SIDI BEL HESSAN</t>
  </si>
  <si>
    <t>Rue HABIB THAMER</t>
  </si>
  <si>
    <t>KHAIREDDINE</t>
  </si>
  <si>
    <t>BERIRI</t>
  </si>
  <si>
    <t>HAROUNE</t>
  </si>
  <si>
    <t>ALI SALEH</t>
  </si>
  <si>
    <t>RUE AMALIYET SAHEL OUARDENINE MONASTIR</t>
  </si>
  <si>
    <t>ABDEL</t>
  </si>
  <si>
    <t>BEN SAIED</t>
  </si>
  <si>
    <t>KHEZAIMA GHARBIYA SOUSSE</t>
  </si>
  <si>
    <t>AOULED AMMAR SIDI EL HENI</t>
  </si>
  <si>
    <t>RUE HANIBAL MSAKEN</t>
  </si>
  <si>
    <t>MOHAMED CHIHEB EDDIN</t>
  </si>
  <si>
    <t>85 Rue SALAH EDDIN AYOUBI MSAKEN</t>
  </si>
  <si>
    <t>TAKROUNA NFIDHA</t>
  </si>
  <si>
    <t>21 RUE 09 AVRIL MSAKEN</t>
  </si>
  <si>
    <t>12 Rue GHORET JUIN MSAKEN</t>
  </si>
  <si>
    <t>NOURA</t>
  </si>
  <si>
    <t>RUE SFAX MSAKEN</t>
  </si>
  <si>
    <t>ZOUHAIR</t>
  </si>
  <si>
    <t>FETHIYA</t>
  </si>
  <si>
    <t>RUE JINEN SIDI TAHER KSSOUR SEF</t>
  </si>
  <si>
    <t>RUE FERHET HACHED</t>
  </si>
  <si>
    <t>SGHAIR</t>
  </si>
  <si>
    <t>RUE HEDI CHAKER</t>
  </si>
  <si>
    <t>23 Rue ALMADINA ALMONAWRA</t>
  </si>
  <si>
    <t>FARID</t>
  </si>
  <si>
    <t>CITE ALJADID NIB KALTHOUM</t>
  </si>
  <si>
    <t>16 RUE MOSQUEE</t>
  </si>
  <si>
    <t>158 RUE HEDI CHAKER</t>
  </si>
  <si>
    <t>JILENI</t>
  </si>
  <si>
    <t>CHRACHIR KROUSSIYA SIDI EL HENI</t>
  </si>
  <si>
    <t>TARAK</t>
  </si>
  <si>
    <t>RUE MAGHREB ALARABI KHEZEIMA</t>
  </si>
  <si>
    <t>ABDELRAZZEK</t>
  </si>
  <si>
    <t>MONJIYA</t>
  </si>
  <si>
    <t>MAHBOUBA</t>
  </si>
  <si>
    <t>BENI RABIA MSAKEN</t>
  </si>
  <si>
    <t>FOUZIYA</t>
  </si>
  <si>
    <t>4 RUE RAJEH BRAHIM HAMMEM SOUSSE</t>
  </si>
  <si>
    <t>RUE 02 MARS</t>
  </si>
  <si>
    <t>BAHIJA</t>
  </si>
  <si>
    <t>NAJET</t>
  </si>
  <si>
    <t>Borjine</t>
  </si>
  <si>
    <t>AJMIA</t>
  </si>
  <si>
    <t>Sidi El HÃ©ni</t>
  </si>
  <si>
    <t>BEN HASSAN</t>
  </si>
  <si>
    <t>Aouled Brahim</t>
  </si>
  <si>
    <t>HAWA</t>
  </si>
  <si>
    <t>129 Rue 5148</t>
  </si>
  <si>
    <t>Sidi El Heni</t>
  </si>
  <si>
    <t>ABDELLAOUI</t>
  </si>
  <si>
    <t>5 CitÃ© Ezzouhour</t>
  </si>
  <si>
    <t>ELHADA</t>
  </si>
  <si>
    <t>1053 CitÃ© Ezzouhour</t>
  </si>
  <si>
    <t>KERKANI</t>
  </si>
  <si>
    <t>NAJAH</t>
  </si>
  <si>
    <t>ROUTE MONASTIR</t>
  </si>
  <si>
    <t>BEN CHIKH AMOR</t>
  </si>
  <si>
    <t>Rue Moez Ibn Badiss</t>
  </si>
  <si>
    <t>ABEDELHAKIM</t>
  </si>
  <si>
    <t>SONIA</t>
  </si>
  <si>
    <t>Rue Khaled Ibn Walid</t>
  </si>
  <si>
    <t>BEN ELBAKRI</t>
  </si>
  <si>
    <t>Aouled Abdallah</t>
  </si>
  <si>
    <t>Rue Imem Malek</t>
  </si>
  <si>
    <t>EL ALOUI</t>
  </si>
  <si>
    <t>Beni Rabiaa</t>
  </si>
  <si>
    <t>KETIB</t>
  </si>
  <si>
    <t>BÃ©ni Rabiaa</t>
  </si>
  <si>
    <t>Rue ElWifak</t>
  </si>
  <si>
    <t>Rue Omar Ibn Abdelaziz</t>
  </si>
  <si>
    <t>52 Route de Sfax</t>
  </si>
  <si>
    <t>Rue Ariana</t>
  </si>
  <si>
    <t>153 Rue Farhat Hached</t>
  </si>
  <si>
    <t>Route de sariyech</t>
  </si>
  <si>
    <t>Rue Al Imem Ibn Hannibal</t>
  </si>
  <si>
    <t>BEN HADJ HASSINE</t>
  </si>
  <si>
    <t>BENYOUSSEF</t>
  </si>
  <si>
    <t>Boudhebane</t>
  </si>
  <si>
    <t>Neffatya Kouassem Sud CHORBANE</t>
  </si>
  <si>
    <t>Aouled Ibrahim</t>
  </si>
  <si>
    <t>TERZEGUE BHIRI</t>
  </si>
  <si>
    <t>Rue sidi belhassen</t>
  </si>
  <si>
    <t>13 Rue ELWAHA</t>
  </si>
  <si>
    <t>Rue Sidi Belhassan</t>
  </si>
  <si>
    <t>Chihya</t>
  </si>
  <si>
    <t>BACCOUCHE</t>
  </si>
  <si>
    <t>Mourdine</t>
  </si>
  <si>
    <t>30 Rue les Oranges</t>
  </si>
  <si>
    <t>Aouled Ali Belheni</t>
  </si>
  <si>
    <t>HANI</t>
  </si>
  <si>
    <t>Aouled kbair</t>
  </si>
  <si>
    <t>Rue Rokkeb</t>
  </si>
  <si>
    <t>Rue Abdelkerim Khattabi</t>
  </si>
  <si>
    <t>BEN SOUDA</t>
  </si>
  <si>
    <t>Mouissette</t>
  </si>
  <si>
    <t>22 rue Salah Hafsa</t>
  </si>
  <si>
    <t>Msaken</t>
  </si>
  <si>
    <t>Celibataire</t>
  </si>
  <si>
    <t>Homme</t>
  </si>
  <si>
    <t>Rue de la Garre</t>
  </si>
  <si>
    <t>Amal</t>
  </si>
  <si>
    <t>Fatiha SRIDI</t>
  </si>
  <si>
    <t>Rue BÃ©chir Ben Mohamed Zannina</t>
  </si>
  <si>
    <t>Femme</t>
  </si>
  <si>
    <t>Alaa</t>
  </si>
  <si>
    <t>Wahid</t>
  </si>
  <si>
    <t>Rafika EL ABED</t>
  </si>
  <si>
    <t>51, Rue Saida Khadija</t>
  </si>
  <si>
    <t>BEN SGHAIR</t>
  </si>
  <si>
    <t>Chokri</t>
  </si>
  <si>
    <t>Zohra SGHAIR</t>
  </si>
  <si>
    <t>Ouled Boubaker</t>
  </si>
  <si>
    <t>Marie</t>
  </si>
  <si>
    <t>Hazem</t>
  </si>
  <si>
    <t>Mohamed Fethi</t>
  </si>
  <si>
    <t>Kaouthar BERRIRI</t>
  </si>
  <si>
    <t>Rue Ali Ibn Abi Taleb</t>
  </si>
  <si>
    <t>Mohamed Fredj</t>
  </si>
  <si>
    <t>Hanene YOUSSEF</t>
  </si>
  <si>
    <t>Rue El Wafa</t>
  </si>
  <si>
    <t>HOUSSEMEDDINE</t>
  </si>
  <si>
    <t>AKRI</t>
  </si>
  <si>
    <t>KALTHOUM</t>
  </si>
  <si>
    <t>27, Rue El Nidhal</t>
  </si>
  <si>
    <t>211 RUE GRAND MOSQUE</t>
  </si>
  <si>
    <t>MSAKEN</t>
  </si>
  <si>
    <t>DONIA</t>
  </si>
  <si>
    <t>RUE ZAHRA HAY NOUR</t>
  </si>
  <si>
    <t>MOHAMED MAHDI</t>
  </si>
  <si>
    <t>MOUNIRA</t>
  </si>
  <si>
    <t xml:space="preserve">55 ROUTE DE SFAX </t>
  </si>
  <si>
    <t>SOUSSE</t>
  </si>
  <si>
    <t>KMIMECH</t>
  </si>
  <si>
    <t xml:space="preserve">RUE TOUZER </t>
  </si>
  <si>
    <t>HSAN</t>
  </si>
  <si>
    <t>77 BENI RABIAA MSAKEN SOUSSE</t>
  </si>
  <si>
    <t>ROUTE KAIROUAN MSAKEN SOUSSE</t>
  </si>
  <si>
    <t xml:space="preserve">MSAKEN </t>
  </si>
  <si>
    <t>ANWAR</t>
  </si>
  <si>
    <t xml:space="preserve">SIHEM </t>
  </si>
  <si>
    <t>RUE KHALED EBEN WALID MSAKEN SOUSSE</t>
  </si>
  <si>
    <t>OTHMAINE</t>
  </si>
  <si>
    <t>JWAHER</t>
  </si>
  <si>
    <t>SAAFET SIDI LHENI SOUSSE</t>
  </si>
  <si>
    <t>SIDI LHENI</t>
  </si>
  <si>
    <t>BEN BALLALOUNA</t>
  </si>
  <si>
    <t>AMNA</t>
  </si>
  <si>
    <t>AWLED ALI BELHENI SIDI LHENI SOUUSE</t>
  </si>
  <si>
    <t>HELKAL</t>
  </si>
  <si>
    <t>HALIMA</t>
  </si>
  <si>
    <t>EL MALICHEET ZERMDIN MONASTIR</t>
  </si>
  <si>
    <t>MONASTIR</t>
  </si>
  <si>
    <t xml:space="preserve">RUE AMOR EL MOKHTAR MSAKEN SOUSSE </t>
  </si>
  <si>
    <t>SOLYMEN</t>
  </si>
  <si>
    <t>46 RUE 15 OCTOBER HAY SAADA ZOHOUR SOUSSE</t>
  </si>
  <si>
    <t>RUE EL HADIBIA BIR JDID MSAKEN SOUSSE</t>
  </si>
  <si>
    <t>FAIZA</t>
  </si>
  <si>
    <t>AWLED IBRAHIM SIDI LHENI SOUSSE</t>
  </si>
  <si>
    <t xml:space="preserve">HELMI </t>
  </si>
  <si>
    <t>BENI RABIAA MSAKEN</t>
  </si>
  <si>
    <t>8 RUE EL MONJI BELI MSAKEN SOUSSE</t>
  </si>
  <si>
    <t>MOUAD</t>
  </si>
  <si>
    <t>SOUHIR</t>
  </si>
  <si>
    <t>HAY JDID MSAKEN SOUSSE</t>
  </si>
  <si>
    <t xml:space="preserve">BEN ZID </t>
  </si>
  <si>
    <t>AWLED ALI BEL HENI SIDI LHENI SOUSSE</t>
  </si>
  <si>
    <t>BOUSSOBINE</t>
  </si>
  <si>
    <t>MOUNA</t>
  </si>
  <si>
    <t>ISSRA</t>
  </si>
  <si>
    <t>BELHAIZA</t>
  </si>
  <si>
    <t>BENEN</t>
  </si>
  <si>
    <t>SALMA</t>
  </si>
  <si>
    <t>SARRA</t>
  </si>
  <si>
    <t>ESSAADI</t>
  </si>
  <si>
    <t>RAOUDHA</t>
  </si>
  <si>
    <t>DHIAEDDINE</t>
  </si>
  <si>
    <t>RIHAB</t>
  </si>
  <si>
    <t>CHAIMA</t>
  </si>
  <si>
    <t>ISRAA</t>
  </si>
  <si>
    <t>BRICHNI CHTIOUI</t>
  </si>
  <si>
    <t>SIWAR</t>
  </si>
  <si>
    <t>MIDASSI</t>
  </si>
  <si>
    <t>JIHEN</t>
  </si>
  <si>
    <t>MDALLA</t>
  </si>
  <si>
    <t>TASNIM</t>
  </si>
  <si>
    <t>AYA</t>
  </si>
  <si>
    <t>ISMAIEL</t>
  </si>
  <si>
    <t>AYOUB</t>
  </si>
  <si>
    <t>RIM</t>
  </si>
  <si>
    <t>SOULAIMEN</t>
  </si>
  <si>
    <t>HELMI</t>
  </si>
  <si>
    <t>HAZEM</t>
  </si>
  <si>
    <t>DOUHA</t>
  </si>
  <si>
    <t>YOSRA</t>
  </si>
  <si>
    <t>ZAINEB</t>
  </si>
  <si>
    <t xml:space="preserve">CHBIL MAHJOUB </t>
  </si>
  <si>
    <t xml:space="preserve">M </t>
  </si>
  <si>
    <t>SIRINE</t>
  </si>
  <si>
    <t>MASSARA</t>
  </si>
  <si>
    <t>03508056012103784811</t>
  </si>
  <si>
    <t>17503000000145663644</t>
  </si>
  <si>
    <t>11020002198605078841</t>
  </si>
  <si>
    <t>OUMAIMA</t>
  </si>
  <si>
    <t>SAMAR</t>
  </si>
  <si>
    <t xml:space="preserve">F </t>
  </si>
  <si>
    <t>BACOUCH CHATTI</t>
  </si>
  <si>
    <t>MALEK</t>
  </si>
  <si>
    <t>MARIEM</t>
  </si>
  <si>
    <t>EL BAKRI</t>
  </si>
  <si>
    <t>MALIKA</t>
  </si>
  <si>
    <t>WAFA</t>
  </si>
  <si>
    <t>IMENE</t>
  </si>
  <si>
    <t>NADIA</t>
  </si>
  <si>
    <t>ABIR</t>
  </si>
  <si>
    <t>FAKHFEKH</t>
  </si>
  <si>
    <t>MENIAR</t>
  </si>
  <si>
    <t>RAYAN</t>
  </si>
  <si>
    <t>MARAM</t>
  </si>
  <si>
    <t>CHIKH</t>
  </si>
  <si>
    <t>HACHMI</t>
  </si>
  <si>
    <t>HADIL</t>
  </si>
  <si>
    <t>HOUDA</t>
  </si>
  <si>
    <t>HAIFA</t>
  </si>
  <si>
    <t>YASMINE</t>
  </si>
  <si>
    <t>HANINE</t>
  </si>
  <si>
    <t>RITEJ</t>
  </si>
  <si>
    <t>12505000582700754647</t>
  </si>
  <si>
    <t>SANA</t>
  </si>
  <si>
    <t xml:space="preserve">MOHAMED ALI </t>
  </si>
  <si>
    <t>HIBA</t>
  </si>
  <si>
    <t xml:space="preserve">BEN MEFTAH </t>
  </si>
  <si>
    <t>ELHEM</t>
  </si>
  <si>
    <t xml:space="preserve">MAISSA </t>
  </si>
  <si>
    <t xml:space="preserve">YOSRI </t>
  </si>
  <si>
    <t>BEN CHIKH LAADHARI</t>
  </si>
  <si>
    <t xml:space="preserve">MOHAMED AMINE </t>
  </si>
  <si>
    <t xml:space="preserve">ISLEM </t>
  </si>
  <si>
    <t>AZZABI</t>
  </si>
  <si>
    <t>SALIM</t>
  </si>
  <si>
    <t>HAMAMI</t>
  </si>
  <si>
    <t>SAAD ALLAH</t>
  </si>
  <si>
    <t>BACHIRA</t>
  </si>
  <si>
    <t>BOUGADOUHA</t>
  </si>
  <si>
    <t>MANAL</t>
  </si>
  <si>
    <t>ANAS</t>
  </si>
  <si>
    <t>AZIZ</t>
  </si>
  <si>
    <t>YARA</t>
  </si>
  <si>
    <t>MAHA</t>
  </si>
  <si>
    <t>AHLAM</t>
  </si>
  <si>
    <t>TAHA</t>
  </si>
  <si>
    <t>EL HADJ SALEM</t>
  </si>
  <si>
    <t>KHAOULA</t>
  </si>
  <si>
    <t xml:space="preserve">RITEJ </t>
  </si>
  <si>
    <t>ABDELMOULA</t>
  </si>
  <si>
    <t>ALHARICH</t>
  </si>
  <si>
    <t>12500000013129710580</t>
  </si>
  <si>
    <t>MAIMOUNA</t>
  </si>
  <si>
    <t xml:space="preserve">CHATTI </t>
  </si>
  <si>
    <t>HALA</t>
  </si>
  <si>
    <t>BARAA</t>
  </si>
  <si>
    <t>ABBASS</t>
  </si>
  <si>
    <t>LOBNA</t>
  </si>
  <si>
    <t>MOLKA</t>
  </si>
  <si>
    <t>MOUADH</t>
  </si>
  <si>
    <t>AMIR</t>
  </si>
  <si>
    <t>MONJIA</t>
  </si>
  <si>
    <t>ESSOUSSI</t>
  </si>
  <si>
    <t>NOURCHENE</t>
  </si>
  <si>
    <t>AHMED YASSINE</t>
  </si>
  <si>
    <t>FADWA</t>
  </si>
  <si>
    <t>CHBIL</t>
  </si>
  <si>
    <t>MOETAZ</t>
  </si>
  <si>
    <t>GHOFRANE</t>
  </si>
  <si>
    <t>GABSI</t>
  </si>
  <si>
    <t>FIDAEDDINE</t>
  </si>
  <si>
    <t>DORRA</t>
  </si>
  <si>
    <t>BEN HADJ KHALIFA</t>
  </si>
  <si>
    <t>LOUJAIEN</t>
  </si>
  <si>
    <t>MOHAMED RACIL</t>
  </si>
  <si>
    <t>KAMOUN</t>
  </si>
  <si>
    <t>TASNIME</t>
  </si>
  <si>
    <t>ZAOUIA</t>
  </si>
  <si>
    <t>BOUCHRA</t>
  </si>
  <si>
    <t>ZAEINEB</t>
  </si>
  <si>
    <t>MOHAMED SALIM</t>
  </si>
  <si>
    <t>BEN NJIMA</t>
  </si>
  <si>
    <t>YOSR</t>
  </si>
  <si>
    <t>FATMA EZZAHRA</t>
  </si>
  <si>
    <t>MOHAMED DHIA</t>
  </si>
  <si>
    <t xml:space="preserve">MOHAMED OMAR </t>
  </si>
  <si>
    <t>BELKISS</t>
  </si>
  <si>
    <t>ISLAM</t>
  </si>
  <si>
    <t>04204067003738643079</t>
  </si>
  <si>
    <t xml:space="preserve">BEN LOU </t>
  </si>
  <si>
    <t>FATIHA</t>
  </si>
  <si>
    <t>ELMOEZ</t>
  </si>
  <si>
    <t>BEN ABDELMOULA</t>
  </si>
  <si>
    <t>HELA</t>
  </si>
  <si>
    <t>05048000116701009832</t>
  </si>
  <si>
    <t>BRAHEM</t>
  </si>
  <si>
    <t>HALLOUMA</t>
  </si>
  <si>
    <t>NAJAT</t>
  </si>
  <si>
    <t>MOHAMED AYMAN</t>
  </si>
  <si>
    <t>JRADI</t>
  </si>
  <si>
    <t>ONES</t>
  </si>
  <si>
    <t>ADAM</t>
  </si>
  <si>
    <t>JLITI</t>
  </si>
  <si>
    <t>17503000000295077109</t>
  </si>
  <si>
    <t>CHRIFA</t>
  </si>
  <si>
    <t>BEN ARBIA</t>
  </si>
  <si>
    <t>AOITEF</t>
  </si>
  <si>
    <t>LILI</t>
  </si>
  <si>
    <t>HAOUIJ</t>
  </si>
  <si>
    <t>IKRAM</t>
  </si>
  <si>
    <t>AHMED BADR</t>
  </si>
  <si>
    <t>MOHAMED AZIZ</t>
  </si>
  <si>
    <t xml:space="preserve">BEN SALEM </t>
  </si>
  <si>
    <t>RIHAM</t>
  </si>
  <si>
    <t>OUIDAD</t>
  </si>
  <si>
    <t>07408005312166304789</t>
  </si>
  <si>
    <t>HAJER</t>
  </si>
  <si>
    <t>GALLAH</t>
  </si>
  <si>
    <t>SAHAR</t>
  </si>
  <si>
    <t>KHADHIRI</t>
  </si>
  <si>
    <t>SAFA</t>
  </si>
  <si>
    <t>SAIF</t>
  </si>
  <si>
    <t>KHASKHOUSSI</t>
  </si>
  <si>
    <t>OUBAIED</t>
  </si>
  <si>
    <t>BAIEN</t>
  </si>
  <si>
    <t>HOUIMEL</t>
  </si>
  <si>
    <t>KOUISSAH MAHJOIB</t>
  </si>
  <si>
    <t>DOAA</t>
  </si>
  <si>
    <t>GADA</t>
  </si>
  <si>
    <t>GHAITH</t>
  </si>
  <si>
    <t xml:space="preserve">BEN ABDELJELIL </t>
  </si>
  <si>
    <t>NOURCINE</t>
  </si>
  <si>
    <t>MOHAMED NADHIR</t>
  </si>
  <si>
    <t>MOHAMED RASLENE</t>
  </si>
  <si>
    <t>RACIL</t>
  </si>
  <si>
    <t>FIRAS</t>
  </si>
  <si>
    <t>CHAHD</t>
  </si>
  <si>
    <t>ACIL</t>
  </si>
  <si>
    <t>MOBAREK SAAFI</t>
  </si>
  <si>
    <t xml:space="preserve">BILEL </t>
  </si>
  <si>
    <t xml:space="preserve">H </t>
  </si>
  <si>
    <t>17606000000148530888</t>
  </si>
  <si>
    <t>BEN JOMAA</t>
  </si>
  <si>
    <t>WIJDEN</t>
  </si>
  <si>
    <t>TAHER</t>
  </si>
  <si>
    <t>OIJDI</t>
  </si>
  <si>
    <t>ALOULOU</t>
  </si>
  <si>
    <t>BEN ABDELJELI</t>
  </si>
  <si>
    <t>ROUA</t>
  </si>
  <si>
    <t>HAYAT</t>
  </si>
  <si>
    <t>MONIRA</t>
  </si>
  <si>
    <t>25066000000008685423</t>
  </si>
  <si>
    <t>HANIA</t>
  </si>
  <si>
    <t>NADA</t>
  </si>
  <si>
    <t>BEN MATAR</t>
  </si>
  <si>
    <t>HIDAYA</t>
  </si>
  <si>
    <t>ABID ROIUS</t>
  </si>
  <si>
    <t>MAHDI</t>
  </si>
  <si>
    <t>BEN TAKIA</t>
  </si>
  <si>
    <t>MAYSSA</t>
  </si>
  <si>
    <t>EL ARABI</t>
  </si>
  <si>
    <t>ZRILLI BRIBECH</t>
  </si>
  <si>
    <t>TALAL</t>
  </si>
  <si>
    <t>MOHAMED BACHIR</t>
  </si>
  <si>
    <t>TORKI</t>
  </si>
  <si>
    <t>SOILAIMA</t>
  </si>
  <si>
    <t xml:space="preserve">MALEK </t>
  </si>
  <si>
    <t>MOHAMED YASSER</t>
  </si>
  <si>
    <t>MOHAMED KHAYRI</t>
  </si>
  <si>
    <t>ZAKARIA</t>
  </si>
  <si>
    <t>OISSIFI</t>
  </si>
  <si>
    <t>ASSIA</t>
  </si>
  <si>
    <t>GHAILENE</t>
  </si>
  <si>
    <t>AMEN</t>
  </si>
  <si>
    <t>BEN TORKIA</t>
  </si>
  <si>
    <t>RAFIKA</t>
  </si>
  <si>
    <t>HIBATALLAH</t>
  </si>
  <si>
    <t>HANENE</t>
  </si>
  <si>
    <t>12505000013305940440</t>
  </si>
  <si>
    <t>BEN BRAHIM</t>
  </si>
  <si>
    <t>SAMAH</t>
  </si>
  <si>
    <t>LAAJIMI</t>
  </si>
  <si>
    <t>NOUR HOUDA</t>
  </si>
  <si>
    <t>MAROUA</t>
  </si>
  <si>
    <t>GAIETH</t>
  </si>
  <si>
    <t>JAZIRI</t>
  </si>
  <si>
    <t>AMENE</t>
  </si>
  <si>
    <t>NOURHENE</t>
  </si>
  <si>
    <t>JIHENE</t>
  </si>
  <si>
    <t>NIHAD</t>
  </si>
  <si>
    <t>05048000116500491044</t>
  </si>
  <si>
    <t>DORBOZ</t>
  </si>
  <si>
    <t>14007007100703891970</t>
  </si>
  <si>
    <t>SOULAIEMENE</t>
  </si>
  <si>
    <t>ALMAJRI</t>
  </si>
  <si>
    <t>CHOUROUK</t>
  </si>
  <si>
    <t>24010066557251110116</t>
  </si>
  <si>
    <t>GRIRA ALGDHIRI</t>
  </si>
  <si>
    <t>RAIHANE</t>
  </si>
  <si>
    <t>ALAIEB</t>
  </si>
  <si>
    <t>HASSENE</t>
  </si>
  <si>
    <t>AJAJ BHIRI</t>
  </si>
  <si>
    <t>MAKRAM</t>
  </si>
  <si>
    <t>MAJDI</t>
  </si>
  <si>
    <t>BELHADJ SGAIER</t>
  </si>
  <si>
    <t>HANA</t>
  </si>
  <si>
    <t>THOURAYA</t>
  </si>
  <si>
    <t>SOUFIEN</t>
  </si>
  <si>
    <t>HAROUN</t>
  </si>
  <si>
    <t>FERDAOUS</t>
  </si>
  <si>
    <t>MAZOUZ</t>
  </si>
  <si>
    <t>ABBES</t>
  </si>
  <si>
    <t xml:space="preserve">SOUHIR </t>
  </si>
  <si>
    <t>IHEB</t>
  </si>
  <si>
    <t>BAHAEDDINE</t>
  </si>
  <si>
    <t>RANIM</t>
  </si>
  <si>
    <t>LATIFA</t>
  </si>
  <si>
    <t>KHOULOUD</t>
  </si>
  <si>
    <t>MANEL</t>
  </si>
  <si>
    <t>NAILA</t>
  </si>
  <si>
    <t xml:space="preserve">BEN AMOR </t>
  </si>
  <si>
    <t>LINA</t>
  </si>
  <si>
    <t>DZIRI</t>
  </si>
  <si>
    <t>NAJIA</t>
  </si>
  <si>
    <t>RABAB</t>
  </si>
  <si>
    <t>MRIZAK</t>
  </si>
  <si>
    <t>INSAF</t>
  </si>
  <si>
    <t>SLIMEN</t>
  </si>
  <si>
    <t>GHAIETH</t>
  </si>
  <si>
    <t>ISMAEL</t>
  </si>
  <si>
    <t>MOHAMED HOUSSEM</t>
  </si>
  <si>
    <t>SAOUSSEN</t>
  </si>
  <si>
    <t>RAIHEN</t>
  </si>
  <si>
    <t>NAOUEL</t>
  </si>
  <si>
    <t>ABDERRAHMANE</t>
  </si>
  <si>
    <t>RAED</t>
  </si>
  <si>
    <t>AMAL</t>
  </si>
  <si>
    <t>MOHAMED JED</t>
  </si>
  <si>
    <t>BEN ABDELKARIM</t>
  </si>
  <si>
    <t xml:space="preserve">SAHAR </t>
  </si>
  <si>
    <t>SOULAIMA</t>
  </si>
  <si>
    <t>FAIEZA</t>
  </si>
  <si>
    <t>DALAL</t>
  </si>
  <si>
    <t>NOUR KHADIJA</t>
  </si>
  <si>
    <t>MEDDEB</t>
  </si>
  <si>
    <t>RJAB</t>
  </si>
  <si>
    <t>REBAH</t>
  </si>
  <si>
    <t>MOAIED</t>
  </si>
  <si>
    <t>DHIA</t>
  </si>
  <si>
    <t>ZAIENEB</t>
  </si>
  <si>
    <t>LAMIA</t>
  </si>
  <si>
    <t>MOHAMED AMIR</t>
  </si>
  <si>
    <t>KIFAH</t>
  </si>
  <si>
    <t>KAHLOUL</t>
  </si>
  <si>
    <t>HACHEM</t>
  </si>
  <si>
    <t>GHADHI</t>
  </si>
  <si>
    <t>NOUSSAIBA</t>
  </si>
  <si>
    <t>ROUDHAINA</t>
  </si>
  <si>
    <t xml:space="preserve">NOUR </t>
  </si>
  <si>
    <t>MANAR</t>
  </si>
  <si>
    <t>MOHAMED RAYAN</t>
  </si>
  <si>
    <t>LAHDHILI</t>
  </si>
  <si>
    <t>ECHRIF</t>
  </si>
  <si>
    <t>OUSSEMA</t>
  </si>
  <si>
    <t>IDRISS</t>
  </si>
  <si>
    <t>ILHAM</t>
  </si>
  <si>
    <t>BASMALA</t>
  </si>
  <si>
    <t>ABDELFATTAH</t>
  </si>
  <si>
    <t>EL ASSI</t>
  </si>
  <si>
    <t>RAGD</t>
  </si>
  <si>
    <t>BATOUL</t>
  </si>
  <si>
    <t>CHADIA</t>
  </si>
  <si>
    <t>12505000000214630223</t>
  </si>
  <si>
    <t>CHAOUECH</t>
  </si>
  <si>
    <t>WAHIDA</t>
  </si>
  <si>
    <t>ZINA</t>
  </si>
  <si>
    <t>ELA</t>
  </si>
  <si>
    <t>NESRINE</t>
  </si>
  <si>
    <t>KARIMA</t>
  </si>
  <si>
    <t>SONDOS</t>
  </si>
  <si>
    <t>CHADA</t>
  </si>
  <si>
    <t>NJOUD</t>
  </si>
  <si>
    <t>OISSIME</t>
  </si>
  <si>
    <t>HOUBOUR</t>
  </si>
  <si>
    <t>JERBI</t>
  </si>
  <si>
    <t>SELMI</t>
  </si>
  <si>
    <t>RJEB</t>
  </si>
  <si>
    <t>MOOMEN</t>
  </si>
  <si>
    <t>CHATTOURI</t>
  </si>
  <si>
    <t>GHARBI</t>
  </si>
  <si>
    <t>SIHAM</t>
  </si>
  <si>
    <t>GHALIA</t>
  </si>
  <si>
    <t>ADAM ABDERRAHMAN</t>
  </si>
  <si>
    <t>IYED</t>
  </si>
  <si>
    <t>JOUDA</t>
  </si>
  <si>
    <t>MOHAMED AYOUB</t>
  </si>
  <si>
    <t>RAOUA</t>
  </si>
  <si>
    <t>TAHA YASSINE</t>
  </si>
  <si>
    <t>NOURHANE</t>
  </si>
  <si>
    <t>ARIJ</t>
  </si>
  <si>
    <t>MOHAMED GHAITH</t>
  </si>
  <si>
    <t>RAFIF</t>
  </si>
  <si>
    <t>HANEN</t>
  </si>
  <si>
    <t>NOUR</t>
  </si>
  <si>
    <t>NOUR EZZAHRA</t>
  </si>
  <si>
    <t>BADRI</t>
  </si>
  <si>
    <t>LAYANE</t>
  </si>
  <si>
    <t>CHAOUACH</t>
  </si>
  <si>
    <t>SOUHA</t>
  </si>
  <si>
    <t>HAITHAM</t>
  </si>
  <si>
    <t>ALAA</t>
  </si>
  <si>
    <t>BADIS</t>
  </si>
  <si>
    <t>MOHAMED IYED</t>
  </si>
  <si>
    <t>MALAK</t>
  </si>
  <si>
    <t>BOCHRA</t>
  </si>
  <si>
    <t>HAIDAR</t>
  </si>
  <si>
    <t>BAIRAM</t>
  </si>
  <si>
    <t>MOHAMED MOETAZ</t>
  </si>
  <si>
    <t>AMINA</t>
  </si>
  <si>
    <t>MONTAHA</t>
  </si>
  <si>
    <t>HOUIDI</t>
  </si>
  <si>
    <t>MAISSA</t>
  </si>
  <si>
    <t>ELYOUSFI</t>
  </si>
  <si>
    <t>OUIDED</t>
  </si>
  <si>
    <t>GARES</t>
  </si>
  <si>
    <t>NAJLA</t>
  </si>
  <si>
    <t>MARIAM</t>
  </si>
  <si>
    <t>KOSSAI</t>
  </si>
  <si>
    <t>FADIA</t>
  </si>
  <si>
    <t>MALKI</t>
  </si>
  <si>
    <t xml:space="preserve">FATMA </t>
  </si>
  <si>
    <t>RIMES</t>
  </si>
  <si>
    <t>NOUR EL HOUDA</t>
  </si>
  <si>
    <t>SAADI</t>
  </si>
  <si>
    <t>MOHAMED AMOR</t>
  </si>
  <si>
    <t>MOHAMED ABDERRAHMAN</t>
  </si>
  <si>
    <t>LTAIEF</t>
  </si>
  <si>
    <t>AROUA</t>
  </si>
  <si>
    <t>MAHRANE</t>
  </si>
  <si>
    <t>MOHAMED BASSEM</t>
  </si>
  <si>
    <t>MAJD</t>
  </si>
  <si>
    <t>NASSIM</t>
  </si>
  <si>
    <t>IHSSANE</t>
  </si>
  <si>
    <t>BEL HADJ MANSOUR</t>
  </si>
  <si>
    <t>GAMRA</t>
  </si>
  <si>
    <t xml:space="preserve">BEN SIK ALI </t>
  </si>
  <si>
    <t>MOHAMED YOUSSEF</t>
  </si>
  <si>
    <t>ISTABRAK</t>
  </si>
  <si>
    <t>YAHIA KHALIFA</t>
  </si>
  <si>
    <t>ABIDI</t>
  </si>
  <si>
    <t>SOUMAYA</t>
  </si>
  <si>
    <t xml:space="preserve">GHASSEN </t>
  </si>
  <si>
    <t>TAHA AMINE</t>
  </si>
  <si>
    <t>MOHAMED YAMEN</t>
  </si>
  <si>
    <t>MOHAMED TAHA</t>
  </si>
  <si>
    <t>NASSIMA</t>
  </si>
  <si>
    <t>SALSABIL</t>
  </si>
  <si>
    <t>YOUNES</t>
  </si>
  <si>
    <t>AHMED RAMI</t>
  </si>
  <si>
    <t>FALEH</t>
  </si>
  <si>
    <t>BOUGRINE</t>
  </si>
  <si>
    <t>FARJAOUI</t>
  </si>
  <si>
    <t>AWATEF</t>
  </si>
  <si>
    <t>HLEL</t>
  </si>
  <si>
    <t>DHOKAR</t>
  </si>
  <si>
    <t>SAKKIR</t>
  </si>
  <si>
    <t>RAOUIA</t>
  </si>
  <si>
    <t>MOHAMED ZOUHAIER</t>
  </si>
  <si>
    <t>AYA NOUR</t>
  </si>
  <si>
    <t>ELKHOUDI</t>
  </si>
  <si>
    <t>DHOUHA</t>
  </si>
  <si>
    <t>MOHAMED KHALIL</t>
  </si>
  <si>
    <t>ACHOUR KHDIRI</t>
  </si>
  <si>
    <t>AMJAD</t>
  </si>
  <si>
    <t xml:space="preserve">BAHRI </t>
  </si>
  <si>
    <t>HIDAIA</t>
  </si>
  <si>
    <t>DOUAA</t>
  </si>
  <si>
    <t>SKANDAR</t>
  </si>
  <si>
    <t>BAIENE</t>
  </si>
  <si>
    <t>ZAIBI</t>
  </si>
  <si>
    <t>ZAID</t>
  </si>
  <si>
    <t>FAHD</t>
  </si>
  <si>
    <t>KAOUTHAR</t>
  </si>
  <si>
    <t>YOUMNA</t>
  </si>
  <si>
    <t>MOHAMED SOULAIMENE</t>
  </si>
  <si>
    <t>YAMEN ALLAH</t>
  </si>
  <si>
    <t>CHLAGOU</t>
  </si>
  <si>
    <t>AIET</t>
  </si>
  <si>
    <t>SOFIEN</t>
  </si>
  <si>
    <t>KENZA</t>
  </si>
  <si>
    <t>MOUHEB</t>
  </si>
  <si>
    <t>ALMA</t>
  </si>
  <si>
    <t>SAFI</t>
  </si>
  <si>
    <t>IFTIKHAR</t>
  </si>
  <si>
    <t>NAFFETI</t>
  </si>
  <si>
    <t>MAISSEN</t>
  </si>
  <si>
    <t>MAKHLOUFI</t>
  </si>
  <si>
    <t>BOUTHAINA</t>
  </si>
  <si>
    <t>BEN JADIDA</t>
  </si>
  <si>
    <t>CHIFA</t>
  </si>
  <si>
    <t>SABRINE</t>
  </si>
  <si>
    <t>HADI</t>
  </si>
  <si>
    <t xml:space="preserve">MOHAMED NABIL </t>
  </si>
  <si>
    <t>LOGMARI</t>
  </si>
  <si>
    <t>MOHAMED BECHIR</t>
  </si>
  <si>
    <t>31 Rue Dubai</t>
  </si>
  <si>
    <t xml:space="preserve">Rue Siliana cité Ibn Khaldoun </t>
  </si>
  <si>
    <t>08507000262000577307</t>
  </si>
  <si>
    <t>20009092220013224101</t>
  </si>
  <si>
    <t>INGAZZOU</t>
  </si>
  <si>
    <t>CHIRAZ</t>
  </si>
  <si>
    <t>03508056010100123905</t>
  </si>
  <si>
    <t>MISSAOUI</t>
  </si>
  <si>
    <t>05048000116500490268</t>
  </si>
  <si>
    <t>04204067003091333949</t>
  </si>
  <si>
    <t>BEL HADJ AMMAR</t>
  </si>
  <si>
    <t>12505000013304038464</t>
  </si>
  <si>
    <t>GUERDLI</t>
  </si>
  <si>
    <t>AYMAN</t>
  </si>
  <si>
    <t>04508045002874015761</t>
  </si>
  <si>
    <t>ZORGATTI</t>
  </si>
  <si>
    <t>RANDA</t>
  </si>
  <si>
    <t>10506040511958478859</t>
  </si>
  <si>
    <t>GUEZAL</t>
  </si>
  <si>
    <t>AOITAF</t>
  </si>
  <si>
    <t>MOHAMED DHIAEDDINE</t>
  </si>
  <si>
    <t>NOHA</t>
  </si>
  <si>
    <t>YAKINE</t>
  </si>
  <si>
    <t>MGHAIETH</t>
  </si>
  <si>
    <t>HAYETTE</t>
  </si>
  <si>
    <t>JDIDI</t>
  </si>
  <si>
    <t>ZANENE</t>
  </si>
  <si>
    <t xml:space="preserve">GHOUL BHIRI </t>
  </si>
  <si>
    <t>MED AMINE</t>
  </si>
  <si>
    <t>GANNOUMA</t>
  </si>
  <si>
    <t>MAYAR</t>
  </si>
  <si>
    <t>BADER</t>
  </si>
  <si>
    <t>12505000580103504569</t>
  </si>
  <si>
    <t>TALINE</t>
  </si>
  <si>
    <t>08507000262004528796</t>
  </si>
  <si>
    <t>SAKHANA</t>
  </si>
  <si>
    <t>PARTANT</t>
  </si>
  <si>
    <t>TAYSIR</t>
  </si>
  <si>
    <t>ABDERRAHMENE</t>
  </si>
  <si>
    <t>51,Rue saida khadija</t>
  </si>
  <si>
    <t>12505000000228383562</t>
  </si>
  <si>
    <t>12505000000238757421</t>
  </si>
  <si>
    <t>MAYARA</t>
  </si>
  <si>
    <t>SOULAIMENE</t>
  </si>
  <si>
    <t>BEN AMARA</t>
  </si>
  <si>
    <t>JERFEL</t>
  </si>
  <si>
    <t>815 KAED ESSOUASSI</t>
  </si>
  <si>
    <t>08072022082001724289</t>
  </si>
  <si>
    <t>NADINE</t>
  </si>
  <si>
    <t>14014014100705064811</t>
  </si>
  <si>
    <t>01018058111025931585</t>
  </si>
  <si>
    <t>12505000013310275273</t>
  </si>
  <si>
    <t>12066000000237555946</t>
  </si>
  <si>
    <t>RAGOUBI</t>
  </si>
  <si>
    <t>ELMILLICHI</t>
  </si>
  <si>
    <t>AOULED BOUBAKER</t>
  </si>
  <si>
    <t>SIDI ELHENI</t>
  </si>
  <si>
    <t>17503000000223149669</t>
  </si>
  <si>
    <t>LOUAI</t>
  </si>
  <si>
    <t>HAY ESNIT MSAKEN CHARKIA</t>
  </si>
  <si>
    <t>17503000000257272523</t>
  </si>
  <si>
    <t>SAIIDANE</t>
  </si>
  <si>
    <t>RUE ZAGOUANE KSAR HELLAL</t>
  </si>
  <si>
    <t>08504000244015810546</t>
  </si>
  <si>
    <t>BEN HADJ</t>
  </si>
  <si>
    <t>AL EBDELLI</t>
  </si>
  <si>
    <t>MERIAM</t>
  </si>
  <si>
    <t>BEN AOUICHA</t>
  </si>
  <si>
    <t>LAGHA</t>
  </si>
  <si>
    <t>RUE ABOU BAKER ESSEDDIK MESSAADINE</t>
  </si>
  <si>
    <t>04204067002800201253</t>
  </si>
  <si>
    <t>BEN OMAR</t>
  </si>
  <si>
    <t>NOUHA</t>
  </si>
  <si>
    <t>ARSOLAINE</t>
  </si>
  <si>
    <t>10317123102269178842</t>
  </si>
  <si>
    <t>RUE SAYAR</t>
  </si>
  <si>
    <t>32026788101129590156</t>
  </si>
  <si>
    <t>AVENUE ABOU KASSEM ECHABI</t>
  </si>
  <si>
    <t>12058000013310673979</t>
  </si>
  <si>
    <t>OULED BOUKRAA KNAIES</t>
  </si>
  <si>
    <t>MOHANNED</t>
  </si>
  <si>
    <t>ELINE</t>
  </si>
  <si>
    <t>LOUJAINE</t>
  </si>
  <si>
    <t>SYRINE</t>
  </si>
  <si>
    <t>MLE</t>
  </si>
  <si>
    <t>NOM</t>
  </si>
  <si>
    <t>PRENOM</t>
  </si>
  <si>
    <t>OBSERVATION</t>
  </si>
  <si>
    <t xml:space="preserve">CHANGEMENT DES BENEFICIAIRES EN CAS              </t>
  </si>
  <si>
    <t>DE DECES</t>
  </si>
  <si>
    <t>ASSURANCE GROUPE</t>
  </si>
  <si>
    <t>OK</t>
  </si>
  <si>
    <t>LAZIDI</t>
  </si>
  <si>
    <t>ok</t>
  </si>
  <si>
    <t>S/D RH-RP        USINE DE MSAKEN</t>
  </si>
  <si>
    <t>KINZA</t>
  </si>
  <si>
    <t>JANNET</t>
  </si>
  <si>
    <t>YOMNA</t>
  </si>
  <si>
    <t>DHIF</t>
  </si>
  <si>
    <t>Chouabet Elmaiiz</t>
  </si>
  <si>
    <t>32026788101117969168</t>
  </si>
  <si>
    <t>BEN SAID</t>
  </si>
  <si>
    <t>RUE MOHAMED ALI</t>
  </si>
  <si>
    <t>25066000000049422610</t>
  </si>
  <si>
    <t>HAY ENOUR RUE MAHATTET TATHIR</t>
  </si>
  <si>
    <t>24010067280251110172</t>
  </si>
  <si>
    <t>24010070814251110102</t>
  </si>
  <si>
    <t>DAHMOUL</t>
  </si>
  <si>
    <t>AVENUE ELHANA</t>
  </si>
  <si>
    <t>24010067308253110136</t>
  </si>
  <si>
    <t>RAGHED</t>
  </si>
  <si>
    <t>BEL HADJ JRAD</t>
  </si>
  <si>
    <t>60 RUE HABIB THAMER</t>
  </si>
  <si>
    <t>17503000000294625865</t>
  </si>
  <si>
    <t>17503000000312056474</t>
  </si>
  <si>
    <t>CHAIEBI</t>
  </si>
  <si>
    <t>RUE CHAHID SALAH HAFSA</t>
  </si>
  <si>
    <t>25018000000020872432</t>
  </si>
  <si>
    <t>NAJMEDDINE</t>
  </si>
  <si>
    <t>BAYEN</t>
  </si>
  <si>
    <t>SAJI</t>
  </si>
  <si>
    <t>25066000000078581683</t>
  </si>
  <si>
    <t>BEN MAHMOUD</t>
  </si>
  <si>
    <t>BENI KALTHOUM</t>
  </si>
  <si>
    <t>HAY JADID BENI KALTHOUM</t>
  </si>
  <si>
    <t>12058000000239793320</t>
  </si>
  <si>
    <t>RUE RADES KALAA SOGHRA</t>
  </si>
  <si>
    <t>KALAA SOGHRA</t>
  </si>
  <si>
    <t>08506000252006083121</t>
  </si>
  <si>
    <t>AVENUE MOHAMED ALI</t>
  </si>
  <si>
    <t>14014014100704786421</t>
  </si>
  <si>
    <t>AVENUE RAYAHIN</t>
  </si>
  <si>
    <t>17503000000301851007</t>
  </si>
  <si>
    <t>MELICHET ZARMDINE</t>
  </si>
  <si>
    <t>04505037007326529017</t>
  </si>
  <si>
    <t>34 RUE MONASTIR</t>
  </si>
  <si>
    <t>24010069086253110115</t>
  </si>
  <si>
    <t>BEN HADJ MASSOUD</t>
  </si>
  <si>
    <t>RASSIL</t>
  </si>
  <si>
    <t>10506040210085078880</t>
  </si>
  <si>
    <t>HADDAD</t>
  </si>
  <si>
    <t>JOUD</t>
  </si>
  <si>
    <t>WAHADA</t>
  </si>
  <si>
    <t>9Rue Mohamed Bouthina Essafaya</t>
  </si>
  <si>
    <t>08041013032003005712</t>
  </si>
  <si>
    <t>TRABELSI</t>
  </si>
  <si>
    <t>MIRA</t>
  </si>
  <si>
    <t>SOUHAIL</t>
  </si>
  <si>
    <t>JINEN</t>
  </si>
  <si>
    <t>RUE ERKEB</t>
  </si>
  <si>
    <t>12505000000238803593</t>
  </si>
  <si>
    <t>21020020404000405512</t>
  </si>
  <si>
    <t>RYM</t>
  </si>
  <si>
    <t>BOUGAMRA</t>
  </si>
  <si>
    <t>RUE BOULIBANA KSIBET CHAT</t>
  </si>
  <si>
    <t>08072022082004656017</t>
  </si>
  <si>
    <t>RUE EL KHORTOUM</t>
  </si>
  <si>
    <t>03508056010110363516</t>
  </si>
  <si>
    <t>ELGHAOUI</t>
  </si>
  <si>
    <t>RAMI</t>
  </si>
  <si>
    <t>RUE MAJIDA BOULILA N°42</t>
  </si>
  <si>
    <t>SFAX</t>
  </si>
  <si>
    <t>04052137005588952168</t>
  </si>
  <si>
    <t>BOUAICHA</t>
  </si>
  <si>
    <t>AOULED NAHAR</t>
  </si>
  <si>
    <t>KAIROUAN</t>
  </si>
  <si>
    <t>07083014110550867103</t>
  </si>
  <si>
    <t>TERZEG BHIRI</t>
  </si>
  <si>
    <t>68RUE TEZERKA</t>
  </si>
  <si>
    <t>21011011404001397319</t>
  </si>
  <si>
    <t>RUE EDDAOUHA</t>
  </si>
  <si>
    <t>MSAKEN 4070</t>
  </si>
  <si>
    <t>21011011404001398192</t>
  </si>
  <si>
    <t>KHEDHER</t>
  </si>
  <si>
    <t>KAZZAZIA</t>
  </si>
  <si>
    <t>17606000000301853453</t>
  </si>
  <si>
    <t>BEN KHEDHER</t>
  </si>
  <si>
    <t>CHEMA</t>
  </si>
  <si>
    <t>MAJD EDDINE</t>
  </si>
  <si>
    <t>RUE BENGHAZI</t>
  </si>
  <si>
    <t>12058000013310669323</t>
  </si>
  <si>
    <t>KNAIS</t>
  </si>
  <si>
    <t>08507000262007020629</t>
  </si>
  <si>
    <t>MAYSEN</t>
  </si>
  <si>
    <t>DARINE</t>
  </si>
  <si>
    <t>BRIKI</t>
  </si>
  <si>
    <t>08507000262007207160</t>
  </si>
  <si>
    <t>JOULIA</t>
  </si>
  <si>
    <t>05048000116701035731</t>
  </si>
  <si>
    <t>RUE KHORTOUM</t>
  </si>
  <si>
    <t>03508056010110358569</t>
  </si>
  <si>
    <t>BEDIS</t>
  </si>
  <si>
    <t>RUE SFAX</t>
  </si>
  <si>
    <t>12064000000239631060</t>
  </si>
  <si>
    <t>25 RUE ELWIFEK</t>
  </si>
  <si>
    <t>25018000000049161706</t>
  </si>
  <si>
    <t>SAIEB</t>
  </si>
  <si>
    <t>RUE FARHAT HACHED</t>
  </si>
  <si>
    <t>12064000013309350338</t>
  </si>
  <si>
    <t>GAZZEH</t>
  </si>
  <si>
    <t>RUE AMAL</t>
  </si>
  <si>
    <t>12058000013310798430</t>
  </si>
  <si>
    <t>BEN HAMIDA</t>
  </si>
  <si>
    <t>RUE NOUR</t>
  </si>
  <si>
    <t>17503000000301874287</t>
  </si>
  <si>
    <t>AWLED MRABET KROUSSIA</t>
  </si>
  <si>
    <t>14014014100705379576</t>
  </si>
  <si>
    <t>BEN YENES</t>
  </si>
  <si>
    <t>ZAHRA</t>
  </si>
  <si>
    <t>RAWAL</t>
  </si>
  <si>
    <t>RANIA</t>
  </si>
  <si>
    <t>RAWAND</t>
  </si>
  <si>
    <t>AZAIEZ</t>
  </si>
  <si>
    <t>12058000013309850061</t>
  </si>
  <si>
    <t>RUE SOUSSE MOUREDDINE</t>
  </si>
  <si>
    <t>17503000000110975959</t>
  </si>
  <si>
    <t>THEBTI</t>
  </si>
  <si>
    <t>AIN JALOULA</t>
  </si>
  <si>
    <t>17503000000270359569</t>
  </si>
  <si>
    <t>51 RUE AZIZA OTHMENA</t>
  </si>
  <si>
    <t>10506040516995378847</t>
  </si>
  <si>
    <t>RUE 1ER JUIN ZANKET NAKHIL</t>
  </si>
  <si>
    <t>17503000000273792593</t>
  </si>
  <si>
    <t>RACHIDA SARRA</t>
  </si>
  <si>
    <t>JOMANA</t>
  </si>
  <si>
    <t xml:space="preserve">BEN FREDJ </t>
  </si>
  <si>
    <t xml:space="preserve">108 RUE ALMISSISSIBI </t>
  </si>
  <si>
    <t>HAY RIADH SOUSSE</t>
  </si>
  <si>
    <t>04030116007733422545</t>
  </si>
  <si>
    <t>HADJ AMOR</t>
  </si>
  <si>
    <t>SALIMA</t>
  </si>
  <si>
    <t>317 RUE FARHAT HACHED</t>
  </si>
  <si>
    <t>24010068437251110119</t>
  </si>
  <si>
    <t>BEN CHOUAIB</t>
  </si>
  <si>
    <t>ALHAY ALJADID</t>
  </si>
  <si>
    <t>12505000000238800586</t>
  </si>
  <si>
    <t>10506040208879578885</t>
  </si>
  <si>
    <t>17503000000283964110</t>
  </si>
  <si>
    <t>14 RUE ALSOUROUR</t>
  </si>
  <si>
    <t>47013000000014480339</t>
  </si>
  <si>
    <t>RAYHAN</t>
  </si>
  <si>
    <t>ETTAIEB</t>
  </si>
  <si>
    <t>RAHAL</t>
  </si>
  <si>
    <t>103 RUE FARHAT HACHED</t>
  </si>
  <si>
    <t>32026788101107923169</t>
  </si>
  <si>
    <t>RUE BIR MAKIA</t>
  </si>
  <si>
    <t>12064000000227364149</t>
  </si>
  <si>
    <t>ZAIEG</t>
  </si>
  <si>
    <t>RUE BIZERT</t>
  </si>
  <si>
    <t>25066000000038224251</t>
  </si>
  <si>
    <t>MOHAMED ACHRAF</t>
  </si>
  <si>
    <t>ISLEM</t>
  </si>
  <si>
    <t>RUE SARIACH</t>
  </si>
  <si>
    <t>10317123102222278857</t>
  </si>
  <si>
    <t>SAWSSAN</t>
  </si>
  <si>
    <t>MOHAMED IHEB</t>
  </si>
  <si>
    <t>ISSA</t>
  </si>
  <si>
    <t>INTESSAR</t>
  </si>
  <si>
    <t>OUSSAID</t>
  </si>
  <si>
    <t>NOAH</t>
  </si>
  <si>
    <t>RUE ALJAMAA</t>
  </si>
  <si>
    <t>25066000000030345523</t>
  </si>
  <si>
    <t>RUE MOHAMED KASSAB</t>
  </si>
  <si>
    <t>17503000000324183026</t>
  </si>
  <si>
    <t>36 RUE AMMAN</t>
  </si>
  <si>
    <t>25066000000083809207</t>
  </si>
  <si>
    <t>MRIBEH</t>
  </si>
  <si>
    <t>KHOCHTALI</t>
  </si>
  <si>
    <t>RUE TAHER SAFAR</t>
  </si>
  <si>
    <t>17503000000309459717</t>
  </si>
  <si>
    <t>RUE HABIB CHATTI</t>
  </si>
  <si>
    <t>17503000000301746926</t>
  </si>
  <si>
    <t>12058000013306220418</t>
  </si>
  <si>
    <t>04204067003453458617</t>
  </si>
  <si>
    <t>LOGHLANI</t>
  </si>
  <si>
    <t>ALAMRIA</t>
  </si>
  <si>
    <t>RUE AL AFEF</t>
  </si>
  <si>
    <t>05048000116701044655</t>
  </si>
  <si>
    <t>MOHAMED NIDHAL</t>
  </si>
  <si>
    <t>RUE HABIB THAMEUR</t>
  </si>
  <si>
    <t>25066000000105031643</t>
  </si>
  <si>
    <t>ALOUEN</t>
  </si>
  <si>
    <t>01018058111027275229</t>
  </si>
  <si>
    <t>ALFKIH</t>
  </si>
  <si>
    <t>NOUR ELHOUDA</t>
  </si>
  <si>
    <t>YAZEN</t>
  </si>
  <si>
    <t>RUE ABDELKARIM KHATTABI</t>
  </si>
  <si>
    <t>01018058113033063539</t>
  </si>
  <si>
    <t>ZANTOUR</t>
  </si>
  <si>
    <t>AMROU</t>
  </si>
  <si>
    <t>RUE KNAIS</t>
  </si>
  <si>
    <t>47013000000012874310</t>
  </si>
  <si>
    <t>HELLAL</t>
  </si>
  <si>
    <t>RUE YESSER HARAFET SAHLOUL</t>
  </si>
  <si>
    <t>11054002296100878843</t>
  </si>
  <si>
    <t xml:space="preserve">433 RUE 1ER JUIN </t>
  </si>
  <si>
    <t>25066000000069961390</t>
  </si>
  <si>
    <t>BEN ABDELHAMID</t>
  </si>
  <si>
    <t>04204067008439340485</t>
  </si>
  <si>
    <t>RUE MOEZ BEN BEDISS</t>
  </si>
  <si>
    <t>25066000000031456658</t>
  </si>
  <si>
    <t>WIEM</t>
  </si>
  <si>
    <t>MOHAMED LOUAY</t>
  </si>
  <si>
    <t>30 RUE FARHAT HACHED</t>
  </si>
  <si>
    <t>25066000000031422708</t>
  </si>
  <si>
    <t>ZOURGATI</t>
  </si>
  <si>
    <t>NOURSEN</t>
  </si>
  <si>
    <t>RUE AMINE ABDELKADER JAZAIRI</t>
  </si>
  <si>
    <t>25018000000104599340</t>
  </si>
  <si>
    <t>ZALTANI</t>
  </si>
  <si>
    <t>RUE 1ER JUIN</t>
  </si>
  <si>
    <t>25066000000104557895</t>
  </si>
  <si>
    <t>02 RUE ALI DOUAJI</t>
  </si>
  <si>
    <t>085070002620067949</t>
  </si>
  <si>
    <t>24 RUE 20 MARS</t>
  </si>
  <si>
    <t>12505000000241646663</t>
  </si>
  <si>
    <t>WAJIH</t>
  </si>
  <si>
    <t>84 RUE ISTEKLEL</t>
  </si>
  <si>
    <t>25066000000085345396</t>
  </si>
  <si>
    <t>12058000000226920741</t>
  </si>
  <si>
    <t>NAILI</t>
  </si>
  <si>
    <t>MOHAMED CHIHEB EDDINE</t>
  </si>
  <si>
    <t>GHOSSOUN</t>
  </si>
  <si>
    <t>LABREG</t>
  </si>
  <si>
    <t>17 RUE BEN GHDHAHOM</t>
  </si>
  <si>
    <t>05048000116500802996</t>
  </si>
  <si>
    <t>BEN HADJ FREDJ</t>
  </si>
  <si>
    <t>BAYREM</t>
  </si>
  <si>
    <t>12058000013310599580</t>
  </si>
  <si>
    <t>470RUE HATEM ETTAI</t>
  </si>
  <si>
    <t>04030116007527217908</t>
  </si>
  <si>
    <t>HAMOUDA</t>
  </si>
  <si>
    <t>729 RUE KSAR HELAL</t>
  </si>
  <si>
    <t>ZOUHOUR SOUSSE</t>
  </si>
  <si>
    <t>17503000000300890319</t>
  </si>
  <si>
    <t>RUE KARBALA</t>
  </si>
  <si>
    <t>12064000000227715289</t>
  </si>
  <si>
    <t>RUE LIBNEN</t>
  </si>
  <si>
    <t>14308308100700013251</t>
  </si>
  <si>
    <t>107 RUE FARHAT HACHED</t>
  </si>
  <si>
    <t>47013000000016422182</t>
  </si>
  <si>
    <t>04204067008574960453</t>
  </si>
  <si>
    <t>TOUINSI MAHJOUB</t>
  </si>
  <si>
    <t>113 RUE MONJI ZREBI</t>
  </si>
  <si>
    <t>25066000000050525112</t>
  </si>
  <si>
    <t>ZAWECH</t>
  </si>
  <si>
    <t>RUE AHMED RKIK</t>
  </si>
  <si>
    <t>12058000000241653683</t>
  </si>
  <si>
    <t>KANTAOUI</t>
  </si>
  <si>
    <t>TAHANI</t>
  </si>
  <si>
    <t xml:space="preserve">N°2 RUE BOULARIGIA  </t>
  </si>
  <si>
    <t>HAMMAM SOUSSE</t>
  </si>
  <si>
    <t>12504000013307165692</t>
  </si>
  <si>
    <t>CHAALALI</t>
  </si>
  <si>
    <t>CHAALILE BORGINE</t>
  </si>
  <si>
    <t>BORGINE</t>
  </si>
  <si>
    <t>14014014100705352707</t>
  </si>
  <si>
    <t>RUE ITTEHAD SAKBOUNA</t>
  </si>
  <si>
    <t>17503000000293524527</t>
  </si>
  <si>
    <t>RUE DOUALI</t>
  </si>
  <si>
    <t>08500000202011310675</t>
  </si>
  <si>
    <t>RUE HAMMAM CHAT HAY NOUR</t>
  </si>
  <si>
    <t>08507000264008785767</t>
  </si>
  <si>
    <t>TRIK KNAIES</t>
  </si>
  <si>
    <t>14014014100705259393</t>
  </si>
  <si>
    <t>35 RUE KHAIZOURANE CITE TAAMIR</t>
  </si>
  <si>
    <t>03508056010110374865</t>
  </si>
  <si>
    <t>HAY JADID</t>
  </si>
  <si>
    <t>25018000000106016219</t>
  </si>
  <si>
    <t>BAHA EDDINE</t>
  </si>
  <si>
    <t>RUE 20 MARS</t>
  </si>
  <si>
    <t>12058000000241488104</t>
  </si>
  <si>
    <t>RUE ZOUHOUR</t>
  </si>
  <si>
    <t>12064000000243531333</t>
  </si>
  <si>
    <t>LAAZIBI</t>
  </si>
  <si>
    <t>RUE RKEB</t>
  </si>
  <si>
    <t>10317123103149078840</t>
  </si>
  <si>
    <t>RUE ABDELKADER JAZAIRI</t>
  </si>
  <si>
    <t>25066000000048599662</t>
  </si>
  <si>
    <t>RUE IMEM IBN HANBAL</t>
  </si>
  <si>
    <t>47013000000003683269</t>
  </si>
  <si>
    <t>HEDHILI MAHJOUB</t>
  </si>
  <si>
    <t>21 RUE 9 AVRIL</t>
  </si>
  <si>
    <t>10506040521210078802</t>
  </si>
  <si>
    <t>BOUTCHICHA SARIECH</t>
  </si>
  <si>
    <t>05048000116500812696</t>
  </si>
  <si>
    <t>51 RUE AZIZA OTHMANA</t>
  </si>
  <si>
    <t>32026788101091772184</t>
  </si>
  <si>
    <t>FEKIH ALI</t>
  </si>
  <si>
    <t>MOHAMED ANIS</t>
  </si>
  <si>
    <t>04204067003801545930</t>
  </si>
  <si>
    <t>DALI</t>
  </si>
  <si>
    <t>MAJED</t>
  </si>
  <si>
    <t>SAHLOUL 4</t>
  </si>
  <si>
    <t>25061000000007487407</t>
  </si>
  <si>
    <t>FTOUHI</t>
  </si>
  <si>
    <t>JASSER</t>
  </si>
  <si>
    <t>MASJED ISSA SAHLINE</t>
  </si>
  <si>
    <t>08053020034002681065</t>
  </si>
  <si>
    <t>BENI RABIAA</t>
  </si>
  <si>
    <t>08507000262005623829</t>
  </si>
  <si>
    <t>AYARI</t>
  </si>
  <si>
    <t>DHEKRA</t>
  </si>
  <si>
    <t>HOUSSEM EDDINE</t>
  </si>
  <si>
    <t>RUE IBN SINA MESSADINE</t>
  </si>
  <si>
    <t>RUE BEN GHAZI</t>
  </si>
  <si>
    <t>25066000000106092823</t>
  </si>
  <si>
    <t>HACHFI</t>
  </si>
  <si>
    <t>ABDELGHANI</t>
  </si>
  <si>
    <t>GADOUAR</t>
  </si>
  <si>
    <t>BEN SLIMEN</t>
  </si>
  <si>
    <t>GHOZLEN</t>
  </si>
  <si>
    <t>SONIA INES</t>
  </si>
  <si>
    <t xml:space="preserve">HAMILA </t>
  </si>
  <si>
    <t>MOHAMED OUAIS</t>
  </si>
  <si>
    <t>NASIB</t>
  </si>
  <si>
    <t>14014014100705179465</t>
  </si>
  <si>
    <t>RUE Chahid Ahmed Rkik</t>
  </si>
  <si>
    <t>12058000013311817221</t>
  </si>
  <si>
    <t>RUE ZAMZAM</t>
  </si>
  <si>
    <t>12505000013308355061</t>
  </si>
  <si>
    <t>NOUIJI</t>
  </si>
  <si>
    <t>RUE ALGERIE</t>
  </si>
  <si>
    <t>14014014100705425166</t>
  </si>
  <si>
    <t>FRADA</t>
  </si>
  <si>
    <t>12505000000240548817</t>
  </si>
  <si>
    <t>GHARMOUL</t>
  </si>
  <si>
    <t xml:space="preserve">RUE HAMMAM CHAT </t>
  </si>
  <si>
    <t>12064000000241090813</t>
  </si>
  <si>
    <t>04204067007978627345</t>
  </si>
  <si>
    <t>BOURGINE</t>
  </si>
  <si>
    <t>12065000013312054556</t>
  </si>
  <si>
    <t>MELISSA</t>
  </si>
  <si>
    <t>MOHAMED AYEN</t>
  </si>
  <si>
    <t>MBARKI</t>
  </si>
  <si>
    <t>HAJEB LAYOUN</t>
  </si>
  <si>
    <t>14308308100700078435</t>
  </si>
  <si>
    <t>ALAOUI</t>
  </si>
  <si>
    <t>CELINE</t>
  </si>
  <si>
    <t>AYSSEN</t>
  </si>
  <si>
    <t>KAMAR</t>
  </si>
  <si>
    <t>RUE AGHADIR</t>
  </si>
  <si>
    <t>10506040523924978822</t>
  </si>
  <si>
    <t>10506040210495678813</t>
  </si>
  <si>
    <t xml:space="preserve">LAMIRI </t>
  </si>
  <si>
    <t>28015035489101000129</t>
  </si>
  <si>
    <t>47 RUE SIDI ABAR</t>
  </si>
  <si>
    <t>47013000000020609090</t>
  </si>
  <si>
    <t xml:space="preserve">MAJDOUB </t>
  </si>
  <si>
    <t>9 RUE ELHOUDA</t>
  </si>
  <si>
    <t>MOHAMED JOUD</t>
  </si>
  <si>
    <t>JOURI</t>
  </si>
  <si>
    <t>25066000000144061533</t>
  </si>
  <si>
    <t>HDHIRI</t>
  </si>
  <si>
    <t>RUE MONJI ZRIBI</t>
  </si>
  <si>
    <t>25066000000100282038</t>
  </si>
  <si>
    <t>MAYADA</t>
  </si>
  <si>
    <t>ZAMMIT CHATTI</t>
  </si>
  <si>
    <t>TAAM ALLAH</t>
  </si>
  <si>
    <t>ILINE</t>
  </si>
  <si>
    <t>MOHAMED ZAIN</t>
  </si>
  <si>
    <t>RASLEN</t>
  </si>
  <si>
    <t xml:space="preserve">ROUTE KNAIES </t>
  </si>
  <si>
    <t>04204067006499517801</t>
  </si>
  <si>
    <t>KADRI</t>
  </si>
  <si>
    <t>RUE ABOU MOUSSA AL ACHRARI</t>
  </si>
  <si>
    <t>03508056010110319866</t>
  </si>
  <si>
    <t>RUE AHMED BAYREM</t>
  </si>
  <si>
    <t>12505000000241544328</t>
  </si>
  <si>
    <t>73 RUE IMEM BEN ARAFA</t>
  </si>
  <si>
    <t>01018058113039338081</t>
  </si>
  <si>
    <t>10 RUE AL KODS</t>
  </si>
  <si>
    <t>04204067008955413368</t>
  </si>
  <si>
    <t>REJAB</t>
  </si>
  <si>
    <t>RUE 18 JANVIER</t>
  </si>
  <si>
    <t>08069022052002055147</t>
  </si>
  <si>
    <t>25018000000087163590</t>
  </si>
  <si>
    <t>RUE BIZERTE</t>
  </si>
  <si>
    <t>24010076646253110125</t>
  </si>
  <si>
    <t>AMRI</t>
  </si>
  <si>
    <t>63 RUE SALEH HAFSA</t>
  </si>
  <si>
    <t>12505000013309338932</t>
  </si>
  <si>
    <t>BORJINE</t>
  </si>
  <si>
    <t>04204067007990767186</t>
  </si>
  <si>
    <t>MASSIOUGHA</t>
  </si>
  <si>
    <t>RUE KARBALA HAY NOUR</t>
  </si>
  <si>
    <t>10317123103100578840</t>
  </si>
  <si>
    <t>11020002298300878882</t>
  </si>
  <si>
    <t>RUE SAFA</t>
  </si>
  <si>
    <t>10506040210676778880</t>
  </si>
  <si>
    <t>OUAYS</t>
  </si>
  <si>
    <t>RASSLEN</t>
  </si>
  <si>
    <t>ZAYD</t>
  </si>
  <si>
    <t>24010030238251110152</t>
  </si>
  <si>
    <t>YAKOUB</t>
  </si>
  <si>
    <t>SABBEGH</t>
  </si>
  <si>
    <t>5 RUE INDIPENDANCE</t>
  </si>
  <si>
    <t>17503000000304420634</t>
  </si>
  <si>
    <t>24010149963253110150</t>
  </si>
  <si>
    <t>BOUGUILA</t>
  </si>
  <si>
    <t>02 RUE LAAROUSSI ZAROUK</t>
  </si>
  <si>
    <t>12505000000247920235</t>
  </si>
  <si>
    <t>BEN HADJ ALI</t>
  </si>
  <si>
    <t xml:space="preserve">AWLED AMOR </t>
  </si>
  <si>
    <t>04500043009258231174</t>
  </si>
  <si>
    <t>ALGHABI</t>
  </si>
  <si>
    <t>NOUH</t>
  </si>
  <si>
    <t>ZEYD</t>
  </si>
  <si>
    <t>KMAR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</si>
</sst>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0" fillId="0" borderId="1" xfId="0" applyBorder="1"/>
    <xf numFmtId="0" fontId="1" fillId="0" borderId="1" xfId="1" applyBorder="1" applyAlignment="1" applyProtection="1"/>
    <xf numFmtId="0" fontId="2" fillId="2" borderId="1" xfId="0" applyFont="1" applyFill="1" applyBorder="1"/>
    <xf numFmtId="14" fontId="0" fillId="0" borderId="0" xfId="0" applyNumberFormat="1"/>
    <xf numFmtId="14" fontId="0" fillId="0" borderId="1" xfId="0" applyNumberFormat="1" applyBorder="1"/>
    <xf numFmtId="164" fontId="0" fillId="0" borderId="1" xfId="0" quotePrefix="1" applyNumberFormat="1" applyBorder="1"/>
    <xf numFmtId="49" fontId="2" fillId="2" borderId="1" xfId="0" applyNumberFormat="1" applyFont="1" applyFill="1" applyBorder="1"/>
    <xf numFmtId="49" fontId="0" fillId="0" borderId="1" xfId="0" quotePrefix="1" applyNumberFormat="1" applyBorder="1"/>
    <xf numFmtId="49" fontId="0" fillId="0" borderId="0" xfId="0" applyNumberFormat="1"/>
    <xf numFmtId="49" fontId="0" fillId="0" borderId="1" xfId="0" applyNumberFormat="1" applyBorder="1"/>
    <xf numFmtId="0" fontId="0" fillId="0" borderId="1" xfId="0" applyBorder="1" applyAlignment="1">
      <alignment horizontal="left" vertical="top"/>
    </xf>
    <xf numFmtId="0" fontId="0" fillId="3" borderId="1" xfId="0" applyFill="1" applyBorder="1"/>
    <xf numFmtId="14" fontId="0" fillId="3" borderId="1" xfId="0" applyNumberFormat="1" applyFill="1" applyBorder="1"/>
    <xf numFmtId="164" fontId="0" fillId="3" borderId="1" xfId="0" quotePrefix="1" applyNumberFormat="1" applyFill="1" applyBorder="1"/>
    <xf numFmtId="49" fontId="0" fillId="3" borderId="1" xfId="0" quotePrefix="1" applyNumberFormat="1" applyFill="1" applyBorder="1"/>
    <xf numFmtId="0" fontId="0" fillId="3" borderId="0" xfId="0" applyFill="1"/>
    <xf numFmtId="0" fontId="0" fillId="4" borderId="1" xfId="0" applyFill="1" applyBorder="1"/>
    <xf numFmtId="14" fontId="0" fillId="4" borderId="1" xfId="0" applyNumberFormat="1" applyFill="1" applyBorder="1"/>
    <xf numFmtId="164" fontId="0" fillId="4" borderId="1" xfId="0" quotePrefix="1" applyNumberFormat="1" applyFill="1" applyBorder="1"/>
    <xf numFmtId="49" fontId="0" fillId="4" borderId="1" xfId="0" quotePrefix="1" applyNumberFormat="1" applyFill="1" applyBorder="1"/>
    <xf numFmtId="49" fontId="0" fillId="4" borderId="1" xfId="0" applyNumberFormat="1" applyFill="1" applyBorder="1"/>
    <xf numFmtId="0" fontId="0" fillId="4" borderId="0" xfId="0" applyFill="1"/>
    <xf numFmtId="49" fontId="0" fillId="3" borderId="1" xfId="0" applyNumberFormat="1" applyFill="1" applyBorder="1"/>
    <xf numFmtId="49" fontId="0" fillId="3" borderId="0" xfId="0" applyNumberFormat="1" applyFill="1"/>
    <xf numFmtId="0" fontId="3" fillId="0" borderId="0" xfId="0" applyFont="1" applyAlignment="1">
      <alignment vertical="center" wrapText="1"/>
    </xf>
    <xf numFmtId="0" fontId="0" fillId="0" borderId="1" xfId="0" applyBorder="1" applyAlignment="1">
      <alignment horizontal="left"/>
    </xf>
    <xf numFmtId="0" fontId="2" fillId="0" borderId="0" xfId="0" applyFont="1"/>
    <xf numFmtId="0" fontId="0" fillId="0" borderId="0" xfId="0" applyAlignment="1">
      <alignment vertical="top"/>
    </xf>
    <xf numFmtId="0" fontId="6" fillId="0" borderId="0" xfId="0" applyFont="1"/>
    <xf numFmtId="0" fontId="7" fillId="0" borderId="0" xfId="0" applyFont="1" applyAlignment="1">
      <alignment vertical="top" wrapText="1"/>
    </xf>
    <xf numFmtId="0" fontId="5" fillId="0" borderId="0" xfId="0" applyFont="1" applyAlignment="1">
      <alignment horizontal="left" vertical="center"/>
    </xf>
    <xf numFmtId="0" fontId="2" fillId="0" borderId="1" xfId="0" applyFont="1" applyBorder="1"/>
    <xf numFmtId="0" fontId="1" fillId="4" borderId="1" xfId="1" applyFill="1" applyBorder="1" applyAlignment="1" applyProtection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ministratif3\AppData\Local\Microsoft\Windows\Temporary%20Internet%20Files\Content.Outlook\2FIXHT0J\RIB%20(0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SAKEN"/>
    </sheetNames>
    <sheetDataSet>
      <sheetData sheetId="0" refreshError="1">
        <row r="1">
          <cell r="A1" t="str">
            <v>Matricule</v>
          </cell>
          <cell r="B1" t="str">
            <v>Prénom</v>
          </cell>
          <cell r="C1" t="str">
            <v>Nom</v>
          </cell>
          <cell r="D1" t="str">
            <v>Banque</v>
          </cell>
          <cell r="E1" t="str">
            <v>Agence</v>
          </cell>
          <cell r="F1" t="str">
            <v>RIB</v>
          </cell>
        </row>
        <row r="2">
          <cell r="A2">
            <v>36</v>
          </cell>
          <cell r="B2" t="str">
            <v>ADEL</v>
          </cell>
          <cell r="C2" t="str">
            <v>BAYA</v>
          </cell>
          <cell r="D2" t="str">
            <v>B.T.E</v>
          </cell>
          <cell r="E2" t="str">
            <v>M'SAKEN</v>
          </cell>
          <cell r="F2" t="str">
            <v>24010030679251100000</v>
          </cell>
        </row>
        <row r="3">
          <cell r="A3">
            <v>40</v>
          </cell>
          <cell r="B3" t="str">
            <v>HABIB</v>
          </cell>
          <cell r="C3" t="str">
            <v>MAJDOUB</v>
          </cell>
          <cell r="D3" t="str">
            <v>BIAT</v>
          </cell>
          <cell r="E3" t="str">
            <v>M'SAKEN</v>
          </cell>
          <cell r="F3" t="str">
            <v>08507000262002303810</v>
          </cell>
        </row>
        <row r="4">
          <cell r="A4">
            <v>58</v>
          </cell>
          <cell r="B4" t="str">
            <v>MONDHER</v>
          </cell>
          <cell r="C4" t="str">
            <v>B HAMOUDA</v>
          </cell>
          <cell r="D4" t="str">
            <v>BIAT</v>
          </cell>
          <cell r="E4" t="str">
            <v>M'SAKEN</v>
          </cell>
          <cell r="F4" t="str">
            <v>08507000262000767912</v>
          </cell>
        </row>
        <row r="5">
          <cell r="A5">
            <v>100</v>
          </cell>
          <cell r="B5" t="str">
            <v>JALEL B ALI</v>
          </cell>
          <cell r="C5" t="str">
            <v>JARRAR</v>
          </cell>
          <cell r="D5" t="str">
            <v>UBCI</v>
          </cell>
          <cell r="E5" t="str">
            <v>MSAKEN</v>
          </cell>
          <cell r="F5" t="str">
            <v>11020002050700878842</v>
          </cell>
        </row>
        <row r="6">
          <cell r="A6">
            <v>115</v>
          </cell>
          <cell r="B6" t="str">
            <v>SALAH</v>
          </cell>
          <cell r="C6" t="str">
            <v>GUIRAT</v>
          </cell>
          <cell r="D6" t="str">
            <v>STB</v>
          </cell>
          <cell r="E6" t="str">
            <v>M'SAKEN</v>
          </cell>
          <cell r="F6" t="str">
            <v>10506040202912978808</v>
          </cell>
        </row>
        <row r="7">
          <cell r="A7">
            <v>134</v>
          </cell>
          <cell r="B7" t="str">
            <v>JALEL B AHMED</v>
          </cell>
          <cell r="C7" t="str">
            <v>JARRAR</v>
          </cell>
          <cell r="D7" t="str">
            <v>BIAT</v>
          </cell>
          <cell r="E7" t="str">
            <v>M'SAKEN</v>
          </cell>
          <cell r="F7" t="str">
            <v>08507000262000577307</v>
          </cell>
        </row>
        <row r="8">
          <cell r="A8">
            <v>144</v>
          </cell>
          <cell r="B8" t="str">
            <v>MOHAMED</v>
          </cell>
          <cell r="C8" t="str">
            <v>DHIFALLAH</v>
          </cell>
          <cell r="D8" t="str">
            <v>BANQUE DE L'HABITAT</v>
          </cell>
          <cell r="E8" t="str">
            <v>SOUSSE</v>
          </cell>
          <cell r="F8" t="str">
            <v>14500500100702065864</v>
          </cell>
        </row>
        <row r="9">
          <cell r="A9">
            <v>145</v>
          </cell>
          <cell r="B9" t="str">
            <v>MAHMOUD</v>
          </cell>
          <cell r="C9" t="str">
            <v>GAZZAH</v>
          </cell>
          <cell r="D9" t="str">
            <v>STB</v>
          </cell>
          <cell r="E9" t="str">
            <v>M'SAKEN</v>
          </cell>
          <cell r="F9" t="str">
            <v>10506040202801378853</v>
          </cell>
        </row>
        <row r="10">
          <cell r="A10">
            <v>166</v>
          </cell>
          <cell r="B10" t="str">
            <v>ABDELHAMID</v>
          </cell>
          <cell r="C10" t="str">
            <v>GRASSA</v>
          </cell>
          <cell r="D10" t="str">
            <v>STB</v>
          </cell>
          <cell r="E10" t="str">
            <v>M'SAKEN</v>
          </cell>
          <cell r="F10" t="str">
            <v>10506040202842478820</v>
          </cell>
        </row>
        <row r="11">
          <cell r="A11">
            <v>184</v>
          </cell>
          <cell r="B11" t="str">
            <v>MOUNIR</v>
          </cell>
          <cell r="C11" t="str">
            <v>MOUSSA</v>
          </cell>
          <cell r="D11" t="str">
            <v>STB</v>
          </cell>
          <cell r="E11" t="str">
            <v>M'SAKEN</v>
          </cell>
          <cell r="F11" t="str">
            <v>10506040202920578855</v>
          </cell>
        </row>
        <row r="12">
          <cell r="A12">
            <v>185</v>
          </cell>
          <cell r="B12" t="str">
            <v>MONCEF</v>
          </cell>
          <cell r="C12" t="str">
            <v>NOUIR MAHJOUB</v>
          </cell>
          <cell r="D12" t="str">
            <v>BNA</v>
          </cell>
          <cell r="E12" t="str">
            <v>M'SAKEN</v>
          </cell>
          <cell r="F12" t="str">
            <v>03508056010100247580</v>
          </cell>
        </row>
        <row r="13">
          <cell r="A13">
            <v>192</v>
          </cell>
          <cell r="B13" t="str">
            <v>ABDELJALIL</v>
          </cell>
          <cell r="C13" t="str">
            <v>B ABDELJALIL</v>
          </cell>
          <cell r="D13" t="str">
            <v>BIAT</v>
          </cell>
          <cell r="E13" t="str">
            <v>M'SAKEN</v>
          </cell>
          <cell r="F13" t="str">
            <v>08507000262001028939</v>
          </cell>
        </row>
        <row r="14">
          <cell r="A14">
            <v>194</v>
          </cell>
          <cell r="B14" t="str">
            <v>KAMEL</v>
          </cell>
          <cell r="C14" t="str">
            <v>KRIFA</v>
          </cell>
          <cell r="D14" t="str">
            <v>BANQUE DE L'HABITAT</v>
          </cell>
          <cell r="E14" t="str">
            <v>CITE RIADH  SOUSSE</v>
          </cell>
          <cell r="F14" t="str">
            <v>14114114100705252512</v>
          </cell>
        </row>
        <row r="15">
          <cell r="A15">
            <v>197</v>
          </cell>
          <cell r="B15" t="str">
            <v>SALEM</v>
          </cell>
          <cell r="C15" t="str">
            <v>REGAIEG</v>
          </cell>
          <cell r="D15" t="str">
            <v>BNA</v>
          </cell>
          <cell r="E15" t="str">
            <v>M'SAKEN</v>
          </cell>
          <cell r="F15" t="str">
            <v>03508056010100158049</v>
          </cell>
        </row>
        <row r="16">
          <cell r="A16">
            <v>212</v>
          </cell>
          <cell r="B16" t="str">
            <v>BECHIR B AHMED</v>
          </cell>
          <cell r="C16" t="str">
            <v>BOUHLEL</v>
          </cell>
          <cell r="D16" t="str">
            <v>BIAT</v>
          </cell>
          <cell r="E16" t="str">
            <v>M'SAKEN</v>
          </cell>
          <cell r="F16" t="str">
            <v>08507000262001609096</v>
          </cell>
        </row>
        <row r="17">
          <cell r="A17">
            <v>225</v>
          </cell>
          <cell r="B17" t="str">
            <v>ABDELKARIM</v>
          </cell>
          <cell r="C17" t="str">
            <v>LAYOUNI</v>
          </cell>
          <cell r="D17" t="str">
            <v>UIB</v>
          </cell>
          <cell r="E17" t="str">
            <v>MSAKEN</v>
          </cell>
          <cell r="F17" t="str">
            <v>12505000000214557279</v>
          </cell>
        </row>
        <row r="18">
          <cell r="A18">
            <v>247</v>
          </cell>
          <cell r="B18" t="str">
            <v>MOURAD</v>
          </cell>
          <cell r="C18" t="str">
            <v>BOUZAMMOUCHA</v>
          </cell>
          <cell r="D18" t="str">
            <v>BANQUE ZITOUNA</v>
          </cell>
          <cell r="E18" t="str">
            <v>M'SAKEN</v>
          </cell>
          <cell r="F18" t="str">
            <v>25018000000016670586</v>
          </cell>
        </row>
        <row r="19">
          <cell r="A19">
            <v>262</v>
          </cell>
          <cell r="B19" t="str">
            <v>TAOUFIK</v>
          </cell>
          <cell r="C19" t="str">
            <v>B HAMOUDA</v>
          </cell>
          <cell r="D19" t="str">
            <v>BNA</v>
          </cell>
          <cell r="E19" t="str">
            <v>M'SAKEN</v>
          </cell>
          <cell r="F19" t="str">
            <v>03508056010100088985</v>
          </cell>
        </row>
        <row r="20">
          <cell r="A20">
            <v>279</v>
          </cell>
          <cell r="B20" t="str">
            <v>JALEL</v>
          </cell>
          <cell r="C20" t="str">
            <v>GUEZGUEZ</v>
          </cell>
          <cell r="D20" t="str">
            <v>BIAT</v>
          </cell>
          <cell r="E20" t="str">
            <v>M'SAKEN</v>
          </cell>
          <cell r="F20" t="str">
            <v>08507000262000889647</v>
          </cell>
        </row>
        <row r="21">
          <cell r="A21">
            <v>280</v>
          </cell>
          <cell r="B21" t="str">
            <v>GHAZI</v>
          </cell>
          <cell r="C21" t="str">
            <v>LAYOUNI</v>
          </cell>
          <cell r="D21" t="str">
            <v>BTK</v>
          </cell>
          <cell r="E21" t="str">
            <v>SOUSSE</v>
          </cell>
          <cell r="F21" t="str">
            <v>20009090001145941227</v>
          </cell>
        </row>
        <row r="22">
          <cell r="A22">
            <v>284</v>
          </cell>
          <cell r="B22" t="str">
            <v>FETHI</v>
          </cell>
          <cell r="C22" t="str">
            <v>B. HJ ALI</v>
          </cell>
          <cell r="D22" t="str">
            <v>BTK</v>
          </cell>
          <cell r="E22" t="str">
            <v>SOUSSE</v>
          </cell>
          <cell r="F22" t="str">
            <v>20009092220013224101</v>
          </cell>
        </row>
        <row r="23">
          <cell r="A23">
            <v>326</v>
          </cell>
          <cell r="B23" t="str">
            <v>LOTFI</v>
          </cell>
          <cell r="C23" t="str">
            <v>LOGHMARI</v>
          </cell>
          <cell r="D23" t="str">
            <v>UIB</v>
          </cell>
          <cell r="E23" t="str">
            <v>M'SAKEN</v>
          </cell>
          <cell r="F23" t="str">
            <v>12505000580100649568</v>
          </cell>
        </row>
        <row r="24">
          <cell r="A24">
            <v>328</v>
          </cell>
          <cell r="B24" t="str">
            <v>NEJMEDDINE</v>
          </cell>
          <cell r="C24" t="str">
            <v>BAILI</v>
          </cell>
          <cell r="D24" t="str">
            <v>STB</v>
          </cell>
          <cell r="E24" t="str">
            <v>M'SAKEN</v>
          </cell>
          <cell r="F24" t="str">
            <v>10506040205075378856</v>
          </cell>
        </row>
        <row r="25">
          <cell r="A25">
            <v>344</v>
          </cell>
          <cell r="B25" t="str">
            <v>CHADLI</v>
          </cell>
          <cell r="C25" t="str">
            <v>TERZEGUE ELBHIRI</v>
          </cell>
          <cell r="D25" t="str">
            <v>UIB</v>
          </cell>
          <cell r="E25" t="str">
            <v>M'SAKEN</v>
          </cell>
          <cell r="F25" t="str">
            <v>12505000580100744046</v>
          </cell>
        </row>
        <row r="26">
          <cell r="A26">
            <v>346</v>
          </cell>
          <cell r="B26" t="str">
            <v>NOUREDDINE</v>
          </cell>
          <cell r="C26" t="str">
            <v>B HJ SGHAIER</v>
          </cell>
          <cell r="D26" t="str">
            <v>BTK</v>
          </cell>
          <cell r="E26" t="str">
            <v>M'SAKEN</v>
          </cell>
          <cell r="F26" t="str">
            <v>20009092220013527711</v>
          </cell>
        </row>
        <row r="27">
          <cell r="A27">
            <v>356</v>
          </cell>
          <cell r="B27" t="str">
            <v>TAOUFIK</v>
          </cell>
          <cell r="C27" t="str">
            <v>BAYA</v>
          </cell>
          <cell r="D27" t="str">
            <v>ATTIJARI BANK</v>
          </cell>
          <cell r="E27" t="str">
            <v>M'SAKEN</v>
          </cell>
          <cell r="F27" t="str">
            <v>04204067404000631620</v>
          </cell>
        </row>
        <row r="28">
          <cell r="A28">
            <v>357</v>
          </cell>
          <cell r="B28" t="str">
            <v>HABIB</v>
          </cell>
          <cell r="C28" t="str">
            <v>BOUGADDOUHA</v>
          </cell>
          <cell r="D28" t="str">
            <v>BANQUE ZITOUNA</v>
          </cell>
          <cell r="E28" t="str">
            <v>M'SAKEN</v>
          </cell>
          <cell r="F28" t="str">
            <v>25018000000014912267</v>
          </cell>
        </row>
        <row r="29">
          <cell r="A29">
            <v>359</v>
          </cell>
          <cell r="B29" t="str">
            <v>HASSEN</v>
          </cell>
          <cell r="C29" t="str">
            <v>ROUIS</v>
          </cell>
          <cell r="D29" t="str">
            <v>UIB</v>
          </cell>
          <cell r="E29" t="str">
            <v>M'SAKEN</v>
          </cell>
          <cell r="F29" t="str">
            <v>12505000580100782361</v>
          </cell>
        </row>
        <row r="30">
          <cell r="A30">
            <v>361</v>
          </cell>
          <cell r="B30" t="str">
            <v>RACHID</v>
          </cell>
          <cell r="C30" t="str">
            <v>B KHELIFA</v>
          </cell>
          <cell r="D30" t="str">
            <v>ATTIJARI BANK</v>
          </cell>
          <cell r="E30" t="str">
            <v>M'SAKEN</v>
          </cell>
          <cell r="F30" t="str">
            <v>04204067404000917964</v>
          </cell>
        </row>
        <row r="31">
          <cell r="A31">
            <v>368</v>
          </cell>
          <cell r="B31" t="str">
            <v>RIDHA</v>
          </cell>
          <cell r="C31" t="str">
            <v>AJROUD</v>
          </cell>
          <cell r="D31" t="str">
            <v>STB</v>
          </cell>
          <cell r="E31" t="str">
            <v>M'SAKEN</v>
          </cell>
          <cell r="F31" t="str">
            <v>10506040203075578841</v>
          </cell>
        </row>
        <row r="32">
          <cell r="A32">
            <v>369</v>
          </cell>
          <cell r="B32" t="str">
            <v>BECHIR</v>
          </cell>
          <cell r="C32" t="str">
            <v>KECHICHE</v>
          </cell>
          <cell r="D32" t="str">
            <v>BNA</v>
          </cell>
          <cell r="E32" t="str">
            <v>M'SAKEN</v>
          </cell>
          <cell r="F32" t="str">
            <v>03508056010100091895</v>
          </cell>
        </row>
        <row r="33">
          <cell r="A33">
            <v>382</v>
          </cell>
          <cell r="B33" t="str">
            <v>KHALED</v>
          </cell>
          <cell r="C33" t="str">
            <v>HMILA</v>
          </cell>
          <cell r="D33" t="str">
            <v>BNA</v>
          </cell>
          <cell r="E33" t="str">
            <v>M'SAKEN</v>
          </cell>
          <cell r="F33" t="str">
            <v>03508056010100157952</v>
          </cell>
        </row>
        <row r="34">
          <cell r="A34">
            <v>418</v>
          </cell>
          <cell r="B34" t="str">
            <v>RIDHA</v>
          </cell>
          <cell r="C34" t="str">
            <v>SASSI</v>
          </cell>
          <cell r="D34" t="str">
            <v>BIAT</v>
          </cell>
          <cell r="E34" t="str">
            <v>M'SAKEN</v>
          </cell>
          <cell r="F34" t="str">
            <v>08507000262000756369</v>
          </cell>
        </row>
        <row r="35">
          <cell r="A35">
            <v>423</v>
          </cell>
          <cell r="B35" t="str">
            <v>SAMIR</v>
          </cell>
          <cell r="C35" t="str">
            <v>B TURKIA</v>
          </cell>
          <cell r="D35" t="str">
            <v>ATTIJARI BANK</v>
          </cell>
          <cell r="E35" t="str">
            <v>M'SAKEN</v>
          </cell>
          <cell r="F35" t="str">
            <v>04204067404000687880</v>
          </cell>
        </row>
        <row r="36">
          <cell r="A36">
            <v>424</v>
          </cell>
          <cell r="B36" t="str">
            <v>ABDELHAFIDH</v>
          </cell>
          <cell r="C36" t="str">
            <v>BOUKRAA</v>
          </cell>
          <cell r="D36" t="str">
            <v>ATTIJARI BANK</v>
          </cell>
          <cell r="E36" t="str">
            <v>M'SAKEN</v>
          </cell>
          <cell r="F36" t="str">
            <v>04204067404001234863</v>
          </cell>
        </row>
        <row r="37">
          <cell r="A37">
            <v>426</v>
          </cell>
          <cell r="B37" t="str">
            <v>RIDHA</v>
          </cell>
          <cell r="C37" t="str">
            <v>AFRIT</v>
          </cell>
          <cell r="D37" t="str">
            <v>UIB</v>
          </cell>
          <cell r="E37" t="str">
            <v>M'SAKEN</v>
          </cell>
          <cell r="F37" t="str">
            <v>12505000580100968019</v>
          </cell>
        </row>
        <row r="38">
          <cell r="A38">
            <v>427</v>
          </cell>
          <cell r="B38" t="str">
            <v>BECHIR</v>
          </cell>
          <cell r="C38" t="str">
            <v>B HJ SEGHAIER</v>
          </cell>
          <cell r="D38" t="str">
            <v>ATTIJARI BANK</v>
          </cell>
          <cell r="E38" t="str">
            <v>M'SAKEN</v>
          </cell>
          <cell r="F38" t="str">
            <v>04204067404000963360</v>
          </cell>
        </row>
        <row r="39">
          <cell r="A39">
            <v>454</v>
          </cell>
          <cell r="B39" t="str">
            <v>HEDI</v>
          </cell>
          <cell r="C39" t="str">
            <v>KOUADA</v>
          </cell>
          <cell r="D39" t="str">
            <v>ATTIJARI BANK</v>
          </cell>
          <cell r="E39" t="str">
            <v>M'SAKEN</v>
          </cell>
          <cell r="F39" t="str">
            <v>04204067404000865002</v>
          </cell>
        </row>
        <row r="40">
          <cell r="A40">
            <v>480</v>
          </cell>
          <cell r="B40" t="str">
            <v>CHOKRI</v>
          </cell>
          <cell r="C40" t="str">
            <v>ETTOUMI</v>
          </cell>
          <cell r="D40" t="str">
            <v>BNA</v>
          </cell>
          <cell r="E40" t="str">
            <v>M'SAKEN</v>
          </cell>
          <cell r="F40" t="str">
            <v>03508056010100097521</v>
          </cell>
        </row>
        <row r="41">
          <cell r="A41">
            <v>482</v>
          </cell>
          <cell r="B41" t="str">
            <v>HMAIED</v>
          </cell>
          <cell r="C41" t="str">
            <v>MAATOUG</v>
          </cell>
          <cell r="D41" t="str">
            <v>BANQUE DE TUNISIE</v>
          </cell>
          <cell r="E41" t="str">
            <v>MSAKEN</v>
          </cell>
          <cell r="F41" t="str">
            <v>05048000116500150477</v>
          </cell>
        </row>
        <row r="42">
          <cell r="A42">
            <v>486</v>
          </cell>
          <cell r="B42" t="str">
            <v>RIDHA</v>
          </cell>
          <cell r="C42" t="str">
            <v>JARRAR</v>
          </cell>
          <cell r="D42" t="str">
            <v>BANQUE ZITOUNA</v>
          </cell>
          <cell r="E42" t="str">
            <v>M'SAKEN</v>
          </cell>
          <cell r="F42" t="str">
            <v>25018000000005713078</v>
          </cell>
        </row>
        <row r="43">
          <cell r="A43">
            <v>497</v>
          </cell>
          <cell r="B43" t="str">
            <v>TAOUFIK</v>
          </cell>
          <cell r="C43" t="str">
            <v>BEN ABDALLAH</v>
          </cell>
          <cell r="D43" t="str">
            <v>STB</v>
          </cell>
          <cell r="E43" t="str">
            <v>M'SAKEN</v>
          </cell>
          <cell r="F43" t="str">
            <v>10506040203419978893</v>
          </cell>
        </row>
        <row r="44">
          <cell r="A44">
            <v>498</v>
          </cell>
          <cell r="B44" t="str">
            <v>TAOUFIK</v>
          </cell>
          <cell r="C44" t="str">
            <v>DHIB</v>
          </cell>
          <cell r="D44" t="str">
            <v>UIB</v>
          </cell>
          <cell r="E44" t="str">
            <v>MSAKEN</v>
          </cell>
          <cell r="F44" t="str">
            <v>12505000000213607746</v>
          </cell>
        </row>
        <row r="45">
          <cell r="A45">
            <v>503</v>
          </cell>
          <cell r="B45" t="str">
            <v>ABDELHAFIDH</v>
          </cell>
          <cell r="C45" t="str">
            <v>BOUHLEL</v>
          </cell>
          <cell r="D45" t="str">
            <v>STB</v>
          </cell>
          <cell r="E45" t="str">
            <v>M'SAKEN</v>
          </cell>
          <cell r="F45" t="str">
            <v>10506040203259578820</v>
          </cell>
        </row>
        <row r="46">
          <cell r="A46">
            <v>524</v>
          </cell>
          <cell r="B46" t="str">
            <v>TAREK</v>
          </cell>
          <cell r="C46" t="str">
            <v>EL MAHFOUDH</v>
          </cell>
          <cell r="D46" t="str">
            <v>BANQUE DE L'HABITAT</v>
          </cell>
          <cell r="E46" t="str">
            <v>SOUSSE</v>
          </cell>
          <cell r="F46" t="str">
            <v>14500500100702024154</v>
          </cell>
        </row>
        <row r="47">
          <cell r="A47">
            <v>537</v>
          </cell>
          <cell r="B47" t="str">
            <v>MOHAMED</v>
          </cell>
          <cell r="C47" t="str">
            <v>B HASSEN</v>
          </cell>
          <cell r="D47" t="str">
            <v>UIB</v>
          </cell>
          <cell r="E47" t="str">
            <v>M'SAKEN</v>
          </cell>
          <cell r="F47" t="str">
            <v>12505000580100892747</v>
          </cell>
        </row>
        <row r="48">
          <cell r="A48">
            <v>540</v>
          </cell>
          <cell r="B48" t="str">
            <v>FETHI</v>
          </cell>
          <cell r="C48" t="str">
            <v>EL ABED</v>
          </cell>
          <cell r="D48" t="str">
            <v>BIAT</v>
          </cell>
          <cell r="E48" t="str">
            <v>M'SAKEN</v>
          </cell>
          <cell r="F48" t="str">
            <v>08507000262000357602</v>
          </cell>
        </row>
        <row r="49">
          <cell r="A49">
            <v>551</v>
          </cell>
          <cell r="B49" t="str">
            <v>SALAH</v>
          </cell>
          <cell r="C49" t="str">
            <v>EL GADHI</v>
          </cell>
          <cell r="D49" t="str">
            <v>BIAT</v>
          </cell>
          <cell r="E49" t="str">
            <v>M'SAKEN</v>
          </cell>
          <cell r="F49" t="str">
            <v>08507000262000178637</v>
          </cell>
        </row>
        <row r="50">
          <cell r="A50">
            <v>552</v>
          </cell>
          <cell r="B50" t="str">
            <v>KAMEL</v>
          </cell>
          <cell r="C50" t="str">
            <v>ACHOUR KHEDHIRI</v>
          </cell>
          <cell r="D50" t="str">
            <v>BIAT</v>
          </cell>
          <cell r="E50" t="str">
            <v>M'SAKEN</v>
          </cell>
          <cell r="F50" t="str">
            <v>08507000262001239720</v>
          </cell>
        </row>
        <row r="51">
          <cell r="A51">
            <v>572</v>
          </cell>
          <cell r="B51" t="str">
            <v>ABDELMAJID</v>
          </cell>
          <cell r="C51" t="str">
            <v>SHAIEB</v>
          </cell>
          <cell r="D51" t="str">
            <v>BIAT</v>
          </cell>
          <cell r="E51" t="str">
            <v>M'SAKEN</v>
          </cell>
          <cell r="F51" t="str">
            <v>08507000262004660716</v>
          </cell>
        </row>
        <row r="52">
          <cell r="A52">
            <v>582</v>
          </cell>
          <cell r="B52" t="str">
            <v>TAIEB</v>
          </cell>
          <cell r="C52" t="str">
            <v>MATHLOUTHI</v>
          </cell>
          <cell r="D52" t="str">
            <v>STB</v>
          </cell>
          <cell r="E52" t="str">
            <v>M'SAKEN</v>
          </cell>
          <cell r="F52" t="str">
            <v>10506040203446678822</v>
          </cell>
        </row>
        <row r="53">
          <cell r="A53">
            <v>590</v>
          </cell>
          <cell r="B53" t="str">
            <v>ABDELAZIZ</v>
          </cell>
          <cell r="C53" t="str">
            <v>KHALFALLAH</v>
          </cell>
          <cell r="D53" t="str">
            <v>B.T</v>
          </cell>
          <cell r="E53" t="str">
            <v>M'SAKEN</v>
          </cell>
          <cell r="F53" t="str">
            <v>05048000116500489977</v>
          </cell>
        </row>
        <row r="54">
          <cell r="A54">
            <v>599</v>
          </cell>
          <cell r="B54" t="str">
            <v>MOHD B AHMED</v>
          </cell>
          <cell r="C54" t="str">
            <v>LOGHMARI</v>
          </cell>
          <cell r="D54" t="str">
            <v>BIAT</v>
          </cell>
          <cell r="E54" t="str">
            <v>M'SAKEN</v>
          </cell>
          <cell r="F54" t="str">
            <v>08507000262001386578</v>
          </cell>
        </row>
        <row r="55">
          <cell r="A55">
            <v>606</v>
          </cell>
          <cell r="B55" t="str">
            <v>FREDJ</v>
          </cell>
          <cell r="C55" t="str">
            <v>MABROUK</v>
          </cell>
          <cell r="D55" t="str">
            <v>STB</v>
          </cell>
          <cell r="E55" t="str">
            <v>M'SAKEN</v>
          </cell>
          <cell r="F55" t="str">
            <v>10506040511727378881</v>
          </cell>
        </row>
        <row r="56">
          <cell r="A56">
            <v>618</v>
          </cell>
          <cell r="B56" t="str">
            <v>JALEL</v>
          </cell>
          <cell r="C56" t="str">
            <v>B MBAREK</v>
          </cell>
          <cell r="D56" t="str">
            <v>STB</v>
          </cell>
          <cell r="E56" t="str">
            <v>M'SAKEN</v>
          </cell>
          <cell r="F56" t="str">
            <v>10506040203512978807</v>
          </cell>
        </row>
        <row r="57">
          <cell r="A57">
            <v>626</v>
          </cell>
          <cell r="B57" t="str">
            <v>KHEMAIES</v>
          </cell>
          <cell r="C57" t="str">
            <v>TOUNSI MAHJOUB</v>
          </cell>
          <cell r="D57" t="str">
            <v>ATTIJARI BANK</v>
          </cell>
          <cell r="E57" t="str">
            <v>M'SAKEN</v>
          </cell>
          <cell r="F57" t="str">
            <v>04204067404000654803</v>
          </cell>
        </row>
        <row r="58">
          <cell r="A58">
            <v>640</v>
          </cell>
          <cell r="B58" t="str">
            <v>BECHIR</v>
          </cell>
          <cell r="C58" t="str">
            <v>JARRAR</v>
          </cell>
          <cell r="D58" t="str">
            <v>BNA</v>
          </cell>
          <cell r="E58" t="str">
            <v>M'SAKEN</v>
          </cell>
          <cell r="F58" t="str">
            <v>03508056010100127397</v>
          </cell>
        </row>
        <row r="59">
          <cell r="A59">
            <v>643</v>
          </cell>
          <cell r="B59" t="str">
            <v>AHMED KHIAREDDINE</v>
          </cell>
          <cell r="C59" t="str">
            <v>GUEZGUEZ</v>
          </cell>
          <cell r="D59" t="str">
            <v>AMEN BANK</v>
          </cell>
          <cell r="E59" t="str">
            <v>M'SAKEN</v>
          </cell>
          <cell r="F59" t="str">
            <v>07408005310556181904</v>
          </cell>
        </row>
        <row r="60">
          <cell r="A60">
            <v>645</v>
          </cell>
          <cell r="B60" t="str">
            <v>HATEM</v>
          </cell>
          <cell r="C60" t="str">
            <v>MELLAH</v>
          </cell>
          <cell r="D60" t="str">
            <v>BNA</v>
          </cell>
          <cell r="E60" t="str">
            <v>M'SAKEN</v>
          </cell>
          <cell r="F60" t="str">
            <v>03508056010100104893</v>
          </cell>
        </row>
        <row r="61">
          <cell r="A61">
            <v>647</v>
          </cell>
          <cell r="B61" t="str">
            <v>NACEUR</v>
          </cell>
          <cell r="C61" t="str">
            <v>KHELIFA</v>
          </cell>
          <cell r="D61" t="str">
            <v>UIB</v>
          </cell>
          <cell r="E61" t="str">
            <v>M'SAKEN</v>
          </cell>
          <cell r="F61" t="str">
            <v>12505000580102810340</v>
          </cell>
        </row>
        <row r="62">
          <cell r="A62">
            <v>648</v>
          </cell>
          <cell r="B62" t="str">
            <v>ABDELMAJID</v>
          </cell>
          <cell r="C62" t="str">
            <v>MANSOUR</v>
          </cell>
          <cell r="D62" t="str">
            <v>UIB</v>
          </cell>
          <cell r="E62" t="str">
            <v>M'SAKEN</v>
          </cell>
          <cell r="F62" t="str">
            <v>12505000580101845093</v>
          </cell>
        </row>
        <row r="63">
          <cell r="A63">
            <v>651</v>
          </cell>
          <cell r="B63" t="str">
            <v>TAHAR</v>
          </cell>
          <cell r="C63" t="str">
            <v>MATHLOUTHI</v>
          </cell>
          <cell r="D63" t="str">
            <v>UIB</v>
          </cell>
          <cell r="E63" t="str">
            <v>M'SAKEN</v>
          </cell>
          <cell r="F63" t="str">
            <v>12505000580101033688</v>
          </cell>
        </row>
        <row r="64">
          <cell r="A64">
            <v>654</v>
          </cell>
          <cell r="B64" t="str">
            <v>SLAHEDDINE</v>
          </cell>
          <cell r="C64" t="str">
            <v>BOUARGOUB</v>
          </cell>
          <cell r="D64" t="str">
            <v>UIB</v>
          </cell>
          <cell r="E64" t="str">
            <v>M'SAKEN</v>
          </cell>
          <cell r="F64" t="str">
            <v>12505000580101039508</v>
          </cell>
        </row>
        <row r="65">
          <cell r="A65">
            <v>656</v>
          </cell>
          <cell r="B65" t="str">
            <v>MOHD MONCEF</v>
          </cell>
          <cell r="C65" t="str">
            <v>CHEBIL</v>
          </cell>
          <cell r="D65" t="str">
            <v>BANQUE DE TUNISIE</v>
          </cell>
          <cell r="E65" t="str">
            <v>M'SAKEN</v>
          </cell>
          <cell r="F65" t="str">
            <v>05048000116500011767</v>
          </cell>
        </row>
        <row r="66">
          <cell r="A66">
            <v>659</v>
          </cell>
          <cell r="B66" t="str">
            <v>SAYED</v>
          </cell>
          <cell r="C66" t="str">
            <v>NABLI</v>
          </cell>
          <cell r="D66" t="str">
            <v>ATTIJARI BANK</v>
          </cell>
          <cell r="E66" t="str">
            <v>SOUSSE</v>
          </cell>
          <cell r="F66" t="str">
            <v>04500043404005457181</v>
          </cell>
        </row>
        <row r="67">
          <cell r="A67">
            <v>661</v>
          </cell>
          <cell r="B67" t="str">
            <v>MOHSEN</v>
          </cell>
          <cell r="C67" t="str">
            <v>BEN HMED</v>
          </cell>
          <cell r="D67" t="str">
            <v>STB</v>
          </cell>
          <cell r="E67" t="str">
            <v>M'SAKEN</v>
          </cell>
          <cell r="F67" t="str">
            <v>10506040203845778823</v>
          </cell>
        </row>
        <row r="68">
          <cell r="A68">
            <v>662</v>
          </cell>
          <cell r="B68" t="str">
            <v>RACHED</v>
          </cell>
          <cell r="C68" t="str">
            <v>B YOUSSEF</v>
          </cell>
          <cell r="D68" t="str">
            <v>BANQUE ZITOUNA</v>
          </cell>
          <cell r="E68" t="str">
            <v>M'SAKEN</v>
          </cell>
          <cell r="F68" t="str">
            <v>25018000000009849449</v>
          </cell>
        </row>
        <row r="69">
          <cell r="A69">
            <v>665</v>
          </cell>
          <cell r="B69" t="str">
            <v>YOUSSEF</v>
          </cell>
          <cell r="C69" t="str">
            <v>ROMDHANE</v>
          </cell>
          <cell r="D69" t="str">
            <v>STB</v>
          </cell>
          <cell r="E69" t="str">
            <v>M'SAKEN</v>
          </cell>
          <cell r="F69" t="str">
            <v>10506040203507278893</v>
          </cell>
        </row>
        <row r="70">
          <cell r="A70">
            <v>675</v>
          </cell>
          <cell r="B70" t="str">
            <v>MAHER</v>
          </cell>
          <cell r="C70" t="str">
            <v>BOUBAKER</v>
          </cell>
          <cell r="D70" t="str">
            <v>STB</v>
          </cell>
          <cell r="E70" t="str">
            <v>M'SAKEN</v>
          </cell>
          <cell r="F70" t="str">
            <v>10506040204381278866</v>
          </cell>
        </row>
        <row r="71">
          <cell r="A71">
            <v>692</v>
          </cell>
          <cell r="B71" t="str">
            <v>MOHAMED</v>
          </cell>
          <cell r="C71" t="str">
            <v>ABDELLAH</v>
          </cell>
          <cell r="D71" t="str">
            <v>BANQUE DE TUNISIE</v>
          </cell>
          <cell r="E71" t="str">
            <v>M'SAKEN</v>
          </cell>
          <cell r="F71" t="str">
            <v>05048000116500470868</v>
          </cell>
        </row>
        <row r="72">
          <cell r="A72">
            <v>695</v>
          </cell>
          <cell r="B72" t="str">
            <v>ABDELHAMID</v>
          </cell>
          <cell r="C72" t="str">
            <v>LAAJILI</v>
          </cell>
          <cell r="D72" t="str">
            <v>STB</v>
          </cell>
          <cell r="E72" t="str">
            <v>M'SAKEN</v>
          </cell>
          <cell r="F72" t="str">
            <v>10506040204305878826</v>
          </cell>
        </row>
        <row r="73">
          <cell r="A73">
            <v>697</v>
          </cell>
          <cell r="B73" t="str">
            <v>SALEM</v>
          </cell>
          <cell r="C73" t="str">
            <v>KHAYACHI</v>
          </cell>
          <cell r="D73" t="str">
            <v>B.T.E</v>
          </cell>
          <cell r="E73" t="str">
            <v>MSAKEN</v>
          </cell>
          <cell r="F73" t="str">
            <v>24010030159251110122</v>
          </cell>
        </row>
        <row r="74">
          <cell r="A74">
            <v>700</v>
          </cell>
          <cell r="B74" t="str">
            <v>ABDELFETTAH</v>
          </cell>
          <cell r="C74" t="str">
            <v>ZORGATI</v>
          </cell>
          <cell r="D74" t="str">
            <v>STB</v>
          </cell>
          <cell r="E74" t="str">
            <v>M'SAKEN</v>
          </cell>
          <cell r="F74" t="str">
            <v>10506040204814278815</v>
          </cell>
        </row>
        <row r="75">
          <cell r="A75">
            <v>701</v>
          </cell>
          <cell r="B75" t="str">
            <v>ABDELHAKIM</v>
          </cell>
          <cell r="C75" t="str">
            <v>B HASSINE</v>
          </cell>
          <cell r="D75" t="str">
            <v>UIB</v>
          </cell>
          <cell r="E75" t="str">
            <v>M'SAKEN</v>
          </cell>
          <cell r="F75" t="str">
            <v>12505000580101058132</v>
          </cell>
        </row>
        <row r="76">
          <cell r="A76">
            <v>721</v>
          </cell>
          <cell r="B76" t="str">
            <v>WAHID</v>
          </cell>
          <cell r="C76" t="str">
            <v>B ABDELJALIL</v>
          </cell>
          <cell r="D76" t="str">
            <v>STB</v>
          </cell>
          <cell r="E76" t="str">
            <v>M'SAKEN</v>
          </cell>
          <cell r="F76" t="str">
            <v>10506040203869378826</v>
          </cell>
        </row>
        <row r="77">
          <cell r="A77">
            <v>725</v>
          </cell>
          <cell r="B77" t="str">
            <v>MOURAD</v>
          </cell>
          <cell r="C77" t="str">
            <v>BOUARGOUB</v>
          </cell>
          <cell r="D77" t="str">
            <v>BIAT</v>
          </cell>
          <cell r="E77" t="str">
            <v>M'SAKEN</v>
          </cell>
          <cell r="F77" t="str">
            <v>08507000262002225240</v>
          </cell>
        </row>
        <row r="78">
          <cell r="A78">
            <v>730</v>
          </cell>
          <cell r="B78" t="str">
            <v>MOUNIR</v>
          </cell>
          <cell r="C78" t="str">
            <v>KILANI</v>
          </cell>
          <cell r="D78" t="str">
            <v>ATTIJARI BANK</v>
          </cell>
          <cell r="E78" t="str">
            <v>M'SAKEN</v>
          </cell>
          <cell r="F78" t="str">
            <v>04204067404000633269</v>
          </cell>
        </row>
        <row r="79">
          <cell r="A79">
            <v>742</v>
          </cell>
          <cell r="B79" t="str">
            <v>FAICAL</v>
          </cell>
          <cell r="C79" t="str">
            <v>EL AMRI</v>
          </cell>
          <cell r="D79" t="str">
            <v>UIB</v>
          </cell>
          <cell r="E79" t="str">
            <v>M'SAKEN</v>
          </cell>
          <cell r="F79" t="str">
            <v>12505000580101175890</v>
          </cell>
        </row>
        <row r="80">
          <cell r="A80">
            <v>758</v>
          </cell>
          <cell r="B80" t="str">
            <v>KAMEL</v>
          </cell>
          <cell r="C80" t="str">
            <v>B YAHIA</v>
          </cell>
          <cell r="D80" t="str">
            <v>UIB</v>
          </cell>
          <cell r="E80" t="str">
            <v>M'SAKEN</v>
          </cell>
          <cell r="F80" t="str">
            <v>12505000580101147275</v>
          </cell>
        </row>
        <row r="81">
          <cell r="A81">
            <v>761</v>
          </cell>
          <cell r="B81" t="str">
            <v>RIDHA</v>
          </cell>
          <cell r="C81" t="str">
            <v>SLIMENE</v>
          </cell>
          <cell r="D81" t="str">
            <v>STB</v>
          </cell>
          <cell r="E81" t="str">
            <v>M'SAKEN</v>
          </cell>
          <cell r="F81" t="str">
            <v>10506040203732578853</v>
          </cell>
        </row>
        <row r="82">
          <cell r="A82">
            <v>762</v>
          </cell>
          <cell r="B82" t="str">
            <v>BOURAOUI</v>
          </cell>
          <cell r="C82" t="str">
            <v>B FREDJ</v>
          </cell>
          <cell r="D82" t="str">
            <v>STB</v>
          </cell>
          <cell r="E82" t="str">
            <v>M'SAKEN</v>
          </cell>
          <cell r="F82" t="str">
            <v>10506040203731278859</v>
          </cell>
        </row>
        <row r="83">
          <cell r="A83">
            <v>769</v>
          </cell>
          <cell r="B83" t="str">
            <v>CHAFIK</v>
          </cell>
          <cell r="C83" t="str">
            <v>MFAREJ</v>
          </cell>
          <cell r="D83" t="str">
            <v>BIAT</v>
          </cell>
          <cell r="E83" t="str">
            <v>JARDIN KANTAOUI</v>
          </cell>
          <cell r="F83" t="str">
            <v>08016010072002525089</v>
          </cell>
        </row>
        <row r="84">
          <cell r="A84">
            <v>772</v>
          </cell>
          <cell r="B84" t="str">
            <v>LOTFI B MOHAMED</v>
          </cell>
          <cell r="C84" t="str">
            <v>BOUHLEL</v>
          </cell>
          <cell r="D84" t="str">
            <v>UIB</v>
          </cell>
          <cell r="E84" t="str">
            <v>MSAKEN</v>
          </cell>
          <cell r="F84" t="str">
            <v>12505000000220481457</v>
          </cell>
        </row>
        <row r="85">
          <cell r="A85">
            <v>775</v>
          </cell>
          <cell r="B85" t="str">
            <v>MONDHER</v>
          </cell>
          <cell r="C85" t="str">
            <v>ZORGATI</v>
          </cell>
          <cell r="D85" t="str">
            <v>BANQUE DE TUNISIE</v>
          </cell>
          <cell r="E85" t="str">
            <v>M'SAKEN</v>
          </cell>
          <cell r="F85" t="str">
            <v>05048000116500459713</v>
          </cell>
        </row>
        <row r="86">
          <cell r="A86">
            <v>784</v>
          </cell>
          <cell r="B86" t="str">
            <v>MOHD NEJIB</v>
          </cell>
          <cell r="C86" t="str">
            <v>B AMOR</v>
          </cell>
          <cell r="D86" t="str">
            <v>ATTIJARI BANK</v>
          </cell>
          <cell r="E86" t="str">
            <v>M'SAKEN</v>
          </cell>
          <cell r="F86" t="str">
            <v>04204067001222816935</v>
          </cell>
        </row>
        <row r="87">
          <cell r="A87">
            <v>787</v>
          </cell>
          <cell r="B87" t="str">
            <v>HABIB</v>
          </cell>
          <cell r="C87" t="str">
            <v>SASSI</v>
          </cell>
          <cell r="D87" t="str">
            <v>ATTIJARI BANK</v>
          </cell>
          <cell r="E87" t="str">
            <v>M'SAKEN</v>
          </cell>
          <cell r="F87" t="str">
            <v>04204067404000717368</v>
          </cell>
        </row>
        <row r="88">
          <cell r="A88">
            <v>790</v>
          </cell>
          <cell r="B88" t="str">
            <v>HAFEDH</v>
          </cell>
          <cell r="C88" t="str">
            <v>ATTIA</v>
          </cell>
          <cell r="D88" t="str">
            <v>ATTIJARI BANK</v>
          </cell>
          <cell r="E88" t="str">
            <v>M'SAKEN</v>
          </cell>
          <cell r="F88" t="str">
            <v>04204067404000678762</v>
          </cell>
        </row>
        <row r="89">
          <cell r="A89">
            <v>801</v>
          </cell>
          <cell r="B89" t="str">
            <v>NACIR</v>
          </cell>
          <cell r="C89" t="str">
            <v>DHRIR</v>
          </cell>
          <cell r="D89" t="str">
            <v>BANQUE DE L'HABITAT</v>
          </cell>
          <cell r="E89" t="str">
            <v>M'SAKEN</v>
          </cell>
          <cell r="F89" t="str">
            <v>14014014100700310938</v>
          </cell>
        </row>
        <row r="90">
          <cell r="A90">
            <v>802</v>
          </cell>
          <cell r="B90" t="str">
            <v>SABEUR</v>
          </cell>
          <cell r="C90" t="str">
            <v>BAYA</v>
          </cell>
          <cell r="D90" t="str">
            <v>STB</v>
          </cell>
          <cell r="E90" t="str">
            <v>M'SAKEN</v>
          </cell>
          <cell r="F90" t="str">
            <v>10506040203821178847</v>
          </cell>
        </row>
        <row r="91">
          <cell r="A91">
            <v>803</v>
          </cell>
          <cell r="B91" t="str">
            <v>ALI</v>
          </cell>
          <cell r="C91" t="str">
            <v>KRIFA</v>
          </cell>
          <cell r="D91" t="str">
            <v>BNA</v>
          </cell>
          <cell r="E91" t="str">
            <v>M'SAKEN</v>
          </cell>
          <cell r="F91" t="str">
            <v>03508056010100114302</v>
          </cell>
        </row>
        <row r="92">
          <cell r="A92">
            <v>804</v>
          </cell>
          <cell r="B92" t="str">
            <v>ABDELLATIF</v>
          </cell>
          <cell r="C92" t="str">
            <v>DAHMANI</v>
          </cell>
          <cell r="D92" t="str">
            <v>STB</v>
          </cell>
          <cell r="E92" t="str">
            <v>M'SAKEN</v>
          </cell>
          <cell r="F92" t="str">
            <v>10506040204111678812</v>
          </cell>
        </row>
        <row r="93">
          <cell r="A93">
            <v>809</v>
          </cell>
          <cell r="B93" t="str">
            <v>KAMEL</v>
          </cell>
          <cell r="C93" t="str">
            <v>HJ AMMAR</v>
          </cell>
          <cell r="D93" t="str">
            <v>STB</v>
          </cell>
          <cell r="E93" t="str">
            <v>M'SAKEN</v>
          </cell>
          <cell r="F93" t="str">
            <v>10506040203833978870</v>
          </cell>
        </row>
        <row r="94">
          <cell r="A94">
            <v>810</v>
          </cell>
          <cell r="B94" t="str">
            <v>TAHAR</v>
          </cell>
          <cell r="C94" t="str">
            <v>REJEB</v>
          </cell>
          <cell r="D94" t="str">
            <v>UIB</v>
          </cell>
          <cell r="E94" t="str">
            <v>M'SAKEN</v>
          </cell>
          <cell r="F94" t="str">
            <v>12505000580102679875</v>
          </cell>
        </row>
        <row r="95">
          <cell r="A95">
            <v>815</v>
          </cell>
          <cell r="B95" t="str">
            <v>HAFSI</v>
          </cell>
          <cell r="C95" t="str">
            <v>DAHMANI</v>
          </cell>
          <cell r="D95" t="str">
            <v>ATTIJARI BANK</v>
          </cell>
          <cell r="E95" t="str">
            <v>M'SAKEN</v>
          </cell>
          <cell r="F95" t="str">
            <v>04204067404000648013</v>
          </cell>
        </row>
        <row r="96">
          <cell r="A96">
            <v>824</v>
          </cell>
          <cell r="B96" t="str">
            <v>NACEUR</v>
          </cell>
          <cell r="C96" t="str">
            <v>MRIBAH</v>
          </cell>
          <cell r="D96" t="str">
            <v>STB</v>
          </cell>
          <cell r="E96" t="str">
            <v>M'SAKEN</v>
          </cell>
          <cell r="F96" t="str">
            <v>10506040203883978878</v>
          </cell>
        </row>
        <row r="97">
          <cell r="A97">
            <v>830</v>
          </cell>
          <cell r="B97" t="str">
            <v>CHIHEB</v>
          </cell>
          <cell r="C97" t="str">
            <v>DOURA</v>
          </cell>
          <cell r="D97" t="str">
            <v>CCP</v>
          </cell>
          <cell r="E97" t="str">
            <v>M'SAKEN</v>
          </cell>
          <cell r="F97" t="str">
            <v>17503000000121859941</v>
          </cell>
        </row>
        <row r="98">
          <cell r="A98">
            <v>832</v>
          </cell>
          <cell r="B98" t="str">
            <v>LOTFI</v>
          </cell>
          <cell r="C98" t="str">
            <v>ABBASSI</v>
          </cell>
          <cell r="D98" t="str">
            <v>STB</v>
          </cell>
          <cell r="E98" t="str">
            <v>M'SAKEN</v>
          </cell>
          <cell r="F98" t="str">
            <v>10506040203881378890</v>
          </cell>
        </row>
        <row r="99">
          <cell r="A99">
            <v>835</v>
          </cell>
          <cell r="B99" t="str">
            <v>SADOK</v>
          </cell>
          <cell r="C99" t="str">
            <v>LAGRAS</v>
          </cell>
          <cell r="D99" t="str">
            <v>BANQUE DE TUNISIE</v>
          </cell>
          <cell r="E99" t="str">
            <v>MSAKEN</v>
          </cell>
          <cell r="F99" t="str">
            <v>05048000116500144075</v>
          </cell>
        </row>
        <row r="100">
          <cell r="A100">
            <v>837</v>
          </cell>
          <cell r="B100" t="str">
            <v>ABDELAZIZ</v>
          </cell>
          <cell r="C100" t="str">
            <v>B HJ HASSEN</v>
          </cell>
          <cell r="D100" t="str">
            <v>BNA</v>
          </cell>
          <cell r="E100" t="str">
            <v>M'SAKEN</v>
          </cell>
          <cell r="F100" t="str">
            <v>03508056010100117309</v>
          </cell>
        </row>
        <row r="101">
          <cell r="A101">
            <v>843</v>
          </cell>
          <cell r="B101" t="str">
            <v>LANOUAR</v>
          </cell>
          <cell r="C101" t="str">
            <v>IBN KHABACHA</v>
          </cell>
          <cell r="D101" t="str">
            <v>UIB</v>
          </cell>
          <cell r="E101" t="str">
            <v>M'SAKEN</v>
          </cell>
          <cell r="F101" t="str">
            <v>12505000580101227494</v>
          </cell>
        </row>
        <row r="102">
          <cell r="A102">
            <v>847</v>
          </cell>
          <cell r="B102" t="str">
            <v>ABDERRAZEK</v>
          </cell>
          <cell r="C102" t="str">
            <v>BABAY ROUIS</v>
          </cell>
          <cell r="D102" t="str">
            <v>STB</v>
          </cell>
          <cell r="E102" t="str">
            <v>M'SAKEN</v>
          </cell>
          <cell r="F102" t="str">
            <v>10506040203899978834</v>
          </cell>
        </row>
        <row r="103">
          <cell r="A103">
            <v>849</v>
          </cell>
          <cell r="B103" t="str">
            <v>RIDHA</v>
          </cell>
          <cell r="C103" t="str">
            <v>KAIBI</v>
          </cell>
          <cell r="D103" t="str">
            <v>ATTIJARI BANK</v>
          </cell>
          <cell r="E103" t="str">
            <v>M'SAKEN</v>
          </cell>
          <cell r="F103" t="str">
            <v>04204067404000159812</v>
          </cell>
        </row>
        <row r="104">
          <cell r="A104">
            <v>854</v>
          </cell>
          <cell r="B104" t="str">
            <v>SAMIR</v>
          </cell>
          <cell r="C104" t="str">
            <v>SAHLI</v>
          </cell>
          <cell r="D104" t="str">
            <v>B.T.E</v>
          </cell>
          <cell r="E104" t="str">
            <v>MSAKEN</v>
          </cell>
          <cell r="F104" t="str">
            <v>24010033229251110114</v>
          </cell>
        </row>
        <row r="105">
          <cell r="A105">
            <v>859</v>
          </cell>
          <cell r="B105" t="str">
            <v>MOHD B ALI</v>
          </cell>
          <cell r="C105" t="str">
            <v>ZRELLI</v>
          </cell>
          <cell r="D105" t="str">
            <v>BNA</v>
          </cell>
          <cell r="E105" t="str">
            <v>M'SAKEN</v>
          </cell>
          <cell r="F105" t="str">
            <v>03508056010100216249</v>
          </cell>
        </row>
        <row r="106">
          <cell r="A106">
            <v>863</v>
          </cell>
          <cell r="B106" t="str">
            <v>MOHAMED</v>
          </cell>
          <cell r="C106" t="str">
            <v>YOUSSEF</v>
          </cell>
          <cell r="D106" t="str">
            <v>UIB</v>
          </cell>
          <cell r="E106" t="str">
            <v>M'SAKEN</v>
          </cell>
          <cell r="F106" t="str">
            <v>12505000580102197494</v>
          </cell>
        </row>
        <row r="107">
          <cell r="A107">
            <v>872</v>
          </cell>
          <cell r="B107" t="str">
            <v>SAMIR</v>
          </cell>
          <cell r="C107" t="str">
            <v>BOUHLEL</v>
          </cell>
          <cell r="D107" t="str">
            <v>BIAT</v>
          </cell>
          <cell r="E107" t="str">
            <v>M'SAKEN</v>
          </cell>
          <cell r="F107" t="str">
            <v>08507000262000224324</v>
          </cell>
        </row>
        <row r="108">
          <cell r="A108">
            <v>879</v>
          </cell>
          <cell r="B108" t="str">
            <v>ABDERRAZEK</v>
          </cell>
          <cell r="C108" t="str">
            <v>MOUSSA</v>
          </cell>
          <cell r="D108" t="str">
            <v>BANQUE ZITOUNA</v>
          </cell>
          <cell r="E108" t="str">
            <v>M'SAKEN</v>
          </cell>
          <cell r="F108" t="str">
            <v>25018000000018656855</v>
          </cell>
        </row>
        <row r="109">
          <cell r="A109">
            <v>885</v>
          </cell>
          <cell r="B109" t="str">
            <v>ABDELLATIF</v>
          </cell>
          <cell r="C109" t="str">
            <v>LAYOUNI</v>
          </cell>
          <cell r="D109" t="str">
            <v>STB</v>
          </cell>
          <cell r="E109" t="str">
            <v>M'SAKEN</v>
          </cell>
          <cell r="F109" t="str">
            <v>10506040204619578863</v>
          </cell>
        </row>
        <row r="110">
          <cell r="A110">
            <v>895</v>
          </cell>
          <cell r="B110" t="str">
            <v>RAFIK</v>
          </cell>
          <cell r="C110" t="str">
            <v>HAMILA</v>
          </cell>
          <cell r="D110" t="str">
            <v>BNA</v>
          </cell>
          <cell r="E110" t="str">
            <v>M'SAKEN</v>
          </cell>
          <cell r="F110" t="str">
            <v>03508056010100123905</v>
          </cell>
        </row>
        <row r="111">
          <cell r="A111">
            <v>903</v>
          </cell>
          <cell r="B111" t="str">
            <v>JALEL</v>
          </cell>
          <cell r="C111" t="str">
            <v>B HJ ALI</v>
          </cell>
          <cell r="D111" t="str">
            <v>BT</v>
          </cell>
          <cell r="E111" t="str">
            <v>M'SAKEN</v>
          </cell>
          <cell r="F111" t="str">
            <v>05048000116500493760</v>
          </cell>
        </row>
        <row r="112">
          <cell r="A112">
            <v>907</v>
          </cell>
          <cell r="B112" t="str">
            <v>KAMEL</v>
          </cell>
          <cell r="C112" t="str">
            <v>NOUIRA</v>
          </cell>
          <cell r="D112" t="str">
            <v>BNA</v>
          </cell>
          <cell r="E112" t="str">
            <v>M'SAKEN</v>
          </cell>
          <cell r="F112" t="str">
            <v>03508056010100126524</v>
          </cell>
        </row>
        <row r="113">
          <cell r="A113">
            <v>908</v>
          </cell>
          <cell r="B113" t="str">
            <v>HEDI</v>
          </cell>
          <cell r="C113" t="str">
            <v>YOUSSEF</v>
          </cell>
          <cell r="D113" t="str">
            <v>BNA</v>
          </cell>
          <cell r="E113" t="str">
            <v>M'SAKEN</v>
          </cell>
          <cell r="F113" t="str">
            <v>03508056010100126427</v>
          </cell>
        </row>
        <row r="114">
          <cell r="A114">
            <v>909</v>
          </cell>
          <cell r="B114" t="str">
            <v>BECHIR</v>
          </cell>
          <cell r="C114" t="str">
            <v>TOUMI</v>
          </cell>
          <cell r="D114" t="str">
            <v>BANQUE DE L'HABITAT</v>
          </cell>
          <cell r="E114" t="str">
            <v>SOUSSE</v>
          </cell>
          <cell r="F114" t="str">
            <v>14500500100705085668</v>
          </cell>
        </row>
        <row r="115">
          <cell r="A115">
            <v>913</v>
          </cell>
          <cell r="B115" t="str">
            <v>MOHD EL HEDI</v>
          </cell>
          <cell r="C115" t="str">
            <v>MAOUA</v>
          </cell>
          <cell r="D115" t="str">
            <v>STB</v>
          </cell>
          <cell r="E115" t="str">
            <v>M'SAKEN</v>
          </cell>
          <cell r="F115" t="str">
            <v>10506040204066078821</v>
          </cell>
        </row>
        <row r="116">
          <cell r="A116">
            <v>915</v>
          </cell>
          <cell r="B116" t="str">
            <v>HABIB</v>
          </cell>
          <cell r="C116" t="str">
            <v>AMARA</v>
          </cell>
          <cell r="D116" t="str">
            <v>BIAT</v>
          </cell>
          <cell r="E116" t="str">
            <v>KALAA SEGHIRA</v>
          </cell>
          <cell r="F116" t="str">
            <v>08506000252000349839</v>
          </cell>
        </row>
        <row r="117">
          <cell r="A117">
            <v>919</v>
          </cell>
          <cell r="B117" t="str">
            <v>TAREK</v>
          </cell>
          <cell r="C117" t="str">
            <v>KARMOUS</v>
          </cell>
          <cell r="D117" t="str">
            <v>STB</v>
          </cell>
          <cell r="E117" t="str">
            <v>M'SAKEN</v>
          </cell>
          <cell r="F117" t="str">
            <v>10506040204105678877</v>
          </cell>
        </row>
        <row r="118">
          <cell r="A118">
            <v>920</v>
          </cell>
          <cell r="B118" t="str">
            <v>ABDERRAOUF</v>
          </cell>
          <cell r="C118" t="str">
            <v>B HJ MEFTEH</v>
          </cell>
          <cell r="D118" t="str">
            <v>ATTIJARI BANK</v>
          </cell>
          <cell r="E118" t="str">
            <v>M'SAKEN</v>
          </cell>
          <cell r="F118" t="str">
            <v>04204067404000879164</v>
          </cell>
        </row>
        <row r="119">
          <cell r="A119">
            <v>923</v>
          </cell>
          <cell r="B119" t="str">
            <v>SLAH</v>
          </cell>
          <cell r="C119" t="str">
            <v>AZIZA</v>
          </cell>
          <cell r="D119" t="str">
            <v>ATTIJARI BANK</v>
          </cell>
          <cell r="E119" t="str">
            <v>M'SAKEN</v>
          </cell>
          <cell r="F119" t="str">
            <v>04204067404000676143</v>
          </cell>
        </row>
        <row r="120">
          <cell r="A120">
            <v>924</v>
          </cell>
          <cell r="B120" t="str">
            <v>HEDI</v>
          </cell>
          <cell r="C120" t="str">
            <v>GUIRAT</v>
          </cell>
          <cell r="D120" t="str">
            <v>ATTIJARI BANK</v>
          </cell>
          <cell r="E120" t="str">
            <v>M'SAKEN</v>
          </cell>
          <cell r="F120" t="str">
            <v>04204067003417843418</v>
          </cell>
        </row>
        <row r="121">
          <cell r="A121">
            <v>927</v>
          </cell>
          <cell r="B121" t="str">
            <v>MUSTAPHA</v>
          </cell>
          <cell r="C121" t="str">
            <v>ZIDI SAAFI</v>
          </cell>
          <cell r="D121" t="str">
            <v>ATTIJARI BANK</v>
          </cell>
          <cell r="E121" t="str">
            <v>M'SAKEN</v>
          </cell>
          <cell r="F121" t="str">
            <v>04204067404000785074</v>
          </cell>
        </row>
        <row r="122">
          <cell r="A122">
            <v>931</v>
          </cell>
          <cell r="B122" t="str">
            <v>MOHAMED</v>
          </cell>
          <cell r="C122" t="str">
            <v>KRIFA</v>
          </cell>
          <cell r="D122" t="str">
            <v>BANQUE DE TUNISIE</v>
          </cell>
          <cell r="E122" t="str">
            <v>M'SAKEN</v>
          </cell>
          <cell r="F122" t="str">
            <v>05048000116500183069</v>
          </cell>
        </row>
        <row r="123">
          <cell r="A123">
            <v>933</v>
          </cell>
          <cell r="B123" t="str">
            <v>IMED</v>
          </cell>
          <cell r="C123" t="str">
            <v>ACHECHE</v>
          </cell>
          <cell r="D123" t="str">
            <v>STB</v>
          </cell>
          <cell r="E123" t="str">
            <v>M'SAKEN</v>
          </cell>
          <cell r="F123" t="str">
            <v>10506040204144178856</v>
          </cell>
        </row>
        <row r="124">
          <cell r="A124">
            <v>935</v>
          </cell>
          <cell r="B124" t="str">
            <v>MOHAMED</v>
          </cell>
          <cell r="C124" t="str">
            <v>HAOUAS ZAHOUINI</v>
          </cell>
          <cell r="D124" t="str">
            <v>BNA</v>
          </cell>
          <cell r="E124" t="str">
            <v>M'SAKEN</v>
          </cell>
          <cell r="F124" t="str">
            <v>03508056010100132829</v>
          </cell>
        </row>
        <row r="125">
          <cell r="A125">
            <v>938</v>
          </cell>
          <cell r="B125" t="str">
            <v>AMEUR</v>
          </cell>
          <cell r="C125" t="str">
            <v>B ABDELJALIL</v>
          </cell>
          <cell r="D125" t="str">
            <v>BIAT</v>
          </cell>
          <cell r="E125" t="str">
            <v>M'SAKEN</v>
          </cell>
          <cell r="F125" t="str">
            <v>08507000262001182005</v>
          </cell>
        </row>
        <row r="126">
          <cell r="A126">
            <v>955</v>
          </cell>
          <cell r="B126" t="str">
            <v>NABIL</v>
          </cell>
          <cell r="C126" t="str">
            <v>HASSEN MANSOUR</v>
          </cell>
          <cell r="D126" t="str">
            <v>ATTIJARI BANK</v>
          </cell>
          <cell r="E126" t="str">
            <v>M'SAKEN</v>
          </cell>
          <cell r="F126" t="str">
            <v>04204067404002218055</v>
          </cell>
        </row>
        <row r="127">
          <cell r="A127">
            <v>957</v>
          </cell>
          <cell r="B127" t="str">
            <v>NIZAR</v>
          </cell>
          <cell r="C127" t="str">
            <v>GUEZZAH</v>
          </cell>
          <cell r="D127" t="str">
            <v>BIAT</v>
          </cell>
          <cell r="E127" t="str">
            <v>M'SAKEN</v>
          </cell>
          <cell r="F127" t="str">
            <v>08507000262006016291</v>
          </cell>
        </row>
        <row r="128">
          <cell r="A128">
            <v>958</v>
          </cell>
          <cell r="B128" t="str">
            <v>ABDELAZIZ</v>
          </cell>
          <cell r="C128" t="str">
            <v>LAMINE</v>
          </cell>
          <cell r="D128" t="str">
            <v>STB</v>
          </cell>
          <cell r="E128" t="str">
            <v>M'SAKEN</v>
          </cell>
          <cell r="F128" t="str">
            <v>10506040204273578893</v>
          </cell>
        </row>
        <row r="129">
          <cell r="A129">
            <v>961</v>
          </cell>
          <cell r="B129" t="str">
            <v>HABIB</v>
          </cell>
          <cell r="C129" t="str">
            <v>REGAIEG</v>
          </cell>
          <cell r="D129" t="str">
            <v>STB</v>
          </cell>
          <cell r="E129" t="str">
            <v>M'SAKEN</v>
          </cell>
          <cell r="F129" t="str">
            <v>10506040206727078851</v>
          </cell>
        </row>
        <row r="130">
          <cell r="A130">
            <v>965</v>
          </cell>
          <cell r="B130" t="str">
            <v>ABDELKARIM</v>
          </cell>
          <cell r="C130" t="str">
            <v>B FREDJ</v>
          </cell>
          <cell r="D130" t="str">
            <v>BANQUE DE L'HABITAT</v>
          </cell>
          <cell r="E130" t="str">
            <v>SOUSSE</v>
          </cell>
          <cell r="F130" t="str">
            <v>14007007100705944102</v>
          </cell>
        </row>
        <row r="131">
          <cell r="A131">
            <v>967</v>
          </cell>
          <cell r="B131" t="str">
            <v>MOHAMED</v>
          </cell>
          <cell r="C131" t="str">
            <v>SOUISSI</v>
          </cell>
          <cell r="D131" t="str">
            <v>STB</v>
          </cell>
          <cell r="E131" t="str">
            <v>SOUSSE REPUBLIQUE</v>
          </cell>
          <cell r="F131" t="str">
            <v>10609089100853078855</v>
          </cell>
        </row>
        <row r="132">
          <cell r="A132">
            <v>978</v>
          </cell>
          <cell r="B132" t="str">
            <v>ADEL</v>
          </cell>
          <cell r="C132" t="str">
            <v>GRAIET</v>
          </cell>
          <cell r="D132" t="str">
            <v>BNA</v>
          </cell>
          <cell r="E132" t="str">
            <v>M'SAKEN</v>
          </cell>
          <cell r="F132" t="str">
            <v>03508056010100346714</v>
          </cell>
        </row>
        <row r="133">
          <cell r="A133">
            <v>986</v>
          </cell>
          <cell r="B133" t="str">
            <v>SAMIR</v>
          </cell>
          <cell r="C133" t="str">
            <v>BOUZIR</v>
          </cell>
          <cell r="D133" t="str">
            <v>BANQUE DE L'HABITAT</v>
          </cell>
          <cell r="E133" t="str">
            <v>SOUSSE</v>
          </cell>
          <cell r="F133" t="str">
            <v>14007150111003914695</v>
          </cell>
        </row>
        <row r="134">
          <cell r="A134">
            <v>990</v>
          </cell>
          <cell r="B134" t="str">
            <v>SAMIR</v>
          </cell>
          <cell r="C134" t="str">
            <v>GARDALLOU</v>
          </cell>
          <cell r="D134" t="str">
            <v>STB</v>
          </cell>
          <cell r="E134" t="str">
            <v>M'SAKEN</v>
          </cell>
          <cell r="F134" t="str">
            <v>10506040204556378804</v>
          </cell>
        </row>
        <row r="135">
          <cell r="A135">
            <v>993</v>
          </cell>
          <cell r="B135" t="str">
            <v>SALEM</v>
          </cell>
          <cell r="C135" t="str">
            <v>LADHARI</v>
          </cell>
          <cell r="D135" t="str">
            <v>B.T.E</v>
          </cell>
          <cell r="E135" t="str">
            <v>M'SAKEN</v>
          </cell>
          <cell r="F135" t="str">
            <v>24010035312251110102</v>
          </cell>
        </row>
        <row r="136">
          <cell r="A136">
            <v>997</v>
          </cell>
          <cell r="B136" t="str">
            <v>SLAH</v>
          </cell>
          <cell r="C136" t="str">
            <v>KOUISSAH MAHJOUB</v>
          </cell>
          <cell r="D136" t="str">
            <v>BNA</v>
          </cell>
          <cell r="E136" t="str">
            <v>M'SAKEN</v>
          </cell>
          <cell r="F136" t="str">
            <v>03508056010100160474</v>
          </cell>
        </row>
        <row r="137">
          <cell r="A137">
            <v>1503</v>
          </cell>
          <cell r="B137" t="str">
            <v>ABDERRAZEK</v>
          </cell>
          <cell r="C137" t="str">
            <v>SOUA</v>
          </cell>
          <cell r="D137" t="str">
            <v>STB</v>
          </cell>
          <cell r="E137" t="str">
            <v>M'SAKEN</v>
          </cell>
          <cell r="F137" t="str">
            <v>10506040204797678817</v>
          </cell>
        </row>
        <row r="138">
          <cell r="A138">
            <v>1504</v>
          </cell>
          <cell r="B138" t="str">
            <v>HABIB</v>
          </cell>
          <cell r="C138" t="str">
            <v>EL ABADI</v>
          </cell>
          <cell r="D138" t="str">
            <v>BANQUE DE TUNISIE</v>
          </cell>
          <cell r="E138" t="str">
            <v>MSAKEN</v>
          </cell>
          <cell r="F138" t="str">
            <v>05048000116500049403</v>
          </cell>
        </row>
        <row r="139">
          <cell r="A139">
            <v>1507</v>
          </cell>
          <cell r="B139" t="str">
            <v>AHMED</v>
          </cell>
          <cell r="C139" t="str">
            <v>MANSOUR</v>
          </cell>
          <cell r="D139" t="str">
            <v>BANQUE DE TUNISIE</v>
          </cell>
          <cell r="E139" t="str">
            <v>MSAKEN</v>
          </cell>
          <cell r="F139" t="str">
            <v>05048000116500172593</v>
          </cell>
        </row>
        <row r="140">
          <cell r="A140">
            <v>1509</v>
          </cell>
          <cell r="B140" t="str">
            <v>FREDJ</v>
          </cell>
          <cell r="C140" t="str">
            <v>KARMOUS</v>
          </cell>
          <cell r="D140" t="str">
            <v>STB</v>
          </cell>
          <cell r="E140" t="str">
            <v>M'SAKEN</v>
          </cell>
          <cell r="F140" t="str">
            <v>10506040204389678872</v>
          </cell>
        </row>
        <row r="141">
          <cell r="A141">
            <v>1510</v>
          </cell>
          <cell r="B141" t="str">
            <v>FETHI</v>
          </cell>
          <cell r="C141" t="str">
            <v>GAALOUL</v>
          </cell>
          <cell r="D141" t="str">
            <v>BANQUE ZITOUNA</v>
          </cell>
          <cell r="E141" t="str">
            <v>M'SAKEN</v>
          </cell>
          <cell r="F141" t="str">
            <v>25066000000051739067</v>
          </cell>
        </row>
        <row r="142">
          <cell r="A142">
            <v>1511</v>
          </cell>
          <cell r="B142" t="str">
            <v>NEJIB</v>
          </cell>
          <cell r="C142" t="str">
            <v>SOYEH</v>
          </cell>
          <cell r="D142" t="str">
            <v>BIAT</v>
          </cell>
          <cell r="E142" t="str">
            <v>KALAA SEGHIRA</v>
          </cell>
          <cell r="F142" t="str">
            <v>08506000252000603979</v>
          </cell>
        </row>
        <row r="143">
          <cell r="A143">
            <v>1514</v>
          </cell>
          <cell r="B143" t="str">
            <v>MOHSEN</v>
          </cell>
          <cell r="C143" t="str">
            <v>KHELIFI</v>
          </cell>
          <cell r="D143" t="str">
            <v>ATTIJARI BANK</v>
          </cell>
          <cell r="E143" t="str">
            <v>SOUSSE</v>
          </cell>
          <cell r="F143" t="str">
            <v>04500043000973256116</v>
          </cell>
        </row>
        <row r="144">
          <cell r="A144">
            <v>1518</v>
          </cell>
          <cell r="B144" t="str">
            <v>CHIHEB</v>
          </cell>
          <cell r="C144" t="str">
            <v>HOUIJ</v>
          </cell>
          <cell r="D144" t="str">
            <v>ATTIJARI BANK</v>
          </cell>
          <cell r="E144" t="str">
            <v>MESSAADINE</v>
          </cell>
          <cell r="F144" t="str">
            <v>04128195003344346642</v>
          </cell>
        </row>
        <row r="145">
          <cell r="A145">
            <v>1524</v>
          </cell>
          <cell r="B145" t="str">
            <v>LOTFI</v>
          </cell>
          <cell r="C145" t="str">
            <v>BABAY ROUIS</v>
          </cell>
          <cell r="D145" t="str">
            <v>STB</v>
          </cell>
          <cell r="E145" t="str">
            <v>M'SAKEN</v>
          </cell>
          <cell r="F145" t="str">
            <v>10506040204737478871</v>
          </cell>
        </row>
        <row r="146">
          <cell r="A146">
            <v>1525</v>
          </cell>
          <cell r="B146" t="str">
            <v>MOKHTAR</v>
          </cell>
          <cell r="C146" t="str">
            <v>HAMDAOUI</v>
          </cell>
          <cell r="D146" t="str">
            <v>BANQUE DE TUNISIE</v>
          </cell>
          <cell r="E146" t="str">
            <v>M'SAKEN</v>
          </cell>
          <cell r="F146" t="str">
            <v>05048000116500490268</v>
          </cell>
        </row>
        <row r="147">
          <cell r="A147">
            <v>1526</v>
          </cell>
          <cell r="B147" t="str">
            <v>ZOUHEIR</v>
          </cell>
          <cell r="C147" t="str">
            <v>SASSI</v>
          </cell>
          <cell r="D147" t="str">
            <v>ATTIJARI BANK</v>
          </cell>
          <cell r="E147" t="str">
            <v>M'SAKEN</v>
          </cell>
          <cell r="F147" t="str">
            <v>04204067404000765286</v>
          </cell>
        </row>
        <row r="148">
          <cell r="A148">
            <v>1530</v>
          </cell>
          <cell r="B148" t="str">
            <v>KHALED</v>
          </cell>
          <cell r="C148" t="str">
            <v>MAHJOUB</v>
          </cell>
          <cell r="D148" t="str">
            <v>BNA</v>
          </cell>
          <cell r="E148" t="str">
            <v>M'SAKEN</v>
          </cell>
          <cell r="F148" t="str">
            <v>03508056010100214794</v>
          </cell>
        </row>
        <row r="149">
          <cell r="A149">
            <v>1535</v>
          </cell>
          <cell r="B149" t="str">
            <v>LOTFI</v>
          </cell>
          <cell r="C149" t="str">
            <v>ROUIS</v>
          </cell>
          <cell r="D149" t="str">
            <v>ATTIJARI BANK</v>
          </cell>
          <cell r="E149" t="str">
            <v>M'SAKEN</v>
          </cell>
          <cell r="F149" t="str">
            <v>04204067404006923137</v>
          </cell>
        </row>
        <row r="150">
          <cell r="A150">
            <v>1541</v>
          </cell>
          <cell r="B150" t="str">
            <v>MOUNIR</v>
          </cell>
          <cell r="C150" t="str">
            <v>MAHJOUB</v>
          </cell>
          <cell r="D150" t="str">
            <v>BNA</v>
          </cell>
          <cell r="E150" t="str">
            <v>M'SAKEN</v>
          </cell>
          <cell r="F150" t="str">
            <v>03508056010100182202</v>
          </cell>
        </row>
        <row r="151">
          <cell r="A151">
            <v>1542</v>
          </cell>
          <cell r="B151" t="str">
            <v>JAMEL</v>
          </cell>
          <cell r="C151" t="str">
            <v>MABROUK</v>
          </cell>
          <cell r="D151" t="str">
            <v>BANQUE ZITOUNA</v>
          </cell>
          <cell r="E151" t="str">
            <v>M'SAKEN</v>
          </cell>
          <cell r="F151" t="str">
            <v>25018000000003114351</v>
          </cell>
        </row>
        <row r="152">
          <cell r="A152">
            <v>1543</v>
          </cell>
          <cell r="B152" t="str">
            <v>HAFEDH</v>
          </cell>
          <cell r="C152" t="str">
            <v>GAM</v>
          </cell>
          <cell r="D152" t="str">
            <v>STB</v>
          </cell>
          <cell r="E152" t="str">
            <v>M'SAKEN</v>
          </cell>
          <cell r="F152" t="str">
            <v>10506040205541078863</v>
          </cell>
        </row>
        <row r="153">
          <cell r="A153">
            <v>1544</v>
          </cell>
          <cell r="B153" t="str">
            <v>KHELIFA</v>
          </cell>
          <cell r="C153" t="str">
            <v>FHIMA</v>
          </cell>
          <cell r="D153" t="str">
            <v>BIAT</v>
          </cell>
          <cell r="E153" t="str">
            <v>M'SAKEN</v>
          </cell>
          <cell r="F153" t="str">
            <v>08507000262000867531</v>
          </cell>
        </row>
        <row r="154">
          <cell r="A154">
            <v>1548</v>
          </cell>
          <cell r="B154" t="str">
            <v>WAHID</v>
          </cell>
          <cell r="C154" t="str">
            <v>YOUSSEF</v>
          </cell>
          <cell r="D154" t="str">
            <v>STB</v>
          </cell>
          <cell r="E154" t="str">
            <v>MSAKEN</v>
          </cell>
          <cell r="F154" t="str">
            <v>10506040206332378867</v>
          </cell>
        </row>
        <row r="155">
          <cell r="A155">
            <v>1549</v>
          </cell>
          <cell r="B155" t="str">
            <v>JAWHAR</v>
          </cell>
          <cell r="C155" t="str">
            <v>GUERRIDA</v>
          </cell>
          <cell r="D155" t="str">
            <v>ATTIJARI BANK</v>
          </cell>
          <cell r="E155" t="str">
            <v>MSAKEN</v>
          </cell>
          <cell r="F155" t="str">
            <v>04204067002698615869</v>
          </cell>
        </row>
        <row r="156">
          <cell r="A156">
            <v>1553</v>
          </cell>
          <cell r="B156" t="str">
            <v>MOHAMED</v>
          </cell>
          <cell r="C156" t="str">
            <v>BOUNEB</v>
          </cell>
          <cell r="D156" t="str">
            <v>ATTIJARI BANK</v>
          </cell>
          <cell r="E156" t="str">
            <v>M'SAKEN</v>
          </cell>
          <cell r="F156" t="str">
            <v>04204067001287484895</v>
          </cell>
        </row>
        <row r="157">
          <cell r="A157">
            <v>1555</v>
          </cell>
          <cell r="B157" t="str">
            <v>HAMDI</v>
          </cell>
          <cell r="C157" t="str">
            <v>FHIMA</v>
          </cell>
          <cell r="D157" t="str">
            <v>BANQUE DE TUNISIE</v>
          </cell>
          <cell r="E157" t="str">
            <v>MSAKEN</v>
          </cell>
          <cell r="F157" t="str">
            <v>05048000116500482120</v>
          </cell>
        </row>
        <row r="158">
          <cell r="A158">
            <v>1556</v>
          </cell>
          <cell r="B158" t="str">
            <v>KHELIL</v>
          </cell>
          <cell r="C158" t="str">
            <v>LOGHMARI</v>
          </cell>
          <cell r="D158" t="str">
            <v>BIAT</v>
          </cell>
          <cell r="E158" t="str">
            <v>SOUSSE SAHLOUL</v>
          </cell>
          <cell r="F158" t="str">
            <v>08050020052000691409</v>
          </cell>
        </row>
        <row r="159">
          <cell r="A159">
            <v>1558</v>
          </cell>
          <cell r="B159" t="str">
            <v>KARIM</v>
          </cell>
          <cell r="C159" t="str">
            <v>DRIDI</v>
          </cell>
          <cell r="D159" t="str">
            <v>ATTIJARI BANK</v>
          </cell>
          <cell r="E159" t="str">
            <v>M'SAKEN</v>
          </cell>
          <cell r="F159" t="str">
            <v>04204067404002160437</v>
          </cell>
        </row>
        <row r="160">
          <cell r="A160">
            <v>1559</v>
          </cell>
          <cell r="B160" t="str">
            <v>MOHD FREDJ</v>
          </cell>
          <cell r="C160" t="str">
            <v>B.KHALIFA</v>
          </cell>
          <cell r="D160" t="str">
            <v>ATTIJARI BANK</v>
          </cell>
          <cell r="E160" t="str">
            <v>M'SAKEN</v>
          </cell>
          <cell r="F160" t="str">
            <v>04204067404000634045</v>
          </cell>
        </row>
        <row r="161">
          <cell r="A161">
            <v>1560</v>
          </cell>
          <cell r="B161" t="str">
            <v>MOHD HICHEM</v>
          </cell>
          <cell r="C161" t="str">
            <v>LANDOULSI</v>
          </cell>
          <cell r="D161" t="str">
            <v>ATTIJARI BANK</v>
          </cell>
          <cell r="E161" t="str">
            <v>M'SAKEN</v>
          </cell>
          <cell r="F161" t="str">
            <v>04204067000621041351</v>
          </cell>
        </row>
        <row r="162">
          <cell r="A162">
            <v>1561</v>
          </cell>
          <cell r="B162" t="str">
            <v>SAMI</v>
          </cell>
          <cell r="C162" t="str">
            <v>JMEGUER</v>
          </cell>
          <cell r="D162" t="str">
            <v>ATTIJARI BANK</v>
          </cell>
          <cell r="E162" t="str">
            <v>M'SAKEN</v>
          </cell>
          <cell r="F162" t="str">
            <v>04204067404000850258</v>
          </cell>
        </row>
        <row r="163">
          <cell r="A163">
            <v>1566</v>
          </cell>
          <cell r="B163" t="str">
            <v>HEDI</v>
          </cell>
          <cell r="C163" t="str">
            <v>KHEDHIRI</v>
          </cell>
          <cell r="D163" t="str">
            <v>UIB</v>
          </cell>
          <cell r="E163" t="str">
            <v>M'SAKEN</v>
          </cell>
          <cell r="F163" t="str">
            <v>12505000580101801928</v>
          </cell>
        </row>
        <row r="164">
          <cell r="A164">
            <v>1569</v>
          </cell>
          <cell r="B164" t="str">
            <v>MOULDI</v>
          </cell>
          <cell r="C164" t="str">
            <v>BETTAIEB</v>
          </cell>
          <cell r="D164" t="str">
            <v>ATTIJARI BANK</v>
          </cell>
          <cell r="E164" t="str">
            <v>M'SAKEN</v>
          </cell>
          <cell r="F164" t="str">
            <v>04204067404002213108</v>
          </cell>
        </row>
        <row r="165">
          <cell r="A165">
            <v>1572</v>
          </cell>
          <cell r="B165" t="str">
            <v>MEHDI</v>
          </cell>
          <cell r="C165" t="str">
            <v>MIMOUNA</v>
          </cell>
          <cell r="D165" t="str">
            <v>UBCI</v>
          </cell>
          <cell r="E165" t="str">
            <v>MSAKEN</v>
          </cell>
          <cell r="F165" t="str">
            <v>11020002157500878858</v>
          </cell>
        </row>
        <row r="166">
          <cell r="A166">
            <v>1573</v>
          </cell>
          <cell r="B166" t="str">
            <v>IMED</v>
          </cell>
          <cell r="C166" t="str">
            <v>SALLAH</v>
          </cell>
          <cell r="D166" t="str">
            <v>ATTIJARI BANK</v>
          </cell>
          <cell r="E166" t="str">
            <v>M'SAKEN</v>
          </cell>
          <cell r="F166" t="str">
            <v>04204067404000643163</v>
          </cell>
        </row>
        <row r="167">
          <cell r="A167">
            <v>1575</v>
          </cell>
          <cell r="B167" t="str">
            <v>ZOUHAIER</v>
          </cell>
          <cell r="C167" t="str">
            <v>B ABDELJALIL</v>
          </cell>
          <cell r="D167" t="str">
            <v>BIAT</v>
          </cell>
          <cell r="E167" t="str">
            <v>MSAKEN</v>
          </cell>
          <cell r="F167" t="str">
            <v>08507000262006373057</v>
          </cell>
        </row>
        <row r="168">
          <cell r="A168">
            <v>1576</v>
          </cell>
          <cell r="B168" t="str">
            <v>MOHD B AHMED</v>
          </cell>
          <cell r="C168" t="str">
            <v>MNED</v>
          </cell>
          <cell r="D168" t="str">
            <v>BANQUE ZITOUNA</v>
          </cell>
          <cell r="E168" t="str">
            <v>M'SAKEN</v>
          </cell>
          <cell r="F168" t="str">
            <v>25018000000016719668</v>
          </cell>
        </row>
        <row r="169">
          <cell r="A169">
            <v>1580</v>
          </cell>
          <cell r="B169" t="str">
            <v>MOHAMED</v>
          </cell>
          <cell r="C169" t="str">
            <v>ZARRAA</v>
          </cell>
          <cell r="D169" t="str">
            <v>UIB</v>
          </cell>
          <cell r="E169" t="str">
            <v>SOUSSE CITE ERRIADH</v>
          </cell>
          <cell r="F169" t="str">
            <v>12033000000208205134</v>
          </cell>
        </row>
        <row r="170">
          <cell r="A170">
            <v>1589</v>
          </cell>
          <cell r="B170" t="str">
            <v>ADEL B ABDELAZIZ</v>
          </cell>
          <cell r="C170" t="str">
            <v>BAYA</v>
          </cell>
          <cell r="D170" t="str">
            <v>UIB</v>
          </cell>
          <cell r="E170" t="str">
            <v>M'SAKEN</v>
          </cell>
          <cell r="F170" t="str">
            <v>12505000580102270923</v>
          </cell>
        </row>
        <row r="171">
          <cell r="A171">
            <v>1590</v>
          </cell>
          <cell r="B171" t="str">
            <v>HASSINE</v>
          </cell>
          <cell r="C171" t="str">
            <v>ABDELLAH</v>
          </cell>
          <cell r="D171" t="str">
            <v>B.T</v>
          </cell>
          <cell r="E171" t="str">
            <v>M'SAKEN</v>
          </cell>
          <cell r="F171" t="str">
            <v>05048000116500480568</v>
          </cell>
        </row>
        <row r="172">
          <cell r="A172">
            <v>1591</v>
          </cell>
          <cell r="B172" t="str">
            <v>KARIM</v>
          </cell>
          <cell r="C172" t="str">
            <v>BDAY</v>
          </cell>
          <cell r="D172" t="str">
            <v>ATTIJARI BANK</v>
          </cell>
          <cell r="E172" t="str">
            <v>M'SAKEN</v>
          </cell>
          <cell r="F172" t="str">
            <v>04204067000891208176</v>
          </cell>
        </row>
        <row r="173">
          <cell r="A173">
            <v>1594</v>
          </cell>
          <cell r="B173" t="str">
            <v>HABIB</v>
          </cell>
          <cell r="C173" t="str">
            <v>M'KHININI</v>
          </cell>
          <cell r="D173" t="str">
            <v>ATTIJARI BANK</v>
          </cell>
          <cell r="E173" t="str">
            <v>M'SAKEN</v>
          </cell>
          <cell r="F173" t="str">
            <v>04204067002718254295</v>
          </cell>
        </row>
        <row r="174">
          <cell r="A174">
            <v>1595</v>
          </cell>
          <cell r="B174" t="str">
            <v>FETHI</v>
          </cell>
          <cell r="C174" t="str">
            <v>BEN SALEM</v>
          </cell>
          <cell r="D174" t="str">
            <v>ATTIJARI BANK</v>
          </cell>
          <cell r="E174" t="str">
            <v>M'SAKEN</v>
          </cell>
          <cell r="F174" t="str">
            <v>04204067404000618331</v>
          </cell>
        </row>
        <row r="175">
          <cell r="A175">
            <v>1596</v>
          </cell>
          <cell r="B175" t="str">
            <v>NOURREDDINE</v>
          </cell>
          <cell r="C175" t="str">
            <v>GORCHENE</v>
          </cell>
          <cell r="D175" t="str">
            <v>BANQUE DE TUNISIE</v>
          </cell>
          <cell r="E175" t="str">
            <v>M'SAKEN</v>
          </cell>
          <cell r="F175" t="str">
            <v>05048000116500208095</v>
          </cell>
        </row>
        <row r="176">
          <cell r="A176">
            <v>1597</v>
          </cell>
          <cell r="B176" t="str">
            <v>KARIM</v>
          </cell>
          <cell r="C176" t="str">
            <v>AMARA</v>
          </cell>
          <cell r="D176" t="str">
            <v>BNA</v>
          </cell>
          <cell r="E176" t="str">
            <v>M'SAKEN</v>
          </cell>
          <cell r="F176" t="str">
            <v>03508056010100210720</v>
          </cell>
        </row>
        <row r="177">
          <cell r="A177">
            <v>1598</v>
          </cell>
          <cell r="B177" t="str">
            <v>MOHD FAKER</v>
          </cell>
          <cell r="C177" t="str">
            <v>SOUILEM</v>
          </cell>
          <cell r="D177" t="str">
            <v>BANQUE DE TUNISIE</v>
          </cell>
          <cell r="E177" t="str">
            <v>KALAA KEBIRA</v>
          </cell>
          <cell r="F177" t="str">
            <v>05015000086501197090</v>
          </cell>
        </row>
        <row r="178">
          <cell r="A178">
            <v>1599</v>
          </cell>
          <cell r="B178" t="str">
            <v>ADEL</v>
          </cell>
          <cell r="C178" t="str">
            <v>CHANTOU JMEGUER</v>
          </cell>
          <cell r="D178" t="str">
            <v>ATTIJARI BANK</v>
          </cell>
          <cell r="E178" t="str">
            <v>M'SAKEN</v>
          </cell>
          <cell r="F178" t="str">
            <v>04204067404002116690</v>
          </cell>
        </row>
        <row r="179">
          <cell r="A179">
            <v>1600</v>
          </cell>
          <cell r="B179" t="str">
            <v>MOHAMED</v>
          </cell>
          <cell r="C179" t="str">
            <v>MAOUA</v>
          </cell>
          <cell r="D179" t="str">
            <v>BANQUE DE TUNISIE</v>
          </cell>
          <cell r="E179" t="str">
            <v>M'SAKEN</v>
          </cell>
          <cell r="F179" t="str">
            <v>05048000116500469413</v>
          </cell>
        </row>
        <row r="180">
          <cell r="A180">
            <v>1601</v>
          </cell>
          <cell r="B180" t="str">
            <v>JAMEL</v>
          </cell>
          <cell r="C180" t="str">
            <v>BOUKADIDA</v>
          </cell>
          <cell r="D180" t="str">
            <v>BIAT</v>
          </cell>
          <cell r="E180" t="str">
            <v>SAHLOUL</v>
          </cell>
          <cell r="F180" t="str">
            <v>08050020052000110670</v>
          </cell>
        </row>
        <row r="181">
          <cell r="A181">
            <v>1602</v>
          </cell>
          <cell r="B181" t="str">
            <v>RAMZI</v>
          </cell>
          <cell r="C181" t="str">
            <v>MAMIA</v>
          </cell>
          <cell r="D181" t="str">
            <v>ATTIJARI BANK</v>
          </cell>
          <cell r="E181" t="str">
            <v>M'SAKEN</v>
          </cell>
          <cell r="F181" t="str">
            <v>04204067404001539055</v>
          </cell>
        </row>
        <row r="182">
          <cell r="A182">
            <v>1603</v>
          </cell>
          <cell r="B182" t="str">
            <v>SALHA</v>
          </cell>
          <cell r="C182" t="str">
            <v>MANSOUR</v>
          </cell>
          <cell r="D182" t="str">
            <v>STB</v>
          </cell>
          <cell r="E182" t="str">
            <v>M'SAKEN</v>
          </cell>
          <cell r="F182" t="str">
            <v>10506040205178378888</v>
          </cell>
        </row>
        <row r="183">
          <cell r="A183">
            <v>1610</v>
          </cell>
          <cell r="B183" t="str">
            <v>KARIM</v>
          </cell>
          <cell r="C183" t="str">
            <v>BOUARGOUB</v>
          </cell>
          <cell r="D183" t="str">
            <v>UIB</v>
          </cell>
          <cell r="E183" t="str">
            <v>MSAKEN</v>
          </cell>
          <cell r="F183" t="str">
            <v>12505000000213580974</v>
          </cell>
        </row>
        <row r="184">
          <cell r="A184">
            <v>1611</v>
          </cell>
          <cell r="B184" t="str">
            <v>KAMEL</v>
          </cell>
          <cell r="C184" t="str">
            <v>ATTIA</v>
          </cell>
          <cell r="D184" t="str">
            <v>UIB</v>
          </cell>
          <cell r="E184" t="str">
            <v>M'SAKEN</v>
          </cell>
          <cell r="F184" t="str">
            <v>12505000580104728030</v>
          </cell>
        </row>
        <row r="185">
          <cell r="A185">
            <v>1612</v>
          </cell>
          <cell r="B185" t="str">
            <v>NAJEH</v>
          </cell>
          <cell r="C185" t="str">
            <v>LADHARI</v>
          </cell>
          <cell r="D185" t="str">
            <v>UIB</v>
          </cell>
          <cell r="E185" t="str">
            <v>M'SAKEN</v>
          </cell>
          <cell r="F185" t="str">
            <v>12505000580102208358</v>
          </cell>
        </row>
        <row r="186">
          <cell r="A186">
            <v>1613</v>
          </cell>
          <cell r="B186" t="str">
            <v>MOHD LAMINE</v>
          </cell>
          <cell r="C186" t="str">
            <v>BOUKADIDA</v>
          </cell>
          <cell r="D186" t="str">
            <v>B.T</v>
          </cell>
          <cell r="E186" t="str">
            <v>M'SAKEN</v>
          </cell>
          <cell r="F186" t="str">
            <v>05048000116500488037</v>
          </cell>
        </row>
        <row r="187">
          <cell r="A187">
            <v>1614</v>
          </cell>
          <cell r="B187" t="str">
            <v>CHERIF</v>
          </cell>
          <cell r="C187" t="str">
            <v>JMEGUER</v>
          </cell>
          <cell r="D187" t="str">
            <v>BNA</v>
          </cell>
          <cell r="E187" t="str">
            <v>M'SAKEN</v>
          </cell>
          <cell r="F187" t="str">
            <v>03508056010100175897</v>
          </cell>
        </row>
        <row r="188">
          <cell r="A188">
            <v>1615</v>
          </cell>
          <cell r="B188" t="str">
            <v>MONIA</v>
          </cell>
          <cell r="C188" t="str">
            <v>EL GARES</v>
          </cell>
          <cell r="D188" t="str">
            <v>BIAT</v>
          </cell>
          <cell r="E188" t="str">
            <v>MSAKEN</v>
          </cell>
          <cell r="F188" t="str">
            <v>08507000262001006823</v>
          </cell>
        </row>
        <row r="189">
          <cell r="A189">
            <v>1616</v>
          </cell>
          <cell r="B189" t="str">
            <v>FETHI</v>
          </cell>
          <cell r="C189" t="str">
            <v>MOUSSA</v>
          </cell>
          <cell r="D189" t="str">
            <v>BNA</v>
          </cell>
          <cell r="E189" t="str">
            <v>M'SAKEN</v>
          </cell>
          <cell r="F189" t="str">
            <v>03508056010100260772</v>
          </cell>
        </row>
        <row r="190">
          <cell r="A190">
            <v>1617</v>
          </cell>
          <cell r="B190" t="str">
            <v>MONCEF</v>
          </cell>
          <cell r="C190" t="str">
            <v>BEN BEKRI</v>
          </cell>
          <cell r="D190" t="str">
            <v>ATTIJARI BANK</v>
          </cell>
          <cell r="E190" t="str">
            <v>M'SAKEN</v>
          </cell>
          <cell r="F190" t="str">
            <v>04204067404000991490</v>
          </cell>
        </row>
        <row r="191">
          <cell r="A191">
            <v>1618</v>
          </cell>
          <cell r="B191" t="str">
            <v>MAHER</v>
          </cell>
          <cell r="C191" t="str">
            <v>SLAMA</v>
          </cell>
          <cell r="D191" t="str">
            <v>STB</v>
          </cell>
          <cell r="E191" t="str">
            <v>M'SAKEN</v>
          </cell>
          <cell r="F191" t="str">
            <v>10506040511024778878</v>
          </cell>
        </row>
        <row r="192">
          <cell r="A192">
            <v>1619</v>
          </cell>
          <cell r="B192" t="str">
            <v>FETHI</v>
          </cell>
          <cell r="C192" t="str">
            <v>CHTIOUI</v>
          </cell>
          <cell r="D192" t="str">
            <v>BANQUE DE TUNISIE</v>
          </cell>
          <cell r="E192" t="str">
            <v>M'SAKEN</v>
          </cell>
          <cell r="F192" t="str">
            <v>05048000116500463593</v>
          </cell>
        </row>
        <row r="193">
          <cell r="A193">
            <v>1620</v>
          </cell>
          <cell r="B193" t="str">
            <v>MOHD ALI</v>
          </cell>
          <cell r="C193" t="str">
            <v>B.ISMAIL</v>
          </cell>
          <cell r="D193" t="str">
            <v>ATTIJARI BANK</v>
          </cell>
          <cell r="E193" t="str">
            <v>M'SAKEN</v>
          </cell>
          <cell r="F193" t="str">
            <v>04204067404000529285</v>
          </cell>
        </row>
        <row r="194">
          <cell r="A194">
            <v>1621</v>
          </cell>
          <cell r="B194" t="str">
            <v>WASSEF</v>
          </cell>
          <cell r="C194" t="str">
            <v>B HASSINE</v>
          </cell>
          <cell r="D194" t="str">
            <v>B.T.E</v>
          </cell>
          <cell r="E194" t="str">
            <v>MSAKEN</v>
          </cell>
          <cell r="F194" t="str">
            <v>24010026274251110195</v>
          </cell>
        </row>
        <row r="195">
          <cell r="A195">
            <v>1625</v>
          </cell>
          <cell r="B195" t="str">
            <v>SAMIR</v>
          </cell>
          <cell r="C195" t="str">
            <v>HAMILA</v>
          </cell>
          <cell r="D195" t="str">
            <v>CCP</v>
          </cell>
          <cell r="E195" t="str">
            <v>M'SAKEN</v>
          </cell>
          <cell r="F195" t="str">
            <v>17503000000129105744</v>
          </cell>
        </row>
        <row r="196">
          <cell r="A196">
            <v>1626</v>
          </cell>
          <cell r="B196" t="str">
            <v>MOHAMED</v>
          </cell>
          <cell r="C196" t="str">
            <v>CHAARANA</v>
          </cell>
          <cell r="D196" t="str">
            <v>ATTIJARI BANK</v>
          </cell>
          <cell r="E196" t="str">
            <v>M'SAKEN</v>
          </cell>
          <cell r="F196" t="str">
            <v>04204067000979955222</v>
          </cell>
        </row>
        <row r="197">
          <cell r="A197">
            <v>1633</v>
          </cell>
          <cell r="B197" t="str">
            <v>HEDI</v>
          </cell>
          <cell r="C197" t="str">
            <v>ROMDHANE</v>
          </cell>
          <cell r="D197" t="str">
            <v>STB</v>
          </cell>
          <cell r="E197" t="str">
            <v>M'SAKEN</v>
          </cell>
          <cell r="F197" t="str">
            <v>10506040206974378896</v>
          </cell>
        </row>
        <row r="198">
          <cell r="A198">
            <v>1634</v>
          </cell>
          <cell r="B198" t="str">
            <v>RIADH</v>
          </cell>
          <cell r="C198" t="str">
            <v>BEN AMOR</v>
          </cell>
          <cell r="D198" t="str">
            <v>BNA</v>
          </cell>
          <cell r="E198" t="str">
            <v>M'SAKEN</v>
          </cell>
          <cell r="F198" t="str">
            <v>03508056010100267659</v>
          </cell>
        </row>
        <row r="199">
          <cell r="A199">
            <v>1638</v>
          </cell>
          <cell r="B199" t="str">
            <v>NAJEH</v>
          </cell>
          <cell r="C199" t="str">
            <v>ROMDHANE</v>
          </cell>
          <cell r="D199" t="str">
            <v>ATTIJARI BANK</v>
          </cell>
          <cell r="E199" t="str">
            <v>M'SAKEN</v>
          </cell>
          <cell r="F199" t="str">
            <v>04204067001370394772</v>
          </cell>
        </row>
        <row r="200">
          <cell r="A200">
            <v>1639</v>
          </cell>
          <cell r="B200" t="str">
            <v>FAKHER</v>
          </cell>
          <cell r="C200" t="str">
            <v>ZBIDI</v>
          </cell>
          <cell r="D200" t="str">
            <v>BANQUE DE L'HABITAT</v>
          </cell>
          <cell r="E200" t="str">
            <v>M'SAKEN</v>
          </cell>
          <cell r="F200" t="str">
            <v>14014014100700604557</v>
          </cell>
        </row>
        <row r="201">
          <cell r="A201">
            <v>1641</v>
          </cell>
          <cell r="B201" t="str">
            <v>NOUREDDINE</v>
          </cell>
          <cell r="C201" t="str">
            <v>GRAA</v>
          </cell>
          <cell r="D201" t="str">
            <v>STB</v>
          </cell>
          <cell r="E201" t="str">
            <v>M'SAKEN</v>
          </cell>
          <cell r="F201" t="str">
            <v>10506040510417478853</v>
          </cell>
        </row>
        <row r="202">
          <cell r="A202">
            <v>1642</v>
          </cell>
          <cell r="B202" t="str">
            <v>KHELIFA</v>
          </cell>
          <cell r="C202" t="str">
            <v>BAHRI</v>
          </cell>
          <cell r="D202" t="str">
            <v>BNA</v>
          </cell>
          <cell r="E202" t="str">
            <v>MSAKEN</v>
          </cell>
          <cell r="F202" t="str">
            <v>03508056010110228395</v>
          </cell>
        </row>
        <row r="203">
          <cell r="A203">
            <v>1643</v>
          </cell>
          <cell r="B203" t="str">
            <v>SALAH</v>
          </cell>
          <cell r="C203" t="str">
            <v>HALLEB</v>
          </cell>
          <cell r="D203" t="str">
            <v>STB</v>
          </cell>
          <cell r="E203" t="str">
            <v>M'SAKEN</v>
          </cell>
          <cell r="F203" t="str">
            <v>10506040206209778821</v>
          </cell>
        </row>
        <row r="204">
          <cell r="A204">
            <v>1644</v>
          </cell>
          <cell r="B204" t="str">
            <v>LOTFI</v>
          </cell>
          <cell r="C204" t="str">
            <v>CHANTOU JMAGUER</v>
          </cell>
          <cell r="D204" t="str">
            <v>ATTIJARI BANK</v>
          </cell>
          <cell r="E204" t="str">
            <v>M'SAKEN</v>
          </cell>
          <cell r="F204" t="str">
            <v>04204067404002207385</v>
          </cell>
        </row>
        <row r="205">
          <cell r="A205">
            <v>1646</v>
          </cell>
          <cell r="B205" t="str">
            <v>WALID</v>
          </cell>
          <cell r="C205" t="str">
            <v>CHATTI</v>
          </cell>
          <cell r="D205" t="str">
            <v>BANQUE DE L'HABITAT</v>
          </cell>
          <cell r="E205" t="str">
            <v>M'SAKEN</v>
          </cell>
          <cell r="F205" t="str">
            <v>14014014100702357832</v>
          </cell>
        </row>
        <row r="206">
          <cell r="A206">
            <v>1649</v>
          </cell>
          <cell r="B206" t="str">
            <v>JAWHAR</v>
          </cell>
          <cell r="C206" t="str">
            <v>NASR</v>
          </cell>
          <cell r="D206" t="str">
            <v>BIAT</v>
          </cell>
          <cell r="E206" t="str">
            <v>KHEZAMA</v>
          </cell>
          <cell r="F206" t="str">
            <v>08902000164001636848</v>
          </cell>
        </row>
        <row r="207">
          <cell r="A207">
            <v>1650</v>
          </cell>
          <cell r="B207" t="str">
            <v>RAOUF</v>
          </cell>
          <cell r="C207" t="str">
            <v>OUAJA</v>
          </cell>
          <cell r="D207" t="str">
            <v>BNA</v>
          </cell>
          <cell r="E207" t="str">
            <v>SOUSSE BOUJAAFAR</v>
          </cell>
          <cell r="F207" t="str">
            <v>03220130010100199416</v>
          </cell>
        </row>
        <row r="208">
          <cell r="A208">
            <v>1651</v>
          </cell>
          <cell r="B208" t="str">
            <v>MOHAMED</v>
          </cell>
          <cell r="C208" t="str">
            <v>BEL HADJ</v>
          </cell>
          <cell r="D208" t="str">
            <v>BIAT</v>
          </cell>
          <cell r="E208" t="str">
            <v>M'SAKEN</v>
          </cell>
          <cell r="F208" t="str">
            <v>08507000262001253203</v>
          </cell>
        </row>
        <row r="209">
          <cell r="A209">
            <v>1652</v>
          </cell>
          <cell r="B209" t="str">
            <v>KHELIL</v>
          </cell>
          <cell r="C209" t="str">
            <v>BEN ABDALLAH</v>
          </cell>
          <cell r="D209" t="str">
            <v>BNA</v>
          </cell>
          <cell r="E209" t="str">
            <v>M'SAKEN</v>
          </cell>
          <cell r="F209" t="str">
            <v>03508056010100279493</v>
          </cell>
        </row>
        <row r="210">
          <cell r="A210">
            <v>1657</v>
          </cell>
          <cell r="B210" t="str">
            <v>NIDHAL</v>
          </cell>
          <cell r="C210" t="str">
            <v>BELLALOUNA</v>
          </cell>
          <cell r="D210" t="str">
            <v>B.T</v>
          </cell>
          <cell r="E210" t="str">
            <v>MSAKEN</v>
          </cell>
          <cell r="F210" t="str">
            <v>05048000116500468637</v>
          </cell>
        </row>
        <row r="211">
          <cell r="A211">
            <v>1658</v>
          </cell>
          <cell r="B211" t="str">
            <v>MOUNIR</v>
          </cell>
          <cell r="C211" t="str">
            <v>SLAMA</v>
          </cell>
          <cell r="D211" t="str">
            <v>ATTIJARI BANK</v>
          </cell>
          <cell r="E211" t="str">
            <v>M'SAKEN</v>
          </cell>
          <cell r="F211" t="str">
            <v>04204067000559723286</v>
          </cell>
        </row>
        <row r="212">
          <cell r="A212">
            <v>1659</v>
          </cell>
          <cell r="B212" t="str">
            <v>FAOUZI</v>
          </cell>
          <cell r="C212" t="str">
            <v>BEN ABDALLAH</v>
          </cell>
          <cell r="D212" t="str">
            <v>STB</v>
          </cell>
          <cell r="E212" t="str">
            <v>M'SAKEN</v>
          </cell>
          <cell r="F212" t="str">
            <v>10506040206132178821</v>
          </cell>
        </row>
        <row r="213">
          <cell r="A213">
            <v>1661</v>
          </cell>
          <cell r="B213" t="str">
            <v>MAKHLOUF</v>
          </cell>
          <cell r="C213" t="str">
            <v>BOUCHAHDA</v>
          </cell>
          <cell r="D213" t="str">
            <v>BIAT</v>
          </cell>
          <cell r="E213" t="str">
            <v>M'SAKEN</v>
          </cell>
          <cell r="F213" t="str">
            <v>08507000262001890590</v>
          </cell>
        </row>
        <row r="214">
          <cell r="A214">
            <v>1662</v>
          </cell>
          <cell r="B214" t="str">
            <v>ZIED</v>
          </cell>
          <cell r="C214" t="str">
            <v>B SAAD</v>
          </cell>
          <cell r="D214" t="str">
            <v>BIAT</v>
          </cell>
          <cell r="E214" t="str">
            <v>SOUSSE SAHLOUL</v>
          </cell>
          <cell r="F214" t="str">
            <v>08050020052000910726</v>
          </cell>
        </row>
        <row r="215">
          <cell r="A215">
            <v>1663</v>
          </cell>
          <cell r="B215" t="str">
            <v>NAOUFEL</v>
          </cell>
          <cell r="C215" t="str">
            <v>ACHOUR</v>
          </cell>
          <cell r="D215" t="str">
            <v>ATTIJARI BANK</v>
          </cell>
          <cell r="E215" t="str">
            <v>M'SAKEN</v>
          </cell>
          <cell r="F215" t="str">
            <v>04204067404000823971</v>
          </cell>
        </row>
        <row r="216">
          <cell r="A216">
            <v>1664</v>
          </cell>
          <cell r="B216" t="str">
            <v>SOFIANE</v>
          </cell>
          <cell r="C216" t="str">
            <v>B SAOUD</v>
          </cell>
          <cell r="D216" t="str">
            <v>CCP</v>
          </cell>
          <cell r="E216" t="str">
            <v>M'SAKEN</v>
          </cell>
          <cell r="F216" t="str">
            <v>17503000000137755137</v>
          </cell>
        </row>
        <row r="217">
          <cell r="A217">
            <v>1665</v>
          </cell>
          <cell r="B217" t="str">
            <v>ANIS B.ABDELHAMID</v>
          </cell>
          <cell r="C217" t="str">
            <v>BOUHLEL</v>
          </cell>
          <cell r="D217" t="str">
            <v>BTK</v>
          </cell>
          <cell r="E217" t="str">
            <v>MSAKEN</v>
          </cell>
          <cell r="F217" t="str">
            <v>20009092220048743464</v>
          </cell>
        </row>
        <row r="218">
          <cell r="A218">
            <v>1666</v>
          </cell>
          <cell r="B218" t="str">
            <v>SAHBI</v>
          </cell>
          <cell r="C218" t="str">
            <v>BOUZIR</v>
          </cell>
          <cell r="D218" t="str">
            <v>ATTIJARI BANK</v>
          </cell>
          <cell r="E218" t="str">
            <v>M'SAKEN</v>
          </cell>
          <cell r="F218" t="str">
            <v>04204067001134753157</v>
          </cell>
        </row>
        <row r="219">
          <cell r="A219">
            <v>1667</v>
          </cell>
          <cell r="B219" t="str">
            <v>TAOUFIK</v>
          </cell>
          <cell r="C219" t="str">
            <v>MRIZEK</v>
          </cell>
          <cell r="D219" t="str">
            <v>ATTIJARI BANK</v>
          </cell>
          <cell r="E219" t="str">
            <v>M'SAKEN</v>
          </cell>
          <cell r="F219" t="str">
            <v>04204067404000813010</v>
          </cell>
        </row>
        <row r="220">
          <cell r="A220">
            <v>1668</v>
          </cell>
          <cell r="B220" t="str">
            <v>MOURAD</v>
          </cell>
          <cell r="C220" t="str">
            <v>BOUGADOUHA</v>
          </cell>
          <cell r="D220" t="str">
            <v>UIB</v>
          </cell>
          <cell r="E220" t="str">
            <v>MSAKEN</v>
          </cell>
          <cell r="F220" t="str">
            <v>12505000000214630223</v>
          </cell>
        </row>
        <row r="221">
          <cell r="A221">
            <v>1671</v>
          </cell>
          <cell r="B221" t="str">
            <v>ADEL</v>
          </cell>
          <cell r="C221" t="str">
            <v>EL BACH</v>
          </cell>
          <cell r="D221" t="str">
            <v>BIAT</v>
          </cell>
          <cell r="E221" t="str">
            <v>M'SAKEN</v>
          </cell>
          <cell r="F221" t="str">
            <v>08507000262006751551</v>
          </cell>
        </row>
        <row r="222">
          <cell r="A222">
            <v>1673</v>
          </cell>
          <cell r="B222" t="str">
            <v>MONDHER</v>
          </cell>
          <cell r="C222" t="str">
            <v>ABBASSI</v>
          </cell>
          <cell r="D222" t="str">
            <v>BIAT</v>
          </cell>
          <cell r="E222" t="str">
            <v>MSAKEN</v>
          </cell>
          <cell r="F222" t="str">
            <v>08507000262005162788</v>
          </cell>
        </row>
        <row r="223">
          <cell r="A223">
            <v>1676</v>
          </cell>
          <cell r="B223" t="str">
            <v>FETHI</v>
          </cell>
          <cell r="C223" t="str">
            <v>GUELLIM</v>
          </cell>
          <cell r="D223" t="str">
            <v>BIAT</v>
          </cell>
          <cell r="E223" t="str">
            <v>M'SAKEN</v>
          </cell>
          <cell r="F223" t="str">
            <v>08507000262003849311</v>
          </cell>
        </row>
        <row r="224">
          <cell r="A224">
            <v>1677</v>
          </cell>
          <cell r="B224" t="str">
            <v>BRAHIM</v>
          </cell>
          <cell r="C224" t="str">
            <v>HADJ AMMAR</v>
          </cell>
          <cell r="D224" t="str">
            <v>CCP</v>
          </cell>
          <cell r="E224" t="str">
            <v>SIDI ELHANI</v>
          </cell>
          <cell r="F224" t="str">
            <v>17503000000150144947</v>
          </cell>
        </row>
        <row r="225">
          <cell r="A225">
            <v>1679</v>
          </cell>
          <cell r="B225" t="str">
            <v>ADEM</v>
          </cell>
          <cell r="C225" t="str">
            <v>YOUSSEF</v>
          </cell>
          <cell r="D225" t="str">
            <v>UIB</v>
          </cell>
          <cell r="E225" t="str">
            <v>M'SAKEN</v>
          </cell>
          <cell r="F225" t="str">
            <v>12505000000237471686</v>
          </cell>
        </row>
        <row r="226">
          <cell r="A226">
            <v>1680</v>
          </cell>
          <cell r="B226" t="str">
            <v>WALID</v>
          </cell>
          <cell r="C226" t="str">
            <v>SASSI</v>
          </cell>
          <cell r="D226" t="str">
            <v>BIAT</v>
          </cell>
          <cell r="E226" t="str">
            <v>M'SAKEN</v>
          </cell>
          <cell r="F226" t="str">
            <v>08507000262001147182</v>
          </cell>
        </row>
        <row r="227">
          <cell r="A227">
            <v>1681</v>
          </cell>
          <cell r="B227" t="str">
            <v>NEBIL</v>
          </cell>
          <cell r="C227" t="str">
            <v>HAMILA</v>
          </cell>
          <cell r="D227" t="str">
            <v>BTK</v>
          </cell>
          <cell r="E227" t="str">
            <v>SOUSSE</v>
          </cell>
          <cell r="F227" t="str">
            <v>20009092220005843953</v>
          </cell>
        </row>
        <row r="228">
          <cell r="A228">
            <v>1682</v>
          </cell>
          <cell r="B228" t="str">
            <v>ABDELJALIL</v>
          </cell>
          <cell r="C228" t="str">
            <v>LASSOUED</v>
          </cell>
          <cell r="D228" t="str">
            <v>ATTIJARI BANK</v>
          </cell>
          <cell r="E228" t="str">
            <v>M'SAKEN</v>
          </cell>
          <cell r="F228" t="str">
            <v>04204067404002062273</v>
          </cell>
        </row>
        <row r="229">
          <cell r="A229">
            <v>1683</v>
          </cell>
          <cell r="B229" t="str">
            <v>MOHAMED</v>
          </cell>
          <cell r="C229" t="str">
            <v>HEDHILI</v>
          </cell>
          <cell r="D229" t="str">
            <v>BNA</v>
          </cell>
          <cell r="E229" t="str">
            <v>M'SAKEN</v>
          </cell>
          <cell r="F229" t="str">
            <v>03508056010100324792</v>
          </cell>
        </row>
        <row r="230">
          <cell r="A230">
            <v>1685</v>
          </cell>
          <cell r="B230" t="str">
            <v>MOHD KARIM</v>
          </cell>
          <cell r="C230" t="str">
            <v>MAHJOUB</v>
          </cell>
          <cell r="D230" t="str">
            <v>BANQUE DE TUNISIE</v>
          </cell>
          <cell r="E230" t="str">
            <v>M'SAKEN</v>
          </cell>
          <cell r="F230" t="str">
            <v>05048000116500033883</v>
          </cell>
        </row>
        <row r="231">
          <cell r="A231">
            <v>1687</v>
          </cell>
          <cell r="B231" t="str">
            <v>SAHBI</v>
          </cell>
          <cell r="C231" t="str">
            <v>LACHHAB</v>
          </cell>
          <cell r="D231" t="str">
            <v>UIB</v>
          </cell>
          <cell r="E231" t="str">
            <v>M'SAKEN</v>
          </cell>
          <cell r="F231" t="str">
            <v>12505000580102559789</v>
          </cell>
        </row>
        <row r="232">
          <cell r="A232">
            <v>1688</v>
          </cell>
          <cell r="B232" t="str">
            <v>MOHD ANIS</v>
          </cell>
          <cell r="C232" t="str">
            <v>B ABDELJALIL</v>
          </cell>
          <cell r="D232" t="str">
            <v>BIAT</v>
          </cell>
          <cell r="E232" t="str">
            <v>SAHLOUL</v>
          </cell>
          <cell r="F232" t="str">
            <v>08050020052000537373</v>
          </cell>
        </row>
        <row r="233">
          <cell r="A233">
            <v>1689</v>
          </cell>
          <cell r="B233" t="str">
            <v>SKANDER</v>
          </cell>
          <cell r="C233" t="str">
            <v>GRAA</v>
          </cell>
          <cell r="D233" t="str">
            <v>BIAT</v>
          </cell>
          <cell r="E233" t="str">
            <v>M'SAKEN</v>
          </cell>
          <cell r="F233" t="str">
            <v>08507000262006563662</v>
          </cell>
        </row>
        <row r="234">
          <cell r="A234">
            <v>1691</v>
          </cell>
          <cell r="B234" t="str">
            <v>MOHAMED</v>
          </cell>
          <cell r="C234" t="str">
            <v>GADHI</v>
          </cell>
          <cell r="D234" t="str">
            <v>BNA</v>
          </cell>
          <cell r="E234" t="str">
            <v>M'SAKEN</v>
          </cell>
          <cell r="F234" t="str">
            <v>03508056010100336820</v>
          </cell>
        </row>
        <row r="235">
          <cell r="A235">
            <v>1693</v>
          </cell>
          <cell r="B235" t="str">
            <v>MOHAMED</v>
          </cell>
          <cell r="C235" t="str">
            <v>REBAI</v>
          </cell>
          <cell r="D235" t="str">
            <v>BIAT</v>
          </cell>
          <cell r="E235" t="str">
            <v>KALAA SEGHIRA</v>
          </cell>
          <cell r="F235" t="str">
            <v>08506000252001578053</v>
          </cell>
        </row>
        <row r="236">
          <cell r="A236">
            <v>1694</v>
          </cell>
          <cell r="B236" t="str">
            <v>KHALED</v>
          </cell>
          <cell r="C236" t="str">
            <v>ZRELLI</v>
          </cell>
          <cell r="D236" t="str">
            <v>BIAT</v>
          </cell>
          <cell r="E236" t="str">
            <v>M'SAKEN</v>
          </cell>
          <cell r="F236" t="str">
            <v>08507000262001237004</v>
          </cell>
        </row>
        <row r="237">
          <cell r="A237">
            <v>1695</v>
          </cell>
          <cell r="B237" t="str">
            <v>FOUED</v>
          </cell>
          <cell r="C237" t="str">
            <v>BEN AROUS</v>
          </cell>
          <cell r="D237" t="str">
            <v>ATTIJARI BANK</v>
          </cell>
          <cell r="E237" t="str">
            <v>M'SAKEN</v>
          </cell>
          <cell r="F237" t="str">
            <v>04204067404000927858</v>
          </cell>
        </row>
        <row r="238">
          <cell r="A238">
            <v>1696</v>
          </cell>
          <cell r="B238" t="str">
            <v>JAWHAR</v>
          </cell>
          <cell r="C238" t="str">
            <v>BEN AROUS</v>
          </cell>
          <cell r="D238" t="str">
            <v>ATTIJARI BANK</v>
          </cell>
          <cell r="E238" t="str">
            <v>M'SAKEN</v>
          </cell>
          <cell r="F238" t="str">
            <v>04204067404000928634</v>
          </cell>
        </row>
        <row r="239">
          <cell r="A239">
            <v>1698</v>
          </cell>
          <cell r="B239" t="str">
            <v>NEBIL</v>
          </cell>
          <cell r="C239" t="str">
            <v>BEL HADJ</v>
          </cell>
          <cell r="D239" t="str">
            <v>ATTIJARI BANK</v>
          </cell>
          <cell r="E239" t="str">
            <v>M'SAKEN</v>
          </cell>
          <cell r="F239" t="str">
            <v>04204067003277901906</v>
          </cell>
        </row>
        <row r="240">
          <cell r="A240">
            <v>1699</v>
          </cell>
          <cell r="B240" t="str">
            <v>NEBIL</v>
          </cell>
          <cell r="C240" t="str">
            <v>BEJAOUI</v>
          </cell>
          <cell r="D240" t="str">
            <v>UIB</v>
          </cell>
          <cell r="E240" t="str">
            <v>M'SAKEN</v>
          </cell>
          <cell r="F240" t="str">
            <v>12505000580105070246</v>
          </cell>
        </row>
        <row r="241">
          <cell r="A241">
            <v>1701</v>
          </cell>
          <cell r="B241" t="str">
            <v>KARIM</v>
          </cell>
          <cell r="C241" t="str">
            <v>SASSI</v>
          </cell>
          <cell r="D241" t="str">
            <v>BIAT</v>
          </cell>
          <cell r="E241" t="str">
            <v>MSAKEN</v>
          </cell>
          <cell r="F241" t="str">
            <v>08507000262003266535</v>
          </cell>
        </row>
        <row r="242">
          <cell r="A242">
            <v>1702</v>
          </cell>
          <cell r="B242" t="str">
            <v>WALID</v>
          </cell>
          <cell r="C242" t="str">
            <v>JAIET</v>
          </cell>
          <cell r="D242" t="str">
            <v>STB</v>
          </cell>
          <cell r="E242" t="str">
            <v>M'SAKEN</v>
          </cell>
          <cell r="F242" t="str">
            <v>10506040206911278844</v>
          </cell>
        </row>
        <row r="243">
          <cell r="A243">
            <v>1703</v>
          </cell>
          <cell r="B243" t="str">
            <v>BRAHIM</v>
          </cell>
          <cell r="C243" t="str">
            <v>EL GARES</v>
          </cell>
          <cell r="D243" t="str">
            <v>ATB</v>
          </cell>
          <cell r="E243" t="str">
            <v>M'SAKEN</v>
          </cell>
          <cell r="F243" t="str">
            <v>01018058113010106743</v>
          </cell>
        </row>
        <row r="244">
          <cell r="A244">
            <v>1704</v>
          </cell>
          <cell r="B244" t="str">
            <v>RIADH</v>
          </cell>
          <cell r="C244" t="str">
            <v>GAZZAH</v>
          </cell>
          <cell r="D244" t="str">
            <v>BANQUE ZITOUNA</v>
          </cell>
          <cell r="E244" t="str">
            <v>M'SAKEN</v>
          </cell>
          <cell r="F244" t="str">
            <v>25018000000008685449</v>
          </cell>
        </row>
        <row r="245">
          <cell r="A245">
            <v>1706</v>
          </cell>
          <cell r="B245" t="str">
            <v>FREDJ</v>
          </cell>
          <cell r="C245" t="str">
            <v>GRIRA KHEDHIRI</v>
          </cell>
          <cell r="D245" t="str">
            <v>STB</v>
          </cell>
          <cell r="E245" t="str">
            <v>M'SAKEN</v>
          </cell>
          <cell r="F245" t="str">
            <v>10506040205671778894</v>
          </cell>
        </row>
        <row r="246">
          <cell r="A246">
            <v>1707</v>
          </cell>
          <cell r="B246" t="str">
            <v>MOHD B.SALAH</v>
          </cell>
          <cell r="C246" t="str">
            <v>MKHININI</v>
          </cell>
          <cell r="D246" t="str">
            <v>ATTIJARI BANK</v>
          </cell>
          <cell r="E246" t="str">
            <v>M'SAKEN</v>
          </cell>
          <cell r="F246" t="str">
            <v>04204067404001410433</v>
          </cell>
        </row>
        <row r="247">
          <cell r="A247">
            <v>1708</v>
          </cell>
          <cell r="B247" t="str">
            <v>SAMI</v>
          </cell>
          <cell r="C247" t="str">
            <v>HOTMANI</v>
          </cell>
          <cell r="D247" t="str">
            <v>ATTIJARI BANK</v>
          </cell>
          <cell r="E247" t="str">
            <v>M'SAKEN</v>
          </cell>
          <cell r="F247" t="str">
            <v>04204067404000911271</v>
          </cell>
        </row>
        <row r="248">
          <cell r="A248">
            <v>1709</v>
          </cell>
          <cell r="B248" t="str">
            <v>SAMI</v>
          </cell>
          <cell r="C248" t="str">
            <v>MAJDOUB</v>
          </cell>
          <cell r="D248" t="str">
            <v>BNA</v>
          </cell>
          <cell r="E248" t="str">
            <v>M'SAKEN</v>
          </cell>
          <cell r="F248" t="str">
            <v>03508056010100334977</v>
          </cell>
        </row>
        <row r="249">
          <cell r="A249">
            <v>1710</v>
          </cell>
          <cell r="B249" t="str">
            <v>NEBIL</v>
          </cell>
          <cell r="C249" t="str">
            <v>AYADI</v>
          </cell>
          <cell r="D249" t="str">
            <v>UIB</v>
          </cell>
          <cell r="E249" t="str">
            <v>M'SAKEN</v>
          </cell>
          <cell r="F249" t="str">
            <v>12505000580104694274</v>
          </cell>
        </row>
        <row r="250">
          <cell r="A250">
            <v>1711</v>
          </cell>
          <cell r="B250" t="str">
            <v>HOSNI</v>
          </cell>
          <cell r="C250" t="str">
            <v>BEN ISMAIL</v>
          </cell>
          <cell r="D250" t="str">
            <v>ATTIJARI BANK</v>
          </cell>
          <cell r="E250" t="str">
            <v>M'SAKEN</v>
          </cell>
          <cell r="F250" t="str">
            <v>04204067404001427893</v>
          </cell>
        </row>
        <row r="251">
          <cell r="A251">
            <v>1712</v>
          </cell>
          <cell r="B251" t="str">
            <v>MOHAMED</v>
          </cell>
          <cell r="C251" t="str">
            <v>MKHININI ZAATOUT</v>
          </cell>
          <cell r="D251" t="str">
            <v>STB</v>
          </cell>
          <cell r="E251" t="str">
            <v>M'SAKEN</v>
          </cell>
          <cell r="F251" t="str">
            <v>10506040206206878812</v>
          </cell>
        </row>
        <row r="252">
          <cell r="A252">
            <v>1713</v>
          </cell>
          <cell r="B252" t="str">
            <v>MOHD MAHER</v>
          </cell>
          <cell r="C252" t="str">
            <v>SAKKA ROUIS</v>
          </cell>
          <cell r="D252" t="str">
            <v>BANQUE DE L'HABITAT</v>
          </cell>
          <cell r="E252" t="str">
            <v>CITE RIADH  SOUSSE</v>
          </cell>
          <cell r="F252" t="str">
            <v>14114114100705227389</v>
          </cell>
        </row>
        <row r="253">
          <cell r="A253">
            <v>1714</v>
          </cell>
          <cell r="B253" t="str">
            <v>MONDHER</v>
          </cell>
          <cell r="C253" t="str">
            <v>MATHLOUTHI</v>
          </cell>
          <cell r="D253" t="str">
            <v>STB</v>
          </cell>
          <cell r="E253" t="str">
            <v>M'SAKEN</v>
          </cell>
          <cell r="F253" t="str">
            <v>10506040205595278874</v>
          </cell>
        </row>
        <row r="254">
          <cell r="A254">
            <v>1716</v>
          </cell>
          <cell r="B254" t="str">
            <v>NACEUR</v>
          </cell>
          <cell r="C254" t="str">
            <v>HADJ ABDALLAH</v>
          </cell>
          <cell r="D254" t="str">
            <v>CCP</v>
          </cell>
          <cell r="E254" t="str">
            <v>CITE ERRIADH  SOUSSE</v>
          </cell>
          <cell r="F254" t="str">
            <v>17503000000134700025</v>
          </cell>
        </row>
        <row r="255">
          <cell r="A255">
            <v>1721</v>
          </cell>
          <cell r="B255" t="str">
            <v>ABDELKERIM</v>
          </cell>
          <cell r="C255" t="str">
            <v>CHAARANA</v>
          </cell>
          <cell r="D255" t="str">
            <v>ATTIJARI BANK</v>
          </cell>
          <cell r="E255" t="str">
            <v>M'SAKEN</v>
          </cell>
          <cell r="F255" t="str">
            <v>04204067404001934330</v>
          </cell>
        </row>
        <row r="256">
          <cell r="A256">
            <v>1723</v>
          </cell>
          <cell r="B256" t="str">
            <v>MEHDI</v>
          </cell>
          <cell r="C256" t="str">
            <v>BAYA</v>
          </cell>
          <cell r="D256" t="str">
            <v>ATTIJARI BANK</v>
          </cell>
          <cell r="E256" t="str">
            <v>M'SAKEN</v>
          </cell>
          <cell r="F256" t="str">
            <v>04204067404001426050</v>
          </cell>
        </row>
        <row r="257">
          <cell r="A257">
            <v>1724</v>
          </cell>
          <cell r="B257" t="str">
            <v>ANIS</v>
          </cell>
          <cell r="C257" t="str">
            <v>KAIBI</v>
          </cell>
          <cell r="D257" t="str">
            <v>UIB</v>
          </cell>
          <cell r="E257" t="str">
            <v>M'SAKEN</v>
          </cell>
          <cell r="F257" t="str">
            <v>12505000580102580547</v>
          </cell>
        </row>
        <row r="258">
          <cell r="A258">
            <v>1726</v>
          </cell>
          <cell r="B258" t="str">
            <v>NOUREDDINE</v>
          </cell>
          <cell r="C258" t="str">
            <v>BEN FREDJ</v>
          </cell>
          <cell r="D258" t="str">
            <v>BNA</v>
          </cell>
          <cell r="E258" t="str">
            <v>M'SAKEN</v>
          </cell>
          <cell r="F258" t="str">
            <v>03508056010100347587</v>
          </cell>
        </row>
        <row r="259">
          <cell r="A259">
            <v>1727</v>
          </cell>
          <cell r="B259" t="str">
            <v>MOKHLES</v>
          </cell>
          <cell r="C259" t="str">
            <v>AMMAR</v>
          </cell>
          <cell r="D259" t="str">
            <v>BNA</v>
          </cell>
          <cell r="E259" t="str">
            <v>M'SAKEN</v>
          </cell>
          <cell r="F259" t="str">
            <v>03508056010110007817</v>
          </cell>
        </row>
        <row r="260">
          <cell r="A260">
            <v>1728</v>
          </cell>
          <cell r="B260" t="str">
            <v>DHAFER</v>
          </cell>
          <cell r="C260" t="str">
            <v>SLAMA</v>
          </cell>
          <cell r="D260" t="str">
            <v>BTK</v>
          </cell>
          <cell r="E260" t="str">
            <v>SOUSSE</v>
          </cell>
          <cell r="F260" t="str">
            <v>20009090001147342392</v>
          </cell>
        </row>
        <row r="261">
          <cell r="A261">
            <v>1730</v>
          </cell>
          <cell r="B261" t="str">
            <v>ANIS</v>
          </cell>
          <cell r="C261" t="str">
            <v>BEN SALMA</v>
          </cell>
          <cell r="D261" t="str">
            <v>BTK</v>
          </cell>
          <cell r="E261" t="str">
            <v>SOUSSE</v>
          </cell>
          <cell r="F261" t="str">
            <v>20009092220001199108</v>
          </cell>
        </row>
        <row r="262">
          <cell r="A262">
            <v>1733</v>
          </cell>
          <cell r="B262" t="str">
            <v>MOHD RIDHA</v>
          </cell>
          <cell r="C262" t="str">
            <v>B ABDELJALIL</v>
          </cell>
          <cell r="D262" t="str">
            <v>BIAT</v>
          </cell>
          <cell r="E262" t="str">
            <v>M'SAKEN</v>
          </cell>
          <cell r="F262" t="str">
            <v>08507000262001862072</v>
          </cell>
        </row>
        <row r="263">
          <cell r="A263">
            <v>1735</v>
          </cell>
          <cell r="B263" t="str">
            <v>MED. HAFEDH</v>
          </cell>
          <cell r="C263" t="str">
            <v>SAKKA ROUIS</v>
          </cell>
          <cell r="D263" t="str">
            <v>UBCI</v>
          </cell>
          <cell r="E263" t="str">
            <v>MSAKEN</v>
          </cell>
          <cell r="F263" t="str">
            <v>11020002007800878865</v>
          </cell>
        </row>
        <row r="264">
          <cell r="A264">
            <v>1737</v>
          </cell>
          <cell r="B264" t="str">
            <v>ABDELKERIM</v>
          </cell>
          <cell r="C264" t="str">
            <v>ALOUANE</v>
          </cell>
          <cell r="D264" t="str">
            <v>BNA</v>
          </cell>
          <cell r="E264" t="str">
            <v>M'SAKEN</v>
          </cell>
          <cell r="F264" t="str">
            <v>03508056010100347296</v>
          </cell>
        </row>
        <row r="265">
          <cell r="A265">
            <v>1738</v>
          </cell>
          <cell r="B265" t="str">
            <v>KHALED</v>
          </cell>
          <cell r="C265" t="str">
            <v>GAMHA</v>
          </cell>
          <cell r="D265" t="str">
            <v>BTK</v>
          </cell>
          <cell r="E265" t="str">
            <v>SOUSSE</v>
          </cell>
          <cell r="F265" t="str">
            <v>20009092220011205046</v>
          </cell>
        </row>
        <row r="266">
          <cell r="A266">
            <v>1739</v>
          </cell>
          <cell r="B266" t="str">
            <v>SLAHEDDINE</v>
          </cell>
          <cell r="C266" t="str">
            <v>ENGAZZOU</v>
          </cell>
          <cell r="D266" t="str">
            <v>BIAT</v>
          </cell>
          <cell r="E266" t="str">
            <v>SAHLOUL</v>
          </cell>
          <cell r="F266" t="str">
            <v>08050020052000220086</v>
          </cell>
        </row>
        <row r="267">
          <cell r="A267">
            <v>1740</v>
          </cell>
          <cell r="B267" t="str">
            <v>LOTFI</v>
          </cell>
          <cell r="C267" t="str">
            <v>YOUSSEF</v>
          </cell>
          <cell r="D267" t="str">
            <v>ATTIJARI BANK</v>
          </cell>
          <cell r="E267" t="str">
            <v>M'SAKEN</v>
          </cell>
          <cell r="F267" t="str">
            <v>04204067404000973254</v>
          </cell>
        </row>
        <row r="268">
          <cell r="A268">
            <v>1741</v>
          </cell>
          <cell r="B268" t="str">
            <v>ZIED</v>
          </cell>
          <cell r="C268" t="str">
            <v>HACHICHA</v>
          </cell>
          <cell r="D268" t="str">
            <v>ATTIJARI BANK</v>
          </cell>
          <cell r="E268" t="str">
            <v>M'SAKEN</v>
          </cell>
          <cell r="F268" t="str">
            <v>04204067404000969083</v>
          </cell>
        </row>
        <row r="269">
          <cell r="A269">
            <v>1742</v>
          </cell>
          <cell r="B269" t="str">
            <v>JAMEL</v>
          </cell>
          <cell r="C269" t="str">
            <v>BEN AZIZA</v>
          </cell>
          <cell r="D269" t="str">
            <v>ATTIJARI BANK</v>
          </cell>
          <cell r="E269" t="str">
            <v>M'SAKEN</v>
          </cell>
          <cell r="F269" t="str">
            <v>04204067404002083807</v>
          </cell>
        </row>
        <row r="270">
          <cell r="A270">
            <v>1744</v>
          </cell>
          <cell r="B270" t="str">
            <v>NACEUR</v>
          </cell>
          <cell r="C270" t="str">
            <v>ALI</v>
          </cell>
          <cell r="D270" t="str">
            <v>ATTIJARI BANK</v>
          </cell>
          <cell r="E270" t="str">
            <v>M'SAKEN</v>
          </cell>
          <cell r="F270" t="str">
            <v>04204067404000977328</v>
          </cell>
        </row>
        <row r="271">
          <cell r="A271">
            <v>1745</v>
          </cell>
          <cell r="B271" t="str">
            <v>EZZEDDINE</v>
          </cell>
          <cell r="C271" t="str">
            <v>CHATTI</v>
          </cell>
          <cell r="D271" t="str">
            <v>UIB</v>
          </cell>
          <cell r="E271" t="str">
            <v>M'SAKEN</v>
          </cell>
          <cell r="F271" t="str">
            <v>12505000580103546085</v>
          </cell>
        </row>
        <row r="272">
          <cell r="A272">
            <v>1746</v>
          </cell>
          <cell r="B272" t="str">
            <v>KAMEL</v>
          </cell>
          <cell r="C272" t="str">
            <v>BEL ARBIA</v>
          </cell>
          <cell r="D272" t="str">
            <v>UIB</v>
          </cell>
          <cell r="E272" t="str">
            <v>M'SAKEN</v>
          </cell>
          <cell r="F272" t="str">
            <v>12505000580103722625</v>
          </cell>
        </row>
        <row r="273">
          <cell r="A273">
            <v>1747</v>
          </cell>
          <cell r="B273" t="str">
            <v>THEMEUR</v>
          </cell>
          <cell r="C273" t="str">
            <v>BRAHIM</v>
          </cell>
          <cell r="D273" t="str">
            <v>STB</v>
          </cell>
          <cell r="E273" t="str">
            <v>M'SAKEN</v>
          </cell>
          <cell r="F273" t="str">
            <v>10506040206151278897</v>
          </cell>
        </row>
        <row r="274">
          <cell r="A274">
            <v>1752</v>
          </cell>
          <cell r="B274" t="str">
            <v>MUSTAPHA</v>
          </cell>
          <cell r="C274" t="str">
            <v>HEDHILI</v>
          </cell>
          <cell r="D274" t="str">
            <v>BANQUE ZITOUNA</v>
          </cell>
          <cell r="E274" t="str">
            <v>SOUSSE SENGHOR</v>
          </cell>
          <cell r="F274" t="str">
            <v>25005000000000759194</v>
          </cell>
        </row>
        <row r="275">
          <cell r="A275">
            <v>1754</v>
          </cell>
          <cell r="B275" t="str">
            <v>RADHOUANE</v>
          </cell>
          <cell r="C275" t="str">
            <v>MAHJOUB</v>
          </cell>
          <cell r="D275" t="str">
            <v>BIAT</v>
          </cell>
          <cell r="E275" t="str">
            <v>MSAKEN</v>
          </cell>
          <cell r="F275" t="str">
            <v>08507000262004868587</v>
          </cell>
        </row>
        <row r="276">
          <cell r="A276">
            <v>1755</v>
          </cell>
          <cell r="B276" t="str">
            <v>NEJIB</v>
          </cell>
          <cell r="C276" t="str">
            <v>REJEB</v>
          </cell>
          <cell r="D276" t="str">
            <v>BIAT</v>
          </cell>
          <cell r="E276" t="str">
            <v>M'SAKEN</v>
          </cell>
          <cell r="F276" t="str">
            <v>08507000262005302662</v>
          </cell>
        </row>
        <row r="277">
          <cell r="A277">
            <v>1756</v>
          </cell>
          <cell r="B277" t="str">
            <v>FOUED</v>
          </cell>
          <cell r="C277" t="str">
            <v>SOUA</v>
          </cell>
          <cell r="D277" t="str">
            <v>BIAT</v>
          </cell>
          <cell r="E277" t="str">
            <v>SAHLOUL</v>
          </cell>
          <cell r="F277" t="str">
            <v>08050020052000183129</v>
          </cell>
        </row>
        <row r="278">
          <cell r="A278">
            <v>1757</v>
          </cell>
          <cell r="B278" t="str">
            <v>BESSEM</v>
          </cell>
          <cell r="C278" t="str">
            <v>EL HOTMANI</v>
          </cell>
          <cell r="D278" t="str">
            <v>ATTIJARI BANK</v>
          </cell>
          <cell r="E278" t="str">
            <v>M'SAKEN</v>
          </cell>
          <cell r="F278" t="str">
            <v>04204067001309440457</v>
          </cell>
        </row>
        <row r="279">
          <cell r="A279">
            <v>1759</v>
          </cell>
          <cell r="B279" t="str">
            <v>ISSAM</v>
          </cell>
          <cell r="C279" t="str">
            <v>HNIA</v>
          </cell>
          <cell r="D279" t="str">
            <v>BTK</v>
          </cell>
          <cell r="E279" t="str">
            <v>SOUSSE</v>
          </cell>
          <cell r="F279" t="str">
            <v>20009090001147054205</v>
          </cell>
        </row>
        <row r="280">
          <cell r="A280">
            <v>1760</v>
          </cell>
          <cell r="B280" t="str">
            <v>SAMIR</v>
          </cell>
          <cell r="C280" t="str">
            <v>SASSI</v>
          </cell>
          <cell r="D280" t="str">
            <v>BIAT</v>
          </cell>
          <cell r="E280" t="str">
            <v>M'SAKEN</v>
          </cell>
          <cell r="F280" t="str">
            <v>08507000262001937538</v>
          </cell>
        </row>
        <row r="281">
          <cell r="A281">
            <v>1761</v>
          </cell>
          <cell r="B281" t="str">
            <v>KHELIL</v>
          </cell>
          <cell r="C281" t="str">
            <v>BEN SALEM</v>
          </cell>
          <cell r="D281" t="str">
            <v>UIB</v>
          </cell>
          <cell r="E281" t="str">
            <v>M'SAKEN</v>
          </cell>
          <cell r="F281" t="str">
            <v>12505000580102676383</v>
          </cell>
        </row>
        <row r="282">
          <cell r="A282">
            <v>1764</v>
          </cell>
          <cell r="B282" t="str">
            <v>MAHMOUD</v>
          </cell>
          <cell r="C282" t="str">
            <v>RBEH</v>
          </cell>
          <cell r="D282" t="str">
            <v>CCP</v>
          </cell>
          <cell r="E282" t="str">
            <v>MESSAADINE</v>
          </cell>
          <cell r="F282" t="str">
            <v>17503000000104562610</v>
          </cell>
        </row>
        <row r="283">
          <cell r="A283">
            <v>1765</v>
          </cell>
          <cell r="B283" t="str">
            <v>SALAH</v>
          </cell>
          <cell r="C283" t="str">
            <v>DAHMANI</v>
          </cell>
          <cell r="D283" t="str">
            <v>ATTIJARI BANK</v>
          </cell>
          <cell r="E283" t="str">
            <v>M'SAKEN</v>
          </cell>
          <cell r="F283" t="str">
            <v>04204067404001012830</v>
          </cell>
        </row>
        <row r="284">
          <cell r="A284">
            <v>1766</v>
          </cell>
          <cell r="B284" t="str">
            <v>KHALED</v>
          </cell>
          <cell r="C284" t="str">
            <v>BEN SALEM</v>
          </cell>
          <cell r="D284" t="str">
            <v>BANQUE DE TUNISIE</v>
          </cell>
          <cell r="E284" t="str">
            <v>M'SAKEN</v>
          </cell>
          <cell r="F284" t="str">
            <v>05048000116500162893</v>
          </cell>
        </row>
        <row r="285">
          <cell r="A285">
            <v>1767</v>
          </cell>
          <cell r="B285" t="str">
            <v>NAOUFEL</v>
          </cell>
          <cell r="C285" t="str">
            <v>B.HJ SGHAIER</v>
          </cell>
          <cell r="D285" t="str">
            <v>STB</v>
          </cell>
          <cell r="E285" t="str">
            <v>MSAKEN</v>
          </cell>
          <cell r="F285" t="str">
            <v>10506040518515178824</v>
          </cell>
        </row>
        <row r="286">
          <cell r="A286">
            <v>1768</v>
          </cell>
          <cell r="B286" t="str">
            <v>MAHER</v>
          </cell>
          <cell r="C286" t="str">
            <v>LAAJIMI</v>
          </cell>
          <cell r="D286" t="str">
            <v>UIB</v>
          </cell>
          <cell r="E286" t="str">
            <v>SOUSSE JAWHARA</v>
          </cell>
          <cell r="F286" t="str">
            <v>12015000000223791516</v>
          </cell>
        </row>
        <row r="287">
          <cell r="A287">
            <v>1769</v>
          </cell>
          <cell r="B287" t="str">
            <v>ABDELLATIF</v>
          </cell>
          <cell r="C287" t="str">
            <v>BEN NASR</v>
          </cell>
          <cell r="D287" t="str">
            <v>CCP</v>
          </cell>
          <cell r="E287" t="str">
            <v>M'SAKEN</v>
          </cell>
          <cell r="F287" t="str">
            <v>17503000000136569312</v>
          </cell>
        </row>
        <row r="288">
          <cell r="A288">
            <v>1770</v>
          </cell>
          <cell r="B288" t="str">
            <v>HICHEM</v>
          </cell>
          <cell r="C288" t="str">
            <v>ZANINA</v>
          </cell>
          <cell r="D288" t="str">
            <v>STB</v>
          </cell>
          <cell r="E288" t="str">
            <v>M'SAKEN</v>
          </cell>
          <cell r="F288" t="str">
            <v>10506040206241178885</v>
          </cell>
        </row>
        <row r="289">
          <cell r="A289">
            <v>1771</v>
          </cell>
          <cell r="B289" t="str">
            <v>KARIM</v>
          </cell>
          <cell r="C289" t="str">
            <v>ATTIA</v>
          </cell>
          <cell r="D289" t="str">
            <v>UIB</v>
          </cell>
          <cell r="E289" t="str">
            <v>M'SAKEN</v>
          </cell>
          <cell r="F289" t="str">
            <v>12064000000226942490</v>
          </cell>
        </row>
        <row r="290">
          <cell r="A290">
            <v>1773</v>
          </cell>
          <cell r="B290" t="str">
            <v>SAMI</v>
          </cell>
          <cell r="C290" t="str">
            <v>GAIEB</v>
          </cell>
          <cell r="D290" t="str">
            <v>UIB</v>
          </cell>
          <cell r="E290" t="str">
            <v>M'SAKEN</v>
          </cell>
          <cell r="F290" t="str">
            <v>12505000580104409579</v>
          </cell>
        </row>
        <row r="291">
          <cell r="A291">
            <v>1774</v>
          </cell>
          <cell r="B291" t="str">
            <v>FAOUZI</v>
          </cell>
          <cell r="C291" t="str">
            <v>BEN SALEM</v>
          </cell>
          <cell r="D291" t="str">
            <v>UIB</v>
          </cell>
          <cell r="E291" t="str">
            <v>M'SAKEN</v>
          </cell>
          <cell r="F291" t="str">
            <v>12505000580102672018</v>
          </cell>
        </row>
        <row r="292">
          <cell r="A292">
            <v>1777</v>
          </cell>
          <cell r="B292" t="str">
            <v>MOHD FAOUZI</v>
          </cell>
          <cell r="C292" t="str">
            <v>JARRAR</v>
          </cell>
          <cell r="D292" t="str">
            <v>ATTIJARI BANK</v>
          </cell>
          <cell r="E292" t="str">
            <v>M'SAKEN</v>
          </cell>
          <cell r="F292" t="str">
            <v>04204067404000994885</v>
          </cell>
        </row>
        <row r="293">
          <cell r="A293">
            <v>1779</v>
          </cell>
          <cell r="B293" t="str">
            <v>LOTFI</v>
          </cell>
          <cell r="C293" t="str">
            <v>BEN FREDJ</v>
          </cell>
          <cell r="D293" t="str">
            <v>UIB</v>
          </cell>
          <cell r="E293" t="str">
            <v>M'SAKEN</v>
          </cell>
          <cell r="F293" t="str">
            <v>12505000580103522320</v>
          </cell>
        </row>
        <row r="294">
          <cell r="A294">
            <v>1780</v>
          </cell>
          <cell r="B294" t="str">
            <v>SAIEFALLAH</v>
          </cell>
          <cell r="C294" t="str">
            <v>SASSI</v>
          </cell>
          <cell r="D294" t="str">
            <v>STB</v>
          </cell>
          <cell r="E294" t="str">
            <v>M'SAKEN</v>
          </cell>
          <cell r="F294" t="str">
            <v>10506040204842278835</v>
          </cell>
        </row>
        <row r="295">
          <cell r="A295">
            <v>1781</v>
          </cell>
          <cell r="B295" t="str">
            <v>MOHD B.SALAH</v>
          </cell>
          <cell r="C295" t="str">
            <v>KEMIMECH</v>
          </cell>
          <cell r="D295" t="str">
            <v>CCP</v>
          </cell>
          <cell r="E295" t="str">
            <v>M'SAKEN</v>
          </cell>
          <cell r="F295" t="str">
            <v>17503000000232428689</v>
          </cell>
        </row>
        <row r="296">
          <cell r="A296">
            <v>1782</v>
          </cell>
          <cell r="B296" t="str">
            <v>JAMEL</v>
          </cell>
          <cell r="C296" t="str">
            <v>IBRAHIM</v>
          </cell>
          <cell r="D296" t="str">
            <v>ATTIJARI BANK</v>
          </cell>
          <cell r="E296" t="str">
            <v>M'SAKEN</v>
          </cell>
          <cell r="F296" t="str">
            <v>04204067404001067247</v>
          </cell>
        </row>
        <row r="297">
          <cell r="A297">
            <v>1784</v>
          </cell>
          <cell r="B297" t="str">
            <v>KHALED</v>
          </cell>
          <cell r="C297" t="str">
            <v>LAYOUNI</v>
          </cell>
          <cell r="D297" t="str">
            <v>B.T.E</v>
          </cell>
          <cell r="E297" t="str">
            <v>M'SAKEN</v>
          </cell>
          <cell r="F297" t="str">
            <v>24010035437251110120</v>
          </cell>
        </row>
        <row r="298">
          <cell r="A298">
            <v>1785</v>
          </cell>
          <cell r="B298" t="str">
            <v>SALEM</v>
          </cell>
          <cell r="C298" t="str">
            <v>HMIDI</v>
          </cell>
          <cell r="D298" t="str">
            <v>ATTIJARI BANK</v>
          </cell>
          <cell r="E298" t="str">
            <v>M'SAKEN</v>
          </cell>
          <cell r="F298" t="str">
            <v>04204067404000975776</v>
          </cell>
        </row>
        <row r="299">
          <cell r="A299">
            <v>1786</v>
          </cell>
          <cell r="B299" t="str">
            <v>MOHAMED</v>
          </cell>
          <cell r="C299" t="str">
            <v>GUIZANI</v>
          </cell>
          <cell r="D299" t="str">
            <v>ATTIJARI BANK</v>
          </cell>
          <cell r="E299" t="str">
            <v>M'SAKEN</v>
          </cell>
          <cell r="F299" t="str">
            <v>04204067404001016904</v>
          </cell>
        </row>
        <row r="300">
          <cell r="A300">
            <v>1787</v>
          </cell>
          <cell r="B300" t="str">
            <v>NEBIL</v>
          </cell>
          <cell r="C300" t="str">
            <v>BEN ALITA</v>
          </cell>
          <cell r="D300" t="str">
            <v>UIB</v>
          </cell>
          <cell r="E300" t="str">
            <v>SOUSSE CITE ERRIADH</v>
          </cell>
          <cell r="F300" t="str">
            <v>12033000000219957460</v>
          </cell>
        </row>
        <row r="301">
          <cell r="A301">
            <v>1789</v>
          </cell>
          <cell r="B301" t="str">
            <v>MOHD SALAH</v>
          </cell>
          <cell r="C301" t="str">
            <v>CHIHI</v>
          </cell>
          <cell r="D301" t="str">
            <v>UIB</v>
          </cell>
          <cell r="E301" t="str">
            <v>M'SAKEN</v>
          </cell>
          <cell r="F301" t="str">
            <v>12505000580103770640</v>
          </cell>
        </row>
        <row r="302">
          <cell r="A302">
            <v>1793</v>
          </cell>
          <cell r="B302" t="str">
            <v>RAOUF</v>
          </cell>
          <cell r="C302" t="str">
            <v>MIMOUNA</v>
          </cell>
          <cell r="D302" t="str">
            <v>UIB</v>
          </cell>
          <cell r="E302" t="str">
            <v>M'SAKEN</v>
          </cell>
          <cell r="F302" t="str">
            <v>12505000580103392146</v>
          </cell>
        </row>
        <row r="303">
          <cell r="A303">
            <v>1794</v>
          </cell>
          <cell r="B303" t="str">
            <v>HASSINE</v>
          </cell>
          <cell r="C303" t="str">
            <v>HASSANI</v>
          </cell>
          <cell r="D303" t="str">
            <v>ATTIJARI BANK</v>
          </cell>
          <cell r="E303" t="str">
            <v>M'SAKEN</v>
          </cell>
          <cell r="F303" t="str">
            <v>04204067404001332057</v>
          </cell>
        </row>
        <row r="304">
          <cell r="A304">
            <v>1795</v>
          </cell>
          <cell r="B304" t="str">
            <v>MOHAMED</v>
          </cell>
          <cell r="C304" t="str">
            <v>SOUA</v>
          </cell>
          <cell r="D304" t="str">
            <v>STB</v>
          </cell>
          <cell r="E304" t="str">
            <v>M'SAKEN</v>
          </cell>
          <cell r="F304" t="str">
            <v>10506040512067878854</v>
          </cell>
        </row>
        <row r="305">
          <cell r="A305">
            <v>1796</v>
          </cell>
          <cell r="B305" t="str">
            <v>IMED EDDINE</v>
          </cell>
          <cell r="C305" t="str">
            <v>B HJ HASSINE</v>
          </cell>
          <cell r="D305" t="str">
            <v>CCP</v>
          </cell>
          <cell r="E305" t="str">
            <v>M'SAKEN</v>
          </cell>
          <cell r="F305" t="str">
            <v>17503000000203383688</v>
          </cell>
        </row>
        <row r="306">
          <cell r="A306">
            <v>1797</v>
          </cell>
          <cell r="B306" t="str">
            <v>MOHAMED</v>
          </cell>
          <cell r="C306" t="str">
            <v>EL ABBADI</v>
          </cell>
          <cell r="D306" t="str">
            <v>STB</v>
          </cell>
          <cell r="E306" t="str">
            <v>M'SAKEN</v>
          </cell>
          <cell r="F306" t="str">
            <v>10506040206524978866</v>
          </cell>
        </row>
        <row r="307">
          <cell r="A307">
            <v>1800</v>
          </cell>
          <cell r="B307" t="str">
            <v>WAHIB</v>
          </cell>
          <cell r="C307" t="str">
            <v>BEN CHAOUACHA</v>
          </cell>
          <cell r="D307" t="str">
            <v>BNA</v>
          </cell>
          <cell r="E307" t="str">
            <v>MSAKEN</v>
          </cell>
          <cell r="F307" t="str">
            <v>03508056010110198422</v>
          </cell>
        </row>
        <row r="308">
          <cell r="A308">
            <v>1801</v>
          </cell>
          <cell r="B308" t="str">
            <v>MOHAMED</v>
          </cell>
          <cell r="C308" t="str">
            <v>MAHJOUB</v>
          </cell>
          <cell r="D308" t="str">
            <v>UIB</v>
          </cell>
          <cell r="E308" t="str">
            <v>M'SAKEN</v>
          </cell>
          <cell r="F308" t="str">
            <v>12505000580102617892</v>
          </cell>
        </row>
        <row r="309">
          <cell r="A309">
            <v>1802</v>
          </cell>
          <cell r="B309" t="str">
            <v>SABEUR</v>
          </cell>
          <cell r="C309" t="str">
            <v>BHIRI</v>
          </cell>
          <cell r="D309" t="str">
            <v>STB</v>
          </cell>
          <cell r="E309" t="str">
            <v>M'SAKEN</v>
          </cell>
          <cell r="F309" t="str">
            <v>10506040206252678817</v>
          </cell>
        </row>
        <row r="310">
          <cell r="A310">
            <v>1803</v>
          </cell>
          <cell r="B310" t="str">
            <v>HAMDI</v>
          </cell>
          <cell r="C310" t="str">
            <v>GAM</v>
          </cell>
          <cell r="D310" t="str">
            <v>STB</v>
          </cell>
          <cell r="E310" t="str">
            <v>M'SAKEN</v>
          </cell>
          <cell r="F310" t="str">
            <v>10506040504443978875</v>
          </cell>
        </row>
        <row r="311">
          <cell r="A311">
            <v>1807</v>
          </cell>
          <cell r="B311" t="str">
            <v>ABDENNACEUR</v>
          </cell>
          <cell r="C311" t="str">
            <v>BEL GADHA</v>
          </cell>
          <cell r="D311" t="str">
            <v>ATTIJARI BANK</v>
          </cell>
          <cell r="E311" t="str">
            <v>M'SAKEN</v>
          </cell>
          <cell r="F311" t="str">
            <v>04204067404000943572</v>
          </cell>
        </row>
        <row r="312">
          <cell r="A312">
            <v>1808</v>
          </cell>
          <cell r="B312" t="str">
            <v>HICHEM</v>
          </cell>
          <cell r="C312" t="str">
            <v>BAHLOUL</v>
          </cell>
          <cell r="D312" t="str">
            <v>ATTIJARI BANK</v>
          </cell>
          <cell r="E312" t="str">
            <v>M'SAKEN</v>
          </cell>
          <cell r="F312" t="str">
            <v>04204067404001064919</v>
          </cell>
        </row>
        <row r="313">
          <cell r="A313">
            <v>1809</v>
          </cell>
          <cell r="B313" t="str">
            <v>AFIF</v>
          </cell>
          <cell r="C313" t="str">
            <v>JOUILI</v>
          </cell>
          <cell r="D313" t="str">
            <v>ATTIJARI BANK</v>
          </cell>
          <cell r="E313" t="str">
            <v>M'SAKEN</v>
          </cell>
          <cell r="F313" t="str">
            <v>04204067404001607537</v>
          </cell>
        </row>
        <row r="314">
          <cell r="A314">
            <v>1810</v>
          </cell>
          <cell r="B314" t="str">
            <v>SOFIANE</v>
          </cell>
          <cell r="C314" t="str">
            <v>GHEZAL</v>
          </cell>
          <cell r="D314" t="str">
            <v>STB</v>
          </cell>
          <cell r="E314" t="str">
            <v>M'SAKEN</v>
          </cell>
          <cell r="F314" t="str">
            <v>10317123101650278878</v>
          </cell>
        </row>
        <row r="315">
          <cell r="A315">
            <v>1812</v>
          </cell>
          <cell r="B315" t="str">
            <v>ZIED</v>
          </cell>
          <cell r="C315" t="str">
            <v>BEN SALEM</v>
          </cell>
          <cell r="D315" t="str">
            <v>BIAT</v>
          </cell>
          <cell r="E315" t="str">
            <v>M'SAKEN</v>
          </cell>
          <cell r="F315" t="str">
            <v>08507000262004024202</v>
          </cell>
        </row>
        <row r="316">
          <cell r="A316">
            <v>1813</v>
          </cell>
          <cell r="B316" t="str">
            <v>HICHEM</v>
          </cell>
          <cell r="C316" t="str">
            <v>YOUSSEF</v>
          </cell>
          <cell r="D316" t="str">
            <v>ATTIJARI BANK</v>
          </cell>
          <cell r="E316" t="str">
            <v>MESSAADINE</v>
          </cell>
          <cell r="F316" t="str">
            <v>04022108404001507753</v>
          </cell>
        </row>
        <row r="317">
          <cell r="A317">
            <v>1814</v>
          </cell>
          <cell r="B317" t="str">
            <v>SLAH</v>
          </cell>
          <cell r="C317" t="str">
            <v>BEL ARBIA</v>
          </cell>
          <cell r="D317" t="str">
            <v>BNA</v>
          </cell>
          <cell r="E317" t="str">
            <v>M'SAKEN</v>
          </cell>
          <cell r="F317" t="str">
            <v>03508056010100393080</v>
          </cell>
        </row>
        <row r="318">
          <cell r="A318">
            <v>1815</v>
          </cell>
          <cell r="B318" t="str">
            <v>IMED</v>
          </cell>
          <cell r="C318" t="str">
            <v>KHEDIMI</v>
          </cell>
          <cell r="D318" t="str">
            <v>UIB</v>
          </cell>
          <cell r="E318" t="str">
            <v>SOUSSE JAWHARA</v>
          </cell>
          <cell r="F318" t="str">
            <v>12015000960100331420</v>
          </cell>
        </row>
        <row r="319">
          <cell r="A319">
            <v>1817</v>
          </cell>
          <cell r="B319" t="str">
            <v>MUSTAPHA</v>
          </cell>
          <cell r="C319" t="str">
            <v>ZOUITEN</v>
          </cell>
          <cell r="D319" t="str">
            <v>BIAT</v>
          </cell>
          <cell r="E319" t="str">
            <v>M'SAKEN</v>
          </cell>
          <cell r="F319" t="str">
            <v>08507000262002769604</v>
          </cell>
        </row>
        <row r="320">
          <cell r="A320">
            <v>1819</v>
          </cell>
          <cell r="B320" t="str">
            <v>MOHD  WALID</v>
          </cell>
          <cell r="C320" t="str">
            <v>SASSI</v>
          </cell>
          <cell r="D320" t="str">
            <v>B.T.E</v>
          </cell>
          <cell r="E320" t="str">
            <v>M'SAKEN</v>
          </cell>
          <cell r="F320" t="str">
            <v>24010042257251110167</v>
          </cell>
        </row>
        <row r="321">
          <cell r="A321">
            <v>1820</v>
          </cell>
          <cell r="B321" t="str">
            <v>MOHD RIMEH</v>
          </cell>
          <cell r="C321" t="str">
            <v>MKHININI</v>
          </cell>
          <cell r="D321" t="str">
            <v>ATTIJARI BANK</v>
          </cell>
          <cell r="E321" t="str">
            <v>M'SAKEN</v>
          </cell>
          <cell r="F321" t="str">
            <v>04204067002852614330</v>
          </cell>
        </row>
        <row r="322">
          <cell r="A322">
            <v>1821</v>
          </cell>
          <cell r="B322" t="str">
            <v>MOHAMED</v>
          </cell>
          <cell r="C322" t="str">
            <v>BOURIGUA</v>
          </cell>
          <cell r="D322" t="str">
            <v>ATTIJARI BANK</v>
          </cell>
          <cell r="E322" t="str">
            <v>M'SAKEN</v>
          </cell>
          <cell r="F322" t="str">
            <v>04204067000977568537</v>
          </cell>
        </row>
        <row r="323">
          <cell r="A323">
            <v>1822</v>
          </cell>
          <cell r="B323" t="str">
            <v>MEJDI</v>
          </cell>
          <cell r="C323" t="str">
            <v>BOUHLEL</v>
          </cell>
          <cell r="D323" t="str">
            <v>BNA</v>
          </cell>
          <cell r="E323" t="str">
            <v>M'SAKEN</v>
          </cell>
          <cell r="F323" t="str">
            <v>03508056010110021009</v>
          </cell>
        </row>
        <row r="324">
          <cell r="A324">
            <v>1823</v>
          </cell>
          <cell r="B324" t="str">
            <v>RAOUF</v>
          </cell>
          <cell r="C324" t="str">
            <v>ACHOUR</v>
          </cell>
          <cell r="D324" t="str">
            <v>UIB</v>
          </cell>
          <cell r="E324" t="str">
            <v>M'SAKEN</v>
          </cell>
          <cell r="F324" t="str">
            <v>12505000580103504569</v>
          </cell>
        </row>
        <row r="325">
          <cell r="A325">
            <v>1824</v>
          </cell>
          <cell r="B325" t="str">
            <v>BECHIR</v>
          </cell>
          <cell r="C325" t="str">
            <v>ESSAAFI</v>
          </cell>
          <cell r="D325" t="str">
            <v>BANQUE DE L'HABITAT</v>
          </cell>
          <cell r="E325" t="str">
            <v>M'SAKEN</v>
          </cell>
          <cell r="F325" t="str">
            <v>14014014100700234890</v>
          </cell>
        </row>
        <row r="326">
          <cell r="A326">
            <v>1825</v>
          </cell>
          <cell r="B326" t="str">
            <v>SADOK</v>
          </cell>
          <cell r="C326" t="str">
            <v>AIFA</v>
          </cell>
          <cell r="D326" t="str">
            <v>BANQUE DE L'HABITAT</v>
          </cell>
          <cell r="E326" t="str">
            <v>CITE RIADH  SOUSSE</v>
          </cell>
          <cell r="F326" t="str">
            <v>14114114100701193838</v>
          </cell>
        </row>
        <row r="327">
          <cell r="A327">
            <v>1827</v>
          </cell>
          <cell r="B327" t="str">
            <v>HAMADI</v>
          </cell>
          <cell r="C327" t="str">
            <v>CHTIOUI</v>
          </cell>
          <cell r="D327" t="str">
            <v>BANQUE ZITOUNA</v>
          </cell>
          <cell r="E327" t="str">
            <v>MSAKEN</v>
          </cell>
          <cell r="F327" t="str">
            <v>25066000000075663147</v>
          </cell>
        </row>
        <row r="328">
          <cell r="A328">
            <v>1828</v>
          </cell>
          <cell r="B328" t="str">
            <v>MOHAMED</v>
          </cell>
          <cell r="C328" t="str">
            <v>FNAYOU</v>
          </cell>
          <cell r="D328" t="str">
            <v>STB</v>
          </cell>
          <cell r="E328" t="str">
            <v>M'SAKEN</v>
          </cell>
          <cell r="F328" t="str">
            <v>10506040206297978884</v>
          </cell>
        </row>
        <row r="329">
          <cell r="A329">
            <v>1829</v>
          </cell>
          <cell r="B329" t="str">
            <v>ANIS</v>
          </cell>
          <cell r="C329" t="str">
            <v>ATROUSSE</v>
          </cell>
          <cell r="D329" t="str">
            <v>BIAT</v>
          </cell>
          <cell r="E329" t="str">
            <v>M'SAKEN</v>
          </cell>
          <cell r="F329" t="str">
            <v>08050020052000541156</v>
          </cell>
        </row>
        <row r="330">
          <cell r="A330">
            <v>1830</v>
          </cell>
          <cell r="B330" t="str">
            <v>ABDALLAH</v>
          </cell>
          <cell r="C330" t="str">
            <v>LOURIMI</v>
          </cell>
          <cell r="D330" t="str">
            <v>STB</v>
          </cell>
          <cell r="E330" t="str">
            <v>M'SAKEN</v>
          </cell>
          <cell r="F330" t="str">
            <v>10506040206568978842</v>
          </cell>
        </row>
        <row r="331">
          <cell r="A331">
            <v>1831</v>
          </cell>
          <cell r="B331" t="str">
            <v>MOHD B. MOHAMED</v>
          </cell>
          <cell r="C331" t="str">
            <v>KEMIMECH</v>
          </cell>
          <cell r="D331" t="str">
            <v>BNA</v>
          </cell>
          <cell r="E331" t="str">
            <v>M'SAKEN</v>
          </cell>
          <cell r="F331" t="str">
            <v>03508056010110001415</v>
          </cell>
        </row>
        <row r="332">
          <cell r="A332">
            <v>1832</v>
          </cell>
          <cell r="B332" t="str">
            <v>MEJDI</v>
          </cell>
          <cell r="C332" t="str">
            <v>ERGUEZ</v>
          </cell>
          <cell r="D332" t="str">
            <v>BNA</v>
          </cell>
          <cell r="E332" t="str">
            <v>SOUSSE</v>
          </cell>
          <cell r="F332" t="str">
            <v>03500020010110899370</v>
          </cell>
        </row>
        <row r="333">
          <cell r="A333">
            <v>1833</v>
          </cell>
          <cell r="B333" t="str">
            <v>MOHAMED</v>
          </cell>
          <cell r="C333" t="str">
            <v>BOUZAABIA</v>
          </cell>
          <cell r="D333" t="str">
            <v>ATTIJARI BANK</v>
          </cell>
          <cell r="E333" t="str">
            <v>SOUSSE</v>
          </cell>
          <cell r="F333" t="str">
            <v>04500043404003647937</v>
          </cell>
        </row>
        <row r="334">
          <cell r="A334">
            <v>1834</v>
          </cell>
          <cell r="B334" t="str">
            <v>ZIED</v>
          </cell>
          <cell r="C334" t="str">
            <v>SMIDA</v>
          </cell>
          <cell r="D334" t="str">
            <v>ATTIJARI BANK</v>
          </cell>
          <cell r="E334" t="str">
            <v>M'SAKEN</v>
          </cell>
          <cell r="F334" t="str">
            <v>04204067404001336131</v>
          </cell>
        </row>
        <row r="335">
          <cell r="A335">
            <v>1835</v>
          </cell>
          <cell r="B335" t="str">
            <v>MOHD KAMEL</v>
          </cell>
          <cell r="C335" t="str">
            <v>KRIFA</v>
          </cell>
          <cell r="D335" t="str">
            <v>STB</v>
          </cell>
          <cell r="E335" t="str">
            <v>M'SAKEN</v>
          </cell>
          <cell r="F335" t="str">
            <v>10506040205813378815</v>
          </cell>
        </row>
        <row r="336">
          <cell r="A336">
            <v>1836</v>
          </cell>
          <cell r="B336" t="str">
            <v>LOTFI</v>
          </cell>
          <cell r="C336" t="str">
            <v>BEN KALIA</v>
          </cell>
          <cell r="D336" t="str">
            <v>UIB</v>
          </cell>
          <cell r="E336" t="str">
            <v>M'SAKEN</v>
          </cell>
          <cell r="F336" t="str">
            <v>12505000580103514269</v>
          </cell>
        </row>
        <row r="337">
          <cell r="A337">
            <v>1837</v>
          </cell>
          <cell r="B337" t="str">
            <v>SALEM</v>
          </cell>
          <cell r="C337" t="str">
            <v>SLAMA</v>
          </cell>
          <cell r="D337" t="str">
            <v>ATTIJARI BANK</v>
          </cell>
          <cell r="E337" t="str">
            <v>HAMMAM SOUSSE</v>
          </cell>
          <cell r="F337" t="str">
            <v>04014102404002044047</v>
          </cell>
        </row>
        <row r="338">
          <cell r="A338">
            <v>1839</v>
          </cell>
          <cell r="B338" t="str">
            <v>FERID</v>
          </cell>
          <cell r="C338" t="str">
            <v>TERZEGUE</v>
          </cell>
          <cell r="D338" t="str">
            <v>ATTIJARI BANK</v>
          </cell>
          <cell r="E338" t="str">
            <v>M'SAKEN</v>
          </cell>
          <cell r="F338" t="str">
            <v>04204067000953931383</v>
          </cell>
        </row>
        <row r="339">
          <cell r="A339">
            <v>1842</v>
          </cell>
          <cell r="B339" t="str">
            <v>SAMI</v>
          </cell>
          <cell r="C339" t="str">
            <v>SAKKA ROUIS</v>
          </cell>
          <cell r="D339" t="str">
            <v>BNA</v>
          </cell>
          <cell r="E339" t="str">
            <v>M'SAKEN</v>
          </cell>
          <cell r="F339" t="str">
            <v>03508056010100394535</v>
          </cell>
        </row>
        <row r="340">
          <cell r="A340">
            <v>1845</v>
          </cell>
          <cell r="B340" t="str">
            <v>SAMI</v>
          </cell>
          <cell r="C340" t="str">
            <v>JAIET</v>
          </cell>
          <cell r="D340" t="str">
            <v>BANQUE DE L'HABITAT</v>
          </cell>
          <cell r="E340" t="str">
            <v>SOUSSE</v>
          </cell>
          <cell r="F340" t="str">
            <v>14007007100708156769</v>
          </cell>
        </row>
        <row r="341">
          <cell r="A341">
            <v>1846</v>
          </cell>
          <cell r="B341" t="str">
            <v>SAMI</v>
          </cell>
          <cell r="C341" t="str">
            <v>ROMDHANI</v>
          </cell>
          <cell r="D341" t="str">
            <v>ATTIJARI BANK</v>
          </cell>
          <cell r="E341" t="str">
            <v>M'SAKEN</v>
          </cell>
          <cell r="F341" t="str">
            <v>04204067404001173850</v>
          </cell>
        </row>
        <row r="342">
          <cell r="A342">
            <v>1847</v>
          </cell>
          <cell r="B342" t="str">
            <v>HAITHEM</v>
          </cell>
          <cell r="C342" t="str">
            <v>GRAIET</v>
          </cell>
          <cell r="D342" t="str">
            <v>BANQUE ZITOUNA</v>
          </cell>
          <cell r="E342" t="str">
            <v>M'SAKEN</v>
          </cell>
          <cell r="F342" t="str">
            <v>25018000000009778251</v>
          </cell>
        </row>
        <row r="343">
          <cell r="A343">
            <v>1849</v>
          </cell>
          <cell r="B343" t="str">
            <v>MEHDI</v>
          </cell>
          <cell r="C343" t="str">
            <v>GANHOUBA</v>
          </cell>
          <cell r="D343" t="str">
            <v>BIAT</v>
          </cell>
          <cell r="E343" t="str">
            <v>M'SAKEN</v>
          </cell>
          <cell r="F343" t="str">
            <v>08507000262001640621</v>
          </cell>
        </row>
        <row r="344">
          <cell r="A344">
            <v>1851</v>
          </cell>
          <cell r="B344" t="str">
            <v>FAICAL</v>
          </cell>
          <cell r="C344" t="str">
            <v>ATTIA</v>
          </cell>
          <cell r="D344" t="str">
            <v>BANQUE DE TUNISIE</v>
          </cell>
          <cell r="E344" t="str">
            <v>M'SAKEN</v>
          </cell>
          <cell r="F344" t="str">
            <v>05048000116500060558</v>
          </cell>
        </row>
        <row r="345">
          <cell r="A345">
            <v>1855</v>
          </cell>
          <cell r="B345" t="str">
            <v>HICHEM</v>
          </cell>
          <cell r="C345" t="str">
            <v>SMIDA</v>
          </cell>
          <cell r="D345" t="str">
            <v>BANQUE ZITOUNA</v>
          </cell>
          <cell r="E345" t="str">
            <v>SOUSSE JAWHARA</v>
          </cell>
          <cell r="F345" t="str">
            <v>25018000000012069682</v>
          </cell>
        </row>
        <row r="346">
          <cell r="A346">
            <v>1856</v>
          </cell>
          <cell r="B346" t="str">
            <v>MOHD ALI</v>
          </cell>
          <cell r="C346" t="str">
            <v>ABDELLATIF</v>
          </cell>
          <cell r="D346" t="str">
            <v>UIB</v>
          </cell>
          <cell r="E346" t="str">
            <v>SOUSSE</v>
          </cell>
          <cell r="F346" t="str">
            <v>12015000000214839386</v>
          </cell>
        </row>
        <row r="347">
          <cell r="A347">
            <v>1857</v>
          </cell>
          <cell r="B347" t="str">
            <v>RAMZI</v>
          </cell>
          <cell r="C347" t="str">
            <v>NOUIRA BOUJEBHA</v>
          </cell>
          <cell r="D347" t="str">
            <v>ATTIJARI BANK</v>
          </cell>
          <cell r="E347" t="str">
            <v>MESSAADINE</v>
          </cell>
          <cell r="F347" t="str">
            <v>04128195002622969088</v>
          </cell>
        </row>
        <row r="348">
          <cell r="A348">
            <v>1860</v>
          </cell>
          <cell r="B348" t="str">
            <v>FREDJ</v>
          </cell>
          <cell r="C348" t="str">
            <v>KTAIEB</v>
          </cell>
          <cell r="D348" t="str">
            <v>STB</v>
          </cell>
          <cell r="E348" t="str">
            <v>MSAKEN</v>
          </cell>
          <cell r="F348" t="str">
            <v>10506040207635978842</v>
          </cell>
        </row>
        <row r="349">
          <cell r="A349">
            <v>1861</v>
          </cell>
          <cell r="B349" t="str">
            <v>ANIS B. MUSTAPHA</v>
          </cell>
          <cell r="C349" t="str">
            <v>BOUHLEL</v>
          </cell>
          <cell r="D349" t="str">
            <v>UIB</v>
          </cell>
          <cell r="E349" t="str">
            <v>M'SAKEN</v>
          </cell>
          <cell r="F349" t="str">
            <v>12505000580103222493</v>
          </cell>
        </row>
        <row r="350">
          <cell r="A350">
            <v>1864</v>
          </cell>
          <cell r="B350" t="str">
            <v>SAFOUENE</v>
          </cell>
          <cell r="C350" t="str">
            <v>BOUSOBINE</v>
          </cell>
          <cell r="D350" t="str">
            <v>STB</v>
          </cell>
          <cell r="E350" t="str">
            <v>M'SAKEN</v>
          </cell>
          <cell r="F350" t="str">
            <v>10506040206795878817</v>
          </cell>
        </row>
        <row r="351">
          <cell r="A351">
            <v>1866</v>
          </cell>
          <cell r="B351" t="str">
            <v>MOHAMED</v>
          </cell>
          <cell r="C351" t="str">
            <v>JEBALI</v>
          </cell>
          <cell r="D351" t="str">
            <v>TSB</v>
          </cell>
          <cell r="E351" t="str">
            <v>KSARHELEL</v>
          </cell>
          <cell r="F351" t="str">
            <v>21020020404000405512</v>
          </cell>
        </row>
        <row r="352">
          <cell r="A352">
            <v>1867</v>
          </cell>
          <cell r="B352" t="str">
            <v>LOTFI</v>
          </cell>
          <cell r="C352" t="str">
            <v>GUEZZAH</v>
          </cell>
          <cell r="D352" t="str">
            <v>ATTIJARI BANK</v>
          </cell>
          <cell r="E352" t="str">
            <v>M'SAKEN</v>
          </cell>
          <cell r="F352" t="str">
            <v>04204067001373985906</v>
          </cell>
        </row>
        <row r="353">
          <cell r="A353">
            <v>1868</v>
          </cell>
          <cell r="B353" t="str">
            <v>LAAROUSSI</v>
          </cell>
          <cell r="C353" t="str">
            <v>BEN HASSINE</v>
          </cell>
          <cell r="D353" t="str">
            <v>ATTIJARI BANK</v>
          </cell>
          <cell r="E353" t="str">
            <v>M'SAKEN</v>
          </cell>
          <cell r="F353" t="str">
            <v>04204067404001428669</v>
          </cell>
        </row>
        <row r="354">
          <cell r="A354">
            <v>1870</v>
          </cell>
          <cell r="B354" t="str">
            <v>BELGACEM</v>
          </cell>
          <cell r="C354" t="str">
            <v>MESSAOUD</v>
          </cell>
          <cell r="D354" t="str">
            <v>CCP</v>
          </cell>
          <cell r="E354" t="str">
            <v>M'SAKEN</v>
          </cell>
          <cell r="F354" t="str">
            <v>17503000000152905858</v>
          </cell>
        </row>
        <row r="355">
          <cell r="A355">
            <v>1871</v>
          </cell>
          <cell r="B355" t="str">
            <v>HICHEM</v>
          </cell>
          <cell r="C355" t="str">
            <v>LOGHMARI</v>
          </cell>
          <cell r="D355" t="str">
            <v>ATTIJARI BANK</v>
          </cell>
          <cell r="E355" t="str">
            <v>M'SAKEN</v>
          </cell>
          <cell r="F355" t="str">
            <v>04204067404001183744</v>
          </cell>
        </row>
        <row r="356">
          <cell r="A356">
            <v>1872</v>
          </cell>
          <cell r="B356" t="str">
            <v>BECHIR</v>
          </cell>
          <cell r="C356" t="str">
            <v>DAHAY CHATTI</v>
          </cell>
          <cell r="D356" t="str">
            <v>ATTIJARI BANK</v>
          </cell>
          <cell r="E356" t="str">
            <v>M'SAKEN</v>
          </cell>
          <cell r="F356" t="str">
            <v>04204067404001194414</v>
          </cell>
        </row>
        <row r="357">
          <cell r="A357">
            <v>1876</v>
          </cell>
          <cell r="B357" t="str">
            <v>SAMI</v>
          </cell>
          <cell r="C357" t="str">
            <v>LADHARI</v>
          </cell>
          <cell r="D357" t="str">
            <v>UIB</v>
          </cell>
          <cell r="E357" t="str">
            <v>M'SAKEN</v>
          </cell>
          <cell r="F357" t="str">
            <v>12505000580103818461</v>
          </cell>
        </row>
        <row r="358">
          <cell r="A358">
            <v>1877</v>
          </cell>
          <cell r="B358" t="str">
            <v>MAHER</v>
          </cell>
          <cell r="C358" t="str">
            <v>SOUSSI</v>
          </cell>
          <cell r="D358" t="str">
            <v>ATTIJARI BANK</v>
          </cell>
          <cell r="E358" t="str">
            <v>M'SAKEN</v>
          </cell>
          <cell r="F358" t="str">
            <v>04204067404002204087</v>
          </cell>
        </row>
        <row r="359">
          <cell r="A359">
            <v>1878</v>
          </cell>
          <cell r="B359" t="str">
            <v>MOHAMED ALI</v>
          </cell>
          <cell r="C359" t="str">
            <v>BOUHLEL</v>
          </cell>
          <cell r="D359" t="str">
            <v>BANQUE ZITOUNA</v>
          </cell>
          <cell r="E359" t="str">
            <v>MSAKEN</v>
          </cell>
          <cell r="F359" t="str">
            <v>25018000000024016590</v>
          </cell>
        </row>
        <row r="360">
          <cell r="A360">
            <v>1879</v>
          </cell>
          <cell r="B360" t="str">
            <v>HATEM</v>
          </cell>
          <cell r="C360" t="str">
            <v>KASRAOUI</v>
          </cell>
          <cell r="D360" t="str">
            <v>ATTIJARI BANK</v>
          </cell>
          <cell r="E360" t="str">
            <v>M'SAKEN</v>
          </cell>
          <cell r="F360" t="str">
            <v>04204067404001126611</v>
          </cell>
        </row>
        <row r="361">
          <cell r="A361">
            <v>1881</v>
          </cell>
          <cell r="B361" t="str">
            <v>BECHIR</v>
          </cell>
          <cell r="C361" t="str">
            <v>ARFAOUI</v>
          </cell>
          <cell r="D361" t="str">
            <v>UIB</v>
          </cell>
          <cell r="E361" t="str">
            <v>SOUSSE</v>
          </cell>
          <cell r="F361" t="str">
            <v>12015000960100861816</v>
          </cell>
        </row>
        <row r="362">
          <cell r="A362">
            <v>1882</v>
          </cell>
          <cell r="B362" t="str">
            <v>SOFIANE</v>
          </cell>
          <cell r="C362" t="str">
            <v>AMARA</v>
          </cell>
          <cell r="D362" t="str">
            <v>BNA</v>
          </cell>
          <cell r="E362" t="str">
            <v>M'SAKEN</v>
          </cell>
          <cell r="F362" t="str">
            <v>03508056010110008205</v>
          </cell>
        </row>
        <row r="363">
          <cell r="A363">
            <v>1883</v>
          </cell>
          <cell r="B363" t="str">
            <v>JAMEL</v>
          </cell>
          <cell r="C363" t="str">
            <v>SOYEH</v>
          </cell>
          <cell r="D363" t="str">
            <v>BIAT</v>
          </cell>
          <cell r="E363" t="str">
            <v>KALAA SEGHIRA</v>
          </cell>
          <cell r="F363" t="str">
            <v>08506000252003382641</v>
          </cell>
        </row>
        <row r="364">
          <cell r="A364">
            <v>1884</v>
          </cell>
          <cell r="B364" t="str">
            <v>HAYKEL</v>
          </cell>
          <cell r="C364" t="str">
            <v>BELKHIRIA</v>
          </cell>
          <cell r="D364" t="str">
            <v>BTK</v>
          </cell>
          <cell r="E364" t="str">
            <v>SOUSSE</v>
          </cell>
          <cell r="F364" t="str">
            <v>20009090001148364675</v>
          </cell>
        </row>
        <row r="365">
          <cell r="A365">
            <v>1887</v>
          </cell>
          <cell r="B365" t="str">
            <v>HATEM</v>
          </cell>
          <cell r="C365" t="str">
            <v>BEN SALAH</v>
          </cell>
          <cell r="D365" t="str">
            <v>ATTIJARI BANK</v>
          </cell>
          <cell r="E365" t="str">
            <v>M'SAKEN</v>
          </cell>
          <cell r="F365" t="str">
            <v>04204067404002177897</v>
          </cell>
        </row>
        <row r="366">
          <cell r="A366">
            <v>1896</v>
          </cell>
          <cell r="B366" t="str">
            <v>ABDELKADER</v>
          </cell>
          <cell r="C366" t="str">
            <v>LAAJIMI</v>
          </cell>
          <cell r="D366" t="str">
            <v>UIB</v>
          </cell>
          <cell r="E366" t="str">
            <v>SOUSSE CITE ERRIADH</v>
          </cell>
          <cell r="F366" t="str">
            <v>12033000000209881779</v>
          </cell>
        </row>
        <row r="367">
          <cell r="A367">
            <v>1897</v>
          </cell>
          <cell r="B367" t="str">
            <v>AMOR</v>
          </cell>
          <cell r="C367" t="str">
            <v>BOHLI</v>
          </cell>
          <cell r="D367" t="str">
            <v>BIAT</v>
          </cell>
          <cell r="E367" t="str">
            <v>MSAKEN</v>
          </cell>
          <cell r="F367" t="str">
            <v>08507000262004911849</v>
          </cell>
        </row>
        <row r="368">
          <cell r="A368">
            <v>1898</v>
          </cell>
          <cell r="B368" t="str">
            <v>BILEL</v>
          </cell>
          <cell r="C368" t="str">
            <v>BOUHLEL</v>
          </cell>
          <cell r="D368" t="str">
            <v>UIB</v>
          </cell>
          <cell r="E368" t="str">
            <v>M'SAKEN</v>
          </cell>
          <cell r="F368" t="str">
            <v>12505000580103396414</v>
          </cell>
        </row>
        <row r="369">
          <cell r="A369">
            <v>1900</v>
          </cell>
          <cell r="B369" t="str">
            <v>SALAH</v>
          </cell>
          <cell r="C369" t="str">
            <v>BOUAZZA</v>
          </cell>
          <cell r="D369" t="str">
            <v>STB</v>
          </cell>
          <cell r="E369" t="str">
            <v>M'SAKEN</v>
          </cell>
          <cell r="F369" t="str">
            <v>10506040207118978833</v>
          </cell>
        </row>
        <row r="370">
          <cell r="A370">
            <v>1901</v>
          </cell>
          <cell r="B370" t="str">
            <v>ZOUHEIR</v>
          </cell>
          <cell r="C370" t="str">
            <v>EL BACH</v>
          </cell>
          <cell r="D370" t="str">
            <v>STB</v>
          </cell>
          <cell r="E370" t="str">
            <v>M'SAKEN</v>
          </cell>
          <cell r="F370" t="str">
            <v>10506040207744978809</v>
          </cell>
        </row>
        <row r="371">
          <cell r="A371">
            <v>1902</v>
          </cell>
          <cell r="B371" t="str">
            <v>HATEM</v>
          </cell>
          <cell r="C371" t="str">
            <v>BEN ABDALLAH</v>
          </cell>
          <cell r="D371" t="str">
            <v>STB</v>
          </cell>
          <cell r="E371" t="str">
            <v>M'SAKEN</v>
          </cell>
          <cell r="F371" t="str">
            <v>10317123100981078885</v>
          </cell>
        </row>
        <row r="372">
          <cell r="A372">
            <v>1904</v>
          </cell>
          <cell r="B372" t="str">
            <v>LOTFI</v>
          </cell>
          <cell r="C372" t="str">
            <v>GLOULOU</v>
          </cell>
          <cell r="D372" t="str">
            <v>BIAT</v>
          </cell>
          <cell r="E372" t="str">
            <v>M'SAKEN</v>
          </cell>
          <cell r="F372" t="str">
            <v>08507000262006521079</v>
          </cell>
        </row>
        <row r="373">
          <cell r="A373">
            <v>1905</v>
          </cell>
          <cell r="B373" t="str">
            <v>MOHAMED</v>
          </cell>
          <cell r="C373" t="str">
            <v>LADHARI</v>
          </cell>
          <cell r="D373" t="str">
            <v>UIB</v>
          </cell>
          <cell r="E373" t="str">
            <v>M'SAKEN</v>
          </cell>
          <cell r="F373" t="str">
            <v>12505000000211321165</v>
          </cell>
        </row>
        <row r="374">
          <cell r="A374">
            <v>1906</v>
          </cell>
          <cell r="B374" t="str">
            <v>AHMED B.MAHMOUD</v>
          </cell>
          <cell r="C374" t="str">
            <v>BEN SALEM</v>
          </cell>
          <cell r="D374" t="str">
            <v>UIB</v>
          </cell>
          <cell r="E374" t="str">
            <v>M'SAKEN</v>
          </cell>
          <cell r="F374" t="str">
            <v>12505000000213947343</v>
          </cell>
        </row>
        <row r="375">
          <cell r="A375">
            <v>1907</v>
          </cell>
          <cell r="B375" t="str">
            <v>NEJMEDDINE</v>
          </cell>
          <cell r="C375" t="str">
            <v>MAMIA</v>
          </cell>
          <cell r="D375" t="str">
            <v>AL BARAKA</v>
          </cell>
          <cell r="E375" t="str">
            <v>M'SAKEN</v>
          </cell>
          <cell r="F375" t="str">
            <v>32026788101064025140</v>
          </cell>
        </row>
        <row r="376">
          <cell r="A376">
            <v>1908</v>
          </cell>
          <cell r="B376" t="str">
            <v>JAWHAR</v>
          </cell>
          <cell r="C376" t="str">
            <v>ZMERLI</v>
          </cell>
          <cell r="D376" t="str">
            <v>ATTIJARI BANK</v>
          </cell>
          <cell r="E376" t="str">
            <v>M'SAKEN</v>
          </cell>
          <cell r="F376" t="str">
            <v>04204067000535840334</v>
          </cell>
        </row>
        <row r="377">
          <cell r="A377">
            <v>1909</v>
          </cell>
          <cell r="B377" t="str">
            <v>ADLI</v>
          </cell>
          <cell r="C377" t="str">
            <v>BHIRI</v>
          </cell>
          <cell r="D377" t="str">
            <v>B.T</v>
          </cell>
          <cell r="E377" t="str">
            <v>M'SAKEN</v>
          </cell>
          <cell r="F377" t="str">
            <v>05048000116500152029</v>
          </cell>
        </row>
        <row r="378">
          <cell r="A378">
            <v>1910</v>
          </cell>
          <cell r="B378" t="str">
            <v>MEHDI</v>
          </cell>
          <cell r="C378" t="str">
            <v>YOUSFI</v>
          </cell>
          <cell r="D378" t="str">
            <v>BANQUE DE TUNISIE</v>
          </cell>
          <cell r="E378" t="str">
            <v>M'SAKEN</v>
          </cell>
          <cell r="F378" t="str">
            <v>05048000116500151253</v>
          </cell>
        </row>
        <row r="379">
          <cell r="A379">
            <v>1911</v>
          </cell>
          <cell r="B379" t="str">
            <v>KHELIL</v>
          </cell>
          <cell r="C379" t="str">
            <v>MEJRI</v>
          </cell>
          <cell r="D379" t="str">
            <v>BANQUE ZITOUNA</v>
          </cell>
          <cell r="E379" t="str">
            <v>M'SAKEN</v>
          </cell>
          <cell r="F379" t="str">
            <v>25066000000025239055</v>
          </cell>
        </row>
        <row r="380">
          <cell r="A380">
            <v>1913</v>
          </cell>
          <cell r="B380" t="str">
            <v>MOHAMED</v>
          </cell>
          <cell r="C380" t="str">
            <v>SRIDI</v>
          </cell>
          <cell r="D380" t="str">
            <v>BANQUE DE TUNISIE</v>
          </cell>
          <cell r="E380" t="str">
            <v>M'SAKEN</v>
          </cell>
          <cell r="F380" t="str">
            <v>05048000116500454669</v>
          </cell>
        </row>
        <row r="381">
          <cell r="A381">
            <v>1914</v>
          </cell>
          <cell r="B381" t="str">
            <v>LAMJED</v>
          </cell>
          <cell r="C381" t="str">
            <v>EL FKIH</v>
          </cell>
          <cell r="D381" t="str">
            <v>BNA</v>
          </cell>
          <cell r="E381" t="str">
            <v>M'SAKEN</v>
          </cell>
          <cell r="F381" t="str">
            <v>03508056010110189207</v>
          </cell>
        </row>
        <row r="382">
          <cell r="A382">
            <v>1915</v>
          </cell>
          <cell r="B382" t="str">
            <v>MOHD SALAH</v>
          </cell>
          <cell r="C382" t="str">
            <v>BEN ABDALLAH</v>
          </cell>
          <cell r="D382" t="str">
            <v>UIB</v>
          </cell>
          <cell r="E382" t="str">
            <v>M'SAKEN</v>
          </cell>
          <cell r="F382" t="str">
            <v>12505000000211619925</v>
          </cell>
        </row>
        <row r="383">
          <cell r="A383">
            <v>1916</v>
          </cell>
          <cell r="B383" t="str">
            <v>NEJI</v>
          </cell>
          <cell r="C383" t="str">
            <v>MANSOUR</v>
          </cell>
          <cell r="D383" t="str">
            <v>UIB</v>
          </cell>
          <cell r="E383" t="str">
            <v>M'SAKEN</v>
          </cell>
          <cell r="F383" t="str">
            <v>12505000000211620604</v>
          </cell>
        </row>
        <row r="384">
          <cell r="A384">
            <v>1917</v>
          </cell>
          <cell r="B384" t="str">
            <v>JAMEL</v>
          </cell>
          <cell r="C384" t="str">
            <v>HAMILA</v>
          </cell>
          <cell r="D384" t="str">
            <v>UIB</v>
          </cell>
          <cell r="E384" t="str">
            <v>M'SAKEN</v>
          </cell>
          <cell r="F384" t="str">
            <v>12505000000211620701</v>
          </cell>
        </row>
        <row r="385">
          <cell r="A385">
            <v>1918</v>
          </cell>
          <cell r="B385" t="str">
            <v>MOHD ALI</v>
          </cell>
          <cell r="C385" t="str">
            <v>BOURIGUA</v>
          </cell>
          <cell r="D385" t="str">
            <v>BIAT</v>
          </cell>
          <cell r="E385" t="str">
            <v>M'SAKEN</v>
          </cell>
          <cell r="F385" t="str">
            <v>08507000262003259260</v>
          </cell>
        </row>
        <row r="386">
          <cell r="A386">
            <v>1919</v>
          </cell>
          <cell r="B386" t="str">
            <v>MOHAMED</v>
          </cell>
          <cell r="C386" t="str">
            <v>SOUA LAYOUNI</v>
          </cell>
          <cell r="D386" t="str">
            <v>ATTIJARI BANK</v>
          </cell>
          <cell r="E386" t="str">
            <v>M'SAKEN</v>
          </cell>
          <cell r="F386" t="str">
            <v>04204067001486583603</v>
          </cell>
        </row>
        <row r="387">
          <cell r="A387">
            <v>1921</v>
          </cell>
          <cell r="B387" t="str">
            <v>SAHNOUN</v>
          </cell>
          <cell r="C387" t="str">
            <v>HNIA</v>
          </cell>
          <cell r="D387" t="str">
            <v>BANQUE DE L'HABITAT</v>
          </cell>
          <cell r="E387" t="str">
            <v>M'SAKEN</v>
          </cell>
          <cell r="F387" t="str">
            <v>14014014100703346262</v>
          </cell>
        </row>
        <row r="388">
          <cell r="A388">
            <v>1922</v>
          </cell>
          <cell r="B388" t="str">
            <v>FAKER</v>
          </cell>
          <cell r="C388" t="str">
            <v>MAHJOUB</v>
          </cell>
          <cell r="D388" t="str">
            <v>UIB</v>
          </cell>
          <cell r="E388" t="str">
            <v>M'SAKEN</v>
          </cell>
          <cell r="F388" t="str">
            <v>12505000000225277622</v>
          </cell>
        </row>
        <row r="389">
          <cell r="A389">
            <v>1923</v>
          </cell>
          <cell r="B389" t="str">
            <v>WALID</v>
          </cell>
          <cell r="C389" t="str">
            <v>BOUAZZA</v>
          </cell>
          <cell r="D389" t="str">
            <v>UIB</v>
          </cell>
          <cell r="E389" t="str">
            <v>MSAKEN 2</v>
          </cell>
          <cell r="F389" t="str">
            <v>12058000000224419790</v>
          </cell>
        </row>
        <row r="390">
          <cell r="A390">
            <v>1924</v>
          </cell>
          <cell r="B390" t="str">
            <v>WAHIBA</v>
          </cell>
          <cell r="C390" t="str">
            <v>BRAHIM</v>
          </cell>
          <cell r="D390" t="str">
            <v>BANQUE ZITOUNA</v>
          </cell>
          <cell r="E390" t="str">
            <v>M'SAKEN</v>
          </cell>
          <cell r="F390" t="str">
            <v>25018000000020569307</v>
          </cell>
        </row>
        <row r="391">
          <cell r="A391">
            <v>1925</v>
          </cell>
          <cell r="B391" t="str">
            <v>MOHAMED</v>
          </cell>
          <cell r="C391" t="str">
            <v>HACHICHA</v>
          </cell>
          <cell r="D391" t="str">
            <v>BTK</v>
          </cell>
          <cell r="E391" t="str">
            <v>SOUSSE</v>
          </cell>
          <cell r="F391" t="str">
            <v>20009092229994195077</v>
          </cell>
        </row>
        <row r="392">
          <cell r="A392">
            <v>1927</v>
          </cell>
          <cell r="B392" t="str">
            <v>AYMEN</v>
          </cell>
          <cell r="C392" t="str">
            <v>BEN HAMMOUDA</v>
          </cell>
          <cell r="D392" t="str">
            <v>B.T.E</v>
          </cell>
          <cell r="E392" t="str">
            <v>MSAKEN</v>
          </cell>
          <cell r="F392" t="str">
            <v>24010036033251110129</v>
          </cell>
        </row>
        <row r="393">
          <cell r="A393">
            <v>1928</v>
          </cell>
          <cell r="B393" t="str">
            <v>JAMEL</v>
          </cell>
          <cell r="C393" t="str">
            <v>ZAGGAR</v>
          </cell>
          <cell r="D393" t="str">
            <v>UBCI</v>
          </cell>
          <cell r="E393" t="str">
            <v>MSAKEN</v>
          </cell>
          <cell r="F393" t="str">
            <v>11020002270500878896</v>
          </cell>
        </row>
        <row r="394">
          <cell r="A394">
            <v>1929</v>
          </cell>
          <cell r="B394" t="str">
            <v>HAMDI</v>
          </cell>
          <cell r="C394" t="str">
            <v>DAHMANI</v>
          </cell>
          <cell r="D394" t="str">
            <v>BIAT</v>
          </cell>
          <cell r="E394" t="str">
            <v>MSAKEN</v>
          </cell>
          <cell r="F394" t="str">
            <v>08507000262004279215</v>
          </cell>
        </row>
        <row r="395">
          <cell r="A395">
            <v>1930</v>
          </cell>
          <cell r="B395" t="str">
            <v>AHMED</v>
          </cell>
          <cell r="C395" t="str">
            <v>EL HAMDI</v>
          </cell>
          <cell r="D395" t="str">
            <v>CCP</v>
          </cell>
          <cell r="E395" t="str">
            <v>MSAKEN</v>
          </cell>
          <cell r="F395" t="str">
            <v>17503000000169340665</v>
          </cell>
        </row>
        <row r="396">
          <cell r="A396">
            <v>1931</v>
          </cell>
          <cell r="B396" t="str">
            <v>HAMDI</v>
          </cell>
          <cell r="C396" t="str">
            <v>BADROUCH</v>
          </cell>
          <cell r="D396" t="str">
            <v>BANQUE DE TUNISIE</v>
          </cell>
          <cell r="E396" t="str">
            <v>MSAKEN</v>
          </cell>
          <cell r="F396" t="str">
            <v>05048000116500464369</v>
          </cell>
        </row>
        <row r="397">
          <cell r="A397">
            <v>1932</v>
          </cell>
          <cell r="B397" t="str">
            <v>FETHI</v>
          </cell>
          <cell r="C397" t="str">
            <v>BEN SALAH</v>
          </cell>
          <cell r="D397" t="str">
            <v>ATTIJARI BANK</v>
          </cell>
          <cell r="E397" t="str">
            <v>MSAKEN</v>
          </cell>
          <cell r="F397" t="str">
            <v>04204067001779317575</v>
          </cell>
        </row>
        <row r="398">
          <cell r="A398">
            <v>1933</v>
          </cell>
          <cell r="B398" t="str">
            <v>FAOUZI</v>
          </cell>
          <cell r="C398" t="str">
            <v>ZID</v>
          </cell>
          <cell r="D398" t="str">
            <v>ATTIJARI BANK</v>
          </cell>
          <cell r="E398" t="str">
            <v>MSAKEN</v>
          </cell>
          <cell r="F398" t="str">
            <v>04204067001769069428</v>
          </cell>
        </row>
        <row r="399">
          <cell r="A399">
            <v>1936</v>
          </cell>
          <cell r="B399" t="str">
            <v>KHALED</v>
          </cell>
          <cell r="C399" t="str">
            <v>JLASSI</v>
          </cell>
          <cell r="D399" t="str">
            <v>BIAT</v>
          </cell>
          <cell r="E399" t="str">
            <v>SOUSSE SAHLOUL</v>
          </cell>
          <cell r="F399" t="str">
            <v>08050020052001121701</v>
          </cell>
        </row>
        <row r="400">
          <cell r="A400">
            <v>1937</v>
          </cell>
          <cell r="B400" t="str">
            <v>MAROUAN</v>
          </cell>
          <cell r="C400" t="str">
            <v>BADROUCH</v>
          </cell>
          <cell r="D400" t="str">
            <v>ATTIJARI BANK</v>
          </cell>
          <cell r="E400" t="str">
            <v>MSAKEN</v>
          </cell>
          <cell r="F400" t="str">
            <v>04204067001779012219</v>
          </cell>
        </row>
        <row r="401">
          <cell r="A401">
            <v>1938</v>
          </cell>
          <cell r="B401" t="str">
            <v>SOFIENE</v>
          </cell>
          <cell r="C401" t="str">
            <v>NEFFATI</v>
          </cell>
          <cell r="D401" t="str">
            <v>B.T.E</v>
          </cell>
          <cell r="E401" t="str">
            <v>MSAKEN</v>
          </cell>
          <cell r="F401" t="str">
            <v>24010028020251110195</v>
          </cell>
        </row>
        <row r="402">
          <cell r="A402">
            <v>1939</v>
          </cell>
          <cell r="B402" t="str">
            <v>DRISS</v>
          </cell>
          <cell r="C402" t="str">
            <v>EL YAZIDI</v>
          </cell>
          <cell r="D402" t="str">
            <v>B.T.E</v>
          </cell>
          <cell r="E402" t="str">
            <v>MSAKEN</v>
          </cell>
          <cell r="F402" t="str">
            <v>24010030238251110152</v>
          </cell>
        </row>
        <row r="403">
          <cell r="A403">
            <v>1953</v>
          </cell>
          <cell r="B403" t="str">
            <v>SAMI</v>
          </cell>
          <cell r="C403" t="str">
            <v>SGHAIER</v>
          </cell>
          <cell r="D403" t="str">
            <v>UIB</v>
          </cell>
          <cell r="E403" t="str">
            <v>SAHLOUL</v>
          </cell>
          <cell r="F403" t="str">
            <v>12024000000204645251</v>
          </cell>
        </row>
        <row r="404">
          <cell r="A404">
            <v>1954</v>
          </cell>
          <cell r="B404" t="str">
            <v>NADER</v>
          </cell>
          <cell r="C404" t="str">
            <v>REGAIEG</v>
          </cell>
          <cell r="D404" t="str">
            <v>UIB</v>
          </cell>
          <cell r="E404" t="str">
            <v>MSAKEN</v>
          </cell>
          <cell r="F404" t="str">
            <v>12064000000226234584</v>
          </cell>
        </row>
        <row r="405">
          <cell r="A405">
            <v>1955</v>
          </cell>
          <cell r="B405" t="str">
            <v>HAMMOUDA</v>
          </cell>
          <cell r="C405" t="str">
            <v>OMRANE</v>
          </cell>
          <cell r="D405" t="str">
            <v>BIAT</v>
          </cell>
          <cell r="E405" t="str">
            <v>MSAKEN</v>
          </cell>
          <cell r="F405" t="str">
            <v>08507000262006891037</v>
          </cell>
        </row>
        <row r="406">
          <cell r="A406">
            <v>1956</v>
          </cell>
          <cell r="B406" t="str">
            <v>NEJI</v>
          </cell>
          <cell r="C406" t="str">
            <v>BEN AOUANA</v>
          </cell>
          <cell r="D406" t="str">
            <v>UIB</v>
          </cell>
          <cell r="E406" t="str">
            <v>MSAKEN</v>
          </cell>
          <cell r="F406" t="str">
            <v>12505000013301860426</v>
          </cell>
        </row>
        <row r="407">
          <cell r="A407">
            <v>1957</v>
          </cell>
          <cell r="B407" t="str">
            <v>AHMED</v>
          </cell>
          <cell r="C407" t="str">
            <v>ZID</v>
          </cell>
          <cell r="D407" t="str">
            <v>CCP</v>
          </cell>
          <cell r="E407" t="str">
            <v>SIDI ELHANI</v>
          </cell>
          <cell r="F407" t="str">
            <v>17503000000123973280</v>
          </cell>
        </row>
        <row r="408">
          <cell r="A408">
            <v>1958</v>
          </cell>
          <cell r="B408" t="str">
            <v>TAIEB</v>
          </cell>
          <cell r="C408" t="str">
            <v>EL AMRI</v>
          </cell>
          <cell r="D408" t="str">
            <v>CCP</v>
          </cell>
          <cell r="E408" t="str">
            <v>SIDI ELHANI</v>
          </cell>
          <cell r="F408" t="str">
            <v>17503000000113038373</v>
          </cell>
        </row>
        <row r="409">
          <cell r="A409">
            <v>1961</v>
          </cell>
          <cell r="B409" t="str">
            <v>ANIS</v>
          </cell>
          <cell r="C409" t="str">
            <v>HADFI</v>
          </cell>
          <cell r="D409" t="str">
            <v>BANQUE DE TUNISIE</v>
          </cell>
          <cell r="E409" t="str">
            <v>MSAKEN</v>
          </cell>
          <cell r="F409" t="str">
            <v>05048000116500460004</v>
          </cell>
        </row>
        <row r="410">
          <cell r="A410">
            <v>1962</v>
          </cell>
          <cell r="B410" t="str">
            <v>ELYES</v>
          </cell>
          <cell r="C410" t="str">
            <v>HADDAJI</v>
          </cell>
          <cell r="D410" t="str">
            <v>CCP</v>
          </cell>
          <cell r="E410" t="str">
            <v>SIDI ELHANI</v>
          </cell>
          <cell r="F410" t="str">
            <v>17503000000148530867</v>
          </cell>
        </row>
        <row r="411">
          <cell r="A411">
            <v>1969</v>
          </cell>
          <cell r="B411" t="str">
            <v>MEHREZ</v>
          </cell>
          <cell r="C411" t="str">
            <v>BOUKADIDA</v>
          </cell>
          <cell r="D411" t="str">
            <v>CCP</v>
          </cell>
          <cell r="E411" t="str">
            <v/>
          </cell>
          <cell r="F411" t="str">
            <v>17503000000153658287</v>
          </cell>
        </row>
        <row r="412">
          <cell r="A412">
            <v>1973</v>
          </cell>
          <cell r="B412" t="str">
            <v>AMIRA</v>
          </cell>
          <cell r="C412" t="str">
            <v>EL ABED</v>
          </cell>
          <cell r="D412" t="str">
            <v>BIAT</v>
          </cell>
          <cell r="E412" t="str">
            <v>M'SAKEN</v>
          </cell>
          <cell r="F412" t="str">
            <v>08507000262003635038</v>
          </cell>
        </row>
        <row r="413">
          <cell r="A413">
            <v>1974</v>
          </cell>
          <cell r="B413" t="str">
            <v>MONDHER</v>
          </cell>
          <cell r="C413" t="str">
            <v>GUELLIM</v>
          </cell>
          <cell r="D413" t="str">
            <v>BANQUE ZITOUNA</v>
          </cell>
          <cell r="E413" t="str">
            <v>M'SAKEN</v>
          </cell>
          <cell r="F413" t="str">
            <v>25018000000014103772</v>
          </cell>
        </row>
        <row r="414">
          <cell r="A414">
            <v>1975</v>
          </cell>
          <cell r="B414" t="str">
            <v>HAMDI</v>
          </cell>
          <cell r="C414" t="str">
            <v>GORCHENE</v>
          </cell>
          <cell r="D414" t="str">
            <v>BANQUE ZITOUNA</v>
          </cell>
          <cell r="E414" t="str">
            <v>M SAKEN</v>
          </cell>
          <cell r="F414" t="str">
            <v>25018000000007370614</v>
          </cell>
        </row>
        <row r="415">
          <cell r="A415">
            <v>1978</v>
          </cell>
          <cell r="B415" t="str">
            <v>AHMED</v>
          </cell>
          <cell r="C415" t="str">
            <v>MAHJOUB</v>
          </cell>
          <cell r="D415" t="str">
            <v>ATB</v>
          </cell>
          <cell r="E415" t="str">
            <v>M'SAKEN</v>
          </cell>
          <cell r="F415" t="str">
            <v>01018058111001166030</v>
          </cell>
        </row>
        <row r="416">
          <cell r="A416">
            <v>1979</v>
          </cell>
          <cell r="B416" t="str">
            <v>MOHAMED SAHBI</v>
          </cell>
          <cell r="C416" t="str">
            <v>LANDOLSI</v>
          </cell>
          <cell r="D416" t="str">
            <v>B.T.E</v>
          </cell>
          <cell r="E416" t="str">
            <v>MSAKEN</v>
          </cell>
          <cell r="F416" t="str">
            <v>24010026346251110172</v>
          </cell>
        </row>
        <row r="417">
          <cell r="A417">
            <v>1980</v>
          </cell>
          <cell r="B417" t="str">
            <v>YOUSSEF</v>
          </cell>
          <cell r="C417" t="str">
            <v>MLAYAH</v>
          </cell>
          <cell r="D417" t="str">
            <v>BNA</v>
          </cell>
          <cell r="E417" t="str">
            <v>M'SAKEN</v>
          </cell>
          <cell r="F417" t="str">
            <v>03508056010110188722</v>
          </cell>
        </row>
        <row r="418">
          <cell r="A418">
            <v>1981</v>
          </cell>
          <cell r="B418" t="str">
            <v>MAROUAN</v>
          </cell>
          <cell r="C418" t="str">
            <v>GAALOUL</v>
          </cell>
          <cell r="D418" t="str">
            <v>UIB</v>
          </cell>
          <cell r="E418" t="str">
            <v>M'SAKEN</v>
          </cell>
          <cell r="F418" t="str">
            <v>12064000000234476868</v>
          </cell>
        </row>
        <row r="419">
          <cell r="A419">
            <v>1983</v>
          </cell>
          <cell r="B419" t="str">
            <v>SLAHEDDINE</v>
          </cell>
          <cell r="C419" t="str">
            <v>GOUIDER</v>
          </cell>
          <cell r="D419" t="str">
            <v>BANQUE DE L'HABITAT</v>
          </cell>
          <cell r="E419" t="str">
            <v>M'SAKEN</v>
          </cell>
          <cell r="F419" t="str">
            <v>14014014100703343934</v>
          </cell>
        </row>
        <row r="420">
          <cell r="A420">
            <v>1984</v>
          </cell>
          <cell r="B420" t="str">
            <v>AHMED AMINE</v>
          </cell>
          <cell r="C420" t="str">
            <v>SASSI</v>
          </cell>
          <cell r="D420" t="str">
            <v>BIAT</v>
          </cell>
          <cell r="E420" t="str">
            <v>M'SAKEN</v>
          </cell>
          <cell r="F420" t="str">
            <v>08507000262003914786</v>
          </cell>
        </row>
        <row r="421">
          <cell r="A421">
            <v>1985</v>
          </cell>
          <cell r="B421" t="str">
            <v>HAMZA</v>
          </cell>
          <cell r="C421" t="str">
            <v>TOUNSI MAHJOUB</v>
          </cell>
          <cell r="D421" t="str">
            <v>BANQUE DE L'HABITAT</v>
          </cell>
          <cell r="E421" t="str">
            <v>M'SAKEN</v>
          </cell>
          <cell r="F421" t="str">
            <v>14014014100703345874</v>
          </cell>
        </row>
        <row r="422">
          <cell r="A422">
            <v>1987</v>
          </cell>
          <cell r="B422" t="str">
            <v>SAIFEDDINE</v>
          </cell>
          <cell r="C422" t="str">
            <v>BAYA</v>
          </cell>
          <cell r="D422" t="str">
            <v>B.T.E</v>
          </cell>
          <cell r="E422" t="str">
            <v>M'SAKEN</v>
          </cell>
          <cell r="F422" t="str">
            <v>24010029745251110133</v>
          </cell>
        </row>
        <row r="423">
          <cell r="A423">
            <v>1989</v>
          </cell>
          <cell r="B423" t="str">
            <v>MOHAMED</v>
          </cell>
          <cell r="C423" t="str">
            <v>MZOUGHI</v>
          </cell>
          <cell r="D423" t="str">
            <v>BIAT</v>
          </cell>
          <cell r="E423" t="str">
            <v>MSAKEN</v>
          </cell>
          <cell r="F423" t="str">
            <v>08507000262004027791</v>
          </cell>
        </row>
        <row r="424">
          <cell r="A424">
            <v>1990</v>
          </cell>
          <cell r="B424" t="str">
            <v>ZIED</v>
          </cell>
          <cell r="C424" t="str">
            <v>HEDHILI</v>
          </cell>
          <cell r="D424" t="str">
            <v>ATTIJARI BANK</v>
          </cell>
          <cell r="E424" t="str">
            <v>MSAKEN</v>
          </cell>
          <cell r="F424" t="str">
            <v>04204067001764950032</v>
          </cell>
        </row>
        <row r="425">
          <cell r="A425">
            <v>1991</v>
          </cell>
          <cell r="B425" t="str">
            <v>RABII</v>
          </cell>
          <cell r="C425" t="str">
            <v>BALTI</v>
          </cell>
          <cell r="D425" t="str">
            <v>BANQUE DE L'HABITAT</v>
          </cell>
          <cell r="E425" t="str">
            <v>SOUSSE ERRIADH</v>
          </cell>
          <cell r="F425" t="str">
            <v>14014014100701923175</v>
          </cell>
        </row>
        <row r="426">
          <cell r="A426">
            <v>1992</v>
          </cell>
          <cell r="B426" t="str">
            <v>WALID</v>
          </cell>
          <cell r="C426" t="str">
            <v>EL ABED</v>
          </cell>
          <cell r="D426" t="str">
            <v>UIB</v>
          </cell>
          <cell r="E426" t="str">
            <v>M'SAKEN</v>
          </cell>
          <cell r="F426" t="str">
            <v>12505000000215223766</v>
          </cell>
        </row>
        <row r="427">
          <cell r="A427">
            <v>1993</v>
          </cell>
          <cell r="B427" t="str">
            <v>MEHDI</v>
          </cell>
          <cell r="C427" t="str">
            <v>OUNI</v>
          </cell>
          <cell r="D427" t="str">
            <v>ATTIJARI BANK</v>
          </cell>
          <cell r="E427" t="str">
            <v>SOUSSE</v>
          </cell>
          <cell r="F427" t="str">
            <v>04500043002065485137</v>
          </cell>
        </row>
        <row r="428">
          <cell r="A428">
            <v>1995</v>
          </cell>
          <cell r="B428" t="str">
            <v>HAMDA NACEUR</v>
          </cell>
          <cell r="C428" t="str">
            <v>ACHECHE</v>
          </cell>
          <cell r="D428" t="str">
            <v>UBCI</v>
          </cell>
          <cell r="E428" t="str">
            <v>MSAKEN</v>
          </cell>
          <cell r="F428" t="str">
            <v>11020002280500878847</v>
          </cell>
        </row>
        <row r="429">
          <cell r="A429">
            <v>2004</v>
          </cell>
          <cell r="B429" t="str">
            <v>LOTFI</v>
          </cell>
          <cell r="C429" t="str">
            <v>LAAJILI</v>
          </cell>
          <cell r="D429" t="str">
            <v>STB</v>
          </cell>
          <cell r="E429" t="str">
            <v>M'SAKEN</v>
          </cell>
          <cell r="F429" t="str">
            <v>10506040507756578830</v>
          </cell>
        </row>
        <row r="430">
          <cell r="A430">
            <v>2005</v>
          </cell>
          <cell r="B430" t="str">
            <v>FEHMI</v>
          </cell>
          <cell r="C430" t="str">
            <v>ESSAFI</v>
          </cell>
          <cell r="D430" t="str">
            <v>UIB</v>
          </cell>
          <cell r="E430" t="str">
            <v>MSAKEN</v>
          </cell>
          <cell r="F430" t="str">
            <v>12505000000221937039</v>
          </cell>
        </row>
        <row r="431">
          <cell r="A431">
            <v>2008</v>
          </cell>
          <cell r="B431" t="str">
            <v>ANIS</v>
          </cell>
          <cell r="C431" t="str">
            <v>HAFSIA</v>
          </cell>
          <cell r="D431" t="str">
            <v>UIB</v>
          </cell>
          <cell r="E431" t="str">
            <v>MSAKEN 2</v>
          </cell>
          <cell r="F431" t="str">
            <v>12058000000222041641</v>
          </cell>
        </row>
        <row r="432">
          <cell r="A432">
            <v>2009</v>
          </cell>
          <cell r="B432" t="str">
            <v>MAHAMED AMINE</v>
          </cell>
          <cell r="C432" t="str">
            <v>BEN SAAD</v>
          </cell>
          <cell r="D432" t="str">
            <v>UIB</v>
          </cell>
          <cell r="E432" t="str">
            <v>MSAKEN</v>
          </cell>
          <cell r="F432" t="str">
            <v>12505000013304954435</v>
          </cell>
        </row>
        <row r="433">
          <cell r="A433">
            <v>2010</v>
          </cell>
          <cell r="B433" t="str">
            <v>HOUCEM</v>
          </cell>
          <cell r="C433" t="str">
            <v>BEN ABDELJELIL</v>
          </cell>
          <cell r="D433" t="str">
            <v>BIAT</v>
          </cell>
          <cell r="E433" t="str">
            <v>MSAKEN</v>
          </cell>
          <cell r="F433" t="str">
            <v>08507000264004322118</v>
          </cell>
        </row>
        <row r="434">
          <cell r="A434">
            <v>2011</v>
          </cell>
          <cell r="B434" t="str">
            <v>MAROUANE</v>
          </cell>
          <cell r="C434" t="str">
            <v>BERRIRI</v>
          </cell>
          <cell r="D434" t="str">
            <v>UIB</v>
          </cell>
          <cell r="E434" t="str">
            <v>MSAKEN 2</v>
          </cell>
          <cell r="F434" t="str">
            <v>12058000000219478804</v>
          </cell>
        </row>
        <row r="435">
          <cell r="A435">
            <v>2013</v>
          </cell>
          <cell r="B435" t="str">
            <v>MOHAMED ALI</v>
          </cell>
          <cell r="C435" t="str">
            <v>BEL HADJ ALI</v>
          </cell>
          <cell r="D435" t="str">
            <v>BIAT</v>
          </cell>
          <cell r="E435" t="str">
            <v>M'SAKEN</v>
          </cell>
          <cell r="F435" t="str">
            <v>08507000262005174040</v>
          </cell>
        </row>
        <row r="436">
          <cell r="A436">
            <v>2014</v>
          </cell>
          <cell r="B436" t="str">
            <v>MAHDI</v>
          </cell>
          <cell r="C436" t="str">
            <v>JARRAR</v>
          </cell>
          <cell r="D436" t="str">
            <v>BTE</v>
          </cell>
          <cell r="E436" t="str">
            <v>M'SAKEN</v>
          </cell>
          <cell r="F436" t="str">
            <v>24010064971251110108</v>
          </cell>
        </row>
        <row r="437">
          <cell r="A437">
            <v>2017</v>
          </cell>
          <cell r="B437" t="str">
            <v>ALI</v>
          </cell>
          <cell r="C437" t="str">
            <v>LAHDHIRI</v>
          </cell>
          <cell r="D437" t="str">
            <v>ATTIJARI BANK</v>
          </cell>
          <cell r="E437" t="str">
            <v>M'SAKEN</v>
          </cell>
          <cell r="F437" t="str">
            <v>04204067003453458617</v>
          </cell>
        </row>
        <row r="438">
          <cell r="A438">
            <v>2022</v>
          </cell>
          <cell r="B438" t="str">
            <v>YOUSSEF</v>
          </cell>
          <cell r="C438" t="str">
            <v>BOUHLEL</v>
          </cell>
          <cell r="D438" t="str">
            <v>BIAT</v>
          </cell>
          <cell r="E438" t="str">
            <v>MSAKEN</v>
          </cell>
          <cell r="F438" t="str">
            <v>08507000264004969690</v>
          </cell>
        </row>
        <row r="439">
          <cell r="A439">
            <v>2024</v>
          </cell>
          <cell r="B439" t="str">
            <v>MOHAMED</v>
          </cell>
          <cell r="C439" t="str">
            <v>GUEZGUEZ</v>
          </cell>
          <cell r="D439" t="str">
            <v>STB</v>
          </cell>
          <cell r="E439" t="str">
            <v>MSAKEN</v>
          </cell>
          <cell r="F439" t="str">
            <v>10506040207888078835</v>
          </cell>
        </row>
        <row r="440">
          <cell r="A440">
            <v>2025</v>
          </cell>
          <cell r="B440" t="str">
            <v>MOHAMED RAMZI</v>
          </cell>
          <cell r="C440" t="str">
            <v>MAHJOUB</v>
          </cell>
          <cell r="D440" t="str">
            <v>UIB</v>
          </cell>
          <cell r="E440" t="str">
            <v>MSAKEN 2</v>
          </cell>
          <cell r="F440" t="str">
            <v>12058000000224698277</v>
          </cell>
        </row>
        <row r="441">
          <cell r="A441">
            <v>2027</v>
          </cell>
          <cell r="B441" t="str">
            <v>ABDELLATIF</v>
          </cell>
          <cell r="C441" t="str">
            <v>KHELIFA</v>
          </cell>
          <cell r="D441" t="str">
            <v>AMEN BANK</v>
          </cell>
          <cell r="E441" t="str">
            <v>MSAKEN</v>
          </cell>
          <cell r="F441" t="str">
            <v>07408005310559836767</v>
          </cell>
        </row>
        <row r="442">
          <cell r="A442">
            <v>2032</v>
          </cell>
          <cell r="B442" t="str">
            <v>ABDELKERIM</v>
          </cell>
          <cell r="C442" t="str">
            <v>ELOUNI</v>
          </cell>
          <cell r="D442" t="str">
            <v>AMEN BANK</v>
          </cell>
          <cell r="E442" t="str">
            <v>MSAKEN</v>
          </cell>
          <cell r="F442" t="str">
            <v>07408005310559917762</v>
          </cell>
        </row>
        <row r="443">
          <cell r="A443">
            <v>2038</v>
          </cell>
          <cell r="B443" t="str">
            <v>MOHAMED</v>
          </cell>
          <cell r="C443" t="str">
            <v>ZID</v>
          </cell>
          <cell r="D443" t="str">
            <v>BIAT</v>
          </cell>
          <cell r="E443" t="str">
            <v>HAMMAM SOUSSE</v>
          </cell>
          <cell r="F443" t="str">
            <v>08905000092005403052</v>
          </cell>
        </row>
        <row r="444">
          <cell r="A444">
            <v>2040</v>
          </cell>
          <cell r="B444" t="str">
            <v>YOUSSEF</v>
          </cell>
          <cell r="C444" t="str">
            <v>GHEZAL</v>
          </cell>
          <cell r="D444" t="str">
            <v>BIAT</v>
          </cell>
          <cell r="E444" t="str">
            <v>MSAKEN</v>
          </cell>
          <cell r="F444" t="str">
            <v>08507000262006017067</v>
          </cell>
        </row>
        <row r="445">
          <cell r="A445">
            <v>2048</v>
          </cell>
          <cell r="B445" t="str">
            <v>NOUREDDINE</v>
          </cell>
          <cell r="C445" t="str">
            <v>BEL HADJ FREDJ</v>
          </cell>
          <cell r="D445" t="str">
            <v>Attijari bank</v>
          </cell>
          <cell r="E445" t="str">
            <v>MSAKEN</v>
          </cell>
          <cell r="F445" t="str">
            <v>04204067003916957888</v>
          </cell>
        </row>
        <row r="446">
          <cell r="A446">
            <v>2049</v>
          </cell>
          <cell r="B446" t="str">
            <v>DRIS</v>
          </cell>
          <cell r="C446" t="str">
            <v>BHIRI</v>
          </cell>
          <cell r="D446" t="str">
            <v>BANQUE DE L'HABITAT</v>
          </cell>
          <cell r="E446" t="str">
            <v>MSAKEN</v>
          </cell>
          <cell r="F446" t="str">
            <v>14014014100704142147</v>
          </cell>
        </row>
        <row r="447">
          <cell r="A447">
            <v>2050</v>
          </cell>
          <cell r="B447" t="str">
            <v>WISSEM</v>
          </cell>
          <cell r="C447" t="str">
            <v>ATTIA</v>
          </cell>
          <cell r="D447" t="str">
            <v>BIAT</v>
          </cell>
          <cell r="E447" t="str">
            <v>MSAKEN</v>
          </cell>
          <cell r="F447" t="str">
            <v>08507000262004886338</v>
          </cell>
        </row>
        <row r="448">
          <cell r="A448">
            <v>2051</v>
          </cell>
          <cell r="B448" t="str">
            <v>ANIS</v>
          </cell>
          <cell r="C448" t="str">
            <v>SLIMEN</v>
          </cell>
          <cell r="D448" t="str">
            <v>AMEN BANK</v>
          </cell>
          <cell r="E448" t="str">
            <v>MSAKEN</v>
          </cell>
          <cell r="F448" t="str">
            <v>07408005310559870911</v>
          </cell>
        </row>
        <row r="449">
          <cell r="A449">
            <v>2052</v>
          </cell>
          <cell r="B449" t="str">
            <v>MOHAMED</v>
          </cell>
          <cell r="C449" t="str">
            <v>BEN RAJEH</v>
          </cell>
          <cell r="D449" t="str">
            <v>WIFAK BANK</v>
          </cell>
          <cell r="E449" t="str">
            <v>MSAKEN</v>
          </cell>
          <cell r="F449" t="str">
            <v>47013000000006569601</v>
          </cell>
        </row>
        <row r="450">
          <cell r="A450">
            <v>2053</v>
          </cell>
          <cell r="B450" t="str">
            <v>YASSINE</v>
          </cell>
          <cell r="C450" t="str">
            <v>SAID</v>
          </cell>
          <cell r="D450" t="str">
            <v>BANQUE DE L'HABITA</v>
          </cell>
          <cell r="E450" t="str">
            <v>HAMMEM SOUSSE</v>
          </cell>
          <cell r="F450" t="str">
            <v>14802802100707291179</v>
          </cell>
        </row>
        <row r="451">
          <cell r="A451">
            <v>2054</v>
          </cell>
          <cell r="B451" t="str">
            <v>HESSINE</v>
          </cell>
          <cell r="C451" t="str">
            <v>BAYA</v>
          </cell>
          <cell r="D451" t="str">
            <v>ATB</v>
          </cell>
          <cell r="E451" t="str">
            <v>Msaken</v>
          </cell>
          <cell r="F451" t="str">
            <v>01018058111022445405</v>
          </cell>
        </row>
        <row r="452">
          <cell r="A452">
            <v>2055</v>
          </cell>
          <cell r="B452" t="str">
            <v>AHMED</v>
          </cell>
          <cell r="C452" t="str">
            <v>BEN YAHIA</v>
          </cell>
          <cell r="D452" t="str">
            <v>UIB</v>
          </cell>
          <cell r="E452" t="str">
            <v>MSAKEN</v>
          </cell>
          <cell r="F452" t="str">
            <v>12505000000227091231</v>
          </cell>
        </row>
        <row r="453">
          <cell r="A453">
            <v>2058</v>
          </cell>
          <cell r="B453" t="str">
            <v>HICHEM</v>
          </cell>
          <cell r="C453" t="str">
            <v>GUEZGUEZ</v>
          </cell>
          <cell r="D453" t="str">
            <v>ATTIJARI BANK</v>
          </cell>
          <cell r="E453" t="str">
            <v>MSAKEN</v>
          </cell>
          <cell r="F453" t="str">
            <v>04204067003091333949</v>
          </cell>
        </row>
        <row r="454">
          <cell r="A454">
            <v>2059</v>
          </cell>
          <cell r="B454" t="str">
            <v>KACEM</v>
          </cell>
          <cell r="C454" t="str">
            <v>LAHDHIRI</v>
          </cell>
          <cell r="D454" t="str">
            <v>UIB</v>
          </cell>
          <cell r="E454" t="str">
            <v>MSAKEN</v>
          </cell>
          <cell r="F454" t="str">
            <v>12058000013307118056</v>
          </cell>
        </row>
        <row r="455">
          <cell r="A455">
            <v>2061</v>
          </cell>
          <cell r="B455" t="str">
            <v>YASSINE</v>
          </cell>
          <cell r="C455" t="str">
            <v>KECHICHE</v>
          </cell>
          <cell r="D455" t="str">
            <v>BIAT</v>
          </cell>
          <cell r="E455" t="str">
            <v>MSAKEN</v>
          </cell>
          <cell r="F455" t="str">
            <v>08507000262005111281</v>
          </cell>
        </row>
        <row r="456">
          <cell r="A456">
            <v>2063</v>
          </cell>
          <cell r="B456" t="str">
            <v>ADNEN</v>
          </cell>
          <cell r="C456" t="str">
            <v>NABLI</v>
          </cell>
          <cell r="D456" t="str">
            <v>ATTIJARI BANK</v>
          </cell>
          <cell r="E456" t="str">
            <v>SOUSSE</v>
          </cell>
          <cell r="F456" t="str">
            <v>04143227003913793052</v>
          </cell>
        </row>
        <row r="457">
          <cell r="A457">
            <v>2065</v>
          </cell>
          <cell r="B457" t="str">
            <v>ALAEDDINE</v>
          </cell>
          <cell r="C457" t="str">
            <v>CHIHAOUI</v>
          </cell>
          <cell r="D457" t="str">
            <v>STB</v>
          </cell>
          <cell r="E457" t="str">
            <v>MSAKEN</v>
          </cell>
          <cell r="F457" t="str">
            <v>10506040208339278894</v>
          </cell>
        </row>
        <row r="458">
          <cell r="A458">
            <v>2066</v>
          </cell>
          <cell r="B458" t="str">
            <v>SAIFEDDINE</v>
          </cell>
          <cell r="C458" t="str">
            <v>GRAA</v>
          </cell>
          <cell r="D458" t="str">
            <v>STB</v>
          </cell>
          <cell r="E458" t="str">
            <v>MSAKEN</v>
          </cell>
          <cell r="F458" t="str">
            <v>10506040208093378850</v>
          </cell>
        </row>
        <row r="459">
          <cell r="A459">
            <v>2067</v>
          </cell>
          <cell r="B459" t="str">
            <v>MOUNIR</v>
          </cell>
          <cell r="C459" t="str">
            <v>CHOUAEB</v>
          </cell>
          <cell r="D459" t="str">
            <v>UIB</v>
          </cell>
          <cell r="E459" t="str">
            <v>MSAKEN</v>
          </cell>
          <cell r="F459" t="str">
            <v>12505000013304038464</v>
          </cell>
        </row>
        <row r="460">
          <cell r="A460">
            <v>2070</v>
          </cell>
          <cell r="B460" t="str">
            <v>MOHAMED</v>
          </cell>
          <cell r="C460" t="str">
            <v>BEN ABDALLAH</v>
          </cell>
          <cell r="D460" t="str">
            <v>UIB</v>
          </cell>
          <cell r="E460" t="str">
            <v>msaken</v>
          </cell>
          <cell r="F460" t="str">
            <v>12505000000227186679</v>
          </cell>
        </row>
        <row r="461">
          <cell r="A461">
            <v>2071</v>
          </cell>
          <cell r="B461" t="str">
            <v>FARES</v>
          </cell>
          <cell r="C461" t="str">
            <v>TRIA</v>
          </cell>
          <cell r="D461" t="str">
            <v>BIAT</v>
          </cell>
          <cell r="E461" t="str">
            <v>Msaken</v>
          </cell>
          <cell r="F461" t="str">
            <v>08507000262006685397</v>
          </cell>
        </row>
        <row r="462">
          <cell r="A462">
            <v>2072</v>
          </cell>
          <cell r="B462" t="str">
            <v>MOHAMED SALEM</v>
          </cell>
          <cell r="C462" t="str">
            <v>GHAZZEH</v>
          </cell>
          <cell r="D462" t="str">
            <v>BANQUE ZITOUNA</v>
          </cell>
          <cell r="E462" t="str">
            <v>MSAKEN</v>
          </cell>
          <cell r="F462" t="str">
            <v>25066000000030435248</v>
          </cell>
        </row>
        <row r="463">
          <cell r="A463">
            <v>2073</v>
          </cell>
          <cell r="B463" t="str">
            <v>AFEF</v>
          </cell>
          <cell r="C463" t="str">
            <v>LANDOLSI</v>
          </cell>
          <cell r="D463" t="str">
            <v>BANQUE DE L'HABITAT</v>
          </cell>
          <cell r="E463" t="str">
            <v>MSAKEN</v>
          </cell>
          <cell r="F463" t="str">
            <v>14014014100704177843</v>
          </cell>
        </row>
        <row r="464">
          <cell r="A464">
            <v>2074</v>
          </cell>
          <cell r="B464" t="str">
            <v>MOHAMED</v>
          </cell>
          <cell r="C464" t="str">
            <v>CHEHAIBI</v>
          </cell>
          <cell r="D464" t="str">
            <v>ATTIJARI BANK</v>
          </cell>
          <cell r="E464" t="str">
            <v>KAIRAOUN</v>
          </cell>
          <cell r="F464" t="str">
            <v>04605033003998982785</v>
          </cell>
        </row>
        <row r="465">
          <cell r="A465">
            <v>2083</v>
          </cell>
          <cell r="B465" t="str">
            <v>BEN OTHMEN</v>
          </cell>
          <cell r="C465" t="str">
            <v>MOHAMED KARIM</v>
          </cell>
          <cell r="D465" t="str">
            <v>BNA</v>
          </cell>
          <cell r="E465" t="str">
            <v>ENFIDHA</v>
          </cell>
          <cell r="F465" t="str">
            <v>03603077010110728440</v>
          </cell>
        </row>
        <row r="466">
          <cell r="A466">
            <v>2084</v>
          </cell>
          <cell r="B466" t="str">
            <v>HELALI</v>
          </cell>
          <cell r="C466" t="str">
            <v>EMNA</v>
          </cell>
          <cell r="D466" t="str">
            <v>U.I.B</v>
          </cell>
          <cell r="E466" t="str">
            <v>MSAKEN</v>
          </cell>
          <cell r="F466" t="str">
            <v>12505000013309243484</v>
          </cell>
        </row>
        <row r="467">
          <cell r="A467">
            <v>2085</v>
          </cell>
          <cell r="B467" t="str">
            <v>JEBALI</v>
          </cell>
          <cell r="C467" t="str">
            <v>KHAOULA</v>
          </cell>
          <cell r="D467" t="str">
            <v>BIAT</v>
          </cell>
          <cell r="E467" t="str">
            <v>SOUSSE</v>
          </cell>
          <cell r="F467" t="str">
            <v>08035012084002769039</v>
          </cell>
        </row>
        <row r="468">
          <cell r="A468">
            <v>2086</v>
          </cell>
          <cell r="B468" t="str">
            <v>JADLAOUI</v>
          </cell>
          <cell r="C468" t="str">
            <v>YASSINE</v>
          </cell>
          <cell r="D468" t="str">
            <v>CCP</v>
          </cell>
          <cell r="E468" t="str">
            <v>METLAOUI GARE</v>
          </cell>
          <cell r="F468" t="str">
            <v>17801000000125885611</v>
          </cell>
        </row>
        <row r="469">
          <cell r="A469">
            <v>2090</v>
          </cell>
          <cell r="B469" t="str">
            <v>WAJDI</v>
          </cell>
          <cell r="C469" t="str">
            <v>HAMIDA</v>
          </cell>
          <cell r="D469" t="str">
            <v>BIAT</v>
          </cell>
          <cell r="E469" t="str">
            <v>SOUSSE</v>
          </cell>
          <cell r="F469" t="str">
            <v>08500000204008757858</v>
          </cell>
        </row>
        <row r="470">
          <cell r="A470">
            <v>2091</v>
          </cell>
          <cell r="B470" t="str">
            <v>AMANI</v>
          </cell>
          <cell r="C470" t="str">
            <v>NASR</v>
          </cell>
          <cell r="D470" t="str">
            <v>B.T.E</v>
          </cell>
          <cell r="E470" t="str">
            <v>MSAKEN</v>
          </cell>
          <cell r="F470" t="str">
            <v>24010065540251110162</v>
          </cell>
        </row>
        <row r="471">
          <cell r="A471">
            <v>2092</v>
          </cell>
          <cell r="B471" t="str">
            <v>MOHAMED YASSINE</v>
          </cell>
          <cell r="C471" t="str">
            <v>SBAII</v>
          </cell>
          <cell r="D471" t="str">
            <v>ALBARAKA BANK</v>
          </cell>
          <cell r="E471" t="str">
            <v>MSAKEN</v>
          </cell>
          <cell r="F471" t="str">
            <v>32026788101086969132</v>
          </cell>
        </row>
        <row r="472">
          <cell r="A472">
            <v>2093</v>
          </cell>
          <cell r="B472" t="str">
            <v>OTHMEN</v>
          </cell>
          <cell r="C472" t="str">
            <v>BARHOUMI</v>
          </cell>
          <cell r="D472" t="str">
            <v>CCP</v>
          </cell>
          <cell r="E472" t="str">
            <v>MOULARES</v>
          </cell>
          <cell r="F472" t="str">
            <v>17801000000257598807</v>
          </cell>
        </row>
        <row r="473">
          <cell r="A473">
            <v>2094</v>
          </cell>
          <cell r="B473" t="str">
            <v>CHADI</v>
          </cell>
          <cell r="C473" t="str">
            <v>NASRI</v>
          </cell>
          <cell r="D473" t="str">
            <v>CCP</v>
          </cell>
          <cell r="E473" t="str">
            <v>SENED</v>
          </cell>
          <cell r="F473" t="str">
            <v>17801000000250420128</v>
          </cell>
        </row>
        <row r="474">
          <cell r="A474">
            <v>2096</v>
          </cell>
          <cell r="B474" t="str">
            <v>GHASEN</v>
          </cell>
          <cell r="C474" t="str">
            <v>TLILI</v>
          </cell>
          <cell r="D474" t="str">
            <v>Attijari banque</v>
          </cell>
          <cell r="E474" t="str">
            <v>GAFSA KSAR</v>
          </cell>
          <cell r="F474" t="str">
            <v>04079164005448577605</v>
          </cell>
        </row>
        <row r="475">
          <cell r="A475">
            <v>2097</v>
          </cell>
          <cell r="B475" t="str">
            <v>LIMEM</v>
          </cell>
          <cell r="C475" t="str">
            <v>ASSOUDI</v>
          </cell>
          <cell r="D475" t="str">
            <v>Attijari bank</v>
          </cell>
          <cell r="E475" t="str">
            <v>MONASTIR</v>
          </cell>
          <cell r="F475" t="str">
            <v>04508045005449714476</v>
          </cell>
        </row>
        <row r="476">
          <cell r="A476">
            <v>2098</v>
          </cell>
          <cell r="B476" t="str">
            <v>FAROUK</v>
          </cell>
          <cell r="C476" t="str">
            <v>YAHYAOUI</v>
          </cell>
          <cell r="D476" t="str">
            <v>CCP</v>
          </cell>
          <cell r="E476" t="str">
            <v>TEBOULBOU</v>
          </cell>
          <cell r="F476" t="str">
            <v>08500000204008758634</v>
          </cell>
        </row>
        <row r="477">
          <cell r="A477">
            <v>2100</v>
          </cell>
          <cell r="B477" t="str">
            <v>NEZIHA</v>
          </cell>
          <cell r="C477" t="str">
            <v>BEN ABDELJELIL</v>
          </cell>
          <cell r="D477" t="str">
            <v>BANQUE ZITOUNA</v>
          </cell>
          <cell r="E477" t="str">
            <v>M'SAKEN</v>
          </cell>
          <cell r="F477" t="str">
            <v>25066000000054778950</v>
          </cell>
        </row>
        <row r="478">
          <cell r="A478">
            <v>2101</v>
          </cell>
          <cell r="B478" t="str">
            <v>SAWSSEN</v>
          </cell>
          <cell r="C478" t="str">
            <v>KORTAS</v>
          </cell>
          <cell r="D478" t="str">
            <v>CCP</v>
          </cell>
          <cell r="E478" t="str">
            <v>AKOUDA</v>
          </cell>
          <cell r="F478" t="str">
            <v>17503000000238933606</v>
          </cell>
        </row>
        <row r="479">
          <cell r="A479">
            <v>2102</v>
          </cell>
          <cell r="B479" t="str">
            <v>MARWA</v>
          </cell>
          <cell r="C479" t="str">
            <v>BEN AMER</v>
          </cell>
          <cell r="D479" t="str">
            <v>CCP</v>
          </cell>
          <cell r="E479" t="str">
            <v>MAKTHAR</v>
          </cell>
          <cell r="F479" t="str">
            <v>17206000000127743358</v>
          </cell>
        </row>
        <row r="480">
          <cell r="A480">
            <v>2103</v>
          </cell>
          <cell r="B480" t="str">
            <v>HAYKEL</v>
          </cell>
          <cell r="C480" t="str">
            <v>DRIDI</v>
          </cell>
          <cell r="D480" t="str">
            <v>BT</v>
          </cell>
          <cell r="E480" t="str">
            <v>KAIROUANE</v>
          </cell>
          <cell r="F480" t="str">
            <v>05608000043506454002</v>
          </cell>
        </row>
        <row r="481">
          <cell r="A481">
            <v>2104</v>
          </cell>
          <cell r="B481" t="str">
            <v>AYMEN</v>
          </cell>
          <cell r="C481" t="str">
            <v>CHEMKHI</v>
          </cell>
          <cell r="D481" t="str">
            <v>ATTIJARI BANK</v>
          </cell>
          <cell r="E481" t="str">
            <v>AGENCE EZZAHRA CENTER</v>
          </cell>
          <cell r="F481" t="str">
            <v>04070155002748836048</v>
          </cell>
        </row>
        <row r="482">
          <cell r="A482">
            <v>2107</v>
          </cell>
          <cell r="B482" t="str">
            <v>RAHMA</v>
          </cell>
          <cell r="C482" t="str">
            <v>TRIMECH</v>
          </cell>
          <cell r="D482" t="str">
            <v>ATTIJARI BANK</v>
          </cell>
          <cell r="E482" t="str">
            <v>MONASTIR</v>
          </cell>
          <cell r="F482" t="str">
            <v>04508045002874015761</v>
          </cell>
        </row>
        <row r="483">
          <cell r="A483">
            <v>2109</v>
          </cell>
          <cell r="B483" t="str">
            <v>MANSSOURI</v>
          </cell>
          <cell r="C483" t="str">
            <v>TAKOUA</v>
          </cell>
          <cell r="D483" t="str">
            <v>CCP</v>
          </cell>
          <cell r="E483" t="str">
            <v>KONDAR</v>
          </cell>
          <cell r="F483" t="str">
            <v>17503000000174702728</v>
          </cell>
        </row>
        <row r="484">
          <cell r="A484">
            <v>2111</v>
          </cell>
          <cell r="B484" t="str">
            <v>FADI</v>
          </cell>
          <cell r="C484" t="str">
            <v>HANNACHI</v>
          </cell>
          <cell r="D484" t="str">
            <v>BIAT</v>
          </cell>
          <cell r="E484" t="str">
            <v>BIR ALI BEN KHELIFA</v>
          </cell>
          <cell r="F484" t="str">
            <v>08508000372007017038</v>
          </cell>
        </row>
        <row r="485">
          <cell r="A485">
            <v>2112</v>
          </cell>
          <cell r="B485" t="str">
            <v>KHALED</v>
          </cell>
          <cell r="C485" t="str">
            <v>FERJAOUI</v>
          </cell>
          <cell r="D485" t="str">
            <v>BT</v>
          </cell>
          <cell r="E485" t="str">
            <v>KAIROUAN</v>
          </cell>
          <cell r="F485" t="str">
            <v>05605000012500923960</v>
          </cell>
        </row>
        <row r="486">
          <cell r="A486">
            <v>2113</v>
          </cell>
          <cell r="B486" t="str">
            <v>MOHAMED ALI</v>
          </cell>
          <cell r="C486" t="str">
            <v>BEN HADJ AMOR</v>
          </cell>
          <cell r="D486" t="str">
            <v>BNA</v>
          </cell>
          <cell r="E486" t="str">
            <v>MSAKEN</v>
          </cell>
          <cell r="F486" t="str">
            <v>03508056010110301048</v>
          </cell>
        </row>
        <row r="487">
          <cell r="A487">
            <v>2115</v>
          </cell>
          <cell r="B487" t="str">
            <v>OTHMEN</v>
          </cell>
          <cell r="C487" t="str">
            <v>BAATI</v>
          </cell>
          <cell r="D487" t="str">
            <v>BIAT</v>
          </cell>
          <cell r="E487" t="str">
            <v>AGENCE GABES</v>
          </cell>
          <cell r="F487" t="str">
            <v>08705000412012882006</v>
          </cell>
        </row>
        <row r="488">
          <cell r="A488">
            <v>2118</v>
          </cell>
          <cell r="B488" t="str">
            <v>HAMZA</v>
          </cell>
          <cell r="C488" t="str">
            <v>HAMILA</v>
          </cell>
          <cell r="D488" t="str">
            <v>BANQUE DE TUNISIE</v>
          </cell>
          <cell r="E488" t="str">
            <v>MSAKEN</v>
          </cell>
          <cell r="F488" t="str">
            <v>05048000116500453893</v>
          </cell>
        </row>
        <row r="489">
          <cell r="A489">
            <v>2120</v>
          </cell>
          <cell r="B489" t="str">
            <v>OMAR</v>
          </cell>
          <cell r="C489" t="str">
            <v>BEN AHMED</v>
          </cell>
          <cell r="D489" t="str">
            <v>Attijari bank</v>
          </cell>
          <cell r="E489" t="str">
            <v>JEMMAL</v>
          </cell>
          <cell r="F489" t="str">
            <v>04505037005612605559</v>
          </cell>
        </row>
        <row r="490">
          <cell r="A490">
            <v>2123</v>
          </cell>
          <cell r="B490" t="str">
            <v>HICHEM</v>
          </cell>
          <cell r="C490" t="str">
            <v>AFRIT</v>
          </cell>
          <cell r="D490" t="str">
            <v>UIB</v>
          </cell>
          <cell r="E490" t="str">
            <v>MSAKEN</v>
          </cell>
          <cell r="F490" t="str">
            <v>12058000013308673063</v>
          </cell>
        </row>
        <row r="491">
          <cell r="A491">
            <v>2124</v>
          </cell>
          <cell r="B491" t="str">
            <v>AHMED</v>
          </cell>
          <cell r="C491" t="str">
            <v>BEN HADJ MESSAOUD</v>
          </cell>
          <cell r="D491" t="str">
            <v>CCP</v>
          </cell>
          <cell r="E491" t="str">
            <v>SIDI EL HENI</v>
          </cell>
          <cell r="F491" t="str">
            <v>17503000000255093418</v>
          </cell>
        </row>
        <row r="492">
          <cell r="A492">
            <v>2125</v>
          </cell>
          <cell r="B492" t="str">
            <v>ACHRAF</v>
          </cell>
          <cell r="C492" t="str">
            <v>HASSEN</v>
          </cell>
          <cell r="D492" t="str">
            <v>Attijari Bank</v>
          </cell>
          <cell r="E492" t="str">
            <v>MSAKEN</v>
          </cell>
          <cell r="F492" t="str">
            <v>04204067003573024115</v>
          </cell>
        </row>
        <row r="493">
          <cell r="A493">
            <v>2128</v>
          </cell>
          <cell r="B493" t="str">
            <v>ILYES</v>
          </cell>
          <cell r="C493" t="str">
            <v>DHIFALLAH</v>
          </cell>
          <cell r="D493" t="str">
            <v>ATB</v>
          </cell>
          <cell r="E493" t="str">
            <v>SOUSSE</v>
          </cell>
          <cell r="F493" t="str">
            <v>01500023111077521174</v>
          </cell>
        </row>
        <row r="494">
          <cell r="A494">
            <v>2131</v>
          </cell>
          <cell r="B494" t="str">
            <v>HSSAN</v>
          </cell>
          <cell r="C494" t="str">
            <v>BAYA</v>
          </cell>
          <cell r="D494" t="str">
            <v>ATB</v>
          </cell>
          <cell r="E494" t="str">
            <v>MSAKEN</v>
          </cell>
          <cell r="F494" t="str">
            <v>01018058113027677808</v>
          </cell>
        </row>
        <row r="495">
          <cell r="A495">
            <v>2136</v>
          </cell>
          <cell r="B495" t="str">
            <v>LOTFI</v>
          </cell>
          <cell r="C495" t="str">
            <v>NOURI</v>
          </cell>
          <cell r="D495" t="str">
            <v>CCP</v>
          </cell>
          <cell r="E495" t="str">
            <v>SIDI EL HENI</v>
          </cell>
          <cell r="F495" t="str">
            <v>17503000000231019182</v>
          </cell>
        </row>
        <row r="496">
          <cell r="A496">
            <v>2137</v>
          </cell>
          <cell r="B496" t="str">
            <v>MOHAMED</v>
          </cell>
          <cell r="C496" t="str">
            <v>BOUZAMOUCHA</v>
          </cell>
          <cell r="D496" t="str">
            <v>UIB</v>
          </cell>
          <cell r="E496" t="str">
            <v>MSAKEN</v>
          </cell>
          <cell r="F496" t="str">
            <v>12064000013126694003</v>
          </cell>
        </row>
        <row r="497">
          <cell r="A497">
            <v>2138</v>
          </cell>
          <cell r="B497" t="str">
            <v>MOHAMED CHIHEBEDDINE</v>
          </cell>
          <cell r="C497" t="str">
            <v>HAMILA</v>
          </cell>
          <cell r="D497" t="str">
            <v>CCP</v>
          </cell>
          <cell r="E497" t="str">
            <v>MSAKEN HAY JDID</v>
          </cell>
          <cell r="F497" t="str">
            <v>17503000000268716001</v>
          </cell>
        </row>
        <row r="498">
          <cell r="A498">
            <v>2139</v>
          </cell>
          <cell r="B498" t="str">
            <v>HATEM</v>
          </cell>
          <cell r="C498" t="str">
            <v>NAMMOUCHI</v>
          </cell>
          <cell r="D498" t="str">
            <v>BANQUE ZITOUNA</v>
          </cell>
          <cell r="E498" t="str">
            <v>MSAKEN</v>
          </cell>
          <cell r="F498" t="str">
            <v>25018000000059071420</v>
          </cell>
        </row>
        <row r="499">
          <cell r="A499">
            <v>2140</v>
          </cell>
          <cell r="B499" t="str">
            <v>ABDELMAJID</v>
          </cell>
          <cell r="C499" t="str">
            <v>MOSBAH</v>
          </cell>
          <cell r="D499" t="str">
            <v>STB</v>
          </cell>
          <cell r="E499" t="str">
            <v>MSAKEN</v>
          </cell>
          <cell r="F499" t="str">
            <v>10506040523548178830</v>
          </cell>
        </row>
        <row r="500">
          <cell r="A500">
            <v>2141</v>
          </cell>
          <cell r="B500" t="str">
            <v>HAITHEM</v>
          </cell>
          <cell r="C500" t="str">
            <v>SRIDI</v>
          </cell>
          <cell r="D500" t="str">
            <v>ALBARAKA</v>
          </cell>
          <cell r="E500" t="str">
            <v>MSAKEN</v>
          </cell>
          <cell r="F500" t="str">
            <v>32026788101099022158</v>
          </cell>
        </row>
        <row r="501">
          <cell r="A501">
            <v>2143</v>
          </cell>
          <cell r="B501" t="str">
            <v>HAMZA</v>
          </cell>
          <cell r="C501" t="str">
            <v>BERRIRI</v>
          </cell>
          <cell r="D501" t="str">
            <v>STB</v>
          </cell>
          <cell r="E501" t="str">
            <v>MSAKEN</v>
          </cell>
          <cell r="F501" t="str">
            <v>10506040523817578870</v>
          </cell>
        </row>
        <row r="502">
          <cell r="A502">
            <v>2144</v>
          </cell>
          <cell r="B502" t="str">
            <v>WAEL</v>
          </cell>
          <cell r="C502" t="str">
            <v>OMRANE</v>
          </cell>
          <cell r="D502" t="str">
            <v>Banque de l'HABITAT</v>
          </cell>
          <cell r="E502" t="str">
            <v>Sousse Corniche</v>
          </cell>
          <cell r="F502" t="str">
            <v>14007007100713145479</v>
          </cell>
        </row>
        <row r="503">
          <cell r="A503">
            <v>2145</v>
          </cell>
          <cell r="B503" t="str">
            <v>HAMZA</v>
          </cell>
          <cell r="C503" t="str">
            <v>MRIBAH</v>
          </cell>
          <cell r="D503" t="str">
            <v>STB</v>
          </cell>
          <cell r="E503" t="str">
            <v>MSAKEN</v>
          </cell>
          <cell r="F503" t="str">
            <v>10506040208631178860</v>
          </cell>
        </row>
        <row r="504">
          <cell r="A504">
            <v>2146</v>
          </cell>
          <cell r="B504" t="str">
            <v>AHMED</v>
          </cell>
          <cell r="C504" t="str">
            <v>SGHAIR</v>
          </cell>
          <cell r="D504" t="str">
            <v>STB</v>
          </cell>
          <cell r="E504" t="str">
            <v>MSAKEN</v>
          </cell>
          <cell r="F504" t="str">
            <v>10506040516825878816</v>
          </cell>
        </row>
        <row r="505">
          <cell r="A505">
            <v>2147</v>
          </cell>
          <cell r="B505" t="str">
            <v>OUSSAMA</v>
          </cell>
          <cell r="C505" t="str">
            <v>LAJMI</v>
          </cell>
          <cell r="D505" t="str">
            <v>STB</v>
          </cell>
          <cell r="E505" t="str">
            <v>MSAKEN II</v>
          </cell>
          <cell r="F505" t="str">
            <v>10317123503184778894</v>
          </cell>
        </row>
        <row r="506">
          <cell r="A506">
            <v>2148</v>
          </cell>
          <cell r="B506" t="str">
            <v>HOUSSEM</v>
          </cell>
          <cell r="C506" t="str">
            <v>CHIHI</v>
          </cell>
          <cell r="D506" t="str">
            <v>UIB</v>
          </cell>
          <cell r="E506" t="str">
            <v>MSAKEN</v>
          </cell>
          <cell r="F506" t="str">
            <v>12505000013309456496</v>
          </cell>
        </row>
        <row r="507">
          <cell r="A507">
            <v>2149</v>
          </cell>
          <cell r="B507" t="str">
            <v>HOUSSEM</v>
          </cell>
          <cell r="C507" t="str">
            <v>BERRIRI</v>
          </cell>
          <cell r="D507" t="str">
            <v>CCP</v>
          </cell>
          <cell r="E507" t="str">
            <v/>
          </cell>
          <cell r="F507" t="str">
            <v>17503000000269285682</v>
          </cell>
        </row>
        <row r="508">
          <cell r="A508">
            <v>2150</v>
          </cell>
          <cell r="B508" t="str">
            <v>MOHAMED AMINE</v>
          </cell>
          <cell r="C508" t="str">
            <v>GAZZAH</v>
          </cell>
          <cell r="D508" t="str">
            <v>CCP</v>
          </cell>
          <cell r="E508" t="str">
            <v>MSAKEN KEBLIA</v>
          </cell>
          <cell r="F508" t="str">
            <v>17503000000284757279</v>
          </cell>
        </row>
        <row r="509">
          <cell r="A509">
            <v>2151</v>
          </cell>
          <cell r="B509" t="str">
            <v>MOHAMED</v>
          </cell>
          <cell r="C509" t="str">
            <v>JELLITI</v>
          </cell>
          <cell r="D509" t="str">
            <v>WIFAK BANK</v>
          </cell>
          <cell r="E509" t="str">
            <v>MSAKEN</v>
          </cell>
          <cell r="F509" t="str">
            <v>47013000000006515669</v>
          </cell>
        </row>
        <row r="510">
          <cell r="A510">
            <v>2153</v>
          </cell>
          <cell r="B510" t="str">
            <v>ANOIR</v>
          </cell>
          <cell r="C510" t="str">
            <v>BABAY ROUIS</v>
          </cell>
          <cell r="D510" t="str">
            <v>STB</v>
          </cell>
          <cell r="E510" t="str">
            <v>MSAKEN</v>
          </cell>
          <cell r="F510" t="str">
            <v>10506040208662078889</v>
          </cell>
        </row>
        <row r="511">
          <cell r="A511">
            <v>2154</v>
          </cell>
          <cell r="B511" t="str">
            <v>AYMEN</v>
          </cell>
          <cell r="C511" t="str">
            <v>BEN AZIZA</v>
          </cell>
          <cell r="D511" t="str">
            <v>Attijari bank</v>
          </cell>
          <cell r="E511" t="str">
            <v>MSAKEN</v>
          </cell>
          <cell r="F511" t="str">
            <v>04204067005653247606</v>
          </cell>
        </row>
        <row r="512">
          <cell r="A512">
            <v>2155</v>
          </cell>
          <cell r="B512" t="str">
            <v>INES</v>
          </cell>
          <cell r="C512" t="str">
            <v>MHIRI</v>
          </cell>
          <cell r="D512" t="str">
            <v>CCP</v>
          </cell>
          <cell r="E512" t="str">
            <v>SOUSSE NORD</v>
          </cell>
          <cell r="F512" t="str">
            <v>17503000000274122490</v>
          </cell>
        </row>
        <row r="513">
          <cell r="A513">
            <v>2156</v>
          </cell>
          <cell r="B513" t="str">
            <v>MOHAMED</v>
          </cell>
          <cell r="C513" t="str">
            <v>MAHJOUB</v>
          </cell>
          <cell r="D513" t="str">
            <v>BANQUE ZITOUNA</v>
          </cell>
          <cell r="E513" t="str">
            <v/>
          </cell>
          <cell r="F513" t="str">
            <v>25066000000052722356</v>
          </cell>
        </row>
        <row r="514">
          <cell r="A514">
            <v>2157</v>
          </cell>
          <cell r="B514" t="str">
            <v>AMINE</v>
          </cell>
          <cell r="C514" t="str">
            <v>ROUIS</v>
          </cell>
          <cell r="D514" t="str">
            <v>BIAT</v>
          </cell>
          <cell r="E514" t="str">
            <v>MSAKEN</v>
          </cell>
          <cell r="F514" t="str">
            <v>08507000262006389741</v>
          </cell>
        </row>
        <row r="515">
          <cell r="A515">
            <v>2158</v>
          </cell>
          <cell r="B515" t="str">
            <v>MOHAMED ALI</v>
          </cell>
          <cell r="C515" t="str">
            <v>BEN MASSOUD</v>
          </cell>
          <cell r="D515" t="str">
            <v>ATB</v>
          </cell>
          <cell r="E515" t="str">
            <v/>
          </cell>
          <cell r="F515" t="str">
            <v>01500023113081045892</v>
          </cell>
        </row>
        <row r="516">
          <cell r="A516">
            <v>2159</v>
          </cell>
          <cell r="B516" t="str">
            <v>SEMAH</v>
          </cell>
          <cell r="C516" t="str">
            <v>HADDAJI</v>
          </cell>
          <cell r="D516" t="str">
            <v>UIB</v>
          </cell>
          <cell r="E516" t="str">
            <v>MSAKEN</v>
          </cell>
          <cell r="F516" t="str">
            <v>12505000013306837884</v>
          </cell>
        </row>
        <row r="517">
          <cell r="A517">
            <v>2160</v>
          </cell>
          <cell r="B517" t="str">
            <v>MARWANE</v>
          </cell>
          <cell r="C517" t="str">
            <v>BEN HASSINE</v>
          </cell>
          <cell r="D517" t="str">
            <v>CCP</v>
          </cell>
          <cell r="E517" t="str">
            <v/>
          </cell>
          <cell r="F517" t="str">
            <v>17503000000235800797</v>
          </cell>
        </row>
        <row r="518">
          <cell r="A518">
            <v>2162</v>
          </cell>
          <cell r="B518" t="str">
            <v>HAMZA</v>
          </cell>
          <cell r="C518" t="str">
            <v>BEN ATTIA</v>
          </cell>
          <cell r="D518" t="str">
            <v>CCP</v>
          </cell>
          <cell r="E518" t="str">
            <v>SIDI EL HANI</v>
          </cell>
          <cell r="F518" t="str">
            <v>17503000000259599650</v>
          </cell>
        </row>
        <row r="519">
          <cell r="A519">
            <v>2166</v>
          </cell>
          <cell r="B519" t="str">
            <v>ADEL</v>
          </cell>
          <cell r="C519" t="str">
            <v>BEN CHIKH AMOR</v>
          </cell>
          <cell r="D519" t="str">
            <v>BANQUE DE TUNISIE</v>
          </cell>
          <cell r="E519" t="str">
            <v>MSAKEN</v>
          </cell>
          <cell r="F519" t="str">
            <v>05048000116500381725</v>
          </cell>
        </row>
        <row r="520">
          <cell r="A520">
            <v>2167</v>
          </cell>
          <cell r="B520" t="str">
            <v>JIHED</v>
          </cell>
          <cell r="C520" t="str">
            <v>BEN HSSINE</v>
          </cell>
          <cell r="D520" t="str">
            <v>BANQUE DE L'HABITAT</v>
          </cell>
          <cell r="E520" t="str">
            <v>MSAKEN</v>
          </cell>
          <cell r="F520" t="str">
            <v>14014014100703436084</v>
          </cell>
        </row>
        <row r="521">
          <cell r="A521">
            <v>2169</v>
          </cell>
          <cell r="B521" t="str">
            <v>MOHAMED</v>
          </cell>
          <cell r="C521" t="str">
            <v>KEMIMECH</v>
          </cell>
          <cell r="D521" t="str">
            <v>BANQUE L'HABITAT</v>
          </cell>
          <cell r="E521" t="str">
            <v>MSAKEN</v>
          </cell>
          <cell r="F521" t="str">
            <v>14014014100700380681</v>
          </cell>
        </row>
        <row r="522">
          <cell r="A522">
            <v>2170</v>
          </cell>
          <cell r="B522" t="str">
            <v>ANOUAR</v>
          </cell>
          <cell r="C522" t="str">
            <v>BEN AHMED</v>
          </cell>
          <cell r="D522" t="str">
            <v>CCP</v>
          </cell>
          <cell r="E522" t="str">
            <v>SIDI EL HENI</v>
          </cell>
          <cell r="F522" t="str">
            <v>17503000000252910918</v>
          </cell>
        </row>
        <row r="523">
          <cell r="A523">
            <v>2171</v>
          </cell>
          <cell r="B523" t="str">
            <v>HENI</v>
          </cell>
          <cell r="C523" t="str">
            <v>BEN ELBAKRI</v>
          </cell>
          <cell r="D523" t="str">
            <v>CCP</v>
          </cell>
          <cell r="E523" t="str">
            <v>SIDI EL HENI</v>
          </cell>
          <cell r="F523" t="str">
            <v>17503000000273638945</v>
          </cell>
        </row>
        <row r="524">
          <cell r="A524">
            <v>2172</v>
          </cell>
          <cell r="B524" t="str">
            <v>HABIB</v>
          </cell>
          <cell r="C524" t="str">
            <v>ACHECHE</v>
          </cell>
          <cell r="D524" t="str">
            <v>STB BANK</v>
          </cell>
          <cell r="E524" t="str">
            <v>MSAKEN</v>
          </cell>
          <cell r="F524" t="str">
            <v>10506040522582778861</v>
          </cell>
        </row>
        <row r="525">
          <cell r="A525">
            <v>2173</v>
          </cell>
          <cell r="B525" t="str">
            <v>HAYTHEM</v>
          </cell>
          <cell r="C525" t="str">
            <v>EL ALOUI</v>
          </cell>
          <cell r="D525" t="str">
            <v>BANQUE DE L'HABITAT</v>
          </cell>
          <cell r="E525" t="str">
            <v>MSAKEN</v>
          </cell>
          <cell r="F525" t="str">
            <v>14014014100704880220</v>
          </cell>
        </row>
        <row r="526">
          <cell r="A526">
            <v>2175</v>
          </cell>
          <cell r="B526" t="str">
            <v>ABDALLAH</v>
          </cell>
          <cell r="C526" t="str">
            <v>HASSEN</v>
          </cell>
          <cell r="D526" t="str">
            <v>BANQUE DE L'HABITAT</v>
          </cell>
          <cell r="E526" t="str">
            <v>MSAKEN</v>
          </cell>
          <cell r="F526" t="str">
            <v>14014014100704881772</v>
          </cell>
        </row>
        <row r="527">
          <cell r="A527">
            <v>2177</v>
          </cell>
          <cell r="B527" t="str">
            <v>FREDJ</v>
          </cell>
          <cell r="C527" t="str">
            <v>KHALOUN</v>
          </cell>
          <cell r="D527" t="str">
            <v>ATTIJARI BANK</v>
          </cell>
          <cell r="E527" t="str">
            <v>MESSADINE 02</v>
          </cell>
          <cell r="F527" t="str">
            <v>04128195004748310286</v>
          </cell>
        </row>
        <row r="528">
          <cell r="A528">
            <v>2178</v>
          </cell>
          <cell r="B528" t="str">
            <v>MOHAMED HOSNI</v>
          </cell>
          <cell r="C528" t="str">
            <v>DHAOUADI</v>
          </cell>
          <cell r="D528" t="str">
            <v>BANQUE DE L'HABITAT</v>
          </cell>
          <cell r="E528" t="str">
            <v>MSAKEN</v>
          </cell>
          <cell r="F528" t="str">
            <v>14014014100704904179</v>
          </cell>
        </row>
        <row r="529">
          <cell r="A529">
            <v>2179</v>
          </cell>
          <cell r="B529" t="str">
            <v>AHMED</v>
          </cell>
          <cell r="C529" t="str">
            <v>BOUHLEL</v>
          </cell>
          <cell r="D529" t="str">
            <v>BIAT</v>
          </cell>
          <cell r="E529" t="str">
            <v>MSAKEN</v>
          </cell>
          <cell r="F529" t="str">
            <v>08507000262004787592</v>
          </cell>
        </row>
        <row r="530">
          <cell r="A530">
            <v>2180</v>
          </cell>
          <cell r="B530" t="str">
            <v>MOHAMED</v>
          </cell>
          <cell r="C530" t="str">
            <v>BABAY</v>
          </cell>
          <cell r="D530" t="str">
            <v>STB BANK</v>
          </cell>
          <cell r="E530" t="str">
            <v>MSAKEN</v>
          </cell>
          <cell r="F530" t="str">
            <v>10506040208879578885</v>
          </cell>
        </row>
        <row r="531">
          <cell r="A531">
            <v>2181</v>
          </cell>
          <cell r="B531" t="str">
            <v>ABDELHAFIDH</v>
          </cell>
          <cell r="C531" t="str">
            <v>MOUSSA</v>
          </cell>
          <cell r="D531" t="str">
            <v>CCP</v>
          </cell>
          <cell r="E531" t="str">
            <v>MSAKEN EL KEBLIA</v>
          </cell>
          <cell r="F531" t="str">
            <v>17503000000283964110</v>
          </cell>
        </row>
        <row r="532">
          <cell r="A532">
            <v>2182</v>
          </cell>
          <cell r="B532" t="str">
            <v>ATEF</v>
          </cell>
          <cell r="C532" t="str">
            <v>GHANEM</v>
          </cell>
          <cell r="D532" t="str">
            <v>UIB</v>
          </cell>
          <cell r="E532" t="str">
            <v>MSAKEN</v>
          </cell>
          <cell r="F532" t="str">
            <v>12505000013304173876</v>
          </cell>
        </row>
        <row r="533">
          <cell r="A533">
            <v>2183</v>
          </cell>
          <cell r="B533" t="str">
            <v>RACHED</v>
          </cell>
          <cell r="C533" t="str">
            <v>ISSAOUI</v>
          </cell>
          <cell r="D533" t="str">
            <v>CCP</v>
          </cell>
          <cell r="E533" t="str">
            <v>SOUSSE RIADH</v>
          </cell>
          <cell r="F533" t="str">
            <v>17503000000224506117</v>
          </cell>
        </row>
        <row r="534">
          <cell r="A534">
            <v>2184</v>
          </cell>
          <cell r="B534" t="str">
            <v>KHALED</v>
          </cell>
          <cell r="C534" t="str">
            <v>BEN HADJ HASSINE</v>
          </cell>
          <cell r="D534" t="str">
            <v>CCP</v>
          </cell>
          <cell r="E534" t="str">
            <v>SIDI HENI</v>
          </cell>
          <cell r="F534" t="str">
            <v>17503000000283914446</v>
          </cell>
        </row>
        <row r="535">
          <cell r="A535">
            <v>2185</v>
          </cell>
          <cell r="B535" t="str">
            <v>MOHAMED</v>
          </cell>
          <cell r="C535" t="str">
            <v>BENYOUSSEF</v>
          </cell>
          <cell r="D535" t="str">
            <v>ATTIJARI BANK</v>
          </cell>
          <cell r="E535" t="str">
            <v>MSAKEN</v>
          </cell>
          <cell r="F535" t="str">
            <v>04204067005957019208</v>
          </cell>
        </row>
        <row r="536">
          <cell r="A536">
            <v>2186</v>
          </cell>
          <cell r="B536" t="str">
            <v>ZIED</v>
          </cell>
          <cell r="C536" t="str">
            <v>BOUALLOUCHA</v>
          </cell>
          <cell r="D536" t="str">
            <v>CCP</v>
          </cell>
          <cell r="E536" t="str">
            <v>EL KNAIS</v>
          </cell>
          <cell r="F536" t="str">
            <v>17503000000283881272</v>
          </cell>
        </row>
        <row r="537">
          <cell r="A537">
            <v>2187</v>
          </cell>
          <cell r="B537" t="str">
            <v>ZIED</v>
          </cell>
          <cell r="C537" t="str">
            <v>CHATTI</v>
          </cell>
          <cell r="D537" t="str">
            <v>UIB</v>
          </cell>
          <cell r="E537" t="str">
            <v>MSAKEN</v>
          </cell>
          <cell r="F537" t="str">
            <v>12505000000235694064</v>
          </cell>
        </row>
        <row r="538">
          <cell r="A538">
            <v>2188</v>
          </cell>
          <cell r="B538" t="str">
            <v>IMED</v>
          </cell>
          <cell r="C538" t="str">
            <v>TERZEG BHIRI</v>
          </cell>
          <cell r="D538" t="str">
            <v>UIB</v>
          </cell>
          <cell r="E538" t="str">
            <v>MSAKEN</v>
          </cell>
          <cell r="F538" t="str">
            <v>12505000000235711621</v>
          </cell>
        </row>
        <row r="539">
          <cell r="A539">
            <v>2189</v>
          </cell>
          <cell r="B539" t="str">
            <v>MAHMOUD</v>
          </cell>
          <cell r="C539" t="str">
            <v>BELLIL</v>
          </cell>
          <cell r="D539" t="str">
            <v>CCP</v>
          </cell>
          <cell r="E539" t="str">
            <v>MSAKEN HAY JDID</v>
          </cell>
          <cell r="F539" t="str">
            <v>17503000000283881466</v>
          </cell>
        </row>
        <row r="540">
          <cell r="A540">
            <v>2190</v>
          </cell>
          <cell r="B540" t="str">
            <v>MOHAMED ALI</v>
          </cell>
          <cell r="C540" t="str">
            <v>SLAMA</v>
          </cell>
          <cell r="D540" t="str">
            <v>ATB</v>
          </cell>
          <cell r="E540" t="str">
            <v>MSAKEN</v>
          </cell>
          <cell r="F540" t="str">
            <v>01018058113032517720</v>
          </cell>
        </row>
        <row r="541">
          <cell r="A541">
            <v>2191</v>
          </cell>
          <cell r="B541" t="str">
            <v>AHMED</v>
          </cell>
          <cell r="C541" t="str">
            <v>JRAD</v>
          </cell>
          <cell r="D541" t="str">
            <v>BNA</v>
          </cell>
          <cell r="E541" t="str">
            <v>MSAKEN</v>
          </cell>
          <cell r="F541" t="str">
            <v>03508056010110347220</v>
          </cell>
        </row>
        <row r="542">
          <cell r="A542">
            <v>2192</v>
          </cell>
          <cell r="B542" t="str">
            <v>YASSINE</v>
          </cell>
          <cell r="C542" t="str">
            <v>HELALI</v>
          </cell>
          <cell r="D542" t="str">
            <v>UIB</v>
          </cell>
          <cell r="E542" t="str">
            <v>MSAKEN</v>
          </cell>
          <cell r="F542" t="str">
            <v>12505000013305387055</v>
          </cell>
        </row>
        <row r="543">
          <cell r="A543">
            <v>2194</v>
          </cell>
          <cell r="B543" t="str">
            <v>HAYKEL</v>
          </cell>
          <cell r="C543" t="str">
            <v>BACCOUCHE</v>
          </cell>
          <cell r="D543" t="str">
            <v>UBCI</v>
          </cell>
          <cell r="E543" t="str">
            <v>MSAKEN</v>
          </cell>
          <cell r="F543" t="str">
            <v>11020002277800878803</v>
          </cell>
        </row>
        <row r="544">
          <cell r="A544">
            <v>2195</v>
          </cell>
          <cell r="B544" t="str">
            <v>MOHAMED</v>
          </cell>
          <cell r="C544" t="str">
            <v>BOUHLEL</v>
          </cell>
          <cell r="D544" t="str">
            <v>UIB</v>
          </cell>
          <cell r="E544" t="str">
            <v>MSAKEN</v>
          </cell>
          <cell r="F544" t="str">
            <v>12505000000235178315</v>
          </cell>
        </row>
        <row r="545">
          <cell r="A545">
            <v>2196</v>
          </cell>
          <cell r="B545" t="str">
            <v>MOHAMED</v>
          </cell>
          <cell r="C545" t="str">
            <v>SALLEM</v>
          </cell>
          <cell r="D545" t="str">
            <v>CCP</v>
          </cell>
          <cell r="E545" t="str">
            <v>MSAKEN</v>
          </cell>
          <cell r="F545" t="str">
            <v>17503000000259669296</v>
          </cell>
        </row>
        <row r="546">
          <cell r="A546">
            <v>2197</v>
          </cell>
          <cell r="B546" t="str">
            <v>MONDHER</v>
          </cell>
          <cell r="C546" t="str">
            <v>AMIMI</v>
          </cell>
          <cell r="D546" t="str">
            <v>BANQUE ZITOUNA</v>
          </cell>
          <cell r="E546" t="str">
            <v>MSAKEN</v>
          </cell>
          <cell r="F546" t="str">
            <v>25018000000048721132</v>
          </cell>
        </row>
        <row r="547">
          <cell r="A547">
            <v>2198</v>
          </cell>
          <cell r="B547" t="str">
            <v>FEHMI</v>
          </cell>
          <cell r="C547" t="str">
            <v>HAMIDA</v>
          </cell>
          <cell r="D547" t="str">
            <v>ALBARAKA</v>
          </cell>
          <cell r="E547" t="str">
            <v>MSAKEN</v>
          </cell>
          <cell r="F547" t="str">
            <v>32026788101114722190</v>
          </cell>
        </row>
        <row r="548">
          <cell r="A548">
            <v>2199</v>
          </cell>
          <cell r="B548" t="str">
            <v>ZIED</v>
          </cell>
          <cell r="C548" t="str">
            <v>BEN MBAKER</v>
          </cell>
          <cell r="D548" t="str">
            <v>CCP</v>
          </cell>
          <cell r="E548" t="str">
            <v>SIDI EL HENI</v>
          </cell>
          <cell r="F548" t="str">
            <v>17503000000190764861</v>
          </cell>
        </row>
        <row r="549">
          <cell r="A549">
            <v>2200</v>
          </cell>
          <cell r="B549" t="str">
            <v>MOHAMED</v>
          </cell>
          <cell r="C549" t="str">
            <v>HANI</v>
          </cell>
          <cell r="D549" t="str">
            <v>CCP</v>
          </cell>
          <cell r="E549" t="str">
            <v>SIDI EL HENI</v>
          </cell>
          <cell r="F549" t="str">
            <v>17503000000133558820</v>
          </cell>
        </row>
        <row r="550">
          <cell r="A550">
            <v>2201</v>
          </cell>
          <cell r="B550" t="str">
            <v>YASSER</v>
          </cell>
          <cell r="C550" t="str">
            <v>MATHLOUTHI</v>
          </cell>
          <cell r="D550" t="str">
            <v>Attijari Bank</v>
          </cell>
          <cell r="E550" t="str">
            <v>MSAKEN</v>
          </cell>
          <cell r="F550" t="str">
            <v>04204067006062121618</v>
          </cell>
        </row>
        <row r="551">
          <cell r="A551">
            <v>2202</v>
          </cell>
          <cell r="B551" t="str">
            <v>SEIF</v>
          </cell>
          <cell r="C551" t="str">
            <v>HAMILA</v>
          </cell>
          <cell r="D551" t="str">
            <v>CCP</v>
          </cell>
          <cell r="E551" t="str">
            <v>MSAKEN</v>
          </cell>
          <cell r="F551" t="str">
            <v>17503000000286088119</v>
          </cell>
        </row>
        <row r="552">
          <cell r="A552">
            <v>2203</v>
          </cell>
          <cell r="B552" t="str">
            <v>MOHAMED WASSIM</v>
          </cell>
          <cell r="C552" t="str">
            <v>EL GARES</v>
          </cell>
          <cell r="D552" t="str">
            <v>ATB</v>
          </cell>
          <cell r="E552" t="str">
            <v>MSAKEN</v>
          </cell>
          <cell r="F552" t="str">
            <v>01018058113033063539</v>
          </cell>
        </row>
        <row r="553">
          <cell r="A553">
            <v>2205</v>
          </cell>
          <cell r="B553" t="str">
            <v>GHEZAL</v>
          </cell>
          <cell r="C553" t="str">
            <v>AHMED</v>
          </cell>
          <cell r="D553" t="str">
            <v>BNA</v>
          </cell>
          <cell r="E553" t="str">
            <v>MSAKEN</v>
          </cell>
          <cell r="F553" t="str">
            <v>03508056010902451936</v>
          </cell>
        </row>
        <row r="554">
          <cell r="A554">
            <v>2206</v>
          </cell>
          <cell r="B554" t="str">
            <v>MOHAMED ISMAIL</v>
          </cell>
          <cell r="C554" t="str">
            <v>TOUMI</v>
          </cell>
          <cell r="D554" t="str">
            <v>UIBKTNTT</v>
          </cell>
          <cell r="E554" t="str">
            <v>MSAKEN</v>
          </cell>
          <cell r="F554" t="str">
            <v>12505000000232863992</v>
          </cell>
        </row>
        <row r="555">
          <cell r="A555">
            <v>2209</v>
          </cell>
          <cell r="B555" t="str">
            <v>AMAL</v>
          </cell>
          <cell r="C555" t="str">
            <v>BERRIRI</v>
          </cell>
          <cell r="D555" t="str">
            <v>UIB</v>
          </cell>
          <cell r="E555" t="str">
            <v>SOKKRA</v>
          </cell>
          <cell r="F555" t="str">
            <v>12505000000237440743</v>
          </cell>
        </row>
        <row r="556">
          <cell r="A556">
            <v>2210</v>
          </cell>
          <cell r="B556" t="str">
            <v>ALA</v>
          </cell>
          <cell r="C556" t="str">
            <v>CHIBIL</v>
          </cell>
          <cell r="D556" t="str">
            <v>AL BARAKA</v>
          </cell>
          <cell r="E556" t="str">
            <v/>
          </cell>
          <cell r="F556" t="str">
            <v>32026788601120499194</v>
          </cell>
        </row>
        <row r="557">
          <cell r="A557">
            <v>2211</v>
          </cell>
          <cell r="B557" t="str">
            <v>CHOKRI</v>
          </cell>
          <cell r="C557" t="str">
            <v>BEN SGHAIR</v>
          </cell>
          <cell r="D557" t="str">
            <v>CCP</v>
          </cell>
          <cell r="E557" t="str">
            <v>SIDI EL HENI</v>
          </cell>
          <cell r="F557" t="str">
            <v>17503000000192171846</v>
          </cell>
        </row>
        <row r="558">
          <cell r="A558">
            <v>2212</v>
          </cell>
          <cell r="B558" t="str">
            <v>HAMZA</v>
          </cell>
          <cell r="C558" t="str">
            <v>MKHININI</v>
          </cell>
          <cell r="D558" t="str">
            <v>UIB</v>
          </cell>
          <cell r="E558" t="str">
            <v>MSAKEN</v>
          </cell>
          <cell r="F558" t="str">
            <v>12058000000226920741</v>
          </cell>
        </row>
        <row r="559">
          <cell r="A559">
            <v>2213</v>
          </cell>
          <cell r="B559" t="str">
            <v>MOHAMED FREDJ</v>
          </cell>
          <cell r="C559" t="str">
            <v>BERRIRI</v>
          </cell>
          <cell r="D559" t="str">
            <v>STB</v>
          </cell>
          <cell r="E559" t="str">
            <v>MSAKEN</v>
          </cell>
          <cell r="F559" t="str">
            <v>10506040524136378876</v>
          </cell>
        </row>
        <row r="560">
          <cell r="A560">
            <v>2214</v>
          </cell>
          <cell r="B560" t="str">
            <v>HOUSSEMEDDIN</v>
          </cell>
          <cell r="C560" t="str">
            <v>BOUGADDOUHA</v>
          </cell>
          <cell r="D560" t="str">
            <v>BANQUE ZITOUNA</v>
          </cell>
          <cell r="E560" t="str">
            <v>MSAKEN</v>
          </cell>
          <cell r="F560" t="str">
            <v>25066000000077601789</v>
          </cell>
        </row>
        <row r="561">
          <cell r="A561">
            <v>2215</v>
          </cell>
          <cell r="B561" t="str">
            <v>SAMEH</v>
          </cell>
          <cell r="C561" t="str">
            <v>MANSOUR</v>
          </cell>
          <cell r="D561" t="str">
            <v>CCP</v>
          </cell>
          <cell r="E561" t="str">
            <v>BORJINE</v>
          </cell>
          <cell r="F561" t="str">
            <v>17503000000259484026</v>
          </cell>
        </row>
        <row r="562">
          <cell r="A562">
            <v>2216</v>
          </cell>
          <cell r="B562" t="str">
            <v>MOHAMED WASSIM</v>
          </cell>
          <cell r="C562" t="str">
            <v>FHIMA</v>
          </cell>
          <cell r="D562" t="str">
            <v>ATTIJARI BANK</v>
          </cell>
          <cell r="E562" t="str">
            <v>MSAKEN</v>
          </cell>
          <cell r="F562" t="str">
            <v>04204067006332706804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88"/>
  <sheetViews>
    <sheetView tabSelected="1" topLeftCell="A1035" workbookViewId="0">
      <selection activeCell="C1048" sqref="C1048"/>
    </sheetView>
  </sheetViews>
  <sheetFormatPr baseColWidth="10" defaultRowHeight="14.4" x14ac:dyDescent="0.3"/>
  <cols>
    <col min="1" max="1" width="7.6640625" customWidth="1"/>
    <col min="2" max="2" width="6.44140625" bestFit="1" customWidth="1"/>
    <col min="3" max="3" width="17.109375" customWidth="1"/>
    <col min="4" max="4" width="21.33203125" customWidth="1"/>
    <col min="5" max="5" width="15.6640625" customWidth="1"/>
    <col min="6" max="6" width="6" bestFit="1" customWidth="1"/>
    <col min="7" max="7" width="10" bestFit="1" customWidth="1"/>
    <col min="8" max="9" width="11.6640625" bestFit="1" customWidth="1"/>
    <col min="10" max="10" width="27.5546875" bestFit="1" customWidth="1"/>
    <col min="11" max="11" width="17.109375" customWidth="1"/>
    <col min="14" max="14" width="19.44140625" customWidth="1"/>
    <col min="15" max="15" width="21.33203125" style="9" bestFit="1" customWidth="1"/>
    <col min="16" max="16" width="21.109375" customWidth="1"/>
  </cols>
  <sheetData>
    <row r="1" spans="1:15" ht="15.6" x14ac:dyDescent="0.3">
      <c r="A1" s="3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7" t="s">
        <v>14</v>
      </c>
    </row>
    <row r="2" spans="1:15" x14ac:dyDescent="0.3">
      <c r="A2" s="1">
        <v>100</v>
      </c>
      <c r="B2" s="17">
        <v>0</v>
      </c>
      <c r="C2" s="17" t="str">
        <f>IF(B2=0,VLOOKUP(A2,Feuil2!$A$2:$M$1241,2,FALSE)," ")</f>
        <v>JARRAR</v>
      </c>
      <c r="D2" s="17" t="str">
        <f>IF(B2=0,VLOOKUP(A2,Feuil2!$A$2:$M$1241,3,FALSE)," ")</f>
        <v>JALEL BEN ALI</v>
      </c>
      <c r="E2" s="18">
        <f>IF(B2=0,VLOOKUP(A2,Feuil2!$A$2:$M$1241,6,FALSE)," ")</f>
        <v>23125</v>
      </c>
      <c r="F2" s="17" t="str">
        <f>IF(B2=0,VLOOKUP(A2,Feuil2!$A$2:$M$1241,12,FALSE)," ")</f>
        <v>H</v>
      </c>
      <c r="G2" s="17" t="str">
        <f>IF(B2=0,VLOOKUP(A2,Feuil2!$A$2:$M$1241,11,FALSE)," ")</f>
        <v>M</v>
      </c>
      <c r="H2" s="17" t="s">
        <v>16</v>
      </c>
      <c r="I2" s="19">
        <f>IF(B2=0,VLOOKUP(A2,Feuil2!$A$2:$M$1241,7,FALSE)," ")</f>
        <v>2961061</v>
      </c>
      <c r="J2" s="17" t="str">
        <f>IF(B2=0,VLOOKUP(A2,Feuil2!$A$2:$M$1241,9,FALSE)," ")</f>
        <v>55 Route de Sfax</v>
      </c>
      <c r="K2" s="17" t="str">
        <f>IF(B2=0,VLOOKUP(A2,Feuil2!$A$2:$M$1241,10,FALSE)," ")</f>
        <v>Msaken 4070</v>
      </c>
      <c r="L2" s="17">
        <v>4070</v>
      </c>
      <c r="M2" s="17">
        <v>98793700</v>
      </c>
      <c r="N2" s="17"/>
      <c r="O2" s="20" t="str">
        <f>IF(B2=0,VLOOKUP(A2,Feuil2!$A$2:$M$1241,13,FALSE)," ")</f>
        <v>11020002050700878842</v>
      </c>
    </row>
    <row r="3" spans="1:15" x14ac:dyDescent="0.3">
      <c r="A3" s="1">
        <v>100</v>
      </c>
      <c r="B3" s="1">
        <v>1</v>
      </c>
      <c r="C3" s="1" t="s">
        <v>317</v>
      </c>
      <c r="D3" s="1" t="s">
        <v>2570</v>
      </c>
      <c r="E3" s="5">
        <v>26310</v>
      </c>
      <c r="F3" s="1" t="s">
        <v>17</v>
      </c>
      <c r="G3" s="1" t="s">
        <v>15</v>
      </c>
      <c r="H3" s="1" t="s">
        <v>16</v>
      </c>
      <c r="I3" s="6" t="str">
        <f>IF(B3=0,VLOOKUP(A3,Feuil2!$A$2:$M$1241,7,FALSE)," ")</f>
        <v xml:space="preserve"> </v>
      </c>
      <c r="J3" s="1" t="str">
        <f>IF(B3=0,VLOOKUP(A3,Feuil2!$A$2:$M$1241,9,FALSE)," ")</f>
        <v xml:space="preserve"> </v>
      </c>
      <c r="K3" s="1" t="str">
        <f>IF(B3=0,VLOOKUP(A3,Feuil2!$A$2:$M$1241,10,FALSE)," ")</f>
        <v xml:space="preserve"> </v>
      </c>
      <c r="L3" s="1"/>
      <c r="M3" s="1"/>
      <c r="N3" s="1"/>
      <c r="O3" s="8" t="str">
        <f>IF(B3=0,VLOOKUP(A3,Feuil2!$A$2:$M$1241,13,FALSE)," ")</f>
        <v xml:space="preserve"> </v>
      </c>
    </row>
    <row r="4" spans="1:15" x14ac:dyDescent="0.3">
      <c r="A4" s="1">
        <v>100</v>
      </c>
      <c r="B4" s="1">
        <v>2</v>
      </c>
      <c r="C4" s="1" t="s">
        <v>33</v>
      </c>
      <c r="D4" s="1" t="s">
        <v>139</v>
      </c>
      <c r="E4" s="5">
        <v>35702</v>
      </c>
      <c r="F4" s="1" t="s">
        <v>506</v>
      </c>
      <c r="G4" s="1" t="str">
        <f>IF(B4=0,VLOOKUP(A4,Feuil2!$A$2:$M$1241,11,FALSE)," ")</f>
        <v xml:space="preserve"> </v>
      </c>
      <c r="H4" s="1" t="s">
        <v>16</v>
      </c>
      <c r="I4" s="6" t="str">
        <f>IF(B4=0,VLOOKUP(A4,Feuil2!$A$2:$M$1241,7,FALSE)," ")</f>
        <v xml:space="preserve"> </v>
      </c>
      <c r="J4" s="1" t="str">
        <f>IF(B4=0,VLOOKUP(A4,Feuil2!$A$2:$M$1241,9,FALSE)," ")</f>
        <v xml:space="preserve"> </v>
      </c>
      <c r="K4" s="1" t="str">
        <f>IF(B4=0,VLOOKUP(A4,Feuil2!$A$2:$M$1241,10,FALSE)," ")</f>
        <v xml:space="preserve"> </v>
      </c>
      <c r="L4" s="1"/>
      <c r="M4" s="1"/>
      <c r="N4" s="1"/>
      <c r="O4" s="8" t="str">
        <f>IF(B4=0,VLOOKUP(A4,Feuil2!$A$2:$M$1241,13,FALSE)," ")</f>
        <v xml:space="preserve"> </v>
      </c>
    </row>
    <row r="5" spans="1:15" x14ac:dyDescent="0.3">
      <c r="A5" s="1">
        <v>100</v>
      </c>
      <c r="B5" s="1">
        <v>3</v>
      </c>
      <c r="C5" s="1" t="s">
        <v>33</v>
      </c>
      <c r="D5" s="1" t="s">
        <v>749</v>
      </c>
      <c r="E5" s="5">
        <v>36388</v>
      </c>
      <c r="F5" s="1" t="s">
        <v>17</v>
      </c>
      <c r="G5" s="1" t="str">
        <f>IF(B5=0,VLOOKUP(A5,Feuil2!$A$2:$M$1241,11,FALSE)," ")</f>
        <v xml:space="preserve"> </v>
      </c>
      <c r="H5" s="1" t="s">
        <v>16</v>
      </c>
      <c r="I5" s="6" t="str">
        <f>IF(B5=0,VLOOKUP(A5,Feuil2!$A$2:$M$1241,7,FALSE)," ")</f>
        <v xml:space="preserve"> </v>
      </c>
      <c r="J5" s="1" t="str">
        <f>IF(B5=0,VLOOKUP(A5,Feuil2!$A$2:$M$1241,9,FALSE)," ")</f>
        <v xml:space="preserve"> </v>
      </c>
      <c r="K5" s="1" t="str">
        <f>IF(B5=0,VLOOKUP(A5,Feuil2!$A$2:$M$1241,10,FALSE)," ")</f>
        <v xml:space="preserve"> </v>
      </c>
      <c r="L5" s="1"/>
      <c r="M5" s="1"/>
      <c r="N5" s="1"/>
      <c r="O5" s="8" t="str">
        <f>IF(B5=0,VLOOKUP(A5,Feuil2!$A$2:$M$1241,13,FALSE)," ")</f>
        <v xml:space="preserve"> </v>
      </c>
    </row>
    <row r="6" spans="1:15" x14ac:dyDescent="0.3">
      <c r="A6" s="1">
        <v>100</v>
      </c>
      <c r="B6" s="1">
        <v>4</v>
      </c>
      <c r="C6" s="1" t="s">
        <v>33</v>
      </c>
      <c r="D6" s="1" t="s">
        <v>77</v>
      </c>
      <c r="E6" s="5">
        <v>38394</v>
      </c>
      <c r="F6" s="1" t="s">
        <v>506</v>
      </c>
      <c r="G6" s="1" t="str">
        <f>IF(B6=0,VLOOKUP(A6,Feuil2!$A$2:$M$1241,11,FALSE)," ")</f>
        <v xml:space="preserve"> </v>
      </c>
      <c r="H6" s="1" t="s">
        <v>16</v>
      </c>
      <c r="I6" s="6" t="str">
        <f>IF(B6=0,VLOOKUP(A6,Feuil2!$A$2:$M$1241,7,FALSE)," ")</f>
        <v xml:space="preserve"> </v>
      </c>
      <c r="J6" s="1" t="str">
        <f>IF(B6=0,VLOOKUP(A6,Feuil2!$A$2:$M$1241,9,FALSE)," ")</f>
        <v xml:space="preserve"> </v>
      </c>
      <c r="K6" s="1" t="str">
        <f>IF(B6=0,VLOOKUP(A6,Feuil2!$A$2:$M$1241,10,FALSE)," ")</f>
        <v xml:space="preserve"> </v>
      </c>
      <c r="L6" s="1"/>
      <c r="M6" s="1"/>
      <c r="N6" s="1"/>
      <c r="O6" s="8" t="str">
        <f>IF(B6=0,VLOOKUP(A6,Feuil2!$A$2:$M$1241,13,FALSE)," ")</f>
        <v xml:space="preserve"> </v>
      </c>
    </row>
    <row r="7" spans="1:15" x14ac:dyDescent="0.3">
      <c r="A7" s="1">
        <v>100</v>
      </c>
      <c r="B7" s="1">
        <v>5</v>
      </c>
      <c r="C7" s="1" t="s">
        <v>33</v>
      </c>
      <c r="D7" s="1" t="s">
        <v>2571</v>
      </c>
      <c r="E7" s="5">
        <v>38909</v>
      </c>
      <c r="F7" s="1" t="s">
        <v>506</v>
      </c>
      <c r="G7" s="1" t="str">
        <f>IF(B7=0,VLOOKUP(A7,Feuil2!$A$2:$M$1241,11,FALSE)," ")</f>
        <v xml:space="preserve"> </v>
      </c>
      <c r="H7" s="1" t="s">
        <v>16</v>
      </c>
      <c r="I7" s="6" t="str">
        <f>IF(B7=0,VLOOKUP(A7,Feuil2!$A$2:$M$1241,7,FALSE)," ")</f>
        <v xml:space="preserve"> </v>
      </c>
      <c r="J7" s="1" t="str">
        <f>IF(B7=0,VLOOKUP(A7,Feuil2!$A$2:$M$1241,9,FALSE)," ")</f>
        <v xml:space="preserve"> </v>
      </c>
      <c r="K7" s="1" t="str">
        <f>IF(B7=0,VLOOKUP(A7,Feuil2!$A$2:$M$1241,10,FALSE)," ")</f>
        <v xml:space="preserve"> </v>
      </c>
      <c r="L7" s="1"/>
      <c r="M7" s="1"/>
      <c r="N7" s="1"/>
      <c r="O7" s="8" t="str">
        <f>IF(B7=0,VLOOKUP(A7,Feuil2!$A$2:$M$1241,13,FALSE)," ")</f>
        <v xml:space="preserve"> </v>
      </c>
    </row>
    <row r="8" spans="1:15" x14ac:dyDescent="0.3">
      <c r="A8" s="1">
        <v>134</v>
      </c>
      <c r="B8" s="17">
        <v>0</v>
      </c>
      <c r="C8" s="17" t="str">
        <f>IF(B8=0,VLOOKUP(A8,Feuil2!$A$2:$M$1241,2,FALSE)," ")</f>
        <v>JARRAR</v>
      </c>
      <c r="D8" s="17" t="str">
        <f>IF(B8=0,VLOOKUP(A8,Feuil2!$A$2:$M$1241,3,FALSE)," ")</f>
        <v>JALEL</v>
      </c>
      <c r="E8" s="18">
        <f>IF(B8=0,VLOOKUP(A8,Feuil2!$A$2:$M$1241,6,FALSE)," ")</f>
        <v>22389</v>
      </c>
      <c r="F8" s="17" t="str">
        <f>IF(B8=0,VLOOKUP(A8,Feuil2!$A$2:$M$1241,12,FALSE)," ")</f>
        <v>H</v>
      </c>
      <c r="G8" s="17" t="s">
        <v>577</v>
      </c>
      <c r="H8" s="17" t="s">
        <v>16</v>
      </c>
      <c r="I8" s="19">
        <f>IF(B8=0,VLOOKUP(A8,Feuil2!$A$2:$M$1241,7,FALSE)," ")</f>
        <v>2844703</v>
      </c>
      <c r="J8" s="17" t="str">
        <f>IF(B8=0,VLOOKUP(A8,Feuil2!$A$2:$M$1241,9,FALSE)," ")</f>
        <v>52, Rue HÃ©di Khefacha CitÃ© Erriadh</v>
      </c>
      <c r="K8" s="17" t="str">
        <f>IF(B8=0,VLOOKUP(A8,Feuil2!$A$2:$M$1241,10,FALSE)," ")</f>
        <v>Sousse</v>
      </c>
      <c r="L8" s="17"/>
      <c r="M8" s="17">
        <v>98793545</v>
      </c>
      <c r="N8" s="17"/>
      <c r="O8" s="21" t="s">
        <v>2771</v>
      </c>
    </row>
    <row r="9" spans="1:15" x14ac:dyDescent="0.3">
      <c r="A9" s="1">
        <v>134</v>
      </c>
      <c r="B9" s="1">
        <v>1</v>
      </c>
      <c r="C9" s="1" t="s">
        <v>33</v>
      </c>
      <c r="D9" s="1" t="s">
        <v>48</v>
      </c>
      <c r="E9" s="5">
        <v>34599</v>
      </c>
      <c r="F9" s="1" t="s">
        <v>506</v>
      </c>
      <c r="G9" s="1" t="str">
        <f>IF(B9=0,VLOOKUP(A9,Feuil2!$A$2:$M$1241,11,FALSE)," ")</f>
        <v xml:space="preserve"> </v>
      </c>
      <c r="H9" s="1" t="s">
        <v>16</v>
      </c>
      <c r="I9" s="6" t="str">
        <f>IF(B9=0,VLOOKUP(A9,Feuil2!$A$2:$M$1241,7,FALSE)," ")</f>
        <v xml:space="preserve"> </v>
      </c>
      <c r="J9" s="1" t="str">
        <f>IF(B9=0,VLOOKUP(A9,Feuil2!$A$2:$M$1241,9,FALSE)," ")</f>
        <v xml:space="preserve"> </v>
      </c>
      <c r="K9" s="1" t="str">
        <f>IF(B9=0,VLOOKUP(A9,Feuil2!$A$2:$M$1241,10,FALSE)," ")</f>
        <v xml:space="preserve"> </v>
      </c>
      <c r="L9" s="1"/>
      <c r="M9" s="1"/>
      <c r="N9" s="1"/>
      <c r="O9" s="8"/>
    </row>
    <row r="10" spans="1:15" x14ac:dyDescent="0.3">
      <c r="A10" s="1">
        <v>185</v>
      </c>
      <c r="B10" s="17">
        <v>0</v>
      </c>
      <c r="C10" s="17" t="str">
        <f>IF(B10=0,VLOOKUP(A10,Feuil2!$A$2:$M$1241,2,FALSE)," ")</f>
        <v>MAHJOUB NOUIR</v>
      </c>
      <c r="D10" s="17" t="str">
        <f>IF(B10=0,VLOOKUP(A10,Feuil2!$A$2:$M$1241,3,FALSE)," ")</f>
        <v>MONCEF</v>
      </c>
      <c r="E10" s="18">
        <f>IF(B10=0,VLOOKUP(A10,Feuil2!$A$2:$M$1241,6,FALSE)," ")</f>
        <v>23612</v>
      </c>
      <c r="F10" s="17" t="str">
        <f>IF(B10=0,VLOOKUP(A10,Feuil2!$A$2:$M$1241,12,FALSE)," ")</f>
        <v>H</v>
      </c>
      <c r="G10" s="17" t="str">
        <f>IF(B10=0,VLOOKUP(A10,Feuil2!$A$2:$M$1241,11,FALSE)," ")</f>
        <v>M</v>
      </c>
      <c r="H10" s="17" t="s">
        <v>16</v>
      </c>
      <c r="I10" s="19">
        <f>IF(B10=0,VLOOKUP(A10,Feuil2!$A$2:$M$1241,7,FALSE)," ")</f>
        <v>2959720</v>
      </c>
      <c r="J10" s="17" t="str">
        <f>IF(B10=0,VLOOKUP(A10,Feuil2!$A$2:$M$1241,9,FALSE)," ")</f>
        <v>37 rue Ibn Rochd</v>
      </c>
      <c r="K10" s="17" t="str">
        <f>IF(B10=0,VLOOKUP(A10,Feuil2!$A$2:$M$1241,10,FALSE)," ")</f>
        <v>Msaken 4070</v>
      </c>
      <c r="L10" s="17">
        <v>4070</v>
      </c>
      <c r="M10" s="17">
        <v>26836854</v>
      </c>
      <c r="N10" s="17"/>
      <c r="O10" s="20" t="str">
        <f>IF(B10=0,VLOOKUP(A10,Feuil2!$A$2:$M$1241,13,FALSE)," ")</f>
        <v>03508056010100247580</v>
      </c>
    </row>
    <row r="11" spans="1:15" x14ac:dyDescent="0.3">
      <c r="A11" s="1">
        <v>185</v>
      </c>
      <c r="B11" s="1">
        <v>1</v>
      </c>
      <c r="C11" s="1" t="s">
        <v>2420</v>
      </c>
      <c r="D11" s="1" t="s">
        <v>1049</v>
      </c>
      <c r="E11" s="5">
        <v>26829</v>
      </c>
      <c r="F11" s="1" t="s">
        <v>17</v>
      </c>
      <c r="G11" s="1" t="s">
        <v>15</v>
      </c>
      <c r="H11" s="1" t="s">
        <v>16</v>
      </c>
      <c r="I11" s="6" t="str">
        <f>IF(B11=0,VLOOKUP(A11,Feuil2!$A$2:$M$1241,7,FALSE)," ")</f>
        <v xml:space="preserve"> </v>
      </c>
      <c r="J11" s="1" t="str">
        <f>IF(B11=0,VLOOKUP(A11,Feuil2!$A$2:$M$1241,9,FALSE)," ")</f>
        <v xml:space="preserve"> </v>
      </c>
      <c r="K11" s="1" t="str">
        <f>IF(B11=0,VLOOKUP(A11,Feuil2!$A$2:$M$1241,10,FALSE)," ")</f>
        <v xml:space="preserve"> </v>
      </c>
      <c r="L11" s="1"/>
      <c r="M11" s="1"/>
      <c r="N11" s="1"/>
      <c r="O11" s="8" t="str">
        <f>IF(B11=0,VLOOKUP(A11,Feuil2!$A$2:$M$1241,13,FALSE)," ")</f>
        <v xml:space="preserve"> </v>
      </c>
    </row>
    <row r="12" spans="1:15" x14ac:dyDescent="0.3">
      <c r="A12" s="1">
        <v>185</v>
      </c>
      <c r="B12" s="1">
        <v>2</v>
      </c>
      <c r="C12" s="1" t="s">
        <v>695</v>
      </c>
      <c r="D12" s="1" t="s">
        <v>2347</v>
      </c>
      <c r="E12" s="5">
        <v>37775</v>
      </c>
      <c r="F12" s="1" t="s">
        <v>506</v>
      </c>
      <c r="G12" s="1" t="str">
        <f>IF(B12=0,VLOOKUP(A12,Feuil2!$A$2:$M$1241,11,FALSE)," ")</f>
        <v xml:space="preserve"> </v>
      </c>
      <c r="H12" s="1" t="s">
        <v>16</v>
      </c>
      <c r="I12" s="6" t="str">
        <f>IF(B12=0,VLOOKUP(A12,Feuil2!$A$2:$M$1241,7,FALSE)," ")</f>
        <v xml:space="preserve"> </v>
      </c>
      <c r="J12" s="1" t="str">
        <f>IF(B12=0,VLOOKUP(A12,Feuil2!$A$2:$M$1241,9,FALSE)," ")</f>
        <v xml:space="preserve"> </v>
      </c>
      <c r="K12" s="1" t="str">
        <f>IF(B12=0,VLOOKUP(A12,Feuil2!$A$2:$M$1241,10,FALSE)," ")</f>
        <v xml:space="preserve"> </v>
      </c>
      <c r="L12" s="1"/>
      <c r="M12" s="1"/>
      <c r="N12" s="1"/>
      <c r="O12" s="8" t="str">
        <f>IF(B12=0,VLOOKUP(A12,Feuil2!$A$2:$M$1241,13,FALSE)," ")</f>
        <v xml:space="preserve"> </v>
      </c>
    </row>
    <row r="13" spans="1:15" x14ac:dyDescent="0.3">
      <c r="A13" s="1">
        <v>212</v>
      </c>
      <c r="B13" s="17">
        <v>0</v>
      </c>
      <c r="C13" s="17" t="str">
        <f>IF(B13=0,VLOOKUP(A13,Feuil2!$A$2:$M$1241,2,FALSE)," ")</f>
        <v>BOUHLEL</v>
      </c>
      <c r="D13" s="17" t="str">
        <f>IF(B13=0,VLOOKUP(A13,Feuil2!$A$2:$M$1241,3,FALSE)," ")</f>
        <v>BECHIR</v>
      </c>
      <c r="E13" s="18">
        <f>IF(B13=0,VLOOKUP(A13,Feuil2!$A$2:$M$1241,6,FALSE)," ")</f>
        <v>23594</v>
      </c>
      <c r="F13" s="17" t="str">
        <f>IF(B13=0,VLOOKUP(A13,Feuil2!$A$2:$M$1241,12,FALSE)," ")</f>
        <v>H</v>
      </c>
      <c r="G13" s="17" t="str">
        <f>IF(B13=0,VLOOKUP(A13,Feuil2!$A$2:$M$1241,11,FALSE)," ")</f>
        <v>M</v>
      </c>
      <c r="H13" s="17" t="s">
        <v>16</v>
      </c>
      <c r="I13" s="19">
        <f>IF(B13=0,VLOOKUP(A13,Feuil2!$A$2:$M$1241,7,FALSE)," ")</f>
        <v>2954309</v>
      </c>
      <c r="J13" s="17" t="str">
        <f>IF(B13=0,VLOOKUP(A13,Feuil2!$A$2:$M$1241,9,FALSE)," ")</f>
        <v>Rue de Iran</v>
      </c>
      <c r="K13" s="17" t="str">
        <f>IF(B13=0,VLOOKUP(A13,Feuil2!$A$2:$M$1241,10,FALSE)," ")</f>
        <v>Msaken 4070</v>
      </c>
      <c r="L13" s="17">
        <v>4070</v>
      </c>
      <c r="M13" s="17">
        <v>98793620</v>
      </c>
      <c r="N13" s="17"/>
      <c r="O13" s="20" t="str">
        <f>IF(B13=0,VLOOKUP(A13,Feuil2!$A$2:$M$1241,13,FALSE)," ")</f>
        <v>08507000262001609096</v>
      </c>
    </row>
    <row r="14" spans="1:15" x14ac:dyDescent="0.3">
      <c r="A14" s="1">
        <v>212</v>
      </c>
      <c r="B14" s="1">
        <v>1</v>
      </c>
      <c r="C14" s="1" t="s">
        <v>176</v>
      </c>
      <c r="D14" s="1" t="s">
        <v>596</v>
      </c>
      <c r="E14" s="5">
        <v>26636</v>
      </c>
      <c r="F14" s="1" t="s">
        <v>17</v>
      </c>
      <c r="G14" s="1" t="s">
        <v>15</v>
      </c>
      <c r="H14" s="1" t="s">
        <v>16</v>
      </c>
      <c r="I14" s="6" t="str">
        <f>IF(B14=0,VLOOKUP(A14,Feuil2!$A$2:$M$1241,7,FALSE)," ")</f>
        <v xml:space="preserve"> </v>
      </c>
      <c r="J14" s="1" t="str">
        <f>IF(B14=0,VLOOKUP(A14,Feuil2!$A$2:$M$1241,9,FALSE)," ")</f>
        <v xml:space="preserve"> </v>
      </c>
      <c r="K14" s="1" t="str">
        <f>IF(B14=0,VLOOKUP(A14,Feuil2!$A$2:$M$1241,10,FALSE)," ")</f>
        <v xml:space="preserve"> </v>
      </c>
      <c r="L14" s="1"/>
      <c r="M14" s="1"/>
      <c r="N14" s="1"/>
      <c r="O14" s="8" t="str">
        <f>IF(B14=0,VLOOKUP(A14,Feuil2!$A$2:$M$1241,13,FALSE)," ")</f>
        <v xml:space="preserve"> </v>
      </c>
    </row>
    <row r="15" spans="1:15" x14ac:dyDescent="0.3">
      <c r="A15" s="1">
        <v>212</v>
      </c>
      <c r="B15" s="1">
        <v>2</v>
      </c>
      <c r="C15" s="1" t="s">
        <v>83</v>
      </c>
      <c r="D15" s="1" t="s">
        <v>61</v>
      </c>
      <c r="E15" s="5">
        <v>40328</v>
      </c>
      <c r="F15" s="1" t="s">
        <v>17</v>
      </c>
      <c r="G15" s="1" t="str">
        <f>IF(B15=0,VLOOKUP(A15,Feuil2!$A$2:$M$1241,11,FALSE)," ")</f>
        <v xml:space="preserve"> </v>
      </c>
      <c r="H15" s="1" t="s">
        <v>16</v>
      </c>
      <c r="I15" s="6" t="str">
        <f>IF(B15=0,VLOOKUP(A15,Feuil2!$A$2:$M$1241,7,FALSE)," ")</f>
        <v xml:space="preserve"> </v>
      </c>
      <c r="J15" s="1" t="str">
        <f>IF(B15=0,VLOOKUP(A15,Feuil2!$A$2:$M$1241,9,FALSE)," ")</f>
        <v xml:space="preserve"> </v>
      </c>
      <c r="K15" s="1" t="str">
        <f>IF(B15=0,VLOOKUP(A15,Feuil2!$A$2:$M$1241,10,FALSE)," ")</f>
        <v xml:space="preserve"> </v>
      </c>
      <c r="L15" s="1"/>
      <c r="M15" s="1"/>
      <c r="N15" s="1"/>
      <c r="O15" s="8" t="str">
        <f>IF(B15=0,VLOOKUP(A15,Feuil2!$A$2:$M$1241,13,FALSE)," ")</f>
        <v xml:space="preserve"> </v>
      </c>
    </row>
    <row r="16" spans="1:15" x14ac:dyDescent="0.3">
      <c r="A16" s="1">
        <v>225</v>
      </c>
      <c r="B16" s="17">
        <v>0</v>
      </c>
      <c r="C16" s="17" t="str">
        <f>IF(B16=0,VLOOKUP(A16,Feuil2!$A$2:$M$1241,2,FALSE)," ")</f>
        <v>LAYOUNI</v>
      </c>
      <c r="D16" s="17" t="str">
        <f>IF(B16=0,VLOOKUP(A16,Feuil2!$A$2:$M$1241,3,FALSE)," ")</f>
        <v>ABDELKARIM</v>
      </c>
      <c r="E16" s="18">
        <f>IF(B16=0,VLOOKUP(A16,Feuil2!$A$2:$M$1241,6,FALSE)," ")</f>
        <v>24122</v>
      </c>
      <c r="F16" s="17" t="str">
        <f>IF(B16=0,VLOOKUP(A16,Feuil2!$A$2:$M$1241,12,FALSE)," ")</f>
        <v>H</v>
      </c>
      <c r="G16" s="17" t="str">
        <f>IF(B16=0,VLOOKUP(A16,Feuil2!$A$2:$M$1241,11,FALSE)," ")</f>
        <v>M</v>
      </c>
      <c r="H16" s="17" t="s">
        <v>16</v>
      </c>
      <c r="I16" s="19">
        <f>IF(B16=0,VLOOKUP(A16,Feuil2!$A$2:$M$1241,7,FALSE)," ")</f>
        <v>2966905</v>
      </c>
      <c r="J16" s="17" t="str">
        <f>IF(B16=0,VLOOKUP(A16,Feuil2!$A$2:$M$1241,9,FALSE)," ")</f>
        <v>86 R 1er juin 1955</v>
      </c>
      <c r="K16" s="17" t="str">
        <f>IF(B16=0,VLOOKUP(A16,Feuil2!$A$2:$M$1241,10,FALSE)," ")</f>
        <v>Msaken 4070</v>
      </c>
      <c r="L16" s="17">
        <v>4070</v>
      </c>
      <c r="M16" s="17">
        <v>98793641</v>
      </c>
      <c r="N16" s="17"/>
      <c r="O16" s="20" t="str">
        <f>IF(B16=0,VLOOKUP(A16,Feuil2!$A$2:$M$1241,13,FALSE)," ")</f>
        <v>12505000000214557279</v>
      </c>
    </row>
    <row r="17" spans="1:16" x14ac:dyDescent="0.3">
      <c r="A17" s="1">
        <v>225</v>
      </c>
      <c r="B17" s="1">
        <v>1</v>
      </c>
      <c r="C17" s="1" t="s">
        <v>760</v>
      </c>
      <c r="D17" s="1" t="s">
        <v>1301</v>
      </c>
      <c r="E17" s="5">
        <v>25586</v>
      </c>
      <c r="F17" s="1" t="s">
        <v>17</v>
      </c>
      <c r="G17" s="1" t="s">
        <v>15</v>
      </c>
      <c r="H17" s="1" t="s">
        <v>16</v>
      </c>
      <c r="I17" s="6" t="str">
        <f>IF(B17=0,VLOOKUP(A17,Feuil2!$A$2:$M$1241,7,FALSE)," ")</f>
        <v xml:space="preserve"> </v>
      </c>
      <c r="J17" s="1" t="str">
        <f>IF(B17=0,VLOOKUP(A17,Feuil2!$A$2:$M$1241,9,FALSE)," ")</f>
        <v xml:space="preserve"> </v>
      </c>
      <c r="K17" s="1" t="str">
        <f>IF(B17=0,VLOOKUP(A17,Feuil2!$A$2:$M$1241,10,FALSE)," ")</f>
        <v xml:space="preserve"> </v>
      </c>
      <c r="L17" s="1"/>
      <c r="M17" s="1"/>
      <c r="N17" s="1"/>
      <c r="O17" s="8" t="str">
        <f>IF(B17=0,VLOOKUP(A17,Feuil2!$A$2:$M$1241,13,FALSE)," ")</f>
        <v xml:space="preserve"> </v>
      </c>
    </row>
    <row r="18" spans="1:16" x14ac:dyDescent="0.3">
      <c r="A18" s="1">
        <v>225</v>
      </c>
      <c r="B18" s="1">
        <v>2</v>
      </c>
      <c r="C18" s="1" t="s">
        <v>250</v>
      </c>
      <c r="D18" s="1" t="s">
        <v>2367</v>
      </c>
      <c r="E18" s="5">
        <v>34440</v>
      </c>
      <c r="F18" s="1" t="s">
        <v>17</v>
      </c>
      <c r="G18" s="1" t="str">
        <f>IF(B18=0,VLOOKUP(A18,Feuil2!$A$2:$M$1241,11,FALSE)," ")</f>
        <v xml:space="preserve"> </v>
      </c>
      <c r="H18" s="1" t="s">
        <v>16</v>
      </c>
      <c r="I18" s="6" t="str">
        <f>IF(B18=0,VLOOKUP(A18,Feuil2!$A$2:$M$1241,7,FALSE)," ")</f>
        <v xml:space="preserve"> </v>
      </c>
      <c r="J18" s="1" t="str">
        <f>IF(B18=0,VLOOKUP(A18,Feuil2!$A$2:$M$1241,9,FALSE)," ")</f>
        <v xml:space="preserve"> </v>
      </c>
      <c r="K18" s="1" t="str">
        <f>IF(B18=0,VLOOKUP(A18,Feuil2!$A$2:$M$1241,10,FALSE)," ")</f>
        <v xml:space="preserve"> </v>
      </c>
      <c r="L18" s="1"/>
      <c r="M18" s="1"/>
      <c r="N18" s="1"/>
      <c r="O18" s="8" t="str">
        <f>IF(B18=0,VLOOKUP(A18,Feuil2!$A$2:$M$1241,13,FALSE)," ")</f>
        <v xml:space="preserve"> </v>
      </c>
    </row>
    <row r="19" spans="1:16" x14ac:dyDescent="0.3">
      <c r="A19" s="1">
        <v>225</v>
      </c>
      <c r="B19" s="1">
        <v>3</v>
      </c>
      <c r="C19" s="1" t="s">
        <v>250</v>
      </c>
      <c r="D19" s="1" t="s">
        <v>2354</v>
      </c>
      <c r="E19" s="5">
        <v>36496</v>
      </c>
      <c r="F19" s="1" t="s">
        <v>17</v>
      </c>
      <c r="G19" s="1" t="str">
        <f>IF(B19=0,VLOOKUP(A19,Feuil2!$A$2:$M$1241,11,FALSE)," ")</f>
        <v xml:space="preserve"> </v>
      </c>
      <c r="H19" s="1" t="s">
        <v>16</v>
      </c>
      <c r="I19" s="6" t="str">
        <f>IF(B19=0,VLOOKUP(A19,Feuil2!$A$2:$M$1241,7,FALSE)," ")</f>
        <v xml:space="preserve"> </v>
      </c>
      <c r="J19" s="1" t="str">
        <f>IF(B19=0,VLOOKUP(A19,Feuil2!$A$2:$M$1241,9,FALSE)," ")</f>
        <v xml:space="preserve"> </v>
      </c>
      <c r="K19" s="1" t="str">
        <f>IF(B19=0,VLOOKUP(A19,Feuil2!$A$2:$M$1241,10,FALSE)," ")</f>
        <v xml:space="preserve"> </v>
      </c>
      <c r="L19" s="1"/>
      <c r="M19" s="1"/>
      <c r="N19" s="1"/>
      <c r="O19" s="8" t="str">
        <f>IF(B19=0,VLOOKUP(A19,Feuil2!$A$2:$M$1241,13,FALSE)," ")</f>
        <v xml:space="preserve"> </v>
      </c>
    </row>
    <row r="20" spans="1:16" x14ac:dyDescent="0.3">
      <c r="A20" s="1">
        <v>280</v>
      </c>
      <c r="B20" s="17">
        <v>0</v>
      </c>
      <c r="C20" s="17" t="str">
        <f>IF(B20=0,VLOOKUP(A20,Feuil2!$A$2:$M$1241,2,FALSE)," ")</f>
        <v>LAYOUNI</v>
      </c>
      <c r="D20" s="17" t="str">
        <f>IF(B20=0,VLOOKUP(A20,Feuil2!$A$2:$M$1241,3,FALSE)," ")</f>
        <v>GHAZI</v>
      </c>
      <c r="E20" s="18">
        <f>IF(B20=0,VLOOKUP(A20,Feuil2!$A$2:$M$1241,6,FALSE)," ")</f>
        <v>24181</v>
      </c>
      <c r="F20" s="17" t="str">
        <f>IF(B20=0,VLOOKUP(A20,Feuil2!$A$2:$M$1241,12,FALSE)," ")</f>
        <v>H</v>
      </c>
      <c r="G20" s="17" t="str">
        <f>IF(B20=0,VLOOKUP(A20,Feuil2!$A$2:$M$1241,11,FALSE)," ")</f>
        <v>M</v>
      </c>
      <c r="H20" s="17" t="s">
        <v>16</v>
      </c>
      <c r="I20" s="19">
        <f>IF(B20=0,VLOOKUP(A20,Feuil2!$A$2:$M$1241,7,FALSE)," ")</f>
        <v>3370974</v>
      </c>
      <c r="J20" s="17" t="str">
        <f>IF(B20=0,VLOOKUP(A20,Feuil2!$A$2:$M$1241,9,FALSE)," ")</f>
        <v>Rue 1er juin 1955</v>
      </c>
      <c r="K20" s="17" t="str">
        <f>IF(B20=0,VLOOKUP(A20,Feuil2!$A$2:$M$1241,10,FALSE)," ")</f>
        <v>Msaken 4070</v>
      </c>
      <c r="L20" s="17">
        <v>4070</v>
      </c>
      <c r="M20" s="17">
        <v>98257075</v>
      </c>
      <c r="N20" s="17"/>
      <c r="O20" s="20" t="str">
        <f>IF(B20=0,VLOOKUP(A20,Feuil2!$A$2:$M$1241,13,FALSE)," ")</f>
        <v>20009090001145941227</v>
      </c>
    </row>
    <row r="21" spans="1:16" x14ac:dyDescent="0.3">
      <c r="A21" s="1">
        <v>280</v>
      </c>
      <c r="B21" s="1">
        <v>1</v>
      </c>
      <c r="C21" s="1" t="s">
        <v>2522</v>
      </c>
      <c r="D21" s="1" t="s">
        <v>2403</v>
      </c>
      <c r="E21" s="5">
        <v>29790</v>
      </c>
      <c r="F21" s="1" t="s">
        <v>17</v>
      </c>
      <c r="G21" s="1" t="s">
        <v>15</v>
      </c>
      <c r="H21" s="1" t="s">
        <v>16</v>
      </c>
      <c r="I21" s="6" t="str">
        <f>IF(B21=0,VLOOKUP(A21,Feuil2!$A$2:$M$1241,7,FALSE)," ")</f>
        <v xml:space="preserve"> </v>
      </c>
      <c r="J21" s="1" t="str">
        <f>IF(B21=0,VLOOKUP(A21,Feuil2!$A$2:$M$1241,9,FALSE)," ")</f>
        <v xml:space="preserve"> </v>
      </c>
      <c r="K21" s="1" t="str">
        <f>IF(B21=0,VLOOKUP(A21,Feuil2!$A$2:$M$1241,10,FALSE)," ")</f>
        <v xml:space="preserve"> </v>
      </c>
      <c r="L21" s="1"/>
      <c r="M21" s="1"/>
      <c r="N21" s="1"/>
      <c r="O21" s="8" t="str">
        <f>IF(B21=0,VLOOKUP(A21,Feuil2!$A$2:$M$1241,13,FALSE)," ")</f>
        <v xml:space="preserve"> </v>
      </c>
      <c r="P21" t="s">
        <v>2805</v>
      </c>
    </row>
    <row r="22" spans="1:16" x14ac:dyDescent="0.3">
      <c r="A22" s="1">
        <v>280</v>
      </c>
      <c r="B22" s="1">
        <v>2</v>
      </c>
      <c r="C22" s="1" t="s">
        <v>250</v>
      </c>
      <c r="D22" s="1" t="s">
        <v>465</v>
      </c>
      <c r="E22" s="5">
        <v>39776</v>
      </c>
      <c r="F22" s="1" t="s">
        <v>506</v>
      </c>
      <c r="G22" s="1" t="str">
        <f>IF(B22=0,VLOOKUP(A22,Feuil2!$A$2:$M$1241,11,FALSE)," ")</f>
        <v xml:space="preserve"> </v>
      </c>
      <c r="H22" s="1" t="s">
        <v>16</v>
      </c>
      <c r="I22" s="6" t="str">
        <f>IF(B22=0,VLOOKUP(A22,Feuil2!$A$2:$M$1241,7,FALSE)," ")</f>
        <v xml:space="preserve"> </v>
      </c>
      <c r="J22" s="1" t="str">
        <f>IF(B22=0,VLOOKUP(A22,Feuil2!$A$2:$M$1241,9,FALSE)," ")</f>
        <v xml:space="preserve"> </v>
      </c>
      <c r="K22" s="1" t="str">
        <f>IF(B22=0,VLOOKUP(A22,Feuil2!$A$2:$M$1241,10,FALSE)," ")</f>
        <v xml:space="preserve"> </v>
      </c>
      <c r="L22" s="1"/>
      <c r="M22" s="1"/>
      <c r="N22" s="1"/>
      <c r="O22" s="8" t="str">
        <f>IF(B22=0,VLOOKUP(A22,Feuil2!$A$2:$M$1241,13,FALSE)," ")</f>
        <v xml:space="preserve"> </v>
      </c>
    </row>
    <row r="23" spans="1:16" x14ac:dyDescent="0.3">
      <c r="A23" s="1">
        <v>280</v>
      </c>
      <c r="B23" s="1">
        <v>3</v>
      </c>
      <c r="C23" s="1" t="s">
        <v>250</v>
      </c>
      <c r="D23" s="1" t="s">
        <v>2523</v>
      </c>
      <c r="E23" s="5">
        <v>41199</v>
      </c>
      <c r="F23" s="1" t="s">
        <v>17</v>
      </c>
      <c r="G23" s="1" t="str">
        <f>IF(B23=0,VLOOKUP(A23,Feuil2!$A$2:$M$1241,11,FALSE)," ")</f>
        <v xml:space="preserve"> </v>
      </c>
      <c r="H23" s="1" t="s">
        <v>16</v>
      </c>
      <c r="I23" s="6" t="str">
        <f>IF(B23=0,VLOOKUP(A23,Feuil2!$A$2:$M$1241,7,FALSE)," ")</f>
        <v xml:space="preserve"> </v>
      </c>
      <c r="J23" s="1" t="str">
        <f>IF(B23=0,VLOOKUP(A23,Feuil2!$A$2:$M$1241,9,FALSE)," ")</f>
        <v xml:space="preserve"> </v>
      </c>
      <c r="K23" s="1" t="str">
        <f>IF(B23=0,VLOOKUP(A23,Feuil2!$A$2:$M$1241,10,FALSE)," ")</f>
        <v xml:space="preserve"> </v>
      </c>
      <c r="L23" s="1"/>
      <c r="M23" s="1"/>
      <c r="N23" s="1"/>
      <c r="O23" s="8" t="str">
        <f>IF(B23=0,VLOOKUP(A23,Feuil2!$A$2:$M$1241,13,FALSE)," ")</f>
        <v xml:space="preserve"> </v>
      </c>
    </row>
    <row r="24" spans="1:16" x14ac:dyDescent="0.3">
      <c r="A24" s="1">
        <v>344</v>
      </c>
      <c r="B24" s="17">
        <v>0</v>
      </c>
      <c r="C24" s="17" t="str">
        <f>IF(B24=0,VLOOKUP(A24,Feuil2!$A$2:$M$1241,2,FALSE)," ")</f>
        <v>TERZAG EL BHIRI</v>
      </c>
      <c r="D24" s="17" t="str">
        <f>IF(B24=0,VLOOKUP(A24,Feuil2!$A$2:$M$1241,3,FALSE)," ")</f>
        <v>CHEDLY</v>
      </c>
      <c r="E24" s="18">
        <f>IF(B24=0,VLOOKUP(A24,Feuil2!$A$2:$M$1241,6,FALSE)," ")</f>
        <v>23694</v>
      </c>
      <c r="F24" s="17" t="str">
        <f>IF(B24=0,VLOOKUP(A24,Feuil2!$A$2:$M$1241,12,FALSE)," ")</f>
        <v>H</v>
      </c>
      <c r="G24" s="17" t="str">
        <f>IF(B24=0,VLOOKUP(A24,Feuil2!$A$2:$M$1241,11,FALSE)," ")</f>
        <v>M</v>
      </c>
      <c r="H24" s="17" t="s">
        <v>16</v>
      </c>
      <c r="I24" s="19">
        <f>IF(B24=0,VLOOKUP(A24,Feuil2!$A$2:$M$1241,7,FALSE)," ")</f>
        <v>2952362</v>
      </c>
      <c r="J24" s="17" t="str">
        <f>IF(B24=0,VLOOKUP(A24,Feuil2!$A$2:$M$1241,9,FALSE)," ")</f>
        <v>68 Rue Essomaa</v>
      </c>
      <c r="K24" s="17" t="str">
        <f>IF(B24=0,VLOOKUP(A24,Feuil2!$A$2:$M$1241,10,FALSE)," ")</f>
        <v>Msaken 4070</v>
      </c>
      <c r="L24" s="17">
        <v>4070</v>
      </c>
      <c r="M24" s="17">
        <v>98793754</v>
      </c>
      <c r="N24" s="17"/>
      <c r="O24" s="21" t="s">
        <v>2386</v>
      </c>
    </row>
    <row r="25" spans="1:16" x14ac:dyDescent="0.3">
      <c r="A25" s="1">
        <v>344</v>
      </c>
      <c r="B25" s="1">
        <v>1</v>
      </c>
      <c r="C25" s="1" t="s">
        <v>193</v>
      </c>
      <c r="D25" s="1" t="s">
        <v>1541</v>
      </c>
      <c r="E25" s="5">
        <v>27213</v>
      </c>
      <c r="F25" s="1" t="s">
        <v>17</v>
      </c>
      <c r="G25" s="1" t="s">
        <v>15</v>
      </c>
      <c r="H25" s="1" t="s">
        <v>16</v>
      </c>
      <c r="I25" s="6" t="str">
        <f>IF(B25=0,VLOOKUP(A25,Feuil2!$A$2:$M$1241,7,FALSE)," ")</f>
        <v xml:space="preserve"> </v>
      </c>
      <c r="J25" s="1" t="str">
        <f>IF(B25=0,VLOOKUP(A25,Feuil2!$A$2:$M$1241,9,FALSE)," ")</f>
        <v xml:space="preserve"> </v>
      </c>
      <c r="K25" s="1" t="str">
        <f>IF(B25=0,VLOOKUP(A25,Feuil2!$A$2:$M$1241,10,FALSE)," ")</f>
        <v xml:space="preserve"> </v>
      </c>
      <c r="L25" s="1"/>
      <c r="M25" s="1"/>
      <c r="N25" s="1"/>
      <c r="O25" s="8" t="str">
        <f>IF(B25=0,VLOOKUP(A25,Feuil2!$A$2:$M$1241,13,FALSE)," ")</f>
        <v xml:space="preserve"> </v>
      </c>
    </row>
    <row r="26" spans="1:16" x14ac:dyDescent="0.3">
      <c r="A26" s="1">
        <v>344</v>
      </c>
      <c r="B26" s="1">
        <v>2</v>
      </c>
      <c r="C26" s="1" t="s">
        <v>851</v>
      </c>
      <c r="D26" s="1" t="s">
        <v>107</v>
      </c>
      <c r="E26" s="5">
        <v>36333</v>
      </c>
      <c r="F26" s="1" t="s">
        <v>506</v>
      </c>
      <c r="G26" s="1" t="str">
        <f>IF(B26=0,VLOOKUP(A26,Feuil2!$A$2:$M$1241,11,FALSE)," ")</f>
        <v xml:space="preserve"> </v>
      </c>
      <c r="H26" s="1" t="s">
        <v>16</v>
      </c>
      <c r="I26" s="6" t="str">
        <f>IF(B26=0,VLOOKUP(A26,Feuil2!$A$2:$M$1241,7,FALSE)," ")</f>
        <v xml:space="preserve"> </v>
      </c>
      <c r="J26" s="1" t="str">
        <f>IF(B26=0,VLOOKUP(A26,Feuil2!$A$2:$M$1241,9,FALSE)," ")</f>
        <v xml:space="preserve"> </v>
      </c>
      <c r="K26" s="1" t="str">
        <f>IF(B26=0,VLOOKUP(A26,Feuil2!$A$2:$M$1241,10,FALSE)," ")</f>
        <v xml:space="preserve"> </v>
      </c>
      <c r="L26" s="1"/>
      <c r="M26" s="1"/>
      <c r="N26" s="1"/>
      <c r="O26" s="8" t="str">
        <f>IF(B26=0,VLOOKUP(A26,Feuil2!$A$2:$M$1241,13,FALSE)," ")</f>
        <v xml:space="preserve"> </v>
      </c>
    </row>
    <row r="27" spans="1:16" x14ac:dyDescent="0.3">
      <c r="A27" s="1">
        <v>344</v>
      </c>
      <c r="B27" s="1">
        <v>3</v>
      </c>
      <c r="C27" s="1" t="s">
        <v>851</v>
      </c>
      <c r="D27" s="1" t="s">
        <v>326</v>
      </c>
      <c r="E27" s="5">
        <v>42349</v>
      </c>
      <c r="F27" s="1" t="s">
        <v>506</v>
      </c>
      <c r="G27" s="1" t="str">
        <f>IF(B27=0,VLOOKUP(A27,Feuil2!$A$2:$M$1241,11,FALSE)," ")</f>
        <v xml:space="preserve"> </v>
      </c>
      <c r="H27" s="1" t="s">
        <v>16</v>
      </c>
      <c r="I27" s="6" t="str">
        <f>IF(B27=0,VLOOKUP(A27,Feuil2!$A$2:$M$1241,7,FALSE)," ")</f>
        <v xml:space="preserve"> </v>
      </c>
      <c r="J27" s="1" t="str">
        <f>IF(B27=0,VLOOKUP(A27,Feuil2!$A$2:$M$1241,9,FALSE)," ")</f>
        <v xml:space="preserve"> </v>
      </c>
      <c r="K27" s="1" t="str">
        <f>IF(B27=0,VLOOKUP(A27,Feuil2!$A$2:$M$1241,10,FALSE)," ")</f>
        <v xml:space="preserve"> </v>
      </c>
      <c r="L27" s="1"/>
      <c r="M27" s="1"/>
      <c r="N27" s="1"/>
      <c r="O27" s="8" t="str">
        <f>IF(B27=0,VLOOKUP(A27,Feuil2!$A$2:$M$1241,13,FALSE)," ")</f>
        <v xml:space="preserve"> </v>
      </c>
    </row>
    <row r="28" spans="1:16" x14ac:dyDescent="0.3">
      <c r="A28" s="1">
        <v>368</v>
      </c>
      <c r="B28" s="17">
        <v>0</v>
      </c>
      <c r="C28" s="17" t="str">
        <f>IF(B28=0,VLOOKUP(A28,Feuil2!$A$2:$M$1241,2,FALSE)," ")</f>
        <v>AJROUD</v>
      </c>
      <c r="D28" s="17" t="str">
        <f>IF(B28=0,VLOOKUP(A28,Feuil2!$A$2:$M$1241,3,FALSE)," ")</f>
        <v>RIDHA</v>
      </c>
      <c r="E28" s="18">
        <f>IF(B28=0,VLOOKUP(A28,Feuil2!$A$2:$M$1241,6,FALSE)," ")</f>
        <v>23531</v>
      </c>
      <c r="F28" s="17" t="str">
        <f>IF(B28=0,VLOOKUP(A28,Feuil2!$A$2:$M$1241,12,FALSE)," ")</f>
        <v>H</v>
      </c>
      <c r="G28" s="17" t="str">
        <f>IF(B28=0,VLOOKUP(A28,Feuil2!$A$2:$M$1241,11,FALSE)," ")</f>
        <v>M</v>
      </c>
      <c r="H28" s="17" t="s">
        <v>16</v>
      </c>
      <c r="I28" s="19">
        <f>IF(B28=0,VLOOKUP(A28,Feuil2!$A$2:$M$1241,7,FALSE)," ")</f>
        <v>2952022</v>
      </c>
      <c r="J28" s="17" t="str">
        <f>IF(B28=0,VLOOKUP(A28,Feuil2!$A$2:$M$1241,9,FALSE)," ")</f>
        <v>53 Rue de Bizert</v>
      </c>
      <c r="K28" s="17" t="str">
        <f>IF(B28=0,VLOOKUP(A28,Feuil2!$A$2:$M$1241,10,FALSE)," ")</f>
        <v>Msaken 4070</v>
      </c>
      <c r="L28" s="17">
        <v>4070</v>
      </c>
      <c r="M28" s="17">
        <v>96327094</v>
      </c>
      <c r="N28" s="17"/>
      <c r="O28" s="20" t="str">
        <f>IF(B28=0,VLOOKUP(A28,Feuil2!$A$2:$M$1241,13,FALSE)," ")</f>
        <v>10506040203075578841</v>
      </c>
    </row>
    <row r="29" spans="1:16" x14ac:dyDescent="0.3">
      <c r="A29" s="1">
        <v>368</v>
      </c>
      <c r="B29" s="1">
        <v>1</v>
      </c>
      <c r="C29" s="1" t="s">
        <v>2476</v>
      </c>
      <c r="D29" s="1" t="s">
        <v>2219</v>
      </c>
      <c r="E29" s="5">
        <v>28084</v>
      </c>
      <c r="F29" s="1" t="s">
        <v>17</v>
      </c>
      <c r="G29" s="1" t="s">
        <v>15</v>
      </c>
      <c r="H29" s="1" t="s">
        <v>16</v>
      </c>
      <c r="I29" s="6" t="str">
        <f>IF(B29=0,VLOOKUP(A29,Feuil2!$A$2:$M$1241,7,FALSE)," ")</f>
        <v xml:space="preserve"> </v>
      </c>
      <c r="J29" s="1" t="str">
        <f>IF(B29=0,VLOOKUP(A29,Feuil2!$A$2:$M$1241,9,FALSE)," ")</f>
        <v xml:space="preserve"> </v>
      </c>
      <c r="K29" s="1" t="str">
        <f>IF(B29=0,VLOOKUP(A29,Feuil2!$A$2:$M$1241,10,FALSE)," ")</f>
        <v xml:space="preserve"> </v>
      </c>
      <c r="L29" s="1"/>
      <c r="M29" s="1"/>
      <c r="N29" s="1"/>
      <c r="O29" s="8" t="str">
        <f>IF(B29=0,VLOOKUP(A29,Feuil2!$A$2:$M$1241,13,FALSE)," ")</f>
        <v xml:space="preserve"> </v>
      </c>
    </row>
    <row r="30" spans="1:16" x14ac:dyDescent="0.3">
      <c r="A30" s="1">
        <v>368</v>
      </c>
      <c r="B30" s="1">
        <v>2</v>
      </c>
      <c r="C30" s="1" t="s">
        <v>356</v>
      </c>
      <c r="D30" s="1" t="s">
        <v>2477</v>
      </c>
      <c r="E30" s="5">
        <v>35694</v>
      </c>
      <c r="F30" s="1" t="s">
        <v>17</v>
      </c>
      <c r="G30" s="1" t="str">
        <f>IF(B30=0,VLOOKUP(A30,Feuil2!$A$2:$M$1241,11,FALSE)," ")</f>
        <v xml:space="preserve"> </v>
      </c>
      <c r="H30" s="1" t="s">
        <v>16</v>
      </c>
      <c r="I30" s="6" t="str">
        <f>IF(B30=0,VLOOKUP(A30,Feuil2!$A$2:$M$1241,7,FALSE)," ")</f>
        <v xml:space="preserve"> </v>
      </c>
      <c r="J30" s="1" t="str">
        <f>IF(B30=0,VLOOKUP(A30,Feuil2!$A$2:$M$1241,9,FALSE)," ")</f>
        <v xml:space="preserve"> </v>
      </c>
      <c r="K30" s="1" t="str">
        <f>IF(B30=0,VLOOKUP(A30,Feuil2!$A$2:$M$1241,10,FALSE)," ")</f>
        <v xml:space="preserve"> </v>
      </c>
      <c r="L30" s="1"/>
      <c r="M30" s="1"/>
      <c r="N30" s="1"/>
      <c r="O30" s="8" t="str">
        <f>IF(B30=0,VLOOKUP(A30,Feuil2!$A$2:$M$1241,13,FALSE)," ")</f>
        <v xml:space="preserve"> </v>
      </c>
    </row>
    <row r="31" spans="1:16" x14ac:dyDescent="0.3">
      <c r="A31" s="1">
        <v>368</v>
      </c>
      <c r="B31" s="1">
        <v>3</v>
      </c>
      <c r="C31" s="1" t="s">
        <v>356</v>
      </c>
      <c r="D31" s="1" t="s">
        <v>89</v>
      </c>
      <c r="E31" s="5">
        <v>37819</v>
      </c>
      <c r="F31" s="1" t="s">
        <v>506</v>
      </c>
      <c r="G31" s="1" t="str">
        <f>IF(B31=0,VLOOKUP(A31,Feuil2!$A$2:$M$1241,11,FALSE)," ")</f>
        <v xml:space="preserve"> </v>
      </c>
      <c r="H31" s="1" t="s">
        <v>16</v>
      </c>
      <c r="I31" s="6" t="str">
        <f>IF(B31=0,VLOOKUP(A31,Feuil2!$A$2:$M$1241,7,FALSE)," ")</f>
        <v xml:space="preserve"> </v>
      </c>
      <c r="J31" s="1" t="str">
        <f>IF(B31=0,VLOOKUP(A31,Feuil2!$A$2:$M$1241,9,FALSE)," ")</f>
        <v xml:space="preserve"> </v>
      </c>
      <c r="K31" s="1" t="str">
        <f>IF(B31=0,VLOOKUP(A31,Feuil2!$A$2:$M$1241,10,FALSE)," ")</f>
        <v xml:space="preserve"> </v>
      </c>
      <c r="L31" s="1"/>
      <c r="M31" s="1"/>
      <c r="N31" s="1"/>
      <c r="O31" s="8" t="str">
        <f>IF(B31=0,VLOOKUP(A31,Feuil2!$A$2:$M$1241,13,FALSE)," ")</f>
        <v xml:space="preserve"> </v>
      </c>
    </row>
    <row r="32" spans="1:16" x14ac:dyDescent="0.3">
      <c r="A32" s="1">
        <v>368</v>
      </c>
      <c r="B32" s="1">
        <v>4</v>
      </c>
      <c r="C32" s="1" t="s">
        <v>356</v>
      </c>
      <c r="D32" s="1" t="s">
        <v>2331</v>
      </c>
      <c r="E32" s="5">
        <v>40271</v>
      </c>
      <c r="F32" s="1" t="s">
        <v>17</v>
      </c>
      <c r="G32" s="1" t="str">
        <f>IF(B32=0,VLOOKUP(A32,Feuil2!$A$2:$M$1241,11,FALSE)," ")</f>
        <v xml:space="preserve"> </v>
      </c>
      <c r="H32" s="1" t="s">
        <v>16</v>
      </c>
      <c r="I32" s="6" t="str">
        <f>IF(B32=0,VLOOKUP(A32,Feuil2!$A$2:$M$1241,7,FALSE)," ")</f>
        <v xml:space="preserve"> </v>
      </c>
      <c r="J32" s="1" t="str">
        <f>IF(B32=0,VLOOKUP(A32,Feuil2!$A$2:$M$1241,9,FALSE)," ")</f>
        <v xml:space="preserve"> </v>
      </c>
      <c r="K32" s="1" t="str">
        <f>IF(B32=0,VLOOKUP(A32,Feuil2!$A$2:$M$1241,10,FALSE)," ")</f>
        <v xml:space="preserve"> </v>
      </c>
      <c r="L32" s="1"/>
      <c r="M32" s="1"/>
      <c r="N32" s="1"/>
      <c r="O32" s="8" t="str">
        <f>IF(B32=0,VLOOKUP(A32,Feuil2!$A$2:$M$1241,13,FALSE)," ")</f>
        <v xml:space="preserve"> </v>
      </c>
    </row>
    <row r="33" spans="1:15" x14ac:dyDescent="0.3">
      <c r="A33" s="1">
        <v>369</v>
      </c>
      <c r="B33" s="17">
        <v>0</v>
      </c>
      <c r="C33" s="17" t="str">
        <f>IF(B33=0,VLOOKUP(A33,Feuil2!$A$2:$M$1241,2,FALSE)," ")</f>
        <v>KECHICHE</v>
      </c>
      <c r="D33" s="17" t="str">
        <f>IF(B33=0,VLOOKUP(A33,Feuil2!$A$2:$M$1241,3,FALSE)," ")</f>
        <v>BECHIR</v>
      </c>
      <c r="E33" s="18">
        <f>IF(B33=0,VLOOKUP(A33,Feuil2!$A$2:$M$1241,6,FALSE)," ")</f>
        <v>23172</v>
      </c>
      <c r="F33" s="17" t="str">
        <f>IF(B33=0,VLOOKUP(A33,Feuil2!$A$2:$M$1241,12,FALSE)," ")</f>
        <v>H</v>
      </c>
      <c r="G33" s="17" t="str">
        <f>IF(B33=0,VLOOKUP(A33,Feuil2!$A$2:$M$1241,11,FALSE)," ")</f>
        <v>M</v>
      </c>
      <c r="H33" s="17" t="s">
        <v>16</v>
      </c>
      <c r="I33" s="19">
        <f>IF(B33=0,VLOOKUP(A33,Feuil2!$A$2:$M$1241,7,FALSE)," ")</f>
        <v>2947387</v>
      </c>
      <c r="J33" s="17" t="str">
        <f>IF(B33=0,VLOOKUP(A33,Feuil2!$A$2:$M$1241,9,FALSE)," ")</f>
        <v>233 Rue Habib Thameur</v>
      </c>
      <c r="K33" s="17" t="str">
        <f>IF(B33=0,VLOOKUP(A33,Feuil2!$A$2:$M$1241,10,FALSE)," ")</f>
        <v>Msaken 4070</v>
      </c>
      <c r="L33" s="17">
        <v>4070</v>
      </c>
      <c r="M33" s="17">
        <v>95236558</v>
      </c>
      <c r="N33" s="17"/>
      <c r="O33" s="20" t="str">
        <f>IF(B33=0,VLOOKUP(A33,Feuil2!$A$2:$M$1241,13,FALSE)," ")</f>
        <v>03508056010100091895</v>
      </c>
    </row>
    <row r="34" spans="1:15" x14ac:dyDescent="0.3">
      <c r="A34" s="1">
        <v>369</v>
      </c>
      <c r="B34" s="1">
        <v>1</v>
      </c>
      <c r="C34" s="1" t="s">
        <v>475</v>
      </c>
      <c r="D34" s="1" t="s">
        <v>596</v>
      </c>
      <c r="E34" s="5">
        <v>25610</v>
      </c>
      <c r="F34" s="1" t="s">
        <v>17</v>
      </c>
      <c r="G34" s="1" t="s">
        <v>15</v>
      </c>
      <c r="H34" s="1" t="s">
        <v>16</v>
      </c>
      <c r="I34" s="6" t="str">
        <f>IF(B34=0,VLOOKUP(A34,Feuil2!$A$2:$M$1241,7,FALSE)," ")</f>
        <v xml:space="preserve"> </v>
      </c>
      <c r="J34" s="1" t="str">
        <f>IF(B34=0,VLOOKUP(A34,Feuil2!$A$2:$M$1241,9,FALSE)," ")</f>
        <v xml:space="preserve"> </v>
      </c>
      <c r="K34" s="1" t="str">
        <f>IF(B34=0,VLOOKUP(A34,Feuil2!$A$2:$M$1241,10,FALSE)," ")</f>
        <v xml:space="preserve"> </v>
      </c>
      <c r="L34" s="1"/>
      <c r="M34" s="1"/>
      <c r="N34" s="1"/>
      <c r="O34" s="8" t="str">
        <f>IF(B34=0,VLOOKUP(A34,Feuil2!$A$2:$M$1241,13,FALSE)," ")</f>
        <v xml:space="preserve"> </v>
      </c>
    </row>
    <row r="35" spans="1:15" x14ac:dyDescent="0.3">
      <c r="A35" s="1">
        <v>369</v>
      </c>
      <c r="B35" s="1">
        <v>2</v>
      </c>
      <c r="C35" s="1" t="s">
        <v>266</v>
      </c>
      <c r="D35" s="1" t="s">
        <v>2485</v>
      </c>
      <c r="E35" s="5">
        <v>34933</v>
      </c>
      <c r="F35" s="1" t="s">
        <v>506</v>
      </c>
      <c r="G35" s="1" t="str">
        <f>IF(B35=0,VLOOKUP(A35,Feuil2!$A$2:$M$1241,11,FALSE)," ")</f>
        <v xml:space="preserve"> </v>
      </c>
      <c r="H35" s="1" t="s">
        <v>16</v>
      </c>
      <c r="I35" s="6" t="str">
        <f>IF(B35=0,VLOOKUP(A35,Feuil2!$A$2:$M$1241,7,FALSE)," ")</f>
        <v xml:space="preserve"> </v>
      </c>
      <c r="J35" s="1" t="str">
        <f>IF(B35=0,VLOOKUP(A35,Feuil2!$A$2:$M$1241,9,FALSE)," ")</f>
        <v xml:space="preserve"> </v>
      </c>
      <c r="K35" s="1" t="str">
        <f>IF(B35=0,VLOOKUP(A35,Feuil2!$A$2:$M$1241,10,FALSE)," ")</f>
        <v xml:space="preserve"> </v>
      </c>
      <c r="L35" s="1"/>
      <c r="M35" s="1"/>
      <c r="N35" s="1"/>
      <c r="O35" s="8" t="str">
        <f>IF(B35=0,VLOOKUP(A35,Feuil2!$A$2:$M$1241,13,FALSE)," ")</f>
        <v xml:space="preserve"> </v>
      </c>
    </row>
    <row r="36" spans="1:15" x14ac:dyDescent="0.3">
      <c r="A36" s="1">
        <v>369</v>
      </c>
      <c r="B36" s="1">
        <v>3</v>
      </c>
      <c r="C36" s="1" t="s">
        <v>266</v>
      </c>
      <c r="D36" s="1" t="s">
        <v>749</v>
      </c>
      <c r="E36" s="5">
        <v>35301</v>
      </c>
      <c r="F36" s="1" t="s">
        <v>17</v>
      </c>
      <c r="G36" s="1" t="str">
        <f>IF(B36=0,VLOOKUP(A36,Feuil2!$A$2:$M$1241,11,FALSE)," ")</f>
        <v xml:space="preserve"> </v>
      </c>
      <c r="H36" s="1" t="s">
        <v>16</v>
      </c>
      <c r="I36" s="6" t="str">
        <f>IF(B36=0,VLOOKUP(A36,Feuil2!$A$2:$M$1241,7,FALSE)," ")</f>
        <v xml:space="preserve"> </v>
      </c>
      <c r="J36" s="1" t="str">
        <f>IF(B36=0,VLOOKUP(A36,Feuil2!$A$2:$M$1241,9,FALSE)," ")</f>
        <v xml:space="preserve"> </v>
      </c>
      <c r="K36" s="1" t="str">
        <f>IF(B36=0,VLOOKUP(A36,Feuil2!$A$2:$M$1241,10,FALSE)," ")</f>
        <v xml:space="preserve"> </v>
      </c>
      <c r="L36" s="1"/>
      <c r="M36" s="1"/>
      <c r="N36" s="1"/>
      <c r="O36" s="8" t="str">
        <f>IF(B36=0,VLOOKUP(A36,Feuil2!$A$2:$M$1241,13,FALSE)," ")</f>
        <v xml:space="preserve"> </v>
      </c>
    </row>
    <row r="37" spans="1:15" x14ac:dyDescent="0.3">
      <c r="A37" s="1">
        <v>369</v>
      </c>
      <c r="B37" s="1">
        <v>4</v>
      </c>
      <c r="C37" s="1" t="s">
        <v>266</v>
      </c>
      <c r="D37" s="1" t="s">
        <v>2219</v>
      </c>
      <c r="E37" s="5">
        <v>38491</v>
      </c>
      <c r="F37" s="1" t="s">
        <v>17</v>
      </c>
      <c r="G37" s="1" t="str">
        <f>IF(B37=0,VLOOKUP(A37,Feuil2!$A$2:$M$1241,11,FALSE)," ")</f>
        <v xml:space="preserve"> </v>
      </c>
      <c r="H37" s="1" t="s">
        <v>16</v>
      </c>
      <c r="I37" s="6" t="str">
        <f>IF(B37=0,VLOOKUP(A37,Feuil2!$A$2:$M$1241,7,FALSE)," ")</f>
        <v xml:space="preserve"> </v>
      </c>
      <c r="J37" s="1" t="str">
        <f>IF(B37=0,VLOOKUP(A37,Feuil2!$A$2:$M$1241,9,FALSE)," ")</f>
        <v xml:space="preserve"> </v>
      </c>
      <c r="K37" s="1" t="str">
        <f>IF(B37=0,VLOOKUP(A37,Feuil2!$A$2:$M$1241,10,FALSE)," ")</f>
        <v xml:space="preserve"> </v>
      </c>
      <c r="L37" s="1"/>
      <c r="M37" s="1"/>
      <c r="N37" s="1"/>
      <c r="O37" s="8" t="str">
        <f>IF(B37=0,VLOOKUP(A37,Feuil2!$A$2:$M$1241,13,FALSE)," ")</f>
        <v xml:space="preserve"> </v>
      </c>
    </row>
    <row r="38" spans="1:15" x14ac:dyDescent="0.3">
      <c r="A38" s="1">
        <v>369</v>
      </c>
      <c r="B38" s="1">
        <v>5</v>
      </c>
      <c r="C38" s="1" t="s">
        <v>266</v>
      </c>
      <c r="D38" s="1" t="s">
        <v>61</v>
      </c>
      <c r="E38" s="5">
        <v>40383</v>
      </c>
      <c r="F38" s="1" t="s">
        <v>506</v>
      </c>
      <c r="G38" s="1" t="str">
        <f>IF(B38=0,VLOOKUP(A38,Feuil2!$A$2:$M$1241,11,FALSE)," ")</f>
        <v xml:space="preserve"> </v>
      </c>
      <c r="H38" s="1" t="s">
        <v>16</v>
      </c>
      <c r="I38" s="6" t="str">
        <f>IF(B38=0,VLOOKUP(A38,Feuil2!$A$2:$M$1241,7,FALSE)," ")</f>
        <v xml:space="preserve"> </v>
      </c>
      <c r="J38" s="1" t="str">
        <f>IF(B38=0,VLOOKUP(A38,Feuil2!$A$2:$M$1241,9,FALSE)," ")</f>
        <v xml:space="preserve"> </v>
      </c>
      <c r="K38" s="1" t="str">
        <f>IF(B38=0,VLOOKUP(A38,Feuil2!$A$2:$M$1241,10,FALSE)," ")</f>
        <v xml:space="preserve"> </v>
      </c>
      <c r="L38" s="1"/>
      <c r="M38" s="1"/>
      <c r="N38" s="1"/>
      <c r="O38" s="8" t="str">
        <f>IF(B38=0,VLOOKUP(A38,Feuil2!$A$2:$M$1241,13,FALSE)," ")</f>
        <v xml:space="preserve"> </v>
      </c>
    </row>
    <row r="39" spans="1:15" x14ac:dyDescent="0.3">
      <c r="A39" s="1">
        <v>382</v>
      </c>
      <c r="B39" s="17">
        <v>0</v>
      </c>
      <c r="C39" s="17" t="str">
        <f>IF(B39=0,VLOOKUP(A39,Feuil2!$A$2:$M$1241,2,FALSE)," ")</f>
        <v>HAMILA</v>
      </c>
      <c r="D39" s="17" t="str">
        <f>IF(B39=0,VLOOKUP(A39,Feuil2!$A$2:$M$1241,3,FALSE)," ")</f>
        <v>KHALED</v>
      </c>
      <c r="E39" s="18">
        <f>IF(B39=0,VLOOKUP(A39,Feuil2!$A$2:$M$1241,6,FALSE)," ")</f>
        <v>23821</v>
      </c>
      <c r="F39" s="17" t="str">
        <f>IF(B39=0,VLOOKUP(A39,Feuil2!$A$2:$M$1241,12,FALSE)," ")</f>
        <v>H</v>
      </c>
      <c r="G39" s="17" t="str">
        <f>IF(B39=0,VLOOKUP(A39,Feuil2!$A$2:$M$1241,11,FALSE)," ")</f>
        <v>M</v>
      </c>
      <c r="H39" s="17" t="s">
        <v>16</v>
      </c>
      <c r="I39" s="19">
        <f>IF(B39=0,VLOOKUP(A39,Feuil2!$A$2:$M$1241,7,FALSE)," ")</f>
        <v>2969788</v>
      </c>
      <c r="J39" s="17" t="str">
        <f>IF(B39=0,VLOOKUP(A39,Feuil2!$A$2:$M$1241,9,FALSE)," ")</f>
        <v>18 bis Rue Bilel Ben Ribeh</v>
      </c>
      <c r="K39" s="17" t="str">
        <f>IF(B39=0,VLOOKUP(A39,Feuil2!$A$2:$M$1241,10,FALSE)," ")</f>
        <v>Msaken 4070</v>
      </c>
      <c r="L39" s="17">
        <v>4070</v>
      </c>
      <c r="M39" s="17">
        <v>98547800</v>
      </c>
      <c r="N39" s="17"/>
      <c r="O39" s="20" t="str">
        <f>IF(B39=0,VLOOKUP(A39,Feuil2!$A$2:$M$1241,13,FALSE)," ")</f>
        <v>03508056010100157952</v>
      </c>
    </row>
    <row r="40" spans="1:15" x14ac:dyDescent="0.3">
      <c r="A40" s="1">
        <v>382</v>
      </c>
      <c r="B40" s="1">
        <v>1</v>
      </c>
      <c r="C40" s="1" t="s">
        <v>2796</v>
      </c>
      <c r="D40" s="1" t="s">
        <v>2219</v>
      </c>
      <c r="E40" s="5">
        <v>27809</v>
      </c>
      <c r="F40" s="1" t="s">
        <v>17</v>
      </c>
      <c r="G40" s="1" t="s">
        <v>15</v>
      </c>
      <c r="H40" s="1" t="s">
        <v>16</v>
      </c>
      <c r="I40" s="6" t="str">
        <f>IF(B40=0,VLOOKUP(A40,Feuil2!$A$2:$M$1241,7,FALSE)," ")</f>
        <v xml:space="preserve"> </v>
      </c>
      <c r="J40" s="1" t="str">
        <f>IF(B40=0,VLOOKUP(A40,Feuil2!$A$2:$M$1241,9,FALSE)," ")</f>
        <v xml:space="preserve"> </v>
      </c>
      <c r="K40" s="1" t="str">
        <f>IF(B40=0,VLOOKUP(A40,Feuil2!$A$2:$M$1241,10,FALSE)," ")</f>
        <v xml:space="preserve"> </v>
      </c>
      <c r="L40" s="1"/>
      <c r="M40" s="1"/>
      <c r="N40" s="1"/>
      <c r="O40" s="8" t="str">
        <f>IF(B40=0,VLOOKUP(A40,Feuil2!$A$2:$M$1241,13,FALSE)," ")</f>
        <v xml:space="preserve"> </v>
      </c>
    </row>
    <row r="41" spans="1:15" x14ac:dyDescent="0.3">
      <c r="A41" s="1">
        <v>382</v>
      </c>
      <c r="B41" s="1">
        <v>2</v>
      </c>
      <c r="C41" s="1" t="s">
        <v>103</v>
      </c>
      <c r="D41" s="1" t="s">
        <v>61</v>
      </c>
      <c r="E41" s="5">
        <v>38330</v>
      </c>
      <c r="F41" s="1" t="s">
        <v>506</v>
      </c>
      <c r="G41" s="1" t="str">
        <f>IF(B41=0,VLOOKUP(A41,Feuil2!$A$2:$M$1241,11,FALSE)," ")</f>
        <v xml:space="preserve"> </v>
      </c>
      <c r="H41" s="1" t="s">
        <v>16</v>
      </c>
      <c r="I41" s="6" t="str">
        <f>IF(B41=0,VLOOKUP(A41,Feuil2!$A$2:$M$1241,7,FALSE)," ")</f>
        <v xml:space="preserve"> </v>
      </c>
      <c r="J41" s="1" t="str">
        <f>IF(B41=0,VLOOKUP(A41,Feuil2!$A$2:$M$1241,9,FALSE)," ")</f>
        <v xml:space="preserve"> </v>
      </c>
      <c r="K41" s="1" t="str">
        <f>IF(B41=0,VLOOKUP(A41,Feuil2!$A$2:$M$1241,10,FALSE)," ")</f>
        <v xml:space="preserve"> </v>
      </c>
      <c r="L41" s="1"/>
      <c r="M41" s="1"/>
      <c r="N41" s="1"/>
      <c r="O41" s="8" t="str">
        <f>IF(B41=0,VLOOKUP(A41,Feuil2!$A$2:$M$1241,13,FALSE)," ")</f>
        <v xml:space="preserve"> </v>
      </c>
    </row>
    <row r="42" spans="1:15" x14ac:dyDescent="0.3">
      <c r="A42" s="1">
        <v>382</v>
      </c>
      <c r="B42" s="1">
        <v>3</v>
      </c>
      <c r="C42" s="1" t="s">
        <v>103</v>
      </c>
      <c r="D42" s="1" t="s">
        <v>2447</v>
      </c>
      <c r="E42" s="5">
        <v>41600</v>
      </c>
      <c r="F42" s="1" t="s">
        <v>17</v>
      </c>
      <c r="G42" s="1" t="str">
        <f>IF(B42=0,VLOOKUP(A42,Feuil2!$A$2:$M$1241,11,FALSE)," ")</f>
        <v xml:space="preserve"> </v>
      </c>
      <c r="H42" s="1" t="s">
        <v>16</v>
      </c>
      <c r="I42" s="6" t="str">
        <f>IF(B42=0,VLOOKUP(A42,Feuil2!$A$2:$M$1241,7,FALSE)," ")</f>
        <v xml:space="preserve"> </v>
      </c>
      <c r="J42" s="1" t="str">
        <f>IF(B42=0,VLOOKUP(A42,Feuil2!$A$2:$M$1241,9,FALSE)," ")</f>
        <v xml:space="preserve"> </v>
      </c>
      <c r="K42" s="1" t="str">
        <f>IF(B42=0,VLOOKUP(A42,Feuil2!$A$2:$M$1241,10,FALSE)," ")</f>
        <v xml:space="preserve"> </v>
      </c>
      <c r="L42" s="1"/>
      <c r="M42" s="1"/>
      <c r="N42" s="1"/>
      <c r="O42" s="8" t="str">
        <f>IF(B42=0,VLOOKUP(A42,Feuil2!$A$2:$M$1241,13,FALSE)," ")</f>
        <v xml:space="preserve"> </v>
      </c>
    </row>
    <row r="43" spans="1:15" x14ac:dyDescent="0.3">
      <c r="A43" s="1">
        <v>426</v>
      </c>
      <c r="B43" s="17">
        <v>0</v>
      </c>
      <c r="C43" s="17" t="str">
        <f>IF(B43=0,VLOOKUP(A43,Feuil2!$A$2:$M$1241,2,FALSE)," ")</f>
        <v>AFRIT</v>
      </c>
      <c r="D43" s="17" t="str">
        <f>IF(B43=0,VLOOKUP(A43,Feuil2!$A$2:$M$1241,3,FALSE)," ")</f>
        <v>RIDHA</v>
      </c>
      <c r="E43" s="18">
        <f>IF(B43=0,VLOOKUP(A43,Feuil2!$A$2:$M$1241,6,FALSE)," ")</f>
        <v>24576</v>
      </c>
      <c r="F43" s="17" t="str">
        <f>IF(B43=0,VLOOKUP(A43,Feuil2!$A$2:$M$1241,12,FALSE)," ")</f>
        <v>H</v>
      </c>
      <c r="G43" s="17" t="str">
        <f>IF(B43=0,VLOOKUP(A43,Feuil2!$A$2:$M$1241,11,FALSE)," ")</f>
        <v>M</v>
      </c>
      <c r="H43" s="17" t="s">
        <v>16</v>
      </c>
      <c r="I43" s="19">
        <f>IF(B43=0,VLOOKUP(A43,Feuil2!$A$2:$M$1241,7,FALSE)," ")</f>
        <v>2969655</v>
      </c>
      <c r="J43" s="17" t="str">
        <f>IF(B43=0,VLOOKUP(A43,Feuil2!$A$2:$M$1241,9,FALSE)," ")</f>
        <v>129 Rue de Caire</v>
      </c>
      <c r="K43" s="17" t="str">
        <f>IF(B43=0,VLOOKUP(A43,Feuil2!$A$2:$M$1241,10,FALSE)," ")</f>
        <v>Msaken 4070</v>
      </c>
      <c r="L43" s="17">
        <v>4070</v>
      </c>
      <c r="M43" s="17">
        <v>97224625</v>
      </c>
      <c r="N43" s="17"/>
      <c r="O43" s="20" t="str">
        <f>IF(B43=0,VLOOKUP(A43,Feuil2!$A$2:$M$1241,13,FALSE)," ")</f>
        <v>12505000580100968019</v>
      </c>
    </row>
    <row r="44" spans="1:15" x14ac:dyDescent="0.3">
      <c r="A44" s="1">
        <v>426</v>
      </c>
      <c r="B44" s="1">
        <v>1</v>
      </c>
      <c r="C44" s="1" t="s">
        <v>2399</v>
      </c>
      <c r="D44" s="1" t="s">
        <v>1925</v>
      </c>
      <c r="E44" s="5">
        <v>27659</v>
      </c>
      <c r="F44" s="1" t="s">
        <v>17</v>
      </c>
      <c r="G44" s="1" t="s">
        <v>15</v>
      </c>
      <c r="H44" s="1" t="s">
        <v>16</v>
      </c>
      <c r="I44" s="6" t="str">
        <f>IF(B44=0,VLOOKUP(A44,Feuil2!$A$2:$M$1241,7,FALSE)," ")</f>
        <v xml:space="preserve"> </v>
      </c>
      <c r="J44" s="1" t="str">
        <f>IF(B44=0,VLOOKUP(A44,Feuil2!$A$2:$M$1241,9,FALSE)," ")</f>
        <v xml:space="preserve"> </v>
      </c>
      <c r="K44" s="1" t="str">
        <f>IF(B44=0,VLOOKUP(A44,Feuil2!$A$2:$M$1241,10,FALSE)," ")</f>
        <v xml:space="preserve"> </v>
      </c>
      <c r="L44" s="1"/>
      <c r="M44" s="1"/>
      <c r="N44" s="1"/>
      <c r="O44" s="8" t="str">
        <f>IF(B44=0,VLOOKUP(A44,Feuil2!$A$2:$M$1241,13,FALSE)," ")</f>
        <v xml:space="preserve"> </v>
      </c>
    </row>
    <row r="45" spans="1:15" x14ac:dyDescent="0.3">
      <c r="A45" s="1">
        <v>426</v>
      </c>
      <c r="B45" s="1">
        <v>2</v>
      </c>
      <c r="C45" s="1" t="s">
        <v>476</v>
      </c>
      <c r="D45" s="1" t="s">
        <v>2362</v>
      </c>
      <c r="E45" s="5">
        <v>36987</v>
      </c>
      <c r="F45" s="1" t="s">
        <v>17</v>
      </c>
      <c r="G45" s="1" t="str">
        <f>IF(B45=0,VLOOKUP(A45,Feuil2!$A$2:$M$1241,11,FALSE)," ")</f>
        <v xml:space="preserve"> </v>
      </c>
      <c r="H45" s="1" t="s">
        <v>16</v>
      </c>
      <c r="I45" s="6" t="str">
        <f>IF(B45=0,VLOOKUP(A45,Feuil2!$A$2:$M$1241,7,FALSE)," ")</f>
        <v xml:space="preserve"> </v>
      </c>
      <c r="J45" s="1" t="str">
        <f>IF(B45=0,VLOOKUP(A45,Feuil2!$A$2:$M$1241,9,FALSE)," ")</f>
        <v xml:space="preserve"> </v>
      </c>
      <c r="K45" s="1" t="str">
        <f>IF(B45=0,VLOOKUP(A45,Feuil2!$A$2:$M$1241,10,FALSE)," ")</f>
        <v xml:space="preserve"> </v>
      </c>
      <c r="L45" s="1"/>
      <c r="M45" s="1"/>
      <c r="N45" s="1"/>
      <c r="O45" s="8" t="str">
        <f>IF(B45=0,VLOOKUP(A45,Feuil2!$A$2:$M$1241,13,FALSE)," ")</f>
        <v xml:space="preserve"> </v>
      </c>
    </row>
    <row r="46" spans="1:15" x14ac:dyDescent="0.3">
      <c r="A46" s="1">
        <v>426</v>
      </c>
      <c r="B46" s="1">
        <v>3</v>
      </c>
      <c r="C46" s="1" t="s">
        <v>476</v>
      </c>
      <c r="D46" s="1" t="s">
        <v>2371</v>
      </c>
      <c r="E46" s="5">
        <v>37364</v>
      </c>
      <c r="F46" s="1" t="s">
        <v>17</v>
      </c>
      <c r="G46" s="1" t="str">
        <f>IF(B46=0,VLOOKUP(A46,Feuil2!$A$2:$M$1241,11,FALSE)," ")</f>
        <v xml:space="preserve"> </v>
      </c>
      <c r="H46" s="1" t="s">
        <v>16</v>
      </c>
      <c r="I46" s="6" t="str">
        <f>IF(B46=0,VLOOKUP(A46,Feuil2!$A$2:$M$1241,7,FALSE)," ")</f>
        <v xml:space="preserve"> </v>
      </c>
      <c r="J46" s="1" t="str">
        <f>IF(B46=0,VLOOKUP(A46,Feuil2!$A$2:$M$1241,9,FALSE)," ")</f>
        <v xml:space="preserve"> </v>
      </c>
      <c r="K46" s="1" t="str">
        <f>IF(B46=0,VLOOKUP(A46,Feuil2!$A$2:$M$1241,10,FALSE)," ")</f>
        <v xml:space="preserve"> </v>
      </c>
      <c r="L46" s="1"/>
      <c r="M46" s="1"/>
      <c r="N46" s="1"/>
      <c r="O46" s="8" t="str">
        <f>IF(B46=0,VLOOKUP(A46,Feuil2!$A$2:$M$1241,13,FALSE)," ")</f>
        <v xml:space="preserve"> </v>
      </c>
    </row>
    <row r="47" spans="1:15" x14ac:dyDescent="0.3">
      <c r="A47" s="1">
        <v>426</v>
      </c>
      <c r="B47" s="1">
        <v>4</v>
      </c>
      <c r="C47" s="1" t="s">
        <v>476</v>
      </c>
      <c r="D47" s="1" t="s">
        <v>384</v>
      </c>
      <c r="E47" s="5">
        <v>38752</v>
      </c>
      <c r="F47" s="1" t="s">
        <v>506</v>
      </c>
      <c r="G47" s="1" t="str">
        <f>IF(B47=0,VLOOKUP(A47,Feuil2!$A$2:$M$1241,11,FALSE)," ")</f>
        <v xml:space="preserve"> </v>
      </c>
      <c r="H47" s="1" t="s">
        <v>16</v>
      </c>
      <c r="I47" s="6" t="str">
        <f>IF(B47=0,VLOOKUP(A47,Feuil2!$A$2:$M$1241,7,FALSE)," ")</f>
        <v xml:space="preserve"> </v>
      </c>
      <c r="J47" s="1" t="str">
        <f>IF(B47=0,VLOOKUP(A47,Feuil2!$A$2:$M$1241,9,FALSE)," ")</f>
        <v xml:space="preserve"> </v>
      </c>
      <c r="K47" s="1" t="str">
        <f>IF(B47=0,VLOOKUP(A47,Feuil2!$A$2:$M$1241,10,FALSE)," ")</f>
        <v xml:space="preserve"> </v>
      </c>
      <c r="L47" s="1"/>
      <c r="M47" s="1"/>
      <c r="N47" s="1"/>
      <c r="O47" s="8" t="str">
        <f>IF(B47=0,VLOOKUP(A47,Feuil2!$A$2:$M$1241,13,FALSE)," ")</f>
        <v xml:space="preserve"> </v>
      </c>
    </row>
    <row r="48" spans="1:15" x14ac:dyDescent="0.3">
      <c r="A48" s="1">
        <v>498</v>
      </c>
      <c r="B48" s="17">
        <v>0</v>
      </c>
      <c r="C48" s="17" t="str">
        <f>IF(B48=0,VLOOKUP(A48,Feuil2!$A$2:$M$1241,2,FALSE)," ")</f>
        <v>DHIB</v>
      </c>
      <c r="D48" s="17" t="str">
        <f>IF(B48=0,VLOOKUP(A48,Feuil2!$A$2:$M$1241,3,FALSE)," ")</f>
        <v>TAOUFIK</v>
      </c>
      <c r="E48" s="18">
        <f>IF(B48=0,VLOOKUP(A48,Feuil2!$A$2:$M$1241,6,FALSE)," ")</f>
        <v>24007</v>
      </c>
      <c r="F48" s="17" t="str">
        <f>IF(B48=0,VLOOKUP(A48,Feuil2!$A$2:$M$1241,12,FALSE)," ")</f>
        <v>H</v>
      </c>
      <c r="G48" s="17" t="str">
        <f>IF(B48=0,VLOOKUP(A48,Feuil2!$A$2:$M$1241,11,FALSE)," ")</f>
        <v>M</v>
      </c>
      <c r="H48" s="17" t="s">
        <v>16</v>
      </c>
      <c r="I48" s="19">
        <f>IF(B48=0,VLOOKUP(A48,Feuil2!$A$2:$M$1241,7,FALSE)," ")</f>
        <v>2957779</v>
      </c>
      <c r="J48" s="17" t="str">
        <f>IF(B48=0,VLOOKUP(A48,Feuil2!$A$2:$M$1241,9,FALSE)," ")</f>
        <v>4014 Knaies</v>
      </c>
      <c r="K48" s="17" t="str">
        <f>IF(B48=0,VLOOKUP(A48,Feuil2!$A$2:$M$1241,10,FALSE)," ")</f>
        <v>Knaies 4014</v>
      </c>
      <c r="L48" s="17">
        <v>4070</v>
      </c>
      <c r="M48" s="17">
        <v>43351639</v>
      </c>
      <c r="N48" s="17"/>
      <c r="O48" s="20" t="str">
        <f>IF(B48=0,VLOOKUP(A48,Feuil2!$A$2:$M$1241,13,FALSE)," ")</f>
        <v>12505000000213607746</v>
      </c>
    </row>
    <row r="49" spans="1:15" x14ac:dyDescent="0.3">
      <c r="A49" s="1">
        <v>498</v>
      </c>
      <c r="B49" s="1">
        <v>1</v>
      </c>
      <c r="C49" s="1" t="s">
        <v>2563</v>
      </c>
      <c r="D49" s="1" t="s">
        <v>2099</v>
      </c>
      <c r="E49" s="5">
        <v>26336</v>
      </c>
      <c r="F49" s="1" t="s">
        <v>17</v>
      </c>
      <c r="G49" s="1" t="s">
        <v>15</v>
      </c>
      <c r="H49" s="1" t="s">
        <v>16</v>
      </c>
      <c r="I49" s="6" t="str">
        <f>IF(B49=0,VLOOKUP(A49,Feuil2!$A$2:$M$1241,7,FALSE)," ")</f>
        <v xml:space="preserve"> </v>
      </c>
      <c r="J49" s="1" t="str">
        <f>IF(B49=0,VLOOKUP(A49,Feuil2!$A$2:$M$1241,9,FALSE)," ")</f>
        <v xml:space="preserve"> </v>
      </c>
      <c r="K49" s="1" t="str">
        <f>IF(B49=0,VLOOKUP(A49,Feuil2!$A$2:$M$1241,10,FALSE)," ")</f>
        <v xml:space="preserve"> </v>
      </c>
      <c r="L49" s="1"/>
      <c r="M49" s="1"/>
      <c r="N49" s="1"/>
      <c r="O49" s="8" t="str">
        <f>IF(B49=0,VLOOKUP(A49,Feuil2!$A$2:$M$1241,13,FALSE)," ")</f>
        <v xml:space="preserve"> </v>
      </c>
    </row>
    <row r="50" spans="1:15" x14ac:dyDescent="0.3">
      <c r="A50" s="1">
        <v>498</v>
      </c>
      <c r="B50" s="1">
        <v>2</v>
      </c>
      <c r="C50" s="1" t="s">
        <v>427</v>
      </c>
      <c r="D50" s="1" t="s">
        <v>2564</v>
      </c>
      <c r="E50" s="5">
        <v>37711</v>
      </c>
      <c r="F50" s="1" t="s">
        <v>506</v>
      </c>
      <c r="G50" s="1" t="str">
        <f>IF(B50=0,VLOOKUP(A50,Feuil2!$A$2:$M$1241,11,FALSE)," ")</f>
        <v xml:space="preserve"> </v>
      </c>
      <c r="H50" s="1" t="s">
        <v>16</v>
      </c>
      <c r="I50" s="6" t="str">
        <f>IF(B50=0,VLOOKUP(A50,Feuil2!$A$2:$M$1241,7,FALSE)," ")</f>
        <v xml:space="preserve"> </v>
      </c>
      <c r="J50" s="1" t="str">
        <f>IF(B50=0,VLOOKUP(A50,Feuil2!$A$2:$M$1241,9,FALSE)," ")</f>
        <v xml:space="preserve"> </v>
      </c>
      <c r="K50" s="1" t="str">
        <f>IF(B50=0,VLOOKUP(A50,Feuil2!$A$2:$M$1241,10,FALSE)," ")</f>
        <v xml:space="preserve"> </v>
      </c>
      <c r="L50" s="1"/>
      <c r="M50" s="1"/>
      <c r="N50" s="1"/>
      <c r="O50" s="8" t="str">
        <f>IF(B50=0,VLOOKUP(A50,Feuil2!$A$2:$M$1241,13,FALSE)," ")</f>
        <v xml:space="preserve"> </v>
      </c>
    </row>
    <row r="51" spans="1:15" x14ac:dyDescent="0.3">
      <c r="A51" s="1">
        <v>503</v>
      </c>
      <c r="B51" s="17">
        <v>0</v>
      </c>
      <c r="C51" s="17" t="str">
        <f>IF(B51=0,VLOOKUP(A51,Feuil2!$A$2:$M$1241,2,FALSE)," ")</f>
        <v>BOUHLEL</v>
      </c>
      <c r="D51" s="17" t="str">
        <f>IF(B51=0,VLOOKUP(A51,Feuil2!$A$2:$M$1241,3,FALSE)," ")</f>
        <v>ABDELHAFIDH</v>
      </c>
      <c r="E51" s="18">
        <f>IF(B51=0,VLOOKUP(A51,Feuil2!$A$2:$M$1241,6,FALSE)," ")</f>
        <v>24306</v>
      </c>
      <c r="F51" s="17" t="str">
        <f>IF(B51=0,VLOOKUP(A51,Feuil2!$A$2:$M$1241,12,FALSE)," ")</f>
        <v>H</v>
      </c>
      <c r="G51" s="17" t="str">
        <f>IF(B51=0,VLOOKUP(A51,Feuil2!$A$2:$M$1241,11,FALSE)," ")</f>
        <v>M</v>
      </c>
      <c r="H51" s="17" t="s">
        <v>16</v>
      </c>
      <c r="I51" s="19">
        <f>IF(B51=0,VLOOKUP(A51,Feuil2!$A$2:$M$1241,7,FALSE)," ")</f>
        <v>2966511</v>
      </c>
      <c r="J51" s="17" t="str">
        <f>IF(B51=0,VLOOKUP(A51,Feuil2!$A$2:$M$1241,9,FALSE)," ")</f>
        <v>13, Rue des Oranges</v>
      </c>
      <c r="K51" s="17" t="str">
        <f>IF(B51=0,VLOOKUP(A51,Feuil2!$A$2:$M$1241,10,FALSE)," ")</f>
        <v>Msaken 4070</v>
      </c>
      <c r="L51" s="17">
        <v>4070</v>
      </c>
      <c r="M51" s="17">
        <v>53730054</v>
      </c>
      <c r="N51" s="17"/>
      <c r="O51" s="20" t="str">
        <f>IF(B51=0,VLOOKUP(A51,Feuil2!$A$2:$M$1241,13,FALSE)," ")</f>
        <v>10506040203259578820</v>
      </c>
    </row>
    <row r="52" spans="1:15" x14ac:dyDescent="0.3">
      <c r="A52" s="1">
        <v>503</v>
      </c>
      <c r="B52" s="1">
        <v>1</v>
      </c>
      <c r="C52" s="1" t="s">
        <v>2416</v>
      </c>
      <c r="D52" s="1" t="s">
        <v>1387</v>
      </c>
      <c r="E52" s="5">
        <v>27622</v>
      </c>
      <c r="F52" s="1" t="s">
        <v>17</v>
      </c>
      <c r="G52" s="1" t="s">
        <v>15</v>
      </c>
      <c r="H52" s="1" t="s">
        <v>16</v>
      </c>
      <c r="I52" s="6" t="str">
        <f>IF(B52=0,VLOOKUP(A52,Feuil2!$A$2:$M$1241,7,FALSE)," ")</f>
        <v xml:space="preserve"> </v>
      </c>
      <c r="J52" s="1" t="str">
        <f>IF(B52=0,VLOOKUP(A52,Feuil2!$A$2:$M$1241,9,FALSE)," ")</f>
        <v xml:space="preserve"> </v>
      </c>
      <c r="K52" s="1" t="str">
        <f>IF(B52=0,VLOOKUP(A52,Feuil2!$A$2:$M$1241,10,FALSE)," ")</f>
        <v xml:space="preserve"> </v>
      </c>
      <c r="L52" s="1"/>
      <c r="M52" s="1"/>
      <c r="N52" s="1"/>
      <c r="O52" s="8" t="str">
        <f>IF(B52=0,VLOOKUP(A52,Feuil2!$A$2:$M$1241,13,FALSE)," ")</f>
        <v xml:space="preserve"> </v>
      </c>
    </row>
    <row r="53" spans="1:15" x14ac:dyDescent="0.3">
      <c r="A53" s="1">
        <v>503</v>
      </c>
      <c r="B53" s="1">
        <v>2</v>
      </c>
      <c r="C53" s="1" t="s">
        <v>83</v>
      </c>
      <c r="D53" s="1" t="s">
        <v>237</v>
      </c>
      <c r="E53" s="5">
        <v>35627</v>
      </c>
      <c r="F53" s="1" t="s">
        <v>506</v>
      </c>
      <c r="G53" s="1" t="str">
        <f>IF(B53=0,VLOOKUP(A53,Feuil2!$A$2:$M$1241,11,FALSE)," ")</f>
        <v xml:space="preserve"> </v>
      </c>
      <c r="H53" s="1" t="s">
        <v>16</v>
      </c>
      <c r="I53" s="6" t="str">
        <f>IF(B53=0,VLOOKUP(A53,Feuil2!$A$2:$M$1241,7,FALSE)," ")</f>
        <v xml:space="preserve"> </v>
      </c>
      <c r="J53" s="1" t="str">
        <f>IF(B53=0,VLOOKUP(A53,Feuil2!$A$2:$M$1241,9,FALSE)," ")</f>
        <v xml:space="preserve"> </v>
      </c>
      <c r="K53" s="1" t="str">
        <f>IF(B53=0,VLOOKUP(A53,Feuil2!$A$2:$M$1241,10,FALSE)," ")</f>
        <v xml:space="preserve"> </v>
      </c>
      <c r="L53" s="1"/>
      <c r="M53" s="1"/>
      <c r="N53" s="1"/>
      <c r="O53" s="8" t="str">
        <f>IF(B53=0,VLOOKUP(A53,Feuil2!$A$2:$M$1241,13,FALSE)," ")</f>
        <v xml:space="preserve"> </v>
      </c>
    </row>
    <row r="54" spans="1:15" x14ac:dyDescent="0.3">
      <c r="A54" s="1">
        <v>503</v>
      </c>
      <c r="B54" s="1">
        <v>3</v>
      </c>
      <c r="C54" s="1" t="s">
        <v>83</v>
      </c>
      <c r="D54" s="1" t="s">
        <v>63</v>
      </c>
      <c r="E54" s="5">
        <v>39902</v>
      </c>
      <c r="F54" s="1" t="s">
        <v>506</v>
      </c>
      <c r="G54" s="1" t="str">
        <f>IF(B54=0,VLOOKUP(A54,Feuil2!$A$2:$M$1241,11,FALSE)," ")</f>
        <v xml:space="preserve"> </v>
      </c>
      <c r="H54" s="1" t="s">
        <v>16</v>
      </c>
      <c r="I54" s="6" t="str">
        <f>IF(B54=0,VLOOKUP(A54,Feuil2!$A$2:$M$1241,7,FALSE)," ")</f>
        <v xml:space="preserve"> </v>
      </c>
      <c r="J54" s="1" t="str">
        <f>IF(B54=0,VLOOKUP(A54,Feuil2!$A$2:$M$1241,9,FALSE)," ")</f>
        <v xml:space="preserve"> </v>
      </c>
      <c r="K54" s="1" t="str">
        <f>IF(B54=0,VLOOKUP(A54,Feuil2!$A$2:$M$1241,10,FALSE)," ")</f>
        <v xml:space="preserve"> </v>
      </c>
      <c r="L54" s="1"/>
      <c r="M54" s="1"/>
      <c r="N54" s="1"/>
      <c r="O54" s="8" t="str">
        <f>IF(B54=0,VLOOKUP(A54,Feuil2!$A$2:$M$1241,13,FALSE)," ")</f>
        <v xml:space="preserve"> </v>
      </c>
    </row>
    <row r="55" spans="1:15" x14ac:dyDescent="0.3">
      <c r="A55" s="1">
        <v>524</v>
      </c>
      <c r="B55" s="17">
        <v>0</v>
      </c>
      <c r="C55" s="17" t="str">
        <f>IF(B55=0,VLOOKUP(A55,Feuil2!$A$2:$M$1241,2,FALSE)," ")</f>
        <v>EL MAHFOUDH</v>
      </c>
      <c r="D55" s="17" t="str">
        <f>IF(B55=0,VLOOKUP(A55,Feuil2!$A$2:$M$1241,3,FALSE)," ")</f>
        <v>TAREK</v>
      </c>
      <c r="E55" s="18">
        <f>IF(B55=0,VLOOKUP(A55,Feuil2!$A$2:$M$1241,6,FALSE)," ")</f>
        <v>23044</v>
      </c>
      <c r="F55" s="17" t="str">
        <f>IF(B55=0,VLOOKUP(A55,Feuil2!$A$2:$M$1241,12,FALSE)," ")</f>
        <v>H</v>
      </c>
      <c r="G55" s="17" t="str">
        <f>IF(B55=0,VLOOKUP(A55,Feuil2!$A$2:$M$1241,11,FALSE)," ")</f>
        <v>M</v>
      </c>
      <c r="H55" s="17" t="s">
        <v>16</v>
      </c>
      <c r="I55" s="19">
        <f>IF(B55=0,VLOOKUP(A55,Feuil2!$A$2:$M$1241,7,FALSE)," ")</f>
        <v>2899298</v>
      </c>
      <c r="J55" s="17" t="str">
        <f>IF(B55=0,VLOOKUP(A55,Feuil2!$A$2:$M$1241,9,FALSE)," ")</f>
        <v>NULL</v>
      </c>
      <c r="K55" s="17" t="str">
        <f>IF(B55=0,VLOOKUP(A55,Feuil2!$A$2:$M$1241,10,FALSE)," ")</f>
        <v>NULL</v>
      </c>
      <c r="L55" s="17"/>
      <c r="M55" s="17">
        <v>98793517</v>
      </c>
      <c r="N55" s="17"/>
      <c r="O55" s="20" t="str">
        <f>IF(B55=0,VLOOKUP(A55,Feuil2!$A$2:$M$1241,13,FALSE)," ")</f>
        <v>14500500100702024154</v>
      </c>
    </row>
    <row r="56" spans="1:15" x14ac:dyDescent="0.3">
      <c r="A56" s="1">
        <v>524</v>
      </c>
      <c r="B56" s="1">
        <v>1</v>
      </c>
      <c r="C56" s="1" t="s">
        <v>2459</v>
      </c>
      <c r="D56" s="1" t="s">
        <v>2460</v>
      </c>
      <c r="E56" s="5">
        <v>23459</v>
      </c>
      <c r="F56" s="1" t="s">
        <v>17</v>
      </c>
      <c r="G56" s="1" t="s">
        <v>15</v>
      </c>
      <c r="H56" s="1" t="s">
        <v>16</v>
      </c>
      <c r="I56" s="6" t="str">
        <f>IF(B56=0,VLOOKUP(A56,Feuil2!$A$2:$M$1241,7,FALSE)," ")</f>
        <v xml:space="preserve"> </v>
      </c>
      <c r="J56" s="1" t="str">
        <f>IF(B56=0,VLOOKUP(A56,Feuil2!$A$2:$M$1241,9,FALSE)," ")</f>
        <v xml:space="preserve"> </v>
      </c>
      <c r="K56" s="1" t="str">
        <f>IF(B56=0,VLOOKUP(A56,Feuil2!$A$2:$M$1241,10,FALSE)," ")</f>
        <v xml:space="preserve"> </v>
      </c>
      <c r="L56" s="1"/>
      <c r="M56" s="1"/>
      <c r="N56" s="1"/>
      <c r="O56" s="8" t="str">
        <f>IF(B56=0,VLOOKUP(A56,Feuil2!$A$2:$M$1241,13,FALSE)," ")</f>
        <v xml:space="preserve"> </v>
      </c>
    </row>
    <row r="57" spans="1:15" x14ac:dyDescent="0.3">
      <c r="A57" s="1">
        <v>551</v>
      </c>
      <c r="B57" s="17">
        <v>0</v>
      </c>
      <c r="C57" s="17" t="str">
        <f>IF(B57=0,VLOOKUP(A57,Feuil2!$A$2:$M$1241,2,FALSE)," ")</f>
        <v>EL GADHI</v>
      </c>
      <c r="D57" s="17" t="str">
        <f>IF(B57=0,VLOOKUP(A57,Feuil2!$A$2:$M$1241,3,FALSE)," ")</f>
        <v>SALAH</v>
      </c>
      <c r="E57" s="18">
        <f>IF(B57=0,VLOOKUP(A57,Feuil2!$A$2:$M$1241,6,FALSE)," ")</f>
        <v>23091</v>
      </c>
      <c r="F57" s="17" t="str">
        <f>IF(B57=0,VLOOKUP(A57,Feuil2!$A$2:$M$1241,12,FALSE)," ")</f>
        <v>H</v>
      </c>
      <c r="G57" s="17" t="str">
        <f>IF(B57=0,VLOOKUP(A57,Feuil2!$A$2:$M$1241,11,FALSE)," ")</f>
        <v>M</v>
      </c>
      <c r="H57" s="17" t="s">
        <v>16</v>
      </c>
      <c r="I57" s="19">
        <f>IF(B57=0,VLOOKUP(A57,Feuil2!$A$2:$M$1241,7,FALSE)," ")</f>
        <v>2947807</v>
      </c>
      <c r="J57" s="17" t="str">
        <f>IF(B57=0,VLOOKUP(A57,Feuil2!$A$2:$M$1241,9,FALSE)," ")</f>
        <v>179 Rue Ali Belahouane</v>
      </c>
      <c r="K57" s="17" t="str">
        <f>IF(B57=0,VLOOKUP(A57,Feuil2!$A$2:$M$1241,10,FALSE)," ")</f>
        <v>Msaken 4070</v>
      </c>
      <c r="L57" s="17">
        <v>4070</v>
      </c>
      <c r="M57" s="17">
        <v>50672859</v>
      </c>
      <c r="N57" s="17"/>
      <c r="O57" s="20" t="str">
        <f>IF(B57=0,VLOOKUP(A57,Feuil2!$A$2:$M$1241,13,FALSE)," ")</f>
        <v>08507000262000178637</v>
      </c>
    </row>
    <row r="58" spans="1:15" x14ac:dyDescent="0.3">
      <c r="A58" s="1">
        <v>551</v>
      </c>
      <c r="B58" s="1">
        <v>1</v>
      </c>
      <c r="C58" s="1" t="s">
        <v>43</v>
      </c>
      <c r="D58" s="1" t="s">
        <v>746</v>
      </c>
      <c r="E58" s="5">
        <v>24624</v>
      </c>
      <c r="F58" s="1" t="s">
        <v>17</v>
      </c>
      <c r="G58" s="1" t="s">
        <v>15</v>
      </c>
      <c r="H58" s="1" t="s">
        <v>16</v>
      </c>
      <c r="I58" s="6" t="str">
        <f>IF(B58=0,VLOOKUP(A58,Feuil2!$A$2:$M$1241,7,FALSE)," ")</f>
        <v xml:space="preserve"> </v>
      </c>
      <c r="J58" s="1" t="str">
        <f>IF(B58=0,VLOOKUP(A58,Feuil2!$A$2:$M$1241,9,FALSE)," ")</f>
        <v xml:space="preserve"> </v>
      </c>
      <c r="K58" s="1" t="str">
        <f>IF(B58=0,VLOOKUP(A58,Feuil2!$A$2:$M$1241,10,FALSE)," ")</f>
        <v xml:space="preserve"> </v>
      </c>
      <c r="L58" s="1"/>
      <c r="M58" s="1"/>
      <c r="N58" s="1"/>
      <c r="O58" s="8" t="str">
        <f>IF(B58=0,VLOOKUP(A58,Feuil2!$A$2:$M$1241,13,FALSE)," ")</f>
        <v xml:space="preserve"> </v>
      </c>
    </row>
    <row r="59" spans="1:15" x14ac:dyDescent="0.3">
      <c r="A59" s="1">
        <v>551</v>
      </c>
      <c r="B59" s="1">
        <v>2</v>
      </c>
      <c r="C59" s="1" t="s">
        <v>58</v>
      </c>
      <c r="D59" s="1" t="s">
        <v>2499</v>
      </c>
      <c r="E59" s="5">
        <v>35977</v>
      </c>
      <c r="F59" s="1" t="s">
        <v>506</v>
      </c>
      <c r="G59" s="1" t="str">
        <f>IF(B59=0,VLOOKUP(A59,Feuil2!$A$2:$M$1241,11,FALSE)," ")</f>
        <v xml:space="preserve"> </v>
      </c>
      <c r="H59" s="1" t="s">
        <v>16</v>
      </c>
      <c r="I59" s="6" t="str">
        <f>IF(B59=0,VLOOKUP(A59,Feuil2!$A$2:$M$1241,7,FALSE)," ")</f>
        <v xml:space="preserve"> </v>
      </c>
      <c r="J59" s="1" t="str">
        <f>IF(B59=0,VLOOKUP(A59,Feuil2!$A$2:$M$1241,9,FALSE)," ")</f>
        <v xml:space="preserve"> </v>
      </c>
      <c r="K59" s="1" t="str">
        <f>IF(B59=0,VLOOKUP(A59,Feuil2!$A$2:$M$1241,10,FALSE)," ")</f>
        <v xml:space="preserve"> </v>
      </c>
      <c r="L59" s="1"/>
      <c r="M59" s="1"/>
      <c r="N59" s="1"/>
      <c r="O59" s="8" t="str">
        <f>IF(B59=0,VLOOKUP(A59,Feuil2!$A$2:$M$1241,13,FALSE)," ")</f>
        <v xml:space="preserve"> </v>
      </c>
    </row>
    <row r="60" spans="1:15" x14ac:dyDescent="0.3">
      <c r="A60" s="1">
        <v>551</v>
      </c>
      <c r="B60" s="1">
        <v>3</v>
      </c>
      <c r="C60" s="1" t="s">
        <v>58</v>
      </c>
      <c r="D60" s="1" t="s">
        <v>2446</v>
      </c>
      <c r="E60" s="5">
        <v>36434</v>
      </c>
      <c r="F60" s="1" t="s">
        <v>17</v>
      </c>
      <c r="G60" s="1" t="str">
        <f>IF(B60=0,VLOOKUP(A60,Feuil2!$A$2:$M$1241,11,FALSE)," ")</f>
        <v xml:space="preserve"> </v>
      </c>
      <c r="H60" s="1" t="s">
        <v>16</v>
      </c>
      <c r="I60" s="6" t="str">
        <f>IF(B60=0,VLOOKUP(A60,Feuil2!$A$2:$M$1241,7,FALSE)," ")</f>
        <v xml:space="preserve"> </v>
      </c>
      <c r="J60" s="1" t="str">
        <f>IF(B60=0,VLOOKUP(A60,Feuil2!$A$2:$M$1241,9,FALSE)," ")</f>
        <v xml:space="preserve"> </v>
      </c>
      <c r="K60" s="1" t="str">
        <f>IF(B60=0,VLOOKUP(A60,Feuil2!$A$2:$M$1241,10,FALSE)," ")</f>
        <v xml:space="preserve"> </v>
      </c>
      <c r="L60" s="1"/>
      <c r="M60" s="1"/>
      <c r="N60" s="1"/>
      <c r="O60" s="8" t="str">
        <f>IF(B60=0,VLOOKUP(A60,Feuil2!$A$2:$M$1241,13,FALSE)," ")</f>
        <v xml:space="preserve"> </v>
      </c>
    </row>
    <row r="61" spans="1:15" x14ac:dyDescent="0.3">
      <c r="A61" s="1">
        <v>551</v>
      </c>
      <c r="B61" s="1">
        <v>4</v>
      </c>
      <c r="C61" s="1" t="s">
        <v>58</v>
      </c>
      <c r="D61" s="1" t="s">
        <v>2440</v>
      </c>
      <c r="E61" s="5">
        <v>38959</v>
      </c>
      <c r="F61" s="1" t="s">
        <v>17</v>
      </c>
      <c r="G61" s="1" t="str">
        <f>IF(B61=0,VLOOKUP(A61,Feuil2!$A$2:$M$1241,11,FALSE)," ")</f>
        <v xml:space="preserve"> </v>
      </c>
      <c r="H61" s="1" t="s">
        <v>16</v>
      </c>
      <c r="I61" s="6" t="str">
        <f>IF(B61=0,VLOOKUP(A61,Feuil2!$A$2:$M$1241,7,FALSE)," ")</f>
        <v xml:space="preserve"> </v>
      </c>
      <c r="J61" s="1" t="str">
        <f>IF(B61=0,VLOOKUP(A61,Feuil2!$A$2:$M$1241,9,FALSE)," ")</f>
        <v xml:space="preserve"> </v>
      </c>
      <c r="K61" s="1" t="str">
        <f>IF(B61=0,VLOOKUP(A61,Feuil2!$A$2:$M$1241,10,FALSE)," ")</f>
        <v xml:space="preserve"> </v>
      </c>
      <c r="L61" s="1"/>
      <c r="M61" s="1"/>
      <c r="N61" s="1"/>
      <c r="O61" s="8" t="str">
        <f>IF(B61=0,VLOOKUP(A61,Feuil2!$A$2:$M$1241,13,FALSE)," ")</f>
        <v xml:space="preserve"> </v>
      </c>
    </row>
    <row r="62" spans="1:15" x14ac:dyDescent="0.3">
      <c r="A62" s="1">
        <v>552</v>
      </c>
      <c r="B62" s="17">
        <v>0</v>
      </c>
      <c r="C62" s="17" t="str">
        <f>IF(B62=0,VLOOKUP(A62,Feuil2!$A$2:$M$1241,2,FALSE)," ")</f>
        <v>ACHOUR</v>
      </c>
      <c r="D62" s="17" t="str">
        <f>IF(B62=0,VLOOKUP(A62,Feuil2!$A$2:$M$1241,3,FALSE)," ")</f>
        <v>KAMEL</v>
      </c>
      <c r="E62" s="18">
        <f>IF(B62=0,VLOOKUP(A62,Feuil2!$A$2:$M$1241,6,FALSE)," ")</f>
        <v>22929</v>
      </c>
      <c r="F62" s="17" t="str">
        <f>IF(B62=0,VLOOKUP(A62,Feuil2!$A$2:$M$1241,12,FALSE)," ")</f>
        <v>H</v>
      </c>
      <c r="G62" s="17" t="str">
        <f>IF(B62=0,VLOOKUP(A62,Feuil2!$A$2:$M$1241,11,FALSE)," ")</f>
        <v>M</v>
      </c>
      <c r="H62" s="17" t="s">
        <v>16</v>
      </c>
      <c r="I62" s="19">
        <f>IF(B62=0,VLOOKUP(A62,Feuil2!$A$2:$M$1241,7,FALSE)," ")</f>
        <v>2943574</v>
      </c>
      <c r="J62" s="17" t="str">
        <f>IF(B62=0,VLOOKUP(A62,Feuil2!$A$2:$M$1241,9,FALSE)," ")</f>
        <v>32 RUE 2 MARS</v>
      </c>
      <c r="K62" s="17" t="str">
        <f>IF(B62=0,VLOOKUP(A62,Feuil2!$A$2:$M$1241,10,FALSE)," ")</f>
        <v>Msaken 4070</v>
      </c>
      <c r="L62" s="17">
        <v>4070</v>
      </c>
      <c r="M62" s="17">
        <v>98783220</v>
      </c>
      <c r="N62" s="17"/>
      <c r="O62" s="20" t="str">
        <f>IF(B62=0,VLOOKUP(A62,Feuil2!$A$2:$M$1241,13,FALSE)," ")</f>
        <v>08507000262001239720</v>
      </c>
    </row>
    <row r="63" spans="1:15" x14ac:dyDescent="0.3">
      <c r="A63" s="1">
        <v>552</v>
      </c>
      <c r="B63" s="1">
        <v>1</v>
      </c>
      <c r="C63" s="1" t="s">
        <v>264</v>
      </c>
      <c r="D63" s="1" t="s">
        <v>1541</v>
      </c>
      <c r="E63" s="5">
        <v>24878</v>
      </c>
      <c r="F63" s="1" t="s">
        <v>17</v>
      </c>
      <c r="G63" s="1" t="s">
        <v>15</v>
      </c>
      <c r="H63" s="1" t="s">
        <v>16</v>
      </c>
      <c r="I63" s="6" t="str">
        <f>IF(B63=0,VLOOKUP(A63,Feuil2!$A$2:$M$1241,7,FALSE)," ")</f>
        <v xml:space="preserve"> </v>
      </c>
      <c r="J63" s="1" t="str">
        <f>IF(B63=0,VLOOKUP(A63,Feuil2!$A$2:$M$1241,9,FALSE)," ")</f>
        <v xml:space="preserve"> </v>
      </c>
      <c r="K63" s="1" t="str">
        <f>IF(B63=0,VLOOKUP(A63,Feuil2!$A$2:$M$1241,10,FALSE)," ")</f>
        <v xml:space="preserve"> </v>
      </c>
      <c r="L63" s="1"/>
      <c r="M63" s="1"/>
      <c r="N63" s="1"/>
      <c r="O63" s="8" t="str">
        <f>IF(B63=0,VLOOKUP(A63,Feuil2!$A$2:$M$1241,13,FALSE)," ")</f>
        <v xml:space="preserve"> </v>
      </c>
    </row>
    <row r="64" spans="1:15" x14ac:dyDescent="0.3">
      <c r="A64" s="1">
        <v>552</v>
      </c>
      <c r="B64" s="1">
        <v>2</v>
      </c>
      <c r="C64" s="1" t="s">
        <v>264</v>
      </c>
      <c r="D64" s="1" t="s">
        <v>2337</v>
      </c>
      <c r="E64" s="5">
        <v>34858</v>
      </c>
      <c r="F64" s="1" t="s">
        <v>17</v>
      </c>
      <c r="G64" s="1" t="str">
        <f>IF(B64=0,VLOOKUP(A64,Feuil2!$A$2:$M$1241,11,FALSE)," ")</f>
        <v xml:space="preserve"> </v>
      </c>
      <c r="H64" s="1" t="s">
        <v>16</v>
      </c>
      <c r="I64" s="6" t="str">
        <f>IF(B64=0,VLOOKUP(A64,Feuil2!$A$2:$M$1241,7,FALSE)," ")</f>
        <v xml:space="preserve"> </v>
      </c>
      <c r="J64" s="1" t="str">
        <f>IF(B64=0,VLOOKUP(A64,Feuil2!$A$2:$M$1241,9,FALSE)," ")</f>
        <v xml:space="preserve"> </v>
      </c>
      <c r="K64" s="1" t="str">
        <f>IF(B64=0,VLOOKUP(A64,Feuil2!$A$2:$M$1241,10,FALSE)," ")</f>
        <v xml:space="preserve"> </v>
      </c>
      <c r="L64" s="1"/>
      <c r="M64" s="1"/>
      <c r="N64" s="1"/>
      <c r="O64" s="8" t="str">
        <f>IF(B64=0,VLOOKUP(A64,Feuil2!$A$2:$M$1241,13,FALSE)," ")</f>
        <v xml:space="preserve"> </v>
      </c>
    </row>
    <row r="65" spans="1:16" x14ac:dyDescent="0.3">
      <c r="A65" s="1">
        <v>552</v>
      </c>
      <c r="B65" s="1">
        <v>3</v>
      </c>
      <c r="C65" s="1" t="s">
        <v>264</v>
      </c>
      <c r="D65" s="1" t="s">
        <v>34</v>
      </c>
      <c r="E65" s="5">
        <v>37758</v>
      </c>
      <c r="F65" s="1" t="s">
        <v>506</v>
      </c>
      <c r="G65" s="1" t="str">
        <f>IF(B65=0,VLOOKUP(A65,Feuil2!$A$2:$M$1241,11,FALSE)," ")</f>
        <v xml:space="preserve"> </v>
      </c>
      <c r="H65" s="1" t="s">
        <v>16</v>
      </c>
      <c r="I65" s="6" t="str">
        <f>IF(B65=0,VLOOKUP(A65,Feuil2!$A$2:$M$1241,7,FALSE)," ")</f>
        <v xml:space="preserve"> </v>
      </c>
      <c r="J65" s="1" t="str">
        <f>IF(B65=0,VLOOKUP(A65,Feuil2!$A$2:$M$1241,9,FALSE)," ")</f>
        <v xml:space="preserve"> </v>
      </c>
      <c r="K65" s="1" t="str">
        <f>IF(B65=0,VLOOKUP(A65,Feuil2!$A$2:$M$1241,10,FALSE)," ")</f>
        <v xml:space="preserve"> </v>
      </c>
      <c r="L65" s="1"/>
      <c r="M65" s="1"/>
      <c r="N65" s="1"/>
      <c r="O65" s="8" t="str">
        <f>IF(B65=0,VLOOKUP(A65,Feuil2!$A$2:$M$1241,13,FALSE)," ")</f>
        <v xml:space="preserve"> </v>
      </c>
    </row>
    <row r="66" spans="1:16" x14ac:dyDescent="0.3">
      <c r="A66" s="1">
        <v>552</v>
      </c>
      <c r="B66" s="1">
        <v>4</v>
      </c>
      <c r="C66" s="1" t="s">
        <v>264</v>
      </c>
      <c r="D66" s="1" t="s">
        <v>2491</v>
      </c>
      <c r="E66" s="5">
        <v>38158</v>
      </c>
      <c r="F66" s="1" t="s">
        <v>17</v>
      </c>
      <c r="G66" s="1" t="str">
        <f>IF(B66=0,VLOOKUP(A66,Feuil2!$A$2:$M$1241,11,FALSE)," ")</f>
        <v xml:space="preserve"> </v>
      </c>
      <c r="H66" s="1" t="s">
        <v>16</v>
      </c>
      <c r="I66" s="6" t="str">
        <f>IF(B66=0,VLOOKUP(A66,Feuil2!$A$2:$M$1241,7,FALSE)," ")</f>
        <v xml:space="preserve"> </v>
      </c>
      <c r="J66" s="1" t="str">
        <f>IF(B66=0,VLOOKUP(A66,Feuil2!$A$2:$M$1241,9,FALSE)," ")</f>
        <v xml:space="preserve"> </v>
      </c>
      <c r="K66" s="1" t="str">
        <f>IF(B66=0,VLOOKUP(A66,Feuil2!$A$2:$M$1241,10,FALSE)," ")</f>
        <v xml:space="preserve"> </v>
      </c>
      <c r="L66" s="1"/>
      <c r="M66" s="1"/>
      <c r="N66" s="1"/>
      <c r="O66" s="8" t="str">
        <f>IF(B66=0,VLOOKUP(A66,Feuil2!$A$2:$M$1241,13,FALSE)," ")</f>
        <v xml:space="preserve"> </v>
      </c>
    </row>
    <row r="67" spans="1:16" x14ac:dyDescent="0.3">
      <c r="A67" s="1">
        <v>552</v>
      </c>
      <c r="B67" s="1">
        <v>5</v>
      </c>
      <c r="C67" s="1" t="s">
        <v>264</v>
      </c>
      <c r="D67" s="1" t="s">
        <v>1925</v>
      </c>
      <c r="E67" s="5">
        <v>38734</v>
      </c>
      <c r="F67" s="1" t="s">
        <v>17</v>
      </c>
      <c r="G67" s="1" t="str">
        <f>IF(B67=0,VLOOKUP(A67,Feuil2!$A$2:$M$1241,11,FALSE)," ")</f>
        <v xml:space="preserve"> </v>
      </c>
      <c r="H67" s="1" t="s">
        <v>16</v>
      </c>
      <c r="I67" s="6" t="str">
        <f>IF(B67=0,VLOOKUP(A67,Feuil2!$A$2:$M$1241,7,FALSE)," ")</f>
        <v xml:space="preserve"> </v>
      </c>
      <c r="J67" s="1" t="str">
        <f>IF(B67=0,VLOOKUP(A67,Feuil2!$A$2:$M$1241,9,FALSE)," ")</f>
        <v xml:space="preserve"> </v>
      </c>
      <c r="K67" s="1" t="str">
        <f>IF(B67=0,VLOOKUP(A67,Feuil2!$A$2:$M$1241,10,FALSE)," ")</f>
        <v xml:space="preserve"> </v>
      </c>
      <c r="L67" s="1"/>
      <c r="M67" s="1"/>
      <c r="N67" s="1"/>
      <c r="O67" s="8" t="str">
        <f>IF(B67=0,VLOOKUP(A67,Feuil2!$A$2:$M$1241,13,FALSE)," ")</f>
        <v xml:space="preserve"> </v>
      </c>
    </row>
    <row r="68" spans="1:16" x14ac:dyDescent="0.3">
      <c r="A68" s="1">
        <v>590</v>
      </c>
      <c r="B68" s="1">
        <v>0</v>
      </c>
      <c r="C68" s="1" t="str">
        <f>IF(B68=0,VLOOKUP(A68,Feuil2!$A$2:$M$1241,2,FALSE)," ")</f>
        <v>KHALFALLAH</v>
      </c>
      <c r="D68" s="1" t="str">
        <f>IF(B68=0,VLOOKUP(A68,Feuil2!$A$2:$M$1241,3,FALSE)," ")</f>
        <v>ABDELAZIZ</v>
      </c>
      <c r="E68" s="5">
        <f>IF(B68=0,VLOOKUP(A68,Feuil2!$A$2:$M$1241,6,FALSE)," ")</f>
        <v>23999</v>
      </c>
      <c r="F68" s="1" t="str">
        <f>IF(B68=0,VLOOKUP(A68,Feuil2!$A$2:$M$1241,12,FALSE)," ")</f>
        <v>H</v>
      </c>
      <c r="G68" s="1" t="str">
        <f>IF(B68=0,VLOOKUP(A68,Feuil2!$A$2:$M$1241,11,FALSE)," ")</f>
        <v>M</v>
      </c>
      <c r="H68" s="1" t="s">
        <v>16</v>
      </c>
      <c r="I68" s="6">
        <f>IF(B68=0,VLOOKUP(A68,Feuil2!$A$2:$M$1241,7,FALSE)," ")</f>
        <v>2966622</v>
      </c>
      <c r="J68" s="1" t="str">
        <f>IF(B68=0,VLOOKUP(A68,Feuil2!$A$2:$M$1241,9,FALSE)," ")</f>
        <v>172 R Elmalek FayÃ§al</v>
      </c>
      <c r="K68" s="1" t="str">
        <f>IF(B68=0,VLOOKUP(A68,Feuil2!$A$2:$M$1241,10,FALSE)," ")</f>
        <v>Msaken 4070</v>
      </c>
      <c r="L68" s="1">
        <v>4070</v>
      </c>
      <c r="M68" s="1">
        <v>26834154</v>
      </c>
      <c r="N68" s="1"/>
      <c r="O68" s="8" t="str">
        <f>IF(B68=0,VLOOKUP(A68,Feuil2!$A$2:$M$1241,13,FALSE)," ")</f>
        <v>05048000116500489977</v>
      </c>
    </row>
    <row r="69" spans="1:16" x14ac:dyDescent="0.3">
      <c r="A69" s="1">
        <v>590</v>
      </c>
      <c r="B69" s="1">
        <v>1</v>
      </c>
      <c r="C69" s="1" t="s">
        <v>1148</v>
      </c>
      <c r="D69" s="1" t="s">
        <v>24</v>
      </c>
      <c r="E69" s="5">
        <v>24437</v>
      </c>
      <c r="F69" s="1" t="s">
        <v>17</v>
      </c>
      <c r="G69" s="1" t="s">
        <v>15</v>
      </c>
      <c r="H69" s="1" t="s">
        <v>16</v>
      </c>
      <c r="I69" s="6" t="str">
        <f>IF(B69=0,VLOOKUP(A69,Feuil2!$A$2:$M$1241,7,FALSE)," ")</f>
        <v xml:space="preserve"> </v>
      </c>
      <c r="J69" s="1" t="str">
        <f>IF(B69=0,VLOOKUP(A69,Feuil2!$A$2:$M$1241,9,FALSE)," ")</f>
        <v xml:space="preserve"> </v>
      </c>
      <c r="K69" s="1" t="str">
        <f>IF(B69=0,VLOOKUP(A69,Feuil2!$A$2:$M$1241,10,FALSE)," ")</f>
        <v xml:space="preserve"> </v>
      </c>
      <c r="L69" s="1"/>
      <c r="M69" s="1"/>
      <c r="N69" s="1"/>
      <c r="O69" s="8" t="str">
        <f>IF(B69=0,VLOOKUP(A69,Feuil2!$A$2:$M$1241,13,FALSE)," ")</f>
        <v xml:space="preserve"> </v>
      </c>
    </row>
    <row r="70" spans="1:16" x14ac:dyDescent="0.3">
      <c r="A70" s="1">
        <v>590</v>
      </c>
      <c r="B70" s="1">
        <v>3</v>
      </c>
      <c r="C70" s="1" t="s">
        <v>660</v>
      </c>
      <c r="D70" s="1" t="s">
        <v>89</v>
      </c>
      <c r="E70" s="5">
        <v>36202</v>
      </c>
      <c r="F70" s="1" t="str">
        <f>IF(B70=0,VLOOKUP(A70,Feuil2!$A$2:$M$1241,12,FALSE)," ")</f>
        <v xml:space="preserve"> </v>
      </c>
      <c r="G70" s="1" t="str">
        <f>IF(B70=0,VLOOKUP(A70,Feuil2!$A$2:$M$1241,11,FALSE)," ")</f>
        <v xml:space="preserve"> </v>
      </c>
      <c r="H70" s="1" t="s">
        <v>16</v>
      </c>
      <c r="I70" s="6" t="str">
        <f>IF(B70=0,VLOOKUP(A70,Feuil2!$A$2:$M$1241,7,FALSE)," ")</f>
        <v xml:space="preserve"> </v>
      </c>
      <c r="J70" s="1" t="str">
        <f>IF(B70=0,VLOOKUP(A70,Feuil2!$A$2:$M$1241,9,FALSE)," ")</f>
        <v xml:space="preserve"> </v>
      </c>
      <c r="K70" s="1" t="str">
        <f>IF(B70=0,VLOOKUP(A70,Feuil2!$A$2:$M$1241,10,FALSE)," ")</f>
        <v xml:space="preserve"> </v>
      </c>
      <c r="L70" s="1"/>
      <c r="M70" s="1"/>
      <c r="N70" s="1"/>
      <c r="O70" s="8" t="str">
        <f>IF(B70=0,VLOOKUP(A70,Feuil2!$A$2:$M$1241,13,FALSE)," ")</f>
        <v xml:space="preserve"> </v>
      </c>
    </row>
    <row r="71" spans="1:16" x14ac:dyDescent="0.3">
      <c r="A71" s="1">
        <v>590</v>
      </c>
      <c r="B71" s="1">
        <v>4</v>
      </c>
      <c r="C71" s="1" t="s">
        <v>660</v>
      </c>
      <c r="D71" s="1" t="s">
        <v>149</v>
      </c>
      <c r="E71" s="5">
        <v>36882</v>
      </c>
      <c r="F71" s="1" t="str">
        <f>IF(B71=0,VLOOKUP(A71,Feuil2!$A$2:$M$1241,12,FALSE)," ")</f>
        <v xml:space="preserve"> </v>
      </c>
      <c r="G71" s="1" t="str">
        <f>IF(B71=0,VLOOKUP(A71,Feuil2!$A$2:$M$1241,11,FALSE)," ")</f>
        <v xml:space="preserve"> </v>
      </c>
      <c r="H71" s="1" t="s">
        <v>16</v>
      </c>
      <c r="I71" s="6" t="str">
        <f>IF(B71=0,VLOOKUP(A71,Feuil2!$A$2:$M$1241,7,FALSE)," ")</f>
        <v xml:space="preserve"> </v>
      </c>
      <c r="J71" s="1" t="str">
        <f>IF(B71=0,VLOOKUP(A71,Feuil2!$A$2:$M$1241,9,FALSE)," ")</f>
        <v xml:space="preserve"> </v>
      </c>
      <c r="K71" s="1" t="str">
        <f>IF(B71=0,VLOOKUP(A71,Feuil2!$A$2:$M$1241,10,FALSE)," ")</f>
        <v xml:space="preserve"> </v>
      </c>
      <c r="L71" s="1"/>
      <c r="M71" s="1"/>
      <c r="N71" s="1"/>
      <c r="O71" s="8" t="str">
        <f>IF(B71=0,VLOOKUP(A71,Feuil2!$A$2:$M$1241,13,FALSE)," ")</f>
        <v xml:space="preserve"> </v>
      </c>
    </row>
    <row r="72" spans="1:16" x14ac:dyDescent="0.3">
      <c r="A72" s="1">
        <v>590</v>
      </c>
      <c r="B72" s="1">
        <v>5</v>
      </c>
      <c r="C72" s="1" t="s">
        <v>660</v>
      </c>
      <c r="D72" s="1" t="s">
        <v>2331</v>
      </c>
      <c r="E72" s="5">
        <v>37976</v>
      </c>
      <c r="F72" s="1" t="str">
        <f>IF(B72=0,VLOOKUP(A72,Feuil2!$A$2:$M$1241,12,FALSE)," ")</f>
        <v xml:space="preserve"> </v>
      </c>
      <c r="G72" s="1" t="str">
        <f>IF(B72=0,VLOOKUP(A72,Feuil2!$A$2:$M$1241,11,FALSE)," ")</f>
        <v xml:space="preserve"> </v>
      </c>
      <c r="H72" s="1" t="s">
        <v>16</v>
      </c>
      <c r="I72" s="6" t="str">
        <f>IF(B72=0,VLOOKUP(A72,Feuil2!$A$2:$M$1241,7,FALSE)," ")</f>
        <v xml:space="preserve"> </v>
      </c>
      <c r="J72" s="1" t="str">
        <f>IF(B72=0,VLOOKUP(A72,Feuil2!$A$2:$M$1241,9,FALSE)," ")</f>
        <v xml:space="preserve"> </v>
      </c>
      <c r="K72" s="1" t="str">
        <f>IF(B72=0,VLOOKUP(A72,Feuil2!$A$2:$M$1241,10,FALSE)," ")</f>
        <v xml:space="preserve"> </v>
      </c>
      <c r="L72" s="1"/>
      <c r="M72" s="1"/>
      <c r="N72" s="1"/>
      <c r="O72" s="8" t="str">
        <f>IF(B72=0,VLOOKUP(A72,Feuil2!$A$2:$M$1241,13,FALSE)," ")</f>
        <v xml:space="preserve"> </v>
      </c>
    </row>
    <row r="73" spans="1:16" x14ac:dyDescent="0.3">
      <c r="A73" s="1">
        <v>599</v>
      </c>
      <c r="B73" s="17">
        <v>0</v>
      </c>
      <c r="C73" s="17" t="str">
        <f>IF(B73=0,VLOOKUP(A73,Feuil2!$A$2:$M$1241,2,FALSE)," ")</f>
        <v>LOGHMARI</v>
      </c>
      <c r="D73" s="17" t="str">
        <f>IF(B73=0,VLOOKUP(A73,Feuil2!$A$2:$M$1241,3,FALSE)," ")</f>
        <v>MOHAMED</v>
      </c>
      <c r="E73" s="18">
        <f>IF(B73=0,VLOOKUP(A73,Feuil2!$A$2:$M$1241,6,FALSE)," ")</f>
        <v>24432</v>
      </c>
      <c r="F73" s="17" t="str">
        <f>IF(B73=0,VLOOKUP(A73,Feuil2!$A$2:$M$1241,12,FALSE)," ")</f>
        <v>H</v>
      </c>
      <c r="G73" s="17" t="str">
        <f>IF(B73=0,VLOOKUP(A73,Feuil2!$A$2:$M$1241,11,FALSE)," ")</f>
        <v>M</v>
      </c>
      <c r="H73" s="17" t="s">
        <v>16</v>
      </c>
      <c r="I73" s="19">
        <f>IF(B73=0,VLOOKUP(A73,Feuil2!$A$2:$M$1241,7,FALSE)," ")</f>
        <v>2988440</v>
      </c>
      <c r="J73" s="17" t="str">
        <f>IF(B73=0,VLOOKUP(A73,Feuil2!$A$2:$M$1241,9,FALSE)," ")</f>
        <v>23 RUE ETIHAD</v>
      </c>
      <c r="K73" s="17" t="str">
        <f>IF(B73=0,VLOOKUP(A73,Feuil2!$A$2:$M$1241,10,FALSE)," ")</f>
        <v>Msaken 4070</v>
      </c>
      <c r="L73" s="17">
        <v>4070</v>
      </c>
      <c r="M73" s="17">
        <v>97479787</v>
      </c>
      <c r="N73" s="17"/>
      <c r="O73" s="21" t="s">
        <v>2361</v>
      </c>
      <c r="P73" t="s">
        <v>2805</v>
      </c>
    </row>
    <row r="74" spans="1:16" x14ac:dyDescent="0.3">
      <c r="A74" s="1">
        <v>599</v>
      </c>
      <c r="B74" s="1">
        <v>1</v>
      </c>
      <c r="C74" s="1" t="s">
        <v>190</v>
      </c>
      <c r="D74" s="1" t="s">
        <v>890</v>
      </c>
      <c r="E74" s="5">
        <v>26112</v>
      </c>
      <c r="F74" s="1" t="s">
        <v>17</v>
      </c>
      <c r="G74" s="1" t="s">
        <v>15</v>
      </c>
      <c r="H74" s="1" t="s">
        <v>16</v>
      </c>
      <c r="I74" s="6" t="str">
        <f>IF(B74=0,VLOOKUP(A74,Feuil2!$A$2:$M$1241,7,FALSE)," ")</f>
        <v xml:space="preserve"> </v>
      </c>
      <c r="J74" s="1" t="str">
        <f>IF(B74=0,VLOOKUP(A74,Feuil2!$A$2:$M$1241,9,FALSE)," ")</f>
        <v xml:space="preserve"> </v>
      </c>
      <c r="K74" s="1" t="str">
        <f>IF(B74=0,VLOOKUP(A74,Feuil2!$A$2:$M$1241,10,FALSE)," ")</f>
        <v xml:space="preserve"> </v>
      </c>
      <c r="L74" s="1"/>
      <c r="M74" s="1"/>
      <c r="N74" s="1"/>
      <c r="O74" s="8" t="str">
        <f>IF(B74=0,VLOOKUP(A74,Feuil2!$A$2:$M$1241,13,FALSE)," ")</f>
        <v xml:space="preserve"> </v>
      </c>
    </row>
    <row r="75" spans="1:16" x14ac:dyDescent="0.3">
      <c r="A75" s="1">
        <v>599</v>
      </c>
      <c r="B75" s="1">
        <v>2</v>
      </c>
      <c r="C75" s="1" t="s">
        <v>199</v>
      </c>
      <c r="D75" s="1" t="s">
        <v>402</v>
      </c>
      <c r="E75" s="5">
        <v>35692</v>
      </c>
      <c r="F75" s="1" t="s">
        <v>17</v>
      </c>
      <c r="G75" s="1" t="str">
        <f>IF(B75=0,VLOOKUP(A75,Feuil2!$A$2:$M$1241,11,FALSE)," ")</f>
        <v xml:space="preserve"> </v>
      </c>
      <c r="H75" s="1" t="s">
        <v>16</v>
      </c>
      <c r="I75" s="6" t="str">
        <f>IF(B75=0,VLOOKUP(A75,Feuil2!$A$2:$M$1241,7,FALSE)," ")</f>
        <v xml:space="preserve"> </v>
      </c>
      <c r="J75" s="1" t="str">
        <f>IF(B75=0,VLOOKUP(A75,Feuil2!$A$2:$M$1241,9,FALSE)," ")</f>
        <v xml:space="preserve"> </v>
      </c>
      <c r="K75" s="1" t="str">
        <f>IF(B75=0,VLOOKUP(A75,Feuil2!$A$2:$M$1241,10,FALSE)," ")</f>
        <v xml:space="preserve"> </v>
      </c>
      <c r="L75" s="1"/>
      <c r="M75" s="1"/>
      <c r="N75" s="1"/>
      <c r="O75" s="8" t="str">
        <f>IF(B75=0,VLOOKUP(A75,Feuil2!$A$2:$M$1241,13,FALSE)," ")</f>
        <v xml:space="preserve"> </v>
      </c>
    </row>
    <row r="76" spans="1:16" x14ac:dyDescent="0.3">
      <c r="A76" s="1">
        <v>599</v>
      </c>
      <c r="B76" s="1">
        <v>3</v>
      </c>
      <c r="C76" s="1" t="s">
        <v>199</v>
      </c>
      <c r="D76" s="1" t="s">
        <v>2345</v>
      </c>
      <c r="E76" s="5">
        <v>38394</v>
      </c>
      <c r="F76" s="1" t="s">
        <v>17</v>
      </c>
      <c r="G76" s="1" t="str">
        <f>IF(B76=0,VLOOKUP(A76,Feuil2!$A$2:$M$1241,11,FALSE)," ")</f>
        <v xml:space="preserve"> </v>
      </c>
      <c r="H76" s="1" t="s">
        <v>16</v>
      </c>
      <c r="I76" s="6" t="str">
        <f>IF(B76=0,VLOOKUP(A76,Feuil2!$A$2:$M$1241,7,FALSE)," ")</f>
        <v xml:space="preserve"> </v>
      </c>
      <c r="J76" s="1" t="str">
        <f>IF(B76=0,VLOOKUP(A76,Feuil2!$A$2:$M$1241,9,FALSE)," ")</f>
        <v xml:space="preserve"> </v>
      </c>
      <c r="K76" s="1" t="str">
        <f>IF(B76=0,VLOOKUP(A76,Feuil2!$A$2:$M$1241,10,FALSE)," ")</f>
        <v xml:space="preserve"> </v>
      </c>
      <c r="L76" s="1"/>
      <c r="M76" s="1"/>
      <c r="N76" s="1"/>
      <c r="O76" s="8" t="str">
        <f>IF(B76=0,VLOOKUP(A76,Feuil2!$A$2:$M$1241,13,FALSE)," ")</f>
        <v xml:space="preserve"> </v>
      </c>
    </row>
    <row r="77" spans="1:16" x14ac:dyDescent="0.3">
      <c r="A77" s="1">
        <v>599</v>
      </c>
      <c r="B77" s="1">
        <v>4</v>
      </c>
      <c r="C77" s="1" t="s">
        <v>199</v>
      </c>
      <c r="D77" s="1" t="s">
        <v>2346</v>
      </c>
      <c r="E77" s="5">
        <v>38394</v>
      </c>
      <c r="F77" s="1" t="s">
        <v>506</v>
      </c>
      <c r="G77" s="1" t="str">
        <f>IF(B77=0,VLOOKUP(A77,Feuil2!$A$2:$M$1241,11,FALSE)," ")</f>
        <v xml:space="preserve"> </v>
      </c>
      <c r="H77" s="1" t="s">
        <v>16</v>
      </c>
      <c r="I77" s="6" t="str">
        <f>IF(B77=0,VLOOKUP(A77,Feuil2!$A$2:$M$1241,7,FALSE)," ")</f>
        <v xml:space="preserve"> </v>
      </c>
      <c r="J77" s="1" t="str">
        <f>IF(B77=0,VLOOKUP(A77,Feuil2!$A$2:$M$1241,9,FALSE)," ")</f>
        <v xml:space="preserve"> </v>
      </c>
      <c r="K77" s="1" t="str">
        <f>IF(B77=0,VLOOKUP(A77,Feuil2!$A$2:$M$1241,10,FALSE)," ")</f>
        <v xml:space="preserve"> </v>
      </c>
      <c r="L77" s="1"/>
      <c r="M77" s="1"/>
      <c r="N77" s="1"/>
      <c r="O77" s="8" t="str">
        <f>IF(B77=0,VLOOKUP(A77,Feuil2!$A$2:$M$1241,13,FALSE)," ")</f>
        <v xml:space="preserve"> </v>
      </c>
    </row>
    <row r="78" spans="1:16" x14ac:dyDescent="0.3">
      <c r="A78" s="1">
        <v>599</v>
      </c>
      <c r="B78" s="1">
        <v>5</v>
      </c>
      <c r="C78" s="1" t="s">
        <v>199</v>
      </c>
      <c r="D78" s="1" t="s">
        <v>2347</v>
      </c>
      <c r="E78" s="5">
        <v>39780</v>
      </c>
      <c r="F78" s="1" t="s">
        <v>506</v>
      </c>
      <c r="G78" s="1" t="str">
        <f>IF(B78=0,VLOOKUP(A78,Feuil2!$A$2:$M$1241,11,FALSE)," ")</f>
        <v xml:space="preserve"> </v>
      </c>
      <c r="H78" s="1" t="s">
        <v>16</v>
      </c>
      <c r="I78" s="6" t="str">
        <f>IF(B78=0,VLOOKUP(A78,Feuil2!$A$2:$M$1241,7,FALSE)," ")</f>
        <v xml:space="preserve"> </v>
      </c>
      <c r="J78" s="1" t="str">
        <f>IF(B78=0,VLOOKUP(A78,Feuil2!$A$2:$M$1241,9,FALSE)," ")</f>
        <v xml:space="preserve"> </v>
      </c>
      <c r="K78" s="1" t="str">
        <f>IF(B78=0,VLOOKUP(A78,Feuil2!$A$2:$M$1241,10,FALSE)," ")</f>
        <v xml:space="preserve"> </v>
      </c>
      <c r="L78" s="1"/>
      <c r="M78" s="1"/>
      <c r="N78" s="1"/>
      <c r="O78" s="8" t="str">
        <f>IF(B78=0,VLOOKUP(A78,Feuil2!$A$2:$M$1241,13,FALSE)," ")</f>
        <v xml:space="preserve"> </v>
      </c>
    </row>
    <row r="79" spans="1:16" x14ac:dyDescent="0.3">
      <c r="A79" s="1">
        <v>606</v>
      </c>
      <c r="B79" s="17">
        <v>0</v>
      </c>
      <c r="C79" s="17" t="str">
        <f>IF(B79=0,VLOOKUP(A79,Feuil2!$A$2:$M$1241,2,FALSE)," ")</f>
        <v>MABROUK</v>
      </c>
      <c r="D79" s="17" t="str">
        <f>IF(B79=0,VLOOKUP(A79,Feuil2!$A$2:$M$1241,3,FALSE)," ")</f>
        <v>FREDJ</v>
      </c>
      <c r="E79" s="18">
        <f>IF(B79=0,VLOOKUP(A79,Feuil2!$A$2:$M$1241,6,FALSE)," ")</f>
        <v>23084</v>
      </c>
      <c r="F79" s="17" t="str">
        <f>IF(B79=0,VLOOKUP(A79,Feuil2!$A$2:$M$1241,12,FALSE)," ")</f>
        <v>H</v>
      </c>
      <c r="G79" s="17" t="str">
        <f>IF(B79=0,VLOOKUP(A79,Feuil2!$A$2:$M$1241,11,FALSE)," ")</f>
        <v>M</v>
      </c>
      <c r="H79" s="17" t="s">
        <v>16</v>
      </c>
      <c r="I79" s="19">
        <f>IF(B79=0,VLOOKUP(A79,Feuil2!$A$2:$M$1241,7,FALSE)," ")</f>
        <v>2945471</v>
      </c>
      <c r="J79" s="17" t="str">
        <f>IF(B79=0,VLOOKUP(A79,Feuil2!$A$2:$M$1241,9,FALSE)," ")</f>
        <v>Rue Abou Zamaa Elbelaoui</v>
      </c>
      <c r="K79" s="17" t="str">
        <f>IF(B79=0,VLOOKUP(A79,Feuil2!$A$2:$M$1241,10,FALSE)," ")</f>
        <v>Msaken 4070</v>
      </c>
      <c r="L79" s="17">
        <v>4070</v>
      </c>
      <c r="M79" s="17">
        <v>97122332</v>
      </c>
      <c r="N79" s="17"/>
      <c r="O79" s="20" t="str">
        <f>IF(B79=0,VLOOKUP(A79,Feuil2!$A$2:$M$1241,13,FALSE)," ")</f>
        <v>10506040511727378881</v>
      </c>
    </row>
    <row r="80" spans="1:16" x14ac:dyDescent="0.3">
      <c r="A80" s="1">
        <v>606</v>
      </c>
      <c r="B80" s="1">
        <v>1</v>
      </c>
      <c r="C80" s="1" t="s">
        <v>33</v>
      </c>
      <c r="D80" s="1" t="s">
        <v>413</v>
      </c>
      <c r="E80" s="5">
        <v>27779</v>
      </c>
      <c r="F80" s="1" t="s">
        <v>17</v>
      </c>
      <c r="G80" s="1" t="s">
        <v>15</v>
      </c>
      <c r="H80" s="1" t="s">
        <v>16</v>
      </c>
      <c r="I80" s="6" t="str">
        <f>IF(B80=0,VLOOKUP(A80,Feuil2!$A$2:$M$1241,7,FALSE)," ")</f>
        <v xml:space="preserve"> </v>
      </c>
      <c r="J80" s="1" t="str">
        <f>IF(B80=0,VLOOKUP(A80,Feuil2!$A$2:$M$1241,9,FALSE)," ")</f>
        <v xml:space="preserve"> </v>
      </c>
      <c r="K80" s="1" t="str">
        <f>IF(B80=0,VLOOKUP(A80,Feuil2!$A$2:$M$1241,10,FALSE)," ")</f>
        <v xml:space="preserve"> </v>
      </c>
      <c r="L80" s="1"/>
      <c r="M80" s="1"/>
      <c r="N80" s="1"/>
      <c r="O80" s="8" t="str">
        <f>IF(B80=0,VLOOKUP(A80,Feuil2!$A$2:$M$1241,13,FALSE)," ")</f>
        <v xml:space="preserve"> </v>
      </c>
    </row>
    <row r="81" spans="1:16" x14ac:dyDescent="0.3">
      <c r="A81" s="1">
        <v>606</v>
      </c>
      <c r="B81" s="1">
        <v>2</v>
      </c>
      <c r="C81" s="1" t="s">
        <v>251</v>
      </c>
      <c r="D81" s="1" t="s">
        <v>2407</v>
      </c>
      <c r="E81" s="5">
        <v>36031</v>
      </c>
      <c r="F81" s="1" t="s">
        <v>17</v>
      </c>
      <c r="G81" s="1" t="str">
        <f>IF(B81=0,VLOOKUP(A81,Feuil2!$A$2:$M$1241,11,FALSE)," ")</f>
        <v xml:space="preserve"> </v>
      </c>
      <c r="H81" s="1" t="s">
        <v>16</v>
      </c>
      <c r="I81" s="6" t="str">
        <f>IF(B81=0,VLOOKUP(A81,Feuil2!$A$2:$M$1241,7,FALSE)," ")</f>
        <v xml:space="preserve"> </v>
      </c>
      <c r="J81" s="1" t="str">
        <f>IF(B81=0,VLOOKUP(A81,Feuil2!$A$2:$M$1241,9,FALSE)," ")</f>
        <v xml:space="preserve"> </v>
      </c>
      <c r="K81" s="1" t="str">
        <f>IF(B81=0,VLOOKUP(A81,Feuil2!$A$2:$M$1241,10,FALSE)," ")</f>
        <v xml:space="preserve"> </v>
      </c>
      <c r="L81" s="1"/>
      <c r="M81" s="1"/>
      <c r="N81" s="1"/>
      <c r="O81" s="8" t="str">
        <f>IF(B81=0,VLOOKUP(A81,Feuil2!$A$2:$M$1241,13,FALSE)," ")</f>
        <v xml:space="preserve"> </v>
      </c>
    </row>
    <row r="82" spans="1:16" x14ac:dyDescent="0.3">
      <c r="A82" s="1">
        <v>606</v>
      </c>
      <c r="B82" s="1">
        <v>3</v>
      </c>
      <c r="C82" s="1" t="s">
        <v>251</v>
      </c>
      <c r="D82" s="1" t="s">
        <v>1596</v>
      </c>
      <c r="E82" s="5">
        <v>36506</v>
      </c>
      <c r="F82" s="1" t="s">
        <v>506</v>
      </c>
      <c r="G82" s="1" t="str">
        <f>IF(B82=0,VLOOKUP(A82,Feuil2!$A$2:$M$1241,11,FALSE)," ")</f>
        <v xml:space="preserve"> </v>
      </c>
      <c r="H82" s="1" t="s">
        <v>16</v>
      </c>
      <c r="I82" s="6" t="str">
        <f>IF(B82=0,VLOOKUP(A82,Feuil2!$A$2:$M$1241,7,FALSE)," ")</f>
        <v xml:space="preserve"> </v>
      </c>
      <c r="J82" s="1" t="str">
        <f>IF(B82=0,VLOOKUP(A82,Feuil2!$A$2:$M$1241,9,FALSE)," ")</f>
        <v xml:space="preserve"> </v>
      </c>
      <c r="K82" s="1" t="str">
        <f>IF(B82=0,VLOOKUP(A82,Feuil2!$A$2:$M$1241,10,FALSE)," ")</f>
        <v xml:space="preserve"> </v>
      </c>
      <c r="L82" s="1"/>
      <c r="M82" s="1"/>
      <c r="N82" s="1"/>
      <c r="O82" s="8" t="str">
        <f>IF(B82=0,VLOOKUP(A82,Feuil2!$A$2:$M$1241,13,FALSE)," ")</f>
        <v xml:space="preserve"> </v>
      </c>
    </row>
    <row r="83" spans="1:16" x14ac:dyDescent="0.3">
      <c r="A83" s="1">
        <v>606</v>
      </c>
      <c r="B83" s="1">
        <v>4</v>
      </c>
      <c r="C83" s="1" t="s">
        <v>251</v>
      </c>
      <c r="D83" s="1" t="s">
        <v>2408</v>
      </c>
      <c r="E83" s="5">
        <v>37450</v>
      </c>
      <c r="F83" s="1" t="s">
        <v>17</v>
      </c>
      <c r="G83" s="1" t="str">
        <f>IF(B83=0,VLOOKUP(A83,Feuil2!$A$2:$M$1241,11,FALSE)," ")</f>
        <v xml:space="preserve"> </v>
      </c>
      <c r="H83" s="1" t="s">
        <v>16</v>
      </c>
      <c r="I83" s="6" t="str">
        <f>IF(B83=0,VLOOKUP(A83,Feuil2!$A$2:$M$1241,7,FALSE)," ")</f>
        <v xml:space="preserve"> </v>
      </c>
      <c r="J83" s="1" t="str">
        <f>IF(B83=0,VLOOKUP(A83,Feuil2!$A$2:$M$1241,9,FALSE)," ")</f>
        <v xml:space="preserve"> </v>
      </c>
      <c r="K83" s="1" t="str">
        <f>IF(B83=0,VLOOKUP(A83,Feuil2!$A$2:$M$1241,10,FALSE)," ")</f>
        <v xml:space="preserve"> </v>
      </c>
      <c r="L83" s="1"/>
      <c r="M83" s="1"/>
      <c r="N83" s="1"/>
      <c r="O83" s="8" t="str">
        <f>IF(B83=0,VLOOKUP(A83,Feuil2!$A$2:$M$1241,13,FALSE)," ")</f>
        <v xml:space="preserve"> </v>
      </c>
    </row>
    <row r="84" spans="1:16" x14ac:dyDescent="0.3">
      <c r="A84" s="1">
        <v>606</v>
      </c>
      <c r="B84" s="1">
        <v>5</v>
      </c>
      <c r="C84" s="1" t="s">
        <v>251</v>
      </c>
      <c r="D84" s="1" t="s">
        <v>2409</v>
      </c>
      <c r="E84" s="5">
        <v>40477</v>
      </c>
      <c r="F84" s="1" t="s">
        <v>506</v>
      </c>
      <c r="G84" s="1" t="str">
        <f>IF(B84=0,VLOOKUP(A84,Feuil2!$A$2:$M$1241,11,FALSE)," ")</f>
        <v xml:space="preserve"> </v>
      </c>
      <c r="H84" s="1" t="s">
        <v>16</v>
      </c>
      <c r="I84" s="6" t="str">
        <f>IF(B84=0,VLOOKUP(A84,Feuil2!$A$2:$M$1241,7,FALSE)," ")</f>
        <v xml:space="preserve"> </v>
      </c>
      <c r="J84" s="1" t="str">
        <f>IF(B84=0,VLOOKUP(A84,Feuil2!$A$2:$M$1241,9,FALSE)," ")</f>
        <v xml:space="preserve"> </v>
      </c>
      <c r="K84" s="1" t="str">
        <f>IF(B84=0,VLOOKUP(A84,Feuil2!$A$2:$M$1241,10,FALSE)," ")</f>
        <v xml:space="preserve"> </v>
      </c>
      <c r="L84" s="1"/>
      <c r="M84" s="1"/>
      <c r="N84" s="1"/>
      <c r="O84" s="8" t="str">
        <f>IF(B84=0,VLOOKUP(A84,Feuil2!$A$2:$M$1241,13,FALSE)," ")</f>
        <v xml:space="preserve"> </v>
      </c>
    </row>
    <row r="85" spans="1:16" x14ac:dyDescent="0.3">
      <c r="A85" s="1">
        <v>645</v>
      </c>
      <c r="B85" s="17">
        <v>0</v>
      </c>
      <c r="C85" s="17" t="str">
        <f>IF(B85=0,VLOOKUP(A85,Feuil2!$A$2:$M$1241,2,FALSE)," ")</f>
        <v>MALLEH</v>
      </c>
      <c r="D85" s="17" t="str">
        <f>IF(B85=0,VLOOKUP(A85,Feuil2!$A$2:$M$1241,3,FALSE)," ")</f>
        <v>HATEM</v>
      </c>
      <c r="E85" s="18">
        <f>IF(B85=0,VLOOKUP(A85,Feuil2!$A$2:$M$1241,6,FALSE)," ")</f>
        <v>24447</v>
      </c>
      <c r="F85" s="17" t="str">
        <f>IF(B85=0,VLOOKUP(A85,Feuil2!$A$2:$M$1241,12,FALSE)," ")</f>
        <v>H</v>
      </c>
      <c r="G85" s="17" t="str">
        <f>IF(B85=0,VLOOKUP(A85,Feuil2!$A$2:$M$1241,11,FALSE)," ")</f>
        <v>M</v>
      </c>
      <c r="H85" s="17" t="s">
        <v>16</v>
      </c>
      <c r="I85" s="19">
        <f>IF(B85=0,VLOOKUP(A85,Feuil2!$A$2:$M$1241,7,FALSE)," ")</f>
        <v>2991373</v>
      </c>
      <c r="J85" s="17" t="str">
        <f>IF(B85=0,VLOOKUP(A85,Feuil2!$A$2:$M$1241,9,FALSE)," ")</f>
        <v>14 Rue Tarek Ibn Zied</v>
      </c>
      <c r="K85" s="17" t="str">
        <f>IF(B85=0,VLOOKUP(A85,Feuil2!$A$2:$M$1241,10,FALSE)," ")</f>
        <v>Moureddine</v>
      </c>
      <c r="L85" s="17"/>
      <c r="M85" s="17">
        <v>98793638</v>
      </c>
      <c r="N85" s="17"/>
      <c r="O85" s="20" t="str">
        <f>IF(B85=0,VLOOKUP(A85,Feuil2!$A$2:$M$1241,13,FALSE)," ")</f>
        <v>03508056010100104893</v>
      </c>
    </row>
    <row r="86" spans="1:16" x14ac:dyDescent="0.3">
      <c r="A86" s="1">
        <v>645</v>
      </c>
      <c r="B86" s="1">
        <v>1</v>
      </c>
      <c r="C86" s="1" t="s">
        <v>2489</v>
      </c>
      <c r="D86" s="1" t="s">
        <v>1005</v>
      </c>
      <c r="E86" s="5">
        <v>25894</v>
      </c>
      <c r="F86" s="1" t="s">
        <v>17</v>
      </c>
      <c r="G86" s="1" t="s">
        <v>15</v>
      </c>
      <c r="H86" s="1" t="s">
        <v>16</v>
      </c>
      <c r="I86" s="6" t="str">
        <f>IF(B86=0,VLOOKUP(A86,Feuil2!$A$2:$M$1241,7,FALSE)," ")</f>
        <v xml:space="preserve"> </v>
      </c>
      <c r="J86" s="1" t="str">
        <f>IF(B86=0,VLOOKUP(A86,Feuil2!$A$2:$M$1241,9,FALSE)," ")</f>
        <v xml:space="preserve"> </v>
      </c>
      <c r="K86" s="1" t="str">
        <f>IF(B86=0,VLOOKUP(A86,Feuil2!$A$2:$M$1241,10,FALSE)," ")</f>
        <v xml:space="preserve"> </v>
      </c>
      <c r="L86" s="1"/>
      <c r="M86" s="1"/>
      <c r="N86" s="1"/>
      <c r="O86" s="8" t="str">
        <f>IF(B86=0,VLOOKUP(A86,Feuil2!$A$2:$M$1241,13,FALSE)," ")</f>
        <v xml:space="preserve"> </v>
      </c>
    </row>
    <row r="87" spans="1:16" x14ac:dyDescent="0.3">
      <c r="A87" s="1">
        <v>645</v>
      </c>
      <c r="B87" s="1">
        <v>2</v>
      </c>
      <c r="C87" s="1" t="s">
        <v>458</v>
      </c>
      <c r="D87" s="1" t="s">
        <v>404</v>
      </c>
      <c r="E87" s="5">
        <v>35378</v>
      </c>
      <c r="F87" s="1" t="s">
        <v>17</v>
      </c>
      <c r="G87" s="1" t="str">
        <f>IF(B87=0,VLOOKUP(A87,Feuil2!$A$2:$M$1241,11,FALSE)," ")</f>
        <v xml:space="preserve"> </v>
      </c>
      <c r="H87" s="1" t="s">
        <v>16</v>
      </c>
      <c r="I87" s="6" t="str">
        <f>IF(B87=0,VLOOKUP(A87,Feuil2!$A$2:$M$1241,7,FALSE)," ")</f>
        <v xml:space="preserve"> </v>
      </c>
      <c r="J87" s="1" t="str">
        <f>IF(B87=0,VLOOKUP(A87,Feuil2!$A$2:$M$1241,9,FALSE)," ")</f>
        <v xml:space="preserve"> </v>
      </c>
      <c r="K87" s="1" t="str">
        <f>IF(B87=0,VLOOKUP(A87,Feuil2!$A$2:$M$1241,10,FALSE)," ")</f>
        <v xml:space="preserve"> </v>
      </c>
      <c r="L87" s="1"/>
      <c r="M87" s="1"/>
      <c r="N87" s="1"/>
      <c r="O87" s="8" t="str">
        <f>IF(B87=0,VLOOKUP(A87,Feuil2!$A$2:$M$1241,13,FALSE)," ")</f>
        <v xml:space="preserve"> </v>
      </c>
    </row>
    <row r="88" spans="1:16" x14ac:dyDescent="0.3">
      <c r="A88" s="1">
        <v>645</v>
      </c>
      <c r="B88" s="1">
        <v>3</v>
      </c>
      <c r="C88" s="1" t="s">
        <v>458</v>
      </c>
      <c r="D88" s="1" t="s">
        <v>2432</v>
      </c>
      <c r="E88" s="5">
        <v>36759</v>
      </c>
      <c r="F88" s="1" t="s">
        <v>17</v>
      </c>
      <c r="G88" s="1" t="str">
        <f>IF(B88=0,VLOOKUP(A88,Feuil2!$A$2:$M$1241,11,FALSE)," ")</f>
        <v xml:space="preserve"> </v>
      </c>
      <c r="H88" s="1" t="s">
        <v>16</v>
      </c>
      <c r="I88" s="6" t="str">
        <f>IF(B88=0,VLOOKUP(A88,Feuil2!$A$2:$M$1241,7,FALSE)," ")</f>
        <v xml:space="preserve"> </v>
      </c>
      <c r="J88" s="1" t="str">
        <f>IF(B88=0,VLOOKUP(A88,Feuil2!$A$2:$M$1241,9,FALSE)," ")</f>
        <v xml:space="preserve"> </v>
      </c>
      <c r="K88" s="1" t="str">
        <f>IF(B88=0,VLOOKUP(A88,Feuil2!$A$2:$M$1241,10,FALSE)," ")</f>
        <v xml:space="preserve"> </v>
      </c>
      <c r="L88" s="1"/>
      <c r="M88" s="1"/>
      <c r="N88" s="1"/>
      <c r="O88" s="8" t="str">
        <f>IF(B88=0,VLOOKUP(A88,Feuil2!$A$2:$M$1241,13,FALSE)," ")</f>
        <v xml:space="preserve"> </v>
      </c>
    </row>
    <row r="89" spans="1:16" x14ac:dyDescent="0.3">
      <c r="A89" s="1">
        <v>645</v>
      </c>
      <c r="B89" s="1">
        <v>4</v>
      </c>
      <c r="C89" s="1" t="s">
        <v>458</v>
      </c>
      <c r="D89" s="1" t="s">
        <v>2435</v>
      </c>
      <c r="E89" s="5">
        <v>38305</v>
      </c>
      <c r="F89" s="1" t="s">
        <v>17</v>
      </c>
      <c r="G89" s="1" t="str">
        <f>IF(B89=0,VLOOKUP(A89,Feuil2!$A$2:$M$1241,11,FALSE)," ")</f>
        <v xml:space="preserve"> </v>
      </c>
      <c r="H89" s="1" t="s">
        <v>16</v>
      </c>
      <c r="I89" s="6" t="str">
        <f>IF(B89=0,VLOOKUP(A89,Feuil2!$A$2:$M$1241,7,FALSE)," ")</f>
        <v xml:space="preserve"> </v>
      </c>
      <c r="J89" s="1" t="str">
        <f>IF(B89=0,VLOOKUP(A89,Feuil2!$A$2:$M$1241,9,FALSE)," ")</f>
        <v xml:space="preserve"> </v>
      </c>
      <c r="K89" s="1" t="str">
        <f>IF(B89=0,VLOOKUP(A89,Feuil2!$A$2:$M$1241,10,FALSE)," ")</f>
        <v xml:space="preserve"> </v>
      </c>
      <c r="L89" s="1"/>
      <c r="M89" s="1"/>
      <c r="N89" s="1"/>
      <c r="O89" s="8" t="str">
        <f>IF(B89=0,VLOOKUP(A89,Feuil2!$A$2:$M$1241,13,FALSE)," ")</f>
        <v xml:space="preserve"> </v>
      </c>
    </row>
    <row r="90" spans="1:16" x14ac:dyDescent="0.3">
      <c r="A90" s="1">
        <v>647</v>
      </c>
      <c r="B90" s="17">
        <v>0</v>
      </c>
      <c r="C90" s="17" t="str">
        <f>IF(B90=0,VLOOKUP(A90,Feuil2!$A$2:$M$1241,2,FALSE)," ")</f>
        <v>KHALIFA</v>
      </c>
      <c r="D90" s="17" t="str">
        <f>IF(B90=0,VLOOKUP(A90,Feuil2!$A$2:$M$1241,3,FALSE)," ")</f>
        <v>NACEUR</v>
      </c>
      <c r="E90" s="18">
        <f>IF(B90=0,VLOOKUP(A90,Feuil2!$A$2:$M$1241,6,FALSE)," ")</f>
        <v>24227</v>
      </c>
      <c r="F90" s="17" t="str">
        <f>IF(B90=0,VLOOKUP(A90,Feuil2!$A$2:$M$1241,12,FALSE)," ")</f>
        <v>H</v>
      </c>
      <c r="G90" s="17" t="str">
        <f>IF(B90=0,VLOOKUP(A90,Feuil2!$A$2:$M$1241,11,FALSE)," ")</f>
        <v>M</v>
      </c>
      <c r="H90" s="17" t="s">
        <v>16</v>
      </c>
      <c r="I90" s="19">
        <f>IF(B90=0,VLOOKUP(A90,Feuil2!$A$2:$M$1241,7,FALSE)," ")</f>
        <v>2970559</v>
      </c>
      <c r="J90" s="17" t="str">
        <f>IF(B90=0,VLOOKUP(A90,Feuil2!$A$2:$M$1241,9,FALSE)," ")</f>
        <v>10 Rue BÃ©chir Sfar</v>
      </c>
      <c r="K90" s="17" t="str">
        <f>IF(B90=0,VLOOKUP(A90,Feuil2!$A$2:$M$1241,10,FALSE)," ")</f>
        <v>Msaken 4070</v>
      </c>
      <c r="L90" s="17">
        <v>4070</v>
      </c>
      <c r="M90" s="17">
        <v>29151455</v>
      </c>
      <c r="N90" s="17"/>
      <c r="O90" s="20" t="str">
        <f>IF(B90=0,VLOOKUP(A90,Feuil2!$A$2:$M$1241,13,FALSE)," ")</f>
        <v>12505000580102810340</v>
      </c>
    </row>
    <row r="91" spans="1:16" x14ac:dyDescent="0.3">
      <c r="A91" s="1">
        <v>647</v>
      </c>
      <c r="B91" s="1">
        <v>1</v>
      </c>
      <c r="C91" s="1" t="s">
        <v>201</v>
      </c>
      <c r="D91" s="1" t="s">
        <v>600</v>
      </c>
      <c r="E91" s="5">
        <v>27525</v>
      </c>
      <c r="F91" s="1" t="s">
        <v>17</v>
      </c>
      <c r="G91" s="1" t="s">
        <v>15</v>
      </c>
      <c r="H91" s="1" t="s">
        <v>16</v>
      </c>
      <c r="I91" s="6" t="str">
        <f>IF(B91=0,VLOOKUP(A91,Feuil2!$A$2:$M$1241,7,FALSE)," ")</f>
        <v xml:space="preserve"> </v>
      </c>
      <c r="J91" s="1" t="str">
        <f>IF(B91=0,VLOOKUP(A91,Feuil2!$A$2:$M$1241,9,FALSE)," ")</f>
        <v xml:space="preserve"> </v>
      </c>
      <c r="K91" s="1" t="str">
        <f>IF(B91=0,VLOOKUP(A91,Feuil2!$A$2:$M$1241,10,FALSE)," ")</f>
        <v xml:space="preserve"> </v>
      </c>
      <c r="L91" s="1"/>
      <c r="M91" s="1"/>
      <c r="N91" s="1"/>
      <c r="O91" s="8" t="str">
        <f>IF(B91=0,VLOOKUP(A91,Feuil2!$A$2:$M$1241,13,FALSE)," ")</f>
        <v xml:space="preserve"> </v>
      </c>
    </row>
    <row r="92" spans="1:16" x14ac:dyDescent="0.3">
      <c r="A92" s="1">
        <v>647</v>
      </c>
      <c r="B92" s="1">
        <v>2</v>
      </c>
      <c r="C92" s="1" t="s">
        <v>201</v>
      </c>
      <c r="D92" s="1" t="s">
        <v>2387</v>
      </c>
      <c r="E92" s="5">
        <v>36248</v>
      </c>
      <c r="F92" s="1" t="s">
        <v>17</v>
      </c>
      <c r="G92" s="1" t="str">
        <f>IF(B92=0,VLOOKUP(A92,Feuil2!$A$2:$M$1241,11,FALSE)," ")</f>
        <v xml:space="preserve"> </v>
      </c>
      <c r="H92" s="1" t="s">
        <v>16</v>
      </c>
      <c r="I92" s="6" t="str">
        <f>IF(B92=0,VLOOKUP(A92,Feuil2!$A$2:$M$1241,7,FALSE)," ")</f>
        <v xml:space="preserve"> </v>
      </c>
      <c r="J92" s="1" t="str">
        <f>IF(B92=0,VLOOKUP(A92,Feuil2!$A$2:$M$1241,9,FALSE)," ")</f>
        <v xml:space="preserve"> </v>
      </c>
      <c r="K92" s="1" t="str">
        <f>IF(B92=0,VLOOKUP(A92,Feuil2!$A$2:$M$1241,10,FALSE)," ")</f>
        <v xml:space="preserve"> </v>
      </c>
      <c r="L92" s="1"/>
      <c r="M92" s="1"/>
      <c r="N92" s="1"/>
      <c r="O92" s="8" t="str">
        <f>IF(B92=0,VLOOKUP(A92,Feuil2!$A$2:$M$1241,13,FALSE)," ")</f>
        <v xml:space="preserve"> </v>
      </c>
    </row>
    <row r="93" spans="1:16" x14ac:dyDescent="0.3">
      <c r="A93" s="1">
        <v>647</v>
      </c>
      <c r="B93" s="1">
        <v>3</v>
      </c>
      <c r="C93" s="1" t="s">
        <v>201</v>
      </c>
      <c r="D93" s="1" t="s">
        <v>2388</v>
      </c>
      <c r="E93" s="5">
        <v>37941</v>
      </c>
      <c r="F93" s="1" t="s">
        <v>506</v>
      </c>
      <c r="G93" s="1" t="str">
        <f>IF(B93=0,VLOOKUP(A93,Feuil2!$A$2:$M$1241,11,FALSE)," ")</f>
        <v xml:space="preserve"> </v>
      </c>
      <c r="H93" s="1" t="s">
        <v>16</v>
      </c>
      <c r="I93" s="6" t="str">
        <f>IF(B93=0,VLOOKUP(A93,Feuil2!$A$2:$M$1241,7,FALSE)," ")</f>
        <v xml:space="preserve"> </v>
      </c>
      <c r="J93" s="1" t="str">
        <f>IF(B93=0,VLOOKUP(A93,Feuil2!$A$2:$M$1241,9,FALSE)," ")</f>
        <v xml:space="preserve"> </v>
      </c>
      <c r="K93" s="1" t="str">
        <f>IF(B93=0,VLOOKUP(A93,Feuil2!$A$2:$M$1241,10,FALSE)," ")</f>
        <v xml:space="preserve"> </v>
      </c>
      <c r="L93" s="1"/>
      <c r="M93" s="1"/>
      <c r="N93" s="1"/>
      <c r="O93" s="8" t="str">
        <f>IF(B93=0,VLOOKUP(A93,Feuil2!$A$2:$M$1241,13,FALSE)," ")</f>
        <v xml:space="preserve"> </v>
      </c>
    </row>
    <row r="94" spans="1:16" x14ac:dyDescent="0.3">
      <c r="A94" s="1">
        <v>647</v>
      </c>
      <c r="B94" s="1">
        <v>4</v>
      </c>
      <c r="C94" s="1" t="s">
        <v>201</v>
      </c>
      <c r="D94" s="1" t="s">
        <v>122</v>
      </c>
      <c r="E94" s="5">
        <v>39796</v>
      </c>
      <c r="F94" s="1" t="s">
        <v>506</v>
      </c>
      <c r="G94" s="1" t="str">
        <f>IF(B94=0,VLOOKUP(A94,Feuil2!$A$2:$M$1241,11,FALSE)," ")</f>
        <v xml:space="preserve"> </v>
      </c>
      <c r="H94" s="1" t="s">
        <v>16</v>
      </c>
      <c r="I94" s="6" t="str">
        <f>IF(B94=0,VLOOKUP(A94,Feuil2!$A$2:$M$1241,7,FALSE)," ")</f>
        <v xml:space="preserve"> </v>
      </c>
      <c r="J94" s="1" t="str">
        <f>IF(B94=0,VLOOKUP(A94,Feuil2!$A$2:$M$1241,9,FALSE)," ")</f>
        <v xml:space="preserve"> </v>
      </c>
      <c r="K94" s="1" t="str">
        <f>IF(B94=0,VLOOKUP(A94,Feuil2!$A$2:$M$1241,10,FALSE)," ")</f>
        <v xml:space="preserve"> </v>
      </c>
      <c r="L94" s="1"/>
      <c r="M94" s="1"/>
      <c r="N94" s="1"/>
      <c r="O94" s="8" t="str">
        <f>IF(B94=0,VLOOKUP(A94,Feuil2!$A$2:$M$1241,13,FALSE)," ")</f>
        <v xml:space="preserve"> </v>
      </c>
    </row>
    <row r="95" spans="1:16" x14ac:dyDescent="0.3">
      <c r="A95" s="1">
        <v>647</v>
      </c>
      <c r="B95" s="1">
        <v>5</v>
      </c>
      <c r="C95" s="1" t="s">
        <v>201</v>
      </c>
      <c r="D95" s="1" t="s">
        <v>2389</v>
      </c>
      <c r="E95" s="5">
        <v>40416</v>
      </c>
      <c r="F95" s="1" t="s">
        <v>17</v>
      </c>
      <c r="G95" s="1" t="str">
        <f>IF(B95=0,VLOOKUP(A95,Feuil2!$A$2:$M$1241,11,FALSE)," ")</f>
        <v xml:space="preserve"> </v>
      </c>
      <c r="H95" s="1" t="s">
        <v>16</v>
      </c>
      <c r="I95" s="6" t="str">
        <f>IF(B95=0,VLOOKUP(A95,Feuil2!$A$2:$M$1241,7,FALSE)," ")</f>
        <v xml:space="preserve"> </v>
      </c>
      <c r="J95" s="1" t="str">
        <f>IF(B95=0,VLOOKUP(A95,Feuil2!$A$2:$M$1241,9,FALSE)," ")</f>
        <v xml:space="preserve"> </v>
      </c>
      <c r="K95" s="1" t="str">
        <f>IF(B95=0,VLOOKUP(A95,Feuil2!$A$2:$M$1241,10,FALSE)," ")</f>
        <v xml:space="preserve"> </v>
      </c>
      <c r="L95" s="1"/>
      <c r="M95" s="1"/>
      <c r="N95" s="1"/>
      <c r="O95" s="8" t="str">
        <f>IF(B95=0,VLOOKUP(A95,Feuil2!$A$2:$M$1241,13,FALSE)," ")</f>
        <v xml:space="preserve"> </v>
      </c>
    </row>
    <row r="96" spans="1:16" x14ac:dyDescent="0.3">
      <c r="A96" s="1">
        <v>648</v>
      </c>
      <c r="B96" s="17">
        <v>0</v>
      </c>
      <c r="C96" s="17" t="str">
        <f>IF(B96=0,VLOOKUP(A96,Feuil2!$A$2:$M$1241,2,FALSE)," ")</f>
        <v>MANSOUR</v>
      </c>
      <c r="D96" s="17" t="str">
        <f>IF(B96=0,VLOOKUP(A96,Feuil2!$A$2:$M$1241,3,FALSE)," ")</f>
        <v>ABDELMEJID</v>
      </c>
      <c r="E96" s="18">
        <f>IF(B96=0,VLOOKUP(A96,Feuil2!$A$2:$M$1241,6,FALSE)," ")</f>
        <v>25362</v>
      </c>
      <c r="F96" s="17" t="str">
        <f>IF(B96=0,VLOOKUP(A96,Feuil2!$A$2:$M$1241,12,FALSE)," ")</f>
        <v>H</v>
      </c>
      <c r="G96" s="17" t="str">
        <f>IF(B96=0,VLOOKUP(A96,Feuil2!$A$2:$M$1241,11,FALSE)," ")</f>
        <v>M</v>
      </c>
      <c r="H96" s="17" t="s">
        <v>16</v>
      </c>
      <c r="I96" s="19">
        <f>IF(B96=0,VLOOKUP(A96,Feuil2!$A$2:$M$1241,7,FALSE)," ")</f>
        <v>2993666</v>
      </c>
      <c r="J96" s="17" t="str">
        <f>IF(B96=0,VLOOKUP(A96,Feuil2!$A$2:$M$1241,9,FALSE)," ")</f>
        <v>4015 Beni Rabiaa</v>
      </c>
      <c r="K96" s="17" t="str">
        <f>IF(B96=0,VLOOKUP(A96,Feuil2!$A$2:$M$1241,10,FALSE)," ")</f>
        <v>BÃ©ni Rabiaa 4015</v>
      </c>
      <c r="L96" s="17"/>
      <c r="M96" s="17">
        <v>98793710</v>
      </c>
      <c r="N96" s="17"/>
      <c r="O96" s="20" t="str">
        <f>IF(B96=0,VLOOKUP(A96,Feuil2!$A$2:$M$1241,13,FALSE)," ")</f>
        <v>12505000580101845093</v>
      </c>
      <c r="P96" t="s">
        <v>2805</v>
      </c>
    </row>
    <row r="97" spans="1:15" x14ac:dyDescent="0.3">
      <c r="A97" s="1">
        <v>648</v>
      </c>
      <c r="B97" s="1">
        <v>1</v>
      </c>
      <c r="C97" s="1" t="s">
        <v>2378</v>
      </c>
      <c r="D97" s="1" t="s">
        <v>629</v>
      </c>
      <c r="E97" s="5">
        <v>25872</v>
      </c>
      <c r="F97" s="1" t="s">
        <v>17</v>
      </c>
      <c r="G97" s="1" t="s">
        <v>15</v>
      </c>
      <c r="H97" s="1" t="s">
        <v>16</v>
      </c>
      <c r="I97" s="6" t="str">
        <f>IF(B97=0,VLOOKUP(A97,Feuil2!$A$2:$M$1241,7,FALSE)," ")</f>
        <v xml:space="preserve"> </v>
      </c>
      <c r="J97" s="1" t="str">
        <f>IF(B97=0,VLOOKUP(A97,Feuil2!$A$2:$M$1241,9,FALSE)," ")</f>
        <v xml:space="preserve"> </v>
      </c>
      <c r="K97" s="1" t="str">
        <f>IF(B97=0,VLOOKUP(A97,Feuil2!$A$2:$M$1241,10,FALSE)," ")</f>
        <v xml:space="preserve"> </v>
      </c>
      <c r="L97" s="1"/>
      <c r="M97" s="1"/>
      <c r="N97" s="1"/>
      <c r="O97" s="8" t="str">
        <f>IF(B97=0,VLOOKUP(A97,Feuil2!$A$2:$M$1241,13,FALSE)," ")</f>
        <v xml:space="preserve"> </v>
      </c>
    </row>
    <row r="98" spans="1:15" x14ac:dyDescent="0.3">
      <c r="A98" s="1">
        <v>648</v>
      </c>
      <c r="B98" s="1">
        <v>2</v>
      </c>
      <c r="C98" s="1" t="s">
        <v>197</v>
      </c>
      <c r="D98" s="1" t="s">
        <v>2379</v>
      </c>
      <c r="E98" s="5">
        <v>36600</v>
      </c>
      <c r="F98" s="1" t="s">
        <v>506</v>
      </c>
      <c r="G98" s="1" t="str">
        <f>IF(B98=0,VLOOKUP(A98,Feuil2!$A$2:$M$1241,11,FALSE)," ")</f>
        <v xml:space="preserve"> </v>
      </c>
      <c r="H98" s="1" t="s">
        <v>16</v>
      </c>
      <c r="I98" s="6" t="str">
        <f>IF(B98=0,VLOOKUP(A98,Feuil2!$A$2:$M$1241,7,FALSE)," ")</f>
        <v xml:space="preserve"> </v>
      </c>
      <c r="J98" s="1" t="str">
        <f>IF(B98=0,VLOOKUP(A98,Feuil2!$A$2:$M$1241,9,FALSE)," ")</f>
        <v xml:space="preserve"> </v>
      </c>
      <c r="K98" s="1" t="str">
        <f>IF(B98=0,VLOOKUP(A98,Feuil2!$A$2:$M$1241,10,FALSE)," ")</f>
        <v xml:space="preserve"> </v>
      </c>
      <c r="L98" s="1"/>
      <c r="M98" s="1"/>
      <c r="N98" s="1"/>
      <c r="O98" s="8" t="str">
        <f>IF(B98=0,VLOOKUP(A98,Feuil2!$A$2:$M$1241,13,FALSE)," ")</f>
        <v xml:space="preserve"> </v>
      </c>
    </row>
    <row r="99" spans="1:15" x14ac:dyDescent="0.3">
      <c r="A99" s="1">
        <v>648</v>
      </c>
      <c r="B99" s="1">
        <v>3</v>
      </c>
      <c r="C99" s="1" t="s">
        <v>197</v>
      </c>
      <c r="D99" s="1" t="s">
        <v>2380</v>
      </c>
      <c r="E99" s="5">
        <v>37097</v>
      </c>
      <c r="F99" s="1" t="s">
        <v>17</v>
      </c>
      <c r="G99" s="1" t="str">
        <f>IF(B99=0,VLOOKUP(A99,Feuil2!$A$2:$M$1241,11,FALSE)," ")</f>
        <v xml:space="preserve"> </v>
      </c>
      <c r="H99" s="1" t="s">
        <v>16</v>
      </c>
      <c r="I99" s="6" t="str">
        <f>IF(B99=0,VLOOKUP(A99,Feuil2!$A$2:$M$1241,7,FALSE)," ")</f>
        <v xml:space="preserve"> </v>
      </c>
      <c r="J99" s="1" t="str">
        <f>IF(B99=0,VLOOKUP(A99,Feuil2!$A$2:$M$1241,9,FALSE)," ")</f>
        <v xml:space="preserve"> </v>
      </c>
      <c r="K99" s="1" t="str">
        <f>IF(B99=0,VLOOKUP(A99,Feuil2!$A$2:$M$1241,10,FALSE)," ")</f>
        <v xml:space="preserve"> </v>
      </c>
      <c r="L99" s="1"/>
      <c r="M99" s="1"/>
      <c r="N99" s="1"/>
      <c r="O99" s="8" t="str">
        <f>IF(B99=0,VLOOKUP(A99,Feuil2!$A$2:$M$1241,13,FALSE)," ")</f>
        <v xml:space="preserve"> </v>
      </c>
    </row>
    <row r="100" spans="1:15" x14ac:dyDescent="0.3">
      <c r="A100" s="1">
        <v>648</v>
      </c>
      <c r="B100" s="1">
        <v>4</v>
      </c>
      <c r="C100" s="1" t="s">
        <v>197</v>
      </c>
      <c r="D100" s="1" t="s">
        <v>2384</v>
      </c>
      <c r="E100" s="5">
        <v>37911</v>
      </c>
      <c r="F100" s="1" t="s">
        <v>17</v>
      </c>
      <c r="G100" s="1" t="str">
        <f>IF(B100=0,VLOOKUP(A100,Feuil2!$A$2:$M$1241,11,FALSE)," ")</f>
        <v xml:space="preserve"> </v>
      </c>
      <c r="H100" s="1" t="s">
        <v>16</v>
      </c>
      <c r="I100" s="6" t="str">
        <f>IF(B100=0,VLOOKUP(A100,Feuil2!$A$2:$M$1241,7,FALSE)," ")</f>
        <v xml:space="preserve"> </v>
      </c>
      <c r="J100" s="1" t="str">
        <f>IF(B100=0,VLOOKUP(A100,Feuil2!$A$2:$M$1241,9,FALSE)," ")</f>
        <v xml:space="preserve"> </v>
      </c>
      <c r="K100" s="1" t="str">
        <f>IF(B100=0,VLOOKUP(A100,Feuil2!$A$2:$M$1241,10,FALSE)," ")</f>
        <v xml:space="preserve"> </v>
      </c>
      <c r="L100" s="1"/>
      <c r="M100" s="1"/>
      <c r="N100" s="1"/>
      <c r="O100" s="8" t="str">
        <f>IF(B100=0,VLOOKUP(A100,Feuil2!$A$2:$M$1241,13,FALSE)," ")</f>
        <v xml:space="preserve"> </v>
      </c>
    </row>
    <row r="101" spans="1:15" x14ac:dyDescent="0.3">
      <c r="A101" s="1">
        <v>648</v>
      </c>
      <c r="B101" s="1">
        <v>5</v>
      </c>
      <c r="C101" s="1" t="s">
        <v>197</v>
      </c>
      <c r="D101" s="1" t="s">
        <v>2381</v>
      </c>
      <c r="E101" s="5">
        <v>38867</v>
      </c>
      <c r="F101" s="1" t="s">
        <v>17</v>
      </c>
      <c r="G101" s="1" t="str">
        <f>IF(B101=0,VLOOKUP(A101,Feuil2!$A$2:$M$1241,11,FALSE)," ")</f>
        <v xml:space="preserve"> </v>
      </c>
      <c r="H101" s="1" t="s">
        <v>16</v>
      </c>
      <c r="I101" s="6" t="str">
        <f>IF(B101=0,VLOOKUP(A101,Feuil2!$A$2:$M$1241,7,FALSE)," ")</f>
        <v xml:space="preserve"> </v>
      </c>
      <c r="J101" s="1" t="str">
        <f>IF(B101=0,VLOOKUP(A101,Feuil2!$A$2:$M$1241,9,FALSE)," ")</f>
        <v xml:space="preserve"> </v>
      </c>
      <c r="K101" s="1" t="str">
        <f>IF(B101=0,VLOOKUP(A101,Feuil2!$A$2:$M$1241,10,FALSE)," ")</f>
        <v xml:space="preserve"> </v>
      </c>
      <c r="L101" s="1"/>
      <c r="M101" s="1"/>
      <c r="N101" s="1"/>
      <c r="O101" s="8" t="str">
        <f>IF(B101=0,VLOOKUP(A101,Feuil2!$A$2:$M$1241,13,FALSE)," ")</f>
        <v xml:space="preserve"> </v>
      </c>
    </row>
    <row r="102" spans="1:15" x14ac:dyDescent="0.3">
      <c r="A102" s="1">
        <v>648</v>
      </c>
      <c r="B102" s="1">
        <v>6</v>
      </c>
      <c r="C102" s="1" t="s">
        <v>197</v>
      </c>
      <c r="D102" s="1" t="s">
        <v>2382</v>
      </c>
      <c r="E102" s="5">
        <v>39393</v>
      </c>
      <c r="F102" s="1" t="s">
        <v>17</v>
      </c>
      <c r="G102" s="1" t="str">
        <f>IF(B102=0,VLOOKUP(A102,Feuil2!$A$2:$M$1241,11,FALSE)," ")</f>
        <v xml:space="preserve"> </v>
      </c>
      <c r="H102" s="1" t="s">
        <v>16</v>
      </c>
      <c r="I102" s="6" t="str">
        <f>IF(B102=0,VLOOKUP(A102,Feuil2!$A$2:$M$1241,7,FALSE)," ")</f>
        <v xml:space="preserve"> </v>
      </c>
      <c r="J102" s="1" t="str">
        <f>IF(B102=0,VLOOKUP(A102,Feuil2!$A$2:$M$1241,9,FALSE)," ")</f>
        <v xml:space="preserve"> </v>
      </c>
      <c r="K102" s="1" t="str">
        <f>IF(B102=0,VLOOKUP(A102,Feuil2!$A$2:$M$1241,10,FALSE)," ")</f>
        <v xml:space="preserve"> </v>
      </c>
      <c r="L102" s="1"/>
      <c r="M102" s="1"/>
      <c r="N102" s="1"/>
      <c r="O102" s="8" t="str">
        <f>IF(B102=0,VLOOKUP(A102,Feuil2!$A$2:$M$1241,13,FALSE)," ")</f>
        <v xml:space="preserve"> </v>
      </c>
    </row>
    <row r="103" spans="1:15" x14ac:dyDescent="0.3">
      <c r="A103" s="1">
        <v>659</v>
      </c>
      <c r="B103" s="17">
        <v>0</v>
      </c>
      <c r="C103" s="17" t="str">
        <f>IF(B103=0,VLOOKUP(A103,Feuil2!$A$2:$M$1241,2,FALSE)," ")</f>
        <v>NABLI</v>
      </c>
      <c r="D103" s="17" t="str">
        <f>IF(B103=0,VLOOKUP(A103,Feuil2!$A$2:$M$1241,3,FALSE)," ")</f>
        <v>SAYED</v>
      </c>
      <c r="E103" s="18">
        <f>IF(B103=0,VLOOKUP(A103,Feuil2!$A$2:$M$1241,6,FALSE)," ")</f>
        <v>23528</v>
      </c>
      <c r="F103" s="17" t="str">
        <f>IF(B103=0,VLOOKUP(A103,Feuil2!$A$2:$M$1241,12,FALSE)," ")</f>
        <v>H</v>
      </c>
      <c r="G103" s="17" t="str">
        <f>IF(B103=0,VLOOKUP(A103,Feuil2!$A$2:$M$1241,11,FALSE)," ")</f>
        <v>M</v>
      </c>
      <c r="H103" s="17" t="s">
        <v>16</v>
      </c>
      <c r="I103" s="19">
        <f>IF(B103=0,VLOOKUP(A103,Feuil2!$A$2:$M$1241,7,FALSE)," ")</f>
        <v>2952181</v>
      </c>
      <c r="J103" s="17" t="str">
        <f>IF(B103=0,VLOOKUP(A103,Feuil2!$A$2:$M$1241,9,FALSE)," ")</f>
        <v>79 R Abou Hamed El Ghazali Bou</v>
      </c>
      <c r="K103" s="17" t="str">
        <f>IF(B103=0,VLOOKUP(A103,Feuil2!$A$2:$M$1241,10,FALSE)," ")</f>
        <v>NULL</v>
      </c>
      <c r="L103" s="17"/>
      <c r="M103" s="17">
        <v>97523898</v>
      </c>
      <c r="N103" s="17"/>
      <c r="O103" s="20" t="str">
        <f>IF(B103=0,VLOOKUP(A103,Feuil2!$A$2:$M$1241,13,FALSE)," ")</f>
        <v>04500043404005457181</v>
      </c>
    </row>
    <row r="104" spans="1:15" x14ac:dyDescent="0.3">
      <c r="A104" s="1">
        <v>659</v>
      </c>
      <c r="B104" s="1">
        <v>1</v>
      </c>
      <c r="C104" s="1" t="s">
        <v>2439</v>
      </c>
      <c r="D104" s="1" t="s">
        <v>749</v>
      </c>
      <c r="E104" s="5">
        <v>26314</v>
      </c>
      <c r="F104" s="1" t="s">
        <v>17</v>
      </c>
      <c r="G104" s="1" t="s">
        <v>15</v>
      </c>
      <c r="H104" s="1" t="s">
        <v>16</v>
      </c>
      <c r="I104" s="6" t="str">
        <f>IF(B104=0,VLOOKUP(A104,Feuil2!$A$2:$M$1241,7,FALSE)," ")</f>
        <v xml:space="preserve"> </v>
      </c>
      <c r="J104" s="1" t="str">
        <f>IF(B104=0,VLOOKUP(A104,Feuil2!$A$2:$M$1241,9,FALSE)," ")</f>
        <v xml:space="preserve"> </v>
      </c>
      <c r="K104" s="1" t="str">
        <f>IF(B104=0,VLOOKUP(A104,Feuil2!$A$2:$M$1241,10,FALSE)," ")</f>
        <v xml:space="preserve"> </v>
      </c>
      <c r="L104" s="1"/>
      <c r="M104" s="1"/>
      <c r="N104" s="1"/>
      <c r="O104" s="8" t="str">
        <f>IF(B104=0,VLOOKUP(A104,Feuil2!$A$2:$M$1241,13,FALSE)," ")</f>
        <v xml:space="preserve"> </v>
      </c>
    </row>
    <row r="105" spans="1:15" x14ac:dyDescent="0.3">
      <c r="A105" s="1">
        <v>659</v>
      </c>
      <c r="B105" s="1">
        <v>2</v>
      </c>
      <c r="C105" s="1" t="s">
        <v>153</v>
      </c>
      <c r="D105" s="1" t="s">
        <v>2345</v>
      </c>
      <c r="E105" s="5">
        <v>36031</v>
      </c>
      <c r="F105" s="1" t="s">
        <v>17</v>
      </c>
      <c r="G105" s="1" t="str">
        <f>IF(B105=0,VLOOKUP(A105,Feuil2!$A$2:$M$1241,11,FALSE)," ")</f>
        <v xml:space="preserve"> </v>
      </c>
      <c r="H105" s="1" t="s">
        <v>16</v>
      </c>
      <c r="I105" s="6" t="str">
        <f>IF(B105=0,VLOOKUP(A105,Feuil2!$A$2:$M$1241,7,FALSE)," ")</f>
        <v xml:space="preserve"> </v>
      </c>
      <c r="J105" s="1" t="str">
        <f>IF(B105=0,VLOOKUP(A105,Feuil2!$A$2:$M$1241,9,FALSE)," ")</f>
        <v xml:space="preserve"> </v>
      </c>
      <c r="K105" s="1" t="str">
        <f>IF(B105=0,VLOOKUP(A105,Feuil2!$A$2:$M$1241,10,FALSE)," ")</f>
        <v xml:space="preserve"> </v>
      </c>
      <c r="L105" s="1"/>
      <c r="M105" s="1"/>
      <c r="N105" s="1"/>
      <c r="O105" s="8" t="str">
        <f>IF(B105=0,VLOOKUP(A105,Feuil2!$A$2:$M$1241,13,FALSE)," ")</f>
        <v xml:space="preserve"> </v>
      </c>
    </row>
    <row r="106" spans="1:15" x14ac:dyDescent="0.3">
      <c r="A106" s="1">
        <v>659</v>
      </c>
      <c r="B106" s="1">
        <v>3</v>
      </c>
      <c r="C106" s="1" t="s">
        <v>153</v>
      </c>
      <c r="D106" s="1" t="s">
        <v>2440</v>
      </c>
      <c r="E106" s="5">
        <v>38833</v>
      </c>
      <c r="F106" s="1" t="s">
        <v>17</v>
      </c>
      <c r="G106" s="1" t="str">
        <f>IF(B106=0,VLOOKUP(A106,Feuil2!$A$2:$M$1241,11,FALSE)," ")</f>
        <v xml:space="preserve"> </v>
      </c>
      <c r="H106" s="1" t="s">
        <v>16</v>
      </c>
      <c r="I106" s="6" t="str">
        <f>IF(B106=0,VLOOKUP(A106,Feuil2!$A$2:$M$1241,7,FALSE)," ")</f>
        <v xml:space="preserve"> </v>
      </c>
      <c r="J106" s="1" t="str">
        <f>IF(B106=0,VLOOKUP(A106,Feuil2!$A$2:$M$1241,9,FALSE)," ")</f>
        <v xml:space="preserve"> </v>
      </c>
      <c r="K106" s="1" t="str">
        <f>IF(B106=0,VLOOKUP(A106,Feuil2!$A$2:$M$1241,10,FALSE)," ")</f>
        <v xml:space="preserve"> </v>
      </c>
      <c r="L106" s="1"/>
      <c r="M106" s="1"/>
      <c r="N106" s="1"/>
      <c r="O106" s="8" t="str">
        <f>IF(B106=0,VLOOKUP(A106,Feuil2!$A$2:$M$1241,13,FALSE)," ")</f>
        <v xml:space="preserve"> </v>
      </c>
    </row>
    <row r="107" spans="1:15" x14ac:dyDescent="0.3">
      <c r="A107" s="1">
        <v>695</v>
      </c>
      <c r="B107" s="1">
        <v>0</v>
      </c>
      <c r="C107" s="1" t="str">
        <f>IF(B107=0,VLOOKUP(A107,Feuil2!$A$2:$M$1241,2,FALSE)," ")</f>
        <v>LAAJILI</v>
      </c>
      <c r="D107" s="1" t="str">
        <f>IF(B107=0,VLOOKUP(A107,Feuil2!$A$2:$M$1241,3,FALSE)," ")</f>
        <v>ABDELHAMID</v>
      </c>
      <c r="E107" s="5">
        <f>IF(B107=0,VLOOKUP(A107,Feuil2!$A$2:$M$1241,6,FALSE)," ")</f>
        <v>24753</v>
      </c>
      <c r="F107" s="1" t="str">
        <f>IF(B107=0,VLOOKUP(A107,Feuil2!$A$2:$M$1241,12,FALSE)," ")</f>
        <v>H</v>
      </c>
      <c r="G107" s="1" t="str">
        <f>IF(B107=0,VLOOKUP(A107,Feuil2!$A$2:$M$1241,11,FALSE)," ")</f>
        <v>M</v>
      </c>
      <c r="H107" s="1" t="s">
        <v>16</v>
      </c>
      <c r="I107" s="6">
        <f>IF(B107=0,VLOOKUP(A107,Feuil2!$A$2:$M$1241,7,FALSE)," ")</f>
        <v>5501436</v>
      </c>
      <c r="J107" s="1" t="str">
        <f>IF(B107=0,VLOOKUP(A107,Feuil2!$A$2:$M$1241,9,FALSE)," ")</f>
        <v>Rue du LycÃ©e</v>
      </c>
      <c r="K107" s="1" t="str">
        <f>IF(B107=0,VLOOKUP(A107,Feuil2!$A$2:$M$1241,10,FALSE)," ")</f>
        <v>Messadine 4013</v>
      </c>
      <c r="L107" s="1"/>
      <c r="M107" s="1">
        <v>26429541</v>
      </c>
      <c r="N107" s="1"/>
      <c r="O107" s="8" t="str">
        <f>IF(B107=0,VLOOKUP(A107,Feuil2!$A$2:$M$1241,13,FALSE)," ")</f>
        <v>10506040204305878826</v>
      </c>
    </row>
    <row r="108" spans="1:15" x14ac:dyDescent="0.3">
      <c r="A108" s="1">
        <v>695</v>
      </c>
      <c r="B108" s="1">
        <v>1</v>
      </c>
      <c r="C108" s="1" t="s">
        <v>79</v>
      </c>
      <c r="D108" s="1" t="s">
        <v>413</v>
      </c>
      <c r="E108" s="5">
        <v>28334</v>
      </c>
      <c r="F108" s="1" t="s">
        <v>17</v>
      </c>
      <c r="G108" s="1" t="s">
        <v>15</v>
      </c>
      <c r="H108" s="1" t="s">
        <v>16</v>
      </c>
      <c r="I108" s="6" t="str">
        <f>IF(B108=0,VLOOKUP(A108,Feuil2!$A$2:$M$1241,7,FALSE)," ")</f>
        <v xml:space="preserve"> </v>
      </c>
      <c r="J108" s="1" t="str">
        <f>IF(B108=0,VLOOKUP(A108,Feuil2!$A$2:$M$1241,9,FALSE)," ")</f>
        <v xml:space="preserve"> </v>
      </c>
      <c r="K108" s="1" t="str">
        <f>IF(B108=0,VLOOKUP(A108,Feuil2!$A$2:$M$1241,10,FALSE)," ")</f>
        <v xml:space="preserve"> </v>
      </c>
      <c r="L108" s="1"/>
      <c r="M108" s="1"/>
      <c r="N108" s="1"/>
      <c r="O108" s="8" t="str">
        <f>IF(B108=0,VLOOKUP(A108,Feuil2!$A$2:$M$1241,13,FALSE)," ")</f>
        <v xml:space="preserve"> </v>
      </c>
    </row>
    <row r="109" spans="1:15" x14ac:dyDescent="0.3">
      <c r="A109" s="1">
        <v>695</v>
      </c>
      <c r="B109" s="1">
        <v>2</v>
      </c>
      <c r="C109" s="1" t="s">
        <v>79</v>
      </c>
      <c r="D109" s="1" t="s">
        <v>2371</v>
      </c>
      <c r="E109" s="5">
        <v>36570</v>
      </c>
      <c r="F109" s="1" t="s">
        <v>17</v>
      </c>
      <c r="G109" s="1" t="str">
        <f>IF(B109=0,VLOOKUP(A109,Feuil2!$A$2:$M$1241,11,FALSE)," ")</f>
        <v xml:space="preserve"> </v>
      </c>
      <c r="H109" s="1" t="s">
        <v>16</v>
      </c>
      <c r="I109" s="6" t="str">
        <f>IF(B109=0,VLOOKUP(A109,Feuil2!$A$2:$M$1241,7,FALSE)," ")</f>
        <v xml:space="preserve"> </v>
      </c>
      <c r="J109" s="1" t="str">
        <f>IF(B109=0,VLOOKUP(A109,Feuil2!$A$2:$M$1241,9,FALSE)," ")</f>
        <v xml:space="preserve"> </v>
      </c>
      <c r="K109" s="1" t="str">
        <f>IF(B109=0,VLOOKUP(A109,Feuil2!$A$2:$M$1241,10,FALSE)," ")</f>
        <v xml:space="preserve"> </v>
      </c>
      <c r="L109" s="1"/>
      <c r="M109" s="1"/>
      <c r="N109" s="1"/>
      <c r="O109" s="8" t="str">
        <f>IF(B109=0,VLOOKUP(A109,Feuil2!$A$2:$M$1241,13,FALSE)," ")</f>
        <v xml:space="preserve"> </v>
      </c>
    </row>
    <row r="110" spans="1:15" x14ac:dyDescent="0.3">
      <c r="A110" s="1">
        <v>695</v>
      </c>
      <c r="B110" s="1">
        <v>3</v>
      </c>
      <c r="C110" s="1" t="s">
        <v>79</v>
      </c>
      <c r="D110" s="1" t="s">
        <v>2424</v>
      </c>
      <c r="E110" s="5">
        <v>37321</v>
      </c>
      <c r="F110" s="1" t="s">
        <v>506</v>
      </c>
      <c r="G110" s="1" t="str">
        <f>IF(B110=0,VLOOKUP(A110,Feuil2!$A$2:$M$1241,11,FALSE)," ")</f>
        <v xml:space="preserve"> </v>
      </c>
      <c r="H110" s="1" t="s">
        <v>16</v>
      </c>
      <c r="I110" s="6" t="str">
        <f>IF(B110=0,VLOOKUP(A110,Feuil2!$A$2:$M$1241,7,FALSE)," ")</f>
        <v xml:space="preserve"> </v>
      </c>
      <c r="J110" s="1" t="str">
        <f>IF(B110=0,VLOOKUP(A110,Feuil2!$A$2:$M$1241,9,FALSE)," ")</f>
        <v xml:space="preserve"> </v>
      </c>
      <c r="K110" s="1" t="str">
        <f>IF(B110=0,VLOOKUP(A110,Feuil2!$A$2:$M$1241,10,FALSE)," ")</f>
        <v xml:space="preserve"> </v>
      </c>
      <c r="L110" s="1"/>
      <c r="M110" s="1"/>
      <c r="N110" s="1"/>
      <c r="O110" s="8" t="str">
        <f>IF(B110=0,VLOOKUP(A110,Feuil2!$A$2:$M$1241,13,FALSE)," ")</f>
        <v xml:space="preserve"> </v>
      </c>
    </row>
    <row r="111" spans="1:15" x14ac:dyDescent="0.3">
      <c r="A111" s="1">
        <v>695</v>
      </c>
      <c r="B111" s="1">
        <v>4</v>
      </c>
      <c r="C111" s="1" t="s">
        <v>79</v>
      </c>
      <c r="D111" s="1" t="s">
        <v>235</v>
      </c>
      <c r="E111" s="5">
        <v>37931</v>
      </c>
      <c r="F111" s="1" t="s">
        <v>506</v>
      </c>
      <c r="G111" s="1" t="str">
        <f>IF(B111=0,VLOOKUP(A111,Feuil2!$A$2:$M$1241,11,FALSE)," ")</f>
        <v xml:space="preserve"> </v>
      </c>
      <c r="H111" s="1" t="s">
        <v>16</v>
      </c>
      <c r="I111" s="6" t="str">
        <f>IF(B111=0,VLOOKUP(A111,Feuil2!$A$2:$M$1241,7,FALSE)," ")</f>
        <v xml:space="preserve"> </v>
      </c>
      <c r="J111" s="1" t="str">
        <f>IF(B111=0,VLOOKUP(A111,Feuil2!$A$2:$M$1241,9,FALSE)," ")</f>
        <v xml:space="preserve"> </v>
      </c>
      <c r="K111" s="1" t="str">
        <f>IF(B111=0,VLOOKUP(A111,Feuil2!$A$2:$M$1241,10,FALSE)," ")</f>
        <v xml:space="preserve"> </v>
      </c>
      <c r="L111" s="1"/>
      <c r="M111" s="1"/>
      <c r="N111" s="1"/>
      <c r="O111" s="8" t="str">
        <f>IF(B111=0,VLOOKUP(A111,Feuil2!$A$2:$M$1241,13,FALSE)," ")</f>
        <v xml:space="preserve"> </v>
      </c>
    </row>
    <row r="112" spans="1:15" x14ac:dyDescent="0.3">
      <c r="A112" s="1">
        <v>700</v>
      </c>
      <c r="B112" s="17">
        <v>0</v>
      </c>
      <c r="C112" s="17" t="str">
        <f>IF(B112=0,VLOOKUP(A112,Feuil2!$A$2:$M$1241,2,FALSE)," ")</f>
        <v>ZORGATI</v>
      </c>
      <c r="D112" s="17" t="str">
        <f>IF(B112=0,VLOOKUP(A112,Feuil2!$A$2:$M$1241,3,FALSE)," ")</f>
        <v>ABDELFATTEH</v>
      </c>
      <c r="E112" s="18">
        <f>IF(B112=0,VLOOKUP(A112,Feuil2!$A$2:$M$1241,6,FALSE)," ")</f>
        <v>24231</v>
      </c>
      <c r="F112" s="17" t="str">
        <f>IF(B112=0,VLOOKUP(A112,Feuil2!$A$2:$M$1241,12,FALSE)," ")</f>
        <v>H</v>
      </c>
      <c r="G112" s="17" t="str">
        <f>IF(B112=0,VLOOKUP(A112,Feuil2!$A$2:$M$1241,11,FALSE)," ")</f>
        <v>M</v>
      </c>
      <c r="H112" s="17" t="s">
        <v>16</v>
      </c>
      <c r="I112" s="19">
        <f>IF(B112=0,VLOOKUP(A112,Feuil2!$A$2:$M$1241,7,FALSE)," ")</f>
        <v>2971965</v>
      </c>
      <c r="J112" s="17" t="str">
        <f>IF(B112=0,VLOOKUP(A112,Feuil2!$A$2:$M$1241,9,FALSE)," ")</f>
        <v>75 Rue El Falah</v>
      </c>
      <c r="K112" s="17" t="str">
        <f>IF(B112=0,VLOOKUP(A112,Feuil2!$A$2:$M$1241,10,FALSE)," ")</f>
        <v>Msaken 4070</v>
      </c>
      <c r="L112" s="17">
        <v>4070</v>
      </c>
      <c r="M112" s="22">
        <v>98793666</v>
      </c>
      <c r="N112" s="33"/>
      <c r="O112" s="20" t="str">
        <f>IF(B112=0,VLOOKUP(A112,Feuil2!$A$2:$M$1241,13,FALSE)," ")</f>
        <v>10506040204814278815</v>
      </c>
    </row>
    <row r="113" spans="1:15" x14ac:dyDescent="0.3">
      <c r="A113" s="1">
        <v>700</v>
      </c>
      <c r="B113" s="1">
        <v>1</v>
      </c>
      <c r="C113" s="1" t="s">
        <v>2326</v>
      </c>
      <c r="D113" s="1" t="s">
        <v>2327</v>
      </c>
      <c r="E113" s="5">
        <v>26330</v>
      </c>
      <c r="F113" s="1" t="s">
        <v>17</v>
      </c>
      <c r="G113" s="1" t="s">
        <v>15</v>
      </c>
      <c r="H113" s="1" t="s">
        <v>16</v>
      </c>
      <c r="I113" s="6" t="str">
        <f>IF(B113=0,VLOOKUP(A113,Feuil2!$A$2:$M$1241,7,FALSE)," ")</f>
        <v xml:space="preserve"> </v>
      </c>
      <c r="J113" s="1" t="str">
        <f>IF(B113=0,VLOOKUP(A113,Feuil2!$A$2:$M$1241,9,FALSE)," ")</f>
        <v xml:space="preserve"> </v>
      </c>
      <c r="K113" s="1" t="str">
        <f>IF(B113=0,VLOOKUP(A113,Feuil2!$A$2:$M$1241,10,FALSE)," ")</f>
        <v xml:space="preserve"> </v>
      </c>
      <c r="L113" s="1"/>
      <c r="M113" s="1"/>
      <c r="N113" s="1"/>
      <c r="O113" s="8" t="str">
        <f>IF(B113=0,VLOOKUP(A113,Feuil2!$A$2:$M$1241,13,FALSE)," ")</f>
        <v xml:space="preserve"> </v>
      </c>
    </row>
    <row r="114" spans="1:15" x14ac:dyDescent="0.3">
      <c r="A114" s="1">
        <v>700</v>
      </c>
      <c r="B114" s="1">
        <v>2</v>
      </c>
      <c r="C114" s="1" t="s">
        <v>179</v>
      </c>
      <c r="D114" s="1" t="s">
        <v>2328</v>
      </c>
      <c r="E114" s="5">
        <v>38275</v>
      </c>
      <c r="F114" s="1" t="s">
        <v>17</v>
      </c>
      <c r="G114" s="1" t="str">
        <f>IF(B114=0,VLOOKUP(A114,Feuil2!$A$2:$M$1241,11,FALSE)," ")</f>
        <v xml:space="preserve"> </v>
      </c>
      <c r="H114" s="1" t="s">
        <v>16</v>
      </c>
      <c r="I114" s="6" t="str">
        <f>IF(B114=0,VLOOKUP(A114,Feuil2!$A$2:$M$1241,7,FALSE)," ")</f>
        <v xml:space="preserve"> </v>
      </c>
      <c r="J114" s="1" t="str">
        <f>IF(B114=0,VLOOKUP(A114,Feuil2!$A$2:$M$1241,9,FALSE)," ")</f>
        <v xml:space="preserve"> </v>
      </c>
      <c r="K114" s="1" t="str">
        <f>IF(B114=0,VLOOKUP(A114,Feuil2!$A$2:$M$1241,10,FALSE)," ")</f>
        <v xml:space="preserve"> </v>
      </c>
      <c r="L114" s="1"/>
      <c r="M114" s="1"/>
      <c r="N114" s="1"/>
      <c r="O114" s="8" t="str">
        <f>IF(B114=0,VLOOKUP(A114,Feuil2!$A$2:$M$1241,13,FALSE)," ")</f>
        <v xml:space="preserve"> </v>
      </c>
    </row>
    <row r="115" spans="1:15" x14ac:dyDescent="0.3">
      <c r="A115" s="1">
        <v>721</v>
      </c>
      <c r="B115" s="17">
        <v>0</v>
      </c>
      <c r="C115" s="17" t="str">
        <f>IF(B115=0,VLOOKUP(A115,Feuil2!$A$2:$M$1241,2,FALSE)," ")</f>
        <v>BEN ABDELJELIL</v>
      </c>
      <c r="D115" s="17" t="str">
        <f>IF(B115=0,VLOOKUP(A115,Feuil2!$A$2:$M$1241,3,FALSE)," ")</f>
        <v>WAHID</v>
      </c>
      <c r="E115" s="18">
        <f>IF(B115=0,VLOOKUP(A115,Feuil2!$A$2:$M$1241,6,FALSE)," ")</f>
        <v>24231</v>
      </c>
      <c r="F115" s="17" t="str">
        <f>IF(B115=0,VLOOKUP(A115,Feuil2!$A$2:$M$1241,12,FALSE)," ")</f>
        <v>H</v>
      </c>
      <c r="G115" s="17" t="str">
        <f>IF(B115=0,VLOOKUP(A115,Feuil2!$A$2:$M$1241,11,FALSE)," ")</f>
        <v>M</v>
      </c>
      <c r="H115" s="17" t="s">
        <v>16</v>
      </c>
      <c r="I115" s="19">
        <f>IF(B115=0,VLOOKUP(A115,Feuil2!$A$2:$M$1241,7,FALSE)," ")</f>
        <v>2983061</v>
      </c>
      <c r="J115" s="17" t="str">
        <f>IF(B115=0,VLOOKUP(A115,Feuil2!$A$2:$M$1241,9,FALSE)," ")</f>
        <v>4 R de Bizerte</v>
      </c>
      <c r="K115" s="17" t="str">
        <f>IF(B115=0,VLOOKUP(A115,Feuil2!$A$2:$M$1241,10,FALSE)," ")</f>
        <v>Msaken 4070</v>
      </c>
      <c r="L115" s="17">
        <v>4070</v>
      </c>
      <c r="M115" s="17">
        <v>28312103</v>
      </c>
      <c r="N115" s="17"/>
      <c r="O115" s="20" t="str">
        <f>IF(B115=0,VLOOKUP(A115,Feuil2!$A$2:$M$1241,13,FALSE)," ")</f>
        <v>10506040203869378826</v>
      </c>
    </row>
    <row r="116" spans="1:15" x14ac:dyDescent="0.3">
      <c r="A116" s="1">
        <v>721</v>
      </c>
      <c r="B116" s="1">
        <v>1</v>
      </c>
      <c r="C116" s="1" t="s">
        <v>2510</v>
      </c>
      <c r="D116" s="1" t="s">
        <v>2353</v>
      </c>
      <c r="E116" s="5">
        <v>27812</v>
      </c>
      <c r="F116" s="1" t="s">
        <v>17</v>
      </c>
      <c r="G116" s="1" t="s">
        <v>15</v>
      </c>
      <c r="H116" s="1" t="s">
        <v>16</v>
      </c>
      <c r="I116" s="6" t="str">
        <f>IF(B116=0,VLOOKUP(A116,Feuil2!$A$2:$M$1241,7,FALSE)," ")</f>
        <v xml:space="preserve"> </v>
      </c>
      <c r="J116" s="1" t="str">
        <f>IF(B116=0,VLOOKUP(A116,Feuil2!$A$2:$M$1241,9,FALSE)," ")</f>
        <v xml:space="preserve"> </v>
      </c>
      <c r="K116" s="1" t="str">
        <f>IF(B116=0,VLOOKUP(A116,Feuil2!$A$2:$M$1241,10,FALSE)," ")</f>
        <v xml:space="preserve"> </v>
      </c>
      <c r="L116" s="1"/>
      <c r="M116" s="1"/>
      <c r="N116" s="1"/>
      <c r="O116" s="8" t="str">
        <f>IF(B116=0,VLOOKUP(A116,Feuil2!$A$2:$M$1241,13,FALSE)," ")</f>
        <v xml:space="preserve"> </v>
      </c>
    </row>
    <row r="117" spans="1:15" x14ac:dyDescent="0.3">
      <c r="A117" s="1">
        <v>721</v>
      </c>
      <c r="B117" s="1">
        <v>2</v>
      </c>
      <c r="C117" s="1" t="s">
        <v>2511</v>
      </c>
      <c r="D117" s="1" t="s">
        <v>2347</v>
      </c>
      <c r="E117" s="5">
        <v>38754</v>
      </c>
      <c r="F117" s="1" t="s">
        <v>506</v>
      </c>
      <c r="G117" s="1" t="str">
        <f>IF(B117=0,VLOOKUP(A117,Feuil2!$A$2:$M$1241,11,FALSE)," ")</f>
        <v xml:space="preserve"> </v>
      </c>
      <c r="H117" s="1" t="s">
        <v>16</v>
      </c>
      <c r="I117" s="6" t="str">
        <f>IF(B117=0,VLOOKUP(A117,Feuil2!$A$2:$M$1241,7,FALSE)," ")</f>
        <v xml:space="preserve"> </v>
      </c>
      <c r="J117" s="1" t="str">
        <f>IF(B117=0,VLOOKUP(A117,Feuil2!$A$2:$M$1241,9,FALSE)," ")</f>
        <v xml:space="preserve"> </v>
      </c>
      <c r="K117" s="1" t="str">
        <f>IF(B117=0,VLOOKUP(A117,Feuil2!$A$2:$M$1241,10,FALSE)," ")</f>
        <v xml:space="preserve"> </v>
      </c>
      <c r="L117" s="1"/>
      <c r="M117" s="1"/>
      <c r="N117" s="1"/>
      <c r="O117" s="8" t="str">
        <f>IF(B117=0,VLOOKUP(A117,Feuil2!$A$2:$M$1241,13,FALSE)," ")</f>
        <v xml:space="preserve"> </v>
      </c>
    </row>
    <row r="118" spans="1:15" x14ac:dyDescent="0.3">
      <c r="A118" s="1">
        <v>721</v>
      </c>
      <c r="B118" s="1">
        <v>3</v>
      </c>
      <c r="C118" s="1" t="s">
        <v>703</v>
      </c>
      <c r="D118" s="1" t="s">
        <v>2512</v>
      </c>
      <c r="E118" s="5">
        <v>39459</v>
      </c>
      <c r="F118" s="1" t="s">
        <v>17</v>
      </c>
      <c r="G118" s="1" t="str">
        <f>IF(B118=0,VLOOKUP(A118,Feuil2!$A$2:$M$1241,11,FALSE)," ")</f>
        <v xml:space="preserve"> </v>
      </c>
      <c r="H118" s="1" t="s">
        <v>16</v>
      </c>
      <c r="I118" s="6" t="str">
        <f>IF(B118=0,VLOOKUP(A118,Feuil2!$A$2:$M$1241,7,FALSE)," ")</f>
        <v xml:space="preserve"> </v>
      </c>
      <c r="J118" s="1" t="str">
        <f>IF(B118=0,VLOOKUP(A118,Feuil2!$A$2:$M$1241,9,FALSE)," ")</f>
        <v xml:space="preserve"> </v>
      </c>
      <c r="K118" s="1" t="str">
        <f>IF(B118=0,VLOOKUP(A118,Feuil2!$A$2:$M$1241,10,FALSE)," ")</f>
        <v xml:space="preserve"> </v>
      </c>
      <c r="L118" s="1"/>
      <c r="M118" s="1"/>
      <c r="N118" s="1"/>
      <c r="O118" s="8" t="str">
        <f>IF(B118=0,VLOOKUP(A118,Feuil2!$A$2:$M$1241,13,FALSE)," ")</f>
        <v xml:space="preserve"> </v>
      </c>
    </row>
    <row r="119" spans="1:15" x14ac:dyDescent="0.3">
      <c r="A119" s="1">
        <v>721</v>
      </c>
      <c r="B119" s="1">
        <v>4</v>
      </c>
      <c r="C119" s="1" t="s">
        <v>2494</v>
      </c>
      <c r="D119" s="1" t="s">
        <v>2367</v>
      </c>
      <c r="E119" s="5">
        <v>41978</v>
      </c>
      <c r="F119" s="1" t="s">
        <v>17</v>
      </c>
      <c r="G119" s="1" t="str">
        <f>IF(B119=0,VLOOKUP(A119,Feuil2!$A$2:$M$1241,11,FALSE)," ")</f>
        <v xml:space="preserve"> </v>
      </c>
      <c r="H119" s="1" t="s">
        <v>16</v>
      </c>
      <c r="I119" s="6" t="str">
        <f>IF(B119=0,VLOOKUP(A119,Feuil2!$A$2:$M$1241,7,FALSE)," ")</f>
        <v xml:space="preserve"> </v>
      </c>
      <c r="J119" s="1" t="str">
        <f>IF(B119=0,VLOOKUP(A119,Feuil2!$A$2:$M$1241,9,FALSE)," ")</f>
        <v xml:space="preserve"> </v>
      </c>
      <c r="K119" s="1" t="str">
        <f>IF(B119=0,VLOOKUP(A119,Feuil2!$A$2:$M$1241,10,FALSE)," ")</f>
        <v xml:space="preserve"> </v>
      </c>
      <c r="L119" s="1"/>
      <c r="M119" s="1"/>
      <c r="N119" s="1"/>
      <c r="O119" s="8" t="str">
        <f>IF(B119=0,VLOOKUP(A119,Feuil2!$A$2:$M$1241,13,FALSE)," ")</f>
        <v xml:space="preserve"> </v>
      </c>
    </row>
    <row r="120" spans="1:15" x14ac:dyDescent="0.3">
      <c r="A120" s="1">
        <v>725</v>
      </c>
      <c r="B120" s="17">
        <v>0</v>
      </c>
      <c r="C120" s="17" t="str">
        <f>IF(B120=0,VLOOKUP(A120,Feuil2!$A$2:$M$1241,2,FALSE)," ")</f>
        <v>BOUARGOUB</v>
      </c>
      <c r="D120" s="17" t="str">
        <f>IF(B120=0,VLOOKUP(A120,Feuil2!$A$2:$M$1241,3,FALSE)," ")</f>
        <v>MOURAD</v>
      </c>
      <c r="E120" s="18">
        <f>IF(B120=0,VLOOKUP(A120,Feuil2!$A$2:$M$1241,6,FALSE)," ")</f>
        <v>25433</v>
      </c>
      <c r="F120" s="17" t="str">
        <f>IF(B120=0,VLOOKUP(A120,Feuil2!$A$2:$M$1241,12,FALSE)," ")</f>
        <v>H</v>
      </c>
      <c r="G120" s="17" t="str">
        <f>IF(B120=0,VLOOKUP(A120,Feuil2!$A$2:$M$1241,11,FALSE)," ")</f>
        <v>M</v>
      </c>
      <c r="H120" s="17" t="s">
        <v>16</v>
      </c>
      <c r="I120" s="19">
        <f>IF(B120=0,VLOOKUP(A120,Feuil2!$A$2:$M$1241,7,FALSE)," ")</f>
        <v>2982816</v>
      </c>
      <c r="J120" s="17" t="str">
        <f>IF(B120=0,VLOOKUP(A120,Feuil2!$A$2:$M$1241,9,FALSE)," ")</f>
        <v>08 Rue Damas</v>
      </c>
      <c r="K120" s="17" t="str">
        <f>IF(B120=0,VLOOKUP(A120,Feuil2!$A$2:$M$1241,10,FALSE)," ")</f>
        <v>Msaken 4070</v>
      </c>
      <c r="L120" s="17">
        <v>4070</v>
      </c>
      <c r="M120" s="17">
        <v>97225289</v>
      </c>
      <c r="N120" s="17"/>
      <c r="O120" s="20" t="str">
        <f>IF(B120=0,VLOOKUP(A120,Feuil2!$A$2:$M$1241,13,FALSE)," ")</f>
        <v>08507000262002225240</v>
      </c>
    </row>
    <row r="121" spans="1:15" x14ac:dyDescent="0.3">
      <c r="A121" s="1">
        <v>725</v>
      </c>
      <c r="B121" s="1">
        <v>1</v>
      </c>
      <c r="C121" s="1" t="s">
        <v>776</v>
      </c>
      <c r="D121" s="1" t="s">
        <v>2544</v>
      </c>
      <c r="E121" s="5">
        <v>27805</v>
      </c>
      <c r="F121" s="1" t="s">
        <v>17</v>
      </c>
      <c r="G121" s="1" t="str">
        <f>IF(B121=0,VLOOKUP(A121,Feuil2!$A$2:$M$1241,11,FALSE)," ")</f>
        <v xml:space="preserve"> </v>
      </c>
      <c r="H121" s="1" t="s">
        <v>16</v>
      </c>
      <c r="I121" s="6" t="str">
        <f>IF(B121=0,VLOOKUP(A121,Feuil2!$A$2:$M$1241,7,FALSE)," ")</f>
        <v xml:space="preserve"> </v>
      </c>
      <c r="J121" s="1" t="str">
        <f>IF(B121=0,VLOOKUP(A121,Feuil2!$A$2:$M$1241,9,FALSE)," ")</f>
        <v xml:space="preserve"> </v>
      </c>
      <c r="K121" s="1" t="str">
        <f>IF(B121=0,VLOOKUP(A121,Feuil2!$A$2:$M$1241,10,FALSE)," ")</f>
        <v xml:space="preserve"> </v>
      </c>
      <c r="L121" s="1"/>
      <c r="M121" s="1"/>
      <c r="N121" s="1"/>
      <c r="O121" s="8" t="str">
        <f>IF(B121=0,VLOOKUP(A121,Feuil2!$A$2:$M$1241,13,FALSE)," ")</f>
        <v xml:space="preserve"> </v>
      </c>
    </row>
    <row r="122" spans="1:15" x14ac:dyDescent="0.3">
      <c r="A122" s="1">
        <v>725</v>
      </c>
      <c r="B122" s="1">
        <v>2</v>
      </c>
      <c r="C122" s="1" t="s">
        <v>446</v>
      </c>
      <c r="D122" s="1" t="s">
        <v>2443</v>
      </c>
      <c r="E122" s="5">
        <v>37755</v>
      </c>
      <c r="F122" s="1" t="s">
        <v>17</v>
      </c>
      <c r="G122" s="1" t="str">
        <f>IF(B122=0,VLOOKUP(A122,Feuil2!$A$2:$M$1241,11,FALSE)," ")</f>
        <v xml:space="preserve"> </v>
      </c>
      <c r="H122" s="1" t="s">
        <v>16</v>
      </c>
      <c r="I122" s="6" t="str">
        <f>IF(B122=0,VLOOKUP(A122,Feuil2!$A$2:$M$1241,7,FALSE)," ")</f>
        <v xml:space="preserve"> </v>
      </c>
      <c r="J122" s="1" t="str">
        <f>IF(B122=0,VLOOKUP(A122,Feuil2!$A$2:$M$1241,9,FALSE)," ")</f>
        <v xml:space="preserve"> </v>
      </c>
      <c r="K122" s="1" t="str">
        <f>IF(B122=0,VLOOKUP(A122,Feuil2!$A$2:$M$1241,10,FALSE)," ")</f>
        <v xml:space="preserve"> </v>
      </c>
      <c r="L122" s="1"/>
      <c r="M122" s="1"/>
      <c r="N122" s="1"/>
      <c r="O122" s="8" t="str">
        <f>IF(B122=0,VLOOKUP(A122,Feuil2!$A$2:$M$1241,13,FALSE)," ")</f>
        <v xml:space="preserve"> </v>
      </c>
    </row>
    <row r="123" spans="1:15" x14ac:dyDescent="0.3">
      <c r="A123" s="1">
        <v>725</v>
      </c>
      <c r="B123" s="1">
        <v>3</v>
      </c>
      <c r="C123" s="1" t="s">
        <v>446</v>
      </c>
      <c r="D123" s="1" t="s">
        <v>2465</v>
      </c>
      <c r="E123" s="5">
        <v>39177</v>
      </c>
      <c r="F123" s="1" t="s">
        <v>2504</v>
      </c>
      <c r="G123" s="1" t="str">
        <f>IF(B123=0,VLOOKUP(A123,Feuil2!$A$2:$M$1241,11,FALSE)," ")</f>
        <v xml:space="preserve"> </v>
      </c>
      <c r="H123" s="1" t="s">
        <v>16</v>
      </c>
      <c r="I123" s="6" t="str">
        <f>IF(B123=0,VLOOKUP(A123,Feuil2!$A$2:$M$1241,7,FALSE)," ")</f>
        <v xml:space="preserve"> </v>
      </c>
      <c r="J123" s="1" t="str">
        <f>IF(B123=0,VLOOKUP(A123,Feuil2!$A$2:$M$1241,9,FALSE)," ")</f>
        <v xml:space="preserve"> </v>
      </c>
      <c r="K123" s="1" t="str">
        <f>IF(B123=0,VLOOKUP(A123,Feuil2!$A$2:$M$1241,10,FALSE)," ")</f>
        <v xml:space="preserve"> </v>
      </c>
      <c r="L123" s="1"/>
      <c r="M123" s="1"/>
      <c r="N123" s="1"/>
      <c r="O123" s="8" t="str">
        <f>IF(B123=0,VLOOKUP(A123,Feuil2!$A$2:$M$1241,13,FALSE)," ")</f>
        <v xml:space="preserve"> </v>
      </c>
    </row>
    <row r="124" spans="1:15" x14ac:dyDescent="0.3">
      <c r="A124" s="1">
        <v>730</v>
      </c>
      <c r="B124" s="17">
        <v>0</v>
      </c>
      <c r="C124" s="17" t="str">
        <f>IF(B124=0,VLOOKUP(A124,Feuil2!$A$2:$M$1241,2,FALSE)," ")</f>
        <v>KILANI</v>
      </c>
      <c r="D124" s="17" t="str">
        <f>IF(B124=0,VLOOKUP(A124,Feuil2!$A$2:$M$1241,3,FALSE)," ")</f>
        <v>MOUNIR</v>
      </c>
      <c r="E124" s="18">
        <f>IF(B124=0,VLOOKUP(A124,Feuil2!$A$2:$M$1241,6,FALSE)," ")</f>
        <v>25185</v>
      </c>
      <c r="F124" s="17" t="str">
        <f>IF(B124=0,VLOOKUP(A124,Feuil2!$A$2:$M$1241,12,FALSE)," ")</f>
        <v>H</v>
      </c>
      <c r="G124" s="17" t="str">
        <f>IF(B124=0,VLOOKUP(A124,Feuil2!$A$2:$M$1241,11,FALSE)," ")</f>
        <v>M</v>
      </c>
      <c r="H124" s="17" t="s">
        <v>16</v>
      </c>
      <c r="I124" s="19">
        <f>IF(B124=0,VLOOKUP(A124,Feuil2!$A$2:$M$1241,7,FALSE)," ")</f>
        <v>2997505</v>
      </c>
      <c r="J124" s="17" t="str">
        <f>IF(B124=0,VLOOKUP(A124,Feuil2!$A$2:$M$1241,9,FALSE)," ")</f>
        <v>Rue 12 Mai</v>
      </c>
      <c r="K124" s="17" t="str">
        <f>IF(B124=0,VLOOKUP(A124,Feuil2!$A$2:$M$1241,10,FALSE)," ")</f>
        <v>Msaken 4070</v>
      </c>
      <c r="L124" s="17">
        <v>4070</v>
      </c>
      <c r="M124" s="17">
        <v>26733525</v>
      </c>
      <c r="N124" s="17"/>
      <c r="O124" s="20" t="str">
        <f>IF(B124=0,VLOOKUP(A124,Feuil2!$A$2:$M$1241,13,FALSE)," ")</f>
        <v>04204067404000633269</v>
      </c>
    </row>
    <row r="125" spans="1:15" x14ac:dyDescent="0.3">
      <c r="A125" s="1">
        <v>730</v>
      </c>
      <c r="B125" s="1">
        <v>1</v>
      </c>
      <c r="C125" s="1" t="s">
        <v>2339</v>
      </c>
      <c r="D125" s="1" t="s">
        <v>1301</v>
      </c>
      <c r="E125" s="5">
        <v>26758</v>
      </c>
      <c r="F125" s="1" t="s">
        <v>17</v>
      </c>
      <c r="G125" s="1" t="s">
        <v>15</v>
      </c>
      <c r="H125" s="1" t="s">
        <v>16</v>
      </c>
      <c r="I125" s="6" t="str">
        <f>IF(B125=0,VLOOKUP(A125,Feuil2!$A$2:$M$1241,7,FALSE)," ")</f>
        <v xml:space="preserve"> </v>
      </c>
      <c r="J125" s="1" t="str">
        <f>IF(B125=0,VLOOKUP(A125,Feuil2!$A$2:$M$1241,9,FALSE)," ")</f>
        <v xml:space="preserve"> </v>
      </c>
      <c r="K125" s="1" t="str">
        <f>IF(B125=0,VLOOKUP(A125,Feuil2!$A$2:$M$1241,10,FALSE)," ")</f>
        <v xml:space="preserve"> </v>
      </c>
      <c r="L125" s="1"/>
      <c r="M125" s="1"/>
      <c r="N125" s="1"/>
      <c r="O125" s="8" t="str">
        <f>IF(B125=0,VLOOKUP(A125,Feuil2!$A$2:$M$1241,13,FALSE)," ")</f>
        <v xml:space="preserve"> </v>
      </c>
    </row>
    <row r="126" spans="1:15" x14ac:dyDescent="0.3">
      <c r="A126" s="1">
        <v>730</v>
      </c>
      <c r="B126" s="1">
        <v>2</v>
      </c>
      <c r="C126" s="1" t="s">
        <v>213</v>
      </c>
      <c r="D126" s="1" t="s">
        <v>2340</v>
      </c>
      <c r="E126" s="5">
        <v>36785</v>
      </c>
      <c r="F126" s="1" t="s">
        <v>17</v>
      </c>
      <c r="G126" s="1" t="str">
        <f>IF(B126=0,VLOOKUP(A126,Feuil2!$A$2:$M$1241,11,FALSE)," ")</f>
        <v xml:space="preserve"> </v>
      </c>
      <c r="H126" s="1" t="s">
        <v>16</v>
      </c>
      <c r="I126" s="6" t="str">
        <f>IF(B126=0,VLOOKUP(A126,Feuil2!$A$2:$M$1241,7,FALSE)," ")</f>
        <v xml:space="preserve"> </v>
      </c>
      <c r="J126" s="1" t="str">
        <f>IF(B126=0,VLOOKUP(A126,Feuil2!$A$2:$M$1241,9,FALSE)," ")</f>
        <v xml:space="preserve"> </v>
      </c>
      <c r="K126" s="1" t="str">
        <f>IF(B126=0,VLOOKUP(A126,Feuil2!$A$2:$M$1241,10,FALSE)," ")</f>
        <v xml:space="preserve"> </v>
      </c>
      <c r="L126" s="1"/>
      <c r="M126" s="1"/>
      <c r="N126" s="1"/>
      <c r="O126" s="8" t="str">
        <f>IF(B126=0,VLOOKUP(A126,Feuil2!$A$2:$M$1241,13,FALSE)," ")</f>
        <v xml:space="preserve"> </v>
      </c>
    </row>
    <row r="127" spans="1:15" x14ac:dyDescent="0.3">
      <c r="A127" s="1">
        <v>758</v>
      </c>
      <c r="B127" s="17">
        <v>0</v>
      </c>
      <c r="C127" s="17" t="str">
        <f>IF(B127=0,VLOOKUP(A127,Feuil2!$A$2:$M$1241,2,FALSE)," ")</f>
        <v>BEN YAHIA</v>
      </c>
      <c r="D127" s="17" t="str">
        <f>IF(B127=0,VLOOKUP(A127,Feuil2!$A$2:$M$1241,3,FALSE)," ")</f>
        <v>KAMEL</v>
      </c>
      <c r="E127" s="18">
        <f>IF(B127=0,VLOOKUP(A127,Feuil2!$A$2:$M$1241,6,FALSE)," ")</f>
        <v>24088</v>
      </c>
      <c r="F127" s="17" t="str">
        <f>IF(B127=0,VLOOKUP(A127,Feuil2!$A$2:$M$1241,12,FALSE)," ")</f>
        <v>H</v>
      </c>
      <c r="G127" s="17" t="str">
        <f>IF(B127=0,VLOOKUP(A127,Feuil2!$A$2:$M$1241,11,FALSE)," ")</f>
        <v>M</v>
      </c>
      <c r="H127" s="17" t="s">
        <v>16</v>
      </c>
      <c r="I127" s="19">
        <f>IF(B127=0,VLOOKUP(A127,Feuil2!$A$2:$M$1241,7,FALSE)," ")</f>
        <v>2971647</v>
      </c>
      <c r="J127" s="17" t="str">
        <f>IF(B127=0,VLOOKUP(A127,Feuil2!$A$2:$M$1241,9,FALSE)," ")</f>
        <v>4025 Sidi El Hani</v>
      </c>
      <c r="K127" s="17" t="str">
        <f>IF(B127=0,VLOOKUP(A127,Feuil2!$A$2:$M$1241,10,FALSE)," ")</f>
        <v>Sidi El HÃ©ni 4025</v>
      </c>
      <c r="L127" s="17"/>
      <c r="M127" s="17">
        <v>98558839</v>
      </c>
      <c r="N127" s="17"/>
      <c r="O127" s="20" t="str">
        <f>IF(B127=0,VLOOKUP(A127,Feuil2!$A$2:$M$1241,13,FALSE)," ")</f>
        <v>12505000580101147275</v>
      </c>
    </row>
    <row r="128" spans="1:15" x14ac:dyDescent="0.3">
      <c r="A128" s="1">
        <v>758</v>
      </c>
      <c r="B128" s="1">
        <v>1</v>
      </c>
      <c r="C128" s="1" t="s">
        <v>2453</v>
      </c>
      <c r="D128" s="1" t="s">
        <v>2454</v>
      </c>
      <c r="E128" s="5">
        <v>24579</v>
      </c>
      <c r="F128" s="1" t="s">
        <v>17</v>
      </c>
      <c r="G128" s="1" t="s">
        <v>15</v>
      </c>
      <c r="H128" s="1" t="s">
        <v>16</v>
      </c>
      <c r="I128" s="6" t="str">
        <f>IF(B128=0,VLOOKUP(A128,Feuil2!$A$2:$M$1241,7,FALSE)," ")</f>
        <v xml:space="preserve"> </v>
      </c>
      <c r="J128" s="1" t="str">
        <f>IF(B128=0,VLOOKUP(A128,Feuil2!$A$2:$M$1241,9,FALSE)," ")</f>
        <v xml:space="preserve"> </v>
      </c>
      <c r="K128" s="1" t="str">
        <f>IF(B128=0,VLOOKUP(A128,Feuil2!$A$2:$M$1241,10,FALSE)," ")</f>
        <v xml:space="preserve"> </v>
      </c>
      <c r="L128" s="1"/>
      <c r="M128" s="1"/>
      <c r="N128" s="1"/>
      <c r="O128" s="8" t="str">
        <f>IF(B128=0,VLOOKUP(A128,Feuil2!$A$2:$M$1241,13,FALSE)," ")</f>
        <v xml:space="preserve"> </v>
      </c>
    </row>
    <row r="129" spans="1:16" x14ac:dyDescent="0.3">
      <c r="A129" s="1">
        <v>758</v>
      </c>
      <c r="B129" s="1">
        <v>2</v>
      </c>
      <c r="C129" s="1" t="s">
        <v>1212</v>
      </c>
      <c r="D129" s="1" t="s">
        <v>2431</v>
      </c>
      <c r="E129" s="5">
        <v>39057</v>
      </c>
      <c r="F129" s="1" t="s">
        <v>506</v>
      </c>
      <c r="G129" s="1" t="str">
        <f>IF(B129=0,VLOOKUP(A129,Feuil2!$A$2:$M$1241,11,FALSE)," ")</f>
        <v xml:space="preserve"> </v>
      </c>
      <c r="H129" s="1" t="s">
        <v>16</v>
      </c>
      <c r="I129" s="6" t="str">
        <f>IF(B129=0,VLOOKUP(A129,Feuil2!$A$2:$M$1241,7,FALSE)," ")</f>
        <v xml:space="preserve"> </v>
      </c>
      <c r="J129" s="1" t="str">
        <f>IF(B129=0,VLOOKUP(A129,Feuil2!$A$2:$M$1241,9,FALSE)," ")</f>
        <v xml:space="preserve"> </v>
      </c>
      <c r="K129" s="1" t="str">
        <f>IF(B129=0,VLOOKUP(A129,Feuil2!$A$2:$M$1241,10,FALSE)," ")</f>
        <v xml:space="preserve"> </v>
      </c>
      <c r="L129" s="1"/>
      <c r="M129" s="1"/>
      <c r="N129" s="1"/>
      <c r="O129" s="8" t="str">
        <f>IF(B129=0,VLOOKUP(A129,Feuil2!$A$2:$M$1241,13,FALSE)," ")</f>
        <v xml:space="preserve"> </v>
      </c>
    </row>
    <row r="130" spans="1:16" x14ac:dyDescent="0.3">
      <c r="A130" s="1">
        <v>761</v>
      </c>
      <c r="B130" s="17">
        <v>0</v>
      </c>
      <c r="C130" s="17" t="str">
        <f>IF(B130=0,VLOOKUP(A130,Feuil2!$A$2:$M$1241,2,FALSE)," ")</f>
        <v>SLIMENE</v>
      </c>
      <c r="D130" s="17" t="str">
        <f>IF(B130=0,VLOOKUP(A130,Feuil2!$A$2:$M$1241,3,FALSE)," ")</f>
        <v>RIDHA</v>
      </c>
      <c r="E130" s="18">
        <f>IF(B130=0,VLOOKUP(A130,Feuil2!$A$2:$M$1241,6,FALSE)," ")</f>
        <v>24632</v>
      </c>
      <c r="F130" s="17" t="str">
        <f>IF(B130=0,VLOOKUP(A130,Feuil2!$A$2:$M$1241,12,FALSE)," ")</f>
        <v>H</v>
      </c>
      <c r="G130" s="17" t="str">
        <f>IF(B130=0,VLOOKUP(A130,Feuil2!$A$2:$M$1241,11,FALSE)," ")</f>
        <v>M</v>
      </c>
      <c r="H130" s="17" t="s">
        <v>16</v>
      </c>
      <c r="I130" s="19">
        <f>IF(B130=0,VLOOKUP(A130,Feuil2!$A$2:$M$1241,7,FALSE)," ")</f>
        <v>2977964</v>
      </c>
      <c r="J130" s="17" t="str">
        <f>IF(B130=0,VLOOKUP(A130,Feuil2!$A$2:$M$1241,9,FALSE)," ")</f>
        <v>4015 Beni Rabiaa</v>
      </c>
      <c r="K130" s="17" t="str">
        <f>IF(B130=0,VLOOKUP(A130,Feuil2!$A$2:$M$1241,10,FALSE)," ")</f>
        <v>BÃ©ni Rabiaa 4015</v>
      </c>
      <c r="L130" s="17"/>
      <c r="M130" s="17">
        <v>95488691</v>
      </c>
      <c r="N130" s="17"/>
      <c r="O130" s="20" t="str">
        <f>IF(B130=0,VLOOKUP(A130,Feuil2!$A$2:$M$1241,13,FALSE)," ")</f>
        <v>10506040203732578853</v>
      </c>
    </row>
    <row r="131" spans="1:16" x14ac:dyDescent="0.3">
      <c r="A131" s="1">
        <v>761</v>
      </c>
      <c r="B131" s="1">
        <v>1</v>
      </c>
      <c r="C131" s="1" t="s">
        <v>329</v>
      </c>
      <c r="D131" s="1" t="s">
        <v>2468</v>
      </c>
      <c r="E131" s="5">
        <v>28026</v>
      </c>
      <c r="F131" s="1" t="s">
        <v>17</v>
      </c>
      <c r="G131" s="1" t="s">
        <v>15</v>
      </c>
      <c r="H131" s="1" t="s">
        <v>16</v>
      </c>
      <c r="I131" s="6" t="str">
        <f>IF(B131=0,VLOOKUP(A131,Feuil2!$A$2:$M$1241,7,FALSE)," ")</f>
        <v xml:space="preserve"> </v>
      </c>
      <c r="J131" s="1" t="str">
        <f>IF(B131=0,VLOOKUP(A131,Feuil2!$A$2:$M$1241,9,FALSE)," ")</f>
        <v xml:space="preserve"> </v>
      </c>
      <c r="K131" s="1" t="str">
        <f>IF(B131=0,VLOOKUP(A131,Feuil2!$A$2:$M$1241,10,FALSE)," ")</f>
        <v xml:space="preserve"> </v>
      </c>
      <c r="L131" s="1"/>
      <c r="M131" s="1"/>
      <c r="N131" s="1"/>
      <c r="O131" s="8" t="str">
        <f>IF(B131=0,VLOOKUP(A131,Feuil2!$A$2:$M$1241,13,FALSE)," ")</f>
        <v xml:space="preserve"> </v>
      </c>
    </row>
    <row r="132" spans="1:16" x14ac:dyDescent="0.3">
      <c r="A132" s="1">
        <v>761</v>
      </c>
      <c r="B132" s="1">
        <v>2</v>
      </c>
      <c r="C132" s="1" t="s">
        <v>329</v>
      </c>
      <c r="D132" s="1" t="s">
        <v>2377</v>
      </c>
      <c r="E132" s="5">
        <v>40172</v>
      </c>
      <c r="F132" s="1" t="s">
        <v>17</v>
      </c>
      <c r="G132" s="1" t="str">
        <f>IF(B132=0,VLOOKUP(A132,Feuil2!$A$2:$M$1241,11,FALSE)," ")</f>
        <v xml:space="preserve"> </v>
      </c>
      <c r="H132" s="1" t="s">
        <v>16</v>
      </c>
      <c r="I132" s="6" t="str">
        <f>IF(B132=0,VLOOKUP(A132,Feuil2!$A$2:$M$1241,7,FALSE)," ")</f>
        <v xml:space="preserve"> </v>
      </c>
      <c r="J132" s="1" t="str">
        <f>IF(B132=0,VLOOKUP(A132,Feuil2!$A$2:$M$1241,9,FALSE)," ")</f>
        <v xml:space="preserve"> </v>
      </c>
      <c r="K132" s="1" t="str">
        <f>IF(B132=0,VLOOKUP(A132,Feuil2!$A$2:$M$1241,10,FALSE)," ")</f>
        <v xml:space="preserve"> </v>
      </c>
      <c r="L132" s="1"/>
      <c r="M132" s="1"/>
      <c r="N132" s="1"/>
      <c r="O132" s="8" t="str">
        <f>IF(B132=0,VLOOKUP(A132,Feuil2!$A$2:$M$1241,13,FALSE)," ")</f>
        <v xml:space="preserve"> </v>
      </c>
    </row>
    <row r="133" spans="1:16" x14ac:dyDescent="0.3">
      <c r="A133" s="1">
        <v>772</v>
      </c>
      <c r="B133" s="17">
        <v>0</v>
      </c>
      <c r="C133" s="17" t="str">
        <f>IF(B133=0,VLOOKUP(A133,Feuil2!$A$2:$M$1241,2,FALSE)," ")</f>
        <v>BOUHLEL</v>
      </c>
      <c r="D133" s="17" t="str">
        <f>IF(B133=0,VLOOKUP(A133,Feuil2!$A$2:$M$1241,3,FALSE)," ")</f>
        <v>LOTFI</v>
      </c>
      <c r="E133" s="18">
        <f>IF(B133=0,VLOOKUP(A133,Feuil2!$A$2:$M$1241,6,FALSE)," ")</f>
        <v>23635</v>
      </c>
      <c r="F133" s="17" t="str">
        <f>IF(B133=0,VLOOKUP(A133,Feuil2!$A$2:$M$1241,12,FALSE)," ")</f>
        <v>H</v>
      </c>
      <c r="G133" s="17" t="str">
        <f>IF(B133=0,VLOOKUP(A133,Feuil2!$A$2:$M$1241,11,FALSE)," ")</f>
        <v>M</v>
      </c>
      <c r="H133" s="17" t="s">
        <v>16</v>
      </c>
      <c r="I133" s="19">
        <f>IF(B133=0,VLOOKUP(A133,Feuil2!$A$2:$M$1241,7,FALSE)," ")</f>
        <v>2953127</v>
      </c>
      <c r="J133" s="17" t="str">
        <f>IF(B133=0,VLOOKUP(A133,Feuil2!$A$2:$M$1241,9,FALSE)," ")</f>
        <v>221 Rue Ali Belahouane</v>
      </c>
      <c r="K133" s="17" t="str">
        <f>IF(B133=0,VLOOKUP(A133,Feuil2!$A$2:$M$1241,10,FALSE)," ")</f>
        <v>Msaken 4070</v>
      </c>
      <c r="L133" s="17">
        <v>4070</v>
      </c>
      <c r="M133" s="17">
        <v>22436667</v>
      </c>
      <c r="N133" s="17"/>
      <c r="O133" s="20" t="str">
        <f>IF(B133=0,VLOOKUP(A133,Feuil2!$A$2:$M$1241,13,FALSE)," ")</f>
        <v>12505000000220481457</v>
      </c>
    </row>
    <row r="134" spans="1:16" x14ac:dyDescent="0.3">
      <c r="A134" s="1">
        <v>772</v>
      </c>
      <c r="B134" s="1">
        <v>1</v>
      </c>
      <c r="C134" s="1" t="s">
        <v>703</v>
      </c>
      <c r="D134" s="1" t="s">
        <v>596</v>
      </c>
      <c r="E134" s="5">
        <v>23542</v>
      </c>
      <c r="F134" s="1" t="s">
        <v>17</v>
      </c>
      <c r="G134" s="1" t="s">
        <v>15</v>
      </c>
      <c r="H134" s="1" t="s">
        <v>16</v>
      </c>
      <c r="I134" s="6" t="str">
        <f>IF(B134=0,VLOOKUP(A134,Feuil2!$A$2:$M$1241,7,FALSE)," ")</f>
        <v xml:space="preserve"> </v>
      </c>
      <c r="J134" s="1" t="str">
        <f>IF(B134=0,VLOOKUP(A134,Feuil2!$A$2:$M$1241,9,FALSE)," ")</f>
        <v xml:space="preserve"> </v>
      </c>
      <c r="K134" s="1" t="str">
        <f>IF(B134=0,VLOOKUP(A134,Feuil2!$A$2:$M$1241,10,FALSE)," ")</f>
        <v xml:space="preserve"> </v>
      </c>
      <c r="L134" s="1"/>
      <c r="M134" s="1"/>
      <c r="N134" s="1"/>
      <c r="O134" s="8" t="str">
        <f>IF(B134=0,VLOOKUP(A134,Feuil2!$A$2:$M$1241,13,FALSE)," ")</f>
        <v xml:space="preserve"> </v>
      </c>
    </row>
    <row r="135" spans="1:16" x14ac:dyDescent="0.3">
      <c r="A135" s="1">
        <v>775</v>
      </c>
      <c r="B135" s="17">
        <v>0</v>
      </c>
      <c r="C135" s="17" t="str">
        <f>IF(B135=0,VLOOKUP(A135,Feuil2!$A$2:$M$1241,2,FALSE)," ")</f>
        <v>ZORGATI</v>
      </c>
      <c r="D135" s="17" t="str">
        <f>IF(B135=0,VLOOKUP(A135,Feuil2!$A$2:$M$1241,3,FALSE)," ")</f>
        <v>MONDHER</v>
      </c>
      <c r="E135" s="18">
        <f>IF(B135=0,VLOOKUP(A135,Feuil2!$A$2:$M$1241,6,FALSE)," ")</f>
        <v>25687</v>
      </c>
      <c r="F135" s="17" t="str">
        <f>IF(B135=0,VLOOKUP(A135,Feuil2!$A$2:$M$1241,12,FALSE)," ")</f>
        <v>H</v>
      </c>
      <c r="G135" s="17" t="str">
        <f>IF(B135=0,VLOOKUP(A135,Feuil2!$A$2:$M$1241,11,FALSE)," ")</f>
        <v>M</v>
      </c>
      <c r="H135" s="17" t="s">
        <v>16</v>
      </c>
      <c r="I135" s="19">
        <f>IF(B135=0,VLOOKUP(A135,Feuil2!$A$2:$M$1241,7,FALSE)," ")</f>
        <v>2994760</v>
      </c>
      <c r="J135" s="17" t="str">
        <f>IF(B135=0,VLOOKUP(A135,Feuil2!$A$2:$M$1241,9,FALSE)," ")</f>
        <v>122 Rue Hamda Hamila</v>
      </c>
      <c r="K135" s="17" t="str">
        <f>IF(B135=0,VLOOKUP(A135,Feuil2!$A$2:$M$1241,10,FALSE)," ")</f>
        <v>Msaken 4070</v>
      </c>
      <c r="L135" s="17">
        <v>4070</v>
      </c>
      <c r="M135" s="17">
        <v>24600345</v>
      </c>
      <c r="N135" s="17"/>
      <c r="O135" s="21" t="s">
        <v>2458</v>
      </c>
    </row>
    <row r="136" spans="1:16" x14ac:dyDescent="0.3">
      <c r="A136" s="1">
        <v>775</v>
      </c>
      <c r="B136" s="1">
        <v>1</v>
      </c>
      <c r="C136" s="1" t="s">
        <v>1029</v>
      </c>
      <c r="D136" s="1" t="s">
        <v>449</v>
      </c>
      <c r="E136" s="5">
        <v>35785</v>
      </c>
      <c r="F136" s="1" t="s">
        <v>17</v>
      </c>
      <c r="G136" s="1" t="s">
        <v>15</v>
      </c>
      <c r="H136" s="1" t="s">
        <v>16</v>
      </c>
      <c r="I136" s="6" t="str">
        <f>IF(B136=0,VLOOKUP(A136,Feuil2!$A$2:$M$1241,7,FALSE)," ")</f>
        <v xml:space="preserve"> </v>
      </c>
      <c r="J136" s="1" t="str">
        <f>IF(B136=0,VLOOKUP(A136,Feuil2!$A$2:$M$1241,9,FALSE)," ")</f>
        <v xml:space="preserve"> </v>
      </c>
      <c r="K136" s="1" t="str">
        <f>IF(B136=0,VLOOKUP(A136,Feuil2!$A$2:$M$1241,10,FALSE)," ")</f>
        <v xml:space="preserve"> </v>
      </c>
      <c r="L136" s="1"/>
      <c r="M136" s="1"/>
      <c r="N136" s="1"/>
      <c r="O136" s="8" t="str">
        <f>IF(B136=0,VLOOKUP(A136,Feuil2!$A$2:$M$1241,13,FALSE)," ")</f>
        <v xml:space="preserve"> </v>
      </c>
    </row>
    <row r="137" spans="1:16" x14ac:dyDescent="0.3">
      <c r="A137" s="1">
        <v>775</v>
      </c>
      <c r="B137" s="1">
        <v>2</v>
      </c>
      <c r="C137" s="1" t="s">
        <v>179</v>
      </c>
      <c r="D137" s="1" t="s">
        <v>2347</v>
      </c>
      <c r="E137" s="5">
        <v>36801</v>
      </c>
      <c r="F137" s="1" t="s">
        <v>506</v>
      </c>
      <c r="G137" s="1" t="str">
        <f>IF(B137=0,VLOOKUP(A137,Feuil2!$A$2:$M$1241,11,FALSE)," ")</f>
        <v xml:space="preserve"> </v>
      </c>
      <c r="H137" s="1" t="s">
        <v>16</v>
      </c>
      <c r="I137" s="6" t="str">
        <f>IF(B137=0,VLOOKUP(A137,Feuil2!$A$2:$M$1241,7,FALSE)," ")</f>
        <v xml:space="preserve"> </v>
      </c>
      <c r="J137" s="1" t="str">
        <f>IF(B137=0,VLOOKUP(A137,Feuil2!$A$2:$M$1241,9,FALSE)," ")</f>
        <v xml:space="preserve"> </v>
      </c>
      <c r="K137" s="1" t="str">
        <f>IF(B137=0,VLOOKUP(A137,Feuil2!$A$2:$M$1241,10,FALSE)," ")</f>
        <v xml:space="preserve"> </v>
      </c>
      <c r="L137" s="1"/>
      <c r="M137" s="1"/>
      <c r="N137" s="1"/>
      <c r="O137" s="8" t="str">
        <f>IF(B137=0,VLOOKUP(A137,Feuil2!$A$2:$M$1241,13,FALSE)," ")</f>
        <v xml:space="preserve"> </v>
      </c>
    </row>
    <row r="138" spans="1:16" x14ac:dyDescent="0.3">
      <c r="A138" s="1">
        <v>775</v>
      </c>
      <c r="B138" s="1">
        <v>3</v>
      </c>
      <c r="C138" s="1" t="s">
        <v>179</v>
      </c>
      <c r="D138" s="1" t="s">
        <v>2357</v>
      </c>
      <c r="E138" s="5">
        <v>37559</v>
      </c>
      <c r="F138" s="1" t="s">
        <v>17</v>
      </c>
      <c r="G138" s="1" t="str">
        <f>IF(B138=0,VLOOKUP(A138,Feuil2!$A$2:$M$1241,11,FALSE)," ")</f>
        <v xml:space="preserve"> </v>
      </c>
      <c r="H138" s="1" t="s">
        <v>16</v>
      </c>
      <c r="I138" s="6" t="str">
        <f>IF(B138=0,VLOOKUP(A138,Feuil2!$A$2:$M$1241,7,FALSE)," ")</f>
        <v xml:space="preserve"> </v>
      </c>
      <c r="J138" s="1" t="str">
        <f>IF(B138=0,VLOOKUP(A138,Feuil2!$A$2:$M$1241,9,FALSE)," ")</f>
        <v xml:space="preserve"> </v>
      </c>
      <c r="K138" s="1" t="str">
        <f>IF(B138=0,VLOOKUP(A138,Feuil2!$A$2:$M$1241,10,FALSE)," ")</f>
        <v xml:space="preserve"> </v>
      </c>
      <c r="L138" s="1"/>
      <c r="M138" s="1"/>
      <c r="N138" s="1"/>
      <c r="O138" s="8" t="str">
        <f>IF(B138=0,VLOOKUP(A138,Feuil2!$A$2:$M$1241,13,FALSE)," ")</f>
        <v xml:space="preserve"> </v>
      </c>
    </row>
    <row r="139" spans="1:16" x14ac:dyDescent="0.3">
      <c r="A139" s="1">
        <v>787</v>
      </c>
      <c r="B139" s="17">
        <v>0</v>
      </c>
      <c r="C139" s="17" t="str">
        <f>IF(B139=0,VLOOKUP(A139,Feuil2!$A$2:$M$1241,2,FALSE)," ")</f>
        <v>SASSI</v>
      </c>
      <c r="D139" s="17" t="str">
        <f>IF(B139=0,VLOOKUP(A139,Feuil2!$A$2:$M$1241,3,FALSE)," ")</f>
        <v>HABIB</v>
      </c>
      <c r="E139" s="18">
        <f>IF(B139=0,VLOOKUP(A139,Feuil2!$A$2:$M$1241,6,FALSE)," ")</f>
        <v>24519</v>
      </c>
      <c r="F139" s="17" t="str">
        <f>IF(B139=0,VLOOKUP(A139,Feuil2!$A$2:$M$1241,12,FALSE)," ")</f>
        <v>H</v>
      </c>
      <c r="G139" s="17" t="str">
        <f>IF(B139=0,VLOOKUP(A139,Feuil2!$A$2:$M$1241,11,FALSE)," ")</f>
        <v>M</v>
      </c>
      <c r="H139" s="17" t="s">
        <v>16</v>
      </c>
      <c r="I139" s="19">
        <f>IF(B139=0,VLOOKUP(A139,Feuil2!$A$2:$M$1241,7,FALSE)," ")</f>
        <v>2992656</v>
      </c>
      <c r="J139" s="17" t="str">
        <f>IF(B139=0,VLOOKUP(A139,Feuil2!$A$2:$M$1241,9,FALSE)," ")</f>
        <v>Rue Hassen Ben  Noomen</v>
      </c>
      <c r="K139" s="17" t="str">
        <f>IF(B139=0,VLOOKUP(A139,Feuil2!$A$2:$M$1241,10,FALSE)," ")</f>
        <v>Msaken 4070</v>
      </c>
      <c r="L139" s="17">
        <v>4070</v>
      </c>
      <c r="M139" s="17">
        <v>29098127</v>
      </c>
      <c r="N139" s="17"/>
      <c r="O139" s="20" t="str">
        <f>IF(B139=0,VLOOKUP(A139,Feuil2!$A$2:$M$1241,13,FALSE)," ")</f>
        <v>04204067404000717368</v>
      </c>
      <c r="P139" t="s">
        <v>2805</v>
      </c>
    </row>
    <row r="140" spans="1:16" x14ac:dyDescent="0.3">
      <c r="A140" s="1">
        <v>787</v>
      </c>
      <c r="B140" s="1">
        <v>1</v>
      </c>
      <c r="C140" s="1" t="s">
        <v>1486</v>
      </c>
      <c r="D140" s="1" t="s">
        <v>596</v>
      </c>
      <c r="E140" s="5">
        <v>25532</v>
      </c>
      <c r="F140" s="1" t="s">
        <v>17</v>
      </c>
      <c r="G140" s="1" t="s">
        <v>15</v>
      </c>
      <c r="H140" s="1" t="s">
        <v>16</v>
      </c>
      <c r="I140" s="6" t="str">
        <f>IF(B140=0,VLOOKUP(A140,Feuil2!$A$2:$M$1241,7,FALSE)," ")</f>
        <v xml:space="preserve"> </v>
      </c>
      <c r="J140" s="1" t="str">
        <f>IF(B140=0,VLOOKUP(A140,Feuil2!$A$2:$M$1241,9,FALSE)," ")</f>
        <v xml:space="preserve"> </v>
      </c>
      <c r="K140" s="1" t="str">
        <f>IF(B140=0,VLOOKUP(A140,Feuil2!$A$2:$M$1241,10,FALSE)," ")</f>
        <v xml:space="preserve"> </v>
      </c>
      <c r="L140" s="1"/>
      <c r="M140" s="1"/>
      <c r="N140" s="1"/>
      <c r="O140" s="8" t="str">
        <f>IF(B140=0,VLOOKUP(A140,Feuil2!$A$2:$M$1241,13,FALSE)," ")</f>
        <v xml:space="preserve"> </v>
      </c>
    </row>
    <row r="141" spans="1:16" x14ac:dyDescent="0.3">
      <c r="A141" s="1">
        <v>787</v>
      </c>
      <c r="B141" s="1">
        <v>2</v>
      </c>
      <c r="C141" s="1" t="s">
        <v>104</v>
      </c>
      <c r="D141" s="1" t="s">
        <v>2350</v>
      </c>
      <c r="E141" s="5">
        <v>38187</v>
      </c>
      <c r="F141" s="1" t="s">
        <v>506</v>
      </c>
      <c r="G141" s="1" t="str">
        <f>IF(B141=0,VLOOKUP(A141,Feuil2!$A$2:$M$1241,11,FALSE)," ")</f>
        <v xml:space="preserve"> </v>
      </c>
      <c r="H141" s="1" t="s">
        <v>16</v>
      </c>
      <c r="I141" s="6" t="str">
        <f>IF(B141=0,VLOOKUP(A141,Feuil2!$A$2:$M$1241,7,FALSE)," ")</f>
        <v xml:space="preserve"> </v>
      </c>
      <c r="J141" s="1" t="str">
        <f>IF(B141=0,VLOOKUP(A141,Feuil2!$A$2:$M$1241,9,FALSE)," ")</f>
        <v xml:space="preserve"> </v>
      </c>
      <c r="K141" s="1" t="str">
        <f>IF(B141=0,VLOOKUP(A141,Feuil2!$A$2:$M$1241,10,FALSE)," ")</f>
        <v xml:space="preserve"> </v>
      </c>
      <c r="L141" s="1"/>
      <c r="M141" s="1"/>
      <c r="N141" s="1"/>
      <c r="O141" s="8" t="str">
        <f>IF(B141=0,VLOOKUP(A141,Feuil2!$A$2:$M$1241,13,FALSE)," ")</f>
        <v xml:space="preserve"> </v>
      </c>
    </row>
    <row r="142" spans="1:16" x14ac:dyDescent="0.3">
      <c r="A142" s="1">
        <v>787</v>
      </c>
      <c r="B142" s="1">
        <v>3</v>
      </c>
      <c r="C142" s="1" t="s">
        <v>104</v>
      </c>
      <c r="D142" s="1" t="s">
        <v>2351</v>
      </c>
      <c r="E142" s="5">
        <v>37443</v>
      </c>
      <c r="F142" s="1" t="s">
        <v>506</v>
      </c>
      <c r="G142" s="1" t="str">
        <f>IF(B142=0,VLOOKUP(A142,Feuil2!$A$2:$M$1241,11,FALSE)," ")</f>
        <v xml:space="preserve"> </v>
      </c>
      <c r="H142" s="1" t="s">
        <v>16</v>
      </c>
      <c r="I142" s="6" t="str">
        <f>IF(B142=0,VLOOKUP(A142,Feuil2!$A$2:$M$1241,7,FALSE)," ")</f>
        <v xml:space="preserve"> </v>
      </c>
      <c r="J142" s="1" t="str">
        <f>IF(B142=0,VLOOKUP(A142,Feuil2!$A$2:$M$1241,9,FALSE)," ")</f>
        <v xml:space="preserve"> </v>
      </c>
      <c r="K142" s="1" t="str">
        <f>IF(B142=0,VLOOKUP(A142,Feuil2!$A$2:$M$1241,10,FALSE)," ")</f>
        <v xml:space="preserve"> </v>
      </c>
      <c r="L142" s="1"/>
      <c r="M142" s="1"/>
      <c r="N142" s="1"/>
      <c r="O142" s="8" t="str">
        <f>IF(B142=0,VLOOKUP(A142,Feuil2!$A$2:$M$1241,13,FALSE)," ")</f>
        <v xml:space="preserve"> </v>
      </c>
    </row>
    <row r="143" spans="1:16" x14ac:dyDescent="0.3">
      <c r="A143" s="1">
        <v>790</v>
      </c>
      <c r="B143" s="1">
        <v>0</v>
      </c>
      <c r="C143" s="1" t="str">
        <f>IF(B143=0,VLOOKUP(A143,Feuil2!$A$2:$M$1241,2,FALSE)," ")</f>
        <v>ATTIA</v>
      </c>
      <c r="D143" s="1" t="str">
        <f>IF(B143=0,VLOOKUP(A143,Feuil2!$A$2:$M$1241,3,FALSE)," ")</f>
        <v>HAFEDH</v>
      </c>
      <c r="E143" s="5">
        <f>IF(B143=0,VLOOKUP(A143,Feuil2!$A$2:$M$1241,6,FALSE)," ")</f>
        <v>24391</v>
      </c>
      <c r="F143" s="1" t="str">
        <f>IF(B143=0,VLOOKUP(A143,Feuil2!$A$2:$M$1241,12,FALSE)," ")</f>
        <v>H</v>
      </c>
      <c r="G143" s="1" t="str">
        <f>IF(B143=0,VLOOKUP(A143,Feuil2!$A$2:$M$1241,11,FALSE)," ")</f>
        <v>M</v>
      </c>
      <c r="H143" s="1" t="s">
        <v>16</v>
      </c>
      <c r="I143" s="6">
        <f>IF(B143=0,VLOOKUP(A143,Feuil2!$A$2:$M$1241,7,FALSE)," ")</f>
        <v>2969515</v>
      </c>
      <c r="J143" s="1" t="str">
        <f>IF(B143=0,VLOOKUP(A143,Feuil2!$A$2:$M$1241,9,FALSE)," ")</f>
        <v>17 Rue de la Gare</v>
      </c>
      <c r="K143" s="1" t="str">
        <f>IF(B143=0,VLOOKUP(A143,Feuil2!$A$2:$M$1241,10,FALSE)," ")</f>
        <v>Msaken 4070</v>
      </c>
      <c r="L143" s="1">
        <v>4070</v>
      </c>
      <c r="M143" s="1">
        <v>98297673</v>
      </c>
      <c r="N143" s="1"/>
      <c r="O143" s="8" t="str">
        <f>IF(B143=0,VLOOKUP(A143,Feuil2!$A$2:$M$1241,13,FALSE)," ")</f>
        <v>04204067404000678762</v>
      </c>
    </row>
    <row r="144" spans="1:16" x14ac:dyDescent="0.3">
      <c r="A144" s="1">
        <v>790</v>
      </c>
      <c r="B144" s="1">
        <v>1</v>
      </c>
      <c r="C144" s="1" t="s">
        <v>2365</v>
      </c>
      <c r="D144" s="1" t="s">
        <v>1809</v>
      </c>
      <c r="E144" s="5">
        <v>25637</v>
      </c>
      <c r="F144" s="1" t="s">
        <v>17</v>
      </c>
      <c r="G144" s="1" t="s">
        <v>15</v>
      </c>
      <c r="H144" s="1" t="s">
        <v>16</v>
      </c>
      <c r="I144" s="6" t="str">
        <f>IF(B144=0,VLOOKUP(A144,Feuil2!$A$2:$M$1241,7,FALSE)," ")</f>
        <v xml:space="preserve"> </v>
      </c>
      <c r="J144" s="1" t="str">
        <f>IF(B144=0,VLOOKUP(A144,Feuil2!$A$2:$M$1241,9,FALSE)," ")</f>
        <v xml:space="preserve"> </v>
      </c>
      <c r="K144" s="1" t="str">
        <f>IF(B144=0,VLOOKUP(A144,Feuil2!$A$2:$M$1241,10,FALSE)," ")</f>
        <v xml:space="preserve"> </v>
      </c>
      <c r="L144" s="1"/>
      <c r="M144" s="1"/>
      <c r="N144" s="1"/>
      <c r="O144" s="8" t="str">
        <f>IF(B144=0,VLOOKUP(A144,Feuil2!$A$2:$M$1241,13,FALSE)," ")</f>
        <v xml:space="preserve"> </v>
      </c>
    </row>
    <row r="145" spans="1:15" x14ac:dyDescent="0.3">
      <c r="A145" s="1">
        <v>790</v>
      </c>
      <c r="B145" s="1">
        <v>2</v>
      </c>
      <c r="C145" s="1" t="s">
        <v>57</v>
      </c>
      <c r="D145" s="1" t="s">
        <v>34</v>
      </c>
      <c r="E145" s="5">
        <v>34591</v>
      </c>
      <c r="F145" s="1" t="s">
        <v>506</v>
      </c>
      <c r="G145" s="1" t="str">
        <f>IF(B145=0,VLOOKUP(A145,Feuil2!$A$2:$M$1241,11,FALSE)," ")</f>
        <v xml:space="preserve"> </v>
      </c>
      <c r="H145" s="1" t="s">
        <v>16</v>
      </c>
      <c r="I145" s="6" t="str">
        <f>IF(B145=0,VLOOKUP(A145,Feuil2!$A$2:$M$1241,7,FALSE)," ")</f>
        <v xml:space="preserve"> </v>
      </c>
      <c r="J145" s="1" t="str">
        <f>IF(B145=0,VLOOKUP(A145,Feuil2!$A$2:$M$1241,9,FALSE)," ")</f>
        <v xml:space="preserve"> </v>
      </c>
      <c r="K145" s="1" t="str">
        <f>IF(B145=0,VLOOKUP(A145,Feuil2!$A$2:$M$1241,10,FALSE)," ")</f>
        <v xml:space="preserve"> </v>
      </c>
      <c r="L145" s="1"/>
      <c r="M145" s="1"/>
      <c r="N145" s="1"/>
      <c r="O145" s="8" t="str">
        <f>IF(B145=0,VLOOKUP(A145,Feuil2!$A$2:$M$1241,13,FALSE)," ")</f>
        <v xml:space="preserve"> </v>
      </c>
    </row>
    <row r="146" spans="1:15" x14ac:dyDescent="0.3">
      <c r="A146" s="1">
        <v>790</v>
      </c>
      <c r="B146" s="1">
        <v>3</v>
      </c>
      <c r="C146" s="1" t="s">
        <v>57</v>
      </c>
      <c r="D146" s="1" t="s">
        <v>2677</v>
      </c>
      <c r="E146" s="5">
        <v>35401</v>
      </c>
      <c r="F146" s="1" t="s">
        <v>17</v>
      </c>
      <c r="G146" s="1" t="str">
        <f>IF(B146=0,VLOOKUP(A146,Feuil2!$A$2:$M$1241,11,FALSE)," ")</f>
        <v xml:space="preserve"> </v>
      </c>
      <c r="H146" s="1" t="s">
        <v>16</v>
      </c>
      <c r="I146" s="6" t="str">
        <f>IF(B146=0,VLOOKUP(A146,Feuil2!$A$2:$M$1241,7,FALSE)," ")</f>
        <v xml:space="preserve"> </v>
      </c>
      <c r="J146" s="1" t="str">
        <f>IF(B146=0,VLOOKUP(A146,Feuil2!$A$2:$M$1241,9,FALSE)," ")</f>
        <v xml:space="preserve"> </v>
      </c>
      <c r="K146" s="1" t="str">
        <f>IF(B146=0,VLOOKUP(A146,Feuil2!$A$2:$M$1241,10,FALSE)," ")</f>
        <v xml:space="preserve"> </v>
      </c>
      <c r="L146" s="1"/>
      <c r="M146" s="1"/>
      <c r="N146" s="1"/>
      <c r="O146" s="8" t="str">
        <f>IF(B146=0,VLOOKUP(A146,Feuil2!$A$2:$M$1241,13,FALSE)," ")</f>
        <v xml:space="preserve"> </v>
      </c>
    </row>
    <row r="147" spans="1:15" x14ac:dyDescent="0.3">
      <c r="A147" s="1">
        <v>790</v>
      </c>
      <c r="B147" s="1">
        <v>4</v>
      </c>
      <c r="C147" s="1" t="s">
        <v>57</v>
      </c>
      <c r="D147" s="1" t="s">
        <v>2367</v>
      </c>
      <c r="E147" s="5">
        <v>36432</v>
      </c>
      <c r="F147" s="1" t="s">
        <v>17</v>
      </c>
      <c r="G147" s="1" t="str">
        <f>IF(B147=0,VLOOKUP(A147,Feuil2!$A$2:$M$1241,11,FALSE)," ")</f>
        <v xml:space="preserve"> </v>
      </c>
      <c r="H147" s="1" t="s">
        <v>16</v>
      </c>
      <c r="I147" s="6" t="str">
        <f>IF(B147=0,VLOOKUP(A147,Feuil2!$A$2:$M$1241,7,FALSE)," ")</f>
        <v xml:space="preserve"> </v>
      </c>
      <c r="J147" s="1" t="str">
        <f>IF(B147=0,VLOOKUP(A147,Feuil2!$A$2:$M$1241,9,FALSE)," ")</f>
        <v xml:space="preserve"> </v>
      </c>
      <c r="K147" s="1" t="str">
        <f>IF(B147=0,VLOOKUP(A147,Feuil2!$A$2:$M$1241,10,FALSE)," ")</f>
        <v xml:space="preserve"> </v>
      </c>
      <c r="L147" s="1"/>
      <c r="M147" s="1"/>
      <c r="N147" s="1"/>
      <c r="O147" s="8" t="str">
        <f>IF(B147=0,VLOOKUP(A147,Feuil2!$A$2:$M$1241,13,FALSE)," ")</f>
        <v xml:space="preserve"> </v>
      </c>
    </row>
    <row r="148" spans="1:15" x14ac:dyDescent="0.3">
      <c r="A148" s="1">
        <v>815</v>
      </c>
      <c r="B148" s="1">
        <v>0</v>
      </c>
      <c r="C148" s="1" t="str">
        <f>IF(B148=0,VLOOKUP(A148,Feuil2!$A$2:$M$1241,2,FALSE)," ")</f>
        <v>DAHMANI</v>
      </c>
      <c r="D148" s="1" t="str">
        <f>IF(B148=0,VLOOKUP(A148,Feuil2!$A$2:$M$1241,3,FALSE)," ")</f>
        <v>HAFSI</v>
      </c>
      <c r="E148" s="5">
        <f>IF(B148=0,VLOOKUP(A148,Feuil2!$A$2:$M$1241,6,FALSE)," ")</f>
        <v>24682</v>
      </c>
      <c r="F148" s="1" t="str">
        <f>IF(B148=0,VLOOKUP(A148,Feuil2!$A$2:$M$1241,12,FALSE)," ")</f>
        <v>H</v>
      </c>
      <c r="G148" s="1" t="str">
        <f>IF(B148=0,VLOOKUP(A148,Feuil2!$A$2:$M$1241,11,FALSE)," ")</f>
        <v>M</v>
      </c>
      <c r="H148" s="1" t="s">
        <v>16</v>
      </c>
      <c r="I148" s="6">
        <f>IF(B148=0,VLOOKUP(A148,Feuil2!$A$2:$M$1241,7,FALSE)," ")</f>
        <v>4168240</v>
      </c>
      <c r="J148" s="1" t="str">
        <f>IF(B148=0,VLOOKUP(A148,Feuil2!$A$2:$M$1241,9,FALSE)," ")</f>
        <v>Rue El Wifek N 19</v>
      </c>
      <c r="K148" s="1" t="str">
        <f>IF(B148=0,VLOOKUP(A148,Feuil2!$A$2:$M$1241,10,FALSE)," ")</f>
        <v>Msaken 4070</v>
      </c>
      <c r="L148" s="1">
        <v>4070</v>
      </c>
      <c r="M148" s="1">
        <v>95142239</v>
      </c>
      <c r="N148" s="1"/>
      <c r="O148" s="8" t="str">
        <f>IF(B148=0,VLOOKUP(A148,Feuil2!$A$2:$M$1241,13,FALSE)," ")</f>
        <v>04204067404000648013</v>
      </c>
    </row>
    <row r="149" spans="1:15" x14ac:dyDescent="0.3">
      <c r="A149" s="1">
        <v>815</v>
      </c>
      <c r="B149" s="1">
        <v>1</v>
      </c>
      <c r="C149" s="1" t="s">
        <v>201</v>
      </c>
      <c r="D149" s="1" t="s">
        <v>2461</v>
      </c>
      <c r="E149" s="5">
        <v>27563</v>
      </c>
      <c r="F149" s="1" t="s">
        <v>17</v>
      </c>
      <c r="G149" s="1" t="s">
        <v>15</v>
      </c>
      <c r="H149" s="1" t="s">
        <v>16</v>
      </c>
      <c r="I149" s="6" t="str">
        <f>IF(B149=0,VLOOKUP(A149,Feuil2!$A$2:$M$1241,7,FALSE)," ")</f>
        <v xml:space="preserve"> </v>
      </c>
      <c r="J149" s="1" t="str">
        <f>IF(B149=0,VLOOKUP(A149,Feuil2!$A$2:$M$1241,9,FALSE)," ")</f>
        <v xml:space="preserve"> </v>
      </c>
      <c r="K149" s="1" t="str">
        <f>IF(B149=0,VLOOKUP(A149,Feuil2!$A$2:$M$1241,10,FALSE)," ")</f>
        <v xml:space="preserve"> </v>
      </c>
      <c r="L149" s="1"/>
      <c r="M149" s="1"/>
      <c r="N149" s="1"/>
      <c r="O149" s="8" t="str">
        <f>IF(B149=0,VLOOKUP(A149,Feuil2!$A$2:$M$1241,13,FALSE)," ")</f>
        <v xml:space="preserve"> </v>
      </c>
    </row>
    <row r="150" spans="1:15" x14ac:dyDescent="0.3">
      <c r="A150" s="1">
        <v>815</v>
      </c>
      <c r="B150" s="1">
        <v>2</v>
      </c>
      <c r="C150" s="1" t="s">
        <v>46</v>
      </c>
      <c r="D150" s="1" t="s">
        <v>2345</v>
      </c>
      <c r="E150" s="5">
        <v>37634</v>
      </c>
      <c r="F150" s="1" t="s">
        <v>17</v>
      </c>
      <c r="G150" s="1" t="str">
        <f>IF(B150=0,VLOOKUP(A150,Feuil2!$A$2:$M$1241,11,FALSE)," ")</f>
        <v xml:space="preserve"> </v>
      </c>
      <c r="H150" s="1" t="s">
        <v>16</v>
      </c>
      <c r="I150" s="6" t="str">
        <f>IF(B150=0,VLOOKUP(A150,Feuil2!$A$2:$M$1241,7,FALSE)," ")</f>
        <v xml:space="preserve"> </v>
      </c>
      <c r="J150" s="1" t="str">
        <f>IF(B150=0,VLOOKUP(A150,Feuil2!$A$2:$M$1241,9,FALSE)," ")</f>
        <v xml:space="preserve"> </v>
      </c>
      <c r="K150" s="1" t="str">
        <f>IF(B150=0,VLOOKUP(A150,Feuil2!$A$2:$M$1241,10,FALSE)," ")</f>
        <v xml:space="preserve"> </v>
      </c>
      <c r="L150" s="1"/>
      <c r="M150" s="1"/>
      <c r="N150" s="1"/>
      <c r="O150" s="8" t="str">
        <f>IF(B150=0,VLOOKUP(A150,Feuil2!$A$2:$M$1241,13,FALSE)," ")</f>
        <v xml:space="preserve"> </v>
      </c>
    </row>
    <row r="151" spans="1:15" x14ac:dyDescent="0.3">
      <c r="A151" s="1">
        <v>815</v>
      </c>
      <c r="B151" s="1">
        <v>3</v>
      </c>
      <c r="C151" s="1" t="s">
        <v>46</v>
      </c>
      <c r="D151" s="1" t="s">
        <v>2451</v>
      </c>
      <c r="E151" s="5">
        <v>38926</v>
      </c>
      <c r="F151" s="1" t="s">
        <v>17</v>
      </c>
      <c r="G151" s="1" t="str">
        <f>IF(B151=0,VLOOKUP(A151,Feuil2!$A$2:$M$1241,11,FALSE)," ")</f>
        <v xml:space="preserve"> </v>
      </c>
      <c r="H151" s="1" t="s">
        <v>16</v>
      </c>
      <c r="I151" s="6" t="str">
        <f>IF(B151=0,VLOOKUP(A151,Feuil2!$A$2:$M$1241,7,FALSE)," ")</f>
        <v xml:space="preserve"> </v>
      </c>
      <c r="J151" s="1" t="str">
        <f>IF(B151=0,VLOOKUP(A151,Feuil2!$A$2:$M$1241,9,FALSE)," ")</f>
        <v xml:space="preserve"> </v>
      </c>
      <c r="K151" s="1" t="str">
        <f>IF(B151=0,VLOOKUP(A151,Feuil2!$A$2:$M$1241,10,FALSE)," ")</f>
        <v xml:space="preserve"> </v>
      </c>
      <c r="L151" s="1"/>
      <c r="M151" s="1"/>
      <c r="N151" s="1"/>
      <c r="O151" s="8" t="str">
        <f>IF(B151=0,VLOOKUP(A151,Feuil2!$A$2:$M$1241,13,FALSE)," ")</f>
        <v xml:space="preserve"> </v>
      </c>
    </row>
    <row r="152" spans="1:15" x14ac:dyDescent="0.3">
      <c r="A152" s="1">
        <v>832</v>
      </c>
      <c r="B152" s="1">
        <v>0</v>
      </c>
      <c r="C152" s="1" t="str">
        <f>IF(B152=0,VLOOKUP(A152,Feuil2!$A$2:$M$1241,2,FALSE)," ")</f>
        <v>ABBASSI</v>
      </c>
      <c r="D152" s="1" t="str">
        <f>IF(B152=0,VLOOKUP(A152,Feuil2!$A$2:$M$1241,3,FALSE)," ")</f>
        <v>LOTFI</v>
      </c>
      <c r="E152" s="5">
        <f>IF(B152=0,VLOOKUP(A152,Feuil2!$A$2:$M$1241,6,FALSE)," ")</f>
        <v>24985</v>
      </c>
      <c r="F152" s="1" t="str">
        <f>IF(B152=0,VLOOKUP(A152,Feuil2!$A$2:$M$1241,12,FALSE)," ")</f>
        <v>H</v>
      </c>
      <c r="G152" s="1" t="str">
        <f>IF(B152=0,VLOOKUP(A152,Feuil2!$A$2:$M$1241,11,FALSE)," ")</f>
        <v>M</v>
      </c>
      <c r="H152" s="1" t="s">
        <v>16</v>
      </c>
      <c r="I152" s="6">
        <f>IF(B152=0,VLOOKUP(A152,Feuil2!$A$2:$M$1241,7,FALSE)," ")</f>
        <v>2992681</v>
      </c>
      <c r="J152" s="1" t="str">
        <f>IF(B152=0,VLOOKUP(A152,Feuil2!$A$2:$M$1241,9,FALSE)," ")</f>
        <v>12 Rue Ibn Rochd</v>
      </c>
      <c r="K152" s="1" t="str">
        <f>IF(B152=0,VLOOKUP(A152,Feuil2!$A$2:$M$1241,10,FALSE)," ")</f>
        <v>Msaken 4070</v>
      </c>
      <c r="L152" s="1">
        <v>4070</v>
      </c>
      <c r="M152" s="1">
        <v>98793634</v>
      </c>
      <c r="N152" s="1"/>
      <c r="O152" s="8" t="str">
        <f>IF(B152=0,VLOOKUP(A152,Feuil2!$A$2:$M$1241,13,FALSE)," ")</f>
        <v>10506040203881378890</v>
      </c>
    </row>
    <row r="153" spans="1:15" x14ac:dyDescent="0.3">
      <c r="A153" s="1">
        <v>832</v>
      </c>
      <c r="B153" s="1">
        <v>1</v>
      </c>
      <c r="C153" s="1" t="s">
        <v>819</v>
      </c>
      <c r="D153" s="1" t="s">
        <v>596</v>
      </c>
      <c r="E153" s="5">
        <v>28676</v>
      </c>
      <c r="F153" s="1" t="s">
        <v>17</v>
      </c>
      <c r="G153" s="1" t="s">
        <v>15</v>
      </c>
      <c r="H153" s="1" t="s">
        <v>16</v>
      </c>
      <c r="I153" s="6" t="str">
        <f>IF(B153=0,VLOOKUP(A153,Feuil2!$A$2:$M$1241,7,FALSE)," ")</f>
        <v xml:space="preserve"> </v>
      </c>
      <c r="J153" s="1" t="str">
        <f>IF(B153=0,VLOOKUP(A153,Feuil2!$A$2:$M$1241,9,FALSE)," ")</f>
        <v xml:space="preserve"> </v>
      </c>
      <c r="K153" s="1" t="str">
        <f>IF(B153=0,VLOOKUP(A153,Feuil2!$A$2:$M$1241,10,FALSE)," ")</f>
        <v xml:space="preserve"> </v>
      </c>
      <c r="L153" s="1"/>
      <c r="M153" s="1"/>
      <c r="N153" s="1"/>
      <c r="O153" s="8" t="str">
        <f>IF(B153=0,VLOOKUP(A153,Feuil2!$A$2:$M$1241,13,FALSE)," ")</f>
        <v xml:space="preserve"> </v>
      </c>
    </row>
    <row r="154" spans="1:15" x14ac:dyDescent="0.3">
      <c r="A154" s="1">
        <v>832</v>
      </c>
      <c r="B154" s="1">
        <v>2</v>
      </c>
      <c r="C154" s="1" t="s">
        <v>254</v>
      </c>
      <c r="D154" s="1" t="s">
        <v>441</v>
      </c>
      <c r="E154" s="5">
        <v>37136</v>
      </c>
      <c r="F154" s="1" t="s">
        <v>506</v>
      </c>
      <c r="G154" s="1" t="str">
        <f>IF(B154=0,VLOOKUP(A154,Feuil2!$A$2:$M$1241,11,FALSE)," ")</f>
        <v xml:space="preserve"> </v>
      </c>
      <c r="H154" s="1" t="s">
        <v>16</v>
      </c>
      <c r="I154" s="6" t="str">
        <f>IF(B154=0,VLOOKUP(A154,Feuil2!$A$2:$M$1241,7,FALSE)," ")</f>
        <v xml:space="preserve"> </v>
      </c>
      <c r="J154" s="1" t="str">
        <f>IF(B154=0,VLOOKUP(A154,Feuil2!$A$2:$M$1241,9,FALSE)," ")</f>
        <v xml:space="preserve"> </v>
      </c>
      <c r="K154" s="1" t="str">
        <f>IF(B154=0,VLOOKUP(A154,Feuil2!$A$2:$M$1241,10,FALSE)," ")</f>
        <v xml:space="preserve"> </v>
      </c>
      <c r="L154" s="1"/>
      <c r="M154" s="1"/>
      <c r="N154" s="1"/>
      <c r="O154" s="8" t="str">
        <f>IF(B154=0,VLOOKUP(A154,Feuil2!$A$2:$M$1241,13,FALSE)," ")</f>
        <v xml:space="preserve"> </v>
      </c>
    </row>
    <row r="155" spans="1:15" x14ac:dyDescent="0.3">
      <c r="A155" s="1">
        <v>832</v>
      </c>
      <c r="B155" s="1">
        <v>3</v>
      </c>
      <c r="C155" s="1" t="s">
        <v>254</v>
      </c>
      <c r="D155" s="1" t="s">
        <v>2383</v>
      </c>
      <c r="E155" s="5">
        <v>37859</v>
      </c>
      <c r="F155" s="1" t="s">
        <v>17</v>
      </c>
      <c r="G155" s="1" t="str">
        <f>IF(B155=0,VLOOKUP(A155,Feuil2!$A$2:$M$1241,11,FALSE)," ")</f>
        <v xml:space="preserve"> </v>
      </c>
      <c r="H155" s="1" t="s">
        <v>16</v>
      </c>
      <c r="I155" s="6" t="str">
        <f>IF(B155=0,VLOOKUP(A155,Feuil2!$A$2:$M$1241,7,FALSE)," ")</f>
        <v xml:space="preserve"> </v>
      </c>
      <c r="J155" s="1" t="str">
        <f>IF(B155=0,VLOOKUP(A155,Feuil2!$A$2:$M$1241,9,FALSE)," ")</f>
        <v xml:space="preserve"> </v>
      </c>
      <c r="K155" s="1" t="str">
        <f>IF(B155=0,VLOOKUP(A155,Feuil2!$A$2:$M$1241,10,FALSE)," ")</f>
        <v xml:space="preserve"> </v>
      </c>
      <c r="L155" s="1"/>
      <c r="M155" s="1"/>
      <c r="N155" s="1"/>
      <c r="O155" s="8" t="str">
        <f>IF(B155=0,VLOOKUP(A155,Feuil2!$A$2:$M$1241,13,FALSE)," ")</f>
        <v xml:space="preserve"> </v>
      </c>
    </row>
    <row r="156" spans="1:15" x14ac:dyDescent="0.3">
      <c r="A156" s="1">
        <v>832</v>
      </c>
      <c r="B156" s="1">
        <v>4</v>
      </c>
      <c r="C156" s="1" t="s">
        <v>254</v>
      </c>
      <c r="D156" s="1" t="s">
        <v>2385</v>
      </c>
      <c r="E156" s="5">
        <v>40546</v>
      </c>
      <c r="F156" s="1" t="s">
        <v>17</v>
      </c>
      <c r="G156" s="1" t="str">
        <f>IF(B156=0,VLOOKUP(A156,Feuil2!$A$2:$M$1241,11,FALSE)," ")</f>
        <v xml:space="preserve"> </v>
      </c>
      <c r="H156" s="1" t="s">
        <v>16</v>
      </c>
      <c r="I156" s="6" t="str">
        <f>IF(B156=0,VLOOKUP(A156,Feuil2!$A$2:$M$1241,7,FALSE)," ")</f>
        <v xml:space="preserve"> </v>
      </c>
      <c r="J156" s="1" t="str">
        <f>IF(B156=0,VLOOKUP(A156,Feuil2!$A$2:$M$1241,9,FALSE)," ")</f>
        <v xml:space="preserve"> </v>
      </c>
      <c r="K156" s="1" t="str">
        <f>IF(B156=0,VLOOKUP(A156,Feuil2!$A$2:$M$1241,10,FALSE)," ")</f>
        <v xml:space="preserve"> </v>
      </c>
      <c r="L156" s="1"/>
      <c r="M156" s="1"/>
      <c r="N156" s="1"/>
      <c r="O156" s="8" t="str">
        <f>IF(B156=0,VLOOKUP(A156,Feuil2!$A$2:$M$1241,13,FALSE)," ")</f>
        <v xml:space="preserve"> </v>
      </c>
    </row>
    <row r="157" spans="1:15" x14ac:dyDescent="0.3">
      <c r="A157" s="1">
        <v>847</v>
      </c>
      <c r="B157" s="17">
        <v>0</v>
      </c>
      <c r="C157" s="17" t="str">
        <f>IF(B157=0,VLOOKUP(A157,Feuil2!$A$2:$M$1241,2,FALSE)," ")</f>
        <v>BABAY ROUIS</v>
      </c>
      <c r="D157" s="17" t="str">
        <f>IF(B157=0,VLOOKUP(A157,Feuil2!$A$2:$M$1241,3,FALSE)," ")</f>
        <v>ABDERRAZEK</v>
      </c>
      <c r="E157" s="18">
        <f>IF(B157=0,VLOOKUP(A157,Feuil2!$A$2:$M$1241,6,FALSE)," ")</f>
        <v>24951</v>
      </c>
      <c r="F157" s="17" t="str">
        <f>IF(B157=0,VLOOKUP(A157,Feuil2!$A$2:$M$1241,12,FALSE)," ")</f>
        <v>H</v>
      </c>
      <c r="G157" s="17" t="str">
        <f>IF(B157=0,VLOOKUP(A157,Feuil2!$A$2:$M$1241,11,FALSE)," ")</f>
        <v>M</v>
      </c>
      <c r="H157" s="17" t="s">
        <v>16</v>
      </c>
      <c r="I157" s="19">
        <f>IF(B157=0,VLOOKUP(A157,Feuil2!$A$2:$M$1241,7,FALSE)," ")</f>
        <v>2996274</v>
      </c>
      <c r="J157" s="17" t="str">
        <f>IF(B157=0,VLOOKUP(A157,Feuil2!$A$2:$M$1241,9,FALSE)," ")</f>
        <v>272 R Farhat Hached</v>
      </c>
      <c r="K157" s="17" t="str">
        <f>IF(B157=0,VLOOKUP(A157,Feuil2!$A$2:$M$1241,10,FALSE)," ")</f>
        <v>Msaken 4070</v>
      </c>
      <c r="L157" s="17">
        <v>4070</v>
      </c>
      <c r="M157" s="17">
        <v>98793704</v>
      </c>
      <c r="N157" s="17"/>
      <c r="O157" s="20" t="str">
        <f>IF(B157=0,VLOOKUP(A157,Feuil2!$A$2:$M$1241,13,FALSE)," ")</f>
        <v>10506040203899978834</v>
      </c>
    </row>
    <row r="158" spans="1:15" x14ac:dyDescent="0.3">
      <c r="A158" s="1">
        <v>847</v>
      </c>
      <c r="B158" s="1">
        <v>1</v>
      </c>
      <c r="C158" s="1" t="s">
        <v>342</v>
      </c>
      <c r="D158" s="1" t="s">
        <v>2425</v>
      </c>
      <c r="E158" s="5">
        <v>26434</v>
      </c>
      <c r="F158" s="1" t="s">
        <v>17</v>
      </c>
      <c r="G158" s="1" t="s">
        <v>15</v>
      </c>
      <c r="H158" s="1" t="s">
        <v>16</v>
      </c>
      <c r="I158" s="6" t="str">
        <f>IF(B158=0,VLOOKUP(A158,Feuil2!$A$2:$M$1241,7,FALSE)," ")</f>
        <v xml:space="preserve"> </v>
      </c>
      <c r="J158" s="1" t="str">
        <f>IF(B158=0,VLOOKUP(A158,Feuil2!$A$2:$M$1241,9,FALSE)," ")</f>
        <v xml:space="preserve"> </v>
      </c>
      <c r="K158" s="1" t="str">
        <f>IF(B158=0,VLOOKUP(A158,Feuil2!$A$2:$M$1241,10,FALSE)," ")</f>
        <v xml:space="preserve"> </v>
      </c>
      <c r="L158" s="1"/>
      <c r="M158" s="1"/>
      <c r="N158" s="1"/>
      <c r="O158" s="8" t="str">
        <f>IF(B158=0,VLOOKUP(A158,Feuil2!$A$2:$M$1241,13,FALSE)," ")</f>
        <v xml:space="preserve"> </v>
      </c>
    </row>
    <row r="159" spans="1:15" x14ac:dyDescent="0.3">
      <c r="A159" s="1">
        <v>847</v>
      </c>
      <c r="B159" s="1">
        <v>2</v>
      </c>
      <c r="C159" s="1" t="s">
        <v>614</v>
      </c>
      <c r="D159" s="1" t="s">
        <v>449</v>
      </c>
      <c r="E159" s="5">
        <v>35547</v>
      </c>
      <c r="F159" s="1" t="s">
        <v>17</v>
      </c>
      <c r="G159" s="1" t="str">
        <f>IF(B159=0,VLOOKUP(A159,Feuil2!$A$2:$M$1241,11,FALSE)," ")</f>
        <v xml:space="preserve"> </v>
      </c>
      <c r="H159" s="1" t="s">
        <v>16</v>
      </c>
      <c r="I159" s="6" t="str">
        <f>IF(B159=0,VLOOKUP(A159,Feuil2!$A$2:$M$1241,7,FALSE)," ")</f>
        <v xml:space="preserve"> </v>
      </c>
      <c r="J159" s="1" t="str">
        <f>IF(B159=0,VLOOKUP(A159,Feuil2!$A$2:$M$1241,9,FALSE)," ")</f>
        <v xml:space="preserve"> </v>
      </c>
      <c r="K159" s="1" t="str">
        <f>IF(B159=0,VLOOKUP(A159,Feuil2!$A$2:$M$1241,10,FALSE)," ")</f>
        <v xml:space="preserve"> </v>
      </c>
      <c r="L159" s="1"/>
      <c r="M159" s="1"/>
      <c r="N159" s="1"/>
      <c r="O159" s="8" t="str">
        <f>IF(B159=0,VLOOKUP(A159,Feuil2!$A$2:$M$1241,13,FALSE)," ")</f>
        <v xml:space="preserve"> </v>
      </c>
    </row>
    <row r="160" spans="1:15" x14ac:dyDescent="0.3">
      <c r="A160" s="1">
        <v>847</v>
      </c>
      <c r="B160" s="1">
        <v>3</v>
      </c>
      <c r="C160" s="1" t="s">
        <v>614</v>
      </c>
      <c r="D160" s="1" t="s">
        <v>2347</v>
      </c>
      <c r="E160" s="5">
        <v>38529</v>
      </c>
      <c r="F160" s="1" t="s">
        <v>506</v>
      </c>
      <c r="G160" s="1" t="str">
        <f>IF(B160=0,VLOOKUP(A160,Feuil2!$A$2:$M$1241,11,FALSE)," ")</f>
        <v xml:space="preserve"> </v>
      </c>
      <c r="H160" s="1" t="s">
        <v>16</v>
      </c>
      <c r="I160" s="6" t="str">
        <f>IF(B160=0,VLOOKUP(A160,Feuil2!$A$2:$M$1241,7,FALSE)," ")</f>
        <v xml:space="preserve"> </v>
      </c>
      <c r="J160" s="1" t="str">
        <f>IF(B160=0,VLOOKUP(A160,Feuil2!$A$2:$M$1241,9,FALSE)," ")</f>
        <v xml:space="preserve"> </v>
      </c>
      <c r="K160" s="1" t="str">
        <f>IF(B160=0,VLOOKUP(A160,Feuil2!$A$2:$M$1241,10,FALSE)," ")</f>
        <v xml:space="preserve"> </v>
      </c>
      <c r="L160" s="1"/>
      <c r="M160" s="1"/>
      <c r="N160" s="1"/>
      <c r="O160" s="8" t="str">
        <f>IF(B160=0,VLOOKUP(A160,Feuil2!$A$2:$M$1241,13,FALSE)," ")</f>
        <v xml:space="preserve"> </v>
      </c>
    </row>
    <row r="161" spans="1:16" x14ac:dyDescent="0.3">
      <c r="A161" s="1">
        <v>849</v>
      </c>
      <c r="B161" s="17">
        <v>0</v>
      </c>
      <c r="C161" s="17" t="str">
        <f>IF(B161=0,VLOOKUP(A161,Feuil2!$A$2:$M$1241,2,FALSE)," ")</f>
        <v>KAIBI</v>
      </c>
      <c r="D161" s="17" t="str">
        <f>IF(B161=0,VLOOKUP(A161,Feuil2!$A$2:$M$1241,3,FALSE)," ")</f>
        <v>RIDHA</v>
      </c>
      <c r="E161" s="18">
        <f>IF(B161=0,VLOOKUP(A161,Feuil2!$A$2:$M$1241,6,FALSE)," ")</f>
        <v>24531</v>
      </c>
      <c r="F161" s="17" t="str">
        <f>IF(B161=0,VLOOKUP(A161,Feuil2!$A$2:$M$1241,12,FALSE)," ")</f>
        <v>H</v>
      </c>
      <c r="G161" s="17" t="str">
        <f>IF(B161=0,VLOOKUP(A161,Feuil2!$A$2:$M$1241,11,FALSE)," ")</f>
        <v>M</v>
      </c>
      <c r="H161" s="17" t="s">
        <v>16</v>
      </c>
      <c r="I161" s="19">
        <f>IF(B161=0,VLOOKUP(A161,Feuil2!$A$2:$M$1241,7,FALSE)," ")</f>
        <v>2984770</v>
      </c>
      <c r="J161" s="17" t="str">
        <f>IF(B161=0,VLOOKUP(A161,Feuil2!$A$2:$M$1241,9,FALSE)," ")</f>
        <v>50 R Chedli Mahjoub</v>
      </c>
      <c r="K161" s="17" t="str">
        <f>IF(B161=0,VLOOKUP(A161,Feuil2!$A$2:$M$1241,10,FALSE)," ")</f>
        <v>Msaken 4070</v>
      </c>
      <c r="L161" s="17">
        <v>4070</v>
      </c>
      <c r="M161" s="17">
        <v>985634450</v>
      </c>
      <c r="N161" s="17"/>
      <c r="O161" s="20" t="str">
        <f>IF(B161=0,VLOOKUP(A161,Feuil2!$A$2:$M$1241,13,FALSE)," ")</f>
        <v>04204067404000159812</v>
      </c>
    </row>
    <row r="162" spans="1:16" x14ac:dyDescent="0.3">
      <c r="A162" s="1">
        <v>849</v>
      </c>
      <c r="B162" s="1">
        <v>1</v>
      </c>
      <c r="C162" s="1" t="s">
        <v>386</v>
      </c>
      <c r="D162" s="1" t="s">
        <v>2480</v>
      </c>
      <c r="E162" s="5">
        <v>28762</v>
      </c>
      <c r="F162" s="1" t="s">
        <v>17</v>
      </c>
      <c r="G162" s="1" t="s">
        <v>15</v>
      </c>
      <c r="H162" s="1" t="s">
        <v>16</v>
      </c>
      <c r="I162" s="6" t="str">
        <f>IF(B162=0,VLOOKUP(A162,Feuil2!$A$2:$M$1241,7,FALSE)," ")</f>
        <v xml:space="preserve"> </v>
      </c>
      <c r="J162" s="1" t="str">
        <f>IF(B162=0,VLOOKUP(A162,Feuil2!$A$2:$M$1241,9,FALSE)," ")</f>
        <v xml:space="preserve"> </v>
      </c>
      <c r="K162" s="1" t="str">
        <f>IF(B162=0,VLOOKUP(A162,Feuil2!$A$2:$M$1241,10,FALSE)," ")</f>
        <v xml:space="preserve"> </v>
      </c>
      <c r="L162" s="1"/>
      <c r="M162" s="1"/>
      <c r="N162" s="1"/>
      <c r="O162" s="8" t="str">
        <f>IF(B162=0,VLOOKUP(A162,Feuil2!$A$2:$M$1241,13,FALSE)," ")</f>
        <v xml:space="preserve"> </v>
      </c>
    </row>
    <row r="163" spans="1:16" x14ac:dyDescent="0.3">
      <c r="A163" s="1">
        <v>849</v>
      </c>
      <c r="B163" s="1">
        <v>2</v>
      </c>
      <c r="C163" s="1" t="s">
        <v>188</v>
      </c>
      <c r="D163" s="1" t="s">
        <v>2336</v>
      </c>
      <c r="E163" s="5">
        <v>36716</v>
      </c>
      <c r="F163" s="1" t="s">
        <v>17</v>
      </c>
      <c r="G163" s="1" t="str">
        <f>IF(B163=0,VLOOKUP(A163,Feuil2!$A$2:$M$1241,11,FALSE)," ")</f>
        <v xml:space="preserve"> </v>
      </c>
      <c r="H163" s="1" t="s">
        <v>16</v>
      </c>
      <c r="I163" s="6" t="str">
        <f>IF(B163=0,VLOOKUP(A163,Feuil2!$A$2:$M$1241,7,FALSE)," ")</f>
        <v xml:space="preserve"> </v>
      </c>
      <c r="J163" s="1" t="str">
        <f>IF(B163=0,VLOOKUP(A163,Feuil2!$A$2:$M$1241,9,FALSE)," ")</f>
        <v xml:space="preserve"> </v>
      </c>
      <c r="K163" s="1" t="str">
        <f>IF(B163=0,VLOOKUP(A163,Feuil2!$A$2:$M$1241,10,FALSE)," ")</f>
        <v xml:space="preserve"> </v>
      </c>
      <c r="L163" s="1"/>
      <c r="M163" s="1"/>
      <c r="N163" s="1"/>
      <c r="O163" s="8" t="str">
        <f>IF(B163=0,VLOOKUP(A163,Feuil2!$A$2:$M$1241,13,FALSE)," ")</f>
        <v xml:space="preserve"> </v>
      </c>
    </row>
    <row r="164" spans="1:16" x14ac:dyDescent="0.3">
      <c r="A164" s="1">
        <v>849</v>
      </c>
      <c r="B164" s="1">
        <v>3</v>
      </c>
      <c r="C164" s="1" t="s">
        <v>188</v>
      </c>
      <c r="D164" s="1" t="s">
        <v>404</v>
      </c>
      <c r="E164" s="5">
        <v>37183</v>
      </c>
      <c r="F164" s="1" t="s">
        <v>17</v>
      </c>
      <c r="G164" s="1" t="str">
        <f>IF(B164=0,VLOOKUP(A164,Feuil2!$A$2:$M$1241,11,FALSE)," ")</f>
        <v xml:space="preserve"> </v>
      </c>
      <c r="H164" s="1" t="s">
        <v>16</v>
      </c>
      <c r="I164" s="6" t="str">
        <f>IF(B164=0,VLOOKUP(A164,Feuil2!$A$2:$M$1241,7,FALSE)," ")</f>
        <v xml:space="preserve"> </v>
      </c>
      <c r="J164" s="1" t="str">
        <f>IF(B164=0,VLOOKUP(A164,Feuil2!$A$2:$M$1241,9,FALSE)," ")</f>
        <v xml:space="preserve"> </v>
      </c>
      <c r="K164" s="1" t="str">
        <f>IF(B164=0,VLOOKUP(A164,Feuil2!$A$2:$M$1241,10,FALSE)," ")</f>
        <v xml:space="preserve"> </v>
      </c>
      <c r="L164" s="1"/>
      <c r="M164" s="1"/>
      <c r="N164" s="1"/>
      <c r="O164" s="8" t="str">
        <f>IF(B164=0,VLOOKUP(A164,Feuil2!$A$2:$M$1241,13,FALSE)," ")</f>
        <v xml:space="preserve"> </v>
      </c>
    </row>
    <row r="165" spans="1:16" x14ac:dyDescent="0.3">
      <c r="A165" s="1">
        <v>849</v>
      </c>
      <c r="B165" s="1">
        <v>4</v>
      </c>
      <c r="C165" s="1" t="s">
        <v>188</v>
      </c>
      <c r="D165" s="1" t="s">
        <v>441</v>
      </c>
      <c r="E165" s="5">
        <v>38111</v>
      </c>
      <c r="F165" s="1" t="s">
        <v>506</v>
      </c>
      <c r="G165" s="1" t="str">
        <f>IF(B165=0,VLOOKUP(A165,Feuil2!$A$2:$M$1241,11,FALSE)," ")</f>
        <v xml:space="preserve"> </v>
      </c>
      <c r="H165" s="1" t="s">
        <v>16</v>
      </c>
      <c r="I165" s="6" t="str">
        <f>IF(B165=0,VLOOKUP(A165,Feuil2!$A$2:$M$1241,7,FALSE)," ")</f>
        <v xml:space="preserve"> </v>
      </c>
      <c r="J165" s="1" t="str">
        <f>IF(B165=0,VLOOKUP(A165,Feuil2!$A$2:$M$1241,9,FALSE)," ")</f>
        <v xml:space="preserve"> </v>
      </c>
      <c r="K165" s="1" t="str">
        <f>IF(B165=0,VLOOKUP(A165,Feuil2!$A$2:$M$1241,10,FALSE)," ")</f>
        <v xml:space="preserve"> </v>
      </c>
      <c r="L165" s="1"/>
      <c r="M165" s="1"/>
      <c r="N165" s="1"/>
      <c r="O165" s="8" t="str">
        <f>IF(B165=0,VLOOKUP(A165,Feuil2!$A$2:$M$1241,13,FALSE)," ")</f>
        <v xml:space="preserve"> </v>
      </c>
    </row>
    <row r="166" spans="1:16" x14ac:dyDescent="0.3">
      <c r="A166" s="1">
        <v>849</v>
      </c>
      <c r="B166" s="1">
        <v>5</v>
      </c>
      <c r="C166" s="1" t="s">
        <v>188</v>
      </c>
      <c r="D166" s="1" t="s">
        <v>287</v>
      </c>
      <c r="E166" s="5">
        <v>41991</v>
      </c>
      <c r="F166" s="1" t="s">
        <v>506</v>
      </c>
      <c r="G166" s="1" t="str">
        <f>IF(B166=0,VLOOKUP(A166,Feuil2!$A$2:$M$1241,11,FALSE)," ")</f>
        <v xml:space="preserve"> </v>
      </c>
      <c r="H166" s="1" t="s">
        <v>16</v>
      </c>
      <c r="I166" s="6" t="str">
        <f>IF(B166=0,VLOOKUP(A166,Feuil2!$A$2:$M$1241,7,FALSE)," ")</f>
        <v xml:space="preserve"> </v>
      </c>
      <c r="J166" s="1" t="str">
        <f>IF(B166=0,VLOOKUP(A166,Feuil2!$A$2:$M$1241,9,FALSE)," ")</f>
        <v xml:space="preserve"> </v>
      </c>
      <c r="K166" s="1" t="str">
        <f>IF(B166=0,VLOOKUP(A166,Feuil2!$A$2:$M$1241,10,FALSE)," ")</f>
        <v xml:space="preserve"> </v>
      </c>
      <c r="L166" s="1"/>
      <c r="M166" s="1"/>
      <c r="N166" s="1"/>
      <c r="O166" s="8" t="str">
        <f>IF(B166=0,VLOOKUP(A166,Feuil2!$A$2:$M$1241,13,FALSE)," ")</f>
        <v xml:space="preserve"> </v>
      </c>
    </row>
    <row r="167" spans="1:16" x14ac:dyDescent="0.3">
      <c r="A167" s="1">
        <v>859</v>
      </c>
      <c r="B167" s="1">
        <v>0</v>
      </c>
      <c r="C167" s="1" t="str">
        <f>IF(B167=0,VLOOKUP(A167,Feuil2!$A$2:$M$1241,2,FALSE)," ")</f>
        <v>ZRELLI</v>
      </c>
      <c r="D167" s="1" t="str">
        <f>IF(B167=0,VLOOKUP(A167,Feuil2!$A$2:$M$1241,3,FALSE)," ")</f>
        <v>MOHAMED</v>
      </c>
      <c r="E167" s="5">
        <f>IF(B167=0,VLOOKUP(A167,Feuil2!$A$2:$M$1241,6,FALSE)," ")</f>
        <v>25818</v>
      </c>
      <c r="F167" s="1" t="str">
        <f>IF(B167=0,VLOOKUP(A167,Feuil2!$A$2:$M$1241,12,FALSE)," ")</f>
        <v>H</v>
      </c>
      <c r="G167" s="1" t="str">
        <f>IF(B167=0,VLOOKUP(A167,Feuil2!$A$2:$M$1241,11,FALSE)," ")</f>
        <v>M</v>
      </c>
      <c r="H167" s="1" t="s">
        <v>16</v>
      </c>
      <c r="I167" s="6">
        <f>IF(B167=0,VLOOKUP(A167,Feuil2!$A$2:$M$1241,7,FALSE)," ")</f>
        <v>2993411</v>
      </c>
      <c r="J167" s="1" t="str">
        <f>IF(B167=0,VLOOKUP(A167,Feuil2!$A$2:$M$1241,9,FALSE)," ")</f>
        <v>118 Rue M Hamda Hamila</v>
      </c>
      <c r="K167" s="1" t="str">
        <f>IF(B167=0,VLOOKUP(A167,Feuil2!$A$2:$M$1241,10,FALSE)," ")</f>
        <v>Msaken 4070</v>
      </c>
      <c r="L167" s="1">
        <v>4070</v>
      </c>
      <c r="M167" s="1">
        <v>97225247</v>
      </c>
      <c r="N167" s="1"/>
      <c r="O167" s="8" t="str">
        <f>IF(B167=0,VLOOKUP(A167,Feuil2!$A$2:$M$1241,13,FALSE)," ")</f>
        <v>03508056010100216249</v>
      </c>
    </row>
    <row r="168" spans="1:16" x14ac:dyDescent="0.3">
      <c r="A168" s="1">
        <v>859</v>
      </c>
      <c r="B168" s="1">
        <v>1</v>
      </c>
      <c r="C168" s="1" t="s">
        <v>2402</v>
      </c>
      <c r="D168" s="1" t="s">
        <v>1007</v>
      </c>
      <c r="E168" s="5">
        <v>28238</v>
      </c>
      <c r="F168" s="1" t="s">
        <v>17</v>
      </c>
      <c r="G168" s="1" t="s">
        <v>15</v>
      </c>
      <c r="H168" s="1" t="s">
        <v>16</v>
      </c>
      <c r="I168" s="6" t="str">
        <f>IF(B168=0,VLOOKUP(A168,Feuil2!$A$2:$M$1241,7,FALSE)," ")</f>
        <v xml:space="preserve"> </v>
      </c>
      <c r="J168" s="1" t="str">
        <f>IF(B168=0,VLOOKUP(A168,Feuil2!$A$2:$M$1241,9,FALSE)," ")</f>
        <v xml:space="preserve"> </v>
      </c>
      <c r="K168" s="1" t="str">
        <f>IF(B168=0,VLOOKUP(A168,Feuil2!$A$2:$M$1241,10,FALSE)," ")</f>
        <v xml:space="preserve"> </v>
      </c>
      <c r="L168" s="1"/>
      <c r="M168" s="1"/>
      <c r="N168" s="1"/>
      <c r="O168" s="8" t="str">
        <f>IF(B168=0,VLOOKUP(A168,Feuil2!$A$2:$M$1241,13,FALSE)," ")</f>
        <v xml:space="preserve"> </v>
      </c>
    </row>
    <row r="169" spans="1:16" x14ac:dyDescent="0.3">
      <c r="A169" s="1">
        <v>859</v>
      </c>
      <c r="B169" s="1">
        <v>2</v>
      </c>
      <c r="C169" s="1" t="s">
        <v>180</v>
      </c>
      <c r="D169" s="1" t="s">
        <v>2388</v>
      </c>
      <c r="E169" s="5">
        <v>35972</v>
      </c>
      <c r="F169" s="1" t="s">
        <v>506</v>
      </c>
      <c r="G169" s="1" t="str">
        <f>IF(B169=0,VLOOKUP(A169,Feuil2!$A$2:$M$1241,11,FALSE)," ")</f>
        <v xml:space="preserve"> </v>
      </c>
      <c r="H169" s="1" t="s">
        <v>16</v>
      </c>
      <c r="I169" s="6" t="str">
        <f>IF(B169=0,VLOOKUP(A169,Feuil2!$A$2:$M$1241,7,FALSE)," ")</f>
        <v xml:space="preserve"> </v>
      </c>
      <c r="J169" s="1" t="str">
        <f>IF(B169=0,VLOOKUP(A169,Feuil2!$A$2:$M$1241,9,FALSE)," ")</f>
        <v xml:space="preserve"> </v>
      </c>
      <c r="K169" s="1" t="str">
        <f>IF(B169=0,VLOOKUP(A169,Feuil2!$A$2:$M$1241,10,FALSE)," ")</f>
        <v xml:space="preserve"> </v>
      </c>
      <c r="L169" s="1"/>
      <c r="M169" s="1"/>
      <c r="N169" s="1"/>
      <c r="O169" s="8" t="str">
        <f>IF(B169=0,VLOOKUP(A169,Feuil2!$A$2:$M$1241,13,FALSE)," ")</f>
        <v xml:space="preserve"> </v>
      </c>
    </row>
    <row r="170" spans="1:16" x14ac:dyDescent="0.3">
      <c r="A170" s="1">
        <v>859</v>
      </c>
      <c r="B170" s="1">
        <v>3</v>
      </c>
      <c r="C170" s="1" t="s">
        <v>180</v>
      </c>
      <c r="D170" s="1" t="s">
        <v>2403</v>
      </c>
      <c r="E170" s="5">
        <v>36531</v>
      </c>
      <c r="F170" s="1" t="s">
        <v>17</v>
      </c>
      <c r="G170" s="1" t="str">
        <f>IF(B170=0,VLOOKUP(A170,Feuil2!$A$2:$M$1241,11,FALSE)," ")</f>
        <v xml:space="preserve"> </v>
      </c>
      <c r="H170" s="1" t="s">
        <v>16</v>
      </c>
      <c r="I170" s="6" t="str">
        <f>IF(B170=0,VLOOKUP(A170,Feuil2!$A$2:$M$1241,7,FALSE)," ")</f>
        <v xml:space="preserve"> </v>
      </c>
      <c r="J170" s="1" t="str">
        <f>IF(B170=0,VLOOKUP(A170,Feuil2!$A$2:$M$1241,9,FALSE)," ")</f>
        <v xml:space="preserve"> </v>
      </c>
      <c r="K170" s="1" t="str">
        <f>IF(B170=0,VLOOKUP(A170,Feuil2!$A$2:$M$1241,10,FALSE)," ")</f>
        <v xml:space="preserve"> </v>
      </c>
      <c r="L170" s="1"/>
      <c r="M170" s="1"/>
      <c r="N170" s="1"/>
      <c r="O170" s="8" t="str">
        <f>IF(B170=0,VLOOKUP(A170,Feuil2!$A$2:$M$1241,13,FALSE)," ")</f>
        <v xml:space="preserve"> </v>
      </c>
    </row>
    <row r="171" spans="1:16" x14ac:dyDescent="0.3">
      <c r="A171" s="1">
        <v>859</v>
      </c>
      <c r="B171" s="1">
        <v>4</v>
      </c>
      <c r="C171" s="1" t="s">
        <v>180</v>
      </c>
      <c r="D171" s="1" t="s">
        <v>384</v>
      </c>
      <c r="E171" s="5">
        <v>38736</v>
      </c>
      <c r="F171" s="1" t="s">
        <v>506</v>
      </c>
      <c r="G171" s="1" t="str">
        <f>IF(B171=0,VLOOKUP(A171,Feuil2!$A$2:$M$1241,11,FALSE)," ")</f>
        <v xml:space="preserve"> </v>
      </c>
      <c r="H171" s="1" t="s">
        <v>16</v>
      </c>
      <c r="I171" s="6" t="str">
        <f>IF(B171=0,VLOOKUP(A171,Feuil2!$A$2:$M$1241,7,FALSE)," ")</f>
        <v xml:space="preserve"> </v>
      </c>
      <c r="J171" s="1" t="str">
        <f>IF(B171=0,VLOOKUP(A171,Feuil2!$A$2:$M$1241,9,FALSE)," ")</f>
        <v xml:space="preserve"> </v>
      </c>
      <c r="K171" s="1" t="str">
        <f>IF(B171=0,VLOOKUP(A171,Feuil2!$A$2:$M$1241,10,FALSE)," ")</f>
        <v xml:space="preserve"> </v>
      </c>
      <c r="L171" s="1"/>
      <c r="M171" s="1"/>
      <c r="N171" s="1"/>
      <c r="O171" s="8" t="str">
        <f>IF(B171=0,VLOOKUP(A171,Feuil2!$A$2:$M$1241,13,FALSE)," ")</f>
        <v xml:space="preserve"> </v>
      </c>
    </row>
    <row r="172" spans="1:16" x14ac:dyDescent="0.3">
      <c r="A172" s="1">
        <v>920</v>
      </c>
      <c r="B172" s="17">
        <v>0</v>
      </c>
      <c r="C172" s="17" t="str">
        <f>IF(B172=0,VLOOKUP(A172,Feuil2!$A$2:$M$1241,2,FALSE)," ")</f>
        <v>BEL HADJ MEFTAH</v>
      </c>
      <c r="D172" s="17" t="str">
        <f>IF(B172=0,VLOOKUP(A172,Feuil2!$A$2:$M$1241,3,FALSE)," ")</f>
        <v>ABDERRAOUF</v>
      </c>
      <c r="E172" s="18">
        <f>IF(B172=0,VLOOKUP(A172,Feuil2!$A$2:$M$1241,6,FALSE)," ")</f>
        <v>24767</v>
      </c>
      <c r="F172" s="17" t="str">
        <f>IF(B172=0,VLOOKUP(A172,Feuil2!$A$2:$M$1241,12,FALSE)," ")</f>
        <v>H</v>
      </c>
      <c r="G172" s="17" t="str">
        <f>IF(B172=0,VLOOKUP(A172,Feuil2!$A$2:$M$1241,11,FALSE)," ")</f>
        <v>M</v>
      </c>
      <c r="H172" s="17" t="s">
        <v>16</v>
      </c>
      <c r="I172" s="19">
        <f>IF(B172=0,VLOOKUP(A172,Feuil2!$A$2:$M$1241,7,FALSE)," ")</f>
        <v>3944638</v>
      </c>
      <c r="J172" s="17" t="str">
        <f>IF(B172=0,VLOOKUP(A172,Feuil2!$A$2:$M$1241,9,FALSE)," ")</f>
        <v>935, Rue Echbilia</v>
      </c>
      <c r="K172" s="17" t="str">
        <f>IF(B172=0,VLOOKUP(A172,Feuil2!$A$2:$M$1241,10,FALSE)," ")</f>
        <v>CitÃ© Ezzouhour</v>
      </c>
      <c r="L172" s="17"/>
      <c r="M172" s="17">
        <v>98827702</v>
      </c>
      <c r="N172" s="17"/>
      <c r="O172" s="20" t="str">
        <f>IF(B172=0,VLOOKUP(A172,Feuil2!$A$2:$M$1241,13,FALSE)," ")</f>
        <v>04204067404000879164</v>
      </c>
      <c r="P172" s="22"/>
    </row>
    <row r="173" spans="1:16" x14ac:dyDescent="0.3">
      <c r="A173" s="1">
        <v>920</v>
      </c>
      <c r="B173" s="1">
        <v>1</v>
      </c>
      <c r="C173" s="1" t="s">
        <v>2390</v>
      </c>
      <c r="D173" s="1" t="s">
        <v>2391</v>
      </c>
      <c r="E173" s="5">
        <v>27273</v>
      </c>
      <c r="F173" s="1" t="s">
        <v>17</v>
      </c>
      <c r="G173" s="1" t="s">
        <v>15</v>
      </c>
      <c r="H173" s="1" t="s">
        <v>16</v>
      </c>
      <c r="I173" s="6" t="str">
        <f>IF(B173=0,VLOOKUP(A173,Feuil2!$A$2:$M$1241,7,FALSE)," ")</f>
        <v xml:space="preserve"> </v>
      </c>
      <c r="J173" s="1" t="str">
        <f>IF(B173=0,VLOOKUP(A173,Feuil2!$A$2:$M$1241,9,FALSE)," ")</f>
        <v xml:space="preserve"> </v>
      </c>
      <c r="K173" s="1" t="str">
        <f>IF(B173=0,VLOOKUP(A173,Feuil2!$A$2:$M$1241,10,FALSE)," ")</f>
        <v xml:space="preserve"> </v>
      </c>
      <c r="L173" s="1"/>
      <c r="M173" s="1"/>
      <c r="N173" s="1"/>
      <c r="O173" s="8" t="str">
        <f>IF(B173=0,VLOOKUP(A173,Feuil2!$A$2:$M$1241,13,FALSE)," ")</f>
        <v xml:space="preserve"> </v>
      </c>
    </row>
    <row r="174" spans="1:16" x14ac:dyDescent="0.3">
      <c r="A174" s="1">
        <v>920</v>
      </c>
      <c r="B174" s="1">
        <v>2</v>
      </c>
      <c r="C174" s="1" t="s">
        <v>1331</v>
      </c>
      <c r="D174" s="1" t="s">
        <v>2392</v>
      </c>
      <c r="E174" s="5">
        <v>34981</v>
      </c>
      <c r="F174" s="1" t="s">
        <v>17</v>
      </c>
      <c r="G174" s="1" t="str">
        <f>IF(B174=0,VLOOKUP(A174,Feuil2!$A$2:$M$1241,11,FALSE)," ")</f>
        <v xml:space="preserve"> </v>
      </c>
      <c r="H174" s="1" t="s">
        <v>16</v>
      </c>
      <c r="I174" s="6" t="str">
        <f>IF(B174=0,VLOOKUP(A174,Feuil2!$A$2:$M$1241,7,FALSE)," ")</f>
        <v xml:space="preserve"> </v>
      </c>
      <c r="J174" s="1" t="str">
        <f>IF(B174=0,VLOOKUP(A174,Feuil2!$A$2:$M$1241,9,FALSE)," ")</f>
        <v xml:space="preserve"> </v>
      </c>
      <c r="K174" s="1" t="str">
        <f>IF(B174=0,VLOOKUP(A174,Feuil2!$A$2:$M$1241,10,FALSE)," ")</f>
        <v xml:space="preserve"> </v>
      </c>
      <c r="L174" s="1"/>
      <c r="M174" s="1"/>
      <c r="N174" s="1"/>
      <c r="O174" s="8" t="str">
        <f>IF(B174=0,VLOOKUP(A174,Feuil2!$A$2:$M$1241,13,FALSE)," ")</f>
        <v xml:space="preserve"> </v>
      </c>
    </row>
    <row r="175" spans="1:16" x14ac:dyDescent="0.3">
      <c r="A175" s="1">
        <v>920</v>
      </c>
      <c r="B175" s="1">
        <v>3</v>
      </c>
      <c r="C175" s="1" t="s">
        <v>1331</v>
      </c>
      <c r="D175" s="1" t="s">
        <v>2338</v>
      </c>
      <c r="E175" s="5">
        <v>38731</v>
      </c>
      <c r="F175" s="1" t="s">
        <v>17</v>
      </c>
      <c r="G175" s="1" t="str">
        <f>IF(B175=0,VLOOKUP(A175,Feuil2!$A$2:$M$1241,11,FALSE)," ")</f>
        <v xml:space="preserve"> </v>
      </c>
      <c r="H175" s="1" t="s">
        <v>16</v>
      </c>
      <c r="I175" s="6" t="str">
        <f>IF(B175=0,VLOOKUP(A175,Feuil2!$A$2:$M$1241,7,FALSE)," ")</f>
        <v xml:space="preserve"> </v>
      </c>
      <c r="J175" s="1" t="str">
        <f>IF(B175=0,VLOOKUP(A175,Feuil2!$A$2:$M$1241,9,FALSE)," ")</f>
        <v xml:space="preserve"> </v>
      </c>
      <c r="K175" s="1" t="str">
        <f>IF(B175=0,VLOOKUP(A175,Feuil2!$A$2:$M$1241,10,FALSE)," ")</f>
        <v xml:space="preserve"> </v>
      </c>
      <c r="L175" s="1"/>
      <c r="M175" s="1"/>
      <c r="N175" s="1"/>
      <c r="O175" s="8" t="str">
        <f>IF(B175=0,VLOOKUP(A175,Feuil2!$A$2:$M$1241,13,FALSE)," ")</f>
        <v xml:space="preserve"> </v>
      </c>
    </row>
    <row r="176" spans="1:16" x14ac:dyDescent="0.3">
      <c r="A176" s="1">
        <v>920</v>
      </c>
      <c r="B176" s="1">
        <v>4</v>
      </c>
      <c r="C176" s="1" t="s">
        <v>1331</v>
      </c>
      <c r="D176" s="1" t="s">
        <v>2393</v>
      </c>
      <c r="E176" s="5">
        <v>39466</v>
      </c>
      <c r="F176" s="1" t="s">
        <v>506</v>
      </c>
      <c r="G176" s="1" t="str">
        <f>IF(B176=0,VLOOKUP(A176,Feuil2!$A$2:$M$1241,11,FALSE)," ")</f>
        <v xml:space="preserve"> </v>
      </c>
      <c r="H176" s="1" t="s">
        <v>16</v>
      </c>
      <c r="I176" s="6" t="str">
        <f>IF(B176=0,VLOOKUP(A176,Feuil2!$A$2:$M$1241,7,FALSE)," ")</f>
        <v xml:space="preserve"> </v>
      </c>
      <c r="J176" s="1" t="str">
        <f>IF(B176=0,VLOOKUP(A176,Feuil2!$A$2:$M$1241,9,FALSE)," ")</f>
        <v xml:space="preserve"> </v>
      </c>
      <c r="K176" s="1" t="str">
        <f>IF(B176=0,VLOOKUP(A176,Feuil2!$A$2:$M$1241,10,FALSE)," ")</f>
        <v xml:space="preserve"> </v>
      </c>
      <c r="L176" s="1"/>
      <c r="M176" s="1"/>
      <c r="N176" s="1"/>
      <c r="O176" s="8" t="str">
        <f>IF(B176=0,VLOOKUP(A176,Feuil2!$A$2:$M$1241,13,FALSE)," ")</f>
        <v xml:space="preserve"> </v>
      </c>
    </row>
    <row r="177" spans="1:16" x14ac:dyDescent="0.3">
      <c r="A177" s="1">
        <v>935</v>
      </c>
      <c r="B177" s="17">
        <v>0</v>
      </c>
      <c r="C177" s="17" t="str">
        <f>IF(B177=0,VLOOKUP(A177,Feuil2!$A$2:$M$1241,2,FALSE)," ")</f>
        <v>HAOUAS ZAHOUANI</v>
      </c>
      <c r="D177" s="17" t="str">
        <f>IF(B177=0,VLOOKUP(A177,Feuil2!$A$2:$M$1241,3,FALSE)," ")</f>
        <v>MOHAMED AMEN</v>
      </c>
      <c r="E177" s="18">
        <f>IF(B177=0,VLOOKUP(A177,Feuil2!$A$2:$M$1241,6,FALSE)," ")</f>
        <v>25139</v>
      </c>
      <c r="F177" s="17" t="str">
        <f>IF(B177=0,VLOOKUP(A177,Feuil2!$A$2:$M$1241,12,FALSE)," ")</f>
        <v>H</v>
      </c>
      <c r="G177" s="17" t="str">
        <f>IF(B177=0,VLOOKUP(A177,Feuil2!$A$2:$M$1241,11,FALSE)," ")</f>
        <v>M</v>
      </c>
      <c r="H177" s="17" t="s">
        <v>16</v>
      </c>
      <c r="I177" s="19">
        <f>IF(B177=0,VLOOKUP(A177,Feuil2!$A$2:$M$1241,7,FALSE)," ")</f>
        <v>5509729</v>
      </c>
      <c r="J177" s="17" t="str">
        <f>IF(B177=0,VLOOKUP(A177,Feuil2!$A$2:$M$1241,9,FALSE)," ")</f>
        <v>60 Rue 12 Mai</v>
      </c>
      <c r="K177" s="17" t="str">
        <f>IF(B177=0,VLOOKUP(A177,Feuil2!$A$2:$M$1241,10,FALSE)," ")</f>
        <v>Msaken 4070</v>
      </c>
      <c r="L177" s="17">
        <v>4070</v>
      </c>
      <c r="M177" s="17">
        <v>25001632</v>
      </c>
      <c r="N177" s="17"/>
      <c r="O177" s="20" t="str">
        <f>IF(B177=0,VLOOKUP(A177,Feuil2!$A$2:$M$1241,13,FALSE)," ")</f>
        <v>03508056010100132829</v>
      </c>
    </row>
    <row r="178" spans="1:16" x14ac:dyDescent="0.3">
      <c r="A178" s="1">
        <v>935</v>
      </c>
      <c r="B178" s="1">
        <v>1</v>
      </c>
      <c r="C178" s="1" t="s">
        <v>839</v>
      </c>
      <c r="D178" s="1" t="s">
        <v>746</v>
      </c>
      <c r="E178" s="5">
        <v>25019</v>
      </c>
      <c r="F178" s="1" t="s">
        <v>17</v>
      </c>
      <c r="G178" s="1" t="s">
        <v>15</v>
      </c>
      <c r="H178" s="1" t="s">
        <v>16</v>
      </c>
      <c r="I178" s="6" t="str">
        <f>IF(B178=0,VLOOKUP(A178,Feuil2!$A$2:$M$1241,7,FALSE)," ")</f>
        <v xml:space="preserve"> </v>
      </c>
      <c r="J178" s="1" t="str">
        <f>IF(B178=0,VLOOKUP(A178,Feuil2!$A$2:$M$1241,9,FALSE)," ")</f>
        <v xml:space="preserve"> </v>
      </c>
      <c r="K178" s="1" t="str">
        <f>IF(B178=0,VLOOKUP(A178,Feuil2!$A$2:$M$1241,10,FALSE)," ")</f>
        <v xml:space="preserve"> </v>
      </c>
      <c r="L178" s="1"/>
      <c r="M178" s="1"/>
      <c r="N178" s="2"/>
      <c r="O178" s="8" t="str">
        <f>IF(B178=0,VLOOKUP(A178,Feuil2!$A$2:$M$1241,13,FALSE)," ")</f>
        <v xml:space="preserve"> </v>
      </c>
    </row>
    <row r="179" spans="1:16" x14ac:dyDescent="0.3">
      <c r="A179" s="1">
        <v>935</v>
      </c>
      <c r="B179" s="1">
        <v>2</v>
      </c>
      <c r="C179" s="1" t="s">
        <v>1343</v>
      </c>
      <c r="D179" s="1" t="s">
        <v>2335</v>
      </c>
      <c r="E179" s="5">
        <v>34874</v>
      </c>
      <c r="F179" s="1" t="s">
        <v>506</v>
      </c>
      <c r="G179" s="1" t="str">
        <f>IF(B179=0,VLOOKUP(A179,Feuil2!$A$2:$M$1241,11,FALSE)," ")</f>
        <v xml:space="preserve"> </v>
      </c>
      <c r="H179" s="1" t="s">
        <v>16</v>
      </c>
      <c r="I179" s="6" t="str">
        <f>IF(B179=0,VLOOKUP(A179,Feuil2!$A$2:$M$1241,7,FALSE)," ")</f>
        <v xml:space="preserve"> </v>
      </c>
      <c r="J179" s="1" t="str">
        <f>IF(B179=0,VLOOKUP(A179,Feuil2!$A$2:$M$1241,9,FALSE)," ")</f>
        <v xml:space="preserve"> </v>
      </c>
      <c r="K179" s="1" t="str">
        <f>IF(B179=0,VLOOKUP(A179,Feuil2!$A$2:$M$1241,10,FALSE)," ")</f>
        <v xml:space="preserve"> </v>
      </c>
      <c r="L179" s="1"/>
      <c r="M179" s="1"/>
      <c r="N179" s="1"/>
      <c r="O179" s="8" t="str">
        <f>IF(B179=0,VLOOKUP(A179,Feuil2!$A$2:$M$1241,13,FALSE)," ")</f>
        <v xml:space="preserve"> </v>
      </c>
    </row>
    <row r="180" spans="1:16" x14ac:dyDescent="0.3">
      <c r="A180" s="1">
        <v>935</v>
      </c>
      <c r="B180" s="1">
        <v>3</v>
      </c>
      <c r="C180" s="1" t="s">
        <v>1343</v>
      </c>
      <c r="D180" s="1" t="s">
        <v>2336</v>
      </c>
      <c r="E180" s="5">
        <v>35629</v>
      </c>
      <c r="F180" s="1" t="s">
        <v>17</v>
      </c>
      <c r="G180" s="1" t="str">
        <f>IF(B180=0,VLOOKUP(A180,Feuil2!$A$2:$M$1241,11,FALSE)," ")</f>
        <v xml:space="preserve"> </v>
      </c>
      <c r="H180" s="1" t="s">
        <v>16</v>
      </c>
      <c r="I180" s="6" t="str">
        <f>IF(B180=0,VLOOKUP(A180,Feuil2!$A$2:$M$1241,7,FALSE)," ")</f>
        <v xml:space="preserve"> </v>
      </c>
      <c r="J180" s="1" t="str">
        <f>IF(B180=0,VLOOKUP(A180,Feuil2!$A$2:$M$1241,9,FALSE)," ")</f>
        <v xml:space="preserve"> </v>
      </c>
      <c r="K180" s="1" t="str">
        <f>IF(B180=0,VLOOKUP(A180,Feuil2!$A$2:$M$1241,10,FALSE)," ")</f>
        <v xml:space="preserve"> </v>
      </c>
      <c r="L180" s="1"/>
      <c r="M180" s="1"/>
      <c r="N180" s="1"/>
      <c r="O180" s="8" t="str">
        <f>IF(B180=0,VLOOKUP(A180,Feuil2!$A$2:$M$1241,13,FALSE)," ")</f>
        <v xml:space="preserve"> </v>
      </c>
      <c r="P180" t="s">
        <v>2805</v>
      </c>
    </row>
    <row r="181" spans="1:16" x14ac:dyDescent="0.3">
      <c r="A181" s="1">
        <v>935</v>
      </c>
      <c r="B181" s="1">
        <v>4</v>
      </c>
      <c r="C181" s="1" t="s">
        <v>1343</v>
      </c>
      <c r="D181" s="1" t="s">
        <v>1925</v>
      </c>
      <c r="E181" s="5">
        <v>36365</v>
      </c>
      <c r="F181" s="1" t="s">
        <v>17</v>
      </c>
      <c r="G181" s="1" t="str">
        <f>IF(B181=0,VLOOKUP(A181,Feuil2!$A$2:$M$1241,11,FALSE)," ")</f>
        <v xml:space="preserve"> </v>
      </c>
      <c r="H181" s="1" t="s">
        <v>16</v>
      </c>
      <c r="I181" s="6" t="str">
        <f>IF(B181=0,VLOOKUP(A181,Feuil2!$A$2:$M$1241,7,FALSE)," ")</f>
        <v xml:space="preserve"> </v>
      </c>
      <c r="J181" s="1" t="str">
        <f>IF(B181=0,VLOOKUP(A181,Feuil2!$A$2:$M$1241,9,FALSE)," ")</f>
        <v xml:space="preserve"> </v>
      </c>
      <c r="K181" s="1" t="str">
        <f>IF(B181=0,VLOOKUP(A181,Feuil2!$A$2:$M$1241,10,FALSE)," ")</f>
        <v xml:space="preserve"> </v>
      </c>
      <c r="L181" s="1"/>
      <c r="M181" s="1"/>
      <c r="N181" s="1"/>
      <c r="O181" s="8" t="str">
        <f>IF(B181=0,VLOOKUP(A181,Feuil2!$A$2:$M$1241,13,FALSE)," ")</f>
        <v xml:space="preserve"> </v>
      </c>
    </row>
    <row r="182" spans="1:16" x14ac:dyDescent="0.3">
      <c r="A182" s="1">
        <v>935</v>
      </c>
      <c r="B182" s="1">
        <v>5</v>
      </c>
      <c r="C182" s="1" t="s">
        <v>1343</v>
      </c>
      <c r="D182" s="1" t="s">
        <v>2337</v>
      </c>
      <c r="E182" s="5">
        <v>36920</v>
      </c>
      <c r="F182" s="1" t="s">
        <v>17</v>
      </c>
      <c r="G182" s="1" t="str">
        <f>IF(B182=0,VLOOKUP(A182,Feuil2!$A$2:$M$1241,11,FALSE)," ")</f>
        <v xml:space="preserve"> </v>
      </c>
      <c r="H182" s="1" t="s">
        <v>16</v>
      </c>
      <c r="I182" s="6" t="str">
        <f>IF(B182=0,VLOOKUP(A182,Feuil2!$A$2:$M$1241,7,FALSE)," ")</f>
        <v xml:space="preserve"> </v>
      </c>
      <c r="J182" s="1" t="str">
        <f>IF(B182=0,VLOOKUP(A182,Feuil2!$A$2:$M$1241,9,FALSE)," ")</f>
        <v xml:space="preserve"> </v>
      </c>
      <c r="K182" s="1" t="str">
        <f>IF(B182=0,VLOOKUP(A182,Feuil2!$A$2:$M$1241,10,FALSE)," ")</f>
        <v xml:space="preserve"> </v>
      </c>
      <c r="L182" s="1"/>
      <c r="M182" s="1"/>
      <c r="N182" s="2"/>
      <c r="O182" s="8" t="str">
        <f>IF(B182=0,VLOOKUP(A182,Feuil2!$A$2:$M$1241,13,FALSE)," ")</f>
        <v xml:space="preserve"> </v>
      </c>
    </row>
    <row r="183" spans="1:16" x14ac:dyDescent="0.3">
      <c r="A183" s="1">
        <v>935</v>
      </c>
      <c r="B183" s="1">
        <v>6</v>
      </c>
      <c r="C183" s="1" t="s">
        <v>1343</v>
      </c>
      <c r="D183" s="1" t="s">
        <v>2338</v>
      </c>
      <c r="E183" s="5">
        <v>39256</v>
      </c>
      <c r="F183" s="1" t="s">
        <v>17</v>
      </c>
      <c r="G183" s="1" t="str">
        <f>IF(B183=0,VLOOKUP(A183,Feuil2!$A$2:$M$1241,11,FALSE)," ")</f>
        <v xml:space="preserve"> </v>
      </c>
      <c r="H183" s="1" t="s">
        <v>16</v>
      </c>
      <c r="I183" s="6" t="str">
        <f>IF(B183=0,VLOOKUP(A183,Feuil2!$A$2:$M$1241,7,FALSE)," ")</f>
        <v xml:space="preserve"> </v>
      </c>
      <c r="J183" s="1" t="str">
        <f>IF(B183=0,VLOOKUP(A183,Feuil2!$A$2:$M$1241,9,FALSE)," ")</f>
        <v xml:space="preserve"> </v>
      </c>
      <c r="K183" s="1" t="str">
        <f>IF(B183=0,VLOOKUP(A183,Feuil2!$A$2:$M$1241,10,FALSE)," ")</f>
        <v xml:space="preserve"> </v>
      </c>
      <c r="L183" s="1"/>
      <c r="M183" s="1"/>
      <c r="N183" s="1"/>
      <c r="O183" s="8" t="str">
        <f>IF(B183=0,VLOOKUP(A183,Feuil2!$A$2:$M$1241,13,FALSE)," ")</f>
        <v xml:space="preserve"> </v>
      </c>
    </row>
    <row r="184" spans="1:16" x14ac:dyDescent="0.3">
      <c r="A184" s="1">
        <v>935</v>
      </c>
      <c r="B184" s="1">
        <v>7</v>
      </c>
      <c r="C184" s="1" t="s">
        <v>1343</v>
      </c>
      <c r="D184" s="1" t="s">
        <v>472</v>
      </c>
      <c r="E184" s="5">
        <v>39982</v>
      </c>
      <c r="F184" s="1" t="s">
        <v>506</v>
      </c>
      <c r="G184" s="1" t="str">
        <f>IF(B184=0,VLOOKUP(A184,Feuil2!$A$2:$M$1241,11,FALSE)," ")</f>
        <v xml:space="preserve"> </v>
      </c>
      <c r="H184" s="1" t="s">
        <v>16</v>
      </c>
      <c r="I184" s="6" t="str">
        <f>IF(B184=0,VLOOKUP(A184,Feuil2!$A$2:$M$1241,7,FALSE)," ")</f>
        <v xml:space="preserve"> </v>
      </c>
      <c r="J184" s="1" t="str">
        <f>IF(B184=0,VLOOKUP(A184,Feuil2!$A$2:$M$1241,9,FALSE)," ")</f>
        <v xml:space="preserve"> </v>
      </c>
      <c r="K184" s="1" t="str">
        <f>IF(B184=0,VLOOKUP(A184,Feuil2!$A$2:$M$1241,10,FALSE)," ")</f>
        <v xml:space="preserve"> </v>
      </c>
      <c r="L184" s="1"/>
      <c r="M184" s="1"/>
      <c r="N184" s="1"/>
      <c r="O184" s="8" t="str">
        <f>IF(B184=0,VLOOKUP(A184,Feuil2!$A$2:$M$1241,13,FALSE)," ")</f>
        <v xml:space="preserve"> </v>
      </c>
    </row>
    <row r="185" spans="1:16" x14ac:dyDescent="0.3">
      <c r="A185" s="1">
        <v>957</v>
      </c>
      <c r="B185" s="1">
        <v>0</v>
      </c>
      <c r="C185" s="1" t="str">
        <f>IF(B185=0,VLOOKUP(A185,Feuil2!$A$2:$M$1241,2,FALSE)," ")</f>
        <v>GAZZAH</v>
      </c>
      <c r="D185" s="1" t="str">
        <f>IF(B185=0,VLOOKUP(A185,Feuil2!$A$2:$M$1241,3,FALSE)," ")</f>
        <v>NIZAR</v>
      </c>
      <c r="E185" s="5">
        <f>IF(B185=0,VLOOKUP(A185,Feuil2!$A$2:$M$1241,6,FALSE)," ")</f>
        <v>25575</v>
      </c>
      <c r="F185" s="1" t="str">
        <f>IF(B185=0,VLOOKUP(A185,Feuil2!$A$2:$M$1241,12,FALSE)," ")</f>
        <v>H</v>
      </c>
      <c r="G185" s="1" t="str">
        <f>IF(B185=0,VLOOKUP(A185,Feuil2!$A$2:$M$1241,11,FALSE)," ")</f>
        <v>M</v>
      </c>
      <c r="H185" s="1" t="s">
        <v>16</v>
      </c>
      <c r="I185" s="6">
        <f>IF(B185=0,VLOOKUP(A185,Feuil2!$A$2:$M$1241,7,FALSE)," ")</f>
        <v>2990282</v>
      </c>
      <c r="J185" s="1" t="str">
        <f>IF(B185=0,VLOOKUP(A185,Feuil2!$A$2:$M$1241,9,FALSE)," ")</f>
        <v>29 R Abdelh El Gadhi</v>
      </c>
      <c r="K185" s="1" t="str">
        <f>IF(B185=0,VLOOKUP(A185,Feuil2!$A$2:$M$1241,10,FALSE)," ")</f>
        <v>Msaken 4070</v>
      </c>
      <c r="L185" s="1">
        <v>4070</v>
      </c>
      <c r="M185" s="1">
        <v>98685834</v>
      </c>
      <c r="N185" s="1"/>
      <c r="O185" s="10" t="s">
        <v>2360</v>
      </c>
    </row>
    <row r="186" spans="1:16" x14ac:dyDescent="0.3">
      <c r="A186" s="1">
        <v>957</v>
      </c>
      <c r="B186" s="1">
        <v>1</v>
      </c>
      <c r="C186" s="1" t="s">
        <v>275</v>
      </c>
      <c r="D186" s="1" t="s">
        <v>1361</v>
      </c>
      <c r="E186" s="5">
        <v>27349</v>
      </c>
      <c r="F186" s="1" t="s">
        <v>17</v>
      </c>
      <c r="G186" s="1" t="s">
        <v>15</v>
      </c>
      <c r="H186" s="1" t="s">
        <v>16</v>
      </c>
      <c r="I186" s="6" t="str">
        <f>IF(B186=0,VLOOKUP(A186,Feuil2!$A$2:$M$1241,7,FALSE)," ")</f>
        <v xml:space="preserve"> </v>
      </c>
      <c r="J186" s="1" t="str">
        <f>IF(B186=0,VLOOKUP(A186,Feuil2!$A$2:$M$1241,9,FALSE)," ")</f>
        <v xml:space="preserve"> </v>
      </c>
      <c r="K186" s="1" t="str">
        <f>IF(B186=0,VLOOKUP(A186,Feuil2!$A$2:$M$1241,10,FALSE)," ")</f>
        <v xml:space="preserve"> </v>
      </c>
      <c r="L186" s="1"/>
      <c r="M186" s="1"/>
      <c r="N186" s="1"/>
      <c r="O186" s="8" t="str">
        <f>IF(B186=0,VLOOKUP(A186,Feuil2!$A$2:$M$1241,13,FALSE)," ")</f>
        <v xml:space="preserve"> </v>
      </c>
    </row>
    <row r="187" spans="1:16" x14ac:dyDescent="0.3">
      <c r="A187" s="1">
        <v>957</v>
      </c>
      <c r="B187" s="1">
        <v>2</v>
      </c>
      <c r="C187" s="1" t="s">
        <v>121</v>
      </c>
      <c r="D187" s="1" t="s">
        <v>61</v>
      </c>
      <c r="E187" s="5">
        <v>39410</v>
      </c>
      <c r="F187" s="1" t="s">
        <v>506</v>
      </c>
      <c r="G187" s="1" t="str">
        <f>IF(B187=0,VLOOKUP(A187,Feuil2!$A$2:$M$1241,11,FALSE)," ")</f>
        <v xml:space="preserve"> </v>
      </c>
      <c r="H187" s="1" t="s">
        <v>16</v>
      </c>
      <c r="I187" s="6" t="str">
        <f>IF(B187=0,VLOOKUP(A187,Feuil2!$A$2:$M$1241,7,FALSE)," ")</f>
        <v xml:space="preserve"> </v>
      </c>
      <c r="J187" s="1" t="str">
        <f>IF(B187=0,VLOOKUP(A187,Feuil2!$A$2:$M$1241,9,FALSE)," ")</f>
        <v xml:space="preserve"> </v>
      </c>
      <c r="K187" s="1" t="str">
        <f>IF(B187=0,VLOOKUP(A187,Feuil2!$A$2:$M$1241,10,FALSE)," ")</f>
        <v xml:space="preserve"> </v>
      </c>
      <c r="L187" s="1"/>
      <c r="M187" s="1"/>
      <c r="N187" s="1"/>
      <c r="O187" s="8" t="str">
        <f>IF(B187=0,VLOOKUP(A187,Feuil2!$A$2:$M$1241,13,FALSE)," ")</f>
        <v xml:space="preserve"> </v>
      </c>
    </row>
    <row r="188" spans="1:16" x14ac:dyDescent="0.3">
      <c r="A188" s="1">
        <v>957</v>
      </c>
      <c r="B188" s="1">
        <v>3</v>
      </c>
      <c r="C188" s="1" t="s">
        <v>121</v>
      </c>
      <c r="D188" s="1" t="s">
        <v>2408</v>
      </c>
      <c r="E188" s="5">
        <v>34169</v>
      </c>
      <c r="F188" s="1" t="s">
        <v>17</v>
      </c>
      <c r="G188" s="1"/>
      <c r="H188" s="1"/>
      <c r="I188" s="6"/>
      <c r="J188" s="1"/>
      <c r="K188" s="1"/>
      <c r="L188" s="1"/>
      <c r="M188" s="1"/>
      <c r="N188" s="1"/>
      <c r="O188" s="8"/>
    </row>
    <row r="189" spans="1:16" x14ac:dyDescent="0.3">
      <c r="A189" s="1">
        <v>967</v>
      </c>
      <c r="B189" s="1">
        <v>0</v>
      </c>
      <c r="C189" s="1" t="str">
        <f>IF(B189=0,VLOOKUP(A189,Feuil2!$A$2:$M$1241,2,FALSE)," ")</f>
        <v>SOUISSI</v>
      </c>
      <c r="D189" s="1" t="str">
        <f>IF(B189=0,VLOOKUP(A189,Feuil2!$A$2:$M$1241,3,FALSE)," ")</f>
        <v>MOHAMED</v>
      </c>
      <c r="E189" s="5">
        <f>IF(B189=0,VLOOKUP(A189,Feuil2!$A$2:$M$1241,6,FALSE)," ")</f>
        <v>24310</v>
      </c>
      <c r="F189" s="1" t="str">
        <f>IF(B189=0,VLOOKUP(A189,Feuil2!$A$2:$M$1241,12,FALSE)," ")</f>
        <v>H</v>
      </c>
      <c r="G189" s="1" t="str">
        <f>IF(B189=0,VLOOKUP(A189,Feuil2!$A$2:$M$1241,11,FALSE)," ")</f>
        <v>M</v>
      </c>
      <c r="H189" s="1" t="s">
        <v>16</v>
      </c>
      <c r="I189" s="6">
        <f>IF(B189=0,VLOOKUP(A189,Feuil2!$A$2:$M$1241,7,FALSE)," ")</f>
        <v>1347567</v>
      </c>
      <c r="J189" s="1" t="str">
        <f>IF(B189=0,VLOOKUP(A189,Feuil2!$A$2:$M$1241,9,FALSE)," ")</f>
        <v>NULL</v>
      </c>
      <c r="K189" s="1" t="str">
        <f>IF(B189=0,VLOOKUP(A189,Feuil2!$A$2:$M$1241,10,FALSE)," ")</f>
        <v>NULL</v>
      </c>
      <c r="L189" s="1"/>
      <c r="M189" s="1">
        <v>98793526</v>
      </c>
      <c r="N189" s="1"/>
      <c r="O189" s="8" t="str">
        <f>IF(B189=0,VLOOKUP(A189,Feuil2!$A$2:$M$1241,13,FALSE)," ")</f>
        <v>10609089100853078855</v>
      </c>
    </row>
    <row r="190" spans="1:16" x14ac:dyDescent="0.3">
      <c r="A190" s="1">
        <v>967</v>
      </c>
      <c r="B190" s="1">
        <v>1</v>
      </c>
      <c r="C190" s="1" t="s">
        <v>2528</v>
      </c>
      <c r="D190" s="1" t="s">
        <v>2604</v>
      </c>
      <c r="E190" s="5">
        <v>27834</v>
      </c>
      <c r="F190" s="1" t="s">
        <v>17</v>
      </c>
      <c r="G190" s="1" t="s">
        <v>15</v>
      </c>
      <c r="H190" s="1" t="s">
        <v>16</v>
      </c>
      <c r="I190" s="6" t="str">
        <f>IF(B190=0,VLOOKUP(A190,Feuil2!$A$2:$M$1241,7,FALSE)," ")</f>
        <v xml:space="preserve"> </v>
      </c>
      <c r="J190" s="1" t="str">
        <f>IF(B190=0,VLOOKUP(A190,Feuil2!$A$2:$M$1241,9,FALSE)," ")</f>
        <v xml:space="preserve"> </v>
      </c>
      <c r="K190" s="1" t="str">
        <f>IF(B190=0,VLOOKUP(A190,Feuil2!$A$2:$M$1241,10,FALSE)," ")</f>
        <v xml:space="preserve"> </v>
      </c>
      <c r="L190" s="1"/>
      <c r="M190" s="1"/>
      <c r="N190" s="1"/>
      <c r="O190" s="8" t="str">
        <f>IF(B190=0,VLOOKUP(A190,Feuil2!$A$2:$M$1241,13,FALSE)," ")</f>
        <v xml:space="preserve"> </v>
      </c>
    </row>
    <row r="191" spans="1:16" x14ac:dyDescent="0.3">
      <c r="A191" s="1">
        <v>967</v>
      </c>
      <c r="B191" s="1">
        <v>2</v>
      </c>
      <c r="C191" s="1" t="s">
        <v>399</v>
      </c>
      <c r="D191" s="1" t="s">
        <v>2530</v>
      </c>
      <c r="E191" s="5">
        <v>37839</v>
      </c>
      <c r="F191" s="1" t="s">
        <v>506</v>
      </c>
      <c r="G191" s="1" t="str">
        <f>IF(B191=0,VLOOKUP(A191,Feuil2!$A$2:$M$1241,11,FALSE)," ")</f>
        <v xml:space="preserve"> </v>
      </c>
      <c r="H191" s="1" t="s">
        <v>16</v>
      </c>
      <c r="I191" s="6" t="str">
        <f>IF(B191=0,VLOOKUP(A191,Feuil2!$A$2:$M$1241,7,FALSE)," ")</f>
        <v xml:space="preserve"> </v>
      </c>
      <c r="J191" s="1" t="str">
        <f>IF(B191=0,VLOOKUP(A191,Feuil2!$A$2:$M$1241,9,FALSE)," ")</f>
        <v xml:space="preserve"> </v>
      </c>
      <c r="K191" s="1" t="str">
        <f>IF(B191=0,VLOOKUP(A191,Feuil2!$A$2:$M$1241,10,FALSE)," ")</f>
        <v xml:space="preserve"> </v>
      </c>
      <c r="L191" s="1"/>
      <c r="M191" s="1"/>
      <c r="N191" s="1"/>
      <c r="O191" s="8" t="str">
        <f>IF(B191=0,VLOOKUP(A191,Feuil2!$A$2:$M$1241,13,FALSE)," ")</f>
        <v xml:space="preserve"> </v>
      </c>
    </row>
    <row r="192" spans="1:16" x14ac:dyDescent="0.3">
      <c r="A192" s="1">
        <v>967</v>
      </c>
      <c r="B192" s="1">
        <v>3</v>
      </c>
      <c r="C192" s="1" t="s">
        <v>399</v>
      </c>
      <c r="D192" s="1" t="s">
        <v>2499</v>
      </c>
      <c r="E192" s="5">
        <v>38809</v>
      </c>
      <c r="F192" s="1" t="s">
        <v>506</v>
      </c>
      <c r="G192" s="1" t="str">
        <f>IF(B192=0,VLOOKUP(A192,Feuil2!$A$2:$M$1241,11,FALSE)," ")</f>
        <v xml:space="preserve"> </v>
      </c>
      <c r="H192" s="1" t="s">
        <v>16</v>
      </c>
      <c r="I192" s="6" t="str">
        <f>IF(B192=0,VLOOKUP(A192,Feuil2!$A$2:$M$1241,7,FALSE)," ")</f>
        <v xml:space="preserve"> </v>
      </c>
      <c r="J192" s="1" t="str">
        <f>IF(B192=0,VLOOKUP(A192,Feuil2!$A$2:$M$1241,9,FALSE)," ")</f>
        <v xml:space="preserve"> </v>
      </c>
      <c r="K192" s="1" t="str">
        <f>IF(B192=0,VLOOKUP(A192,Feuil2!$A$2:$M$1241,10,FALSE)," ")</f>
        <v xml:space="preserve"> </v>
      </c>
      <c r="L192" s="1"/>
      <c r="M192" s="1"/>
      <c r="N192" s="1"/>
      <c r="O192" s="8" t="str">
        <f>IF(B192=0,VLOOKUP(A192,Feuil2!$A$2:$M$1241,13,FALSE)," ")</f>
        <v xml:space="preserve"> </v>
      </c>
    </row>
    <row r="193" spans="1:16" x14ac:dyDescent="0.3">
      <c r="A193" s="1">
        <v>967</v>
      </c>
      <c r="B193" s="1">
        <v>4</v>
      </c>
      <c r="C193" s="1" t="s">
        <v>399</v>
      </c>
      <c r="D193" s="1" t="s">
        <v>2367</v>
      </c>
      <c r="E193" s="5">
        <v>41075</v>
      </c>
      <c r="F193" s="1" t="s">
        <v>17</v>
      </c>
      <c r="G193" s="1" t="str">
        <f>IF(B193=0,VLOOKUP(A193,Feuil2!$A$2:$M$1241,11,FALSE)," ")</f>
        <v xml:space="preserve"> </v>
      </c>
      <c r="H193" s="1" t="s">
        <v>16</v>
      </c>
      <c r="I193" s="6" t="str">
        <f>IF(B193=0,VLOOKUP(A193,Feuil2!$A$2:$M$1241,7,FALSE)," ")</f>
        <v xml:space="preserve"> </v>
      </c>
      <c r="J193" s="1" t="str">
        <f>IF(B193=0,VLOOKUP(A193,Feuil2!$A$2:$M$1241,9,FALSE)," ")</f>
        <v xml:space="preserve"> </v>
      </c>
      <c r="K193" s="1" t="str">
        <f>IF(B193=0,VLOOKUP(A193,Feuil2!$A$2:$M$1241,10,FALSE)," ")</f>
        <v xml:space="preserve"> </v>
      </c>
      <c r="L193" s="1"/>
      <c r="M193" s="1"/>
      <c r="N193" s="1"/>
      <c r="O193" s="8" t="str">
        <f>IF(B193=0,VLOOKUP(A193,Feuil2!$A$2:$M$1241,13,FALSE)," ")</f>
        <v xml:space="preserve"> </v>
      </c>
    </row>
    <row r="194" spans="1:16" x14ac:dyDescent="0.3">
      <c r="A194" s="1">
        <v>986</v>
      </c>
      <c r="B194" s="17">
        <v>0</v>
      </c>
      <c r="C194" s="17" t="str">
        <f>IF(B194=0,VLOOKUP(A194,Feuil2!$A$2:$M$1241,2,FALSE)," ")</f>
        <v>BOUZIR</v>
      </c>
      <c r="D194" s="17" t="str">
        <f>IF(B194=0,VLOOKUP(A194,Feuil2!$A$2:$M$1241,3,FALSE)," ")</f>
        <v>SAMIR</v>
      </c>
      <c r="E194" s="18">
        <f>IF(B194=0,VLOOKUP(A194,Feuil2!$A$2:$M$1241,6,FALSE)," ")</f>
        <v>23233</v>
      </c>
      <c r="F194" s="17" t="str">
        <f>IF(B194=0,VLOOKUP(A194,Feuil2!$A$2:$M$1241,12,FALSE)," ")</f>
        <v>H</v>
      </c>
      <c r="G194" s="17" t="str">
        <f>IF(B194=0,VLOOKUP(A194,Feuil2!$A$2:$M$1241,11,FALSE)," ")</f>
        <v>M</v>
      </c>
      <c r="H194" s="17" t="s">
        <v>16</v>
      </c>
      <c r="I194" s="19">
        <f>IF(B194=0,VLOOKUP(A194,Feuil2!$A$2:$M$1241,7,FALSE)," ")</f>
        <v>2950449</v>
      </c>
      <c r="J194" s="17" t="str">
        <f>IF(B194=0,VLOOKUP(A194,Feuil2!$A$2:$M$1241,9,FALSE)," ")</f>
        <v>Rue  Asma Bint Abi Baker</v>
      </c>
      <c r="K194" s="17" t="str">
        <f>IF(B194=0,VLOOKUP(A194,Feuil2!$A$2:$M$1241,10,FALSE)," ")</f>
        <v>Kalaa Sghira</v>
      </c>
      <c r="L194" s="17"/>
      <c r="M194" s="17">
        <v>98547880</v>
      </c>
      <c r="N194" s="17"/>
      <c r="O194" s="21" t="s">
        <v>2556</v>
      </c>
    </row>
    <row r="195" spans="1:16" x14ac:dyDescent="0.3">
      <c r="A195" s="1">
        <v>986</v>
      </c>
      <c r="B195" s="1">
        <v>1</v>
      </c>
      <c r="C195" s="1" t="s">
        <v>2555</v>
      </c>
      <c r="D195" s="1" t="s">
        <v>629</v>
      </c>
      <c r="E195" s="5">
        <v>23437</v>
      </c>
      <c r="F195" s="1" t="s">
        <v>17</v>
      </c>
      <c r="G195" s="1" t="s">
        <v>15</v>
      </c>
      <c r="H195" s="1" t="s">
        <v>16</v>
      </c>
      <c r="I195" s="6" t="str">
        <f>IF(B195=0,VLOOKUP(A195,Feuil2!$A$2:$M$1241,7,FALSE)," ")</f>
        <v xml:space="preserve"> </v>
      </c>
      <c r="J195" s="1" t="str">
        <f>IF(B195=0,VLOOKUP(A195,Feuil2!$A$2:$M$1241,9,FALSE)," ")</f>
        <v xml:space="preserve"> </v>
      </c>
      <c r="K195" s="1" t="str">
        <f>IF(B195=0,VLOOKUP(A195,Feuil2!$A$2:$M$1241,10,FALSE)," ")</f>
        <v xml:space="preserve"> </v>
      </c>
      <c r="L195" s="1"/>
      <c r="M195" s="1"/>
      <c r="N195" s="1"/>
      <c r="O195" s="8" t="str">
        <f>IF(B195=0,VLOOKUP(A195,Feuil2!$A$2:$M$1241,13,FALSE)," ")</f>
        <v xml:space="preserve"> </v>
      </c>
    </row>
    <row r="196" spans="1:16" x14ac:dyDescent="0.3">
      <c r="A196" s="1">
        <v>986</v>
      </c>
      <c r="B196" s="1">
        <v>2</v>
      </c>
      <c r="C196" s="1" t="s">
        <v>135</v>
      </c>
      <c r="D196" s="1" t="s">
        <v>285</v>
      </c>
      <c r="E196" s="5">
        <v>33122</v>
      </c>
      <c r="F196" s="1" t="s">
        <v>506</v>
      </c>
      <c r="G196" s="1" t="str">
        <f>IF(B196=0,VLOOKUP(A196,Feuil2!$A$2:$M$1241,11,FALSE)," ")</f>
        <v xml:space="preserve"> </v>
      </c>
      <c r="H196" s="1" t="s">
        <v>16</v>
      </c>
      <c r="I196" s="6" t="str">
        <f>IF(B196=0,VLOOKUP(A196,Feuil2!$A$2:$M$1241,7,FALSE)," ")</f>
        <v xml:space="preserve"> </v>
      </c>
      <c r="J196" s="1" t="str">
        <f>IF(B196=0,VLOOKUP(A196,Feuil2!$A$2:$M$1241,9,FALSE)," ")</f>
        <v xml:space="preserve"> </v>
      </c>
      <c r="K196" s="1" t="str">
        <f>IF(B196=0,VLOOKUP(A196,Feuil2!$A$2:$M$1241,10,FALSE)," ")</f>
        <v xml:space="preserve"> </v>
      </c>
      <c r="L196" s="1"/>
      <c r="M196" s="1"/>
      <c r="N196" s="1"/>
      <c r="O196" s="8" t="str">
        <f>IF(B196=0,VLOOKUP(A196,Feuil2!$A$2:$M$1241,13,FALSE)," ")</f>
        <v xml:space="preserve"> </v>
      </c>
    </row>
    <row r="197" spans="1:16" x14ac:dyDescent="0.3">
      <c r="A197" s="1">
        <v>986</v>
      </c>
      <c r="B197" s="1">
        <v>3</v>
      </c>
      <c r="C197" s="1" t="s">
        <v>135</v>
      </c>
      <c r="D197" s="1" t="s">
        <v>2367</v>
      </c>
      <c r="E197" s="5">
        <v>34427</v>
      </c>
      <c r="F197" s="1" t="s">
        <v>17</v>
      </c>
      <c r="G197" s="1" t="str">
        <f>IF(B197=0,VLOOKUP(A197,Feuil2!$A$2:$M$1241,11,FALSE)," ")</f>
        <v xml:space="preserve"> </v>
      </c>
      <c r="H197" s="1" t="s">
        <v>16</v>
      </c>
      <c r="I197" s="6" t="str">
        <f>IF(B197=0,VLOOKUP(A197,Feuil2!$A$2:$M$1241,7,FALSE)," ")</f>
        <v xml:space="preserve"> </v>
      </c>
      <c r="J197" s="1" t="str">
        <f>IF(B197=0,VLOOKUP(A197,Feuil2!$A$2:$M$1241,9,FALSE)," ")</f>
        <v xml:space="preserve"> </v>
      </c>
      <c r="K197" s="1" t="str">
        <f>IF(B197=0,VLOOKUP(A197,Feuil2!$A$2:$M$1241,10,FALSE)," ")</f>
        <v xml:space="preserve"> </v>
      </c>
      <c r="L197" s="1"/>
      <c r="M197" s="1"/>
      <c r="N197" s="1"/>
      <c r="O197" s="8" t="str">
        <f>IF(B197=0,VLOOKUP(A197,Feuil2!$A$2:$M$1241,13,FALSE)," ")</f>
        <v xml:space="preserve"> </v>
      </c>
    </row>
    <row r="198" spans="1:16" x14ac:dyDescent="0.3">
      <c r="A198" s="1">
        <v>1504</v>
      </c>
      <c r="B198" s="1">
        <v>0</v>
      </c>
      <c r="C198" s="1" t="str">
        <f>IF(B198=0,VLOOKUP(A198,Feuil2!$A$2:$M$1241,2,FALSE)," ")</f>
        <v>ABBADI</v>
      </c>
      <c r="D198" s="1" t="str">
        <f>IF(B198=0,VLOOKUP(A198,Feuil2!$A$2:$M$1241,3,FALSE)," ")</f>
        <v>HABIB</v>
      </c>
      <c r="E198" s="5">
        <f>IF(B198=0,VLOOKUP(A198,Feuil2!$A$2:$M$1241,6,FALSE)," ")</f>
        <v>25366</v>
      </c>
      <c r="F198" s="1" t="str">
        <f>IF(B198=0,VLOOKUP(A198,Feuil2!$A$2:$M$1241,12,FALSE)," ")</f>
        <v>H</v>
      </c>
      <c r="G198" s="1" t="str">
        <f>IF(B198=0,VLOOKUP(A198,Feuil2!$A$2:$M$1241,11,FALSE)," ")</f>
        <v>M</v>
      </c>
      <c r="H198" s="1" t="s">
        <v>16</v>
      </c>
      <c r="I198" s="6">
        <f>IF(B198=0,VLOOKUP(A198,Feuil2!$A$2:$M$1241,7,FALSE)," ")</f>
        <v>2993547</v>
      </c>
      <c r="J198" s="1" t="str">
        <f>IF(B198=0,VLOOKUP(A198,Feuil2!$A$2:$M$1241,9,FALSE)," ")</f>
        <v>Route de Kairouan</v>
      </c>
      <c r="K198" s="1" t="str">
        <f>IF(B198=0,VLOOKUP(A198,Feuil2!$A$2:$M$1241,10,FALSE)," ")</f>
        <v>Msaken 4070</v>
      </c>
      <c r="L198" s="1">
        <v>4070</v>
      </c>
      <c r="M198" s="1">
        <v>98563425</v>
      </c>
      <c r="N198" s="2"/>
      <c r="O198" s="8" t="str">
        <f>IF(B198=0,VLOOKUP(A198,Feuil2!$A$2:$M$1241,13,FALSE)," ")</f>
        <v>05048000116500049403</v>
      </c>
    </row>
    <row r="199" spans="1:16" x14ac:dyDescent="0.3">
      <c r="A199" s="1">
        <v>1504</v>
      </c>
      <c r="B199" s="1">
        <v>1</v>
      </c>
      <c r="C199" s="1" t="s">
        <v>2333</v>
      </c>
      <c r="D199" s="1" t="s">
        <v>2334</v>
      </c>
      <c r="E199" s="5">
        <v>25195</v>
      </c>
      <c r="F199" s="1" t="s">
        <v>17</v>
      </c>
      <c r="G199" s="1" t="s">
        <v>15</v>
      </c>
      <c r="H199" s="1" t="s">
        <v>16</v>
      </c>
      <c r="I199" s="6" t="str">
        <f>IF(B199=0,VLOOKUP(A199,Feuil2!$A$2:$M$1241,7,FALSE)," ")</f>
        <v xml:space="preserve"> </v>
      </c>
      <c r="J199" s="1" t="str">
        <f>IF(B199=0,VLOOKUP(A199,Feuil2!$A$2:$M$1241,9,FALSE)," ")</f>
        <v xml:space="preserve"> </v>
      </c>
      <c r="K199" s="1" t="str">
        <f>IF(B199=0,VLOOKUP(A199,Feuil2!$A$2:$M$1241,10,FALSE)," ")</f>
        <v xml:space="preserve"> </v>
      </c>
      <c r="L199" s="1"/>
      <c r="M199" s="1"/>
      <c r="N199" s="1"/>
      <c r="O199" s="8" t="str">
        <f>IF(B199=0,VLOOKUP(A199,Feuil2!$A$2:$M$1241,13,FALSE)," ")</f>
        <v xml:space="preserve"> </v>
      </c>
    </row>
    <row r="200" spans="1:16" x14ac:dyDescent="0.3">
      <c r="A200" s="1">
        <v>1504</v>
      </c>
      <c r="B200" s="1">
        <v>2</v>
      </c>
      <c r="C200" s="1" t="s">
        <v>350</v>
      </c>
      <c r="D200" s="1" t="s">
        <v>1519</v>
      </c>
      <c r="E200" s="5">
        <v>34331</v>
      </c>
      <c r="F200" s="1" t="s">
        <v>17</v>
      </c>
      <c r="G200" s="1" t="str">
        <f>IF(B200=0,VLOOKUP(A200,Feuil2!$A$2:$M$1241,11,FALSE)," ")</f>
        <v xml:space="preserve"> </v>
      </c>
      <c r="H200" s="1" t="s">
        <v>16</v>
      </c>
      <c r="I200" s="6" t="str">
        <f>IF(B200=0,VLOOKUP(A200,Feuil2!$A$2:$M$1241,7,FALSE)," ")</f>
        <v xml:space="preserve"> </v>
      </c>
      <c r="J200" s="1" t="str">
        <f>IF(B200=0,VLOOKUP(A200,Feuil2!$A$2:$M$1241,9,FALSE)," ")</f>
        <v xml:space="preserve"> </v>
      </c>
      <c r="K200" s="1" t="str">
        <f>IF(B200=0,VLOOKUP(A200,Feuil2!$A$2:$M$1241,10,FALSE)," ")</f>
        <v xml:space="preserve"> </v>
      </c>
      <c r="L200" s="1"/>
      <c r="M200" s="1"/>
      <c r="N200" s="1"/>
      <c r="O200" s="8" t="str">
        <f>IF(B200=0,VLOOKUP(A200,Feuil2!$A$2:$M$1241,13,FALSE)," ")</f>
        <v xml:space="preserve"> </v>
      </c>
    </row>
    <row r="201" spans="1:16" x14ac:dyDescent="0.3">
      <c r="A201" s="1">
        <v>1511</v>
      </c>
      <c r="B201" s="1">
        <v>0</v>
      </c>
      <c r="C201" s="1" t="str">
        <f>IF(B201=0,VLOOKUP(A201,Feuil2!$A$2:$M$1241,2,FALSE)," ")</f>
        <v>SOYAH</v>
      </c>
      <c r="D201" s="1" t="str">
        <f>IF(B201=0,VLOOKUP(A201,Feuil2!$A$2:$M$1241,3,FALSE)," ")</f>
        <v>NEJIB</v>
      </c>
      <c r="E201" s="5">
        <f>IF(B201=0,VLOOKUP(A201,Feuil2!$A$2:$M$1241,6,FALSE)," ")</f>
        <v>24954</v>
      </c>
      <c r="F201" s="1" t="str">
        <f>IF(B201=0,VLOOKUP(A201,Feuil2!$A$2:$M$1241,12,FALSE)," ")</f>
        <v>H</v>
      </c>
      <c r="G201" s="1" t="str">
        <f>IF(B201=0,VLOOKUP(A201,Feuil2!$A$2:$M$1241,11,FALSE)," ")</f>
        <v>M</v>
      </c>
      <c r="H201" s="1" t="s">
        <v>16</v>
      </c>
      <c r="I201" s="6">
        <f>IF(B201=0,VLOOKUP(A201,Feuil2!$A$2:$M$1241,7,FALSE)," ")</f>
        <v>2993963</v>
      </c>
      <c r="J201" s="1" t="str">
        <f>IF(B201=0,VLOOKUP(A201,Feuil2!$A$2:$M$1241,9,FALSE)," ")</f>
        <v>NULL</v>
      </c>
      <c r="K201" s="1" t="str">
        <f>IF(B201=0,VLOOKUP(A201,Feuil2!$A$2:$M$1241,10,FALSE)," ")</f>
        <v>NULL</v>
      </c>
      <c r="L201" s="1"/>
      <c r="M201" s="1">
        <v>98793520</v>
      </c>
      <c r="N201" s="1"/>
      <c r="O201" s="8" t="str">
        <f>IF(B201=0,VLOOKUP(A201,Feuil2!$A$2:$M$1241,13,FALSE)," ")</f>
        <v>08506000252000603979</v>
      </c>
      <c r="P201" t="s">
        <v>2805</v>
      </c>
    </row>
    <row r="202" spans="1:16" x14ac:dyDescent="0.3">
      <c r="A202" s="1">
        <v>1511</v>
      </c>
      <c r="B202" s="1">
        <v>1</v>
      </c>
      <c r="C202" s="1" t="s">
        <v>2123</v>
      </c>
      <c r="D202" s="1" t="s">
        <v>2175</v>
      </c>
      <c r="E202" s="5">
        <v>29625</v>
      </c>
      <c r="F202" s="1" t="s">
        <v>17</v>
      </c>
      <c r="G202" s="1" t="s">
        <v>15</v>
      </c>
      <c r="H202" s="1" t="s">
        <v>16</v>
      </c>
      <c r="I202" s="6" t="str">
        <f>IF(B202=0,VLOOKUP(A202,Feuil2!$A$2:$M$1241,7,FALSE)," ")</f>
        <v xml:space="preserve"> </v>
      </c>
      <c r="J202" s="1" t="str">
        <f>IF(B202=0,VLOOKUP(A202,Feuil2!$A$2:$M$1241,9,FALSE)," ")</f>
        <v xml:space="preserve"> </v>
      </c>
      <c r="K202" s="1" t="str">
        <f>IF(B202=0,VLOOKUP(A202,Feuil2!$A$2:$M$1241,10,FALSE)," ")</f>
        <v xml:space="preserve"> </v>
      </c>
      <c r="L202" s="1"/>
      <c r="M202" s="1"/>
      <c r="N202" s="1"/>
      <c r="O202" s="8" t="str">
        <f>IF(B202=0,VLOOKUP(A202,Feuil2!$A$2:$M$1241,13,FALSE)," ")</f>
        <v xml:space="preserve"> </v>
      </c>
    </row>
    <row r="203" spans="1:16" x14ac:dyDescent="0.3">
      <c r="A203" s="1">
        <v>1511</v>
      </c>
      <c r="B203" s="1">
        <v>2</v>
      </c>
      <c r="C203" s="1" t="s">
        <v>124</v>
      </c>
      <c r="D203" s="1" t="s">
        <v>2389</v>
      </c>
      <c r="E203" s="5">
        <v>39805</v>
      </c>
      <c r="F203" s="1" t="s">
        <v>17</v>
      </c>
      <c r="G203" s="1" t="str">
        <f>IF(B203=0,VLOOKUP(A203,Feuil2!$A$2:$M$1241,11,FALSE)," ")</f>
        <v xml:space="preserve"> </v>
      </c>
      <c r="H203" s="1" t="s">
        <v>16</v>
      </c>
      <c r="I203" s="6" t="str">
        <f>IF(B203=0,VLOOKUP(A203,Feuil2!$A$2:$M$1241,7,FALSE)," ")</f>
        <v xml:space="preserve"> </v>
      </c>
      <c r="J203" s="1" t="str">
        <f>IF(B203=0,VLOOKUP(A203,Feuil2!$A$2:$M$1241,9,FALSE)," ")</f>
        <v xml:space="preserve"> </v>
      </c>
      <c r="K203" s="1" t="str">
        <f>IF(B203=0,VLOOKUP(A203,Feuil2!$A$2:$M$1241,10,FALSE)," ")</f>
        <v xml:space="preserve"> </v>
      </c>
      <c r="L203" s="1"/>
      <c r="M203" s="1"/>
      <c r="N203" s="1"/>
      <c r="O203" s="8" t="str">
        <f>IF(B203=0,VLOOKUP(A203,Feuil2!$A$2:$M$1241,13,FALSE)," ")</f>
        <v xml:space="preserve"> </v>
      </c>
    </row>
    <row r="204" spans="1:16" x14ac:dyDescent="0.3">
      <c r="A204" s="1">
        <v>1511</v>
      </c>
      <c r="B204" s="1">
        <v>3</v>
      </c>
      <c r="C204" s="1" t="s">
        <v>124</v>
      </c>
      <c r="D204" s="1" t="s">
        <v>2527</v>
      </c>
      <c r="E204" s="5">
        <v>40667</v>
      </c>
      <c r="F204" s="1" t="s">
        <v>506</v>
      </c>
      <c r="G204" s="1" t="str">
        <f>IF(B204=0,VLOOKUP(A204,Feuil2!$A$2:$M$1241,11,FALSE)," ")</f>
        <v xml:space="preserve"> </v>
      </c>
      <c r="H204" s="1" t="s">
        <v>16</v>
      </c>
      <c r="I204" s="6" t="str">
        <f>IF(B204=0,VLOOKUP(A204,Feuil2!$A$2:$M$1241,7,FALSE)," ")</f>
        <v xml:space="preserve"> </v>
      </c>
      <c r="J204" s="1" t="str">
        <f>IF(B204=0,VLOOKUP(A204,Feuil2!$A$2:$M$1241,9,FALSE)," ")</f>
        <v xml:space="preserve"> </v>
      </c>
      <c r="K204" s="1" t="str">
        <f>IF(B204=0,VLOOKUP(A204,Feuil2!$A$2:$M$1241,10,FALSE)," ")</f>
        <v xml:space="preserve"> </v>
      </c>
      <c r="L204" s="1"/>
      <c r="M204" s="1"/>
      <c r="N204" s="1"/>
      <c r="O204" s="8" t="str">
        <f>IF(B204=0,VLOOKUP(A204,Feuil2!$A$2:$M$1241,13,FALSE)," ")</f>
        <v xml:space="preserve"> </v>
      </c>
    </row>
    <row r="205" spans="1:16" x14ac:dyDescent="0.3">
      <c r="A205" s="1">
        <v>1518</v>
      </c>
      <c r="B205" s="17">
        <v>0</v>
      </c>
      <c r="C205" s="17" t="str">
        <f>IF(B205=0,VLOOKUP(A205,Feuil2!$A$2:$M$1241,2,FALSE)," ")</f>
        <v>HOUIJ</v>
      </c>
      <c r="D205" s="17" t="str">
        <f>IF(B205=0,VLOOKUP(A205,Feuil2!$A$2:$M$1241,3,FALSE)," ")</f>
        <v>CHIHEB</v>
      </c>
      <c r="E205" s="18">
        <f>IF(B205=0,VLOOKUP(A205,Feuil2!$A$2:$M$1241,6,FALSE)," ")</f>
        <v>25111</v>
      </c>
      <c r="F205" s="17" t="str">
        <f>IF(B205=0,VLOOKUP(A205,Feuil2!$A$2:$M$1241,12,FALSE)," ")</f>
        <v>H</v>
      </c>
      <c r="G205" s="17" t="str">
        <f>IF(B205=0,VLOOKUP(A205,Feuil2!$A$2:$M$1241,11,FALSE)," ")</f>
        <v>M</v>
      </c>
      <c r="H205" s="17" t="s">
        <v>16</v>
      </c>
      <c r="I205" s="19">
        <f>IF(B205=0,VLOOKUP(A205,Feuil2!$A$2:$M$1241,7,FALSE)," ")</f>
        <v>2981646</v>
      </c>
      <c r="J205" s="17" t="str">
        <f>IF(B205=0,VLOOKUP(A205,Feuil2!$A$2:$M$1241,9,FALSE)," ")</f>
        <v>Rue Habib Bourguiba 4041</v>
      </c>
      <c r="K205" s="17" t="str">
        <f>IF(B205=0,VLOOKUP(A205,Feuil2!$A$2:$M$1241,10,FALSE)," ")</f>
        <v>NULL</v>
      </c>
      <c r="L205" s="17"/>
      <c r="M205" s="17">
        <v>98793648</v>
      </c>
      <c r="N205" s="17"/>
      <c r="O205" s="21" t="s">
        <v>2415</v>
      </c>
    </row>
    <row r="206" spans="1:16" x14ac:dyDescent="0.3">
      <c r="A206" s="1">
        <v>1518</v>
      </c>
      <c r="B206" s="1">
        <v>1</v>
      </c>
      <c r="C206" s="1" t="s">
        <v>2414</v>
      </c>
      <c r="D206" s="1" t="s">
        <v>2367</v>
      </c>
      <c r="E206" s="5">
        <v>28742</v>
      </c>
      <c r="F206" s="1" t="s">
        <v>17</v>
      </c>
      <c r="G206" s="1" t="s">
        <v>15</v>
      </c>
      <c r="H206" s="1" t="s">
        <v>16</v>
      </c>
      <c r="I206" s="6" t="str">
        <f>IF(B206=0,VLOOKUP(A206,Feuil2!$A$2:$M$1241,7,FALSE)," ")</f>
        <v xml:space="preserve"> </v>
      </c>
      <c r="J206" s="1" t="str">
        <f>IF(B206=0,VLOOKUP(A206,Feuil2!$A$2:$M$1241,9,FALSE)," ")</f>
        <v xml:space="preserve"> </v>
      </c>
      <c r="K206" s="1" t="str">
        <f>IF(B206=0,VLOOKUP(A206,Feuil2!$A$2:$M$1241,10,FALSE)," ")</f>
        <v xml:space="preserve"> </v>
      </c>
      <c r="L206" s="1"/>
      <c r="M206" s="1"/>
      <c r="N206" s="1"/>
      <c r="O206" s="8" t="str">
        <f>IF(B206=0,VLOOKUP(A206,Feuil2!$A$2:$M$1241,13,FALSE)," ")</f>
        <v xml:space="preserve"> </v>
      </c>
    </row>
    <row r="207" spans="1:16" x14ac:dyDescent="0.3">
      <c r="A207" s="1">
        <v>1518</v>
      </c>
      <c r="B207" s="1">
        <v>2</v>
      </c>
      <c r="C207" s="1" t="s">
        <v>437</v>
      </c>
      <c r="D207" s="1" t="s">
        <v>89</v>
      </c>
      <c r="E207" s="5">
        <v>39644</v>
      </c>
      <c r="F207" s="1" t="s">
        <v>506</v>
      </c>
      <c r="G207" s="1" t="str">
        <f>IF(B207=0,VLOOKUP(A207,Feuil2!$A$2:$M$1241,11,FALSE)," ")</f>
        <v xml:space="preserve"> </v>
      </c>
      <c r="H207" s="1" t="s">
        <v>16</v>
      </c>
      <c r="I207" s="6" t="str">
        <f>IF(B207=0,VLOOKUP(A207,Feuil2!$A$2:$M$1241,7,FALSE)," ")</f>
        <v xml:space="preserve"> </v>
      </c>
      <c r="J207" s="1" t="str">
        <f>IF(B207=0,VLOOKUP(A207,Feuil2!$A$2:$M$1241,9,FALSE)," ")</f>
        <v xml:space="preserve"> </v>
      </c>
      <c r="K207" s="1" t="str">
        <f>IF(B207=0,VLOOKUP(A207,Feuil2!$A$2:$M$1241,10,FALSE)," ")</f>
        <v xml:space="preserve"> </v>
      </c>
      <c r="L207" s="1"/>
      <c r="M207" s="1"/>
      <c r="N207" s="1"/>
      <c r="O207" s="8" t="str">
        <f>IF(B207=0,VLOOKUP(A207,Feuil2!$A$2:$M$1241,13,FALSE)," ")</f>
        <v xml:space="preserve"> </v>
      </c>
    </row>
    <row r="208" spans="1:16" x14ac:dyDescent="0.3">
      <c r="A208" s="1">
        <v>1518</v>
      </c>
      <c r="B208" s="1">
        <v>3</v>
      </c>
      <c r="C208" s="1" t="s">
        <v>437</v>
      </c>
      <c r="D208" s="1" t="s">
        <v>402</v>
      </c>
      <c r="E208" s="5">
        <v>40261</v>
      </c>
      <c r="F208" s="1" t="s">
        <v>17</v>
      </c>
      <c r="G208" s="1" t="str">
        <f>IF(B208=0,VLOOKUP(A208,Feuil2!$A$2:$M$1241,11,FALSE)," ")</f>
        <v xml:space="preserve"> </v>
      </c>
      <c r="H208" s="1" t="s">
        <v>16</v>
      </c>
      <c r="I208" s="6" t="str">
        <f>IF(B208=0,VLOOKUP(A208,Feuil2!$A$2:$M$1241,7,FALSE)," ")</f>
        <v xml:space="preserve"> </v>
      </c>
      <c r="J208" s="1" t="str">
        <f>IF(B208=0,VLOOKUP(A208,Feuil2!$A$2:$M$1241,9,FALSE)," ")</f>
        <v xml:space="preserve"> </v>
      </c>
      <c r="K208" s="1" t="str">
        <f>IF(B208=0,VLOOKUP(A208,Feuil2!$A$2:$M$1241,10,FALSE)," ")</f>
        <v xml:space="preserve"> </v>
      </c>
      <c r="L208" s="1"/>
      <c r="M208" s="1"/>
      <c r="N208" s="1"/>
      <c r="O208" s="8" t="str">
        <f>IF(B208=0,VLOOKUP(A208,Feuil2!$A$2:$M$1241,13,FALSE)," ")</f>
        <v xml:space="preserve"> </v>
      </c>
    </row>
    <row r="209" spans="1:15" x14ac:dyDescent="0.3">
      <c r="A209" s="1">
        <v>1530</v>
      </c>
      <c r="B209" s="1">
        <v>0</v>
      </c>
      <c r="C209" s="1" t="str">
        <f>IF(B209=0,VLOOKUP(A209,Feuil2!$A$2:$M$1241,2,FALSE)," ")</f>
        <v>MAHJOUB</v>
      </c>
      <c r="D209" s="1" t="str">
        <f>IF(B209=0,VLOOKUP(A209,Feuil2!$A$2:$M$1241,3,FALSE)," ")</f>
        <v>KHALED</v>
      </c>
      <c r="E209" s="5">
        <f>IF(B209=0,VLOOKUP(A209,Feuil2!$A$2:$M$1241,6,FALSE)," ")</f>
        <v>24729</v>
      </c>
      <c r="F209" s="1" t="str">
        <f>IF(B209=0,VLOOKUP(A209,Feuil2!$A$2:$M$1241,12,FALSE)," ")</f>
        <v>H</v>
      </c>
      <c r="G209" s="1" t="str">
        <f>IF(B209=0,VLOOKUP(A209,Feuil2!$A$2:$M$1241,11,FALSE)," ")</f>
        <v>M</v>
      </c>
      <c r="H209" s="1" t="s">
        <v>16</v>
      </c>
      <c r="I209" s="6">
        <f>IF(B209=0,VLOOKUP(A209,Feuil2!$A$2:$M$1241,7,FALSE)," ")</f>
        <v>2975287</v>
      </c>
      <c r="J209" s="1" t="str">
        <f>IF(B209=0,VLOOKUP(A209,Feuil2!$A$2:$M$1241,9,FALSE)," ")</f>
        <v>Lot 271 A.F.H C.Sahloul.III</v>
      </c>
      <c r="K209" s="1" t="str">
        <f>IF(B209=0,VLOOKUP(A209,Feuil2!$A$2:$M$1241,10,FALSE)," ")</f>
        <v>Sousse</v>
      </c>
      <c r="L209" s="1"/>
      <c r="M209" s="1">
        <v>98793548</v>
      </c>
      <c r="N209" s="1"/>
      <c r="O209" s="8" t="str">
        <f>IF(B209=0,VLOOKUP(A209,Feuil2!$A$2:$M$1241,13,FALSE)," ")</f>
        <v>03508056010100214794</v>
      </c>
    </row>
    <row r="210" spans="1:15" x14ac:dyDescent="0.3">
      <c r="A210" s="1">
        <v>1530</v>
      </c>
      <c r="B210" s="1">
        <v>1</v>
      </c>
      <c r="C210" s="1" t="s">
        <v>2516</v>
      </c>
      <c r="D210" s="1" t="s">
        <v>402</v>
      </c>
      <c r="E210" s="5">
        <v>26073</v>
      </c>
      <c r="F210" s="1" t="s">
        <v>17</v>
      </c>
      <c r="G210" s="1" t="s">
        <v>15</v>
      </c>
      <c r="H210" s="1" t="s">
        <v>16</v>
      </c>
      <c r="I210" s="6" t="str">
        <f>IF(B210=0,VLOOKUP(A210,Feuil2!$A$2:$M$1241,7,FALSE)," ")</f>
        <v xml:space="preserve"> </v>
      </c>
      <c r="J210" s="1" t="str">
        <f>IF(B210=0,VLOOKUP(A210,Feuil2!$A$2:$M$1241,9,FALSE)," ")</f>
        <v xml:space="preserve"> </v>
      </c>
      <c r="K210" s="1" t="str">
        <f>IF(B210=0,VLOOKUP(A210,Feuil2!$A$2:$M$1241,10,FALSE)," ")</f>
        <v xml:space="preserve"> </v>
      </c>
      <c r="L210" s="1"/>
      <c r="M210" s="1"/>
      <c r="N210" s="1"/>
      <c r="O210" s="8" t="str">
        <f>IF(B210=0,VLOOKUP(A210,Feuil2!$A$2:$M$1241,13,FALSE)," ")</f>
        <v xml:space="preserve"> </v>
      </c>
    </row>
    <row r="211" spans="1:15" x14ac:dyDescent="0.3">
      <c r="A211" s="1">
        <v>1530</v>
      </c>
      <c r="B211" s="1">
        <v>2</v>
      </c>
      <c r="C211" s="1" t="s">
        <v>19</v>
      </c>
      <c r="D211" s="1" t="s">
        <v>2517</v>
      </c>
      <c r="E211" s="5">
        <v>34451</v>
      </c>
      <c r="F211" s="1" t="s">
        <v>17</v>
      </c>
      <c r="G211" s="1" t="str">
        <f>IF(B211=0,VLOOKUP(A211,Feuil2!$A$2:$M$1241,11,FALSE)," ")</f>
        <v xml:space="preserve"> </v>
      </c>
      <c r="H211" s="1" t="s">
        <v>16</v>
      </c>
      <c r="I211" s="6" t="str">
        <f>IF(B211=0,VLOOKUP(A211,Feuil2!$A$2:$M$1241,7,FALSE)," ")</f>
        <v xml:space="preserve"> </v>
      </c>
      <c r="J211" s="1" t="str">
        <f>IF(B211=0,VLOOKUP(A211,Feuil2!$A$2:$M$1241,9,FALSE)," ")</f>
        <v xml:space="preserve"> </v>
      </c>
      <c r="K211" s="1" t="str">
        <f>IF(B211=0,VLOOKUP(A211,Feuil2!$A$2:$M$1241,10,FALSE)," ")</f>
        <v xml:space="preserve"> </v>
      </c>
      <c r="L211" s="1"/>
      <c r="M211" s="1"/>
      <c r="N211" s="1"/>
      <c r="O211" s="8" t="str">
        <f>IF(B211=0,VLOOKUP(A211,Feuil2!$A$2:$M$1241,13,FALSE)," ")</f>
        <v xml:space="preserve"> </v>
      </c>
    </row>
    <row r="212" spans="1:15" x14ac:dyDescent="0.3">
      <c r="A212" s="1">
        <v>1530</v>
      </c>
      <c r="B212" s="1">
        <v>3</v>
      </c>
      <c r="C212" s="1" t="s">
        <v>19</v>
      </c>
      <c r="D212" s="1" t="s">
        <v>2446</v>
      </c>
      <c r="E212" s="5">
        <v>36767</v>
      </c>
      <c r="F212" s="1" t="s">
        <v>17</v>
      </c>
      <c r="G212" s="1" t="str">
        <f>IF(B212=0,VLOOKUP(A212,Feuil2!$A$2:$M$1241,11,FALSE)," ")</f>
        <v xml:space="preserve"> </v>
      </c>
      <c r="H212" s="1" t="s">
        <v>16</v>
      </c>
      <c r="I212" s="6" t="str">
        <f>IF(B212=0,VLOOKUP(A212,Feuil2!$A$2:$M$1241,7,FALSE)," ")</f>
        <v xml:space="preserve"> </v>
      </c>
      <c r="J212" s="1" t="str">
        <f>IF(B212=0,VLOOKUP(A212,Feuil2!$A$2:$M$1241,9,FALSE)," ")</f>
        <v xml:space="preserve"> </v>
      </c>
      <c r="K212" s="1" t="str">
        <f>IF(B212=0,VLOOKUP(A212,Feuil2!$A$2:$M$1241,10,FALSE)," ")</f>
        <v xml:space="preserve"> </v>
      </c>
      <c r="L212" s="1"/>
      <c r="M212" s="1"/>
      <c r="N212" s="1"/>
      <c r="O212" s="8" t="str">
        <f>IF(B212=0,VLOOKUP(A212,Feuil2!$A$2:$M$1241,13,FALSE)," ")</f>
        <v xml:space="preserve"> </v>
      </c>
    </row>
    <row r="213" spans="1:15" x14ac:dyDescent="0.3">
      <c r="A213" s="1">
        <v>1535</v>
      </c>
      <c r="B213" s="1">
        <v>0</v>
      </c>
      <c r="C213" s="1" t="str">
        <f>IF(B213=0,VLOOKUP(A213,Feuil2!$A$2:$M$1241,2,FALSE)," ")</f>
        <v>ROUIS</v>
      </c>
      <c r="D213" s="1" t="str">
        <f>IF(B213=0,VLOOKUP(A213,Feuil2!$A$2:$M$1241,3,FALSE)," ")</f>
        <v>LOTFI</v>
      </c>
      <c r="E213" s="5">
        <f>IF(B213=0,VLOOKUP(A213,Feuil2!$A$2:$M$1241,6,FALSE)," ")</f>
        <v>24933</v>
      </c>
      <c r="F213" s="1" t="str">
        <f>IF(B213=0,VLOOKUP(A213,Feuil2!$A$2:$M$1241,12,FALSE)," ")</f>
        <v>H</v>
      </c>
      <c r="G213" s="1" t="str">
        <f>IF(B213=0,VLOOKUP(A213,Feuil2!$A$2:$M$1241,11,FALSE)," ")</f>
        <v>M</v>
      </c>
      <c r="H213" s="1" t="s">
        <v>16</v>
      </c>
      <c r="I213" s="6">
        <f>IF(B213=0,VLOOKUP(A213,Feuil2!$A$2:$M$1241,7,FALSE)," ")</f>
        <v>2994632</v>
      </c>
      <c r="J213" s="1" t="str">
        <f>IF(B213=0,VLOOKUP(A213,Feuil2!$A$2:$M$1241,9,FALSE)," ")</f>
        <v>50 rue de la gare</v>
      </c>
      <c r="K213" s="1" t="str">
        <f>IF(B213=0,VLOOKUP(A213,Feuil2!$A$2:$M$1241,10,FALSE)," ")</f>
        <v>Msaken 4070</v>
      </c>
      <c r="L213" s="1">
        <v>4070</v>
      </c>
      <c r="M213" s="1">
        <v>98793553</v>
      </c>
      <c r="N213" s="1"/>
      <c r="O213" s="8" t="str">
        <f>IF(B213=0,VLOOKUP(A213,Feuil2!$A$2:$M$1241,13,FALSE)," ")</f>
        <v>04204067404006923137</v>
      </c>
    </row>
    <row r="214" spans="1:15" x14ac:dyDescent="0.3">
      <c r="A214" s="1">
        <v>1535</v>
      </c>
      <c r="B214" s="1">
        <v>1</v>
      </c>
      <c r="C214" s="1" t="s">
        <v>121</v>
      </c>
      <c r="D214" s="1" t="s">
        <v>2372</v>
      </c>
      <c r="E214" s="5">
        <v>27475</v>
      </c>
      <c r="F214" s="1" t="s">
        <v>17</v>
      </c>
      <c r="G214" s="1" t="s">
        <v>15</v>
      </c>
      <c r="H214" s="1" t="s">
        <v>16</v>
      </c>
      <c r="I214" s="6" t="str">
        <f>IF(B214=0,VLOOKUP(A214,Feuil2!$A$2:$M$1241,7,FALSE)," ")</f>
        <v xml:space="preserve"> </v>
      </c>
      <c r="J214" s="1" t="str">
        <f>IF(B214=0,VLOOKUP(A214,Feuil2!$A$2:$M$1241,9,FALSE)," ")</f>
        <v xml:space="preserve"> </v>
      </c>
      <c r="K214" s="1" t="str">
        <f>IF(B214=0,VLOOKUP(A214,Feuil2!$A$2:$M$1241,10,FALSE)," ")</f>
        <v xml:space="preserve"> </v>
      </c>
      <c r="L214" s="1"/>
      <c r="M214" s="1"/>
      <c r="N214" s="1"/>
      <c r="O214" s="8" t="str">
        <f>IF(B214=0,VLOOKUP(A214,Feuil2!$A$2:$M$1241,13,FALSE)," ")</f>
        <v xml:space="preserve"> </v>
      </c>
    </row>
    <row r="215" spans="1:15" x14ac:dyDescent="0.3">
      <c r="A215" s="1">
        <v>1535</v>
      </c>
      <c r="B215" s="1">
        <v>2</v>
      </c>
      <c r="C215" s="1" t="s">
        <v>342</v>
      </c>
      <c r="D215" s="1" t="s">
        <v>2447</v>
      </c>
      <c r="E215" s="5">
        <v>39466</v>
      </c>
      <c r="F215" s="1" t="s">
        <v>17</v>
      </c>
      <c r="G215" s="1" t="str">
        <f>IF(B215=0,VLOOKUP(A215,Feuil2!$A$2:$M$1241,11,FALSE)," ")</f>
        <v xml:space="preserve"> </v>
      </c>
      <c r="H215" s="1" t="s">
        <v>16</v>
      </c>
      <c r="I215" s="6" t="str">
        <f>IF(B215=0,VLOOKUP(A215,Feuil2!$A$2:$M$1241,7,FALSE)," ")</f>
        <v xml:space="preserve"> </v>
      </c>
      <c r="J215" s="1" t="str">
        <f>IF(B215=0,VLOOKUP(A215,Feuil2!$A$2:$M$1241,9,FALSE)," ")</f>
        <v xml:space="preserve"> </v>
      </c>
      <c r="K215" s="1" t="str">
        <f>IF(B215=0,VLOOKUP(A215,Feuil2!$A$2:$M$1241,10,FALSE)," ")</f>
        <v xml:space="preserve"> </v>
      </c>
      <c r="L215" s="1"/>
      <c r="M215" s="1"/>
      <c r="N215" s="1"/>
      <c r="O215" s="8" t="str">
        <f>IF(B215=0,VLOOKUP(A215,Feuil2!$A$2:$M$1241,13,FALSE)," ")</f>
        <v xml:space="preserve"> </v>
      </c>
    </row>
    <row r="216" spans="1:15" x14ac:dyDescent="0.3">
      <c r="A216" s="1">
        <v>1535</v>
      </c>
      <c r="B216" s="1">
        <v>3</v>
      </c>
      <c r="C216" s="1" t="s">
        <v>342</v>
      </c>
      <c r="D216" s="1" t="s">
        <v>2448</v>
      </c>
      <c r="E216" s="5">
        <v>39903</v>
      </c>
      <c r="F216" s="1" t="s">
        <v>506</v>
      </c>
      <c r="G216" s="1" t="str">
        <f>IF(B216=0,VLOOKUP(A216,Feuil2!$A$2:$M$1241,11,FALSE)," ")</f>
        <v xml:space="preserve"> </v>
      </c>
      <c r="H216" s="1" t="s">
        <v>16</v>
      </c>
      <c r="I216" s="6" t="str">
        <f>IF(B216=0,VLOOKUP(A216,Feuil2!$A$2:$M$1241,7,FALSE)," ")</f>
        <v xml:space="preserve"> </v>
      </c>
      <c r="J216" s="1" t="str">
        <f>IF(B216=0,VLOOKUP(A216,Feuil2!$A$2:$M$1241,9,FALSE)," ")</f>
        <v xml:space="preserve"> </v>
      </c>
      <c r="K216" s="1" t="str">
        <f>IF(B216=0,VLOOKUP(A216,Feuil2!$A$2:$M$1241,10,FALSE)," ")</f>
        <v xml:space="preserve"> </v>
      </c>
      <c r="L216" s="1"/>
      <c r="M216" s="1"/>
      <c r="N216" s="1"/>
      <c r="O216" s="8" t="str">
        <f>IF(B216=0,VLOOKUP(A216,Feuil2!$A$2:$M$1241,13,FALSE)," ")</f>
        <v xml:space="preserve"> </v>
      </c>
    </row>
    <row r="217" spans="1:15" x14ac:dyDescent="0.3">
      <c r="A217" s="1">
        <v>1535</v>
      </c>
      <c r="B217" s="1">
        <v>4</v>
      </c>
      <c r="C217" s="1" t="s">
        <v>342</v>
      </c>
      <c r="D217" s="1" t="s">
        <v>439</v>
      </c>
      <c r="E217" s="5">
        <v>40805</v>
      </c>
      <c r="F217" s="1" t="s">
        <v>17</v>
      </c>
      <c r="G217" s="1" t="str">
        <f>IF(B217=0,VLOOKUP(A217,Feuil2!$A$2:$M$1241,11,FALSE)," ")</f>
        <v xml:space="preserve"> </v>
      </c>
      <c r="H217" s="1" t="s">
        <v>16</v>
      </c>
      <c r="I217" s="6" t="str">
        <f>IF(B217=0,VLOOKUP(A217,Feuil2!$A$2:$M$1241,7,FALSE)," ")</f>
        <v xml:space="preserve"> </v>
      </c>
      <c r="J217" s="1" t="str">
        <f>IF(B217=0,VLOOKUP(A217,Feuil2!$A$2:$M$1241,9,FALSE)," ")</f>
        <v xml:space="preserve"> </v>
      </c>
      <c r="K217" s="1" t="str">
        <f>IF(B217=0,VLOOKUP(A217,Feuil2!$A$2:$M$1241,10,FALSE)," ")</f>
        <v xml:space="preserve"> </v>
      </c>
      <c r="L217" s="1"/>
      <c r="M217" s="1"/>
      <c r="N217" s="1"/>
      <c r="O217" s="8" t="str">
        <f>IF(B217=0,VLOOKUP(A217,Feuil2!$A$2:$M$1241,13,FALSE)," ")</f>
        <v xml:space="preserve"> </v>
      </c>
    </row>
    <row r="218" spans="1:15" x14ac:dyDescent="0.3">
      <c r="A218" s="1">
        <v>1535</v>
      </c>
      <c r="B218" s="1">
        <v>5</v>
      </c>
      <c r="C218" s="1" t="s">
        <v>342</v>
      </c>
      <c r="D218" s="1" t="s">
        <v>2449</v>
      </c>
      <c r="E218" s="5">
        <v>42739</v>
      </c>
      <c r="F218" s="1" t="s">
        <v>506</v>
      </c>
      <c r="G218" s="1" t="str">
        <f>IF(B218=0,VLOOKUP(A218,Feuil2!$A$2:$M$1241,11,FALSE)," ")</f>
        <v xml:space="preserve"> </v>
      </c>
      <c r="H218" s="1" t="s">
        <v>16</v>
      </c>
      <c r="I218" s="6" t="str">
        <f>IF(B218=0,VLOOKUP(A218,Feuil2!$A$2:$M$1241,7,FALSE)," ")</f>
        <v xml:space="preserve"> </v>
      </c>
      <c r="J218" s="1" t="str">
        <f>IF(B218=0,VLOOKUP(A218,Feuil2!$A$2:$M$1241,9,FALSE)," ")</f>
        <v xml:space="preserve"> </v>
      </c>
      <c r="K218" s="1" t="str">
        <f>IF(B218=0,VLOOKUP(A218,Feuil2!$A$2:$M$1241,10,FALSE)," ")</f>
        <v xml:space="preserve"> </v>
      </c>
      <c r="L218" s="1"/>
      <c r="M218" s="1"/>
      <c r="N218" s="1"/>
      <c r="O218" s="8" t="str">
        <f>IF(B218=0,VLOOKUP(A218,Feuil2!$A$2:$M$1241,13,FALSE)," ")</f>
        <v xml:space="preserve"> </v>
      </c>
    </row>
    <row r="219" spans="1:15" x14ac:dyDescent="0.3">
      <c r="A219" s="1">
        <v>1542</v>
      </c>
      <c r="B219" s="1">
        <v>0</v>
      </c>
      <c r="C219" s="1" t="str">
        <f>IF(B219=0,VLOOKUP(A219,Feuil2!$A$2:$M$1241,2,FALSE)," ")</f>
        <v>MABROUK</v>
      </c>
      <c r="D219" s="1" t="str">
        <f>IF(B219=0,VLOOKUP(A219,Feuil2!$A$2:$M$1241,3,FALSE)," ")</f>
        <v>JAMEL</v>
      </c>
      <c r="E219" s="5">
        <f>IF(B219=0,VLOOKUP(A219,Feuil2!$A$2:$M$1241,6,FALSE)," ")</f>
        <v>26151</v>
      </c>
      <c r="F219" s="1" t="str">
        <f>IF(B219=0,VLOOKUP(A219,Feuil2!$A$2:$M$1241,12,FALSE)," ")</f>
        <v>H</v>
      </c>
      <c r="G219" s="1" t="str">
        <f>IF(B219=0,VLOOKUP(A219,Feuil2!$A$2:$M$1241,11,FALSE)," ")</f>
        <v>M</v>
      </c>
      <c r="H219" s="1" t="s">
        <v>16</v>
      </c>
      <c r="I219" s="6">
        <f>IF(B219=0,VLOOKUP(A219,Feuil2!$A$2:$M$1241,7,FALSE)," ")</f>
        <v>5519256</v>
      </c>
      <c r="J219" s="1" t="str">
        <f>IF(B219=0,VLOOKUP(A219,Feuil2!$A$2:$M$1241,9,FALSE)," ")</f>
        <v>277 Rue Mohamed Ali</v>
      </c>
      <c r="K219" s="1" t="str">
        <f>IF(B219=0,VLOOKUP(A219,Feuil2!$A$2:$M$1241,10,FALSE)," ")</f>
        <v>Msaken 4070</v>
      </c>
      <c r="L219" s="1">
        <v>4070</v>
      </c>
      <c r="M219" s="1">
        <v>21188824</v>
      </c>
      <c r="N219" s="1"/>
      <c r="O219" s="8" t="str">
        <f>IF(B219=0,VLOOKUP(A219,Feuil2!$A$2:$M$1241,13,FALSE)," ")</f>
        <v>25018000000003114351</v>
      </c>
    </row>
    <row r="220" spans="1:15" x14ac:dyDescent="0.3">
      <c r="A220" s="1">
        <v>1542</v>
      </c>
      <c r="B220" s="1">
        <v>1</v>
      </c>
      <c r="C220" s="1" t="s">
        <v>366</v>
      </c>
      <c r="D220" s="1" t="s">
        <v>2421</v>
      </c>
      <c r="E220" s="5">
        <v>28699</v>
      </c>
      <c r="F220" s="1" t="s">
        <v>17</v>
      </c>
      <c r="G220" s="1" t="s">
        <v>15</v>
      </c>
      <c r="H220" s="1" t="s">
        <v>16</v>
      </c>
      <c r="I220" s="6" t="str">
        <f>IF(B220=0,VLOOKUP(A220,Feuil2!$A$2:$M$1241,7,FALSE)," ")</f>
        <v xml:space="preserve"> </v>
      </c>
      <c r="J220" s="1" t="str">
        <f>IF(B220=0,VLOOKUP(A220,Feuil2!$A$2:$M$1241,9,FALSE)," ")</f>
        <v xml:space="preserve"> </v>
      </c>
      <c r="K220" s="1" t="str">
        <f>IF(B220=0,VLOOKUP(A220,Feuil2!$A$2:$M$1241,10,FALSE)," ")</f>
        <v xml:space="preserve"> </v>
      </c>
      <c r="L220" s="1"/>
      <c r="M220" s="1"/>
      <c r="N220" s="1"/>
      <c r="O220" s="8" t="str">
        <f>IF(B220=0,VLOOKUP(A220,Feuil2!$A$2:$M$1241,13,FALSE)," ")</f>
        <v xml:space="preserve"> </v>
      </c>
    </row>
    <row r="221" spans="1:15" x14ac:dyDescent="0.3">
      <c r="A221" s="1">
        <v>1542</v>
      </c>
      <c r="B221" s="1">
        <v>2</v>
      </c>
      <c r="C221" s="1" t="s">
        <v>251</v>
      </c>
      <c r="D221" s="1" t="s">
        <v>2422</v>
      </c>
      <c r="E221" s="5">
        <v>38924</v>
      </c>
      <c r="F221" s="1" t="s">
        <v>17</v>
      </c>
      <c r="G221" s="1" t="str">
        <f>IF(B221=0,VLOOKUP(A221,Feuil2!$A$2:$M$1241,11,FALSE)," ")</f>
        <v xml:space="preserve"> </v>
      </c>
      <c r="H221" s="1" t="s">
        <v>16</v>
      </c>
      <c r="I221" s="6" t="str">
        <f>IF(B221=0,VLOOKUP(A221,Feuil2!$A$2:$M$1241,7,FALSE)," ")</f>
        <v xml:space="preserve"> </v>
      </c>
      <c r="J221" s="1" t="str">
        <f>IF(B221=0,VLOOKUP(A221,Feuil2!$A$2:$M$1241,9,FALSE)," ")</f>
        <v xml:space="preserve"> </v>
      </c>
      <c r="K221" s="1" t="str">
        <f>IF(B221=0,VLOOKUP(A221,Feuil2!$A$2:$M$1241,10,FALSE)," ")</f>
        <v xml:space="preserve"> </v>
      </c>
      <c r="L221" s="1"/>
      <c r="M221" s="1"/>
      <c r="N221" s="1"/>
      <c r="O221" s="8" t="str">
        <f>IF(B221=0,VLOOKUP(A221,Feuil2!$A$2:$M$1241,13,FALSE)," ")</f>
        <v xml:space="preserve"> </v>
      </c>
    </row>
    <row r="222" spans="1:15" x14ac:dyDescent="0.3">
      <c r="A222" s="1">
        <v>1542</v>
      </c>
      <c r="B222" s="1">
        <v>3</v>
      </c>
      <c r="C222" s="1" t="s">
        <v>251</v>
      </c>
      <c r="D222" s="1" t="s">
        <v>2423</v>
      </c>
      <c r="E222" s="5">
        <v>39440</v>
      </c>
      <c r="F222" s="1" t="s">
        <v>506</v>
      </c>
      <c r="G222" s="1" t="str">
        <f>IF(B222=0,VLOOKUP(A222,Feuil2!$A$2:$M$1241,11,FALSE)," ")</f>
        <v xml:space="preserve"> </v>
      </c>
      <c r="H222" s="1" t="s">
        <v>16</v>
      </c>
      <c r="I222" s="6" t="str">
        <f>IF(B222=0,VLOOKUP(A222,Feuil2!$A$2:$M$1241,7,FALSE)," ")</f>
        <v xml:space="preserve"> </v>
      </c>
      <c r="J222" s="1" t="str">
        <f>IF(B222=0,VLOOKUP(A222,Feuil2!$A$2:$M$1241,9,FALSE)," ")</f>
        <v xml:space="preserve"> </v>
      </c>
      <c r="K222" s="1" t="str">
        <f>IF(B222=0,VLOOKUP(A222,Feuil2!$A$2:$M$1241,10,FALSE)," ")</f>
        <v xml:space="preserve"> </v>
      </c>
      <c r="L222" s="1"/>
      <c r="M222" s="1"/>
      <c r="N222" s="1"/>
      <c r="O222" s="8" t="str">
        <f>IF(B222=0,VLOOKUP(A222,Feuil2!$A$2:$M$1241,13,FALSE)," ")</f>
        <v xml:space="preserve"> </v>
      </c>
    </row>
    <row r="223" spans="1:15" x14ac:dyDescent="0.3">
      <c r="A223" s="1">
        <v>1542</v>
      </c>
      <c r="B223" s="1">
        <v>4</v>
      </c>
      <c r="C223" s="1" t="s">
        <v>251</v>
      </c>
      <c r="D223" s="1" t="s">
        <v>77</v>
      </c>
      <c r="E223" s="5">
        <v>41295</v>
      </c>
      <c r="F223" s="1" t="s">
        <v>506</v>
      </c>
      <c r="G223" s="1" t="str">
        <f>IF(B223=0,VLOOKUP(A223,Feuil2!$A$2:$M$1241,11,FALSE)," ")</f>
        <v xml:space="preserve"> </v>
      </c>
      <c r="H223" s="1" t="s">
        <v>16</v>
      </c>
      <c r="I223" s="6" t="str">
        <f>IF(B223=0,VLOOKUP(A223,Feuil2!$A$2:$M$1241,7,FALSE)," ")</f>
        <v xml:space="preserve"> </v>
      </c>
      <c r="J223" s="1" t="str">
        <f>IF(B223=0,VLOOKUP(A223,Feuil2!$A$2:$M$1241,9,FALSE)," ")</f>
        <v xml:space="preserve"> </v>
      </c>
      <c r="K223" s="1" t="str">
        <f>IF(B223=0,VLOOKUP(A223,Feuil2!$A$2:$M$1241,10,FALSE)," ")</f>
        <v xml:space="preserve"> </v>
      </c>
      <c r="L223" s="1"/>
      <c r="M223" s="1"/>
      <c r="N223" s="1"/>
      <c r="O223" s="8" t="str">
        <f>IF(B223=0,VLOOKUP(A223,Feuil2!$A$2:$M$1241,13,FALSE)," ")</f>
        <v xml:space="preserve"> </v>
      </c>
    </row>
    <row r="224" spans="1:15" x14ac:dyDescent="0.3">
      <c r="A224" s="1">
        <v>1548</v>
      </c>
      <c r="B224" s="1">
        <v>0</v>
      </c>
      <c r="C224" s="1" t="str">
        <f>IF(B224=0,VLOOKUP(A224,Feuil2!$A$2:$M$1241,2,FALSE)," ")</f>
        <v>YOUSSEF</v>
      </c>
      <c r="D224" s="1" t="str">
        <f>IF(B224=0,VLOOKUP(A224,Feuil2!$A$2:$M$1241,3,FALSE)," ")</f>
        <v>WAHID</v>
      </c>
      <c r="E224" s="5">
        <f>IF(B224=0,VLOOKUP(A224,Feuil2!$A$2:$M$1241,6,FALSE)," ")</f>
        <v>25440</v>
      </c>
      <c r="F224" s="1" t="str">
        <f>IF(B224=0,VLOOKUP(A224,Feuil2!$A$2:$M$1241,12,FALSE)," ")</f>
        <v>H</v>
      </c>
      <c r="G224" s="1" t="str">
        <f>IF(B224=0,VLOOKUP(A224,Feuil2!$A$2:$M$1241,11,FALSE)," ")</f>
        <v>M</v>
      </c>
      <c r="H224" s="1" t="s">
        <v>16</v>
      </c>
      <c r="I224" s="6">
        <f>IF(B224=0,VLOOKUP(A224,Feuil2!$A$2:$M$1241,7,FALSE)," ")</f>
        <v>2982608</v>
      </c>
      <c r="J224" s="1" t="str">
        <f>IF(B224=0,VLOOKUP(A224,Feuil2!$A$2:$M$1241,9,FALSE)," ")</f>
        <v>40 Rue Abdelhamid El Gadhi</v>
      </c>
      <c r="K224" s="1" t="str">
        <f>IF(B224=0,VLOOKUP(A224,Feuil2!$A$2:$M$1241,10,FALSE)," ")</f>
        <v>Msaken 4070</v>
      </c>
      <c r="L224" s="1">
        <v>4070</v>
      </c>
      <c r="M224" s="1">
        <v>98793670</v>
      </c>
      <c r="N224" s="1"/>
      <c r="O224" s="8" t="str">
        <f>IF(B224=0,VLOOKUP(A224,Feuil2!$A$2:$M$1241,13,FALSE)," ")</f>
        <v>10506040206332378867</v>
      </c>
    </row>
    <row r="225" spans="1:15" x14ac:dyDescent="0.3">
      <c r="A225" s="1">
        <v>1548</v>
      </c>
      <c r="B225" s="1">
        <v>1</v>
      </c>
      <c r="C225" s="1" t="s">
        <v>33</v>
      </c>
      <c r="D225" s="1" t="s">
        <v>1008</v>
      </c>
      <c r="E225" s="5">
        <v>28890</v>
      </c>
      <c r="F225" s="1" t="s">
        <v>17</v>
      </c>
      <c r="G225" s="1" t="s">
        <v>15</v>
      </c>
      <c r="H225" s="1" t="s">
        <v>16</v>
      </c>
      <c r="I225" s="6" t="str">
        <f>IF(B225=0,VLOOKUP(A225,Feuil2!$A$2:$M$1241,7,FALSE)," ")</f>
        <v xml:space="preserve"> </v>
      </c>
      <c r="J225" s="1" t="str">
        <f>IF(B225=0,VLOOKUP(A225,Feuil2!$A$2:$M$1241,9,FALSE)," ")</f>
        <v xml:space="preserve"> </v>
      </c>
      <c r="K225" s="1" t="str">
        <f>IF(B225=0,VLOOKUP(A225,Feuil2!$A$2:$M$1241,10,FALSE)," ")</f>
        <v xml:space="preserve"> </v>
      </c>
      <c r="L225" s="1"/>
      <c r="M225" s="1"/>
      <c r="N225" s="1"/>
      <c r="O225" s="8" t="str">
        <f>IF(B225=0,VLOOKUP(A225,Feuil2!$A$2:$M$1241,13,FALSE)," ")</f>
        <v xml:space="preserve"> </v>
      </c>
    </row>
    <row r="226" spans="1:15" x14ac:dyDescent="0.3">
      <c r="A226" s="1">
        <v>1548</v>
      </c>
      <c r="B226" s="1">
        <v>2</v>
      </c>
      <c r="C226" s="1" t="s">
        <v>61</v>
      </c>
      <c r="D226" s="1" t="s">
        <v>2354</v>
      </c>
      <c r="E226" s="5">
        <v>42370</v>
      </c>
      <c r="F226" s="1" t="s">
        <v>17</v>
      </c>
      <c r="G226" s="1" t="str">
        <f>IF(B226=0,VLOOKUP(A226,Feuil2!$A$2:$M$1241,11,FALSE)," ")</f>
        <v xml:space="preserve"> </v>
      </c>
      <c r="H226" s="1" t="s">
        <v>16</v>
      </c>
      <c r="I226" s="6" t="str">
        <f>IF(B226=0,VLOOKUP(A226,Feuil2!$A$2:$M$1241,7,FALSE)," ")</f>
        <v xml:space="preserve"> </v>
      </c>
      <c r="J226" s="1" t="str">
        <f>IF(B226=0,VLOOKUP(A226,Feuil2!$A$2:$M$1241,9,FALSE)," ")</f>
        <v xml:space="preserve"> </v>
      </c>
      <c r="K226" s="1" t="str">
        <f>IF(B226=0,VLOOKUP(A226,Feuil2!$A$2:$M$1241,10,FALSE)," ")</f>
        <v xml:space="preserve"> </v>
      </c>
      <c r="L226" s="1"/>
      <c r="M226" s="1"/>
      <c r="N226" s="1"/>
      <c r="O226" s="8" t="str">
        <f>IF(B226=0,VLOOKUP(A226,Feuil2!$A$2:$M$1241,13,FALSE)," ")</f>
        <v xml:space="preserve"> </v>
      </c>
    </row>
    <row r="227" spans="1:15" x14ac:dyDescent="0.3">
      <c r="A227" s="1">
        <v>1553</v>
      </c>
      <c r="B227" s="17">
        <v>0</v>
      </c>
      <c r="C227" s="17" t="str">
        <f>IF(B227=0,VLOOKUP(A227,Feuil2!$A$2:$M$1241,2,FALSE)," ")</f>
        <v>BOUNEB</v>
      </c>
      <c r="D227" s="17" t="str">
        <f>IF(B227=0,VLOOKUP(A227,Feuil2!$A$2:$M$1241,3,FALSE)," ")</f>
        <v>MOHAMED</v>
      </c>
      <c r="E227" s="18">
        <f>IF(B227=0,VLOOKUP(A227,Feuil2!$A$2:$M$1241,6,FALSE)," ")</f>
        <v>27523</v>
      </c>
      <c r="F227" s="17" t="str">
        <f>IF(B227=0,VLOOKUP(A227,Feuil2!$A$2:$M$1241,12,FALSE)," ")</f>
        <v>H</v>
      </c>
      <c r="G227" s="17" t="str">
        <f>IF(B227=0,VLOOKUP(A227,Feuil2!$A$2:$M$1241,11,FALSE)," ")</f>
        <v>M</v>
      </c>
      <c r="H227" s="17" t="s">
        <v>16</v>
      </c>
      <c r="I227" s="19">
        <f>IF(B227=0,VLOOKUP(A227,Feuil2!$A$2:$M$1241,7,FALSE)," ")</f>
        <v>5530662</v>
      </c>
      <c r="J227" s="17" t="str">
        <f>IF(B227=0,VLOOKUP(A227,Feuil2!$A$2:$M$1241,9,FALSE)," ")</f>
        <v>4 Rue de l'Oasis</v>
      </c>
      <c r="K227" s="17" t="str">
        <f>IF(B227=0,VLOOKUP(A227,Feuil2!$A$2:$M$1241,10,FALSE)," ")</f>
        <v>Msaken 4070</v>
      </c>
      <c r="L227" s="17">
        <v>4070</v>
      </c>
      <c r="M227" s="17">
        <v>98793744</v>
      </c>
      <c r="N227" s="17"/>
      <c r="O227" s="20" t="str">
        <f>IF(B227=0,VLOOKUP(A227,Feuil2!$A$2:$M$1241,13,FALSE)," ")</f>
        <v>04204067001287484895</v>
      </c>
    </row>
    <row r="228" spans="1:15" x14ac:dyDescent="0.3">
      <c r="A228" s="1">
        <v>1553</v>
      </c>
      <c r="B228" s="1">
        <v>1</v>
      </c>
      <c r="C228" s="1" t="s">
        <v>2538</v>
      </c>
      <c r="D228" s="1" t="s">
        <v>2219</v>
      </c>
      <c r="E228" s="5">
        <v>27851</v>
      </c>
      <c r="F228" s="1" t="s">
        <v>17</v>
      </c>
      <c r="G228" s="1" t="s">
        <v>15</v>
      </c>
      <c r="H228" s="1" t="s">
        <v>16</v>
      </c>
      <c r="I228" s="6" t="str">
        <f>IF(B228=0,VLOOKUP(A228,Feuil2!$A$2:$M$1241,7,FALSE)," ")</f>
        <v xml:space="preserve"> </v>
      </c>
      <c r="J228" s="1" t="str">
        <f>IF(B228=0,VLOOKUP(A228,Feuil2!$A$2:$M$1241,9,FALSE)," ")</f>
        <v xml:space="preserve"> </v>
      </c>
      <c r="K228" s="1" t="str">
        <f>IF(B228=0,VLOOKUP(A228,Feuil2!$A$2:$M$1241,10,FALSE)," ")</f>
        <v xml:space="preserve"> </v>
      </c>
      <c r="L228" s="1"/>
      <c r="M228" s="1"/>
      <c r="N228" s="1"/>
      <c r="O228" s="8" t="str">
        <f>IF(B228=0,VLOOKUP(A228,Feuil2!$A$2:$M$1241,13,FALSE)," ")</f>
        <v xml:space="preserve"> </v>
      </c>
    </row>
    <row r="229" spans="1:15" x14ac:dyDescent="0.3">
      <c r="A229" s="1">
        <v>1553</v>
      </c>
      <c r="B229" s="1">
        <v>2</v>
      </c>
      <c r="C229" s="1" t="s">
        <v>51</v>
      </c>
      <c r="D229" s="1" t="s">
        <v>2337</v>
      </c>
      <c r="E229" s="5">
        <v>37781</v>
      </c>
      <c r="F229" s="1" t="s">
        <v>17</v>
      </c>
      <c r="G229" s="1" t="str">
        <f>IF(B229=0,VLOOKUP(A229,Feuil2!$A$2:$M$1241,11,FALSE)," ")</f>
        <v xml:space="preserve"> </v>
      </c>
      <c r="H229" s="1" t="s">
        <v>16</v>
      </c>
      <c r="I229" s="6" t="str">
        <f>IF(B229=0,VLOOKUP(A229,Feuil2!$A$2:$M$1241,7,FALSE)," ")</f>
        <v xml:space="preserve"> </v>
      </c>
      <c r="J229" s="1" t="str">
        <f>IF(B229=0,VLOOKUP(A229,Feuil2!$A$2:$M$1241,9,FALSE)," ")</f>
        <v xml:space="preserve"> </v>
      </c>
      <c r="K229" s="1" t="str">
        <f>IF(B229=0,VLOOKUP(A229,Feuil2!$A$2:$M$1241,10,FALSE)," ")</f>
        <v xml:space="preserve"> </v>
      </c>
      <c r="L229" s="1"/>
      <c r="M229" s="1"/>
      <c r="N229" s="1"/>
      <c r="O229" s="8" t="str">
        <f>IF(B229=0,VLOOKUP(A229,Feuil2!$A$2:$M$1241,13,FALSE)," ")</f>
        <v xml:space="preserve"> </v>
      </c>
    </row>
    <row r="230" spans="1:15" x14ac:dyDescent="0.3">
      <c r="A230" s="1">
        <v>1553</v>
      </c>
      <c r="B230" s="1">
        <v>3</v>
      </c>
      <c r="C230" s="1" t="s">
        <v>51</v>
      </c>
      <c r="D230" s="1" t="s">
        <v>2345</v>
      </c>
      <c r="E230" s="5">
        <v>38808</v>
      </c>
      <c r="F230" s="1" t="s">
        <v>17</v>
      </c>
      <c r="G230" s="1" t="str">
        <f>IF(B230=0,VLOOKUP(A230,Feuil2!$A$2:$M$1241,11,FALSE)," ")</f>
        <v xml:space="preserve"> </v>
      </c>
      <c r="H230" s="1" t="s">
        <v>16</v>
      </c>
      <c r="I230" s="6" t="str">
        <f>IF(B230=0,VLOOKUP(A230,Feuil2!$A$2:$M$1241,7,FALSE)," ")</f>
        <v xml:space="preserve"> </v>
      </c>
      <c r="J230" s="1" t="str">
        <f>IF(B230=0,VLOOKUP(A230,Feuil2!$A$2:$M$1241,9,FALSE)," ")</f>
        <v xml:space="preserve"> </v>
      </c>
      <c r="K230" s="1" t="str">
        <f>IF(B230=0,VLOOKUP(A230,Feuil2!$A$2:$M$1241,10,FALSE)," ")</f>
        <v xml:space="preserve"> </v>
      </c>
      <c r="L230" s="1"/>
      <c r="M230" s="1"/>
      <c r="N230" s="1"/>
      <c r="O230" s="8" t="str">
        <f>IF(B230=0,VLOOKUP(A230,Feuil2!$A$2:$M$1241,13,FALSE)," ")</f>
        <v xml:space="preserve"> </v>
      </c>
    </row>
    <row r="231" spans="1:15" x14ac:dyDescent="0.3">
      <c r="A231" s="1">
        <v>1553</v>
      </c>
      <c r="B231" s="1">
        <v>4</v>
      </c>
      <c r="C231" s="1" t="s">
        <v>51</v>
      </c>
      <c r="D231" s="1" t="s">
        <v>2443</v>
      </c>
      <c r="E231" s="5">
        <v>40745</v>
      </c>
      <c r="F231" s="1" t="s">
        <v>17</v>
      </c>
      <c r="G231" s="1" t="str">
        <f>IF(B231=0,VLOOKUP(A231,Feuil2!$A$2:$M$1241,11,FALSE)," ")</f>
        <v xml:space="preserve"> </v>
      </c>
      <c r="H231" s="1" t="s">
        <v>16</v>
      </c>
      <c r="I231" s="6" t="str">
        <f>IF(B231=0,VLOOKUP(A231,Feuil2!$A$2:$M$1241,7,FALSE)," ")</f>
        <v xml:space="preserve"> </v>
      </c>
      <c r="J231" s="1" t="str">
        <f>IF(B231=0,VLOOKUP(A231,Feuil2!$A$2:$M$1241,9,FALSE)," ")</f>
        <v xml:space="preserve"> </v>
      </c>
      <c r="K231" s="1" t="str">
        <f>IF(B231=0,VLOOKUP(A231,Feuil2!$A$2:$M$1241,10,FALSE)," ")</f>
        <v xml:space="preserve"> </v>
      </c>
      <c r="L231" s="1"/>
      <c r="M231" s="1"/>
      <c r="N231" s="1"/>
      <c r="O231" s="8" t="str">
        <f>IF(B231=0,VLOOKUP(A231,Feuil2!$A$2:$M$1241,13,FALSE)," ")</f>
        <v xml:space="preserve"> </v>
      </c>
    </row>
    <row r="232" spans="1:15" x14ac:dyDescent="0.3">
      <c r="A232" s="1">
        <v>1553</v>
      </c>
      <c r="B232" s="1">
        <v>5</v>
      </c>
      <c r="C232" s="1" t="s">
        <v>51</v>
      </c>
      <c r="D232" s="1" t="s">
        <v>149</v>
      </c>
      <c r="E232" s="5">
        <v>41342</v>
      </c>
      <c r="F232" s="1" t="s">
        <v>506</v>
      </c>
      <c r="G232" s="1" t="str">
        <f>IF(B232=0,VLOOKUP(A232,Feuil2!$A$2:$M$1241,11,FALSE)," ")</f>
        <v xml:space="preserve"> </v>
      </c>
      <c r="H232" s="1" t="s">
        <v>16</v>
      </c>
      <c r="I232" s="6" t="str">
        <f>IF(B232=0,VLOOKUP(A232,Feuil2!$A$2:$M$1241,7,FALSE)," ")</f>
        <v xml:space="preserve"> </v>
      </c>
      <c r="J232" s="1" t="str">
        <f>IF(B232=0,VLOOKUP(A232,Feuil2!$A$2:$M$1241,9,FALSE)," ")</f>
        <v xml:space="preserve"> </v>
      </c>
      <c r="K232" s="1" t="str">
        <f>IF(B232=0,VLOOKUP(A232,Feuil2!$A$2:$M$1241,10,FALSE)," ")</f>
        <v xml:space="preserve"> </v>
      </c>
      <c r="L232" s="1"/>
      <c r="M232" s="1"/>
      <c r="N232" s="1"/>
      <c r="O232" s="8" t="str">
        <f>IF(B232=0,VLOOKUP(A232,Feuil2!$A$2:$M$1241,13,FALSE)," ")</f>
        <v xml:space="preserve"> </v>
      </c>
    </row>
    <row r="233" spans="1:15" x14ac:dyDescent="0.3">
      <c r="A233" s="1">
        <v>1556</v>
      </c>
      <c r="B233" s="1">
        <v>0</v>
      </c>
      <c r="C233" s="1" t="str">
        <f>IF(B233=0,VLOOKUP(A233,Feuil2!$A$2:$M$1241,2,FALSE)," ")</f>
        <v>LOGHMARI</v>
      </c>
      <c r="D233" s="1" t="str">
        <f>IF(B233=0,VLOOKUP(A233,Feuil2!$A$2:$M$1241,3,FALSE)," ")</f>
        <v>KHELIL</v>
      </c>
      <c r="E233" s="5">
        <f>IF(B233=0,VLOOKUP(A233,Feuil2!$A$2:$M$1241,6,FALSE)," ")</f>
        <v>27345</v>
      </c>
      <c r="F233" s="1" t="str">
        <f>IF(B233=0,VLOOKUP(A233,Feuil2!$A$2:$M$1241,12,FALSE)," ")</f>
        <v>H</v>
      </c>
      <c r="G233" s="1" t="str">
        <f>IF(B233=0,VLOOKUP(A233,Feuil2!$A$2:$M$1241,11,FALSE)," ")</f>
        <v>M</v>
      </c>
      <c r="H233" s="1" t="s">
        <v>16</v>
      </c>
      <c r="I233" s="6">
        <f>IF(B233=0,VLOOKUP(A233,Feuil2!$A$2:$M$1241,7,FALSE)," ")</f>
        <v>5537946</v>
      </c>
      <c r="J233" s="1" t="str">
        <f>IF(B233=0,VLOOKUP(A233,Feuil2!$A$2:$M$1241,9,FALSE)," ")</f>
        <v>23Rue Lettihed</v>
      </c>
      <c r="K233" s="1" t="str">
        <f>IF(B233=0,VLOOKUP(A233,Feuil2!$A$2:$M$1241,10,FALSE)," ")</f>
        <v>Msaken 4070</v>
      </c>
      <c r="L233" s="1">
        <v>4070</v>
      </c>
      <c r="M233" s="1">
        <v>55020767</v>
      </c>
      <c r="N233" s="1"/>
      <c r="O233" s="8" t="str">
        <f>IF(B233=0,VLOOKUP(A233,Feuil2!$A$2:$M$1241,13,FALSE)," ")</f>
        <v>08050020052000691409</v>
      </c>
    </row>
    <row r="234" spans="1:15" x14ac:dyDescent="0.3">
      <c r="A234" s="1">
        <v>1556</v>
      </c>
      <c r="B234" s="1">
        <v>1</v>
      </c>
      <c r="C234" s="1" t="s">
        <v>2459</v>
      </c>
      <c r="D234" s="1" t="s">
        <v>1356</v>
      </c>
      <c r="E234" s="5">
        <v>29644</v>
      </c>
      <c r="F234" s="1" t="s">
        <v>17</v>
      </c>
      <c r="G234" s="1" t="s">
        <v>15</v>
      </c>
      <c r="H234" s="1" t="s">
        <v>16</v>
      </c>
      <c r="I234" s="6" t="str">
        <f>IF(B234=0,VLOOKUP(A234,Feuil2!$A$2:$M$1241,7,FALSE)," ")</f>
        <v xml:space="preserve"> </v>
      </c>
      <c r="J234" s="1" t="str">
        <f>IF(B234=0,VLOOKUP(A234,Feuil2!$A$2:$M$1241,9,FALSE)," ")</f>
        <v xml:space="preserve"> </v>
      </c>
      <c r="K234" s="1" t="str">
        <f>IF(B234=0,VLOOKUP(A234,Feuil2!$A$2:$M$1241,10,FALSE)," ")</f>
        <v xml:space="preserve"> </v>
      </c>
      <c r="L234" s="1"/>
      <c r="M234" s="1"/>
      <c r="N234" s="1"/>
      <c r="O234" s="8" t="str">
        <f>IF(B234=0,VLOOKUP(A234,Feuil2!$A$2:$M$1241,13,FALSE)," ")</f>
        <v xml:space="preserve"> </v>
      </c>
    </row>
    <row r="235" spans="1:15" x14ac:dyDescent="0.3">
      <c r="A235" s="1">
        <v>1556</v>
      </c>
      <c r="B235" s="1">
        <v>2</v>
      </c>
      <c r="C235" s="1" t="s">
        <v>199</v>
      </c>
      <c r="D235" s="1" t="s">
        <v>54</v>
      </c>
      <c r="E235" s="5">
        <v>37080</v>
      </c>
      <c r="F235" s="1" t="s">
        <v>17</v>
      </c>
      <c r="G235" s="1" t="str">
        <f>IF(B235=0,VLOOKUP(A235,Feuil2!$A$2:$M$1241,11,FALSE)," ")</f>
        <v xml:space="preserve"> </v>
      </c>
      <c r="H235" s="1" t="s">
        <v>16</v>
      </c>
      <c r="I235" s="6" t="str">
        <f>IF(B235=0,VLOOKUP(A235,Feuil2!$A$2:$M$1241,7,FALSE)," ")</f>
        <v xml:space="preserve"> </v>
      </c>
      <c r="J235" s="1" t="str">
        <f>IF(B235=0,VLOOKUP(A235,Feuil2!$A$2:$M$1241,9,FALSE)," ")</f>
        <v xml:space="preserve"> </v>
      </c>
      <c r="K235" s="1" t="str">
        <f>IF(B235=0,VLOOKUP(A235,Feuil2!$A$2:$M$1241,10,FALSE)," ")</f>
        <v xml:space="preserve"> </v>
      </c>
      <c r="L235" s="1"/>
      <c r="M235" s="1"/>
      <c r="N235" s="1"/>
      <c r="O235" s="8" t="str">
        <f>IF(B235=0,VLOOKUP(A235,Feuil2!$A$2:$M$1241,13,FALSE)," ")</f>
        <v xml:space="preserve"> </v>
      </c>
    </row>
    <row r="236" spans="1:15" x14ac:dyDescent="0.3">
      <c r="A236" s="1">
        <v>1556</v>
      </c>
      <c r="B236" s="1">
        <v>3</v>
      </c>
      <c r="C236" s="1" t="s">
        <v>199</v>
      </c>
      <c r="D236" s="1" t="s">
        <v>2447</v>
      </c>
      <c r="E236" s="5">
        <v>37680</v>
      </c>
      <c r="F236" s="1" t="s">
        <v>17</v>
      </c>
      <c r="G236" s="1" t="str">
        <f>IF(B236=0,VLOOKUP(A236,Feuil2!$A$2:$M$1241,11,FALSE)," ")</f>
        <v xml:space="preserve"> </v>
      </c>
      <c r="H236" s="1" t="s">
        <v>16</v>
      </c>
      <c r="I236" s="6" t="str">
        <f>IF(B236=0,VLOOKUP(A236,Feuil2!$A$2:$M$1241,7,FALSE)," ")</f>
        <v xml:space="preserve"> </v>
      </c>
      <c r="J236" s="1" t="str">
        <f>IF(B236=0,VLOOKUP(A236,Feuil2!$A$2:$M$1241,9,FALSE)," ")</f>
        <v xml:space="preserve"> </v>
      </c>
      <c r="K236" s="1" t="str">
        <f>IF(B236=0,VLOOKUP(A236,Feuil2!$A$2:$M$1241,10,FALSE)," ")</f>
        <v xml:space="preserve"> </v>
      </c>
      <c r="L236" s="1"/>
      <c r="M236" s="1"/>
      <c r="N236" s="1"/>
      <c r="O236" s="8" t="str">
        <f>IF(B236=0,VLOOKUP(A236,Feuil2!$A$2:$M$1241,13,FALSE)," ")</f>
        <v xml:space="preserve"> </v>
      </c>
    </row>
    <row r="237" spans="1:15" x14ac:dyDescent="0.3">
      <c r="A237" s="1">
        <v>1556</v>
      </c>
      <c r="B237" s="1">
        <v>4</v>
      </c>
      <c r="C237" s="1" t="s">
        <v>199</v>
      </c>
      <c r="D237" s="1" t="s">
        <v>105</v>
      </c>
      <c r="E237" s="5">
        <v>40335</v>
      </c>
      <c r="F237" s="1" t="s">
        <v>506</v>
      </c>
      <c r="G237" s="1" t="str">
        <f>IF(B237=0,VLOOKUP(A237,Feuil2!$A$2:$M$1241,11,FALSE)," ")</f>
        <v xml:space="preserve"> </v>
      </c>
      <c r="H237" s="1" t="s">
        <v>16</v>
      </c>
      <c r="I237" s="6" t="str">
        <f>IF(B237=0,VLOOKUP(A237,Feuil2!$A$2:$M$1241,7,FALSE)," ")</f>
        <v xml:space="preserve"> </v>
      </c>
      <c r="J237" s="1" t="str">
        <f>IF(B237=0,VLOOKUP(A237,Feuil2!$A$2:$M$1241,9,FALSE)," ")</f>
        <v xml:space="preserve"> </v>
      </c>
      <c r="K237" s="1" t="str">
        <f>IF(B237=0,VLOOKUP(A237,Feuil2!$A$2:$M$1241,10,FALSE)," ")</f>
        <v xml:space="preserve"> </v>
      </c>
      <c r="L237" s="1"/>
      <c r="M237" s="1"/>
      <c r="N237" s="1"/>
      <c r="O237" s="8" t="str">
        <f>IF(B237=0,VLOOKUP(A237,Feuil2!$A$2:$M$1241,13,FALSE)," ")</f>
        <v xml:space="preserve"> </v>
      </c>
    </row>
    <row r="238" spans="1:15" x14ac:dyDescent="0.3">
      <c r="A238" s="1">
        <v>1559</v>
      </c>
      <c r="B238" s="1">
        <v>0</v>
      </c>
      <c r="C238" s="1" t="str">
        <f>IF(B238=0,VLOOKUP(A238,Feuil2!$A$2:$M$1241,2,FALSE)," ")</f>
        <v>BEN KHELIFA</v>
      </c>
      <c r="D238" s="1" t="str">
        <f>IF(B238=0,VLOOKUP(A238,Feuil2!$A$2:$M$1241,3,FALSE)," ")</f>
        <v>MED FREDJ</v>
      </c>
      <c r="E238" s="5">
        <f>IF(B238=0,VLOOKUP(A238,Feuil2!$A$2:$M$1241,6,FALSE)," ")</f>
        <v>27107</v>
      </c>
      <c r="F238" s="1" t="str">
        <f>IF(B238=0,VLOOKUP(A238,Feuil2!$A$2:$M$1241,12,FALSE)," ")</f>
        <v>H</v>
      </c>
      <c r="G238" s="1" t="str">
        <f>IF(B238=0,VLOOKUP(A238,Feuil2!$A$2:$M$1241,11,FALSE)," ")</f>
        <v>M</v>
      </c>
      <c r="H238" s="1" t="s">
        <v>16</v>
      </c>
      <c r="I238" s="6">
        <f>IF(B238=0,VLOOKUP(A238,Feuil2!$A$2:$M$1241,7,FALSE)," ")</f>
        <v>5536880</v>
      </c>
      <c r="J238" s="1" t="str">
        <f>IF(B238=0,VLOOKUP(A238,Feuil2!$A$2:$M$1241,9,FALSE)," ")</f>
        <v>1 R Ibn Zaidoun</v>
      </c>
      <c r="K238" s="1" t="str">
        <f>IF(B238=0,VLOOKUP(A238,Feuil2!$A$2:$M$1241,10,FALSE)," ")</f>
        <v>Msaken 4070</v>
      </c>
      <c r="L238" s="1">
        <v>4070</v>
      </c>
      <c r="M238" s="1">
        <v>97225123</v>
      </c>
      <c r="N238" s="1"/>
      <c r="O238" s="8" t="str">
        <f>IF(B238=0,VLOOKUP(A238,Feuil2!$A$2:$M$1241,13,FALSE)," ")</f>
        <v>04204067404000634045</v>
      </c>
    </row>
    <row r="239" spans="1:15" x14ac:dyDescent="0.3">
      <c r="A239" s="1">
        <v>1559</v>
      </c>
      <c r="B239" s="1">
        <v>1</v>
      </c>
      <c r="C239" s="1" t="s">
        <v>563</v>
      </c>
      <c r="D239" s="1" t="s">
        <v>2373</v>
      </c>
      <c r="E239" s="5">
        <v>31217</v>
      </c>
      <c r="F239" s="1" t="s">
        <v>17</v>
      </c>
      <c r="G239" s="1" t="s">
        <v>15</v>
      </c>
      <c r="H239" s="1" t="s">
        <v>16</v>
      </c>
      <c r="I239" s="6" t="str">
        <f>IF(B239=0,VLOOKUP(A239,Feuil2!$A$2:$M$1241,7,FALSE)," ")</f>
        <v xml:space="preserve"> </v>
      </c>
      <c r="J239" s="1" t="str">
        <f>IF(B239=0,VLOOKUP(A239,Feuil2!$A$2:$M$1241,9,FALSE)," ")</f>
        <v xml:space="preserve"> </v>
      </c>
      <c r="K239" s="1" t="str">
        <f>IF(B239=0,VLOOKUP(A239,Feuil2!$A$2:$M$1241,10,FALSE)," ")</f>
        <v xml:space="preserve"> </v>
      </c>
      <c r="L239" s="1"/>
      <c r="M239" s="1"/>
      <c r="N239" s="1"/>
      <c r="O239" s="8" t="str">
        <f>IF(B239=0,VLOOKUP(A239,Feuil2!$A$2:$M$1241,13,FALSE)," ")</f>
        <v xml:space="preserve"> </v>
      </c>
    </row>
    <row r="240" spans="1:15" x14ac:dyDescent="0.3">
      <c r="A240" s="1">
        <v>1559</v>
      </c>
      <c r="B240" s="1">
        <v>2</v>
      </c>
      <c r="C240" s="1" t="s">
        <v>869</v>
      </c>
      <c r="D240" s="1" t="s">
        <v>402</v>
      </c>
      <c r="E240" s="5">
        <v>39972</v>
      </c>
      <c r="F240" s="1" t="s">
        <v>17</v>
      </c>
      <c r="G240" s="1" t="str">
        <f>IF(B240=0,VLOOKUP(A240,Feuil2!$A$2:$M$1241,11,FALSE)," ")</f>
        <v xml:space="preserve"> </v>
      </c>
      <c r="H240" s="1" t="s">
        <v>16</v>
      </c>
      <c r="I240" s="6" t="str">
        <f>IF(B240=0,VLOOKUP(A240,Feuil2!$A$2:$M$1241,7,FALSE)," ")</f>
        <v xml:space="preserve"> </v>
      </c>
      <c r="J240" s="1" t="str">
        <f>IF(B240=0,VLOOKUP(A240,Feuil2!$A$2:$M$1241,9,FALSE)," ")</f>
        <v xml:space="preserve"> </v>
      </c>
      <c r="K240" s="1" t="str">
        <f>IF(B240=0,VLOOKUP(A240,Feuil2!$A$2:$M$1241,10,FALSE)," ")</f>
        <v xml:space="preserve"> </v>
      </c>
      <c r="L240" s="1"/>
      <c r="M240" s="1"/>
      <c r="N240" s="1"/>
      <c r="O240" s="8" t="str">
        <f>IF(B240=0,VLOOKUP(A240,Feuil2!$A$2:$M$1241,13,FALSE)," ")</f>
        <v xml:space="preserve"> </v>
      </c>
    </row>
    <row r="241" spans="1:16" x14ac:dyDescent="0.3">
      <c r="A241" s="1">
        <v>1559</v>
      </c>
      <c r="B241" s="1">
        <v>3</v>
      </c>
      <c r="C241" s="1" t="s">
        <v>869</v>
      </c>
      <c r="D241" s="1" t="s">
        <v>230</v>
      </c>
      <c r="E241" s="5">
        <v>41091</v>
      </c>
      <c r="F241" s="1" t="s">
        <v>506</v>
      </c>
      <c r="G241" s="1" t="str">
        <f>IF(B241=0,VLOOKUP(A241,Feuil2!$A$2:$M$1241,11,FALSE)," ")</f>
        <v xml:space="preserve"> </v>
      </c>
      <c r="H241" s="1" t="s">
        <v>16</v>
      </c>
      <c r="I241" s="6" t="str">
        <f>IF(B241=0,VLOOKUP(A241,Feuil2!$A$2:$M$1241,7,FALSE)," ")</f>
        <v xml:space="preserve"> </v>
      </c>
      <c r="J241" s="1" t="str">
        <f>IF(B241=0,VLOOKUP(A241,Feuil2!$A$2:$M$1241,9,FALSE)," ")</f>
        <v xml:space="preserve"> </v>
      </c>
      <c r="K241" s="1" t="str">
        <f>IF(B241=0,VLOOKUP(A241,Feuil2!$A$2:$M$1241,10,FALSE)," ")</f>
        <v xml:space="preserve"> </v>
      </c>
      <c r="L241" s="1"/>
      <c r="M241" s="1"/>
      <c r="N241" s="1"/>
      <c r="O241" s="8" t="str">
        <f>IF(B241=0,VLOOKUP(A241,Feuil2!$A$2:$M$1241,13,FALSE)," ")</f>
        <v xml:space="preserve"> </v>
      </c>
    </row>
    <row r="242" spans="1:16" x14ac:dyDescent="0.3">
      <c r="A242" s="1">
        <v>1572</v>
      </c>
      <c r="B242" s="1">
        <v>0</v>
      </c>
      <c r="C242" s="1" t="str">
        <f>IF(B242=0,VLOOKUP(A242,Feuil2!$A$2:$M$1241,2,FALSE)," ")</f>
        <v>MIMOUNA</v>
      </c>
      <c r="D242" s="1" t="str">
        <f>IF(B242=0,VLOOKUP(A242,Feuil2!$A$2:$M$1241,3,FALSE)," ")</f>
        <v>MEHDI</v>
      </c>
      <c r="E242" s="5">
        <f>IF(B242=0,VLOOKUP(A242,Feuil2!$A$2:$M$1241,6,FALSE)," ")</f>
        <v>26781</v>
      </c>
      <c r="F242" s="1" t="str">
        <f>IF(B242=0,VLOOKUP(A242,Feuil2!$A$2:$M$1241,12,FALSE)," ")</f>
        <v>H</v>
      </c>
      <c r="G242" s="1" t="str">
        <f>IF(B242=0,VLOOKUP(A242,Feuil2!$A$2:$M$1241,11,FALSE)," ")</f>
        <v>M</v>
      </c>
      <c r="H242" s="1" t="s">
        <v>16</v>
      </c>
      <c r="I242" s="6">
        <f>IF(B242=0,VLOOKUP(A242,Feuil2!$A$2:$M$1241,7,FALSE)," ")</f>
        <v>5549827</v>
      </c>
      <c r="J242" s="1" t="str">
        <f>IF(B242=0,VLOOKUP(A242,Feuil2!$A$2:$M$1241,9,FALSE)," ")</f>
        <v>Rue Jammel</v>
      </c>
      <c r="K242" s="1" t="str">
        <f>IF(B242=0,VLOOKUP(A242,Feuil2!$A$2:$M$1241,10,FALSE)," ")</f>
        <v>Msaken 4070</v>
      </c>
      <c r="L242" s="1">
        <v>4070</v>
      </c>
      <c r="M242" s="1">
        <v>93854400</v>
      </c>
      <c r="N242" s="1"/>
      <c r="O242" s="8" t="str">
        <f>IF(B242=0,VLOOKUP(A242,Feuil2!$A$2:$M$1241,13,FALSE)," ")</f>
        <v>11020002157500878858</v>
      </c>
    </row>
    <row r="243" spans="1:16" x14ac:dyDescent="0.3">
      <c r="A243" s="1">
        <v>1572</v>
      </c>
      <c r="B243" s="1">
        <v>1</v>
      </c>
      <c r="C243" s="1" t="s">
        <v>2538</v>
      </c>
      <c r="D243" s="1" t="s">
        <v>2539</v>
      </c>
      <c r="E243" s="5">
        <v>28240</v>
      </c>
      <c r="F243" s="1" t="s">
        <v>17</v>
      </c>
      <c r="G243" s="1" t="s">
        <v>15</v>
      </c>
      <c r="H243" s="1" t="s">
        <v>16</v>
      </c>
      <c r="I243" s="6" t="str">
        <f>IF(B243=0,VLOOKUP(A243,Feuil2!$A$2:$M$1241,7,FALSE)," ")</f>
        <v xml:space="preserve"> </v>
      </c>
      <c r="J243" s="1" t="str">
        <f>IF(B243=0,VLOOKUP(A243,Feuil2!$A$2:$M$1241,9,FALSE)," ")</f>
        <v xml:space="preserve"> </v>
      </c>
      <c r="K243" s="1" t="str">
        <f>IF(B243=0,VLOOKUP(A243,Feuil2!$A$2:$M$1241,10,FALSE)," ")</f>
        <v xml:space="preserve"> </v>
      </c>
      <c r="L243" s="1"/>
      <c r="M243" s="1"/>
      <c r="N243" s="1"/>
      <c r="O243" s="8" t="str">
        <f>IF(B243=0,VLOOKUP(A243,Feuil2!$A$2:$M$1241,13,FALSE)," ")</f>
        <v xml:space="preserve"> </v>
      </c>
      <c r="P243" t="s">
        <v>2805</v>
      </c>
    </row>
    <row r="244" spans="1:16" x14ac:dyDescent="0.3">
      <c r="A244" s="1">
        <v>1572</v>
      </c>
      <c r="B244" s="1">
        <v>2</v>
      </c>
      <c r="C244" s="1" t="s">
        <v>376</v>
      </c>
      <c r="D244" s="1" t="s">
        <v>34</v>
      </c>
      <c r="E244" s="5">
        <v>40796</v>
      </c>
      <c r="F244" s="1" t="s">
        <v>506</v>
      </c>
      <c r="G244" s="1" t="str">
        <f>IF(B244=0,VLOOKUP(A244,Feuil2!$A$2:$M$1241,11,FALSE)," ")</f>
        <v xml:space="preserve"> </v>
      </c>
      <c r="H244" s="1" t="s">
        <v>16</v>
      </c>
      <c r="I244" s="6" t="str">
        <f>IF(B244=0,VLOOKUP(A244,Feuil2!$A$2:$M$1241,7,FALSE)," ")</f>
        <v xml:space="preserve"> </v>
      </c>
      <c r="J244" s="1" t="str">
        <f>IF(B244=0,VLOOKUP(A244,Feuil2!$A$2:$M$1241,9,FALSE)," ")</f>
        <v xml:space="preserve"> </v>
      </c>
      <c r="K244" s="1" t="str">
        <f>IF(B244=0,VLOOKUP(A244,Feuil2!$A$2:$M$1241,10,FALSE)," ")</f>
        <v xml:space="preserve"> </v>
      </c>
      <c r="L244" s="1"/>
      <c r="M244" s="1"/>
      <c r="N244" s="1"/>
      <c r="O244" s="8" t="str">
        <f>IF(B244=0,VLOOKUP(A244,Feuil2!$A$2:$M$1241,13,FALSE)," ")</f>
        <v xml:space="preserve"> </v>
      </c>
    </row>
    <row r="245" spans="1:16" x14ac:dyDescent="0.3">
      <c r="A245" s="1">
        <v>1572</v>
      </c>
      <c r="B245" s="1">
        <v>3</v>
      </c>
      <c r="C245" s="1" t="s">
        <v>376</v>
      </c>
      <c r="D245" s="1" t="s">
        <v>402</v>
      </c>
      <c r="E245" s="5">
        <v>41173</v>
      </c>
      <c r="F245" s="1" t="s">
        <v>17</v>
      </c>
      <c r="G245" s="1" t="str">
        <f>IF(B245=0,VLOOKUP(A245,Feuil2!$A$2:$M$1241,11,FALSE)," ")</f>
        <v xml:space="preserve"> </v>
      </c>
      <c r="H245" s="1" t="s">
        <v>16</v>
      </c>
      <c r="I245" s="6" t="str">
        <f>IF(B245=0,VLOOKUP(A245,Feuil2!$A$2:$M$1241,7,FALSE)," ")</f>
        <v xml:space="preserve"> </v>
      </c>
      <c r="J245" s="1" t="str">
        <f>IF(B245=0,VLOOKUP(A245,Feuil2!$A$2:$M$1241,9,FALSE)," ")</f>
        <v xml:space="preserve"> </v>
      </c>
      <c r="K245" s="1" t="str">
        <f>IF(B245=0,VLOOKUP(A245,Feuil2!$A$2:$M$1241,10,FALSE)," ")</f>
        <v xml:space="preserve"> </v>
      </c>
      <c r="L245" s="1"/>
      <c r="M245" s="1"/>
      <c r="N245" s="1"/>
      <c r="O245" s="8" t="str">
        <f>IF(B245=0,VLOOKUP(A245,Feuil2!$A$2:$M$1241,13,FALSE)," ")</f>
        <v xml:space="preserve"> </v>
      </c>
    </row>
    <row r="246" spans="1:16" x14ac:dyDescent="0.3">
      <c r="A246" s="1">
        <v>1573</v>
      </c>
      <c r="B246" s="1">
        <v>0</v>
      </c>
      <c r="C246" s="1" t="str">
        <f>IF(B246=0,VLOOKUP(A246,Feuil2!$A$2:$M$1241,2,FALSE)," ")</f>
        <v>SALLAH</v>
      </c>
      <c r="D246" s="1" t="str">
        <f>IF(B246=0,VLOOKUP(A246,Feuil2!$A$2:$M$1241,3,FALSE)," ")</f>
        <v>IMED</v>
      </c>
      <c r="E246" s="5">
        <f>IF(B246=0,VLOOKUP(A246,Feuil2!$A$2:$M$1241,6,FALSE)," ")</f>
        <v>26723</v>
      </c>
      <c r="F246" s="1" t="str">
        <f>IF(B246=0,VLOOKUP(A246,Feuil2!$A$2:$M$1241,12,FALSE)," ")</f>
        <v>H</v>
      </c>
      <c r="G246" s="1" t="str">
        <f>IF(B246=0,VLOOKUP(A246,Feuil2!$A$2:$M$1241,11,FALSE)," ")</f>
        <v>M</v>
      </c>
      <c r="H246" s="1" t="s">
        <v>16</v>
      </c>
      <c r="I246" s="6">
        <f>IF(B246=0,VLOOKUP(A246,Feuil2!$A$2:$M$1241,7,FALSE)," ")</f>
        <v>5525500</v>
      </c>
      <c r="J246" s="1" t="str">
        <f>IF(B246=0,VLOOKUP(A246,Feuil2!$A$2:$M$1241,9,FALSE)," ")</f>
        <v>4015 Borjine</v>
      </c>
      <c r="K246" s="1" t="str">
        <f>IF(B246=0,VLOOKUP(A246,Feuil2!$A$2:$M$1241,10,FALSE)," ")</f>
        <v>Borjine 4015</v>
      </c>
      <c r="L246" s="1">
        <v>4015</v>
      </c>
      <c r="M246" s="1">
        <v>96526210</v>
      </c>
      <c r="N246" s="1"/>
      <c r="O246" s="8" t="str">
        <f>IF(B246=0,VLOOKUP(A246,Feuil2!$A$2:$M$1241,13,FALSE)," ")</f>
        <v>04204067404000643163</v>
      </c>
    </row>
    <row r="247" spans="1:16" x14ac:dyDescent="0.3">
      <c r="A247" s="1">
        <v>1573</v>
      </c>
      <c r="B247" s="1">
        <v>1</v>
      </c>
      <c r="C247" s="1" t="s">
        <v>422</v>
      </c>
      <c r="D247" s="1" t="s">
        <v>2541</v>
      </c>
      <c r="E247" s="5">
        <v>29607</v>
      </c>
      <c r="F247" s="1" t="s">
        <v>17</v>
      </c>
      <c r="G247" s="1" t="s">
        <v>15</v>
      </c>
      <c r="H247" s="1" t="s">
        <v>16</v>
      </c>
      <c r="I247" s="6" t="str">
        <f>IF(B247=0,VLOOKUP(A247,Feuil2!$A$2:$M$1241,7,FALSE)," ")</f>
        <v xml:space="preserve"> </v>
      </c>
      <c r="J247" s="1" t="str">
        <f>IF(B247=0,VLOOKUP(A247,Feuil2!$A$2:$M$1241,9,FALSE)," ")</f>
        <v xml:space="preserve"> </v>
      </c>
      <c r="K247" s="1" t="str">
        <f>IF(B247=0,VLOOKUP(A247,Feuil2!$A$2:$M$1241,10,FALSE)," ")</f>
        <v xml:space="preserve"> </v>
      </c>
      <c r="L247" s="1"/>
      <c r="M247" s="1"/>
      <c r="N247" s="1"/>
      <c r="O247" s="8" t="str">
        <f>IF(B247=0,VLOOKUP(A247,Feuil2!$A$2:$M$1241,13,FALSE)," ")</f>
        <v xml:space="preserve"> </v>
      </c>
    </row>
    <row r="248" spans="1:16" x14ac:dyDescent="0.3">
      <c r="A248" s="1">
        <v>1573</v>
      </c>
      <c r="B248" s="1">
        <v>2</v>
      </c>
      <c r="C248" s="1" t="s">
        <v>422</v>
      </c>
      <c r="D248" s="1" t="s">
        <v>2475</v>
      </c>
      <c r="E248" s="5">
        <v>38183</v>
      </c>
      <c r="F248" s="1" t="s">
        <v>506</v>
      </c>
      <c r="G248" s="1" t="str">
        <f>IF(B248=0,VLOOKUP(A248,Feuil2!$A$2:$M$1241,11,FALSE)," ")</f>
        <v xml:space="preserve"> </v>
      </c>
      <c r="H248" s="1" t="s">
        <v>16</v>
      </c>
      <c r="I248" s="6" t="str">
        <f>IF(B248=0,VLOOKUP(A248,Feuil2!$A$2:$M$1241,7,FALSE)," ")</f>
        <v xml:space="preserve"> </v>
      </c>
      <c r="J248" s="1" t="str">
        <f>IF(B248=0,VLOOKUP(A248,Feuil2!$A$2:$M$1241,9,FALSE)," ")</f>
        <v xml:space="preserve"> </v>
      </c>
      <c r="K248" s="1" t="str">
        <f>IF(B248=0,VLOOKUP(A248,Feuil2!$A$2:$M$1241,10,FALSE)," ")</f>
        <v xml:space="preserve"> </v>
      </c>
      <c r="L248" s="1"/>
      <c r="M248" s="1"/>
      <c r="N248" s="1"/>
      <c r="O248" s="8" t="str">
        <f>IF(B248=0,VLOOKUP(A248,Feuil2!$A$2:$M$1241,13,FALSE)," ")</f>
        <v xml:space="preserve"> </v>
      </c>
    </row>
    <row r="249" spans="1:16" x14ac:dyDescent="0.3">
      <c r="A249" s="1">
        <v>1573</v>
      </c>
      <c r="B249" s="1">
        <v>3</v>
      </c>
      <c r="C249" s="1" t="s">
        <v>422</v>
      </c>
      <c r="D249" s="1" t="s">
        <v>287</v>
      </c>
      <c r="E249" s="5">
        <v>38623</v>
      </c>
      <c r="F249" s="1" t="s">
        <v>506</v>
      </c>
      <c r="G249" s="1" t="str">
        <f>IF(B249=0,VLOOKUP(A249,Feuil2!$A$2:$M$1241,11,FALSE)," ")</f>
        <v xml:space="preserve"> </v>
      </c>
      <c r="H249" s="1" t="s">
        <v>16</v>
      </c>
      <c r="I249" s="6" t="str">
        <f>IF(B249=0,VLOOKUP(A249,Feuil2!$A$2:$M$1241,7,FALSE)," ")</f>
        <v xml:space="preserve"> </v>
      </c>
      <c r="J249" s="1" t="str">
        <f>IF(B249=0,VLOOKUP(A249,Feuil2!$A$2:$M$1241,9,FALSE)," ")</f>
        <v xml:space="preserve"> </v>
      </c>
      <c r="K249" s="1" t="str">
        <f>IF(B249=0,VLOOKUP(A249,Feuil2!$A$2:$M$1241,10,FALSE)," ")</f>
        <v xml:space="preserve"> </v>
      </c>
      <c r="L249" s="1"/>
      <c r="M249" s="1"/>
      <c r="N249" s="1"/>
      <c r="O249" s="8" t="str">
        <f>IF(B249=0,VLOOKUP(A249,Feuil2!$A$2:$M$1241,13,FALSE)," ")</f>
        <v xml:space="preserve"> </v>
      </c>
    </row>
    <row r="250" spans="1:16" x14ac:dyDescent="0.3">
      <c r="A250" s="1">
        <v>1573</v>
      </c>
      <c r="B250" s="1">
        <v>4</v>
      </c>
      <c r="C250" s="1" t="s">
        <v>422</v>
      </c>
      <c r="D250" s="1" t="s">
        <v>2503</v>
      </c>
      <c r="E250" s="5">
        <v>39312</v>
      </c>
      <c r="F250" s="1" t="s">
        <v>506</v>
      </c>
      <c r="G250" s="1" t="str">
        <f>IF(B250=0,VLOOKUP(A250,Feuil2!$A$2:$M$1241,11,FALSE)," ")</f>
        <v xml:space="preserve"> </v>
      </c>
      <c r="H250" s="1" t="s">
        <v>16</v>
      </c>
      <c r="I250" s="6" t="str">
        <f>IF(B250=0,VLOOKUP(A250,Feuil2!$A$2:$M$1241,7,FALSE)," ")</f>
        <v xml:space="preserve"> </v>
      </c>
      <c r="J250" s="1" t="str">
        <f>IF(B250=0,VLOOKUP(A250,Feuil2!$A$2:$M$1241,9,FALSE)," ")</f>
        <v xml:space="preserve"> </v>
      </c>
      <c r="K250" s="1" t="str">
        <f>IF(B250=0,VLOOKUP(A250,Feuil2!$A$2:$M$1241,10,FALSE)," ")</f>
        <v xml:space="preserve"> </v>
      </c>
      <c r="L250" s="1"/>
      <c r="M250" s="1"/>
      <c r="N250" s="1"/>
      <c r="O250" s="8" t="str">
        <f>IF(B250=0,VLOOKUP(A250,Feuil2!$A$2:$M$1241,13,FALSE)," ")</f>
        <v xml:space="preserve"> </v>
      </c>
    </row>
    <row r="251" spans="1:16" x14ac:dyDescent="0.3">
      <c r="A251" s="1">
        <v>1591</v>
      </c>
      <c r="B251" s="1">
        <v>0</v>
      </c>
      <c r="C251" s="1" t="str">
        <f>IF(B251=0,VLOOKUP(A251,Feuil2!$A$2:$M$1241,2,FALSE)," ")</f>
        <v>BDAY</v>
      </c>
      <c r="D251" s="1" t="str">
        <f>IF(B251=0,VLOOKUP(A251,Feuil2!$A$2:$M$1241,3,FALSE)," ")</f>
        <v>KARIM</v>
      </c>
      <c r="E251" s="5">
        <f>IF(B251=0,VLOOKUP(A251,Feuil2!$A$2:$M$1241,6,FALSE)," ")</f>
        <v>26304</v>
      </c>
      <c r="F251" s="1" t="str">
        <f>IF(B251=0,VLOOKUP(A251,Feuil2!$A$2:$M$1241,12,FALSE)," ")</f>
        <v>H</v>
      </c>
      <c r="G251" s="1" t="str">
        <f>IF(B251=0,VLOOKUP(A251,Feuil2!$A$2:$M$1241,11,FALSE)," ")</f>
        <v>M</v>
      </c>
      <c r="H251" s="1" t="s">
        <v>16</v>
      </c>
      <c r="I251" s="6">
        <f>IF(B251=0,VLOOKUP(A251,Feuil2!$A$2:$M$1241,7,FALSE)," ")</f>
        <v>5524655</v>
      </c>
      <c r="J251" s="1" t="str">
        <f>IF(B251=0,VLOOKUP(A251,Feuil2!$A$2:$M$1241,9,FALSE)," ")</f>
        <v>75 Rue Rekeb</v>
      </c>
      <c r="K251" s="1" t="str">
        <f>IF(B251=0,VLOOKUP(A251,Feuil2!$A$2:$M$1241,10,FALSE)," ")</f>
        <v>Msaken 4070</v>
      </c>
      <c r="L251" s="1">
        <v>4070</v>
      </c>
      <c r="M251" s="1">
        <v>43303491</v>
      </c>
      <c r="N251" s="1"/>
      <c r="O251" s="8" t="str">
        <f>IF(B251=0,VLOOKUP(A251,Feuil2!$A$2:$M$1241,13,FALSE)," ")</f>
        <v>04204067000891208176</v>
      </c>
    </row>
    <row r="252" spans="1:16" x14ac:dyDescent="0.3">
      <c r="A252" s="1">
        <v>1591</v>
      </c>
      <c r="B252" s="1">
        <v>1</v>
      </c>
      <c r="C252" s="1" t="s">
        <v>2426</v>
      </c>
      <c r="D252" s="1" t="s">
        <v>2175</v>
      </c>
      <c r="E252" s="5">
        <v>27837</v>
      </c>
      <c r="F252" s="1" t="s">
        <v>17</v>
      </c>
      <c r="G252" s="1" t="s">
        <v>15</v>
      </c>
      <c r="H252" s="1" t="s">
        <v>16</v>
      </c>
      <c r="I252" s="6" t="str">
        <f>IF(B252=0,VLOOKUP(A252,Feuil2!$A$2:$M$1241,7,FALSE)," ")</f>
        <v xml:space="preserve"> </v>
      </c>
      <c r="J252" s="1" t="str">
        <f>IF(B252=0,VLOOKUP(A252,Feuil2!$A$2:$M$1241,9,FALSE)," ")</f>
        <v xml:space="preserve"> </v>
      </c>
      <c r="K252" s="1" t="str">
        <f>IF(B252=0,VLOOKUP(A252,Feuil2!$A$2:$M$1241,10,FALSE)," ")</f>
        <v xml:space="preserve"> </v>
      </c>
      <c r="L252" s="1"/>
      <c r="M252" s="1"/>
      <c r="N252" s="1"/>
      <c r="O252" s="8" t="str">
        <f>IF(B252=0,VLOOKUP(A252,Feuil2!$A$2:$M$1241,13,FALSE)," ")</f>
        <v xml:space="preserve"> </v>
      </c>
    </row>
    <row r="253" spans="1:16" x14ac:dyDescent="0.3">
      <c r="A253" s="1">
        <v>1591</v>
      </c>
      <c r="B253" s="1">
        <v>2</v>
      </c>
      <c r="C253" s="1" t="s">
        <v>252</v>
      </c>
      <c r="D253" s="1" t="s">
        <v>2427</v>
      </c>
      <c r="E253" s="5">
        <v>37249</v>
      </c>
      <c r="F253" s="1" t="s">
        <v>17</v>
      </c>
      <c r="G253" s="1" t="str">
        <f>IF(B253=0,VLOOKUP(A253,Feuil2!$A$2:$M$1241,11,FALSE)," ")</f>
        <v xml:space="preserve"> </v>
      </c>
      <c r="H253" s="1" t="s">
        <v>16</v>
      </c>
      <c r="I253" s="6" t="str">
        <f>IF(B253=0,VLOOKUP(A253,Feuil2!$A$2:$M$1241,7,FALSE)," ")</f>
        <v xml:space="preserve"> </v>
      </c>
      <c r="J253" s="1" t="str">
        <f>IF(B253=0,VLOOKUP(A253,Feuil2!$A$2:$M$1241,9,FALSE)," ")</f>
        <v xml:space="preserve"> </v>
      </c>
      <c r="K253" s="1" t="str">
        <f>IF(B253=0,VLOOKUP(A253,Feuil2!$A$2:$M$1241,10,FALSE)," ")</f>
        <v xml:space="preserve"> </v>
      </c>
      <c r="L253" s="1"/>
      <c r="M253" s="1"/>
      <c r="N253" s="1"/>
      <c r="O253" s="8" t="str">
        <f>IF(B253=0,VLOOKUP(A253,Feuil2!$A$2:$M$1241,13,FALSE)," ")</f>
        <v xml:space="preserve"> </v>
      </c>
    </row>
    <row r="254" spans="1:16" x14ac:dyDescent="0.3">
      <c r="A254" s="1">
        <v>1591</v>
      </c>
      <c r="B254" s="1">
        <v>3</v>
      </c>
      <c r="C254" s="1" t="s">
        <v>252</v>
      </c>
      <c r="D254" s="1" t="s">
        <v>2383</v>
      </c>
      <c r="E254" s="5">
        <v>37592</v>
      </c>
      <c r="F254" s="1" t="s">
        <v>17</v>
      </c>
      <c r="G254" s="1" t="str">
        <f>IF(B254=0,VLOOKUP(A254,Feuil2!$A$2:$M$1241,11,FALSE)," ")</f>
        <v xml:space="preserve"> </v>
      </c>
      <c r="H254" s="1" t="s">
        <v>16</v>
      </c>
      <c r="I254" s="6" t="str">
        <f>IF(B254=0,VLOOKUP(A254,Feuil2!$A$2:$M$1241,7,FALSE)," ")</f>
        <v xml:space="preserve"> </v>
      </c>
      <c r="J254" s="1" t="str">
        <f>IF(B254=0,VLOOKUP(A254,Feuil2!$A$2:$M$1241,9,FALSE)," ")</f>
        <v xml:space="preserve"> </v>
      </c>
      <c r="K254" s="1" t="str">
        <f>IF(B254=0,VLOOKUP(A254,Feuil2!$A$2:$M$1241,10,FALSE)," ")</f>
        <v xml:space="preserve"> </v>
      </c>
      <c r="L254" s="1"/>
      <c r="M254" s="1"/>
      <c r="N254" s="1"/>
      <c r="O254" s="8" t="str">
        <f>IF(B254=0,VLOOKUP(A254,Feuil2!$A$2:$M$1241,13,FALSE)," ")</f>
        <v xml:space="preserve"> </v>
      </c>
    </row>
    <row r="255" spans="1:16" x14ac:dyDescent="0.3">
      <c r="A255" s="1">
        <v>1591</v>
      </c>
      <c r="B255" s="1">
        <v>4</v>
      </c>
      <c r="C255" s="1" t="s">
        <v>252</v>
      </c>
      <c r="D255" s="1" t="s">
        <v>402</v>
      </c>
      <c r="E255" s="5">
        <v>40103</v>
      </c>
      <c r="F255" s="1" t="s">
        <v>17</v>
      </c>
      <c r="G255" s="1" t="str">
        <f>IF(B255=0,VLOOKUP(A255,Feuil2!$A$2:$M$1241,11,FALSE)," ")</f>
        <v xml:space="preserve"> </v>
      </c>
      <c r="H255" s="1" t="s">
        <v>16</v>
      </c>
      <c r="I255" s="6" t="str">
        <f>IF(B255=0,VLOOKUP(A255,Feuil2!$A$2:$M$1241,7,FALSE)," ")</f>
        <v xml:space="preserve"> </v>
      </c>
      <c r="J255" s="1" t="str">
        <f>IF(B255=0,VLOOKUP(A255,Feuil2!$A$2:$M$1241,9,FALSE)," ")</f>
        <v xml:space="preserve"> </v>
      </c>
      <c r="K255" s="1" t="str">
        <f>IF(B255=0,VLOOKUP(A255,Feuil2!$A$2:$M$1241,10,FALSE)," ")</f>
        <v xml:space="preserve"> </v>
      </c>
      <c r="L255" s="1"/>
      <c r="M255" s="1"/>
      <c r="N255" s="1"/>
      <c r="O255" s="8" t="str">
        <f>IF(B255=0,VLOOKUP(A255,Feuil2!$A$2:$M$1241,13,FALSE)," ")</f>
        <v xml:space="preserve"> </v>
      </c>
    </row>
    <row r="256" spans="1:16" x14ac:dyDescent="0.3">
      <c r="A256" s="1">
        <v>1591</v>
      </c>
      <c r="B256" s="1">
        <v>5</v>
      </c>
      <c r="C256" s="1" t="s">
        <v>252</v>
      </c>
      <c r="D256" s="1" t="s">
        <v>2428</v>
      </c>
      <c r="E256" s="5">
        <v>42014</v>
      </c>
      <c r="F256" s="1" t="s">
        <v>506</v>
      </c>
      <c r="G256" s="1" t="str">
        <f>IF(B256=0,VLOOKUP(A256,Feuil2!$A$2:$M$1241,11,FALSE)," ")</f>
        <v xml:space="preserve"> </v>
      </c>
      <c r="H256" s="1" t="s">
        <v>16</v>
      </c>
      <c r="I256" s="6" t="str">
        <f>IF(B256=0,VLOOKUP(A256,Feuil2!$A$2:$M$1241,7,FALSE)," ")</f>
        <v xml:space="preserve"> </v>
      </c>
      <c r="J256" s="1" t="str">
        <f>IF(B256=0,VLOOKUP(A256,Feuil2!$A$2:$M$1241,9,FALSE)," ")</f>
        <v xml:space="preserve"> </v>
      </c>
      <c r="K256" s="1" t="str">
        <f>IF(B256=0,VLOOKUP(A256,Feuil2!$A$2:$M$1241,10,FALSE)," ")</f>
        <v xml:space="preserve"> </v>
      </c>
      <c r="L256" s="1"/>
      <c r="M256" s="1"/>
      <c r="N256" s="1"/>
      <c r="O256" s="8" t="str">
        <f>IF(B256=0,VLOOKUP(A256,Feuil2!$A$2:$M$1241,13,FALSE)," ")</f>
        <v xml:space="preserve"> </v>
      </c>
    </row>
    <row r="257" spans="1:15" x14ac:dyDescent="0.3">
      <c r="A257" s="1">
        <v>1594</v>
      </c>
      <c r="B257" s="1">
        <v>0</v>
      </c>
      <c r="C257" s="1" t="str">
        <f>IF(B257=0,VLOOKUP(A257,Feuil2!$A$2:$M$1241,2,FALSE)," ")</f>
        <v>MKHININI</v>
      </c>
      <c r="D257" s="1" t="str">
        <f>IF(B257=0,VLOOKUP(A257,Feuil2!$A$2:$M$1241,3,FALSE)," ")</f>
        <v>HABIB</v>
      </c>
      <c r="E257" s="5">
        <f>IF(B257=0,VLOOKUP(A257,Feuil2!$A$2:$M$1241,6,FALSE)," ")</f>
        <v>26710</v>
      </c>
      <c r="F257" s="1" t="str">
        <f>IF(B257=0,VLOOKUP(A257,Feuil2!$A$2:$M$1241,12,FALSE)," ")</f>
        <v>H</v>
      </c>
      <c r="G257" s="1" t="str">
        <f>IF(B257=0,VLOOKUP(A257,Feuil2!$A$2:$M$1241,11,FALSE)," ")</f>
        <v>M</v>
      </c>
      <c r="H257" s="1" t="s">
        <v>16</v>
      </c>
      <c r="I257" s="6">
        <f>IF(B257=0,VLOOKUP(A257,Feuil2!$A$2:$M$1241,7,FALSE)," ")</f>
        <v>5526377</v>
      </c>
      <c r="J257" s="1" t="str">
        <f>IF(B257=0,VLOOKUP(A257,Feuil2!$A$2:$M$1241,9,FALSE)," ")</f>
        <v>21 Rue Salah Gragueb</v>
      </c>
      <c r="K257" s="1" t="str">
        <f>IF(B257=0,VLOOKUP(A257,Feuil2!$A$2:$M$1241,10,FALSE)," ")</f>
        <v>Msaken 4070</v>
      </c>
      <c r="L257" s="1">
        <v>4070</v>
      </c>
      <c r="M257" s="1">
        <v>26509795</v>
      </c>
      <c r="N257" s="1"/>
      <c r="O257" s="8" t="str">
        <f>IF(B257=0,VLOOKUP(A257,Feuil2!$A$2:$M$1241,13,FALSE)," ")</f>
        <v>04204067002718254295</v>
      </c>
    </row>
    <row r="258" spans="1:15" x14ac:dyDescent="0.3">
      <c r="A258" s="1">
        <v>1594</v>
      </c>
      <c r="B258" s="1">
        <v>1</v>
      </c>
      <c r="C258" s="1" t="s">
        <v>2471</v>
      </c>
      <c r="D258" s="1" t="s">
        <v>2175</v>
      </c>
      <c r="E258" s="5">
        <v>27108</v>
      </c>
      <c r="F258" s="1" t="s">
        <v>17</v>
      </c>
      <c r="G258" s="1" t="s">
        <v>15</v>
      </c>
      <c r="H258" s="1" t="s">
        <v>16</v>
      </c>
      <c r="I258" s="6" t="str">
        <f>IF(B258=0,VLOOKUP(A258,Feuil2!$A$2:$M$1241,7,FALSE)," ")</f>
        <v xml:space="preserve"> </v>
      </c>
      <c r="J258" s="1" t="str">
        <f>IF(B258=0,VLOOKUP(A258,Feuil2!$A$2:$M$1241,9,FALSE)," ")</f>
        <v xml:space="preserve"> </v>
      </c>
      <c r="K258" s="1" t="str">
        <f>IF(B258=0,VLOOKUP(A258,Feuil2!$A$2:$M$1241,10,FALSE)," ")</f>
        <v xml:space="preserve"> </v>
      </c>
      <c r="L258" s="1"/>
      <c r="M258" s="1"/>
      <c r="N258" s="1"/>
      <c r="O258" s="8" t="str">
        <f>IF(B258=0,VLOOKUP(A258,Feuil2!$A$2:$M$1241,13,FALSE)," ")</f>
        <v xml:space="preserve"> </v>
      </c>
    </row>
    <row r="259" spans="1:15" x14ac:dyDescent="0.3">
      <c r="A259" s="1">
        <v>1597</v>
      </c>
      <c r="B259" s="1">
        <v>0</v>
      </c>
      <c r="C259" s="1" t="str">
        <f>IF(B259=0,VLOOKUP(A259,Feuil2!$A$2:$M$1241,2,FALSE)," ")</f>
        <v>AMARA</v>
      </c>
      <c r="D259" s="1" t="str">
        <f>IF(B259=0,VLOOKUP(A259,Feuil2!$A$2:$M$1241,3,FALSE)," ")</f>
        <v>KARIM</v>
      </c>
      <c r="E259" s="5">
        <f>IF(B259=0,VLOOKUP(A259,Feuil2!$A$2:$M$1241,6,FALSE)," ")</f>
        <v>27398</v>
      </c>
      <c r="F259" s="1" t="str">
        <f>IF(B259=0,VLOOKUP(A259,Feuil2!$A$2:$M$1241,12,FALSE)," ")</f>
        <v>H</v>
      </c>
      <c r="G259" s="1" t="str">
        <f>IF(B259=0,VLOOKUP(A259,Feuil2!$A$2:$M$1241,11,FALSE)," ")</f>
        <v>M</v>
      </c>
      <c r="H259" s="1" t="s">
        <v>16</v>
      </c>
      <c r="I259" s="6">
        <f>IF(B259=0,VLOOKUP(A259,Feuil2!$A$2:$M$1241,7,FALSE)," ")</f>
        <v>5541522</v>
      </c>
      <c r="J259" s="1" t="str">
        <f>IF(B259=0,VLOOKUP(A259,Feuil2!$A$2:$M$1241,9,FALSE)," ")</f>
        <v>156 Rue Mohamed Ali</v>
      </c>
      <c r="K259" s="1" t="str">
        <f>IF(B259=0,VLOOKUP(A259,Feuil2!$A$2:$M$1241,10,FALSE)," ")</f>
        <v>Msaken 4070</v>
      </c>
      <c r="L259" s="1">
        <v>4070</v>
      </c>
      <c r="M259" s="1">
        <v>98483017</v>
      </c>
      <c r="N259" s="1"/>
      <c r="O259" s="10" t="s">
        <v>2359</v>
      </c>
    </row>
    <row r="260" spans="1:15" x14ac:dyDescent="0.3">
      <c r="A260" s="1">
        <v>1597</v>
      </c>
      <c r="B260" s="1">
        <v>1</v>
      </c>
      <c r="C260" s="1" t="s">
        <v>268</v>
      </c>
      <c r="D260" s="1" t="s">
        <v>439</v>
      </c>
      <c r="E260" s="5">
        <v>32073</v>
      </c>
      <c r="F260" s="1" t="s">
        <v>17</v>
      </c>
      <c r="G260" s="1" t="s">
        <v>15</v>
      </c>
      <c r="H260" s="1" t="s">
        <v>16</v>
      </c>
      <c r="I260" s="6" t="str">
        <f>IF(B260=0,VLOOKUP(A260,Feuil2!$A$2:$M$1241,7,FALSE)," ")</f>
        <v xml:space="preserve"> </v>
      </c>
      <c r="J260" s="1" t="str">
        <f>IF(B260=0,VLOOKUP(A260,Feuil2!$A$2:$M$1241,9,FALSE)," ")</f>
        <v xml:space="preserve"> </v>
      </c>
      <c r="K260" s="1" t="str">
        <f>IF(B260=0,VLOOKUP(A260,Feuil2!$A$2:$M$1241,10,FALSE)," ")</f>
        <v xml:space="preserve"> </v>
      </c>
      <c r="L260" s="1"/>
      <c r="M260" s="1"/>
      <c r="N260" s="1"/>
      <c r="O260" s="8" t="str">
        <f>IF(B260=0,VLOOKUP(A260,Feuil2!$A$2:$M$1241,13,FALSE)," ")</f>
        <v xml:space="preserve"> </v>
      </c>
    </row>
    <row r="261" spans="1:15" x14ac:dyDescent="0.3">
      <c r="A261" s="1">
        <v>1597</v>
      </c>
      <c r="B261" s="1">
        <v>2</v>
      </c>
      <c r="C261" s="1" t="s">
        <v>163</v>
      </c>
      <c r="D261" s="1" t="s">
        <v>235</v>
      </c>
      <c r="E261" s="5">
        <v>38878</v>
      </c>
      <c r="F261" s="1" t="s">
        <v>506</v>
      </c>
      <c r="G261" s="1" t="str">
        <f>IF(B261=0,VLOOKUP(A261,Feuil2!$A$2:$M$1241,11,FALSE)," ")</f>
        <v xml:space="preserve"> </v>
      </c>
      <c r="H261" s="1" t="s">
        <v>16</v>
      </c>
      <c r="I261" s="6" t="str">
        <f>IF(B261=0,VLOOKUP(A261,Feuil2!$A$2:$M$1241,7,FALSE)," ")</f>
        <v xml:space="preserve"> </v>
      </c>
      <c r="J261" s="1" t="str">
        <f>IF(B261=0,VLOOKUP(A261,Feuil2!$A$2:$M$1241,9,FALSE)," ")</f>
        <v xml:space="preserve"> </v>
      </c>
      <c r="K261" s="1" t="str">
        <f>IF(B261=0,VLOOKUP(A261,Feuil2!$A$2:$M$1241,10,FALSE)," ")</f>
        <v xml:space="preserve"> </v>
      </c>
      <c r="L261" s="1"/>
      <c r="M261" s="1"/>
      <c r="N261" s="1"/>
      <c r="O261" s="8" t="str">
        <f>IF(B261=0,VLOOKUP(A261,Feuil2!$A$2:$M$1241,13,FALSE)," ")</f>
        <v xml:space="preserve"> </v>
      </c>
    </row>
    <row r="262" spans="1:15" x14ac:dyDescent="0.3">
      <c r="A262" s="1">
        <v>1597</v>
      </c>
      <c r="B262" s="1">
        <v>3</v>
      </c>
      <c r="C262" s="1" t="s">
        <v>163</v>
      </c>
      <c r="D262" s="1" t="s">
        <v>122</v>
      </c>
      <c r="E262" s="5">
        <v>39861</v>
      </c>
      <c r="F262" s="1" t="s">
        <v>506</v>
      </c>
      <c r="G262" s="1" t="str">
        <f>IF(B262=0,VLOOKUP(A262,Feuil2!$A$2:$M$1241,11,FALSE)," ")</f>
        <v xml:space="preserve"> </v>
      </c>
      <c r="H262" s="1" t="s">
        <v>16</v>
      </c>
      <c r="I262" s="6" t="str">
        <f>IF(B262=0,VLOOKUP(A262,Feuil2!$A$2:$M$1241,7,FALSE)," ")</f>
        <v xml:space="preserve"> </v>
      </c>
      <c r="J262" s="1" t="str">
        <f>IF(B262=0,VLOOKUP(A262,Feuil2!$A$2:$M$1241,9,FALSE)," ")</f>
        <v xml:space="preserve"> </v>
      </c>
      <c r="K262" s="1" t="str">
        <f>IF(B262=0,VLOOKUP(A262,Feuil2!$A$2:$M$1241,10,FALSE)," ")</f>
        <v xml:space="preserve"> </v>
      </c>
      <c r="L262" s="1"/>
      <c r="M262" s="1"/>
      <c r="N262" s="1"/>
      <c r="O262" s="8" t="str">
        <f>IF(B262=0,VLOOKUP(A262,Feuil2!$A$2:$M$1241,13,FALSE)," ")</f>
        <v xml:space="preserve"> </v>
      </c>
    </row>
    <row r="263" spans="1:15" x14ac:dyDescent="0.3">
      <c r="A263" s="1">
        <v>1597</v>
      </c>
      <c r="B263" s="1">
        <v>4</v>
      </c>
      <c r="C263" s="1" t="s">
        <v>163</v>
      </c>
      <c r="D263" s="1" t="s">
        <v>2338</v>
      </c>
      <c r="E263" s="5">
        <v>41123</v>
      </c>
      <c r="F263" s="1" t="s">
        <v>17</v>
      </c>
      <c r="G263" s="1" t="str">
        <f>IF(B263=0,VLOOKUP(A263,Feuil2!$A$2:$M$1241,11,FALSE)," ")</f>
        <v xml:space="preserve"> </v>
      </c>
      <c r="H263" s="1" t="s">
        <v>16</v>
      </c>
      <c r="I263" s="6" t="str">
        <f>IF(B263=0,VLOOKUP(A263,Feuil2!$A$2:$M$1241,7,FALSE)," ")</f>
        <v xml:space="preserve"> </v>
      </c>
      <c r="J263" s="1" t="str">
        <f>IF(B263=0,VLOOKUP(A263,Feuil2!$A$2:$M$1241,9,FALSE)," ")</f>
        <v xml:space="preserve"> </v>
      </c>
      <c r="K263" s="1" t="str">
        <f>IF(B263=0,VLOOKUP(A263,Feuil2!$A$2:$M$1241,10,FALSE)," ")</f>
        <v xml:space="preserve"> </v>
      </c>
      <c r="L263" s="1"/>
      <c r="M263" s="1"/>
      <c r="N263" s="1"/>
      <c r="O263" s="8" t="str">
        <f>IF(B263=0,VLOOKUP(A263,Feuil2!$A$2:$M$1241,13,FALSE)," ")</f>
        <v xml:space="preserve"> </v>
      </c>
    </row>
    <row r="264" spans="1:15" x14ac:dyDescent="0.3">
      <c r="A264" s="1">
        <v>1597</v>
      </c>
      <c r="B264" s="1">
        <v>5</v>
      </c>
      <c r="C264" s="1" t="s">
        <v>163</v>
      </c>
      <c r="D264" s="1" t="s">
        <v>2358</v>
      </c>
      <c r="E264" s="5">
        <v>42901</v>
      </c>
      <c r="F264" s="1" t="s">
        <v>17</v>
      </c>
      <c r="G264" s="1" t="str">
        <f>IF(B264=0,VLOOKUP(A264,Feuil2!$A$2:$M$1241,11,FALSE)," ")</f>
        <v xml:space="preserve"> </v>
      </c>
      <c r="H264" s="1" t="s">
        <v>16</v>
      </c>
      <c r="I264" s="6" t="str">
        <f>IF(B264=0,VLOOKUP(A264,Feuil2!$A$2:$M$1241,7,FALSE)," ")</f>
        <v xml:space="preserve"> </v>
      </c>
      <c r="J264" s="1" t="str">
        <f>IF(B264=0,VLOOKUP(A264,Feuil2!$A$2:$M$1241,9,FALSE)," ")</f>
        <v xml:space="preserve"> </v>
      </c>
      <c r="K264" s="1" t="str">
        <f>IF(B264=0,VLOOKUP(A264,Feuil2!$A$2:$M$1241,10,FALSE)," ")</f>
        <v xml:space="preserve"> </v>
      </c>
      <c r="L264" s="1"/>
      <c r="M264" s="1"/>
      <c r="N264" s="1"/>
      <c r="O264" s="8" t="str">
        <f>IF(B264=0,VLOOKUP(A264,Feuil2!$A$2:$M$1241,13,FALSE)," ")</f>
        <v xml:space="preserve"> </v>
      </c>
    </row>
    <row r="265" spans="1:15" x14ac:dyDescent="0.3">
      <c r="A265" s="1">
        <v>1598</v>
      </c>
      <c r="B265" s="1">
        <v>0</v>
      </c>
      <c r="C265" s="1" t="str">
        <f>IF(B265=0,VLOOKUP(A265,Feuil2!$A$2:$M$1241,2,FALSE)," ")</f>
        <v>SOUILEM</v>
      </c>
      <c r="D265" s="1" t="str">
        <f>IF(B265=0,VLOOKUP(A265,Feuil2!$A$2:$M$1241,3,FALSE)," ")</f>
        <v>FAKER</v>
      </c>
      <c r="E265" s="5">
        <f>IF(B265=0,VLOOKUP(A265,Feuil2!$A$2:$M$1241,6,FALSE)," ")</f>
        <v>26314</v>
      </c>
      <c r="F265" s="1" t="str">
        <f>IF(B265=0,VLOOKUP(A265,Feuil2!$A$2:$M$1241,12,FALSE)," ")</f>
        <v>H</v>
      </c>
      <c r="G265" s="1" t="str">
        <f>IF(B265=0,VLOOKUP(A265,Feuil2!$A$2:$M$1241,11,FALSE)," ")</f>
        <v>M</v>
      </c>
      <c r="H265" s="1" t="s">
        <v>16</v>
      </c>
      <c r="I265" s="6">
        <f>IF(B265=0,VLOOKUP(A265,Feuil2!$A$2:$M$1241,7,FALSE)," ")</f>
        <v>5514480</v>
      </c>
      <c r="J265" s="1" t="str">
        <f>IF(B265=0,VLOOKUP(A265,Feuil2!$A$2:$M$1241,9,FALSE)," ")</f>
        <v>Rue 20 Mars</v>
      </c>
      <c r="K265" s="1" t="str">
        <f>IF(B265=0,VLOOKUP(A265,Feuil2!$A$2:$M$1241,10,FALSE)," ")</f>
        <v>Kalaa Kebira</v>
      </c>
      <c r="L265" s="1"/>
      <c r="M265" s="1">
        <v>98793672</v>
      </c>
      <c r="N265" s="1"/>
      <c r="O265" s="8" t="str">
        <f>IF(B265=0,VLOOKUP(A265,Feuil2!$A$2:$M$1241,13,FALSE)," ")</f>
        <v>05015000086501197090</v>
      </c>
    </row>
    <row r="266" spans="1:15" x14ac:dyDescent="0.3">
      <c r="A266" s="1">
        <v>1598</v>
      </c>
      <c r="B266" s="1">
        <v>1</v>
      </c>
      <c r="C266" s="1" t="s">
        <v>2433</v>
      </c>
      <c r="D266" s="1" t="s">
        <v>1301</v>
      </c>
      <c r="E266" s="5">
        <v>27139</v>
      </c>
      <c r="F266" s="1" t="s">
        <v>17</v>
      </c>
      <c r="G266" s="1" t="s">
        <v>15</v>
      </c>
      <c r="H266" s="1" t="s">
        <v>16</v>
      </c>
      <c r="I266" s="6" t="str">
        <f>IF(B266=0,VLOOKUP(A266,Feuil2!$A$2:$M$1241,7,FALSE)," ")</f>
        <v xml:space="preserve"> </v>
      </c>
      <c r="J266" s="1" t="str">
        <f>IF(B266=0,VLOOKUP(A266,Feuil2!$A$2:$M$1241,9,FALSE)," ")</f>
        <v xml:space="preserve"> </v>
      </c>
      <c r="K266" s="1" t="str">
        <f>IF(B266=0,VLOOKUP(A266,Feuil2!$A$2:$M$1241,10,FALSE)," ")</f>
        <v xml:space="preserve"> </v>
      </c>
      <c r="L266" s="1"/>
      <c r="M266" s="1"/>
      <c r="N266" s="1"/>
      <c r="O266" s="8" t="str">
        <f>IF(B266=0,VLOOKUP(A266,Feuil2!$A$2:$M$1241,13,FALSE)," ")</f>
        <v xml:space="preserve"> </v>
      </c>
    </row>
    <row r="267" spans="1:15" x14ac:dyDescent="0.3">
      <c r="A267" s="1">
        <v>1598</v>
      </c>
      <c r="B267" s="1">
        <v>2</v>
      </c>
      <c r="C267" s="1" t="s">
        <v>253</v>
      </c>
      <c r="D267" s="1" t="s">
        <v>2335</v>
      </c>
      <c r="E267" s="5">
        <v>37703</v>
      </c>
      <c r="F267" s="1" t="s">
        <v>506</v>
      </c>
      <c r="G267" s="1" t="str">
        <f>IF(B267=0,VLOOKUP(A267,Feuil2!$A$2:$M$1241,11,FALSE)," ")</f>
        <v xml:space="preserve"> </v>
      </c>
      <c r="H267" s="1" t="s">
        <v>16</v>
      </c>
      <c r="I267" s="6" t="str">
        <f>IF(B267=0,VLOOKUP(A267,Feuil2!$A$2:$M$1241,7,FALSE)," ")</f>
        <v xml:space="preserve"> </v>
      </c>
      <c r="J267" s="1" t="str">
        <f>IF(B267=0,VLOOKUP(A267,Feuil2!$A$2:$M$1241,9,FALSE)," ")</f>
        <v xml:space="preserve"> </v>
      </c>
      <c r="K267" s="1" t="str">
        <f>IF(B267=0,VLOOKUP(A267,Feuil2!$A$2:$M$1241,10,FALSE)," ")</f>
        <v xml:space="preserve"> </v>
      </c>
      <c r="L267" s="1"/>
      <c r="M267" s="1"/>
      <c r="N267" s="1"/>
      <c r="O267" s="8" t="str">
        <f>IF(B267=0,VLOOKUP(A267,Feuil2!$A$2:$M$1241,13,FALSE)," ")</f>
        <v xml:space="preserve"> </v>
      </c>
    </row>
    <row r="268" spans="1:15" x14ac:dyDescent="0.3">
      <c r="A268" s="1">
        <v>1598</v>
      </c>
      <c r="B268" s="1">
        <v>3</v>
      </c>
      <c r="C268" s="1" t="s">
        <v>253</v>
      </c>
      <c r="D268" s="1" t="s">
        <v>2434</v>
      </c>
      <c r="E268" s="5">
        <v>38715</v>
      </c>
      <c r="F268" s="1" t="s">
        <v>506</v>
      </c>
      <c r="G268" s="1" t="str">
        <f>IF(B268=0,VLOOKUP(A268,Feuil2!$A$2:$M$1241,11,FALSE)," ")</f>
        <v xml:space="preserve"> </v>
      </c>
      <c r="H268" s="1" t="s">
        <v>16</v>
      </c>
      <c r="I268" s="6" t="str">
        <f>IF(B268=0,VLOOKUP(A268,Feuil2!$A$2:$M$1241,7,FALSE)," ")</f>
        <v xml:space="preserve"> </v>
      </c>
      <c r="J268" s="1" t="str">
        <f>IF(B268=0,VLOOKUP(A268,Feuil2!$A$2:$M$1241,9,FALSE)," ")</f>
        <v xml:space="preserve"> </v>
      </c>
      <c r="K268" s="1" t="str">
        <f>IF(B268=0,VLOOKUP(A268,Feuil2!$A$2:$M$1241,10,FALSE)," ")</f>
        <v xml:space="preserve"> </v>
      </c>
      <c r="L268" s="1"/>
      <c r="M268" s="1"/>
      <c r="N268" s="1"/>
      <c r="O268" s="8" t="str">
        <f>IF(B268=0,VLOOKUP(A268,Feuil2!$A$2:$M$1241,13,FALSE)," ")</f>
        <v xml:space="preserve"> </v>
      </c>
    </row>
    <row r="269" spans="1:15" x14ac:dyDescent="0.3">
      <c r="A269" s="1">
        <v>1598</v>
      </c>
      <c r="B269" s="1">
        <v>4</v>
      </c>
      <c r="C269" s="1" t="s">
        <v>253</v>
      </c>
      <c r="D269" s="1" t="s">
        <v>2060</v>
      </c>
      <c r="E269" s="5">
        <v>39694</v>
      </c>
      <c r="F269" s="1" t="s">
        <v>17</v>
      </c>
      <c r="G269" s="1" t="str">
        <f>IF(B269=0,VLOOKUP(A269,Feuil2!$A$2:$M$1241,11,FALSE)," ")</f>
        <v xml:space="preserve"> </v>
      </c>
      <c r="H269" s="1" t="s">
        <v>16</v>
      </c>
      <c r="I269" s="6" t="str">
        <f>IF(B269=0,VLOOKUP(A269,Feuil2!$A$2:$M$1241,7,FALSE)," ")</f>
        <v xml:space="preserve"> </v>
      </c>
      <c r="J269" s="1" t="str">
        <f>IF(B269=0,VLOOKUP(A269,Feuil2!$A$2:$M$1241,9,FALSE)," ")</f>
        <v xml:space="preserve"> </v>
      </c>
      <c r="K269" s="1" t="str">
        <f>IF(B269=0,VLOOKUP(A269,Feuil2!$A$2:$M$1241,10,FALSE)," ")</f>
        <v xml:space="preserve"> </v>
      </c>
      <c r="L269" s="1"/>
      <c r="M269" s="1"/>
      <c r="N269" s="1"/>
      <c r="O269" s="8" t="str">
        <f>IF(B269=0,VLOOKUP(A269,Feuil2!$A$2:$M$1241,13,FALSE)," ")</f>
        <v xml:space="preserve"> </v>
      </c>
    </row>
    <row r="270" spans="1:15" x14ac:dyDescent="0.3">
      <c r="A270" s="1">
        <v>1598</v>
      </c>
      <c r="B270" s="1">
        <v>5</v>
      </c>
      <c r="C270" s="1" t="s">
        <v>253</v>
      </c>
      <c r="D270" s="1" t="s">
        <v>2435</v>
      </c>
      <c r="E270" s="5">
        <v>42100</v>
      </c>
      <c r="F270" s="1" t="s">
        <v>17</v>
      </c>
      <c r="G270" s="1" t="str">
        <f>IF(B270=0,VLOOKUP(A270,Feuil2!$A$2:$M$1241,11,FALSE)," ")</f>
        <v xml:space="preserve"> </v>
      </c>
      <c r="H270" s="1" t="s">
        <v>16</v>
      </c>
      <c r="I270" s="6" t="str">
        <f>IF(B270=0,VLOOKUP(A270,Feuil2!$A$2:$M$1241,7,FALSE)," ")</f>
        <v xml:space="preserve"> </v>
      </c>
      <c r="J270" s="1" t="str">
        <f>IF(B270=0,VLOOKUP(A270,Feuil2!$A$2:$M$1241,9,FALSE)," ")</f>
        <v xml:space="preserve"> </v>
      </c>
      <c r="K270" s="1" t="str">
        <f>IF(B270=0,VLOOKUP(A270,Feuil2!$A$2:$M$1241,10,FALSE)," ")</f>
        <v xml:space="preserve"> </v>
      </c>
      <c r="L270" s="1"/>
      <c r="M270" s="1"/>
      <c r="N270" s="1"/>
      <c r="O270" s="8" t="str">
        <f>IF(B270=0,VLOOKUP(A270,Feuil2!$A$2:$M$1241,13,FALSE)," ")</f>
        <v xml:space="preserve"> </v>
      </c>
    </row>
    <row r="271" spans="1:15" x14ac:dyDescent="0.3">
      <c r="A271" s="1">
        <v>1599</v>
      </c>
      <c r="B271" s="17">
        <v>0</v>
      </c>
      <c r="C271" s="17" t="str">
        <f>IF(B271=0,VLOOKUP(A271,Feuil2!$A$2:$M$1241,2,FALSE)," ")</f>
        <v>CHANTOU JMEGUER</v>
      </c>
      <c r="D271" s="17" t="str">
        <f>IF(B271=0,VLOOKUP(A271,Feuil2!$A$2:$M$1241,3,FALSE)," ")</f>
        <v>ADEL</v>
      </c>
      <c r="E271" s="18">
        <f>IF(B271=0,VLOOKUP(A271,Feuil2!$A$2:$M$1241,6,FALSE)," ")</f>
        <v>26201</v>
      </c>
      <c r="F271" s="17" t="str">
        <f>IF(B271=0,VLOOKUP(A271,Feuil2!$A$2:$M$1241,12,FALSE)," ")</f>
        <v>H</v>
      </c>
      <c r="G271" s="17" t="str">
        <f>IF(B271=0,VLOOKUP(A271,Feuil2!$A$2:$M$1241,11,FALSE)," ")</f>
        <v>M</v>
      </c>
      <c r="H271" s="17" t="s">
        <v>16</v>
      </c>
      <c r="I271" s="19">
        <f>IF(B271=0,VLOOKUP(A271,Feuil2!$A$2:$M$1241,7,FALSE)," ")</f>
        <v>5508498</v>
      </c>
      <c r="J271" s="17" t="str">
        <f>IF(B271=0,VLOOKUP(A271,Feuil2!$A$2:$M$1241,9,FALSE)," ")</f>
        <v>5 Rue Omar Al Mokhtar</v>
      </c>
      <c r="K271" s="17" t="str">
        <f>IF(B271=0,VLOOKUP(A271,Feuil2!$A$2:$M$1241,10,FALSE)," ")</f>
        <v>Msaken 4070</v>
      </c>
      <c r="L271" s="17">
        <v>4070</v>
      </c>
      <c r="M271" s="17">
        <v>21964578</v>
      </c>
      <c r="N271" s="17"/>
      <c r="O271" s="20" t="str">
        <f>IF(B271=0,VLOOKUP(A271,Feuil2!$A$2:$M$1241,13,FALSE)," ")</f>
        <v>04204067404002116690</v>
      </c>
    </row>
    <row r="272" spans="1:15" x14ac:dyDescent="0.3">
      <c r="A272" s="1">
        <v>1599</v>
      </c>
      <c r="B272" s="1">
        <v>1</v>
      </c>
      <c r="C272" s="1" t="s">
        <v>2520</v>
      </c>
      <c r="D272" s="1" t="s">
        <v>746</v>
      </c>
      <c r="E272" s="5">
        <v>28177</v>
      </c>
      <c r="F272" s="1" t="s">
        <v>17</v>
      </c>
      <c r="G272" s="1" t="s">
        <v>15</v>
      </c>
      <c r="H272" s="1" t="s">
        <v>16</v>
      </c>
      <c r="I272" s="6" t="str">
        <f>IF(B272=0,VLOOKUP(A272,Feuil2!$A$2:$M$1241,7,FALSE)," ")</f>
        <v xml:space="preserve"> </v>
      </c>
      <c r="J272" s="1" t="str">
        <f>IF(B272=0,VLOOKUP(A272,Feuil2!$A$2:$M$1241,9,FALSE)," ")</f>
        <v xml:space="preserve"> </v>
      </c>
      <c r="K272" s="1" t="str">
        <f>IF(B272=0,VLOOKUP(A272,Feuil2!$A$2:$M$1241,10,FALSE)," ")</f>
        <v xml:space="preserve"> </v>
      </c>
      <c r="L272" s="1"/>
      <c r="M272" s="1"/>
      <c r="N272" s="1"/>
      <c r="O272" s="8" t="str">
        <f>IF(B272=0,VLOOKUP(A272,Feuil2!$A$2:$M$1241,13,FALSE)," ")</f>
        <v xml:space="preserve"> </v>
      </c>
    </row>
    <row r="273" spans="1:16" x14ac:dyDescent="0.3">
      <c r="A273" s="1">
        <v>1599</v>
      </c>
      <c r="B273" s="1">
        <v>2</v>
      </c>
      <c r="C273" s="1" t="s">
        <v>1483</v>
      </c>
      <c r="D273" s="1" t="s">
        <v>54</v>
      </c>
      <c r="E273" s="5">
        <v>38256</v>
      </c>
      <c r="F273" s="1" t="s">
        <v>17</v>
      </c>
      <c r="G273" s="1" t="str">
        <f>IF(B273=0,VLOOKUP(A273,Feuil2!$A$2:$M$1241,11,FALSE)," ")</f>
        <v xml:space="preserve"> </v>
      </c>
      <c r="H273" s="1" t="s">
        <v>16</v>
      </c>
      <c r="I273" s="6" t="str">
        <f>IF(B273=0,VLOOKUP(A273,Feuil2!$A$2:$M$1241,7,FALSE)," ")</f>
        <v xml:space="preserve"> </v>
      </c>
      <c r="J273" s="1" t="str">
        <f>IF(B273=0,VLOOKUP(A273,Feuil2!$A$2:$M$1241,9,FALSE)," ")</f>
        <v xml:space="preserve"> </v>
      </c>
      <c r="K273" s="1" t="str">
        <f>IF(B273=0,VLOOKUP(A273,Feuil2!$A$2:$M$1241,10,FALSE)," ")</f>
        <v xml:space="preserve"> </v>
      </c>
      <c r="L273" s="1"/>
      <c r="M273" s="1"/>
      <c r="N273" s="1"/>
      <c r="O273" s="8" t="str">
        <f>IF(B273=0,VLOOKUP(A273,Feuil2!$A$2:$M$1241,13,FALSE)," ")</f>
        <v xml:space="preserve"> </v>
      </c>
    </row>
    <row r="274" spans="1:16" x14ac:dyDescent="0.3">
      <c r="A274" s="1">
        <v>1599</v>
      </c>
      <c r="B274" s="1">
        <v>3</v>
      </c>
      <c r="C274" s="1" t="s">
        <v>1483</v>
      </c>
      <c r="D274" s="1" t="s">
        <v>107</v>
      </c>
      <c r="E274" s="5">
        <v>38959</v>
      </c>
      <c r="F274" s="1" t="s">
        <v>506</v>
      </c>
      <c r="G274" s="1" t="str">
        <f>IF(B274=0,VLOOKUP(A274,Feuil2!$A$2:$M$1241,11,FALSE)," ")</f>
        <v xml:space="preserve"> </v>
      </c>
      <c r="H274" s="1" t="s">
        <v>16</v>
      </c>
      <c r="I274" s="6" t="str">
        <f>IF(B274=0,VLOOKUP(A274,Feuil2!$A$2:$M$1241,7,FALSE)," ")</f>
        <v xml:space="preserve"> </v>
      </c>
      <c r="J274" s="1" t="str">
        <f>IF(B274=0,VLOOKUP(A274,Feuil2!$A$2:$M$1241,9,FALSE)," ")</f>
        <v xml:space="preserve"> </v>
      </c>
      <c r="K274" s="1" t="str">
        <f>IF(B274=0,VLOOKUP(A274,Feuil2!$A$2:$M$1241,10,FALSE)," ")</f>
        <v xml:space="preserve"> </v>
      </c>
      <c r="L274" s="1"/>
      <c r="M274" s="1"/>
      <c r="N274" s="1"/>
      <c r="O274" s="8" t="str">
        <f>IF(B274=0,VLOOKUP(A274,Feuil2!$A$2:$M$1241,13,FALSE)," ")</f>
        <v xml:space="preserve"> </v>
      </c>
    </row>
    <row r="275" spans="1:16" x14ac:dyDescent="0.3">
      <c r="A275" s="1">
        <v>1599</v>
      </c>
      <c r="B275" s="1">
        <v>4</v>
      </c>
      <c r="C275" s="1" t="s">
        <v>1483</v>
      </c>
      <c r="D275" s="1" t="s">
        <v>2521</v>
      </c>
      <c r="E275" s="5">
        <v>40063</v>
      </c>
      <c r="F275" s="1" t="s">
        <v>506</v>
      </c>
      <c r="G275" s="1" t="str">
        <f>IF(B275=0,VLOOKUP(A275,Feuil2!$A$2:$M$1241,11,FALSE)," ")</f>
        <v xml:space="preserve"> </v>
      </c>
      <c r="H275" s="1" t="s">
        <v>16</v>
      </c>
      <c r="I275" s="6" t="str">
        <f>IF(B275=0,VLOOKUP(A275,Feuil2!$A$2:$M$1241,7,FALSE)," ")</f>
        <v xml:space="preserve"> </v>
      </c>
      <c r="J275" s="1" t="str">
        <f>IF(B275=0,VLOOKUP(A275,Feuil2!$A$2:$M$1241,9,FALSE)," ")</f>
        <v xml:space="preserve"> </v>
      </c>
      <c r="K275" s="1" t="str">
        <f>IF(B275=0,VLOOKUP(A275,Feuil2!$A$2:$M$1241,10,FALSE)," ")</f>
        <v xml:space="preserve"> </v>
      </c>
      <c r="L275" s="1"/>
      <c r="M275" s="1"/>
      <c r="N275" s="1"/>
      <c r="O275" s="8" t="str">
        <f>IF(B275=0,VLOOKUP(A275,Feuil2!$A$2:$M$1241,13,FALSE)," ")</f>
        <v xml:space="preserve"> </v>
      </c>
    </row>
    <row r="276" spans="1:16" x14ac:dyDescent="0.3">
      <c r="A276" s="1">
        <v>1602</v>
      </c>
      <c r="B276" s="1">
        <v>0</v>
      </c>
      <c r="C276" s="1" t="str">
        <f>IF(B276=0,VLOOKUP(A276,Feuil2!$A$2:$M$1241,2,FALSE)," ")</f>
        <v>MAMIA</v>
      </c>
      <c r="D276" s="1" t="str">
        <f>IF(B276=0,VLOOKUP(A276,Feuil2!$A$2:$M$1241,3,FALSE)," ")</f>
        <v>RAMZI</v>
      </c>
      <c r="E276" s="5">
        <f>IF(B276=0,VLOOKUP(A276,Feuil2!$A$2:$M$1241,6,FALSE)," ")</f>
        <v>28367</v>
      </c>
      <c r="F276" s="1" t="str">
        <f>IF(B276=0,VLOOKUP(A276,Feuil2!$A$2:$M$1241,12,FALSE)," ")</f>
        <v>H</v>
      </c>
      <c r="G276" s="1" t="str">
        <f>IF(B276=0,VLOOKUP(A276,Feuil2!$A$2:$M$1241,11,FALSE)," ")</f>
        <v>M</v>
      </c>
      <c r="H276" s="1" t="s">
        <v>16</v>
      </c>
      <c r="I276" s="6">
        <f>IF(B276=0,VLOOKUP(A276,Feuil2!$A$2:$M$1241,7,FALSE)," ")</f>
        <v>5573108</v>
      </c>
      <c r="J276" s="1" t="str">
        <f>IF(B276=0,VLOOKUP(A276,Feuil2!$A$2:$M$1241,9,FALSE)," ")</f>
        <v>Garde Nationale</v>
      </c>
      <c r="K276" s="1" t="str">
        <f>IF(B276=0,VLOOKUP(A276,Feuil2!$A$2:$M$1241,10,FALSE)," ")</f>
        <v>Msaken 4070</v>
      </c>
      <c r="L276" s="1">
        <v>4070</v>
      </c>
      <c r="M276" s="1">
        <v>27070896</v>
      </c>
      <c r="N276" s="1"/>
      <c r="O276" s="10" t="s">
        <v>2452</v>
      </c>
    </row>
    <row r="277" spans="1:16" x14ac:dyDescent="0.3">
      <c r="A277" s="1">
        <v>1602</v>
      </c>
      <c r="B277" s="1">
        <v>1</v>
      </c>
      <c r="C277" s="1" t="s">
        <v>344</v>
      </c>
      <c r="D277" s="1" t="s">
        <v>2282</v>
      </c>
      <c r="E277" s="5">
        <v>29229</v>
      </c>
      <c r="F277" s="1" t="s">
        <v>17</v>
      </c>
      <c r="G277" s="1" t="s">
        <v>15</v>
      </c>
      <c r="H277" s="1" t="s">
        <v>16</v>
      </c>
      <c r="I277" s="6" t="str">
        <f>IF(B277=0,VLOOKUP(A277,Feuil2!$A$2:$M$1241,7,FALSE)," ")</f>
        <v xml:space="preserve"> </v>
      </c>
      <c r="J277" s="1" t="str">
        <f>IF(B277=0,VLOOKUP(A277,Feuil2!$A$2:$M$1241,9,FALSE)," ")</f>
        <v xml:space="preserve"> </v>
      </c>
      <c r="K277" s="1" t="str">
        <f>IF(B277=0,VLOOKUP(A277,Feuil2!$A$2:$M$1241,10,FALSE)," ")</f>
        <v xml:space="preserve"> </v>
      </c>
      <c r="L277" s="1"/>
      <c r="M277" s="1"/>
      <c r="N277" s="1"/>
      <c r="O277" s="8" t="str">
        <f>IF(B277=0,VLOOKUP(A277,Feuil2!$A$2:$M$1241,13,FALSE)," ")</f>
        <v xml:space="preserve"> </v>
      </c>
      <c r="P277" t="s">
        <v>2805</v>
      </c>
    </row>
    <row r="278" spans="1:16" x14ac:dyDescent="0.3">
      <c r="A278" s="1">
        <v>1602</v>
      </c>
      <c r="B278" s="1">
        <v>2</v>
      </c>
      <c r="C278" s="1" t="s">
        <v>165</v>
      </c>
      <c r="D278" s="1" t="s">
        <v>2451</v>
      </c>
      <c r="E278" s="5">
        <v>38903</v>
      </c>
      <c r="F278" s="1" t="s">
        <v>17</v>
      </c>
      <c r="G278" s="1" t="str">
        <f>IF(B278=0,VLOOKUP(A278,Feuil2!$A$2:$M$1241,11,FALSE)," ")</f>
        <v xml:space="preserve"> </v>
      </c>
      <c r="H278" s="1" t="s">
        <v>16</v>
      </c>
      <c r="I278" s="6" t="str">
        <f>IF(B278=0,VLOOKUP(A278,Feuil2!$A$2:$M$1241,7,FALSE)," ")</f>
        <v xml:space="preserve"> </v>
      </c>
      <c r="J278" s="1" t="str">
        <f>IF(B278=0,VLOOKUP(A278,Feuil2!$A$2:$M$1241,9,FALSE)," ")</f>
        <v xml:space="preserve"> </v>
      </c>
      <c r="K278" s="1" t="str">
        <f>IF(B278=0,VLOOKUP(A278,Feuil2!$A$2:$M$1241,10,FALSE)," ")</f>
        <v xml:space="preserve"> </v>
      </c>
      <c r="L278" s="1"/>
      <c r="M278" s="1"/>
      <c r="N278" s="1"/>
      <c r="O278" s="8" t="str">
        <f>IF(B278=0,VLOOKUP(A278,Feuil2!$A$2:$M$1241,13,FALSE)," ")</f>
        <v xml:space="preserve"> </v>
      </c>
    </row>
    <row r="279" spans="1:16" x14ac:dyDescent="0.3">
      <c r="A279" s="1">
        <v>1602</v>
      </c>
      <c r="B279" s="1">
        <v>3</v>
      </c>
      <c r="C279" s="1" t="s">
        <v>165</v>
      </c>
      <c r="D279" s="1" t="s">
        <v>2338</v>
      </c>
      <c r="E279" s="5">
        <v>39499</v>
      </c>
      <c r="F279" s="1" t="s">
        <v>17</v>
      </c>
      <c r="G279" s="1" t="str">
        <f>IF(B279=0,VLOOKUP(A279,Feuil2!$A$2:$M$1241,11,FALSE)," ")</f>
        <v xml:space="preserve"> </v>
      </c>
      <c r="H279" s="1" t="s">
        <v>16</v>
      </c>
      <c r="I279" s="6" t="str">
        <f>IF(B279=0,VLOOKUP(A279,Feuil2!$A$2:$M$1241,7,FALSE)," ")</f>
        <v xml:space="preserve"> </v>
      </c>
      <c r="J279" s="1" t="str">
        <f>IF(B279=0,VLOOKUP(A279,Feuil2!$A$2:$M$1241,9,FALSE)," ")</f>
        <v xml:space="preserve"> </v>
      </c>
      <c r="K279" s="1" t="str">
        <f>IF(B279=0,VLOOKUP(A279,Feuil2!$A$2:$M$1241,10,FALSE)," ")</f>
        <v xml:space="preserve"> </v>
      </c>
      <c r="L279" s="1"/>
      <c r="M279" s="1"/>
      <c r="N279" s="1"/>
      <c r="O279" s="8" t="str">
        <f>IF(B279=0,VLOOKUP(A279,Feuil2!$A$2:$M$1241,13,FALSE)," ")</f>
        <v xml:space="preserve"> </v>
      </c>
    </row>
    <row r="280" spans="1:16" x14ac:dyDescent="0.3">
      <c r="A280" s="1">
        <v>1602</v>
      </c>
      <c r="B280" s="1">
        <v>4</v>
      </c>
      <c r="C280" s="1" t="s">
        <v>165</v>
      </c>
      <c r="D280" s="1" t="s">
        <v>2367</v>
      </c>
      <c r="E280" s="5">
        <v>41917</v>
      </c>
      <c r="F280" s="1" t="s">
        <v>17</v>
      </c>
      <c r="G280" s="1" t="str">
        <f>IF(B280=0,VLOOKUP(A280,Feuil2!$A$2:$M$1241,11,FALSE)," ")</f>
        <v xml:space="preserve"> </v>
      </c>
      <c r="H280" s="1" t="s">
        <v>16</v>
      </c>
      <c r="I280" s="6" t="str">
        <f>IF(B280=0,VLOOKUP(A280,Feuil2!$A$2:$M$1241,7,FALSE)," ")</f>
        <v xml:space="preserve"> </v>
      </c>
      <c r="J280" s="1" t="str">
        <f>IF(B280=0,VLOOKUP(A280,Feuil2!$A$2:$M$1241,9,FALSE)," ")</f>
        <v xml:space="preserve"> </v>
      </c>
      <c r="K280" s="1" t="str">
        <f>IF(B280=0,VLOOKUP(A280,Feuil2!$A$2:$M$1241,10,FALSE)," ")</f>
        <v xml:space="preserve"> </v>
      </c>
      <c r="L280" s="1"/>
      <c r="M280" s="1"/>
      <c r="N280" s="1"/>
      <c r="O280" s="8" t="str">
        <f>IF(B280=0,VLOOKUP(A280,Feuil2!$A$2:$M$1241,13,FALSE)," ")</f>
        <v xml:space="preserve"> </v>
      </c>
    </row>
    <row r="281" spans="1:16" x14ac:dyDescent="0.3">
      <c r="A281" s="1">
        <v>1616</v>
      </c>
      <c r="B281" s="17">
        <v>0</v>
      </c>
      <c r="C281" s="17" t="str">
        <f>IF(B281=0,VLOOKUP(A281,Feuil2!$A$2:$M$1241,2,FALSE)," ")</f>
        <v>MOUSSA</v>
      </c>
      <c r="D281" s="17" t="str">
        <f>IF(B281=0,VLOOKUP(A281,Feuil2!$A$2:$M$1241,3,FALSE)," ")</f>
        <v>FETHI</v>
      </c>
      <c r="E281" s="18">
        <f>IF(B281=0,VLOOKUP(A281,Feuil2!$A$2:$M$1241,6,FALSE)," ")</f>
        <v>24133</v>
      </c>
      <c r="F281" s="17" t="str">
        <f>IF(B281=0,VLOOKUP(A281,Feuil2!$A$2:$M$1241,12,FALSE)," ")</f>
        <v>H</v>
      </c>
      <c r="G281" s="17" t="str">
        <f>IF(B281=0,VLOOKUP(A281,Feuil2!$A$2:$M$1241,11,FALSE)," ")</f>
        <v>M</v>
      </c>
      <c r="H281" s="17" t="s">
        <v>16</v>
      </c>
      <c r="I281" s="19">
        <f>IF(B281=0,VLOOKUP(A281,Feuil2!$A$2:$M$1241,7,FALSE)," ")</f>
        <v>2971447</v>
      </c>
      <c r="J281" s="17" t="str">
        <f>IF(B281=0,VLOOKUP(A281,Feuil2!$A$2:$M$1241,9,FALSE)," ")</f>
        <v>4015 Borjine</v>
      </c>
      <c r="K281" s="17" t="str">
        <f>IF(B281=0,VLOOKUP(A281,Feuil2!$A$2:$M$1241,10,FALSE)," ")</f>
        <v>Borjine 4015</v>
      </c>
      <c r="L281" s="17">
        <v>4015</v>
      </c>
      <c r="M281" s="17">
        <v>97451777</v>
      </c>
      <c r="N281" s="17"/>
      <c r="O281" s="21" t="s">
        <v>2554</v>
      </c>
    </row>
    <row r="282" spans="1:16" x14ac:dyDescent="0.3">
      <c r="A282" s="1">
        <v>1616</v>
      </c>
      <c r="B282" s="1">
        <v>1</v>
      </c>
      <c r="C282" s="1" t="s">
        <v>2549</v>
      </c>
      <c r="D282" s="1" t="s">
        <v>2541</v>
      </c>
      <c r="E282" s="5">
        <v>26857</v>
      </c>
      <c r="F282" s="1" t="s">
        <v>17</v>
      </c>
      <c r="G282" s="1" t="s">
        <v>15</v>
      </c>
      <c r="H282" s="1" t="s">
        <v>16</v>
      </c>
      <c r="I282" s="6" t="str">
        <f>IF(B282=0,VLOOKUP(A282,Feuil2!$A$2:$M$1241,7,FALSE)," ")</f>
        <v xml:space="preserve"> </v>
      </c>
      <c r="J282" s="1" t="str">
        <f>IF(B282=0,VLOOKUP(A282,Feuil2!$A$2:$M$1241,9,FALSE)," ")</f>
        <v xml:space="preserve"> </v>
      </c>
      <c r="K282" s="1" t="str">
        <f>IF(B282=0,VLOOKUP(A282,Feuil2!$A$2:$M$1241,10,FALSE)," ")</f>
        <v xml:space="preserve"> </v>
      </c>
      <c r="L282" s="1"/>
      <c r="M282" s="1"/>
      <c r="N282" s="1"/>
      <c r="O282" s="8" t="str">
        <f>IF(B282=0,VLOOKUP(A282,Feuil2!$A$2:$M$1241,13,FALSE)," ")</f>
        <v xml:space="preserve"> </v>
      </c>
    </row>
    <row r="283" spans="1:16" x14ac:dyDescent="0.3">
      <c r="A283" s="1">
        <v>1616</v>
      </c>
      <c r="B283" s="1">
        <v>2</v>
      </c>
      <c r="C283" s="1" t="s">
        <v>67</v>
      </c>
      <c r="D283" s="1" t="s">
        <v>2550</v>
      </c>
      <c r="E283" s="5">
        <v>38320</v>
      </c>
      <c r="F283" s="1" t="s">
        <v>17</v>
      </c>
      <c r="G283" s="1" t="str">
        <f>IF(B283=0,VLOOKUP(A283,Feuil2!$A$2:$M$1241,11,FALSE)," ")</f>
        <v xml:space="preserve"> </v>
      </c>
      <c r="H283" s="1" t="s">
        <v>16</v>
      </c>
      <c r="I283" s="6" t="str">
        <f>IF(B283=0,VLOOKUP(A283,Feuil2!$A$2:$M$1241,7,FALSE)," ")</f>
        <v xml:space="preserve"> </v>
      </c>
      <c r="J283" s="1" t="str">
        <f>IF(B283=0,VLOOKUP(A283,Feuil2!$A$2:$M$1241,9,FALSE)," ")</f>
        <v xml:space="preserve"> </v>
      </c>
      <c r="K283" s="1" t="str">
        <f>IF(B283=0,VLOOKUP(A283,Feuil2!$A$2:$M$1241,10,FALSE)," ")</f>
        <v xml:space="preserve"> </v>
      </c>
      <c r="L283" s="1"/>
      <c r="M283" s="1"/>
      <c r="N283" s="1"/>
      <c r="O283" s="8" t="str">
        <f>IF(B283=0,VLOOKUP(A283,Feuil2!$A$2:$M$1241,13,FALSE)," ")</f>
        <v xml:space="preserve"> </v>
      </c>
    </row>
    <row r="284" spans="1:16" x14ac:dyDescent="0.3">
      <c r="A284" s="1">
        <v>1616</v>
      </c>
      <c r="B284" s="1">
        <v>3</v>
      </c>
      <c r="C284" s="1" t="s">
        <v>67</v>
      </c>
      <c r="D284" s="1" t="s">
        <v>2551</v>
      </c>
      <c r="E284" s="5">
        <v>39931</v>
      </c>
      <c r="F284" s="1" t="s">
        <v>17</v>
      </c>
      <c r="G284" s="1" t="str">
        <f>IF(B284=0,VLOOKUP(A284,Feuil2!$A$2:$M$1241,11,FALSE)," ")</f>
        <v xml:space="preserve"> </v>
      </c>
      <c r="H284" s="1" t="s">
        <v>16</v>
      </c>
      <c r="I284" s="6" t="str">
        <f>IF(B284=0,VLOOKUP(A284,Feuil2!$A$2:$M$1241,7,FALSE)," ")</f>
        <v xml:space="preserve"> </v>
      </c>
      <c r="J284" s="1" t="str">
        <f>IF(B284=0,VLOOKUP(A284,Feuil2!$A$2:$M$1241,9,FALSE)," ")</f>
        <v xml:space="preserve"> </v>
      </c>
      <c r="K284" s="1" t="str">
        <f>IF(B284=0,VLOOKUP(A284,Feuil2!$A$2:$M$1241,10,FALSE)," ")</f>
        <v xml:space="preserve"> </v>
      </c>
      <c r="L284" s="1"/>
      <c r="M284" s="1"/>
      <c r="N284" s="1"/>
      <c r="O284" s="8" t="str">
        <f>IF(B284=0,VLOOKUP(A284,Feuil2!$A$2:$M$1241,13,FALSE)," ")</f>
        <v xml:space="preserve"> </v>
      </c>
    </row>
    <row r="285" spans="1:16" x14ac:dyDescent="0.3">
      <c r="A285" s="1">
        <v>1616</v>
      </c>
      <c r="B285" s="1">
        <v>4</v>
      </c>
      <c r="C285" s="1" t="s">
        <v>67</v>
      </c>
      <c r="D285" s="1" t="s">
        <v>2385</v>
      </c>
      <c r="E285" s="5">
        <v>40646</v>
      </c>
      <c r="F285" s="1" t="s">
        <v>17</v>
      </c>
      <c r="G285" s="1" t="str">
        <f>IF(B285=0,VLOOKUP(A285,Feuil2!$A$2:$M$1241,11,FALSE)," ")</f>
        <v xml:space="preserve"> </v>
      </c>
      <c r="H285" s="1" t="s">
        <v>16</v>
      </c>
      <c r="I285" s="6" t="str">
        <f>IF(B285=0,VLOOKUP(A285,Feuil2!$A$2:$M$1241,7,FALSE)," ")</f>
        <v xml:space="preserve"> </v>
      </c>
      <c r="J285" s="1" t="str">
        <f>IF(B285=0,VLOOKUP(A285,Feuil2!$A$2:$M$1241,9,FALSE)," ")</f>
        <v xml:space="preserve"> </v>
      </c>
      <c r="K285" s="1" t="str">
        <f>IF(B285=0,VLOOKUP(A285,Feuil2!$A$2:$M$1241,10,FALSE)," ")</f>
        <v xml:space="preserve"> </v>
      </c>
      <c r="L285" s="1"/>
      <c r="M285" s="1"/>
      <c r="N285" s="1"/>
      <c r="O285" s="8" t="str">
        <f>IF(B285=0,VLOOKUP(A285,Feuil2!$A$2:$M$1241,13,FALSE)," ")</f>
        <v xml:space="preserve"> </v>
      </c>
    </row>
    <row r="286" spans="1:16" x14ac:dyDescent="0.3">
      <c r="A286" s="1">
        <v>1616</v>
      </c>
      <c r="B286" s="1">
        <v>5</v>
      </c>
      <c r="C286" s="1" t="s">
        <v>67</v>
      </c>
      <c r="D286" s="1" t="s">
        <v>2552</v>
      </c>
      <c r="E286" s="5">
        <v>37484</v>
      </c>
      <c r="F286" s="1" t="s">
        <v>17</v>
      </c>
      <c r="G286" s="1" t="str">
        <f>IF(B286=0,VLOOKUP(A286,Feuil2!$A$2:$M$1241,11,FALSE)," ")</f>
        <v xml:space="preserve"> </v>
      </c>
      <c r="H286" s="1" t="s">
        <v>16</v>
      </c>
      <c r="I286" s="6" t="str">
        <f>IF(B286=0,VLOOKUP(A286,Feuil2!$A$2:$M$1241,7,FALSE)," ")</f>
        <v xml:space="preserve"> </v>
      </c>
      <c r="J286" s="1" t="str">
        <f>IF(B286=0,VLOOKUP(A286,Feuil2!$A$2:$M$1241,9,FALSE)," ")</f>
        <v xml:space="preserve"> </v>
      </c>
      <c r="K286" s="1" t="str">
        <f>IF(B286=0,VLOOKUP(A286,Feuil2!$A$2:$M$1241,10,FALSE)," ")</f>
        <v xml:space="preserve"> </v>
      </c>
      <c r="L286" s="1"/>
      <c r="M286" s="1"/>
      <c r="N286" s="1"/>
      <c r="O286" s="8" t="str">
        <f>IF(B286=0,VLOOKUP(A286,Feuil2!$A$2:$M$1241,13,FALSE)," ")</f>
        <v xml:space="preserve"> </v>
      </c>
    </row>
    <row r="287" spans="1:16" x14ac:dyDescent="0.3">
      <c r="A287" s="1">
        <v>1616</v>
      </c>
      <c r="B287" s="1">
        <v>6</v>
      </c>
      <c r="C287" s="1" t="s">
        <v>67</v>
      </c>
      <c r="D287" s="1" t="s">
        <v>2553</v>
      </c>
      <c r="E287" s="5">
        <v>35945</v>
      </c>
      <c r="F287" s="1" t="s">
        <v>17</v>
      </c>
      <c r="G287" s="1" t="str">
        <f>IF(B287=0,VLOOKUP(A287,Feuil2!$A$2:$M$1241,11,FALSE)," ")</f>
        <v xml:space="preserve"> </v>
      </c>
      <c r="H287" s="1" t="s">
        <v>16</v>
      </c>
      <c r="I287" s="6" t="str">
        <f>IF(B287=0,VLOOKUP(A287,Feuil2!$A$2:$M$1241,7,FALSE)," ")</f>
        <v xml:space="preserve"> </v>
      </c>
      <c r="J287" s="1" t="str">
        <f>IF(B287=0,VLOOKUP(A287,Feuil2!$A$2:$M$1241,9,FALSE)," ")</f>
        <v xml:space="preserve"> </v>
      </c>
      <c r="K287" s="1" t="str">
        <f>IF(B287=0,VLOOKUP(A287,Feuil2!$A$2:$M$1241,10,FALSE)," ")</f>
        <v xml:space="preserve"> </v>
      </c>
      <c r="L287" s="1"/>
      <c r="M287" s="1"/>
      <c r="N287" s="1"/>
      <c r="O287" s="8" t="str">
        <f>IF(B287=0,VLOOKUP(A287,Feuil2!$A$2:$M$1241,13,FALSE)," ")</f>
        <v xml:space="preserve"> </v>
      </c>
    </row>
    <row r="288" spans="1:16" x14ac:dyDescent="0.3">
      <c r="A288" s="1">
        <v>1618</v>
      </c>
      <c r="B288" s="1">
        <v>0</v>
      </c>
      <c r="C288" s="1" t="str">
        <f>IF(B288=0,VLOOKUP(A288,Feuil2!$A$2:$M$1241,2,FALSE)," ")</f>
        <v>SLAMA</v>
      </c>
      <c r="D288" s="1" t="str">
        <f>IF(B288=0,VLOOKUP(A288,Feuil2!$A$2:$M$1241,3,FALSE)," ")</f>
        <v>MAHER</v>
      </c>
      <c r="E288" s="5">
        <f>IF(B288=0,VLOOKUP(A288,Feuil2!$A$2:$M$1241,6,FALSE)," ")</f>
        <v>24772</v>
      </c>
      <c r="F288" s="1" t="str">
        <f>IF(B288=0,VLOOKUP(A288,Feuil2!$A$2:$M$1241,12,FALSE)," ")</f>
        <v>H</v>
      </c>
      <c r="G288" s="1" t="str">
        <f>IF(B288=0,VLOOKUP(A288,Feuil2!$A$2:$M$1241,11,FALSE)," ")</f>
        <v>M</v>
      </c>
      <c r="H288" s="1" t="s">
        <v>16</v>
      </c>
      <c r="I288" s="6">
        <f>IF(B288=0,VLOOKUP(A288,Feuil2!$A$2:$M$1241,7,FALSE)," ")</f>
        <v>2978827</v>
      </c>
      <c r="J288" s="1">
        <f>IF(B288=0,VLOOKUP(A288,Feuil2!$A$2:$M$1241,9,FALSE)," ")</f>
        <v>372</v>
      </c>
      <c r="K288" s="1" t="str">
        <f>IF(B288=0,VLOOKUP(A288,Feuil2!$A$2:$M$1241,10,FALSE)," ")</f>
        <v>Borjine 4015</v>
      </c>
      <c r="L288" s="1">
        <v>4015</v>
      </c>
      <c r="M288" s="1">
        <v>51920081</v>
      </c>
      <c r="N288" s="1"/>
      <c r="O288" s="8" t="str">
        <f>IF(B288=0,VLOOKUP(A288,Feuil2!$A$2:$M$1241,13,FALSE)," ")</f>
        <v>10506040511024778878</v>
      </c>
    </row>
    <row r="289" spans="1:16" x14ac:dyDescent="0.3">
      <c r="A289" s="1">
        <v>1618</v>
      </c>
      <c r="B289" s="1">
        <v>1</v>
      </c>
      <c r="C289" s="1" t="s">
        <v>2463</v>
      </c>
      <c r="D289" s="1" t="s">
        <v>1049</v>
      </c>
      <c r="E289" s="5">
        <v>26951</v>
      </c>
      <c r="F289" s="1" t="s">
        <v>17</v>
      </c>
      <c r="G289" s="1" t="s">
        <v>15</v>
      </c>
      <c r="H289" s="1" t="s">
        <v>16</v>
      </c>
      <c r="I289" s="6" t="str">
        <f>IF(B289=0,VLOOKUP(A289,Feuil2!$A$2:$M$1241,7,FALSE)," ")</f>
        <v xml:space="preserve"> </v>
      </c>
      <c r="J289" s="1" t="str">
        <f>IF(B289=0,VLOOKUP(A289,Feuil2!$A$2:$M$1241,9,FALSE)," ")</f>
        <v xml:space="preserve"> </v>
      </c>
      <c r="K289" s="1" t="str">
        <f>IF(B289=0,VLOOKUP(A289,Feuil2!$A$2:$M$1241,10,FALSE)," ")</f>
        <v xml:space="preserve"> </v>
      </c>
      <c r="L289" s="1"/>
      <c r="M289" s="1"/>
      <c r="N289" s="1"/>
      <c r="O289" s="8" t="str">
        <f>IF(B289=0,VLOOKUP(A289,Feuil2!$A$2:$M$1241,13,FALSE)," ")</f>
        <v xml:space="preserve"> </v>
      </c>
    </row>
    <row r="290" spans="1:16" x14ac:dyDescent="0.3">
      <c r="A290" s="1">
        <v>1618</v>
      </c>
      <c r="B290" s="1">
        <v>2</v>
      </c>
      <c r="C290" s="1" t="s">
        <v>111</v>
      </c>
      <c r="D290" s="1" t="s">
        <v>2464</v>
      </c>
      <c r="E290" s="5">
        <v>35551</v>
      </c>
      <c r="F290" s="1" t="s">
        <v>17</v>
      </c>
      <c r="G290" s="1" t="str">
        <f>IF(B290=0,VLOOKUP(A290,Feuil2!$A$2:$M$1241,11,FALSE)," ")</f>
        <v xml:space="preserve"> </v>
      </c>
      <c r="H290" s="1" t="s">
        <v>16</v>
      </c>
      <c r="I290" s="6" t="str">
        <f>IF(B290=0,VLOOKUP(A290,Feuil2!$A$2:$M$1241,7,FALSE)," ")</f>
        <v xml:space="preserve"> </v>
      </c>
      <c r="J290" s="1" t="str">
        <f>IF(B290=0,VLOOKUP(A290,Feuil2!$A$2:$M$1241,9,FALSE)," ")</f>
        <v xml:space="preserve"> </v>
      </c>
      <c r="K290" s="1" t="str">
        <f>IF(B290=0,VLOOKUP(A290,Feuil2!$A$2:$M$1241,10,FALSE)," ")</f>
        <v xml:space="preserve"> </v>
      </c>
      <c r="L290" s="1"/>
      <c r="M290" s="1"/>
      <c r="N290" s="1"/>
      <c r="O290" s="8" t="str">
        <f>IF(B290=0,VLOOKUP(A290,Feuil2!$A$2:$M$1241,13,FALSE)," ")</f>
        <v xml:space="preserve"> </v>
      </c>
    </row>
    <row r="291" spans="1:16" x14ac:dyDescent="0.3">
      <c r="A291" s="1">
        <v>1618</v>
      </c>
      <c r="B291" s="1">
        <v>3</v>
      </c>
      <c r="C291" s="1" t="s">
        <v>111</v>
      </c>
      <c r="D291" s="1" t="s">
        <v>392</v>
      </c>
      <c r="E291" s="5">
        <v>38061</v>
      </c>
      <c r="F291" s="1" t="s">
        <v>506</v>
      </c>
      <c r="G291" s="1" t="str">
        <f>IF(B291=0,VLOOKUP(A291,Feuil2!$A$2:$M$1241,11,FALSE)," ")</f>
        <v xml:space="preserve"> </v>
      </c>
      <c r="H291" s="1" t="s">
        <v>16</v>
      </c>
      <c r="I291" s="6" t="str">
        <f>IF(B291=0,VLOOKUP(A291,Feuil2!$A$2:$M$1241,7,FALSE)," ")</f>
        <v xml:space="preserve"> </v>
      </c>
      <c r="J291" s="1" t="str">
        <f>IF(B291=0,VLOOKUP(A291,Feuil2!$A$2:$M$1241,9,FALSE)," ")</f>
        <v xml:space="preserve"> </v>
      </c>
      <c r="K291" s="1" t="str">
        <f>IF(B291=0,VLOOKUP(A291,Feuil2!$A$2:$M$1241,10,FALSE)," ")</f>
        <v xml:space="preserve"> </v>
      </c>
      <c r="L291" s="1"/>
      <c r="M291" s="1"/>
      <c r="N291" s="1"/>
      <c r="O291" s="8" t="str">
        <f>IF(B291=0,VLOOKUP(A291,Feuil2!$A$2:$M$1241,13,FALSE)," ")</f>
        <v xml:space="preserve"> </v>
      </c>
    </row>
    <row r="292" spans="1:16" x14ac:dyDescent="0.3">
      <c r="A292" s="1">
        <v>1634</v>
      </c>
      <c r="B292" s="17">
        <v>0</v>
      </c>
      <c r="C292" s="17" t="str">
        <f>IF(B292=0,VLOOKUP(A292,Feuil2!$A$2:$M$1241,2,FALSE)," ")</f>
        <v>BEN AMOR</v>
      </c>
      <c r="D292" s="17" t="str">
        <f>IF(B292=0,VLOOKUP(A292,Feuil2!$A$2:$M$1241,3,FALSE)," ")</f>
        <v>RIADH</v>
      </c>
      <c r="E292" s="18">
        <f>IF(B292=0,VLOOKUP(A292,Feuil2!$A$2:$M$1241,6,FALSE)," ")</f>
        <v>24681</v>
      </c>
      <c r="F292" s="17" t="str">
        <f>IF(B292=0,VLOOKUP(A292,Feuil2!$A$2:$M$1241,12,FALSE)," ")</f>
        <v>H</v>
      </c>
      <c r="G292" s="17" t="str">
        <f>IF(B292=0,VLOOKUP(A292,Feuil2!$A$2:$M$1241,11,FALSE)," ")</f>
        <v>M</v>
      </c>
      <c r="H292" s="17" t="s">
        <v>16</v>
      </c>
      <c r="I292" s="19">
        <f>IF(B292=0,VLOOKUP(A292,Feuil2!$A$2:$M$1241,7,FALSE)," ")</f>
        <v>2978145</v>
      </c>
      <c r="J292" s="17" t="str">
        <f>IF(B292=0,VLOOKUP(A292,Feuil2!$A$2:$M$1241,9,FALSE)," ")</f>
        <v>12 Impasse Baghdad</v>
      </c>
      <c r="K292" s="17" t="str">
        <f>IF(B292=0,VLOOKUP(A292,Feuil2!$A$2:$M$1241,10,FALSE)," ")</f>
        <v>Messadine 4013</v>
      </c>
      <c r="L292" s="17"/>
      <c r="M292" s="17">
        <v>26363001</v>
      </c>
      <c r="N292" s="17"/>
      <c r="O292" s="20" t="str">
        <f>IF(B292=0,VLOOKUP(A292,Feuil2!$A$2:$M$1241,13,FALSE)," ")</f>
        <v>03508056010100267659</v>
      </c>
      <c r="P292" s="22"/>
    </row>
    <row r="293" spans="1:16" x14ac:dyDescent="0.3">
      <c r="A293" s="1">
        <v>1634</v>
      </c>
      <c r="B293" s="1">
        <v>1</v>
      </c>
      <c r="C293" s="1" t="s">
        <v>660</v>
      </c>
      <c r="D293" s="1" t="s">
        <v>1007</v>
      </c>
      <c r="E293" s="5">
        <v>26162</v>
      </c>
      <c r="F293" s="1" t="s">
        <v>17</v>
      </c>
      <c r="G293" s="1" t="s">
        <v>15</v>
      </c>
      <c r="H293" s="1" t="s">
        <v>16</v>
      </c>
      <c r="I293" s="6" t="str">
        <f>IF(B293=0,VLOOKUP(A293,Feuil2!$A$2:$M$1241,7,FALSE)," ")</f>
        <v xml:space="preserve"> </v>
      </c>
      <c r="J293" s="1" t="str">
        <f>IF(B293=0,VLOOKUP(A293,Feuil2!$A$2:$M$1241,9,FALSE)," ")</f>
        <v xml:space="preserve"> </v>
      </c>
      <c r="K293" s="1" t="str">
        <f>IF(B293=0,VLOOKUP(A293,Feuil2!$A$2:$M$1241,10,FALSE)," ")</f>
        <v xml:space="preserve"> </v>
      </c>
      <c r="L293" s="1"/>
      <c r="M293" s="1"/>
      <c r="N293" s="1"/>
      <c r="O293" s="8" t="str">
        <f>IF(B293=0,VLOOKUP(A293,Feuil2!$A$2:$M$1241,13,FALSE)," ")</f>
        <v xml:space="preserve"> </v>
      </c>
    </row>
    <row r="294" spans="1:16" x14ac:dyDescent="0.3">
      <c r="A294" s="1">
        <v>1634</v>
      </c>
      <c r="B294" s="1">
        <v>2</v>
      </c>
      <c r="C294" s="1" t="s">
        <v>217</v>
      </c>
      <c r="D294" s="1" t="s">
        <v>2362</v>
      </c>
      <c r="E294" s="5">
        <v>35894</v>
      </c>
      <c r="F294" s="1" t="s">
        <v>17</v>
      </c>
      <c r="G294" s="1" t="str">
        <f>IF(B294=0,VLOOKUP(A294,Feuil2!$A$2:$M$1241,11,FALSE)," ")</f>
        <v xml:space="preserve"> </v>
      </c>
      <c r="H294" s="1" t="s">
        <v>16</v>
      </c>
      <c r="I294" s="6" t="str">
        <f>IF(B294=0,VLOOKUP(A294,Feuil2!$A$2:$M$1241,7,FALSE)," ")</f>
        <v xml:space="preserve"> </v>
      </c>
      <c r="J294" s="1" t="str">
        <f>IF(B294=0,VLOOKUP(A294,Feuil2!$A$2:$M$1241,9,FALSE)," ")</f>
        <v xml:space="preserve"> </v>
      </c>
      <c r="K294" s="1" t="str">
        <f>IF(B294=0,VLOOKUP(A294,Feuil2!$A$2:$M$1241,10,FALSE)," ")</f>
        <v xml:space="preserve"> </v>
      </c>
      <c r="L294" s="1"/>
      <c r="M294" s="1"/>
      <c r="N294" s="1"/>
      <c r="O294" s="8" t="str">
        <f>IF(B294=0,VLOOKUP(A294,Feuil2!$A$2:$M$1241,13,FALSE)," ")</f>
        <v xml:space="preserve"> </v>
      </c>
    </row>
    <row r="295" spans="1:16" x14ac:dyDescent="0.3">
      <c r="A295" s="1">
        <v>1634</v>
      </c>
      <c r="B295" s="1">
        <v>3</v>
      </c>
      <c r="C295" s="1" t="s">
        <v>217</v>
      </c>
      <c r="D295" s="1" t="s">
        <v>2363</v>
      </c>
      <c r="E295" s="5">
        <v>37972</v>
      </c>
      <c r="F295" s="1" t="s">
        <v>2364</v>
      </c>
      <c r="G295" s="1" t="str">
        <f>IF(B295=0,VLOOKUP(A295,Feuil2!$A$2:$M$1241,11,FALSE)," ")</f>
        <v xml:space="preserve"> </v>
      </c>
      <c r="H295" s="1" t="s">
        <v>16</v>
      </c>
      <c r="I295" s="6" t="str">
        <f>IF(B295=0,VLOOKUP(A295,Feuil2!$A$2:$M$1241,7,FALSE)," ")</f>
        <v xml:space="preserve"> </v>
      </c>
      <c r="J295" s="1" t="str">
        <f>IF(B295=0,VLOOKUP(A295,Feuil2!$A$2:$M$1241,9,FALSE)," ")</f>
        <v xml:space="preserve"> </v>
      </c>
      <c r="K295" s="1" t="str">
        <f>IF(B295=0,VLOOKUP(A295,Feuil2!$A$2:$M$1241,10,FALSE)," ")</f>
        <v xml:space="preserve"> </v>
      </c>
      <c r="L295" s="1"/>
      <c r="M295" s="1"/>
      <c r="N295" s="1"/>
      <c r="O295" s="8" t="str">
        <f>IF(B295=0,VLOOKUP(A295,Feuil2!$A$2:$M$1241,13,FALSE)," ")</f>
        <v xml:space="preserve"> </v>
      </c>
    </row>
    <row r="296" spans="1:16" x14ac:dyDescent="0.3">
      <c r="A296" s="1">
        <v>1638</v>
      </c>
      <c r="B296" s="1">
        <v>0</v>
      </c>
      <c r="C296" s="1" t="str">
        <f>IF(B296=0,VLOOKUP(A296,Feuil2!$A$2:$M$1241,2,FALSE)," ")</f>
        <v>ROMDHANE</v>
      </c>
      <c r="D296" s="1" t="str">
        <f>IF(B296=0,VLOOKUP(A296,Feuil2!$A$2:$M$1241,3,FALSE)," ")</f>
        <v>NAJEH</v>
      </c>
      <c r="E296" s="5">
        <f>IF(B296=0,VLOOKUP(A296,Feuil2!$A$2:$M$1241,6,FALSE)," ")</f>
        <v>27337</v>
      </c>
      <c r="F296" s="1" t="str">
        <f>IF(B296=0,VLOOKUP(A296,Feuil2!$A$2:$M$1241,12,FALSE)," ")</f>
        <v>H</v>
      </c>
      <c r="G296" s="1" t="str">
        <f>IF(B296=0,VLOOKUP(A296,Feuil2!$A$2:$M$1241,11,FALSE)," ")</f>
        <v>M</v>
      </c>
      <c r="H296" s="1" t="s">
        <v>16</v>
      </c>
      <c r="I296" s="6">
        <f>IF(B296=0,VLOOKUP(A296,Feuil2!$A$2:$M$1241,7,FALSE)," ")</f>
        <v>5539994</v>
      </c>
      <c r="J296" s="1" t="str">
        <f>IF(B296=0,VLOOKUP(A296,Feuil2!$A$2:$M$1241,9,FALSE)," ")</f>
        <v>N224</v>
      </c>
      <c r="K296" s="1" t="str">
        <f>IF(B296=0,VLOOKUP(A296,Feuil2!$A$2:$M$1241,10,FALSE)," ")</f>
        <v>BÃ©ni Kalthoum 4016</v>
      </c>
      <c r="L296" s="1"/>
      <c r="M296" s="1">
        <v>98793523</v>
      </c>
      <c r="N296" s="1"/>
      <c r="O296" s="8" t="str">
        <f>IF(B296=0,VLOOKUP(A296,Feuil2!$A$2:$M$1241,13,FALSE)," ")</f>
        <v>04204067001370394772</v>
      </c>
    </row>
    <row r="297" spans="1:16" x14ac:dyDescent="0.3">
      <c r="A297" s="1">
        <v>1638</v>
      </c>
      <c r="B297" s="1">
        <v>1</v>
      </c>
      <c r="C297" s="1" t="s">
        <v>2329</v>
      </c>
      <c r="D297" s="1" t="s">
        <v>2330</v>
      </c>
      <c r="E297" s="5">
        <v>30677</v>
      </c>
      <c r="F297" s="1" t="s">
        <v>17</v>
      </c>
      <c r="G297" s="1" t="s">
        <v>15</v>
      </c>
      <c r="H297" s="1" t="s">
        <v>16</v>
      </c>
      <c r="I297" s="6" t="str">
        <f>IF(B297=0,VLOOKUP(A297,Feuil2!$A$2:$M$1241,7,FALSE)," ")</f>
        <v xml:space="preserve"> </v>
      </c>
      <c r="J297" s="1" t="str">
        <f>IF(B297=0,VLOOKUP(A297,Feuil2!$A$2:$M$1241,9,FALSE)," ")</f>
        <v xml:space="preserve"> </v>
      </c>
      <c r="K297" s="1" t="str">
        <f>IF(B297=0,VLOOKUP(A297,Feuil2!$A$2:$M$1241,10,FALSE)," ")</f>
        <v xml:space="preserve"> </v>
      </c>
      <c r="L297" s="1"/>
      <c r="M297" s="1"/>
      <c r="N297" s="2"/>
      <c r="O297" s="8" t="str">
        <f>IF(B297=0,VLOOKUP(A297,Feuil2!$A$2:$M$1241,13,FALSE)," ")</f>
        <v xml:space="preserve"> </v>
      </c>
    </row>
    <row r="298" spans="1:16" x14ac:dyDescent="0.3">
      <c r="A298" s="1">
        <v>1638</v>
      </c>
      <c r="B298" s="1">
        <v>2</v>
      </c>
      <c r="C298" s="1" t="s">
        <v>62</v>
      </c>
      <c r="D298" s="1" t="s">
        <v>2331</v>
      </c>
      <c r="E298" s="5">
        <v>39596</v>
      </c>
      <c r="F298" s="1" t="s">
        <v>17</v>
      </c>
      <c r="G298" s="1" t="str">
        <f>IF(B298=0,VLOOKUP(A298,Feuil2!$A$2:$M$1241,11,FALSE)," ")</f>
        <v xml:space="preserve"> </v>
      </c>
      <c r="H298" s="1" t="s">
        <v>16</v>
      </c>
      <c r="I298" s="6" t="str">
        <f>IF(B298=0,VLOOKUP(A298,Feuil2!$A$2:$M$1241,7,FALSE)," ")</f>
        <v xml:space="preserve"> </v>
      </c>
      <c r="J298" s="1" t="str">
        <f>IF(B298=0,VLOOKUP(A298,Feuil2!$A$2:$M$1241,9,FALSE)," ")</f>
        <v xml:space="preserve"> </v>
      </c>
      <c r="K298" s="1" t="str">
        <f>IF(B298=0,VLOOKUP(A298,Feuil2!$A$2:$M$1241,10,FALSE)," ")</f>
        <v xml:space="preserve"> </v>
      </c>
      <c r="L298" s="1"/>
      <c r="M298" s="1"/>
      <c r="N298" s="1"/>
      <c r="O298" s="8" t="str">
        <f>IF(B298=0,VLOOKUP(A298,Feuil2!$A$2:$M$1241,13,FALSE)," ")</f>
        <v xml:space="preserve"> </v>
      </c>
    </row>
    <row r="299" spans="1:16" x14ac:dyDescent="0.3">
      <c r="A299" s="1">
        <v>1638</v>
      </c>
      <c r="B299" s="1">
        <v>3</v>
      </c>
      <c r="C299" s="1" t="s">
        <v>62</v>
      </c>
      <c r="D299" s="1" t="s">
        <v>2332</v>
      </c>
      <c r="E299" s="5">
        <v>40496</v>
      </c>
      <c r="F299" s="1" t="s">
        <v>17</v>
      </c>
      <c r="G299" s="1" t="str">
        <f>IF(B299=0,VLOOKUP(A299,Feuil2!$A$2:$M$1241,11,FALSE)," ")</f>
        <v xml:space="preserve"> </v>
      </c>
      <c r="H299" s="1" t="s">
        <v>16</v>
      </c>
      <c r="I299" s="6" t="str">
        <f>IF(B299=0,VLOOKUP(A299,Feuil2!$A$2:$M$1241,7,FALSE)," ")</f>
        <v xml:space="preserve"> </v>
      </c>
      <c r="J299" s="1" t="str">
        <f>IF(B299=0,VLOOKUP(A299,Feuil2!$A$2:$M$1241,9,FALSE)," ")</f>
        <v xml:space="preserve"> </v>
      </c>
      <c r="K299" s="1" t="str">
        <f>IF(B299=0,VLOOKUP(A299,Feuil2!$A$2:$M$1241,10,FALSE)," ")</f>
        <v xml:space="preserve"> </v>
      </c>
      <c r="L299" s="1"/>
      <c r="M299" s="1"/>
      <c r="N299" s="1"/>
      <c r="O299" s="8" t="str">
        <f>IF(B299=0,VLOOKUP(A299,Feuil2!$A$2:$M$1241,13,FALSE)," ")</f>
        <v xml:space="preserve"> </v>
      </c>
    </row>
    <row r="300" spans="1:16" x14ac:dyDescent="0.3">
      <c r="A300" s="1">
        <v>1638</v>
      </c>
      <c r="B300" s="1">
        <v>4</v>
      </c>
      <c r="C300" s="1" t="s">
        <v>62</v>
      </c>
      <c r="D300" s="1" t="s">
        <v>34</v>
      </c>
      <c r="E300" s="5">
        <v>40994</v>
      </c>
      <c r="F300" s="1" t="s">
        <v>506</v>
      </c>
      <c r="G300" s="1" t="str">
        <f>IF(B300=0,VLOOKUP(A300,Feuil2!$A$2:$M$1241,11,FALSE)," ")</f>
        <v xml:space="preserve"> </v>
      </c>
      <c r="H300" s="1" t="s">
        <v>16</v>
      </c>
      <c r="I300" s="6" t="str">
        <f>IF(B300=0,VLOOKUP(A300,Feuil2!$A$2:$M$1241,7,FALSE)," ")</f>
        <v xml:space="preserve"> </v>
      </c>
      <c r="J300" s="1" t="str">
        <f>IF(B300=0,VLOOKUP(A300,Feuil2!$A$2:$M$1241,9,FALSE)," ")</f>
        <v xml:space="preserve"> </v>
      </c>
      <c r="K300" s="1" t="str">
        <f>IF(B300=0,VLOOKUP(A300,Feuil2!$A$2:$M$1241,10,FALSE)," ")</f>
        <v xml:space="preserve"> </v>
      </c>
      <c r="L300" s="1"/>
      <c r="M300" s="1"/>
      <c r="N300" s="1"/>
      <c r="O300" s="8" t="str">
        <f>IF(B300=0,VLOOKUP(A300,Feuil2!$A$2:$M$1241,13,FALSE)," ")</f>
        <v xml:space="preserve"> </v>
      </c>
    </row>
    <row r="301" spans="1:16" x14ac:dyDescent="0.3">
      <c r="A301" s="1">
        <v>1651</v>
      </c>
      <c r="B301" s="1">
        <v>0</v>
      </c>
      <c r="C301" s="1" t="str">
        <f>IF(B301=0,VLOOKUP(A301,Feuil2!$A$2:$M$1241,2,FALSE)," ")</f>
        <v>BEL HADJ</v>
      </c>
      <c r="D301" s="1" t="str">
        <f>IF(B301=0,VLOOKUP(A301,Feuil2!$A$2:$M$1241,3,FALSE)," ")</f>
        <v>MOHAMED</v>
      </c>
      <c r="E301" s="5">
        <f>IF(B301=0,VLOOKUP(A301,Feuil2!$A$2:$M$1241,6,FALSE)," ")</f>
        <v>24271</v>
      </c>
      <c r="F301" s="1" t="str">
        <f>IF(B301=0,VLOOKUP(A301,Feuil2!$A$2:$M$1241,12,FALSE)," ")</f>
        <v>H</v>
      </c>
      <c r="G301" s="1" t="str">
        <f>IF(B301=0,VLOOKUP(A301,Feuil2!$A$2:$M$1241,11,FALSE)," ")</f>
        <v>M</v>
      </c>
      <c r="H301" s="1" t="s">
        <v>16</v>
      </c>
      <c r="I301" s="6">
        <f>IF(B301=0,VLOOKUP(A301,Feuil2!$A$2:$M$1241,7,FALSE)," ")</f>
        <v>5501844</v>
      </c>
      <c r="J301" s="1" t="str">
        <f>IF(B301=0,VLOOKUP(A301,Feuil2!$A$2:$M$1241,9,FALSE)," ")</f>
        <v>274 Rue Arafat</v>
      </c>
      <c r="K301" s="1" t="str">
        <f>IF(B301=0,VLOOKUP(A301,Feuil2!$A$2:$M$1241,10,FALSE)," ")</f>
        <v>Msaken 4070</v>
      </c>
      <c r="L301" s="1">
        <v>4070</v>
      </c>
      <c r="M301" s="1">
        <v>22770971</v>
      </c>
      <c r="N301" s="1"/>
      <c r="O301" s="8" t="str">
        <f>IF(B301=0,VLOOKUP(A301,Feuil2!$A$2:$M$1241,13,FALSE)," ")</f>
        <v>08507000262001253203</v>
      </c>
    </row>
    <row r="302" spans="1:16" x14ac:dyDescent="0.3">
      <c r="A302" s="1">
        <v>1651</v>
      </c>
      <c r="B302" s="1">
        <v>1</v>
      </c>
      <c r="C302" s="1" t="s">
        <v>2343</v>
      </c>
      <c r="D302" s="1" t="s">
        <v>600</v>
      </c>
      <c r="E302" s="5">
        <v>30107</v>
      </c>
      <c r="F302" s="1" t="s">
        <v>17</v>
      </c>
      <c r="G302" s="1" t="s">
        <v>15</v>
      </c>
      <c r="H302" s="1" t="s">
        <v>16</v>
      </c>
      <c r="I302" s="6" t="str">
        <f>IF(B302=0,VLOOKUP(A302,Feuil2!$A$2:$M$1241,7,FALSE)," ")</f>
        <v xml:space="preserve"> </v>
      </c>
      <c r="J302" s="1" t="str">
        <f>IF(B302=0,VLOOKUP(A302,Feuil2!$A$2:$M$1241,9,FALSE)," ")</f>
        <v xml:space="preserve"> </v>
      </c>
      <c r="K302" s="1" t="str">
        <f>IF(B302=0,VLOOKUP(A302,Feuil2!$A$2:$M$1241,10,FALSE)," ")</f>
        <v xml:space="preserve"> </v>
      </c>
      <c r="L302" s="1"/>
      <c r="M302" s="1"/>
      <c r="N302" s="1"/>
      <c r="O302" s="8" t="str">
        <f>IF(B302=0,VLOOKUP(A302,Feuil2!$A$2:$M$1241,13,FALSE)," ")</f>
        <v xml:space="preserve"> </v>
      </c>
    </row>
    <row r="303" spans="1:16" x14ac:dyDescent="0.3">
      <c r="A303" s="1">
        <v>1651</v>
      </c>
      <c r="B303" s="1">
        <v>2</v>
      </c>
      <c r="C303" s="1" t="s">
        <v>35</v>
      </c>
      <c r="D303" s="1" t="s">
        <v>2332</v>
      </c>
      <c r="E303" s="5">
        <v>40995</v>
      </c>
      <c r="F303" s="1" t="s">
        <v>17</v>
      </c>
      <c r="G303" s="1" t="str">
        <f>IF(B303=0,VLOOKUP(A303,Feuil2!$A$2:$M$1241,11,FALSE)," ")</f>
        <v xml:space="preserve"> </v>
      </c>
      <c r="H303" s="1" t="s">
        <v>16</v>
      </c>
      <c r="I303" s="6" t="str">
        <f>IF(B303=0,VLOOKUP(A303,Feuil2!$A$2:$M$1241,7,FALSE)," ")</f>
        <v xml:space="preserve"> </v>
      </c>
      <c r="J303" s="1" t="str">
        <f>IF(B303=0,VLOOKUP(A303,Feuil2!$A$2:$M$1241,9,FALSE)," ")</f>
        <v xml:space="preserve"> </v>
      </c>
      <c r="K303" s="1" t="str">
        <f>IF(B303=0,VLOOKUP(A303,Feuil2!$A$2:$M$1241,10,FALSE)," ")</f>
        <v xml:space="preserve"> </v>
      </c>
      <c r="L303" s="1"/>
      <c r="M303" s="1"/>
      <c r="N303" s="1"/>
      <c r="O303" s="8" t="str">
        <f>IF(B303=0,VLOOKUP(A303,Feuil2!$A$2:$M$1241,13,FALSE)," ")</f>
        <v xml:space="preserve"> </v>
      </c>
    </row>
    <row r="304" spans="1:16" x14ac:dyDescent="0.3">
      <c r="A304" s="1">
        <v>1651</v>
      </c>
      <c r="B304" s="1">
        <v>3</v>
      </c>
      <c r="C304" s="1" t="s">
        <v>35</v>
      </c>
      <c r="D304" s="1" t="s">
        <v>2344</v>
      </c>
      <c r="E304" s="5">
        <v>41624</v>
      </c>
      <c r="F304" s="1" t="s">
        <v>17</v>
      </c>
      <c r="G304" s="1" t="str">
        <f>IF(B304=0,VLOOKUP(A304,Feuil2!$A$2:$M$1241,11,FALSE)," ")</f>
        <v xml:space="preserve"> </v>
      </c>
      <c r="H304" s="1" t="s">
        <v>16</v>
      </c>
      <c r="I304" s="6" t="str">
        <f>IF(B304=0,VLOOKUP(A304,Feuil2!$A$2:$M$1241,7,FALSE)," ")</f>
        <v xml:space="preserve"> </v>
      </c>
      <c r="J304" s="1" t="str">
        <f>IF(B304=0,VLOOKUP(A304,Feuil2!$A$2:$M$1241,9,FALSE)," ")</f>
        <v xml:space="preserve"> </v>
      </c>
      <c r="K304" s="1" t="str">
        <f>IF(B304=0,VLOOKUP(A304,Feuil2!$A$2:$M$1241,10,FALSE)," ")</f>
        <v xml:space="preserve"> </v>
      </c>
      <c r="L304" s="1"/>
      <c r="M304" s="1"/>
      <c r="N304" s="1"/>
      <c r="O304" s="8" t="str">
        <f>IF(B304=0,VLOOKUP(A304,Feuil2!$A$2:$M$1241,13,FALSE)," ")</f>
        <v xml:space="preserve"> </v>
      </c>
    </row>
    <row r="305" spans="1:15" x14ac:dyDescent="0.3">
      <c r="A305" s="1">
        <v>1651</v>
      </c>
      <c r="B305" s="1">
        <v>4</v>
      </c>
      <c r="C305" s="1" t="s">
        <v>35</v>
      </c>
      <c r="D305" s="1" t="s">
        <v>122</v>
      </c>
      <c r="E305" s="5">
        <v>42121</v>
      </c>
      <c r="F305" s="1" t="s">
        <v>506</v>
      </c>
      <c r="G305" s="1" t="str">
        <f>IF(B305=0,VLOOKUP(A305,Feuil2!$A$2:$M$1241,11,FALSE)," ")</f>
        <v xml:space="preserve"> </v>
      </c>
      <c r="H305" s="1" t="s">
        <v>16</v>
      </c>
      <c r="I305" s="6" t="str">
        <f>IF(B305=0,VLOOKUP(A305,Feuil2!$A$2:$M$1241,7,FALSE)," ")</f>
        <v xml:space="preserve"> </v>
      </c>
      <c r="J305" s="1" t="str">
        <f>IF(B305=0,VLOOKUP(A305,Feuil2!$A$2:$M$1241,9,FALSE)," ")</f>
        <v xml:space="preserve"> </v>
      </c>
      <c r="K305" s="1" t="str">
        <f>IF(B305=0,VLOOKUP(A305,Feuil2!$A$2:$M$1241,10,FALSE)," ")</f>
        <v xml:space="preserve"> </v>
      </c>
      <c r="L305" s="1"/>
      <c r="M305" s="1"/>
      <c r="N305" s="1"/>
      <c r="O305" s="8" t="str">
        <f>IF(B305=0,VLOOKUP(A305,Feuil2!$A$2:$M$1241,13,FALSE)," ")</f>
        <v xml:space="preserve"> </v>
      </c>
    </row>
    <row r="306" spans="1:15" x14ac:dyDescent="0.3">
      <c r="A306" s="1">
        <v>1657</v>
      </c>
      <c r="B306" s="1">
        <v>0</v>
      </c>
      <c r="C306" s="1" t="str">
        <f>IF(B306=0,VLOOKUP(A306,Feuil2!$A$2:$M$1241,2,FALSE)," ")</f>
        <v>BELLALOUNA</v>
      </c>
      <c r="D306" s="1" t="str">
        <f>IF(B306=0,VLOOKUP(A306,Feuil2!$A$2:$M$1241,3,FALSE)," ")</f>
        <v>NIDHAL</v>
      </c>
      <c r="E306" s="5">
        <f>IF(B306=0,VLOOKUP(A306,Feuil2!$A$2:$M$1241,6,FALSE)," ")</f>
        <v>29054</v>
      </c>
      <c r="F306" s="1" t="str">
        <f>IF(B306=0,VLOOKUP(A306,Feuil2!$A$2:$M$1241,12,FALSE)," ")</f>
        <v>H</v>
      </c>
      <c r="G306" s="1" t="str">
        <f>IF(B306=0,VLOOKUP(A306,Feuil2!$A$2:$M$1241,11,FALSE)," ")</f>
        <v>M</v>
      </c>
      <c r="H306" s="1" t="s">
        <v>16</v>
      </c>
      <c r="I306" s="6">
        <f>IF(B306=0,VLOOKUP(A306,Feuil2!$A$2:$M$1241,7,FALSE)," ")</f>
        <v>8427397</v>
      </c>
      <c r="J306" s="1" t="str">
        <f>IF(B306=0,VLOOKUP(A306,Feuil2!$A$2:$M$1241,9,FALSE)," ")</f>
        <v>4025 Sidi El Hani</v>
      </c>
      <c r="K306" s="1" t="str">
        <f>IF(B306=0,VLOOKUP(A306,Feuil2!$A$2:$M$1241,10,FALSE)," ")</f>
        <v>Sidi El HÃ©ni 4025</v>
      </c>
      <c r="L306" s="1"/>
      <c r="M306" s="1">
        <v>28103278</v>
      </c>
      <c r="N306" s="1"/>
      <c r="O306" s="8" t="str">
        <f>IF(B306=0,VLOOKUP(A306,Feuil2!$A$2:$M$1241,13,FALSE)," ")</f>
        <v>05048000116500468637</v>
      </c>
    </row>
    <row r="307" spans="1:15" x14ac:dyDescent="0.3">
      <c r="A307" s="1">
        <v>1657</v>
      </c>
      <c r="B307" s="1">
        <v>1</v>
      </c>
      <c r="C307" s="1" t="s">
        <v>2518</v>
      </c>
      <c r="D307" s="1" t="s">
        <v>402</v>
      </c>
      <c r="E307" s="5">
        <v>30084</v>
      </c>
      <c r="F307" s="1" t="s">
        <v>17</v>
      </c>
      <c r="G307" s="1" t="s">
        <v>15</v>
      </c>
      <c r="H307" s="1" t="s">
        <v>16</v>
      </c>
      <c r="I307" s="6" t="str">
        <f>IF(B307=0,VLOOKUP(A307,Feuil2!$A$2:$M$1241,7,FALSE)," ")</f>
        <v xml:space="preserve"> </v>
      </c>
      <c r="J307" s="1" t="str">
        <f>IF(B307=0,VLOOKUP(A307,Feuil2!$A$2:$M$1241,9,FALSE)," ")</f>
        <v xml:space="preserve"> </v>
      </c>
      <c r="K307" s="1" t="str">
        <f>IF(B307=0,VLOOKUP(A307,Feuil2!$A$2:$M$1241,10,FALSE)," ")</f>
        <v xml:space="preserve"> </v>
      </c>
      <c r="L307" s="1"/>
      <c r="M307" s="1"/>
      <c r="N307" s="1"/>
      <c r="O307" s="8" t="str">
        <f>IF(B307=0,VLOOKUP(A307,Feuil2!$A$2:$M$1241,13,FALSE)," ")</f>
        <v xml:space="preserve"> </v>
      </c>
    </row>
    <row r="308" spans="1:15" x14ac:dyDescent="0.3">
      <c r="A308" s="1">
        <v>1657</v>
      </c>
      <c r="B308" s="1">
        <v>2</v>
      </c>
      <c r="C308" s="1" t="s">
        <v>286</v>
      </c>
      <c r="D308" s="1" t="s">
        <v>2512</v>
      </c>
      <c r="E308" s="5">
        <v>37682</v>
      </c>
      <c r="F308" s="1" t="s">
        <v>17</v>
      </c>
      <c r="G308" s="1" t="str">
        <f>IF(B308=0,VLOOKUP(A308,Feuil2!$A$2:$M$1241,11,FALSE)," ")</f>
        <v xml:space="preserve"> </v>
      </c>
      <c r="H308" s="1" t="s">
        <v>16</v>
      </c>
      <c r="I308" s="6" t="str">
        <f>IF(B308=0,VLOOKUP(A308,Feuil2!$A$2:$M$1241,7,FALSE)," ")</f>
        <v xml:space="preserve"> </v>
      </c>
      <c r="J308" s="1" t="str">
        <f>IF(B308=0,VLOOKUP(A308,Feuil2!$A$2:$M$1241,9,FALSE)," ")</f>
        <v xml:space="preserve"> </v>
      </c>
      <c r="K308" s="1" t="str">
        <f>IF(B308=0,VLOOKUP(A308,Feuil2!$A$2:$M$1241,10,FALSE)," ")</f>
        <v xml:space="preserve"> </v>
      </c>
      <c r="L308" s="1"/>
      <c r="M308" s="1"/>
      <c r="N308" s="1"/>
      <c r="O308" s="8" t="str">
        <f>IF(B308=0,VLOOKUP(A308,Feuil2!$A$2:$M$1241,13,FALSE)," ")</f>
        <v xml:space="preserve"> </v>
      </c>
    </row>
    <row r="309" spans="1:15" x14ac:dyDescent="0.3">
      <c r="A309" s="1">
        <v>1657</v>
      </c>
      <c r="B309" s="1">
        <v>3</v>
      </c>
      <c r="C309" s="1" t="s">
        <v>286</v>
      </c>
      <c r="D309" s="1" t="s">
        <v>2089</v>
      </c>
      <c r="E309" s="5">
        <v>38429</v>
      </c>
      <c r="F309" s="1" t="s">
        <v>17</v>
      </c>
      <c r="G309" s="1" t="str">
        <f>IF(B309=0,VLOOKUP(A309,Feuil2!$A$2:$M$1241,11,FALSE)," ")</f>
        <v xml:space="preserve"> </v>
      </c>
      <c r="H309" s="1" t="s">
        <v>16</v>
      </c>
      <c r="I309" s="6" t="str">
        <f>IF(B309=0,VLOOKUP(A309,Feuil2!$A$2:$M$1241,7,FALSE)," ")</f>
        <v xml:space="preserve"> </v>
      </c>
      <c r="J309" s="1" t="str">
        <f>IF(B309=0,VLOOKUP(A309,Feuil2!$A$2:$M$1241,9,FALSE)," ")</f>
        <v xml:space="preserve"> </v>
      </c>
      <c r="K309" s="1" t="str">
        <f>IF(B309=0,VLOOKUP(A309,Feuil2!$A$2:$M$1241,10,FALSE)," ")</f>
        <v xml:space="preserve"> </v>
      </c>
      <c r="L309" s="1"/>
      <c r="M309" s="1"/>
      <c r="N309" s="1"/>
      <c r="O309" s="8" t="str">
        <f>IF(B309=0,VLOOKUP(A309,Feuil2!$A$2:$M$1241,13,FALSE)," ")</f>
        <v xml:space="preserve"> </v>
      </c>
    </row>
    <row r="310" spans="1:15" x14ac:dyDescent="0.3">
      <c r="A310" s="1">
        <v>1657</v>
      </c>
      <c r="B310" s="1">
        <v>4</v>
      </c>
      <c r="C310" s="1" t="s">
        <v>286</v>
      </c>
      <c r="D310" s="1" t="s">
        <v>2388</v>
      </c>
      <c r="E310" s="5">
        <v>39413</v>
      </c>
      <c r="F310" s="1" t="s">
        <v>506</v>
      </c>
      <c r="G310" s="1" t="str">
        <f>IF(B310=0,VLOOKUP(A310,Feuil2!$A$2:$M$1241,11,FALSE)," ")</f>
        <v xml:space="preserve"> </v>
      </c>
      <c r="H310" s="1" t="s">
        <v>16</v>
      </c>
      <c r="I310" s="6" t="str">
        <f>IF(B310=0,VLOOKUP(A310,Feuil2!$A$2:$M$1241,7,FALSE)," ")</f>
        <v xml:space="preserve"> </v>
      </c>
      <c r="J310" s="1" t="str">
        <f>IF(B310=0,VLOOKUP(A310,Feuil2!$A$2:$M$1241,9,FALSE)," ")</f>
        <v xml:space="preserve"> </v>
      </c>
      <c r="K310" s="1" t="str">
        <f>IF(B310=0,VLOOKUP(A310,Feuil2!$A$2:$M$1241,10,FALSE)," ")</f>
        <v xml:space="preserve"> </v>
      </c>
      <c r="L310" s="1"/>
      <c r="M310" s="1"/>
      <c r="N310" s="1"/>
      <c r="O310" s="8" t="str">
        <f>IF(B310=0,VLOOKUP(A310,Feuil2!$A$2:$M$1241,13,FALSE)," ")</f>
        <v xml:space="preserve"> </v>
      </c>
    </row>
    <row r="311" spans="1:15" x14ac:dyDescent="0.3">
      <c r="A311" s="1">
        <v>1657</v>
      </c>
      <c r="B311" s="1">
        <v>5</v>
      </c>
      <c r="C311" s="1" t="s">
        <v>286</v>
      </c>
      <c r="D311" s="1" t="s">
        <v>2519</v>
      </c>
      <c r="E311" s="5">
        <v>43671</v>
      </c>
      <c r="F311" s="1" t="s">
        <v>17</v>
      </c>
      <c r="G311" s="1" t="str">
        <f>IF(B311=0,VLOOKUP(A311,Feuil2!$A$2:$M$1241,11,FALSE)," ")</f>
        <v xml:space="preserve"> </v>
      </c>
      <c r="H311" s="1" t="s">
        <v>16</v>
      </c>
      <c r="I311" s="6" t="str">
        <f>IF(B311=0,VLOOKUP(A311,Feuil2!$A$2:$M$1241,7,FALSE)," ")</f>
        <v xml:space="preserve"> </v>
      </c>
      <c r="J311" s="1" t="str">
        <f>IF(B311=0,VLOOKUP(A311,Feuil2!$A$2:$M$1241,9,FALSE)," ")</f>
        <v xml:space="preserve"> </v>
      </c>
      <c r="K311" s="1" t="str">
        <f>IF(B311=0,VLOOKUP(A311,Feuil2!$A$2:$M$1241,10,FALSE)," ")</f>
        <v xml:space="preserve"> </v>
      </c>
      <c r="L311" s="1"/>
      <c r="M311" s="1"/>
      <c r="N311" s="1"/>
      <c r="O311" s="8" t="str">
        <f>IF(B311=0,VLOOKUP(A311,Feuil2!$A$2:$M$1241,13,FALSE)," ")</f>
        <v xml:space="preserve"> </v>
      </c>
    </row>
    <row r="312" spans="1:15" x14ac:dyDescent="0.3">
      <c r="A312" s="1">
        <v>1659</v>
      </c>
      <c r="B312" s="1">
        <v>0</v>
      </c>
      <c r="C312" s="1" t="str">
        <f>IF(B312=0,VLOOKUP(A312,Feuil2!$A$2:$M$1241,2,FALSE)," ")</f>
        <v>BEN ABDALLAH</v>
      </c>
      <c r="D312" s="1" t="str">
        <f>IF(B312=0,VLOOKUP(A312,Feuil2!$A$2:$M$1241,3,FALSE)," ")</f>
        <v>FAOUZI</v>
      </c>
      <c r="E312" s="5">
        <f>IF(B312=0,VLOOKUP(A312,Feuil2!$A$2:$M$1241,6,FALSE)," ")</f>
        <v>27814</v>
      </c>
      <c r="F312" s="1" t="str">
        <f>IF(B312=0,VLOOKUP(A312,Feuil2!$A$2:$M$1241,12,FALSE)," ")</f>
        <v>H</v>
      </c>
      <c r="G312" s="1" t="str">
        <f>IF(B312=0,VLOOKUP(A312,Feuil2!$A$2:$M$1241,11,FALSE)," ")</f>
        <v>M</v>
      </c>
      <c r="H312" s="1" t="s">
        <v>16</v>
      </c>
      <c r="I312" s="6">
        <f>IF(B312=0,VLOOKUP(A312,Feuil2!$A$2:$M$1241,7,FALSE)," ")</f>
        <v>5538237</v>
      </c>
      <c r="J312" s="1" t="str">
        <f>IF(B312=0,VLOOKUP(A312,Feuil2!$A$2:$M$1241,9,FALSE)," ")</f>
        <v>Cite Ibn Khaldoun</v>
      </c>
      <c r="K312" s="1" t="str">
        <f>IF(B312=0,VLOOKUP(A312,Feuil2!$A$2:$M$1241,10,FALSE)," ")</f>
        <v>Msaken 4070</v>
      </c>
      <c r="L312" s="1">
        <v>4070</v>
      </c>
      <c r="M312" s="1">
        <v>97339122</v>
      </c>
      <c r="N312" s="1"/>
      <c r="O312" s="8" t="str">
        <f>IF(B312=0,VLOOKUP(A312,Feuil2!$A$2:$M$1241,13,FALSE)," ")</f>
        <v>10506040206132178821</v>
      </c>
    </row>
    <row r="313" spans="1:15" x14ac:dyDescent="0.3">
      <c r="A313" s="1">
        <v>1659</v>
      </c>
      <c r="B313" s="1">
        <v>1</v>
      </c>
      <c r="C313" s="1" t="s">
        <v>703</v>
      </c>
      <c r="D313" s="1" t="s">
        <v>2352</v>
      </c>
      <c r="E313" s="5">
        <v>28139</v>
      </c>
      <c r="F313" s="1" t="s">
        <v>17</v>
      </c>
      <c r="G313" s="1" t="s">
        <v>15</v>
      </c>
      <c r="H313" s="1" t="s">
        <v>16</v>
      </c>
      <c r="I313" s="6" t="str">
        <f>IF(B313=0,VLOOKUP(A313,Feuil2!$A$2:$M$1241,7,FALSE)," ")</f>
        <v xml:space="preserve"> </v>
      </c>
      <c r="J313" s="1" t="str">
        <f>IF(B313=0,VLOOKUP(A313,Feuil2!$A$2:$M$1241,9,FALSE)," ")</f>
        <v xml:space="preserve"> </v>
      </c>
      <c r="K313" s="1" t="str">
        <f>IF(B313=0,VLOOKUP(A313,Feuil2!$A$2:$M$1241,10,FALSE)," ")</f>
        <v xml:space="preserve"> </v>
      </c>
      <c r="L313" s="1"/>
      <c r="M313" s="1"/>
      <c r="N313" s="1"/>
      <c r="O313" s="8" t="str">
        <f>IF(B313=0,VLOOKUP(A313,Feuil2!$A$2:$M$1241,13,FALSE)," ")</f>
        <v xml:space="preserve"> </v>
      </c>
    </row>
    <row r="314" spans="1:15" x14ac:dyDescent="0.3">
      <c r="A314" s="1">
        <v>1659</v>
      </c>
      <c r="B314" s="1">
        <v>2</v>
      </c>
      <c r="C314" s="1" t="s">
        <v>582</v>
      </c>
      <c r="D314" s="1" t="s">
        <v>449</v>
      </c>
      <c r="E314" s="5">
        <v>39816</v>
      </c>
      <c r="F314" s="1" t="s">
        <v>17</v>
      </c>
      <c r="G314" s="1" t="str">
        <f>IF(B314=0,VLOOKUP(A314,Feuil2!$A$2:$M$1241,11,FALSE)," ")</f>
        <v xml:space="preserve"> </v>
      </c>
      <c r="H314" s="1" t="s">
        <v>16</v>
      </c>
      <c r="I314" s="6" t="str">
        <f>IF(B314=0,VLOOKUP(A314,Feuil2!$A$2:$M$1241,7,FALSE)," ")</f>
        <v xml:space="preserve"> </v>
      </c>
      <c r="J314" s="1" t="str">
        <f>IF(B314=0,VLOOKUP(A314,Feuil2!$A$2:$M$1241,9,FALSE)," ")</f>
        <v xml:space="preserve"> </v>
      </c>
      <c r="K314" s="1" t="str">
        <f>IF(B314=0,VLOOKUP(A314,Feuil2!$A$2:$M$1241,10,FALSE)," ")</f>
        <v xml:space="preserve"> </v>
      </c>
      <c r="L314" s="1"/>
      <c r="M314" s="1"/>
      <c r="N314" s="1"/>
      <c r="O314" s="8" t="str">
        <f>IF(B314=0,VLOOKUP(A314,Feuil2!$A$2:$M$1241,13,FALSE)," ")</f>
        <v xml:space="preserve"> </v>
      </c>
    </row>
    <row r="315" spans="1:15" x14ac:dyDescent="0.3">
      <c r="A315" s="1">
        <v>1659</v>
      </c>
      <c r="B315" s="1">
        <v>3</v>
      </c>
      <c r="C315" s="1" t="s">
        <v>582</v>
      </c>
      <c r="D315" s="1" t="s">
        <v>2353</v>
      </c>
      <c r="E315" s="5">
        <v>40837</v>
      </c>
      <c r="F315" s="1" t="s">
        <v>17</v>
      </c>
      <c r="G315" s="1" t="str">
        <f>IF(B315=0,VLOOKUP(A315,Feuil2!$A$2:$M$1241,11,FALSE)," ")</f>
        <v xml:space="preserve"> </v>
      </c>
      <c r="H315" s="1" t="s">
        <v>16</v>
      </c>
      <c r="I315" s="6" t="str">
        <f>IF(B315=0,VLOOKUP(A315,Feuil2!$A$2:$M$1241,7,FALSE)," ")</f>
        <v xml:space="preserve"> </v>
      </c>
      <c r="J315" s="1" t="str">
        <f>IF(B315=0,VLOOKUP(A315,Feuil2!$A$2:$M$1241,9,FALSE)," ")</f>
        <v xml:space="preserve"> </v>
      </c>
      <c r="K315" s="1" t="str">
        <f>IF(B315=0,VLOOKUP(A315,Feuil2!$A$2:$M$1241,10,FALSE)," ")</f>
        <v xml:space="preserve"> </v>
      </c>
      <c r="L315" s="1"/>
      <c r="M315" s="1"/>
      <c r="N315" s="1"/>
      <c r="O315" s="8" t="str">
        <f>IF(B315=0,VLOOKUP(A315,Feuil2!$A$2:$M$1241,13,FALSE)," ")</f>
        <v xml:space="preserve"> </v>
      </c>
    </row>
    <row r="316" spans="1:15" x14ac:dyDescent="0.3">
      <c r="A316" s="1">
        <v>1659</v>
      </c>
      <c r="B316" s="1">
        <v>4</v>
      </c>
      <c r="C316" s="1" t="s">
        <v>582</v>
      </c>
      <c r="D316" s="1" t="s">
        <v>110</v>
      </c>
      <c r="E316" s="5">
        <v>40837</v>
      </c>
      <c r="F316" s="1" t="s">
        <v>506</v>
      </c>
      <c r="G316" s="1" t="str">
        <f>IF(B316=0,VLOOKUP(A316,Feuil2!$A$2:$M$1241,11,FALSE)," ")</f>
        <v xml:space="preserve"> </v>
      </c>
      <c r="H316" s="1" t="s">
        <v>16</v>
      </c>
      <c r="I316" s="6" t="str">
        <f>IF(B316=0,VLOOKUP(A316,Feuil2!$A$2:$M$1241,7,FALSE)," ")</f>
        <v xml:space="preserve"> </v>
      </c>
      <c r="J316" s="1" t="str">
        <f>IF(B316=0,VLOOKUP(A316,Feuil2!$A$2:$M$1241,9,FALSE)," ")</f>
        <v xml:space="preserve"> </v>
      </c>
      <c r="K316" s="1" t="str">
        <f>IF(B316=0,VLOOKUP(A316,Feuil2!$A$2:$M$1241,10,FALSE)," ")</f>
        <v xml:space="preserve"> </v>
      </c>
      <c r="L316" s="1"/>
      <c r="M316" s="1"/>
      <c r="N316" s="1"/>
      <c r="O316" s="8" t="str">
        <f>IF(B316=0,VLOOKUP(A316,Feuil2!$A$2:$M$1241,13,FALSE)," ")</f>
        <v xml:space="preserve"> </v>
      </c>
    </row>
    <row r="317" spans="1:15" x14ac:dyDescent="0.3">
      <c r="A317" s="1">
        <v>1659</v>
      </c>
      <c r="B317" s="1">
        <v>5</v>
      </c>
      <c r="C317" s="1" t="s">
        <v>582</v>
      </c>
      <c r="D317" s="1" t="s">
        <v>2338</v>
      </c>
      <c r="E317" s="5">
        <v>42850</v>
      </c>
      <c r="F317" s="1" t="s">
        <v>17</v>
      </c>
      <c r="G317" s="1" t="str">
        <f>IF(B317=0,VLOOKUP(A317,Feuil2!$A$2:$M$1241,11,FALSE)," ")</f>
        <v xml:space="preserve"> </v>
      </c>
      <c r="H317" s="1" t="s">
        <v>16</v>
      </c>
      <c r="I317" s="6" t="str">
        <f>IF(B317=0,VLOOKUP(A317,Feuil2!$A$2:$M$1241,7,FALSE)," ")</f>
        <v xml:space="preserve"> </v>
      </c>
      <c r="J317" s="1" t="str">
        <f>IF(B317=0,VLOOKUP(A317,Feuil2!$A$2:$M$1241,9,FALSE)," ")</f>
        <v xml:space="preserve"> </v>
      </c>
      <c r="K317" s="1" t="str">
        <f>IF(B317=0,VLOOKUP(A317,Feuil2!$A$2:$M$1241,10,FALSE)," ")</f>
        <v xml:space="preserve"> </v>
      </c>
      <c r="L317" s="1"/>
      <c r="M317" s="1"/>
      <c r="N317" s="1"/>
      <c r="O317" s="8" t="str">
        <f>IF(B317=0,VLOOKUP(A317,Feuil2!$A$2:$M$1241,13,FALSE)," ")</f>
        <v xml:space="preserve"> </v>
      </c>
    </row>
    <row r="318" spans="1:15" x14ac:dyDescent="0.3">
      <c r="A318" s="1">
        <v>1663</v>
      </c>
      <c r="B318" s="1">
        <v>0</v>
      </c>
      <c r="C318" s="1" t="str">
        <f>IF(B318=0,VLOOKUP(A318,Feuil2!$A$2:$M$1241,2,FALSE)," ")</f>
        <v>ACHOUR</v>
      </c>
      <c r="D318" s="1" t="str">
        <f>IF(B318=0,VLOOKUP(A318,Feuil2!$A$2:$M$1241,3,FALSE)," ")</f>
        <v>NAOUFEL</v>
      </c>
      <c r="E318" s="5">
        <f>IF(B318=0,VLOOKUP(A318,Feuil2!$A$2:$M$1241,6,FALSE)," ")</f>
        <v>27760</v>
      </c>
      <c r="F318" s="1" t="str">
        <f>IF(B318=0,VLOOKUP(A318,Feuil2!$A$2:$M$1241,12,FALSE)," ")</f>
        <v>H</v>
      </c>
      <c r="G318" s="1" t="str">
        <f>IF(B318=0,VLOOKUP(A318,Feuil2!$A$2:$M$1241,11,FALSE)," ")</f>
        <v>M</v>
      </c>
      <c r="H318" s="1" t="s">
        <v>16</v>
      </c>
      <c r="I318" s="6">
        <f>IF(B318=0,VLOOKUP(A318,Feuil2!$A$2:$M$1241,7,FALSE)," ")</f>
        <v>5597309</v>
      </c>
      <c r="J318" s="1" t="str">
        <f>IF(B318=0,VLOOKUP(A318,Feuil2!$A$2:$M$1241,9,FALSE)," ")</f>
        <v>23 Rue El Imam Mezri</v>
      </c>
      <c r="K318" s="1" t="str">
        <f>IF(B318=0,VLOOKUP(A318,Feuil2!$A$2:$M$1241,10,FALSE)," ")</f>
        <v>Msaken 4070</v>
      </c>
      <c r="L318" s="1">
        <v>4070</v>
      </c>
      <c r="M318" s="1">
        <v>23557377</v>
      </c>
      <c r="N318" s="1"/>
      <c r="O318" s="8" t="str">
        <f>IF(B318=0,VLOOKUP(A318,Feuil2!$A$2:$M$1241,13,FALSE)," ")</f>
        <v>04204067404000823971</v>
      </c>
    </row>
    <row r="319" spans="1:15" x14ac:dyDescent="0.3">
      <c r="A319" s="1">
        <v>1663</v>
      </c>
      <c r="B319" s="1">
        <v>1</v>
      </c>
      <c r="C319" s="1" t="s">
        <v>229</v>
      </c>
      <c r="D319" s="1" t="s">
        <v>1787</v>
      </c>
      <c r="E319" s="5">
        <v>27892</v>
      </c>
      <c r="F319" s="1" t="s">
        <v>17</v>
      </c>
      <c r="G319" s="1" t="s">
        <v>15</v>
      </c>
      <c r="H319" s="1" t="s">
        <v>16</v>
      </c>
      <c r="I319" s="6" t="str">
        <f>IF(B319=0,VLOOKUP(A319,Feuil2!$A$2:$M$1241,7,FALSE)," ")</f>
        <v xml:space="preserve"> </v>
      </c>
      <c r="J319" s="1" t="str">
        <f>IF(B319=0,VLOOKUP(A319,Feuil2!$A$2:$M$1241,9,FALSE)," ")</f>
        <v xml:space="preserve"> </v>
      </c>
      <c r="K319" s="1" t="str">
        <f>IF(B319=0,VLOOKUP(A319,Feuil2!$A$2:$M$1241,10,FALSE)," ")</f>
        <v xml:space="preserve"> </v>
      </c>
      <c r="L319" s="1"/>
      <c r="M319" s="1"/>
      <c r="N319" s="1"/>
      <c r="O319" s="8" t="str">
        <f>IF(B319=0,VLOOKUP(A319,Feuil2!$A$2:$M$1241,13,FALSE)," ")</f>
        <v xml:space="preserve"> </v>
      </c>
    </row>
    <row r="320" spans="1:15" x14ac:dyDescent="0.3">
      <c r="A320" s="1">
        <v>1663</v>
      </c>
      <c r="B320" s="1">
        <v>2</v>
      </c>
      <c r="C320" s="1" t="s">
        <v>264</v>
      </c>
      <c r="D320" s="1" t="s">
        <v>2477</v>
      </c>
      <c r="E320" s="5">
        <v>37862</v>
      </c>
      <c r="F320" s="1" t="s">
        <v>17</v>
      </c>
      <c r="G320" s="1" t="str">
        <f>IF(B320=0,VLOOKUP(A320,Feuil2!$A$2:$M$1241,11,FALSE)," ")</f>
        <v xml:space="preserve"> </v>
      </c>
      <c r="H320" s="1" t="s">
        <v>16</v>
      </c>
      <c r="I320" s="6" t="str">
        <f>IF(B320=0,VLOOKUP(A320,Feuil2!$A$2:$M$1241,7,FALSE)," ")</f>
        <v xml:space="preserve"> </v>
      </c>
      <c r="J320" s="1" t="str">
        <f>IF(B320=0,VLOOKUP(A320,Feuil2!$A$2:$M$1241,9,FALSE)," ")</f>
        <v xml:space="preserve"> </v>
      </c>
      <c r="K320" s="1" t="str">
        <f>IF(B320=0,VLOOKUP(A320,Feuil2!$A$2:$M$1241,10,FALSE)," ")</f>
        <v xml:space="preserve"> </v>
      </c>
      <c r="L320" s="1"/>
      <c r="M320" s="1"/>
      <c r="N320" s="1"/>
      <c r="O320" s="8" t="str">
        <f>IF(B320=0,VLOOKUP(A320,Feuil2!$A$2:$M$1241,13,FALSE)," ")</f>
        <v xml:space="preserve"> </v>
      </c>
    </row>
    <row r="321" spans="1:15" x14ac:dyDescent="0.3">
      <c r="A321" s="1">
        <v>1663</v>
      </c>
      <c r="B321" s="1">
        <v>3</v>
      </c>
      <c r="C321" s="1" t="s">
        <v>264</v>
      </c>
      <c r="D321" s="1" t="s">
        <v>2432</v>
      </c>
      <c r="E321" s="5">
        <v>38813</v>
      </c>
      <c r="F321" s="1" t="s">
        <v>17</v>
      </c>
      <c r="G321" s="1" t="str">
        <f>IF(B321=0,VLOOKUP(A321,Feuil2!$A$2:$M$1241,11,FALSE)," ")</f>
        <v xml:space="preserve"> </v>
      </c>
      <c r="H321" s="1" t="s">
        <v>16</v>
      </c>
      <c r="I321" s="6" t="str">
        <f>IF(B321=0,VLOOKUP(A321,Feuil2!$A$2:$M$1241,7,FALSE)," ")</f>
        <v xml:space="preserve"> </v>
      </c>
      <c r="J321" s="1" t="str">
        <f>IF(B321=0,VLOOKUP(A321,Feuil2!$A$2:$M$1241,9,FALSE)," ")</f>
        <v xml:space="preserve"> </v>
      </c>
      <c r="K321" s="1" t="str">
        <f>IF(B321=0,VLOOKUP(A321,Feuil2!$A$2:$M$1241,10,FALSE)," ")</f>
        <v xml:space="preserve"> </v>
      </c>
      <c r="L321" s="1"/>
      <c r="M321" s="1"/>
      <c r="N321" s="1"/>
      <c r="O321" s="8" t="str">
        <f>IF(B321=0,VLOOKUP(A321,Feuil2!$A$2:$M$1241,13,FALSE)," ")</f>
        <v xml:space="preserve"> </v>
      </c>
    </row>
    <row r="322" spans="1:15" x14ac:dyDescent="0.3">
      <c r="A322" s="1">
        <v>1663</v>
      </c>
      <c r="B322" s="1">
        <v>4</v>
      </c>
      <c r="C322" s="1" t="s">
        <v>264</v>
      </c>
      <c r="D322" s="1" t="s">
        <v>2492</v>
      </c>
      <c r="E322" s="5">
        <v>39974</v>
      </c>
      <c r="F322" s="1" t="s">
        <v>17</v>
      </c>
      <c r="G322" s="1" t="str">
        <f>IF(B322=0,VLOOKUP(A322,Feuil2!$A$2:$M$1241,11,FALSE)," ")</f>
        <v xml:space="preserve"> </v>
      </c>
      <c r="H322" s="1" t="s">
        <v>16</v>
      </c>
      <c r="I322" s="6" t="str">
        <f>IF(B322=0,VLOOKUP(A322,Feuil2!$A$2:$M$1241,7,FALSE)," ")</f>
        <v xml:space="preserve"> </v>
      </c>
      <c r="J322" s="1" t="str">
        <f>IF(B322=0,VLOOKUP(A322,Feuil2!$A$2:$M$1241,9,FALSE)," ")</f>
        <v xml:space="preserve"> </v>
      </c>
      <c r="K322" s="1" t="str">
        <f>IF(B322=0,VLOOKUP(A322,Feuil2!$A$2:$M$1241,10,FALSE)," ")</f>
        <v xml:space="preserve"> </v>
      </c>
      <c r="L322" s="1"/>
      <c r="M322" s="1"/>
      <c r="N322" s="1"/>
      <c r="O322" s="8" t="str">
        <f>IF(B322=0,VLOOKUP(A322,Feuil2!$A$2:$M$1241,13,FALSE)," ")</f>
        <v xml:space="preserve"> </v>
      </c>
    </row>
    <row r="323" spans="1:15" x14ac:dyDescent="0.3">
      <c r="A323" s="1">
        <v>1663</v>
      </c>
      <c r="B323" s="1">
        <v>5</v>
      </c>
      <c r="C323" s="1" t="s">
        <v>264</v>
      </c>
      <c r="D323" s="1" t="s">
        <v>2493</v>
      </c>
      <c r="E323" s="5">
        <v>40799</v>
      </c>
      <c r="F323" s="1" t="s">
        <v>506</v>
      </c>
      <c r="G323" s="1" t="str">
        <f>IF(B323=0,VLOOKUP(A323,Feuil2!$A$2:$M$1241,11,FALSE)," ")</f>
        <v xml:space="preserve"> </v>
      </c>
      <c r="H323" s="1" t="s">
        <v>16</v>
      </c>
      <c r="I323" s="6" t="str">
        <f>IF(B323=0,VLOOKUP(A323,Feuil2!$A$2:$M$1241,7,FALSE)," ")</f>
        <v xml:space="preserve"> </v>
      </c>
      <c r="J323" s="1" t="str">
        <f>IF(B323=0,VLOOKUP(A323,Feuil2!$A$2:$M$1241,9,FALSE)," ")</f>
        <v xml:space="preserve"> </v>
      </c>
      <c r="K323" s="1" t="str">
        <f>IF(B323=0,VLOOKUP(A323,Feuil2!$A$2:$M$1241,10,FALSE)," ")</f>
        <v xml:space="preserve"> </v>
      </c>
      <c r="L323" s="1"/>
      <c r="M323" s="1"/>
      <c r="N323" s="1"/>
      <c r="O323" s="8" t="str">
        <f>IF(B323=0,VLOOKUP(A323,Feuil2!$A$2:$M$1241,13,FALSE)," ")</f>
        <v xml:space="preserve"> </v>
      </c>
    </row>
    <row r="324" spans="1:15" x14ac:dyDescent="0.3">
      <c r="A324" s="1">
        <v>1664</v>
      </c>
      <c r="B324" s="1">
        <v>0</v>
      </c>
      <c r="C324" s="1" t="str">
        <f>IF(B324=0,VLOOKUP(A324,Feuil2!$A$2:$M$1241,2,FALSE)," ")</f>
        <v>BEN SAOUD</v>
      </c>
      <c r="D324" s="1" t="str">
        <f>IF(B324=0,VLOOKUP(A324,Feuil2!$A$2:$M$1241,3,FALSE)," ")</f>
        <v>SOFIANE</v>
      </c>
      <c r="E324" s="5">
        <f>IF(B324=0,VLOOKUP(A324,Feuil2!$A$2:$M$1241,6,FALSE)," ")</f>
        <v>27938</v>
      </c>
      <c r="F324" s="1" t="str">
        <f>IF(B324=0,VLOOKUP(A324,Feuil2!$A$2:$M$1241,12,FALSE)," ")</f>
        <v>H</v>
      </c>
      <c r="G324" s="1" t="str">
        <f>IF(B324=0,VLOOKUP(A324,Feuil2!$A$2:$M$1241,11,FALSE)," ")</f>
        <v>M</v>
      </c>
      <c r="H324" s="1" t="s">
        <v>16</v>
      </c>
      <c r="I324" s="6">
        <f>IF(B324=0,VLOOKUP(A324,Feuil2!$A$2:$M$1241,7,FALSE)," ")</f>
        <v>5581921</v>
      </c>
      <c r="J324" s="1" t="str">
        <f>IF(B324=0,VLOOKUP(A324,Feuil2!$A$2:$M$1241,9,FALSE)," ")</f>
        <v>4025 Sidi El Hani</v>
      </c>
      <c r="K324" s="1" t="str">
        <f>IF(B324=0,VLOOKUP(A324,Feuil2!$A$2:$M$1241,10,FALSE)," ")</f>
        <v>Sidi El HÃ©ni 4025</v>
      </c>
      <c r="L324" s="1"/>
      <c r="M324" s="1">
        <v>98983470</v>
      </c>
      <c r="N324" s="1"/>
      <c r="O324" s="8" t="str">
        <f>IF(B324=0,VLOOKUP(A324,Feuil2!$A$2:$M$1241,13,FALSE)," ")</f>
        <v>17503000000137755137</v>
      </c>
    </row>
    <row r="325" spans="1:15" x14ac:dyDescent="0.3">
      <c r="A325" s="1">
        <v>1664</v>
      </c>
      <c r="B325" s="1">
        <v>1</v>
      </c>
      <c r="C325" s="1" t="s">
        <v>2413</v>
      </c>
      <c r="D325" s="1" t="s">
        <v>2372</v>
      </c>
      <c r="E325" s="5">
        <v>33254</v>
      </c>
      <c r="F325" s="1" t="s">
        <v>17</v>
      </c>
      <c r="G325" s="1" t="s">
        <v>15</v>
      </c>
      <c r="H325" s="1" t="s">
        <v>16</v>
      </c>
      <c r="I325" s="6" t="str">
        <f>IF(B325=0,VLOOKUP(A325,Feuil2!$A$2:$M$1241,7,FALSE)," ")</f>
        <v xml:space="preserve"> </v>
      </c>
      <c r="J325" s="1" t="str">
        <f>IF(B325=0,VLOOKUP(A325,Feuil2!$A$2:$M$1241,9,FALSE)," ")</f>
        <v xml:space="preserve"> </v>
      </c>
      <c r="K325" s="1" t="str">
        <f>IF(B325=0,VLOOKUP(A325,Feuil2!$A$2:$M$1241,10,FALSE)," ")</f>
        <v xml:space="preserve"> </v>
      </c>
      <c r="L325" s="1"/>
      <c r="M325" s="1"/>
      <c r="N325" s="1"/>
      <c r="O325" s="8" t="str">
        <f>IF(B325=0,VLOOKUP(A325,Feuil2!$A$2:$M$1241,13,FALSE)," ")</f>
        <v xml:space="preserve"> </v>
      </c>
    </row>
    <row r="326" spans="1:15" x14ac:dyDescent="0.3">
      <c r="A326" s="1">
        <v>1664</v>
      </c>
      <c r="B326" s="1">
        <v>2</v>
      </c>
      <c r="C326" s="1" t="s">
        <v>1553</v>
      </c>
      <c r="D326" s="1" t="s">
        <v>2377</v>
      </c>
      <c r="E326" s="5">
        <v>41799</v>
      </c>
      <c r="F326" s="1" t="s">
        <v>17</v>
      </c>
      <c r="G326" s="1" t="str">
        <f>IF(B326=0,VLOOKUP(A326,Feuil2!$A$2:$M$1241,11,FALSE)," ")</f>
        <v xml:space="preserve"> </v>
      </c>
      <c r="H326" s="1" t="s">
        <v>16</v>
      </c>
      <c r="I326" s="6" t="str">
        <f>IF(B326=0,VLOOKUP(A326,Feuil2!$A$2:$M$1241,7,FALSE)," ")</f>
        <v xml:space="preserve"> </v>
      </c>
      <c r="J326" s="1" t="str">
        <f>IF(B326=0,VLOOKUP(A326,Feuil2!$A$2:$M$1241,9,FALSE)," ")</f>
        <v xml:space="preserve"> </v>
      </c>
      <c r="K326" s="1" t="str">
        <f>IF(B326=0,VLOOKUP(A326,Feuil2!$A$2:$M$1241,10,FALSE)," ")</f>
        <v xml:space="preserve"> </v>
      </c>
      <c r="L326" s="1"/>
      <c r="M326" s="1"/>
      <c r="N326" s="1"/>
      <c r="O326" s="8" t="str">
        <f>IF(B326=0,VLOOKUP(A326,Feuil2!$A$2:$M$1241,13,FALSE)," ")</f>
        <v xml:space="preserve"> </v>
      </c>
    </row>
    <row r="327" spans="1:15" x14ac:dyDescent="0.3">
      <c r="A327" s="1">
        <v>1664</v>
      </c>
      <c r="B327" s="1">
        <v>3</v>
      </c>
      <c r="C327" s="1" t="s">
        <v>1553</v>
      </c>
      <c r="D327" s="1" t="s">
        <v>2347</v>
      </c>
      <c r="E327" s="5">
        <v>42473</v>
      </c>
      <c r="F327" s="1" t="s">
        <v>506</v>
      </c>
      <c r="G327" s="1" t="str">
        <f>IF(B327=0,VLOOKUP(A327,Feuil2!$A$2:$M$1241,11,FALSE)," ")</f>
        <v xml:space="preserve"> </v>
      </c>
      <c r="H327" s="1" t="s">
        <v>16</v>
      </c>
      <c r="I327" s="6" t="str">
        <f>IF(B327=0,VLOOKUP(A327,Feuil2!$A$2:$M$1241,7,FALSE)," ")</f>
        <v xml:space="preserve"> </v>
      </c>
      <c r="J327" s="1" t="str">
        <f>IF(B327=0,VLOOKUP(A327,Feuil2!$A$2:$M$1241,9,FALSE)," ")</f>
        <v xml:space="preserve"> </v>
      </c>
      <c r="K327" s="1" t="str">
        <f>IF(B327=0,VLOOKUP(A327,Feuil2!$A$2:$M$1241,10,FALSE)," ")</f>
        <v xml:space="preserve"> </v>
      </c>
      <c r="L327" s="1"/>
      <c r="M327" s="1"/>
      <c r="N327" s="1"/>
      <c r="O327" s="8" t="str">
        <f>IF(B327=0,VLOOKUP(A327,Feuil2!$A$2:$M$1241,13,FALSE)," ")</f>
        <v xml:space="preserve"> </v>
      </c>
    </row>
    <row r="328" spans="1:15" x14ac:dyDescent="0.3">
      <c r="A328" s="1">
        <v>1664</v>
      </c>
      <c r="B328" s="1">
        <v>4</v>
      </c>
      <c r="C328" s="1" t="s">
        <v>1553</v>
      </c>
      <c r="D328" s="1" t="s">
        <v>2354</v>
      </c>
      <c r="E328" s="5">
        <v>45589</v>
      </c>
      <c r="F328" s="1" t="s">
        <v>17</v>
      </c>
      <c r="G328" s="1"/>
      <c r="H328" s="1"/>
      <c r="I328" s="6"/>
      <c r="J328" s="1"/>
      <c r="K328" s="1"/>
      <c r="L328" s="1"/>
      <c r="M328" s="1"/>
      <c r="N328" s="1"/>
      <c r="O328" s="8"/>
    </row>
    <row r="329" spans="1:15" x14ac:dyDescent="0.3">
      <c r="A329" s="1">
        <v>1666</v>
      </c>
      <c r="B329" s="1">
        <v>0</v>
      </c>
      <c r="C329" s="1" t="str">
        <f>IF(B329=0,VLOOKUP(A329,Feuil2!$A$2:$M$1241,2,FALSE)," ")</f>
        <v>BOUZIR</v>
      </c>
      <c r="D329" s="1" t="str">
        <f>IF(B329=0,VLOOKUP(A329,Feuil2!$A$2:$M$1241,3,FALSE)," ")</f>
        <v>SAHBI</v>
      </c>
      <c r="E329" s="5">
        <f>IF(B329=0,VLOOKUP(A329,Feuil2!$A$2:$M$1241,6,FALSE)," ")</f>
        <v>27900</v>
      </c>
      <c r="F329" s="1" t="str">
        <f>IF(B329=0,VLOOKUP(A329,Feuil2!$A$2:$M$1241,12,FALSE)," ")</f>
        <v>H</v>
      </c>
      <c r="G329" s="1" t="str">
        <f>IF(B329=0,VLOOKUP(A329,Feuil2!$A$2:$M$1241,11,FALSE)," ")</f>
        <v>M</v>
      </c>
      <c r="H329" s="1" t="s">
        <v>16</v>
      </c>
      <c r="I329" s="6">
        <f>IF(B329=0,VLOOKUP(A329,Feuil2!$A$2:$M$1241,7,FALSE)," ")</f>
        <v>5583952</v>
      </c>
      <c r="J329" s="1" t="str">
        <f>IF(B329=0,VLOOKUP(A329,Feuil2!$A$2:$M$1241,9,FALSE)," ")</f>
        <v>25 Rue Aboubaker Elkhouarezmi</v>
      </c>
      <c r="K329" s="1" t="str">
        <f>IF(B329=0,VLOOKUP(A329,Feuil2!$A$2:$M$1241,10,FALSE)," ")</f>
        <v>Kalaa Sghira</v>
      </c>
      <c r="L329" s="1"/>
      <c r="M329" s="1">
        <v>98783248</v>
      </c>
      <c r="N329" s="1"/>
      <c r="O329" s="8" t="str">
        <f>IF(B329=0,VLOOKUP(A329,Feuil2!$A$2:$M$1241,13,FALSE)," ")</f>
        <v>04204067001134753157</v>
      </c>
    </row>
    <row r="330" spans="1:15" x14ac:dyDescent="0.3">
      <c r="A330" s="1">
        <v>1666</v>
      </c>
      <c r="B330" s="1">
        <v>1</v>
      </c>
      <c r="C330" s="1" t="s">
        <v>251</v>
      </c>
      <c r="D330" s="1" t="s">
        <v>2429</v>
      </c>
      <c r="E330" s="5">
        <v>30638</v>
      </c>
      <c r="F330" s="1" t="s">
        <v>17</v>
      </c>
      <c r="G330" s="1" t="s">
        <v>15</v>
      </c>
      <c r="H330" s="1" t="s">
        <v>16</v>
      </c>
      <c r="I330" s="6" t="str">
        <f>IF(B330=0,VLOOKUP(A330,Feuil2!$A$2:$M$1241,7,FALSE)," ")</f>
        <v xml:space="preserve"> </v>
      </c>
      <c r="J330" s="1" t="str">
        <f>IF(B330=0,VLOOKUP(A330,Feuil2!$A$2:$M$1241,9,FALSE)," ")</f>
        <v xml:space="preserve"> </v>
      </c>
      <c r="K330" s="1" t="str">
        <f>IF(B330=0,VLOOKUP(A330,Feuil2!$A$2:$M$1241,10,FALSE)," ")</f>
        <v xml:space="preserve"> </v>
      </c>
      <c r="L330" s="1"/>
      <c r="M330" s="1"/>
      <c r="N330" s="1"/>
      <c r="O330" s="8" t="str">
        <f>IF(B330=0,VLOOKUP(A330,Feuil2!$A$2:$M$1241,13,FALSE)," ")</f>
        <v xml:space="preserve"> </v>
      </c>
    </row>
    <row r="331" spans="1:15" x14ac:dyDescent="0.3">
      <c r="A331" s="1">
        <v>1666</v>
      </c>
      <c r="B331" s="1">
        <v>2</v>
      </c>
      <c r="C331" s="1" t="s">
        <v>135</v>
      </c>
      <c r="D331" s="1" t="s">
        <v>2384</v>
      </c>
      <c r="E331" s="5">
        <v>39332</v>
      </c>
      <c r="F331" s="1" t="s">
        <v>17</v>
      </c>
      <c r="G331" s="1" t="str">
        <f>IF(B331=0,VLOOKUP(A331,Feuil2!$A$2:$M$1241,11,FALSE)," ")</f>
        <v xml:space="preserve"> </v>
      </c>
      <c r="H331" s="1" t="s">
        <v>16</v>
      </c>
      <c r="I331" s="6" t="str">
        <f>IF(B331=0,VLOOKUP(A331,Feuil2!$A$2:$M$1241,7,FALSE)," ")</f>
        <v xml:space="preserve"> </v>
      </c>
      <c r="J331" s="1" t="str">
        <f>IF(B331=0,VLOOKUP(A331,Feuil2!$A$2:$M$1241,9,FALSE)," ")</f>
        <v xml:space="preserve"> </v>
      </c>
      <c r="K331" s="1" t="str">
        <f>IF(B331=0,VLOOKUP(A331,Feuil2!$A$2:$M$1241,10,FALSE)," ")</f>
        <v xml:space="preserve"> </v>
      </c>
      <c r="L331" s="1"/>
      <c r="M331" s="1"/>
      <c r="N331" s="1"/>
      <c r="O331" s="8" t="str">
        <f>IF(B331=0,VLOOKUP(A331,Feuil2!$A$2:$M$1241,13,FALSE)," ")</f>
        <v xml:space="preserve"> </v>
      </c>
    </row>
    <row r="332" spans="1:15" x14ac:dyDescent="0.3">
      <c r="A332" s="1">
        <v>1666</v>
      </c>
      <c r="B332" s="1">
        <v>3</v>
      </c>
      <c r="C332" s="1" t="s">
        <v>135</v>
      </c>
      <c r="D332" s="1" t="s">
        <v>61</v>
      </c>
      <c r="E332" s="5">
        <v>41785</v>
      </c>
      <c r="F332" s="1" t="s">
        <v>506</v>
      </c>
      <c r="G332" s="1" t="str">
        <f>IF(B332=0,VLOOKUP(A332,Feuil2!$A$2:$M$1241,11,FALSE)," ")</f>
        <v xml:space="preserve"> </v>
      </c>
      <c r="H332" s="1" t="s">
        <v>16</v>
      </c>
      <c r="I332" s="6" t="str">
        <f>IF(B332=0,VLOOKUP(A332,Feuil2!$A$2:$M$1241,7,FALSE)," ")</f>
        <v xml:space="preserve"> </v>
      </c>
      <c r="J332" s="1" t="str">
        <f>IF(B332=0,VLOOKUP(A332,Feuil2!$A$2:$M$1241,9,FALSE)," ")</f>
        <v xml:space="preserve"> </v>
      </c>
      <c r="K332" s="1" t="str">
        <f>IF(B332=0,VLOOKUP(A332,Feuil2!$A$2:$M$1241,10,FALSE)," ")</f>
        <v xml:space="preserve"> </v>
      </c>
      <c r="L332" s="1"/>
      <c r="M332" s="1"/>
      <c r="N332" s="1"/>
      <c r="O332" s="8" t="str">
        <f>IF(B332=0,VLOOKUP(A332,Feuil2!$A$2:$M$1241,13,FALSE)," ")</f>
        <v xml:space="preserve"> </v>
      </c>
    </row>
    <row r="333" spans="1:15" x14ac:dyDescent="0.3">
      <c r="A333" s="1">
        <v>1667</v>
      </c>
      <c r="B333" s="1">
        <v>0</v>
      </c>
      <c r="C333" s="1" t="str">
        <f>IF(B333=0,VLOOKUP(A333,Feuil2!$A$2:$M$1241,2,FALSE)," ")</f>
        <v>MRIZEK</v>
      </c>
      <c r="D333" s="1" t="str">
        <f>IF(B333=0,VLOOKUP(A333,Feuil2!$A$2:$M$1241,3,FALSE)," ")</f>
        <v>TAOUFIK</v>
      </c>
      <c r="E333" s="5">
        <f>IF(B333=0,VLOOKUP(A333,Feuil2!$A$2:$M$1241,6,FALSE)," ")</f>
        <v>27017</v>
      </c>
      <c r="F333" s="1" t="str">
        <f>IF(B333=0,VLOOKUP(A333,Feuil2!$A$2:$M$1241,12,FALSE)," ")</f>
        <v>H</v>
      </c>
      <c r="G333" s="1" t="str">
        <f>IF(B333=0,VLOOKUP(A333,Feuil2!$A$2:$M$1241,11,FALSE)," ")</f>
        <v>M</v>
      </c>
      <c r="H333" s="1" t="s">
        <v>16</v>
      </c>
      <c r="I333" s="6">
        <f>IF(B333=0,VLOOKUP(A333,Feuil2!$A$2:$M$1241,7,FALSE)," ")</f>
        <v>5589553</v>
      </c>
      <c r="J333" s="1" t="str">
        <f>IF(B333=0,VLOOKUP(A333,Feuil2!$A$2:$M$1241,9,FALSE)," ")</f>
        <v>36 Rue El Imam Mezri</v>
      </c>
      <c r="K333" s="1" t="str">
        <f>IF(B333=0,VLOOKUP(A333,Feuil2!$A$2:$M$1241,10,FALSE)," ")</f>
        <v>Msaken 4070</v>
      </c>
      <c r="L333" s="1">
        <v>4070</v>
      </c>
      <c r="M333" s="1">
        <v>27257984</v>
      </c>
      <c r="N333" s="1"/>
      <c r="O333" s="8" t="str">
        <f>IF(B333=0,VLOOKUP(A333,Feuil2!$A$2:$M$1241,13,FALSE)," ")</f>
        <v>04204067404000813010</v>
      </c>
    </row>
    <row r="334" spans="1:15" x14ac:dyDescent="0.3">
      <c r="A334" s="1">
        <v>1667</v>
      </c>
      <c r="B334" s="1">
        <v>1</v>
      </c>
      <c r="C334" s="1" t="s">
        <v>2561</v>
      </c>
      <c r="D334" s="1" t="s">
        <v>2371</v>
      </c>
      <c r="E334" s="5">
        <v>31574</v>
      </c>
      <c r="F334" s="1" t="s">
        <v>17</v>
      </c>
      <c r="G334" s="1" t="s">
        <v>15</v>
      </c>
      <c r="H334" s="1" t="s">
        <v>16</v>
      </c>
      <c r="I334" s="6" t="str">
        <f>IF(B334=0,VLOOKUP(A334,Feuil2!$A$2:$M$1241,7,FALSE)," ")</f>
        <v xml:space="preserve"> </v>
      </c>
      <c r="J334" s="1" t="str">
        <f>IF(B334=0,VLOOKUP(A334,Feuil2!$A$2:$M$1241,9,FALSE)," ")</f>
        <v xml:space="preserve"> </v>
      </c>
      <c r="K334" s="1" t="str">
        <f>IF(B334=0,VLOOKUP(A334,Feuil2!$A$2:$M$1241,10,FALSE)," ")</f>
        <v xml:space="preserve"> </v>
      </c>
      <c r="L334" s="1"/>
      <c r="M334" s="1"/>
      <c r="N334" s="1"/>
      <c r="O334" s="8" t="str">
        <f>IF(B334=0,VLOOKUP(A334,Feuil2!$A$2:$M$1241,13,FALSE)," ")</f>
        <v xml:space="preserve"> </v>
      </c>
    </row>
    <row r="335" spans="1:15" x14ac:dyDescent="0.3">
      <c r="A335" s="1">
        <v>1667</v>
      </c>
      <c r="B335" s="1">
        <v>2</v>
      </c>
      <c r="C335" s="1" t="s">
        <v>381</v>
      </c>
      <c r="D335" s="1" t="s">
        <v>34</v>
      </c>
      <c r="E335" s="5">
        <v>40795</v>
      </c>
      <c r="F335" s="1" t="s">
        <v>506</v>
      </c>
      <c r="G335" s="1" t="str">
        <f>IF(B335=0,VLOOKUP(A335,Feuil2!$A$2:$M$1241,11,FALSE)," ")</f>
        <v xml:space="preserve"> </v>
      </c>
      <c r="H335" s="1" t="s">
        <v>16</v>
      </c>
      <c r="I335" s="6" t="str">
        <f>IF(B335=0,VLOOKUP(A335,Feuil2!$A$2:$M$1241,7,FALSE)," ")</f>
        <v xml:space="preserve"> </v>
      </c>
      <c r="J335" s="1" t="str">
        <f>IF(B335=0,VLOOKUP(A335,Feuil2!$A$2:$M$1241,9,FALSE)," ")</f>
        <v xml:space="preserve"> </v>
      </c>
      <c r="K335" s="1" t="str">
        <f>IF(B335=0,VLOOKUP(A335,Feuil2!$A$2:$M$1241,10,FALSE)," ")</f>
        <v xml:space="preserve"> </v>
      </c>
      <c r="L335" s="1"/>
      <c r="M335" s="1"/>
      <c r="N335" s="1"/>
      <c r="O335" s="8" t="str">
        <f>IF(B335=0,VLOOKUP(A335,Feuil2!$A$2:$M$1241,13,FALSE)," ")</f>
        <v xml:space="preserve"> </v>
      </c>
    </row>
    <row r="336" spans="1:15" x14ac:dyDescent="0.3">
      <c r="A336" s="1">
        <v>1667</v>
      </c>
      <c r="B336" s="1">
        <v>3</v>
      </c>
      <c r="C336" s="1" t="s">
        <v>381</v>
      </c>
      <c r="D336" s="1" t="s">
        <v>89</v>
      </c>
      <c r="E336" s="5">
        <v>41819</v>
      </c>
      <c r="F336" s="1" t="s">
        <v>506</v>
      </c>
      <c r="G336" s="1" t="str">
        <f>IF(B336=0,VLOOKUP(A336,Feuil2!$A$2:$M$1241,11,FALSE)," ")</f>
        <v xml:space="preserve"> </v>
      </c>
      <c r="H336" s="1" t="s">
        <v>16</v>
      </c>
      <c r="I336" s="6" t="str">
        <f>IF(B336=0,VLOOKUP(A336,Feuil2!$A$2:$M$1241,7,FALSE)," ")</f>
        <v xml:space="preserve"> </v>
      </c>
      <c r="J336" s="1" t="str">
        <f>IF(B336=0,VLOOKUP(A336,Feuil2!$A$2:$M$1241,9,FALSE)," ")</f>
        <v xml:space="preserve"> </v>
      </c>
      <c r="K336" s="1" t="str">
        <f>IF(B336=0,VLOOKUP(A336,Feuil2!$A$2:$M$1241,10,FALSE)," ")</f>
        <v xml:space="preserve"> </v>
      </c>
      <c r="L336" s="1"/>
      <c r="M336" s="1"/>
      <c r="N336" s="1"/>
      <c r="O336" s="8" t="str">
        <f>IF(B336=0,VLOOKUP(A336,Feuil2!$A$2:$M$1241,13,FALSE)," ")</f>
        <v xml:space="preserve"> </v>
      </c>
    </row>
    <row r="337" spans="1:15" x14ac:dyDescent="0.3">
      <c r="A337" s="1">
        <v>1667</v>
      </c>
      <c r="B337" s="1">
        <v>4</v>
      </c>
      <c r="C337" s="1" t="s">
        <v>381</v>
      </c>
      <c r="D337" s="1" t="s">
        <v>61</v>
      </c>
      <c r="E337" s="5">
        <v>43056</v>
      </c>
      <c r="F337" s="1" t="s">
        <v>506</v>
      </c>
      <c r="G337" s="1" t="str">
        <f>IF(B337=0,VLOOKUP(A337,Feuil2!$A$2:$M$1241,11,FALSE)," ")</f>
        <v xml:space="preserve"> </v>
      </c>
      <c r="H337" s="1" t="s">
        <v>16</v>
      </c>
      <c r="I337" s="6" t="str">
        <f>IF(B337=0,VLOOKUP(A337,Feuil2!$A$2:$M$1241,7,FALSE)," ")</f>
        <v xml:space="preserve"> </v>
      </c>
      <c r="J337" s="1" t="str">
        <f>IF(B337=0,VLOOKUP(A337,Feuil2!$A$2:$M$1241,9,FALSE)," ")</f>
        <v xml:space="preserve"> </v>
      </c>
      <c r="K337" s="1" t="str">
        <f>IF(B337=0,VLOOKUP(A337,Feuil2!$A$2:$M$1241,10,FALSE)," ")</f>
        <v xml:space="preserve"> </v>
      </c>
      <c r="L337" s="1"/>
      <c r="M337" s="1"/>
      <c r="N337" s="1"/>
      <c r="O337" s="8" t="str">
        <f>IF(B337=0,VLOOKUP(A337,Feuil2!$A$2:$M$1241,13,FALSE)," ")</f>
        <v xml:space="preserve"> </v>
      </c>
    </row>
    <row r="338" spans="1:15" x14ac:dyDescent="0.3">
      <c r="A338" s="1">
        <v>1667</v>
      </c>
      <c r="B338" s="1">
        <v>5</v>
      </c>
      <c r="C338" s="1" t="s">
        <v>381</v>
      </c>
      <c r="D338" s="1" t="s">
        <v>2562</v>
      </c>
      <c r="E338" s="5">
        <v>43743</v>
      </c>
      <c r="F338" s="1" t="s">
        <v>17</v>
      </c>
      <c r="G338" s="1" t="str">
        <f>IF(B338=0,VLOOKUP(A338,Feuil2!$A$2:$M$1241,11,FALSE)," ")</f>
        <v xml:space="preserve"> </v>
      </c>
      <c r="H338" s="1" t="s">
        <v>16</v>
      </c>
      <c r="I338" s="6" t="str">
        <f>IF(B338=0,VLOOKUP(A338,Feuil2!$A$2:$M$1241,7,FALSE)," ")</f>
        <v xml:space="preserve"> </v>
      </c>
      <c r="J338" s="1" t="str">
        <f>IF(B338=0,VLOOKUP(A338,Feuil2!$A$2:$M$1241,9,FALSE)," ")</f>
        <v xml:space="preserve"> </v>
      </c>
      <c r="K338" s="1" t="str">
        <f>IF(B338=0,VLOOKUP(A338,Feuil2!$A$2:$M$1241,10,FALSE)," ")</f>
        <v xml:space="preserve"> </v>
      </c>
      <c r="L338" s="1"/>
      <c r="M338" s="1"/>
      <c r="N338" s="1"/>
      <c r="O338" s="8" t="str">
        <f>IF(B338=0,VLOOKUP(A338,Feuil2!$A$2:$M$1241,13,FALSE)," ")</f>
        <v xml:space="preserve"> </v>
      </c>
    </row>
    <row r="339" spans="1:15" x14ac:dyDescent="0.3">
      <c r="A339" s="1">
        <v>1668</v>
      </c>
      <c r="B339" s="1">
        <v>0</v>
      </c>
      <c r="C339" s="1" t="str">
        <f>IF(B339=0,VLOOKUP(A339,Feuil2!$A$2:$M$1241,2,FALSE)," ")</f>
        <v>BOUGADDOUHA</v>
      </c>
      <c r="D339" s="1" t="str">
        <f>IF(B339=0,VLOOKUP(A339,Feuil2!$A$2:$M$1241,3,FALSE)," ")</f>
        <v>MOURAD</v>
      </c>
      <c r="E339" s="5">
        <f>IF(B339=0,VLOOKUP(A339,Feuil2!$A$2:$M$1241,6,FALSE)," ")</f>
        <v>24679</v>
      </c>
      <c r="F339" s="1" t="str">
        <f>IF(B339=0,VLOOKUP(A339,Feuil2!$A$2:$M$1241,12,FALSE)," ")</f>
        <v>H</v>
      </c>
      <c r="G339" s="1" t="str">
        <f>IF(B339=0,VLOOKUP(A339,Feuil2!$A$2:$M$1241,11,FALSE)," ")</f>
        <v>M</v>
      </c>
      <c r="H339" s="1" t="s">
        <v>16</v>
      </c>
      <c r="I339" s="6">
        <f>IF(B339=0,VLOOKUP(A339,Feuil2!$A$2:$M$1241,7,FALSE)," ")</f>
        <v>2991650</v>
      </c>
      <c r="J339" s="1" t="str">
        <f>IF(B339=0,VLOOKUP(A339,Feuil2!$A$2:$M$1241,9,FALSE)," ")</f>
        <v>256 Rue Farhat Hached</v>
      </c>
      <c r="K339" s="1" t="str">
        <f>IF(B339=0,VLOOKUP(A339,Feuil2!$A$2:$M$1241,10,FALSE)," ")</f>
        <v>Msaken 4070</v>
      </c>
      <c r="L339" s="1">
        <v>4070</v>
      </c>
      <c r="M339" s="1">
        <v>26749447</v>
      </c>
      <c r="N339" s="1"/>
      <c r="O339" s="10" t="s">
        <v>2636</v>
      </c>
    </row>
    <row r="340" spans="1:15" x14ac:dyDescent="0.3">
      <c r="A340" s="1">
        <v>1668</v>
      </c>
      <c r="B340" s="1">
        <v>1</v>
      </c>
      <c r="C340" s="1" t="s">
        <v>861</v>
      </c>
      <c r="D340" s="1" t="s">
        <v>2635</v>
      </c>
      <c r="E340" s="5">
        <v>25907</v>
      </c>
      <c r="F340" s="1" t="s">
        <v>17</v>
      </c>
      <c r="G340" s="1" t="s">
        <v>15</v>
      </c>
      <c r="H340" s="1" t="s">
        <v>16</v>
      </c>
      <c r="I340" s="6" t="str">
        <f>IF(B340=0,VLOOKUP(A340,Feuil2!$A$2:$M$1241,7,FALSE)," ")</f>
        <v xml:space="preserve"> </v>
      </c>
      <c r="J340" s="1" t="str">
        <f>IF(B340=0,VLOOKUP(A340,Feuil2!$A$2:$M$1241,9,FALSE)," ")</f>
        <v xml:space="preserve"> </v>
      </c>
      <c r="K340" s="1" t="str">
        <f>IF(B340=0,VLOOKUP(A340,Feuil2!$A$2:$M$1241,10,FALSE)," ")</f>
        <v xml:space="preserve"> </v>
      </c>
      <c r="L340" s="1"/>
      <c r="M340" s="1"/>
      <c r="N340" s="1"/>
      <c r="O340" s="8"/>
    </row>
    <row r="341" spans="1:15" x14ac:dyDescent="0.3">
      <c r="A341" s="1">
        <v>1668</v>
      </c>
      <c r="B341" s="1">
        <v>2</v>
      </c>
      <c r="C341" s="1" t="s">
        <v>861</v>
      </c>
      <c r="D341" s="1" t="s">
        <v>1596</v>
      </c>
      <c r="E341" s="5">
        <v>36595</v>
      </c>
      <c r="F341" s="1" t="s">
        <v>506</v>
      </c>
      <c r="G341" s="1" t="str">
        <f>IF(B341=0,VLOOKUP(A341,Feuil2!$A$2:$M$1241,11,FALSE)," ")</f>
        <v xml:space="preserve"> </v>
      </c>
      <c r="H341" s="1" t="s">
        <v>16</v>
      </c>
      <c r="I341" s="6" t="str">
        <f>IF(B341=0,VLOOKUP(A341,Feuil2!$A$2:$M$1241,7,FALSE)," ")</f>
        <v xml:space="preserve"> </v>
      </c>
      <c r="J341" s="1" t="str">
        <f>IF(B341=0,VLOOKUP(A341,Feuil2!$A$2:$M$1241,9,FALSE)," ")</f>
        <v xml:space="preserve"> </v>
      </c>
      <c r="K341" s="1" t="str">
        <f>IF(B341=0,VLOOKUP(A341,Feuil2!$A$2:$M$1241,10,FALSE)," ")</f>
        <v xml:space="preserve"> </v>
      </c>
      <c r="L341" s="1"/>
      <c r="M341" s="1"/>
      <c r="N341" s="1"/>
      <c r="O341" s="8"/>
    </row>
    <row r="342" spans="1:15" x14ac:dyDescent="0.3">
      <c r="A342" s="1">
        <v>1668</v>
      </c>
      <c r="B342" s="1">
        <v>3</v>
      </c>
      <c r="C342" s="1" t="s">
        <v>861</v>
      </c>
      <c r="D342" s="1" t="s">
        <v>70</v>
      </c>
      <c r="E342" s="5">
        <v>37135</v>
      </c>
      <c r="F342" s="1" t="s">
        <v>506</v>
      </c>
      <c r="G342" s="1" t="str">
        <f>IF(B342=0,VLOOKUP(A342,Feuil2!$A$2:$M$1241,11,FALSE)," ")</f>
        <v xml:space="preserve"> </v>
      </c>
      <c r="H342" s="1" t="s">
        <v>16</v>
      </c>
      <c r="I342" s="6" t="str">
        <f>IF(B342=0,VLOOKUP(A342,Feuil2!$A$2:$M$1241,7,FALSE)," ")</f>
        <v xml:space="preserve"> </v>
      </c>
      <c r="J342" s="1" t="str">
        <f>IF(B342=0,VLOOKUP(A342,Feuil2!$A$2:$M$1241,9,FALSE)," ")</f>
        <v xml:space="preserve"> </v>
      </c>
      <c r="K342" s="1" t="str">
        <f>IF(B342=0,VLOOKUP(A342,Feuil2!$A$2:$M$1241,10,FALSE)," ")</f>
        <v xml:space="preserve"> </v>
      </c>
      <c r="L342" s="1"/>
      <c r="M342" s="1"/>
      <c r="N342" s="1"/>
      <c r="O342" s="8"/>
    </row>
    <row r="343" spans="1:15" x14ac:dyDescent="0.3">
      <c r="A343" s="1">
        <v>1668</v>
      </c>
      <c r="B343" s="1">
        <v>4</v>
      </c>
      <c r="C343" s="1" t="s">
        <v>861</v>
      </c>
      <c r="D343" s="1" t="s">
        <v>2370</v>
      </c>
      <c r="E343" s="5">
        <v>38160</v>
      </c>
      <c r="F343" s="1" t="s">
        <v>17</v>
      </c>
      <c r="G343" s="1" t="str">
        <f>IF(B343=0,VLOOKUP(A343,Feuil2!$A$2:$M$1241,11,FALSE)," ")</f>
        <v xml:space="preserve"> </v>
      </c>
      <c r="H343" s="1" t="s">
        <v>16</v>
      </c>
      <c r="I343" s="6" t="str">
        <f>IF(B343=0,VLOOKUP(A343,Feuil2!$A$2:$M$1241,7,FALSE)," ")</f>
        <v xml:space="preserve"> </v>
      </c>
      <c r="J343" s="1" t="str">
        <f>IF(B343=0,VLOOKUP(A343,Feuil2!$A$2:$M$1241,9,FALSE)," ")</f>
        <v xml:space="preserve"> </v>
      </c>
      <c r="K343" s="1" t="str">
        <f>IF(B343=0,VLOOKUP(A343,Feuil2!$A$2:$M$1241,10,FALSE)," ")</f>
        <v xml:space="preserve"> </v>
      </c>
      <c r="L343" s="1"/>
      <c r="M343" s="1"/>
      <c r="N343" s="1"/>
      <c r="O343" s="8"/>
    </row>
    <row r="344" spans="1:15" x14ac:dyDescent="0.3">
      <c r="A344" s="1">
        <v>1668</v>
      </c>
      <c r="B344" s="1">
        <v>5</v>
      </c>
      <c r="C344" s="1" t="s">
        <v>861</v>
      </c>
      <c r="D344" s="1" t="s">
        <v>230</v>
      </c>
      <c r="E344" s="5">
        <v>40228</v>
      </c>
      <c r="F344" s="1" t="s">
        <v>506</v>
      </c>
      <c r="G344" s="1" t="str">
        <f>IF(B344=0,VLOOKUP(A344,Feuil2!$A$2:$M$1241,11,FALSE)," ")</f>
        <v xml:space="preserve"> </v>
      </c>
      <c r="H344" s="1" t="s">
        <v>16</v>
      </c>
      <c r="I344" s="6" t="str">
        <f>IF(B344=0,VLOOKUP(A344,Feuil2!$A$2:$M$1241,7,FALSE)," ")</f>
        <v xml:space="preserve"> </v>
      </c>
      <c r="J344" s="1" t="str">
        <f>IF(B344=0,VLOOKUP(A344,Feuil2!$A$2:$M$1241,9,FALSE)," ")</f>
        <v xml:space="preserve"> </v>
      </c>
      <c r="K344" s="1" t="str">
        <f>IF(B344=0,VLOOKUP(A344,Feuil2!$A$2:$M$1241,10,FALSE)," ")</f>
        <v xml:space="preserve"> </v>
      </c>
      <c r="L344" s="1"/>
      <c r="M344" s="1"/>
      <c r="N344" s="1"/>
      <c r="O344" s="8"/>
    </row>
    <row r="345" spans="1:15" x14ac:dyDescent="0.3">
      <c r="A345" s="1">
        <v>1676</v>
      </c>
      <c r="B345" s="1">
        <v>0</v>
      </c>
      <c r="C345" s="1" t="str">
        <f>IF(B345=0,VLOOKUP(A345,Feuil2!$A$2:$M$1241,2,FALSE)," ")</f>
        <v>GUELLIM</v>
      </c>
      <c r="D345" s="1" t="str">
        <f>IF(B345=0,VLOOKUP(A345,Feuil2!$A$2:$M$1241,3,FALSE)," ")</f>
        <v>FETHI</v>
      </c>
      <c r="E345" s="5">
        <f>IF(B345=0,VLOOKUP(A345,Feuil2!$A$2:$M$1241,6,FALSE)," ")</f>
        <v>26881</v>
      </c>
      <c r="F345" s="1" t="str">
        <f>IF(B345=0,VLOOKUP(A345,Feuil2!$A$2:$M$1241,12,FALSE)," ")</f>
        <v>H</v>
      </c>
      <c r="G345" s="1" t="str">
        <f>IF(B345=0,VLOOKUP(A345,Feuil2!$A$2:$M$1241,11,FALSE)," ")</f>
        <v>M</v>
      </c>
      <c r="H345" s="1" t="s">
        <v>16</v>
      </c>
      <c r="I345" s="6">
        <f>IF(B345=0,VLOOKUP(A345,Feuil2!$A$2:$M$1241,7,FALSE)," ")</f>
        <v>5525291</v>
      </c>
      <c r="J345" s="1" t="str">
        <f>IF(B345=0,VLOOKUP(A345,Feuil2!$A$2:$M$1241,9,FALSE)," ")</f>
        <v>224 Rue Arafat</v>
      </c>
      <c r="K345" s="1" t="str">
        <f>IF(B345=0,VLOOKUP(A345,Feuil2!$A$2:$M$1241,10,FALSE)," ")</f>
        <v>Msaken 4070</v>
      </c>
      <c r="L345" s="1">
        <v>4070</v>
      </c>
      <c r="M345" s="1">
        <v>43095033</v>
      </c>
      <c r="N345" s="1"/>
      <c r="O345" s="8" t="str">
        <f>IF(B345=0,VLOOKUP(A345,Feuil2!$A$2:$M$1241,13,FALSE)," ")</f>
        <v>08507000262003849311</v>
      </c>
    </row>
    <row r="346" spans="1:15" x14ac:dyDescent="0.3">
      <c r="A346" s="1">
        <v>1676</v>
      </c>
      <c r="B346" s="1">
        <v>1</v>
      </c>
      <c r="C346" s="1" t="s">
        <v>184</v>
      </c>
      <c r="D346" s="1" t="s">
        <v>1361</v>
      </c>
      <c r="E346" s="5">
        <v>29080</v>
      </c>
      <c r="F346" s="1" t="s">
        <v>17</v>
      </c>
      <c r="G346" s="1" t="s">
        <v>15</v>
      </c>
      <c r="H346" s="1" t="s">
        <v>16</v>
      </c>
      <c r="I346" s="6" t="str">
        <f>IF(B346=0,VLOOKUP(A346,Feuil2!$A$2:$M$1241,7,FALSE)," ")</f>
        <v xml:space="preserve"> </v>
      </c>
      <c r="J346" s="1" t="str">
        <f>IF(B346=0,VLOOKUP(A346,Feuil2!$A$2:$M$1241,9,FALSE)," ")</f>
        <v xml:space="preserve"> </v>
      </c>
      <c r="K346" s="1" t="str">
        <f>IF(B346=0,VLOOKUP(A346,Feuil2!$A$2:$M$1241,10,FALSE)," ")</f>
        <v xml:space="preserve"> </v>
      </c>
      <c r="L346" s="1"/>
      <c r="M346" s="1"/>
      <c r="N346" s="1"/>
      <c r="O346" s="8" t="str">
        <f>IF(B346=0,VLOOKUP(A346,Feuil2!$A$2:$M$1241,13,FALSE)," ")</f>
        <v xml:space="preserve"> </v>
      </c>
    </row>
    <row r="347" spans="1:15" x14ac:dyDescent="0.3">
      <c r="A347" s="1">
        <v>1676</v>
      </c>
      <c r="B347" s="1">
        <v>2</v>
      </c>
      <c r="C347" s="1" t="s">
        <v>184</v>
      </c>
      <c r="D347" s="1" t="s">
        <v>77</v>
      </c>
      <c r="E347" s="5">
        <v>38691</v>
      </c>
      <c r="F347" s="1" t="s">
        <v>506</v>
      </c>
      <c r="G347" s="1" t="str">
        <f>IF(B347=0,VLOOKUP(A347,Feuil2!$A$2:$M$1241,11,FALSE)," ")</f>
        <v xml:space="preserve"> </v>
      </c>
      <c r="H347" s="1" t="s">
        <v>16</v>
      </c>
      <c r="I347" s="6" t="str">
        <f>IF(B347=0,VLOOKUP(A347,Feuil2!$A$2:$M$1241,7,FALSE)," ")</f>
        <v xml:space="preserve"> </v>
      </c>
      <c r="J347" s="1" t="str">
        <f>IF(B347=0,VLOOKUP(A347,Feuil2!$A$2:$M$1241,9,FALSE)," ")</f>
        <v xml:space="preserve"> </v>
      </c>
      <c r="K347" s="1" t="str">
        <f>IF(B347=0,VLOOKUP(A347,Feuil2!$A$2:$M$1241,10,FALSE)," ")</f>
        <v xml:space="preserve"> </v>
      </c>
      <c r="L347" s="1"/>
      <c r="M347" s="1"/>
      <c r="N347" s="1"/>
      <c r="O347" s="8" t="str">
        <f>IF(B347=0,VLOOKUP(A347,Feuil2!$A$2:$M$1241,13,FALSE)," ")</f>
        <v xml:space="preserve"> </v>
      </c>
    </row>
    <row r="348" spans="1:15" x14ac:dyDescent="0.3">
      <c r="A348" s="1">
        <v>1676</v>
      </c>
      <c r="B348" s="1">
        <v>3</v>
      </c>
      <c r="C348" s="1" t="s">
        <v>184</v>
      </c>
      <c r="D348" s="1" t="s">
        <v>296</v>
      </c>
      <c r="E348" s="5">
        <v>39397</v>
      </c>
      <c r="F348" s="1" t="s">
        <v>506</v>
      </c>
      <c r="G348" s="1" t="str">
        <f>IF(B348=0,VLOOKUP(A348,Feuil2!$A$2:$M$1241,11,FALSE)," ")</f>
        <v xml:space="preserve"> </v>
      </c>
      <c r="H348" s="1" t="s">
        <v>16</v>
      </c>
      <c r="I348" s="6" t="str">
        <f>IF(B348=0,VLOOKUP(A348,Feuil2!$A$2:$M$1241,7,FALSE)," ")</f>
        <v xml:space="preserve"> </v>
      </c>
      <c r="J348" s="1" t="str">
        <f>IF(B348=0,VLOOKUP(A348,Feuil2!$A$2:$M$1241,9,FALSE)," ")</f>
        <v xml:space="preserve"> </v>
      </c>
      <c r="K348" s="1" t="str">
        <f>IF(B348=0,VLOOKUP(A348,Feuil2!$A$2:$M$1241,10,FALSE)," ")</f>
        <v xml:space="preserve"> </v>
      </c>
      <c r="L348" s="1"/>
      <c r="M348" s="1"/>
      <c r="N348" s="1"/>
      <c r="O348" s="8" t="str">
        <f>IF(B348=0,VLOOKUP(A348,Feuil2!$A$2:$M$1241,13,FALSE)," ")</f>
        <v xml:space="preserve"> </v>
      </c>
    </row>
    <row r="349" spans="1:15" x14ac:dyDescent="0.3">
      <c r="A349" s="1">
        <v>1676</v>
      </c>
      <c r="B349" s="1">
        <v>4</v>
      </c>
      <c r="C349" s="1" t="s">
        <v>184</v>
      </c>
      <c r="D349" s="1" t="s">
        <v>26</v>
      </c>
      <c r="E349" s="5">
        <v>39397</v>
      </c>
      <c r="F349" s="1" t="s">
        <v>506</v>
      </c>
      <c r="G349" s="1" t="str">
        <f>IF(B349=0,VLOOKUP(A349,Feuil2!$A$2:$M$1241,11,FALSE)," ")</f>
        <v xml:space="preserve"> </v>
      </c>
      <c r="H349" s="1" t="s">
        <v>16</v>
      </c>
      <c r="I349" s="6" t="str">
        <f>IF(B349=0,VLOOKUP(A349,Feuil2!$A$2:$M$1241,7,FALSE)," ")</f>
        <v xml:space="preserve"> </v>
      </c>
      <c r="J349" s="1" t="str">
        <f>IF(B349=0,VLOOKUP(A349,Feuil2!$A$2:$M$1241,9,FALSE)," ")</f>
        <v xml:space="preserve"> </v>
      </c>
      <c r="K349" s="1" t="str">
        <f>IF(B349=0,VLOOKUP(A349,Feuil2!$A$2:$M$1241,10,FALSE)," ")</f>
        <v xml:space="preserve"> </v>
      </c>
      <c r="L349" s="1"/>
      <c r="M349" s="1"/>
      <c r="N349" s="1"/>
      <c r="O349" s="8" t="str">
        <f>IF(B349=0,VLOOKUP(A349,Feuil2!$A$2:$M$1241,13,FALSE)," ")</f>
        <v xml:space="preserve"> </v>
      </c>
    </row>
    <row r="350" spans="1:15" x14ac:dyDescent="0.3">
      <c r="A350" s="1">
        <v>1682</v>
      </c>
      <c r="B350" s="1">
        <v>0</v>
      </c>
      <c r="C350" s="1" t="str">
        <f>IF(B350=0,VLOOKUP(A350,Feuil2!$A$2:$M$1241,2,FALSE)," ")</f>
        <v>LASSOUAD</v>
      </c>
      <c r="D350" s="1" t="str">
        <f>IF(B350=0,VLOOKUP(A350,Feuil2!$A$2:$M$1241,3,FALSE)," ")</f>
        <v>ABDELJELIL</v>
      </c>
      <c r="E350" s="5">
        <f>IF(B350=0,VLOOKUP(A350,Feuil2!$A$2:$M$1241,6,FALSE)," ")</f>
        <v>27288</v>
      </c>
      <c r="F350" s="1" t="str">
        <f>IF(B350=0,VLOOKUP(A350,Feuil2!$A$2:$M$1241,12,FALSE)," ")</f>
        <v>H</v>
      </c>
      <c r="G350" s="1" t="str">
        <f>IF(B350=0,VLOOKUP(A350,Feuil2!$A$2:$M$1241,11,FALSE)," ")</f>
        <v>M</v>
      </c>
      <c r="H350" s="1" t="s">
        <v>16</v>
      </c>
      <c r="I350" s="6">
        <f>IF(B350=0,VLOOKUP(A350,Feuil2!$A$2:$M$1241,7,FALSE)," ")</f>
        <v>5563446</v>
      </c>
      <c r="J350" s="1" t="str">
        <f>IF(B350=0,VLOOKUP(A350,Feuil2!$A$2:$M$1241,9,FALSE)," ")</f>
        <v>DOUAR OULED ABDALLAH</v>
      </c>
      <c r="K350" s="1" t="str">
        <f>IF(B350=0,VLOOKUP(A350,Feuil2!$A$2:$M$1241,10,FALSE)," ")</f>
        <v>Sidi El HÃ©ni 4025</v>
      </c>
      <c r="L350" s="1"/>
      <c r="M350" s="1">
        <v>96765947</v>
      </c>
      <c r="N350" s="1"/>
      <c r="O350" s="8" t="str">
        <f>IF(B350=0,VLOOKUP(A350,Feuil2!$A$2:$M$1241,13,FALSE)," ")</f>
        <v>04204067404002062273</v>
      </c>
    </row>
    <row r="351" spans="1:15" x14ac:dyDescent="0.3">
      <c r="A351" s="1">
        <v>1682</v>
      </c>
      <c r="B351" s="1">
        <v>1</v>
      </c>
      <c r="C351" s="1" t="s">
        <v>2368</v>
      </c>
      <c r="D351" s="1" t="s">
        <v>2369</v>
      </c>
      <c r="E351" s="5">
        <v>31356</v>
      </c>
      <c r="F351" s="1" t="s">
        <v>17</v>
      </c>
      <c r="G351" s="1" t="s">
        <v>15</v>
      </c>
      <c r="H351" s="1" t="s">
        <v>16</v>
      </c>
      <c r="I351" s="6" t="str">
        <f>IF(B351=0,VLOOKUP(A351,Feuil2!$A$2:$M$1241,7,FALSE)," ")</f>
        <v xml:space="preserve"> </v>
      </c>
      <c r="J351" s="1" t="str">
        <f>IF(B351=0,VLOOKUP(A351,Feuil2!$A$2:$M$1241,9,FALSE)," ")</f>
        <v xml:space="preserve"> </v>
      </c>
      <c r="K351" s="1" t="str">
        <f>IF(B351=0,VLOOKUP(A351,Feuil2!$A$2:$M$1241,10,FALSE)," ")</f>
        <v xml:space="preserve"> </v>
      </c>
      <c r="L351" s="1"/>
      <c r="M351" s="1"/>
      <c r="N351" s="1"/>
      <c r="O351" s="8" t="str">
        <f>IF(B351=0,VLOOKUP(A351,Feuil2!$A$2:$M$1241,13,FALSE)," ")</f>
        <v xml:space="preserve"> </v>
      </c>
    </row>
    <row r="352" spans="1:15" x14ac:dyDescent="0.3">
      <c r="A352" s="1">
        <v>1682</v>
      </c>
      <c r="B352" s="1">
        <v>2</v>
      </c>
      <c r="C352" s="1" t="s">
        <v>256</v>
      </c>
      <c r="D352" s="1" t="s">
        <v>2370</v>
      </c>
      <c r="E352" s="5">
        <v>40103</v>
      </c>
      <c r="F352" s="1" t="s">
        <v>17</v>
      </c>
      <c r="G352" s="1" t="str">
        <f>IF(B352=0,VLOOKUP(A352,Feuil2!$A$2:$M$1241,11,FALSE)," ")</f>
        <v xml:space="preserve"> </v>
      </c>
      <c r="H352" s="1" t="s">
        <v>16</v>
      </c>
      <c r="I352" s="6" t="str">
        <f>IF(B352=0,VLOOKUP(A352,Feuil2!$A$2:$M$1241,7,FALSE)," ")</f>
        <v xml:space="preserve"> </v>
      </c>
      <c r="J352" s="1" t="str">
        <f>IF(B352=0,VLOOKUP(A352,Feuil2!$A$2:$M$1241,9,FALSE)," ")</f>
        <v xml:space="preserve"> </v>
      </c>
      <c r="K352" s="1" t="str">
        <f>IF(B352=0,VLOOKUP(A352,Feuil2!$A$2:$M$1241,10,FALSE)," ")</f>
        <v xml:space="preserve"> </v>
      </c>
      <c r="L352" s="1"/>
      <c r="M352" s="1"/>
      <c r="N352" s="1"/>
      <c r="O352" s="8" t="str">
        <f>IF(B352=0,VLOOKUP(A352,Feuil2!$A$2:$M$1241,13,FALSE)," ")</f>
        <v xml:space="preserve"> </v>
      </c>
    </row>
    <row r="353" spans="1:15" x14ac:dyDescent="0.3">
      <c r="A353" s="1">
        <v>1682</v>
      </c>
      <c r="B353" s="1">
        <v>3</v>
      </c>
      <c r="C353" s="1" t="s">
        <v>256</v>
      </c>
      <c r="D353" s="1" t="s">
        <v>2371</v>
      </c>
      <c r="E353" s="5">
        <v>40547</v>
      </c>
      <c r="F353" s="1" t="s">
        <v>17</v>
      </c>
      <c r="G353" s="1" t="str">
        <f>IF(B353=0,VLOOKUP(A353,Feuil2!$A$2:$M$1241,11,FALSE)," ")</f>
        <v xml:space="preserve"> </v>
      </c>
      <c r="H353" s="1" t="s">
        <v>16</v>
      </c>
      <c r="I353" s="6" t="str">
        <f>IF(B353=0,VLOOKUP(A353,Feuil2!$A$2:$M$1241,7,FALSE)," ")</f>
        <v xml:space="preserve"> </v>
      </c>
      <c r="J353" s="1" t="str">
        <f>IF(B353=0,VLOOKUP(A353,Feuil2!$A$2:$M$1241,9,FALSE)," ")</f>
        <v xml:space="preserve"> </v>
      </c>
      <c r="K353" s="1" t="str">
        <f>IF(B353=0,VLOOKUP(A353,Feuil2!$A$2:$M$1241,10,FALSE)," ")</f>
        <v xml:space="preserve"> </v>
      </c>
      <c r="L353" s="1"/>
      <c r="M353" s="1"/>
      <c r="N353" s="1"/>
      <c r="O353" s="8" t="str">
        <f>IF(B353=0,VLOOKUP(A353,Feuil2!$A$2:$M$1241,13,FALSE)," ")</f>
        <v xml:space="preserve"> </v>
      </c>
    </row>
    <row r="354" spans="1:15" x14ac:dyDescent="0.3">
      <c r="A354" s="1">
        <v>1682</v>
      </c>
      <c r="B354" s="1">
        <v>4</v>
      </c>
      <c r="C354" s="1" t="s">
        <v>256</v>
      </c>
      <c r="D354" s="1" t="s">
        <v>230</v>
      </c>
      <c r="E354" s="5">
        <v>41113</v>
      </c>
      <c r="F354" s="1" t="s">
        <v>506</v>
      </c>
      <c r="G354" s="1" t="str">
        <f>IF(B354=0,VLOOKUP(A354,Feuil2!$A$2:$M$1241,11,FALSE)," ")</f>
        <v xml:space="preserve"> </v>
      </c>
      <c r="H354" s="1" t="s">
        <v>16</v>
      </c>
      <c r="I354" s="6" t="str">
        <f>IF(B354=0,VLOOKUP(A354,Feuil2!$A$2:$M$1241,7,FALSE)," ")</f>
        <v xml:space="preserve"> </v>
      </c>
      <c r="J354" s="1" t="str">
        <f>IF(B354=0,VLOOKUP(A354,Feuil2!$A$2:$M$1241,9,FALSE)," ")</f>
        <v xml:space="preserve"> </v>
      </c>
      <c r="K354" s="1" t="str">
        <f>IF(B354=0,VLOOKUP(A354,Feuil2!$A$2:$M$1241,10,FALSE)," ")</f>
        <v xml:space="preserve"> </v>
      </c>
      <c r="L354" s="1"/>
      <c r="M354" s="1"/>
      <c r="N354" s="1"/>
      <c r="O354" s="8" t="str">
        <f>IF(B354=0,VLOOKUP(A354,Feuil2!$A$2:$M$1241,13,FALSE)," ")</f>
        <v xml:space="preserve"> </v>
      </c>
    </row>
    <row r="355" spans="1:15" x14ac:dyDescent="0.3">
      <c r="A355" s="1">
        <v>1683</v>
      </c>
      <c r="B355" s="1">
        <v>0</v>
      </c>
      <c r="C355" s="1" t="str">
        <f>IF(B355=0,VLOOKUP(A355,Feuil2!$A$2:$M$1241,2,FALSE)," ")</f>
        <v>HEDHILI</v>
      </c>
      <c r="D355" s="1" t="str">
        <f>IF(B355=0,VLOOKUP(A355,Feuil2!$A$2:$M$1241,3,FALSE)," ")</f>
        <v>MOHAMED</v>
      </c>
      <c r="E355" s="5">
        <f>IF(B355=0,VLOOKUP(A355,Feuil2!$A$2:$M$1241,6,FALSE)," ")</f>
        <v>26811</v>
      </c>
      <c r="F355" s="1" t="str">
        <f>IF(B355=0,VLOOKUP(A355,Feuil2!$A$2:$M$1241,12,FALSE)," ")</f>
        <v>H</v>
      </c>
      <c r="G355" s="1" t="str">
        <f>IF(B355=0,VLOOKUP(A355,Feuil2!$A$2:$M$1241,11,FALSE)," ")</f>
        <v>M</v>
      </c>
      <c r="H355" s="1" t="s">
        <v>16</v>
      </c>
      <c r="I355" s="6">
        <f>IF(B355=0,VLOOKUP(A355,Feuil2!$A$2:$M$1241,7,FALSE)," ")</f>
        <v>5537739</v>
      </c>
      <c r="J355" s="1" t="str">
        <f>IF(B355=0,VLOOKUP(A355,Feuil2!$A$2:$M$1241,9,FALSE)," ")</f>
        <v>1 Rue Mohamed Ali</v>
      </c>
      <c r="K355" s="1" t="str">
        <f>IF(B355=0,VLOOKUP(A355,Feuil2!$A$2:$M$1241,10,FALSE)," ")</f>
        <v>Msaken 4070</v>
      </c>
      <c r="L355" s="1">
        <v>4070</v>
      </c>
      <c r="M355" s="1">
        <v>53241128</v>
      </c>
      <c r="N355" s="1"/>
      <c r="O355" s="8" t="str">
        <f>IF(B355=0,VLOOKUP(A355,Feuil2!$A$2:$M$1241,13,FALSE)," ")</f>
        <v>03508056010100324792</v>
      </c>
    </row>
    <row r="356" spans="1:15" x14ac:dyDescent="0.3">
      <c r="A356" s="1">
        <v>1683</v>
      </c>
      <c r="B356" s="1">
        <v>1</v>
      </c>
      <c r="C356" s="1" t="s">
        <v>67</v>
      </c>
      <c r="D356" s="1" t="s">
        <v>2418</v>
      </c>
      <c r="E356" s="5">
        <v>30329</v>
      </c>
      <c r="F356" s="1" t="s">
        <v>17</v>
      </c>
      <c r="G356" s="1" t="s">
        <v>15</v>
      </c>
      <c r="H356" s="1" t="s">
        <v>16</v>
      </c>
      <c r="I356" s="6" t="str">
        <f>IF(B356=0,VLOOKUP(A356,Feuil2!$A$2:$M$1241,7,FALSE)," ")</f>
        <v xml:space="preserve"> </v>
      </c>
      <c r="J356" s="1" t="str">
        <f>IF(B356=0,VLOOKUP(A356,Feuil2!$A$2:$M$1241,9,FALSE)," ")</f>
        <v xml:space="preserve"> </v>
      </c>
      <c r="K356" s="1" t="str">
        <f>IF(B356=0,VLOOKUP(A356,Feuil2!$A$2:$M$1241,10,FALSE)," ")</f>
        <v xml:space="preserve"> </v>
      </c>
      <c r="L356" s="1"/>
      <c r="M356" s="1"/>
      <c r="N356" s="1"/>
      <c r="O356" s="8" t="str">
        <f>IF(B356=0,VLOOKUP(A356,Feuil2!$A$2:$M$1241,13,FALSE)," ")</f>
        <v xml:space="preserve"> </v>
      </c>
    </row>
    <row r="357" spans="1:15" x14ac:dyDescent="0.3">
      <c r="A357" s="1">
        <v>1683</v>
      </c>
      <c r="B357" s="1">
        <v>2</v>
      </c>
      <c r="C357" s="1" t="s">
        <v>78</v>
      </c>
      <c r="D357" s="1" t="s">
        <v>2500</v>
      </c>
      <c r="E357" s="5">
        <v>39970</v>
      </c>
      <c r="F357" s="1" t="s">
        <v>17</v>
      </c>
      <c r="G357" s="1" t="str">
        <f>IF(B357=0,VLOOKUP(A357,Feuil2!$A$2:$M$1241,11,FALSE)," ")</f>
        <v xml:space="preserve"> </v>
      </c>
      <c r="H357" s="1" t="s">
        <v>16</v>
      </c>
      <c r="I357" s="6" t="str">
        <f>IF(B357=0,VLOOKUP(A357,Feuil2!$A$2:$M$1241,7,FALSE)," ")</f>
        <v xml:space="preserve"> </v>
      </c>
      <c r="J357" s="1" t="str">
        <f>IF(B357=0,VLOOKUP(A357,Feuil2!$A$2:$M$1241,9,FALSE)," ")</f>
        <v xml:space="preserve"> </v>
      </c>
      <c r="K357" s="1" t="str">
        <f>IF(B357=0,VLOOKUP(A357,Feuil2!$A$2:$M$1241,10,FALSE)," ")</f>
        <v xml:space="preserve"> </v>
      </c>
      <c r="L357" s="1"/>
      <c r="M357" s="1"/>
      <c r="N357" s="1"/>
      <c r="O357" s="8" t="str">
        <f>IF(B357=0,VLOOKUP(A357,Feuil2!$A$2:$M$1241,13,FALSE)," ")</f>
        <v xml:space="preserve"> </v>
      </c>
    </row>
    <row r="358" spans="1:15" x14ac:dyDescent="0.3">
      <c r="A358" s="1">
        <v>1683</v>
      </c>
      <c r="B358" s="1">
        <v>3</v>
      </c>
      <c r="C358" s="1" t="s">
        <v>78</v>
      </c>
      <c r="D358" s="1" t="s">
        <v>2345</v>
      </c>
      <c r="E358" s="5">
        <v>40500</v>
      </c>
      <c r="F358" s="1" t="s">
        <v>17</v>
      </c>
      <c r="G358" s="1" t="str">
        <f>IF(B358=0,VLOOKUP(A358,Feuil2!$A$2:$M$1241,11,FALSE)," ")</f>
        <v xml:space="preserve"> </v>
      </c>
      <c r="H358" s="1" t="s">
        <v>16</v>
      </c>
      <c r="I358" s="6" t="str">
        <f>IF(B358=0,VLOOKUP(A358,Feuil2!$A$2:$M$1241,7,FALSE)," ")</f>
        <v xml:space="preserve"> </v>
      </c>
      <c r="J358" s="1" t="str">
        <f>IF(B358=0,VLOOKUP(A358,Feuil2!$A$2:$M$1241,9,FALSE)," ")</f>
        <v xml:space="preserve"> </v>
      </c>
      <c r="K358" s="1" t="str">
        <f>IF(B358=0,VLOOKUP(A358,Feuil2!$A$2:$M$1241,10,FALSE)," ")</f>
        <v xml:space="preserve"> </v>
      </c>
      <c r="L358" s="1"/>
      <c r="M358" s="1"/>
      <c r="N358" s="1"/>
      <c r="O358" s="8" t="str">
        <f>IF(B358=0,VLOOKUP(A358,Feuil2!$A$2:$M$1241,13,FALSE)," ")</f>
        <v xml:space="preserve"> </v>
      </c>
    </row>
    <row r="359" spans="1:15" x14ac:dyDescent="0.3">
      <c r="A359" s="1">
        <v>1683</v>
      </c>
      <c r="B359" s="1">
        <v>4</v>
      </c>
      <c r="C359" s="1" t="s">
        <v>78</v>
      </c>
      <c r="D359" s="1" t="s">
        <v>2501</v>
      </c>
      <c r="E359" s="5">
        <v>42118</v>
      </c>
      <c r="F359" s="1" t="s">
        <v>17</v>
      </c>
      <c r="G359" s="1" t="str">
        <f>IF(B359=0,VLOOKUP(A359,Feuil2!$A$2:$M$1241,11,FALSE)," ")</f>
        <v xml:space="preserve"> </v>
      </c>
      <c r="H359" s="1" t="s">
        <v>16</v>
      </c>
      <c r="I359" s="6" t="str">
        <f>IF(B359=0,VLOOKUP(A359,Feuil2!$A$2:$M$1241,7,FALSE)," ")</f>
        <v xml:space="preserve"> </v>
      </c>
      <c r="J359" s="1" t="str">
        <f>IF(B359=0,VLOOKUP(A359,Feuil2!$A$2:$M$1241,9,FALSE)," ")</f>
        <v xml:space="preserve"> </v>
      </c>
      <c r="K359" s="1" t="str">
        <f>IF(B359=0,VLOOKUP(A359,Feuil2!$A$2:$M$1241,10,FALSE)," ")</f>
        <v xml:space="preserve"> </v>
      </c>
      <c r="L359" s="1"/>
      <c r="M359" s="1"/>
      <c r="N359" s="1"/>
      <c r="O359" s="8" t="str">
        <f>IF(B359=0,VLOOKUP(A359,Feuil2!$A$2:$M$1241,13,FALSE)," ")</f>
        <v xml:space="preserve"> </v>
      </c>
    </row>
    <row r="360" spans="1:15" x14ac:dyDescent="0.3">
      <c r="A360" s="1">
        <v>1685</v>
      </c>
      <c r="B360" s="1">
        <v>0</v>
      </c>
      <c r="C360" s="1" t="str">
        <f>IF(B360=0,VLOOKUP(A360,Feuil2!$A$2:$M$1241,2,FALSE)," ")</f>
        <v>MAHJOUB</v>
      </c>
      <c r="D360" s="1" t="str">
        <f>IF(B360=0,VLOOKUP(A360,Feuil2!$A$2:$M$1241,3,FALSE)," ")</f>
        <v>MOHAMED KARIM</v>
      </c>
      <c r="E360" s="5">
        <f>IF(B360=0,VLOOKUP(A360,Feuil2!$A$2:$M$1241,6,FALSE)," ")</f>
        <v>26679</v>
      </c>
      <c r="F360" s="1" t="str">
        <f>IF(B360=0,VLOOKUP(A360,Feuil2!$A$2:$M$1241,12,FALSE)," ")</f>
        <v>H</v>
      </c>
      <c r="G360" s="1" t="str">
        <f>IF(B360=0,VLOOKUP(A360,Feuil2!$A$2:$M$1241,11,FALSE)," ")</f>
        <v>M</v>
      </c>
      <c r="H360" s="1" t="s">
        <v>16</v>
      </c>
      <c r="I360" s="6">
        <f>IF(B360=0,VLOOKUP(A360,Feuil2!$A$2:$M$1241,7,FALSE)," ")</f>
        <v>5529699</v>
      </c>
      <c r="J360" s="1" t="str">
        <f>IF(B360=0,VLOOKUP(A360,Feuil2!$A$2:$M$1241,9,FALSE)," ")</f>
        <v>216 Rue 1er Juin</v>
      </c>
      <c r="K360" s="1" t="str">
        <f>IF(B360=0,VLOOKUP(A360,Feuil2!$A$2:$M$1241,10,FALSE)," ")</f>
        <v>Msaken 4070</v>
      </c>
      <c r="L360" s="1">
        <v>4070</v>
      </c>
      <c r="M360" s="1">
        <v>98783225</v>
      </c>
      <c r="N360" s="1"/>
      <c r="O360" s="8" t="str">
        <f>IF(B360=0,VLOOKUP(A360,Feuil2!$A$2:$M$1241,13,FALSE)," ")</f>
        <v>05048000116500033883</v>
      </c>
    </row>
    <row r="361" spans="1:15" x14ac:dyDescent="0.3">
      <c r="A361" s="1">
        <v>1685</v>
      </c>
      <c r="B361" s="1">
        <v>1</v>
      </c>
      <c r="C361" s="1" t="s">
        <v>38</v>
      </c>
      <c r="D361" s="1" t="s">
        <v>1007</v>
      </c>
      <c r="E361" s="5">
        <v>35578</v>
      </c>
      <c r="F361" s="1" t="s">
        <v>17</v>
      </c>
      <c r="G361" s="1" t="s">
        <v>15</v>
      </c>
      <c r="H361" s="1" t="s">
        <v>16</v>
      </c>
      <c r="I361" s="6" t="str">
        <f>IF(B361=0,VLOOKUP(A361,Feuil2!$A$2:$M$1241,7,FALSE)," ")</f>
        <v xml:space="preserve"> </v>
      </c>
      <c r="J361" s="1" t="str">
        <f>IF(B361=0,VLOOKUP(A361,Feuil2!$A$2:$M$1241,9,FALSE)," ")</f>
        <v xml:space="preserve"> </v>
      </c>
      <c r="K361" s="1" t="str">
        <f>IF(B361=0,VLOOKUP(A361,Feuil2!$A$2:$M$1241,10,FALSE)," ")</f>
        <v xml:space="preserve"> </v>
      </c>
      <c r="L361" s="1"/>
      <c r="M361" s="1"/>
      <c r="N361" s="1"/>
      <c r="O361" s="8" t="str">
        <f>IF(B361=0,VLOOKUP(A361,Feuil2!$A$2:$M$1241,13,FALSE)," ")</f>
        <v xml:space="preserve"> </v>
      </c>
    </row>
    <row r="362" spans="1:15" x14ac:dyDescent="0.3">
      <c r="A362" s="1">
        <v>1685</v>
      </c>
      <c r="B362" s="1">
        <v>2</v>
      </c>
      <c r="C362" s="1" t="s">
        <v>19</v>
      </c>
      <c r="D362" s="1" t="s">
        <v>441</v>
      </c>
      <c r="E362" s="5">
        <v>37740</v>
      </c>
      <c r="F362" s="1" t="s">
        <v>506</v>
      </c>
      <c r="G362" s="1" t="str">
        <f>IF(B362=0,VLOOKUP(A362,Feuil2!$A$2:$M$1241,11,FALSE)," ")</f>
        <v xml:space="preserve"> </v>
      </c>
      <c r="H362" s="1" t="s">
        <v>16</v>
      </c>
      <c r="I362" s="6" t="str">
        <f>IF(B362=0,VLOOKUP(A362,Feuil2!$A$2:$M$1241,7,FALSE)," ")</f>
        <v xml:space="preserve"> </v>
      </c>
      <c r="J362" s="1" t="str">
        <f>IF(B362=0,VLOOKUP(A362,Feuil2!$A$2:$M$1241,9,FALSE)," ")</f>
        <v xml:space="preserve"> </v>
      </c>
      <c r="K362" s="1" t="str">
        <f>IF(B362=0,VLOOKUP(A362,Feuil2!$A$2:$M$1241,10,FALSE)," ")</f>
        <v xml:space="preserve"> </v>
      </c>
      <c r="L362" s="1"/>
      <c r="M362" s="1"/>
      <c r="N362" s="1"/>
      <c r="O362" s="8" t="str">
        <f>IF(B362=0,VLOOKUP(A362,Feuil2!$A$2:$M$1241,13,FALSE)," ")</f>
        <v xml:space="preserve"> </v>
      </c>
    </row>
    <row r="363" spans="1:15" x14ac:dyDescent="0.3">
      <c r="A363" s="1">
        <v>1685</v>
      </c>
      <c r="B363" s="1">
        <v>3</v>
      </c>
      <c r="C363" s="1" t="s">
        <v>19</v>
      </c>
      <c r="D363" s="1" t="s">
        <v>2462</v>
      </c>
      <c r="E363" s="5">
        <v>38945</v>
      </c>
      <c r="F363" s="1" t="s">
        <v>506</v>
      </c>
      <c r="G363" s="1" t="str">
        <f>IF(B363=0,VLOOKUP(A363,Feuil2!$A$2:$M$1241,11,FALSE)," ")</f>
        <v xml:space="preserve"> </v>
      </c>
      <c r="H363" s="1" t="s">
        <v>16</v>
      </c>
      <c r="I363" s="6" t="str">
        <f>IF(B363=0,VLOOKUP(A363,Feuil2!$A$2:$M$1241,7,FALSE)," ")</f>
        <v xml:space="preserve"> </v>
      </c>
      <c r="J363" s="1" t="str">
        <f>IF(B363=0,VLOOKUP(A363,Feuil2!$A$2:$M$1241,9,FALSE)," ")</f>
        <v xml:space="preserve"> </v>
      </c>
      <c r="K363" s="1" t="str">
        <f>IF(B363=0,VLOOKUP(A363,Feuil2!$A$2:$M$1241,10,FALSE)," ")</f>
        <v xml:space="preserve"> </v>
      </c>
      <c r="L363" s="1"/>
      <c r="M363" s="1"/>
      <c r="N363" s="1"/>
      <c r="O363" s="8" t="str">
        <f>IF(B363=0,VLOOKUP(A363,Feuil2!$A$2:$M$1241,13,FALSE)," ")</f>
        <v xml:space="preserve"> </v>
      </c>
    </row>
    <row r="364" spans="1:15" x14ac:dyDescent="0.3">
      <c r="A364" s="1">
        <v>1685</v>
      </c>
      <c r="B364" s="1">
        <v>4</v>
      </c>
      <c r="C364" s="1" t="s">
        <v>19</v>
      </c>
      <c r="D364" s="1" t="s">
        <v>2337</v>
      </c>
      <c r="E364" s="5">
        <v>40138</v>
      </c>
      <c r="F364" s="1" t="s">
        <v>17</v>
      </c>
      <c r="G364" s="1" t="str">
        <f>IF(B364=0,VLOOKUP(A364,Feuil2!$A$2:$M$1241,11,FALSE)," ")</f>
        <v xml:space="preserve"> </v>
      </c>
      <c r="H364" s="1" t="s">
        <v>16</v>
      </c>
      <c r="I364" s="6" t="str">
        <f>IF(B364=0,VLOOKUP(A364,Feuil2!$A$2:$M$1241,7,FALSE)," ")</f>
        <v xml:space="preserve"> </v>
      </c>
      <c r="J364" s="1" t="str">
        <f>IF(B364=0,VLOOKUP(A364,Feuil2!$A$2:$M$1241,9,FALSE)," ")</f>
        <v xml:space="preserve"> </v>
      </c>
      <c r="K364" s="1" t="str">
        <f>IF(B364=0,VLOOKUP(A364,Feuil2!$A$2:$M$1241,10,FALSE)," ")</f>
        <v xml:space="preserve"> </v>
      </c>
      <c r="L364" s="1"/>
      <c r="M364" s="1"/>
      <c r="N364" s="1"/>
      <c r="O364" s="8" t="str">
        <f>IF(B364=0,VLOOKUP(A364,Feuil2!$A$2:$M$1241,13,FALSE)," ")</f>
        <v xml:space="preserve"> </v>
      </c>
    </row>
    <row r="365" spans="1:15" x14ac:dyDescent="0.3">
      <c r="A365" s="1">
        <v>1693</v>
      </c>
      <c r="B365" s="1">
        <v>0</v>
      </c>
      <c r="C365" s="1" t="str">
        <f>IF(B365=0,VLOOKUP(A365,Feuil2!$A$2:$M$1241,2,FALSE)," ")</f>
        <v>REBAI</v>
      </c>
      <c r="D365" s="1" t="str">
        <f>IF(B365=0,VLOOKUP(A365,Feuil2!$A$2:$M$1241,3,FALSE)," ")</f>
        <v>MOHAMED</v>
      </c>
      <c r="E365" s="5">
        <f>IF(B365=0,VLOOKUP(A365,Feuil2!$A$2:$M$1241,6,FALSE)," ")</f>
        <v>28295</v>
      </c>
      <c r="F365" s="1" t="str">
        <f>IF(B365=0,VLOOKUP(A365,Feuil2!$A$2:$M$1241,12,FALSE)," ")</f>
        <v>H</v>
      </c>
      <c r="G365" s="1" t="str">
        <f>IF(B365=0,VLOOKUP(A365,Feuil2!$A$2:$M$1241,11,FALSE)," ")</f>
        <v>M</v>
      </c>
      <c r="H365" s="1" t="s">
        <v>16</v>
      </c>
      <c r="I365" s="6">
        <f>IF(B365=0,VLOOKUP(A365,Feuil2!$A$2:$M$1241,7,FALSE)," ")</f>
        <v>8426699</v>
      </c>
      <c r="J365" s="1" t="str">
        <f>IF(B365=0,VLOOKUP(A365,Feuil2!$A$2:$M$1241,9,FALSE)," ")</f>
        <v>40 Cite Roumania</v>
      </c>
      <c r="K365" s="1" t="str">
        <f>IF(B365=0,VLOOKUP(A365,Feuil2!$A$2:$M$1241,10,FALSE)," ")</f>
        <v>Kalaa Kebira</v>
      </c>
      <c r="L365" s="1"/>
      <c r="M365" s="1">
        <v>56376791</v>
      </c>
      <c r="N365" s="1"/>
      <c r="O365" s="8" t="str">
        <f>IF(B365=0,VLOOKUP(A365,Feuil2!$A$2:$M$1241,13,FALSE)," ")</f>
        <v>08506000252001578053</v>
      </c>
    </row>
    <row r="366" spans="1:15" x14ac:dyDescent="0.3">
      <c r="A366" s="1">
        <v>1693</v>
      </c>
      <c r="B366" s="1">
        <v>1</v>
      </c>
      <c r="C366" s="1" t="s">
        <v>257</v>
      </c>
      <c r="D366" s="1" t="s">
        <v>2348</v>
      </c>
      <c r="E366" s="5">
        <v>30542</v>
      </c>
      <c r="F366" s="1" t="s">
        <v>17</v>
      </c>
      <c r="G366" s="1" t="s">
        <v>15</v>
      </c>
      <c r="H366" s="1" t="s">
        <v>16</v>
      </c>
      <c r="I366" s="6" t="str">
        <f>IF(B366=0,VLOOKUP(A366,Feuil2!$A$2:$M$1241,7,FALSE)," ")</f>
        <v xml:space="preserve"> </v>
      </c>
      <c r="J366" s="1" t="str">
        <f>IF(B366=0,VLOOKUP(A366,Feuil2!$A$2:$M$1241,9,FALSE)," ")</f>
        <v xml:space="preserve"> </v>
      </c>
      <c r="K366" s="1" t="str">
        <f>IF(B366=0,VLOOKUP(A366,Feuil2!$A$2:$M$1241,10,FALSE)," ")</f>
        <v xml:space="preserve"> </v>
      </c>
      <c r="L366" s="1"/>
      <c r="M366" s="1"/>
      <c r="N366" s="1"/>
      <c r="O366" s="8" t="str">
        <f>IF(B366=0,VLOOKUP(A366,Feuil2!$A$2:$M$1241,13,FALSE)," ")</f>
        <v xml:space="preserve"> </v>
      </c>
    </row>
    <row r="367" spans="1:15" x14ac:dyDescent="0.3">
      <c r="A367" s="1">
        <v>1693</v>
      </c>
      <c r="B367" s="1">
        <v>2</v>
      </c>
      <c r="C367" s="1" t="s">
        <v>257</v>
      </c>
      <c r="D367" s="1" t="s">
        <v>2431</v>
      </c>
      <c r="E367" s="5">
        <v>39292</v>
      </c>
      <c r="F367" s="1" t="s">
        <v>506</v>
      </c>
      <c r="G367" s="1" t="str">
        <f>IF(B367=0,VLOOKUP(A367,Feuil2!$A$2:$M$1241,11,FALSE)," ")</f>
        <v xml:space="preserve"> </v>
      </c>
      <c r="H367" s="1" t="s">
        <v>16</v>
      </c>
      <c r="I367" s="6" t="str">
        <f>IF(B367=0,VLOOKUP(A367,Feuil2!$A$2:$M$1241,7,FALSE)," ")</f>
        <v xml:space="preserve"> </v>
      </c>
      <c r="J367" s="1" t="str">
        <f>IF(B367=0,VLOOKUP(A367,Feuil2!$A$2:$M$1241,9,FALSE)," ")</f>
        <v xml:space="preserve"> </v>
      </c>
      <c r="K367" s="1" t="str">
        <f>IF(B367=0,VLOOKUP(A367,Feuil2!$A$2:$M$1241,10,FALSE)," ")</f>
        <v xml:space="preserve"> </v>
      </c>
      <c r="L367" s="1"/>
      <c r="M367" s="1"/>
      <c r="N367" s="1"/>
      <c r="O367" s="8" t="str">
        <f>IF(B367=0,VLOOKUP(A367,Feuil2!$A$2:$M$1241,13,FALSE)," ")</f>
        <v xml:space="preserve"> </v>
      </c>
    </row>
    <row r="368" spans="1:15" x14ac:dyDescent="0.3">
      <c r="A368" s="1">
        <v>1693</v>
      </c>
      <c r="B368" s="1">
        <v>3</v>
      </c>
      <c r="C368" s="1" t="s">
        <v>257</v>
      </c>
      <c r="D368" s="1" t="s">
        <v>2366</v>
      </c>
      <c r="E368" s="5">
        <v>39292</v>
      </c>
      <c r="F368" s="1" t="s">
        <v>17</v>
      </c>
      <c r="G368" s="1" t="str">
        <f>IF(B368=0,VLOOKUP(A368,Feuil2!$A$2:$M$1241,11,FALSE)," ")</f>
        <v xml:space="preserve"> </v>
      </c>
      <c r="H368" s="1" t="s">
        <v>16</v>
      </c>
      <c r="I368" s="6" t="str">
        <f>IF(B368=0,VLOOKUP(A368,Feuil2!$A$2:$M$1241,7,FALSE)," ")</f>
        <v xml:space="preserve"> </v>
      </c>
      <c r="J368" s="1" t="str">
        <f>IF(B368=0,VLOOKUP(A368,Feuil2!$A$2:$M$1241,9,FALSE)," ")</f>
        <v xml:space="preserve"> </v>
      </c>
      <c r="K368" s="1" t="str">
        <f>IF(B368=0,VLOOKUP(A368,Feuil2!$A$2:$M$1241,10,FALSE)," ")</f>
        <v xml:space="preserve"> </v>
      </c>
      <c r="L368" s="1"/>
      <c r="M368" s="1"/>
      <c r="N368" s="1"/>
      <c r="O368" s="8" t="str">
        <f>IF(B368=0,VLOOKUP(A368,Feuil2!$A$2:$M$1241,13,FALSE)," ")</f>
        <v xml:space="preserve"> </v>
      </c>
    </row>
    <row r="369" spans="1:15" x14ac:dyDescent="0.3">
      <c r="A369" s="1">
        <v>1693</v>
      </c>
      <c r="B369" s="1">
        <v>4</v>
      </c>
      <c r="C369" s="1" t="s">
        <v>257</v>
      </c>
      <c r="D369" s="1" t="s">
        <v>2432</v>
      </c>
      <c r="E369" s="5">
        <v>42147</v>
      </c>
      <c r="F369" s="1" t="s">
        <v>17</v>
      </c>
      <c r="G369" s="1" t="str">
        <f>IF(B369=0,VLOOKUP(A369,Feuil2!$A$2:$M$1241,11,FALSE)," ")</f>
        <v xml:space="preserve"> </v>
      </c>
      <c r="H369" s="1" t="s">
        <v>16</v>
      </c>
      <c r="I369" s="6" t="str">
        <f>IF(B369=0,VLOOKUP(A369,Feuil2!$A$2:$M$1241,7,FALSE)," ")</f>
        <v xml:space="preserve"> </v>
      </c>
      <c r="J369" s="1" t="str">
        <f>IF(B369=0,VLOOKUP(A369,Feuil2!$A$2:$M$1241,9,FALSE)," ")</f>
        <v xml:space="preserve"> </v>
      </c>
      <c r="K369" s="1" t="str">
        <f>IF(B369=0,VLOOKUP(A369,Feuil2!$A$2:$M$1241,10,FALSE)," ")</f>
        <v xml:space="preserve"> </v>
      </c>
      <c r="L369" s="1"/>
      <c r="M369" s="1"/>
      <c r="N369" s="1"/>
      <c r="O369" s="8" t="str">
        <f>IF(B369=0,VLOOKUP(A369,Feuil2!$A$2:$M$1241,13,FALSE)," ")</f>
        <v xml:space="preserve"> </v>
      </c>
    </row>
    <row r="370" spans="1:15" x14ac:dyDescent="0.3">
      <c r="A370" s="1">
        <v>1704</v>
      </c>
      <c r="B370" s="1">
        <v>0</v>
      </c>
      <c r="C370" s="1" t="str">
        <f>IF(B370=0,VLOOKUP(A370,Feuil2!$A$2:$M$1241,2,FALSE)," ")</f>
        <v>EL GAZZAH</v>
      </c>
      <c r="D370" s="1" t="str">
        <f>IF(B370=0,VLOOKUP(A370,Feuil2!$A$2:$M$1241,3,FALSE)," ")</f>
        <v>RIADH</v>
      </c>
      <c r="E370" s="5">
        <f>IF(B370=0,VLOOKUP(A370,Feuil2!$A$2:$M$1241,6,FALSE)," ")</f>
        <v>28904</v>
      </c>
      <c r="F370" s="1" t="str">
        <f>IF(B370=0,VLOOKUP(A370,Feuil2!$A$2:$M$1241,12,FALSE)," ")</f>
        <v>H</v>
      </c>
      <c r="G370" s="1" t="str">
        <f>IF(B370=0,VLOOKUP(A370,Feuil2!$A$2:$M$1241,11,FALSE)," ")</f>
        <v>M</v>
      </c>
      <c r="H370" s="1" t="s">
        <v>16</v>
      </c>
      <c r="I370" s="6">
        <f>IF(B370=0,VLOOKUP(A370,Feuil2!$A$2:$M$1241,7,FALSE)," ")</f>
        <v>5563290</v>
      </c>
      <c r="J370" s="1" t="str">
        <f>IF(B370=0,VLOOKUP(A370,Feuil2!$A$2:$M$1241,9,FALSE)," ")</f>
        <v>112,Rue El MÃ¢arri</v>
      </c>
      <c r="K370" s="1" t="str">
        <f>IF(B370=0,VLOOKUP(A370,Feuil2!$A$2:$M$1241,10,FALSE)," ")</f>
        <v>Msaken 4070</v>
      </c>
      <c r="L370" s="1">
        <v>4070</v>
      </c>
      <c r="M370" s="1">
        <v>53310211</v>
      </c>
      <c r="N370" s="1"/>
      <c r="O370" s="10" t="s">
        <v>2515</v>
      </c>
    </row>
    <row r="371" spans="1:15" x14ac:dyDescent="0.3">
      <c r="A371" s="1">
        <v>1704</v>
      </c>
      <c r="B371" s="1">
        <v>1</v>
      </c>
      <c r="C371" s="1" t="s">
        <v>61</v>
      </c>
      <c r="D371" s="1" t="s">
        <v>2514</v>
      </c>
      <c r="E371" s="5">
        <v>29029</v>
      </c>
      <c r="F371" s="1" t="s">
        <v>17</v>
      </c>
      <c r="G371" s="1" t="s">
        <v>15</v>
      </c>
      <c r="H371" s="1" t="s">
        <v>16</v>
      </c>
      <c r="I371" s="6" t="str">
        <f>IF(B371=0,VLOOKUP(A371,Feuil2!$A$2:$M$1241,7,FALSE)," ")</f>
        <v xml:space="preserve"> </v>
      </c>
      <c r="J371" s="1" t="str">
        <f>IF(B371=0,VLOOKUP(A371,Feuil2!$A$2:$M$1241,9,FALSE)," ")</f>
        <v xml:space="preserve"> </v>
      </c>
      <c r="K371" s="1" t="str">
        <f>IF(B371=0,VLOOKUP(A371,Feuil2!$A$2:$M$1241,10,FALSE)," ")</f>
        <v xml:space="preserve"> </v>
      </c>
      <c r="L371" s="1"/>
      <c r="M371" s="1"/>
      <c r="N371" s="1"/>
      <c r="O371" s="8" t="str">
        <f>IF(B371=0,VLOOKUP(A371,Feuil2!$A$2:$M$1241,13,FALSE)," ")</f>
        <v xml:space="preserve"> </v>
      </c>
    </row>
    <row r="372" spans="1:15" x14ac:dyDescent="0.3">
      <c r="A372" s="1">
        <v>1704</v>
      </c>
      <c r="B372" s="1">
        <v>2</v>
      </c>
      <c r="C372" s="1" t="s">
        <v>121</v>
      </c>
      <c r="D372" s="1" t="s">
        <v>441</v>
      </c>
      <c r="E372" s="5">
        <v>39203</v>
      </c>
      <c r="F372" s="1" t="s">
        <v>506</v>
      </c>
      <c r="G372" s="1" t="str">
        <f>IF(B372=0,VLOOKUP(A372,Feuil2!$A$2:$M$1241,11,FALSE)," ")</f>
        <v xml:space="preserve"> </v>
      </c>
      <c r="H372" s="1" t="s">
        <v>16</v>
      </c>
      <c r="I372" s="6" t="str">
        <f>IF(B372=0,VLOOKUP(A372,Feuil2!$A$2:$M$1241,7,FALSE)," ")</f>
        <v xml:space="preserve"> </v>
      </c>
      <c r="J372" s="1" t="str">
        <f>IF(B372=0,VLOOKUP(A372,Feuil2!$A$2:$M$1241,9,FALSE)," ")</f>
        <v xml:space="preserve"> </v>
      </c>
      <c r="K372" s="1" t="str">
        <f>IF(B372=0,VLOOKUP(A372,Feuil2!$A$2:$M$1241,10,FALSE)," ")</f>
        <v xml:space="preserve"> </v>
      </c>
      <c r="L372" s="1"/>
      <c r="M372" s="1"/>
      <c r="N372" s="1"/>
      <c r="O372" s="8" t="str">
        <f>IF(B372=0,VLOOKUP(A372,Feuil2!$A$2:$M$1241,13,FALSE)," ")</f>
        <v xml:space="preserve"> </v>
      </c>
    </row>
    <row r="373" spans="1:15" x14ac:dyDescent="0.3">
      <c r="A373" s="1">
        <v>1704</v>
      </c>
      <c r="B373" s="1">
        <v>3</v>
      </c>
      <c r="C373" s="1" t="s">
        <v>121</v>
      </c>
      <c r="D373" s="1" t="s">
        <v>122</v>
      </c>
      <c r="E373" s="5">
        <v>39700</v>
      </c>
      <c r="F373" s="1" t="s">
        <v>506</v>
      </c>
      <c r="G373" s="1" t="str">
        <f>IF(B373=0,VLOOKUP(A373,Feuil2!$A$2:$M$1241,11,FALSE)," ")</f>
        <v xml:space="preserve"> </v>
      </c>
      <c r="H373" s="1" t="s">
        <v>16</v>
      </c>
      <c r="I373" s="6" t="str">
        <f>IF(B373=0,VLOOKUP(A373,Feuil2!$A$2:$M$1241,7,FALSE)," ")</f>
        <v xml:space="preserve"> </v>
      </c>
      <c r="J373" s="1" t="str">
        <f>IF(B373=0,VLOOKUP(A373,Feuil2!$A$2:$M$1241,9,FALSE)," ")</f>
        <v xml:space="preserve"> </v>
      </c>
      <c r="K373" s="1" t="str">
        <f>IF(B373=0,VLOOKUP(A373,Feuil2!$A$2:$M$1241,10,FALSE)," ")</f>
        <v xml:space="preserve"> </v>
      </c>
      <c r="L373" s="1"/>
      <c r="M373" s="1"/>
      <c r="N373" s="1"/>
      <c r="O373" s="8" t="str">
        <f>IF(B373=0,VLOOKUP(A373,Feuil2!$A$2:$M$1241,13,FALSE)," ")</f>
        <v xml:space="preserve"> </v>
      </c>
    </row>
    <row r="374" spans="1:15" x14ac:dyDescent="0.3">
      <c r="A374" s="1">
        <v>1704</v>
      </c>
      <c r="B374" s="1">
        <v>4</v>
      </c>
      <c r="C374" s="1" t="s">
        <v>121</v>
      </c>
      <c r="D374" s="1" t="s">
        <v>2332</v>
      </c>
      <c r="E374" s="5">
        <v>41374</v>
      </c>
      <c r="F374" s="1" t="s">
        <v>17</v>
      </c>
      <c r="G374" s="1" t="str">
        <f>IF(B374=0,VLOOKUP(A374,Feuil2!$A$2:$M$1241,11,FALSE)," ")</f>
        <v xml:space="preserve"> </v>
      </c>
      <c r="H374" s="1" t="s">
        <v>16</v>
      </c>
      <c r="I374" s="6" t="str">
        <f>IF(B374=0,VLOOKUP(A374,Feuil2!$A$2:$M$1241,7,FALSE)," ")</f>
        <v xml:space="preserve"> </v>
      </c>
      <c r="J374" s="1" t="str">
        <f>IF(B374=0,VLOOKUP(A374,Feuil2!$A$2:$M$1241,9,FALSE)," ")</f>
        <v xml:space="preserve"> </v>
      </c>
      <c r="K374" s="1" t="str">
        <f>IF(B374=0,VLOOKUP(A374,Feuil2!$A$2:$M$1241,10,FALSE)," ")</f>
        <v xml:space="preserve"> </v>
      </c>
      <c r="L374" s="1"/>
      <c r="M374" s="1"/>
      <c r="N374" s="1"/>
      <c r="O374" s="8" t="str">
        <f>IF(B374=0,VLOOKUP(A374,Feuil2!$A$2:$M$1241,13,FALSE)," ")</f>
        <v xml:space="preserve"> </v>
      </c>
    </row>
    <row r="375" spans="1:15" x14ac:dyDescent="0.3">
      <c r="A375" s="1">
        <v>1710</v>
      </c>
      <c r="B375" s="1">
        <v>0</v>
      </c>
      <c r="C375" s="1" t="str">
        <f>IF(B375=0,VLOOKUP(A375,Feuil2!$A$2:$M$1241,2,FALSE)," ")</f>
        <v>AYADI</v>
      </c>
      <c r="D375" s="1" t="str">
        <f>IF(B375=0,VLOOKUP(A375,Feuil2!$A$2:$M$1241,3,FALSE)," ")</f>
        <v>NEBIL</v>
      </c>
      <c r="E375" s="5">
        <f>IF(B375=0,VLOOKUP(A375,Feuil2!$A$2:$M$1241,6,FALSE)," ")</f>
        <v>27824</v>
      </c>
      <c r="F375" s="1" t="str">
        <f>IF(B375=0,VLOOKUP(A375,Feuil2!$A$2:$M$1241,12,FALSE)," ")</f>
        <v>H</v>
      </c>
      <c r="G375" s="1" t="str">
        <f>IF(B375=0,VLOOKUP(A375,Feuil2!$A$2:$M$1241,11,FALSE)," ")</f>
        <v>C</v>
      </c>
      <c r="H375" s="1" t="s">
        <v>16</v>
      </c>
      <c r="I375" s="6">
        <f>IF(B375=0,VLOOKUP(A375,Feuil2!$A$2:$M$1241,7,FALSE)," ")</f>
        <v>7533107</v>
      </c>
      <c r="J375" s="1" t="str">
        <f>IF(B375=0,VLOOKUP(A375,Feuil2!$A$2:$M$1241,9,FALSE)," ")</f>
        <v>7 Rue Ezzouhour</v>
      </c>
      <c r="K375" s="1" t="str">
        <f>IF(B375=0,VLOOKUP(A375,Feuil2!$A$2:$M$1241,10,FALSE)," ")</f>
        <v>Msaken 4070</v>
      </c>
      <c r="L375" s="1">
        <v>4070</v>
      </c>
      <c r="M375" s="1">
        <v>20410397</v>
      </c>
      <c r="N375" s="1"/>
      <c r="O375" s="8" t="str">
        <f>IF(B375=0,VLOOKUP(A375,Feuil2!$A$2:$M$1241,13,FALSE)," ")</f>
        <v>12505000580104694274</v>
      </c>
    </row>
    <row r="376" spans="1:15" x14ac:dyDescent="0.3">
      <c r="A376" s="1">
        <v>1712</v>
      </c>
      <c r="B376" s="1">
        <v>0</v>
      </c>
      <c r="C376" s="1" t="str">
        <f>IF(B376=0,VLOOKUP(A376,Feuil2!$A$2:$M$1241,2,FALSE)," ")</f>
        <v>MKHININI ZAATOUT</v>
      </c>
      <c r="D376" s="1" t="str">
        <f>IF(B376=0,VLOOKUP(A376,Feuil2!$A$2:$M$1241,3,FALSE)," ")</f>
        <v>MOHAMED</v>
      </c>
      <c r="E376" s="5">
        <f>IF(B376=0,VLOOKUP(A376,Feuil2!$A$2:$M$1241,6,FALSE)," ")</f>
        <v>26056</v>
      </c>
      <c r="F376" s="1" t="str">
        <f>IF(B376=0,VLOOKUP(A376,Feuil2!$A$2:$M$1241,12,FALSE)," ")</f>
        <v>H</v>
      </c>
      <c r="G376" s="1" t="str">
        <f>IF(B376=0,VLOOKUP(A376,Feuil2!$A$2:$M$1241,11,FALSE)," ")</f>
        <v>M</v>
      </c>
      <c r="H376" s="1" t="s">
        <v>16</v>
      </c>
      <c r="I376" s="6">
        <f>IF(B376=0,VLOOKUP(A376,Feuil2!$A$2:$M$1241,7,FALSE)," ")</f>
        <v>5503297</v>
      </c>
      <c r="J376" s="1" t="str">
        <f>IF(B376=0,VLOOKUP(A376,Feuil2!$A$2:$M$1241,9,FALSE)," ")</f>
        <v>109 Rue de la mosquÃ©e</v>
      </c>
      <c r="K376" s="1" t="str">
        <f>IF(B376=0,VLOOKUP(A376,Feuil2!$A$2:$M$1241,10,FALSE)," ")</f>
        <v>Msaken 4070</v>
      </c>
      <c r="L376" s="1">
        <v>4070</v>
      </c>
      <c r="M376" s="1">
        <v>22939191</v>
      </c>
      <c r="N376" s="1"/>
      <c r="O376" s="8" t="str">
        <f>IF(B376=0,VLOOKUP(A376,Feuil2!$A$2:$M$1241,13,FALSE)," ")</f>
        <v>10506040206206878812</v>
      </c>
    </row>
    <row r="377" spans="1:15" x14ac:dyDescent="0.3">
      <c r="A377" s="1">
        <v>1712</v>
      </c>
      <c r="B377" s="1">
        <v>1</v>
      </c>
      <c r="C377" s="1" t="s">
        <v>1317</v>
      </c>
      <c r="D377" s="1" t="s">
        <v>2372</v>
      </c>
      <c r="E377" s="5">
        <v>29572</v>
      </c>
      <c r="F377" s="1" t="s">
        <v>17</v>
      </c>
      <c r="G377" s="1" t="s">
        <v>15</v>
      </c>
      <c r="H377" s="1" t="s">
        <v>16</v>
      </c>
      <c r="I377" s="6" t="str">
        <f>IF(B377=0,VLOOKUP(A377,Feuil2!$A$2:$M$1241,7,FALSE)," ")</f>
        <v xml:space="preserve"> </v>
      </c>
      <c r="J377" s="1" t="str">
        <f>IF(B377=0,VLOOKUP(A377,Feuil2!$A$2:$M$1241,9,FALSE)," ")</f>
        <v xml:space="preserve"> </v>
      </c>
      <c r="K377" s="1" t="str">
        <f>IF(B377=0,VLOOKUP(A377,Feuil2!$A$2:$M$1241,10,FALSE)," ")</f>
        <v xml:space="preserve"> </v>
      </c>
      <c r="L377" s="1"/>
      <c r="M377" s="1"/>
      <c r="N377" s="1"/>
      <c r="O377" s="8" t="str">
        <f>IF(B377=0,VLOOKUP(A377,Feuil2!$A$2:$M$1241,13,FALSE)," ")</f>
        <v xml:space="preserve"> </v>
      </c>
    </row>
    <row r="378" spans="1:15" x14ac:dyDescent="0.3">
      <c r="A378" s="1">
        <v>1712</v>
      </c>
      <c r="B378" s="1">
        <v>2</v>
      </c>
      <c r="C378" s="1" t="s">
        <v>1608</v>
      </c>
      <c r="D378" s="1" t="s">
        <v>2345</v>
      </c>
      <c r="E378" s="5">
        <v>38134</v>
      </c>
      <c r="F378" s="1" t="s">
        <v>17</v>
      </c>
      <c r="G378" s="1" t="str">
        <f>IF(B378=0,VLOOKUP(A378,Feuil2!$A$2:$M$1241,11,FALSE)," ")</f>
        <v xml:space="preserve"> </v>
      </c>
      <c r="H378" s="1" t="s">
        <v>16</v>
      </c>
      <c r="I378" s="6" t="str">
        <f>IF(B378=0,VLOOKUP(A378,Feuil2!$A$2:$M$1241,7,FALSE)," ")</f>
        <v xml:space="preserve"> </v>
      </c>
      <c r="J378" s="1" t="str">
        <f>IF(B378=0,VLOOKUP(A378,Feuil2!$A$2:$M$1241,9,FALSE)," ")</f>
        <v xml:space="preserve"> </v>
      </c>
      <c r="K378" s="1" t="str">
        <f>IF(B378=0,VLOOKUP(A378,Feuil2!$A$2:$M$1241,10,FALSE)," ")</f>
        <v xml:space="preserve"> </v>
      </c>
      <c r="L378" s="1"/>
      <c r="M378" s="1"/>
      <c r="N378" s="1"/>
      <c r="O378" s="8" t="str">
        <f>IF(B378=0,VLOOKUP(A378,Feuil2!$A$2:$M$1241,13,FALSE)," ")</f>
        <v xml:space="preserve"> </v>
      </c>
    </row>
    <row r="379" spans="1:15" x14ac:dyDescent="0.3">
      <c r="A379" s="1">
        <v>1712</v>
      </c>
      <c r="B379" s="1">
        <v>3</v>
      </c>
      <c r="C379" s="1" t="s">
        <v>1608</v>
      </c>
      <c r="D379" s="1" t="s">
        <v>2337</v>
      </c>
      <c r="E379" s="5">
        <v>38717</v>
      </c>
      <c r="F379" s="1" t="s">
        <v>17</v>
      </c>
      <c r="G379" s="1" t="str">
        <f>IF(B379=0,VLOOKUP(A379,Feuil2!$A$2:$M$1241,11,FALSE)," ")</f>
        <v xml:space="preserve"> </v>
      </c>
      <c r="H379" s="1" t="s">
        <v>16</v>
      </c>
      <c r="I379" s="6" t="str">
        <f>IF(B379=0,VLOOKUP(A379,Feuil2!$A$2:$M$1241,7,FALSE)," ")</f>
        <v xml:space="preserve"> </v>
      </c>
      <c r="J379" s="1" t="str">
        <f>IF(B379=0,VLOOKUP(A379,Feuil2!$A$2:$M$1241,9,FALSE)," ")</f>
        <v xml:space="preserve"> </v>
      </c>
      <c r="K379" s="1" t="str">
        <f>IF(B379=0,VLOOKUP(A379,Feuil2!$A$2:$M$1241,10,FALSE)," ")</f>
        <v xml:space="preserve"> </v>
      </c>
      <c r="L379" s="1"/>
      <c r="M379" s="1"/>
      <c r="N379" s="1"/>
      <c r="O379" s="8" t="str">
        <f>IF(B379=0,VLOOKUP(A379,Feuil2!$A$2:$M$1241,13,FALSE)," ")</f>
        <v xml:space="preserve"> </v>
      </c>
    </row>
    <row r="380" spans="1:15" x14ac:dyDescent="0.3">
      <c r="A380" s="1">
        <v>1712</v>
      </c>
      <c r="B380" s="1">
        <v>4</v>
      </c>
      <c r="C380" s="1" t="s">
        <v>1608</v>
      </c>
      <c r="D380" s="1" t="s">
        <v>61</v>
      </c>
      <c r="E380" s="5">
        <v>41967</v>
      </c>
      <c r="F380" s="1" t="s">
        <v>506</v>
      </c>
      <c r="G380" s="1" t="str">
        <f>IF(B380=0,VLOOKUP(A380,Feuil2!$A$2:$M$1241,11,FALSE)," ")</f>
        <v xml:space="preserve"> </v>
      </c>
      <c r="H380" s="1" t="s">
        <v>16</v>
      </c>
      <c r="I380" s="6" t="str">
        <f>IF(B380=0,VLOOKUP(A380,Feuil2!$A$2:$M$1241,7,FALSE)," ")</f>
        <v xml:space="preserve"> </v>
      </c>
      <c r="J380" s="1" t="str">
        <f>IF(B380=0,VLOOKUP(A380,Feuil2!$A$2:$M$1241,9,FALSE)," ")</f>
        <v xml:space="preserve"> </v>
      </c>
      <c r="K380" s="1" t="str">
        <f>IF(B380=0,VLOOKUP(A380,Feuil2!$A$2:$M$1241,10,FALSE)," ")</f>
        <v xml:space="preserve"> </v>
      </c>
      <c r="L380" s="1"/>
      <c r="M380" s="1"/>
      <c r="N380" s="1"/>
      <c r="O380" s="8" t="str">
        <f>IF(B380=0,VLOOKUP(A380,Feuil2!$A$2:$M$1241,13,FALSE)," ")</f>
        <v xml:space="preserve"> </v>
      </c>
    </row>
    <row r="381" spans="1:15" x14ac:dyDescent="0.3">
      <c r="A381" s="1">
        <v>1721</v>
      </c>
      <c r="B381" s="17">
        <v>0</v>
      </c>
      <c r="C381" s="17" t="str">
        <f>IF(B381=0,VLOOKUP(A381,Feuil2!$A$2:$M$1241,2,FALSE)," ")</f>
        <v>CHAARANA</v>
      </c>
      <c r="D381" s="17" t="str">
        <f>IF(B381=0,VLOOKUP(A381,Feuil2!$A$2:$M$1241,3,FALSE)," ")</f>
        <v>ABDELKERIM</v>
      </c>
      <c r="E381" s="18">
        <f>IF(B381=0,VLOOKUP(A381,Feuil2!$A$2:$M$1241,6,FALSE)," ")</f>
        <v>29223</v>
      </c>
      <c r="F381" s="17" t="str">
        <f>IF(B381=0,VLOOKUP(A381,Feuil2!$A$2:$M$1241,12,FALSE)," ")</f>
        <v>H</v>
      </c>
      <c r="G381" s="17" t="str">
        <f>IF(B381=0,VLOOKUP(A381,Feuil2!$A$2:$M$1241,11,FALSE)," ")</f>
        <v>M</v>
      </c>
      <c r="H381" s="17" t="s">
        <v>16</v>
      </c>
      <c r="I381" s="19">
        <f>IF(B381=0,VLOOKUP(A381,Feuil2!$A$2:$M$1241,7,FALSE)," ")</f>
        <v>5581097</v>
      </c>
      <c r="J381" s="17" t="str">
        <f>IF(B381=0,VLOOKUP(A381,Feuil2!$A$2:$M$1241,9,FALSE)," ")</f>
        <v>68 Rue du Soudan</v>
      </c>
      <c r="K381" s="17" t="str">
        <f>IF(B381=0,VLOOKUP(A381,Feuil2!$A$2:$M$1241,10,FALSE)," ")</f>
        <v>Msaken 4070</v>
      </c>
      <c r="L381" s="17">
        <v>4070</v>
      </c>
      <c r="M381" s="17">
        <v>97584170</v>
      </c>
      <c r="N381" s="17"/>
      <c r="O381" s="20" t="str">
        <f>IF(B381=0,VLOOKUP(A381,Feuil2!$A$2:$M$1241,13,FALSE)," ")</f>
        <v>04204067404001934330</v>
      </c>
    </row>
    <row r="382" spans="1:15" x14ac:dyDescent="0.3">
      <c r="A382" s="1">
        <v>1721</v>
      </c>
      <c r="B382" s="1">
        <v>1</v>
      </c>
      <c r="C382" s="1" t="s">
        <v>83</v>
      </c>
      <c r="D382" s="1" t="s">
        <v>1787</v>
      </c>
      <c r="E382" s="5">
        <v>32112</v>
      </c>
      <c r="F382" s="1" t="s">
        <v>17</v>
      </c>
      <c r="G382" s="1" t="s">
        <v>15</v>
      </c>
      <c r="H382" s="1" t="s">
        <v>16</v>
      </c>
      <c r="I382" s="6" t="str">
        <f>IF(B382=0,VLOOKUP(A382,Feuil2!$A$2:$M$1241,7,FALSE)," ")</f>
        <v xml:space="preserve"> </v>
      </c>
      <c r="J382" s="1" t="str">
        <f>IF(B382=0,VLOOKUP(A382,Feuil2!$A$2:$M$1241,9,FALSE)," ")</f>
        <v xml:space="preserve"> </v>
      </c>
      <c r="K382" s="1" t="str">
        <f>IF(B382=0,VLOOKUP(A382,Feuil2!$A$2:$M$1241,10,FALSE)," ")</f>
        <v xml:space="preserve"> </v>
      </c>
      <c r="L382" s="1"/>
      <c r="M382" s="1"/>
      <c r="N382" s="1"/>
      <c r="O382" s="8" t="str">
        <f>IF(B382=0,VLOOKUP(A382,Feuil2!$A$2:$M$1241,13,FALSE)," ")</f>
        <v xml:space="preserve"> </v>
      </c>
    </row>
    <row r="383" spans="1:15" x14ac:dyDescent="0.3">
      <c r="A383" s="1">
        <v>1721</v>
      </c>
      <c r="B383" s="1">
        <v>2</v>
      </c>
      <c r="C383" s="1" t="s">
        <v>84</v>
      </c>
      <c r="D383" s="1" t="s">
        <v>2347</v>
      </c>
      <c r="E383" s="5">
        <v>40743</v>
      </c>
      <c r="F383" s="1" t="s">
        <v>506</v>
      </c>
      <c r="G383" s="1" t="str">
        <f>IF(B383=0,VLOOKUP(A383,Feuil2!$A$2:$M$1241,11,FALSE)," ")</f>
        <v xml:space="preserve"> </v>
      </c>
      <c r="H383" s="1" t="s">
        <v>16</v>
      </c>
      <c r="I383" s="6" t="str">
        <f>IF(B383=0,VLOOKUP(A383,Feuil2!$A$2:$M$1241,7,FALSE)," ")</f>
        <v xml:space="preserve"> </v>
      </c>
      <c r="J383" s="1" t="str">
        <f>IF(B383=0,VLOOKUP(A383,Feuil2!$A$2:$M$1241,9,FALSE)," ")</f>
        <v xml:space="preserve"> </v>
      </c>
      <c r="K383" s="1" t="str">
        <f>IF(B383=0,VLOOKUP(A383,Feuil2!$A$2:$M$1241,10,FALSE)," ")</f>
        <v xml:space="preserve"> </v>
      </c>
      <c r="L383" s="1"/>
      <c r="M383" s="1"/>
      <c r="N383" s="1"/>
      <c r="O383" s="8" t="str">
        <f>IF(B383=0,VLOOKUP(A383,Feuil2!$A$2:$M$1241,13,FALSE)," ")</f>
        <v xml:space="preserve"> </v>
      </c>
    </row>
    <row r="384" spans="1:15" x14ac:dyDescent="0.3">
      <c r="A384" s="1">
        <v>1721</v>
      </c>
      <c r="B384" s="1">
        <v>3</v>
      </c>
      <c r="C384" s="1" t="s">
        <v>84</v>
      </c>
      <c r="D384" s="1" t="s">
        <v>2367</v>
      </c>
      <c r="E384" s="5">
        <v>42009</v>
      </c>
      <c r="F384" s="1" t="s">
        <v>17</v>
      </c>
      <c r="G384" s="1" t="str">
        <f>IF(B384=0,VLOOKUP(A384,Feuil2!$A$2:$M$1241,11,FALSE)," ")</f>
        <v xml:space="preserve"> </v>
      </c>
      <c r="H384" s="1" t="s">
        <v>16</v>
      </c>
      <c r="I384" s="6" t="str">
        <f>IF(B384=0,VLOOKUP(A384,Feuil2!$A$2:$M$1241,7,FALSE)," ")</f>
        <v xml:space="preserve"> </v>
      </c>
      <c r="J384" s="1" t="str">
        <f>IF(B384=0,VLOOKUP(A384,Feuil2!$A$2:$M$1241,9,FALSE)," ")</f>
        <v xml:space="preserve"> </v>
      </c>
      <c r="K384" s="1" t="str">
        <f>IF(B384=0,VLOOKUP(A384,Feuil2!$A$2:$M$1241,10,FALSE)," ")</f>
        <v xml:space="preserve"> </v>
      </c>
      <c r="L384" s="1"/>
      <c r="M384" s="1"/>
      <c r="N384" s="1"/>
      <c r="O384" s="8" t="str">
        <f>IF(B384=0,VLOOKUP(A384,Feuil2!$A$2:$M$1241,13,FALSE)," ")</f>
        <v xml:space="preserve"> </v>
      </c>
    </row>
    <row r="385" spans="1:15" x14ac:dyDescent="0.3">
      <c r="A385" s="1">
        <v>1721</v>
      </c>
      <c r="B385" s="1">
        <v>4</v>
      </c>
      <c r="C385" s="1" t="s">
        <v>84</v>
      </c>
      <c r="D385" s="1" t="s">
        <v>402</v>
      </c>
      <c r="E385" s="5">
        <v>43045</v>
      </c>
      <c r="F385" s="1" t="s">
        <v>17</v>
      </c>
      <c r="G385" s="1" t="str">
        <f>IF(B385=0,VLOOKUP(A385,Feuil2!$A$2:$M$1241,11,FALSE)," ")</f>
        <v xml:space="preserve"> </v>
      </c>
      <c r="H385" s="1" t="s">
        <v>16</v>
      </c>
      <c r="I385" s="6" t="str">
        <f>IF(B385=0,VLOOKUP(A385,Feuil2!$A$2:$M$1241,7,FALSE)," ")</f>
        <v xml:space="preserve"> </v>
      </c>
      <c r="J385" s="1" t="str">
        <f>IF(B385=0,VLOOKUP(A385,Feuil2!$A$2:$M$1241,9,FALSE)," ")</f>
        <v xml:space="preserve"> </v>
      </c>
      <c r="K385" s="1" t="str">
        <f>IF(B385=0,VLOOKUP(A385,Feuil2!$A$2:$M$1241,10,FALSE)," ")</f>
        <v xml:space="preserve"> </v>
      </c>
      <c r="L385" s="1"/>
      <c r="M385" s="1"/>
      <c r="N385" s="1"/>
      <c r="O385" s="8" t="str">
        <f>IF(B385=0,VLOOKUP(A385,Feuil2!$A$2:$M$1241,13,FALSE)," ")</f>
        <v xml:space="preserve"> </v>
      </c>
    </row>
    <row r="386" spans="1:15" x14ac:dyDescent="0.3">
      <c r="A386" s="1">
        <v>1724</v>
      </c>
      <c r="B386" s="1">
        <v>0</v>
      </c>
      <c r="C386" s="1" t="str">
        <f>IF(B386=0,VLOOKUP(A386,Feuil2!$A$2:$M$1241,2,FALSE)," ")</f>
        <v>KAIBI</v>
      </c>
      <c r="D386" s="1" t="str">
        <f>IF(B386=0,VLOOKUP(A386,Feuil2!$A$2:$M$1241,3,FALSE)," ")</f>
        <v>ANIS</v>
      </c>
      <c r="E386" s="5">
        <f>IF(B386=0,VLOOKUP(A386,Feuil2!$A$2:$M$1241,6,FALSE)," ")</f>
        <v>29739</v>
      </c>
      <c r="F386" s="1" t="str">
        <f>IF(B386=0,VLOOKUP(A386,Feuil2!$A$2:$M$1241,12,FALSE)," ")</f>
        <v>H</v>
      </c>
      <c r="G386" s="1" t="str">
        <f>IF(B386=0,VLOOKUP(A386,Feuil2!$A$2:$M$1241,11,FALSE)," ")</f>
        <v>M</v>
      </c>
      <c r="H386" s="1" t="s">
        <v>16</v>
      </c>
      <c r="I386" s="6">
        <f>IF(B386=0,VLOOKUP(A386,Feuil2!$A$2:$M$1241,7,FALSE)," ")</f>
        <v>8440062</v>
      </c>
      <c r="J386" s="1" t="str">
        <f>IF(B386=0,VLOOKUP(A386,Feuil2!$A$2:$M$1241,9,FALSE)," ")</f>
        <v>126 Rue Djebline</v>
      </c>
      <c r="K386" s="1" t="str">
        <f>IF(B386=0,VLOOKUP(A386,Feuil2!$A$2:$M$1241,10,FALSE)," ")</f>
        <v>Msaken 4070</v>
      </c>
      <c r="L386" s="1">
        <v>4070</v>
      </c>
      <c r="M386" s="1">
        <v>97339007</v>
      </c>
      <c r="N386" s="1"/>
      <c r="O386" s="8" t="str">
        <f>IF(B386=0,VLOOKUP(A386,Feuil2!$A$2:$M$1241,13,FALSE)," ")</f>
        <v>12505000580102580547</v>
      </c>
    </row>
    <row r="387" spans="1:15" x14ac:dyDescent="0.3">
      <c r="A387" s="1">
        <v>1724</v>
      </c>
      <c r="B387" s="1">
        <v>1</v>
      </c>
      <c r="C387" s="1" t="s">
        <v>2494</v>
      </c>
      <c r="D387" s="1" t="s">
        <v>2418</v>
      </c>
      <c r="E387" s="5">
        <v>31795</v>
      </c>
      <c r="F387" s="1" t="s">
        <v>17</v>
      </c>
      <c r="G387" s="1" t="s">
        <v>15</v>
      </c>
      <c r="H387" s="1" t="s">
        <v>16</v>
      </c>
      <c r="I387" s="6" t="str">
        <f>IF(B387=0,VLOOKUP(A387,Feuil2!$A$2:$M$1241,7,FALSE)," ")</f>
        <v xml:space="preserve"> </v>
      </c>
      <c r="J387" s="1" t="str">
        <f>IF(B387=0,VLOOKUP(A387,Feuil2!$A$2:$M$1241,9,FALSE)," ")</f>
        <v xml:space="preserve"> </v>
      </c>
      <c r="K387" s="1" t="str">
        <f>IF(B387=0,VLOOKUP(A387,Feuil2!$A$2:$M$1241,10,FALSE)," ")</f>
        <v xml:space="preserve"> </v>
      </c>
      <c r="L387" s="1"/>
      <c r="M387" s="1"/>
      <c r="N387" s="1"/>
      <c r="O387" s="8" t="str">
        <f>IF(B387=0,VLOOKUP(A387,Feuil2!$A$2:$M$1241,13,FALSE)," ")</f>
        <v xml:space="preserve"> </v>
      </c>
    </row>
    <row r="388" spans="1:15" x14ac:dyDescent="0.3">
      <c r="A388" s="1">
        <v>1724</v>
      </c>
      <c r="B388" s="1">
        <v>2</v>
      </c>
      <c r="C388" s="1" t="s">
        <v>188</v>
      </c>
      <c r="D388" s="1" t="s">
        <v>2495</v>
      </c>
      <c r="E388" s="5">
        <v>41071</v>
      </c>
      <c r="F388" s="1" t="s">
        <v>17</v>
      </c>
      <c r="G388" s="1" t="str">
        <f>IF(B388=0,VLOOKUP(A388,Feuil2!$A$2:$M$1241,11,FALSE)," ")</f>
        <v xml:space="preserve"> </v>
      </c>
      <c r="H388" s="1" t="s">
        <v>16</v>
      </c>
      <c r="I388" s="6" t="str">
        <f>IF(B388=0,VLOOKUP(A388,Feuil2!$A$2:$M$1241,7,FALSE)," ")</f>
        <v xml:space="preserve"> </v>
      </c>
      <c r="J388" s="1" t="str">
        <f>IF(B388=0,VLOOKUP(A388,Feuil2!$A$2:$M$1241,9,FALSE)," ")</f>
        <v xml:space="preserve"> </v>
      </c>
      <c r="K388" s="1" t="str">
        <f>IF(B388=0,VLOOKUP(A388,Feuil2!$A$2:$M$1241,10,FALSE)," ")</f>
        <v xml:space="preserve"> </v>
      </c>
      <c r="L388" s="1"/>
      <c r="M388" s="1"/>
      <c r="N388" s="1"/>
      <c r="O388" s="8" t="str">
        <f>IF(B388=0,VLOOKUP(A388,Feuil2!$A$2:$M$1241,13,FALSE)," ")</f>
        <v xml:space="preserve"> </v>
      </c>
    </row>
    <row r="389" spans="1:15" x14ac:dyDescent="0.3">
      <c r="A389" s="1">
        <v>1724</v>
      </c>
      <c r="B389" s="1">
        <v>3</v>
      </c>
      <c r="C389" s="1" t="s">
        <v>188</v>
      </c>
      <c r="D389" s="1" t="s">
        <v>2496</v>
      </c>
      <c r="E389" s="5">
        <v>41825</v>
      </c>
      <c r="F389" s="1" t="s">
        <v>506</v>
      </c>
      <c r="G389" s="1" t="str">
        <f>IF(B389=0,VLOOKUP(A389,Feuil2!$A$2:$M$1241,11,FALSE)," ")</f>
        <v xml:space="preserve"> </v>
      </c>
      <c r="H389" s="1" t="s">
        <v>16</v>
      </c>
      <c r="I389" s="6" t="str">
        <f>IF(B389=0,VLOOKUP(A389,Feuil2!$A$2:$M$1241,7,FALSE)," ")</f>
        <v xml:space="preserve"> </v>
      </c>
      <c r="J389" s="1" t="str">
        <f>IF(B389=0,VLOOKUP(A389,Feuil2!$A$2:$M$1241,9,FALSE)," ")</f>
        <v xml:space="preserve"> </v>
      </c>
      <c r="K389" s="1" t="str">
        <f>IF(B389=0,VLOOKUP(A389,Feuil2!$A$2:$M$1241,10,FALSE)," ")</f>
        <v xml:space="preserve"> </v>
      </c>
      <c r="L389" s="1"/>
      <c r="M389" s="1"/>
      <c r="N389" s="1"/>
      <c r="O389" s="8" t="str">
        <f>IF(B389=0,VLOOKUP(A389,Feuil2!$A$2:$M$1241,13,FALSE)," ")</f>
        <v xml:space="preserve"> </v>
      </c>
    </row>
    <row r="390" spans="1:15" x14ac:dyDescent="0.3">
      <c r="A390" s="1">
        <v>1724</v>
      </c>
      <c r="B390" s="1">
        <v>4</v>
      </c>
      <c r="C390" s="1" t="s">
        <v>188</v>
      </c>
      <c r="D390" s="1" t="s">
        <v>2497</v>
      </c>
      <c r="E390" s="5">
        <v>43435</v>
      </c>
      <c r="F390" s="1" t="s">
        <v>506</v>
      </c>
      <c r="G390" s="1" t="str">
        <f>IF(B390=0,VLOOKUP(A390,Feuil2!$A$2:$M$1241,11,FALSE)," ")</f>
        <v xml:space="preserve"> </v>
      </c>
      <c r="H390" s="1" t="s">
        <v>16</v>
      </c>
      <c r="I390" s="6" t="str">
        <f>IF(B390=0,VLOOKUP(A390,Feuil2!$A$2:$M$1241,7,FALSE)," ")</f>
        <v xml:space="preserve"> </v>
      </c>
      <c r="J390" s="1" t="str">
        <f>IF(B390=0,VLOOKUP(A390,Feuil2!$A$2:$M$1241,9,FALSE)," ")</f>
        <v xml:space="preserve"> </v>
      </c>
      <c r="K390" s="1" t="str">
        <f>IF(B390=0,VLOOKUP(A390,Feuil2!$A$2:$M$1241,10,FALSE)," ")</f>
        <v xml:space="preserve"> </v>
      </c>
      <c r="L390" s="1"/>
      <c r="M390" s="1"/>
      <c r="N390" s="1"/>
      <c r="O390" s="8" t="str">
        <f>IF(B390=0,VLOOKUP(A390,Feuil2!$A$2:$M$1241,13,FALSE)," ")</f>
        <v xml:space="preserve"> </v>
      </c>
    </row>
    <row r="391" spans="1:15" x14ac:dyDescent="0.3">
      <c r="A391" s="1">
        <v>1724</v>
      </c>
      <c r="B391" s="1">
        <v>5</v>
      </c>
      <c r="C391" s="1" t="s">
        <v>188</v>
      </c>
      <c r="D391" s="1" t="s">
        <v>2498</v>
      </c>
      <c r="E391" s="5">
        <v>43982</v>
      </c>
      <c r="F391" s="1" t="s">
        <v>17</v>
      </c>
      <c r="G391" s="1" t="str">
        <f>IF(B391=0,VLOOKUP(A391,Feuil2!$A$2:$M$1241,11,FALSE)," ")</f>
        <v xml:space="preserve"> </v>
      </c>
      <c r="H391" s="1" t="s">
        <v>16</v>
      </c>
      <c r="I391" s="6" t="str">
        <f>IF(B391=0,VLOOKUP(A391,Feuil2!$A$2:$M$1241,7,FALSE)," ")</f>
        <v xml:space="preserve"> </v>
      </c>
      <c r="J391" s="1" t="str">
        <f>IF(B391=0,VLOOKUP(A391,Feuil2!$A$2:$M$1241,9,FALSE)," ")</f>
        <v xml:space="preserve"> </v>
      </c>
      <c r="K391" s="1" t="str">
        <f>IF(B391=0,VLOOKUP(A391,Feuil2!$A$2:$M$1241,10,FALSE)," ")</f>
        <v xml:space="preserve"> </v>
      </c>
      <c r="L391" s="1"/>
      <c r="M391" s="1"/>
      <c r="N391" s="1"/>
      <c r="O391" s="8" t="str">
        <f>IF(B391=0,VLOOKUP(A391,Feuil2!$A$2:$M$1241,13,FALSE)," ")</f>
        <v xml:space="preserve"> </v>
      </c>
    </row>
    <row r="392" spans="1:15" x14ac:dyDescent="0.3">
      <c r="A392" s="1">
        <v>1733</v>
      </c>
      <c r="B392" s="1">
        <v>0</v>
      </c>
      <c r="C392" s="1" t="str">
        <f>IF(B392=0,VLOOKUP(A392,Feuil2!$A$2:$M$1241,2,FALSE)," ")</f>
        <v>BEN ABDELJELIL</v>
      </c>
      <c r="D392" s="1" t="str">
        <f>IF(B392=0,VLOOKUP(A392,Feuil2!$A$2:$M$1241,3,FALSE)," ")</f>
        <v>MED RIDHA</v>
      </c>
      <c r="E392" s="5">
        <f>IF(B392=0,VLOOKUP(A392,Feuil2!$A$2:$M$1241,6,FALSE)," ")</f>
        <v>28399</v>
      </c>
      <c r="F392" s="1" t="str">
        <f>IF(B392=0,VLOOKUP(A392,Feuil2!$A$2:$M$1241,12,FALSE)," ")</f>
        <v>H</v>
      </c>
      <c r="G392" s="1" t="str">
        <f>IF(B392=0,VLOOKUP(A392,Feuil2!$A$2:$M$1241,11,FALSE)," ")</f>
        <v>M</v>
      </c>
      <c r="H392" s="1" t="s">
        <v>16</v>
      </c>
      <c r="I392" s="6">
        <f>IF(B392=0,VLOOKUP(A392,Feuil2!$A$2:$M$1241,7,FALSE)," ")</f>
        <v>5585736</v>
      </c>
      <c r="J392" s="1" t="str">
        <f>IF(B392=0,VLOOKUP(A392,Feuil2!$A$2:$M$1241,9,FALSE)," ")</f>
        <v>4 Rue El Kram</v>
      </c>
      <c r="K392" s="1" t="str">
        <f>IF(B392=0,VLOOKUP(A392,Feuil2!$A$2:$M$1241,10,FALSE)," ")</f>
        <v>Msaken 4070</v>
      </c>
      <c r="L392" s="1">
        <v>4070</v>
      </c>
      <c r="M392" s="1">
        <v>55340784</v>
      </c>
      <c r="N392" s="1"/>
      <c r="O392" s="8" t="str">
        <f>IF(B392=0,VLOOKUP(A392,Feuil2!$A$2:$M$1241,13,FALSE)," ")</f>
        <v>08507000262001862072</v>
      </c>
    </row>
    <row r="393" spans="1:15" x14ac:dyDescent="0.3">
      <c r="A393" s="1">
        <v>1733</v>
      </c>
      <c r="B393" s="1">
        <v>1</v>
      </c>
      <c r="C393" s="1" t="s">
        <v>123</v>
      </c>
      <c r="D393" s="1" t="s">
        <v>2547</v>
      </c>
      <c r="E393" s="5">
        <v>32639</v>
      </c>
      <c r="F393" s="1" t="s">
        <v>17</v>
      </c>
      <c r="G393" s="1" t="s">
        <v>15</v>
      </c>
      <c r="H393" s="1" t="s">
        <v>16</v>
      </c>
      <c r="I393" s="6" t="str">
        <f>IF(B393=0,VLOOKUP(A393,Feuil2!$A$2:$M$1241,7,FALSE)," ")</f>
        <v xml:space="preserve"> </v>
      </c>
      <c r="J393" s="1" t="str">
        <f>IF(B393=0,VLOOKUP(A393,Feuil2!$A$2:$M$1241,9,FALSE)," ")</f>
        <v xml:space="preserve"> </v>
      </c>
      <c r="K393" s="1" t="str">
        <f>IF(B393=0,VLOOKUP(A393,Feuil2!$A$2:$M$1241,10,FALSE)," ")</f>
        <v xml:space="preserve"> </v>
      </c>
      <c r="L393" s="1"/>
      <c r="M393" s="1"/>
      <c r="N393" s="1"/>
      <c r="O393" s="8" t="str">
        <f>IF(B393=0,VLOOKUP(A393,Feuil2!$A$2:$M$1241,13,FALSE)," ")</f>
        <v xml:space="preserve"> </v>
      </c>
    </row>
    <row r="394" spans="1:15" x14ac:dyDescent="0.3">
      <c r="A394" s="1">
        <v>1733</v>
      </c>
      <c r="B394" s="1">
        <v>2</v>
      </c>
      <c r="C394" s="1" t="s">
        <v>703</v>
      </c>
      <c r="D394" s="1" t="s">
        <v>149</v>
      </c>
      <c r="E394" s="5">
        <v>39322</v>
      </c>
      <c r="F394" s="1" t="s">
        <v>506</v>
      </c>
      <c r="G394" s="1" t="str">
        <f>IF(B394=0,VLOOKUP(A394,Feuil2!$A$2:$M$1241,11,FALSE)," ")</f>
        <v xml:space="preserve"> </v>
      </c>
      <c r="H394" s="1" t="s">
        <v>16</v>
      </c>
      <c r="I394" s="6" t="str">
        <f>IF(B394=0,VLOOKUP(A394,Feuil2!$A$2:$M$1241,7,FALSE)," ")</f>
        <v xml:space="preserve"> </v>
      </c>
      <c r="J394" s="1" t="str">
        <f>IF(B394=0,VLOOKUP(A394,Feuil2!$A$2:$M$1241,9,FALSE)," ")</f>
        <v xml:space="preserve"> </v>
      </c>
      <c r="K394" s="1" t="str">
        <f>IF(B394=0,VLOOKUP(A394,Feuil2!$A$2:$M$1241,10,FALSE)," ")</f>
        <v xml:space="preserve"> </v>
      </c>
      <c r="L394" s="1"/>
      <c r="M394" s="1"/>
      <c r="N394" s="1"/>
      <c r="O394" s="8" t="str">
        <f>IF(B394=0,VLOOKUP(A394,Feuil2!$A$2:$M$1241,13,FALSE)," ")</f>
        <v xml:space="preserve"> </v>
      </c>
    </row>
    <row r="395" spans="1:15" x14ac:dyDescent="0.3">
      <c r="A395" s="1">
        <v>1733</v>
      </c>
      <c r="B395" s="1">
        <v>3</v>
      </c>
      <c r="C395" s="1" t="s">
        <v>703</v>
      </c>
      <c r="D395" s="1" t="s">
        <v>61</v>
      </c>
      <c r="E395" s="5">
        <v>39829</v>
      </c>
      <c r="F395" s="1" t="s">
        <v>506</v>
      </c>
      <c r="G395" s="1" t="str">
        <f>IF(B395=0,VLOOKUP(A395,Feuil2!$A$2:$M$1241,11,FALSE)," ")</f>
        <v xml:space="preserve"> </v>
      </c>
      <c r="H395" s="1" t="s">
        <v>16</v>
      </c>
      <c r="I395" s="6" t="str">
        <f>IF(B395=0,VLOOKUP(A395,Feuil2!$A$2:$M$1241,7,FALSE)," ")</f>
        <v xml:space="preserve"> </v>
      </c>
      <c r="J395" s="1" t="str">
        <f>IF(B395=0,VLOOKUP(A395,Feuil2!$A$2:$M$1241,9,FALSE)," ")</f>
        <v xml:space="preserve"> </v>
      </c>
      <c r="K395" s="1" t="str">
        <f>IF(B395=0,VLOOKUP(A395,Feuil2!$A$2:$M$1241,10,FALSE)," ")</f>
        <v xml:space="preserve"> </v>
      </c>
      <c r="L395" s="1"/>
      <c r="M395" s="1"/>
      <c r="N395" s="1"/>
      <c r="O395" s="8" t="str">
        <f>IF(B395=0,VLOOKUP(A395,Feuil2!$A$2:$M$1241,13,FALSE)," ")</f>
        <v xml:space="preserve"> </v>
      </c>
    </row>
    <row r="396" spans="1:15" x14ac:dyDescent="0.3">
      <c r="A396" s="1">
        <v>1733</v>
      </c>
      <c r="B396" s="1">
        <v>4</v>
      </c>
      <c r="C396" s="1" t="s">
        <v>703</v>
      </c>
      <c r="D396" s="1" t="s">
        <v>2548</v>
      </c>
      <c r="E396" s="5">
        <v>42635</v>
      </c>
      <c r="F396" s="1" t="s">
        <v>506</v>
      </c>
      <c r="G396" s="1" t="str">
        <f>IF(B396=0,VLOOKUP(A396,Feuil2!$A$2:$M$1241,11,FALSE)," ")</f>
        <v xml:space="preserve"> </v>
      </c>
      <c r="H396" s="1" t="s">
        <v>16</v>
      </c>
      <c r="I396" s="6" t="str">
        <f>IF(B396=0,VLOOKUP(A396,Feuil2!$A$2:$M$1241,7,FALSE)," ")</f>
        <v xml:space="preserve"> </v>
      </c>
      <c r="J396" s="1" t="str">
        <f>IF(B396=0,VLOOKUP(A396,Feuil2!$A$2:$M$1241,9,FALSE)," ")</f>
        <v xml:space="preserve"> </v>
      </c>
      <c r="K396" s="1" t="str">
        <f>IF(B396=0,VLOOKUP(A396,Feuil2!$A$2:$M$1241,10,FALSE)," ")</f>
        <v xml:space="preserve"> </v>
      </c>
      <c r="L396" s="1"/>
      <c r="M396" s="1"/>
      <c r="N396" s="1"/>
      <c r="O396" s="8" t="str">
        <f>IF(B396=0,VLOOKUP(A396,Feuil2!$A$2:$M$1241,13,FALSE)," ")</f>
        <v xml:space="preserve"> </v>
      </c>
    </row>
    <row r="397" spans="1:15" x14ac:dyDescent="0.3">
      <c r="A397" s="1">
        <v>1735</v>
      </c>
      <c r="B397" s="1">
        <v>0</v>
      </c>
      <c r="C397" s="1" t="str">
        <f>IF(B397=0,VLOOKUP(A397,Feuil2!$A$2:$M$1241,2,FALSE)," ")</f>
        <v>SAKKA ROUIS</v>
      </c>
      <c r="D397" s="1" t="str">
        <f>IF(B397=0,VLOOKUP(A397,Feuil2!$A$2:$M$1241,3,FALSE)," ")</f>
        <v>MED HAFEDH</v>
      </c>
      <c r="E397" s="5">
        <f>IF(B397=0,VLOOKUP(A397,Feuil2!$A$2:$M$1241,6,FALSE)," ")</f>
        <v>27290</v>
      </c>
      <c r="F397" s="1" t="str">
        <f>IF(B397=0,VLOOKUP(A397,Feuil2!$A$2:$M$1241,12,FALSE)," ")</f>
        <v>H</v>
      </c>
      <c r="G397" s="1" t="str">
        <f>IF(B397=0,VLOOKUP(A397,Feuil2!$A$2:$M$1241,11,FALSE)," ")</f>
        <v>M</v>
      </c>
      <c r="H397" s="1" t="s">
        <v>16</v>
      </c>
      <c r="I397" s="6">
        <f>IF(B397=0,VLOOKUP(A397,Feuil2!$A$2:$M$1241,7,FALSE)," ")</f>
        <v>5538425</v>
      </c>
      <c r="J397" s="1" t="str">
        <f>IF(B397=0,VLOOKUP(A397,Feuil2!$A$2:$M$1241,9,FALSE)," ")</f>
        <v>10 Rue Ammene</v>
      </c>
      <c r="K397" s="1" t="str">
        <f>IF(B397=0,VLOOKUP(A397,Feuil2!$A$2:$M$1241,10,FALSE)," ")</f>
        <v>Msaken 4070</v>
      </c>
      <c r="L397" s="1">
        <v>4070</v>
      </c>
      <c r="M397" s="1">
        <v>98793522</v>
      </c>
      <c r="N397" s="1"/>
      <c r="O397" s="8" t="str">
        <f>IF(B397=0,VLOOKUP(A397,Feuil2!$A$2:$M$1241,13,FALSE)," ")</f>
        <v>11020002007800878865</v>
      </c>
    </row>
    <row r="398" spans="1:15" x14ac:dyDescent="0.3">
      <c r="A398" s="1">
        <v>1735</v>
      </c>
      <c r="B398" s="1">
        <v>1</v>
      </c>
      <c r="C398" s="1" t="s">
        <v>1486</v>
      </c>
      <c r="D398" s="1" t="s">
        <v>2537</v>
      </c>
      <c r="E398" s="5">
        <v>30804</v>
      </c>
      <c r="F398" s="1" t="s">
        <v>17</v>
      </c>
      <c r="G398" s="1" t="s">
        <v>15</v>
      </c>
      <c r="H398" s="1" t="s">
        <v>16</v>
      </c>
      <c r="I398" s="6" t="str">
        <f>IF(B398=0,VLOOKUP(A398,Feuil2!$A$2:$M$1241,7,FALSE)," ")</f>
        <v xml:space="preserve"> </v>
      </c>
      <c r="J398" s="1" t="str">
        <f>IF(B398=0,VLOOKUP(A398,Feuil2!$A$2:$M$1241,9,FALSE)," ")</f>
        <v xml:space="preserve"> </v>
      </c>
      <c r="K398" s="1" t="str">
        <f>IF(B398=0,VLOOKUP(A398,Feuil2!$A$2:$M$1241,10,FALSE)," ")</f>
        <v xml:space="preserve"> </v>
      </c>
      <c r="L398" s="1"/>
      <c r="M398" s="1"/>
      <c r="N398" s="1"/>
      <c r="O398" s="8" t="str">
        <f>IF(B398=0,VLOOKUP(A398,Feuil2!$A$2:$M$1241,13,FALSE)," ")</f>
        <v xml:space="preserve"> </v>
      </c>
    </row>
    <row r="399" spans="1:15" x14ac:dyDescent="0.3">
      <c r="A399" s="1">
        <v>1735</v>
      </c>
      <c r="B399" s="1">
        <v>2</v>
      </c>
      <c r="C399" s="1" t="s">
        <v>1610</v>
      </c>
      <c r="D399" s="1" t="s">
        <v>2465</v>
      </c>
      <c r="E399" s="5">
        <v>40685</v>
      </c>
      <c r="F399" s="1" t="s">
        <v>506</v>
      </c>
      <c r="G399" s="1" t="str">
        <f>IF(B399=0,VLOOKUP(A399,Feuil2!$A$2:$M$1241,11,FALSE)," ")</f>
        <v xml:space="preserve"> </v>
      </c>
      <c r="H399" s="1" t="s">
        <v>16</v>
      </c>
      <c r="I399" s="6" t="str">
        <f>IF(B399=0,VLOOKUP(A399,Feuil2!$A$2:$M$1241,7,FALSE)," ")</f>
        <v xml:space="preserve"> </v>
      </c>
      <c r="J399" s="1" t="str">
        <f>IF(B399=0,VLOOKUP(A399,Feuil2!$A$2:$M$1241,9,FALSE)," ")</f>
        <v xml:space="preserve"> </v>
      </c>
      <c r="K399" s="1" t="str">
        <f>IF(B399=0,VLOOKUP(A399,Feuil2!$A$2:$M$1241,10,FALSE)," ")</f>
        <v xml:space="preserve"> </v>
      </c>
      <c r="L399" s="1"/>
      <c r="M399" s="1"/>
      <c r="N399" s="1"/>
      <c r="O399" s="8" t="str">
        <f>IF(B399=0,VLOOKUP(A399,Feuil2!$A$2:$M$1241,13,FALSE)," ")</f>
        <v xml:space="preserve"> </v>
      </c>
    </row>
    <row r="400" spans="1:15" x14ac:dyDescent="0.3">
      <c r="A400" s="1">
        <v>1735</v>
      </c>
      <c r="B400" s="1">
        <v>3</v>
      </c>
      <c r="C400" s="1" t="s">
        <v>1610</v>
      </c>
      <c r="D400" s="1" t="s">
        <v>2345</v>
      </c>
      <c r="E400" s="5">
        <v>41873</v>
      </c>
      <c r="F400" s="1" t="s">
        <v>17</v>
      </c>
      <c r="G400" s="1" t="str">
        <f>IF(B400=0,VLOOKUP(A400,Feuil2!$A$2:$M$1241,11,FALSE)," ")</f>
        <v xml:space="preserve"> </v>
      </c>
      <c r="H400" s="1" t="s">
        <v>16</v>
      </c>
      <c r="I400" s="6" t="str">
        <f>IF(B400=0,VLOOKUP(A400,Feuil2!$A$2:$M$1241,7,FALSE)," ")</f>
        <v xml:space="preserve"> </v>
      </c>
      <c r="J400" s="1" t="str">
        <f>IF(B400=0,VLOOKUP(A400,Feuil2!$A$2:$M$1241,9,FALSE)," ")</f>
        <v xml:space="preserve"> </v>
      </c>
      <c r="K400" s="1" t="str">
        <f>IF(B400=0,VLOOKUP(A400,Feuil2!$A$2:$M$1241,10,FALSE)," ")</f>
        <v xml:space="preserve"> </v>
      </c>
      <c r="L400" s="1"/>
      <c r="M400" s="1"/>
      <c r="N400" s="1"/>
      <c r="O400" s="8" t="str">
        <f>IF(B400=0,VLOOKUP(A400,Feuil2!$A$2:$M$1241,13,FALSE)," ")</f>
        <v xml:space="preserve"> </v>
      </c>
    </row>
    <row r="401" spans="1:15" x14ac:dyDescent="0.3">
      <c r="A401" s="1">
        <v>1739</v>
      </c>
      <c r="B401" s="1">
        <v>0</v>
      </c>
      <c r="C401" s="1" t="str">
        <f>IF(B401=0,VLOOKUP(A401,Feuil2!$A$2:$M$1241,2,FALSE)," ")</f>
        <v>ENGAZZOU</v>
      </c>
      <c r="D401" s="1" t="str">
        <f>IF(B401=0,VLOOKUP(A401,Feuil2!$A$2:$M$1241,3,FALSE)," ")</f>
        <v>SLAHEDDINE</v>
      </c>
      <c r="E401" s="5">
        <f>IF(B401=0,VLOOKUP(A401,Feuil2!$A$2:$M$1241,6,FALSE)," ")</f>
        <v>26390</v>
      </c>
      <c r="F401" s="1" t="str">
        <f>IF(B401=0,VLOOKUP(A401,Feuil2!$A$2:$M$1241,12,FALSE)," ")</f>
        <v>H</v>
      </c>
      <c r="G401" s="1" t="str">
        <f>IF(B401=0,VLOOKUP(A401,Feuil2!$A$2:$M$1241,11,FALSE)," ")</f>
        <v>M</v>
      </c>
      <c r="H401" s="1" t="s">
        <v>16</v>
      </c>
      <c r="I401" s="6">
        <f>IF(B401=0,VLOOKUP(A401,Feuil2!$A$2:$M$1241,7,FALSE)," ")</f>
        <v>5509598</v>
      </c>
      <c r="J401" s="1" t="str">
        <f>IF(B401=0,VLOOKUP(A401,Feuil2!$A$2:$M$1241,9,FALSE)," ")</f>
        <v>17 Rue Essafsaf</v>
      </c>
      <c r="K401" s="1" t="str">
        <f>IF(B401=0,VLOOKUP(A401,Feuil2!$A$2:$M$1241,10,FALSE)," ")</f>
        <v>Msaken 4070</v>
      </c>
      <c r="L401" s="1">
        <v>4070</v>
      </c>
      <c r="M401" s="1">
        <v>98826287</v>
      </c>
      <c r="N401" s="1"/>
      <c r="O401" s="8" t="str">
        <f>IF(B401=0,VLOOKUP(A401,Feuil2!$A$2:$M$1241,13,FALSE)," ")</f>
        <v>08050020052000220086</v>
      </c>
    </row>
    <row r="402" spans="1:15" x14ac:dyDescent="0.3">
      <c r="A402" s="1">
        <v>1739</v>
      </c>
      <c r="B402" s="1">
        <v>1</v>
      </c>
      <c r="C402" s="1" t="s">
        <v>2417</v>
      </c>
      <c r="D402" s="1" t="s">
        <v>2418</v>
      </c>
      <c r="E402" s="5">
        <v>30554</v>
      </c>
      <c r="F402" s="1" t="s">
        <v>17</v>
      </c>
      <c r="G402" s="1" t="s">
        <v>15</v>
      </c>
      <c r="H402" s="1" t="s">
        <v>16</v>
      </c>
      <c r="I402" s="6" t="str">
        <f>IF(B402=0,VLOOKUP(A402,Feuil2!$A$2:$M$1241,7,FALSE)," ")</f>
        <v xml:space="preserve"> </v>
      </c>
      <c r="J402" s="1" t="str">
        <f>IF(B402=0,VLOOKUP(A402,Feuil2!$A$2:$M$1241,9,FALSE)," ")</f>
        <v xml:space="preserve"> </v>
      </c>
      <c r="K402" s="1" t="str">
        <f>IF(B402=0,VLOOKUP(A402,Feuil2!$A$2:$M$1241,10,FALSE)," ")</f>
        <v xml:space="preserve"> </v>
      </c>
      <c r="L402" s="1"/>
      <c r="M402" s="1"/>
      <c r="N402" s="1"/>
      <c r="O402" s="8" t="str">
        <f>IF(B402=0,VLOOKUP(A402,Feuil2!$A$2:$M$1241,13,FALSE)," ")</f>
        <v xml:space="preserve"> </v>
      </c>
    </row>
    <row r="403" spans="1:15" x14ac:dyDescent="0.3">
      <c r="A403" s="1">
        <v>1739</v>
      </c>
      <c r="B403" s="1">
        <v>2</v>
      </c>
      <c r="C403" s="1" t="s">
        <v>260</v>
      </c>
      <c r="D403" s="1" t="s">
        <v>2419</v>
      </c>
      <c r="E403" s="5">
        <v>43027</v>
      </c>
      <c r="F403" s="1" t="s">
        <v>506</v>
      </c>
      <c r="G403" s="1" t="str">
        <f>IF(B403=0,VLOOKUP(A403,Feuil2!$A$2:$M$1241,11,FALSE)," ")</f>
        <v xml:space="preserve"> </v>
      </c>
      <c r="H403" s="1" t="s">
        <v>16</v>
      </c>
      <c r="I403" s="6" t="str">
        <f>IF(B403=0,VLOOKUP(A403,Feuil2!$A$2:$M$1241,7,FALSE)," ")</f>
        <v xml:space="preserve"> </v>
      </c>
      <c r="J403" s="1" t="str">
        <f>IF(B403=0,VLOOKUP(A403,Feuil2!$A$2:$M$1241,9,FALSE)," ")</f>
        <v xml:space="preserve"> </v>
      </c>
      <c r="K403" s="1" t="str">
        <f>IF(B403=0,VLOOKUP(A403,Feuil2!$A$2:$M$1241,10,FALSE)," ")</f>
        <v xml:space="preserve"> </v>
      </c>
      <c r="L403" s="1"/>
      <c r="M403" s="1"/>
      <c r="N403" s="1"/>
      <c r="O403" s="8" t="str">
        <f>IF(B403=0,VLOOKUP(A403,Feuil2!$A$2:$M$1241,13,FALSE)," ")</f>
        <v xml:space="preserve"> </v>
      </c>
    </row>
    <row r="404" spans="1:15" x14ac:dyDescent="0.3">
      <c r="A404" s="1">
        <v>1745</v>
      </c>
      <c r="B404" s="1">
        <v>0</v>
      </c>
      <c r="C404" s="1" t="str">
        <f>IF(B404=0,VLOOKUP(A404,Feuil2!$A$2:$M$1241,2,FALSE)," ")</f>
        <v>CHATTI</v>
      </c>
      <c r="D404" s="1" t="str">
        <f>IF(B404=0,VLOOKUP(A404,Feuil2!$A$2:$M$1241,3,FALSE)," ")</f>
        <v>EZZEDDINE</v>
      </c>
      <c r="E404" s="5">
        <f>IF(B404=0,VLOOKUP(A404,Feuil2!$A$2:$M$1241,6,FALSE)," ")</f>
        <v>26238</v>
      </c>
      <c r="F404" s="1" t="str">
        <f>IF(B404=0,VLOOKUP(A404,Feuil2!$A$2:$M$1241,12,FALSE)," ")</f>
        <v>H</v>
      </c>
      <c r="G404" s="1" t="str">
        <f>IF(B404=0,VLOOKUP(A404,Feuil2!$A$2:$M$1241,11,FALSE)," ")</f>
        <v>M</v>
      </c>
      <c r="H404" s="1" t="s">
        <v>16</v>
      </c>
      <c r="I404" s="6">
        <f>IF(B404=0,VLOOKUP(A404,Feuil2!$A$2:$M$1241,7,FALSE)," ")</f>
        <v>5508990</v>
      </c>
      <c r="J404" s="1" t="str">
        <f>IF(B404=0,VLOOKUP(A404,Feuil2!$A$2:$M$1241,9,FALSE)," ")</f>
        <v>Rue de la MosquÃ©e</v>
      </c>
      <c r="K404" s="1" t="str">
        <f>IF(B404=0,VLOOKUP(A404,Feuil2!$A$2:$M$1241,10,FALSE)," ")</f>
        <v>Msaken 4070</v>
      </c>
      <c r="L404" s="1">
        <v>4070</v>
      </c>
      <c r="M404" s="1">
        <v>56733444</v>
      </c>
      <c r="N404" s="1"/>
      <c r="O404" s="10" t="s">
        <v>2542</v>
      </c>
    </row>
    <row r="405" spans="1:15" x14ac:dyDescent="0.3">
      <c r="A405" s="1">
        <v>1745</v>
      </c>
      <c r="B405" s="1">
        <v>1</v>
      </c>
      <c r="C405" s="1" t="s">
        <v>414</v>
      </c>
      <c r="D405" s="1" t="s">
        <v>1094</v>
      </c>
      <c r="E405" s="5">
        <v>27436</v>
      </c>
      <c r="F405" s="1" t="s">
        <v>17</v>
      </c>
      <c r="G405" s="1" t="s">
        <v>15</v>
      </c>
      <c r="H405" s="1" t="s">
        <v>16</v>
      </c>
      <c r="I405" s="6" t="str">
        <f>IF(B405=0,VLOOKUP(A405,Feuil2!$A$2:$M$1241,7,FALSE)," ")</f>
        <v xml:space="preserve"> </v>
      </c>
      <c r="J405" s="1" t="str">
        <f>IF(B405=0,VLOOKUP(A405,Feuil2!$A$2:$M$1241,9,FALSE)," ")</f>
        <v xml:space="preserve"> </v>
      </c>
      <c r="K405" s="1" t="str">
        <f>IF(B405=0,VLOOKUP(A405,Feuil2!$A$2:$M$1241,10,FALSE)," ")</f>
        <v xml:space="preserve"> </v>
      </c>
      <c r="L405" s="1"/>
      <c r="M405" s="1"/>
      <c r="N405" s="1"/>
      <c r="O405" s="8" t="str">
        <f>IF(B405=0,VLOOKUP(A405,Feuil2!$A$2:$M$1241,13,FALSE)," ")</f>
        <v xml:space="preserve"> </v>
      </c>
    </row>
    <row r="406" spans="1:15" x14ac:dyDescent="0.3">
      <c r="A406" s="1">
        <v>1745</v>
      </c>
      <c r="B406" s="1">
        <v>2</v>
      </c>
      <c r="C406" s="1" t="s">
        <v>71</v>
      </c>
      <c r="D406" s="1" t="s">
        <v>2540</v>
      </c>
      <c r="E406" s="5">
        <v>36665</v>
      </c>
      <c r="F406" s="1" t="s">
        <v>17</v>
      </c>
      <c r="G406" s="1" t="str">
        <f>IF(B406=0,VLOOKUP(A406,Feuil2!$A$2:$M$1241,11,FALSE)," ")</f>
        <v xml:space="preserve"> </v>
      </c>
      <c r="H406" s="1" t="s">
        <v>16</v>
      </c>
      <c r="I406" s="6" t="str">
        <f>IF(B406=0,VLOOKUP(A406,Feuil2!$A$2:$M$1241,7,FALSE)," ")</f>
        <v xml:space="preserve"> </v>
      </c>
      <c r="J406" s="1" t="str">
        <f>IF(B406=0,VLOOKUP(A406,Feuil2!$A$2:$M$1241,9,FALSE)," ")</f>
        <v xml:space="preserve"> </v>
      </c>
      <c r="K406" s="1" t="str">
        <f>IF(B406=0,VLOOKUP(A406,Feuil2!$A$2:$M$1241,10,FALSE)," ")</f>
        <v xml:space="preserve"> </v>
      </c>
      <c r="L406" s="1"/>
      <c r="M406" s="1"/>
      <c r="N406" s="1"/>
      <c r="O406" s="8" t="str">
        <f>IF(B406=0,VLOOKUP(A406,Feuil2!$A$2:$M$1241,13,FALSE)," ")</f>
        <v xml:space="preserve"> </v>
      </c>
    </row>
    <row r="407" spans="1:15" x14ac:dyDescent="0.3">
      <c r="A407" s="1">
        <v>1745</v>
      </c>
      <c r="B407" s="1">
        <v>3</v>
      </c>
      <c r="C407" s="1" t="s">
        <v>71</v>
      </c>
      <c r="D407" s="1" t="s">
        <v>2371</v>
      </c>
      <c r="E407" s="5">
        <v>37032</v>
      </c>
      <c r="F407" s="1" t="s">
        <v>17</v>
      </c>
      <c r="G407" s="1" t="str">
        <f>IF(B407=0,VLOOKUP(A407,Feuil2!$A$2:$M$1241,11,FALSE)," ")</f>
        <v xml:space="preserve"> </v>
      </c>
      <c r="H407" s="1" t="s">
        <v>16</v>
      </c>
      <c r="I407" s="6" t="str">
        <f>IF(B407=0,VLOOKUP(A407,Feuil2!$A$2:$M$1241,7,FALSE)," ")</f>
        <v xml:space="preserve"> </v>
      </c>
      <c r="J407" s="1" t="str">
        <f>IF(B407=0,VLOOKUP(A407,Feuil2!$A$2:$M$1241,9,FALSE)," ")</f>
        <v xml:space="preserve"> </v>
      </c>
      <c r="K407" s="1" t="str">
        <f>IF(B407=0,VLOOKUP(A407,Feuil2!$A$2:$M$1241,10,FALSE)," ")</f>
        <v xml:space="preserve"> </v>
      </c>
      <c r="L407" s="1"/>
      <c r="M407" s="1"/>
      <c r="N407" s="1"/>
      <c r="O407" s="8" t="str">
        <f>IF(B407=0,VLOOKUP(A407,Feuil2!$A$2:$M$1241,13,FALSE)," ")</f>
        <v xml:space="preserve"> </v>
      </c>
    </row>
    <row r="408" spans="1:15" x14ac:dyDescent="0.3">
      <c r="A408" s="1">
        <v>1745</v>
      </c>
      <c r="B408" s="1">
        <v>4</v>
      </c>
      <c r="C408" s="1" t="s">
        <v>71</v>
      </c>
      <c r="D408" s="1" t="s">
        <v>105</v>
      </c>
      <c r="E408" s="5">
        <v>38169</v>
      </c>
      <c r="F408" s="1" t="s">
        <v>506</v>
      </c>
      <c r="G408" s="1" t="str">
        <f>IF(B408=0,VLOOKUP(A408,Feuil2!$A$2:$M$1241,11,FALSE)," ")</f>
        <v xml:space="preserve"> </v>
      </c>
      <c r="H408" s="1" t="s">
        <v>16</v>
      </c>
      <c r="I408" s="6" t="str">
        <f>IF(B408=0,VLOOKUP(A408,Feuil2!$A$2:$M$1241,7,FALSE)," ")</f>
        <v xml:space="preserve"> </v>
      </c>
      <c r="J408" s="1" t="str">
        <f>IF(B408=0,VLOOKUP(A408,Feuil2!$A$2:$M$1241,9,FALSE)," ")</f>
        <v xml:space="preserve"> </v>
      </c>
      <c r="K408" s="1" t="str">
        <f>IF(B408=0,VLOOKUP(A408,Feuil2!$A$2:$M$1241,10,FALSE)," ")</f>
        <v xml:space="preserve"> </v>
      </c>
      <c r="L408" s="1"/>
      <c r="M408" s="1"/>
      <c r="N408" s="1"/>
      <c r="O408" s="8" t="str">
        <f>IF(B408=0,VLOOKUP(A408,Feuil2!$A$2:$M$1241,13,FALSE)," ")</f>
        <v xml:space="preserve"> </v>
      </c>
    </row>
    <row r="409" spans="1:15" x14ac:dyDescent="0.3">
      <c r="A409" s="1">
        <v>1745</v>
      </c>
      <c r="B409" s="1">
        <v>5</v>
      </c>
      <c r="C409" s="1" t="s">
        <v>71</v>
      </c>
      <c r="D409" s="1" t="s">
        <v>149</v>
      </c>
      <c r="E409" s="5">
        <v>40082</v>
      </c>
      <c r="F409" s="1" t="s">
        <v>506</v>
      </c>
      <c r="G409" s="1" t="str">
        <f>IF(B409=0,VLOOKUP(A409,Feuil2!$A$2:$M$1241,11,FALSE)," ")</f>
        <v xml:space="preserve"> </v>
      </c>
      <c r="H409" s="1" t="s">
        <v>16</v>
      </c>
      <c r="I409" s="6" t="str">
        <f>IF(B409=0,VLOOKUP(A409,Feuil2!$A$2:$M$1241,7,FALSE)," ")</f>
        <v xml:space="preserve"> </v>
      </c>
      <c r="J409" s="1" t="str">
        <f>IF(B409=0,VLOOKUP(A409,Feuil2!$A$2:$M$1241,9,FALSE)," ")</f>
        <v xml:space="preserve"> </v>
      </c>
      <c r="K409" s="1" t="str">
        <f>IF(B409=0,VLOOKUP(A409,Feuil2!$A$2:$M$1241,10,FALSE)," ")</f>
        <v xml:space="preserve"> </v>
      </c>
      <c r="L409" s="1"/>
      <c r="M409" s="1"/>
      <c r="N409" s="1"/>
      <c r="O409" s="8" t="str">
        <f>IF(B409=0,VLOOKUP(A409,Feuil2!$A$2:$M$1241,13,FALSE)," ")</f>
        <v xml:space="preserve"> </v>
      </c>
    </row>
    <row r="410" spans="1:15" x14ac:dyDescent="0.3">
      <c r="A410" s="1">
        <v>1745</v>
      </c>
      <c r="B410" s="1">
        <v>6</v>
      </c>
      <c r="C410" s="1" t="s">
        <v>71</v>
      </c>
      <c r="D410" s="1" t="s">
        <v>2541</v>
      </c>
      <c r="E410" s="5">
        <v>41975</v>
      </c>
      <c r="F410" s="1" t="s">
        <v>17</v>
      </c>
      <c r="G410" s="1" t="str">
        <f>IF(B410=0,VLOOKUP(A410,Feuil2!$A$2:$M$1241,11,FALSE)," ")</f>
        <v xml:space="preserve"> </v>
      </c>
      <c r="H410" s="1" t="s">
        <v>16</v>
      </c>
      <c r="I410" s="6" t="str">
        <f>IF(B410=0,VLOOKUP(A410,Feuil2!$A$2:$M$1241,7,FALSE)," ")</f>
        <v xml:space="preserve"> </v>
      </c>
      <c r="J410" s="1" t="str">
        <f>IF(B410=0,VLOOKUP(A410,Feuil2!$A$2:$M$1241,9,FALSE)," ")</f>
        <v xml:space="preserve"> </v>
      </c>
      <c r="K410" s="1" t="str">
        <f>IF(B410=0,VLOOKUP(A410,Feuil2!$A$2:$M$1241,10,FALSE)," ")</f>
        <v xml:space="preserve"> </v>
      </c>
      <c r="L410" s="1"/>
      <c r="M410" s="1"/>
      <c r="N410" s="1"/>
      <c r="O410" s="8" t="str">
        <f>IF(B410=0,VLOOKUP(A410,Feuil2!$A$2:$M$1241,13,FALSE)," ")</f>
        <v xml:space="preserve"> </v>
      </c>
    </row>
    <row r="411" spans="1:15" x14ac:dyDescent="0.3">
      <c r="A411" s="1">
        <v>1745</v>
      </c>
      <c r="B411" s="1">
        <v>7</v>
      </c>
      <c r="C411" s="1" t="s">
        <v>71</v>
      </c>
      <c r="D411" s="1" t="s">
        <v>34</v>
      </c>
      <c r="E411" s="5">
        <v>42343</v>
      </c>
      <c r="F411" s="1" t="s">
        <v>506</v>
      </c>
      <c r="G411" s="1" t="str">
        <f>IF(B411=0,VLOOKUP(A411,Feuil2!$A$2:$M$1241,11,FALSE)," ")</f>
        <v xml:space="preserve"> </v>
      </c>
      <c r="H411" s="1" t="s">
        <v>16</v>
      </c>
      <c r="I411" s="6" t="str">
        <f>IF(B411=0,VLOOKUP(A411,Feuil2!$A$2:$M$1241,7,FALSE)," ")</f>
        <v xml:space="preserve"> </v>
      </c>
      <c r="J411" s="1" t="str">
        <f>IF(B411=0,VLOOKUP(A411,Feuil2!$A$2:$M$1241,9,FALSE)," ")</f>
        <v xml:space="preserve"> </v>
      </c>
      <c r="K411" s="1" t="str">
        <f>IF(B411=0,VLOOKUP(A411,Feuil2!$A$2:$M$1241,10,FALSE)," ")</f>
        <v xml:space="preserve"> </v>
      </c>
      <c r="L411" s="1"/>
      <c r="M411" s="1"/>
      <c r="N411" s="1"/>
      <c r="O411" s="8" t="str">
        <f>IF(B411=0,VLOOKUP(A411,Feuil2!$A$2:$M$1241,13,FALSE)," ")</f>
        <v xml:space="preserve"> </v>
      </c>
    </row>
    <row r="412" spans="1:15" x14ac:dyDescent="0.3">
      <c r="A412" s="1">
        <v>1746</v>
      </c>
      <c r="B412" s="1">
        <v>0</v>
      </c>
      <c r="C412" s="1" t="str">
        <f>IF(B412=0,VLOOKUP(A412,Feuil2!$A$2:$M$1241,2,FALSE)," ")</f>
        <v>BEL ARBIA</v>
      </c>
      <c r="D412" s="1" t="str">
        <f>IF(B412=0,VLOOKUP(A412,Feuil2!$A$2:$M$1241,3,FALSE)," ")</f>
        <v>KAMEL</v>
      </c>
      <c r="E412" s="5">
        <f>IF(B412=0,VLOOKUP(A412,Feuil2!$A$2:$M$1241,6,FALSE)," ")</f>
        <v>27290</v>
      </c>
      <c r="F412" s="1" t="str">
        <f>IF(B412=0,VLOOKUP(A412,Feuil2!$A$2:$M$1241,12,FALSE)," ")</f>
        <v>H</v>
      </c>
      <c r="G412" s="1" t="str">
        <f>IF(B412=0,VLOOKUP(A412,Feuil2!$A$2:$M$1241,11,FALSE)," ")</f>
        <v>M</v>
      </c>
      <c r="H412" s="1" t="s">
        <v>16</v>
      </c>
      <c r="I412" s="6">
        <f>IF(B412=0,VLOOKUP(A412,Feuil2!$A$2:$M$1241,7,FALSE)," ")</f>
        <v>5538591</v>
      </c>
      <c r="J412" s="1" t="str">
        <f>IF(B412=0,VLOOKUP(A412,Feuil2!$A$2:$M$1241,9,FALSE)," ")</f>
        <v>Rue Haroun Errachid</v>
      </c>
      <c r="K412" s="1" t="str">
        <f>IF(B412=0,VLOOKUP(A412,Feuil2!$A$2:$M$1241,10,FALSE)," ")</f>
        <v>Msaken 4070</v>
      </c>
      <c r="L412" s="1">
        <v>4070</v>
      </c>
      <c r="M412" s="1">
        <v>96083016</v>
      </c>
      <c r="N412" s="1"/>
      <c r="O412" s="8" t="str">
        <f>IF(B412=0,VLOOKUP(A412,Feuil2!$A$2:$M$1241,13,FALSE)," ")</f>
        <v>12505000580103722625</v>
      </c>
    </row>
    <row r="413" spans="1:15" x14ac:dyDescent="0.3">
      <c r="A413" s="1">
        <v>1746</v>
      </c>
      <c r="B413" s="1">
        <v>1</v>
      </c>
      <c r="C413" s="1" t="s">
        <v>2469</v>
      </c>
      <c r="D413" s="1" t="s">
        <v>2470</v>
      </c>
      <c r="E413" s="5">
        <v>29505</v>
      </c>
      <c r="F413" s="1" t="s">
        <v>17</v>
      </c>
      <c r="G413" s="1" t="s">
        <v>15</v>
      </c>
      <c r="H413" s="1" t="s">
        <v>16</v>
      </c>
      <c r="I413" s="6" t="str">
        <f>IF(B413=0,VLOOKUP(A413,Feuil2!$A$2:$M$1241,7,FALSE)," ")</f>
        <v xml:space="preserve"> </v>
      </c>
      <c r="J413" s="1" t="str">
        <f>IF(B413=0,VLOOKUP(A413,Feuil2!$A$2:$M$1241,9,FALSE)," ")</f>
        <v xml:space="preserve"> </v>
      </c>
      <c r="K413" s="1" t="str">
        <f>IF(B413=0,VLOOKUP(A413,Feuil2!$A$2:$M$1241,10,FALSE)," ")</f>
        <v xml:space="preserve"> </v>
      </c>
      <c r="L413" s="1"/>
      <c r="M413" s="1"/>
      <c r="N413" s="1"/>
      <c r="O413" s="8" t="str">
        <f>IF(B413=0,VLOOKUP(A413,Feuil2!$A$2:$M$1241,13,FALSE)," ")</f>
        <v xml:space="preserve"> </v>
      </c>
    </row>
    <row r="414" spans="1:15" x14ac:dyDescent="0.3">
      <c r="A414" s="1">
        <v>1746</v>
      </c>
      <c r="B414" s="1">
        <v>2</v>
      </c>
      <c r="C414" s="1" t="s">
        <v>1651</v>
      </c>
      <c r="D414" s="1" t="s">
        <v>441</v>
      </c>
      <c r="E414" s="5">
        <v>37846</v>
      </c>
      <c r="F414" s="1" t="s">
        <v>506</v>
      </c>
      <c r="G414" s="1" t="str">
        <f>IF(B414=0,VLOOKUP(A414,Feuil2!$A$2:$M$1241,11,FALSE)," ")</f>
        <v xml:space="preserve"> </v>
      </c>
      <c r="H414" s="1" t="s">
        <v>16</v>
      </c>
      <c r="I414" s="6" t="str">
        <f>IF(B414=0,VLOOKUP(A414,Feuil2!$A$2:$M$1241,7,FALSE)," ")</f>
        <v xml:space="preserve"> </v>
      </c>
      <c r="J414" s="1" t="str">
        <f>IF(B414=0,VLOOKUP(A414,Feuil2!$A$2:$M$1241,9,FALSE)," ")</f>
        <v xml:space="preserve"> </v>
      </c>
      <c r="K414" s="1" t="str">
        <f>IF(B414=0,VLOOKUP(A414,Feuil2!$A$2:$M$1241,10,FALSE)," ")</f>
        <v xml:space="preserve"> </v>
      </c>
      <c r="L414" s="1"/>
      <c r="M414" s="1"/>
      <c r="N414" s="1"/>
      <c r="O414" s="8" t="str">
        <f>IF(B414=0,VLOOKUP(A414,Feuil2!$A$2:$M$1241,13,FALSE)," ")</f>
        <v xml:space="preserve"> </v>
      </c>
    </row>
    <row r="415" spans="1:15" x14ac:dyDescent="0.3">
      <c r="A415" s="1">
        <v>1746</v>
      </c>
      <c r="B415" s="1">
        <v>3</v>
      </c>
      <c r="C415" s="1" t="s">
        <v>1651</v>
      </c>
      <c r="D415" s="1" t="s">
        <v>109</v>
      </c>
      <c r="E415" s="5">
        <v>39042</v>
      </c>
      <c r="F415" s="1" t="s">
        <v>506</v>
      </c>
      <c r="G415" s="1" t="str">
        <f>IF(B415=0,VLOOKUP(A415,Feuil2!$A$2:$M$1241,11,FALSE)," ")</f>
        <v xml:space="preserve"> </v>
      </c>
      <c r="H415" s="1" t="s">
        <v>16</v>
      </c>
      <c r="I415" s="6" t="str">
        <f>IF(B415=0,VLOOKUP(A415,Feuil2!$A$2:$M$1241,7,FALSE)," ")</f>
        <v xml:space="preserve"> </v>
      </c>
      <c r="J415" s="1" t="str">
        <f>IF(B415=0,VLOOKUP(A415,Feuil2!$A$2:$M$1241,9,FALSE)," ")</f>
        <v xml:space="preserve"> </v>
      </c>
      <c r="K415" s="1" t="str">
        <f>IF(B415=0,VLOOKUP(A415,Feuil2!$A$2:$M$1241,10,FALSE)," ")</f>
        <v xml:space="preserve"> </v>
      </c>
      <c r="L415" s="1"/>
      <c r="M415" s="1"/>
      <c r="N415" s="1"/>
      <c r="O415" s="8" t="str">
        <f>IF(B415=0,VLOOKUP(A415,Feuil2!$A$2:$M$1241,13,FALSE)," ")</f>
        <v xml:space="preserve"> </v>
      </c>
    </row>
    <row r="416" spans="1:15" x14ac:dyDescent="0.3">
      <c r="A416" s="1">
        <v>1746</v>
      </c>
      <c r="B416" s="1">
        <v>4</v>
      </c>
      <c r="C416" s="1" t="s">
        <v>1651</v>
      </c>
      <c r="D416" s="1" t="s">
        <v>149</v>
      </c>
      <c r="E416" s="5">
        <v>39532</v>
      </c>
      <c r="F416" s="1" t="s">
        <v>506</v>
      </c>
      <c r="G416" s="1" t="str">
        <f>IF(B416=0,VLOOKUP(A416,Feuil2!$A$2:$M$1241,11,FALSE)," ")</f>
        <v xml:space="preserve"> </v>
      </c>
      <c r="H416" s="1" t="s">
        <v>16</v>
      </c>
      <c r="I416" s="6" t="str">
        <f>IF(B416=0,VLOOKUP(A416,Feuil2!$A$2:$M$1241,7,FALSE)," ")</f>
        <v xml:space="preserve"> </v>
      </c>
      <c r="J416" s="1" t="str">
        <f>IF(B416=0,VLOOKUP(A416,Feuil2!$A$2:$M$1241,9,FALSE)," ")</f>
        <v xml:space="preserve"> </v>
      </c>
      <c r="K416" s="1" t="str">
        <f>IF(B416=0,VLOOKUP(A416,Feuil2!$A$2:$M$1241,10,FALSE)," ")</f>
        <v xml:space="preserve"> </v>
      </c>
      <c r="L416" s="1"/>
      <c r="M416" s="1"/>
      <c r="N416" s="1"/>
      <c r="O416" s="8" t="str">
        <f>IF(B416=0,VLOOKUP(A416,Feuil2!$A$2:$M$1241,13,FALSE)," ")</f>
        <v xml:space="preserve"> </v>
      </c>
    </row>
    <row r="417" spans="1:15" x14ac:dyDescent="0.3">
      <c r="A417" s="1">
        <v>1746</v>
      </c>
      <c r="B417" s="1">
        <v>5</v>
      </c>
      <c r="C417" s="1" t="s">
        <v>1651</v>
      </c>
      <c r="D417" s="1" t="s">
        <v>89</v>
      </c>
      <c r="E417" s="5">
        <v>42893</v>
      </c>
      <c r="F417" s="1" t="str">
        <f>IF(B417=0,VLOOKUP(A417,Feuil2!$A$2:$M$1241,12,FALSE)," ")</f>
        <v xml:space="preserve"> </v>
      </c>
      <c r="G417" s="1" t="str">
        <f>IF(B417=0,VLOOKUP(A417,Feuil2!$A$2:$M$1241,11,FALSE)," ")</f>
        <v xml:space="preserve"> </v>
      </c>
      <c r="H417" s="1" t="s">
        <v>16</v>
      </c>
      <c r="I417" s="6" t="str">
        <f>IF(B417=0,VLOOKUP(A417,Feuil2!$A$2:$M$1241,7,FALSE)," ")</f>
        <v xml:space="preserve"> </v>
      </c>
      <c r="J417" s="1" t="str">
        <f>IF(B417=0,VLOOKUP(A417,Feuil2!$A$2:$M$1241,9,FALSE)," ")</f>
        <v xml:space="preserve"> </v>
      </c>
      <c r="K417" s="1" t="str">
        <f>IF(B417=0,VLOOKUP(A417,Feuil2!$A$2:$M$1241,10,FALSE)," ")</f>
        <v xml:space="preserve"> </v>
      </c>
      <c r="L417" s="1"/>
      <c r="M417" s="1"/>
      <c r="N417" s="1"/>
      <c r="O417" s="8" t="str">
        <f>IF(B417=0,VLOOKUP(A417,Feuil2!$A$2:$M$1241,13,FALSE)," ")</f>
        <v xml:space="preserve"> </v>
      </c>
    </row>
    <row r="418" spans="1:15" x14ac:dyDescent="0.3">
      <c r="A418" s="1">
        <v>1747</v>
      </c>
      <c r="B418" s="17">
        <v>0</v>
      </c>
      <c r="C418" s="17" t="str">
        <f>IF(B418=0,VLOOKUP(A418,Feuil2!$A$2:$M$1241,2,FALSE)," ")</f>
        <v>BRAHIM</v>
      </c>
      <c r="D418" s="17" t="str">
        <f>IF(B418=0,VLOOKUP(A418,Feuil2!$A$2:$M$1241,3,FALSE)," ")</f>
        <v>THEMEUR</v>
      </c>
      <c r="E418" s="18">
        <f>IF(B418=0,VLOOKUP(A418,Feuil2!$A$2:$M$1241,6,FALSE)," ")</f>
        <v>29424</v>
      </c>
      <c r="F418" s="17" t="str">
        <f>IF(B418=0,VLOOKUP(A418,Feuil2!$A$2:$M$1241,12,FALSE)," ")</f>
        <v>H</v>
      </c>
      <c r="G418" s="17" t="str">
        <f>IF(B418=0,VLOOKUP(A418,Feuil2!$A$2:$M$1241,11,FALSE)," ")</f>
        <v>M</v>
      </c>
      <c r="H418" s="17" t="s">
        <v>16</v>
      </c>
      <c r="I418" s="19">
        <f>IF(B418=0,VLOOKUP(A418,Feuil2!$A$2:$M$1241,7,FALSE)," ")</f>
        <v>5586304</v>
      </c>
      <c r="J418" s="17" t="str">
        <f>IF(B418=0,VLOOKUP(A418,Feuil2!$A$2:$M$1241,9,FALSE)," ")</f>
        <v>396 Rue 1er juin</v>
      </c>
      <c r="K418" s="17" t="str">
        <f>IF(B418=0,VLOOKUP(A418,Feuil2!$A$2:$M$1241,10,FALSE)," ")</f>
        <v>Msaken 4070</v>
      </c>
      <c r="L418" s="17">
        <v>4070</v>
      </c>
      <c r="M418" s="17">
        <v>23262774</v>
      </c>
      <c r="N418" s="17"/>
      <c r="O418" s="20" t="str">
        <f>IF(B418=0,VLOOKUP(A418,Feuil2!$A$2:$M$1241,13,FALSE)," ")</f>
        <v>10506040206151278897</v>
      </c>
    </row>
    <row r="419" spans="1:15" x14ac:dyDescent="0.3">
      <c r="A419" s="1">
        <v>1747</v>
      </c>
      <c r="B419" s="1">
        <v>1</v>
      </c>
      <c r="C419" s="1" t="s">
        <v>2490</v>
      </c>
      <c r="D419" s="1" t="s">
        <v>2371</v>
      </c>
      <c r="E419" s="5">
        <v>31540</v>
      </c>
      <c r="F419" s="1" t="s">
        <v>17</v>
      </c>
      <c r="G419" s="1" t="s">
        <v>15</v>
      </c>
      <c r="H419" s="1" t="s">
        <v>16</v>
      </c>
      <c r="I419" s="6" t="str">
        <f>IF(B419=0,VLOOKUP(A419,Feuil2!$A$2:$M$1241,7,FALSE)," ")</f>
        <v xml:space="preserve"> </v>
      </c>
      <c r="J419" s="1" t="str">
        <f>IF(B419=0,VLOOKUP(A419,Feuil2!$A$2:$M$1241,9,FALSE)," ")</f>
        <v xml:space="preserve"> </v>
      </c>
      <c r="K419" s="1" t="str">
        <f>IF(B419=0,VLOOKUP(A419,Feuil2!$A$2:$M$1241,10,FALSE)," ")</f>
        <v xml:space="preserve"> </v>
      </c>
      <c r="L419" s="1"/>
      <c r="M419" s="1"/>
      <c r="N419" s="1"/>
      <c r="O419" s="8" t="str">
        <f>IF(B419=0,VLOOKUP(A419,Feuil2!$A$2:$M$1241,13,FALSE)," ")</f>
        <v xml:space="preserve"> </v>
      </c>
    </row>
    <row r="420" spans="1:15" x14ac:dyDescent="0.3">
      <c r="A420" s="1">
        <v>1747</v>
      </c>
      <c r="B420" s="1">
        <v>2</v>
      </c>
      <c r="C420" s="1" t="s">
        <v>43</v>
      </c>
      <c r="D420" s="1" t="s">
        <v>2491</v>
      </c>
      <c r="E420" s="5">
        <v>42593</v>
      </c>
      <c r="F420" s="1" t="s">
        <v>17</v>
      </c>
      <c r="G420" s="1" t="str">
        <f>IF(B420=0,VLOOKUP(A420,Feuil2!$A$2:$M$1241,11,FALSE)," ")</f>
        <v xml:space="preserve"> </v>
      </c>
      <c r="H420" s="1" t="s">
        <v>16</v>
      </c>
      <c r="I420" s="6" t="str">
        <f>IF(B420=0,VLOOKUP(A420,Feuil2!$A$2:$M$1241,7,FALSE)," ")</f>
        <v xml:space="preserve"> </v>
      </c>
      <c r="J420" s="1" t="str">
        <f>IF(B420=0,VLOOKUP(A420,Feuil2!$A$2:$M$1241,9,FALSE)," ")</f>
        <v xml:space="preserve"> </v>
      </c>
      <c r="K420" s="1" t="str">
        <f>IF(B420=0,VLOOKUP(A420,Feuil2!$A$2:$M$1241,10,FALSE)," ")</f>
        <v xml:space="preserve"> </v>
      </c>
      <c r="L420" s="1"/>
      <c r="M420" s="1"/>
      <c r="N420" s="1"/>
      <c r="O420" s="8" t="str">
        <f>IF(B420=0,VLOOKUP(A420,Feuil2!$A$2:$M$1241,13,FALSE)," ")</f>
        <v xml:space="preserve"> </v>
      </c>
    </row>
    <row r="421" spans="1:15" x14ac:dyDescent="0.3">
      <c r="A421" s="1">
        <v>1747</v>
      </c>
      <c r="B421" s="1">
        <v>3</v>
      </c>
      <c r="C421" s="1" t="s">
        <v>43</v>
      </c>
      <c r="D421" s="1" t="s">
        <v>416</v>
      </c>
      <c r="E421" s="5">
        <v>43553</v>
      </c>
      <c r="F421" s="1" t="s">
        <v>17</v>
      </c>
      <c r="G421" s="1" t="str">
        <f>IF(B421=0,VLOOKUP(A421,Feuil2!$A$2:$M$1241,11,FALSE)," ")</f>
        <v xml:space="preserve"> </v>
      </c>
      <c r="H421" s="1" t="s">
        <v>16</v>
      </c>
      <c r="I421" s="6" t="str">
        <f>IF(B421=0,VLOOKUP(A421,Feuil2!$A$2:$M$1241,7,FALSE)," ")</f>
        <v xml:space="preserve"> </v>
      </c>
      <c r="J421" s="1" t="str">
        <f>IF(B421=0,VLOOKUP(A421,Feuil2!$A$2:$M$1241,9,FALSE)," ")</f>
        <v xml:space="preserve"> </v>
      </c>
      <c r="K421" s="1" t="str">
        <f>IF(B421=0,VLOOKUP(A421,Feuil2!$A$2:$M$1241,10,FALSE)," ")</f>
        <v xml:space="preserve"> </v>
      </c>
      <c r="L421" s="1"/>
      <c r="M421" s="1"/>
      <c r="N421" s="1"/>
      <c r="O421" s="8" t="str">
        <f>IF(B421=0,VLOOKUP(A421,Feuil2!$A$2:$M$1241,13,FALSE)," ")</f>
        <v xml:space="preserve"> </v>
      </c>
    </row>
    <row r="422" spans="1:15" x14ac:dyDescent="0.3">
      <c r="A422" s="1">
        <v>1770</v>
      </c>
      <c r="B422" s="17">
        <v>0</v>
      </c>
      <c r="C422" s="17" t="str">
        <f>IF(B422=0,VLOOKUP(A422,Feuil2!$A$2:$M$1241,2,FALSE)," ")</f>
        <v>ZANINA</v>
      </c>
      <c r="D422" s="17" t="str">
        <f>IF(B422=0,VLOOKUP(A422,Feuil2!$A$2:$M$1241,3,FALSE)," ")</f>
        <v>HICHEM</v>
      </c>
      <c r="E422" s="18">
        <f>IF(B422=0,VLOOKUP(A422,Feuil2!$A$2:$M$1241,6,FALSE)," ")</f>
        <v>29205</v>
      </c>
      <c r="F422" s="17" t="str">
        <f>IF(B422=0,VLOOKUP(A422,Feuil2!$A$2:$M$1241,12,FALSE)," ")</f>
        <v>H</v>
      </c>
      <c r="G422" s="17" t="str">
        <f>IF(B422=0,VLOOKUP(A422,Feuil2!$A$2:$M$1241,11,FALSE)," ")</f>
        <v>M</v>
      </c>
      <c r="H422" s="17" t="s">
        <v>16</v>
      </c>
      <c r="I422" s="19">
        <f>IF(B422=0,VLOOKUP(A422,Feuil2!$A$2:$M$1241,7,FALSE)," ")</f>
        <v>5577042</v>
      </c>
      <c r="J422" s="17" t="str">
        <f>IF(B422=0,VLOOKUP(A422,Feuil2!$A$2:$M$1241,9,FALSE)," ")</f>
        <v>Rue du Liban</v>
      </c>
      <c r="K422" s="17" t="str">
        <f>IF(B422=0,VLOOKUP(A422,Feuil2!$A$2:$M$1241,10,FALSE)," ")</f>
        <v>Msaken 4070</v>
      </c>
      <c r="L422" s="17">
        <v>4070</v>
      </c>
      <c r="M422" s="17">
        <v>22618056</v>
      </c>
      <c r="N422" s="17"/>
      <c r="O422" s="20" t="str">
        <f>IF(B422=0,VLOOKUP(A422,Feuil2!$A$2:$M$1241,13,FALSE)," ")</f>
        <v>10506040206241178885</v>
      </c>
    </row>
    <row r="423" spans="1:15" x14ac:dyDescent="0.3">
      <c r="A423" s="1">
        <v>1770</v>
      </c>
      <c r="B423" s="1">
        <v>1</v>
      </c>
      <c r="C423" s="1" t="s">
        <v>2397</v>
      </c>
      <c r="D423" s="1" t="s">
        <v>2367</v>
      </c>
      <c r="E423" s="5">
        <v>30902</v>
      </c>
      <c r="F423" s="1" t="s">
        <v>17</v>
      </c>
      <c r="G423" s="1" t="s">
        <v>15</v>
      </c>
      <c r="H423" s="1" t="s">
        <v>16</v>
      </c>
      <c r="I423" s="6" t="str">
        <f>IF(B423=0,VLOOKUP(A423,Feuil2!$A$2:$M$1241,7,FALSE)," ")</f>
        <v xml:space="preserve"> </v>
      </c>
      <c r="J423" s="1" t="str">
        <f>IF(B423=0,VLOOKUP(A423,Feuil2!$A$2:$M$1241,9,FALSE)," ")</f>
        <v xml:space="preserve"> </v>
      </c>
      <c r="K423" s="1" t="str">
        <f>IF(B423=0,VLOOKUP(A423,Feuil2!$A$2:$M$1241,10,FALSE)," ")</f>
        <v xml:space="preserve"> </v>
      </c>
      <c r="L423" s="1"/>
      <c r="M423" s="1"/>
      <c r="N423" s="1"/>
      <c r="O423" s="8" t="str">
        <f>IF(B423=0,VLOOKUP(A423,Feuil2!$A$2:$M$1241,13,FALSE)," ")</f>
        <v xml:space="preserve"> </v>
      </c>
    </row>
    <row r="424" spans="1:15" x14ac:dyDescent="0.3">
      <c r="A424" s="1">
        <v>1770</v>
      </c>
      <c r="B424" s="1">
        <v>2</v>
      </c>
      <c r="C424" s="1" t="s">
        <v>344</v>
      </c>
      <c r="D424" s="1" t="s">
        <v>445</v>
      </c>
      <c r="E424" s="5">
        <v>40932</v>
      </c>
      <c r="F424" s="1" t="s">
        <v>506</v>
      </c>
      <c r="G424" s="1" t="str">
        <f>IF(B424=0,VLOOKUP(A424,Feuil2!$A$2:$M$1241,11,FALSE)," ")</f>
        <v xml:space="preserve"> </v>
      </c>
      <c r="H424" s="1" t="s">
        <v>16</v>
      </c>
      <c r="I424" s="6" t="str">
        <f>IF(B424=0,VLOOKUP(A424,Feuil2!$A$2:$M$1241,7,FALSE)," ")</f>
        <v xml:space="preserve"> </v>
      </c>
      <c r="J424" s="1" t="str">
        <f>IF(B424=0,VLOOKUP(A424,Feuil2!$A$2:$M$1241,9,FALSE)," ")</f>
        <v xml:space="preserve"> </v>
      </c>
      <c r="K424" s="1" t="str">
        <f>IF(B424=0,VLOOKUP(A424,Feuil2!$A$2:$M$1241,10,FALSE)," ")</f>
        <v xml:space="preserve"> </v>
      </c>
      <c r="L424" s="1"/>
      <c r="M424" s="1"/>
      <c r="N424" s="1"/>
      <c r="O424" s="8" t="str">
        <f>IF(B424=0,VLOOKUP(A424,Feuil2!$A$2:$M$1241,13,FALSE)," ")</f>
        <v xml:space="preserve"> </v>
      </c>
    </row>
    <row r="425" spans="1:15" x14ac:dyDescent="0.3">
      <c r="A425" s="1">
        <v>1770</v>
      </c>
      <c r="B425" s="1">
        <v>3</v>
      </c>
      <c r="C425" s="1" t="s">
        <v>344</v>
      </c>
      <c r="D425" s="1" t="s">
        <v>107</v>
      </c>
      <c r="E425" s="5">
        <v>41664</v>
      </c>
      <c r="F425" s="1" t="s">
        <v>506</v>
      </c>
      <c r="G425" s="1" t="str">
        <f>IF(B425=0,VLOOKUP(A425,Feuil2!$A$2:$M$1241,11,FALSE)," ")</f>
        <v xml:space="preserve"> </v>
      </c>
      <c r="H425" s="1" t="s">
        <v>16</v>
      </c>
      <c r="I425" s="6" t="str">
        <f>IF(B425=0,VLOOKUP(A425,Feuil2!$A$2:$M$1241,7,FALSE)," ")</f>
        <v xml:space="preserve"> </v>
      </c>
      <c r="J425" s="1" t="str">
        <f>IF(B425=0,VLOOKUP(A425,Feuil2!$A$2:$M$1241,9,FALSE)," ")</f>
        <v xml:space="preserve"> </v>
      </c>
      <c r="K425" s="1" t="str">
        <f>IF(B425=0,VLOOKUP(A425,Feuil2!$A$2:$M$1241,10,FALSE)," ")</f>
        <v xml:space="preserve"> </v>
      </c>
      <c r="L425" s="1"/>
      <c r="M425" s="1"/>
      <c r="N425" s="1"/>
      <c r="O425" s="8" t="str">
        <f>IF(B425=0,VLOOKUP(A425,Feuil2!$A$2:$M$1241,13,FALSE)," ")</f>
        <v xml:space="preserve"> </v>
      </c>
    </row>
    <row r="426" spans="1:15" x14ac:dyDescent="0.3">
      <c r="A426" s="1">
        <v>1770</v>
      </c>
      <c r="B426" s="1">
        <v>4</v>
      </c>
      <c r="C426" s="1" t="s">
        <v>344</v>
      </c>
      <c r="D426" s="1" t="s">
        <v>2398</v>
      </c>
      <c r="E426" s="5">
        <v>43036</v>
      </c>
      <c r="F426" s="1" t="s">
        <v>506</v>
      </c>
      <c r="G426" s="1" t="str">
        <f>IF(B426=0,VLOOKUP(A426,Feuil2!$A$2:$M$1241,11,FALSE)," ")</f>
        <v xml:space="preserve"> </v>
      </c>
      <c r="H426" s="1" t="s">
        <v>16</v>
      </c>
      <c r="I426" s="6" t="str">
        <f>IF(B426=0,VLOOKUP(A426,Feuil2!$A$2:$M$1241,7,FALSE)," ")</f>
        <v xml:space="preserve"> </v>
      </c>
      <c r="J426" s="1" t="str">
        <f>IF(B426=0,VLOOKUP(A426,Feuil2!$A$2:$M$1241,9,FALSE)," ")</f>
        <v xml:space="preserve"> </v>
      </c>
      <c r="K426" s="1" t="str">
        <f>IF(B426=0,VLOOKUP(A426,Feuil2!$A$2:$M$1241,10,FALSE)," ")</f>
        <v xml:space="preserve"> </v>
      </c>
      <c r="L426" s="1"/>
      <c r="M426" s="1"/>
      <c r="N426" s="1"/>
      <c r="O426" s="8" t="str">
        <f>IF(B426=0,VLOOKUP(A426,Feuil2!$A$2:$M$1241,13,FALSE)," ")</f>
        <v xml:space="preserve"> </v>
      </c>
    </row>
    <row r="427" spans="1:15" x14ac:dyDescent="0.3">
      <c r="A427" s="1">
        <v>1774</v>
      </c>
      <c r="B427" s="1">
        <v>0</v>
      </c>
      <c r="C427" s="1" t="str">
        <f>IF(B427=0,VLOOKUP(A427,Feuil2!$A$2:$M$1241,2,FALSE)," ")</f>
        <v>BEN SALEM</v>
      </c>
      <c r="D427" s="1" t="str">
        <f>IF(B427=0,VLOOKUP(A427,Feuil2!$A$2:$M$1241,3,FALSE)," ")</f>
        <v>FAOUZI</v>
      </c>
      <c r="E427" s="5">
        <f>IF(B427=0,VLOOKUP(A427,Feuil2!$A$2:$M$1241,6,FALSE)," ")</f>
        <v>28232</v>
      </c>
      <c r="F427" s="1" t="str">
        <f>IF(B427=0,VLOOKUP(A427,Feuil2!$A$2:$M$1241,12,FALSE)," ")</f>
        <v>H</v>
      </c>
      <c r="G427" s="1" t="str">
        <f>IF(B427=0,VLOOKUP(A427,Feuil2!$A$2:$M$1241,11,FALSE)," ")</f>
        <v>M</v>
      </c>
      <c r="H427" s="1" t="s">
        <v>16</v>
      </c>
      <c r="I427" s="6">
        <f>IF(B427=0,VLOOKUP(A427,Feuil2!$A$2:$M$1241,7,FALSE)," ")</f>
        <v>3783941</v>
      </c>
      <c r="J427" s="1" t="str">
        <f>IF(B427=0,VLOOKUP(A427,Feuil2!$A$2:$M$1241,9,FALSE)," ")</f>
        <v>NULL</v>
      </c>
      <c r="K427" s="1" t="str">
        <f>IF(B427=0,VLOOKUP(A427,Feuil2!$A$2:$M$1241,10,FALSE)," ")</f>
        <v>BÃ©ni Rabiaa 4015</v>
      </c>
      <c r="L427" s="1"/>
      <c r="M427" s="1">
        <v>50254302</v>
      </c>
      <c r="N427" s="1"/>
      <c r="O427" s="8" t="str">
        <f>IF(B427=0,VLOOKUP(A427,Feuil2!$A$2:$M$1241,13,FALSE)," ")</f>
        <v>12505000580102672018</v>
      </c>
    </row>
    <row r="428" spans="1:15" x14ac:dyDescent="0.3">
      <c r="A428" s="1">
        <v>1774</v>
      </c>
      <c r="B428" s="1">
        <v>1</v>
      </c>
      <c r="C428" s="1" t="s">
        <v>2486</v>
      </c>
      <c r="D428" s="1" t="s">
        <v>2370</v>
      </c>
      <c r="E428" s="5">
        <v>30265</v>
      </c>
      <c r="F428" s="1" t="s">
        <v>17</v>
      </c>
      <c r="G428" s="1" t="s">
        <v>15</v>
      </c>
      <c r="H428" s="1" t="s">
        <v>16</v>
      </c>
      <c r="I428" s="6" t="str">
        <f>IF(B428=0,VLOOKUP(A428,Feuil2!$A$2:$M$1241,7,FALSE)," ")</f>
        <v xml:space="preserve"> </v>
      </c>
      <c r="J428" s="1" t="str">
        <f>IF(B428=0,VLOOKUP(A428,Feuil2!$A$2:$M$1241,9,FALSE)," ")</f>
        <v xml:space="preserve"> </v>
      </c>
      <c r="K428" s="1" t="str">
        <f>IF(B428=0,VLOOKUP(A428,Feuil2!$A$2:$M$1241,10,FALSE)," ")</f>
        <v xml:space="preserve"> </v>
      </c>
      <c r="L428" s="1"/>
      <c r="M428" s="1"/>
      <c r="N428" s="1"/>
      <c r="O428" s="8" t="str">
        <f>IF(B428=0,VLOOKUP(A428,Feuil2!$A$2:$M$1241,13,FALSE)," ")</f>
        <v xml:space="preserve"> </v>
      </c>
    </row>
    <row r="429" spans="1:15" x14ac:dyDescent="0.3">
      <c r="A429" s="1">
        <v>1774</v>
      </c>
      <c r="B429" s="1">
        <v>2</v>
      </c>
      <c r="C429" s="1" t="s">
        <v>283</v>
      </c>
      <c r="D429" s="1" t="s">
        <v>402</v>
      </c>
      <c r="E429" s="5">
        <v>40342</v>
      </c>
      <c r="F429" s="1" t="s">
        <v>17</v>
      </c>
      <c r="G429" s="1" t="str">
        <f>IF(B429=0,VLOOKUP(A429,Feuil2!$A$2:$M$1241,11,FALSE)," ")</f>
        <v xml:space="preserve"> </v>
      </c>
      <c r="H429" s="1" t="s">
        <v>16</v>
      </c>
      <c r="I429" s="6" t="str">
        <f>IF(B429=0,VLOOKUP(A429,Feuil2!$A$2:$M$1241,7,FALSE)," ")</f>
        <v xml:space="preserve"> </v>
      </c>
      <c r="J429" s="1" t="str">
        <f>IF(B429=0,VLOOKUP(A429,Feuil2!$A$2:$M$1241,9,FALSE)," ")</f>
        <v xml:space="preserve"> </v>
      </c>
      <c r="K429" s="1" t="str">
        <f>IF(B429=0,VLOOKUP(A429,Feuil2!$A$2:$M$1241,10,FALSE)," ")</f>
        <v xml:space="preserve"> </v>
      </c>
      <c r="L429" s="1"/>
      <c r="M429" s="1"/>
      <c r="N429" s="1"/>
      <c r="O429" s="8" t="str">
        <f>IF(B429=0,VLOOKUP(A429,Feuil2!$A$2:$M$1241,13,FALSE)," ")</f>
        <v xml:space="preserve"> </v>
      </c>
    </row>
    <row r="430" spans="1:15" x14ac:dyDescent="0.3">
      <c r="A430" s="1">
        <v>1774</v>
      </c>
      <c r="B430" s="1">
        <v>3</v>
      </c>
      <c r="C430" s="1" t="s">
        <v>283</v>
      </c>
      <c r="D430" s="1" t="s">
        <v>2487</v>
      </c>
      <c r="E430" s="5">
        <v>41073</v>
      </c>
      <c r="F430" s="1" t="s">
        <v>506</v>
      </c>
      <c r="G430" s="1" t="str">
        <f>IF(B430=0,VLOOKUP(A430,Feuil2!$A$2:$M$1241,11,FALSE)," ")</f>
        <v xml:space="preserve"> </v>
      </c>
      <c r="H430" s="1" t="s">
        <v>16</v>
      </c>
      <c r="I430" s="6" t="str">
        <f>IF(B430=0,VLOOKUP(A430,Feuil2!$A$2:$M$1241,7,FALSE)," ")</f>
        <v xml:space="preserve"> </v>
      </c>
      <c r="J430" s="1" t="str">
        <f>IF(B430=0,VLOOKUP(A430,Feuil2!$A$2:$M$1241,9,FALSE)," ")</f>
        <v xml:space="preserve"> </v>
      </c>
      <c r="K430" s="1" t="str">
        <f>IF(B430=0,VLOOKUP(A430,Feuil2!$A$2:$M$1241,10,FALSE)," ")</f>
        <v xml:space="preserve"> </v>
      </c>
      <c r="L430" s="1"/>
      <c r="M430" s="1"/>
      <c r="N430" s="1"/>
      <c r="O430" s="8" t="str">
        <f>IF(B430=0,VLOOKUP(A430,Feuil2!$A$2:$M$1241,13,FALSE)," ")</f>
        <v xml:space="preserve"> </v>
      </c>
    </row>
    <row r="431" spans="1:15" x14ac:dyDescent="0.3">
      <c r="A431" s="1">
        <v>1774</v>
      </c>
      <c r="B431" s="1">
        <v>4</v>
      </c>
      <c r="C431" s="1" t="s">
        <v>283</v>
      </c>
      <c r="D431" s="1" t="s">
        <v>2488</v>
      </c>
      <c r="E431" s="5">
        <v>42257</v>
      </c>
      <c r="F431" s="1" t="s">
        <v>17</v>
      </c>
      <c r="G431" s="1" t="str">
        <f>IF(B431=0,VLOOKUP(A431,Feuil2!$A$2:$M$1241,11,FALSE)," ")</f>
        <v xml:space="preserve"> </v>
      </c>
      <c r="H431" s="1" t="s">
        <v>16</v>
      </c>
      <c r="I431" s="6" t="str">
        <f>IF(B431=0,VLOOKUP(A431,Feuil2!$A$2:$M$1241,7,FALSE)," ")</f>
        <v xml:space="preserve"> </v>
      </c>
      <c r="J431" s="1" t="str">
        <f>IF(B431=0,VLOOKUP(A431,Feuil2!$A$2:$M$1241,9,FALSE)," ")</f>
        <v xml:space="preserve"> </v>
      </c>
      <c r="K431" s="1" t="str">
        <f>IF(B431=0,VLOOKUP(A431,Feuil2!$A$2:$M$1241,10,FALSE)," ")</f>
        <v xml:space="preserve"> </v>
      </c>
      <c r="L431" s="1"/>
      <c r="M431" s="1"/>
      <c r="N431" s="1"/>
      <c r="O431" s="8" t="str">
        <f>IF(B431=0,VLOOKUP(A431,Feuil2!$A$2:$M$1241,13,FALSE)," ")</f>
        <v xml:space="preserve"> </v>
      </c>
    </row>
    <row r="432" spans="1:15" x14ac:dyDescent="0.3">
      <c r="A432" s="1">
        <v>1777</v>
      </c>
      <c r="B432" s="1">
        <v>0</v>
      </c>
      <c r="C432" s="1" t="str">
        <f>IF(B432=0,VLOOKUP(A432,Feuil2!$A$2:$M$1241,2,FALSE)," ")</f>
        <v>JARRAR</v>
      </c>
      <c r="D432" s="1" t="str">
        <f>IF(B432=0,VLOOKUP(A432,Feuil2!$A$2:$M$1241,3,FALSE)," ")</f>
        <v>MOHAMED FAOUZI</v>
      </c>
      <c r="E432" s="5">
        <f>IF(B432=0,VLOOKUP(A432,Feuil2!$A$2:$M$1241,6,FALSE)," ")</f>
        <v>27871</v>
      </c>
      <c r="F432" s="1" t="str">
        <f>IF(B432=0,VLOOKUP(A432,Feuil2!$A$2:$M$1241,12,FALSE)," ")</f>
        <v>H</v>
      </c>
      <c r="G432" s="1" t="str">
        <f>IF(B432=0,VLOOKUP(A432,Feuil2!$A$2:$M$1241,11,FALSE)," ")</f>
        <v>M</v>
      </c>
      <c r="H432" s="1" t="s">
        <v>16</v>
      </c>
      <c r="I432" s="6">
        <f>IF(B432=0,VLOOKUP(A432,Feuil2!$A$2:$M$1241,7,FALSE)," ")</f>
        <v>5537230</v>
      </c>
      <c r="J432" s="1" t="str">
        <f>IF(B432=0,VLOOKUP(A432,Feuil2!$A$2:$M$1241,9,FALSE)," ")</f>
        <v>58, Rue Ali Bach Hamba</v>
      </c>
      <c r="K432" s="1" t="str">
        <f>IF(B432=0,VLOOKUP(A432,Feuil2!$A$2:$M$1241,10,FALSE)," ")</f>
        <v>Msaken 4070</v>
      </c>
      <c r="L432" s="1">
        <v>4070</v>
      </c>
      <c r="M432" s="1">
        <v>24622133</v>
      </c>
      <c r="N432" s="1"/>
      <c r="O432" s="8" t="str">
        <f>IF(B432=0,VLOOKUP(A432,Feuil2!$A$2:$M$1241,13,FALSE)," ")</f>
        <v>04204067404000994885</v>
      </c>
    </row>
    <row r="433" spans="1:15" x14ac:dyDescent="0.3">
      <c r="A433" s="1">
        <v>1777</v>
      </c>
      <c r="B433" s="1">
        <v>1</v>
      </c>
      <c r="C433" s="1" t="s">
        <v>2565</v>
      </c>
      <c r="D433" s="1" t="s">
        <v>629</v>
      </c>
      <c r="E433" s="5">
        <v>29230</v>
      </c>
      <c r="F433" s="1" t="s">
        <v>17</v>
      </c>
      <c r="G433" s="1" t="s">
        <v>15</v>
      </c>
      <c r="H433" s="1" t="s">
        <v>16</v>
      </c>
      <c r="I433" s="6" t="str">
        <f>IF(B433=0,VLOOKUP(A433,Feuil2!$A$2:$M$1241,7,FALSE)," ")</f>
        <v xml:space="preserve"> </v>
      </c>
      <c r="J433" s="1" t="str">
        <f>IF(B433=0,VLOOKUP(A433,Feuil2!$A$2:$M$1241,9,FALSE)," ")</f>
        <v xml:space="preserve"> </v>
      </c>
      <c r="K433" s="1" t="str">
        <f>IF(B433=0,VLOOKUP(A433,Feuil2!$A$2:$M$1241,10,FALSE)," ")</f>
        <v xml:space="preserve"> </v>
      </c>
      <c r="L433" s="1"/>
      <c r="M433" s="1"/>
      <c r="N433" s="1"/>
      <c r="O433" s="8" t="str">
        <f>IF(B433=0,VLOOKUP(A433,Feuil2!$A$2:$M$1241,13,FALSE)," ")</f>
        <v xml:space="preserve"> </v>
      </c>
    </row>
    <row r="434" spans="1:15" x14ac:dyDescent="0.3">
      <c r="A434" s="1">
        <v>1777</v>
      </c>
      <c r="B434" s="1">
        <v>2</v>
      </c>
      <c r="C434" s="1" t="s">
        <v>33</v>
      </c>
      <c r="D434" s="1" t="s">
        <v>2566</v>
      </c>
      <c r="E434" s="5">
        <v>39825</v>
      </c>
      <c r="F434" s="1" t="s">
        <v>506</v>
      </c>
      <c r="G434" s="1" t="str">
        <f>IF(B434=0,VLOOKUP(A434,Feuil2!$A$2:$M$1241,11,FALSE)," ")</f>
        <v xml:space="preserve"> </v>
      </c>
      <c r="H434" s="1" t="s">
        <v>16</v>
      </c>
      <c r="I434" s="6" t="str">
        <f>IF(B434=0,VLOOKUP(A434,Feuil2!$A$2:$M$1241,7,FALSE)," ")</f>
        <v xml:space="preserve"> </v>
      </c>
      <c r="J434" s="1" t="str">
        <f>IF(B434=0,VLOOKUP(A434,Feuil2!$A$2:$M$1241,9,FALSE)," ")</f>
        <v xml:space="preserve"> </v>
      </c>
      <c r="K434" s="1" t="str">
        <f>IF(B434=0,VLOOKUP(A434,Feuil2!$A$2:$M$1241,10,FALSE)," ")</f>
        <v xml:space="preserve"> </v>
      </c>
      <c r="L434" s="1"/>
      <c r="M434" s="1"/>
      <c r="N434" s="1"/>
      <c r="O434" s="8" t="str">
        <f>IF(B434=0,VLOOKUP(A434,Feuil2!$A$2:$M$1241,13,FALSE)," ")</f>
        <v xml:space="preserve"> </v>
      </c>
    </row>
    <row r="435" spans="1:15" x14ac:dyDescent="0.3">
      <c r="A435" s="1">
        <v>1777</v>
      </c>
      <c r="B435" s="1">
        <v>3</v>
      </c>
      <c r="C435" s="1" t="s">
        <v>33</v>
      </c>
      <c r="D435" s="1" t="s">
        <v>2567</v>
      </c>
      <c r="E435" s="5">
        <v>40283</v>
      </c>
      <c r="F435" s="1" t="s">
        <v>506</v>
      </c>
      <c r="G435" s="1" t="str">
        <f>IF(B435=0,VLOOKUP(A435,Feuil2!$A$2:$M$1241,11,FALSE)," ")</f>
        <v xml:space="preserve"> </v>
      </c>
      <c r="H435" s="1" t="s">
        <v>16</v>
      </c>
      <c r="I435" s="6" t="str">
        <f>IF(B435=0,VLOOKUP(A435,Feuil2!$A$2:$M$1241,7,FALSE)," ")</f>
        <v xml:space="preserve"> </v>
      </c>
      <c r="J435" s="1" t="str">
        <f>IF(B435=0,VLOOKUP(A435,Feuil2!$A$2:$M$1241,9,FALSE)," ")</f>
        <v xml:space="preserve"> </v>
      </c>
      <c r="K435" s="1" t="str">
        <f>IF(B435=0,VLOOKUP(A435,Feuil2!$A$2:$M$1241,10,FALSE)," ")</f>
        <v xml:space="preserve"> </v>
      </c>
      <c r="L435" s="1"/>
      <c r="M435" s="1"/>
      <c r="N435" s="1"/>
      <c r="O435" s="8" t="str">
        <f>IF(B435=0,VLOOKUP(A435,Feuil2!$A$2:$M$1241,13,FALSE)," ")</f>
        <v xml:space="preserve"> </v>
      </c>
    </row>
    <row r="436" spans="1:15" x14ac:dyDescent="0.3">
      <c r="A436" s="1">
        <v>1781</v>
      </c>
      <c r="B436" s="1">
        <v>0</v>
      </c>
      <c r="C436" s="1" t="str">
        <f>IF(B436=0,VLOOKUP(A436,Feuil2!$A$2:$M$1241,2,FALSE)," ")</f>
        <v>KEMIMECH</v>
      </c>
      <c r="D436" s="1" t="str">
        <f>IF(B436=0,VLOOKUP(A436,Feuil2!$A$2:$M$1241,3,FALSE)," ")</f>
        <v>MOHAMED</v>
      </c>
      <c r="E436" s="5">
        <f>IF(B436=0,VLOOKUP(A436,Feuil2!$A$2:$M$1241,6,FALSE)," ")</f>
        <v>25568</v>
      </c>
      <c r="F436" s="1" t="str">
        <f>IF(B436=0,VLOOKUP(A436,Feuil2!$A$2:$M$1241,12,FALSE)," ")</f>
        <v>H</v>
      </c>
      <c r="G436" s="1" t="str">
        <f>IF(B436=0,VLOOKUP(A436,Feuil2!$A$2:$M$1241,11,FALSE)," ")</f>
        <v>M</v>
      </c>
      <c r="H436" s="1" t="s">
        <v>16</v>
      </c>
      <c r="I436" s="6">
        <f>IF(B436=0,VLOOKUP(A436,Feuil2!$A$2:$M$1241,7,FALSE)," ")</f>
        <v>5512526</v>
      </c>
      <c r="J436" s="1" t="str">
        <f>IF(B436=0,VLOOKUP(A436,Feuil2!$A$2:$M$1241,9,FALSE)," ")</f>
        <v>137 Rue Ali Belhouane</v>
      </c>
      <c r="K436" s="1" t="str">
        <f>IF(B436=0,VLOOKUP(A436,Feuil2!$A$2:$M$1241,10,FALSE)," ")</f>
        <v>Msaken 4070</v>
      </c>
      <c r="L436" s="1">
        <v>4070</v>
      </c>
      <c r="M436" s="1">
        <v>29248710</v>
      </c>
      <c r="N436" s="1"/>
      <c r="O436" s="8" t="str">
        <f>IF(B436=0,VLOOKUP(A436,Feuil2!$A$2:$M$1241,13,FALSE)," ")</f>
        <v>17503000000232428689</v>
      </c>
    </row>
    <row r="437" spans="1:15" x14ac:dyDescent="0.3">
      <c r="A437" s="1">
        <v>1781</v>
      </c>
      <c r="B437" s="1">
        <v>1</v>
      </c>
      <c r="C437" s="1" t="s">
        <v>2481</v>
      </c>
      <c r="D437" s="1" t="s">
        <v>2370</v>
      </c>
      <c r="E437" s="5">
        <v>29597</v>
      </c>
      <c r="F437" s="1" t="s">
        <v>17</v>
      </c>
      <c r="G437" s="1" t="s">
        <v>15</v>
      </c>
      <c r="H437" s="1" t="s">
        <v>16</v>
      </c>
      <c r="I437" s="6" t="str">
        <f>IF(B437=0,VLOOKUP(A437,Feuil2!$A$2:$M$1241,7,FALSE)," ")</f>
        <v xml:space="preserve"> </v>
      </c>
      <c r="J437" s="1" t="str">
        <f>IF(B437=0,VLOOKUP(A437,Feuil2!$A$2:$M$1241,9,FALSE)," ")</f>
        <v xml:space="preserve"> </v>
      </c>
      <c r="K437" s="1" t="str">
        <f>IF(B437=0,VLOOKUP(A437,Feuil2!$A$2:$M$1241,10,FALSE)," ")</f>
        <v xml:space="preserve"> </v>
      </c>
      <c r="L437" s="1"/>
      <c r="M437" s="1"/>
      <c r="N437" s="1"/>
      <c r="O437" s="8" t="str">
        <f>IF(B437=0,VLOOKUP(A437,Feuil2!$A$2:$M$1241,13,FALSE)," ")</f>
        <v xml:space="preserve"> </v>
      </c>
    </row>
    <row r="438" spans="1:15" x14ac:dyDescent="0.3">
      <c r="A438" s="1">
        <v>1781</v>
      </c>
      <c r="B438" s="1">
        <v>2</v>
      </c>
      <c r="C438" s="1" t="s">
        <v>147</v>
      </c>
      <c r="D438" s="1" t="s">
        <v>441</v>
      </c>
      <c r="E438" s="5">
        <v>38346</v>
      </c>
      <c r="F438" s="1" t="s">
        <v>506</v>
      </c>
      <c r="G438" s="1" t="str">
        <f>IF(B438=0,VLOOKUP(A438,Feuil2!$A$2:$M$1241,11,FALSE)," ")</f>
        <v xml:space="preserve"> </v>
      </c>
      <c r="H438" s="1" t="s">
        <v>16</v>
      </c>
      <c r="I438" s="6" t="str">
        <f>IF(B438=0,VLOOKUP(A438,Feuil2!$A$2:$M$1241,7,FALSE)," ")</f>
        <v xml:space="preserve"> </v>
      </c>
      <c r="J438" s="1" t="str">
        <f>IF(B438=0,VLOOKUP(A438,Feuil2!$A$2:$M$1241,9,FALSE)," ")</f>
        <v xml:space="preserve"> </v>
      </c>
      <c r="K438" s="1" t="str">
        <f>IF(B438=0,VLOOKUP(A438,Feuil2!$A$2:$M$1241,10,FALSE)," ")</f>
        <v xml:space="preserve"> </v>
      </c>
      <c r="L438" s="1"/>
      <c r="M438" s="1"/>
      <c r="N438" s="1"/>
      <c r="O438" s="8" t="str">
        <f>IF(B438=0,VLOOKUP(A438,Feuil2!$A$2:$M$1241,13,FALSE)," ")</f>
        <v xml:space="preserve"> </v>
      </c>
    </row>
    <row r="439" spans="1:15" x14ac:dyDescent="0.3">
      <c r="A439" s="1">
        <v>1781</v>
      </c>
      <c r="B439" s="1">
        <v>3</v>
      </c>
      <c r="C439" s="1" t="s">
        <v>147</v>
      </c>
      <c r="D439" s="1" t="s">
        <v>2338</v>
      </c>
      <c r="E439" s="5">
        <v>39316</v>
      </c>
      <c r="F439" s="1" t="s">
        <v>17</v>
      </c>
      <c r="G439" s="1" t="str">
        <f>IF(B439=0,VLOOKUP(A439,Feuil2!$A$2:$M$1241,11,FALSE)," ")</f>
        <v xml:space="preserve"> </v>
      </c>
      <c r="H439" s="1" t="s">
        <v>16</v>
      </c>
      <c r="I439" s="6" t="str">
        <f>IF(B439=0,VLOOKUP(A439,Feuil2!$A$2:$M$1241,7,FALSE)," ")</f>
        <v xml:space="preserve"> </v>
      </c>
      <c r="J439" s="1" t="str">
        <f>IF(B439=0,VLOOKUP(A439,Feuil2!$A$2:$M$1241,9,FALSE)," ")</f>
        <v xml:space="preserve"> </v>
      </c>
      <c r="K439" s="1" t="str">
        <f>IF(B439=0,VLOOKUP(A439,Feuil2!$A$2:$M$1241,10,FALSE)," ")</f>
        <v xml:space="preserve"> </v>
      </c>
      <c r="L439" s="1"/>
      <c r="M439" s="1"/>
      <c r="N439" s="1"/>
      <c r="O439" s="8" t="str">
        <f>IF(B439=0,VLOOKUP(A439,Feuil2!$A$2:$M$1241,13,FALSE)," ")</f>
        <v xml:space="preserve"> </v>
      </c>
    </row>
    <row r="440" spans="1:15" x14ac:dyDescent="0.3">
      <c r="A440" s="1">
        <v>1781</v>
      </c>
      <c r="B440" s="1">
        <v>4</v>
      </c>
      <c r="C440" s="1" t="s">
        <v>147</v>
      </c>
      <c r="D440" s="1" t="s">
        <v>2482</v>
      </c>
      <c r="E440" s="5">
        <v>39769</v>
      </c>
      <c r="F440" s="1" t="s">
        <v>17</v>
      </c>
      <c r="G440" s="1" t="str">
        <f>IF(B440=0,VLOOKUP(A440,Feuil2!$A$2:$M$1241,11,FALSE)," ")</f>
        <v xml:space="preserve"> </v>
      </c>
      <c r="H440" s="1" t="s">
        <v>16</v>
      </c>
      <c r="I440" s="6" t="str">
        <f>IF(B440=0,VLOOKUP(A440,Feuil2!$A$2:$M$1241,7,FALSE)," ")</f>
        <v xml:space="preserve"> </v>
      </c>
      <c r="J440" s="1" t="str">
        <f>IF(B440=0,VLOOKUP(A440,Feuil2!$A$2:$M$1241,9,FALSE)," ")</f>
        <v xml:space="preserve"> </v>
      </c>
      <c r="K440" s="1" t="str">
        <f>IF(B440=0,VLOOKUP(A440,Feuil2!$A$2:$M$1241,10,FALSE)," ")</f>
        <v xml:space="preserve"> </v>
      </c>
      <c r="L440" s="1"/>
      <c r="M440" s="1"/>
      <c r="N440" s="1"/>
      <c r="O440" s="8" t="str">
        <f>IF(B440=0,VLOOKUP(A440,Feuil2!$A$2:$M$1241,13,FALSE)," ")</f>
        <v xml:space="preserve"> </v>
      </c>
    </row>
    <row r="441" spans="1:15" x14ac:dyDescent="0.3">
      <c r="A441" s="1">
        <v>1781</v>
      </c>
      <c r="B441" s="1">
        <v>5</v>
      </c>
      <c r="C441" s="1" t="s">
        <v>147</v>
      </c>
      <c r="D441" s="1" t="s">
        <v>2363</v>
      </c>
      <c r="E441" s="5">
        <v>39769</v>
      </c>
      <c r="F441" s="1" t="s">
        <v>17</v>
      </c>
      <c r="G441" s="1" t="str">
        <f>IF(B441=0,VLOOKUP(A441,Feuil2!$A$2:$M$1241,11,FALSE)," ")</f>
        <v xml:space="preserve"> </v>
      </c>
      <c r="H441" s="1" t="s">
        <v>16</v>
      </c>
      <c r="I441" s="6" t="str">
        <f>IF(B441=0,VLOOKUP(A441,Feuil2!$A$2:$M$1241,7,FALSE)," ")</f>
        <v xml:space="preserve"> </v>
      </c>
      <c r="J441" s="1" t="str">
        <f>IF(B441=0,VLOOKUP(A441,Feuil2!$A$2:$M$1241,9,FALSE)," ")</f>
        <v xml:space="preserve"> </v>
      </c>
      <c r="K441" s="1" t="str">
        <f>IF(B441=0,VLOOKUP(A441,Feuil2!$A$2:$M$1241,10,FALSE)," ")</f>
        <v xml:space="preserve"> </v>
      </c>
      <c r="L441" s="1"/>
      <c r="M441" s="1"/>
      <c r="N441" s="1"/>
      <c r="O441" s="8" t="str">
        <f>IF(B441=0,VLOOKUP(A441,Feuil2!$A$2:$M$1241,13,FALSE)," ")</f>
        <v xml:space="preserve"> </v>
      </c>
    </row>
    <row r="442" spans="1:15" x14ac:dyDescent="0.3">
      <c r="A442" s="1">
        <v>1781</v>
      </c>
      <c r="B442" s="1">
        <v>6</v>
      </c>
      <c r="C442" s="1" t="s">
        <v>147</v>
      </c>
      <c r="D442" s="1" t="s">
        <v>2332</v>
      </c>
      <c r="E442" s="5">
        <v>40769</v>
      </c>
      <c r="F442" s="1" t="s">
        <v>17</v>
      </c>
      <c r="G442" s="1" t="str">
        <f>IF(B442=0,VLOOKUP(A442,Feuil2!$A$2:$M$1241,11,FALSE)," ")</f>
        <v xml:space="preserve"> </v>
      </c>
      <c r="H442" s="1" t="s">
        <v>16</v>
      </c>
      <c r="I442" s="6" t="str">
        <f>IF(B442=0,VLOOKUP(A442,Feuil2!$A$2:$M$1241,7,FALSE)," ")</f>
        <v xml:space="preserve"> </v>
      </c>
      <c r="J442" s="1" t="str">
        <f>IF(B442=0,VLOOKUP(A442,Feuil2!$A$2:$M$1241,9,FALSE)," ")</f>
        <v xml:space="preserve"> </v>
      </c>
      <c r="K442" s="1" t="str">
        <f>IF(B442=0,VLOOKUP(A442,Feuil2!$A$2:$M$1241,10,FALSE)," ")</f>
        <v xml:space="preserve"> </v>
      </c>
      <c r="L442" s="1"/>
      <c r="M442" s="1"/>
      <c r="N442" s="1"/>
      <c r="O442" s="8" t="str">
        <f>IF(B442=0,VLOOKUP(A442,Feuil2!$A$2:$M$1241,13,FALSE)," ")</f>
        <v xml:space="preserve"> </v>
      </c>
    </row>
    <row r="443" spans="1:15" x14ac:dyDescent="0.3">
      <c r="A443" s="1">
        <v>1781</v>
      </c>
      <c r="B443" s="1">
        <v>7</v>
      </c>
      <c r="C443" s="1" t="s">
        <v>147</v>
      </c>
      <c r="D443" s="1" t="s">
        <v>2099</v>
      </c>
      <c r="E443" s="5">
        <v>42450</v>
      </c>
      <c r="F443" s="1" t="s">
        <v>17</v>
      </c>
      <c r="G443" s="1" t="str">
        <f>IF(B443=0,VLOOKUP(A443,Feuil2!$A$2:$M$1241,11,FALSE)," ")</f>
        <v xml:space="preserve"> </v>
      </c>
      <c r="H443" s="1" t="s">
        <v>16</v>
      </c>
      <c r="I443" s="6" t="str">
        <f>IF(B443=0,VLOOKUP(A443,Feuil2!$A$2:$M$1241,7,FALSE)," ")</f>
        <v xml:space="preserve"> </v>
      </c>
      <c r="J443" s="1" t="str">
        <f>IF(B443=0,VLOOKUP(A443,Feuil2!$A$2:$M$1241,9,FALSE)," ")</f>
        <v xml:space="preserve"> </v>
      </c>
      <c r="K443" s="1" t="str">
        <f>IF(B443=0,VLOOKUP(A443,Feuil2!$A$2:$M$1241,10,FALSE)," ")</f>
        <v xml:space="preserve"> </v>
      </c>
      <c r="L443" s="1"/>
      <c r="M443" s="1"/>
      <c r="N443" s="1"/>
      <c r="O443" s="8" t="str">
        <f>IF(B443=0,VLOOKUP(A443,Feuil2!$A$2:$M$1241,13,FALSE)," ")</f>
        <v xml:space="preserve"> </v>
      </c>
    </row>
    <row r="444" spans="1:15" x14ac:dyDescent="0.3">
      <c r="A444" s="1">
        <v>1789</v>
      </c>
      <c r="B444" s="1">
        <v>0</v>
      </c>
      <c r="C444" s="1" t="str">
        <f>IF(B444=0,VLOOKUP(A444,Feuil2!$A$2:$M$1241,2,FALSE)," ")</f>
        <v>CHIHI</v>
      </c>
      <c r="D444" s="1" t="str">
        <f>IF(B444=0,VLOOKUP(A444,Feuil2!$A$2:$M$1241,3,FALSE)," ")</f>
        <v>MOHAMED SALAH</v>
      </c>
      <c r="E444" s="5">
        <f>IF(B444=0,VLOOKUP(A444,Feuil2!$A$2:$M$1241,6,FALSE)," ")</f>
        <v>29854</v>
      </c>
      <c r="F444" s="1" t="str">
        <f>IF(B444=0,VLOOKUP(A444,Feuil2!$A$2:$M$1241,12,FALSE)," ")</f>
        <v>H</v>
      </c>
      <c r="G444" s="1" t="str">
        <f>IF(B444=0,VLOOKUP(A444,Feuil2!$A$2:$M$1241,11,FALSE)," ")</f>
        <v>M</v>
      </c>
      <c r="H444" s="1" t="s">
        <v>16</v>
      </c>
      <c r="I444" s="6">
        <f>IF(B444=0,VLOOKUP(A444,Feuil2!$A$2:$M$1241,7,FALSE)," ")</f>
        <v>5597866</v>
      </c>
      <c r="J444" s="1" t="str">
        <f>IF(B444=0,VLOOKUP(A444,Feuil2!$A$2:$M$1241,9,FALSE)," ")</f>
        <v>14 Nouvelle CitÃ©</v>
      </c>
      <c r="K444" s="1" t="str">
        <f>IF(B444=0,VLOOKUP(A444,Feuil2!$A$2:$M$1241,10,FALSE)," ")</f>
        <v>BÃ©ni Kalthoum 4016</v>
      </c>
      <c r="L444" s="1"/>
      <c r="M444" s="1">
        <v>97225601</v>
      </c>
      <c r="N444" s="1"/>
      <c r="O444" s="8" t="str">
        <f>IF(B444=0,VLOOKUP(A444,Feuil2!$A$2:$M$1241,13,FALSE)," ")</f>
        <v>12505000580103770640</v>
      </c>
    </row>
    <row r="445" spans="1:15" x14ac:dyDescent="0.3">
      <c r="A445" s="1">
        <v>1789</v>
      </c>
      <c r="B445" s="1">
        <v>1</v>
      </c>
      <c r="C445" s="1" t="s">
        <v>582</v>
      </c>
      <c r="D445" s="1" t="s">
        <v>2372</v>
      </c>
      <c r="E445" s="5">
        <v>30950</v>
      </c>
      <c r="F445" s="1" t="s">
        <v>17</v>
      </c>
      <c r="G445" s="1" t="s">
        <v>15</v>
      </c>
      <c r="H445" s="1" t="s">
        <v>16</v>
      </c>
      <c r="I445" s="6" t="str">
        <f>IF(B445=0,VLOOKUP(A445,Feuil2!$A$2:$M$1241,7,FALSE)," ")</f>
        <v xml:space="preserve"> </v>
      </c>
      <c r="J445" s="1" t="str">
        <f>IF(B445=0,VLOOKUP(A445,Feuil2!$A$2:$M$1241,9,FALSE)," ")</f>
        <v xml:space="preserve"> </v>
      </c>
      <c r="K445" s="1" t="str">
        <f>IF(B445=0,VLOOKUP(A445,Feuil2!$A$2:$M$1241,10,FALSE)," ")</f>
        <v xml:space="preserve"> </v>
      </c>
      <c r="L445" s="1"/>
      <c r="M445" s="1"/>
      <c r="N445" s="1"/>
      <c r="O445" s="8" t="str">
        <f>IF(B445=0,VLOOKUP(A445,Feuil2!$A$2:$M$1241,13,FALSE)," ")</f>
        <v xml:space="preserve"> </v>
      </c>
    </row>
    <row r="446" spans="1:15" x14ac:dyDescent="0.3">
      <c r="A446" s="1">
        <v>1789</v>
      </c>
      <c r="B446" s="1">
        <v>2</v>
      </c>
      <c r="C446" s="1" t="s">
        <v>238</v>
      </c>
      <c r="D446" s="1" t="s">
        <v>2347</v>
      </c>
      <c r="E446" s="5">
        <v>38197</v>
      </c>
      <c r="F446" s="1" t="s">
        <v>506</v>
      </c>
      <c r="G446" s="1" t="str">
        <f>IF(B446=0,VLOOKUP(A446,Feuil2!$A$2:$M$1241,11,FALSE)," ")</f>
        <v xml:space="preserve"> </v>
      </c>
      <c r="H446" s="1" t="s">
        <v>16</v>
      </c>
      <c r="I446" s="6" t="str">
        <f>IF(B446=0,VLOOKUP(A446,Feuil2!$A$2:$M$1241,7,FALSE)," ")</f>
        <v xml:space="preserve"> </v>
      </c>
      <c r="J446" s="1" t="str">
        <f>IF(B446=0,VLOOKUP(A446,Feuil2!$A$2:$M$1241,9,FALSE)," ")</f>
        <v xml:space="preserve"> </v>
      </c>
      <c r="K446" s="1" t="str">
        <f>IF(B446=0,VLOOKUP(A446,Feuil2!$A$2:$M$1241,10,FALSE)," ")</f>
        <v xml:space="preserve"> </v>
      </c>
      <c r="L446" s="1"/>
      <c r="M446" s="1"/>
      <c r="N446" s="1"/>
      <c r="O446" s="8" t="str">
        <f>IF(B446=0,VLOOKUP(A446,Feuil2!$A$2:$M$1241,13,FALSE)," ")</f>
        <v xml:space="preserve"> </v>
      </c>
    </row>
    <row r="447" spans="1:15" x14ac:dyDescent="0.3">
      <c r="A447" s="1">
        <v>1789</v>
      </c>
      <c r="B447" s="1">
        <v>3</v>
      </c>
      <c r="C447" s="1" t="s">
        <v>238</v>
      </c>
      <c r="D447" s="1" t="s">
        <v>2373</v>
      </c>
      <c r="E447" s="5">
        <v>39248</v>
      </c>
      <c r="F447" s="1" t="s">
        <v>17</v>
      </c>
      <c r="G447" s="1" t="str">
        <f>IF(B447=0,VLOOKUP(A447,Feuil2!$A$2:$M$1241,11,FALSE)," ")</f>
        <v xml:space="preserve"> </v>
      </c>
      <c r="H447" s="1" t="s">
        <v>16</v>
      </c>
      <c r="I447" s="6" t="str">
        <f>IF(B447=0,VLOOKUP(A447,Feuil2!$A$2:$M$1241,7,FALSE)," ")</f>
        <v xml:space="preserve"> </v>
      </c>
      <c r="J447" s="1" t="str">
        <f>IF(B447=0,VLOOKUP(A447,Feuil2!$A$2:$M$1241,9,FALSE)," ")</f>
        <v xml:space="preserve"> </v>
      </c>
      <c r="K447" s="1" t="str">
        <f>IF(B447=0,VLOOKUP(A447,Feuil2!$A$2:$M$1241,10,FALSE)," ")</f>
        <v xml:space="preserve"> </v>
      </c>
      <c r="L447" s="1"/>
      <c r="M447" s="1"/>
      <c r="N447" s="1"/>
      <c r="O447" s="8" t="str">
        <f>IF(B447=0,VLOOKUP(A447,Feuil2!$A$2:$M$1241,13,FALSE)," ")</f>
        <v xml:space="preserve"> </v>
      </c>
    </row>
    <row r="448" spans="1:15" x14ac:dyDescent="0.3">
      <c r="A448" s="1">
        <v>1789</v>
      </c>
      <c r="B448" s="1">
        <v>4</v>
      </c>
      <c r="C448" s="1" t="s">
        <v>238</v>
      </c>
      <c r="D448" s="1" t="s">
        <v>2331</v>
      </c>
      <c r="E448" s="5">
        <v>40920</v>
      </c>
      <c r="F448" s="1" t="s">
        <v>17</v>
      </c>
      <c r="G448" s="1" t="str">
        <f>IF(B448=0,VLOOKUP(A448,Feuil2!$A$2:$M$1241,11,FALSE)," ")</f>
        <v xml:space="preserve"> </v>
      </c>
      <c r="H448" s="1" t="s">
        <v>16</v>
      </c>
      <c r="I448" s="6" t="str">
        <f>IF(B448=0,VLOOKUP(A448,Feuil2!$A$2:$M$1241,7,FALSE)," ")</f>
        <v xml:space="preserve"> </v>
      </c>
      <c r="J448" s="1" t="str">
        <f>IF(B448=0,VLOOKUP(A448,Feuil2!$A$2:$M$1241,9,FALSE)," ")</f>
        <v xml:space="preserve"> </v>
      </c>
      <c r="K448" s="1" t="str">
        <f>IF(B448=0,VLOOKUP(A448,Feuil2!$A$2:$M$1241,10,FALSE)," ")</f>
        <v xml:space="preserve"> </v>
      </c>
      <c r="L448" s="1"/>
      <c r="M448" s="1"/>
      <c r="N448" s="1"/>
      <c r="O448" s="8" t="str">
        <f>IF(B448=0,VLOOKUP(A448,Feuil2!$A$2:$M$1241,13,FALSE)," ")</f>
        <v xml:space="preserve"> </v>
      </c>
    </row>
    <row r="449" spans="1:16" x14ac:dyDescent="0.3">
      <c r="A449" s="1">
        <v>1789</v>
      </c>
      <c r="B449" s="1">
        <v>5</v>
      </c>
      <c r="C449" s="1" t="s">
        <v>238</v>
      </c>
      <c r="D449" s="1" t="s">
        <v>287</v>
      </c>
      <c r="E449" s="5">
        <v>42884</v>
      </c>
      <c r="F449" s="1" t="s">
        <v>506</v>
      </c>
      <c r="G449" s="1" t="str">
        <f>IF(B449=0,VLOOKUP(A449,Feuil2!$A$2:$M$1241,11,FALSE)," ")</f>
        <v xml:space="preserve"> </v>
      </c>
      <c r="H449" s="1" t="s">
        <v>16</v>
      </c>
      <c r="I449" s="6" t="str">
        <f>IF(B449=0,VLOOKUP(A449,Feuil2!$A$2:$M$1241,7,FALSE)," ")</f>
        <v xml:space="preserve"> </v>
      </c>
      <c r="J449" s="1" t="str">
        <f>IF(B449=0,VLOOKUP(A449,Feuil2!$A$2:$M$1241,9,FALSE)," ")</f>
        <v xml:space="preserve"> </v>
      </c>
      <c r="K449" s="1" t="str">
        <f>IF(B449=0,VLOOKUP(A449,Feuil2!$A$2:$M$1241,10,FALSE)," ")</f>
        <v xml:space="preserve"> </v>
      </c>
      <c r="L449" s="1"/>
      <c r="M449" s="1"/>
      <c r="N449" s="1"/>
      <c r="O449" s="8" t="str">
        <f>IF(B449=0,VLOOKUP(A449,Feuil2!$A$2:$M$1241,13,FALSE)," ")</f>
        <v xml:space="preserve"> </v>
      </c>
    </row>
    <row r="450" spans="1:16" x14ac:dyDescent="0.3">
      <c r="A450" s="1">
        <v>1793</v>
      </c>
      <c r="B450" s="1">
        <v>0</v>
      </c>
      <c r="C450" s="1" t="str">
        <f>IF(B450=0,VLOOKUP(A450,Feuil2!$A$2:$M$1241,2,FALSE)," ")</f>
        <v>MIMOUNA</v>
      </c>
      <c r="D450" s="1" t="str">
        <f>IF(B450=0,VLOOKUP(A450,Feuil2!$A$2:$M$1241,3,FALSE)," ")</f>
        <v>RAOUF</v>
      </c>
      <c r="E450" s="5">
        <f>IF(B450=0,VLOOKUP(A450,Feuil2!$A$2:$M$1241,6,FALSE)," ")</f>
        <v>29382</v>
      </c>
      <c r="F450" s="1" t="str">
        <f>IF(B450=0,VLOOKUP(A450,Feuil2!$A$2:$M$1241,12,FALSE)," ")</f>
        <v>H</v>
      </c>
      <c r="G450" s="1" t="str">
        <f>IF(B450=0,VLOOKUP(A450,Feuil2!$A$2:$M$1241,11,FALSE)," ")</f>
        <v>M</v>
      </c>
      <c r="H450" s="1" t="s">
        <v>16</v>
      </c>
      <c r="I450" s="6">
        <f>IF(B450=0,VLOOKUP(A450,Feuil2!$A$2:$M$1241,7,FALSE)," ")</f>
        <v>5592737</v>
      </c>
      <c r="J450" s="1" t="str">
        <f>IF(B450=0,VLOOKUP(A450,Feuil2!$A$2:$M$1241,9,FALSE)," ")</f>
        <v>02 Rue El Imam Mezri</v>
      </c>
      <c r="K450" s="1" t="str">
        <f>IF(B450=0,VLOOKUP(A450,Feuil2!$A$2:$M$1241,10,FALSE)," ")</f>
        <v>Msaken 4070</v>
      </c>
      <c r="L450" s="1">
        <v>4070</v>
      </c>
      <c r="M450" s="1">
        <v>55481130</v>
      </c>
      <c r="N450" s="1"/>
      <c r="O450" s="8" t="str">
        <f>IF(B450=0,VLOOKUP(A450,Feuil2!$A$2:$M$1241,13,FALSE)," ")</f>
        <v>12505000580103392146</v>
      </c>
    </row>
    <row r="451" spans="1:16" x14ac:dyDescent="0.3">
      <c r="A451" s="1">
        <v>1793</v>
      </c>
      <c r="B451" s="1">
        <v>1</v>
      </c>
      <c r="C451" s="1" t="s">
        <v>381</v>
      </c>
      <c r="D451" s="1" t="s">
        <v>2371</v>
      </c>
      <c r="E451" s="5">
        <v>32967</v>
      </c>
      <c r="F451" s="1" t="s">
        <v>17</v>
      </c>
      <c r="G451" s="1" t="s">
        <v>15</v>
      </c>
      <c r="H451" s="1" t="s">
        <v>16</v>
      </c>
      <c r="I451" s="6" t="str">
        <f>IF(B451=0,VLOOKUP(A451,Feuil2!$A$2:$M$1241,7,FALSE)," ")</f>
        <v xml:space="preserve"> </v>
      </c>
      <c r="J451" s="1" t="str">
        <f>IF(B451=0,VLOOKUP(A451,Feuil2!$A$2:$M$1241,9,FALSE)," ")</f>
        <v xml:space="preserve"> </v>
      </c>
      <c r="K451" s="1" t="str">
        <f>IF(B451=0,VLOOKUP(A451,Feuil2!$A$2:$M$1241,10,FALSE)," ")</f>
        <v xml:space="preserve"> </v>
      </c>
      <c r="L451" s="1"/>
      <c r="M451" s="1"/>
      <c r="N451" s="1"/>
      <c r="O451" s="8" t="str">
        <f>IF(B451=0,VLOOKUP(A451,Feuil2!$A$2:$M$1241,13,FALSE)," ")</f>
        <v xml:space="preserve"> </v>
      </c>
    </row>
    <row r="452" spans="1:16" x14ac:dyDescent="0.3">
      <c r="A452" s="1">
        <v>1793</v>
      </c>
      <c r="B452" s="1">
        <v>2</v>
      </c>
      <c r="C452" s="1" t="s">
        <v>376</v>
      </c>
      <c r="D452" s="1" t="s">
        <v>2465</v>
      </c>
      <c r="E452" s="5">
        <v>41071</v>
      </c>
      <c r="F452" s="1" t="s">
        <v>506</v>
      </c>
      <c r="G452" s="1" t="str">
        <f>IF(B452=0,VLOOKUP(A452,Feuil2!$A$2:$M$1241,11,FALSE)," ")</f>
        <v xml:space="preserve"> </v>
      </c>
      <c r="H452" s="1" t="s">
        <v>16</v>
      </c>
      <c r="I452" s="6" t="str">
        <f>IF(B452=0,VLOOKUP(A452,Feuil2!$A$2:$M$1241,7,FALSE)," ")</f>
        <v xml:space="preserve"> </v>
      </c>
      <c r="J452" s="1" t="str">
        <f>IF(B452=0,VLOOKUP(A452,Feuil2!$A$2:$M$1241,9,FALSE)," ")</f>
        <v xml:space="preserve"> </v>
      </c>
      <c r="K452" s="1" t="str">
        <f>IF(B452=0,VLOOKUP(A452,Feuil2!$A$2:$M$1241,10,FALSE)," ")</f>
        <v xml:space="preserve"> </v>
      </c>
      <c r="L452" s="1"/>
      <c r="M452" s="1"/>
      <c r="N452" s="1"/>
      <c r="O452" s="8" t="str">
        <f>IF(B452=0,VLOOKUP(A452,Feuil2!$A$2:$M$1241,13,FALSE)," ")</f>
        <v xml:space="preserve"> </v>
      </c>
    </row>
    <row r="453" spans="1:16" x14ac:dyDescent="0.3">
      <c r="A453" s="1">
        <v>1793</v>
      </c>
      <c r="B453" s="1">
        <v>3</v>
      </c>
      <c r="C453" s="1" t="s">
        <v>376</v>
      </c>
      <c r="D453" s="1" t="s">
        <v>553</v>
      </c>
      <c r="E453" s="5">
        <v>41566</v>
      </c>
      <c r="F453" s="1" t="s">
        <v>506</v>
      </c>
      <c r="G453" s="1" t="str">
        <f>IF(B453=0,VLOOKUP(A453,Feuil2!$A$2:$M$1241,11,FALSE)," ")</f>
        <v xml:space="preserve"> </v>
      </c>
      <c r="H453" s="1" t="s">
        <v>16</v>
      </c>
      <c r="I453" s="6" t="str">
        <f>IF(B453=0,VLOOKUP(A453,Feuil2!$A$2:$M$1241,7,FALSE)," ")</f>
        <v xml:space="preserve"> </v>
      </c>
      <c r="J453" s="1" t="str">
        <f>IF(B453=0,VLOOKUP(A453,Feuil2!$A$2:$M$1241,9,FALSE)," ")</f>
        <v xml:space="preserve"> </v>
      </c>
      <c r="K453" s="1" t="str">
        <f>IF(B453=0,VLOOKUP(A453,Feuil2!$A$2:$M$1241,10,FALSE)," ")</f>
        <v xml:space="preserve"> </v>
      </c>
      <c r="L453" s="1"/>
      <c r="M453" s="1"/>
      <c r="N453" s="1"/>
      <c r="O453" s="8" t="str">
        <f>IF(B453=0,VLOOKUP(A453,Feuil2!$A$2:$M$1241,13,FALSE)," ")</f>
        <v xml:space="preserve"> </v>
      </c>
    </row>
    <row r="454" spans="1:16" x14ac:dyDescent="0.3">
      <c r="A454" s="1">
        <v>1793</v>
      </c>
      <c r="B454" s="1">
        <v>4</v>
      </c>
      <c r="C454" s="1" t="s">
        <v>376</v>
      </c>
      <c r="D454" s="1" t="s">
        <v>2383</v>
      </c>
      <c r="E454" s="5">
        <v>42247</v>
      </c>
      <c r="F454" s="1" t="s">
        <v>17</v>
      </c>
      <c r="G454" s="1" t="str">
        <f>IF(B454=0,VLOOKUP(A454,Feuil2!$A$2:$M$1241,11,FALSE)," ")</f>
        <v xml:space="preserve"> </v>
      </c>
      <c r="H454" s="1" t="s">
        <v>16</v>
      </c>
      <c r="I454" s="6" t="str">
        <f>IF(B454=0,VLOOKUP(A454,Feuil2!$A$2:$M$1241,7,FALSE)," ")</f>
        <v xml:space="preserve"> </v>
      </c>
      <c r="J454" s="1" t="str">
        <f>IF(B454=0,VLOOKUP(A454,Feuil2!$A$2:$M$1241,9,FALSE)," ")</f>
        <v xml:space="preserve"> </v>
      </c>
      <c r="K454" s="1" t="str">
        <f>IF(B454=0,VLOOKUP(A454,Feuil2!$A$2:$M$1241,10,FALSE)," ")</f>
        <v xml:space="preserve"> </v>
      </c>
      <c r="L454" s="1"/>
      <c r="M454" s="1"/>
      <c r="N454" s="1"/>
      <c r="O454" s="8" t="str">
        <f>IF(B454=0,VLOOKUP(A454,Feuil2!$A$2:$M$1241,13,FALSE)," ")</f>
        <v xml:space="preserve"> </v>
      </c>
    </row>
    <row r="455" spans="1:16" x14ac:dyDescent="0.3">
      <c r="A455" s="1">
        <v>1796</v>
      </c>
      <c r="B455" s="1">
        <v>0</v>
      </c>
      <c r="C455" s="1" t="str">
        <f>IF(B455=0,VLOOKUP(A455,Feuil2!$A$2:$M$1241,2,FALSE)," ")</f>
        <v>BEL HADJ HASSINE</v>
      </c>
      <c r="D455" s="1" t="str">
        <f>IF(B455=0,VLOOKUP(A455,Feuil2!$A$2:$M$1241,3,FALSE)," ")</f>
        <v>IMED</v>
      </c>
      <c r="E455" s="5">
        <f>IF(B455=0,VLOOKUP(A455,Feuil2!$A$2:$M$1241,6,FALSE)," ")</f>
        <v>27670</v>
      </c>
      <c r="F455" s="1" t="str">
        <f>IF(B455=0,VLOOKUP(A455,Feuil2!$A$2:$M$1241,12,FALSE)," ")</f>
        <v>H</v>
      </c>
      <c r="G455" s="1" t="str">
        <f>IF(B455=0,VLOOKUP(A455,Feuil2!$A$2:$M$1241,11,FALSE)," ")</f>
        <v>M</v>
      </c>
      <c r="H455" s="1" t="s">
        <v>16</v>
      </c>
      <c r="I455" s="6">
        <f>IF(B455=0,VLOOKUP(A455,Feuil2!$A$2:$M$1241,7,FALSE)," ")</f>
        <v>5572753</v>
      </c>
      <c r="J455" s="1" t="str">
        <f>IF(B455=0,VLOOKUP(A455,Feuil2!$A$2:$M$1241,9,FALSE)," ")</f>
        <v>NULL</v>
      </c>
      <c r="K455" s="1" t="str">
        <f>IF(B455=0,VLOOKUP(A455,Feuil2!$A$2:$M$1241,10,FALSE)," ")</f>
        <v>Sidi El HÃ©ni 4025</v>
      </c>
      <c r="L455" s="1"/>
      <c r="M455" s="1">
        <v>98960861</v>
      </c>
      <c r="N455" s="1"/>
      <c r="O455" s="8" t="str">
        <f>IF(B455=0,VLOOKUP(A455,Feuil2!$A$2:$M$1241,13,FALSE)," ")</f>
        <v>17503000000203383688</v>
      </c>
    </row>
    <row r="456" spans="1:16" x14ac:dyDescent="0.3">
      <c r="A456" s="1">
        <v>1796</v>
      </c>
      <c r="B456" s="1">
        <v>1</v>
      </c>
      <c r="C456" s="1" t="s">
        <v>2568</v>
      </c>
      <c r="D456" s="1" t="s">
        <v>1286</v>
      </c>
      <c r="E456" s="5">
        <v>30694</v>
      </c>
      <c r="F456" s="1" t="s">
        <v>17</v>
      </c>
      <c r="G456" s="1" t="s">
        <v>15</v>
      </c>
      <c r="H456" s="1" t="s">
        <v>16</v>
      </c>
      <c r="I456" s="6" t="str">
        <f>IF(B456=0,VLOOKUP(A456,Feuil2!$A$2:$M$1241,7,FALSE)," ")</f>
        <v xml:space="preserve"> </v>
      </c>
      <c r="J456" s="1" t="str">
        <f>IF(B456=0,VLOOKUP(A456,Feuil2!$A$2:$M$1241,9,FALSE)," ")</f>
        <v xml:space="preserve"> </v>
      </c>
      <c r="K456" s="1" t="str">
        <f>IF(B456=0,VLOOKUP(A456,Feuil2!$A$2:$M$1241,10,FALSE)," ")</f>
        <v xml:space="preserve"> </v>
      </c>
      <c r="L456" s="1"/>
      <c r="M456" s="1"/>
      <c r="N456" s="1"/>
      <c r="O456" s="8" t="str">
        <f>IF(B456=0,VLOOKUP(A456,Feuil2!$A$2:$M$1241,13,FALSE)," ")</f>
        <v xml:space="preserve"> </v>
      </c>
    </row>
    <row r="457" spans="1:16" x14ac:dyDescent="0.3">
      <c r="A457" s="1">
        <v>1796</v>
      </c>
      <c r="B457" s="1">
        <v>2</v>
      </c>
      <c r="C457" s="1" t="s">
        <v>1706</v>
      </c>
      <c r="D457" s="1" t="s">
        <v>2569</v>
      </c>
      <c r="E457" s="5">
        <v>40383</v>
      </c>
      <c r="F457" s="1" t="s">
        <v>17</v>
      </c>
      <c r="G457" s="1" t="str">
        <f>IF(B457=0,VLOOKUP(A457,Feuil2!$A$2:$M$1241,11,FALSE)," ")</f>
        <v xml:space="preserve"> </v>
      </c>
      <c r="H457" s="1" t="s">
        <v>16</v>
      </c>
      <c r="I457" s="6" t="str">
        <f>IF(B457=0,VLOOKUP(A457,Feuil2!$A$2:$M$1241,7,FALSE)," ")</f>
        <v xml:space="preserve"> </v>
      </c>
      <c r="J457" s="1" t="str">
        <f>IF(B457=0,VLOOKUP(A457,Feuil2!$A$2:$M$1241,9,FALSE)," ")</f>
        <v xml:space="preserve"> </v>
      </c>
      <c r="K457" s="1" t="str">
        <f>IF(B457=0,VLOOKUP(A457,Feuil2!$A$2:$M$1241,10,FALSE)," ")</f>
        <v xml:space="preserve"> </v>
      </c>
      <c r="L457" s="1"/>
      <c r="M457" s="1"/>
      <c r="N457" s="1"/>
      <c r="O457" s="8" t="str">
        <f>IF(B457=0,VLOOKUP(A457,Feuil2!$A$2:$M$1241,13,FALSE)," ")</f>
        <v xml:space="preserve"> </v>
      </c>
    </row>
    <row r="458" spans="1:16" x14ac:dyDescent="0.3">
      <c r="A458" s="1">
        <v>1796</v>
      </c>
      <c r="B458" s="1">
        <v>3</v>
      </c>
      <c r="C458" s="1" t="s">
        <v>1706</v>
      </c>
      <c r="D458" s="1" t="s">
        <v>2389</v>
      </c>
      <c r="E458" s="5">
        <v>41187</v>
      </c>
      <c r="F458" s="1" t="s">
        <v>17</v>
      </c>
      <c r="G458" s="1" t="str">
        <f>IF(B458=0,VLOOKUP(A458,Feuil2!$A$2:$M$1241,11,FALSE)," ")</f>
        <v xml:space="preserve"> </v>
      </c>
      <c r="H458" s="1" t="s">
        <v>16</v>
      </c>
      <c r="I458" s="6" t="str">
        <f>IF(B458=0,VLOOKUP(A458,Feuil2!$A$2:$M$1241,7,FALSE)," ")</f>
        <v xml:space="preserve"> </v>
      </c>
      <c r="J458" s="1" t="str">
        <f>IF(B458=0,VLOOKUP(A458,Feuil2!$A$2:$M$1241,9,FALSE)," ")</f>
        <v xml:space="preserve"> </v>
      </c>
      <c r="K458" s="1" t="str">
        <f>IF(B458=0,VLOOKUP(A458,Feuil2!$A$2:$M$1241,10,FALSE)," ")</f>
        <v xml:space="preserve"> </v>
      </c>
      <c r="L458" s="1"/>
      <c r="M458" s="1"/>
      <c r="N458" s="1"/>
      <c r="O458" s="8" t="str">
        <f>IF(B458=0,VLOOKUP(A458,Feuil2!$A$2:$M$1241,13,FALSE)," ")</f>
        <v xml:space="preserve"> </v>
      </c>
    </row>
    <row r="459" spans="1:16" x14ac:dyDescent="0.3">
      <c r="A459" s="1">
        <v>1796</v>
      </c>
      <c r="B459" s="1">
        <v>4</v>
      </c>
      <c r="C459" s="1" t="s">
        <v>1706</v>
      </c>
      <c r="D459" s="1" t="s">
        <v>2337</v>
      </c>
      <c r="E459" s="5">
        <v>42270</v>
      </c>
      <c r="F459" s="1" t="s">
        <v>17</v>
      </c>
      <c r="G459" s="1" t="str">
        <f>IF(B459=0,VLOOKUP(A459,Feuil2!$A$2:$M$1241,11,FALSE)," ")</f>
        <v xml:space="preserve"> </v>
      </c>
      <c r="H459" s="1" t="s">
        <v>16</v>
      </c>
      <c r="I459" s="6" t="str">
        <f>IF(B459=0,VLOOKUP(A459,Feuil2!$A$2:$M$1241,7,FALSE)," ")</f>
        <v xml:space="preserve"> </v>
      </c>
      <c r="J459" s="1" t="str">
        <f>IF(B459=0,VLOOKUP(A459,Feuil2!$A$2:$M$1241,9,FALSE)," ")</f>
        <v xml:space="preserve"> </v>
      </c>
      <c r="K459" s="1" t="str">
        <f>IF(B459=0,VLOOKUP(A459,Feuil2!$A$2:$M$1241,10,FALSE)," ")</f>
        <v xml:space="preserve"> </v>
      </c>
      <c r="L459" s="1"/>
      <c r="M459" s="1"/>
      <c r="N459" s="1"/>
      <c r="O459" s="8" t="str">
        <f>IF(B459=0,VLOOKUP(A459,Feuil2!$A$2:$M$1241,13,FALSE)," ")</f>
        <v xml:space="preserve"> </v>
      </c>
    </row>
    <row r="460" spans="1:16" x14ac:dyDescent="0.3">
      <c r="A460" s="1">
        <v>1796</v>
      </c>
      <c r="B460" s="1">
        <v>5</v>
      </c>
      <c r="C460" s="1" t="s">
        <v>1706</v>
      </c>
      <c r="D460" s="1" t="s">
        <v>2797</v>
      </c>
      <c r="E460" s="5">
        <v>44114</v>
      </c>
      <c r="F460" s="1" t="s">
        <v>506</v>
      </c>
      <c r="G460" s="1"/>
      <c r="H460" s="1"/>
      <c r="I460" s="6"/>
      <c r="J460" s="1"/>
      <c r="K460" s="1"/>
      <c r="L460" s="1"/>
      <c r="M460" s="1"/>
      <c r="N460" s="1"/>
      <c r="O460" s="8"/>
    </row>
    <row r="461" spans="1:16" x14ac:dyDescent="0.3">
      <c r="A461" s="1">
        <v>1797</v>
      </c>
      <c r="B461" s="1">
        <v>0</v>
      </c>
      <c r="C461" s="1" t="str">
        <f>IF(B461=0,VLOOKUP(A461,Feuil2!$A$2:$M$1241,2,FALSE)," ")</f>
        <v>ABBADI</v>
      </c>
      <c r="D461" s="1" t="str">
        <f>IF(B461=0,VLOOKUP(A461,Feuil2!$A$2:$M$1241,3,FALSE)," ")</f>
        <v>MOHAMED</v>
      </c>
      <c r="E461" s="5">
        <f>IF(B461=0,VLOOKUP(A461,Feuil2!$A$2:$M$1241,6,FALSE)," ")</f>
        <v>29161</v>
      </c>
      <c r="F461" s="1" t="str">
        <f>IF(B461=0,VLOOKUP(A461,Feuil2!$A$2:$M$1241,12,FALSE)," ")</f>
        <v>H</v>
      </c>
      <c r="G461" s="1" t="str">
        <f>IF(B461=0,VLOOKUP(A461,Feuil2!$A$2:$M$1241,11,FALSE)," ")</f>
        <v>M</v>
      </c>
      <c r="H461" s="1" t="s">
        <v>16</v>
      </c>
      <c r="I461" s="6">
        <f>IF(B461=0,VLOOKUP(A461,Feuil2!$A$2:$M$1241,7,FALSE)," ")</f>
        <v>8446243</v>
      </c>
      <c r="J461" s="1" t="str">
        <f>IF(B461=0,VLOOKUP(A461,Feuil2!$A$2:$M$1241,9,FALSE)," ")</f>
        <v>Route de kairouan</v>
      </c>
      <c r="K461" s="1" t="str">
        <f>IF(B461=0,VLOOKUP(A461,Feuil2!$A$2:$M$1241,10,FALSE)," ")</f>
        <v>Msaken 4070</v>
      </c>
      <c r="L461" s="1">
        <v>4070</v>
      </c>
      <c r="M461" s="1">
        <v>27772134</v>
      </c>
      <c r="N461" s="1"/>
      <c r="O461" s="8" t="str">
        <f>IF(B461=0,VLOOKUP(A461,Feuil2!$A$2:$M$1241,13,FALSE)," ")</f>
        <v>10506040206524978866</v>
      </c>
    </row>
    <row r="462" spans="1:16" x14ac:dyDescent="0.3">
      <c r="A462" s="1">
        <v>1797</v>
      </c>
      <c r="B462" s="1">
        <v>1</v>
      </c>
      <c r="C462" s="1" t="s">
        <v>2968</v>
      </c>
      <c r="D462" s="1" t="s">
        <v>404</v>
      </c>
      <c r="E462" s="5"/>
      <c r="F462" s="1" t="s">
        <v>17</v>
      </c>
      <c r="G462" s="1" t="s">
        <v>15</v>
      </c>
      <c r="H462" s="1" t="s">
        <v>16</v>
      </c>
      <c r="I462" s="6" t="str">
        <f>IF(B462=0,VLOOKUP(A462,Feuil2!$A$2:$M$1241,7,FALSE)," ")</f>
        <v xml:space="preserve"> </v>
      </c>
      <c r="J462" s="1" t="str">
        <f>IF(B462=0,VLOOKUP(A462,Feuil2!$A$2:$M$1241,9,FALSE)," ")</f>
        <v xml:space="preserve"> </v>
      </c>
      <c r="K462" s="1" t="str">
        <f>IF(B462=0,VLOOKUP(A462,Feuil2!$A$2:$M$1241,10,FALSE)," ")</f>
        <v xml:space="preserve"> </v>
      </c>
      <c r="L462" s="1"/>
      <c r="M462" s="1"/>
      <c r="N462" s="1"/>
      <c r="O462" s="8" t="str">
        <f>IF(B462=0,VLOOKUP(A462,Feuil2!$A$2:$M$1241,13,FALSE)," ")</f>
        <v xml:space="preserve"> </v>
      </c>
      <c r="P462" t="s">
        <v>2805</v>
      </c>
    </row>
    <row r="463" spans="1:16" x14ac:dyDescent="0.3">
      <c r="A463" s="1">
        <v>1797</v>
      </c>
      <c r="B463" s="1">
        <v>2</v>
      </c>
      <c r="C463" s="1" t="s">
        <v>350</v>
      </c>
      <c r="D463" s="1" t="s">
        <v>2345</v>
      </c>
      <c r="E463" s="5">
        <v>40553</v>
      </c>
      <c r="F463" s="1" t="s">
        <v>17</v>
      </c>
      <c r="G463" s="1" t="str">
        <f>IF(B463=0,VLOOKUP(A463,Feuil2!$A$2:$M$1241,11,FALSE)," ")</f>
        <v xml:space="preserve"> </v>
      </c>
      <c r="H463" s="1" t="s">
        <v>16</v>
      </c>
      <c r="I463" s="6" t="str">
        <f>IF(B463=0,VLOOKUP(A463,Feuil2!$A$2:$M$1241,7,FALSE)," ")</f>
        <v xml:space="preserve"> </v>
      </c>
      <c r="J463" s="1" t="str">
        <f>IF(B463=0,VLOOKUP(A463,Feuil2!$A$2:$M$1241,9,FALSE)," ")</f>
        <v xml:space="preserve"> </v>
      </c>
      <c r="K463" s="1" t="str">
        <f>IF(B463=0,VLOOKUP(A463,Feuil2!$A$2:$M$1241,10,FALSE)," ")</f>
        <v xml:space="preserve"> </v>
      </c>
      <c r="L463" s="1"/>
      <c r="M463" s="1"/>
      <c r="N463" s="1"/>
      <c r="O463" s="8" t="str">
        <f>IF(B463=0,VLOOKUP(A463,Feuil2!$A$2:$M$1241,13,FALSE)," ")</f>
        <v xml:space="preserve"> </v>
      </c>
    </row>
    <row r="464" spans="1:16" x14ac:dyDescent="0.3">
      <c r="A464" s="1">
        <v>1801</v>
      </c>
      <c r="B464" s="1">
        <v>0</v>
      </c>
      <c r="C464" s="1" t="str">
        <f>IF(B464=0,VLOOKUP(A464,Feuil2!$A$2:$M$1241,2,FALSE)," ")</f>
        <v>MAHJOUB</v>
      </c>
      <c r="D464" s="1" t="str">
        <f>IF(B464=0,VLOOKUP(A464,Feuil2!$A$2:$M$1241,3,FALSE)," ")</f>
        <v>MOHAMED</v>
      </c>
      <c r="E464" s="5">
        <f>IF(B464=0,VLOOKUP(A464,Feuil2!$A$2:$M$1241,6,FALSE)," ")</f>
        <v>26880</v>
      </c>
      <c r="F464" s="1" t="str">
        <f>IF(B464=0,VLOOKUP(A464,Feuil2!$A$2:$M$1241,12,FALSE)," ")</f>
        <v>H</v>
      </c>
      <c r="G464" s="1" t="str">
        <f>IF(B464=0,VLOOKUP(A464,Feuil2!$A$2:$M$1241,11,FALSE)," ")</f>
        <v>M</v>
      </c>
      <c r="H464" s="1" t="s">
        <v>16</v>
      </c>
      <c r="I464" s="6">
        <f>IF(B464=0,VLOOKUP(A464,Feuil2!$A$2:$M$1241,7,FALSE)," ")</f>
        <v>5516034</v>
      </c>
      <c r="J464" s="1" t="str">
        <f>IF(B464=0,VLOOKUP(A464,Feuil2!$A$2:$M$1241,9,FALSE)," ")</f>
        <v>Route de Knaies</v>
      </c>
      <c r="K464" s="1" t="str">
        <f>IF(B464=0,VLOOKUP(A464,Feuil2!$A$2:$M$1241,10,FALSE)," ")</f>
        <v>Msaken 4070</v>
      </c>
      <c r="L464" s="1">
        <v>4070</v>
      </c>
      <c r="M464" s="1">
        <v>92151805</v>
      </c>
      <c r="N464" s="1"/>
      <c r="O464" s="8" t="str">
        <f>IF(B464=0,VLOOKUP(A464,Feuil2!$A$2:$M$1241,13,FALSE)," ")</f>
        <v>12505000580102617892</v>
      </c>
    </row>
    <row r="465" spans="1:19" x14ac:dyDescent="0.3">
      <c r="A465" s="1">
        <v>1801</v>
      </c>
      <c r="B465" s="1">
        <v>1</v>
      </c>
      <c r="C465" s="1" t="s">
        <v>19</v>
      </c>
      <c r="D465" s="1" t="s">
        <v>2582</v>
      </c>
      <c r="E465" s="5">
        <v>28745</v>
      </c>
      <c r="F465" s="1" t="s">
        <v>17</v>
      </c>
      <c r="G465" s="1" t="s">
        <v>15</v>
      </c>
      <c r="H465" s="1" t="s">
        <v>16</v>
      </c>
      <c r="I465" s="6" t="str">
        <f>IF(B465=0,VLOOKUP(A465,Feuil2!$A$2:$M$1241,7,FALSE)," ")</f>
        <v xml:space="preserve"> </v>
      </c>
      <c r="J465" s="1" t="str">
        <f>IF(B465=0,VLOOKUP(A465,Feuil2!$A$2:$M$1241,9,FALSE)," ")</f>
        <v xml:space="preserve"> </v>
      </c>
      <c r="K465" s="1" t="str">
        <f>IF(B465=0,VLOOKUP(A465,Feuil2!$A$2:$M$1241,10,FALSE)," ")</f>
        <v xml:space="preserve"> </v>
      </c>
      <c r="L465" s="1"/>
      <c r="M465" s="1"/>
      <c r="N465" s="1"/>
      <c r="O465" s="8" t="str">
        <f>IF(B465=0,VLOOKUP(A465,Feuil2!$A$2:$M$1241,13,FALSE)," ")</f>
        <v xml:space="preserve"> </v>
      </c>
    </row>
    <row r="466" spans="1:19" x14ac:dyDescent="0.3">
      <c r="A466" s="1">
        <v>1801</v>
      </c>
      <c r="B466" s="1">
        <v>2</v>
      </c>
      <c r="C466" s="1" t="s">
        <v>19</v>
      </c>
      <c r="D466" s="1" t="s">
        <v>2451</v>
      </c>
      <c r="E466" s="5">
        <v>36987</v>
      </c>
      <c r="F466" s="1" t="s">
        <v>17</v>
      </c>
      <c r="G466" s="1" t="str">
        <f>IF(B466=0,VLOOKUP(A466,Feuil2!$A$2:$M$1241,11,FALSE)," ")</f>
        <v xml:space="preserve"> </v>
      </c>
      <c r="H466" s="1" t="s">
        <v>16</v>
      </c>
      <c r="I466" s="6" t="str">
        <f>IF(B466=0,VLOOKUP(A466,Feuil2!$A$2:$M$1241,7,FALSE)," ")</f>
        <v xml:space="preserve"> </v>
      </c>
      <c r="J466" s="1" t="str">
        <f>IF(B466=0,VLOOKUP(A466,Feuil2!$A$2:$M$1241,9,FALSE)," ")</f>
        <v xml:space="preserve"> </v>
      </c>
      <c r="K466" s="1" t="str">
        <f>IF(B466=0,VLOOKUP(A466,Feuil2!$A$2:$M$1241,10,FALSE)," ")</f>
        <v xml:space="preserve"> </v>
      </c>
      <c r="L466" s="1"/>
      <c r="M466" s="1"/>
      <c r="N466" s="1"/>
      <c r="O466" s="8" t="str">
        <f>IF(B466=0,VLOOKUP(A466,Feuil2!$A$2:$M$1241,13,FALSE)," ")</f>
        <v xml:space="preserve"> </v>
      </c>
    </row>
    <row r="467" spans="1:19" x14ac:dyDescent="0.3">
      <c r="A467" s="1">
        <v>1801</v>
      </c>
      <c r="B467" s="1">
        <v>3</v>
      </c>
      <c r="C467" s="1" t="s">
        <v>19</v>
      </c>
      <c r="D467" s="1" t="s">
        <v>2532</v>
      </c>
      <c r="E467" s="5">
        <v>37574</v>
      </c>
      <c r="F467" s="1" t="s">
        <v>506</v>
      </c>
      <c r="G467" s="1" t="str">
        <f>IF(B467=0,VLOOKUP(A467,Feuil2!$A$2:$M$1241,11,FALSE)," ")</f>
        <v xml:space="preserve"> </v>
      </c>
      <c r="H467" s="1" t="s">
        <v>16</v>
      </c>
      <c r="I467" s="6" t="str">
        <f>IF(B467=0,VLOOKUP(A467,Feuil2!$A$2:$M$1241,7,FALSE)," ")</f>
        <v xml:space="preserve"> </v>
      </c>
      <c r="J467" s="1" t="str">
        <f>IF(B467=0,VLOOKUP(A467,Feuil2!$A$2:$M$1241,9,FALSE)," ")</f>
        <v xml:space="preserve"> </v>
      </c>
      <c r="K467" s="1" t="str">
        <f>IF(B467=0,VLOOKUP(A467,Feuil2!$A$2:$M$1241,10,FALSE)," ")</f>
        <v xml:space="preserve"> </v>
      </c>
      <c r="L467" s="1"/>
      <c r="M467" s="1"/>
      <c r="N467" s="1"/>
      <c r="O467" s="8" t="str">
        <f>IF(B467=0,VLOOKUP(A467,Feuil2!$A$2:$M$1241,13,FALSE)," ")</f>
        <v xml:space="preserve"> </v>
      </c>
      <c r="P467" t="s">
        <v>2805</v>
      </c>
      <c r="R467" s="22"/>
      <c r="S467" s="22"/>
    </row>
    <row r="468" spans="1:19" x14ac:dyDescent="0.3">
      <c r="A468" s="1">
        <v>1801</v>
      </c>
      <c r="B468" s="1">
        <v>4</v>
      </c>
      <c r="C468" s="1" t="s">
        <v>19</v>
      </c>
      <c r="D468" s="1" t="s">
        <v>2338</v>
      </c>
      <c r="E468" s="5">
        <v>39086</v>
      </c>
      <c r="F468" s="1" t="s">
        <v>17</v>
      </c>
      <c r="G468" s="1" t="str">
        <f>IF(B468=0,VLOOKUP(A468,Feuil2!$A$2:$M$1241,11,FALSE)," ")</f>
        <v xml:space="preserve"> </v>
      </c>
      <c r="H468" s="1" t="s">
        <v>16</v>
      </c>
      <c r="I468" s="6" t="str">
        <f>IF(B468=0,VLOOKUP(A468,Feuil2!$A$2:$M$1241,7,FALSE)," ")</f>
        <v xml:space="preserve"> </v>
      </c>
      <c r="J468" s="1" t="str">
        <f>IF(B468=0,VLOOKUP(A468,Feuil2!$A$2:$M$1241,9,FALSE)," ")</f>
        <v xml:space="preserve"> </v>
      </c>
      <c r="K468" s="1" t="str">
        <f>IF(B468=0,VLOOKUP(A468,Feuil2!$A$2:$M$1241,10,FALSE)," ")</f>
        <v xml:space="preserve"> </v>
      </c>
      <c r="L468" s="1"/>
      <c r="M468" s="1"/>
      <c r="N468" s="1"/>
      <c r="O468" s="8" t="str">
        <f>IF(B468=0,VLOOKUP(A468,Feuil2!$A$2:$M$1241,13,FALSE)," ")</f>
        <v xml:space="preserve"> </v>
      </c>
    </row>
    <row r="469" spans="1:19" x14ac:dyDescent="0.3">
      <c r="A469" s="1">
        <v>1801</v>
      </c>
      <c r="B469" s="1">
        <v>5</v>
      </c>
      <c r="C469" s="1" t="s">
        <v>19</v>
      </c>
      <c r="D469" s="1" t="s">
        <v>2533</v>
      </c>
      <c r="E469" s="5">
        <v>42927</v>
      </c>
      <c r="F469" s="1" t="s">
        <v>506</v>
      </c>
      <c r="G469" s="1" t="str">
        <f>IF(B469=0,VLOOKUP(A469,Feuil2!$A$2:$M$1241,11,FALSE)," ")</f>
        <v xml:space="preserve"> </v>
      </c>
      <c r="H469" s="1" t="s">
        <v>16</v>
      </c>
      <c r="I469" s="6" t="str">
        <f>IF(B469=0,VLOOKUP(A469,Feuil2!$A$2:$M$1241,7,FALSE)," ")</f>
        <v xml:space="preserve"> </v>
      </c>
      <c r="J469" s="1" t="str">
        <f>IF(B469=0,VLOOKUP(A469,Feuil2!$A$2:$M$1241,9,FALSE)," ")</f>
        <v xml:space="preserve"> </v>
      </c>
      <c r="K469" s="1" t="str">
        <f>IF(B469=0,VLOOKUP(A469,Feuil2!$A$2:$M$1241,10,FALSE)," ")</f>
        <v xml:space="preserve"> </v>
      </c>
      <c r="L469" s="1"/>
      <c r="M469" s="1"/>
      <c r="N469" s="1"/>
      <c r="O469" s="8" t="str">
        <f>IF(B469=0,VLOOKUP(A469,Feuil2!$A$2:$M$1241,13,FALSE)," ")</f>
        <v xml:space="preserve"> </v>
      </c>
    </row>
    <row r="470" spans="1:19" x14ac:dyDescent="0.3">
      <c r="A470" s="1">
        <v>1809</v>
      </c>
      <c r="B470" s="1">
        <v>0</v>
      </c>
      <c r="C470" s="1" t="str">
        <f>IF(B470=0,VLOOKUP(A470,Feuil2!$A$2:$M$1241,2,FALSE)," ")</f>
        <v>JUILI</v>
      </c>
      <c r="D470" s="1" t="str">
        <f>IF(B470=0,VLOOKUP(A470,Feuil2!$A$2:$M$1241,3,FALSE)," ")</f>
        <v>AFIF</v>
      </c>
      <c r="E470" s="5">
        <f>IF(B470=0,VLOOKUP(A470,Feuil2!$A$2:$M$1241,6,FALSE)," ")</f>
        <v>25441</v>
      </c>
      <c r="F470" s="1" t="str">
        <f>IF(B470=0,VLOOKUP(A470,Feuil2!$A$2:$M$1241,12,FALSE)," ")</f>
        <v>H</v>
      </c>
      <c r="G470" s="1" t="str">
        <f>IF(B470=0,VLOOKUP(A470,Feuil2!$A$2:$M$1241,11,FALSE)," ")</f>
        <v>M</v>
      </c>
      <c r="H470" s="1" t="s">
        <v>16</v>
      </c>
      <c r="I470" s="6">
        <f>IF(B470=0,VLOOKUP(A470,Feuil2!$A$2:$M$1241,7,FALSE)," ")</f>
        <v>4178138</v>
      </c>
      <c r="J470" s="1" t="str">
        <f>IF(B470=0,VLOOKUP(A470,Feuil2!$A$2:$M$1241,9,FALSE)," ")</f>
        <v>1, Rue de la libertÃ©</v>
      </c>
      <c r="K470" s="1" t="str">
        <f>IF(B470=0,VLOOKUP(A470,Feuil2!$A$2:$M$1241,10,FALSE)," ")</f>
        <v>Ksour Essef</v>
      </c>
      <c r="L470" s="1"/>
      <c r="M470" s="1">
        <v>98793642</v>
      </c>
      <c r="N470" s="1"/>
      <c r="O470" s="8" t="str">
        <f>IF(B470=0,VLOOKUP(A470,Feuil2!$A$2:$M$1241,13,FALSE)," ")</f>
        <v>04204067404001607537</v>
      </c>
    </row>
    <row r="471" spans="1:19" x14ac:dyDescent="0.3">
      <c r="A471" s="1">
        <v>1809</v>
      </c>
      <c r="B471" s="1">
        <v>1</v>
      </c>
      <c r="C471" s="1" t="s">
        <v>2545</v>
      </c>
      <c r="D471" s="1" t="s">
        <v>1787</v>
      </c>
      <c r="E471" s="5">
        <v>28345</v>
      </c>
      <c r="F471" s="1" t="s">
        <v>17</v>
      </c>
      <c r="G471" s="1" t="s">
        <v>15</v>
      </c>
      <c r="H471" s="1" t="s">
        <v>16</v>
      </c>
      <c r="I471" s="6" t="str">
        <f>IF(B471=0,VLOOKUP(A471,Feuil2!$A$2:$M$1241,7,FALSE)," ")</f>
        <v xml:space="preserve"> </v>
      </c>
      <c r="J471" s="1" t="str">
        <f>IF(B471=0,VLOOKUP(A471,Feuil2!$A$2:$M$1241,9,FALSE)," ")</f>
        <v xml:space="preserve"> </v>
      </c>
      <c r="K471" s="1" t="str">
        <f>IF(B471=0,VLOOKUP(A471,Feuil2!$A$2:$M$1241,10,FALSE)," ")</f>
        <v xml:space="preserve"> </v>
      </c>
      <c r="L471" s="1"/>
      <c r="M471" s="1"/>
      <c r="N471" s="1"/>
      <c r="O471" s="8" t="str">
        <f>IF(B471=0,VLOOKUP(A471,Feuil2!$A$2:$M$1241,13,FALSE)," ")</f>
        <v xml:space="preserve"> </v>
      </c>
    </row>
    <row r="472" spans="1:19" x14ac:dyDescent="0.3">
      <c r="A472" s="1">
        <v>1809</v>
      </c>
      <c r="B472" s="1">
        <v>2</v>
      </c>
      <c r="C472" s="1" t="s">
        <v>460</v>
      </c>
      <c r="D472" s="1" t="s">
        <v>2546</v>
      </c>
      <c r="E472" s="5">
        <v>38026</v>
      </c>
      <c r="F472" s="1" t="s">
        <v>17</v>
      </c>
      <c r="G472" s="1" t="str">
        <f>IF(B472=0,VLOOKUP(A472,Feuil2!$A$2:$M$1241,11,FALSE)," ")</f>
        <v xml:space="preserve"> </v>
      </c>
      <c r="H472" s="1" t="s">
        <v>16</v>
      </c>
      <c r="I472" s="6" t="str">
        <f>IF(B472=0,VLOOKUP(A472,Feuil2!$A$2:$M$1241,7,FALSE)," ")</f>
        <v xml:space="preserve"> </v>
      </c>
      <c r="J472" s="1" t="str">
        <f>IF(B472=0,VLOOKUP(A472,Feuil2!$A$2:$M$1241,9,FALSE)," ")</f>
        <v xml:space="preserve"> </v>
      </c>
      <c r="K472" s="1" t="str">
        <f>IF(B472=0,VLOOKUP(A472,Feuil2!$A$2:$M$1241,10,FALSE)," ")</f>
        <v xml:space="preserve"> </v>
      </c>
      <c r="L472" s="1"/>
      <c r="M472" s="1"/>
      <c r="N472" s="1"/>
      <c r="O472" s="8" t="str">
        <f>IF(B472=0,VLOOKUP(A472,Feuil2!$A$2:$M$1241,13,FALSE)," ")</f>
        <v xml:space="preserve"> </v>
      </c>
    </row>
    <row r="473" spans="1:19" x14ac:dyDescent="0.3">
      <c r="A473" s="1">
        <v>1809</v>
      </c>
      <c r="B473" s="1">
        <v>3</v>
      </c>
      <c r="C473" s="1" t="s">
        <v>460</v>
      </c>
      <c r="D473" s="1" t="s">
        <v>149</v>
      </c>
      <c r="E473" s="5">
        <v>38564</v>
      </c>
      <c r="F473" s="1" t="s">
        <v>506</v>
      </c>
      <c r="G473" s="1" t="str">
        <f>IF(B473=0,VLOOKUP(A473,Feuil2!$A$2:$M$1241,11,FALSE)," ")</f>
        <v xml:space="preserve"> </v>
      </c>
      <c r="H473" s="1" t="s">
        <v>16</v>
      </c>
      <c r="I473" s="6" t="str">
        <f>IF(B473=0,VLOOKUP(A473,Feuil2!$A$2:$M$1241,7,FALSE)," ")</f>
        <v xml:space="preserve"> </v>
      </c>
      <c r="J473" s="1" t="str">
        <f>IF(B473=0,VLOOKUP(A473,Feuil2!$A$2:$M$1241,9,FALSE)," ")</f>
        <v xml:space="preserve"> </v>
      </c>
      <c r="K473" s="1" t="str">
        <f>IF(B473=0,VLOOKUP(A473,Feuil2!$A$2:$M$1241,10,FALSE)," ")</f>
        <v xml:space="preserve"> </v>
      </c>
      <c r="L473" s="1"/>
      <c r="M473" s="1"/>
      <c r="N473" s="1"/>
      <c r="O473" s="8" t="str">
        <f>IF(B473=0,VLOOKUP(A473,Feuil2!$A$2:$M$1241,13,FALSE)," ")</f>
        <v xml:space="preserve"> </v>
      </c>
    </row>
    <row r="474" spans="1:19" x14ac:dyDescent="0.3">
      <c r="A474" s="1">
        <v>1809</v>
      </c>
      <c r="B474" s="1">
        <v>4</v>
      </c>
      <c r="C474" s="1" t="s">
        <v>460</v>
      </c>
      <c r="D474" s="1" t="s">
        <v>61</v>
      </c>
      <c r="E474" s="5">
        <v>40170</v>
      </c>
      <c r="F474" s="1" t="s">
        <v>506</v>
      </c>
      <c r="G474" s="1" t="str">
        <f>IF(B474=0,VLOOKUP(A474,Feuil2!$A$2:$M$1241,11,FALSE)," ")</f>
        <v xml:space="preserve"> </v>
      </c>
      <c r="H474" s="1" t="s">
        <v>16</v>
      </c>
      <c r="I474" s="6" t="str">
        <f>IF(B474=0,VLOOKUP(A474,Feuil2!$A$2:$M$1241,7,FALSE)," ")</f>
        <v xml:space="preserve"> </v>
      </c>
      <c r="J474" s="1" t="str">
        <f>IF(B474=0,VLOOKUP(A474,Feuil2!$A$2:$M$1241,9,FALSE)," ")</f>
        <v xml:space="preserve"> </v>
      </c>
      <c r="K474" s="1" t="str">
        <f>IF(B474=0,VLOOKUP(A474,Feuil2!$A$2:$M$1241,10,FALSE)," ")</f>
        <v xml:space="preserve"> </v>
      </c>
      <c r="L474" s="1"/>
      <c r="M474" s="1"/>
      <c r="N474" s="1"/>
      <c r="O474" s="8" t="str">
        <f>IF(B474=0,VLOOKUP(A474,Feuil2!$A$2:$M$1241,13,FALSE)," ")</f>
        <v xml:space="preserve"> </v>
      </c>
    </row>
    <row r="475" spans="1:19" x14ac:dyDescent="0.3">
      <c r="A475" s="1">
        <v>1814</v>
      </c>
      <c r="B475" s="17">
        <v>0</v>
      </c>
      <c r="C475" s="17" t="str">
        <f>IF(B475=0,VLOOKUP(A475,Feuil2!$A$2:$M$1241,2,FALSE)," ")</f>
        <v>BEL ARBIA</v>
      </c>
      <c r="D475" s="17" t="str">
        <f>IF(B475=0,VLOOKUP(A475,Feuil2!$A$2:$M$1241,3,FALSE)," ")</f>
        <v>SLAH</v>
      </c>
      <c r="E475" s="18">
        <f>IF(B475=0,VLOOKUP(A475,Feuil2!$A$2:$M$1241,6,FALSE)," ")</f>
        <v>24110</v>
      </c>
      <c r="F475" s="17" t="str">
        <f>IF(B475=0,VLOOKUP(A475,Feuil2!$A$2:$M$1241,12,FALSE)," ")</f>
        <v>H</v>
      </c>
      <c r="G475" s="17" t="str">
        <f>IF(B475=0,VLOOKUP(A475,Feuil2!$A$2:$M$1241,11,FALSE)," ")</f>
        <v>M</v>
      </c>
      <c r="H475" s="17" t="s">
        <v>16</v>
      </c>
      <c r="I475" s="19">
        <f>IF(B475=0,VLOOKUP(A475,Feuil2!$A$2:$M$1241,7,FALSE)," ")</f>
        <v>2968827</v>
      </c>
      <c r="J475" s="17" t="str">
        <f>IF(B475=0,VLOOKUP(A475,Feuil2!$A$2:$M$1241,9,FALSE)," ")</f>
        <v>Route de Sfax</v>
      </c>
      <c r="K475" s="17" t="str">
        <f>IF(B475=0,VLOOKUP(A475,Feuil2!$A$2:$M$1241,10,FALSE)," ")</f>
        <v>Msaken 4070</v>
      </c>
      <c r="L475" s="17">
        <v>4070</v>
      </c>
      <c r="M475" s="17">
        <v>98981859</v>
      </c>
      <c r="N475" s="17"/>
      <c r="O475" s="20" t="str">
        <f>IF(B475=0,VLOOKUP(A475,Feuil2!$A$2:$M$1241,13,FALSE)," ")</f>
        <v>03508056010100393080</v>
      </c>
    </row>
    <row r="476" spans="1:19" x14ac:dyDescent="0.3">
      <c r="A476" s="1">
        <v>1814</v>
      </c>
      <c r="B476" s="1">
        <v>1</v>
      </c>
      <c r="C476" s="1" t="s">
        <v>2394</v>
      </c>
      <c r="D476" s="1" t="s">
        <v>1049</v>
      </c>
      <c r="E476" s="5">
        <v>26816</v>
      </c>
      <c r="F476" s="1" t="s">
        <v>17</v>
      </c>
      <c r="G476" s="1" t="s">
        <v>15</v>
      </c>
      <c r="H476" s="1" t="s">
        <v>16</v>
      </c>
      <c r="I476" s="6" t="str">
        <f>IF(B476=0,VLOOKUP(A476,Feuil2!$A$2:$M$1241,7,FALSE)," ")</f>
        <v xml:space="preserve"> </v>
      </c>
      <c r="J476" s="1" t="str">
        <f>IF(B476=0,VLOOKUP(A476,Feuil2!$A$2:$M$1241,9,FALSE)," ")</f>
        <v xml:space="preserve"> </v>
      </c>
      <c r="K476" s="1" t="str">
        <f>IF(B476=0,VLOOKUP(A476,Feuil2!$A$2:$M$1241,10,FALSE)," ")</f>
        <v xml:space="preserve"> </v>
      </c>
      <c r="L476" s="1"/>
      <c r="M476" s="1"/>
      <c r="N476" s="1"/>
      <c r="O476" s="8" t="str">
        <f>IF(B476=0,VLOOKUP(A476,Feuil2!$A$2:$M$1241,13,FALSE)," ")</f>
        <v xml:space="preserve"> </v>
      </c>
    </row>
    <row r="477" spans="1:19" x14ac:dyDescent="0.3">
      <c r="A477" s="1">
        <v>1814</v>
      </c>
      <c r="B477" s="1">
        <v>2</v>
      </c>
      <c r="C477" s="1" t="s">
        <v>1651</v>
      </c>
      <c r="D477" s="1" t="s">
        <v>2395</v>
      </c>
      <c r="E477" s="5">
        <v>35446</v>
      </c>
      <c r="F477" s="1" t="s">
        <v>506</v>
      </c>
      <c r="G477" s="1" t="str">
        <f>IF(B477=0,VLOOKUP(A477,Feuil2!$A$2:$M$1241,11,FALSE)," ")</f>
        <v xml:space="preserve"> </v>
      </c>
      <c r="H477" s="1" t="s">
        <v>16</v>
      </c>
      <c r="I477" s="6" t="str">
        <f>IF(B477=0,VLOOKUP(A477,Feuil2!$A$2:$M$1241,7,FALSE)," ")</f>
        <v xml:space="preserve"> </v>
      </c>
      <c r="J477" s="1" t="str">
        <f>IF(B477=0,VLOOKUP(A477,Feuil2!$A$2:$M$1241,9,FALSE)," ")</f>
        <v xml:space="preserve"> </v>
      </c>
      <c r="K477" s="1" t="str">
        <f>IF(B477=0,VLOOKUP(A477,Feuil2!$A$2:$M$1241,10,FALSE)," ")</f>
        <v xml:space="preserve"> </v>
      </c>
      <c r="L477" s="1"/>
      <c r="M477" s="1"/>
      <c r="N477" s="1"/>
      <c r="O477" s="8" t="str">
        <f>IF(B477=0,VLOOKUP(A477,Feuil2!$A$2:$M$1241,13,FALSE)," ")</f>
        <v xml:space="preserve"> </v>
      </c>
    </row>
    <row r="478" spans="1:19" x14ac:dyDescent="0.3">
      <c r="A478" s="1">
        <v>1814</v>
      </c>
      <c r="B478" s="1">
        <v>3</v>
      </c>
      <c r="C478" s="1" t="s">
        <v>1651</v>
      </c>
      <c r="D478" s="1" t="s">
        <v>1925</v>
      </c>
      <c r="E478" s="5">
        <v>35446</v>
      </c>
      <c r="F478" s="1" t="s">
        <v>17</v>
      </c>
      <c r="G478" s="1" t="str">
        <f>IF(B478=0,VLOOKUP(A478,Feuil2!$A$2:$M$1241,11,FALSE)," ")</f>
        <v xml:space="preserve"> </v>
      </c>
      <c r="H478" s="1" t="s">
        <v>16</v>
      </c>
      <c r="I478" s="6" t="str">
        <f>IF(B478=0,VLOOKUP(A478,Feuil2!$A$2:$M$1241,7,FALSE)," ")</f>
        <v xml:space="preserve"> </v>
      </c>
      <c r="J478" s="1" t="str">
        <f>IF(B478=0,VLOOKUP(A478,Feuil2!$A$2:$M$1241,9,FALSE)," ")</f>
        <v xml:space="preserve"> </v>
      </c>
      <c r="K478" s="1" t="str">
        <f>IF(B478=0,VLOOKUP(A478,Feuil2!$A$2:$M$1241,10,FALSE)," ")</f>
        <v xml:space="preserve"> </v>
      </c>
      <c r="L478" s="1"/>
      <c r="M478" s="1"/>
      <c r="N478" s="1"/>
      <c r="O478" s="8" t="str">
        <f>IF(B478=0,VLOOKUP(A478,Feuil2!$A$2:$M$1241,13,FALSE)," ")</f>
        <v xml:space="preserve"> </v>
      </c>
    </row>
    <row r="479" spans="1:19" x14ac:dyDescent="0.3">
      <c r="A479" s="1">
        <v>1814</v>
      </c>
      <c r="B479" s="1">
        <v>4</v>
      </c>
      <c r="C479" s="1" t="s">
        <v>1651</v>
      </c>
      <c r="D479" s="1" t="s">
        <v>2362</v>
      </c>
      <c r="E479" s="5">
        <v>36839</v>
      </c>
      <c r="F479" s="1" t="s">
        <v>17</v>
      </c>
      <c r="G479" s="1" t="str">
        <f>IF(B479=0,VLOOKUP(A479,Feuil2!$A$2:$M$1241,11,FALSE)," ")</f>
        <v xml:space="preserve"> </v>
      </c>
      <c r="H479" s="1" t="s">
        <v>16</v>
      </c>
      <c r="I479" s="6" t="str">
        <f>IF(B479=0,VLOOKUP(A479,Feuil2!$A$2:$M$1241,7,FALSE)," ")</f>
        <v xml:space="preserve"> </v>
      </c>
      <c r="J479" s="1" t="str">
        <f>IF(B479=0,VLOOKUP(A479,Feuil2!$A$2:$M$1241,9,FALSE)," ")</f>
        <v xml:space="preserve"> </v>
      </c>
      <c r="K479" s="1" t="str">
        <f>IF(B479=0,VLOOKUP(A479,Feuil2!$A$2:$M$1241,10,FALSE)," ")</f>
        <v xml:space="preserve"> </v>
      </c>
      <c r="L479" s="1"/>
      <c r="M479" s="1"/>
      <c r="N479" s="1"/>
      <c r="O479" s="8" t="str">
        <f>IF(B479=0,VLOOKUP(A479,Feuil2!$A$2:$M$1241,13,FALSE)," ")</f>
        <v xml:space="preserve"> </v>
      </c>
    </row>
    <row r="480" spans="1:19" x14ac:dyDescent="0.3">
      <c r="A480" s="1">
        <v>1814</v>
      </c>
      <c r="B480" s="1">
        <v>5</v>
      </c>
      <c r="C480" s="1" t="s">
        <v>1651</v>
      </c>
      <c r="D480" s="1" t="s">
        <v>2396</v>
      </c>
      <c r="E480" s="5">
        <v>38091</v>
      </c>
      <c r="F480" s="1" t="s">
        <v>17</v>
      </c>
      <c r="G480" s="1" t="str">
        <f>IF(B480=0,VLOOKUP(A480,Feuil2!$A$2:$M$1241,11,FALSE)," ")</f>
        <v xml:space="preserve"> </v>
      </c>
      <c r="H480" s="1" t="s">
        <v>16</v>
      </c>
      <c r="I480" s="6" t="str">
        <f>IF(B480=0,VLOOKUP(A480,Feuil2!$A$2:$M$1241,7,FALSE)," ")</f>
        <v xml:space="preserve"> </v>
      </c>
      <c r="J480" s="1" t="str">
        <f>IF(B480=0,VLOOKUP(A480,Feuil2!$A$2:$M$1241,9,FALSE)," ")</f>
        <v xml:space="preserve"> </v>
      </c>
      <c r="K480" s="1" t="str">
        <f>IF(B480=0,VLOOKUP(A480,Feuil2!$A$2:$M$1241,10,FALSE)," ")</f>
        <v xml:space="preserve"> </v>
      </c>
      <c r="L480" s="1"/>
      <c r="M480" s="1"/>
      <c r="N480" s="1"/>
      <c r="O480" s="8" t="str">
        <f>IF(B480=0,VLOOKUP(A480,Feuil2!$A$2:$M$1241,13,FALSE)," ")</f>
        <v xml:space="preserve"> </v>
      </c>
    </row>
    <row r="481" spans="1:16" x14ac:dyDescent="0.3">
      <c r="A481" s="1">
        <v>1814</v>
      </c>
      <c r="B481" s="1">
        <v>6</v>
      </c>
      <c r="C481" s="1" t="s">
        <v>1651</v>
      </c>
      <c r="D481" s="1" t="s">
        <v>30</v>
      </c>
      <c r="E481" s="5">
        <v>41941</v>
      </c>
      <c r="F481" s="1" t="s">
        <v>506</v>
      </c>
      <c r="G481" s="1" t="str">
        <f>IF(B481=0,VLOOKUP(A481,Feuil2!$A$2:$M$1241,11,FALSE)," ")</f>
        <v xml:space="preserve"> </v>
      </c>
      <c r="H481" s="1" t="s">
        <v>16</v>
      </c>
      <c r="I481" s="6" t="str">
        <f>IF(B481=0,VLOOKUP(A481,Feuil2!$A$2:$M$1241,7,FALSE)," ")</f>
        <v xml:space="preserve"> </v>
      </c>
      <c r="J481" s="1" t="str">
        <f>IF(B481=0,VLOOKUP(A481,Feuil2!$A$2:$M$1241,9,FALSE)," ")</f>
        <v xml:space="preserve"> </v>
      </c>
      <c r="K481" s="1" t="str">
        <f>IF(B481=0,VLOOKUP(A481,Feuil2!$A$2:$M$1241,10,FALSE)," ")</f>
        <v xml:space="preserve"> </v>
      </c>
      <c r="L481" s="1"/>
      <c r="M481" s="1"/>
      <c r="N481" s="1"/>
      <c r="O481" s="8" t="str">
        <f>IF(B481=0,VLOOKUP(A481,Feuil2!$A$2:$M$1241,13,FALSE)," ")</f>
        <v xml:space="preserve"> </v>
      </c>
    </row>
    <row r="482" spans="1:16" x14ac:dyDescent="0.3">
      <c r="A482" s="1">
        <v>1819</v>
      </c>
      <c r="B482" s="1">
        <v>0</v>
      </c>
      <c r="C482" s="1" t="str">
        <f>IF(B482=0,VLOOKUP(A482,Feuil2!$A$2:$M$1241,2,FALSE)," ")</f>
        <v>SASSI</v>
      </c>
      <c r="D482" s="1" t="str">
        <f>IF(B482=0,VLOOKUP(A482,Feuil2!$A$2:$M$1241,3,FALSE)," ")</f>
        <v>MOHAMED WALID</v>
      </c>
      <c r="E482" s="5">
        <f>IF(B482=0,VLOOKUP(A482,Feuil2!$A$2:$M$1241,6,FALSE)," ")</f>
        <v>29542</v>
      </c>
      <c r="F482" s="1" t="str">
        <f>IF(B482=0,VLOOKUP(A482,Feuil2!$A$2:$M$1241,12,FALSE)," ")</f>
        <v>H</v>
      </c>
      <c r="G482" s="1" t="str">
        <f>IF(B482=0,VLOOKUP(A482,Feuil2!$A$2:$M$1241,11,FALSE)," ")</f>
        <v>M</v>
      </c>
      <c r="H482" s="1" t="s">
        <v>16</v>
      </c>
      <c r="I482" s="6">
        <f>IF(B482=0,VLOOKUP(A482,Feuil2!$A$2:$M$1241,7,FALSE)," ")</f>
        <v>5591427</v>
      </c>
      <c r="J482" s="1" t="str">
        <f>IF(B482=0,VLOOKUP(A482,Feuil2!$A$2:$M$1241,9,FALSE)," ")</f>
        <v>25 Rue Mohamed Ali</v>
      </c>
      <c r="K482" s="1" t="str">
        <f>IF(B482=0,VLOOKUP(A482,Feuil2!$A$2:$M$1241,10,FALSE)," ")</f>
        <v>Msaken 4070</v>
      </c>
      <c r="L482" s="1">
        <v>4070</v>
      </c>
      <c r="M482" s="1">
        <v>29189709</v>
      </c>
      <c r="N482" s="1"/>
      <c r="O482" s="8" t="str">
        <f>IF(B482=0,VLOOKUP(A482,Feuil2!$A$2:$M$1241,13,FALSE)," ")</f>
        <v>24010042257251110167</v>
      </c>
      <c r="P482" t="s">
        <v>2805</v>
      </c>
    </row>
    <row r="483" spans="1:16" x14ac:dyDescent="0.3">
      <c r="A483" s="1">
        <v>1819</v>
      </c>
      <c r="B483" s="1">
        <v>1</v>
      </c>
      <c r="C483" s="1" t="s">
        <v>2355</v>
      </c>
      <c r="D483" s="1" t="s">
        <v>439</v>
      </c>
      <c r="E483" s="5">
        <v>31943</v>
      </c>
      <c r="F483" s="1" t="s">
        <v>17</v>
      </c>
      <c r="G483" s="1" t="s">
        <v>2356</v>
      </c>
      <c r="H483" s="1" t="s">
        <v>16</v>
      </c>
      <c r="I483" s="6" t="str">
        <f>IF(B483=0,VLOOKUP(A483,Feuil2!$A$2:$M$1241,7,FALSE)," ")</f>
        <v xml:space="preserve"> </v>
      </c>
      <c r="J483" s="1" t="str">
        <f>IF(B483=0,VLOOKUP(A483,Feuil2!$A$2:$M$1241,9,FALSE)," ")</f>
        <v xml:space="preserve"> </v>
      </c>
      <c r="K483" s="1" t="str">
        <f>IF(B483=0,VLOOKUP(A483,Feuil2!$A$2:$M$1241,10,FALSE)," ")</f>
        <v xml:space="preserve"> </v>
      </c>
      <c r="L483" s="1"/>
      <c r="M483" s="1"/>
      <c r="N483" s="1"/>
      <c r="O483" s="8" t="str">
        <f>IF(B483=0,VLOOKUP(A483,Feuil2!$A$2:$M$1241,13,FALSE)," ")</f>
        <v xml:space="preserve"> </v>
      </c>
    </row>
    <row r="484" spans="1:16" x14ac:dyDescent="0.3">
      <c r="A484" s="1">
        <v>1819</v>
      </c>
      <c r="B484" s="1">
        <v>2</v>
      </c>
      <c r="C484" s="1" t="s">
        <v>104</v>
      </c>
      <c r="D484" s="1" t="s">
        <v>2357</v>
      </c>
      <c r="E484" s="5">
        <v>40298</v>
      </c>
      <c r="F484" s="1" t="s">
        <v>17</v>
      </c>
      <c r="G484" s="1" t="str">
        <f>IF(B484=0,VLOOKUP(A484,Feuil2!$A$2:$M$1241,11,FALSE)," ")</f>
        <v xml:space="preserve"> </v>
      </c>
      <c r="H484" s="1" t="s">
        <v>16</v>
      </c>
      <c r="I484" s="6" t="str">
        <f>IF(B484=0,VLOOKUP(A484,Feuil2!$A$2:$M$1241,7,FALSE)," ")</f>
        <v xml:space="preserve"> </v>
      </c>
      <c r="J484" s="1" t="str">
        <f>IF(B484=0,VLOOKUP(A484,Feuil2!$A$2:$M$1241,9,FALSE)," ")</f>
        <v xml:space="preserve"> </v>
      </c>
      <c r="K484" s="1" t="str">
        <f>IF(B484=0,VLOOKUP(A484,Feuil2!$A$2:$M$1241,10,FALSE)," ")</f>
        <v xml:space="preserve"> </v>
      </c>
      <c r="L484" s="1"/>
      <c r="M484" s="1"/>
      <c r="N484" s="1"/>
      <c r="O484" s="8" t="str">
        <f>IF(B484=0,VLOOKUP(A484,Feuil2!$A$2:$M$1241,13,FALSE)," ")</f>
        <v xml:space="preserve"> </v>
      </c>
    </row>
    <row r="485" spans="1:16" x14ac:dyDescent="0.3">
      <c r="A485" s="1">
        <v>1819</v>
      </c>
      <c r="B485" s="1">
        <v>3</v>
      </c>
      <c r="C485" s="1" t="s">
        <v>104</v>
      </c>
      <c r="D485" s="1" t="s">
        <v>2332</v>
      </c>
      <c r="E485" s="5">
        <v>41285</v>
      </c>
      <c r="F485" s="1" t="s">
        <v>17</v>
      </c>
      <c r="G485" s="1" t="str">
        <f>IF(B485=0,VLOOKUP(A485,Feuil2!$A$2:$M$1241,11,FALSE)," ")</f>
        <v xml:space="preserve"> </v>
      </c>
      <c r="H485" s="1" t="s">
        <v>16</v>
      </c>
      <c r="I485" s="6" t="str">
        <f>IF(B485=0,VLOOKUP(A485,Feuil2!$A$2:$M$1241,7,FALSE)," ")</f>
        <v xml:space="preserve"> </v>
      </c>
      <c r="J485" s="1" t="str">
        <f>IF(B485=0,VLOOKUP(A485,Feuil2!$A$2:$M$1241,9,FALSE)," ")</f>
        <v xml:space="preserve"> </v>
      </c>
      <c r="K485" s="1" t="str">
        <f>IF(B485=0,VLOOKUP(A485,Feuil2!$A$2:$M$1241,10,FALSE)," ")</f>
        <v xml:space="preserve"> </v>
      </c>
      <c r="L485" s="1"/>
      <c r="M485" s="1"/>
      <c r="N485" s="1"/>
      <c r="O485" s="8" t="str">
        <f>IF(B485=0,VLOOKUP(A485,Feuil2!$A$2:$M$1241,13,FALSE)," ")</f>
        <v xml:space="preserve"> </v>
      </c>
    </row>
    <row r="486" spans="1:16" x14ac:dyDescent="0.3">
      <c r="A486" s="1">
        <v>1819</v>
      </c>
      <c r="B486" s="1">
        <v>4</v>
      </c>
      <c r="C486" s="1" t="s">
        <v>104</v>
      </c>
      <c r="D486" s="1" t="s">
        <v>2338</v>
      </c>
      <c r="E486" s="5">
        <v>42717</v>
      </c>
      <c r="F486" s="1" t="s">
        <v>17</v>
      </c>
      <c r="G486" s="1" t="str">
        <f>IF(B486=0,VLOOKUP(A486,Feuil2!$A$2:$M$1241,11,FALSE)," ")</f>
        <v xml:space="preserve"> </v>
      </c>
      <c r="H486" s="1" t="s">
        <v>16</v>
      </c>
      <c r="I486" s="6" t="str">
        <f>IF(B486=0,VLOOKUP(A486,Feuil2!$A$2:$M$1241,7,FALSE)," ")</f>
        <v xml:space="preserve"> </v>
      </c>
      <c r="J486" s="1" t="str">
        <f>IF(B486=0,VLOOKUP(A486,Feuil2!$A$2:$M$1241,9,FALSE)," ")</f>
        <v xml:space="preserve"> </v>
      </c>
      <c r="K486" s="1" t="str">
        <f>IF(B486=0,VLOOKUP(A486,Feuil2!$A$2:$M$1241,10,FALSE)," ")</f>
        <v xml:space="preserve"> </v>
      </c>
      <c r="L486" s="1"/>
      <c r="M486" s="1"/>
      <c r="N486" s="1"/>
      <c r="O486" s="8" t="str">
        <f>IF(B486=0,VLOOKUP(A486,Feuil2!$A$2:$M$1241,13,FALSE)," ")</f>
        <v xml:space="preserve"> </v>
      </c>
    </row>
    <row r="487" spans="1:16" x14ac:dyDescent="0.3">
      <c r="A487" s="1">
        <v>1820</v>
      </c>
      <c r="B487" s="1">
        <v>0</v>
      </c>
      <c r="C487" s="1" t="str">
        <f>IF(B487=0,VLOOKUP(A487,Feuil2!$A$2:$M$1241,2,FALSE)," ")</f>
        <v>MKHININI</v>
      </c>
      <c r="D487" s="1" t="str">
        <f>IF(B487=0,VLOOKUP(A487,Feuil2!$A$2:$M$1241,3,FALSE)," ")</f>
        <v>MOHAMED RIMEH</v>
      </c>
      <c r="E487" s="5">
        <f>IF(B487=0,VLOOKUP(A487,Feuil2!$A$2:$M$1241,6,FALSE)," ")</f>
        <v>28052</v>
      </c>
      <c r="F487" s="1" t="str">
        <f>IF(B487=0,VLOOKUP(A487,Feuil2!$A$2:$M$1241,12,FALSE)," ")</f>
        <v>H</v>
      </c>
      <c r="G487" s="1" t="str">
        <f>IF(B487=0,VLOOKUP(A487,Feuil2!$A$2:$M$1241,11,FALSE)," ")</f>
        <v>M</v>
      </c>
      <c r="H487" s="1" t="s">
        <v>16</v>
      </c>
      <c r="I487" s="6">
        <f>IF(B487=0,VLOOKUP(A487,Feuil2!$A$2:$M$1241,7,FALSE)," ")</f>
        <v>5551152</v>
      </c>
      <c r="J487" s="1" t="str">
        <f>IF(B487=0,VLOOKUP(A487,Feuil2!$A$2:$M$1241,9,FALSE)," ")</f>
        <v>10 Rue Ibn Hambel</v>
      </c>
      <c r="K487" s="1" t="str">
        <f>IF(B487=0,VLOOKUP(A487,Feuil2!$A$2:$M$1241,10,FALSE)," ")</f>
        <v>Msaken 4070</v>
      </c>
      <c r="L487" s="1">
        <v>4070</v>
      </c>
      <c r="M487" s="1">
        <v>98581623</v>
      </c>
      <c r="N487" s="1"/>
      <c r="O487" s="8" t="str">
        <f>IF(B487=0,VLOOKUP(A487,Feuil2!$A$2:$M$1241,13,FALSE)," ")</f>
        <v>04204067002852614330</v>
      </c>
    </row>
    <row r="488" spans="1:16" x14ac:dyDescent="0.3">
      <c r="A488" s="1">
        <v>1820</v>
      </c>
      <c r="B488" s="1">
        <v>1</v>
      </c>
      <c r="C488" s="1" t="s">
        <v>660</v>
      </c>
      <c r="D488" s="1" t="s">
        <v>1094</v>
      </c>
      <c r="E488" s="5">
        <v>27168</v>
      </c>
      <c r="F488" s="1" t="s">
        <v>17</v>
      </c>
      <c r="G488" s="1" t="s">
        <v>15</v>
      </c>
      <c r="H488" s="1" t="s">
        <v>16</v>
      </c>
      <c r="I488" s="6" t="str">
        <f>IF(B488=0,VLOOKUP(A488,Feuil2!$A$2:$M$1241,7,FALSE)," ")</f>
        <v xml:space="preserve"> </v>
      </c>
      <c r="J488" s="1" t="str">
        <f>IF(B488=0,VLOOKUP(A488,Feuil2!$A$2:$M$1241,9,FALSE)," ")</f>
        <v xml:space="preserve"> </v>
      </c>
      <c r="K488" s="1" t="str">
        <f>IF(B488=0,VLOOKUP(A488,Feuil2!$A$2:$M$1241,10,FALSE)," ")</f>
        <v xml:space="preserve"> </v>
      </c>
      <c r="L488" s="1"/>
      <c r="M488" s="1"/>
      <c r="N488" s="1"/>
      <c r="O488" s="8" t="str">
        <f>IF(B488=0,VLOOKUP(A488,Feuil2!$A$2:$M$1241,13,FALSE)," ")</f>
        <v xml:space="preserve"> </v>
      </c>
    </row>
    <row r="489" spans="1:16" x14ac:dyDescent="0.3">
      <c r="A489" s="1">
        <v>1820</v>
      </c>
      <c r="B489" s="1">
        <v>2</v>
      </c>
      <c r="C489" s="1" t="s">
        <v>182</v>
      </c>
      <c r="D489" s="1" t="s">
        <v>2507</v>
      </c>
      <c r="E489" s="5">
        <v>37846</v>
      </c>
      <c r="F489" s="1" t="s">
        <v>17</v>
      </c>
      <c r="G489" s="1" t="str">
        <f>IF(B489=0,VLOOKUP(A489,Feuil2!$A$2:$M$1241,11,FALSE)," ")</f>
        <v xml:space="preserve"> </v>
      </c>
      <c r="H489" s="1" t="s">
        <v>16</v>
      </c>
      <c r="I489" s="6" t="str">
        <f>IF(B489=0,VLOOKUP(A489,Feuil2!$A$2:$M$1241,7,FALSE)," ")</f>
        <v xml:space="preserve"> </v>
      </c>
      <c r="J489" s="1" t="str">
        <f>IF(B489=0,VLOOKUP(A489,Feuil2!$A$2:$M$1241,9,FALSE)," ")</f>
        <v xml:space="preserve"> </v>
      </c>
      <c r="K489" s="1" t="str">
        <f>IF(B489=0,VLOOKUP(A489,Feuil2!$A$2:$M$1241,10,FALSE)," ")</f>
        <v xml:space="preserve"> </v>
      </c>
      <c r="L489" s="1"/>
      <c r="M489" s="1"/>
      <c r="N489" s="1"/>
      <c r="O489" s="8" t="str">
        <f>IF(B489=0,VLOOKUP(A489,Feuil2!$A$2:$M$1241,13,FALSE)," ")</f>
        <v xml:space="preserve"> </v>
      </c>
    </row>
    <row r="490" spans="1:16" x14ac:dyDescent="0.3">
      <c r="A490" s="1">
        <v>1820</v>
      </c>
      <c r="B490" s="1">
        <v>3</v>
      </c>
      <c r="C490" s="1" t="s">
        <v>182</v>
      </c>
      <c r="D490" s="1" t="s">
        <v>2508</v>
      </c>
      <c r="E490" s="5">
        <v>38315</v>
      </c>
      <c r="F490" s="1" t="s">
        <v>506</v>
      </c>
      <c r="G490" s="1" t="str">
        <f>IF(B490=0,VLOOKUP(A490,Feuil2!$A$2:$M$1241,11,FALSE)," ")</f>
        <v xml:space="preserve"> </v>
      </c>
      <c r="H490" s="1" t="s">
        <v>16</v>
      </c>
      <c r="I490" s="6" t="str">
        <f>IF(B490=0,VLOOKUP(A490,Feuil2!$A$2:$M$1241,7,FALSE)," ")</f>
        <v xml:space="preserve"> </v>
      </c>
      <c r="J490" s="1" t="str">
        <f>IF(B490=0,VLOOKUP(A490,Feuil2!$A$2:$M$1241,9,FALSE)," ")</f>
        <v xml:space="preserve"> </v>
      </c>
      <c r="K490" s="1" t="str">
        <f>IF(B490=0,VLOOKUP(A490,Feuil2!$A$2:$M$1241,10,FALSE)," ")</f>
        <v xml:space="preserve"> </v>
      </c>
      <c r="L490" s="1"/>
      <c r="M490" s="1"/>
      <c r="N490" s="1"/>
      <c r="O490" s="8" t="str">
        <f>IF(B490=0,VLOOKUP(A490,Feuil2!$A$2:$M$1241,13,FALSE)," ")</f>
        <v xml:space="preserve"> </v>
      </c>
    </row>
    <row r="491" spans="1:16" x14ac:dyDescent="0.3">
      <c r="A491" s="1">
        <v>1820</v>
      </c>
      <c r="B491" s="1">
        <v>4</v>
      </c>
      <c r="C491" s="1" t="s">
        <v>182</v>
      </c>
      <c r="D491" s="1" t="s">
        <v>234</v>
      </c>
      <c r="E491" s="5">
        <v>40156</v>
      </c>
      <c r="F491" s="1" t="s">
        <v>506</v>
      </c>
      <c r="G491" s="1" t="str">
        <f>IF(B491=0,VLOOKUP(A491,Feuil2!$A$2:$M$1241,11,FALSE)," ")</f>
        <v xml:space="preserve"> </v>
      </c>
      <c r="H491" s="1" t="s">
        <v>16</v>
      </c>
      <c r="I491" s="6" t="str">
        <f>IF(B491=0,VLOOKUP(A491,Feuil2!$A$2:$M$1241,7,FALSE)," ")</f>
        <v xml:space="preserve"> </v>
      </c>
      <c r="J491" s="1" t="str">
        <f>IF(B491=0,VLOOKUP(A491,Feuil2!$A$2:$M$1241,9,FALSE)," ")</f>
        <v xml:space="preserve"> </v>
      </c>
      <c r="K491" s="1" t="str">
        <f>IF(B491=0,VLOOKUP(A491,Feuil2!$A$2:$M$1241,10,FALSE)," ")</f>
        <v xml:space="preserve"> </v>
      </c>
      <c r="L491" s="1"/>
      <c r="M491" s="1"/>
      <c r="N491" s="1"/>
      <c r="O491" s="8" t="str">
        <f>IF(B491=0,VLOOKUP(A491,Feuil2!$A$2:$M$1241,13,FALSE)," ")</f>
        <v xml:space="preserve"> </v>
      </c>
    </row>
    <row r="492" spans="1:16" x14ac:dyDescent="0.3">
      <c r="A492" s="1">
        <v>1822</v>
      </c>
      <c r="B492" s="1">
        <v>0</v>
      </c>
      <c r="C492" s="1" t="str">
        <f>IF(B492=0,VLOOKUP(A492,Feuil2!$A$2:$M$1241,2,FALSE)," ")</f>
        <v>BOUHLEL</v>
      </c>
      <c r="D492" s="1" t="str">
        <f>IF(B492=0,VLOOKUP(A492,Feuil2!$A$2:$M$1241,3,FALSE)," ")</f>
        <v>MEJDI</v>
      </c>
      <c r="E492" s="5">
        <f>IF(B492=0,VLOOKUP(A492,Feuil2!$A$2:$M$1241,6,FALSE)," ")</f>
        <v>30101</v>
      </c>
      <c r="F492" s="1" t="str">
        <f>IF(B492=0,VLOOKUP(A492,Feuil2!$A$2:$M$1241,12,FALSE)," ")</f>
        <v>H</v>
      </c>
      <c r="G492" s="1" t="str">
        <f>IF(B492=0,VLOOKUP(A492,Feuil2!$A$2:$M$1241,11,FALSE)," ")</f>
        <v>M</v>
      </c>
      <c r="H492" s="1" t="s">
        <v>16</v>
      </c>
      <c r="I492" s="6">
        <f>IF(B492=0,VLOOKUP(A492,Feuil2!$A$2:$M$1241,7,FALSE)," ")</f>
        <v>8427008</v>
      </c>
      <c r="J492" s="1" t="str">
        <f>IF(B492=0,VLOOKUP(A492,Feuil2!$A$2:$M$1241,9,FALSE)," ")</f>
        <v>29 Rue Ain Draham</v>
      </c>
      <c r="K492" s="1" t="str">
        <f>IF(B492=0,VLOOKUP(A492,Feuil2!$A$2:$M$1241,10,FALSE)," ")</f>
        <v>Msaken 4070</v>
      </c>
      <c r="L492" s="1">
        <v>4070</v>
      </c>
      <c r="M492" s="1">
        <v>55972482</v>
      </c>
      <c r="N492" s="1"/>
      <c r="O492" s="10" t="s">
        <v>2479</v>
      </c>
    </row>
    <row r="493" spans="1:16" x14ac:dyDescent="0.3">
      <c r="A493" s="1">
        <v>1822</v>
      </c>
      <c r="B493" s="1">
        <v>1</v>
      </c>
      <c r="C493" s="1" t="s">
        <v>104</v>
      </c>
      <c r="D493" s="1" t="s">
        <v>2478</v>
      </c>
      <c r="E493" s="5">
        <v>29408</v>
      </c>
      <c r="F493" s="1" t="s">
        <v>17</v>
      </c>
      <c r="G493" s="1" t="s">
        <v>15</v>
      </c>
      <c r="H493" s="1" t="s">
        <v>16</v>
      </c>
      <c r="I493" s="6" t="str">
        <f>IF(B493=0,VLOOKUP(A493,Feuil2!$A$2:$M$1241,7,FALSE)," ")</f>
        <v xml:space="preserve"> </v>
      </c>
      <c r="J493" s="1" t="str">
        <f>IF(B493=0,VLOOKUP(A493,Feuil2!$A$2:$M$1241,9,FALSE)," ")</f>
        <v xml:space="preserve"> </v>
      </c>
      <c r="K493" s="1" t="str">
        <f>IF(B493=0,VLOOKUP(A493,Feuil2!$A$2:$M$1241,10,FALSE)," ")</f>
        <v xml:space="preserve"> </v>
      </c>
      <c r="L493" s="1"/>
      <c r="M493" s="1"/>
      <c r="N493" s="1"/>
      <c r="O493" s="8" t="str">
        <f>IF(B493=0,VLOOKUP(A493,Feuil2!$A$2:$M$1241,13,FALSE)," ")</f>
        <v xml:space="preserve"> </v>
      </c>
    </row>
    <row r="494" spans="1:16" x14ac:dyDescent="0.3">
      <c r="A494" s="1">
        <v>1823</v>
      </c>
      <c r="B494" s="1">
        <v>0</v>
      </c>
      <c r="C494" s="1" t="str">
        <f>IF(B494=0,VLOOKUP(A494,Feuil2!$A$2:$M$1241,2,FALSE)," ")</f>
        <v>ACHOUR</v>
      </c>
      <c r="D494" s="1" t="str">
        <f>IF(B494=0,VLOOKUP(A494,Feuil2!$A$2:$M$1241,3,FALSE)," ")</f>
        <v>RAOUF</v>
      </c>
      <c r="E494" s="5">
        <f>IF(B494=0,VLOOKUP(A494,Feuil2!$A$2:$M$1241,6,FALSE)," ")</f>
        <v>30258</v>
      </c>
      <c r="F494" s="1" t="str">
        <f>IF(B494=0,VLOOKUP(A494,Feuil2!$A$2:$M$1241,12,FALSE)," ")</f>
        <v>H</v>
      </c>
      <c r="G494" s="1" t="s">
        <v>15</v>
      </c>
      <c r="H494" s="1" t="s">
        <v>16</v>
      </c>
      <c r="I494" s="6">
        <f>IF(B494=0,VLOOKUP(A494,Feuil2!$A$2:$M$1241,7,FALSE)," ")</f>
        <v>8451437</v>
      </c>
      <c r="J494" s="1" t="str">
        <f>IF(B494=0,VLOOKUP(A494,Feuil2!$A$2:$M$1241,9,FALSE)," ")</f>
        <v>Rue El Hidaya</v>
      </c>
      <c r="K494" s="1" t="str">
        <f>IF(B494=0,VLOOKUP(A494,Feuil2!$A$2:$M$1241,10,FALSE)," ")</f>
        <v>Msaken 4070</v>
      </c>
      <c r="L494" s="1">
        <v>4070</v>
      </c>
      <c r="M494" s="1">
        <v>46203303</v>
      </c>
      <c r="N494" s="1"/>
      <c r="O494" s="10" t="s">
        <v>2801</v>
      </c>
    </row>
    <row r="495" spans="1:16" x14ac:dyDescent="0.3">
      <c r="A495" s="1">
        <v>1823</v>
      </c>
      <c r="B495" s="1">
        <v>1</v>
      </c>
      <c r="C495" s="1" t="s">
        <v>83</v>
      </c>
      <c r="D495" s="1" t="s">
        <v>1925</v>
      </c>
      <c r="E495" s="5">
        <v>31830</v>
      </c>
      <c r="F495" s="1" t="s">
        <v>17</v>
      </c>
      <c r="G495" s="1" t="s">
        <v>15</v>
      </c>
      <c r="H495" s="1" t="s">
        <v>16</v>
      </c>
      <c r="I495" s="6" t="str">
        <f>IF(B495=0,VLOOKUP(A495,Feuil2!$A$2:$M$1241,7,FALSE)," ")</f>
        <v xml:space="preserve"> </v>
      </c>
      <c r="J495" s="1" t="str">
        <f>IF(B495=0,VLOOKUP(A495,Feuil2!$A$2:$M$1241,9,FALSE)," ")</f>
        <v xml:space="preserve"> </v>
      </c>
      <c r="K495" s="1" t="str">
        <f>IF(B495=0,VLOOKUP(A495,Feuil2!$A$2:$M$1241,10,FALSE)," ")</f>
        <v xml:space="preserve"> </v>
      </c>
      <c r="L495" s="1"/>
      <c r="M495" s="1"/>
      <c r="N495" s="1"/>
      <c r="O495" s="8" t="str">
        <f>IF(B495=0,VLOOKUP(A495,Feuil2!$A$2:$M$1241,13,FALSE)," ")</f>
        <v xml:space="preserve"> </v>
      </c>
    </row>
    <row r="496" spans="1:16" x14ac:dyDescent="0.3">
      <c r="A496" s="1">
        <v>1823</v>
      </c>
      <c r="B496" s="1">
        <v>2</v>
      </c>
      <c r="C496" s="1" t="s">
        <v>264</v>
      </c>
      <c r="D496" s="1" t="s">
        <v>2474</v>
      </c>
      <c r="E496" s="5">
        <v>42550</v>
      </c>
      <c r="F496" s="1" t="s">
        <v>506</v>
      </c>
      <c r="G496" s="1" t="str">
        <f>IF(B496=0,VLOOKUP(A496,Feuil2!$A$2:$M$1241,11,FALSE)," ")</f>
        <v xml:space="preserve"> </v>
      </c>
      <c r="H496" s="1" t="s">
        <v>16</v>
      </c>
      <c r="I496" s="6" t="str">
        <f>IF(B496=0,VLOOKUP(A496,Feuil2!$A$2:$M$1241,7,FALSE)," ")</f>
        <v xml:space="preserve"> </v>
      </c>
      <c r="J496" s="1" t="str">
        <f>IF(B496=0,VLOOKUP(A496,Feuil2!$A$2:$M$1241,9,FALSE)," ")</f>
        <v xml:space="preserve"> </v>
      </c>
      <c r="K496" s="1" t="str">
        <f>IF(B496=0,VLOOKUP(A496,Feuil2!$A$2:$M$1241,10,FALSE)," ")</f>
        <v xml:space="preserve"> </v>
      </c>
      <c r="L496" s="1"/>
      <c r="M496" s="1"/>
      <c r="N496" s="1"/>
      <c r="O496" s="8" t="str">
        <f>IF(B496=0,VLOOKUP(A496,Feuil2!$A$2:$M$1241,13,FALSE)," ")</f>
        <v xml:space="preserve"> </v>
      </c>
    </row>
    <row r="497" spans="1:15" x14ac:dyDescent="0.3">
      <c r="A497" s="1">
        <v>1823</v>
      </c>
      <c r="B497" s="1">
        <v>3</v>
      </c>
      <c r="C497" s="1" t="s">
        <v>264</v>
      </c>
      <c r="D497" s="1" t="s">
        <v>2475</v>
      </c>
      <c r="E497" s="5">
        <v>41494</v>
      </c>
      <c r="F497" s="1" t="s">
        <v>506</v>
      </c>
      <c r="G497" s="1" t="str">
        <f>IF(B497=0,VLOOKUP(A497,Feuil2!$A$2:$M$1241,11,FALSE)," ")</f>
        <v xml:space="preserve"> </v>
      </c>
      <c r="H497" s="1" t="s">
        <v>16</v>
      </c>
      <c r="I497" s="6" t="str">
        <f>IF(B497=0,VLOOKUP(A497,Feuil2!$A$2:$M$1241,7,FALSE)," ")</f>
        <v xml:space="preserve"> </v>
      </c>
      <c r="J497" s="1" t="str">
        <f>IF(B497=0,VLOOKUP(A497,Feuil2!$A$2:$M$1241,9,FALSE)," ")</f>
        <v xml:space="preserve"> </v>
      </c>
      <c r="K497" s="1" t="str">
        <f>IF(B497=0,VLOOKUP(A497,Feuil2!$A$2:$M$1241,10,FALSE)," ")</f>
        <v xml:space="preserve"> </v>
      </c>
      <c r="L497" s="1"/>
      <c r="M497" s="1"/>
      <c r="N497" s="1"/>
      <c r="O497" s="8" t="str">
        <f>IF(B497=0,VLOOKUP(A497,Feuil2!$A$2:$M$1241,13,FALSE)," ")</f>
        <v xml:space="preserve"> </v>
      </c>
    </row>
    <row r="498" spans="1:15" x14ac:dyDescent="0.3">
      <c r="A498" s="1">
        <v>1823</v>
      </c>
      <c r="B498" s="1">
        <v>4</v>
      </c>
      <c r="C498" s="1" t="s">
        <v>264</v>
      </c>
      <c r="D498" s="1" t="s">
        <v>77</v>
      </c>
      <c r="E498" s="5">
        <v>44032</v>
      </c>
      <c r="F498" s="1" t="s">
        <v>506</v>
      </c>
      <c r="G498" s="1" t="str">
        <f>IF(B498=0,VLOOKUP(A498,Feuil2!$A$2:$M$1241,11,FALSE)," ")</f>
        <v xml:space="preserve"> </v>
      </c>
      <c r="H498" s="1" t="s">
        <v>16</v>
      </c>
      <c r="I498" s="6" t="str">
        <f>IF(B498=0,VLOOKUP(A498,Feuil2!$A$2:$M$1241,7,FALSE)," ")</f>
        <v xml:space="preserve"> </v>
      </c>
      <c r="J498" s="1" t="str">
        <f>IF(B498=0,VLOOKUP(A498,Feuil2!$A$2:$M$1241,9,FALSE)," ")</f>
        <v xml:space="preserve"> </v>
      </c>
      <c r="K498" s="1" t="str">
        <f>IF(B498=0,VLOOKUP(A498,Feuil2!$A$2:$M$1241,10,FALSE)," ")</f>
        <v xml:space="preserve"> </v>
      </c>
      <c r="L498" s="1"/>
      <c r="M498" s="1"/>
      <c r="N498" s="1"/>
      <c r="O498" s="8" t="str">
        <f>IF(B498=0,VLOOKUP(A498,Feuil2!$A$2:$M$1241,13,FALSE)," ")</f>
        <v xml:space="preserve"> </v>
      </c>
    </row>
    <row r="499" spans="1:15" x14ac:dyDescent="0.3">
      <c r="A499" s="1">
        <v>1824</v>
      </c>
      <c r="B499" s="1">
        <v>0</v>
      </c>
      <c r="C499" s="1" t="str">
        <f>IF(B499=0,VLOOKUP(A499,Feuil2!$A$2:$M$1241,2,FALSE)," ")</f>
        <v>ESSAFI</v>
      </c>
      <c r="D499" s="1" t="str">
        <f>IF(B499=0,VLOOKUP(A499,Feuil2!$A$2:$M$1241,3,FALSE)," ")</f>
        <v>BECHIR</v>
      </c>
      <c r="E499" s="5">
        <f>IF(B499=0,VLOOKUP(A499,Feuil2!$A$2:$M$1241,6,FALSE)," ")</f>
        <v>25466</v>
      </c>
      <c r="F499" s="1" t="str">
        <f>IF(B499=0,VLOOKUP(A499,Feuil2!$A$2:$M$1241,12,FALSE)," ")</f>
        <v>H</v>
      </c>
      <c r="G499" s="1" t="str">
        <f>IF(B499=0,VLOOKUP(A499,Feuil2!$A$2:$M$1241,11,FALSE)," ")</f>
        <v>M</v>
      </c>
      <c r="H499" s="1" t="s">
        <v>16</v>
      </c>
      <c r="I499" s="6">
        <f>IF(B499=0,VLOOKUP(A499,Feuil2!$A$2:$M$1241,7,FALSE)," ")</f>
        <v>5517142</v>
      </c>
      <c r="J499" s="1" t="str">
        <f>IF(B499=0,VLOOKUP(A499,Feuil2!$A$2:$M$1241,9,FALSE)," ")</f>
        <v>NULL</v>
      </c>
      <c r="K499" s="1" t="str">
        <f>IF(B499=0,VLOOKUP(A499,Feuil2!$A$2:$M$1241,10,FALSE)," ")</f>
        <v>Sidi El HÃ©ni 4025</v>
      </c>
      <c r="L499" s="1"/>
      <c r="M499" s="1">
        <v>95779742</v>
      </c>
      <c r="N499" s="1"/>
      <c r="O499" s="8" t="str">
        <f>IF(B499=0,VLOOKUP(A499,Feuil2!$A$2:$M$1241,13,FALSE)," ")</f>
        <v>14014014100700234890</v>
      </c>
    </row>
    <row r="500" spans="1:15" x14ac:dyDescent="0.3">
      <c r="A500" s="1">
        <v>1824</v>
      </c>
      <c r="B500" s="1">
        <v>1</v>
      </c>
      <c r="C500" s="1" t="s">
        <v>2341</v>
      </c>
      <c r="D500" s="1" t="s">
        <v>1094</v>
      </c>
      <c r="E500" s="5">
        <v>27124</v>
      </c>
      <c r="F500" s="1" t="s">
        <v>17</v>
      </c>
      <c r="G500" s="1" t="s">
        <v>15</v>
      </c>
      <c r="H500" s="1" t="s">
        <v>16</v>
      </c>
      <c r="I500" s="6" t="str">
        <f>IF(B500=0,VLOOKUP(A500,Feuil2!$A$2:$M$1241,7,FALSE)," ")</f>
        <v xml:space="preserve"> </v>
      </c>
      <c r="J500" s="1" t="str">
        <f>IF(B500=0,VLOOKUP(A500,Feuil2!$A$2:$M$1241,9,FALSE)," ")</f>
        <v xml:space="preserve"> </v>
      </c>
      <c r="K500" s="1" t="str">
        <f>IF(B500=0,VLOOKUP(A500,Feuil2!$A$2:$M$1241,10,FALSE)," ")</f>
        <v xml:space="preserve"> </v>
      </c>
      <c r="L500" s="1"/>
      <c r="M500" s="1"/>
      <c r="N500" s="1"/>
      <c r="O500" s="8" t="str">
        <f>IF(B500=0,VLOOKUP(A500,Feuil2!$A$2:$M$1241,13,FALSE)," ")</f>
        <v xml:space="preserve"> </v>
      </c>
    </row>
    <row r="501" spans="1:15" x14ac:dyDescent="0.3">
      <c r="A501" s="1">
        <v>1824</v>
      </c>
      <c r="B501" s="1">
        <v>2</v>
      </c>
      <c r="C501" s="1" t="s">
        <v>97</v>
      </c>
      <c r="D501" s="1" t="s">
        <v>2342</v>
      </c>
      <c r="E501" s="5">
        <v>37070</v>
      </c>
      <c r="F501" s="1" t="s">
        <v>17</v>
      </c>
      <c r="G501" s="1" t="str">
        <f>IF(B501=0,VLOOKUP(A501,Feuil2!$A$2:$M$1241,11,FALSE)," ")</f>
        <v xml:space="preserve"> </v>
      </c>
      <c r="H501" s="1" t="s">
        <v>16</v>
      </c>
      <c r="I501" s="6" t="str">
        <f>IF(B501=0,VLOOKUP(A501,Feuil2!$A$2:$M$1241,7,FALSE)," ")</f>
        <v xml:space="preserve"> </v>
      </c>
      <c r="J501" s="1" t="str">
        <f>IF(B501=0,VLOOKUP(A501,Feuil2!$A$2:$M$1241,9,FALSE)," ")</f>
        <v xml:space="preserve"> </v>
      </c>
      <c r="K501" s="1" t="str">
        <f>IF(B501=0,VLOOKUP(A501,Feuil2!$A$2:$M$1241,10,FALSE)," ")</f>
        <v xml:space="preserve"> </v>
      </c>
      <c r="L501" s="1"/>
      <c r="M501" s="1"/>
      <c r="N501" s="1"/>
      <c r="O501" s="8" t="str">
        <f>IF(B501=0,VLOOKUP(A501,Feuil2!$A$2:$M$1241,13,FALSE)," ")</f>
        <v xml:space="preserve"> </v>
      </c>
    </row>
    <row r="502" spans="1:15" x14ac:dyDescent="0.3">
      <c r="A502" s="1">
        <v>1824</v>
      </c>
      <c r="B502" s="1">
        <v>3</v>
      </c>
      <c r="C502" s="1" t="s">
        <v>97</v>
      </c>
      <c r="D502" s="1" t="s">
        <v>296</v>
      </c>
      <c r="E502" s="5">
        <v>37704</v>
      </c>
      <c r="F502" s="1" t="s">
        <v>506</v>
      </c>
      <c r="G502" s="1" t="str">
        <f>IF(B502=0,VLOOKUP(A502,Feuil2!$A$2:$M$1241,11,FALSE)," ")</f>
        <v xml:space="preserve"> </v>
      </c>
      <c r="H502" s="1" t="s">
        <v>16</v>
      </c>
      <c r="I502" s="6" t="str">
        <f>IF(B502=0,VLOOKUP(A502,Feuil2!$A$2:$M$1241,7,FALSE)," ")</f>
        <v xml:space="preserve"> </v>
      </c>
      <c r="J502" s="1" t="str">
        <f>IF(B502=0,VLOOKUP(A502,Feuil2!$A$2:$M$1241,9,FALSE)," ")</f>
        <v xml:space="preserve"> </v>
      </c>
      <c r="K502" s="1" t="str">
        <f>IF(B502=0,VLOOKUP(A502,Feuil2!$A$2:$M$1241,10,FALSE)," ")</f>
        <v xml:space="preserve"> </v>
      </c>
      <c r="L502" s="1"/>
      <c r="M502" s="1"/>
      <c r="N502" s="1"/>
      <c r="O502" s="8" t="str">
        <f>IF(B502=0,VLOOKUP(A502,Feuil2!$A$2:$M$1241,13,FALSE)," ")</f>
        <v xml:space="preserve"> </v>
      </c>
    </row>
    <row r="503" spans="1:15" x14ac:dyDescent="0.3">
      <c r="A503" s="1">
        <v>1829</v>
      </c>
      <c r="B503" s="1">
        <v>0</v>
      </c>
      <c r="C503" s="1" t="str">
        <f>IF(B503=0,VLOOKUP(A503,Feuil2!$A$2:$M$1241,2,FALSE)," ")</f>
        <v>ATROUS</v>
      </c>
      <c r="D503" s="1" t="str">
        <f>IF(B503=0,VLOOKUP(A503,Feuil2!$A$2:$M$1241,3,FALSE)," ")</f>
        <v>ANIS</v>
      </c>
      <c r="E503" s="5">
        <f>IF(B503=0,VLOOKUP(A503,Feuil2!$A$2:$M$1241,6,FALSE)," ")</f>
        <v>28317</v>
      </c>
      <c r="F503" s="1" t="str">
        <f>IF(B503=0,VLOOKUP(A503,Feuil2!$A$2:$M$1241,12,FALSE)," ")</f>
        <v>H</v>
      </c>
      <c r="G503" s="1" t="str">
        <f>IF(B503=0,VLOOKUP(A503,Feuil2!$A$2:$M$1241,11,FALSE)," ")</f>
        <v>M</v>
      </c>
      <c r="H503" s="1" t="s">
        <v>16</v>
      </c>
      <c r="I503" s="6">
        <f>IF(B503=0,VLOOKUP(A503,Feuil2!$A$2:$M$1241,7,FALSE)," ")</f>
        <v>5534826</v>
      </c>
      <c r="J503" s="1" t="str">
        <f>IF(B503=0,VLOOKUP(A503,Feuil2!$A$2:$M$1241,9,FALSE)," ")</f>
        <v>NULL</v>
      </c>
      <c r="K503" s="1" t="str">
        <f>IF(B503=0,VLOOKUP(A503,Feuil2!$A$2:$M$1241,10,FALSE)," ")</f>
        <v>Knaies 4014</v>
      </c>
      <c r="L503" s="1">
        <v>4014</v>
      </c>
      <c r="M503" s="1">
        <v>22858588</v>
      </c>
      <c r="N503" s="1"/>
      <c r="O503" s="8" t="str">
        <f>IF(B503=0,VLOOKUP(A503,Feuil2!$A$2:$M$1241,13,FALSE)," ")</f>
        <v>08050020052000541156</v>
      </c>
    </row>
    <row r="504" spans="1:15" x14ac:dyDescent="0.3">
      <c r="A504" s="1">
        <v>1829</v>
      </c>
      <c r="B504" s="1">
        <v>1</v>
      </c>
      <c r="C504" s="1" t="s">
        <v>2543</v>
      </c>
      <c r="D504" s="1" t="s">
        <v>1541</v>
      </c>
      <c r="E504" s="5">
        <v>33605</v>
      </c>
      <c r="F504" s="1" t="s">
        <v>17</v>
      </c>
      <c r="G504" s="1" t="s">
        <v>15</v>
      </c>
      <c r="H504" s="1" t="s">
        <v>16</v>
      </c>
      <c r="I504" s="6" t="str">
        <f>IF(B504=0,VLOOKUP(A504,Feuil2!$A$2:$M$1241,7,FALSE)," ")</f>
        <v xml:space="preserve"> </v>
      </c>
      <c r="J504" s="1" t="str">
        <f>IF(B504=0,VLOOKUP(A504,Feuil2!$A$2:$M$1241,9,FALSE)," ")</f>
        <v xml:space="preserve"> </v>
      </c>
      <c r="K504" s="1" t="str">
        <f>IF(B504=0,VLOOKUP(A504,Feuil2!$A$2:$M$1241,10,FALSE)," ")</f>
        <v xml:space="preserve"> </v>
      </c>
      <c r="L504" s="1"/>
      <c r="M504" s="1"/>
      <c r="N504" s="1"/>
      <c r="O504" s="8" t="str">
        <f>IF(B504=0,VLOOKUP(A504,Feuil2!$A$2:$M$1241,13,FALSE)," ")</f>
        <v xml:space="preserve"> </v>
      </c>
    </row>
    <row r="505" spans="1:15" x14ac:dyDescent="0.3">
      <c r="A505" s="1">
        <v>1829</v>
      </c>
      <c r="B505" s="1">
        <v>2</v>
      </c>
      <c r="C505" s="1" t="s">
        <v>467</v>
      </c>
      <c r="D505" s="1" t="s">
        <v>2404</v>
      </c>
      <c r="E505" s="5">
        <v>42002</v>
      </c>
      <c r="F505" s="1" t="s">
        <v>506</v>
      </c>
      <c r="G505" s="1" t="str">
        <f>IF(B505=0,VLOOKUP(A505,Feuil2!$A$2:$M$1241,11,FALSE)," ")</f>
        <v xml:space="preserve"> </v>
      </c>
      <c r="H505" s="1" t="s">
        <v>16</v>
      </c>
      <c r="I505" s="6" t="str">
        <f>IF(B505=0,VLOOKUP(A505,Feuil2!$A$2:$M$1241,7,FALSE)," ")</f>
        <v xml:space="preserve"> </v>
      </c>
      <c r="J505" s="1" t="str">
        <f>IF(B505=0,VLOOKUP(A505,Feuil2!$A$2:$M$1241,9,FALSE)," ")</f>
        <v xml:space="preserve"> </v>
      </c>
      <c r="K505" s="1" t="str">
        <f>IF(B505=0,VLOOKUP(A505,Feuil2!$A$2:$M$1241,10,FALSE)," ")</f>
        <v xml:space="preserve"> </v>
      </c>
      <c r="L505" s="1"/>
      <c r="M505" s="1"/>
      <c r="N505" s="1"/>
      <c r="O505" s="8" t="str">
        <f>IF(B505=0,VLOOKUP(A505,Feuil2!$A$2:$M$1241,13,FALSE)," ")</f>
        <v xml:space="preserve"> </v>
      </c>
    </row>
    <row r="506" spans="1:15" x14ac:dyDescent="0.3">
      <c r="A506" s="1">
        <v>1829</v>
      </c>
      <c r="B506" s="1">
        <v>3</v>
      </c>
      <c r="C506" s="1" t="s">
        <v>467</v>
      </c>
      <c r="D506" s="1" t="s">
        <v>2501</v>
      </c>
      <c r="E506" s="5">
        <v>43303</v>
      </c>
      <c r="F506" s="1" t="s">
        <v>17</v>
      </c>
      <c r="G506" s="1" t="str">
        <f>IF(B506=0,VLOOKUP(A506,Feuil2!$A$2:$M$1241,11,FALSE)," ")</f>
        <v xml:space="preserve"> </v>
      </c>
      <c r="H506" s="1" t="s">
        <v>16</v>
      </c>
      <c r="I506" s="6" t="str">
        <f>IF(B506=0,VLOOKUP(A506,Feuil2!$A$2:$M$1241,7,FALSE)," ")</f>
        <v xml:space="preserve"> </v>
      </c>
      <c r="J506" s="1" t="str">
        <f>IF(B506=0,VLOOKUP(A506,Feuil2!$A$2:$M$1241,9,FALSE)," ")</f>
        <v xml:space="preserve"> </v>
      </c>
      <c r="K506" s="1" t="str">
        <f>IF(B506=0,VLOOKUP(A506,Feuil2!$A$2:$M$1241,10,FALSE)," ")</f>
        <v xml:space="preserve"> </v>
      </c>
      <c r="L506" s="1"/>
      <c r="M506" s="1"/>
      <c r="N506" s="1"/>
      <c r="O506" s="8" t="str">
        <f>IF(B506=0,VLOOKUP(A506,Feuil2!$A$2:$M$1241,13,FALSE)," ")</f>
        <v xml:space="preserve"> </v>
      </c>
    </row>
    <row r="507" spans="1:15" x14ac:dyDescent="0.3">
      <c r="A507" s="1">
        <v>1834</v>
      </c>
      <c r="B507" s="1">
        <v>0</v>
      </c>
      <c r="C507" s="1" t="str">
        <f>IF(B507=0,VLOOKUP(A507,Feuil2!$A$2:$M$1241,2,FALSE)," ")</f>
        <v>SMIDA</v>
      </c>
      <c r="D507" s="1" t="str">
        <f>IF(B507=0,VLOOKUP(A507,Feuil2!$A$2:$M$1241,3,FALSE)," ")</f>
        <v>ZIED</v>
      </c>
      <c r="E507" s="5">
        <f>IF(B507=0,VLOOKUP(A507,Feuil2!$A$2:$M$1241,6,FALSE)," ")</f>
        <v>27639</v>
      </c>
      <c r="F507" s="1" t="str">
        <f>IF(B507=0,VLOOKUP(A507,Feuil2!$A$2:$M$1241,12,FALSE)," ")</f>
        <v>H</v>
      </c>
      <c r="G507" s="1" t="str">
        <f>IF(B507=0,VLOOKUP(A507,Feuil2!$A$2:$M$1241,11,FALSE)," ")</f>
        <v>M</v>
      </c>
      <c r="H507" s="1" t="s">
        <v>16</v>
      </c>
      <c r="I507" s="6">
        <f>IF(B507=0,VLOOKUP(A507,Feuil2!$A$2:$M$1241,7,FALSE)," ")</f>
        <v>5561347</v>
      </c>
      <c r="J507" s="1" t="str">
        <f>IF(B507=0,VLOOKUP(A507,Feuil2!$A$2:$M$1241,9,FALSE)," ")</f>
        <v>NULL</v>
      </c>
      <c r="K507" s="1" t="str">
        <f>IF(B507=0,VLOOKUP(A507,Feuil2!$A$2:$M$1241,10,FALSE)," ")</f>
        <v>Knaies 4014</v>
      </c>
      <c r="L507" s="1">
        <v>4014</v>
      </c>
      <c r="M507" s="1">
        <v>28333756</v>
      </c>
      <c r="N507" s="1"/>
      <c r="O507" s="8" t="str">
        <f>IF(B507=0,VLOOKUP(A507,Feuil2!$A$2:$M$1241,13,FALSE)," ")</f>
        <v>04204067404001336131</v>
      </c>
    </row>
    <row r="508" spans="1:15" x14ac:dyDescent="0.3">
      <c r="A508" s="1">
        <v>1834</v>
      </c>
      <c r="B508" s="1">
        <v>1</v>
      </c>
      <c r="C508" s="1" t="s">
        <v>148</v>
      </c>
      <c r="D508" s="1" t="s">
        <v>1541</v>
      </c>
      <c r="E508" s="5">
        <v>30501</v>
      </c>
      <c r="F508" s="1" t="s">
        <v>17</v>
      </c>
      <c r="G508" s="1" t="s">
        <v>15</v>
      </c>
      <c r="H508" s="1" t="s">
        <v>16</v>
      </c>
      <c r="I508" s="6" t="str">
        <f>IF(B508=0,VLOOKUP(A508,Feuil2!$A$2:$M$1241,7,FALSE)," ")</f>
        <v xml:space="preserve"> </v>
      </c>
      <c r="J508" s="1" t="str">
        <f>IF(B508=0,VLOOKUP(A508,Feuil2!$A$2:$M$1241,9,FALSE)," ")</f>
        <v xml:space="preserve"> </v>
      </c>
      <c r="K508" s="1" t="str">
        <f>IF(B508=0,VLOOKUP(A508,Feuil2!$A$2:$M$1241,10,FALSE)," ")</f>
        <v xml:space="preserve"> </v>
      </c>
      <c r="L508" s="1"/>
      <c r="M508" s="1"/>
      <c r="N508" s="1"/>
      <c r="O508" s="8" t="str">
        <f>IF(B508=0,VLOOKUP(A508,Feuil2!$A$2:$M$1241,13,FALSE)," ")</f>
        <v xml:space="preserve"> </v>
      </c>
    </row>
    <row r="509" spans="1:15" x14ac:dyDescent="0.3">
      <c r="A509" s="1">
        <v>1834</v>
      </c>
      <c r="B509" s="1">
        <v>2</v>
      </c>
      <c r="C509" s="1" t="s">
        <v>310</v>
      </c>
      <c r="D509" s="1" t="s">
        <v>2384</v>
      </c>
      <c r="E509" s="5">
        <v>39152</v>
      </c>
      <c r="F509" s="1" t="s">
        <v>17</v>
      </c>
      <c r="G509" s="1" t="str">
        <f>IF(B509=0,VLOOKUP(A509,Feuil2!$A$2:$M$1241,11,FALSE)," ")</f>
        <v xml:space="preserve"> </v>
      </c>
      <c r="H509" s="1" t="s">
        <v>16</v>
      </c>
      <c r="I509" s="6" t="str">
        <f>IF(B509=0,VLOOKUP(A509,Feuil2!$A$2:$M$1241,7,FALSE)," ")</f>
        <v xml:space="preserve"> </v>
      </c>
      <c r="J509" s="1" t="str">
        <f>IF(B509=0,VLOOKUP(A509,Feuil2!$A$2:$M$1241,9,FALSE)," ")</f>
        <v xml:space="preserve"> </v>
      </c>
      <c r="K509" s="1" t="str">
        <f>IF(B509=0,VLOOKUP(A509,Feuil2!$A$2:$M$1241,10,FALSE)," ")</f>
        <v xml:space="preserve"> </v>
      </c>
      <c r="L509" s="1"/>
      <c r="M509" s="1"/>
      <c r="N509" s="1"/>
      <c r="O509" s="8" t="str">
        <f>IF(B509=0,VLOOKUP(A509,Feuil2!$A$2:$M$1241,13,FALSE)," ")</f>
        <v xml:space="preserve"> </v>
      </c>
    </row>
    <row r="510" spans="1:15" x14ac:dyDescent="0.3">
      <c r="A510" s="1">
        <v>1834</v>
      </c>
      <c r="B510" s="1">
        <v>3</v>
      </c>
      <c r="C510" s="1" t="s">
        <v>310</v>
      </c>
      <c r="D510" s="1" t="s">
        <v>2423</v>
      </c>
      <c r="E510" s="5">
        <v>39713</v>
      </c>
      <c r="F510" s="1" t="s">
        <v>506</v>
      </c>
      <c r="G510" s="1" t="str">
        <f>IF(B510=0,VLOOKUP(A510,Feuil2!$A$2:$M$1241,11,FALSE)," ")</f>
        <v xml:space="preserve"> </v>
      </c>
      <c r="H510" s="1" t="s">
        <v>16</v>
      </c>
      <c r="I510" s="6" t="str">
        <f>IF(B510=0,VLOOKUP(A510,Feuil2!$A$2:$M$1241,7,FALSE)," ")</f>
        <v xml:space="preserve"> </v>
      </c>
      <c r="J510" s="1" t="str">
        <f>IF(B510=0,VLOOKUP(A510,Feuil2!$A$2:$M$1241,9,FALSE)," ")</f>
        <v xml:space="preserve"> </v>
      </c>
      <c r="K510" s="1" t="str">
        <f>IF(B510=0,VLOOKUP(A510,Feuil2!$A$2:$M$1241,10,FALSE)," ")</f>
        <v xml:space="preserve"> </v>
      </c>
      <c r="L510" s="1"/>
      <c r="M510" s="1"/>
      <c r="N510" s="1"/>
      <c r="O510" s="8" t="str">
        <f>IF(B510=0,VLOOKUP(A510,Feuil2!$A$2:$M$1241,13,FALSE)," ")</f>
        <v xml:space="preserve"> </v>
      </c>
    </row>
    <row r="511" spans="1:15" x14ac:dyDescent="0.3">
      <c r="A511" s="1">
        <v>1834</v>
      </c>
      <c r="B511" s="1">
        <v>4</v>
      </c>
      <c r="C511" s="1" t="s">
        <v>310</v>
      </c>
      <c r="D511" s="1" t="s">
        <v>2446</v>
      </c>
      <c r="E511" s="5">
        <v>41219</v>
      </c>
      <c r="F511" s="1" t="s">
        <v>17</v>
      </c>
      <c r="G511" s="1" t="str">
        <f>IF(B511=0,VLOOKUP(A511,Feuil2!$A$2:$M$1241,11,FALSE)," ")</f>
        <v xml:space="preserve"> </v>
      </c>
      <c r="H511" s="1" t="s">
        <v>16</v>
      </c>
      <c r="I511" s="6" t="str">
        <f>IF(B511=0,VLOOKUP(A511,Feuil2!$A$2:$M$1241,7,FALSE)," ")</f>
        <v xml:space="preserve"> </v>
      </c>
      <c r="J511" s="1" t="str">
        <f>IF(B511=0,VLOOKUP(A511,Feuil2!$A$2:$M$1241,9,FALSE)," ")</f>
        <v xml:space="preserve"> </v>
      </c>
      <c r="K511" s="1" t="str">
        <f>IF(B511=0,VLOOKUP(A511,Feuil2!$A$2:$M$1241,10,FALSE)," ")</f>
        <v xml:space="preserve"> </v>
      </c>
      <c r="L511" s="1"/>
      <c r="M511" s="1"/>
      <c r="N511" s="1"/>
      <c r="O511" s="8" t="str">
        <f>IF(B511=0,VLOOKUP(A511,Feuil2!$A$2:$M$1241,13,FALSE)," ")</f>
        <v xml:space="preserve"> </v>
      </c>
    </row>
    <row r="512" spans="1:15" x14ac:dyDescent="0.3">
      <c r="A512" s="1">
        <v>1836</v>
      </c>
      <c r="B512" s="1">
        <v>0</v>
      </c>
      <c r="C512" s="1" t="str">
        <f>IF(B512=0,VLOOKUP(A512,Feuil2!$A$2:$M$1241,2,FALSE)," ")</f>
        <v>BEN KALIA</v>
      </c>
      <c r="D512" s="1" t="str">
        <f>IF(B512=0,VLOOKUP(A512,Feuil2!$A$2:$M$1241,3,FALSE)," ")</f>
        <v>LOTFI</v>
      </c>
      <c r="E512" s="5">
        <f>IF(B512=0,VLOOKUP(A512,Feuil2!$A$2:$M$1241,6,FALSE)," ")</f>
        <v>26525</v>
      </c>
      <c r="F512" s="1" t="str">
        <f>IF(B512=0,VLOOKUP(A512,Feuil2!$A$2:$M$1241,12,FALSE)," ")</f>
        <v>H</v>
      </c>
      <c r="G512" s="1" t="str">
        <f>IF(B512=0,VLOOKUP(A512,Feuil2!$A$2:$M$1241,11,FALSE)," ")</f>
        <v>M</v>
      </c>
      <c r="H512" s="1" t="s">
        <v>16</v>
      </c>
      <c r="I512" s="6">
        <f>IF(B512=0,VLOOKUP(A512,Feuil2!$A$2:$M$1241,7,FALSE)," ")</f>
        <v>5511684</v>
      </c>
      <c r="J512" s="1" t="str">
        <f>IF(B512=0,VLOOKUP(A512,Feuil2!$A$2:$M$1241,9,FALSE)," ")</f>
        <v>19, Rue Omar El Mokhtar</v>
      </c>
      <c r="K512" s="1" t="str">
        <f>IF(B512=0,VLOOKUP(A512,Feuil2!$A$2:$M$1241,10,FALSE)," ")</f>
        <v>Msaken 4070</v>
      </c>
      <c r="L512" s="1">
        <v>4070</v>
      </c>
      <c r="M512" s="1">
        <v>97451615</v>
      </c>
      <c r="N512" s="1"/>
      <c r="O512" s="8" t="str">
        <f>IF(B512=0,VLOOKUP(A512,Feuil2!$A$2:$M$1241,13,FALSE)," ")</f>
        <v>12505000580103514269</v>
      </c>
    </row>
    <row r="513" spans="1:15" x14ac:dyDescent="0.3">
      <c r="A513" s="1">
        <v>1836</v>
      </c>
      <c r="B513" s="1">
        <v>1</v>
      </c>
      <c r="C513" s="1" t="s">
        <v>475</v>
      </c>
      <c r="D513" s="1" t="s">
        <v>2513</v>
      </c>
      <c r="E513" s="5">
        <v>28434</v>
      </c>
      <c r="F513" s="1" t="s">
        <v>17</v>
      </c>
      <c r="G513" s="1" t="s">
        <v>15</v>
      </c>
      <c r="H513" s="1" t="s">
        <v>16</v>
      </c>
      <c r="I513" s="6" t="str">
        <f>IF(B513=0,VLOOKUP(A513,Feuil2!$A$2:$M$1241,7,FALSE)," ")</f>
        <v xml:space="preserve"> </v>
      </c>
      <c r="J513" s="1" t="str">
        <f>IF(B513=0,VLOOKUP(A513,Feuil2!$A$2:$M$1241,9,FALSE)," ")</f>
        <v xml:space="preserve"> </v>
      </c>
      <c r="K513" s="1" t="str">
        <f>IF(B513=0,VLOOKUP(A513,Feuil2!$A$2:$M$1241,10,FALSE)," ")</f>
        <v xml:space="preserve"> </v>
      </c>
      <c r="L513" s="1"/>
      <c r="M513" s="1"/>
      <c r="N513" s="1"/>
      <c r="O513" s="8" t="str">
        <f>IF(B513=0,VLOOKUP(A513,Feuil2!$A$2:$M$1241,13,FALSE)," ")</f>
        <v xml:space="preserve"> </v>
      </c>
    </row>
    <row r="514" spans="1:15" x14ac:dyDescent="0.3">
      <c r="A514" s="1">
        <v>1836</v>
      </c>
      <c r="B514" s="1">
        <v>2</v>
      </c>
      <c r="C514" s="1" t="s">
        <v>1754</v>
      </c>
      <c r="D514" s="1" t="s">
        <v>122</v>
      </c>
      <c r="E514" s="5">
        <v>36272</v>
      </c>
      <c r="F514" s="1" t="s">
        <v>506</v>
      </c>
      <c r="G514" s="1" t="str">
        <f>IF(B514=0,VLOOKUP(A514,Feuil2!$A$2:$M$1241,11,FALSE)," ")</f>
        <v xml:space="preserve"> </v>
      </c>
      <c r="H514" s="1" t="s">
        <v>16</v>
      </c>
      <c r="I514" s="6" t="str">
        <f>IF(B514=0,VLOOKUP(A514,Feuil2!$A$2:$M$1241,7,FALSE)," ")</f>
        <v xml:space="preserve"> </v>
      </c>
      <c r="J514" s="1" t="str">
        <f>IF(B514=0,VLOOKUP(A514,Feuil2!$A$2:$M$1241,9,FALSE)," ")</f>
        <v xml:space="preserve"> </v>
      </c>
      <c r="K514" s="1" t="str">
        <f>IF(B514=0,VLOOKUP(A514,Feuil2!$A$2:$M$1241,10,FALSE)," ")</f>
        <v xml:space="preserve"> </v>
      </c>
      <c r="L514" s="1"/>
      <c r="M514" s="1"/>
      <c r="N514" s="1"/>
      <c r="O514" s="8" t="str">
        <f>IF(B514=0,VLOOKUP(A514,Feuil2!$A$2:$M$1241,13,FALSE)," ")</f>
        <v xml:space="preserve"> </v>
      </c>
    </row>
    <row r="515" spans="1:15" x14ac:dyDescent="0.3">
      <c r="A515" s="1">
        <v>1836</v>
      </c>
      <c r="B515" s="1">
        <v>3</v>
      </c>
      <c r="C515" s="1" t="s">
        <v>1754</v>
      </c>
      <c r="D515" s="1" t="s">
        <v>2388</v>
      </c>
      <c r="E515" s="5">
        <v>37376</v>
      </c>
      <c r="F515" s="1" t="s">
        <v>506</v>
      </c>
      <c r="G515" s="1" t="str">
        <f>IF(B515=0,VLOOKUP(A515,Feuil2!$A$2:$M$1241,11,FALSE)," ")</f>
        <v xml:space="preserve"> </v>
      </c>
      <c r="H515" s="1" t="s">
        <v>16</v>
      </c>
      <c r="I515" s="6" t="str">
        <f>IF(B515=0,VLOOKUP(A515,Feuil2!$A$2:$M$1241,7,FALSE)," ")</f>
        <v xml:space="preserve"> </v>
      </c>
      <c r="J515" s="1" t="str">
        <f>IF(B515=0,VLOOKUP(A515,Feuil2!$A$2:$M$1241,9,FALSE)," ")</f>
        <v xml:space="preserve"> </v>
      </c>
      <c r="K515" s="1" t="str">
        <f>IF(B515=0,VLOOKUP(A515,Feuil2!$A$2:$M$1241,10,FALSE)," ")</f>
        <v xml:space="preserve"> </v>
      </c>
      <c r="L515" s="1"/>
      <c r="M515" s="1"/>
      <c r="N515" s="1"/>
      <c r="O515" s="8" t="str">
        <f>IF(B515=0,VLOOKUP(A515,Feuil2!$A$2:$M$1241,13,FALSE)," ")</f>
        <v xml:space="preserve"> </v>
      </c>
    </row>
    <row r="516" spans="1:15" x14ac:dyDescent="0.3">
      <c r="A516" s="1">
        <v>1836</v>
      </c>
      <c r="B516" s="1">
        <v>4</v>
      </c>
      <c r="C516" s="1" t="s">
        <v>1754</v>
      </c>
      <c r="D516" s="1" t="s">
        <v>404</v>
      </c>
      <c r="E516" s="5">
        <v>40131</v>
      </c>
      <c r="F516" s="1" t="s">
        <v>17</v>
      </c>
      <c r="G516" s="1" t="str">
        <f>IF(B516=0,VLOOKUP(A516,Feuil2!$A$2:$M$1241,11,FALSE)," ")</f>
        <v xml:space="preserve"> </v>
      </c>
      <c r="H516" s="1" t="s">
        <v>16</v>
      </c>
      <c r="I516" s="6" t="str">
        <f>IF(B516=0,VLOOKUP(A516,Feuil2!$A$2:$M$1241,7,FALSE)," ")</f>
        <v xml:space="preserve"> </v>
      </c>
      <c r="J516" s="1" t="str">
        <f>IF(B516=0,VLOOKUP(A516,Feuil2!$A$2:$M$1241,9,FALSE)," ")</f>
        <v xml:space="preserve"> </v>
      </c>
      <c r="K516" s="1" t="str">
        <f>IF(B516=0,VLOOKUP(A516,Feuil2!$A$2:$M$1241,10,FALSE)," ")</f>
        <v xml:space="preserve"> </v>
      </c>
      <c r="L516" s="1"/>
      <c r="M516" s="1"/>
      <c r="N516" s="1"/>
      <c r="O516" s="8" t="str">
        <f>IF(B516=0,VLOOKUP(A516,Feuil2!$A$2:$M$1241,13,FALSE)," ")</f>
        <v xml:space="preserve"> </v>
      </c>
    </row>
    <row r="517" spans="1:15" x14ac:dyDescent="0.3">
      <c r="A517" s="1">
        <v>1851</v>
      </c>
      <c r="B517" s="1">
        <v>0</v>
      </c>
      <c r="C517" s="1" t="str">
        <f>IF(B517=0,VLOOKUP(A517,Feuil2!$A$2:$M$1241,2,FALSE)," ")</f>
        <v>ATTIA</v>
      </c>
      <c r="D517" s="1" t="str">
        <f>IF(B517=0,VLOOKUP(A517,Feuil2!$A$2:$M$1241,3,FALSE)," ")</f>
        <v>FAYCAL</v>
      </c>
      <c r="E517" s="5">
        <f>IF(B517=0,VLOOKUP(A517,Feuil2!$A$2:$M$1241,6,FALSE)," ")</f>
        <v>25778</v>
      </c>
      <c r="F517" s="1" t="str">
        <f>IF(B517=0,VLOOKUP(A517,Feuil2!$A$2:$M$1241,12,FALSE)," ")</f>
        <v>H</v>
      </c>
      <c r="G517" s="1" t="str">
        <f>IF(B517=0,VLOOKUP(A517,Feuil2!$A$2:$M$1241,11,FALSE)," ")</f>
        <v>M</v>
      </c>
      <c r="H517" s="1" t="s">
        <v>16</v>
      </c>
      <c r="I517" s="6">
        <f>IF(B517=0,VLOOKUP(A517,Feuil2!$A$2:$M$1241,7,FALSE)," ")</f>
        <v>5505959</v>
      </c>
      <c r="J517" s="1" t="str">
        <f>IF(B517=0,VLOOKUP(A517,Feuil2!$A$2:$M$1241,9,FALSE)," ")</f>
        <v>63 Rue Tahar Sfar</v>
      </c>
      <c r="K517" s="1" t="str">
        <f>IF(B517=0,VLOOKUP(A517,Feuil2!$A$2:$M$1241,10,FALSE)," ")</f>
        <v>Msaken 4070</v>
      </c>
      <c r="L517" s="1">
        <v>4070</v>
      </c>
      <c r="M517" s="1">
        <v>98783245</v>
      </c>
      <c r="N517" s="1"/>
      <c r="O517" s="8" t="str">
        <f>IF(B517=0,VLOOKUP(A517,Feuil2!$A$2:$M$1241,13,FALSE)," ")</f>
        <v>05048000116500060558</v>
      </c>
    </row>
    <row r="518" spans="1:15" x14ac:dyDescent="0.3">
      <c r="A518" s="1">
        <v>1851</v>
      </c>
      <c r="B518" s="1">
        <v>1</v>
      </c>
      <c r="C518" s="1" t="s">
        <v>2472</v>
      </c>
      <c r="D518" s="1" t="s">
        <v>2473</v>
      </c>
      <c r="E518" s="5">
        <v>30373</v>
      </c>
      <c r="F518" s="1" t="s">
        <v>17</v>
      </c>
      <c r="G518" s="1" t="s">
        <v>15</v>
      </c>
      <c r="H518" s="1" t="s">
        <v>16</v>
      </c>
      <c r="I518" s="6" t="str">
        <f>IF(B518=0,VLOOKUP(A518,Feuil2!$A$2:$M$1241,7,FALSE)," ")</f>
        <v xml:space="preserve"> </v>
      </c>
      <c r="J518" s="1" t="str">
        <f>IF(B518=0,VLOOKUP(A518,Feuil2!$A$2:$M$1241,9,FALSE)," ")</f>
        <v xml:space="preserve"> </v>
      </c>
      <c r="K518" s="1" t="str">
        <f>IF(B518=0,VLOOKUP(A518,Feuil2!$A$2:$M$1241,10,FALSE)," ")</f>
        <v xml:space="preserve"> </v>
      </c>
      <c r="L518" s="1"/>
      <c r="M518" s="1"/>
      <c r="N518" s="1"/>
      <c r="O518" s="8" t="str">
        <f>IF(B518=0,VLOOKUP(A518,Feuil2!$A$2:$M$1241,13,FALSE)," ")</f>
        <v xml:space="preserve"> </v>
      </c>
    </row>
    <row r="519" spans="1:15" x14ac:dyDescent="0.3">
      <c r="A519" s="1">
        <v>1851</v>
      </c>
      <c r="B519" s="1">
        <v>2</v>
      </c>
      <c r="C519" s="1" t="s">
        <v>57</v>
      </c>
      <c r="D519" s="1" t="s">
        <v>416</v>
      </c>
      <c r="E519" s="5">
        <v>38531</v>
      </c>
      <c r="F519" s="1" t="s">
        <v>17</v>
      </c>
      <c r="G519" s="1" t="str">
        <f>IF(B519=0,VLOOKUP(A519,Feuil2!$A$2:$M$1241,11,FALSE)," ")</f>
        <v xml:space="preserve"> </v>
      </c>
      <c r="H519" s="1" t="s">
        <v>16</v>
      </c>
      <c r="I519" s="6" t="str">
        <f>IF(B519=0,VLOOKUP(A519,Feuil2!$A$2:$M$1241,7,FALSE)," ")</f>
        <v xml:space="preserve"> </v>
      </c>
      <c r="J519" s="1" t="str">
        <f>IF(B519=0,VLOOKUP(A519,Feuil2!$A$2:$M$1241,9,FALSE)," ")</f>
        <v xml:space="preserve"> </v>
      </c>
      <c r="K519" s="1" t="str">
        <f>IF(B519=0,VLOOKUP(A519,Feuil2!$A$2:$M$1241,10,FALSE)," ")</f>
        <v xml:space="preserve"> </v>
      </c>
      <c r="L519" s="1"/>
      <c r="M519" s="1"/>
      <c r="N519" s="1"/>
      <c r="O519" s="8" t="str">
        <f>IF(B519=0,VLOOKUP(A519,Feuil2!$A$2:$M$1241,13,FALSE)," ")</f>
        <v xml:space="preserve"> </v>
      </c>
    </row>
    <row r="520" spans="1:15" x14ac:dyDescent="0.3">
      <c r="A520" s="1">
        <v>1851</v>
      </c>
      <c r="B520" s="1">
        <v>3</v>
      </c>
      <c r="C520" s="1" t="s">
        <v>57</v>
      </c>
      <c r="D520" s="1" t="s">
        <v>61</v>
      </c>
      <c r="E520" s="5">
        <v>40455</v>
      </c>
      <c r="F520" s="1" t="s">
        <v>506</v>
      </c>
      <c r="G520" s="1" t="str">
        <f>IF(B520=0,VLOOKUP(A520,Feuil2!$A$2:$M$1241,11,FALSE)," ")</f>
        <v xml:space="preserve"> </v>
      </c>
      <c r="H520" s="1" t="s">
        <v>16</v>
      </c>
      <c r="I520" s="6" t="str">
        <f>IF(B520=0,VLOOKUP(A520,Feuil2!$A$2:$M$1241,7,FALSE)," ")</f>
        <v xml:space="preserve"> </v>
      </c>
      <c r="J520" s="1" t="str">
        <f>IF(B520=0,VLOOKUP(A520,Feuil2!$A$2:$M$1241,9,FALSE)," ")</f>
        <v xml:space="preserve"> </v>
      </c>
      <c r="K520" s="1" t="str">
        <f>IF(B520=0,VLOOKUP(A520,Feuil2!$A$2:$M$1241,10,FALSE)," ")</f>
        <v xml:space="preserve"> </v>
      </c>
      <c r="L520" s="1"/>
      <c r="M520" s="1"/>
      <c r="N520" s="1"/>
      <c r="O520" s="8" t="str">
        <f>IF(B520=0,VLOOKUP(A520,Feuil2!$A$2:$M$1241,13,FALSE)," ")</f>
        <v xml:space="preserve"> </v>
      </c>
    </row>
    <row r="521" spans="1:15" x14ac:dyDescent="0.3">
      <c r="A521" s="1">
        <v>1851</v>
      </c>
      <c r="B521" s="1">
        <v>4</v>
      </c>
      <c r="C521" s="1" t="s">
        <v>57</v>
      </c>
      <c r="D521" s="1" t="s">
        <v>89</v>
      </c>
      <c r="E521" s="5">
        <v>41535</v>
      </c>
      <c r="F521" s="1" t="s">
        <v>506</v>
      </c>
      <c r="G521" s="1" t="str">
        <f>IF(B521=0,VLOOKUP(A521,Feuil2!$A$2:$M$1241,11,FALSE)," ")</f>
        <v xml:space="preserve"> </v>
      </c>
      <c r="H521" s="1" t="s">
        <v>16</v>
      </c>
      <c r="I521" s="6" t="str">
        <f>IF(B521=0,VLOOKUP(A521,Feuil2!$A$2:$M$1241,7,FALSE)," ")</f>
        <v xml:space="preserve"> </v>
      </c>
      <c r="J521" s="1" t="str">
        <f>IF(B521=0,VLOOKUP(A521,Feuil2!$A$2:$M$1241,9,FALSE)," ")</f>
        <v xml:space="preserve"> </v>
      </c>
      <c r="K521" s="1" t="str">
        <f>IF(B521=0,VLOOKUP(A521,Feuil2!$A$2:$M$1241,10,FALSE)," ")</f>
        <v xml:space="preserve"> </v>
      </c>
      <c r="L521" s="1"/>
      <c r="M521" s="1"/>
      <c r="N521" s="1"/>
      <c r="O521" s="8" t="str">
        <f>IF(B521=0,VLOOKUP(A521,Feuil2!$A$2:$M$1241,13,FALSE)," ")</f>
        <v xml:space="preserve"> </v>
      </c>
    </row>
    <row r="522" spans="1:15" x14ac:dyDescent="0.3">
      <c r="A522" s="1">
        <v>1861</v>
      </c>
      <c r="B522" s="1">
        <v>0</v>
      </c>
      <c r="C522" s="1" t="str">
        <f>IF(B522=0,VLOOKUP(A522,Feuil2!$A$2:$M$1241,2,FALSE)," ")</f>
        <v>BOUHLEL</v>
      </c>
      <c r="D522" s="1" t="str">
        <f>IF(B522=0,VLOOKUP(A522,Feuil2!$A$2:$M$1241,3,FALSE)," ")</f>
        <v>ANIS BEN MUSTAPHA</v>
      </c>
      <c r="E522" s="5">
        <f>IF(B522=0,VLOOKUP(A522,Feuil2!$A$2:$M$1241,6,FALSE)," ")</f>
        <v>29470</v>
      </c>
      <c r="F522" s="1" t="str">
        <f>IF(B522=0,VLOOKUP(A522,Feuil2!$A$2:$M$1241,12,FALSE)," ")</f>
        <v>H</v>
      </c>
      <c r="G522" s="1" t="str">
        <f>IF(B522=0,VLOOKUP(A522,Feuil2!$A$2:$M$1241,11,FALSE)," ")</f>
        <v>M</v>
      </c>
      <c r="H522" s="1" t="s">
        <v>16</v>
      </c>
      <c r="I522" s="6">
        <f>IF(B522=0,VLOOKUP(A522,Feuil2!$A$2:$M$1241,7,FALSE)," ")</f>
        <v>8451166</v>
      </c>
      <c r="J522" s="1" t="str">
        <f>IF(B522=0,VLOOKUP(A522,Feuil2!$A$2:$M$1241,9,FALSE)," ")</f>
        <v>Rue Ksar Helal</v>
      </c>
      <c r="K522" s="1" t="str">
        <f>IF(B522=0,VLOOKUP(A522,Feuil2!$A$2:$M$1241,10,FALSE)," ")</f>
        <v>Msaken 4070</v>
      </c>
      <c r="L522" s="1">
        <v>4070</v>
      </c>
      <c r="M522" s="1">
        <v>50678905</v>
      </c>
      <c r="N522" s="1"/>
      <c r="O522" s="8" t="str">
        <f>IF(B522=0,VLOOKUP(A522,Feuil2!$A$2:$M$1241,13,FALSE)," ")</f>
        <v>12505000580103222493</v>
      </c>
    </row>
    <row r="523" spans="1:15" x14ac:dyDescent="0.3">
      <c r="A523" s="1">
        <v>1861</v>
      </c>
      <c r="B523" s="1">
        <v>1</v>
      </c>
      <c r="C523" s="1" t="s">
        <v>2441</v>
      </c>
      <c r="D523" s="1" t="s">
        <v>2442</v>
      </c>
      <c r="E523" s="5">
        <v>32673</v>
      </c>
      <c r="F523" s="1" t="s">
        <v>17</v>
      </c>
      <c r="G523" s="1" t="s">
        <v>15</v>
      </c>
      <c r="H523" s="1" t="s">
        <v>16</v>
      </c>
      <c r="I523" s="6" t="str">
        <f>IF(B523=0,VLOOKUP(A523,Feuil2!$A$2:$M$1241,7,FALSE)," ")</f>
        <v xml:space="preserve"> </v>
      </c>
      <c r="J523" s="1" t="str">
        <f>IF(B523=0,VLOOKUP(A523,Feuil2!$A$2:$M$1241,9,FALSE)," ")</f>
        <v xml:space="preserve"> </v>
      </c>
      <c r="K523" s="1" t="str">
        <f>IF(B523=0,VLOOKUP(A523,Feuil2!$A$2:$M$1241,10,FALSE)," ")</f>
        <v xml:space="preserve"> </v>
      </c>
      <c r="L523" s="1"/>
      <c r="M523" s="1"/>
      <c r="N523" s="1"/>
      <c r="O523" s="8" t="str">
        <f>IF(B523=0,VLOOKUP(A523,Feuil2!$A$2:$M$1241,13,FALSE)," ")</f>
        <v xml:space="preserve"> </v>
      </c>
    </row>
    <row r="524" spans="1:15" x14ac:dyDescent="0.3">
      <c r="A524" s="1">
        <v>1861</v>
      </c>
      <c r="B524" s="1">
        <v>2</v>
      </c>
      <c r="C524" s="1" t="s">
        <v>83</v>
      </c>
      <c r="D524" s="1" t="s">
        <v>2443</v>
      </c>
      <c r="E524" s="5">
        <v>40885</v>
      </c>
      <c r="F524" s="1" t="s">
        <v>17</v>
      </c>
      <c r="G524" s="1" t="str">
        <f>IF(B524=0,VLOOKUP(A524,Feuil2!$A$2:$M$1241,11,FALSE)," ")</f>
        <v xml:space="preserve"> </v>
      </c>
      <c r="H524" s="1" t="s">
        <v>16</v>
      </c>
      <c r="I524" s="6" t="str">
        <f>IF(B524=0,VLOOKUP(A524,Feuil2!$A$2:$M$1241,7,FALSE)," ")</f>
        <v xml:space="preserve"> </v>
      </c>
      <c r="J524" s="1" t="str">
        <f>IF(B524=0,VLOOKUP(A524,Feuil2!$A$2:$M$1241,9,FALSE)," ")</f>
        <v xml:space="preserve"> </v>
      </c>
      <c r="K524" s="1" t="str">
        <f>IF(B524=0,VLOOKUP(A524,Feuil2!$A$2:$M$1241,10,FALSE)," ")</f>
        <v xml:space="preserve"> </v>
      </c>
      <c r="L524" s="1"/>
      <c r="M524" s="1"/>
      <c r="N524" s="1"/>
      <c r="O524" s="8" t="str">
        <f>IF(B524=0,VLOOKUP(A524,Feuil2!$A$2:$M$1241,13,FALSE)," ")</f>
        <v xml:space="preserve"> </v>
      </c>
    </row>
    <row r="525" spans="1:15" x14ac:dyDescent="0.3">
      <c r="A525" s="1">
        <v>1861</v>
      </c>
      <c r="B525" s="1">
        <v>3</v>
      </c>
      <c r="C525" s="1" t="s">
        <v>83</v>
      </c>
      <c r="D525" s="1" t="s">
        <v>2377</v>
      </c>
      <c r="E525" s="5">
        <v>41441</v>
      </c>
      <c r="F525" s="1" t="s">
        <v>17</v>
      </c>
      <c r="G525" s="1" t="str">
        <f>IF(B525=0,VLOOKUP(A525,Feuil2!$A$2:$M$1241,11,FALSE)," ")</f>
        <v xml:space="preserve"> </v>
      </c>
      <c r="H525" s="1" t="s">
        <v>16</v>
      </c>
      <c r="I525" s="6" t="str">
        <f>IF(B525=0,VLOOKUP(A525,Feuil2!$A$2:$M$1241,7,FALSE)," ")</f>
        <v xml:space="preserve"> </v>
      </c>
      <c r="J525" s="1" t="str">
        <f>IF(B525=0,VLOOKUP(A525,Feuil2!$A$2:$M$1241,9,FALSE)," ")</f>
        <v xml:space="preserve"> </v>
      </c>
      <c r="K525" s="1" t="str">
        <f>IF(B525=0,VLOOKUP(A525,Feuil2!$A$2:$M$1241,10,FALSE)," ")</f>
        <v xml:space="preserve"> </v>
      </c>
      <c r="L525" s="1"/>
      <c r="M525" s="1"/>
      <c r="N525" s="1"/>
      <c r="O525" s="8" t="str">
        <f>IF(B525=0,VLOOKUP(A525,Feuil2!$A$2:$M$1241,13,FALSE)," ")</f>
        <v xml:space="preserve"> </v>
      </c>
    </row>
    <row r="526" spans="1:15" x14ac:dyDescent="0.3">
      <c r="A526" s="1">
        <v>1861</v>
      </c>
      <c r="B526" s="1">
        <v>4</v>
      </c>
      <c r="C526" s="1" t="s">
        <v>83</v>
      </c>
      <c r="D526" s="1" t="s">
        <v>2444</v>
      </c>
      <c r="E526" s="5">
        <v>42440</v>
      </c>
      <c r="F526" s="1" t="s">
        <v>506</v>
      </c>
      <c r="G526" s="1" t="str">
        <f>IF(B526=0,VLOOKUP(A526,Feuil2!$A$2:$M$1241,11,FALSE)," ")</f>
        <v xml:space="preserve"> </v>
      </c>
      <c r="H526" s="1" t="s">
        <v>16</v>
      </c>
      <c r="I526" s="6" t="str">
        <f>IF(B526=0,VLOOKUP(A526,Feuil2!$A$2:$M$1241,7,FALSE)," ")</f>
        <v xml:space="preserve"> </v>
      </c>
      <c r="J526" s="1" t="str">
        <f>IF(B526=0,VLOOKUP(A526,Feuil2!$A$2:$M$1241,9,FALSE)," ")</f>
        <v xml:space="preserve"> </v>
      </c>
      <c r="K526" s="1" t="str">
        <f>IF(B526=0,VLOOKUP(A526,Feuil2!$A$2:$M$1241,10,FALSE)," ")</f>
        <v xml:space="preserve"> </v>
      </c>
      <c r="L526" s="1"/>
      <c r="M526" s="1"/>
      <c r="N526" s="1"/>
      <c r="O526" s="8" t="str">
        <f>IF(B526=0,VLOOKUP(A526,Feuil2!$A$2:$M$1241,13,FALSE)," ")</f>
        <v xml:space="preserve"> </v>
      </c>
    </row>
    <row r="527" spans="1:15" x14ac:dyDescent="0.3">
      <c r="A527" s="1">
        <v>1864</v>
      </c>
      <c r="B527" s="1">
        <v>0</v>
      </c>
      <c r="C527" s="1" t="str">
        <f>IF(B527=0,VLOOKUP(A527,Feuil2!$A$2:$M$1241,2,FALSE)," ")</f>
        <v>BOUSOBINE</v>
      </c>
      <c r="D527" s="1" t="str">
        <f>IF(B527=0,VLOOKUP(A527,Feuil2!$A$2:$M$1241,3,FALSE)," ")</f>
        <v>SAFOUANE</v>
      </c>
      <c r="E527" s="5">
        <f>IF(B527=0,VLOOKUP(A527,Feuil2!$A$2:$M$1241,6,FALSE)," ")</f>
        <v>30474</v>
      </c>
      <c r="F527" s="1" t="str">
        <f>IF(B527=0,VLOOKUP(A527,Feuil2!$A$2:$M$1241,12,FALSE)," ")</f>
        <v>H</v>
      </c>
      <c r="G527" s="1" t="str">
        <f>IF(B527=0,VLOOKUP(A527,Feuil2!$A$2:$M$1241,11,FALSE)," ")</f>
        <v>M</v>
      </c>
      <c r="H527" s="1" t="s">
        <v>16</v>
      </c>
      <c r="I527" s="6">
        <f>IF(B527=0,VLOOKUP(A527,Feuil2!$A$2:$M$1241,7,FALSE)," ")</f>
        <v>8445623</v>
      </c>
      <c r="J527" s="1" t="str">
        <f>IF(B527=0,VLOOKUP(A527,Feuil2!$A$2:$M$1241,9,FALSE)," ")</f>
        <v>18 Rue Farhat Hached</v>
      </c>
      <c r="K527" s="1" t="str">
        <f>IF(B527=0,VLOOKUP(A527,Feuil2!$A$2:$M$1241,10,FALSE)," ")</f>
        <v>Msaken 4070</v>
      </c>
      <c r="L527" s="1">
        <v>4070</v>
      </c>
      <c r="M527" s="1">
        <v>54992917</v>
      </c>
      <c r="N527" s="1"/>
      <c r="O527" s="10" t="s">
        <v>2467</v>
      </c>
    </row>
    <row r="528" spans="1:15" x14ac:dyDescent="0.3">
      <c r="A528" s="1">
        <v>1864</v>
      </c>
      <c r="B528" s="1">
        <v>1</v>
      </c>
      <c r="C528" s="1" t="s">
        <v>2466</v>
      </c>
      <c r="D528" s="1" t="s">
        <v>1925</v>
      </c>
      <c r="E528" s="5">
        <v>31701</v>
      </c>
      <c r="F528" s="1" t="s">
        <v>17</v>
      </c>
      <c r="G528" s="1" t="s">
        <v>15</v>
      </c>
      <c r="H528" s="1" t="s">
        <v>16</v>
      </c>
      <c r="I528" s="6" t="str">
        <f>IF(B528=0,VLOOKUP(A528,Feuil2!$A$2:$M$1241,7,FALSE)," ")</f>
        <v xml:space="preserve"> </v>
      </c>
      <c r="J528" s="1" t="str">
        <f>IF(B528=0,VLOOKUP(A528,Feuil2!$A$2:$M$1241,9,FALSE)," ")</f>
        <v xml:space="preserve"> </v>
      </c>
      <c r="K528" s="1" t="str">
        <f>IF(B528=0,VLOOKUP(A528,Feuil2!$A$2:$M$1241,10,FALSE)," ")</f>
        <v xml:space="preserve"> </v>
      </c>
      <c r="L528" s="1"/>
      <c r="M528" s="1"/>
      <c r="N528" s="1"/>
      <c r="O528" s="8" t="str">
        <f>IF(B528=0,VLOOKUP(A528,Feuil2!$A$2:$M$1241,13,FALSE)," ")</f>
        <v xml:space="preserve"> </v>
      </c>
    </row>
    <row r="529" spans="1:15" x14ac:dyDescent="0.3">
      <c r="A529" s="1">
        <v>1864</v>
      </c>
      <c r="B529" s="1">
        <v>2</v>
      </c>
      <c r="C529" s="1" t="s">
        <v>1794</v>
      </c>
      <c r="D529" s="1" t="s">
        <v>61</v>
      </c>
      <c r="E529" s="5">
        <v>42069</v>
      </c>
      <c r="F529" s="1" t="s">
        <v>506</v>
      </c>
      <c r="G529" s="1" t="str">
        <f>IF(B529=0,VLOOKUP(A529,Feuil2!$A$2:$M$1241,11,FALSE)," ")</f>
        <v xml:space="preserve"> </v>
      </c>
      <c r="H529" s="1" t="s">
        <v>16</v>
      </c>
      <c r="I529" s="6" t="str">
        <f>IF(B529=0,VLOOKUP(A529,Feuil2!$A$2:$M$1241,7,FALSE)," ")</f>
        <v xml:space="preserve"> </v>
      </c>
      <c r="J529" s="1" t="str">
        <f>IF(B529=0,VLOOKUP(A529,Feuil2!$A$2:$M$1241,9,FALSE)," ")</f>
        <v xml:space="preserve"> </v>
      </c>
      <c r="K529" s="1" t="str">
        <f>IF(B529=0,VLOOKUP(A529,Feuil2!$A$2:$M$1241,10,FALSE)," ")</f>
        <v xml:space="preserve"> </v>
      </c>
      <c r="L529" s="1"/>
      <c r="M529" s="1"/>
      <c r="N529" s="1"/>
      <c r="O529" s="8" t="str">
        <f>IF(B529=0,VLOOKUP(A529,Feuil2!$A$2:$M$1241,13,FALSE)," ")</f>
        <v xml:space="preserve"> </v>
      </c>
    </row>
    <row r="530" spans="1:15" x14ac:dyDescent="0.3">
      <c r="A530" s="1">
        <v>1864</v>
      </c>
      <c r="B530" s="1">
        <v>3</v>
      </c>
      <c r="C530" s="1" t="s">
        <v>1794</v>
      </c>
      <c r="D530" s="1" t="s">
        <v>2367</v>
      </c>
      <c r="E530" s="5">
        <v>43176</v>
      </c>
      <c r="F530" s="1" t="s">
        <v>17</v>
      </c>
      <c r="G530" s="1" t="str">
        <f>IF(B530=0,VLOOKUP(A530,Feuil2!$A$2:$M$1241,11,FALSE)," ")</f>
        <v xml:space="preserve"> </v>
      </c>
      <c r="H530" s="1" t="s">
        <v>16</v>
      </c>
      <c r="I530" s="6" t="str">
        <f>IF(B530=0,VLOOKUP(A530,Feuil2!$A$2:$M$1241,7,FALSE)," ")</f>
        <v xml:space="preserve"> </v>
      </c>
      <c r="J530" s="1" t="str">
        <f>IF(B530=0,VLOOKUP(A530,Feuil2!$A$2:$M$1241,9,FALSE)," ")</f>
        <v xml:space="preserve"> </v>
      </c>
      <c r="K530" s="1" t="str">
        <f>IF(B530=0,VLOOKUP(A530,Feuil2!$A$2:$M$1241,10,FALSE)," ")</f>
        <v xml:space="preserve"> </v>
      </c>
      <c r="L530" s="1"/>
      <c r="M530" s="1"/>
      <c r="N530" s="1"/>
      <c r="O530" s="8" t="str">
        <f>IF(B530=0,VLOOKUP(A530,Feuil2!$A$2:$M$1241,13,FALSE)," ")</f>
        <v xml:space="preserve"> </v>
      </c>
    </row>
    <row r="531" spans="1:15" x14ac:dyDescent="0.3">
      <c r="A531" s="1">
        <v>1864</v>
      </c>
      <c r="B531" s="1">
        <v>4</v>
      </c>
      <c r="C531" s="1" t="s">
        <v>1794</v>
      </c>
      <c r="D531" s="1" t="s">
        <v>2799</v>
      </c>
      <c r="E531" s="5">
        <v>44529</v>
      </c>
      <c r="F531" s="1" t="s">
        <v>17</v>
      </c>
      <c r="G531" s="1"/>
      <c r="H531" s="1" t="s">
        <v>16</v>
      </c>
      <c r="I531" s="6"/>
      <c r="J531" s="1"/>
      <c r="K531" s="1"/>
      <c r="L531" s="1"/>
      <c r="M531" s="1"/>
      <c r="N531" s="1"/>
      <c r="O531" s="8"/>
    </row>
    <row r="532" spans="1:15" x14ac:dyDescent="0.3">
      <c r="A532" s="1">
        <v>1872</v>
      </c>
      <c r="B532" s="1">
        <v>0</v>
      </c>
      <c r="C532" s="1" t="str">
        <f>IF(B532=0,VLOOKUP(A532,Feuil2!$A$2:$M$1241,2,FALSE)," ")</f>
        <v>DAHAY CHATTI</v>
      </c>
      <c r="D532" s="1" t="str">
        <f>IF(B532=0,VLOOKUP(A532,Feuil2!$A$2:$M$1241,3,FALSE)," ")</f>
        <v>BECHIR</v>
      </c>
      <c r="E532" s="5">
        <f>IF(B532=0,VLOOKUP(A532,Feuil2!$A$2:$M$1241,6,FALSE)," ")</f>
        <v>25994</v>
      </c>
      <c r="F532" s="1" t="str">
        <f>IF(B532=0,VLOOKUP(A532,Feuil2!$A$2:$M$1241,12,FALSE)," ")</f>
        <v>H</v>
      </c>
      <c r="G532" s="1" t="str">
        <f>IF(B532=0,VLOOKUP(A532,Feuil2!$A$2:$M$1241,11,FALSE)," ")</f>
        <v>M</v>
      </c>
      <c r="H532" s="1" t="s">
        <v>16</v>
      </c>
      <c r="I532" s="6">
        <f>IF(B532=0,VLOOKUP(A532,Feuil2!$A$2:$M$1241,7,FALSE)," ")</f>
        <v>2997919</v>
      </c>
      <c r="J532" s="1" t="str">
        <f>IF(B532=0,VLOOKUP(A532,Feuil2!$A$2:$M$1241,9,FALSE)," ")</f>
        <v>73 Rue 1er Juin</v>
      </c>
      <c r="K532" s="1" t="str">
        <f>IF(B532=0,VLOOKUP(A532,Feuil2!$A$2:$M$1241,10,FALSE)," ")</f>
        <v>Msaken 4070</v>
      </c>
      <c r="L532" s="1">
        <v>4070</v>
      </c>
      <c r="M532" s="1">
        <v>21748718</v>
      </c>
      <c r="N532" s="1"/>
      <c r="O532" s="8" t="str">
        <f>IF(B532=0,VLOOKUP(A532,Feuil2!$A$2:$M$1241,13,FALSE)," ")</f>
        <v>04204067404001194414</v>
      </c>
    </row>
    <row r="533" spans="1:15" x14ac:dyDescent="0.3">
      <c r="A533" s="1">
        <v>1872</v>
      </c>
      <c r="B533" s="1">
        <v>1</v>
      </c>
      <c r="C533" s="1" t="s">
        <v>2483</v>
      </c>
      <c r="D533" s="1" t="s">
        <v>1301</v>
      </c>
      <c r="E533" s="5">
        <v>29045</v>
      </c>
      <c r="F533" s="1" t="s">
        <v>17</v>
      </c>
      <c r="G533" s="1" t="s">
        <v>15</v>
      </c>
      <c r="H533" s="1" t="s">
        <v>16</v>
      </c>
      <c r="I533" s="6" t="str">
        <f>IF(B533=0,VLOOKUP(A533,Feuil2!$A$2:$M$1241,7,FALSE)," ")</f>
        <v xml:space="preserve"> </v>
      </c>
      <c r="J533" s="1" t="str">
        <f>IF(B533=0,VLOOKUP(A533,Feuil2!$A$2:$M$1241,9,FALSE)," ")</f>
        <v xml:space="preserve"> </v>
      </c>
      <c r="K533" s="1" t="str">
        <f>IF(B533=0,VLOOKUP(A533,Feuil2!$A$2:$M$1241,10,FALSE)," ")</f>
        <v xml:space="preserve"> </v>
      </c>
      <c r="L533" s="1"/>
      <c r="M533" s="1"/>
      <c r="N533" s="1"/>
      <c r="O533" s="8" t="str">
        <f>IF(B533=0,VLOOKUP(A533,Feuil2!$A$2:$M$1241,13,FALSE)," ")</f>
        <v xml:space="preserve"> </v>
      </c>
    </row>
    <row r="534" spans="1:15" x14ac:dyDescent="0.3">
      <c r="A534" s="1">
        <v>1872</v>
      </c>
      <c r="B534" s="1">
        <v>2</v>
      </c>
      <c r="C534" s="1" t="s">
        <v>1804</v>
      </c>
      <c r="D534" s="1" t="s">
        <v>2465</v>
      </c>
      <c r="E534" s="5">
        <v>37957</v>
      </c>
      <c r="F534" s="1" t="s">
        <v>506</v>
      </c>
      <c r="G534" s="1" t="str">
        <f>IF(B534=0,VLOOKUP(A534,Feuil2!$A$2:$M$1241,11,FALSE)," ")</f>
        <v xml:space="preserve"> </v>
      </c>
      <c r="H534" s="1" t="s">
        <v>16</v>
      </c>
      <c r="I534" s="6" t="str">
        <f>IF(B534=0,VLOOKUP(A534,Feuil2!$A$2:$M$1241,7,FALSE)," ")</f>
        <v xml:space="preserve"> </v>
      </c>
      <c r="J534" s="1" t="str">
        <f>IF(B534=0,VLOOKUP(A534,Feuil2!$A$2:$M$1241,9,FALSE)," ")</f>
        <v xml:space="preserve"> </v>
      </c>
      <c r="K534" s="1" t="str">
        <f>IF(B534=0,VLOOKUP(A534,Feuil2!$A$2:$M$1241,10,FALSE)," ")</f>
        <v xml:space="preserve"> </v>
      </c>
      <c r="L534" s="1"/>
      <c r="M534" s="1"/>
      <c r="N534" s="1"/>
      <c r="O534" s="8" t="str">
        <f>IF(B534=0,VLOOKUP(A534,Feuil2!$A$2:$M$1241,13,FALSE)," ")</f>
        <v xml:space="preserve"> </v>
      </c>
    </row>
    <row r="535" spans="1:15" x14ac:dyDescent="0.3">
      <c r="A535" s="1">
        <v>1872</v>
      </c>
      <c r="B535" s="1">
        <v>3</v>
      </c>
      <c r="C535" s="1" t="s">
        <v>1804</v>
      </c>
      <c r="D535" s="1" t="s">
        <v>2484</v>
      </c>
      <c r="E535" s="5">
        <v>39240</v>
      </c>
      <c r="F535" s="1" t="s">
        <v>17</v>
      </c>
      <c r="G535" s="1" t="str">
        <f>IF(B535=0,VLOOKUP(A535,Feuil2!$A$2:$M$1241,11,FALSE)," ")</f>
        <v xml:space="preserve"> </v>
      </c>
      <c r="H535" s="1" t="s">
        <v>16</v>
      </c>
      <c r="I535" s="6" t="str">
        <f>IF(B535=0,VLOOKUP(A535,Feuil2!$A$2:$M$1241,7,FALSE)," ")</f>
        <v xml:space="preserve"> </v>
      </c>
      <c r="J535" s="1" t="str">
        <f>IF(B535=0,VLOOKUP(A535,Feuil2!$A$2:$M$1241,9,FALSE)," ")</f>
        <v xml:space="preserve"> </v>
      </c>
      <c r="K535" s="1" t="str">
        <f>IF(B535=0,VLOOKUP(A535,Feuil2!$A$2:$M$1241,10,FALSE)," ")</f>
        <v xml:space="preserve"> </v>
      </c>
      <c r="L535" s="1"/>
      <c r="M535" s="1"/>
      <c r="N535" s="1"/>
      <c r="O535" s="8" t="str">
        <f>IF(B535=0,VLOOKUP(A535,Feuil2!$A$2:$M$1241,13,FALSE)," ")</f>
        <v xml:space="preserve"> </v>
      </c>
    </row>
    <row r="536" spans="1:15" x14ac:dyDescent="0.3">
      <c r="A536" s="1">
        <v>1878</v>
      </c>
      <c r="B536" s="1">
        <v>0</v>
      </c>
      <c r="C536" s="1" t="str">
        <f>IF(B536=0,VLOOKUP(A536,Feuil2!$A$2:$M$1241,2,FALSE)," ")</f>
        <v>BOUHLEL</v>
      </c>
      <c r="D536" s="1" t="str">
        <f>IF(B536=0,VLOOKUP(A536,Feuil2!$A$2:$M$1241,3,FALSE)," ")</f>
        <v>MED ALI</v>
      </c>
      <c r="E536" s="5">
        <f>IF(B536=0,VLOOKUP(A536,Feuil2!$A$2:$M$1241,6,FALSE)," ")</f>
        <v>29727</v>
      </c>
      <c r="F536" s="1" t="str">
        <f>IF(B536=0,VLOOKUP(A536,Feuil2!$A$2:$M$1241,12,FALSE)," ")</f>
        <v>H</v>
      </c>
      <c r="G536" s="1" t="str">
        <f>IF(B536=0,VLOOKUP(A536,Feuil2!$A$2:$M$1241,11,FALSE)," ")</f>
        <v>M</v>
      </c>
      <c r="H536" s="1" t="s">
        <v>16</v>
      </c>
      <c r="I536" s="6">
        <f>IF(B536=0,VLOOKUP(A536,Feuil2!$A$2:$M$1241,7,FALSE)," ")</f>
        <v>8427725</v>
      </c>
      <c r="J536" s="1" t="str">
        <f>IF(B536=0,VLOOKUP(A536,Feuil2!$A$2:$M$1241,9,FALSE)," ")</f>
        <v>29 Rue Ain Draham</v>
      </c>
      <c r="K536" s="1" t="str">
        <f>IF(B536=0,VLOOKUP(A536,Feuil2!$A$2:$M$1241,10,FALSE)," ")</f>
        <v>Msaken 4070</v>
      </c>
      <c r="L536" s="1">
        <v>4070</v>
      </c>
      <c r="M536" s="1">
        <v>54125300</v>
      </c>
      <c r="N536" s="1"/>
      <c r="O536" s="8" t="str">
        <f>IF(B536=0,VLOOKUP(A536,Feuil2!$A$2:$M$1241,13,FALSE)," ")</f>
        <v>25018000000024016590</v>
      </c>
    </row>
    <row r="537" spans="1:15" x14ac:dyDescent="0.3">
      <c r="A537" s="1">
        <v>1878</v>
      </c>
      <c r="B537" s="1">
        <v>1</v>
      </c>
      <c r="C537" s="1" t="s">
        <v>103</v>
      </c>
      <c r="D537" s="1" t="s">
        <v>2547</v>
      </c>
      <c r="E537" s="5">
        <v>32428</v>
      </c>
      <c r="F537" s="1" t="s">
        <v>17</v>
      </c>
      <c r="G537" s="1" t="s">
        <v>15</v>
      </c>
      <c r="H537" s="1" t="s">
        <v>16</v>
      </c>
      <c r="I537" s="6" t="str">
        <f>IF(B537=0,VLOOKUP(A537,Feuil2!$A$2:$M$1241,7,FALSE)," ")</f>
        <v xml:space="preserve"> </v>
      </c>
      <c r="J537" s="1" t="str">
        <f>IF(B537=0,VLOOKUP(A537,Feuil2!$A$2:$M$1241,9,FALSE)," ")</f>
        <v xml:space="preserve"> </v>
      </c>
      <c r="K537" s="1" t="str">
        <f>IF(B537=0,VLOOKUP(A537,Feuil2!$A$2:$M$1241,10,FALSE)," ")</f>
        <v xml:space="preserve"> </v>
      </c>
      <c r="L537" s="1"/>
      <c r="M537" s="1"/>
      <c r="N537" s="1"/>
      <c r="O537" s="8" t="str">
        <f>IF(B537=0,VLOOKUP(A537,Feuil2!$A$2:$M$1241,13,FALSE)," ")</f>
        <v xml:space="preserve"> </v>
      </c>
    </row>
    <row r="538" spans="1:15" x14ac:dyDescent="0.3">
      <c r="A538" s="1">
        <v>1878</v>
      </c>
      <c r="B538" s="1">
        <v>2</v>
      </c>
      <c r="C538" s="1" t="s">
        <v>83</v>
      </c>
      <c r="D538" s="1" t="s">
        <v>212</v>
      </c>
      <c r="E538" s="5">
        <v>41576</v>
      </c>
      <c r="F538" s="1" t="s">
        <v>506</v>
      </c>
      <c r="G538" s="1" t="str">
        <f>IF(B538=0,VLOOKUP(A538,Feuil2!$A$2:$M$1241,11,FALSE)," ")</f>
        <v xml:space="preserve"> </v>
      </c>
      <c r="H538" s="1" t="s">
        <v>16</v>
      </c>
      <c r="I538" s="6" t="str">
        <f>IF(B538=0,VLOOKUP(A538,Feuil2!$A$2:$M$1241,7,FALSE)," ")</f>
        <v xml:space="preserve"> </v>
      </c>
      <c r="J538" s="1" t="str">
        <f>IF(B538=0,VLOOKUP(A538,Feuil2!$A$2:$M$1241,9,FALSE)," ")</f>
        <v xml:space="preserve"> </v>
      </c>
      <c r="K538" s="1" t="str">
        <f>IF(B538=0,VLOOKUP(A538,Feuil2!$A$2:$M$1241,10,FALSE)," ")</f>
        <v xml:space="preserve"> </v>
      </c>
      <c r="L538" s="1"/>
      <c r="M538" s="1"/>
      <c r="N538" s="1"/>
      <c r="O538" s="8" t="str">
        <f>IF(B538=0,VLOOKUP(A538,Feuil2!$A$2:$M$1241,13,FALSE)," ")</f>
        <v xml:space="preserve"> </v>
      </c>
    </row>
    <row r="539" spans="1:15" x14ac:dyDescent="0.3">
      <c r="A539" s="1">
        <v>1878</v>
      </c>
      <c r="B539" s="1">
        <v>3</v>
      </c>
      <c r="C539" s="1" t="s">
        <v>83</v>
      </c>
      <c r="D539" s="1" t="s">
        <v>2347</v>
      </c>
      <c r="E539" s="5">
        <v>43202</v>
      </c>
      <c r="F539" s="1" t="s">
        <v>506</v>
      </c>
      <c r="G539" s="1" t="str">
        <f>IF(B539=0,VLOOKUP(A539,Feuil2!$A$2:$M$1241,11,FALSE)," ")</f>
        <v xml:space="preserve"> </v>
      </c>
      <c r="H539" s="1" t="s">
        <v>16</v>
      </c>
      <c r="I539" s="6" t="str">
        <f>IF(B539=0,VLOOKUP(A539,Feuil2!$A$2:$M$1241,7,FALSE)," ")</f>
        <v xml:space="preserve"> </v>
      </c>
      <c r="J539" s="1" t="str">
        <f>IF(B539=0,VLOOKUP(A539,Feuil2!$A$2:$M$1241,9,FALSE)," ")</f>
        <v xml:space="preserve"> </v>
      </c>
      <c r="K539" s="1" t="str">
        <f>IF(B539=0,VLOOKUP(A539,Feuil2!$A$2:$M$1241,10,FALSE)," ")</f>
        <v xml:space="preserve"> </v>
      </c>
      <c r="L539" s="1"/>
      <c r="M539" s="1"/>
      <c r="N539" s="1"/>
      <c r="O539" s="8" t="str">
        <f>IF(B539=0,VLOOKUP(A539,Feuil2!$A$2:$M$1241,13,FALSE)," ")</f>
        <v xml:space="preserve"> </v>
      </c>
    </row>
    <row r="540" spans="1:15" x14ac:dyDescent="0.3">
      <c r="A540" s="1">
        <v>1881</v>
      </c>
      <c r="B540" s="1">
        <v>0</v>
      </c>
      <c r="C540" s="1" t="str">
        <f>IF(B540=0,VLOOKUP(A540,Feuil2!$A$2:$M$1241,2,FALSE)," ")</f>
        <v>ARFAOUI</v>
      </c>
      <c r="D540" s="1" t="str">
        <f>IF(B540=0,VLOOKUP(A540,Feuil2!$A$2:$M$1241,3,FALSE)," ")</f>
        <v>BECHIR</v>
      </c>
      <c r="E540" s="5">
        <f>IF(B540=0,VLOOKUP(A540,Feuil2!$A$2:$M$1241,6,FALSE)," ")</f>
        <v>26946</v>
      </c>
      <c r="F540" s="1" t="str">
        <f>IF(B540=0,VLOOKUP(A540,Feuil2!$A$2:$M$1241,12,FALSE)," ")</f>
        <v>H</v>
      </c>
      <c r="G540" s="1" t="str">
        <f>IF(B540=0,VLOOKUP(A540,Feuil2!$A$2:$M$1241,11,FALSE)," ")</f>
        <v>M</v>
      </c>
      <c r="H540" s="1" t="s">
        <v>16</v>
      </c>
      <c r="I540" s="6">
        <f>IF(B540=0,VLOOKUP(A540,Feuil2!$A$2:$M$1241,7,FALSE)," ")</f>
        <v>7513014</v>
      </c>
      <c r="J540" s="1" t="str">
        <f>IF(B540=0,VLOOKUP(A540,Feuil2!$A$2:$M$1241,9,FALSE)," ")</f>
        <v>Rue 5146 nÂ° 560</v>
      </c>
      <c r="K540" s="1" t="str">
        <f>IF(B540=0,VLOOKUP(A540,Feuil2!$A$2:$M$1241,10,FALSE)," ")</f>
        <v>CitÃ© Erriadh</v>
      </c>
      <c r="L540" s="1"/>
      <c r="M540" s="1">
        <v>97499172</v>
      </c>
      <c r="N540" s="1"/>
      <c r="O540" s="8" t="str">
        <f>IF(B540=0,VLOOKUP(A540,Feuil2!$A$2:$M$1241,13,FALSE)," ")</f>
        <v>12015000960100861816</v>
      </c>
    </row>
    <row r="541" spans="1:15" x14ac:dyDescent="0.3">
      <c r="A541" s="1">
        <v>1881</v>
      </c>
      <c r="B541" s="1">
        <v>1</v>
      </c>
      <c r="C541" s="1" t="s">
        <v>2534</v>
      </c>
      <c r="D541" s="1" t="s">
        <v>2535</v>
      </c>
      <c r="E541" s="5">
        <v>28873</v>
      </c>
      <c r="F541" s="1" t="s">
        <v>17</v>
      </c>
      <c r="G541" s="1" t="s">
        <v>15</v>
      </c>
      <c r="H541" s="1" t="s">
        <v>16</v>
      </c>
      <c r="I541" s="6" t="str">
        <f>IF(B541=0,VLOOKUP(A541,Feuil2!$A$2:$M$1241,7,FALSE)," ")</f>
        <v xml:space="preserve"> </v>
      </c>
      <c r="J541" s="1" t="str">
        <f>IF(B541=0,VLOOKUP(A541,Feuil2!$A$2:$M$1241,9,FALSE)," ")</f>
        <v xml:space="preserve"> </v>
      </c>
      <c r="K541" s="1" t="str">
        <f>IF(B541=0,VLOOKUP(A541,Feuil2!$A$2:$M$1241,10,FALSE)," ")</f>
        <v xml:space="preserve"> </v>
      </c>
      <c r="L541" s="1"/>
      <c r="M541" s="1"/>
      <c r="N541" s="1"/>
      <c r="O541" s="8" t="str">
        <f>IF(B541=0,VLOOKUP(A541,Feuil2!$A$2:$M$1241,13,FALSE)," ")</f>
        <v xml:space="preserve"> </v>
      </c>
    </row>
    <row r="542" spans="1:15" x14ac:dyDescent="0.3">
      <c r="A542" s="1">
        <v>1881</v>
      </c>
      <c r="B542" s="1">
        <v>2</v>
      </c>
      <c r="C542" s="1" t="s">
        <v>27</v>
      </c>
      <c r="D542" s="1" t="s">
        <v>2497</v>
      </c>
      <c r="E542" s="5">
        <v>39541</v>
      </c>
      <c r="F542" s="1" t="s">
        <v>506</v>
      </c>
      <c r="G542" s="1" t="str">
        <f>IF(B542=0,VLOOKUP(A542,Feuil2!$A$2:$M$1241,11,FALSE)," ")</f>
        <v xml:space="preserve"> </v>
      </c>
      <c r="H542" s="1" t="s">
        <v>16</v>
      </c>
      <c r="I542" s="6" t="str">
        <f>IF(B542=0,VLOOKUP(A542,Feuil2!$A$2:$M$1241,7,FALSE)," ")</f>
        <v xml:space="preserve"> </v>
      </c>
      <c r="J542" s="1" t="str">
        <f>IF(B542=0,VLOOKUP(A542,Feuil2!$A$2:$M$1241,9,FALSE)," ")</f>
        <v xml:space="preserve"> </v>
      </c>
      <c r="K542" s="1" t="str">
        <f>IF(B542=0,VLOOKUP(A542,Feuil2!$A$2:$M$1241,10,FALSE)," ")</f>
        <v xml:space="preserve"> </v>
      </c>
      <c r="L542" s="1"/>
      <c r="M542" s="1"/>
      <c r="N542" s="1"/>
      <c r="O542" s="8" t="str">
        <f>IF(B542=0,VLOOKUP(A542,Feuil2!$A$2:$M$1241,13,FALSE)," ")</f>
        <v xml:space="preserve"> </v>
      </c>
    </row>
    <row r="543" spans="1:15" x14ac:dyDescent="0.3">
      <c r="A543" s="1">
        <v>1881</v>
      </c>
      <c r="B543" s="1">
        <v>3</v>
      </c>
      <c r="C543" s="1" t="s">
        <v>27</v>
      </c>
      <c r="D543" s="1" t="s">
        <v>2536</v>
      </c>
      <c r="E543" s="5">
        <v>40472</v>
      </c>
      <c r="F543" s="1" t="s">
        <v>506</v>
      </c>
      <c r="G543" s="1" t="str">
        <f>IF(B543=0,VLOOKUP(A543,Feuil2!$A$2:$M$1241,11,FALSE)," ")</f>
        <v xml:space="preserve"> </v>
      </c>
      <c r="H543" s="1" t="s">
        <v>16</v>
      </c>
      <c r="I543" s="6" t="str">
        <f>IF(B543=0,VLOOKUP(A543,Feuil2!$A$2:$M$1241,7,FALSE)," ")</f>
        <v xml:space="preserve"> </v>
      </c>
      <c r="J543" s="1" t="str">
        <f>IF(B543=0,VLOOKUP(A543,Feuil2!$A$2:$M$1241,9,FALSE)," ")</f>
        <v xml:space="preserve"> </v>
      </c>
      <c r="K543" s="1" t="str">
        <f>IF(B543=0,VLOOKUP(A543,Feuil2!$A$2:$M$1241,10,FALSE)," ")</f>
        <v xml:space="preserve"> </v>
      </c>
      <c r="L543" s="1"/>
      <c r="M543" s="1"/>
      <c r="N543" s="1"/>
      <c r="O543" s="8" t="str">
        <f>IF(B543=0,VLOOKUP(A543,Feuil2!$A$2:$M$1241,13,FALSE)," ")</f>
        <v xml:space="preserve"> </v>
      </c>
    </row>
    <row r="544" spans="1:15" x14ac:dyDescent="0.3">
      <c r="A544" s="1">
        <v>1881</v>
      </c>
      <c r="B544" s="1">
        <v>4</v>
      </c>
      <c r="C544" s="1" t="s">
        <v>27</v>
      </c>
      <c r="D544" s="1" t="s">
        <v>321</v>
      </c>
      <c r="E544" s="5">
        <v>40940</v>
      </c>
      <c r="F544" s="1" t="s">
        <v>506</v>
      </c>
      <c r="G544" s="1" t="str">
        <f>IF(B544=0,VLOOKUP(A544,Feuil2!$A$2:$M$1241,11,FALSE)," ")</f>
        <v xml:space="preserve"> </v>
      </c>
      <c r="H544" s="1" t="s">
        <v>16</v>
      </c>
      <c r="I544" s="6" t="str">
        <f>IF(B544=0,VLOOKUP(A544,Feuil2!$A$2:$M$1241,7,FALSE)," ")</f>
        <v xml:space="preserve"> </v>
      </c>
      <c r="J544" s="1" t="str">
        <f>IF(B544=0,VLOOKUP(A544,Feuil2!$A$2:$M$1241,9,FALSE)," ")</f>
        <v xml:space="preserve"> </v>
      </c>
      <c r="K544" s="1" t="str">
        <f>IF(B544=0,VLOOKUP(A544,Feuil2!$A$2:$M$1241,10,FALSE)," ")</f>
        <v xml:space="preserve"> </v>
      </c>
      <c r="L544" s="1"/>
      <c r="M544" s="1"/>
      <c r="N544" s="1"/>
      <c r="O544" s="8" t="str">
        <f>IF(B544=0,VLOOKUP(A544,Feuil2!$A$2:$M$1241,13,FALSE)," ")</f>
        <v xml:space="preserve"> </v>
      </c>
    </row>
    <row r="545" spans="1:15" x14ac:dyDescent="0.3">
      <c r="A545" s="1">
        <v>1882</v>
      </c>
      <c r="B545" s="1">
        <v>0</v>
      </c>
      <c r="C545" s="1" t="str">
        <f>IF(B545=0,VLOOKUP(A545,Feuil2!$A$2:$M$1241,2,FALSE)," ")</f>
        <v>AMARA</v>
      </c>
      <c r="D545" s="1" t="str">
        <f>IF(B545=0,VLOOKUP(A545,Feuil2!$A$2:$M$1241,3,FALSE)," ")</f>
        <v>SOFIANE</v>
      </c>
      <c r="E545" s="5">
        <f>IF(B545=0,VLOOKUP(A545,Feuil2!$A$2:$M$1241,6,FALSE)," ")</f>
        <v>28129</v>
      </c>
      <c r="F545" s="1" t="str">
        <f>IF(B545=0,VLOOKUP(A545,Feuil2!$A$2:$M$1241,12,FALSE)," ")</f>
        <v>H</v>
      </c>
      <c r="G545" s="1" t="str">
        <f>IF(B545=0,VLOOKUP(A545,Feuil2!$A$2:$M$1241,11,FALSE)," ")</f>
        <v>M</v>
      </c>
      <c r="H545" s="1" t="s">
        <v>16</v>
      </c>
      <c r="I545" s="6">
        <f>IF(B545=0,VLOOKUP(A545,Feuil2!$A$2:$M$1241,7,FALSE)," ")</f>
        <v>5583203</v>
      </c>
      <c r="J545" s="1" t="str">
        <f>IF(B545=0,VLOOKUP(A545,Feuil2!$A$2:$M$1241,9,FALSE)," ")</f>
        <v>156 Rue Mohamed Ali</v>
      </c>
      <c r="K545" s="1" t="str">
        <f>IF(B545=0,VLOOKUP(A545,Feuil2!$A$2:$M$1241,10,FALSE)," ")</f>
        <v>Msaken 4070</v>
      </c>
      <c r="L545" s="1">
        <v>4070</v>
      </c>
      <c r="M545" s="1">
        <v>98783241</v>
      </c>
      <c r="N545" s="1"/>
      <c r="O545" s="8" t="str">
        <f>IF(B545=0,VLOOKUP(A545,Feuil2!$A$2:$M$1241,13,FALSE)," ")</f>
        <v>03508056010110008205</v>
      </c>
    </row>
    <row r="546" spans="1:15" x14ac:dyDescent="0.3">
      <c r="A546" s="1">
        <v>1882</v>
      </c>
      <c r="B546" s="1">
        <v>1</v>
      </c>
      <c r="C546" s="1" t="s">
        <v>2436</v>
      </c>
      <c r="D546" s="1" t="s">
        <v>2348</v>
      </c>
      <c r="E546" s="5">
        <v>31108</v>
      </c>
      <c r="F546" s="1" t="s">
        <v>17</v>
      </c>
      <c r="G546" s="1" t="s">
        <v>15</v>
      </c>
      <c r="H546" s="1" t="s">
        <v>16</v>
      </c>
      <c r="I546" s="6" t="str">
        <f>IF(B546=0,VLOOKUP(A546,Feuil2!$A$2:$M$1241,7,FALSE)," ")</f>
        <v xml:space="preserve"> </v>
      </c>
      <c r="J546" s="1" t="str">
        <f>IF(B546=0,VLOOKUP(A546,Feuil2!$A$2:$M$1241,9,FALSE)," ")</f>
        <v xml:space="preserve"> </v>
      </c>
      <c r="K546" s="1" t="str">
        <f>IF(B546=0,VLOOKUP(A546,Feuil2!$A$2:$M$1241,10,FALSE)," ")</f>
        <v xml:space="preserve"> </v>
      </c>
      <c r="L546" s="1"/>
      <c r="M546" s="1"/>
      <c r="N546" s="1"/>
      <c r="O546" s="8" t="str">
        <f>IF(B546=0,VLOOKUP(A546,Feuil2!$A$2:$M$1241,13,FALSE)," ")</f>
        <v xml:space="preserve"> </v>
      </c>
    </row>
    <row r="547" spans="1:15" x14ac:dyDescent="0.3">
      <c r="A547" s="1">
        <v>1882</v>
      </c>
      <c r="B547" s="1">
        <v>2</v>
      </c>
      <c r="C547" s="1" t="s">
        <v>163</v>
      </c>
      <c r="D547" s="1" t="s">
        <v>2437</v>
      </c>
      <c r="E547" s="5">
        <v>40492</v>
      </c>
      <c r="F547" s="1" t="s">
        <v>17</v>
      </c>
      <c r="G547" s="1" t="str">
        <f>IF(B547=0,VLOOKUP(A547,Feuil2!$A$2:$M$1241,11,FALSE)," ")</f>
        <v xml:space="preserve"> </v>
      </c>
      <c r="H547" s="1" t="s">
        <v>16</v>
      </c>
      <c r="I547" s="6" t="str">
        <f>IF(B547=0,VLOOKUP(A547,Feuil2!$A$2:$M$1241,7,FALSE)," ")</f>
        <v xml:space="preserve"> </v>
      </c>
      <c r="J547" s="1" t="str">
        <f>IF(B547=0,VLOOKUP(A547,Feuil2!$A$2:$M$1241,9,FALSE)," ")</f>
        <v xml:space="preserve"> </v>
      </c>
      <c r="K547" s="1" t="str">
        <f>IF(B547=0,VLOOKUP(A547,Feuil2!$A$2:$M$1241,10,FALSE)," ")</f>
        <v xml:space="preserve"> </v>
      </c>
      <c r="L547" s="1"/>
      <c r="M547" s="1"/>
      <c r="N547" s="1"/>
      <c r="O547" s="8" t="str">
        <f>IF(B547=0,VLOOKUP(A547,Feuil2!$A$2:$M$1241,13,FALSE)," ")</f>
        <v xml:space="preserve"> </v>
      </c>
    </row>
    <row r="548" spans="1:15" x14ac:dyDescent="0.3">
      <c r="A548" s="1">
        <v>1882</v>
      </c>
      <c r="B548" s="1">
        <v>3</v>
      </c>
      <c r="C548" s="1" t="s">
        <v>163</v>
      </c>
      <c r="D548" s="1" t="s">
        <v>2349</v>
      </c>
      <c r="E548" s="5">
        <v>41463</v>
      </c>
      <c r="F548" s="1" t="s">
        <v>506</v>
      </c>
      <c r="G548" s="1" t="str">
        <f>IF(B548=0,VLOOKUP(A548,Feuil2!$A$2:$M$1241,11,FALSE)," ")</f>
        <v xml:space="preserve"> </v>
      </c>
      <c r="H548" s="1" t="s">
        <v>16</v>
      </c>
      <c r="I548" s="6" t="str">
        <f>IF(B548=0,VLOOKUP(A548,Feuil2!$A$2:$M$1241,7,FALSE)," ")</f>
        <v xml:space="preserve"> </v>
      </c>
      <c r="J548" s="1" t="str">
        <f>IF(B548=0,VLOOKUP(A548,Feuil2!$A$2:$M$1241,9,FALSE)," ")</f>
        <v xml:space="preserve"> </v>
      </c>
      <c r="K548" s="1" t="str">
        <f>IF(B548=0,VLOOKUP(A548,Feuil2!$A$2:$M$1241,10,FALSE)," ")</f>
        <v xml:space="preserve"> </v>
      </c>
      <c r="L548" s="1"/>
      <c r="M548" s="1"/>
      <c r="N548" s="1"/>
      <c r="O548" s="8" t="str">
        <f>IF(B548=0,VLOOKUP(A548,Feuil2!$A$2:$M$1241,13,FALSE)," ")</f>
        <v xml:space="preserve"> </v>
      </c>
    </row>
    <row r="549" spans="1:15" x14ac:dyDescent="0.3">
      <c r="A549" s="1">
        <v>1897</v>
      </c>
      <c r="B549" s="1">
        <v>0</v>
      </c>
      <c r="C549" s="1" t="str">
        <f>IF(B549=0,VLOOKUP(A549,Feuil2!$A$2:$M$1241,2,FALSE)," ")</f>
        <v>BOHLI</v>
      </c>
      <c r="D549" s="1" t="str">
        <f>IF(B549=0,VLOOKUP(A549,Feuil2!$A$2:$M$1241,3,FALSE)," ")</f>
        <v>AMOR</v>
      </c>
      <c r="E549" s="5">
        <f>IF(B549=0,VLOOKUP(A549,Feuil2!$A$2:$M$1241,6,FALSE)," ")</f>
        <v>29735</v>
      </c>
      <c r="F549" s="1" t="str">
        <f>IF(B549=0,VLOOKUP(A549,Feuil2!$A$2:$M$1241,12,FALSE)," ")</f>
        <v>H</v>
      </c>
      <c r="G549" s="1" t="str">
        <f>IF(B549=0,VLOOKUP(A549,Feuil2!$A$2:$M$1241,11,FALSE)," ")</f>
        <v>M</v>
      </c>
      <c r="H549" s="1" t="s">
        <v>16</v>
      </c>
      <c r="I549" s="6">
        <f>IF(B549=0,VLOOKUP(A549,Feuil2!$A$2:$M$1241,7,FALSE)," ")</f>
        <v>8456541</v>
      </c>
      <c r="J549" s="1" t="str">
        <f>IF(B549=0,VLOOKUP(A549,Feuil2!$A$2:$M$1241,9,FALSE)," ")</f>
        <v>571, Rue Taha Hassine</v>
      </c>
      <c r="K549" s="1" t="str">
        <f>IF(B549=0,VLOOKUP(A549,Feuil2!$A$2:$M$1241,10,FALSE)," ")</f>
        <v>CitÃ© Ezzouhour</v>
      </c>
      <c r="L549" s="1"/>
      <c r="M549" s="1">
        <v>53869307</v>
      </c>
      <c r="N549" s="1"/>
      <c r="O549" s="8" t="str">
        <f>IF(B549=0,VLOOKUP(A549,Feuil2!$A$2:$M$1241,13,FALSE)," ")</f>
        <v>08507000262004911849</v>
      </c>
    </row>
    <row r="550" spans="1:15" x14ac:dyDescent="0.3">
      <c r="A550" s="1">
        <v>1897</v>
      </c>
      <c r="B550" s="1">
        <v>1</v>
      </c>
      <c r="C550" s="1" t="s">
        <v>2410</v>
      </c>
      <c r="D550" s="1" t="s">
        <v>2411</v>
      </c>
      <c r="E550" s="5">
        <v>31698</v>
      </c>
      <c r="F550" s="1" t="s">
        <v>17</v>
      </c>
      <c r="G550" s="1" t="s">
        <v>15</v>
      </c>
      <c r="H550" s="1" t="s">
        <v>16</v>
      </c>
      <c r="I550" s="6" t="str">
        <f>IF(B550=0,VLOOKUP(A550,Feuil2!$A$2:$M$1241,7,FALSE)," ")</f>
        <v xml:space="preserve"> </v>
      </c>
      <c r="J550" s="1" t="str">
        <f>IF(B550=0,VLOOKUP(A550,Feuil2!$A$2:$M$1241,9,FALSE)," ")</f>
        <v xml:space="preserve"> </v>
      </c>
      <c r="K550" s="1" t="str">
        <f>IF(B550=0,VLOOKUP(A550,Feuil2!$A$2:$M$1241,10,FALSE)," ")</f>
        <v xml:space="preserve"> </v>
      </c>
      <c r="L550" s="1"/>
      <c r="M550" s="1"/>
      <c r="N550" s="1"/>
      <c r="O550" s="8" t="str">
        <f>IF(B550=0,VLOOKUP(A550,Feuil2!$A$2:$M$1241,13,FALSE)," ")</f>
        <v xml:space="preserve"> </v>
      </c>
    </row>
    <row r="551" spans="1:15" x14ac:dyDescent="0.3">
      <c r="A551" s="1">
        <v>1897</v>
      </c>
      <c r="B551" s="1">
        <v>2</v>
      </c>
      <c r="C551" s="1" t="s">
        <v>473</v>
      </c>
      <c r="D551" s="1" t="s">
        <v>2412</v>
      </c>
      <c r="E551" s="5">
        <v>41719</v>
      </c>
      <c r="F551" s="1" t="s">
        <v>17</v>
      </c>
      <c r="G551" s="1" t="str">
        <f>IF(B551=0,VLOOKUP(A551,Feuil2!$A$2:$M$1241,11,FALSE)," ")</f>
        <v xml:space="preserve"> </v>
      </c>
      <c r="H551" s="1" t="s">
        <v>16</v>
      </c>
      <c r="I551" s="6" t="str">
        <f>IF(B551=0,VLOOKUP(A551,Feuil2!$A$2:$M$1241,7,FALSE)," ")</f>
        <v xml:space="preserve"> </v>
      </c>
      <c r="J551" s="1" t="str">
        <f>IF(B551=0,VLOOKUP(A551,Feuil2!$A$2:$M$1241,9,FALSE)," ")</f>
        <v xml:space="preserve"> </v>
      </c>
      <c r="K551" s="1" t="str">
        <f>IF(B551=0,VLOOKUP(A551,Feuil2!$A$2:$M$1241,10,FALSE)," ")</f>
        <v xml:space="preserve"> </v>
      </c>
      <c r="L551" s="1"/>
      <c r="M551" s="1"/>
      <c r="N551" s="1"/>
      <c r="O551" s="8" t="str">
        <f>IF(B551=0,VLOOKUP(A551,Feuil2!$A$2:$M$1241,13,FALSE)," ")</f>
        <v xml:space="preserve"> </v>
      </c>
    </row>
    <row r="552" spans="1:15" x14ac:dyDescent="0.3">
      <c r="A552" s="1">
        <v>1897</v>
      </c>
      <c r="B552" s="1">
        <v>3</v>
      </c>
      <c r="C552" s="1" t="s">
        <v>473</v>
      </c>
      <c r="D552" s="1" t="s">
        <v>441</v>
      </c>
      <c r="E552" s="5">
        <v>42327</v>
      </c>
      <c r="F552" s="1" t="s">
        <v>506</v>
      </c>
      <c r="G552" s="1" t="str">
        <f>IF(B552=0,VLOOKUP(A552,Feuil2!$A$2:$M$1241,11,FALSE)," ")</f>
        <v xml:space="preserve"> </v>
      </c>
      <c r="H552" s="1" t="s">
        <v>16</v>
      </c>
      <c r="I552" s="6" t="str">
        <f>IF(B552=0,VLOOKUP(A552,Feuil2!$A$2:$M$1241,7,FALSE)," ")</f>
        <v xml:space="preserve"> </v>
      </c>
      <c r="J552" s="1" t="str">
        <f>IF(B552=0,VLOOKUP(A552,Feuil2!$A$2:$M$1241,9,FALSE)," ")</f>
        <v xml:space="preserve"> </v>
      </c>
      <c r="K552" s="1" t="str">
        <f>IF(B552=0,VLOOKUP(A552,Feuil2!$A$2:$M$1241,10,FALSE)," ")</f>
        <v xml:space="preserve"> </v>
      </c>
      <c r="L552" s="1"/>
      <c r="M552" s="1"/>
      <c r="N552" s="1"/>
      <c r="O552" s="8" t="str">
        <f>IF(B552=0,VLOOKUP(A552,Feuil2!$A$2:$M$1241,13,FALSE)," ")</f>
        <v xml:space="preserve"> </v>
      </c>
    </row>
    <row r="553" spans="1:15" x14ac:dyDescent="0.3">
      <c r="A553" s="1">
        <v>1898</v>
      </c>
      <c r="B553" s="1">
        <v>0</v>
      </c>
      <c r="C553" s="1" t="str">
        <f>IF(B553=0,VLOOKUP(A553,Feuil2!$A$2:$M$1241,2,FALSE)," ")</f>
        <v>BOUHLEL</v>
      </c>
      <c r="D553" s="1" t="str">
        <f>IF(B553=0,VLOOKUP(A553,Feuil2!$A$2:$M$1241,3,FALSE)," ")</f>
        <v>BILEL</v>
      </c>
      <c r="E553" s="5">
        <f>IF(B553=0,VLOOKUP(A553,Feuil2!$A$2:$M$1241,6,FALSE)," ")</f>
        <v>29931</v>
      </c>
      <c r="F553" s="1" t="str">
        <f>IF(B553=0,VLOOKUP(A553,Feuil2!$A$2:$M$1241,12,FALSE)," ")</f>
        <v>H</v>
      </c>
      <c r="G553" s="1" t="str">
        <f>IF(B553=0,VLOOKUP(A553,Feuil2!$A$2:$M$1241,11,FALSE)," ")</f>
        <v>M</v>
      </c>
      <c r="H553" s="1" t="s">
        <v>16</v>
      </c>
      <c r="I553" s="6">
        <f>IF(B553=0,VLOOKUP(A553,Feuil2!$A$2:$M$1241,7,FALSE)," ")</f>
        <v>8430357</v>
      </c>
      <c r="J553" s="1" t="str">
        <f>IF(B553=0,VLOOKUP(A553,Feuil2!$A$2:$M$1241,9,FALSE)," ")</f>
        <v>71, Rue El Jahedh</v>
      </c>
      <c r="K553" s="1" t="str">
        <f>IF(B553=0,VLOOKUP(A553,Feuil2!$A$2:$M$1241,10,FALSE)," ")</f>
        <v>Msaken 4070</v>
      </c>
      <c r="L553" s="1">
        <v>4070</v>
      </c>
      <c r="M553" s="1">
        <v>22213355</v>
      </c>
      <c r="N553" s="1"/>
      <c r="O553" s="8" t="str">
        <f>IF(B553=0,VLOOKUP(A553,Feuil2!$A$2:$M$1241,13,FALSE)," ")</f>
        <v>12505000580103396414</v>
      </c>
    </row>
    <row r="554" spans="1:15" x14ac:dyDescent="0.3">
      <c r="A554" s="1">
        <v>1898</v>
      </c>
      <c r="B554" s="1">
        <v>1</v>
      </c>
      <c r="C554" s="1" t="s">
        <v>83</v>
      </c>
      <c r="D554" s="1" t="s">
        <v>1301</v>
      </c>
      <c r="E554" s="5">
        <v>30350</v>
      </c>
      <c r="F554" s="1" t="s">
        <v>17</v>
      </c>
      <c r="G554" s="1" t="s">
        <v>15</v>
      </c>
      <c r="H554" s="1" t="s">
        <v>16</v>
      </c>
      <c r="I554" s="6" t="str">
        <f>IF(B554=0,VLOOKUP(A554,Feuil2!$A$2:$M$1241,7,FALSE)," ")</f>
        <v xml:space="preserve"> </v>
      </c>
      <c r="J554" s="1" t="str">
        <f>IF(B554=0,VLOOKUP(A554,Feuil2!$A$2:$M$1241,9,FALSE)," ")</f>
        <v xml:space="preserve"> </v>
      </c>
      <c r="K554" s="1" t="str">
        <f>IF(B554=0,VLOOKUP(A554,Feuil2!$A$2:$M$1241,10,FALSE)," ")</f>
        <v xml:space="preserve"> </v>
      </c>
      <c r="L554" s="1"/>
      <c r="M554" s="1"/>
      <c r="N554" s="1"/>
      <c r="O554" s="8" t="str">
        <f>IF(B554=0,VLOOKUP(A554,Feuil2!$A$2:$M$1241,13,FALSE)," ")</f>
        <v xml:space="preserve"> </v>
      </c>
    </row>
    <row r="555" spans="1:15" x14ac:dyDescent="0.3">
      <c r="A555" s="1">
        <v>1898</v>
      </c>
      <c r="B555" s="1">
        <v>2</v>
      </c>
      <c r="C555" s="1" t="s">
        <v>83</v>
      </c>
      <c r="D555" s="1" t="s">
        <v>2404</v>
      </c>
      <c r="E555" s="5">
        <v>40672</v>
      </c>
      <c r="F555" s="1" t="s">
        <v>506</v>
      </c>
      <c r="G555" s="1" t="str">
        <f>IF(B555=0,VLOOKUP(A555,Feuil2!$A$2:$M$1241,11,FALSE)," ")</f>
        <v xml:space="preserve"> </v>
      </c>
      <c r="H555" s="1" t="s">
        <v>16</v>
      </c>
      <c r="I555" s="6" t="str">
        <f>IF(B555=0,VLOOKUP(A555,Feuil2!$A$2:$M$1241,7,FALSE)," ")</f>
        <v xml:space="preserve"> </v>
      </c>
      <c r="J555" s="1" t="str">
        <f>IF(B555=0,VLOOKUP(A555,Feuil2!$A$2:$M$1241,9,FALSE)," ")</f>
        <v xml:space="preserve"> </v>
      </c>
      <c r="K555" s="1" t="str">
        <f>IF(B555=0,VLOOKUP(A555,Feuil2!$A$2:$M$1241,10,FALSE)," ")</f>
        <v xml:space="preserve"> </v>
      </c>
      <c r="L555" s="1"/>
      <c r="M555" s="1"/>
      <c r="N555" s="1"/>
      <c r="O555" s="8" t="str">
        <f>IF(B555=0,VLOOKUP(A555,Feuil2!$A$2:$M$1241,13,FALSE)," ")</f>
        <v xml:space="preserve"> </v>
      </c>
    </row>
    <row r="556" spans="1:15" x14ac:dyDescent="0.3">
      <c r="A556" s="1">
        <v>1898</v>
      </c>
      <c r="B556" s="1">
        <v>3</v>
      </c>
      <c r="C556" s="1" t="s">
        <v>83</v>
      </c>
      <c r="D556" s="1" t="s">
        <v>2405</v>
      </c>
      <c r="E556" s="5">
        <v>41673</v>
      </c>
      <c r="F556" s="1" t="s">
        <v>506</v>
      </c>
      <c r="G556" s="1" t="str">
        <f>IF(B556=0,VLOOKUP(A556,Feuil2!$A$2:$M$1241,11,FALSE)," ")</f>
        <v xml:space="preserve"> </v>
      </c>
      <c r="H556" s="1" t="s">
        <v>16</v>
      </c>
      <c r="I556" s="6" t="str">
        <f>IF(B556=0,VLOOKUP(A556,Feuil2!$A$2:$M$1241,7,FALSE)," ")</f>
        <v xml:space="preserve"> </v>
      </c>
      <c r="J556" s="1" t="str">
        <f>IF(B556=0,VLOOKUP(A556,Feuil2!$A$2:$M$1241,9,FALSE)," ")</f>
        <v xml:space="preserve"> </v>
      </c>
      <c r="K556" s="1" t="str">
        <f>IF(B556=0,VLOOKUP(A556,Feuil2!$A$2:$M$1241,10,FALSE)," ")</f>
        <v xml:space="preserve"> </v>
      </c>
      <c r="L556" s="1"/>
      <c r="M556" s="1"/>
      <c r="N556" s="1"/>
      <c r="O556" s="8" t="str">
        <f>IF(B556=0,VLOOKUP(A556,Feuil2!$A$2:$M$1241,13,FALSE)," ")</f>
        <v xml:space="preserve"> </v>
      </c>
    </row>
    <row r="557" spans="1:15" x14ac:dyDescent="0.3">
      <c r="A557" s="1">
        <v>1898</v>
      </c>
      <c r="B557" s="1">
        <v>4</v>
      </c>
      <c r="C557" s="1" t="s">
        <v>83</v>
      </c>
      <c r="D557" s="1" t="s">
        <v>2406</v>
      </c>
      <c r="E557" s="5">
        <v>43677</v>
      </c>
      <c r="F557" s="1" t="s">
        <v>17</v>
      </c>
      <c r="G557" s="1" t="str">
        <f>IF(B557=0,VLOOKUP(A557,Feuil2!$A$2:$M$1241,11,FALSE)," ")</f>
        <v xml:space="preserve"> </v>
      </c>
      <c r="H557" s="1" t="s">
        <v>16</v>
      </c>
      <c r="I557" s="6" t="str">
        <f>IF(B557=0,VLOOKUP(A557,Feuil2!$A$2:$M$1241,7,FALSE)," ")</f>
        <v xml:space="preserve"> </v>
      </c>
      <c r="J557" s="1" t="str">
        <f>IF(B557=0,VLOOKUP(A557,Feuil2!$A$2:$M$1241,9,FALSE)," ")</f>
        <v xml:space="preserve"> </v>
      </c>
      <c r="K557" s="1" t="str">
        <f>IF(B557=0,VLOOKUP(A557,Feuil2!$A$2:$M$1241,10,FALSE)," ")</f>
        <v xml:space="preserve"> </v>
      </c>
      <c r="L557" s="1"/>
      <c r="M557" s="1"/>
      <c r="N557" s="1"/>
      <c r="O557" s="8" t="str">
        <f>IF(B557=0,VLOOKUP(A557,Feuil2!$A$2:$M$1241,13,FALSE)," ")</f>
        <v xml:space="preserve"> </v>
      </c>
    </row>
    <row r="558" spans="1:15" x14ac:dyDescent="0.3">
      <c r="A558" s="1">
        <v>1904</v>
      </c>
      <c r="B558" s="1">
        <v>0</v>
      </c>
      <c r="C558" s="1" t="str">
        <f>IF(B558=0,VLOOKUP(A558,Feuil2!$A$2:$M$1241,2,FALSE)," ")</f>
        <v>GLOULOU</v>
      </c>
      <c r="D558" s="1" t="str">
        <f>IF(B558=0,VLOOKUP(A558,Feuil2!$A$2:$M$1241,3,FALSE)," ")</f>
        <v>LOTFI</v>
      </c>
      <c r="E558" s="5">
        <f>IF(B558=0,VLOOKUP(A558,Feuil2!$A$2:$M$1241,6,FALSE)," ")</f>
        <v>26735</v>
      </c>
      <c r="F558" s="1" t="str">
        <f>IF(B558=0,VLOOKUP(A558,Feuil2!$A$2:$M$1241,12,FALSE)," ")</f>
        <v>H</v>
      </c>
      <c r="G558" s="1" t="str">
        <f>IF(B558=0,VLOOKUP(A558,Feuil2!$A$2:$M$1241,11,FALSE)," ")</f>
        <v>M</v>
      </c>
      <c r="H558" s="1" t="s">
        <v>16</v>
      </c>
      <c r="I558" s="6">
        <f>IF(B558=0,VLOOKUP(A558,Feuil2!$A$2:$M$1241,7,FALSE)," ")</f>
        <v>5529342</v>
      </c>
      <c r="J558" s="1" t="str">
        <f>IF(B558=0,VLOOKUP(A558,Feuil2!$A$2:$M$1241,9,FALSE)," ")</f>
        <v>322,rue Farhat Hached</v>
      </c>
      <c r="K558" s="1" t="str">
        <f>IF(B558=0,VLOOKUP(A558,Feuil2!$A$2:$M$1241,10,FALSE)," ")</f>
        <v>Msaken 4070</v>
      </c>
      <c r="L558" s="1">
        <v>4070</v>
      </c>
      <c r="M558" s="1">
        <v>25559558</v>
      </c>
      <c r="N558" s="1"/>
      <c r="O558" s="8" t="str">
        <f>IF(B558=0,VLOOKUP(A558,Feuil2!$A$2:$M$1241,13,FALSE)," ")</f>
        <v>08507000262006521079</v>
      </c>
    </row>
    <row r="559" spans="1:15" x14ac:dyDescent="0.3">
      <c r="A559" s="1">
        <v>1904</v>
      </c>
      <c r="B559" s="1">
        <v>1</v>
      </c>
      <c r="C559" s="1" t="s">
        <v>2525</v>
      </c>
      <c r="D559" s="1" t="s">
        <v>746</v>
      </c>
      <c r="E559" s="5">
        <v>30942</v>
      </c>
      <c r="F559" s="1" t="s">
        <v>17</v>
      </c>
      <c r="G559" s="1" t="s">
        <v>15</v>
      </c>
      <c r="H559" s="1" t="s">
        <v>16</v>
      </c>
      <c r="I559" s="6" t="str">
        <f>IF(B559=0,VLOOKUP(A559,Feuil2!$A$2:$M$1241,7,FALSE)," ")</f>
        <v xml:space="preserve"> </v>
      </c>
      <c r="J559" s="1" t="str">
        <f>IF(B559=0,VLOOKUP(A559,Feuil2!$A$2:$M$1241,9,FALSE)," ")</f>
        <v xml:space="preserve"> </v>
      </c>
      <c r="K559" s="1" t="str">
        <f>IF(B559=0,VLOOKUP(A559,Feuil2!$A$2:$M$1241,10,FALSE)," ")</f>
        <v xml:space="preserve"> </v>
      </c>
      <c r="L559" s="1"/>
      <c r="M559" s="1"/>
      <c r="N559" s="1"/>
      <c r="O559" s="8" t="str">
        <f>IF(B559=0,VLOOKUP(A559,Feuil2!$A$2:$M$1241,13,FALSE)," ")</f>
        <v xml:space="preserve"> </v>
      </c>
    </row>
    <row r="560" spans="1:15" x14ac:dyDescent="0.3">
      <c r="A560" s="1">
        <v>1904</v>
      </c>
      <c r="B560" s="1">
        <v>2</v>
      </c>
      <c r="C560" s="1" t="s">
        <v>229</v>
      </c>
      <c r="D560" s="1" t="s">
        <v>2376</v>
      </c>
      <c r="E560" s="5">
        <v>38417</v>
      </c>
      <c r="F560" s="1" t="s">
        <v>506</v>
      </c>
      <c r="G560" s="1" t="str">
        <f>IF(B560=0,VLOOKUP(A560,Feuil2!$A$2:$M$1241,11,FALSE)," ")</f>
        <v xml:space="preserve"> </v>
      </c>
      <c r="H560" s="1" t="s">
        <v>16</v>
      </c>
      <c r="I560" s="6" t="str">
        <f>IF(B560=0,VLOOKUP(A560,Feuil2!$A$2:$M$1241,7,FALSE)," ")</f>
        <v xml:space="preserve"> </v>
      </c>
      <c r="J560" s="1" t="str">
        <f>IF(B560=0,VLOOKUP(A560,Feuil2!$A$2:$M$1241,9,FALSE)," ")</f>
        <v xml:space="preserve"> </v>
      </c>
      <c r="K560" s="1" t="str">
        <f>IF(B560=0,VLOOKUP(A560,Feuil2!$A$2:$M$1241,10,FALSE)," ")</f>
        <v xml:space="preserve"> </v>
      </c>
      <c r="L560" s="1"/>
      <c r="M560" s="1"/>
      <c r="N560" s="1"/>
      <c r="O560" s="8" t="str">
        <f>IF(B560=0,VLOOKUP(A560,Feuil2!$A$2:$M$1241,13,FALSE)," ")</f>
        <v xml:space="preserve"> </v>
      </c>
    </row>
    <row r="561" spans="1:15" x14ac:dyDescent="0.3">
      <c r="A561" s="1">
        <v>1904</v>
      </c>
      <c r="B561" s="1">
        <v>3</v>
      </c>
      <c r="C561" s="1" t="s">
        <v>229</v>
      </c>
      <c r="D561" s="1" t="s">
        <v>2526</v>
      </c>
      <c r="E561" s="5">
        <v>40086</v>
      </c>
      <c r="F561" s="1" t="s">
        <v>506</v>
      </c>
      <c r="G561" s="1" t="str">
        <f>IF(B561=0,VLOOKUP(A561,Feuil2!$A$2:$M$1241,11,FALSE)," ")</f>
        <v xml:space="preserve"> </v>
      </c>
      <c r="H561" s="1" t="s">
        <v>16</v>
      </c>
      <c r="I561" s="6" t="str">
        <f>IF(B561=0,VLOOKUP(A561,Feuil2!$A$2:$M$1241,7,FALSE)," ")</f>
        <v xml:space="preserve"> </v>
      </c>
      <c r="J561" s="1" t="str">
        <f>IF(B561=0,VLOOKUP(A561,Feuil2!$A$2:$M$1241,9,FALSE)," ")</f>
        <v xml:space="preserve"> </v>
      </c>
      <c r="K561" s="1" t="str">
        <f>IF(B561=0,VLOOKUP(A561,Feuil2!$A$2:$M$1241,10,FALSE)," ")</f>
        <v xml:space="preserve"> </v>
      </c>
      <c r="L561" s="1"/>
      <c r="M561" s="1"/>
      <c r="N561" s="1"/>
      <c r="O561" s="8" t="str">
        <f>IF(B561=0,VLOOKUP(A561,Feuil2!$A$2:$M$1241,13,FALSE)," ")</f>
        <v xml:space="preserve"> </v>
      </c>
    </row>
    <row r="562" spans="1:15" x14ac:dyDescent="0.3">
      <c r="A562" s="1">
        <v>1904</v>
      </c>
      <c r="B562" s="1">
        <v>4</v>
      </c>
      <c r="C562" s="1" t="s">
        <v>229</v>
      </c>
      <c r="D562" s="1" t="s">
        <v>2503</v>
      </c>
      <c r="E562" s="5">
        <v>40549</v>
      </c>
      <c r="F562" s="1" t="s">
        <v>506</v>
      </c>
      <c r="G562" s="1" t="str">
        <f>IF(B562=0,VLOOKUP(A562,Feuil2!$A$2:$M$1241,11,FALSE)," ")</f>
        <v xml:space="preserve"> </v>
      </c>
      <c r="H562" s="1" t="s">
        <v>16</v>
      </c>
      <c r="I562" s="6" t="str">
        <f>IF(B562=0,VLOOKUP(A562,Feuil2!$A$2:$M$1241,7,FALSE)," ")</f>
        <v xml:space="preserve"> </v>
      </c>
      <c r="J562" s="1" t="str">
        <f>IF(B562=0,VLOOKUP(A562,Feuil2!$A$2:$M$1241,9,FALSE)," ")</f>
        <v xml:space="preserve"> </v>
      </c>
      <c r="K562" s="1" t="str">
        <f>IF(B562=0,VLOOKUP(A562,Feuil2!$A$2:$M$1241,10,FALSE)," ")</f>
        <v xml:space="preserve"> </v>
      </c>
      <c r="L562" s="1"/>
      <c r="M562" s="1"/>
      <c r="N562" s="1"/>
      <c r="O562" s="8" t="str">
        <f>IF(B562=0,VLOOKUP(A562,Feuil2!$A$2:$M$1241,13,FALSE)," ")</f>
        <v xml:space="preserve"> </v>
      </c>
    </row>
    <row r="563" spans="1:15" x14ac:dyDescent="0.3">
      <c r="A563" s="1">
        <v>1905</v>
      </c>
      <c r="B563" s="1">
        <v>0</v>
      </c>
      <c r="C563" s="1" t="str">
        <f>IF(B563=0,VLOOKUP(A563,Feuil2!$A$2:$M$1241,2,FALSE)," ")</f>
        <v>LADHARI</v>
      </c>
      <c r="D563" s="1" t="str">
        <f>IF(B563=0,VLOOKUP(A563,Feuil2!$A$2:$M$1241,3,FALSE)," ")</f>
        <v>MOHAMED</v>
      </c>
      <c r="E563" s="5">
        <f>IF(B563=0,VLOOKUP(A563,Feuil2!$A$2:$M$1241,6,FALSE)," ")</f>
        <v>26106</v>
      </c>
      <c r="F563" s="1" t="str">
        <f>IF(B563=0,VLOOKUP(A563,Feuil2!$A$2:$M$1241,12,FALSE)," ")</f>
        <v>H</v>
      </c>
      <c r="G563" s="1" t="str">
        <f>IF(B563=0,VLOOKUP(A563,Feuil2!$A$2:$M$1241,11,FALSE)," ")</f>
        <v>M</v>
      </c>
      <c r="H563" s="1" t="s">
        <v>16</v>
      </c>
      <c r="I563" s="6">
        <f>IF(B563=0,VLOOKUP(A563,Feuil2!$A$2:$M$1241,7,FALSE)," ")</f>
        <v>5525298</v>
      </c>
      <c r="J563" s="1" t="str">
        <f>IF(B563=0,VLOOKUP(A563,Feuil2!$A$2:$M$1241,9,FALSE)," ")</f>
        <v>Rue Ahmed Amine</v>
      </c>
      <c r="K563" s="1" t="str">
        <f>IF(B563=0,VLOOKUP(A563,Feuil2!$A$2:$M$1241,10,FALSE)," ")</f>
        <v>Msaken 4070</v>
      </c>
      <c r="L563" s="1">
        <v>4070</v>
      </c>
      <c r="M563" s="1">
        <v>99313089</v>
      </c>
      <c r="N563" s="1"/>
      <c r="O563" s="8" t="str">
        <f>IF(B563=0,VLOOKUP(A563,Feuil2!$A$2:$M$1241,13,FALSE)," ")</f>
        <v>12505000000211321165</v>
      </c>
    </row>
    <row r="564" spans="1:15" x14ac:dyDescent="0.3">
      <c r="A564" s="1">
        <v>1905</v>
      </c>
      <c r="B564" s="1">
        <v>1</v>
      </c>
      <c r="C564" s="1" t="s">
        <v>819</v>
      </c>
      <c r="D564" s="1" t="s">
        <v>1541</v>
      </c>
      <c r="E564" s="5">
        <v>28095</v>
      </c>
      <c r="F564" s="1" t="s">
        <v>17</v>
      </c>
      <c r="G564" s="1" t="s">
        <v>15</v>
      </c>
      <c r="H564" s="1" t="s">
        <v>16</v>
      </c>
      <c r="I564" s="6" t="str">
        <f>IF(B564=0,VLOOKUP(A564,Feuil2!$A$2:$M$1241,7,FALSE)," ")</f>
        <v xml:space="preserve"> </v>
      </c>
      <c r="J564" s="1" t="str">
        <f>IF(B564=0,VLOOKUP(A564,Feuil2!$A$2:$M$1241,9,FALSE)," ")</f>
        <v xml:space="preserve"> </v>
      </c>
      <c r="K564" s="1" t="str">
        <f>IF(B564=0,VLOOKUP(A564,Feuil2!$A$2:$M$1241,10,FALSE)," ")</f>
        <v xml:space="preserve"> </v>
      </c>
      <c r="L564" s="1"/>
      <c r="M564" s="1"/>
      <c r="N564" s="1"/>
      <c r="O564" s="8" t="str">
        <f>IF(B564=0,VLOOKUP(A564,Feuil2!$A$2:$M$1241,13,FALSE)," ")</f>
        <v xml:space="preserve"> </v>
      </c>
    </row>
    <row r="565" spans="1:15" x14ac:dyDescent="0.3">
      <c r="A565" s="1">
        <v>1905</v>
      </c>
      <c r="B565" s="1">
        <v>2</v>
      </c>
      <c r="C565" s="1" t="s">
        <v>190</v>
      </c>
      <c r="D565" s="1" t="s">
        <v>2557</v>
      </c>
      <c r="E565" s="5">
        <v>38860</v>
      </c>
      <c r="F565" s="1" t="s">
        <v>506</v>
      </c>
      <c r="G565" s="1" t="str">
        <f>IF(B565=0,VLOOKUP(A565,Feuil2!$A$2:$M$1241,11,FALSE)," ")</f>
        <v xml:space="preserve"> </v>
      </c>
      <c r="H565" s="1" t="s">
        <v>16</v>
      </c>
      <c r="I565" s="6" t="str">
        <f>IF(B565=0,VLOOKUP(A565,Feuil2!$A$2:$M$1241,7,FALSE)," ")</f>
        <v xml:space="preserve"> </v>
      </c>
      <c r="J565" s="1" t="str">
        <f>IF(B565=0,VLOOKUP(A565,Feuil2!$A$2:$M$1241,9,FALSE)," ")</f>
        <v xml:space="preserve"> </v>
      </c>
      <c r="K565" s="1" t="str">
        <f>IF(B565=0,VLOOKUP(A565,Feuil2!$A$2:$M$1241,10,FALSE)," ")</f>
        <v xml:space="preserve"> </v>
      </c>
      <c r="L565" s="1"/>
      <c r="M565" s="1"/>
      <c r="N565" s="1"/>
      <c r="O565" s="8" t="str">
        <f>IF(B565=0,VLOOKUP(A565,Feuil2!$A$2:$M$1241,13,FALSE)," ")</f>
        <v xml:space="preserve"> </v>
      </c>
    </row>
    <row r="566" spans="1:15" x14ac:dyDescent="0.3">
      <c r="A566" s="1">
        <v>1905</v>
      </c>
      <c r="B566" s="1">
        <v>3</v>
      </c>
      <c r="C566" s="1" t="s">
        <v>190</v>
      </c>
      <c r="D566" s="1" t="s">
        <v>600</v>
      </c>
      <c r="E566" s="5">
        <v>39438</v>
      </c>
      <c r="F566" s="1" t="s">
        <v>17</v>
      </c>
      <c r="G566" s="1" t="str">
        <f>IF(B566=0,VLOOKUP(A566,Feuil2!$A$2:$M$1241,11,FALSE)," ")</f>
        <v xml:space="preserve"> </v>
      </c>
      <c r="H566" s="1" t="s">
        <v>16</v>
      </c>
      <c r="I566" s="6" t="str">
        <f>IF(B566=0,VLOOKUP(A566,Feuil2!$A$2:$M$1241,7,FALSE)," ")</f>
        <v xml:space="preserve"> </v>
      </c>
      <c r="J566" s="1" t="str">
        <f>IF(B566=0,VLOOKUP(A566,Feuil2!$A$2:$M$1241,9,FALSE)," ")</f>
        <v xml:space="preserve"> </v>
      </c>
      <c r="K566" s="1" t="str">
        <f>IF(B566=0,VLOOKUP(A566,Feuil2!$A$2:$M$1241,10,FALSE)," ")</f>
        <v xml:space="preserve"> </v>
      </c>
      <c r="L566" s="1"/>
      <c r="M566" s="1"/>
      <c r="N566" s="1"/>
      <c r="O566" s="8" t="str">
        <f>IF(B566=0,VLOOKUP(A566,Feuil2!$A$2:$M$1241,13,FALSE)," ")</f>
        <v xml:space="preserve"> </v>
      </c>
    </row>
    <row r="567" spans="1:15" x14ac:dyDescent="0.3">
      <c r="A567" s="1">
        <v>1905</v>
      </c>
      <c r="B567" s="1">
        <v>4</v>
      </c>
      <c r="C567" s="1" t="s">
        <v>190</v>
      </c>
      <c r="D567" s="1" t="s">
        <v>61</v>
      </c>
      <c r="E567" s="5">
        <v>40799</v>
      </c>
      <c r="F567" s="1" t="s">
        <v>506</v>
      </c>
      <c r="G567" s="1" t="str">
        <f>IF(B567=0,VLOOKUP(A567,Feuil2!$A$2:$M$1241,11,FALSE)," ")</f>
        <v xml:space="preserve"> </v>
      </c>
      <c r="H567" s="1" t="s">
        <v>16</v>
      </c>
      <c r="I567" s="6" t="str">
        <f>IF(B567=0,VLOOKUP(A567,Feuil2!$A$2:$M$1241,7,FALSE)," ")</f>
        <v xml:space="preserve"> </v>
      </c>
      <c r="J567" s="1" t="str">
        <f>IF(B567=0,VLOOKUP(A567,Feuil2!$A$2:$M$1241,9,FALSE)," ")</f>
        <v xml:space="preserve"> </v>
      </c>
      <c r="K567" s="1" t="str">
        <f>IF(B567=0,VLOOKUP(A567,Feuil2!$A$2:$M$1241,10,FALSE)," ")</f>
        <v xml:space="preserve"> </v>
      </c>
      <c r="L567" s="1"/>
      <c r="M567" s="1"/>
      <c r="N567" s="1"/>
      <c r="O567" s="8" t="str">
        <f>IF(B567=0,VLOOKUP(A567,Feuil2!$A$2:$M$1241,13,FALSE)," ")</f>
        <v xml:space="preserve"> </v>
      </c>
    </row>
    <row r="568" spans="1:15" x14ac:dyDescent="0.3">
      <c r="A568" s="1">
        <v>1907</v>
      </c>
      <c r="B568" s="1">
        <v>0</v>
      </c>
      <c r="C568" s="1" t="str">
        <f>IF(B568=0,VLOOKUP(A568,Feuil2!$A$2:$M$1241,2,FALSE)," ")</f>
        <v>MAMIA</v>
      </c>
      <c r="D568" s="1" t="str">
        <f>IF(B568=0,VLOOKUP(A568,Feuil2!$A$2:$M$1241,3,FALSE)," ")</f>
        <v>NEJMEDDINE</v>
      </c>
      <c r="E568" s="5">
        <f>IF(B568=0,VLOOKUP(A568,Feuil2!$A$2:$M$1241,6,FALSE)," ")</f>
        <v>29304</v>
      </c>
      <c r="F568" s="1" t="str">
        <f>IF(B568=0,VLOOKUP(A568,Feuil2!$A$2:$M$1241,12,FALSE)," ")</f>
        <v>H</v>
      </c>
      <c r="G568" s="1" t="str">
        <f>IF(B568=0,VLOOKUP(A568,Feuil2!$A$2:$M$1241,11,FALSE)," ")</f>
        <v>M</v>
      </c>
      <c r="H568" s="1" t="s">
        <v>16</v>
      </c>
      <c r="I568" s="6">
        <f>IF(B568=0,VLOOKUP(A568,Feuil2!$A$2:$M$1241,7,FALSE)," ")</f>
        <v>5586528</v>
      </c>
      <c r="J568" s="1" t="str">
        <f>IF(B568=0,VLOOKUP(A568,Feuil2!$A$2:$M$1241,9,FALSE)," ")</f>
        <v>Rue Katar</v>
      </c>
      <c r="K568" s="1" t="str">
        <f>IF(B568=0,VLOOKUP(A568,Feuil2!$A$2:$M$1241,10,FALSE)," ")</f>
        <v>Msaken 4070</v>
      </c>
      <c r="L568" s="1">
        <v>4070</v>
      </c>
      <c r="M568" s="1">
        <v>25142034</v>
      </c>
      <c r="N568" s="1"/>
      <c r="O568" s="8" t="str">
        <f>IF(B568=0,VLOOKUP(A568,Feuil2!$A$2:$M$1241,13,FALSE)," ")</f>
        <v>32026788101064025140</v>
      </c>
    </row>
    <row r="569" spans="1:15" x14ac:dyDescent="0.3">
      <c r="A569" s="1">
        <v>1907</v>
      </c>
      <c r="B569" s="1">
        <v>1</v>
      </c>
      <c r="C569" s="1" t="s">
        <v>934</v>
      </c>
      <c r="D569" s="1" t="s">
        <v>2371</v>
      </c>
      <c r="E569" s="5">
        <v>28845</v>
      </c>
      <c r="F569" s="1" t="s">
        <v>17</v>
      </c>
      <c r="G569" s="1" t="s">
        <v>15</v>
      </c>
      <c r="H569" s="1" t="s">
        <v>16</v>
      </c>
      <c r="I569" s="6" t="str">
        <f>IF(B569=0,VLOOKUP(A569,Feuil2!$A$2:$M$1241,7,FALSE)," ")</f>
        <v xml:space="preserve"> </v>
      </c>
      <c r="J569" s="1" t="str">
        <f>IF(B569=0,VLOOKUP(A569,Feuil2!$A$2:$M$1241,9,FALSE)," ")</f>
        <v xml:space="preserve"> </v>
      </c>
      <c r="K569" s="1" t="str">
        <f>IF(B569=0,VLOOKUP(A569,Feuil2!$A$2:$M$1241,10,FALSE)," ")</f>
        <v xml:space="preserve"> </v>
      </c>
      <c r="L569" s="1"/>
      <c r="M569" s="1"/>
      <c r="N569" s="1"/>
      <c r="O569" s="8" t="str">
        <f>IF(B569=0,VLOOKUP(A569,Feuil2!$A$2:$M$1241,13,FALSE)," ")</f>
        <v xml:space="preserve"> </v>
      </c>
    </row>
    <row r="570" spans="1:15" x14ac:dyDescent="0.3">
      <c r="A570" s="1">
        <v>1907</v>
      </c>
      <c r="B570" s="1">
        <v>2</v>
      </c>
      <c r="C570" s="1" t="s">
        <v>165</v>
      </c>
      <c r="D570" s="1" t="s">
        <v>2447</v>
      </c>
      <c r="E570" s="5">
        <v>41401</v>
      </c>
      <c r="F570" s="1" t="s">
        <v>17</v>
      </c>
      <c r="G570" s="1" t="str">
        <f>IF(B570=0,VLOOKUP(A570,Feuil2!$A$2:$M$1241,11,FALSE)," ")</f>
        <v xml:space="preserve"> </v>
      </c>
      <c r="H570" s="1" t="s">
        <v>16</v>
      </c>
      <c r="I570" s="6" t="str">
        <f>IF(B570=0,VLOOKUP(A570,Feuil2!$A$2:$M$1241,7,FALSE)," ")</f>
        <v xml:space="preserve"> </v>
      </c>
      <c r="J570" s="1" t="str">
        <f>IF(B570=0,VLOOKUP(A570,Feuil2!$A$2:$M$1241,9,FALSE)," ")</f>
        <v xml:space="preserve"> </v>
      </c>
      <c r="K570" s="1" t="str">
        <f>IF(B570=0,VLOOKUP(A570,Feuil2!$A$2:$M$1241,10,FALSE)," ")</f>
        <v xml:space="preserve"> </v>
      </c>
      <c r="L570" s="1"/>
      <c r="M570" s="1"/>
      <c r="N570" s="1"/>
      <c r="O570" s="8" t="str">
        <f>IF(B570=0,VLOOKUP(A570,Feuil2!$A$2:$M$1241,13,FALSE)," ")</f>
        <v xml:space="preserve"> </v>
      </c>
    </row>
    <row r="571" spans="1:15" x14ac:dyDescent="0.3">
      <c r="A571" s="1">
        <v>1907</v>
      </c>
      <c r="B571" s="1">
        <v>3</v>
      </c>
      <c r="C571" s="1" t="s">
        <v>165</v>
      </c>
      <c r="D571" s="1" t="s">
        <v>2443</v>
      </c>
      <c r="E571" s="5">
        <v>41401</v>
      </c>
      <c r="F571" s="1" t="s">
        <v>17</v>
      </c>
      <c r="G571" s="1" t="str">
        <f>IF(B571=0,VLOOKUP(A571,Feuil2!$A$2:$M$1241,11,FALSE)," ")</f>
        <v xml:space="preserve"> </v>
      </c>
      <c r="H571" s="1" t="s">
        <v>16</v>
      </c>
      <c r="I571" s="6" t="str">
        <f>IF(B571=0,VLOOKUP(A571,Feuil2!$A$2:$M$1241,7,FALSE)," ")</f>
        <v xml:space="preserve"> </v>
      </c>
      <c r="J571" s="1" t="str">
        <f>IF(B571=0,VLOOKUP(A571,Feuil2!$A$2:$M$1241,9,FALSE)," ")</f>
        <v xml:space="preserve"> </v>
      </c>
      <c r="K571" s="1" t="str">
        <f>IF(B571=0,VLOOKUP(A571,Feuil2!$A$2:$M$1241,10,FALSE)," ")</f>
        <v xml:space="preserve"> </v>
      </c>
      <c r="L571" s="1"/>
      <c r="M571" s="1"/>
      <c r="N571" s="1"/>
      <c r="O571" s="8" t="str">
        <f>IF(B571=0,VLOOKUP(A571,Feuil2!$A$2:$M$1241,13,FALSE)," ")</f>
        <v xml:space="preserve"> </v>
      </c>
    </row>
    <row r="572" spans="1:15" x14ac:dyDescent="0.3">
      <c r="A572" s="1">
        <v>1908</v>
      </c>
      <c r="B572" s="1">
        <v>0</v>
      </c>
      <c r="C572" s="1" t="str">
        <f>IF(B572=0,VLOOKUP(A572,Feuil2!$A$2:$M$1241,2,FALSE)," ")</f>
        <v>ZMERLI</v>
      </c>
      <c r="D572" s="1" t="str">
        <f>IF(B572=0,VLOOKUP(A572,Feuil2!$A$2:$M$1241,3,FALSE)," ")</f>
        <v>JAOUHAR</v>
      </c>
      <c r="E572" s="5">
        <f>IF(B572=0,VLOOKUP(A572,Feuil2!$A$2:$M$1241,6,FALSE)," ")</f>
        <v>29340</v>
      </c>
      <c r="F572" s="1" t="str">
        <f>IF(B572=0,VLOOKUP(A572,Feuil2!$A$2:$M$1241,12,FALSE)," ")</f>
        <v>H</v>
      </c>
      <c r="G572" s="1" t="str">
        <f>IF(B572=0,VLOOKUP(A572,Feuil2!$A$2:$M$1241,11,FALSE)," ")</f>
        <v>M</v>
      </c>
      <c r="H572" s="1" t="s">
        <v>16</v>
      </c>
      <c r="I572" s="6">
        <f>IF(B572=0,VLOOKUP(A572,Feuil2!$A$2:$M$1241,7,FALSE)," ")</f>
        <v>5582073</v>
      </c>
      <c r="J572" s="1" t="str">
        <f>IF(B572=0,VLOOKUP(A572,Feuil2!$A$2:$M$1241,9,FALSE)," ")</f>
        <v>126,Rue Carthage</v>
      </c>
      <c r="K572" s="1" t="str">
        <f>IF(B572=0,VLOOKUP(A572,Feuil2!$A$2:$M$1241,10,FALSE)," ")</f>
        <v>Msaken 4070</v>
      </c>
      <c r="L572" s="1">
        <v>4070</v>
      </c>
      <c r="M572" s="1">
        <v>23950365</v>
      </c>
      <c r="N572" s="1"/>
      <c r="O572" s="8" t="str">
        <f>IF(B572=0,VLOOKUP(A572,Feuil2!$A$2:$M$1241,13,FALSE)," ")</f>
        <v>04204067000535840334</v>
      </c>
    </row>
    <row r="573" spans="1:15" x14ac:dyDescent="0.3">
      <c r="A573" s="1">
        <v>1908</v>
      </c>
      <c r="B573" s="1">
        <v>1</v>
      </c>
      <c r="C573" s="1" t="s">
        <v>83</v>
      </c>
      <c r="D573" s="1" t="s">
        <v>402</v>
      </c>
      <c r="E573" s="5">
        <v>31755</v>
      </c>
      <c r="F573" s="1" t="s">
        <v>17</v>
      </c>
      <c r="G573" s="1" t="s">
        <v>15</v>
      </c>
      <c r="H573" s="1" t="s">
        <v>16</v>
      </c>
      <c r="I573" s="6" t="str">
        <f>IF(B573=0,VLOOKUP(A573,Feuil2!$A$2:$M$1241,7,FALSE)," ")</f>
        <v xml:space="preserve"> </v>
      </c>
      <c r="J573" s="1" t="str">
        <f>IF(B573=0,VLOOKUP(A573,Feuil2!$A$2:$M$1241,9,FALSE)," ")</f>
        <v xml:space="preserve"> </v>
      </c>
      <c r="K573" s="1" t="str">
        <f>IF(B573=0,VLOOKUP(A573,Feuil2!$A$2:$M$1241,10,FALSE)," ")</f>
        <v xml:space="preserve"> </v>
      </c>
      <c r="L573" s="1"/>
      <c r="M573" s="1"/>
      <c r="N573" s="1"/>
      <c r="O573" s="8" t="str">
        <f>IF(B573=0,VLOOKUP(A573,Feuil2!$A$2:$M$1241,13,FALSE)," ")</f>
        <v xml:space="preserve"> </v>
      </c>
    </row>
    <row r="574" spans="1:15" x14ac:dyDescent="0.3">
      <c r="A574" s="1">
        <v>1908</v>
      </c>
      <c r="B574" s="1">
        <v>2</v>
      </c>
      <c r="C574" s="1" t="s">
        <v>277</v>
      </c>
      <c r="D574" s="1" t="s">
        <v>2531</v>
      </c>
      <c r="E574" s="5">
        <v>41066</v>
      </c>
      <c r="F574" s="1" t="s">
        <v>506</v>
      </c>
      <c r="G574" s="1" t="str">
        <f>IF(B574=0,VLOOKUP(A574,Feuil2!$A$2:$M$1241,11,FALSE)," ")</f>
        <v xml:space="preserve"> </v>
      </c>
      <c r="H574" s="1" t="s">
        <v>16</v>
      </c>
      <c r="I574" s="6" t="str">
        <f>IF(B574=0,VLOOKUP(A574,Feuil2!$A$2:$M$1241,7,FALSE)," ")</f>
        <v xml:space="preserve"> </v>
      </c>
      <c r="J574" s="1" t="str">
        <f>IF(B574=0,VLOOKUP(A574,Feuil2!$A$2:$M$1241,9,FALSE)," ")</f>
        <v xml:space="preserve"> </v>
      </c>
      <c r="K574" s="1" t="str">
        <f>IF(B574=0,VLOOKUP(A574,Feuil2!$A$2:$M$1241,10,FALSE)," ")</f>
        <v xml:space="preserve"> </v>
      </c>
      <c r="L574" s="1"/>
      <c r="M574" s="1"/>
      <c r="N574" s="1"/>
      <c r="O574" s="8" t="str">
        <f>IF(B574=0,VLOOKUP(A574,Feuil2!$A$2:$M$1241,13,FALSE)," ")</f>
        <v xml:space="preserve"> </v>
      </c>
    </row>
    <row r="575" spans="1:15" x14ac:dyDescent="0.3">
      <c r="A575" s="1">
        <v>1908</v>
      </c>
      <c r="B575" s="1">
        <v>3</v>
      </c>
      <c r="C575" s="1" t="s">
        <v>277</v>
      </c>
      <c r="D575" s="1" t="s">
        <v>48</v>
      </c>
      <c r="E575" s="5">
        <v>41783</v>
      </c>
      <c r="F575" s="1" t="s">
        <v>506</v>
      </c>
      <c r="G575" s="1" t="str">
        <f>IF(B575=0,VLOOKUP(A575,Feuil2!$A$2:$M$1241,11,FALSE)," ")</f>
        <v xml:space="preserve"> </v>
      </c>
      <c r="H575" s="1" t="s">
        <v>16</v>
      </c>
      <c r="I575" s="6" t="str">
        <f>IF(B575=0,VLOOKUP(A575,Feuil2!$A$2:$M$1241,7,FALSE)," ")</f>
        <v xml:space="preserve"> </v>
      </c>
      <c r="J575" s="1" t="str">
        <f>IF(B575=0,VLOOKUP(A575,Feuil2!$A$2:$M$1241,9,FALSE)," ")</f>
        <v xml:space="preserve"> </v>
      </c>
      <c r="K575" s="1" t="str">
        <f>IF(B575=0,VLOOKUP(A575,Feuil2!$A$2:$M$1241,10,FALSE)," ")</f>
        <v xml:space="preserve"> </v>
      </c>
      <c r="L575" s="1"/>
      <c r="M575" s="1"/>
      <c r="N575" s="1"/>
      <c r="O575" s="8" t="str">
        <f>IF(B575=0,VLOOKUP(A575,Feuil2!$A$2:$M$1241,13,FALSE)," ")</f>
        <v xml:space="preserve"> </v>
      </c>
    </row>
    <row r="576" spans="1:15" x14ac:dyDescent="0.3">
      <c r="A576" s="1">
        <v>1909</v>
      </c>
      <c r="B576" s="1">
        <v>0</v>
      </c>
      <c r="C576" s="1" t="str">
        <f>IF(B576=0,VLOOKUP(A576,Feuil2!$A$2:$M$1241,2,FALSE)," ")</f>
        <v>BHIRI</v>
      </c>
      <c r="D576" s="1" t="str">
        <f>IF(B576=0,VLOOKUP(A576,Feuil2!$A$2:$M$1241,3,FALSE)," ")</f>
        <v>ADLI</v>
      </c>
      <c r="E576" s="5">
        <f>IF(B576=0,VLOOKUP(A576,Feuil2!$A$2:$M$1241,6,FALSE)," ")</f>
        <v>30922</v>
      </c>
      <c r="F576" s="1" t="str">
        <f>IF(B576=0,VLOOKUP(A576,Feuil2!$A$2:$M$1241,12,FALSE)," ")</f>
        <v>H</v>
      </c>
      <c r="G576" s="1" t="str">
        <f>IF(B576=0,VLOOKUP(A576,Feuil2!$A$2:$M$1241,11,FALSE)," ")</f>
        <v>M</v>
      </c>
      <c r="H576" s="1" t="s">
        <v>16</v>
      </c>
      <c r="I576" s="6">
        <f>IF(B576=0,VLOOKUP(A576,Feuil2!$A$2:$M$1241,7,FALSE)," ")</f>
        <v>8466097</v>
      </c>
      <c r="J576" s="1" t="str">
        <f>IF(B576=0,VLOOKUP(A576,Feuil2!$A$2:$M$1241,9,FALSE)," ")</f>
        <v>48,Rue el Imem Ibn Arfa</v>
      </c>
      <c r="K576" s="1" t="str">
        <f>IF(B576=0,VLOOKUP(A576,Feuil2!$A$2:$M$1241,10,FALSE)," ")</f>
        <v>Msaken 4070</v>
      </c>
      <c r="L576" s="1">
        <v>4070</v>
      </c>
      <c r="M576" s="1">
        <v>98783251</v>
      </c>
      <c r="N576" s="1"/>
      <c r="O576" s="8" t="str">
        <f>IF(B576=0,VLOOKUP(A576,Feuil2!$A$2:$M$1241,13,FALSE)," ")</f>
        <v>05048000116500152029</v>
      </c>
    </row>
    <row r="577" spans="1:15" x14ac:dyDescent="0.3">
      <c r="A577" s="1">
        <v>1909</v>
      </c>
      <c r="B577" s="1">
        <v>1</v>
      </c>
      <c r="C577" s="1" t="s">
        <v>2524</v>
      </c>
      <c r="D577" s="1" t="s">
        <v>2322</v>
      </c>
      <c r="E577" s="5">
        <v>32666</v>
      </c>
      <c r="F577" s="1" t="s">
        <v>17</v>
      </c>
      <c r="G577" s="1" t="s">
        <v>15</v>
      </c>
      <c r="H577" s="1" t="s">
        <v>16</v>
      </c>
      <c r="I577" s="6" t="str">
        <f>IF(B577=0,VLOOKUP(A577,Feuil2!$A$2:$M$1241,7,FALSE)," ")</f>
        <v xml:space="preserve"> </v>
      </c>
      <c r="J577" s="1" t="str">
        <f>IF(B577=0,VLOOKUP(A577,Feuil2!$A$2:$M$1241,9,FALSE)," ")</f>
        <v xml:space="preserve"> </v>
      </c>
      <c r="K577" s="1" t="str">
        <f>IF(B577=0,VLOOKUP(A577,Feuil2!$A$2:$M$1241,10,FALSE)," ")</f>
        <v xml:space="preserve"> </v>
      </c>
      <c r="L577" s="1"/>
      <c r="M577" s="1"/>
      <c r="N577" s="1"/>
      <c r="O577" s="8" t="str">
        <f>IF(B577=0,VLOOKUP(A577,Feuil2!$A$2:$M$1241,13,FALSE)," ")</f>
        <v xml:space="preserve"> </v>
      </c>
    </row>
    <row r="578" spans="1:15" x14ac:dyDescent="0.3">
      <c r="A578" s="1">
        <v>1909</v>
      </c>
      <c r="B578" s="1">
        <v>2</v>
      </c>
      <c r="C578" s="1" t="s">
        <v>193</v>
      </c>
      <c r="D578" s="1" t="s">
        <v>107</v>
      </c>
      <c r="E578" s="5">
        <v>42307</v>
      </c>
      <c r="F578" s="1" t="s">
        <v>506</v>
      </c>
      <c r="G578" s="1" t="str">
        <f>IF(B578=0,VLOOKUP(A578,Feuil2!$A$2:$M$1241,11,FALSE)," ")</f>
        <v xml:space="preserve"> </v>
      </c>
      <c r="H578" s="1" t="s">
        <v>16</v>
      </c>
      <c r="I578" s="6" t="str">
        <f>IF(B578=0,VLOOKUP(A578,Feuil2!$A$2:$M$1241,7,FALSE)," ")</f>
        <v xml:space="preserve"> </v>
      </c>
      <c r="J578" s="1" t="str">
        <f>IF(B578=0,VLOOKUP(A578,Feuil2!$A$2:$M$1241,9,FALSE)," ")</f>
        <v xml:space="preserve"> </v>
      </c>
      <c r="K578" s="1" t="str">
        <f>IF(B578=0,VLOOKUP(A578,Feuil2!$A$2:$M$1241,10,FALSE)," ")</f>
        <v xml:space="preserve"> </v>
      </c>
      <c r="L578" s="1"/>
      <c r="M578" s="1"/>
      <c r="N578" s="1"/>
      <c r="O578" s="8" t="str">
        <f>IF(B578=0,VLOOKUP(A578,Feuil2!$A$2:$M$1241,13,FALSE)," ")</f>
        <v xml:space="preserve"> </v>
      </c>
    </row>
    <row r="579" spans="1:15" x14ac:dyDescent="0.3">
      <c r="A579" s="1">
        <v>1909</v>
      </c>
      <c r="B579" s="1">
        <v>3</v>
      </c>
      <c r="C579" s="1" t="s">
        <v>193</v>
      </c>
      <c r="D579" s="1" t="s">
        <v>479</v>
      </c>
      <c r="E579" s="5">
        <v>44372</v>
      </c>
      <c r="F579" s="1" t="s">
        <v>506</v>
      </c>
      <c r="G579" s="1"/>
      <c r="H579" s="1"/>
      <c r="I579" s="6"/>
      <c r="J579" s="1"/>
      <c r="K579" s="1"/>
      <c r="L579" s="1"/>
      <c r="M579" s="1"/>
      <c r="N579" s="1"/>
      <c r="O579" s="8"/>
    </row>
    <row r="580" spans="1:15" x14ac:dyDescent="0.3">
      <c r="A580" s="1">
        <v>1910</v>
      </c>
      <c r="B580" s="1">
        <v>0</v>
      </c>
      <c r="C580" s="1" t="str">
        <f>IF(B580=0,VLOOKUP(A580,Feuil2!$A$2:$M$1241,2,FALSE)," ")</f>
        <v>YOUSFI</v>
      </c>
      <c r="D580" s="1" t="str">
        <f>IF(B580=0,VLOOKUP(A580,Feuil2!$A$2:$M$1241,3,FALSE)," ")</f>
        <v>MEHDI</v>
      </c>
      <c r="E580" s="5">
        <f>IF(B580=0,VLOOKUP(A580,Feuil2!$A$2:$M$1241,6,FALSE)," ")</f>
        <v>31335</v>
      </c>
      <c r="F580" s="1" t="str">
        <f>IF(B580=0,VLOOKUP(A580,Feuil2!$A$2:$M$1241,12,FALSE)," ")</f>
        <v>H</v>
      </c>
      <c r="G580" s="1" t="str">
        <f>IF(B580=0,VLOOKUP(A580,Feuil2!$A$2:$M$1241,11,FALSE)," ")</f>
        <v>M</v>
      </c>
      <c r="H580" s="1" t="s">
        <v>16</v>
      </c>
      <c r="I580" s="6">
        <f>IF(B580=0,VLOOKUP(A580,Feuil2!$A$2:$M$1241,7,FALSE)," ")</f>
        <v>8471747</v>
      </c>
      <c r="J580" s="1" t="str">
        <f>IF(B580=0,VLOOKUP(A580,Feuil2!$A$2:$M$1241,9,FALSE)," ")</f>
        <v>184, Rue HÃ©di Chaker</v>
      </c>
      <c r="K580" s="1" t="str">
        <f>IF(B580=0,VLOOKUP(A580,Feuil2!$A$2:$M$1241,10,FALSE)," ")</f>
        <v>Msaken 4070</v>
      </c>
      <c r="L580" s="1">
        <v>4070</v>
      </c>
      <c r="M580" s="1">
        <v>23670249</v>
      </c>
      <c r="N580" s="1"/>
      <c r="O580" s="8" t="str">
        <f>IF(B580=0,VLOOKUP(A580,Feuil2!$A$2:$M$1241,13,FALSE)," ")</f>
        <v>05048000116500151253</v>
      </c>
    </row>
    <row r="581" spans="1:15" x14ac:dyDescent="0.3">
      <c r="A581" s="1">
        <v>1910</v>
      </c>
      <c r="B581" s="1">
        <v>1</v>
      </c>
      <c r="C581" s="1" t="s">
        <v>161</v>
      </c>
      <c r="D581" s="1" t="s">
        <v>2429</v>
      </c>
      <c r="E581" s="5">
        <v>33182</v>
      </c>
      <c r="F581" s="1" t="s">
        <v>17</v>
      </c>
      <c r="G581" s="1" t="str">
        <f>IF(B581=0,VLOOKUP(A581,Feuil2!$A$2:$M$1241,11,FALSE)," ")</f>
        <v xml:space="preserve"> </v>
      </c>
      <c r="H581" s="1" t="s">
        <v>16</v>
      </c>
      <c r="I581" s="6" t="str">
        <f>IF(B581=0,VLOOKUP(A581,Feuil2!$A$2:$M$1241,7,FALSE)," ")</f>
        <v xml:space="preserve"> </v>
      </c>
      <c r="J581" s="1" t="str">
        <f>IF(B581=0,VLOOKUP(A581,Feuil2!$A$2:$M$1241,9,FALSE)," ")</f>
        <v xml:space="preserve"> </v>
      </c>
      <c r="K581" s="1" t="str">
        <f>IF(B581=0,VLOOKUP(A581,Feuil2!$A$2:$M$1241,10,FALSE)," ")</f>
        <v xml:space="preserve"> </v>
      </c>
      <c r="L581" s="1"/>
      <c r="M581" s="1"/>
      <c r="N581" s="1"/>
      <c r="O581" s="8" t="str">
        <f>IF(B581=0,VLOOKUP(A581,Feuil2!$A$2:$M$1241,13,FALSE)," ")</f>
        <v xml:space="preserve"> </v>
      </c>
    </row>
    <row r="582" spans="1:15" x14ac:dyDescent="0.3">
      <c r="A582" s="1">
        <v>1910</v>
      </c>
      <c r="B582" s="1">
        <v>2</v>
      </c>
      <c r="C582" s="1" t="s">
        <v>210</v>
      </c>
      <c r="D582" s="1" t="s">
        <v>2332</v>
      </c>
      <c r="E582" s="5">
        <v>43291</v>
      </c>
      <c r="F582" s="1" t="s">
        <v>17</v>
      </c>
      <c r="G582" s="1"/>
      <c r="H582" s="1" t="s">
        <v>16</v>
      </c>
      <c r="I582" s="6"/>
      <c r="J582" s="1"/>
      <c r="K582" s="1"/>
      <c r="L582" s="1"/>
      <c r="M582" s="1"/>
      <c r="N582" s="1"/>
      <c r="O582" s="8"/>
    </row>
    <row r="583" spans="1:15" x14ac:dyDescent="0.3">
      <c r="A583" s="1">
        <v>1910</v>
      </c>
      <c r="B583" s="1">
        <v>3</v>
      </c>
      <c r="C583" s="1" t="s">
        <v>210</v>
      </c>
      <c r="D583" s="1" t="s">
        <v>2424</v>
      </c>
      <c r="E583" s="5">
        <v>44452</v>
      </c>
      <c r="F583" s="5" t="s">
        <v>15</v>
      </c>
      <c r="G583" s="1" t="s">
        <v>17</v>
      </c>
      <c r="H583" s="1" t="s">
        <v>16</v>
      </c>
      <c r="I583" s="6" t="str">
        <f>IF(B583=0,VLOOKUP(A583,Feuil2!$A$2:$M$1241,7,FALSE)," ")</f>
        <v xml:space="preserve"> </v>
      </c>
      <c r="J583" s="1" t="str">
        <f>IF(B583=0,VLOOKUP(A583,Feuil2!$A$2:$M$1241,9,FALSE)," ")</f>
        <v xml:space="preserve"> </v>
      </c>
      <c r="K583" s="1" t="str">
        <f>IF(B583=0,VLOOKUP(A583,Feuil2!$A$2:$M$1241,10,FALSE)," ")</f>
        <v xml:space="preserve"> </v>
      </c>
      <c r="L583" s="1"/>
      <c r="M583" s="1"/>
      <c r="N583" s="1"/>
      <c r="O583" s="8" t="str">
        <f>IF(B583=0,VLOOKUP(A583,Feuil2!$A$2:$M$1241,13,FALSE)," ")</f>
        <v xml:space="preserve"> </v>
      </c>
    </row>
    <row r="584" spans="1:15" x14ac:dyDescent="0.3">
      <c r="A584" s="1">
        <v>1917</v>
      </c>
      <c r="B584" s="1">
        <v>0</v>
      </c>
      <c r="C584" s="1" t="str">
        <f>IF(B584=0,VLOOKUP(A584,Feuil2!$A$2:$M$1241,2,FALSE)," ")</f>
        <v>HAMILA</v>
      </c>
      <c r="D584" s="1" t="str">
        <f>IF(B584=0,VLOOKUP(A584,Feuil2!$A$2:$M$1241,3,FALSE)," ")</f>
        <v>JAMEL</v>
      </c>
      <c r="E584" s="5">
        <f>IF(B584=0,VLOOKUP(A584,Feuil2!$A$2:$M$1241,6,FALSE)," ")</f>
        <v>25690</v>
      </c>
      <c r="F584" s="1" t="str">
        <f>IF(B584=0,VLOOKUP(A584,Feuil2!$A$2:$M$1241,12,FALSE)," ")</f>
        <v>H</v>
      </c>
      <c r="G584" s="1" t="str">
        <f>IF(B584=0,VLOOKUP(A584,Feuil2!$A$2:$M$1241,11,FALSE)," ")</f>
        <v>M</v>
      </c>
      <c r="H584" s="1" t="s">
        <v>16</v>
      </c>
      <c r="I584" s="6">
        <f>IF(B584=0,VLOOKUP(A584,Feuil2!$A$2:$M$1241,7,FALSE)," ")</f>
        <v>2994183</v>
      </c>
      <c r="J584" s="1" t="str">
        <f>IF(B584=0,VLOOKUP(A584,Feuil2!$A$2:$M$1241,9,FALSE)," ")</f>
        <v>44 Rue Achour</v>
      </c>
      <c r="K584" s="1" t="str">
        <f>IF(B584=0,VLOOKUP(A584,Feuil2!$A$2:$M$1241,10,FALSE)," ")</f>
        <v>Msaken 4070</v>
      </c>
      <c r="L584" s="1">
        <v>4070</v>
      </c>
      <c r="M584" s="1">
        <v>93229007</v>
      </c>
      <c r="N584" s="1"/>
      <c r="O584" s="8" t="str">
        <f>IF(B584=0,VLOOKUP(A584,Feuil2!$A$2:$M$1241,13,FALSE)," ")</f>
        <v>12505000000211620701</v>
      </c>
    </row>
    <row r="585" spans="1:15" x14ac:dyDescent="0.3">
      <c r="A585" s="1">
        <v>1917</v>
      </c>
      <c r="B585" s="1">
        <v>1</v>
      </c>
      <c r="C585" s="1" t="s">
        <v>2430</v>
      </c>
      <c r="D585" s="1" t="s">
        <v>629</v>
      </c>
      <c r="E585" s="5">
        <v>26439</v>
      </c>
      <c r="F585" s="1" t="s">
        <v>17</v>
      </c>
      <c r="G585" s="1" t="s">
        <v>15</v>
      </c>
      <c r="H585" s="1" t="s">
        <v>16</v>
      </c>
      <c r="I585" s="6" t="str">
        <f>IF(B585=0,VLOOKUP(A585,Feuil2!$A$2:$M$1241,7,FALSE)," ")</f>
        <v xml:space="preserve"> </v>
      </c>
      <c r="J585" s="1" t="str">
        <f>IF(B585=0,VLOOKUP(A585,Feuil2!$A$2:$M$1241,9,FALSE)," ")</f>
        <v xml:space="preserve"> </v>
      </c>
      <c r="K585" s="1" t="str">
        <f>IF(B585=0,VLOOKUP(A585,Feuil2!$A$2:$M$1241,10,FALSE)," ")</f>
        <v xml:space="preserve"> </v>
      </c>
      <c r="L585" s="1"/>
      <c r="M585" s="1"/>
      <c r="N585" s="1"/>
      <c r="O585" s="8" t="str">
        <f>IF(B585=0,VLOOKUP(A585,Feuil2!$A$2:$M$1241,13,FALSE)," ")</f>
        <v xml:space="preserve"> </v>
      </c>
    </row>
    <row r="586" spans="1:15" x14ac:dyDescent="0.3">
      <c r="A586" s="1">
        <v>1917</v>
      </c>
      <c r="B586" s="1">
        <v>2</v>
      </c>
      <c r="C586" s="1" t="s">
        <v>103</v>
      </c>
      <c r="D586" s="1" t="s">
        <v>296</v>
      </c>
      <c r="E586" s="5">
        <v>37315</v>
      </c>
      <c r="F586" s="1" t="s">
        <v>506</v>
      </c>
      <c r="G586" s="1" t="str">
        <f>IF(B586=0,VLOOKUP(A586,Feuil2!$A$2:$M$1241,11,FALSE)," ")</f>
        <v xml:space="preserve"> </v>
      </c>
      <c r="H586" s="1" t="s">
        <v>16</v>
      </c>
      <c r="I586" s="6" t="str">
        <f>IF(B586=0,VLOOKUP(A586,Feuil2!$A$2:$M$1241,7,FALSE)," ")</f>
        <v xml:space="preserve"> </v>
      </c>
      <c r="J586" s="1" t="str">
        <f>IF(B586=0,VLOOKUP(A586,Feuil2!$A$2:$M$1241,9,FALSE)," ")</f>
        <v xml:space="preserve"> </v>
      </c>
      <c r="K586" s="1" t="str">
        <f>IF(B586=0,VLOOKUP(A586,Feuil2!$A$2:$M$1241,10,FALSE)," ")</f>
        <v xml:space="preserve"> </v>
      </c>
      <c r="L586" s="1"/>
      <c r="M586" s="1"/>
      <c r="N586" s="1"/>
      <c r="O586" s="8" t="str">
        <f>IF(B586=0,VLOOKUP(A586,Feuil2!$A$2:$M$1241,13,FALSE)," ")</f>
        <v xml:space="preserve"> </v>
      </c>
    </row>
    <row r="587" spans="1:15" x14ac:dyDescent="0.3">
      <c r="A587" s="1">
        <v>1917</v>
      </c>
      <c r="B587" s="1">
        <v>3</v>
      </c>
      <c r="C587" s="1" t="s">
        <v>103</v>
      </c>
      <c r="D587" s="1" t="s">
        <v>2389</v>
      </c>
      <c r="E587" s="5">
        <v>38407</v>
      </c>
      <c r="F587" s="1" t="s">
        <v>17</v>
      </c>
      <c r="G587" s="1" t="str">
        <f>IF(B587=0,VLOOKUP(A587,Feuil2!$A$2:$M$1241,11,FALSE)," ")</f>
        <v xml:space="preserve"> </v>
      </c>
      <c r="H587" s="1" t="s">
        <v>16</v>
      </c>
      <c r="I587" s="6" t="str">
        <f>IF(B587=0,VLOOKUP(A587,Feuil2!$A$2:$M$1241,7,FALSE)," ")</f>
        <v xml:space="preserve"> </v>
      </c>
      <c r="J587" s="1" t="str">
        <f>IF(B587=0,VLOOKUP(A587,Feuil2!$A$2:$M$1241,9,FALSE)," ")</f>
        <v xml:space="preserve"> </v>
      </c>
      <c r="K587" s="1" t="str">
        <f>IF(B587=0,VLOOKUP(A587,Feuil2!$A$2:$M$1241,10,FALSE)," ")</f>
        <v xml:space="preserve"> </v>
      </c>
      <c r="L587" s="1"/>
      <c r="M587" s="1"/>
      <c r="N587" s="1"/>
      <c r="O587" s="8" t="str">
        <f>IF(B587=0,VLOOKUP(A587,Feuil2!$A$2:$M$1241,13,FALSE)," ")</f>
        <v xml:space="preserve"> </v>
      </c>
    </row>
    <row r="588" spans="1:15" x14ac:dyDescent="0.3">
      <c r="A588" s="1">
        <v>1918</v>
      </c>
      <c r="B588" s="17">
        <v>0</v>
      </c>
      <c r="C588" s="17" t="str">
        <f>IF(B588=0,VLOOKUP(A588,Feuil2!$A$2:$M$1241,2,FALSE)," ")</f>
        <v>BOURIGUA</v>
      </c>
      <c r="D588" s="17" t="str">
        <f>IF(B588=0,VLOOKUP(A588,Feuil2!$A$2:$M$1241,3,FALSE)," ")</f>
        <v>MOHAMED ALI</v>
      </c>
      <c r="E588" s="18">
        <f>IF(B588=0,VLOOKUP(A588,Feuil2!$A$2:$M$1241,6,FALSE)," ")</f>
        <v>23865</v>
      </c>
      <c r="F588" s="17" t="str">
        <f>IF(B588=0,VLOOKUP(A588,Feuil2!$A$2:$M$1241,12,FALSE)," ")</f>
        <v>H</v>
      </c>
      <c r="G588" s="17" t="str">
        <f>IF(B588=0,VLOOKUP(A588,Feuil2!$A$2:$M$1241,11,FALSE)," ")</f>
        <v>M</v>
      </c>
      <c r="H588" s="17" t="s">
        <v>16</v>
      </c>
      <c r="I588" s="19">
        <f>IF(B588=0,VLOOKUP(A588,Feuil2!$A$2:$M$1241,7,FALSE)," ")</f>
        <v>2977136</v>
      </c>
      <c r="J588" s="17" t="str">
        <f>IF(B588=0,VLOOKUP(A588,Feuil2!$A$2:$M$1241,9,FALSE)," ")</f>
        <v>28 Rue Abdelhamid El Gadhi</v>
      </c>
      <c r="K588" s="17" t="str">
        <f>IF(B588=0,VLOOKUP(A588,Feuil2!$A$2:$M$1241,10,FALSE)," ")</f>
        <v>Msaken 4070</v>
      </c>
      <c r="L588" s="17">
        <v>4070</v>
      </c>
      <c r="M588" s="17">
        <v>92283049</v>
      </c>
      <c r="N588" s="17"/>
      <c r="O588" s="20" t="str">
        <f>IF(B588=0,VLOOKUP(A588,Feuil2!$A$2:$M$1241,13,FALSE)," ")</f>
        <v>08507000262003259260</v>
      </c>
    </row>
    <row r="589" spans="1:15" x14ac:dyDescent="0.3">
      <c r="A589" s="1">
        <v>1918</v>
      </c>
      <c r="B589" s="1">
        <v>1</v>
      </c>
      <c r="C589" s="1" t="s">
        <v>2632</v>
      </c>
      <c r="D589" s="1" t="s">
        <v>2597</v>
      </c>
      <c r="E589" s="5">
        <v>28474</v>
      </c>
      <c r="F589" s="1" t="s">
        <v>17</v>
      </c>
      <c r="G589" s="1" t="s">
        <v>15</v>
      </c>
      <c r="H589" s="1" t="s">
        <v>16</v>
      </c>
      <c r="I589" s="6" t="str">
        <f>IF(B589=0,VLOOKUP(A589,Feuil2!$A$2:$M$1241,7,FALSE)," ")</f>
        <v xml:space="preserve"> </v>
      </c>
      <c r="J589" s="1" t="str">
        <f>IF(B589=0,VLOOKUP(A589,Feuil2!$A$2:$M$1241,9,FALSE)," ")</f>
        <v xml:space="preserve"> </v>
      </c>
      <c r="K589" s="1" t="str">
        <f>IF(B589=0,VLOOKUP(A589,Feuil2!$A$2:$M$1241,10,FALSE)," ")</f>
        <v xml:space="preserve"> </v>
      </c>
      <c r="L589" s="1"/>
      <c r="M589" s="1"/>
      <c r="N589" s="1"/>
      <c r="O589" s="8"/>
    </row>
    <row r="590" spans="1:15" x14ac:dyDescent="0.3">
      <c r="A590" s="1">
        <v>1918</v>
      </c>
      <c r="B590" s="1">
        <v>2</v>
      </c>
      <c r="C590" s="1" t="s">
        <v>360</v>
      </c>
      <c r="D590" s="1" t="s">
        <v>2345</v>
      </c>
      <c r="E590" s="5">
        <v>36992</v>
      </c>
      <c r="F590" s="1" t="s">
        <v>17</v>
      </c>
      <c r="G590" s="1" t="str">
        <f>IF(B590=0,VLOOKUP(A590,Feuil2!$A$2:$M$1241,11,FALSE)," ")</f>
        <v xml:space="preserve"> </v>
      </c>
      <c r="H590" s="1" t="s">
        <v>16</v>
      </c>
      <c r="I590" s="6" t="str">
        <f>IF(B590=0,VLOOKUP(A590,Feuil2!$A$2:$M$1241,7,FALSE)," ")</f>
        <v xml:space="preserve"> </v>
      </c>
      <c r="J590" s="1" t="str">
        <f>IF(B590=0,VLOOKUP(A590,Feuil2!$A$2:$M$1241,9,FALSE)," ")</f>
        <v xml:space="preserve"> </v>
      </c>
      <c r="K590" s="1" t="str">
        <f>IF(B590=0,VLOOKUP(A590,Feuil2!$A$2:$M$1241,10,FALSE)," ")</f>
        <v xml:space="preserve"> </v>
      </c>
      <c r="L590" s="1"/>
      <c r="M590" s="1"/>
      <c r="N590" s="1"/>
      <c r="O590" s="8"/>
    </row>
    <row r="591" spans="1:15" x14ac:dyDescent="0.3">
      <c r="A591" s="1">
        <v>1918</v>
      </c>
      <c r="B591" s="1">
        <v>3</v>
      </c>
      <c r="C591" s="1" t="s">
        <v>360</v>
      </c>
      <c r="D591" s="1" t="s">
        <v>1925</v>
      </c>
      <c r="E591" s="5">
        <v>37633</v>
      </c>
      <c r="F591" s="1" t="s">
        <v>17</v>
      </c>
      <c r="G591" s="1" t="str">
        <f>IF(B591=0,VLOOKUP(A591,Feuil2!$A$2:$M$1241,11,FALSE)," ")</f>
        <v xml:space="preserve"> </v>
      </c>
      <c r="H591" s="1" t="s">
        <v>16</v>
      </c>
      <c r="I591" s="6" t="str">
        <f>IF(B591=0,VLOOKUP(A591,Feuil2!$A$2:$M$1241,7,FALSE)," ")</f>
        <v xml:space="preserve"> </v>
      </c>
      <c r="J591" s="1" t="str">
        <f>IF(B591=0,VLOOKUP(A591,Feuil2!$A$2:$M$1241,9,FALSE)," ")</f>
        <v xml:space="preserve"> </v>
      </c>
      <c r="K591" s="1" t="str">
        <f>IF(B591=0,VLOOKUP(A591,Feuil2!$A$2:$M$1241,10,FALSE)," ")</f>
        <v xml:space="preserve"> </v>
      </c>
      <c r="L591" s="1"/>
      <c r="M591" s="1"/>
      <c r="N591" s="1"/>
      <c r="O591" s="8"/>
    </row>
    <row r="592" spans="1:15" x14ac:dyDescent="0.3">
      <c r="A592" s="1">
        <v>1918</v>
      </c>
      <c r="B592" s="1">
        <v>4</v>
      </c>
      <c r="C592" s="1" t="s">
        <v>360</v>
      </c>
      <c r="D592" s="1" t="s">
        <v>2633</v>
      </c>
      <c r="E592" s="5">
        <v>39485</v>
      </c>
      <c r="F592" s="1" t="s">
        <v>17</v>
      </c>
      <c r="G592" s="1" t="str">
        <f>IF(B592=0,VLOOKUP(A592,Feuil2!$A$2:$M$1241,11,FALSE)," ")</f>
        <v xml:space="preserve"> </v>
      </c>
      <c r="H592" s="1" t="s">
        <v>16</v>
      </c>
      <c r="I592" s="6" t="str">
        <f>IF(B592=0,VLOOKUP(A592,Feuil2!$A$2:$M$1241,7,FALSE)," ")</f>
        <v xml:space="preserve"> </v>
      </c>
      <c r="J592" s="1" t="str">
        <f>IF(B592=0,VLOOKUP(A592,Feuil2!$A$2:$M$1241,9,FALSE)," ")</f>
        <v xml:space="preserve"> </v>
      </c>
      <c r="K592" s="1" t="str">
        <f>IF(B592=0,VLOOKUP(A592,Feuil2!$A$2:$M$1241,10,FALSE)," ")</f>
        <v xml:space="preserve"> </v>
      </c>
      <c r="L592" s="1"/>
      <c r="M592" s="1"/>
      <c r="N592" s="1"/>
      <c r="O592" s="8"/>
    </row>
    <row r="593" spans="1:15" x14ac:dyDescent="0.3">
      <c r="A593" s="1">
        <v>1918</v>
      </c>
      <c r="B593" s="1">
        <v>5</v>
      </c>
      <c r="C593" s="1" t="s">
        <v>360</v>
      </c>
      <c r="D593" s="1" t="s">
        <v>2634</v>
      </c>
      <c r="E593" s="5">
        <v>40597</v>
      </c>
      <c r="F593" s="1" t="s">
        <v>17</v>
      </c>
      <c r="G593" s="1" t="str">
        <f>IF(B593=0,VLOOKUP(A593,Feuil2!$A$2:$M$1241,11,FALSE)," ")</f>
        <v xml:space="preserve"> </v>
      </c>
      <c r="H593" s="1" t="s">
        <v>16</v>
      </c>
      <c r="I593" s="6" t="str">
        <f>IF(B593=0,VLOOKUP(A593,Feuil2!$A$2:$M$1241,7,FALSE)," ")</f>
        <v xml:space="preserve"> </v>
      </c>
      <c r="J593" s="1" t="str">
        <f>IF(B593=0,VLOOKUP(A593,Feuil2!$A$2:$M$1241,9,FALSE)," ")</f>
        <v xml:space="preserve"> </v>
      </c>
      <c r="K593" s="1" t="str">
        <f>IF(B593=0,VLOOKUP(A593,Feuil2!$A$2:$M$1241,10,FALSE)," ")</f>
        <v xml:space="preserve"> </v>
      </c>
      <c r="L593" s="1"/>
      <c r="M593" s="1"/>
      <c r="N593" s="1"/>
      <c r="O593" s="8"/>
    </row>
    <row r="594" spans="1:15" x14ac:dyDescent="0.3">
      <c r="A594" s="1">
        <v>1919</v>
      </c>
      <c r="B594" s="1">
        <v>0</v>
      </c>
      <c r="C594" s="1" t="str">
        <f>IF(B594=0,VLOOKUP(A594,Feuil2!$A$2:$M$1241,2,FALSE)," ")</f>
        <v>SOUA LAYOUNI</v>
      </c>
      <c r="D594" s="1" t="str">
        <f>IF(B594=0,VLOOKUP(A594,Feuil2!$A$2:$M$1241,3,FALSE)," ")</f>
        <v>MOHAMED</v>
      </c>
      <c r="E594" s="5">
        <f>IF(B594=0,VLOOKUP(A594,Feuil2!$A$2:$M$1241,6,FALSE)," ")</f>
        <v>28592</v>
      </c>
      <c r="F594" s="1" t="str">
        <f>IF(B594=0,VLOOKUP(A594,Feuil2!$A$2:$M$1241,12,FALSE)," ")</f>
        <v>H</v>
      </c>
      <c r="G594" s="1" t="s">
        <v>15</v>
      </c>
      <c r="H594" s="1" t="s">
        <v>16</v>
      </c>
      <c r="I594" s="6">
        <f>IF(B594=0,VLOOKUP(A594,Feuil2!$A$2:$M$1241,7,FALSE)," ")</f>
        <v>5591868</v>
      </c>
      <c r="J594" s="1" t="str">
        <f>IF(B594=0,VLOOKUP(A594,Feuil2!$A$2:$M$1241,9,FALSE)," ")</f>
        <v>13 Rue 20 Mars</v>
      </c>
      <c r="K594" s="1" t="str">
        <f>IF(B594=0,VLOOKUP(A594,Feuil2!$A$2:$M$1241,10,FALSE)," ")</f>
        <v>Msaken 4070</v>
      </c>
      <c r="L594" s="1">
        <v>4070</v>
      </c>
      <c r="M594" s="1">
        <v>26081814</v>
      </c>
      <c r="N594" s="1"/>
      <c r="O594" s="8" t="str">
        <f>IF(B594=0,VLOOKUP(A594,Feuil2!$A$2:$M$1241,13,FALSE)," ")</f>
        <v>04204067001486583603</v>
      </c>
    </row>
    <row r="595" spans="1:15" x14ac:dyDescent="0.3">
      <c r="A595" s="1">
        <v>1919</v>
      </c>
      <c r="B595" s="1">
        <v>1</v>
      </c>
      <c r="C595" s="1" t="s">
        <v>1857</v>
      </c>
      <c r="D595" s="1" t="s">
        <v>2544</v>
      </c>
      <c r="E595" s="5">
        <v>30424</v>
      </c>
      <c r="F595" s="1" t="s">
        <v>17</v>
      </c>
      <c r="G595" s="1" t="s">
        <v>15</v>
      </c>
      <c r="H595" s="1" t="s">
        <v>16</v>
      </c>
      <c r="I595" s="6" t="str">
        <f>IF(B595=0,VLOOKUP(A595,Feuil2!$A$2:$M$1241,7,FALSE)," ")</f>
        <v xml:space="preserve"> </v>
      </c>
      <c r="J595" s="1" t="str">
        <f>IF(B595=0,VLOOKUP(A595,Feuil2!$A$2:$M$1241,9,FALSE)," ")</f>
        <v xml:space="preserve"> </v>
      </c>
      <c r="K595" s="1" t="str">
        <f>IF(B595=0,VLOOKUP(A595,Feuil2!$A$2:$M$1241,10,FALSE)," ")</f>
        <v xml:space="preserve"> </v>
      </c>
      <c r="L595" s="1"/>
      <c r="M595" s="1"/>
      <c r="N595" s="1"/>
      <c r="O595" s="8" t="str">
        <f>IF(B595=0,VLOOKUP(A595,Feuil2!$A$2:$M$1241,13,FALSE)," ")</f>
        <v xml:space="preserve"> </v>
      </c>
    </row>
    <row r="596" spans="1:15" x14ac:dyDescent="0.3">
      <c r="A596" s="1">
        <v>1919</v>
      </c>
      <c r="B596" s="1">
        <v>2</v>
      </c>
      <c r="C596" s="1" t="s">
        <v>1857</v>
      </c>
      <c r="D596" s="1" t="s">
        <v>404</v>
      </c>
      <c r="E596" s="5">
        <v>42744</v>
      </c>
      <c r="F596" s="1" t="s">
        <v>17</v>
      </c>
      <c r="G596" s="1" t="str">
        <f>IF(B596=0,VLOOKUP(A596,Feuil2!$A$2:$M$1241,11,FALSE)," ")</f>
        <v xml:space="preserve"> </v>
      </c>
      <c r="H596" s="1" t="s">
        <v>16</v>
      </c>
      <c r="I596" s="6" t="str">
        <f>IF(B596=0,VLOOKUP(A596,Feuil2!$A$2:$M$1241,7,FALSE)," ")</f>
        <v xml:space="preserve"> </v>
      </c>
      <c r="J596" s="1" t="str">
        <f>IF(B596=0,VLOOKUP(A596,Feuil2!$A$2:$M$1241,9,FALSE)," ")</f>
        <v xml:space="preserve"> </v>
      </c>
      <c r="K596" s="1" t="str">
        <f>IF(B596=0,VLOOKUP(A596,Feuil2!$A$2:$M$1241,10,FALSE)," ")</f>
        <v xml:space="preserve"> </v>
      </c>
      <c r="L596" s="1"/>
      <c r="M596" s="1"/>
      <c r="N596" s="1"/>
      <c r="O596" s="8" t="str">
        <f>IF(B596=0,VLOOKUP(A596,Feuil2!$A$2:$M$1241,13,FALSE)," ")</f>
        <v xml:space="preserve"> </v>
      </c>
    </row>
    <row r="597" spans="1:15" x14ac:dyDescent="0.3">
      <c r="A597" s="1">
        <v>1919</v>
      </c>
      <c r="B597" s="1">
        <v>3</v>
      </c>
      <c r="C597" s="1" t="s">
        <v>1857</v>
      </c>
      <c r="D597" s="1" t="s">
        <v>60</v>
      </c>
      <c r="E597" s="5">
        <v>43243</v>
      </c>
      <c r="F597" s="1" t="s">
        <v>506</v>
      </c>
      <c r="G597" s="1" t="str">
        <f>IF(B597=0,VLOOKUP(A597,Feuil2!$A$2:$M$1241,11,FALSE)," ")</f>
        <v xml:space="preserve"> </v>
      </c>
      <c r="H597" s="1" t="s">
        <v>16</v>
      </c>
      <c r="I597" s="6" t="str">
        <f>IF(B597=0,VLOOKUP(A597,Feuil2!$A$2:$M$1241,7,FALSE)," ")</f>
        <v xml:space="preserve"> </v>
      </c>
      <c r="J597" s="1" t="str">
        <f>IF(B597=0,VLOOKUP(A597,Feuil2!$A$2:$M$1241,9,FALSE)," ")</f>
        <v xml:space="preserve"> </v>
      </c>
      <c r="K597" s="1" t="str">
        <f>IF(B597=0,VLOOKUP(A597,Feuil2!$A$2:$M$1241,10,FALSE)," ")</f>
        <v xml:space="preserve"> </v>
      </c>
      <c r="L597" s="1"/>
      <c r="M597" s="1"/>
      <c r="N597" s="1"/>
      <c r="O597" s="8" t="str">
        <f>IF(B597=0,VLOOKUP(A597,Feuil2!$A$2:$M$1241,13,FALSE)," ")</f>
        <v xml:space="preserve"> </v>
      </c>
    </row>
    <row r="598" spans="1:15" x14ac:dyDescent="0.3">
      <c r="A598" s="1">
        <v>1924</v>
      </c>
      <c r="B598" s="1">
        <v>0</v>
      </c>
      <c r="C598" s="1" t="str">
        <f>IF(B598=0,VLOOKUP(A598,Feuil2!$A$2:$M$1241,2,FALSE)," ")</f>
        <v>BRAHIM</v>
      </c>
      <c r="D598" s="1" t="str">
        <f>IF(B598=0,VLOOKUP(A598,Feuil2!$A$2:$M$1241,3,FALSE)," ")</f>
        <v>Wahiba</v>
      </c>
      <c r="E598" s="5">
        <f>IF(B598=0,VLOOKUP(A598,Feuil2!$A$2:$M$1241,6,FALSE)," ")</f>
        <v>26396</v>
      </c>
      <c r="F598" s="1" t="str">
        <f>IF(B598=0,VLOOKUP(A598,Feuil2!$A$2:$M$1241,12,FALSE)," ")</f>
        <v>F</v>
      </c>
      <c r="G598" s="1" t="str">
        <f>IF(B598=0,VLOOKUP(A598,Feuil2!$A$2:$M$1241,11,FALSE)," ")</f>
        <v>M</v>
      </c>
      <c r="H598" s="1" t="s">
        <v>16</v>
      </c>
      <c r="I598" s="6">
        <f>IF(B598=0,VLOOKUP(A598,Feuil2!$A$2:$M$1241,7,FALSE)," ")</f>
        <v>5524699</v>
      </c>
      <c r="J598" s="1" t="str">
        <f>IF(B598=0,VLOOKUP(A598,Feuil2!$A$2:$M$1241,9,FALSE)," ")</f>
        <v>Route de Moureddine</v>
      </c>
      <c r="K598" s="1" t="str">
        <f>IF(B598=0,VLOOKUP(A598,Feuil2!$A$2:$M$1241,10,FALSE)," ")</f>
        <v>Msaken 4070</v>
      </c>
      <c r="L598" s="1">
        <v>4070</v>
      </c>
      <c r="M598" s="1">
        <v>98793771</v>
      </c>
      <c r="N598" s="1"/>
      <c r="O598" s="8" t="str">
        <f>IF(B598=0,VLOOKUP(A598,Feuil2!$A$2:$M$1241,13,FALSE)," ")</f>
        <v>25018000000020569307</v>
      </c>
    </row>
    <row r="599" spans="1:15" x14ac:dyDescent="0.3">
      <c r="A599" s="1">
        <v>1924</v>
      </c>
      <c r="B599" s="1">
        <v>1</v>
      </c>
      <c r="C599" s="1" t="s">
        <v>745</v>
      </c>
      <c r="D599" s="1" t="s">
        <v>2455</v>
      </c>
      <c r="E599" s="5">
        <v>25745</v>
      </c>
      <c r="F599" s="1" t="s">
        <v>506</v>
      </c>
      <c r="G599" s="1" t="s">
        <v>15</v>
      </c>
      <c r="H599" s="1" t="s">
        <v>16</v>
      </c>
      <c r="I599" s="6" t="str">
        <f>IF(B599=0,VLOOKUP(A599,Feuil2!$A$2:$M$1241,7,FALSE)," ")</f>
        <v xml:space="preserve"> </v>
      </c>
      <c r="J599" s="1" t="str">
        <f>IF(B599=0,VLOOKUP(A599,Feuil2!$A$2:$M$1241,9,FALSE)," ")</f>
        <v xml:space="preserve"> </v>
      </c>
      <c r="K599" s="1" t="str">
        <f>IF(B599=0,VLOOKUP(A599,Feuil2!$A$2:$M$1241,10,FALSE)," ")</f>
        <v xml:space="preserve"> </v>
      </c>
      <c r="L599" s="1"/>
      <c r="M599" s="1"/>
      <c r="N599" s="1"/>
      <c r="O599" s="8" t="str">
        <f>IF(B599=0,VLOOKUP(A599,Feuil2!$A$2:$M$1241,13,FALSE)," ")</f>
        <v xml:space="preserve"> </v>
      </c>
    </row>
    <row r="600" spans="1:15" x14ac:dyDescent="0.3">
      <c r="A600" s="1">
        <v>1925</v>
      </c>
      <c r="B600" s="1">
        <v>0</v>
      </c>
      <c r="C600" s="1" t="str">
        <f>IF(B600=0,VLOOKUP(A600,Feuil2!$A$2:$M$1241,2,FALSE)," ")</f>
        <v>HACHICHA</v>
      </c>
      <c r="D600" s="1" t="str">
        <f>IF(B600=0,VLOOKUP(A600,Feuil2!$A$2:$M$1241,3,FALSE)," ")</f>
        <v>MOHAMED</v>
      </c>
      <c r="E600" s="5">
        <f>IF(B600=0,VLOOKUP(A600,Feuil2!$A$2:$M$1241,6,FALSE)," ")</f>
        <v>27692</v>
      </c>
      <c r="F600" s="1" t="str">
        <f>IF(B600=0,VLOOKUP(A600,Feuil2!$A$2:$M$1241,12,FALSE)," ")</f>
        <v>H</v>
      </c>
      <c r="G600" s="1" t="str">
        <f>IF(B600=0,VLOOKUP(A600,Feuil2!$A$2:$M$1241,11,FALSE)," ")</f>
        <v>M</v>
      </c>
      <c r="H600" s="1" t="s">
        <v>16</v>
      </c>
      <c r="I600" s="6">
        <f>IF(B600=0,VLOOKUP(A600,Feuil2!$A$2:$M$1241,7,FALSE)," ")</f>
        <v>4658212</v>
      </c>
      <c r="J600" s="1" t="str">
        <f>IF(B600=0,VLOOKUP(A600,Feuil2!$A$2:$M$1241,9,FALSE)," ")</f>
        <v>Route de Gremda km2 Ain Cheikh Rouhou</v>
      </c>
      <c r="K600" s="1" t="str">
        <f>IF(B600=0,VLOOKUP(A600,Feuil2!$A$2:$M$1241,10,FALSE)," ")</f>
        <v>Tunis</v>
      </c>
      <c r="L600" s="1"/>
      <c r="M600" s="1">
        <v>55587692</v>
      </c>
      <c r="N600" s="1"/>
      <c r="O600" s="8" t="str">
        <f>IF(B600=0,VLOOKUP(A600,Feuil2!$A$2:$M$1241,13,FALSE)," ")</f>
        <v>20009092229994195077</v>
      </c>
    </row>
    <row r="601" spans="1:15" x14ac:dyDescent="0.3">
      <c r="A601" s="1">
        <v>1925</v>
      </c>
      <c r="B601" s="1">
        <v>1</v>
      </c>
      <c r="C601" s="1" t="s">
        <v>2374</v>
      </c>
      <c r="D601" s="1" t="s">
        <v>2375</v>
      </c>
      <c r="E601" s="5">
        <v>29291</v>
      </c>
      <c r="F601" s="1" t="s">
        <v>17</v>
      </c>
      <c r="G601" s="1" t="s">
        <v>15</v>
      </c>
      <c r="H601" s="1" t="s">
        <v>16</v>
      </c>
      <c r="I601" s="6" t="str">
        <f>IF(B601=0,VLOOKUP(A601,Feuil2!$A$2:$M$1241,7,FALSE)," ")</f>
        <v xml:space="preserve"> </v>
      </c>
      <c r="J601" s="1" t="str">
        <f>IF(B601=0,VLOOKUP(A601,Feuil2!$A$2:$M$1241,9,FALSE)," ")</f>
        <v xml:space="preserve"> </v>
      </c>
      <c r="K601" s="1" t="str">
        <f>IF(B601=0,VLOOKUP(A601,Feuil2!$A$2:$M$1241,10,FALSE)," ")</f>
        <v xml:space="preserve"> </v>
      </c>
      <c r="L601" s="1"/>
      <c r="M601" s="1"/>
      <c r="N601" s="1"/>
      <c r="O601" s="8" t="str">
        <f>IF(B601=0,VLOOKUP(A601,Feuil2!$A$2:$M$1241,13,FALSE)," ")</f>
        <v xml:space="preserve"> </v>
      </c>
    </row>
    <row r="602" spans="1:15" x14ac:dyDescent="0.3">
      <c r="A602" s="1">
        <v>1925</v>
      </c>
      <c r="B602" s="1">
        <v>2</v>
      </c>
      <c r="C602" s="1" t="s">
        <v>304</v>
      </c>
      <c r="D602" s="1" t="s">
        <v>2376</v>
      </c>
      <c r="E602" s="5">
        <v>39811</v>
      </c>
      <c r="F602" s="1" t="s">
        <v>506</v>
      </c>
      <c r="G602" s="1" t="str">
        <f>IF(B602=0,VLOOKUP(A602,Feuil2!$A$2:$M$1241,11,FALSE)," ")</f>
        <v xml:space="preserve"> </v>
      </c>
      <c r="H602" s="1" t="s">
        <v>16</v>
      </c>
      <c r="I602" s="6" t="str">
        <f>IF(B602=0,VLOOKUP(A602,Feuil2!$A$2:$M$1241,7,FALSE)," ")</f>
        <v xml:space="preserve"> </v>
      </c>
      <c r="J602" s="1" t="str">
        <f>IF(B602=0,VLOOKUP(A602,Feuil2!$A$2:$M$1241,9,FALSE)," ")</f>
        <v xml:space="preserve"> </v>
      </c>
      <c r="K602" s="1" t="str">
        <f>IF(B602=0,VLOOKUP(A602,Feuil2!$A$2:$M$1241,10,FALSE)," ")</f>
        <v xml:space="preserve"> </v>
      </c>
      <c r="L602" s="1"/>
      <c r="M602" s="1"/>
      <c r="N602" s="1"/>
      <c r="O602" s="8" t="str">
        <f>IF(B602=0,VLOOKUP(A602,Feuil2!$A$2:$M$1241,13,FALSE)," ")</f>
        <v xml:space="preserve"> </v>
      </c>
    </row>
    <row r="603" spans="1:15" x14ac:dyDescent="0.3">
      <c r="A603" s="1">
        <v>1925</v>
      </c>
      <c r="B603" s="1">
        <v>3</v>
      </c>
      <c r="C603" s="1" t="s">
        <v>304</v>
      </c>
      <c r="D603" s="1" t="s">
        <v>2377</v>
      </c>
      <c r="E603" s="5">
        <v>42234</v>
      </c>
      <c r="F603" s="1" t="s">
        <v>17</v>
      </c>
      <c r="G603" s="1" t="str">
        <f>IF(B603=0,VLOOKUP(A603,Feuil2!$A$2:$M$1241,11,FALSE)," ")</f>
        <v xml:space="preserve"> </v>
      </c>
      <c r="H603" s="1" t="s">
        <v>16</v>
      </c>
      <c r="I603" s="6" t="str">
        <f>IF(B603=0,VLOOKUP(A603,Feuil2!$A$2:$M$1241,7,FALSE)," ")</f>
        <v xml:space="preserve"> </v>
      </c>
      <c r="J603" s="1" t="str">
        <f>IF(B603=0,VLOOKUP(A603,Feuil2!$A$2:$M$1241,9,FALSE)," ")</f>
        <v xml:space="preserve"> </v>
      </c>
      <c r="K603" s="1" t="str">
        <f>IF(B603=0,VLOOKUP(A603,Feuil2!$A$2:$M$1241,10,FALSE)," ")</f>
        <v xml:space="preserve"> </v>
      </c>
      <c r="L603" s="1"/>
      <c r="M603" s="1"/>
      <c r="N603" s="1"/>
      <c r="O603" s="8" t="str">
        <f>IF(B603=0,VLOOKUP(A603,Feuil2!$A$2:$M$1241,13,FALSE)," ")</f>
        <v xml:space="preserve"> </v>
      </c>
    </row>
    <row r="604" spans="1:15" x14ac:dyDescent="0.3">
      <c r="A604" s="1">
        <v>1930</v>
      </c>
      <c r="B604" s="1">
        <v>0</v>
      </c>
      <c r="C604" s="1" t="str">
        <f>IF(B604=0,VLOOKUP(A604,Feuil2!$A$2:$M$1241,2,FALSE)," ")</f>
        <v>EL HAMDI</v>
      </c>
      <c r="D604" s="1" t="str">
        <f>IF(B604=0,VLOOKUP(A604,Feuil2!$A$2:$M$1241,3,FALSE)," ")</f>
        <v>AHMED</v>
      </c>
      <c r="E604" s="5">
        <f>IF(B604=0,VLOOKUP(A604,Feuil2!$A$2:$M$1241,6,FALSE)," ")</f>
        <v>32218</v>
      </c>
      <c r="F604" s="1" t="str">
        <f>IF(B604=0,VLOOKUP(A604,Feuil2!$A$2:$M$1241,12,FALSE)," ")</f>
        <v>H</v>
      </c>
      <c r="G604" s="1" t="str">
        <f>IF(B604=0,VLOOKUP(A604,Feuil2!$A$2:$M$1241,11,FALSE)," ")</f>
        <v>C</v>
      </c>
      <c r="H604" s="1" t="s">
        <v>16</v>
      </c>
      <c r="I604" s="6">
        <f>IF(B604=0,VLOOKUP(A604,Feuil2!$A$2:$M$1241,7,FALSE)," ")</f>
        <v>8498976</v>
      </c>
      <c r="J604" s="1" t="str">
        <f>IF(B604=0,VLOOKUP(A604,Feuil2!$A$2:$M$1241,9,FALSE)," ")</f>
        <v>Aouled Lakhchine</v>
      </c>
      <c r="K604" s="1" t="str">
        <f>IF(B604=0,VLOOKUP(A604,Feuil2!$A$2:$M$1241,10,FALSE)," ")</f>
        <v>Sidi El HÃ©ni 4025</v>
      </c>
      <c r="L604" s="1"/>
      <c r="M604" s="1">
        <v>95380495</v>
      </c>
      <c r="N604" s="1"/>
      <c r="O604" s="8" t="str">
        <f>IF(B604=0,VLOOKUP(A604,Feuil2!$A$2:$M$1241,13,FALSE)," ")</f>
        <v>17503000000169340665</v>
      </c>
    </row>
    <row r="605" spans="1:15" x14ac:dyDescent="0.3">
      <c r="A605" s="1">
        <v>1938</v>
      </c>
      <c r="B605" s="1">
        <v>0</v>
      </c>
      <c r="C605" s="1" t="str">
        <f>IF(B605=0,VLOOKUP(A605,Feuil2!$A$2:$M$1241,2,FALSE)," ")</f>
        <v>NAFFATI</v>
      </c>
      <c r="D605" s="1" t="str">
        <f>IF(B605=0,VLOOKUP(A605,Feuil2!$A$2:$M$1241,3,FALSE)," ")</f>
        <v>SOFIENE</v>
      </c>
      <c r="E605" s="5">
        <f>IF(B605=0,VLOOKUP(A605,Feuil2!$A$2:$M$1241,6,FALSE)," ")</f>
        <v>30665</v>
      </c>
      <c r="F605" s="1" t="str">
        <f>IF(B605=0,VLOOKUP(A605,Feuil2!$A$2:$M$1241,12,FALSE)," ")</f>
        <v>H</v>
      </c>
      <c r="G605" s="1" t="s">
        <v>15</v>
      </c>
      <c r="H605" s="1" t="s">
        <v>16</v>
      </c>
      <c r="I605" s="6">
        <f>IF(B605=0,VLOOKUP(A605,Feuil2!$A$2:$M$1241,7,FALSE)," ")</f>
        <v>8463413</v>
      </c>
      <c r="J605" s="1" t="str">
        <f>IF(B605=0,VLOOKUP(A605,Feuil2!$A$2:$M$1241,9,FALSE)," ")</f>
        <v>Aouled Boubaker</v>
      </c>
      <c r="K605" s="1" t="str">
        <f>IF(B605=0,VLOOKUP(A605,Feuil2!$A$2:$M$1241,10,FALSE)," ")</f>
        <v>Sidi El HÃ©ni 4025</v>
      </c>
      <c r="L605" s="1"/>
      <c r="M605" s="1">
        <v>27903583</v>
      </c>
      <c r="N605" s="1"/>
      <c r="O605" s="8" t="str">
        <f>IF(B605=0,VLOOKUP(A605,Feuil2!$A$2:$M$1241,13,FALSE)," ")</f>
        <v>24010028020251110195</v>
      </c>
    </row>
    <row r="606" spans="1:15" x14ac:dyDescent="0.3">
      <c r="A606" s="1">
        <v>1938</v>
      </c>
      <c r="B606" s="1">
        <v>1</v>
      </c>
      <c r="C606" s="1" t="s">
        <v>2836</v>
      </c>
      <c r="D606" s="1" t="s">
        <v>629</v>
      </c>
      <c r="E606" s="5">
        <v>34148</v>
      </c>
      <c r="F606" s="1" t="s">
        <v>17</v>
      </c>
      <c r="G606" s="1" t="s">
        <v>15</v>
      </c>
      <c r="H606" s="1"/>
      <c r="I606" s="6"/>
      <c r="J606" s="1"/>
      <c r="K606" s="1"/>
      <c r="L606" s="1"/>
      <c r="M606" s="1"/>
      <c r="N606" s="1"/>
      <c r="O606" s="8"/>
    </row>
    <row r="607" spans="1:15" x14ac:dyDescent="0.3">
      <c r="A607" s="1">
        <v>1938</v>
      </c>
      <c r="B607" s="1">
        <v>2</v>
      </c>
      <c r="C607" s="1" t="s">
        <v>466</v>
      </c>
      <c r="D607" s="1" t="s">
        <v>2888</v>
      </c>
      <c r="E607" s="5">
        <v>44712</v>
      </c>
      <c r="F607" s="1" t="s">
        <v>17</v>
      </c>
      <c r="G607" s="1"/>
      <c r="H607" s="1"/>
      <c r="I607" s="6"/>
      <c r="J607" s="1"/>
      <c r="K607" s="1"/>
      <c r="L607" s="1"/>
      <c r="M607" s="1"/>
      <c r="N607" s="1"/>
      <c r="O607" s="8"/>
    </row>
    <row r="608" spans="1:15" x14ac:dyDescent="0.3">
      <c r="A608" s="1">
        <v>1938</v>
      </c>
      <c r="B608" s="1">
        <v>3</v>
      </c>
      <c r="C608" s="1" t="s">
        <v>466</v>
      </c>
      <c r="D608" s="1" t="s">
        <v>3091</v>
      </c>
      <c r="E608" s="5">
        <v>45351</v>
      </c>
      <c r="F608" s="1" t="s">
        <v>17</v>
      </c>
      <c r="G608" s="1"/>
      <c r="H608" s="1"/>
      <c r="I608" s="6"/>
      <c r="J608" s="1"/>
      <c r="K608" s="1"/>
      <c r="L608" s="1"/>
      <c r="M608" s="1"/>
      <c r="N608" s="1"/>
      <c r="O608" s="8"/>
    </row>
    <row r="609" spans="1:15" x14ac:dyDescent="0.3">
      <c r="A609" s="1">
        <v>1956</v>
      </c>
      <c r="B609" s="1">
        <v>0</v>
      </c>
      <c r="C609" s="1" t="s">
        <v>1889</v>
      </c>
      <c r="D609" s="1" t="str">
        <f>IF(B609=0,VLOOKUP(A609,Feuil2!$A$2:$M$1241,3,FALSE)," ")</f>
        <v>NEJI</v>
      </c>
      <c r="E609" s="5">
        <f>IF(B609=0,VLOOKUP(A609,Feuil2!$A$2:$M$1241,6,FALSE)," ")</f>
        <v>25399</v>
      </c>
      <c r="F609" s="1" t="str">
        <f>IF(B609=0,VLOOKUP(A609,Feuil2!$A$2:$M$1241,12,FALSE)," ")</f>
        <v>H</v>
      </c>
      <c r="G609" s="1" t="str">
        <f>IF(B609=0,VLOOKUP(A609,Feuil2!$A$2:$M$1241,11,FALSE)," ")</f>
        <v>M</v>
      </c>
      <c r="H609" s="1" t="s">
        <v>16</v>
      </c>
      <c r="I609" s="6">
        <f>IF(B609=0,VLOOKUP(A609,Feuil2!$A$2:$M$1241,7,FALSE)," ")</f>
        <v>2994776</v>
      </c>
      <c r="J609" s="1" t="str">
        <f>IF(B609=0,VLOOKUP(A609,Feuil2!$A$2:$M$1241,9,FALSE)," ")</f>
        <v>Aouled Alouane</v>
      </c>
      <c r="K609" s="1" t="str">
        <f>IF(B609=0,VLOOKUP(A609,Feuil2!$A$2:$M$1241,10,FALSE)," ")</f>
        <v>Sidi El HÃ©ni 4025</v>
      </c>
      <c r="L609" s="1"/>
      <c r="M609" s="1">
        <v>98793656</v>
      </c>
      <c r="N609" s="1"/>
      <c r="O609" s="8" t="str">
        <f>IF(B609=0,VLOOKUP(A609,Feuil2!$A$2:$M$1241,13,FALSE)," ")</f>
        <v>12505000013301860426</v>
      </c>
    </row>
    <row r="610" spans="1:15" x14ac:dyDescent="0.3">
      <c r="A610" s="1">
        <v>1956</v>
      </c>
      <c r="B610" s="1">
        <v>1</v>
      </c>
      <c r="C610" s="1" t="s">
        <v>2400</v>
      </c>
      <c r="D610" s="1" t="s">
        <v>2401</v>
      </c>
      <c r="E610" s="5">
        <v>27590</v>
      </c>
      <c r="F610" s="1" t="s">
        <v>17</v>
      </c>
      <c r="G610" s="1" t="s">
        <v>15</v>
      </c>
      <c r="H610" s="1" t="s">
        <v>16</v>
      </c>
      <c r="I610" s="6" t="str">
        <f>IF(B610=0,VLOOKUP(A610,Feuil2!$A$2:$M$1241,7,FALSE)," ")</f>
        <v xml:space="preserve"> </v>
      </c>
      <c r="J610" s="1" t="str">
        <f>IF(B610=0,VLOOKUP(A610,Feuil2!$A$2:$M$1241,9,FALSE)," ")</f>
        <v xml:space="preserve"> </v>
      </c>
      <c r="K610" s="1" t="str">
        <f>IF(B610=0,VLOOKUP(A610,Feuil2!$A$2:$M$1241,10,FALSE)," ")</f>
        <v xml:space="preserve"> </v>
      </c>
      <c r="L610" s="1"/>
      <c r="M610" s="1"/>
      <c r="N610" s="1"/>
      <c r="O610" s="8" t="str">
        <f>IF(B610=0,VLOOKUP(A610,Feuil2!$A$2:$M$1241,13,FALSE)," ")</f>
        <v xml:space="preserve"> </v>
      </c>
    </row>
    <row r="611" spans="1:15" x14ac:dyDescent="0.3">
      <c r="A611" s="1">
        <v>1956</v>
      </c>
      <c r="B611" s="1">
        <v>2</v>
      </c>
      <c r="C611" s="1" t="s">
        <v>1889</v>
      </c>
      <c r="D611" s="1" t="s">
        <v>2362</v>
      </c>
      <c r="E611" s="5">
        <v>42145</v>
      </c>
      <c r="F611" s="1" t="s">
        <v>17</v>
      </c>
      <c r="G611" s="1" t="str">
        <f>IF(B611=0,VLOOKUP(A611,Feuil2!$A$2:$M$1241,11,FALSE)," ")</f>
        <v xml:space="preserve"> </v>
      </c>
      <c r="H611" s="1" t="s">
        <v>16</v>
      </c>
      <c r="I611" s="6" t="str">
        <f>IF(B611=0,VLOOKUP(A611,Feuil2!$A$2:$M$1241,7,FALSE)," ")</f>
        <v xml:space="preserve"> </v>
      </c>
      <c r="J611" s="1" t="str">
        <f>IF(B611=0,VLOOKUP(A611,Feuil2!$A$2:$M$1241,9,FALSE)," ")</f>
        <v xml:space="preserve"> </v>
      </c>
      <c r="K611" s="1" t="str">
        <f>IF(B611=0,VLOOKUP(A611,Feuil2!$A$2:$M$1241,10,FALSE)," ")</f>
        <v xml:space="preserve"> </v>
      </c>
      <c r="L611" s="1"/>
      <c r="M611" s="1"/>
      <c r="N611" s="1"/>
      <c r="O611" s="8" t="str">
        <f>IF(B611=0,VLOOKUP(A611,Feuil2!$A$2:$M$1241,13,FALSE)," ")</f>
        <v xml:space="preserve"> </v>
      </c>
    </row>
    <row r="612" spans="1:15" x14ac:dyDescent="0.3">
      <c r="A612" s="1">
        <v>1962</v>
      </c>
      <c r="B612" s="1">
        <v>0</v>
      </c>
      <c r="C612" s="1" t="str">
        <f>IF(B612=0,VLOOKUP(A612,Feuil2!$A$2:$M$1241,2,FALSE)," ")</f>
        <v>HADDAJI</v>
      </c>
      <c r="D612" s="1" t="str">
        <f>IF(B612=0,VLOOKUP(A612,Feuil2!$A$2:$M$1241,3,FALSE)," ")</f>
        <v>ELYES</v>
      </c>
      <c r="E612" s="5">
        <f>IF(B612=0,VLOOKUP(A612,Feuil2!$A$2:$M$1241,6,FALSE)," ")</f>
        <v>33552</v>
      </c>
      <c r="F612" s="1" t="str">
        <f>IF(B612=0,VLOOKUP(A612,Feuil2!$A$2:$M$1241,12,FALSE)," ")</f>
        <v>H</v>
      </c>
      <c r="G612" s="1" t="s">
        <v>15</v>
      </c>
      <c r="H612" s="1" t="s">
        <v>16</v>
      </c>
      <c r="I612" s="6">
        <f>IF(B612=0,VLOOKUP(A612,Feuil2!$A$2:$M$1241,7,FALSE)," ")</f>
        <v>11858767</v>
      </c>
      <c r="J612" s="1" t="str">
        <f>IF(B612=0,VLOOKUP(A612,Feuil2!$A$2:$M$1241,9,FALSE)," ")</f>
        <v>Khazzazia</v>
      </c>
      <c r="K612" s="1" t="str">
        <f>IF(B612=0,VLOOKUP(A612,Feuil2!$A$2:$M$1241,10,FALSE)," ")</f>
        <v>Kairouan</v>
      </c>
      <c r="L612" s="1"/>
      <c r="M612" s="1">
        <v>98793664</v>
      </c>
      <c r="N612" s="1"/>
      <c r="O612" s="10" t="s">
        <v>2505</v>
      </c>
    </row>
    <row r="613" spans="1:15" x14ac:dyDescent="0.3">
      <c r="A613" s="1">
        <v>1962</v>
      </c>
      <c r="B613" s="1">
        <v>1</v>
      </c>
      <c r="C613" s="1" t="s">
        <v>3227</v>
      </c>
      <c r="D613" s="1" t="s">
        <v>2714</v>
      </c>
      <c r="E613" s="5">
        <v>37417</v>
      </c>
      <c r="F613" s="1" t="s">
        <v>17</v>
      </c>
      <c r="G613" s="1" t="s">
        <v>15</v>
      </c>
      <c r="H613" s="1"/>
      <c r="I613" s="6"/>
      <c r="J613" s="1"/>
      <c r="K613" s="1"/>
      <c r="L613" s="1"/>
      <c r="M613" s="1"/>
      <c r="N613" s="1"/>
      <c r="O613" s="10"/>
    </row>
    <row r="614" spans="1:15" x14ac:dyDescent="0.3">
      <c r="A614" s="1">
        <v>1980</v>
      </c>
      <c r="B614" s="1">
        <v>0</v>
      </c>
      <c r="C614" s="1" t="str">
        <f>IF(B614=0,VLOOKUP(A614,Feuil2!$A$2:$M$1241,2,FALSE)," ")</f>
        <v>MLAYEH</v>
      </c>
      <c r="D614" s="1" t="str">
        <f>IF(B614=0,VLOOKUP(A614,Feuil2!$A$2:$M$1241,3,FALSE)," ")</f>
        <v>YOUSSEF</v>
      </c>
      <c r="E614" s="5">
        <f>IF(B614=0,VLOOKUP(A614,Feuil2!$A$2:$M$1241,6,FALSE)," ")</f>
        <v>30060</v>
      </c>
      <c r="F614" s="1" t="str">
        <f>IF(B614=0,VLOOKUP(A614,Feuil2!$A$2:$M$1241,12,FALSE)," ")</f>
        <v>H</v>
      </c>
      <c r="G614" s="1" t="str">
        <f>IF(B614=0,VLOOKUP(A614,Feuil2!$A$2:$M$1241,11,FALSE)," ")</f>
        <v>M</v>
      </c>
      <c r="H614" s="1" t="s">
        <v>16</v>
      </c>
      <c r="I614" s="6">
        <f>IF(B614=0,VLOOKUP(A614,Feuil2!$A$2:$M$1241,7,FALSE)," ")</f>
        <v>8467776</v>
      </c>
      <c r="J614" s="1" t="str">
        <f>IF(B614=0,VLOOKUP(A614,Feuil2!$A$2:$M$1241,9,FALSE)," ")</f>
        <v>Route de Sfax</v>
      </c>
      <c r="K614" s="1" t="str">
        <f>IF(B614=0,VLOOKUP(A614,Feuil2!$A$2:$M$1241,10,FALSE)," ")</f>
        <v>Msaken 4070</v>
      </c>
      <c r="L614" s="1">
        <v>4070</v>
      </c>
      <c r="M614" s="1">
        <v>22638376</v>
      </c>
      <c r="N614" s="1"/>
      <c r="O614" s="10" t="s">
        <v>2560</v>
      </c>
    </row>
    <row r="615" spans="1:15" x14ac:dyDescent="0.3">
      <c r="A615" s="1">
        <v>1980</v>
      </c>
      <c r="B615" s="1">
        <v>1</v>
      </c>
      <c r="C615" s="1" t="s">
        <v>2558</v>
      </c>
      <c r="D615" s="1" t="s">
        <v>2322</v>
      </c>
      <c r="E615" s="5">
        <v>31843</v>
      </c>
      <c r="F615" s="1" t="s">
        <v>17</v>
      </c>
      <c r="G615" s="1" t="s">
        <v>15</v>
      </c>
      <c r="H615" s="1" t="s">
        <v>16</v>
      </c>
      <c r="I615" s="6" t="str">
        <f>IF(B615=0,VLOOKUP(A615,Feuil2!$A$2:$M$1241,7,FALSE)," ")</f>
        <v xml:space="preserve"> </v>
      </c>
      <c r="J615" s="1" t="str">
        <f>IF(B615=0,VLOOKUP(A615,Feuil2!$A$2:$M$1241,9,FALSE)," ")</f>
        <v xml:space="preserve"> </v>
      </c>
      <c r="K615" s="1" t="str">
        <f>IF(B615=0,VLOOKUP(A615,Feuil2!$A$2:$M$1241,10,FALSE)," ")</f>
        <v xml:space="preserve"> </v>
      </c>
      <c r="L615" s="1"/>
      <c r="M615" s="1"/>
      <c r="N615" s="1"/>
      <c r="O615" s="8" t="str">
        <f>IF(B615=0,VLOOKUP(A615,Feuil2!$A$2:$M$1241,13,FALSE)," ")</f>
        <v xml:space="preserve"> </v>
      </c>
    </row>
    <row r="616" spans="1:15" x14ac:dyDescent="0.3">
      <c r="A616" s="1">
        <v>1980</v>
      </c>
      <c r="B616" s="1">
        <v>2</v>
      </c>
      <c r="C616" s="1" t="s">
        <v>317</v>
      </c>
      <c r="D616" s="1" t="s">
        <v>2559</v>
      </c>
      <c r="E616" s="5">
        <v>42014</v>
      </c>
      <c r="F616" s="1" t="s">
        <v>17</v>
      </c>
      <c r="G616" s="1" t="str">
        <f>IF(B616=0,VLOOKUP(A616,Feuil2!$A$2:$M$1241,11,FALSE)," ")</f>
        <v xml:space="preserve"> </v>
      </c>
      <c r="H616" s="1" t="s">
        <v>16</v>
      </c>
      <c r="I616" s="6" t="str">
        <f>IF(B616=0,VLOOKUP(A616,Feuil2!$A$2:$M$1241,7,FALSE)," ")</f>
        <v xml:space="preserve"> </v>
      </c>
      <c r="J616" s="1" t="str">
        <f>IF(B616=0,VLOOKUP(A616,Feuil2!$A$2:$M$1241,9,FALSE)," ")</f>
        <v xml:space="preserve"> </v>
      </c>
      <c r="K616" s="1" t="str">
        <f>IF(B616=0,VLOOKUP(A616,Feuil2!$A$2:$M$1241,10,FALSE)," ")</f>
        <v xml:space="preserve"> </v>
      </c>
      <c r="L616" s="1"/>
      <c r="M616" s="1"/>
      <c r="N616" s="1"/>
      <c r="O616" s="8" t="str">
        <f>IF(B616=0,VLOOKUP(A616,Feuil2!$A$2:$M$1241,13,FALSE)," ")</f>
        <v xml:space="preserve"> </v>
      </c>
    </row>
    <row r="617" spans="1:15" x14ac:dyDescent="0.3">
      <c r="A617" s="1">
        <v>1980</v>
      </c>
      <c r="B617" s="1">
        <v>3</v>
      </c>
      <c r="C617" s="1" t="s">
        <v>317</v>
      </c>
      <c r="D617" s="1" t="s">
        <v>2451</v>
      </c>
      <c r="E617" s="5">
        <v>43014</v>
      </c>
      <c r="F617" s="1" t="s">
        <v>17</v>
      </c>
      <c r="G617" s="1" t="str">
        <f>IF(B617=0,VLOOKUP(A617,Feuil2!$A$2:$M$1241,11,FALSE)," ")</f>
        <v xml:space="preserve"> </v>
      </c>
      <c r="H617" s="1" t="s">
        <v>16</v>
      </c>
      <c r="I617" s="6" t="str">
        <f>IF(B617=0,VLOOKUP(A617,Feuil2!$A$2:$M$1241,7,FALSE)," ")</f>
        <v xml:space="preserve"> </v>
      </c>
      <c r="J617" s="1" t="str">
        <f>IF(B617=0,VLOOKUP(A617,Feuil2!$A$2:$M$1241,9,FALSE)," ")</f>
        <v xml:space="preserve"> </v>
      </c>
      <c r="K617" s="1" t="str">
        <f>IF(B617=0,VLOOKUP(A617,Feuil2!$A$2:$M$1241,10,FALSE)," ")</f>
        <v xml:space="preserve"> </v>
      </c>
      <c r="L617" s="1"/>
      <c r="M617" s="1"/>
      <c r="N617" s="1"/>
      <c r="O617" s="8" t="str">
        <f>IF(B617=0,VLOOKUP(A617,Feuil2!$A$2:$M$1241,13,FALSE)," ")</f>
        <v xml:space="preserve"> </v>
      </c>
    </row>
    <row r="618" spans="1:15" x14ac:dyDescent="0.3">
      <c r="A618" s="1">
        <v>1983</v>
      </c>
      <c r="B618" s="1">
        <v>0</v>
      </c>
      <c r="C618" s="1" t="str">
        <f>IF(B618=0,VLOOKUP(A618,Feuil2!$A$2:$M$1241,2,FALSE)," ")</f>
        <v>GOUIDER</v>
      </c>
      <c r="D618" s="1" t="str">
        <f>IF(B618=0,VLOOKUP(A618,Feuil2!$A$2:$M$1241,3,FALSE)," ")</f>
        <v>SLAHEDDINE</v>
      </c>
      <c r="E618" s="5">
        <f>IF(B618=0,VLOOKUP(A618,Feuil2!$A$2:$M$1241,6,FALSE)," ")</f>
        <v>31968</v>
      </c>
      <c r="F618" s="1" t="str">
        <f>IF(B618=0,VLOOKUP(A618,Feuil2!$A$2:$M$1241,12,FALSE)," ")</f>
        <v>H</v>
      </c>
      <c r="G618" s="1" t="s">
        <v>15</v>
      </c>
      <c r="H618" s="1" t="s">
        <v>16</v>
      </c>
      <c r="I618" s="6">
        <f>IF(B618=0,VLOOKUP(A618,Feuil2!$A$2:$M$1241,7,FALSE)," ")</f>
        <v>9269061</v>
      </c>
      <c r="J618" s="1" t="str">
        <f>IF(B618=0,VLOOKUP(A618,Feuil2!$A$2:$M$1241,9,FALSE)," ")</f>
        <v>133, Rue Rekeb</v>
      </c>
      <c r="K618" s="1" t="str">
        <f>IF(B618=0,VLOOKUP(A618,Feuil2!$A$2:$M$1241,10,FALSE)," ")</f>
        <v>Msaken 4070</v>
      </c>
      <c r="L618" s="1">
        <v>4070</v>
      </c>
      <c r="M618" s="1">
        <v>20598890</v>
      </c>
      <c r="N618" s="1"/>
      <c r="O618" s="8" t="str">
        <f>IF(B618=0,VLOOKUP(A618,Feuil2!$A$2:$M$1241,13,FALSE)," ")</f>
        <v>14014014100703343934</v>
      </c>
    </row>
    <row r="619" spans="1:15" x14ac:dyDescent="0.3">
      <c r="A619" s="1">
        <v>1983</v>
      </c>
      <c r="B619" s="1">
        <v>1</v>
      </c>
      <c r="C619" s="1" t="s">
        <v>1486</v>
      </c>
      <c r="D619" s="1" t="s">
        <v>2327</v>
      </c>
      <c r="E619" s="5">
        <v>32547</v>
      </c>
      <c r="F619" s="1" t="s">
        <v>17</v>
      </c>
      <c r="G619" s="1" t="s">
        <v>15</v>
      </c>
      <c r="H619" s="1" t="s">
        <v>16</v>
      </c>
      <c r="I619" s="6" t="str">
        <f>IF(B619=0,VLOOKUP(A619,Feuil2!$A$2:$M$1241,7,FALSE)," ")</f>
        <v xml:space="preserve"> </v>
      </c>
      <c r="J619" s="1" t="str">
        <f>IF(B619=0,VLOOKUP(A619,Feuil2!$A$2:$M$1241,9,FALSE)," ")</f>
        <v xml:space="preserve"> </v>
      </c>
      <c r="K619" s="1" t="str">
        <f>IF(B619=0,VLOOKUP(A619,Feuil2!$A$2:$M$1241,10,FALSE)," ")</f>
        <v xml:space="preserve"> </v>
      </c>
      <c r="L619" s="1"/>
      <c r="M619" s="1"/>
      <c r="N619" s="1"/>
      <c r="O619" s="8" t="str">
        <f>IF(B619=0,VLOOKUP(A619,Feuil2!$A$2:$M$1241,13,FALSE)," ")</f>
        <v xml:space="preserve"> </v>
      </c>
    </row>
    <row r="620" spans="1:15" x14ac:dyDescent="0.3">
      <c r="A620" s="1">
        <v>1983</v>
      </c>
      <c r="B620" s="1">
        <v>2</v>
      </c>
      <c r="C620" s="1" t="s">
        <v>483</v>
      </c>
      <c r="D620" s="1" t="s">
        <v>61</v>
      </c>
      <c r="E620" s="5">
        <v>43251</v>
      </c>
      <c r="F620" s="1" t="s">
        <v>506</v>
      </c>
      <c r="G620" s="1" t="str">
        <f>IF(B620=0,VLOOKUP(A620,Feuil2!$A$2:$M$1241,11,FALSE)," ")</f>
        <v xml:space="preserve"> </v>
      </c>
      <c r="H620" s="1" t="s">
        <v>16</v>
      </c>
      <c r="I620" s="6"/>
      <c r="J620" s="1"/>
      <c r="K620" s="1"/>
      <c r="L620" s="1"/>
      <c r="M620" s="1"/>
      <c r="N620" s="1"/>
      <c r="O620" s="8"/>
    </row>
    <row r="621" spans="1:15" x14ac:dyDescent="0.3">
      <c r="A621" s="1">
        <v>1983</v>
      </c>
      <c r="B621" s="1">
        <v>3</v>
      </c>
      <c r="C621" s="1" t="s">
        <v>483</v>
      </c>
      <c r="D621" s="1" t="s">
        <v>2807</v>
      </c>
      <c r="E621" s="5">
        <v>44195</v>
      </c>
      <c r="F621" s="1" t="s">
        <v>506</v>
      </c>
      <c r="G621" s="1" t="str">
        <f>IF(B621=0,VLOOKUP(A621,Feuil2!$A$2:$M$1241,11,FALSE)," ")</f>
        <v xml:space="preserve"> </v>
      </c>
      <c r="H621" s="1" t="s">
        <v>16</v>
      </c>
      <c r="I621" s="6" t="str">
        <f>IF(B621=0,VLOOKUP(A621,Feuil2!$A$2:$M$1241,7,FALSE)," ")</f>
        <v xml:space="preserve"> </v>
      </c>
      <c r="J621" s="1" t="str">
        <f>IF(B621=0,VLOOKUP(A621,Feuil2!$A$2:$M$1241,9,FALSE)," ")</f>
        <v xml:space="preserve"> </v>
      </c>
      <c r="K621" s="1" t="str">
        <f>IF(B621=0,VLOOKUP(A621,Feuil2!$A$2:$M$1241,10,FALSE)," ")</f>
        <v xml:space="preserve"> </v>
      </c>
      <c r="L621" s="1"/>
      <c r="M621" s="1"/>
      <c r="N621" s="1"/>
      <c r="O621" s="8" t="str">
        <f>IF(B621=0,VLOOKUP(A621,Feuil2!$A$2:$M$1241,13,FALSE)," ")</f>
        <v xml:space="preserve"> </v>
      </c>
    </row>
    <row r="622" spans="1:15" x14ac:dyDescent="0.3">
      <c r="A622" s="1">
        <v>1983</v>
      </c>
      <c r="B622" s="1">
        <v>4</v>
      </c>
      <c r="C622" s="1" t="s">
        <v>483</v>
      </c>
      <c r="D622" s="1" t="s">
        <v>2572</v>
      </c>
      <c r="E622" s="5">
        <v>45097</v>
      </c>
      <c r="F622" s="1" t="s">
        <v>506</v>
      </c>
      <c r="G622" s="1"/>
      <c r="H622" s="1"/>
      <c r="I622" s="6"/>
      <c r="J622" s="1"/>
      <c r="K622" s="1"/>
      <c r="L622" s="1"/>
      <c r="M622" s="1"/>
      <c r="N622" s="1"/>
      <c r="O622" s="8"/>
    </row>
    <row r="623" spans="1:15" x14ac:dyDescent="0.3">
      <c r="A623" s="1">
        <v>1985</v>
      </c>
      <c r="B623" s="17">
        <v>0</v>
      </c>
      <c r="C623" s="17" t="str">
        <f>IF(B623=0,VLOOKUP(A623,Feuil2!$A$2:$M$1241,2,FALSE)," ")</f>
        <v>MAHJOUB</v>
      </c>
      <c r="D623" s="17" t="str">
        <f>IF(B623=0,VLOOKUP(A623,Feuil2!$A$2:$M$1241,3,FALSE)," ")</f>
        <v>HAMZA</v>
      </c>
      <c r="E623" s="18">
        <f>IF(B623=0,VLOOKUP(A623,Feuil2!$A$2:$M$1241,6,FALSE)," ")</f>
        <v>32749</v>
      </c>
      <c r="F623" s="17" t="str">
        <f>IF(B623=0,VLOOKUP(A623,Feuil2!$A$2:$M$1241,12,FALSE)," ")</f>
        <v>H</v>
      </c>
      <c r="G623" s="17" t="str">
        <f>IF(B623=0,VLOOKUP(A623,Feuil2!$A$2:$M$1241,11,FALSE)," ")</f>
        <v>M</v>
      </c>
      <c r="H623" s="17" t="s">
        <v>16</v>
      </c>
      <c r="I623" s="19">
        <f>IF(B623=0,VLOOKUP(A623,Feuil2!$A$2:$M$1241,7,FALSE)," ")</f>
        <v>9296325</v>
      </c>
      <c r="J623" s="17" t="str">
        <f>IF(B623=0,VLOOKUP(A623,Feuil2!$A$2:$M$1241,9,FALSE)," ")</f>
        <v>Rue Mongi Zribi</v>
      </c>
      <c r="K623" s="17" t="str">
        <f>IF(B623=0,VLOOKUP(A623,Feuil2!$A$2:$M$1241,10,FALSE)," ")</f>
        <v>Msaken 4070</v>
      </c>
      <c r="L623" s="17">
        <v>4070</v>
      </c>
      <c r="M623" s="17">
        <v>26077478</v>
      </c>
      <c r="N623" s="17"/>
      <c r="O623" s="20" t="str">
        <f>IF(B623=0,VLOOKUP(A623,Feuil2!$A$2:$M$1241,13,FALSE)," ")</f>
        <v>14014014100703345874</v>
      </c>
    </row>
    <row r="624" spans="1:15" x14ac:dyDescent="0.3">
      <c r="A624" s="1">
        <v>1985</v>
      </c>
      <c r="B624" s="1">
        <v>1</v>
      </c>
      <c r="C624" s="1" t="s">
        <v>19</v>
      </c>
      <c r="D624" s="1" t="s">
        <v>2438</v>
      </c>
      <c r="E624" s="5">
        <v>43158</v>
      </c>
      <c r="F624" s="1" t="s">
        <v>506</v>
      </c>
      <c r="G624" s="1" t="str">
        <f>IF(B624=0,VLOOKUP(A624,Feuil2!$A$2:$M$1241,11,FALSE)," ")</f>
        <v xml:space="preserve"> </v>
      </c>
      <c r="H624" s="1" t="s">
        <v>16</v>
      </c>
      <c r="I624" s="6" t="str">
        <f>IF(B624=0,VLOOKUP(A624,Feuil2!$A$2:$M$1241,7,FALSE)," ")</f>
        <v xml:space="preserve"> </v>
      </c>
      <c r="J624" s="1" t="str">
        <f>IF(B624=0,VLOOKUP(A624,Feuil2!$A$2:$M$1241,9,FALSE)," ")</f>
        <v xml:space="preserve"> </v>
      </c>
      <c r="K624" s="1" t="str">
        <f>IF(B624=0,VLOOKUP(A624,Feuil2!$A$2:$M$1241,10,FALSE)," ")</f>
        <v xml:space="preserve"> </v>
      </c>
      <c r="L624" s="1"/>
      <c r="M624" s="1"/>
      <c r="N624" s="1"/>
      <c r="O624" s="8" t="str">
        <f>IF(B624=0,VLOOKUP(A624,Feuil2!$A$2:$M$1241,13,FALSE)," ")</f>
        <v xml:space="preserve"> </v>
      </c>
    </row>
    <row r="625" spans="1:15" x14ac:dyDescent="0.3">
      <c r="A625" s="1">
        <v>2004</v>
      </c>
      <c r="B625" s="1">
        <v>0</v>
      </c>
      <c r="C625" s="1" t="str">
        <f>IF(B625=0,VLOOKUP(A625,Feuil2!$A$2:$M$1241,2,FALSE)," ")</f>
        <v>LAAJILI</v>
      </c>
      <c r="D625" s="1" t="str">
        <f>IF(B625=0,VLOOKUP(A625,Feuil2!$A$2:$M$1241,3,FALSE)," ")</f>
        <v>LOTFI</v>
      </c>
      <c r="E625" s="5">
        <f>IF(B625=0,VLOOKUP(A625,Feuil2!$A$2:$M$1241,6,FALSE)," ")</f>
        <v>26344</v>
      </c>
      <c r="F625" s="1" t="str">
        <f>IF(B625=0,VLOOKUP(A625,Feuil2!$A$2:$M$1241,12,FALSE)," ")</f>
        <v>H</v>
      </c>
      <c r="G625" s="1" t="str">
        <f>IF(B625=0,VLOOKUP(A625,Feuil2!$A$2:$M$1241,11,FALSE)," ")</f>
        <v>M</v>
      </c>
      <c r="H625" s="1" t="s">
        <v>16</v>
      </c>
      <c r="I625" s="6">
        <f>IF(B625=0,VLOOKUP(A625,Feuil2!$A$2:$M$1241,7,FALSE)," ")</f>
        <v>5520371</v>
      </c>
      <c r="J625" s="1" t="str">
        <f>IF(B625=0,VLOOKUP(A625,Feuil2!$A$2:$M$1241,9,FALSE)," ")</f>
        <v>Azzouz</v>
      </c>
      <c r="K625" s="1" t="str">
        <f>IF(B625=0,VLOOKUP(A625,Feuil2!$A$2:$M$1241,10,FALSE)," ")</f>
        <v>Knaies 4014</v>
      </c>
      <c r="L625" s="1">
        <v>4014</v>
      </c>
      <c r="M625" s="1">
        <v>98981095</v>
      </c>
      <c r="N625" s="1"/>
      <c r="O625" s="8" t="str">
        <f>IF(B625=0,VLOOKUP(A625,Feuil2!$A$2:$M$1241,13,FALSE)," ")</f>
        <v>10506040507756578830</v>
      </c>
    </row>
    <row r="626" spans="1:15" x14ac:dyDescent="0.3">
      <c r="A626" s="1">
        <v>2004</v>
      </c>
      <c r="B626" s="1">
        <v>1</v>
      </c>
      <c r="C626" s="1" t="s">
        <v>2502</v>
      </c>
      <c r="D626" s="1" t="s">
        <v>2322</v>
      </c>
      <c r="E626" s="5">
        <v>31382</v>
      </c>
      <c r="F626" s="1" t="s">
        <v>17</v>
      </c>
      <c r="G626" s="1" t="s">
        <v>2356</v>
      </c>
      <c r="H626" s="1" t="s">
        <v>16</v>
      </c>
      <c r="I626" s="6" t="str">
        <f>IF(B626=0,VLOOKUP(A626,Feuil2!$A$2:$M$1241,7,FALSE)," ")</f>
        <v xml:space="preserve"> </v>
      </c>
      <c r="J626" s="1" t="str">
        <f>IF(B626=0,VLOOKUP(A626,Feuil2!$A$2:$M$1241,9,FALSE)," ")</f>
        <v xml:space="preserve"> </v>
      </c>
      <c r="K626" s="1" t="str">
        <f>IF(B626=0,VLOOKUP(A626,Feuil2!$A$2:$M$1241,10,FALSE)," ")</f>
        <v xml:space="preserve"> </v>
      </c>
      <c r="L626" s="1"/>
      <c r="M626" s="1"/>
      <c r="N626" s="1"/>
      <c r="O626" s="8" t="str">
        <f>IF(B626=0,VLOOKUP(A626,Feuil2!$A$2:$M$1241,13,FALSE)," ")</f>
        <v xml:space="preserve"> </v>
      </c>
    </row>
    <row r="627" spans="1:15" x14ac:dyDescent="0.3">
      <c r="A627" s="1">
        <v>2004</v>
      </c>
      <c r="B627" s="1">
        <v>2</v>
      </c>
      <c r="C627" s="1" t="s">
        <v>79</v>
      </c>
      <c r="D627" s="1" t="s">
        <v>2503</v>
      </c>
      <c r="E627" s="5">
        <v>39860</v>
      </c>
      <c r="F627" s="1" t="s">
        <v>2504</v>
      </c>
      <c r="G627" s="1" t="str">
        <f>IF(B627=0,VLOOKUP(A627,Feuil2!$A$2:$M$1241,11,FALSE)," ")</f>
        <v xml:space="preserve"> </v>
      </c>
      <c r="H627" s="1" t="s">
        <v>16</v>
      </c>
      <c r="I627" s="6" t="str">
        <f>IF(B627=0,VLOOKUP(A627,Feuil2!$A$2:$M$1241,7,FALSE)," ")</f>
        <v xml:space="preserve"> </v>
      </c>
      <c r="J627" s="1" t="str">
        <f>IF(B627=0,VLOOKUP(A627,Feuil2!$A$2:$M$1241,9,FALSE)," ")</f>
        <v xml:space="preserve"> </v>
      </c>
      <c r="K627" s="1" t="str">
        <f>IF(B627=0,VLOOKUP(A627,Feuil2!$A$2:$M$1241,10,FALSE)," ")</f>
        <v xml:space="preserve"> </v>
      </c>
      <c r="L627" s="1"/>
      <c r="M627" s="1"/>
      <c r="N627" s="1"/>
      <c r="O627" s="8" t="str">
        <f>IF(B627=0,VLOOKUP(A627,Feuil2!$A$2:$M$1241,13,FALSE)," ")</f>
        <v xml:space="preserve"> </v>
      </c>
    </row>
    <row r="628" spans="1:15" x14ac:dyDescent="0.3">
      <c r="A628" s="1">
        <v>2004</v>
      </c>
      <c r="B628" s="1">
        <v>3</v>
      </c>
      <c r="C628" s="1" t="s">
        <v>79</v>
      </c>
      <c r="D628" s="1" t="s">
        <v>2678</v>
      </c>
      <c r="E628" s="5">
        <v>40868</v>
      </c>
      <c r="F628" s="1" t="s">
        <v>17</v>
      </c>
      <c r="G628" s="1" t="str">
        <f>IF(B628=0,VLOOKUP(A628,Feuil2!$A$2:$M$1241,11,FALSE)," ")</f>
        <v xml:space="preserve"> </v>
      </c>
      <c r="H628" s="1" t="s">
        <v>16</v>
      </c>
      <c r="I628" s="6" t="str">
        <f>IF(B628=0,VLOOKUP(A628,Feuil2!$A$2:$M$1241,7,FALSE)," ")</f>
        <v xml:space="preserve"> </v>
      </c>
      <c r="J628" s="1" t="str">
        <f>IF(B628=0,VLOOKUP(A628,Feuil2!$A$2:$M$1241,9,FALSE)," ")</f>
        <v xml:space="preserve"> </v>
      </c>
      <c r="K628" s="1" t="str">
        <f>IF(B628=0,VLOOKUP(A628,Feuil2!$A$2:$M$1241,10,FALSE)," ")</f>
        <v xml:space="preserve"> </v>
      </c>
      <c r="L628" s="1"/>
      <c r="M628" s="1"/>
      <c r="N628" s="1"/>
      <c r="O628" s="8" t="str">
        <f>IF(B628=0,VLOOKUP(A628,Feuil2!$A$2:$M$1241,13,FALSE)," ")</f>
        <v xml:space="preserve"> </v>
      </c>
    </row>
    <row r="629" spans="1:15" x14ac:dyDescent="0.3">
      <c r="A629" s="1">
        <v>2004</v>
      </c>
      <c r="B629" s="1">
        <v>4</v>
      </c>
      <c r="C629" s="1" t="s">
        <v>79</v>
      </c>
      <c r="D629" s="1" t="s">
        <v>122</v>
      </c>
      <c r="E629" s="5">
        <v>41645</v>
      </c>
      <c r="F629" s="1" t="s">
        <v>506</v>
      </c>
      <c r="G629" s="1" t="str">
        <f>IF(B629=0,VLOOKUP(A629,Feuil2!$A$2:$M$1241,11,FALSE)," ")</f>
        <v xml:space="preserve"> </v>
      </c>
      <c r="H629" s="1" t="s">
        <v>16</v>
      </c>
      <c r="I629" s="6" t="str">
        <f>IF(B629=0,VLOOKUP(A629,Feuil2!$A$2:$M$1241,7,FALSE)," ")</f>
        <v xml:space="preserve"> </v>
      </c>
      <c r="J629" s="1" t="str">
        <f>IF(B629=0,VLOOKUP(A629,Feuil2!$A$2:$M$1241,9,FALSE)," ")</f>
        <v xml:space="preserve"> </v>
      </c>
      <c r="K629" s="1" t="str">
        <f>IF(B629=0,VLOOKUP(A629,Feuil2!$A$2:$M$1241,10,FALSE)," ")</f>
        <v xml:space="preserve"> </v>
      </c>
      <c r="L629" s="1"/>
      <c r="M629" s="1"/>
      <c r="N629" s="1"/>
      <c r="O629" s="8" t="str">
        <f>IF(B629=0,VLOOKUP(A629,Feuil2!$A$2:$M$1241,13,FALSE)," ")</f>
        <v xml:space="preserve"> </v>
      </c>
    </row>
    <row r="630" spans="1:15" x14ac:dyDescent="0.3">
      <c r="A630" s="1">
        <v>2009</v>
      </c>
      <c r="B630" s="1">
        <v>0</v>
      </c>
      <c r="C630" s="1" t="str">
        <f>IF(B630=0,VLOOKUP(A630,Feuil2!$A$2:$M$1241,2,FALSE)," ")</f>
        <v>BEN SAAD</v>
      </c>
      <c r="D630" s="1" t="str">
        <f>IF(B630=0,VLOOKUP(A630,Feuil2!$A$2:$M$1241,3,FALSE)," ")</f>
        <v>MOHAMED AMINE</v>
      </c>
      <c r="E630" s="5">
        <f>IF(B630=0,VLOOKUP(A630,Feuil2!$A$2:$M$1241,6,FALSE)," ")</f>
        <v>32329</v>
      </c>
      <c r="F630" s="1" t="str">
        <f>IF(B630=0,VLOOKUP(A630,Feuil2!$A$2:$M$1241,12,FALSE)," ")</f>
        <v>H</v>
      </c>
      <c r="G630" s="1" t="s">
        <v>15</v>
      </c>
      <c r="H630" s="1" t="s">
        <v>16</v>
      </c>
      <c r="I630" s="6">
        <f>IF(B630=0,VLOOKUP(A630,Feuil2!$A$2:$M$1241,7,FALSE)," ")</f>
        <v>9293217</v>
      </c>
      <c r="J630" s="1" t="str">
        <f>IF(B630=0,VLOOKUP(A630,Feuil2!$A$2:$M$1241,9,FALSE)," ")</f>
        <v>Knaies</v>
      </c>
      <c r="K630" s="1" t="str">
        <f>IF(B630=0,VLOOKUP(A630,Feuil2!$A$2:$M$1241,10,FALSE)," ")</f>
        <v>Knaies 4014</v>
      </c>
      <c r="L630" s="1">
        <v>4014</v>
      </c>
      <c r="M630" s="1">
        <v>22664032</v>
      </c>
      <c r="N630" s="1"/>
      <c r="O630" s="8" t="str">
        <f>IF(B630=0,VLOOKUP(A630,Feuil2!$A$2:$M$1241,13,FALSE)," ")</f>
        <v>12505000013304954435</v>
      </c>
    </row>
    <row r="631" spans="1:15" x14ac:dyDescent="0.3">
      <c r="A631" s="1">
        <v>2009</v>
      </c>
      <c r="B631" s="1">
        <v>1</v>
      </c>
      <c r="C631" s="1" t="s">
        <v>223</v>
      </c>
      <c r="D631" s="1" t="s">
        <v>1008</v>
      </c>
      <c r="E631" s="5">
        <v>34488</v>
      </c>
      <c r="F631" s="1" t="s">
        <v>17</v>
      </c>
      <c r="G631" s="1" t="s">
        <v>15</v>
      </c>
      <c r="H631" s="1" t="s">
        <v>16</v>
      </c>
      <c r="I631" s="6" t="str">
        <f>IF(B631=0,VLOOKUP(A631,Feuil2!$A$2:$M$1241,7,FALSE)," ")</f>
        <v xml:space="preserve"> </v>
      </c>
      <c r="J631" s="1" t="str">
        <f>IF(B631=0,VLOOKUP(A631,Feuil2!$A$2:$M$1241,9,FALSE)," ")</f>
        <v xml:space="preserve"> </v>
      </c>
      <c r="K631" s="1" t="str">
        <f>IF(B631=0,VLOOKUP(A631,Feuil2!$A$2:$M$1241,10,FALSE)," ")</f>
        <v xml:space="preserve"> </v>
      </c>
      <c r="L631" s="1"/>
      <c r="M631" s="1"/>
      <c r="N631" s="1"/>
      <c r="O631" s="8" t="str">
        <f>IF(B631=0,VLOOKUP(A631,Feuil2!$A$2:$M$1241,13,FALSE)," ")</f>
        <v xml:space="preserve"> </v>
      </c>
    </row>
    <row r="632" spans="1:15" x14ac:dyDescent="0.3">
      <c r="A632" s="1">
        <v>2009</v>
      </c>
      <c r="B632" s="1">
        <v>2</v>
      </c>
      <c r="C632" s="1" t="s">
        <v>231</v>
      </c>
      <c r="D632" s="1" t="s">
        <v>2889</v>
      </c>
      <c r="E632" s="5">
        <v>44718</v>
      </c>
      <c r="F632" s="1" t="s">
        <v>506</v>
      </c>
      <c r="G632" s="1"/>
      <c r="H632" s="1" t="s">
        <v>16</v>
      </c>
      <c r="I632" s="6"/>
      <c r="J632" s="1"/>
      <c r="K632" s="1"/>
      <c r="L632" s="1"/>
      <c r="M632" s="1"/>
      <c r="N632" s="1"/>
      <c r="O632" s="8"/>
    </row>
    <row r="633" spans="1:15" x14ac:dyDescent="0.3">
      <c r="A633" s="1">
        <v>2009</v>
      </c>
      <c r="B633" s="1">
        <v>3</v>
      </c>
      <c r="C633" s="1" t="s">
        <v>231</v>
      </c>
      <c r="D633" s="1" t="s">
        <v>3259</v>
      </c>
      <c r="E633" s="5">
        <v>46043</v>
      </c>
      <c r="F633" s="1" t="s">
        <v>506</v>
      </c>
      <c r="G633" s="1"/>
      <c r="H633" s="1"/>
      <c r="I633" s="6"/>
      <c r="J633" s="1"/>
      <c r="K633" s="1"/>
      <c r="L633" s="1"/>
      <c r="M633" s="1"/>
      <c r="N633" s="1"/>
      <c r="O633" s="8"/>
    </row>
    <row r="634" spans="1:15" x14ac:dyDescent="0.3">
      <c r="A634" s="1">
        <v>2025</v>
      </c>
      <c r="B634" s="17">
        <v>0</v>
      </c>
      <c r="C634" s="17" t="str">
        <f>IF(B634=0,VLOOKUP(A634,Feuil2!$A$2:$M$1241,2,FALSE)," ")</f>
        <v>MAHJOUB</v>
      </c>
      <c r="D634" s="17" t="str">
        <f>IF(B634=0,VLOOKUP(A634,Feuil2!$A$2:$M$1241,3,FALSE)," ")</f>
        <v>MOHAMED RAMZI</v>
      </c>
      <c r="E634" s="18">
        <f>IF(B634=0,VLOOKUP(A634,Feuil2!$A$2:$M$1241,6,FALSE)," ")</f>
        <v>33570</v>
      </c>
      <c r="F634" s="17" t="str">
        <f>IF(B634=0,VLOOKUP(A634,Feuil2!$A$2:$M$1241,12,FALSE)," ")</f>
        <v>H</v>
      </c>
      <c r="G634" s="17" t="s">
        <v>15</v>
      </c>
      <c r="H634" s="17" t="s">
        <v>16</v>
      </c>
      <c r="I634" s="19">
        <f>IF(B634=0,VLOOKUP(A634,Feuil2!$A$2:$M$1241,7,FALSE)," ")</f>
        <v>9279389</v>
      </c>
      <c r="J634" s="17" t="str">
        <f>IF(B634=0,VLOOKUP(A634,Feuil2!$A$2:$M$1241,9,FALSE)," ")</f>
        <v>139, Rue Omene</v>
      </c>
      <c r="K634" s="17" t="str">
        <f>IF(B634=0,VLOOKUP(A634,Feuil2!$A$2:$M$1241,10,FALSE)," ")</f>
        <v>Msaken 4070</v>
      </c>
      <c r="L634" s="17">
        <v>4070</v>
      </c>
      <c r="M634" s="17">
        <v>28592465</v>
      </c>
      <c r="N634" s="17"/>
      <c r="O634" s="20" t="str">
        <f>IF(B634=0,VLOOKUP(A634,Feuil2!$A$2:$M$1241,13,FALSE)," ")</f>
        <v>12058000000224698277</v>
      </c>
    </row>
    <row r="635" spans="1:15" x14ac:dyDescent="0.3">
      <c r="A635" s="1">
        <v>2025</v>
      </c>
      <c r="B635" s="1">
        <v>1</v>
      </c>
      <c r="C635" s="1" t="s">
        <v>1913</v>
      </c>
      <c r="D635" s="1" t="s">
        <v>2348</v>
      </c>
      <c r="E635" s="5">
        <v>34669</v>
      </c>
      <c r="F635" s="1" t="s">
        <v>17</v>
      </c>
      <c r="G635" s="1" t="s">
        <v>15</v>
      </c>
      <c r="H635" s="1" t="s">
        <v>16</v>
      </c>
      <c r="I635" s="6" t="str">
        <f>IF(B635=0,VLOOKUP(A635,Feuil2!$A$2:$M$1241,7,FALSE)," ")</f>
        <v xml:space="preserve"> </v>
      </c>
      <c r="J635" s="1" t="str">
        <f>IF(B635=0,VLOOKUP(A635,Feuil2!$A$2:$M$1241,9,FALSE)," ")</f>
        <v xml:space="preserve"> </v>
      </c>
      <c r="K635" s="1" t="str">
        <f>IF(B635=0,VLOOKUP(A635,Feuil2!$A$2:$M$1241,10,FALSE)," ")</f>
        <v xml:space="preserve"> </v>
      </c>
      <c r="L635" s="1"/>
      <c r="M635" s="1"/>
      <c r="N635" s="1"/>
      <c r="O635" s="8" t="str">
        <f>IF(B635=0,VLOOKUP(A635,Feuil2!$A$2:$M$1241,13,FALSE)," ")</f>
        <v xml:space="preserve"> </v>
      </c>
    </row>
    <row r="636" spans="1:15" x14ac:dyDescent="0.3">
      <c r="A636" s="1">
        <v>2025</v>
      </c>
      <c r="B636" s="1">
        <v>2</v>
      </c>
      <c r="C636" s="1" t="s">
        <v>19</v>
      </c>
      <c r="D636" s="1" t="s">
        <v>2349</v>
      </c>
      <c r="E636" s="5">
        <v>43633</v>
      </c>
      <c r="F636" s="1" t="s">
        <v>506</v>
      </c>
      <c r="G636" s="1" t="str">
        <f>IF(B636=0,VLOOKUP(A636,Feuil2!$A$2:$M$1241,11,FALSE)," ")</f>
        <v xml:space="preserve"> </v>
      </c>
      <c r="H636" s="1" t="s">
        <v>16</v>
      </c>
      <c r="I636" s="6" t="str">
        <f>IF(B636=0,VLOOKUP(A636,Feuil2!$A$2:$M$1241,7,FALSE)," ")</f>
        <v xml:space="preserve"> </v>
      </c>
      <c r="J636" s="1" t="str">
        <f>IF(B636=0,VLOOKUP(A636,Feuil2!$A$2:$M$1241,9,FALSE)," ")</f>
        <v xml:space="preserve"> </v>
      </c>
      <c r="K636" s="1" t="str">
        <f>IF(B636=0,VLOOKUP(A636,Feuil2!$A$2:$M$1241,10,FALSE)," ")</f>
        <v xml:space="preserve"> </v>
      </c>
      <c r="L636" s="1"/>
      <c r="M636" s="1"/>
      <c r="N636" s="1"/>
      <c r="O636" s="8" t="str">
        <f>IF(B636=0,VLOOKUP(A636,Feuil2!$A$2:$M$1241,13,FALSE)," ")</f>
        <v xml:space="preserve"> </v>
      </c>
    </row>
    <row r="637" spans="1:15" x14ac:dyDescent="0.3">
      <c r="A637" s="1">
        <v>2032</v>
      </c>
      <c r="B637" s="1">
        <v>0</v>
      </c>
      <c r="C637" s="1" t="str">
        <f>IF(B637=0,VLOOKUP(A637,Feuil2!$A$2:$M$1241,2,FALSE)," ")</f>
        <v>ELOUNI</v>
      </c>
      <c r="D637" s="1" t="str">
        <f>IF(B637=0,VLOOKUP(A637,Feuil2!$A$2:$M$1241,3,FALSE)," ")</f>
        <v>ABDELKERIM</v>
      </c>
      <c r="E637" s="5">
        <f>IF(B637=0,VLOOKUP(A637,Feuil2!$A$2:$M$1241,6,FALSE)," ")</f>
        <v>31107</v>
      </c>
      <c r="F637" s="1" t="str">
        <f>IF(B637=0,VLOOKUP(A637,Feuil2!$A$2:$M$1241,12,FALSE)," ")</f>
        <v>H</v>
      </c>
      <c r="G637" s="1" t="s">
        <v>15</v>
      </c>
      <c r="H637" s="1" t="s">
        <v>16</v>
      </c>
      <c r="I637" s="6">
        <f>IF(B637=0,VLOOKUP(A637,Feuil2!$A$2:$M$1241,7,FALSE)," ")</f>
        <v>9256297</v>
      </c>
      <c r="J637" s="1" t="str">
        <f>IF(B637=0,VLOOKUP(A637,Feuil2!$A$2:$M$1241,9,FALSE)," ")</f>
        <v>Rue 3004, CitÃ© El Ghodran</v>
      </c>
      <c r="K637" s="1" t="str">
        <f>IF(B637=0,VLOOKUP(A637,Feuil2!$A$2:$M$1241,10,FALSE)," ")</f>
        <v>Sousse</v>
      </c>
      <c r="L637" s="1"/>
      <c r="M637" s="1">
        <v>98793785</v>
      </c>
      <c r="N637" s="1"/>
      <c r="O637" s="8" t="str">
        <f>IF(B637=0,VLOOKUP(A637,Feuil2!$A$2:$M$1241,13,FALSE)," ")</f>
        <v>07408005310559917762</v>
      </c>
    </row>
    <row r="638" spans="1:15" x14ac:dyDescent="0.3">
      <c r="A638" s="1">
        <v>2032</v>
      </c>
      <c r="B638" s="1">
        <v>1</v>
      </c>
      <c r="C638" s="1" t="s">
        <v>2445</v>
      </c>
      <c r="D638" s="1" t="s">
        <v>2334</v>
      </c>
      <c r="E638" s="5">
        <v>31421</v>
      </c>
      <c r="F638" s="1" t="s">
        <v>17</v>
      </c>
      <c r="G638" s="1" t="s">
        <v>15</v>
      </c>
      <c r="H638" s="1" t="s">
        <v>16</v>
      </c>
      <c r="I638" s="6" t="str">
        <f>IF(B638=0,VLOOKUP(A638,Feuil2!$A$2:$M$1241,7,FALSE)," ")</f>
        <v xml:space="preserve"> </v>
      </c>
      <c r="J638" s="1" t="str">
        <f>IF(B638=0,VLOOKUP(A638,Feuil2!$A$2:$M$1241,9,FALSE)," ")</f>
        <v xml:space="preserve"> </v>
      </c>
      <c r="K638" s="1" t="str">
        <f>IF(B638=0,VLOOKUP(A638,Feuil2!$A$2:$M$1241,10,FALSE)," ")</f>
        <v xml:space="preserve"> </v>
      </c>
      <c r="L638" s="1"/>
      <c r="M638" s="1"/>
      <c r="N638" s="1"/>
      <c r="O638" s="8" t="str">
        <f>IF(B638=0,VLOOKUP(A638,Feuil2!$A$2:$M$1241,13,FALSE)," ")</f>
        <v xml:space="preserve"> </v>
      </c>
    </row>
    <row r="639" spans="1:15" x14ac:dyDescent="0.3">
      <c r="A639" s="1">
        <v>2032</v>
      </c>
      <c r="B639" s="1">
        <v>2</v>
      </c>
      <c r="C639" s="1" t="s">
        <v>448</v>
      </c>
      <c r="D639" s="1" t="s">
        <v>2446</v>
      </c>
      <c r="E639" s="5">
        <v>42653</v>
      </c>
      <c r="F639" s="1" t="s">
        <v>17</v>
      </c>
      <c r="G639" s="1" t="str">
        <f>IF(B639=0,VLOOKUP(A639,Feuil2!$A$2:$M$1241,11,FALSE)," ")</f>
        <v xml:space="preserve"> </v>
      </c>
      <c r="H639" s="1" t="s">
        <v>16</v>
      </c>
      <c r="I639" s="6" t="str">
        <f>IF(B639=0,VLOOKUP(A639,Feuil2!$A$2:$M$1241,7,FALSE)," ")</f>
        <v xml:space="preserve"> </v>
      </c>
      <c r="J639" s="1" t="str">
        <f>IF(B639=0,VLOOKUP(A639,Feuil2!$A$2:$M$1241,9,FALSE)," ")</f>
        <v xml:space="preserve"> </v>
      </c>
      <c r="K639" s="1" t="str">
        <f>IF(B639=0,VLOOKUP(A639,Feuil2!$A$2:$M$1241,10,FALSE)," ")</f>
        <v xml:space="preserve"> </v>
      </c>
      <c r="L639" s="1"/>
      <c r="M639" s="1"/>
      <c r="N639" s="1"/>
      <c r="O639" s="8" t="str">
        <f>IF(B639=0,VLOOKUP(A639,Feuil2!$A$2:$M$1241,13,FALSE)," ")</f>
        <v xml:space="preserve"> </v>
      </c>
    </row>
    <row r="640" spans="1:15" x14ac:dyDescent="0.3">
      <c r="A640" s="1">
        <v>2032</v>
      </c>
      <c r="B640" s="1">
        <v>3</v>
      </c>
      <c r="C640" s="1" t="s">
        <v>448</v>
      </c>
      <c r="D640" s="1" t="s">
        <v>2383</v>
      </c>
      <c r="E640" s="5">
        <v>43151</v>
      </c>
      <c r="F640" s="1" t="s">
        <v>17</v>
      </c>
      <c r="G640" s="1" t="str">
        <f>IF(B640=0,VLOOKUP(A640,Feuil2!$A$2:$M$1241,11,FALSE)," ")</f>
        <v xml:space="preserve"> </v>
      </c>
      <c r="H640" s="1" t="s">
        <v>16</v>
      </c>
      <c r="I640" s="6" t="str">
        <f>IF(B640=0,VLOOKUP(A640,Feuil2!$A$2:$M$1241,7,FALSE)," ")</f>
        <v xml:space="preserve"> </v>
      </c>
      <c r="J640" s="1" t="str">
        <f>IF(B640=0,VLOOKUP(A640,Feuil2!$A$2:$M$1241,9,FALSE)," ")</f>
        <v xml:space="preserve"> </v>
      </c>
      <c r="K640" s="1" t="str">
        <f>IF(B640=0,VLOOKUP(A640,Feuil2!$A$2:$M$1241,10,FALSE)," ")</f>
        <v xml:space="preserve"> </v>
      </c>
      <c r="L640" s="1"/>
      <c r="M640" s="1"/>
      <c r="N640" s="1"/>
      <c r="O640" s="8" t="str">
        <f>IF(B640=0,VLOOKUP(A640,Feuil2!$A$2:$M$1241,13,FALSE)," ")</f>
        <v xml:space="preserve"> </v>
      </c>
    </row>
    <row r="641" spans="1:16" x14ac:dyDescent="0.3">
      <c r="A641" s="1">
        <v>2032</v>
      </c>
      <c r="B641" s="1">
        <v>4</v>
      </c>
      <c r="C641" s="1" t="s">
        <v>448</v>
      </c>
      <c r="D641" s="1" t="s">
        <v>600</v>
      </c>
      <c r="E641" s="5">
        <v>44935</v>
      </c>
      <c r="F641" s="1" t="s">
        <v>17</v>
      </c>
      <c r="G641" s="1"/>
      <c r="H641" s="1" t="s">
        <v>16</v>
      </c>
      <c r="I641" s="6"/>
      <c r="J641" s="1"/>
      <c r="K641" s="1"/>
      <c r="L641" s="1"/>
      <c r="M641" s="1"/>
      <c r="N641" s="1"/>
      <c r="O641" s="8"/>
    </row>
    <row r="642" spans="1:16" x14ac:dyDescent="0.3">
      <c r="A642" s="1">
        <v>2052</v>
      </c>
      <c r="B642" s="1">
        <v>0</v>
      </c>
      <c r="C642" s="1" t="str">
        <f>IF(B642=0,VLOOKUP(A642,Feuil2!$A$2:$M$1241,2,FALSE)," ")</f>
        <v>BEN RAJEH</v>
      </c>
      <c r="D642" s="1" t="str">
        <f>IF(B642=0,VLOOKUP(A642,Feuil2!$A$2:$M$1241,3,FALSE)," ")</f>
        <v>MOHAMED</v>
      </c>
      <c r="E642" s="5">
        <f>IF(B642=0,VLOOKUP(A642,Feuil2!$A$2:$M$1241,6,FALSE)," ")</f>
        <v>32163</v>
      </c>
      <c r="F642" s="1" t="str">
        <f>IF(B642=0,VLOOKUP(A642,Feuil2!$A$2:$M$1241,12,FALSE)," ")</f>
        <v>H</v>
      </c>
      <c r="G642" s="1" t="str">
        <f>IF(B642=0,VLOOKUP(A642,Feuil2!$A$2:$M$1241,11,FALSE)," ")</f>
        <v>C</v>
      </c>
      <c r="H642" s="1" t="s">
        <v>16</v>
      </c>
      <c r="I642" s="6">
        <f>IF(B642=0,VLOOKUP(A642,Feuil2!$A$2:$M$1241,7,FALSE)," ")</f>
        <v>8498038</v>
      </c>
      <c r="J642" s="1" t="str">
        <f>IF(B642=0,VLOOKUP(A642,Feuil2!$A$2:$M$1241,9,FALSE)," ")</f>
        <v>Chrachir Kroussia</v>
      </c>
      <c r="K642" s="1" t="str">
        <f>IF(B642=0,VLOOKUP(A642,Feuil2!$A$2:$M$1241,10,FALSE)," ")</f>
        <v>Sidi El HÃ©ni 4025</v>
      </c>
      <c r="L642" s="1"/>
      <c r="M642" s="1">
        <v>95589285</v>
      </c>
      <c r="N642" s="1"/>
      <c r="O642" s="8" t="str">
        <f>IF(B642=0,VLOOKUP(A642,Feuil2!$A$2:$M$1241,13,FALSE)," ")</f>
        <v>47013000000006569601</v>
      </c>
    </row>
    <row r="643" spans="1:16" x14ac:dyDescent="0.3">
      <c r="A643" s="1">
        <v>2055</v>
      </c>
      <c r="B643" s="1">
        <v>0</v>
      </c>
      <c r="C643" s="1" t="str">
        <f>IF(B643=0,VLOOKUP(A643,Feuil2!$A$2:$M$1241,2,FALSE)," ")</f>
        <v>BEN YAHIA</v>
      </c>
      <c r="D643" s="1" t="str">
        <f>IF(B643=0,VLOOKUP(A643,Feuil2!$A$2:$M$1241,3,FALSE)," ")</f>
        <v>AHMED</v>
      </c>
      <c r="E643" s="5">
        <f>IF(B643=0,VLOOKUP(A643,Feuil2!$A$2:$M$1241,6,FALSE)," ")</f>
        <v>33382</v>
      </c>
      <c r="F643" s="1" t="str">
        <f>IF(B643=0,VLOOKUP(A643,Feuil2!$A$2:$M$1241,12,FALSE)," ")</f>
        <v>H</v>
      </c>
      <c r="G643" s="1" t="s">
        <v>15</v>
      </c>
      <c r="H643" s="1" t="s">
        <v>16</v>
      </c>
      <c r="I643" s="6">
        <f>IF(B643=0,VLOOKUP(A643,Feuil2!$A$2:$M$1241,7,FALSE)," ")</f>
        <v>9310815</v>
      </c>
      <c r="J643" s="1" t="str">
        <f>IF(B643=0,VLOOKUP(A643,Feuil2!$A$2:$M$1241,9,FALSE)," ")</f>
        <v>Chrachir Kroussia</v>
      </c>
      <c r="K643" s="1" t="str">
        <f>IF(B643=0,VLOOKUP(A643,Feuil2!$A$2:$M$1241,10,FALSE)," ")</f>
        <v>Sidi El HÃ©ni 4025</v>
      </c>
      <c r="L643" s="1"/>
      <c r="M643" s="1">
        <v>55324797</v>
      </c>
      <c r="N643" s="1"/>
      <c r="O643" s="8" t="str">
        <f>IF(B643=0,VLOOKUP(A643,Feuil2!$A$2:$M$1241,13,FALSE)," ")</f>
        <v>12505000000227091231</v>
      </c>
    </row>
    <row r="644" spans="1:16" x14ac:dyDescent="0.3">
      <c r="A644" s="1">
        <v>2055</v>
      </c>
      <c r="B644" s="1">
        <v>1</v>
      </c>
      <c r="C644" s="1" t="s">
        <v>2456</v>
      </c>
      <c r="D644" s="1" t="s">
        <v>2457</v>
      </c>
      <c r="E644" s="5">
        <v>34728</v>
      </c>
      <c r="F644" s="1" t="s">
        <v>17</v>
      </c>
      <c r="G644" s="1" t="s">
        <v>15</v>
      </c>
      <c r="H644" s="1" t="s">
        <v>16</v>
      </c>
      <c r="I644" s="6" t="str">
        <f>IF(B644=0,VLOOKUP(A644,Feuil2!$A$2:$M$1241,7,FALSE)," ")</f>
        <v xml:space="preserve"> </v>
      </c>
      <c r="J644" s="1" t="str">
        <f>IF(B644=0,VLOOKUP(A644,Feuil2!$A$2:$M$1241,9,FALSE)," ")</f>
        <v xml:space="preserve"> </v>
      </c>
      <c r="K644" s="1" t="str">
        <f>IF(B644=0,VLOOKUP(A644,Feuil2!$A$2:$M$1241,10,FALSE)," ")</f>
        <v xml:space="preserve"> </v>
      </c>
      <c r="L644" s="1"/>
      <c r="M644" s="1"/>
      <c r="N644" s="1"/>
      <c r="O644" s="8" t="str">
        <f>IF(B644=0,VLOOKUP(A644,Feuil2!$A$2:$M$1241,13,FALSE)," ")</f>
        <v xml:space="preserve"> </v>
      </c>
    </row>
    <row r="645" spans="1:16" x14ac:dyDescent="0.3">
      <c r="A645" s="1">
        <v>2055</v>
      </c>
      <c r="B645" s="1">
        <v>2</v>
      </c>
      <c r="C645" s="1" t="s">
        <v>1212</v>
      </c>
      <c r="D645" s="1" t="s">
        <v>3208</v>
      </c>
      <c r="E645" s="5">
        <v>44247</v>
      </c>
      <c r="F645" s="1" t="s">
        <v>17</v>
      </c>
      <c r="G645" s="1"/>
      <c r="H645" s="1"/>
      <c r="I645" s="6"/>
      <c r="J645" s="1"/>
      <c r="K645" s="1"/>
      <c r="L645" s="1"/>
      <c r="M645" s="1"/>
      <c r="N645" s="1"/>
      <c r="O645" s="8"/>
    </row>
    <row r="646" spans="1:16" x14ac:dyDescent="0.3">
      <c r="A646" s="1">
        <v>2055</v>
      </c>
      <c r="B646" s="1">
        <v>3</v>
      </c>
      <c r="C646" s="1" t="s">
        <v>1212</v>
      </c>
      <c r="D646" s="1" t="s">
        <v>2533</v>
      </c>
      <c r="E646" s="5">
        <v>45860</v>
      </c>
      <c r="F646" s="1" t="s">
        <v>506</v>
      </c>
      <c r="G646" s="1"/>
      <c r="H646" s="1"/>
      <c r="I646" s="6"/>
      <c r="J646" s="1"/>
      <c r="K646" s="1"/>
      <c r="L646" s="1"/>
      <c r="M646" s="1"/>
      <c r="N646" s="1"/>
      <c r="O646" s="8"/>
    </row>
    <row r="647" spans="1:16" x14ac:dyDescent="0.3">
      <c r="A647" s="1">
        <v>2061</v>
      </c>
      <c r="B647" s="1">
        <v>0</v>
      </c>
      <c r="C647" s="1" t="str">
        <f>IF(B647=0,VLOOKUP(A647,Feuil2!$A$2:$M$1241,2,FALSE)," ")</f>
        <v>KECHCICHE</v>
      </c>
      <c r="D647" s="1" t="str">
        <f>IF(B647=0,VLOOKUP(A647,Feuil2!$A$2:$M$1241,3,FALSE)," ")</f>
        <v>YASSINE</v>
      </c>
      <c r="E647" s="5">
        <f>IF(B647=0,VLOOKUP(A647,Feuil2!$A$2:$M$1241,6,FALSE)," ")</f>
        <v>34114</v>
      </c>
      <c r="F647" s="1" t="str">
        <f>IF(B647=0,VLOOKUP(A647,Feuil2!$A$2:$M$1241,12,FALSE)," ")</f>
        <v>H</v>
      </c>
      <c r="G647" s="1" t="s">
        <v>15</v>
      </c>
      <c r="H647" s="1" t="s">
        <v>16</v>
      </c>
      <c r="I647" s="6">
        <f>IF(B647=0,VLOOKUP(A647,Feuil2!$A$2:$M$1241,7,FALSE)," ")</f>
        <v>9321745</v>
      </c>
      <c r="J647" s="1" t="str">
        <f>IF(B647=0,VLOOKUP(A647,Feuil2!$A$2:$M$1241,9,FALSE)," ")</f>
        <v>225, Rue Habib Thameur</v>
      </c>
      <c r="K647" s="1" t="str">
        <f>IF(B647=0,VLOOKUP(A647,Feuil2!$A$2:$M$1241,10,FALSE)," ")</f>
        <v>Msaken 4070</v>
      </c>
      <c r="L647" s="1">
        <v>4070</v>
      </c>
      <c r="M647" s="1">
        <v>27256140</v>
      </c>
      <c r="N647" s="1"/>
      <c r="O647" s="8" t="str">
        <f>IF(B647=0,VLOOKUP(A647,Feuil2!$A$2:$M$1241,13,FALSE)," ")</f>
        <v>08507000262005111281</v>
      </c>
    </row>
    <row r="648" spans="1:16" ht="17.25" customHeight="1" x14ac:dyDescent="0.3">
      <c r="A648" s="1">
        <v>2061</v>
      </c>
      <c r="B648" s="1">
        <v>1</v>
      </c>
      <c r="C648" s="1" t="s">
        <v>100</v>
      </c>
      <c r="D648" s="1" t="s">
        <v>2484</v>
      </c>
      <c r="E648" s="5">
        <v>35733</v>
      </c>
      <c r="F648" s="1" t="s">
        <v>17</v>
      </c>
      <c r="G648" s="1" t="s">
        <v>15</v>
      </c>
      <c r="H648" s="1" t="s">
        <v>16</v>
      </c>
      <c r="I648" s="6"/>
      <c r="J648" s="1"/>
      <c r="K648" s="1"/>
      <c r="L648" s="1"/>
      <c r="M648" s="1"/>
      <c r="N648" s="1"/>
      <c r="O648" s="8"/>
    </row>
    <row r="649" spans="1:16" ht="15" customHeight="1" x14ac:dyDescent="0.3">
      <c r="A649" s="1">
        <v>2061</v>
      </c>
      <c r="B649" s="1">
        <v>2</v>
      </c>
      <c r="C649" s="1" t="s">
        <v>2036</v>
      </c>
      <c r="D649" s="1" t="s">
        <v>2755</v>
      </c>
      <c r="E649" s="5">
        <v>44901</v>
      </c>
      <c r="F649" s="1" t="s">
        <v>17</v>
      </c>
      <c r="G649" s="1"/>
      <c r="H649" s="1" t="s">
        <v>16</v>
      </c>
      <c r="I649" s="6"/>
      <c r="J649" s="1"/>
      <c r="K649" s="1"/>
      <c r="L649" s="1"/>
      <c r="M649" s="1"/>
      <c r="N649" s="1"/>
      <c r="O649" s="8"/>
    </row>
    <row r="650" spans="1:16" ht="17.25" customHeight="1" x14ac:dyDescent="0.3">
      <c r="A650" s="1">
        <v>2066</v>
      </c>
      <c r="B650" s="1">
        <v>0</v>
      </c>
      <c r="C650" s="1" t="str">
        <f>IF(B650=0,VLOOKUP(A650,Feuil2!$A$2:$M$1241,2,FALSE)," ")</f>
        <v>GRAA</v>
      </c>
      <c r="D650" s="1" t="str">
        <f>IF(B650=0,VLOOKUP(A650,Feuil2!$A$2:$M$1241,3,FALSE)," ")</f>
        <v>SAIFEDDINE</v>
      </c>
      <c r="E650" s="5">
        <f>IF(B650=0,VLOOKUP(A650,Feuil2!$A$2:$M$1241,6,FALSE)," ")</f>
        <v>34611</v>
      </c>
      <c r="F650" s="1" t="str">
        <f>IF(B650=0,VLOOKUP(A650,Feuil2!$A$2:$M$1241,12,FALSE)," ")</f>
        <v>H</v>
      </c>
      <c r="G650" s="1" t="str">
        <f>IF(B650=0,VLOOKUP(A650,Feuil2!$A$2:$M$1241,11,FALSE)," ")</f>
        <v>C</v>
      </c>
      <c r="H650" s="1" t="s">
        <v>16</v>
      </c>
      <c r="I650" s="6">
        <f>IF(B650=0,VLOOKUP(A650,Feuil2!$A$2:$M$1241,7,FALSE)," ")</f>
        <v>9346503</v>
      </c>
      <c r="J650" s="1" t="str">
        <f>IF(B650=0,VLOOKUP(A650,Feuil2!$A$2:$M$1241,9,FALSE)," ")</f>
        <v>Rue Habib Bougatfa</v>
      </c>
      <c r="K650" s="1" t="str">
        <f>IF(B650=0,VLOOKUP(A650,Feuil2!$A$2:$M$1241,10,FALSE)," ")</f>
        <v>Msaken 4070</v>
      </c>
      <c r="L650" s="1">
        <v>4070</v>
      </c>
      <c r="M650" s="1">
        <v>22599128</v>
      </c>
      <c r="N650" s="1"/>
      <c r="O650" s="8" t="str">
        <f>IF(B650=0,VLOOKUP(A650,Feuil2!$A$2:$M$1241,13,FALSE)," ")</f>
        <v>10506040208093378850</v>
      </c>
    </row>
    <row r="651" spans="1:16" ht="17.25" customHeight="1" x14ac:dyDescent="0.3">
      <c r="A651" s="1">
        <v>2083</v>
      </c>
      <c r="B651" s="17">
        <v>0</v>
      </c>
      <c r="C651" s="17" t="str">
        <f>IF(B651=0,VLOOKUP(A651,Feuil2!$A$2:$M$1241,2,FALSE)," ")</f>
        <v>BEN OTHMEN</v>
      </c>
      <c r="D651" s="17" t="str">
        <f>IF(B651=0,VLOOKUP(A651,Feuil2!$A$2:$M$1241,3,FALSE)," ")</f>
        <v>Mohamed Karim</v>
      </c>
      <c r="E651" s="18">
        <f>IF(B651=0,VLOOKUP(A651,Feuil2!$A$2:$M$1241,6,FALSE)," ")</f>
        <v>29220</v>
      </c>
      <c r="F651" s="17" t="str">
        <f>IF(B651=0,VLOOKUP(A651,Feuil2!$A$2:$M$1241,12,FALSE)," ")</f>
        <v>H</v>
      </c>
      <c r="G651" s="17" t="s">
        <v>639</v>
      </c>
      <c r="H651" s="17" t="s">
        <v>16</v>
      </c>
      <c r="I651" s="19">
        <f>IF(B651=0,VLOOKUP(A651,Feuil2!$A$2:$M$1241,7,FALSE)," ")</f>
        <v>8541141</v>
      </c>
      <c r="J651" s="17" t="str">
        <f>IF(B651=0,VLOOKUP(A651,Feuil2!$A$2:$M$1241,9,FALSE)," ")</f>
        <v>Nabeul</v>
      </c>
      <c r="K651" s="17" t="str">
        <f>IF(B651=0,VLOOKUP(A651,Feuil2!$A$2:$M$1241,10,FALSE)," ")</f>
        <v>Bizert</v>
      </c>
      <c r="L651" s="17"/>
      <c r="M651" s="17">
        <v>98793838</v>
      </c>
      <c r="N651" s="17"/>
      <c r="O651" s="20" t="str">
        <f>IF(B651=0,VLOOKUP(A651,Feuil2!$A$2:$M$1241,13,FALSE)," ")</f>
        <v>03603077010110728440</v>
      </c>
    </row>
    <row r="652" spans="1:16" x14ac:dyDescent="0.3">
      <c r="A652" s="1">
        <v>2083</v>
      </c>
      <c r="B652" s="1">
        <v>1</v>
      </c>
      <c r="C652" s="1" t="s">
        <v>38</v>
      </c>
      <c r="D652" s="1" t="s">
        <v>2450</v>
      </c>
      <c r="E652" s="5">
        <v>43050</v>
      </c>
      <c r="F652" s="1" t="s">
        <v>17</v>
      </c>
      <c r="G652" s="1" t="str">
        <f>IF(B652=0,VLOOKUP(A652,Feuil2!$A$2:$M$1241,11,FALSE)," ")</f>
        <v xml:space="preserve"> </v>
      </c>
      <c r="H652" s="1" t="s">
        <v>16</v>
      </c>
      <c r="I652" s="6" t="str">
        <f>IF(B652=0,VLOOKUP(A652,Feuil2!$A$2:$M$1241,7,FALSE)," ")</f>
        <v xml:space="preserve"> </v>
      </c>
      <c r="J652" s="1" t="str">
        <f>IF(B652=0,VLOOKUP(A652,Feuil2!$A$2:$M$1241,9,FALSE)," ")</f>
        <v xml:space="preserve"> </v>
      </c>
      <c r="K652" s="1" t="str">
        <f>IF(B652=0,VLOOKUP(A652,Feuil2!$A$2:$M$1241,10,FALSE)," ")</f>
        <v xml:space="preserve"> </v>
      </c>
      <c r="L652" s="1"/>
      <c r="M652" s="1"/>
      <c r="N652" s="1"/>
      <c r="O652" s="8" t="str">
        <f>IF(B652=0,VLOOKUP(A652,Feuil2!$A$2:$M$1241,13,FALSE)," ")</f>
        <v xml:space="preserve"> </v>
      </c>
    </row>
    <row r="653" spans="1:16" x14ac:dyDescent="0.3">
      <c r="A653" s="1">
        <v>2085</v>
      </c>
      <c r="B653" s="17">
        <v>0</v>
      </c>
      <c r="C653" s="17" t="str">
        <f>IF(B653=0,VLOOKUP(A653,Feuil2!$A$2:$M$1241,2,FALSE)," ")</f>
        <v>Khaoula</v>
      </c>
      <c r="D653" s="17" t="str">
        <f>IF(B653=0,VLOOKUP(A653,Feuil2!$A$2:$M$1241,3,FALSE)," ")</f>
        <v>Jebali</v>
      </c>
      <c r="E653" s="18">
        <f>IF(B653=0,VLOOKUP(A653,Feuil2!$A$2:$M$1241,6,FALSE)," ")</f>
        <v>34367</v>
      </c>
      <c r="F653" s="17" t="str">
        <f>IF(B653=0,VLOOKUP(A653,Feuil2!$A$2:$M$1241,12,FALSE)," ")</f>
        <v>F</v>
      </c>
      <c r="G653" s="17" t="str">
        <f>IF(B653=0,VLOOKUP(A653,Feuil2!$A$2:$M$1241,11,FALSE)," ")</f>
        <v>C</v>
      </c>
      <c r="H653" s="17" t="s">
        <v>16</v>
      </c>
      <c r="I653" s="19">
        <f>IF(B653=0,VLOOKUP(A653,Feuil2!$A$2:$M$1241,7,FALSE)," ")</f>
        <v>11883533</v>
      </c>
      <c r="J653" s="17" t="str">
        <f>IF(B653=0,VLOOKUP(A653,Feuil2!$A$2:$M$1241,9,FALSE)," ")</f>
        <v>Rue hached 3120 ousletia</v>
      </c>
      <c r="K653" s="17" t="str">
        <f>IF(B653=0,VLOOKUP(A653,Feuil2!$A$2:$M$1241,10,FALSE)," ")</f>
        <v>Kairouan</v>
      </c>
      <c r="L653" s="17"/>
      <c r="M653" s="17">
        <v>98793840</v>
      </c>
      <c r="N653" s="17"/>
      <c r="O653" s="20" t="str">
        <f>IF(B653=0,VLOOKUP(A653,Feuil2!$A$2:$M$1241,13,FALSE)," ")</f>
        <v>08035012084002769039</v>
      </c>
    </row>
    <row r="654" spans="1:16" x14ac:dyDescent="0.3">
      <c r="A654" s="1">
        <v>2113</v>
      </c>
      <c r="B654" s="17">
        <v>0</v>
      </c>
      <c r="C654" s="17" t="str">
        <f>IF(B654=0,VLOOKUP(A654,Feuil2!$A$2:$M$1241,2,FALSE)," ")</f>
        <v>BEN HADJ AMOR</v>
      </c>
      <c r="D654" s="17" t="str">
        <f>IF(B654=0,VLOOKUP(A654,Feuil2!$A$2:$M$1241,3,FALSE)," ")</f>
        <v>MOHAMED ALI</v>
      </c>
      <c r="E654" s="18">
        <f>IF(B654=0,VLOOKUP(A654,Feuil2!$A$2:$M$1241,6,FALSE)," ")</f>
        <v>33942</v>
      </c>
      <c r="F654" s="17" t="str">
        <f>IF(B654=0,VLOOKUP(A654,Feuil2!$A$2:$M$1241,12,FALSE)," ")</f>
        <v>H</v>
      </c>
      <c r="G654" s="17" t="str">
        <f>IF(B654=0,VLOOKUP(A654,Feuil2!$A$2:$M$1241,11,FALSE)," ")</f>
        <v>C</v>
      </c>
      <c r="H654" s="17" t="s">
        <v>16</v>
      </c>
      <c r="I654" s="19">
        <f>IF(B654=0,VLOOKUP(A654,Feuil2!$A$2:$M$1241,7,FALSE)," ")</f>
        <v>9319168</v>
      </c>
      <c r="J654" s="17" t="str">
        <f>IF(B654=0,VLOOKUP(A654,Feuil2!$A$2:$M$1241,9,FALSE)," ")</f>
        <v>Rue Ennakhil</v>
      </c>
      <c r="K654" s="17" t="str">
        <f>IF(B654=0,VLOOKUP(A654,Feuil2!$A$2:$M$1241,10,FALSE)," ")</f>
        <v>Sidi El HÃ©ni 4025</v>
      </c>
      <c r="L654" s="17"/>
      <c r="M654" s="17">
        <v>98793834</v>
      </c>
      <c r="N654" s="17"/>
      <c r="O654" s="20" t="str">
        <f>IF(B654=0,VLOOKUP(A654,Feuil2!$A$2:$M$1241,13,FALSE)," ")</f>
        <v>03508056010110301048</v>
      </c>
    </row>
    <row r="655" spans="1:16" x14ac:dyDescent="0.3">
      <c r="A655" s="1">
        <v>2124</v>
      </c>
      <c r="B655" s="1">
        <v>0</v>
      </c>
      <c r="C655" s="1" t="s">
        <v>2906</v>
      </c>
      <c r="D655" s="1" t="s">
        <v>89</v>
      </c>
      <c r="E655" s="5">
        <f>IF(B655=0,VLOOKUP(A655,Feuil2!$A$2:$M$1241,6,FALSE)," ")</f>
        <v>33362</v>
      </c>
      <c r="F655" s="1" t="str">
        <f>IF(B655=0,VLOOKUP(A655,Feuil2!$A$2:$M$1241,12,FALSE)," ")</f>
        <v>H</v>
      </c>
      <c r="G655" s="1" t="s">
        <v>15</v>
      </c>
      <c r="H655" s="1" t="s">
        <v>16</v>
      </c>
      <c r="I655" s="6">
        <f>IF(B655=0,VLOOKUP(A655,Feuil2!$A$2:$M$1241,7,FALSE)," ")</f>
        <v>9320401</v>
      </c>
      <c r="J655" s="1" t="str">
        <f>IF(B655=0,VLOOKUP(A655,Feuil2!$A$2:$M$1241,9,FALSE)," ")</f>
        <v>AOULED ABDALLAH SIDI EL HENI</v>
      </c>
      <c r="K655" s="1" t="str">
        <f>IF(B655=0,VLOOKUP(A655,Feuil2!$A$2:$M$1241,10,FALSE)," ")</f>
        <v>Sousse</v>
      </c>
      <c r="L655" s="1"/>
      <c r="M655" s="1">
        <v>26619732</v>
      </c>
      <c r="N655" s="1"/>
      <c r="O655" s="8" t="str">
        <f>IF(B655=0,VLOOKUP(A655,Feuil2!$A$2:$M$1241,13,FALSE)," ")</f>
        <v>17503000000255093418</v>
      </c>
    </row>
    <row r="656" spans="1:16" x14ac:dyDescent="0.3">
      <c r="A656" s="1">
        <v>2124</v>
      </c>
      <c r="B656" s="1">
        <v>1</v>
      </c>
      <c r="C656" s="1" t="s">
        <v>2840</v>
      </c>
      <c r="D656" s="1" t="s">
        <v>2841</v>
      </c>
      <c r="E656" s="5">
        <v>33775</v>
      </c>
      <c r="F656" s="1" t="s">
        <v>17</v>
      </c>
      <c r="G656" s="1" t="s">
        <v>15</v>
      </c>
      <c r="H656" s="1"/>
      <c r="I656" s="6"/>
      <c r="J656" s="1"/>
      <c r="K656" s="1"/>
      <c r="L656" s="1"/>
      <c r="M656" s="1"/>
      <c r="N656" s="1"/>
      <c r="O656" s="8"/>
      <c r="P656" t="s">
        <v>2805</v>
      </c>
    </row>
    <row r="657" spans="1:15" x14ac:dyDescent="0.3">
      <c r="A657" s="1">
        <v>2124</v>
      </c>
      <c r="B657" s="1">
        <v>2</v>
      </c>
      <c r="C657" s="1" t="s">
        <v>2906</v>
      </c>
      <c r="D657" s="1" t="s">
        <v>2907</v>
      </c>
      <c r="E657" s="5">
        <v>44728</v>
      </c>
      <c r="F657" s="1" t="s">
        <v>17</v>
      </c>
      <c r="G657" s="1"/>
      <c r="H657" s="1"/>
      <c r="I657" s="6"/>
      <c r="J657" s="1"/>
      <c r="K657" s="1"/>
      <c r="L657" s="1"/>
      <c r="M657" s="1"/>
      <c r="N657" s="1"/>
      <c r="O657" s="8"/>
    </row>
    <row r="658" spans="1:15" x14ac:dyDescent="0.3">
      <c r="A658" s="1">
        <v>2124</v>
      </c>
      <c r="B658" s="1">
        <v>3</v>
      </c>
      <c r="C658" s="1" t="s">
        <v>2906</v>
      </c>
      <c r="D658" s="1" t="s">
        <v>2956</v>
      </c>
      <c r="E658" s="5">
        <v>46003</v>
      </c>
      <c r="F658" s="1" t="s">
        <v>17</v>
      </c>
      <c r="G658" s="1"/>
      <c r="H658" s="1"/>
      <c r="I658" s="6"/>
      <c r="J658" s="1"/>
      <c r="K658" s="1"/>
      <c r="L658" s="1"/>
      <c r="M658" s="1"/>
      <c r="N658" s="1"/>
      <c r="O658" s="8"/>
    </row>
    <row r="659" spans="1:15" x14ac:dyDescent="0.3">
      <c r="A659" s="1">
        <v>2138</v>
      </c>
      <c r="B659" s="1">
        <v>0</v>
      </c>
      <c r="C659" s="1" t="s">
        <v>103</v>
      </c>
      <c r="D659" s="1" t="s">
        <v>3090</v>
      </c>
      <c r="E659" s="5">
        <f>IF(B659=0,VLOOKUP(A659,Feuil2!$A$2:$M$1241,6,FALSE)," ")</f>
        <v>33137</v>
      </c>
      <c r="F659" s="1" t="str">
        <f>IF(B659=0,VLOOKUP(A659,Feuil2!$A$2:$M$1241,12,FALSE)," ")</f>
        <v>H</v>
      </c>
      <c r="G659" s="1" t="s">
        <v>15</v>
      </c>
      <c r="H659" s="1" t="s">
        <v>16</v>
      </c>
      <c r="I659" s="6">
        <f>IF(B659=0,VLOOKUP(A659,Feuil2!$A$2:$M$1241,7,FALSE)," ")</f>
        <v>9282967</v>
      </c>
      <c r="J659" s="1" t="str">
        <f>IF(B659=0,VLOOKUP(A659,Feuil2!$A$2:$M$1241,9,FALSE)," ")</f>
        <v>85 Rue SALAH EDDIN AYOUBI MSAKEN</v>
      </c>
      <c r="K659" s="1" t="str">
        <f>IF(B659=0,VLOOKUP(A659,Feuil2!$A$2:$M$1241,10,FALSE)," ")</f>
        <v>Msaken 4070</v>
      </c>
      <c r="L659" s="1">
        <v>4070</v>
      </c>
      <c r="M659" s="1">
        <v>21560046</v>
      </c>
      <c r="N659" s="1"/>
      <c r="O659" s="8" t="str">
        <f>IF(B659=0,VLOOKUP(A659,Feuil2!$A$2:$M$1241,13,FALSE)," ")</f>
        <v>17503000000268716001</v>
      </c>
    </row>
    <row r="660" spans="1:15" x14ac:dyDescent="0.3">
      <c r="A660" s="1">
        <v>2138</v>
      </c>
      <c r="B660" s="1">
        <v>1</v>
      </c>
      <c r="C660" s="1" t="s">
        <v>103</v>
      </c>
      <c r="D660" s="1" t="s">
        <v>2979</v>
      </c>
      <c r="E660" s="5">
        <v>34996</v>
      </c>
      <c r="F660" s="1" t="s">
        <v>17</v>
      </c>
      <c r="G660" s="1" t="s">
        <v>15</v>
      </c>
      <c r="H660" s="1"/>
      <c r="I660" s="6"/>
      <c r="J660" s="1"/>
      <c r="K660" s="1"/>
      <c r="L660" s="1"/>
      <c r="M660" s="1"/>
      <c r="N660" s="1"/>
      <c r="O660" s="8"/>
    </row>
    <row r="661" spans="1:15" x14ac:dyDescent="0.3">
      <c r="A661" s="1">
        <v>2138</v>
      </c>
      <c r="B661" s="1">
        <v>2</v>
      </c>
      <c r="C661" s="1" t="s">
        <v>103</v>
      </c>
      <c r="D661" s="1" t="s">
        <v>61</v>
      </c>
      <c r="E661" s="5">
        <v>45309</v>
      </c>
      <c r="F661" s="1" t="s">
        <v>506</v>
      </c>
      <c r="G661" s="1"/>
      <c r="H661" s="1"/>
      <c r="I661" s="6"/>
      <c r="J661" s="1"/>
      <c r="K661" s="1"/>
      <c r="L661" s="1"/>
      <c r="M661" s="1"/>
      <c r="N661" s="1"/>
      <c r="O661" s="8"/>
    </row>
    <row r="662" spans="1:15" x14ac:dyDescent="0.3">
      <c r="A662" s="1">
        <v>2145</v>
      </c>
      <c r="B662" s="1">
        <v>0</v>
      </c>
      <c r="C662" s="1" t="str">
        <f>IF(B662=0,VLOOKUP(A662,Feuil2!$A$2:$M$1241,2,FALSE)," ")</f>
        <v>MRIBAH</v>
      </c>
      <c r="D662" s="1" t="str">
        <f>IF(B662=0,VLOOKUP(A662,Feuil2!$A$2:$M$1241,3,FALSE)," ")</f>
        <v>HAMZA</v>
      </c>
      <c r="E662" s="5">
        <f>IF(B662=0,VLOOKUP(A662,Feuil2!$A$2:$M$1241,6,FALSE)," ")</f>
        <v>34503</v>
      </c>
      <c r="F662" s="1" t="str">
        <f>IF(B662=0,VLOOKUP(A662,Feuil2!$A$2:$M$1241,12,FALSE)," ")</f>
        <v>H</v>
      </c>
      <c r="G662" s="1" t="s">
        <v>15</v>
      </c>
      <c r="H662" s="1" t="s">
        <v>16</v>
      </c>
      <c r="I662" s="6">
        <f>IF(B662=0,VLOOKUP(A662,Feuil2!$A$2:$M$1241,7,FALSE)," ")</f>
        <v>12804882</v>
      </c>
      <c r="J662" s="1" t="str">
        <f>IF(B662=0,VLOOKUP(A662,Feuil2!$A$2:$M$1241,9,FALSE)," ")</f>
        <v>RUE FERHET HACHED</v>
      </c>
      <c r="K662" s="1" t="str">
        <f>IF(B662=0,VLOOKUP(A662,Feuil2!$A$2:$M$1241,10,FALSE)," ")</f>
        <v>Msaken 4070</v>
      </c>
      <c r="L662" s="1">
        <v>4070</v>
      </c>
      <c r="M662" s="1">
        <v>25183410</v>
      </c>
      <c r="N662" s="1"/>
      <c r="O662" s="8" t="str">
        <f>IF(B662=0,VLOOKUP(A662,Feuil2!$A$2:$M$1241,13,FALSE)," ")</f>
        <v>10506040208631178860</v>
      </c>
    </row>
    <row r="663" spans="1:15" x14ac:dyDescent="0.3">
      <c r="A663" s="1">
        <v>2145</v>
      </c>
      <c r="B663" s="1">
        <v>1</v>
      </c>
      <c r="C663" s="1" t="s">
        <v>2343</v>
      </c>
      <c r="D663" s="1" t="s">
        <v>2580</v>
      </c>
      <c r="E663" s="5">
        <v>36110</v>
      </c>
      <c r="F663" s="1" t="s">
        <v>17</v>
      </c>
      <c r="G663" s="1"/>
      <c r="H663" s="1"/>
      <c r="I663" s="6"/>
      <c r="J663" s="1"/>
      <c r="K663" s="1"/>
      <c r="L663" s="1"/>
      <c r="M663" s="1"/>
      <c r="N663" s="1"/>
      <c r="O663" s="8"/>
    </row>
    <row r="664" spans="1:15" x14ac:dyDescent="0.3">
      <c r="A664" s="1">
        <v>2145</v>
      </c>
      <c r="B664" s="1">
        <v>2</v>
      </c>
      <c r="C664" s="1" t="s">
        <v>214</v>
      </c>
      <c r="D664" s="1" t="s">
        <v>3229</v>
      </c>
      <c r="E664" s="5">
        <v>45976</v>
      </c>
      <c r="F664" s="1" t="s">
        <v>506</v>
      </c>
      <c r="G664" s="1"/>
      <c r="H664" s="1"/>
      <c r="I664" s="6"/>
      <c r="J664" s="1"/>
      <c r="K664" s="1"/>
      <c r="L664" s="1"/>
      <c r="M664" s="1"/>
      <c r="N664" s="1"/>
      <c r="O664" s="8"/>
    </row>
    <row r="665" spans="1:15" x14ac:dyDescent="0.3">
      <c r="A665" s="1">
        <v>2147</v>
      </c>
      <c r="B665" s="1">
        <v>0</v>
      </c>
      <c r="C665" s="1" t="str">
        <f>IF(B665=0,VLOOKUP(A665,Feuil2!$A$2:$M$1241,2,FALSE)," ")</f>
        <v>LAJMI</v>
      </c>
      <c r="D665" s="1" t="str">
        <f>IF(B665=0,VLOOKUP(A665,Feuil2!$A$2:$M$1241,3,FALSE)," ")</f>
        <v>OUSSAMA</v>
      </c>
      <c r="E665" s="5">
        <f>IF(B665=0,VLOOKUP(A665,Feuil2!$A$2:$M$1241,6,FALSE)," ")</f>
        <v>34812</v>
      </c>
      <c r="F665" s="1" t="str">
        <f>IF(B665=0,VLOOKUP(A665,Feuil2!$A$2:$M$1241,12,FALSE)," ")</f>
        <v>H</v>
      </c>
      <c r="G665" s="1" t="str">
        <f>IF(B665=0,VLOOKUP(A665,Feuil2!$A$2:$M$1241,11,FALSE)," ")</f>
        <v>C</v>
      </c>
      <c r="H665" s="1" t="s">
        <v>16</v>
      </c>
      <c r="I665" s="6">
        <f>IF(B665=0,VLOOKUP(A665,Feuil2!$A$2:$M$1241,7,FALSE)," ")</f>
        <v>12817345</v>
      </c>
      <c r="J665" s="1" t="str">
        <f>IF(B665=0,VLOOKUP(A665,Feuil2!$A$2:$M$1241,9,FALSE)," ")</f>
        <v>23 Rue ALMADINA ALMONAWRA</v>
      </c>
      <c r="K665" s="1" t="str">
        <f>IF(B665=0,VLOOKUP(A665,Feuil2!$A$2:$M$1241,10,FALSE)," ")</f>
        <v>Msaken 4070</v>
      </c>
      <c r="L665" s="1">
        <v>4070</v>
      </c>
      <c r="M665" s="1">
        <v>55258201</v>
      </c>
      <c r="N665" s="1"/>
      <c r="O665" s="8" t="str">
        <f>IF(B665=0,VLOOKUP(A665,Feuil2!$A$2:$M$1241,13,FALSE)," ")</f>
        <v>10317123503184778894</v>
      </c>
    </row>
    <row r="666" spans="1:15" x14ac:dyDescent="0.3">
      <c r="A666" s="1">
        <v>2150</v>
      </c>
      <c r="B666" s="17">
        <v>0</v>
      </c>
      <c r="C666" s="17" t="str">
        <f>IF(B666=0,VLOOKUP(A666,Feuil2!$A$2:$M$1241,2,FALSE)," ")</f>
        <v>GAZZAH</v>
      </c>
      <c r="D666" s="17" t="str">
        <f>IF(B666=0,VLOOKUP(A666,Feuil2!$A$2:$M$1241,3,FALSE)," ")</f>
        <v>MOHAMED AMINE</v>
      </c>
      <c r="E666" s="18">
        <f>IF(B666=0,VLOOKUP(A666,Feuil2!$A$2:$M$1241,6,FALSE)," ")</f>
        <v>34879</v>
      </c>
      <c r="F666" s="17" t="str">
        <f>IF(B666=0,VLOOKUP(A666,Feuil2!$A$2:$M$1241,12,FALSE)," ")</f>
        <v>H</v>
      </c>
      <c r="G666" s="17" t="str">
        <f>IF(B666=0,VLOOKUP(A666,Feuil2!$A$2:$M$1241,11,FALSE)," ")</f>
        <v>C</v>
      </c>
      <c r="H666" s="17" t="s">
        <v>16</v>
      </c>
      <c r="I666" s="19">
        <f>IF(B666=0,VLOOKUP(A666,Feuil2!$A$2:$M$1241,7,FALSE)," ")</f>
        <v>12808000</v>
      </c>
      <c r="J666" s="17" t="str">
        <f>IF(B666=0,VLOOKUP(A666,Feuil2!$A$2:$M$1241,9,FALSE)," ")</f>
        <v>158 RUE HEDI CHAKER</v>
      </c>
      <c r="K666" s="17" t="str">
        <f>IF(B666=0,VLOOKUP(A666,Feuil2!$A$2:$M$1241,10,FALSE)," ")</f>
        <v>Msaken 4070</v>
      </c>
      <c r="L666" s="17">
        <v>4070</v>
      </c>
      <c r="M666" s="17">
        <v>99410968</v>
      </c>
      <c r="N666" s="17"/>
      <c r="O666" s="20" t="str">
        <f>IF(B666=0,VLOOKUP(A666,Feuil2!$A$2:$M$1241,13,FALSE)," ")</f>
        <v>17503000000284757279</v>
      </c>
    </row>
    <row r="667" spans="1:15" x14ac:dyDescent="0.3">
      <c r="A667" s="1">
        <v>2153</v>
      </c>
      <c r="B667" s="1">
        <v>0</v>
      </c>
      <c r="C667" s="1" t="str">
        <f>IF(B667=0,VLOOKUP(A667,Feuil2!$A$2:$M$1241,2,FALSE)," ")</f>
        <v>BABAY ROUIS</v>
      </c>
      <c r="D667" s="1" t="str">
        <f>IF(B667=0,VLOOKUP(A667,Feuil2!$A$2:$M$1241,3,FALSE)," ")</f>
        <v>ANOIR</v>
      </c>
      <c r="E667" s="5">
        <f>IF(B667=0,VLOOKUP(A667,Feuil2!$A$2:$M$1241,6,FALSE)," ")</f>
        <v>34118</v>
      </c>
      <c r="F667" s="1" t="str">
        <f>IF(B667=0,VLOOKUP(A667,Feuil2!$A$2:$M$1241,12,FALSE)," ")</f>
        <v>H</v>
      </c>
      <c r="G667" s="1" t="s">
        <v>15</v>
      </c>
      <c r="H667" s="1" t="s">
        <v>16</v>
      </c>
      <c r="I667" s="6">
        <f>IF(B667=0,VLOOKUP(A667,Feuil2!$A$2:$M$1241,7,FALSE)," ")</f>
        <v>9344915</v>
      </c>
      <c r="J667" s="1" t="str">
        <f>IF(B667=0,VLOOKUP(A667,Feuil2!$A$2:$M$1241,9,FALSE)," ")</f>
        <v>RUE FARHET HACHED</v>
      </c>
      <c r="K667" s="1" t="str">
        <f>IF(B667=0,VLOOKUP(A667,Feuil2!$A$2:$M$1241,10,FALSE)," ")</f>
        <v>Msaken 4070</v>
      </c>
      <c r="L667" s="1">
        <v>4070</v>
      </c>
      <c r="M667" s="1">
        <v>29745681</v>
      </c>
      <c r="N667" s="1"/>
      <c r="O667" s="8" t="str">
        <f>IF(B667=0,VLOOKUP(A667,Feuil2!$A$2:$M$1241,13,FALSE)," ")</f>
        <v>10506040208662078889</v>
      </c>
    </row>
    <row r="668" spans="1:15" x14ac:dyDescent="0.3">
      <c r="A668" s="1">
        <v>2153</v>
      </c>
      <c r="B668" s="1">
        <v>1</v>
      </c>
      <c r="C668" s="1" t="s">
        <v>83</v>
      </c>
      <c r="D668" s="1" t="s">
        <v>2367</v>
      </c>
      <c r="E668" s="5">
        <v>33998</v>
      </c>
      <c r="F668" s="1" t="s">
        <v>17</v>
      </c>
      <c r="G668" s="1" t="s">
        <v>15</v>
      </c>
      <c r="H668" s="1"/>
      <c r="I668" s="6"/>
      <c r="J668" s="1"/>
      <c r="K668" s="1"/>
      <c r="L668" s="1"/>
      <c r="M668" s="1"/>
      <c r="N668" s="1"/>
      <c r="O668" s="8"/>
    </row>
    <row r="669" spans="1:15" x14ac:dyDescent="0.3">
      <c r="A669" s="1">
        <v>2153</v>
      </c>
      <c r="B669" s="1">
        <v>2</v>
      </c>
      <c r="C669" s="1" t="s">
        <v>614</v>
      </c>
      <c r="D669" s="1" t="s">
        <v>66</v>
      </c>
      <c r="E669" s="5">
        <v>45853</v>
      </c>
      <c r="F669" s="1" t="s">
        <v>506</v>
      </c>
      <c r="G669" s="1"/>
      <c r="H669" s="1"/>
      <c r="I669" s="6"/>
      <c r="J669" s="1"/>
      <c r="K669" s="1"/>
      <c r="L669" s="1"/>
      <c r="M669" s="1"/>
      <c r="N669" s="1"/>
      <c r="O669" s="8"/>
    </row>
    <row r="670" spans="1:15" x14ac:dyDescent="0.3">
      <c r="A670" s="1">
        <v>2155</v>
      </c>
      <c r="B670" s="17">
        <v>0</v>
      </c>
      <c r="C670" s="17" t="str">
        <f>IF(B670=0,VLOOKUP(A670,Feuil2!$A$2:$M$1241,2,FALSE)," ")</f>
        <v>MHIRI</v>
      </c>
      <c r="D670" s="17" t="str">
        <f>IF(B670=0,VLOOKUP(A670,Feuil2!$A$2:$M$1241,3,FALSE)," ")</f>
        <v>INES</v>
      </c>
      <c r="E670" s="18">
        <f>IF(B670=0,VLOOKUP(A670,Feuil2!$A$2:$M$1241,6,FALSE)," ")</f>
        <v>33351</v>
      </c>
      <c r="F670" s="17" t="str">
        <f>IF(B670=0,VLOOKUP(A670,Feuil2!$A$2:$M$1241,12,FALSE)," ")</f>
        <v>F</v>
      </c>
      <c r="G670" s="17" t="str">
        <f>IF(B670=0,VLOOKUP(A670,Feuil2!$A$2:$M$1241,11,FALSE)," ")</f>
        <v>C</v>
      </c>
      <c r="H670" s="17" t="s">
        <v>16</v>
      </c>
      <c r="I670" s="19">
        <f>IF(B670=0,VLOOKUP(A670,Feuil2!$A$2:$M$1241,7,FALSE)," ")</f>
        <v>9314714</v>
      </c>
      <c r="J670" s="17" t="str">
        <f>IF(B670=0,VLOOKUP(A670,Feuil2!$A$2:$M$1241,9,FALSE)," ")</f>
        <v>4 RUE RAJEH BRAHIM HAMMEM SOUSSE</v>
      </c>
      <c r="K670" s="17" t="str">
        <f>IF(B670=0,VLOOKUP(A670,Feuil2!$A$2:$M$1241,10,FALSE)," ")</f>
        <v>Sousse</v>
      </c>
      <c r="L670" s="17"/>
      <c r="M670" s="17">
        <v>98793820</v>
      </c>
      <c r="N670" s="17"/>
      <c r="O670" s="20" t="str">
        <f>IF(B670=0,VLOOKUP(A670,Feuil2!$A$2:$M$1241,13,FALSE)," ")</f>
        <v>17503000000274122490</v>
      </c>
    </row>
    <row r="671" spans="1:15" x14ac:dyDescent="0.3">
      <c r="A671" s="1">
        <v>2158</v>
      </c>
      <c r="B671" s="1">
        <v>0</v>
      </c>
      <c r="C671" s="1" t="str">
        <f>IF(B671=0,VLOOKUP(A671,Feuil2!$A$2:$M$1241,2,FALSE)," ")</f>
        <v>BEN MASSOUD</v>
      </c>
      <c r="D671" s="1" t="str">
        <f>IF(B671=0,VLOOKUP(A671,Feuil2!$A$2:$M$1241,3,FALSE)," ")</f>
        <v>MOHAMED ALI</v>
      </c>
      <c r="E671" s="5">
        <f>IF(B671=0,VLOOKUP(A671,Feuil2!$A$2:$M$1241,6,FALSE)," ")</f>
        <v>35023</v>
      </c>
      <c r="F671" s="1" t="str">
        <f>IF(B671=0,VLOOKUP(A671,Feuil2!$A$2:$M$1241,12,FALSE)," ")</f>
        <v>H</v>
      </c>
      <c r="G671" s="1" t="str">
        <f>IF(B671=0,VLOOKUP(A671,Feuil2!$A$2:$M$1241,11,FALSE)," ")</f>
        <v>C</v>
      </c>
      <c r="H671" s="1" t="s">
        <v>16</v>
      </c>
      <c r="I671" s="6">
        <f>IF(B671=0,VLOOKUP(A671,Feuil2!$A$2:$M$1241,7,FALSE)," ")</f>
        <v>12828850</v>
      </c>
      <c r="J671" s="1" t="str">
        <f>IF(B671=0,VLOOKUP(A671,Feuil2!$A$2:$M$1241,9,FALSE)," ")</f>
        <v>Borjine</v>
      </c>
      <c r="K671" s="1" t="str">
        <f>IF(B671=0,VLOOKUP(A671,Feuil2!$A$2:$M$1241,10,FALSE)," ")</f>
        <v>Borjine 4015</v>
      </c>
      <c r="L671" s="1">
        <v>4015</v>
      </c>
      <c r="M671" s="1">
        <v>98793820</v>
      </c>
      <c r="N671" s="1"/>
      <c r="O671" s="8" t="str">
        <f>IF(B671=0,VLOOKUP(A671,Feuil2!$A$2:$M$1241,13,FALSE)," ")</f>
        <v>01500023113081045892</v>
      </c>
    </row>
    <row r="672" spans="1:15" x14ac:dyDescent="0.3">
      <c r="A672" s="1">
        <v>2158</v>
      </c>
      <c r="B672" s="1">
        <v>0</v>
      </c>
      <c r="C672" s="1" t="str">
        <f>IF(B672=0,VLOOKUP(A672,Feuil2!$A$2:$M$1241,2,FALSE)," ")</f>
        <v>BEN MASSOUD</v>
      </c>
      <c r="D672" s="1" t="str">
        <f>IF(B672=0,VLOOKUP(A672,Feuil2!$A$2:$M$1241,3,FALSE)," ")</f>
        <v>MOHAMED ALI</v>
      </c>
      <c r="E672" s="5">
        <f>IF(B672=0,VLOOKUP(A672,Feuil2!$A$2:$M$1241,6,FALSE)," ")</f>
        <v>35023</v>
      </c>
      <c r="F672" s="1" t="str">
        <f>IF(B672=0,VLOOKUP(A672,Feuil2!$A$2:$M$1241,12,FALSE)," ")</f>
        <v>H</v>
      </c>
      <c r="G672" s="1" t="str">
        <f>IF(B672=0,VLOOKUP(A672,Feuil2!$A$2:$M$1241,11,FALSE)," ")</f>
        <v>C</v>
      </c>
      <c r="H672" s="1" t="s">
        <v>16</v>
      </c>
      <c r="I672" s="6">
        <f>IF(B672=0,VLOOKUP(A672,Feuil2!$A$2:$M$1241,7,FALSE)," ")</f>
        <v>12828850</v>
      </c>
      <c r="J672" s="1" t="str">
        <f>IF(B672=0,VLOOKUP(A672,Feuil2!$A$2:$M$1241,9,FALSE)," ")</f>
        <v>Borjine</v>
      </c>
      <c r="K672" s="1" t="str">
        <f>IF(B672=0,VLOOKUP(A672,Feuil2!$A$2:$M$1241,10,FALSE)," ")</f>
        <v>Borjine 4015</v>
      </c>
      <c r="L672" s="1">
        <v>4015</v>
      </c>
      <c r="M672" s="1">
        <v>98793820</v>
      </c>
      <c r="N672" s="1"/>
      <c r="O672" s="8" t="str">
        <f>IF(B672=0,VLOOKUP(A672,Feuil2!$A$2:$M$1241,13,FALSE)," ")</f>
        <v>01500023113081045892</v>
      </c>
    </row>
    <row r="673" spans="1:15" x14ac:dyDescent="0.3">
      <c r="A673" s="1">
        <v>2166</v>
      </c>
      <c r="B673" s="1">
        <v>0</v>
      </c>
      <c r="C673" s="1" t="str">
        <f>IF(B673=0,VLOOKUP(A673,Feuil2!$A$2:$M$1241,2,FALSE)," ")</f>
        <v>BEN CHIKH AMOR</v>
      </c>
      <c r="D673" s="1" t="str">
        <f>IF(B673=0,VLOOKUP(A673,Feuil2!$A$2:$M$1241,3,FALSE)," ")</f>
        <v>ADEL</v>
      </c>
      <c r="E673" s="5">
        <f>IF(B673=0,VLOOKUP(A673,Feuil2!$A$2:$M$1241,6,FALSE)," ")</f>
        <v>33822</v>
      </c>
      <c r="F673" s="1" t="str">
        <f>IF(B673=0,VLOOKUP(A673,Feuil2!$A$2:$M$1241,12,FALSE)," ")</f>
        <v>H</v>
      </c>
      <c r="G673" s="1" t="str">
        <f>IF(B673=0,VLOOKUP(A673,Feuil2!$A$2:$M$1241,11,FALSE)," ")</f>
        <v>C</v>
      </c>
      <c r="H673" s="1" t="s">
        <v>16</v>
      </c>
      <c r="I673" s="6">
        <f>IF(B673=0,VLOOKUP(A673,Feuil2!$A$2:$M$1241,7,FALSE)," ")</f>
        <v>9333372</v>
      </c>
      <c r="J673" s="1" t="str">
        <f>IF(B673=0,VLOOKUP(A673,Feuil2!$A$2:$M$1241,9,FALSE)," ")</f>
        <v>Rue Moez Ibn Badiss</v>
      </c>
      <c r="K673" s="1" t="str">
        <f>IF(B673=0,VLOOKUP(A673,Feuil2!$A$2:$M$1241,10,FALSE)," ")</f>
        <v>Msaken 4070</v>
      </c>
      <c r="L673" s="1">
        <v>4070</v>
      </c>
      <c r="M673" s="1">
        <v>98793820</v>
      </c>
      <c r="N673" s="1"/>
      <c r="O673" s="8" t="str">
        <f>IF(B673=0,VLOOKUP(A673,Feuil2!$A$2:$M$1241,13,FALSE)," ")</f>
        <v>05048000116500381725</v>
      </c>
    </row>
    <row r="674" spans="1:15" x14ac:dyDescent="0.3">
      <c r="A674" s="1"/>
      <c r="B674" s="1"/>
      <c r="C674" s="1"/>
      <c r="D674" s="1" t="e">
        <f>IF(B674=0,VLOOKUP(A674,Feuil2!$A$2:$M$1241,3,FALSE)," ")</f>
        <v>#N/A</v>
      </c>
      <c r="E674" s="5" t="e">
        <f>IF(B674=0,VLOOKUP(A674,Feuil2!$A$2:$M$1241,6,FALSE)," ")</f>
        <v>#N/A</v>
      </c>
      <c r="F674" s="1"/>
      <c r="G674" s="1"/>
      <c r="H674" s="1"/>
      <c r="I674" s="6" t="e">
        <f>IF(B674=0,VLOOKUP(A674,Feuil2!$A$2:$M$1241,7,FALSE)," ")</f>
        <v>#N/A</v>
      </c>
      <c r="J674" s="1" t="e">
        <f>IF(B674=0,VLOOKUP(A674,Feuil2!$A$2:$M$1241,9,FALSE)," ")</f>
        <v>#N/A</v>
      </c>
      <c r="K674" s="1" t="e">
        <f>IF(B674=0,VLOOKUP(A674,Feuil2!$A$2:$M$1241,10,FALSE)," ")</f>
        <v>#N/A</v>
      </c>
      <c r="L674" s="1"/>
      <c r="M674" s="1">
        <v>98793820</v>
      </c>
      <c r="N674" s="1"/>
      <c r="O674" s="8" t="e">
        <f>IF(B674=0,VLOOKUP(A674,Feuil2!$A$2:$M$1241,13,FALSE)," ")</f>
        <v>#N/A</v>
      </c>
    </row>
    <row r="675" spans="1:15" x14ac:dyDescent="0.3">
      <c r="A675" s="1">
        <v>2048</v>
      </c>
      <c r="B675" s="1">
        <v>0</v>
      </c>
      <c r="C675" s="1" t="s">
        <v>2833</v>
      </c>
      <c r="D675" s="1" t="str">
        <f>IF(B675=0,VLOOKUP(A675,Feuil2!$A$2:$M$1241,3,FALSE)," ")</f>
        <v>NOUREDDINE</v>
      </c>
      <c r="E675" s="5">
        <f>IF(B675=0,VLOOKUP(A675,Feuil2!$A$2:$M$1241,6,FALSE)," ")</f>
        <v>33331</v>
      </c>
      <c r="F675" s="1" t="s">
        <v>506</v>
      </c>
      <c r="G675" s="1" t="s">
        <v>15</v>
      </c>
      <c r="H675" s="1" t="s">
        <v>16</v>
      </c>
      <c r="I675" s="6">
        <f>IF(B675=0,VLOOKUP(A675,Feuil2!$A$2:$M$1241,7,FALSE)," ")</f>
        <v>9296641</v>
      </c>
      <c r="J675" s="1" t="str">
        <f>IF(B675=0,VLOOKUP(A675,Feuil2!$A$2:$M$1241,9,FALSE)," ")</f>
        <v>Knaies</v>
      </c>
      <c r="K675" s="1" t="str">
        <f>IF(B675=0,VLOOKUP(A675,Feuil2!$A$2:$M$1241,10,FALSE)," ")</f>
        <v>Knaies 4014</v>
      </c>
      <c r="L675" s="1"/>
      <c r="M675" s="1">
        <v>2225757</v>
      </c>
      <c r="N675" s="1"/>
      <c r="O675" s="8" t="str">
        <f>IF(B675=0,VLOOKUP(A675,Feuil2!$A$2:$M$1241,13,FALSE)," ")</f>
        <v>04204067003916957888</v>
      </c>
    </row>
    <row r="676" spans="1:15" x14ac:dyDescent="0.3">
      <c r="A676" s="1">
        <v>2048</v>
      </c>
      <c r="B676" s="1">
        <v>1</v>
      </c>
      <c r="C676" s="1" t="s">
        <v>310</v>
      </c>
      <c r="D676" s="1" t="s">
        <v>1824</v>
      </c>
      <c r="E676" s="5">
        <v>35057</v>
      </c>
      <c r="F676" s="1" t="s">
        <v>17</v>
      </c>
      <c r="G676" s="1"/>
      <c r="H676" s="1" t="s">
        <v>16</v>
      </c>
      <c r="I676" s="6"/>
      <c r="J676" s="1"/>
      <c r="K676" s="1"/>
      <c r="L676" s="1"/>
      <c r="M676" s="1"/>
      <c r="N676" s="1"/>
      <c r="O676" s="8"/>
    </row>
    <row r="677" spans="1:15" x14ac:dyDescent="0.3">
      <c r="A677" s="1">
        <v>2048</v>
      </c>
      <c r="B677" s="1">
        <v>2</v>
      </c>
      <c r="C677" s="1" t="s">
        <v>2833</v>
      </c>
      <c r="D677" s="1" t="s">
        <v>2917</v>
      </c>
      <c r="E677" s="5">
        <v>44807</v>
      </c>
      <c r="F677" s="1" t="s">
        <v>17</v>
      </c>
      <c r="G677" s="1"/>
      <c r="H677" s="1"/>
      <c r="I677" s="6"/>
      <c r="J677" s="1"/>
      <c r="K677" s="1"/>
      <c r="L677" s="1"/>
      <c r="M677" s="1"/>
      <c r="N677" s="1"/>
      <c r="O677" s="8"/>
    </row>
    <row r="678" spans="1:15" x14ac:dyDescent="0.3">
      <c r="A678" s="1">
        <v>284</v>
      </c>
      <c r="B678" s="17">
        <v>0</v>
      </c>
      <c r="C678" s="17" t="str">
        <f>IF(B678=0,VLOOKUP(A678,Feuil2!$A$2:$M$1241,2,FALSE)," ")</f>
        <v>BEL HADJ ALI</v>
      </c>
      <c r="D678" s="17" t="str">
        <f>IF(B678=0,VLOOKUP(A678,Feuil2!$A$2:$M$1241,3,FALSE)," ")</f>
        <v>FETHI</v>
      </c>
      <c r="E678" s="18">
        <f>IF(B678=0,VLOOKUP(A678,Feuil2!$A$2:$M$1241,6,FALSE)," ")</f>
        <v>23705</v>
      </c>
      <c r="F678" s="17" t="str">
        <f>IF(B678=0,VLOOKUP(A678,Feuil2!$A$2:$M$1241,12,FALSE)," ")</f>
        <v>H</v>
      </c>
      <c r="G678" s="17" t="str">
        <f>IF(B678=0,VLOOKUP(A678,Feuil2!$A$2:$M$1241,11,FALSE)," ")</f>
        <v>M</v>
      </c>
      <c r="H678" s="17" t="s">
        <v>16</v>
      </c>
      <c r="I678" s="19">
        <f>IF(B678=0,VLOOKUP(A678,Feuil2!$A$2:$M$1241,7,FALSE)," ")</f>
        <v>2953286</v>
      </c>
      <c r="J678" s="17" t="str">
        <f>IF(B678=0,VLOOKUP(A678,Feuil2!$A$2:$M$1241,9,FALSE)," ")</f>
        <v>284 Messadine</v>
      </c>
      <c r="K678" s="17" t="str">
        <f>IF(B678=0,VLOOKUP(A678,Feuil2!$A$2:$M$1241,10,FALSE)," ")</f>
        <v>Messadine 4013</v>
      </c>
      <c r="L678" s="17"/>
      <c r="M678" s="17">
        <v>98793622</v>
      </c>
      <c r="N678" s="17"/>
      <c r="O678" s="21" t="s">
        <v>2772</v>
      </c>
    </row>
    <row r="679" spans="1:15" x14ac:dyDescent="0.3">
      <c r="A679" s="1">
        <v>284</v>
      </c>
      <c r="B679" s="1">
        <v>1</v>
      </c>
      <c r="C679" s="1" t="s">
        <v>1526</v>
      </c>
      <c r="D679" s="1" t="s">
        <v>2580</v>
      </c>
      <c r="E679" s="5">
        <v>24956</v>
      </c>
      <c r="F679" s="1" t="s">
        <v>17</v>
      </c>
      <c r="G679" s="1" t="s">
        <v>15</v>
      </c>
      <c r="H679" s="1" t="s">
        <v>16</v>
      </c>
      <c r="I679" s="6" t="str">
        <f>IF(B679=0,VLOOKUP(A679,Feuil2!$A$2:$M$1241,7,FALSE)," ")</f>
        <v xml:space="preserve"> </v>
      </c>
      <c r="J679" s="1" t="str">
        <f>IF(B679=0,VLOOKUP(A679,Feuil2!$A$2:$M$1241,9,FALSE)," ")</f>
        <v xml:space="preserve"> </v>
      </c>
      <c r="K679" s="1" t="str">
        <f>IF(B679=0,VLOOKUP(A679,Feuil2!$A$2:$M$1241,10,FALSE)," ")</f>
        <v xml:space="preserve"> </v>
      </c>
      <c r="L679" s="1"/>
      <c r="M679" s="1"/>
      <c r="N679" s="1"/>
      <c r="O679" s="8"/>
    </row>
    <row r="680" spans="1:15" x14ac:dyDescent="0.3">
      <c r="A680" s="1">
        <v>284</v>
      </c>
      <c r="B680" s="1">
        <v>2</v>
      </c>
      <c r="C680" s="1" t="s">
        <v>799</v>
      </c>
      <c r="D680" s="1" t="s">
        <v>2357</v>
      </c>
      <c r="E680" s="5">
        <v>35578</v>
      </c>
      <c r="F680" s="1" t="s">
        <v>17</v>
      </c>
      <c r="G680" s="1" t="str">
        <f>IF(B680=0,VLOOKUP(A680,Feuil2!$A$2:$M$1241,11,FALSE)," ")</f>
        <v xml:space="preserve"> </v>
      </c>
      <c r="H680" s="1" t="s">
        <v>16</v>
      </c>
      <c r="I680" s="6" t="str">
        <f>IF(B680=0,VLOOKUP(A680,Feuil2!$A$2:$M$1241,7,FALSE)," ")</f>
        <v xml:space="preserve"> </v>
      </c>
      <c r="J680" s="1" t="str">
        <f>IF(B680=0,VLOOKUP(A680,Feuil2!$A$2:$M$1241,9,FALSE)," ")</f>
        <v xml:space="preserve"> </v>
      </c>
      <c r="K680" s="1" t="str">
        <f>IF(B680=0,VLOOKUP(A680,Feuil2!$A$2:$M$1241,10,FALSE)," ")</f>
        <v xml:space="preserve"> </v>
      </c>
      <c r="L680" s="1"/>
      <c r="M680" s="1"/>
      <c r="N680" s="1"/>
      <c r="O680" s="8"/>
    </row>
    <row r="681" spans="1:15" x14ac:dyDescent="0.3">
      <c r="A681" s="1">
        <v>284</v>
      </c>
      <c r="B681" s="1">
        <v>3</v>
      </c>
      <c r="C681" s="1" t="s">
        <v>799</v>
      </c>
      <c r="D681" s="1" t="s">
        <v>2340</v>
      </c>
      <c r="E681" s="5">
        <v>35578</v>
      </c>
      <c r="F681" s="1" t="s">
        <v>17</v>
      </c>
      <c r="G681" s="1" t="str">
        <f>IF(B681=0,VLOOKUP(A681,Feuil2!$A$2:$M$1241,11,FALSE)," ")</f>
        <v xml:space="preserve"> </v>
      </c>
      <c r="H681" s="1" t="s">
        <v>16</v>
      </c>
      <c r="I681" s="6" t="str">
        <f>IF(B681=0,VLOOKUP(A681,Feuil2!$A$2:$M$1241,7,FALSE)," ")</f>
        <v xml:space="preserve"> </v>
      </c>
      <c r="J681" s="1" t="str">
        <f>IF(B681=0,VLOOKUP(A681,Feuil2!$A$2:$M$1241,9,FALSE)," ")</f>
        <v xml:space="preserve"> </v>
      </c>
      <c r="K681" s="1" t="str">
        <f>IF(B681=0,VLOOKUP(A681,Feuil2!$A$2:$M$1241,10,FALSE)," ")</f>
        <v xml:space="preserve"> </v>
      </c>
      <c r="L681" s="1"/>
      <c r="M681" s="1"/>
      <c r="N681" s="1"/>
      <c r="O681" s="8"/>
    </row>
    <row r="682" spans="1:15" x14ac:dyDescent="0.3">
      <c r="A682" s="1">
        <v>284</v>
      </c>
      <c r="B682" s="1">
        <v>4</v>
      </c>
      <c r="C682" s="1" t="s">
        <v>799</v>
      </c>
      <c r="D682" s="1" t="s">
        <v>2496</v>
      </c>
      <c r="E682" s="5">
        <v>38224</v>
      </c>
      <c r="F682" s="1" t="s">
        <v>506</v>
      </c>
      <c r="G682" s="1" t="str">
        <f>IF(B682=0,VLOOKUP(A682,Feuil2!$A$2:$M$1241,11,FALSE)," ")</f>
        <v xml:space="preserve"> </v>
      </c>
      <c r="H682" s="1" t="s">
        <v>16</v>
      </c>
      <c r="I682" s="6" t="str">
        <f>IF(B682=0,VLOOKUP(A682,Feuil2!$A$2:$M$1241,7,FALSE)," ")</f>
        <v xml:space="preserve"> </v>
      </c>
      <c r="J682" s="1" t="str">
        <f>IF(B682=0,VLOOKUP(A682,Feuil2!$A$2:$M$1241,9,FALSE)," ")</f>
        <v xml:space="preserve"> </v>
      </c>
      <c r="K682" s="1" t="str">
        <f>IF(B682=0,VLOOKUP(A682,Feuil2!$A$2:$M$1241,10,FALSE)," ")</f>
        <v xml:space="preserve"> </v>
      </c>
      <c r="L682" s="1"/>
      <c r="M682" s="1"/>
      <c r="N682" s="1"/>
      <c r="O682" s="8"/>
    </row>
    <row r="683" spans="1:15" x14ac:dyDescent="0.3">
      <c r="A683" s="1">
        <v>895</v>
      </c>
      <c r="B683" s="17">
        <v>0</v>
      </c>
      <c r="C683" s="17" t="str">
        <f>IF(B683=0,VLOOKUP(A683,Feuil2!$A$2:$M$1241,2,FALSE)," ")</f>
        <v>HAMILA</v>
      </c>
      <c r="D683" s="17" t="str">
        <f>IF(B683=0,VLOOKUP(A683,Feuil2!$A$2:$M$1241,3,FALSE)," ")</f>
        <v>RAFIK</v>
      </c>
      <c r="E683" s="18">
        <f>IF(B683=0,VLOOKUP(A683,Feuil2!$A$2:$M$1241,6,FALSE)," ")</f>
        <v>22846</v>
      </c>
      <c r="F683" s="17" t="str">
        <f>IF(B683=0,VLOOKUP(A683,Feuil2!$A$2:$M$1241,12,FALSE)," ")</f>
        <v>H</v>
      </c>
      <c r="G683" s="17" t="str">
        <f>IF(B683=0,VLOOKUP(A683,Feuil2!$A$2:$M$1241,11,FALSE)," ")</f>
        <v>M</v>
      </c>
      <c r="H683" s="17" t="s">
        <v>16</v>
      </c>
      <c r="I683" s="19">
        <f>IF(B683=0,VLOOKUP(A683,Feuil2!$A$2:$M$1241,7,FALSE)," ")</f>
        <v>3077589</v>
      </c>
      <c r="J683" s="17" t="str">
        <f>IF(B683=0,VLOOKUP(A683,Feuil2!$A$2:$M$1241,9,FALSE)," ")</f>
        <v>Route Monastir</v>
      </c>
      <c r="K683" s="17" t="str">
        <f>IF(B683=0,VLOOKUP(A683,Feuil2!$A$2:$M$1241,10,FALSE)," ")</f>
        <v>Msaken 4070</v>
      </c>
      <c r="L683" s="17">
        <v>4070</v>
      </c>
      <c r="M683" s="17">
        <v>98793543</v>
      </c>
      <c r="N683" s="17"/>
      <c r="O683" s="21" t="s">
        <v>2775</v>
      </c>
    </row>
    <row r="684" spans="1:15" x14ac:dyDescent="0.3">
      <c r="A684" s="1">
        <v>895</v>
      </c>
      <c r="B684" s="1">
        <v>1</v>
      </c>
      <c r="C684" s="1" t="s">
        <v>2773</v>
      </c>
      <c r="D684" s="1" t="s">
        <v>2774</v>
      </c>
      <c r="E684" s="5">
        <v>26825</v>
      </c>
      <c r="F684" s="1" t="s">
        <v>17</v>
      </c>
      <c r="G684" s="1" t="s">
        <v>15</v>
      </c>
      <c r="H684" s="1"/>
      <c r="I684" s="6"/>
      <c r="J684" s="1"/>
      <c r="K684" s="1"/>
      <c r="L684" s="1"/>
      <c r="M684" s="1"/>
      <c r="N684" s="1"/>
      <c r="O684" s="8"/>
    </row>
    <row r="685" spans="1:15" x14ac:dyDescent="0.3">
      <c r="A685" s="1">
        <v>895</v>
      </c>
      <c r="B685" s="1">
        <v>2</v>
      </c>
      <c r="C685" s="1" t="s">
        <v>103</v>
      </c>
      <c r="D685" s="1" t="s">
        <v>2667</v>
      </c>
      <c r="E685" s="5">
        <v>36802</v>
      </c>
      <c r="F685" s="1" t="s">
        <v>17</v>
      </c>
      <c r="G685" s="1"/>
      <c r="H685" s="1"/>
      <c r="I685" s="6"/>
      <c r="J685" s="1"/>
      <c r="K685" s="1"/>
      <c r="L685" s="1"/>
      <c r="M685" s="1"/>
      <c r="N685" s="1"/>
      <c r="O685" s="8"/>
    </row>
    <row r="686" spans="1:15" x14ac:dyDescent="0.3">
      <c r="A686" s="1">
        <v>895</v>
      </c>
      <c r="B686" s="1">
        <v>3</v>
      </c>
      <c r="C686" s="1" t="s">
        <v>103</v>
      </c>
      <c r="D686" s="1" t="s">
        <v>89</v>
      </c>
      <c r="E686" s="5">
        <v>38044</v>
      </c>
      <c r="F686" s="1" t="s">
        <v>506</v>
      </c>
      <c r="G686" s="1"/>
      <c r="H686" s="1"/>
      <c r="I686" s="6"/>
      <c r="J686" s="1"/>
      <c r="K686" s="1"/>
      <c r="L686" s="1"/>
      <c r="M686" s="1"/>
      <c r="N686" s="1"/>
      <c r="O686" s="8"/>
    </row>
    <row r="687" spans="1:15" x14ac:dyDescent="0.3">
      <c r="A687" s="1">
        <v>895</v>
      </c>
      <c r="B687" s="1">
        <v>4</v>
      </c>
      <c r="C687" s="1" t="s">
        <v>103</v>
      </c>
      <c r="D687" s="1" t="s">
        <v>2517</v>
      </c>
      <c r="E687" s="5">
        <v>39123</v>
      </c>
      <c r="F687" s="1" t="s">
        <v>17</v>
      </c>
      <c r="G687" s="1"/>
      <c r="H687" s="1"/>
      <c r="I687" s="6"/>
      <c r="J687" s="1"/>
      <c r="K687" s="1"/>
      <c r="L687" s="1"/>
      <c r="M687" s="1"/>
      <c r="N687" s="1"/>
      <c r="O687" s="8"/>
    </row>
    <row r="688" spans="1:15" x14ac:dyDescent="0.3">
      <c r="A688" s="1">
        <v>1525</v>
      </c>
      <c r="B688" s="17">
        <v>0</v>
      </c>
      <c r="C688" s="17" t="str">
        <f>IF(B688=0,VLOOKUP(A688,Feuil2!$A$2:$M$1241,2,FALSE)," ")</f>
        <v>HAMDAOUI</v>
      </c>
      <c r="D688" s="17" t="str">
        <f>IF(B688=0,VLOOKUP(A688,Feuil2!$A$2:$M$1241,3,FALSE)," ")</f>
        <v>MOKHTAR</v>
      </c>
      <c r="E688" s="18">
        <f>IF(B688=0,VLOOKUP(A688,Feuil2!$A$2:$M$1241,6,FALSE)," ")</f>
        <v>25627</v>
      </c>
      <c r="F688" s="17" t="str">
        <f>IF(B688=0,VLOOKUP(A688,Feuil2!$A$2:$M$1241,12,FALSE)," ")</f>
        <v>H</v>
      </c>
      <c r="G688" s="17" t="str">
        <f>IF(B688=0,VLOOKUP(A688,Feuil2!$A$2:$M$1241,11,FALSE)," ")</f>
        <v>M</v>
      </c>
      <c r="H688" s="17" t="s">
        <v>16</v>
      </c>
      <c r="I688" s="19">
        <f>IF(B688=0,VLOOKUP(A688,Feuil2!$A$2:$M$1241,7,FALSE)," ")</f>
        <v>7500595</v>
      </c>
      <c r="J688" s="17" t="str">
        <f>IF(B688=0,VLOOKUP(A688,Feuil2!$A$2:$M$1241,9,FALSE)," ")</f>
        <v>Rue Seliana</v>
      </c>
      <c r="K688" s="17" t="str">
        <f>IF(B688=0,VLOOKUP(A688,Feuil2!$A$2:$M$1241,10,FALSE)," ")</f>
        <v>Msaken 4070</v>
      </c>
      <c r="L688" s="17">
        <v>4070</v>
      </c>
      <c r="M688" s="17">
        <v>94594475</v>
      </c>
      <c r="N688" s="17"/>
      <c r="O688" s="21" t="s">
        <v>2777</v>
      </c>
    </row>
    <row r="689" spans="1:16" x14ac:dyDescent="0.3">
      <c r="A689" s="1">
        <v>1525</v>
      </c>
      <c r="B689" s="1">
        <v>1</v>
      </c>
      <c r="C689" s="1" t="s">
        <v>2776</v>
      </c>
      <c r="D689" s="1" t="s">
        <v>2865</v>
      </c>
      <c r="E689" s="5">
        <v>27025</v>
      </c>
      <c r="F689" s="1" t="s">
        <v>17</v>
      </c>
      <c r="G689" s="1" t="s">
        <v>15</v>
      </c>
      <c r="H689" s="1"/>
      <c r="I689" s="6"/>
      <c r="J689" s="1"/>
      <c r="K689" s="1"/>
      <c r="L689" s="1"/>
      <c r="M689" s="1"/>
      <c r="N689" s="1"/>
      <c r="O689" s="8"/>
    </row>
    <row r="690" spans="1:16" x14ac:dyDescent="0.3">
      <c r="A690" s="1">
        <v>1525</v>
      </c>
      <c r="B690" s="1">
        <v>2</v>
      </c>
      <c r="C690" s="1" t="s">
        <v>338</v>
      </c>
      <c r="D690" s="1" t="s">
        <v>2696</v>
      </c>
      <c r="E690" s="5">
        <v>38914</v>
      </c>
      <c r="F690" s="1" t="s">
        <v>17</v>
      </c>
      <c r="G690" s="1"/>
      <c r="H690" s="1"/>
      <c r="I690" s="6"/>
      <c r="J690" s="1"/>
      <c r="K690" s="1"/>
      <c r="L690" s="1"/>
      <c r="M690" s="1"/>
      <c r="N690" s="1"/>
      <c r="O690" s="8"/>
    </row>
    <row r="691" spans="1:16" x14ac:dyDescent="0.3">
      <c r="A691" s="1">
        <v>1525</v>
      </c>
      <c r="B691" s="1">
        <v>3</v>
      </c>
      <c r="C691" s="1" t="s">
        <v>338</v>
      </c>
      <c r="D691" s="1" t="s">
        <v>61</v>
      </c>
      <c r="E691" s="5">
        <v>40804</v>
      </c>
      <c r="F691" s="1" t="s">
        <v>506</v>
      </c>
      <c r="G691" s="1"/>
      <c r="H691" s="1"/>
      <c r="I691" s="6"/>
      <c r="J691" s="1"/>
      <c r="K691" s="1"/>
      <c r="L691" s="1"/>
      <c r="M691" s="1"/>
      <c r="N691" s="1"/>
      <c r="O691" s="8"/>
      <c r="P691" t="s">
        <v>2805</v>
      </c>
    </row>
    <row r="692" spans="1:16" x14ac:dyDescent="0.3">
      <c r="A692" s="1">
        <v>2058</v>
      </c>
      <c r="B692" s="1">
        <v>0</v>
      </c>
      <c r="C692" s="1" t="str">
        <f>IF(B692=0,VLOOKUP(A692,Feuil2!$A$2:$M$1241,2,FALSE)," ")</f>
        <v>GUEZGUEZ</v>
      </c>
      <c r="D692" s="1" t="str">
        <f>IF(B692=0,VLOOKUP(A692,Feuil2!$A$2:$M$1241,3,FALSE)," ")</f>
        <v>HICHEM</v>
      </c>
      <c r="E692" s="5">
        <f>IF(B692=0,VLOOKUP(A692,Feuil2!$A$2:$M$1241,6,FALSE)," ")</f>
        <v>32317</v>
      </c>
      <c r="F692" s="1" t="str">
        <f>IF(B692=0,VLOOKUP(A692,Feuil2!$A$2:$M$1241,12,FALSE)," ")</f>
        <v>H</v>
      </c>
      <c r="G692" s="1" t="s">
        <v>15</v>
      </c>
      <c r="H692" s="1" t="s">
        <v>16</v>
      </c>
      <c r="I692" s="6">
        <f>IF(B692=0,VLOOKUP(A692,Feuil2!$A$2:$M$1241,7,FALSE)," ")</f>
        <v>8498028</v>
      </c>
      <c r="J692" s="1" t="str">
        <f>IF(B692=0,VLOOKUP(A692,Feuil2!$A$2:$M$1241,9,FALSE)," ")</f>
        <v>52, Rue du Caire</v>
      </c>
      <c r="K692" s="1" t="str">
        <f>IF(B692=0,VLOOKUP(A692,Feuil2!$A$2:$M$1241,10,FALSE)," ")</f>
        <v>Msaken 4070</v>
      </c>
      <c r="L692" s="1">
        <v>4070</v>
      </c>
      <c r="M692" s="1">
        <v>26429181</v>
      </c>
      <c r="N692" s="1"/>
      <c r="O692" s="10" t="s">
        <v>2778</v>
      </c>
      <c r="P692" s="22" t="s">
        <v>2805</v>
      </c>
    </row>
    <row r="693" spans="1:16" x14ac:dyDescent="0.3">
      <c r="A693" s="1">
        <v>2058</v>
      </c>
      <c r="B693" s="1">
        <v>1</v>
      </c>
      <c r="C693" s="1" t="s">
        <v>42</v>
      </c>
      <c r="D693" s="1" t="s">
        <v>2367</v>
      </c>
      <c r="E693" s="5">
        <v>32567</v>
      </c>
      <c r="F693" s="1" t="s">
        <v>17</v>
      </c>
      <c r="G693" s="1" t="s">
        <v>15</v>
      </c>
      <c r="H693" s="1"/>
      <c r="I693" s="6"/>
      <c r="J693" s="1"/>
      <c r="K693" s="1"/>
      <c r="L693" s="1"/>
      <c r="M693" s="1"/>
      <c r="N693" s="1"/>
      <c r="O693" s="8"/>
    </row>
    <row r="694" spans="1:16" x14ac:dyDescent="0.3">
      <c r="A694" s="1">
        <v>2058</v>
      </c>
      <c r="B694" s="1">
        <v>2</v>
      </c>
      <c r="C694" s="1" t="s">
        <v>176</v>
      </c>
      <c r="D694" s="1" t="s">
        <v>2357</v>
      </c>
      <c r="E694" s="5">
        <v>43733</v>
      </c>
      <c r="F694" s="1" t="s">
        <v>17</v>
      </c>
      <c r="G694" s="1"/>
      <c r="H694" s="1"/>
      <c r="I694" s="6"/>
      <c r="J694" s="1"/>
      <c r="K694" s="1"/>
      <c r="L694" s="1"/>
      <c r="M694" s="1"/>
      <c r="N694" s="1"/>
      <c r="O694" s="8"/>
    </row>
    <row r="695" spans="1:16" x14ac:dyDescent="0.3">
      <c r="A695" s="1">
        <v>2058</v>
      </c>
      <c r="B695" s="1">
        <v>3</v>
      </c>
      <c r="C695" s="1" t="s">
        <v>176</v>
      </c>
      <c r="D695" s="1" t="s">
        <v>125</v>
      </c>
      <c r="E695" s="5">
        <v>44573</v>
      </c>
      <c r="F695" s="1" t="s">
        <v>506</v>
      </c>
      <c r="G695" s="1"/>
      <c r="H695" s="1"/>
      <c r="I695" s="6"/>
      <c r="J695" s="1"/>
      <c r="K695" s="1"/>
      <c r="L695" s="1"/>
      <c r="M695" s="1"/>
      <c r="N695" s="1"/>
      <c r="O695" s="8"/>
      <c r="P695" t="s">
        <v>2805</v>
      </c>
    </row>
    <row r="696" spans="1:16" x14ac:dyDescent="0.3">
      <c r="A696" s="1">
        <v>2067</v>
      </c>
      <c r="B696" s="1">
        <v>0</v>
      </c>
      <c r="C696" s="1" t="str">
        <f>IF(B696=0,VLOOKUP(A696,Feuil2!$A$2:$M$1241,2,FALSE)," ")</f>
        <v>CHOUAIEB</v>
      </c>
      <c r="D696" s="1" t="str">
        <f>IF(B696=0,VLOOKUP(A696,Feuil2!$A$2:$M$1241,3,FALSE)," ")</f>
        <v>MOUNIR</v>
      </c>
      <c r="E696" s="5">
        <f>IF(B696=0,VLOOKUP(A696,Feuil2!$A$2:$M$1241,6,FALSE)," ")</f>
        <v>33376</v>
      </c>
      <c r="F696" s="1" t="str">
        <f>IF(B696=0,VLOOKUP(A696,Feuil2!$A$2:$M$1241,12,FALSE)," ")</f>
        <v>H</v>
      </c>
      <c r="G696" s="1" t="s">
        <v>15</v>
      </c>
      <c r="H696" s="1" t="s">
        <v>16</v>
      </c>
      <c r="I696" s="6">
        <f>IF(B696=0,VLOOKUP(A696,Feuil2!$A$2:$M$1241,7,FALSE)," ")</f>
        <v>9318525</v>
      </c>
      <c r="J696" s="1" t="str">
        <f>IF(B696=0,VLOOKUP(A696,Feuil2!$A$2:$M$1241,9,FALSE)," ")</f>
        <v>Echrachir</v>
      </c>
      <c r="K696" s="1" t="str">
        <f>IF(B696=0,VLOOKUP(A696,Feuil2!$A$2:$M$1241,10,FALSE)," ")</f>
        <v>Sidi El HÃ©ni 4025</v>
      </c>
      <c r="L696" s="1"/>
      <c r="M696" s="1">
        <v>22529732</v>
      </c>
      <c r="N696" s="1"/>
      <c r="O696" s="10" t="s">
        <v>2780</v>
      </c>
    </row>
    <row r="697" spans="1:16" x14ac:dyDescent="0.3">
      <c r="A697" s="1">
        <v>2067</v>
      </c>
      <c r="B697" s="1">
        <v>1</v>
      </c>
      <c r="C697" s="1" t="s">
        <v>2779</v>
      </c>
      <c r="D697" s="11" t="s">
        <v>2764</v>
      </c>
      <c r="E697" s="5">
        <v>34873</v>
      </c>
      <c r="F697" s="1" t="s">
        <v>17</v>
      </c>
      <c r="G697" s="1" t="s">
        <v>15</v>
      </c>
      <c r="H697" s="1"/>
      <c r="I697" s="6"/>
      <c r="J697" s="1"/>
      <c r="K697" s="1"/>
      <c r="L697" s="1"/>
      <c r="M697" s="1"/>
      <c r="N697" s="1"/>
      <c r="O697" s="8"/>
    </row>
    <row r="698" spans="1:16" x14ac:dyDescent="0.3">
      <c r="A698" s="1">
        <v>2067</v>
      </c>
      <c r="B698" s="1">
        <v>2</v>
      </c>
      <c r="C698" s="1" t="s">
        <v>2046</v>
      </c>
      <c r="D698" s="11" t="s">
        <v>69</v>
      </c>
      <c r="E698" s="5">
        <v>46104</v>
      </c>
      <c r="F698" s="1"/>
      <c r="G698" s="1"/>
      <c r="H698" s="1"/>
      <c r="I698" s="6"/>
      <c r="J698" s="1"/>
      <c r="K698" s="1"/>
      <c r="L698" s="1"/>
      <c r="M698" s="1"/>
      <c r="N698" s="1"/>
      <c r="O698" s="8"/>
    </row>
    <row r="699" spans="1:16" x14ac:dyDescent="0.3">
      <c r="A699" s="1">
        <v>2107</v>
      </c>
      <c r="B699" s="1">
        <v>0</v>
      </c>
      <c r="C699" s="1" t="str">
        <f>IF(B699=0,VLOOKUP(A699,Feuil2!$A$2:$M$1241,2,FALSE)," ")</f>
        <v>TRIMECH</v>
      </c>
      <c r="D699" s="1" t="str">
        <f>IF(B699=0,VLOOKUP(A699,Feuil2!$A$2:$M$1241,3,FALSE)," ")</f>
        <v>RAHMA</v>
      </c>
      <c r="E699" s="5">
        <f>IF(B699=0,VLOOKUP(A699,Feuil2!$A$2:$M$1241,6,FALSE)," ")</f>
        <v>34053</v>
      </c>
      <c r="F699" s="1" t="str">
        <f>IF(B699=0,VLOOKUP(A699,Feuil2!$A$2:$M$1241,12,FALSE)," ")</f>
        <v>F</v>
      </c>
      <c r="G699" s="1" t="s">
        <v>15</v>
      </c>
      <c r="H699" s="1" t="s">
        <v>16</v>
      </c>
      <c r="I699" s="6">
        <f>IF(B699=0,VLOOKUP(A699,Feuil2!$A$2:$M$1241,7,FALSE)," ")</f>
        <v>6948297</v>
      </c>
      <c r="J699" s="1" t="str">
        <f>IF(B699=0,VLOOKUP(A699,Feuil2!$A$2:$M$1241,9,FALSE)," ")</f>
        <v>Rue Mohamed Mhala</v>
      </c>
      <c r="K699" s="1" t="str">
        <f>IF(B699=0,VLOOKUP(A699,Feuil2!$A$2:$M$1241,10,FALSE)," ")</f>
        <v>Monastir</v>
      </c>
      <c r="L699" s="1"/>
      <c r="M699" s="1">
        <v>98793856</v>
      </c>
      <c r="N699" s="1"/>
      <c r="O699" s="10" t="s">
        <v>2783</v>
      </c>
    </row>
    <row r="700" spans="1:16" x14ac:dyDescent="0.3">
      <c r="A700" s="1">
        <v>2107</v>
      </c>
      <c r="B700" s="1">
        <v>1</v>
      </c>
      <c r="C700" s="1" t="s">
        <v>2781</v>
      </c>
      <c r="D700" s="1" t="s">
        <v>2782</v>
      </c>
      <c r="E700" s="5">
        <v>32480</v>
      </c>
      <c r="F700" s="1" t="s">
        <v>506</v>
      </c>
      <c r="G700" s="1" t="s">
        <v>15</v>
      </c>
      <c r="H700" s="1"/>
      <c r="I700" s="6"/>
      <c r="J700" s="1"/>
      <c r="K700" s="1"/>
      <c r="L700" s="1"/>
      <c r="M700" s="1"/>
      <c r="N700" s="1"/>
      <c r="O700" s="8"/>
    </row>
    <row r="701" spans="1:16" x14ac:dyDescent="0.3">
      <c r="A701" s="1">
        <v>2107</v>
      </c>
      <c r="B701" s="1">
        <v>2</v>
      </c>
      <c r="C701" s="1" t="s">
        <v>2781</v>
      </c>
      <c r="D701" s="1" t="s">
        <v>2465</v>
      </c>
      <c r="E701" s="5">
        <v>44321</v>
      </c>
      <c r="F701" s="1" t="s">
        <v>506</v>
      </c>
      <c r="G701" s="1"/>
      <c r="H701" s="1"/>
      <c r="I701" s="6"/>
      <c r="J701" s="1"/>
      <c r="K701" s="1"/>
      <c r="L701" s="1"/>
      <c r="M701" s="1"/>
      <c r="N701" s="1"/>
      <c r="O701" s="8"/>
    </row>
    <row r="702" spans="1:16" x14ac:dyDescent="0.3">
      <c r="A702" s="1">
        <v>2107</v>
      </c>
      <c r="B702" s="1">
        <v>3</v>
      </c>
      <c r="C702" s="1" t="s">
        <v>2781</v>
      </c>
      <c r="D702" s="1" t="s">
        <v>2850</v>
      </c>
      <c r="E702" s="5">
        <v>44851</v>
      </c>
      <c r="F702" s="1" t="s">
        <v>17</v>
      </c>
      <c r="G702" s="1"/>
      <c r="H702" s="1"/>
      <c r="I702" s="6"/>
      <c r="J702" s="1"/>
      <c r="K702" s="1"/>
      <c r="L702" s="1"/>
      <c r="M702" s="1"/>
      <c r="N702" s="1"/>
      <c r="O702" s="8"/>
    </row>
    <row r="703" spans="1:16" x14ac:dyDescent="0.3">
      <c r="A703" s="1">
        <v>36</v>
      </c>
      <c r="B703" s="17">
        <v>0</v>
      </c>
      <c r="C703" s="17" t="str">
        <f>IF(B703=0,VLOOKUP(A703,Feuil2!$A$2:$M$1241,2,FALSE)," ")</f>
        <v>BAYA</v>
      </c>
      <c r="D703" s="17" t="str">
        <f>IF(B703=0,VLOOKUP(A703,Feuil2!$A$2:$M$1241,3,FALSE)," ")</f>
        <v>ADEL</v>
      </c>
      <c r="E703" s="18">
        <f>IF(B703=0,VLOOKUP(A703,Feuil2!$A$2:$M$1241,6,FALSE)," ")</f>
        <v>23421</v>
      </c>
      <c r="F703" s="17" t="str">
        <f>IF(B703=0,VLOOKUP(A703,Feuil2!$A$2:$M$1241,12,FALSE)," ")</f>
        <v>H</v>
      </c>
      <c r="G703" s="17" t="str">
        <f>IF(B703=0,VLOOKUP(A703,Feuil2!$A$2:$M$1241,11,FALSE)," ")</f>
        <v>M</v>
      </c>
      <c r="H703" s="17" t="s">
        <v>16</v>
      </c>
      <c r="I703" s="19">
        <f>IF(B703=0,VLOOKUP(A703,Feuil2!$A$2:$M$1241,7,FALSE)," ")</f>
        <v>2867586</v>
      </c>
      <c r="J703" s="17" t="str">
        <f>IF(B703=0,VLOOKUP(A703,Feuil2!$A$2:$M$1241,9,FALSE)," ")</f>
        <v>467 Rue 1er juin</v>
      </c>
      <c r="K703" s="17" t="str">
        <f>IF(B703=0,VLOOKUP(A703,Feuil2!$A$2:$M$1241,10,FALSE)," ")</f>
        <v>Msaken 4070</v>
      </c>
      <c r="L703" s="17">
        <v>4070</v>
      </c>
      <c r="M703" s="17">
        <v>98793699</v>
      </c>
      <c r="N703" s="17"/>
      <c r="O703" s="20" t="str">
        <f>IF(B703=0,VLOOKUP(A703,Feuil2!$A$2:$M$1241,13,FALSE)," ")</f>
        <v>24010030679251100000</v>
      </c>
    </row>
    <row r="704" spans="1:16" x14ac:dyDescent="0.3">
      <c r="A704" s="1">
        <v>36</v>
      </c>
      <c r="B704" s="1">
        <v>1</v>
      </c>
      <c r="C704" s="1" t="s">
        <v>188</v>
      </c>
      <c r="D704" s="1" t="s">
        <v>746</v>
      </c>
      <c r="E704" s="5">
        <v>24582</v>
      </c>
      <c r="F704" s="1" t="s">
        <v>17</v>
      </c>
      <c r="G704" s="1" t="s">
        <v>15</v>
      </c>
      <c r="H704" s="1" t="s">
        <v>16</v>
      </c>
      <c r="I704" s="6" t="str">
        <f>IF(B704=0,VLOOKUP(A704,Feuil2!$A$2:$M$1241,7,FALSE)," ")</f>
        <v xml:space="preserve"> </v>
      </c>
      <c r="J704" s="1" t="str">
        <f>IF(B704=0,VLOOKUP(A704,Feuil2!$A$2:$M$1241,9,FALSE)," ")</f>
        <v xml:space="preserve"> </v>
      </c>
      <c r="K704" s="1" t="str">
        <f>IF(B704=0,VLOOKUP(A704,Feuil2!$A$2:$M$1241,10,FALSE)," ")</f>
        <v xml:space="preserve"> </v>
      </c>
      <c r="L704" s="1"/>
      <c r="M704" s="1"/>
      <c r="N704" s="1"/>
      <c r="O704" s="8" t="str">
        <f>IF(B704=0,VLOOKUP(A704,Feuil2!$A$2:$M$1241,13,FALSE)," ")</f>
        <v xml:space="preserve"> </v>
      </c>
    </row>
    <row r="705" spans="1:16" x14ac:dyDescent="0.3">
      <c r="A705" s="1">
        <v>36</v>
      </c>
      <c r="B705" s="1">
        <v>2</v>
      </c>
      <c r="C705" s="1" t="s">
        <v>29</v>
      </c>
      <c r="D705" s="1" t="s">
        <v>2446</v>
      </c>
      <c r="E705" s="5">
        <v>36776</v>
      </c>
      <c r="F705" s="1" t="s">
        <v>17</v>
      </c>
      <c r="G705" s="1" t="str">
        <f>IF(B705=0,VLOOKUP(A705,Feuil2!$A$2:$M$1241,11,FALSE)," ")</f>
        <v xml:space="preserve"> </v>
      </c>
      <c r="H705" s="1" t="s">
        <v>16</v>
      </c>
      <c r="I705" s="6" t="str">
        <f>IF(B705=0,VLOOKUP(A705,Feuil2!$A$2:$M$1241,7,FALSE)," ")</f>
        <v xml:space="preserve"> </v>
      </c>
      <c r="J705" s="1" t="str">
        <f>IF(B705=0,VLOOKUP(A705,Feuil2!$A$2:$M$1241,9,FALSE)," ")</f>
        <v xml:space="preserve"> </v>
      </c>
      <c r="K705" s="1" t="str">
        <f>IF(B705=0,VLOOKUP(A705,Feuil2!$A$2:$M$1241,10,FALSE)," ")</f>
        <v xml:space="preserve"> </v>
      </c>
      <c r="L705" s="1"/>
      <c r="M705" s="1"/>
      <c r="N705" s="1"/>
      <c r="O705" s="8" t="str">
        <f>IF(B705=0,VLOOKUP(A705,Feuil2!$A$2:$M$1241,13,FALSE)," ")</f>
        <v xml:space="preserve"> </v>
      </c>
    </row>
    <row r="706" spans="1:16" x14ac:dyDescent="0.3">
      <c r="A706" s="1">
        <v>36</v>
      </c>
      <c r="B706" s="1">
        <v>3</v>
      </c>
      <c r="C706" s="1" t="s">
        <v>29</v>
      </c>
      <c r="D706" s="1" t="s">
        <v>2388</v>
      </c>
      <c r="E706" s="5">
        <v>38676</v>
      </c>
      <c r="F706" s="1" t="s">
        <v>506</v>
      </c>
      <c r="G706" s="1" t="str">
        <f>IF(B706=0,VLOOKUP(A706,Feuil2!$A$2:$M$1241,11,FALSE)," ")</f>
        <v xml:space="preserve"> </v>
      </c>
      <c r="H706" s="1" t="s">
        <v>16</v>
      </c>
      <c r="I706" s="6" t="str">
        <f>IF(B706=0,VLOOKUP(A706,Feuil2!$A$2:$M$1241,7,FALSE)," ")</f>
        <v xml:space="preserve"> </v>
      </c>
      <c r="J706" s="1" t="str">
        <f>IF(B706=0,VLOOKUP(A706,Feuil2!$A$2:$M$1241,9,FALSE)," ")</f>
        <v xml:space="preserve"> </v>
      </c>
      <c r="K706" s="1" t="str">
        <f>IF(B706=0,VLOOKUP(A706,Feuil2!$A$2:$M$1241,10,FALSE)," ")</f>
        <v xml:space="preserve"> </v>
      </c>
      <c r="L706" s="1"/>
      <c r="M706" s="1"/>
      <c r="N706" s="1"/>
      <c r="O706" s="8" t="str">
        <f>IF(B706=0,VLOOKUP(A706,Feuil2!$A$2:$M$1241,13,FALSE)," ")</f>
        <v xml:space="preserve"> </v>
      </c>
    </row>
    <row r="707" spans="1:16" x14ac:dyDescent="0.3">
      <c r="A707" s="1">
        <v>58</v>
      </c>
      <c r="B707" s="17">
        <v>0</v>
      </c>
      <c r="C707" s="17" t="str">
        <f>IF(B707=0,VLOOKUP(A707,Feuil2!$A$2:$M$1241,2,FALSE)," ")</f>
        <v>BEN HAMOUDA</v>
      </c>
      <c r="D707" s="17" t="str">
        <f>IF(B707=0,VLOOKUP(A707,Feuil2!$A$2:$M$1241,3,FALSE)," ")</f>
        <v>MONDHER</v>
      </c>
      <c r="E707" s="18">
        <f>IF(B707=0,VLOOKUP(A707,Feuil2!$A$2:$M$1241,6,FALSE)," ")</f>
        <v>22824</v>
      </c>
      <c r="F707" s="17" t="str">
        <f>IF(B707=0,VLOOKUP(A707,Feuil2!$A$2:$M$1241,12,FALSE)," ")</f>
        <v>H</v>
      </c>
      <c r="G707" s="17" t="str">
        <f>IF(B707=0,VLOOKUP(A707,Feuil2!$A$2:$M$1241,11,FALSE)," ")</f>
        <v>M</v>
      </c>
      <c r="H707" s="17" t="s">
        <v>16</v>
      </c>
      <c r="I707" s="19">
        <f>IF(B707=0,VLOOKUP(A707,Feuil2!$A$2:$M$1241,7,FALSE)," ")</f>
        <v>2933895</v>
      </c>
      <c r="J707" s="17" t="str">
        <f>IF(B707=0,VLOOKUP(A707,Feuil2!$A$2:$M$1241,9,FALSE)," ")</f>
        <v>158 Rue Imam El Mezri</v>
      </c>
      <c r="K707" s="17" t="str">
        <f>IF(B707=0,VLOOKUP(A707,Feuil2!$A$2:$M$1241,10,FALSE)," ")</f>
        <v>Msaken 4070</v>
      </c>
      <c r="L707" s="17">
        <v>4070</v>
      </c>
      <c r="M707" s="17">
        <v>98793637</v>
      </c>
      <c r="N707" s="17"/>
      <c r="O707" s="20" t="str">
        <f>IF(B707=0,VLOOKUP(A707,Feuil2!$A$2:$M$1241,13,FALSE)," ")</f>
        <v>08507000262000767912</v>
      </c>
    </row>
    <row r="708" spans="1:16" x14ac:dyDescent="0.3">
      <c r="A708" s="1">
        <v>58</v>
      </c>
      <c r="B708" s="1">
        <v>1</v>
      </c>
      <c r="C708" s="1" t="str">
        <f>IF(B708=0,VLOOKUP(A708,Feuil2!$A$2:$M$1241,2,FALSE)," ")</f>
        <v xml:space="preserve"> </v>
      </c>
      <c r="D708" s="1" t="s">
        <v>2348</v>
      </c>
      <c r="E708" s="5">
        <v>24935</v>
      </c>
      <c r="F708" s="1" t="s">
        <v>17</v>
      </c>
      <c r="G708" s="1" t="s">
        <v>15</v>
      </c>
      <c r="H708" s="1" t="s">
        <v>16</v>
      </c>
      <c r="I708" s="6" t="str">
        <f>IF(B708=0,VLOOKUP(A708,Feuil2!$A$2:$M$1241,7,FALSE)," ")</f>
        <v xml:space="preserve"> </v>
      </c>
      <c r="J708" s="1" t="str">
        <f>IF(B708=0,VLOOKUP(A708,Feuil2!$A$2:$M$1241,9,FALSE)," ")</f>
        <v xml:space="preserve"> </v>
      </c>
      <c r="K708" s="1" t="str">
        <f>IF(B708=0,VLOOKUP(A708,Feuil2!$A$2:$M$1241,10,FALSE)," ")</f>
        <v xml:space="preserve"> </v>
      </c>
      <c r="L708" s="1"/>
      <c r="M708" s="1"/>
      <c r="N708" s="1"/>
      <c r="O708" s="8" t="str">
        <f>IF(B708=0,VLOOKUP(A708,Feuil2!$A$2:$M$1241,13,FALSE)," ")</f>
        <v xml:space="preserve"> </v>
      </c>
    </row>
    <row r="709" spans="1:16" x14ac:dyDescent="0.3">
      <c r="A709" s="1">
        <v>58</v>
      </c>
      <c r="B709" s="1">
        <v>2</v>
      </c>
      <c r="C709" s="1" t="s">
        <v>563</v>
      </c>
      <c r="D709" s="1" t="s">
        <v>216</v>
      </c>
      <c r="E709" s="5">
        <v>33022</v>
      </c>
      <c r="F709" s="1" t="s">
        <v>506</v>
      </c>
      <c r="G709" s="1" t="str">
        <f>IF(B709=0,VLOOKUP(A709,Feuil2!$A$2:$M$1241,11,FALSE)," ")</f>
        <v xml:space="preserve"> </v>
      </c>
      <c r="H709" s="1" t="s">
        <v>16</v>
      </c>
      <c r="I709" s="6" t="str">
        <f>IF(B709=0,VLOOKUP(A709,Feuil2!$A$2:$M$1241,7,FALSE)," ")</f>
        <v xml:space="preserve"> </v>
      </c>
      <c r="J709" s="1" t="str">
        <f>IF(B709=0,VLOOKUP(A709,Feuil2!$A$2:$M$1241,9,FALSE)," ")</f>
        <v xml:space="preserve"> </v>
      </c>
      <c r="K709" s="1" t="str">
        <f>IF(B709=0,VLOOKUP(A709,Feuil2!$A$2:$M$1241,10,FALSE)," ")</f>
        <v xml:space="preserve"> </v>
      </c>
      <c r="L709" s="1"/>
      <c r="M709" s="1"/>
      <c r="N709" s="1"/>
      <c r="O709" s="8" t="str">
        <f>IF(B709=0,VLOOKUP(A709,Feuil2!$A$2:$M$1241,13,FALSE)," ")</f>
        <v xml:space="preserve"> </v>
      </c>
    </row>
    <row r="710" spans="1:16" x14ac:dyDescent="0.3">
      <c r="A710" s="1">
        <v>58</v>
      </c>
      <c r="B710" s="1">
        <v>3</v>
      </c>
      <c r="C710" s="1" t="s">
        <v>563</v>
      </c>
      <c r="D710" s="1" t="s">
        <v>2572</v>
      </c>
      <c r="E710" s="5">
        <v>35606</v>
      </c>
      <c r="F710" s="1" t="s">
        <v>506</v>
      </c>
      <c r="G710" s="1" t="str">
        <f>IF(B710=0,VLOOKUP(A710,Feuil2!$A$2:$M$1241,11,FALSE)," ")</f>
        <v xml:space="preserve"> </v>
      </c>
      <c r="H710" s="1" t="s">
        <v>16</v>
      </c>
      <c r="I710" s="6" t="str">
        <f>IF(B710=0,VLOOKUP(A710,Feuil2!$A$2:$M$1241,7,FALSE)," ")</f>
        <v xml:space="preserve"> </v>
      </c>
      <c r="J710" s="1" t="str">
        <f>IF(B710=0,VLOOKUP(A710,Feuil2!$A$2:$M$1241,9,FALSE)," ")</f>
        <v xml:space="preserve"> </v>
      </c>
      <c r="K710" s="1" t="str">
        <f>IF(B710=0,VLOOKUP(A710,Feuil2!$A$2:$M$1241,10,FALSE)," ")</f>
        <v xml:space="preserve"> </v>
      </c>
      <c r="L710" s="1"/>
      <c r="M710" s="1"/>
      <c r="N710" s="1"/>
      <c r="O710" s="8" t="str">
        <f>IF(B710=0,VLOOKUP(A710,Feuil2!$A$2:$M$1241,13,FALSE)," ")</f>
        <v xml:space="preserve"> </v>
      </c>
      <c r="P710" t="s">
        <v>2805</v>
      </c>
    </row>
    <row r="711" spans="1:16" x14ac:dyDescent="0.3">
      <c r="A711" s="1">
        <v>58</v>
      </c>
      <c r="B711" s="1">
        <v>4</v>
      </c>
      <c r="C711" s="1" t="s">
        <v>563</v>
      </c>
      <c r="D711" s="1" t="s">
        <v>2573</v>
      </c>
      <c r="E711" s="5">
        <v>38349</v>
      </c>
      <c r="F711" s="1" t="s">
        <v>17</v>
      </c>
      <c r="G711" s="1" t="str">
        <f>IF(B711=0,VLOOKUP(A711,Feuil2!$A$2:$M$1241,11,FALSE)," ")</f>
        <v xml:space="preserve"> </v>
      </c>
      <c r="H711" s="1" t="s">
        <v>16</v>
      </c>
      <c r="I711" s="6" t="str">
        <f>IF(B711=0,VLOOKUP(A711,Feuil2!$A$2:$M$1241,7,FALSE)," ")</f>
        <v xml:space="preserve"> </v>
      </c>
      <c r="J711" s="1" t="str">
        <f>IF(B711=0,VLOOKUP(A711,Feuil2!$A$2:$M$1241,9,FALSE)," ")</f>
        <v xml:space="preserve"> </v>
      </c>
      <c r="K711" s="1" t="str">
        <f>IF(B711=0,VLOOKUP(A711,Feuil2!$A$2:$M$1241,10,FALSE)," ")</f>
        <v xml:space="preserve"> </v>
      </c>
      <c r="L711" s="1"/>
      <c r="M711" s="1"/>
      <c r="N711" s="1"/>
      <c r="O711" s="8" t="str">
        <f>IF(B711=0,VLOOKUP(A711,Feuil2!$A$2:$M$1241,13,FALSE)," ")</f>
        <v xml:space="preserve"> </v>
      </c>
    </row>
    <row r="712" spans="1:16" x14ac:dyDescent="0.3">
      <c r="A712" s="1">
        <v>144</v>
      </c>
      <c r="B712" s="1">
        <v>0</v>
      </c>
      <c r="C712" s="1" t="str">
        <f>IF(B712=0,VLOOKUP(A712,Feuil2!$A$2:$M$1241,2,FALSE)," ")</f>
        <v>DHIFALLAH</v>
      </c>
      <c r="D712" s="1" t="str">
        <f>IF(B712=0,VLOOKUP(A712,Feuil2!$A$2:$M$1241,3,FALSE)," ")</f>
        <v>MOHAMED</v>
      </c>
      <c r="E712" s="5">
        <f>IF(B712=0,VLOOKUP(A712,Feuil2!$A$2:$M$1241,6,FALSE)," ")</f>
        <v>23201</v>
      </c>
      <c r="F712" s="1" t="str">
        <f>IF(B712=0,VLOOKUP(A712,Feuil2!$A$2:$M$1241,12,FALSE)," ")</f>
        <v>H</v>
      </c>
      <c r="G712" s="1" t="str">
        <f>IF(B712=0,VLOOKUP(A712,Feuil2!$A$2:$M$1241,11,FALSE)," ")</f>
        <v>M</v>
      </c>
      <c r="H712" s="1" t="s">
        <v>16</v>
      </c>
      <c r="I712" s="6">
        <f>IF(B712=0,VLOOKUP(A712,Feuil2!$A$2:$M$1241,7,FALSE)," ")</f>
        <v>2950029</v>
      </c>
      <c r="J712" s="1" t="str">
        <f>IF(B712=0,VLOOKUP(A712,Feuil2!$A$2:$M$1241,9,FALSE)," ")</f>
        <v>CitÃ© Farhat Hached NÂ°30 Bouhssina</v>
      </c>
      <c r="K712" s="1" t="str">
        <f>IF(B712=0,VLOOKUP(A712,Feuil2!$A$2:$M$1241,10,FALSE)," ")</f>
        <v>Sousse</v>
      </c>
      <c r="L712" s="1"/>
      <c r="M712" s="1">
        <v>98793615</v>
      </c>
      <c r="N712" s="1"/>
      <c r="O712" s="8" t="str">
        <f>IF(B712=0,VLOOKUP(A712,Feuil2!$A$2:$M$1241,13,FALSE)," ")</f>
        <v>14500500100702065864</v>
      </c>
    </row>
    <row r="713" spans="1:16" x14ac:dyDescent="0.3">
      <c r="A713" s="1">
        <v>144</v>
      </c>
      <c r="B713" s="1">
        <v>1</v>
      </c>
      <c r="C713" s="1" t="s">
        <v>2574</v>
      </c>
      <c r="D713" s="1" t="s">
        <v>629</v>
      </c>
      <c r="E713" s="5">
        <v>27084</v>
      </c>
      <c r="F713" s="1" t="s">
        <v>17</v>
      </c>
      <c r="G713" s="1" t="s">
        <v>15</v>
      </c>
      <c r="H713" s="1" t="s">
        <v>16</v>
      </c>
      <c r="I713" s="6" t="str">
        <f>IF(B713=0,VLOOKUP(A713,Feuil2!$A$2:$M$1241,7,FALSE)," ")</f>
        <v xml:space="preserve"> </v>
      </c>
      <c r="J713" s="1" t="str">
        <f>IF(B713=0,VLOOKUP(A713,Feuil2!$A$2:$M$1241,9,FALSE)," ")</f>
        <v xml:space="preserve"> </v>
      </c>
      <c r="K713" s="1" t="str">
        <f>IF(B713=0,VLOOKUP(A713,Feuil2!$A$2:$M$1241,10,FALSE)," ")</f>
        <v xml:space="preserve"> </v>
      </c>
      <c r="L713" s="1"/>
      <c r="M713" s="1"/>
      <c r="N713" s="1"/>
      <c r="O713" s="8" t="str">
        <f>IF(B713=0,VLOOKUP(A713,Feuil2!$A$2:$M$1241,13,FALSE)," ")</f>
        <v xml:space="preserve"> </v>
      </c>
    </row>
    <row r="714" spans="1:16" x14ac:dyDescent="0.3">
      <c r="A714" s="1">
        <v>144</v>
      </c>
      <c r="B714" s="1">
        <v>2</v>
      </c>
      <c r="C714" s="1" t="s">
        <v>345</v>
      </c>
      <c r="D714" s="1" t="s">
        <v>109</v>
      </c>
      <c r="E714" s="5">
        <v>35601</v>
      </c>
      <c r="F714" s="1" t="s">
        <v>506</v>
      </c>
      <c r="G714" s="1" t="str">
        <f>IF(B714=0,VLOOKUP(A714,Feuil2!$A$2:$M$1241,11,FALSE)," ")</f>
        <v xml:space="preserve"> </v>
      </c>
      <c r="H714" s="1" t="s">
        <v>16</v>
      </c>
      <c r="I714" s="6" t="str">
        <f>IF(B714=0,VLOOKUP(A714,Feuil2!$A$2:$M$1241,7,FALSE)," ")</f>
        <v xml:space="preserve"> </v>
      </c>
      <c r="J714" s="1" t="str">
        <f>IF(B714=0,VLOOKUP(A714,Feuil2!$A$2:$M$1241,9,FALSE)," ")</f>
        <v xml:space="preserve"> </v>
      </c>
      <c r="K714" s="1" t="str">
        <f>IF(B714=0,VLOOKUP(A714,Feuil2!$A$2:$M$1241,10,FALSE)," ")</f>
        <v xml:space="preserve"> </v>
      </c>
      <c r="L714" s="1"/>
      <c r="M714" s="1"/>
      <c r="N714" s="1"/>
      <c r="O714" s="8" t="str">
        <f>IF(B714=0,VLOOKUP(A714,Feuil2!$A$2:$M$1241,13,FALSE)," ")</f>
        <v xml:space="preserve"> </v>
      </c>
    </row>
    <row r="715" spans="1:16" x14ac:dyDescent="0.3">
      <c r="A715" s="1">
        <v>144</v>
      </c>
      <c r="B715" s="1">
        <v>3</v>
      </c>
      <c r="C715" s="1" t="s">
        <v>345</v>
      </c>
      <c r="D715" s="1" t="s">
        <v>164</v>
      </c>
      <c r="E715" s="5">
        <v>38469</v>
      </c>
      <c r="F715" s="1" t="s">
        <v>506</v>
      </c>
      <c r="G715" s="1" t="str">
        <f>IF(B715=0,VLOOKUP(A715,Feuil2!$A$2:$M$1241,11,FALSE)," ")</f>
        <v xml:space="preserve"> </v>
      </c>
      <c r="H715" s="1" t="s">
        <v>16</v>
      </c>
      <c r="I715" s="6" t="str">
        <f>IF(B715=0,VLOOKUP(A715,Feuil2!$A$2:$M$1241,7,FALSE)," ")</f>
        <v xml:space="preserve"> </v>
      </c>
      <c r="J715" s="1" t="str">
        <f>IF(B715=0,VLOOKUP(A715,Feuil2!$A$2:$M$1241,9,FALSE)," ")</f>
        <v xml:space="preserve"> </v>
      </c>
      <c r="K715" s="1" t="str">
        <f>IF(B715=0,VLOOKUP(A715,Feuil2!$A$2:$M$1241,10,FALSE)," ")</f>
        <v xml:space="preserve"> </v>
      </c>
      <c r="L715" s="1"/>
      <c r="M715" s="1"/>
      <c r="N715" s="1"/>
      <c r="O715" s="8" t="str">
        <f>IF(B715=0,VLOOKUP(A715,Feuil2!$A$2:$M$1241,13,FALSE)," ")</f>
        <v xml:space="preserve"> </v>
      </c>
    </row>
    <row r="716" spans="1:16" x14ac:dyDescent="0.3">
      <c r="A716" s="1">
        <v>144</v>
      </c>
      <c r="B716" s="1">
        <v>4</v>
      </c>
      <c r="C716" s="1" t="s">
        <v>345</v>
      </c>
      <c r="D716" s="1" t="s">
        <v>2337</v>
      </c>
      <c r="E716" s="5">
        <v>40340</v>
      </c>
      <c r="F716" s="1" t="s">
        <v>17</v>
      </c>
      <c r="G716" s="1" t="str">
        <f>IF(B716=0,VLOOKUP(A716,Feuil2!$A$2:$M$1241,11,FALSE)," ")</f>
        <v xml:space="preserve"> </v>
      </c>
      <c r="H716" s="1" t="s">
        <v>16</v>
      </c>
      <c r="I716" s="6" t="str">
        <f>IF(B716=0,VLOOKUP(A716,Feuil2!$A$2:$M$1241,7,FALSE)," ")</f>
        <v xml:space="preserve"> </v>
      </c>
      <c r="J716" s="1" t="str">
        <f>IF(B716=0,VLOOKUP(A716,Feuil2!$A$2:$M$1241,9,FALSE)," ")</f>
        <v xml:space="preserve"> </v>
      </c>
      <c r="K716" s="1" t="str">
        <f>IF(B716=0,VLOOKUP(A716,Feuil2!$A$2:$M$1241,10,FALSE)," ")</f>
        <v xml:space="preserve"> </v>
      </c>
      <c r="L716" s="1"/>
      <c r="M716" s="1"/>
      <c r="N716" s="1"/>
      <c r="O716" s="8" t="str">
        <f>IF(B716=0,VLOOKUP(A716,Feuil2!$A$2:$M$1241,13,FALSE)," ")</f>
        <v xml:space="preserve"> </v>
      </c>
    </row>
    <row r="717" spans="1:16" x14ac:dyDescent="0.3">
      <c r="A717" s="1">
        <v>184</v>
      </c>
      <c r="B717" s="17">
        <v>0</v>
      </c>
      <c r="C717" s="17" t="str">
        <f>IF(B717=0,VLOOKUP(A717,Feuil2!$A$2:$M$1241,2,FALSE)," ")</f>
        <v>MOUSSA</v>
      </c>
      <c r="D717" s="17" t="str">
        <f>IF(B717=0,VLOOKUP(A717,Feuil2!$A$2:$M$1241,3,FALSE)," ")</f>
        <v>MOUNIR</v>
      </c>
      <c r="E717" s="18">
        <f>IF(B717=0,VLOOKUP(A717,Feuil2!$A$2:$M$1241,6,FALSE)," ")</f>
        <v>23498</v>
      </c>
      <c r="F717" s="17" t="str">
        <f>IF(B717=0,VLOOKUP(A717,Feuil2!$A$2:$M$1241,12,FALSE)," ")</f>
        <v>H</v>
      </c>
      <c r="G717" s="17" t="str">
        <f>IF(B717=0,VLOOKUP(A717,Feuil2!$A$2:$M$1241,11,FALSE)," ")</f>
        <v>M</v>
      </c>
      <c r="H717" s="17" t="s">
        <v>16</v>
      </c>
      <c r="I717" s="19">
        <f>IF(B717=0,VLOOKUP(A717,Feuil2!$A$2:$M$1241,7,FALSE)," ")</f>
        <v>2963971</v>
      </c>
      <c r="J717" s="17" t="str">
        <f>IF(B717=0,VLOOKUP(A717,Feuil2!$A$2:$M$1241,9,FALSE)," ")</f>
        <v>127 Rue de la mosquÃ©e</v>
      </c>
      <c r="K717" s="17" t="str">
        <f>IF(B717=0,VLOOKUP(A717,Feuil2!$A$2:$M$1241,10,FALSE)," ")</f>
        <v>Msaken 4070</v>
      </c>
      <c r="L717" s="17">
        <v>4070</v>
      </c>
      <c r="M717" s="17">
        <v>98570481</v>
      </c>
      <c r="N717" s="17"/>
      <c r="O717" s="20" t="str">
        <f>IF(B717=0,VLOOKUP(A717,Feuil2!$A$2:$M$1241,13,FALSE)," ")</f>
        <v>10506040202920578855</v>
      </c>
    </row>
    <row r="718" spans="1:16" x14ac:dyDescent="0.3">
      <c r="A718" s="1">
        <v>184</v>
      </c>
      <c r="B718" s="1">
        <v>1</v>
      </c>
      <c r="C718" s="1" t="s">
        <v>386</v>
      </c>
      <c r="D718" s="1" t="s">
        <v>2175</v>
      </c>
      <c r="E718" s="5">
        <v>25576</v>
      </c>
      <c r="F718" s="1" t="s">
        <v>17</v>
      </c>
      <c r="G718" s="1" t="s">
        <v>15</v>
      </c>
      <c r="H718" s="1" t="s">
        <v>16</v>
      </c>
      <c r="I718" s="6" t="str">
        <f>IF(B718=0,VLOOKUP(A718,Feuil2!$A$2:$M$1241,7,FALSE)," ")</f>
        <v xml:space="preserve"> </v>
      </c>
      <c r="J718" s="1" t="str">
        <f>IF(B718=0,VLOOKUP(A718,Feuil2!$A$2:$M$1241,9,FALSE)," ")</f>
        <v xml:space="preserve"> </v>
      </c>
      <c r="K718" s="1" t="str">
        <f>IF(B718=0,VLOOKUP(A718,Feuil2!$A$2:$M$1241,10,FALSE)," ")</f>
        <v xml:space="preserve"> </v>
      </c>
      <c r="L718" s="1"/>
      <c r="M718" s="1"/>
      <c r="N718" s="1"/>
      <c r="O718" s="8" t="str">
        <f>IF(B718=0,VLOOKUP(A718,Feuil2!$A$2:$M$1241,13,FALSE)," ")</f>
        <v xml:space="preserve"> </v>
      </c>
    </row>
    <row r="719" spans="1:16" x14ac:dyDescent="0.3">
      <c r="A719" s="1">
        <v>185</v>
      </c>
      <c r="B719" s="17">
        <v>0</v>
      </c>
      <c r="C719" s="17" t="str">
        <f>IF(B719=0,VLOOKUP(A719,Feuil2!$A$2:$M$1241,2,FALSE)," ")</f>
        <v>MAHJOUB NOUIR</v>
      </c>
      <c r="D719" s="17" t="str">
        <f>IF(B719=0,VLOOKUP(A719,Feuil2!$A$2:$M$1241,3,FALSE)," ")</f>
        <v>MONCEF</v>
      </c>
      <c r="E719" s="18">
        <f>IF(B719=0,VLOOKUP(A719,Feuil2!$A$2:$M$1241,6,FALSE)," ")</f>
        <v>23612</v>
      </c>
      <c r="F719" s="17" t="str">
        <f>IF(B719=0,VLOOKUP(A719,Feuil2!$A$2:$M$1241,12,FALSE)," ")</f>
        <v>H</v>
      </c>
      <c r="G719" s="17" t="str">
        <f>IF(B719=0,VLOOKUP(A719,Feuil2!$A$2:$M$1241,11,FALSE)," ")</f>
        <v>M</v>
      </c>
      <c r="H719" s="17" t="s">
        <v>16</v>
      </c>
      <c r="I719" s="19">
        <f>IF(B719=0,VLOOKUP(A719,Feuil2!$A$2:$M$1241,7,FALSE)," ")</f>
        <v>2959720</v>
      </c>
      <c r="J719" s="17" t="str">
        <f>IF(B719=0,VLOOKUP(A719,Feuil2!$A$2:$M$1241,9,FALSE)," ")</f>
        <v>37 rue Ibn Rochd</v>
      </c>
      <c r="K719" s="17" t="str">
        <f>IF(B719=0,VLOOKUP(A719,Feuil2!$A$2:$M$1241,10,FALSE)," ")</f>
        <v>Msaken 4070</v>
      </c>
      <c r="L719" s="17">
        <v>4070</v>
      </c>
      <c r="M719" s="17">
        <v>26836854</v>
      </c>
      <c r="N719" s="17"/>
      <c r="O719" s="20" t="str">
        <f>IF(B719=0,VLOOKUP(A719,Feuil2!$A$2:$M$1241,13,FALSE)," ")</f>
        <v>03508056010100247580</v>
      </c>
    </row>
    <row r="720" spans="1:16" x14ac:dyDescent="0.3">
      <c r="A720" s="1">
        <v>185</v>
      </c>
      <c r="B720" s="1">
        <v>1</v>
      </c>
      <c r="C720" s="1" t="s">
        <v>2575</v>
      </c>
      <c r="D720" s="1" t="s">
        <v>1049</v>
      </c>
      <c r="E720" s="5">
        <v>26829</v>
      </c>
      <c r="F720" s="1" t="s">
        <v>17</v>
      </c>
      <c r="G720" s="1" t="s">
        <v>15</v>
      </c>
      <c r="H720" s="1" t="s">
        <v>16</v>
      </c>
      <c r="I720" s="6" t="str">
        <f>IF(B720=0,VLOOKUP(A720,Feuil2!$A$2:$M$1241,7,FALSE)," ")</f>
        <v xml:space="preserve"> </v>
      </c>
      <c r="J720" s="1" t="str">
        <f>IF(B720=0,VLOOKUP(A720,Feuil2!$A$2:$M$1241,9,FALSE)," ")</f>
        <v xml:space="preserve"> </v>
      </c>
      <c r="K720" s="1" t="str">
        <f>IF(B720=0,VLOOKUP(A720,Feuil2!$A$2:$M$1241,10,FALSE)," ")</f>
        <v xml:space="preserve"> </v>
      </c>
      <c r="L720" s="1"/>
      <c r="M720" s="1"/>
      <c r="N720" s="1"/>
      <c r="O720" s="8" t="str">
        <f>IF(B720=0,VLOOKUP(A720,Feuil2!$A$2:$M$1241,13,FALSE)," ")</f>
        <v xml:space="preserve"> </v>
      </c>
    </row>
    <row r="721" spans="1:16" x14ac:dyDescent="0.3">
      <c r="A721" s="1">
        <v>185</v>
      </c>
      <c r="B721" s="1">
        <v>2</v>
      </c>
      <c r="C721" s="1" t="s">
        <v>695</v>
      </c>
      <c r="D721" s="1" t="s">
        <v>2347</v>
      </c>
      <c r="E721" s="5">
        <v>37775</v>
      </c>
      <c r="F721" s="1" t="s">
        <v>506</v>
      </c>
      <c r="G721" s="1" t="str">
        <f>IF(B721=0,VLOOKUP(A721,Feuil2!$A$2:$M$1241,11,FALSE)," ")</f>
        <v xml:space="preserve"> </v>
      </c>
      <c r="H721" s="1" t="s">
        <v>16</v>
      </c>
      <c r="I721" s="6" t="str">
        <f>IF(B721=0,VLOOKUP(A721,Feuil2!$A$2:$M$1241,7,FALSE)," ")</f>
        <v xml:space="preserve"> </v>
      </c>
      <c r="J721" s="1" t="str">
        <f>IF(B721=0,VLOOKUP(A721,Feuil2!$A$2:$M$1241,9,FALSE)," ")</f>
        <v xml:space="preserve"> </v>
      </c>
      <c r="K721" s="1" t="str">
        <f>IF(B721=0,VLOOKUP(A721,Feuil2!$A$2:$M$1241,10,FALSE)," ")</f>
        <v xml:space="preserve"> </v>
      </c>
      <c r="L721" s="1"/>
      <c r="M721" s="1"/>
      <c r="N721" s="1"/>
      <c r="O721" s="8" t="str">
        <f>IF(B721=0,VLOOKUP(A721,Feuil2!$A$2:$M$1241,13,FALSE)," ")</f>
        <v xml:space="preserve"> </v>
      </c>
    </row>
    <row r="722" spans="1:16" x14ac:dyDescent="0.3">
      <c r="A722" s="1">
        <v>247</v>
      </c>
      <c r="B722" s="17">
        <v>0</v>
      </c>
      <c r="C722" s="17" t="str">
        <f>IF(B722=0,VLOOKUP(A722,Feuil2!$A$2:$M$1241,2,FALSE)," ")</f>
        <v>BOUZAMMOUCHA</v>
      </c>
      <c r="D722" s="17" t="str">
        <f>IF(B722=0,VLOOKUP(A722,Feuil2!$A$2:$M$1241,3,FALSE)," ")</f>
        <v>MOURAD</v>
      </c>
      <c r="E722" s="18">
        <f>IF(B722=0,VLOOKUP(A722,Feuil2!$A$2:$M$1241,6,FALSE)," ")</f>
        <v>24163</v>
      </c>
      <c r="F722" s="17" t="str">
        <f>IF(B722=0,VLOOKUP(A722,Feuil2!$A$2:$M$1241,12,FALSE)," ")</f>
        <v>H</v>
      </c>
      <c r="G722" s="17" t="str">
        <f>IF(B722=0,VLOOKUP(A722,Feuil2!$A$2:$M$1241,11,FALSE)," ")</f>
        <v>M</v>
      </c>
      <c r="H722" s="17" t="s">
        <v>16</v>
      </c>
      <c r="I722" s="19">
        <f>IF(B722=0,VLOOKUP(A722,Feuil2!$A$2:$M$1241,7,FALSE)," ")</f>
        <v>2980121</v>
      </c>
      <c r="J722" s="17" t="str">
        <f>IF(B722=0,VLOOKUP(A722,Feuil2!$A$2:$M$1241,9,FALSE)," ")</f>
        <v>84 Rue Fadhel Ben Achour</v>
      </c>
      <c r="K722" s="17" t="str">
        <f>IF(B722=0,VLOOKUP(A722,Feuil2!$A$2:$M$1241,10,FALSE)," ")</f>
        <v>Msaken 4070</v>
      </c>
      <c r="L722" s="17">
        <v>4070</v>
      </c>
      <c r="M722" s="17">
        <v>99772549</v>
      </c>
      <c r="N722" s="17"/>
      <c r="O722" s="20" t="str">
        <f>IF(B722=0,VLOOKUP(A722,Feuil2!$A$2:$M$1241,13,FALSE)," ")</f>
        <v>25018000000016670586</v>
      </c>
      <c r="P722" t="s">
        <v>2805</v>
      </c>
    </row>
    <row r="723" spans="1:16" x14ac:dyDescent="0.3">
      <c r="A723" s="1">
        <v>247</v>
      </c>
      <c r="B723" s="1">
        <v>1</v>
      </c>
      <c r="C723" s="1" t="s">
        <v>2510</v>
      </c>
      <c r="D723" s="1" t="s">
        <v>2576</v>
      </c>
      <c r="E723" s="5">
        <v>27757</v>
      </c>
      <c r="F723" s="1" t="s">
        <v>17</v>
      </c>
      <c r="G723" s="1" t="s">
        <v>15</v>
      </c>
      <c r="H723" s="1" t="s">
        <v>16</v>
      </c>
      <c r="I723" s="6" t="str">
        <f>IF(B723=0,VLOOKUP(A723,Feuil2!$A$2:$M$1241,7,FALSE)," ")</f>
        <v xml:space="preserve"> </v>
      </c>
      <c r="J723" s="1" t="str">
        <f>IF(B723=0,VLOOKUP(A723,Feuil2!$A$2:$M$1241,9,FALSE)," ")</f>
        <v xml:space="preserve"> </v>
      </c>
      <c r="K723" s="1" t="str">
        <f>IF(B723=0,VLOOKUP(A723,Feuil2!$A$2:$M$1241,10,FALSE)," ")</f>
        <v xml:space="preserve"> </v>
      </c>
      <c r="L723" s="1"/>
      <c r="M723" s="1"/>
      <c r="N723" s="1"/>
      <c r="O723" s="8" t="str">
        <f>IF(B723=0,VLOOKUP(A723,Feuil2!$A$2:$M$1241,13,FALSE)," ")</f>
        <v xml:space="preserve"> </v>
      </c>
    </row>
    <row r="724" spans="1:16" x14ac:dyDescent="0.3">
      <c r="A724" s="1">
        <v>247</v>
      </c>
      <c r="B724" s="1">
        <v>2</v>
      </c>
      <c r="C724" s="1" t="s">
        <v>762</v>
      </c>
      <c r="D724" s="1" t="s">
        <v>2577</v>
      </c>
      <c r="E724" s="5">
        <v>35249</v>
      </c>
      <c r="F724" s="1" t="s">
        <v>506</v>
      </c>
      <c r="G724" s="1" t="str">
        <f>IF(B724=0,VLOOKUP(A724,Feuil2!$A$2:$M$1241,11,FALSE)," ")</f>
        <v xml:space="preserve"> </v>
      </c>
      <c r="H724" s="1" t="s">
        <v>16</v>
      </c>
      <c r="I724" s="6" t="str">
        <f>IF(B724=0,VLOOKUP(A724,Feuil2!$A$2:$M$1241,7,FALSE)," ")</f>
        <v xml:space="preserve"> </v>
      </c>
      <c r="J724" s="1" t="str">
        <f>IF(B724=0,VLOOKUP(A724,Feuil2!$A$2:$M$1241,9,FALSE)," ")</f>
        <v xml:space="preserve"> </v>
      </c>
      <c r="K724" s="1" t="str">
        <f>IF(B724=0,VLOOKUP(A724,Feuil2!$A$2:$M$1241,10,FALSE)," ")</f>
        <v xml:space="preserve"> </v>
      </c>
      <c r="L724" s="1"/>
      <c r="M724" s="1"/>
      <c r="N724" s="1"/>
      <c r="O724" s="8" t="str">
        <f>IF(B724=0,VLOOKUP(A724,Feuil2!$A$2:$M$1241,13,FALSE)," ")</f>
        <v xml:space="preserve"> </v>
      </c>
    </row>
    <row r="725" spans="1:16" x14ac:dyDescent="0.3">
      <c r="A725" s="1">
        <v>247</v>
      </c>
      <c r="B725" s="1">
        <v>3</v>
      </c>
      <c r="C725" s="1" t="s">
        <v>762</v>
      </c>
      <c r="D725" s="1" t="s">
        <v>2578</v>
      </c>
      <c r="E725" s="5">
        <v>36156</v>
      </c>
      <c r="F725" s="1" t="s">
        <v>506</v>
      </c>
      <c r="G725" s="1" t="str">
        <f>IF(B725=0,VLOOKUP(A725,Feuil2!$A$2:$M$1241,11,FALSE)," ")</f>
        <v xml:space="preserve"> </v>
      </c>
      <c r="H725" s="1" t="s">
        <v>16</v>
      </c>
      <c r="I725" s="6" t="str">
        <f>IF(B725=0,VLOOKUP(A725,Feuil2!$A$2:$M$1241,7,FALSE)," ")</f>
        <v xml:space="preserve"> </v>
      </c>
      <c r="J725" s="1" t="str">
        <f>IF(B725=0,VLOOKUP(A725,Feuil2!$A$2:$M$1241,9,FALSE)," ")</f>
        <v xml:space="preserve"> </v>
      </c>
      <c r="K725" s="1" t="str">
        <f>IF(B725=0,VLOOKUP(A725,Feuil2!$A$2:$M$1241,10,FALSE)," ")</f>
        <v xml:space="preserve"> </v>
      </c>
      <c r="L725" s="1"/>
      <c r="M725" s="1"/>
      <c r="N725" s="1"/>
      <c r="O725" s="8" t="str">
        <f>IF(B725=0,VLOOKUP(A725,Feuil2!$A$2:$M$1241,13,FALSE)," ")</f>
        <v xml:space="preserve"> </v>
      </c>
    </row>
    <row r="726" spans="1:16" x14ac:dyDescent="0.3">
      <c r="A726" s="1">
        <v>247</v>
      </c>
      <c r="B726" s="1">
        <v>4</v>
      </c>
      <c r="C726" s="1" t="s">
        <v>762</v>
      </c>
      <c r="D726" s="1" t="s">
        <v>2579</v>
      </c>
      <c r="E726" s="5">
        <v>36623</v>
      </c>
      <c r="F726" s="1" t="s">
        <v>17</v>
      </c>
      <c r="G726" s="1" t="str">
        <f>IF(B726=0,VLOOKUP(A726,Feuil2!$A$2:$M$1241,11,FALSE)," ")</f>
        <v xml:space="preserve"> </v>
      </c>
      <c r="H726" s="1" t="s">
        <v>16</v>
      </c>
      <c r="I726" s="6" t="str">
        <f>IF(B726=0,VLOOKUP(A726,Feuil2!$A$2:$M$1241,7,FALSE)," ")</f>
        <v xml:space="preserve"> </v>
      </c>
      <c r="J726" s="1" t="str">
        <f>IF(B726=0,VLOOKUP(A726,Feuil2!$A$2:$M$1241,9,FALSE)," ")</f>
        <v xml:space="preserve"> </v>
      </c>
      <c r="K726" s="1" t="str">
        <f>IF(B726=0,VLOOKUP(A726,Feuil2!$A$2:$M$1241,10,FALSE)," ")</f>
        <v xml:space="preserve"> </v>
      </c>
      <c r="L726" s="1"/>
      <c r="M726" s="1"/>
      <c r="N726" s="1"/>
      <c r="O726" s="8" t="str">
        <f>IF(B726=0,VLOOKUP(A726,Feuil2!$A$2:$M$1241,13,FALSE)," ")</f>
        <v xml:space="preserve"> </v>
      </c>
    </row>
    <row r="727" spans="1:16" x14ac:dyDescent="0.3">
      <c r="A727" s="1">
        <v>247</v>
      </c>
      <c r="B727" s="1">
        <v>5</v>
      </c>
      <c r="C727" s="1" t="s">
        <v>762</v>
      </c>
      <c r="D727" s="1" t="s">
        <v>2344</v>
      </c>
      <c r="E727" s="5">
        <v>37972</v>
      </c>
      <c r="F727" s="1" t="s">
        <v>17</v>
      </c>
      <c r="G727" s="1" t="str">
        <f>IF(B727=0,VLOOKUP(A727,Feuil2!$A$2:$M$1241,11,FALSE)," ")</f>
        <v xml:space="preserve"> </v>
      </c>
      <c r="H727" s="1" t="s">
        <v>16</v>
      </c>
      <c r="I727" s="6" t="str">
        <f>IF(B727=0,VLOOKUP(A727,Feuil2!$A$2:$M$1241,7,FALSE)," ")</f>
        <v xml:space="preserve"> </v>
      </c>
      <c r="J727" s="1" t="str">
        <f>IF(B727=0,VLOOKUP(A727,Feuil2!$A$2:$M$1241,9,FALSE)," ")</f>
        <v xml:space="preserve"> </v>
      </c>
      <c r="K727" s="1" t="str">
        <f>IF(B727=0,VLOOKUP(A727,Feuil2!$A$2:$M$1241,10,FALSE)," ")</f>
        <v xml:space="preserve"> </v>
      </c>
      <c r="L727" s="1"/>
      <c r="M727" s="1"/>
      <c r="N727" s="1"/>
      <c r="O727" s="8" t="str">
        <f>IF(B727=0,VLOOKUP(A727,Feuil2!$A$2:$M$1241,13,FALSE)," ")</f>
        <v xml:space="preserve"> </v>
      </c>
    </row>
    <row r="728" spans="1:16" x14ac:dyDescent="0.3">
      <c r="A728" s="1">
        <v>247</v>
      </c>
      <c r="B728" s="1">
        <v>6</v>
      </c>
      <c r="C728" s="1" t="s">
        <v>762</v>
      </c>
      <c r="D728" s="1" t="s">
        <v>2385</v>
      </c>
      <c r="E728" s="5">
        <v>38578</v>
      </c>
      <c r="F728" s="1" t="s">
        <v>17</v>
      </c>
      <c r="G728" s="1" t="str">
        <f>IF(B728=0,VLOOKUP(A728,Feuil2!$A$2:$M$1241,11,FALSE)," ")</f>
        <v xml:space="preserve"> </v>
      </c>
      <c r="H728" s="1" t="s">
        <v>16</v>
      </c>
      <c r="I728" s="6" t="str">
        <f>IF(B728=0,VLOOKUP(A728,Feuil2!$A$2:$M$1241,7,FALSE)," ")</f>
        <v xml:space="preserve"> </v>
      </c>
      <c r="J728" s="1" t="str">
        <f>IF(B728=0,VLOOKUP(A728,Feuil2!$A$2:$M$1241,9,FALSE)," ")</f>
        <v xml:space="preserve"> </v>
      </c>
      <c r="K728" s="1" t="str">
        <f>IF(B728=0,VLOOKUP(A728,Feuil2!$A$2:$M$1241,10,FALSE)," ")</f>
        <v xml:space="preserve"> </v>
      </c>
      <c r="L728" s="1"/>
      <c r="M728" s="1"/>
      <c r="N728" s="1"/>
      <c r="O728" s="8" t="str">
        <f>IF(B728=0,VLOOKUP(A728,Feuil2!$A$2:$M$1241,13,FALSE)," ")</f>
        <v xml:space="preserve"> </v>
      </c>
    </row>
    <row r="729" spans="1:16" x14ac:dyDescent="0.3">
      <c r="A729" s="1">
        <v>262</v>
      </c>
      <c r="B729" s="17">
        <v>0</v>
      </c>
      <c r="C729" s="17" t="str">
        <f>IF(B729=0,VLOOKUP(A729,Feuil2!$A$2:$M$1241,2,FALSE)," ")</f>
        <v>BEN HAMMOUDA</v>
      </c>
      <c r="D729" s="17" t="str">
        <f>IF(B729=0,VLOOKUP(A729,Feuil2!$A$2:$M$1241,3,FALSE)," ")</f>
        <v>TAOUFIK</v>
      </c>
      <c r="E729" s="18">
        <f>IF(B729=0,VLOOKUP(A729,Feuil2!$A$2:$M$1241,6,FALSE)," ")</f>
        <v>23531</v>
      </c>
      <c r="F729" s="17" t="str">
        <f>IF(B729=0,VLOOKUP(A729,Feuil2!$A$2:$M$1241,12,FALSE)," ")</f>
        <v>H</v>
      </c>
      <c r="G729" s="17" t="str">
        <f>IF(B729=0,VLOOKUP(A729,Feuil2!$A$2:$M$1241,11,FALSE)," ")</f>
        <v>M</v>
      </c>
      <c r="H729" s="17" t="s">
        <v>16</v>
      </c>
      <c r="I729" s="19">
        <f>IF(B729=0,VLOOKUP(A729,Feuil2!$A$2:$M$1241,7,FALSE)," ")</f>
        <v>2949348</v>
      </c>
      <c r="J729" s="17" t="str">
        <f>IF(B729=0,VLOOKUP(A729,Feuil2!$A$2:$M$1241,9,FALSE)," ")</f>
        <v>54 Rue Khaled Ibn El Walid</v>
      </c>
      <c r="K729" s="17" t="str">
        <f>IF(B729=0,VLOOKUP(A729,Feuil2!$A$2:$M$1241,10,FALSE)," ")</f>
        <v>Msaken 4070</v>
      </c>
      <c r="L729" s="17">
        <v>4070</v>
      </c>
      <c r="M729" s="17">
        <v>54650897</v>
      </c>
      <c r="N729" s="17"/>
      <c r="O729" s="20" t="str">
        <f>IF(B729=0,VLOOKUP(A729,Feuil2!$A$2:$M$1241,13,FALSE)," ")</f>
        <v>03508056010100088985</v>
      </c>
    </row>
    <row r="730" spans="1:16" x14ac:dyDescent="0.3">
      <c r="A730" s="1">
        <v>262</v>
      </c>
      <c r="B730" s="1">
        <v>1</v>
      </c>
      <c r="C730" s="1" t="str">
        <f>IF(B730=0,VLOOKUP(A730,Feuil2!$A$2:$M$1241,2,FALSE)," ")</f>
        <v xml:space="preserve"> </v>
      </c>
      <c r="D730" s="1" t="s">
        <v>2175</v>
      </c>
      <c r="E730" s="5">
        <v>26972</v>
      </c>
      <c r="F730" s="1" t="s">
        <v>17</v>
      </c>
      <c r="G730" s="1" t="s">
        <v>15</v>
      </c>
      <c r="H730" s="1" t="s">
        <v>16</v>
      </c>
      <c r="I730" s="6" t="str">
        <f>IF(B730=0,VLOOKUP(A730,Feuil2!$A$2:$M$1241,7,FALSE)," ")</f>
        <v xml:space="preserve"> </v>
      </c>
      <c r="J730" s="1" t="str">
        <f>IF(B730=0,VLOOKUP(A730,Feuil2!$A$2:$M$1241,9,FALSE)," ")</f>
        <v xml:space="preserve"> </v>
      </c>
      <c r="K730" s="1" t="str">
        <f>IF(B730=0,VLOOKUP(A730,Feuil2!$A$2:$M$1241,10,FALSE)," ")</f>
        <v xml:space="preserve"> </v>
      </c>
      <c r="L730" s="1"/>
      <c r="M730" s="1"/>
      <c r="N730" s="1"/>
      <c r="O730" s="8" t="str">
        <f>IF(B730=0,VLOOKUP(A730,Feuil2!$A$2:$M$1241,13,FALSE)," ")</f>
        <v xml:space="preserve"> </v>
      </c>
    </row>
    <row r="731" spans="1:16" x14ac:dyDescent="0.3">
      <c r="A731" s="1">
        <v>262</v>
      </c>
      <c r="B731" s="1">
        <v>2</v>
      </c>
      <c r="C731" s="1" t="s">
        <v>563</v>
      </c>
      <c r="D731" s="1" t="s">
        <v>2443</v>
      </c>
      <c r="E731" s="5">
        <v>39783</v>
      </c>
      <c r="F731" s="1" t="s">
        <v>17</v>
      </c>
      <c r="G731" s="1" t="str">
        <f>IF(B731=0,VLOOKUP(A731,Feuil2!$A$2:$M$1241,11,FALSE)," ")</f>
        <v xml:space="preserve"> </v>
      </c>
      <c r="H731" s="1" t="s">
        <v>16</v>
      </c>
      <c r="I731" s="6" t="str">
        <f>IF(B731=0,VLOOKUP(A731,Feuil2!$A$2:$M$1241,7,FALSE)," ")</f>
        <v xml:space="preserve"> </v>
      </c>
      <c r="J731" s="1" t="str">
        <f>IF(B731=0,VLOOKUP(A731,Feuil2!$A$2:$M$1241,9,FALSE)," ")</f>
        <v xml:space="preserve"> </v>
      </c>
      <c r="K731" s="1" t="str">
        <f>IF(B731=0,VLOOKUP(A731,Feuil2!$A$2:$M$1241,10,FALSE)," ")</f>
        <v xml:space="preserve"> </v>
      </c>
      <c r="L731" s="1"/>
      <c r="M731" s="1"/>
      <c r="N731" s="1"/>
      <c r="O731" s="8" t="str">
        <f>IF(B731=0,VLOOKUP(A731,Feuil2!$A$2:$M$1241,13,FALSE)," ")</f>
        <v xml:space="preserve"> </v>
      </c>
    </row>
    <row r="732" spans="1:16" x14ac:dyDescent="0.3">
      <c r="A732" s="1">
        <v>262</v>
      </c>
      <c r="B732" s="1">
        <v>3</v>
      </c>
      <c r="C732" s="1" t="s">
        <v>563</v>
      </c>
      <c r="D732" s="1" t="s">
        <v>2388</v>
      </c>
      <c r="E732" s="5">
        <v>40415</v>
      </c>
      <c r="F732" s="1" t="s">
        <v>506</v>
      </c>
      <c r="G732" s="1" t="str">
        <f>IF(B732=0,VLOOKUP(A732,Feuil2!$A$2:$M$1241,11,FALSE)," ")</f>
        <v xml:space="preserve"> </v>
      </c>
      <c r="H732" s="1" t="s">
        <v>16</v>
      </c>
      <c r="I732" s="6" t="str">
        <f>IF(B732=0,VLOOKUP(A732,Feuil2!$A$2:$M$1241,7,FALSE)," ")</f>
        <v xml:space="preserve"> </v>
      </c>
      <c r="J732" s="1" t="str">
        <f>IF(B732=0,VLOOKUP(A732,Feuil2!$A$2:$M$1241,9,FALSE)," ")</f>
        <v xml:space="preserve"> </v>
      </c>
      <c r="K732" s="1" t="str">
        <f>IF(B732=0,VLOOKUP(A732,Feuil2!$A$2:$M$1241,10,FALSE)," ")</f>
        <v xml:space="preserve"> </v>
      </c>
      <c r="L732" s="1"/>
      <c r="M732" s="1"/>
      <c r="N732" s="1"/>
      <c r="O732" s="8" t="str">
        <f>IF(B732=0,VLOOKUP(A732,Feuil2!$A$2:$M$1241,13,FALSE)," ")</f>
        <v xml:space="preserve"> </v>
      </c>
    </row>
    <row r="733" spans="1:16" x14ac:dyDescent="0.3">
      <c r="A733" s="1">
        <v>356</v>
      </c>
      <c r="B733" s="17">
        <v>0</v>
      </c>
      <c r="C733" s="17" t="str">
        <f>IF(B733=0,VLOOKUP(A733,Feuil2!$A$2:$M$1241,2,FALSE)," ")</f>
        <v>BAYA</v>
      </c>
      <c r="D733" s="17" t="str">
        <f>IF(B733=0,VLOOKUP(A733,Feuil2!$A$2:$M$1241,3,FALSE)," ")</f>
        <v>TAOUFIK</v>
      </c>
      <c r="E733" s="18">
        <f>IF(B733=0,VLOOKUP(A733,Feuil2!$A$2:$M$1241,6,FALSE)," ")</f>
        <v>23916</v>
      </c>
      <c r="F733" s="17" t="str">
        <f>IF(B733=0,VLOOKUP(A733,Feuil2!$A$2:$M$1241,12,FALSE)," ")</f>
        <v>H</v>
      </c>
      <c r="G733" s="17" t="str">
        <f>IF(B733=0,VLOOKUP(A733,Feuil2!$A$2:$M$1241,11,FALSE)," ")</f>
        <v>M</v>
      </c>
      <c r="H733" s="17" t="s">
        <v>16</v>
      </c>
      <c r="I733" s="19">
        <f>IF(B733=0,VLOOKUP(A733,Feuil2!$A$2:$M$1241,7,FALSE)," ")</f>
        <v>2972809</v>
      </c>
      <c r="J733" s="17" t="str">
        <f>IF(B733=0,VLOOKUP(A733,Feuil2!$A$2:$M$1241,9,FALSE)," ")</f>
        <v>Rue Sidi Ben Hassen</v>
      </c>
      <c r="K733" s="17" t="str">
        <f>IF(B733=0,VLOOKUP(A733,Feuil2!$A$2:$M$1241,10,FALSE)," ")</f>
        <v>Msaken 4070</v>
      </c>
      <c r="L733" s="17">
        <v>4070</v>
      </c>
      <c r="M733" s="17">
        <v>51733121</v>
      </c>
      <c r="N733" s="17"/>
      <c r="O733" s="20" t="str">
        <f>IF(B733=0,VLOOKUP(A733,Feuil2!$A$2:$M$1241,13,FALSE)," ")</f>
        <v>04204067404000631620</v>
      </c>
    </row>
    <row r="734" spans="1:16" x14ac:dyDescent="0.3">
      <c r="A734" s="1">
        <v>356</v>
      </c>
      <c r="B734" s="1">
        <v>1</v>
      </c>
      <c r="C734" s="1" t="s">
        <v>2426</v>
      </c>
      <c r="D734" s="1" t="s">
        <v>1361</v>
      </c>
      <c r="E734" s="5">
        <v>25912</v>
      </c>
      <c r="F734" s="1" t="s">
        <v>17</v>
      </c>
      <c r="G734" s="1" t="s">
        <v>15</v>
      </c>
      <c r="H734" s="1" t="s">
        <v>16</v>
      </c>
      <c r="I734" s="6" t="str">
        <f>IF(B734=0,VLOOKUP(A734,Feuil2!$A$2:$M$1241,7,FALSE)," ")</f>
        <v xml:space="preserve"> </v>
      </c>
      <c r="J734" s="1" t="str">
        <f>IF(B734=0,VLOOKUP(A734,Feuil2!$A$2:$M$1241,9,FALSE)," ")</f>
        <v xml:space="preserve"> </v>
      </c>
      <c r="K734" s="1" t="str">
        <f>IF(B734=0,VLOOKUP(A734,Feuil2!$A$2:$M$1241,10,FALSE)," ")</f>
        <v xml:space="preserve"> </v>
      </c>
      <c r="L734" s="1"/>
      <c r="M734" s="1"/>
      <c r="N734" s="1"/>
      <c r="O734" s="8" t="str">
        <f>IF(B734=0,VLOOKUP(A734,Feuil2!$A$2:$M$1241,13,FALSE)," ")</f>
        <v xml:space="preserve"> </v>
      </c>
    </row>
    <row r="735" spans="1:16" x14ac:dyDescent="0.3">
      <c r="A735" s="1">
        <v>356</v>
      </c>
      <c r="B735" s="1">
        <v>2</v>
      </c>
      <c r="C735" s="1" t="s">
        <v>29</v>
      </c>
      <c r="D735" s="1" t="s">
        <v>54</v>
      </c>
      <c r="E735" s="5">
        <v>36810</v>
      </c>
      <c r="F735" s="1" t="s">
        <v>17</v>
      </c>
      <c r="G735" s="1" t="str">
        <f>IF(B735=0,VLOOKUP(A735,Feuil2!$A$2:$M$1241,11,FALSE)," ")</f>
        <v xml:space="preserve"> </v>
      </c>
      <c r="H735" s="1" t="s">
        <v>16</v>
      </c>
      <c r="I735" s="6" t="str">
        <f>IF(B735=0,VLOOKUP(A735,Feuil2!$A$2:$M$1241,7,FALSE)," ")</f>
        <v xml:space="preserve"> </v>
      </c>
      <c r="J735" s="1" t="str">
        <f>IF(B735=0,VLOOKUP(A735,Feuil2!$A$2:$M$1241,9,FALSE)," ")</f>
        <v xml:space="preserve"> </v>
      </c>
      <c r="K735" s="1" t="str">
        <f>IF(B735=0,VLOOKUP(A735,Feuil2!$A$2:$M$1241,10,FALSE)," ")</f>
        <v xml:space="preserve"> </v>
      </c>
      <c r="L735" s="1"/>
      <c r="M735" s="1"/>
      <c r="N735" s="1"/>
      <c r="O735" s="8" t="str">
        <f>IF(B735=0,VLOOKUP(A735,Feuil2!$A$2:$M$1241,13,FALSE)," ")</f>
        <v xml:space="preserve"> </v>
      </c>
    </row>
    <row r="736" spans="1:16" x14ac:dyDescent="0.3">
      <c r="A736" s="1">
        <v>356</v>
      </c>
      <c r="B736" s="1">
        <v>3</v>
      </c>
      <c r="C736" s="1" t="s">
        <v>29</v>
      </c>
      <c r="D736" s="1" t="s">
        <v>2094</v>
      </c>
      <c r="E736" s="5">
        <v>37751</v>
      </c>
      <c r="F736" s="1" t="s">
        <v>506</v>
      </c>
      <c r="G736" s="1" t="str">
        <f>IF(B736=0,VLOOKUP(A736,Feuil2!$A$2:$M$1241,11,FALSE)," ")</f>
        <v xml:space="preserve"> </v>
      </c>
      <c r="H736" s="1" t="s">
        <v>16</v>
      </c>
      <c r="I736" s="6" t="str">
        <f>IF(B736=0,VLOOKUP(A736,Feuil2!$A$2:$M$1241,7,FALSE)," ")</f>
        <v xml:space="preserve"> </v>
      </c>
      <c r="J736" s="1" t="str">
        <f>IF(B736=0,VLOOKUP(A736,Feuil2!$A$2:$M$1241,9,FALSE)," ")</f>
        <v xml:space="preserve"> </v>
      </c>
      <c r="K736" s="1" t="str">
        <f>IF(B736=0,VLOOKUP(A736,Feuil2!$A$2:$M$1241,10,FALSE)," ")</f>
        <v xml:space="preserve"> </v>
      </c>
      <c r="L736" s="1"/>
      <c r="M736" s="1"/>
      <c r="N736" s="1"/>
      <c r="O736" s="8" t="str">
        <f>IF(B736=0,VLOOKUP(A736,Feuil2!$A$2:$M$1241,13,FALSE)," ")</f>
        <v xml:space="preserve"> </v>
      </c>
    </row>
    <row r="737" spans="1:16" x14ac:dyDescent="0.3">
      <c r="A737" s="1">
        <v>357</v>
      </c>
      <c r="B737" s="17">
        <v>0</v>
      </c>
      <c r="C737" s="17" t="str">
        <f>IF(B737=0,VLOOKUP(A737,Feuil2!$A$2:$M$1241,2,FALSE)," ")</f>
        <v>BOUGADDOUHA</v>
      </c>
      <c r="D737" s="17" t="str">
        <f>IF(B737=0,VLOOKUP(A737,Feuil2!$A$2:$M$1241,3,FALSE)," ")</f>
        <v>HABIB</v>
      </c>
      <c r="E737" s="18">
        <f>IF(B737=0,VLOOKUP(A737,Feuil2!$A$2:$M$1241,6,FALSE)," ")</f>
        <v>24383</v>
      </c>
      <c r="F737" s="17" t="str">
        <f>IF(B737=0,VLOOKUP(A737,Feuil2!$A$2:$M$1241,12,FALSE)," ")</f>
        <v>H</v>
      </c>
      <c r="G737" s="17" t="str">
        <f>IF(B737=0,VLOOKUP(A737,Feuil2!$A$2:$M$1241,11,FALSE)," ")</f>
        <v>M</v>
      </c>
      <c r="H737" s="17" t="s">
        <v>16</v>
      </c>
      <c r="I737" s="19">
        <f>IF(B737=0,VLOOKUP(A737,Feuil2!$A$2:$M$1241,7,FALSE)," ")</f>
        <v>2974610</v>
      </c>
      <c r="J737" s="17" t="str">
        <f>IF(B737=0,VLOOKUP(A737,Feuil2!$A$2:$M$1241,9,FALSE)," ")</f>
        <v>238 Rue Farhat Hached</v>
      </c>
      <c r="K737" s="17" t="str">
        <f>IF(B737=0,VLOOKUP(A737,Feuil2!$A$2:$M$1241,10,FALSE)," ")</f>
        <v>Msaken 4070</v>
      </c>
      <c r="L737" s="17">
        <v>4070</v>
      </c>
      <c r="M737" s="17">
        <v>98563504</v>
      </c>
      <c r="N737" s="17"/>
      <c r="O737" s="20" t="str">
        <f>IF(B737=0,VLOOKUP(A737,Feuil2!$A$2:$M$1241,13,FALSE)," ")</f>
        <v>25018000000014912267</v>
      </c>
    </row>
    <row r="738" spans="1:16" x14ac:dyDescent="0.3">
      <c r="A738" s="1">
        <v>357</v>
      </c>
      <c r="B738" s="1">
        <v>1</v>
      </c>
      <c r="C738" s="1" t="str">
        <f>IF(B738=0,VLOOKUP(A738,Feuil2!$A$2:$M$1241,2,FALSE)," ")</f>
        <v xml:space="preserve"> </v>
      </c>
      <c r="D738" s="1" t="s">
        <v>1049</v>
      </c>
      <c r="E738" s="5">
        <v>26737</v>
      </c>
      <c r="F738" s="1" t="s">
        <v>17</v>
      </c>
      <c r="G738" s="1" t="s">
        <v>15</v>
      </c>
      <c r="H738" s="1" t="s">
        <v>16</v>
      </c>
      <c r="I738" s="6" t="str">
        <f>IF(B738=0,VLOOKUP(A738,Feuil2!$A$2:$M$1241,7,FALSE)," ")</f>
        <v xml:space="preserve"> </v>
      </c>
      <c r="J738" s="1" t="str">
        <f>IF(B738=0,VLOOKUP(A738,Feuil2!$A$2:$M$1241,9,FALSE)," ")</f>
        <v xml:space="preserve"> </v>
      </c>
      <c r="K738" s="1" t="str">
        <f>IF(B738=0,VLOOKUP(A738,Feuil2!$A$2:$M$1241,10,FALSE)," ")</f>
        <v xml:space="preserve"> </v>
      </c>
      <c r="L738" s="1"/>
      <c r="M738" s="1"/>
      <c r="N738" s="1"/>
      <c r="O738" s="8" t="str">
        <f>IF(B738=0,VLOOKUP(A738,Feuil2!$A$2:$M$1241,13,FALSE)," ")</f>
        <v xml:space="preserve"> </v>
      </c>
    </row>
    <row r="739" spans="1:16" x14ac:dyDescent="0.3">
      <c r="A739" s="1">
        <v>357</v>
      </c>
      <c r="B739" s="1">
        <v>2</v>
      </c>
      <c r="C739" s="1" t="s">
        <v>861</v>
      </c>
      <c r="D739" s="1" t="s">
        <v>2362</v>
      </c>
      <c r="E739" s="5">
        <v>35382</v>
      </c>
      <c r="F739" s="1" t="s">
        <v>17</v>
      </c>
      <c r="G739" s="1" t="str">
        <f>IF(B739=0,VLOOKUP(A739,Feuil2!$A$2:$M$1241,11,FALSE)," ")</f>
        <v xml:space="preserve"> </v>
      </c>
      <c r="H739" s="1" t="s">
        <v>16</v>
      </c>
      <c r="I739" s="6" t="str">
        <f>IF(B739=0,VLOOKUP(A739,Feuil2!$A$2:$M$1241,7,FALSE)," ")</f>
        <v xml:space="preserve"> </v>
      </c>
      <c r="J739" s="1" t="str">
        <f>IF(B739=0,VLOOKUP(A739,Feuil2!$A$2:$M$1241,9,FALSE)," ")</f>
        <v xml:space="preserve"> </v>
      </c>
      <c r="K739" s="1" t="str">
        <f>IF(B739=0,VLOOKUP(A739,Feuil2!$A$2:$M$1241,10,FALSE)," ")</f>
        <v xml:space="preserve"> </v>
      </c>
      <c r="L739" s="1"/>
      <c r="M739" s="1"/>
      <c r="N739" s="1"/>
      <c r="O739" s="8" t="str">
        <f>IF(B739=0,VLOOKUP(A739,Feuil2!$A$2:$M$1241,13,FALSE)," ")</f>
        <v xml:space="preserve"> </v>
      </c>
      <c r="P739" t="s">
        <v>2805</v>
      </c>
    </row>
    <row r="740" spans="1:16" x14ac:dyDescent="0.3">
      <c r="A740" s="1">
        <v>357</v>
      </c>
      <c r="B740" s="1">
        <v>3</v>
      </c>
      <c r="C740" s="1" t="s">
        <v>861</v>
      </c>
      <c r="D740" s="1" t="s">
        <v>230</v>
      </c>
      <c r="E740" s="5">
        <v>37711</v>
      </c>
      <c r="F740" s="1" t="s">
        <v>506</v>
      </c>
      <c r="G740" s="1" t="str">
        <f>IF(B740=0,VLOOKUP(A740,Feuil2!$A$2:$M$1241,11,FALSE)," ")</f>
        <v xml:space="preserve"> </v>
      </c>
      <c r="H740" s="1" t="s">
        <v>16</v>
      </c>
      <c r="I740" s="6" t="str">
        <f>IF(B740=0,VLOOKUP(A740,Feuil2!$A$2:$M$1241,7,FALSE)," ")</f>
        <v xml:space="preserve"> </v>
      </c>
      <c r="J740" s="1" t="str">
        <f>IF(B740=0,VLOOKUP(A740,Feuil2!$A$2:$M$1241,9,FALSE)," ")</f>
        <v xml:space="preserve"> </v>
      </c>
      <c r="K740" s="1" t="str">
        <f>IF(B740=0,VLOOKUP(A740,Feuil2!$A$2:$M$1241,10,FALSE)," ")</f>
        <v xml:space="preserve"> </v>
      </c>
      <c r="L740" s="1"/>
      <c r="M740" s="1"/>
      <c r="N740" s="1"/>
      <c r="O740" s="8" t="str">
        <f>IF(B740=0,VLOOKUP(A740,Feuil2!$A$2:$M$1241,13,FALSE)," ")</f>
        <v xml:space="preserve"> </v>
      </c>
    </row>
    <row r="741" spans="1:16" x14ac:dyDescent="0.3">
      <c r="A741" s="1">
        <v>357</v>
      </c>
      <c r="B741" s="1">
        <v>4</v>
      </c>
      <c r="C741" s="1" t="s">
        <v>861</v>
      </c>
      <c r="D741" s="1" t="s">
        <v>2465</v>
      </c>
      <c r="E741" s="5">
        <v>38580</v>
      </c>
      <c r="F741" s="1" t="s">
        <v>506</v>
      </c>
      <c r="G741" s="1" t="str">
        <f>IF(B741=0,VLOOKUP(A741,Feuil2!$A$2:$M$1241,11,FALSE)," ")</f>
        <v xml:space="preserve"> </v>
      </c>
      <c r="H741" s="1" t="s">
        <v>16</v>
      </c>
      <c r="I741" s="6" t="str">
        <f>IF(B741=0,VLOOKUP(A741,Feuil2!$A$2:$M$1241,7,FALSE)," ")</f>
        <v xml:space="preserve"> </v>
      </c>
      <c r="J741" s="1" t="str">
        <f>IF(B741=0,VLOOKUP(A741,Feuil2!$A$2:$M$1241,9,FALSE)," ")</f>
        <v xml:space="preserve"> </v>
      </c>
      <c r="K741" s="1" t="str">
        <f>IF(B741=0,VLOOKUP(A741,Feuil2!$A$2:$M$1241,10,FALSE)," ")</f>
        <v xml:space="preserve"> </v>
      </c>
      <c r="L741" s="1"/>
      <c r="M741" s="1"/>
      <c r="N741" s="1"/>
      <c r="O741" s="8" t="str">
        <f>IF(B741=0,VLOOKUP(A741,Feuil2!$A$2:$M$1241,13,FALSE)," ")</f>
        <v xml:space="preserve"> </v>
      </c>
    </row>
    <row r="742" spans="1:16" x14ac:dyDescent="0.3">
      <c r="A742" s="1">
        <v>361</v>
      </c>
      <c r="B742" s="17">
        <v>0</v>
      </c>
      <c r="C742" s="17" t="str">
        <f>IF(B742=0,VLOOKUP(A742,Feuil2!$A$2:$M$1241,2,FALSE)," ")</f>
        <v>BEN KHELIFA</v>
      </c>
      <c r="D742" s="17" t="str">
        <f>IF(B742=0,VLOOKUP(A742,Feuil2!$A$2:$M$1241,3,FALSE)," ")</f>
        <v>RACHID</v>
      </c>
      <c r="E742" s="18">
        <f>IF(B742=0,VLOOKUP(A742,Feuil2!$A$2:$M$1241,6,FALSE)," ")</f>
        <v>24013</v>
      </c>
      <c r="F742" s="17" t="str">
        <f>IF(B742=0,VLOOKUP(A742,Feuil2!$A$2:$M$1241,12,FALSE)," ")</f>
        <v>H</v>
      </c>
      <c r="G742" s="17" t="str">
        <f>IF(B742=0,VLOOKUP(A742,Feuil2!$A$2:$M$1241,11,FALSE)," ")</f>
        <v>M</v>
      </c>
      <c r="H742" s="17" t="s">
        <v>16</v>
      </c>
      <c r="I742" s="19">
        <f>IF(B742=0,VLOOKUP(A742,Feuil2!$A$2:$M$1241,7,FALSE)," ")</f>
        <v>2986022</v>
      </c>
      <c r="J742" s="17" t="str">
        <f>IF(B742=0,VLOOKUP(A742,Feuil2!$A$2:$M$1241,9,FALSE)," ")</f>
        <v>4025 Sidi El Hani</v>
      </c>
      <c r="K742" s="17" t="str">
        <f>IF(B742=0,VLOOKUP(A742,Feuil2!$A$2:$M$1241,10,FALSE)," ")</f>
        <v>Sidi El HÃ©ni 4025</v>
      </c>
      <c r="L742" s="17"/>
      <c r="M742" s="17">
        <v>98793709</v>
      </c>
      <c r="N742" s="17"/>
      <c r="O742" s="20" t="str">
        <f>IF(B742=0,VLOOKUP(A742,Feuil2!$A$2:$M$1241,13,FALSE)," ")</f>
        <v>04204067404000917964</v>
      </c>
    </row>
    <row r="743" spans="1:16" x14ac:dyDescent="0.3">
      <c r="A743" s="1">
        <v>361</v>
      </c>
      <c r="B743" s="1">
        <v>1</v>
      </c>
      <c r="C743" s="1" t="s">
        <v>869</v>
      </c>
      <c r="D743" s="1" t="s">
        <v>2580</v>
      </c>
      <c r="E743" s="5">
        <v>27196</v>
      </c>
      <c r="F743" s="1" t="s">
        <v>506</v>
      </c>
      <c r="G743" s="1" t="s">
        <v>15</v>
      </c>
      <c r="H743" s="1" t="s">
        <v>16</v>
      </c>
      <c r="I743" s="6" t="str">
        <f>IF(B743=0,VLOOKUP(A743,Feuil2!$A$2:$M$1241,7,FALSE)," ")</f>
        <v xml:space="preserve"> </v>
      </c>
      <c r="J743" s="1" t="str">
        <f>IF(B743=0,VLOOKUP(A743,Feuil2!$A$2:$M$1241,9,FALSE)," ")</f>
        <v xml:space="preserve"> </v>
      </c>
      <c r="K743" s="1" t="str">
        <f>IF(B743=0,VLOOKUP(A743,Feuil2!$A$2:$M$1241,10,FALSE)," ")</f>
        <v xml:space="preserve"> </v>
      </c>
      <c r="L743" s="1"/>
      <c r="M743" s="1"/>
      <c r="N743" s="1"/>
      <c r="O743" s="8" t="str">
        <f>IF(B743=0,VLOOKUP(A743,Feuil2!$A$2:$M$1241,13,FALSE)," ")</f>
        <v xml:space="preserve"> </v>
      </c>
    </row>
    <row r="744" spans="1:16" x14ac:dyDescent="0.3">
      <c r="A744" s="1">
        <v>361</v>
      </c>
      <c r="B744" s="1">
        <v>2</v>
      </c>
      <c r="C744" s="1" t="s">
        <v>869</v>
      </c>
      <c r="D744" s="1" t="s">
        <v>2446</v>
      </c>
      <c r="E744" s="5">
        <v>36475</v>
      </c>
      <c r="F744" s="1" t="s">
        <v>17</v>
      </c>
      <c r="G744" s="1" t="str">
        <f>IF(B744=0,VLOOKUP(A744,Feuil2!$A$2:$M$1241,11,FALSE)," ")</f>
        <v xml:space="preserve"> </v>
      </c>
      <c r="H744" s="1" t="s">
        <v>16</v>
      </c>
      <c r="I744" s="6" t="str">
        <f>IF(B744=0,VLOOKUP(A744,Feuil2!$A$2:$M$1241,7,FALSE)," ")</f>
        <v xml:space="preserve"> </v>
      </c>
      <c r="J744" s="1" t="str">
        <f>IF(B744=0,VLOOKUP(A744,Feuil2!$A$2:$M$1241,9,FALSE)," ")</f>
        <v xml:space="preserve"> </v>
      </c>
      <c r="K744" s="1" t="str">
        <f>IF(B744=0,VLOOKUP(A744,Feuil2!$A$2:$M$1241,10,FALSE)," ")</f>
        <v xml:space="preserve"> </v>
      </c>
      <c r="L744" s="1"/>
      <c r="M744" s="1"/>
      <c r="N744" s="1"/>
      <c r="O744" s="8" t="str">
        <f>IF(B744=0,VLOOKUP(A744,Feuil2!$A$2:$M$1241,13,FALSE)," ")</f>
        <v xml:space="preserve"> </v>
      </c>
      <c r="P744" t="s">
        <v>2805</v>
      </c>
    </row>
    <row r="745" spans="1:16" x14ac:dyDescent="0.3">
      <c r="A745" s="1">
        <v>361</v>
      </c>
      <c r="B745" s="1">
        <v>3</v>
      </c>
      <c r="C745" s="1" t="s">
        <v>869</v>
      </c>
      <c r="D745" s="1" t="s">
        <v>2581</v>
      </c>
      <c r="E745" s="5">
        <v>36998</v>
      </c>
      <c r="F745" s="1" t="s">
        <v>17</v>
      </c>
      <c r="G745" s="1" t="str">
        <f>IF(B745=0,VLOOKUP(A745,Feuil2!$A$2:$M$1241,11,FALSE)," ")</f>
        <v xml:space="preserve"> </v>
      </c>
      <c r="H745" s="1" t="s">
        <v>16</v>
      </c>
      <c r="I745" s="6" t="str">
        <f>IF(B745=0,VLOOKUP(A745,Feuil2!$A$2:$M$1241,7,FALSE)," ")</f>
        <v xml:space="preserve"> </v>
      </c>
      <c r="J745" s="1" t="str">
        <f>IF(B745=0,VLOOKUP(A745,Feuil2!$A$2:$M$1241,9,FALSE)," ")</f>
        <v xml:space="preserve"> </v>
      </c>
      <c r="K745" s="1" t="str">
        <f>IF(B745=0,VLOOKUP(A745,Feuil2!$A$2:$M$1241,10,FALSE)," ")</f>
        <v xml:space="preserve"> </v>
      </c>
      <c r="L745" s="1"/>
      <c r="M745" s="1"/>
      <c r="N745" s="1"/>
      <c r="O745" s="8" t="str">
        <f>IF(B745=0,VLOOKUP(A745,Feuil2!$A$2:$M$1241,13,FALSE)," ")</f>
        <v xml:space="preserve"> </v>
      </c>
    </row>
    <row r="746" spans="1:16" x14ac:dyDescent="0.3">
      <c r="A746" s="1">
        <v>361</v>
      </c>
      <c r="B746" s="1">
        <v>4</v>
      </c>
      <c r="C746" s="1" t="s">
        <v>869</v>
      </c>
      <c r="D746" s="1" t="s">
        <v>2582</v>
      </c>
      <c r="E746" s="5">
        <v>37434</v>
      </c>
      <c r="F746" s="1" t="s">
        <v>17</v>
      </c>
      <c r="G746" s="1" t="str">
        <f>IF(B746=0,VLOOKUP(A746,Feuil2!$A$2:$M$1241,11,FALSE)," ")</f>
        <v xml:space="preserve"> </v>
      </c>
      <c r="H746" s="1" t="s">
        <v>16</v>
      </c>
      <c r="I746" s="6" t="str">
        <f>IF(B746=0,VLOOKUP(A746,Feuil2!$A$2:$M$1241,7,FALSE)," ")</f>
        <v xml:space="preserve"> </v>
      </c>
      <c r="J746" s="1" t="str">
        <f>IF(B746=0,VLOOKUP(A746,Feuil2!$A$2:$M$1241,9,FALSE)," ")</f>
        <v xml:space="preserve"> </v>
      </c>
      <c r="K746" s="1" t="str">
        <f>IF(B746=0,VLOOKUP(A746,Feuil2!$A$2:$M$1241,10,FALSE)," ")</f>
        <v xml:space="preserve"> </v>
      </c>
      <c r="L746" s="1"/>
      <c r="M746" s="1"/>
      <c r="N746" s="1"/>
      <c r="O746" s="8" t="str">
        <f>IF(B746=0,VLOOKUP(A746,Feuil2!$A$2:$M$1241,13,FALSE)," ")</f>
        <v xml:space="preserve"> </v>
      </c>
    </row>
    <row r="747" spans="1:16" x14ac:dyDescent="0.3">
      <c r="A747" s="1">
        <v>361</v>
      </c>
      <c r="B747" s="1">
        <v>5</v>
      </c>
      <c r="C747" s="1" t="s">
        <v>869</v>
      </c>
      <c r="D747" s="1" t="s">
        <v>2060</v>
      </c>
      <c r="E747" s="5">
        <v>38508</v>
      </c>
      <c r="F747" s="1" t="s">
        <v>17</v>
      </c>
      <c r="G747" s="1" t="str">
        <f>IF(B747=0,VLOOKUP(A747,Feuil2!$A$2:$M$1241,11,FALSE)," ")</f>
        <v xml:space="preserve"> </v>
      </c>
      <c r="H747" s="1" t="s">
        <v>16</v>
      </c>
      <c r="I747" s="6" t="str">
        <f>IF(B747=0,VLOOKUP(A747,Feuil2!$A$2:$M$1241,7,FALSE)," ")</f>
        <v xml:space="preserve"> </v>
      </c>
      <c r="J747" s="1" t="str">
        <f>IF(B747=0,VLOOKUP(A747,Feuil2!$A$2:$M$1241,9,FALSE)," ")</f>
        <v xml:space="preserve"> </v>
      </c>
      <c r="K747" s="1" t="str">
        <f>IF(B747=0,VLOOKUP(A747,Feuil2!$A$2:$M$1241,10,FALSE)," ")</f>
        <v xml:space="preserve"> </v>
      </c>
      <c r="L747" s="1"/>
      <c r="M747" s="1"/>
      <c r="N747" s="1"/>
      <c r="O747" s="8" t="str">
        <f>IF(B747=0,VLOOKUP(A747,Feuil2!$A$2:$M$1241,13,FALSE)," ")</f>
        <v xml:space="preserve"> </v>
      </c>
    </row>
    <row r="748" spans="1:16" x14ac:dyDescent="0.3">
      <c r="A748" s="1">
        <v>361</v>
      </c>
      <c r="B748" s="1">
        <v>6</v>
      </c>
      <c r="C748" s="1" t="s">
        <v>869</v>
      </c>
      <c r="D748" s="1" t="s">
        <v>2367</v>
      </c>
      <c r="E748" s="5">
        <v>40855</v>
      </c>
      <c r="F748" s="1" t="s">
        <v>17</v>
      </c>
      <c r="G748" s="1" t="str">
        <f>IF(B748=0,VLOOKUP(A748,Feuil2!$A$2:$M$1241,11,FALSE)," ")</f>
        <v xml:space="preserve"> </v>
      </c>
      <c r="H748" s="1" t="s">
        <v>16</v>
      </c>
      <c r="I748" s="6" t="str">
        <f>IF(B748=0,VLOOKUP(A748,Feuil2!$A$2:$M$1241,7,FALSE)," ")</f>
        <v xml:space="preserve"> </v>
      </c>
      <c r="J748" s="1" t="str">
        <f>IF(B748=0,VLOOKUP(A748,Feuil2!$A$2:$M$1241,9,FALSE)," ")</f>
        <v xml:space="preserve"> </v>
      </c>
      <c r="K748" s="1" t="str">
        <f>IF(B748=0,VLOOKUP(A748,Feuil2!$A$2:$M$1241,10,FALSE)," ")</f>
        <v xml:space="preserve"> </v>
      </c>
      <c r="L748" s="1"/>
      <c r="M748" s="1"/>
      <c r="N748" s="1"/>
      <c r="O748" s="8" t="str">
        <f>IF(B748=0,VLOOKUP(A748,Feuil2!$A$2:$M$1241,13,FALSE)," ")</f>
        <v xml:space="preserve"> </v>
      </c>
    </row>
    <row r="749" spans="1:16" x14ac:dyDescent="0.3">
      <c r="A749" s="1">
        <v>418</v>
      </c>
      <c r="B749" s="17">
        <v>0</v>
      </c>
      <c r="C749" s="17" t="str">
        <f>IF(B749=0,VLOOKUP(A749,Feuil2!$A$2:$M$1241,2,FALSE)," ")</f>
        <v>SASSI</v>
      </c>
      <c r="D749" s="17" t="str">
        <f>IF(B749=0,VLOOKUP(A749,Feuil2!$A$2:$M$1241,3,FALSE)," ")</f>
        <v>RIDHA</v>
      </c>
      <c r="E749" s="18">
        <f>IF(B749=0,VLOOKUP(A749,Feuil2!$A$2:$M$1241,6,FALSE)," ")</f>
        <v>23245</v>
      </c>
      <c r="F749" s="17" t="str">
        <f>IF(B749=0,VLOOKUP(A749,Feuil2!$A$2:$M$1241,12,FALSE)," ")</f>
        <v>H</v>
      </c>
      <c r="G749" s="17" t="str">
        <f>IF(B749=0,VLOOKUP(A749,Feuil2!$A$2:$M$1241,11,FALSE)," ")</f>
        <v>M</v>
      </c>
      <c r="H749" s="17" t="s">
        <v>16</v>
      </c>
      <c r="I749" s="19">
        <f>IF(B749=0,VLOOKUP(A749,Feuil2!$A$2:$M$1241,7,FALSE)," ")</f>
        <v>2946377</v>
      </c>
      <c r="J749" s="17" t="str">
        <f>IF(B749=0,VLOOKUP(A749,Feuil2!$A$2:$M$1241,9,FALSE)," ")</f>
        <v>28 Rue Khaled Ibn Walid</v>
      </c>
      <c r="K749" s="17" t="str">
        <f>IF(B749=0,VLOOKUP(A749,Feuil2!$A$2:$M$1241,10,FALSE)," ")</f>
        <v>Msaken 4070</v>
      </c>
      <c r="L749" s="17">
        <v>4070</v>
      </c>
      <c r="M749" s="17">
        <v>93421565</v>
      </c>
      <c r="N749" s="17"/>
      <c r="O749" s="20" t="str">
        <f>IF(B749=0,VLOOKUP(A749,Feuil2!$A$2:$M$1241,13,FALSE)," ")</f>
        <v>08507000262000756369</v>
      </c>
    </row>
    <row r="750" spans="1:16" x14ac:dyDescent="0.3">
      <c r="A750" s="1">
        <v>418</v>
      </c>
      <c r="B750" s="1">
        <v>1</v>
      </c>
      <c r="C750" s="1" t="s">
        <v>582</v>
      </c>
      <c r="D750" s="1" t="s">
        <v>2583</v>
      </c>
      <c r="E750" s="5">
        <v>25733</v>
      </c>
      <c r="F750" s="1" t="s">
        <v>17</v>
      </c>
      <c r="G750" s="1" t="s">
        <v>15</v>
      </c>
      <c r="H750" s="1" t="s">
        <v>16</v>
      </c>
      <c r="I750" s="6" t="str">
        <f>IF(B750=0,VLOOKUP(A750,Feuil2!$A$2:$M$1241,7,FALSE)," ")</f>
        <v xml:space="preserve"> </v>
      </c>
      <c r="J750" s="1" t="str">
        <f>IF(B750=0,VLOOKUP(A750,Feuil2!$A$2:$M$1241,9,FALSE)," ")</f>
        <v xml:space="preserve"> </v>
      </c>
      <c r="K750" s="1" t="str">
        <f>IF(B750=0,VLOOKUP(A750,Feuil2!$A$2:$M$1241,10,FALSE)," ")</f>
        <v xml:space="preserve"> </v>
      </c>
      <c r="L750" s="1"/>
      <c r="M750" s="1"/>
      <c r="N750" s="1"/>
      <c r="O750" s="8" t="str">
        <f>IF(B750=0,VLOOKUP(A750,Feuil2!$A$2:$M$1241,13,FALSE)," ")</f>
        <v xml:space="preserve"> </v>
      </c>
      <c r="P750" t="s">
        <v>2805</v>
      </c>
    </row>
    <row r="751" spans="1:16" x14ac:dyDescent="0.3">
      <c r="A751" s="1">
        <v>480</v>
      </c>
      <c r="B751" s="1">
        <v>0</v>
      </c>
      <c r="C751" s="1" t="str">
        <f>IF(B751=0,VLOOKUP(A751,Feuil2!$A$2:$M$1241,2,FALSE)," ")</f>
        <v>TOUMI</v>
      </c>
      <c r="D751" s="1" t="str">
        <f>IF(B751=0,VLOOKUP(A751,Feuil2!$A$2:$M$1241,3,FALSE)," ")</f>
        <v>CHOKRI</v>
      </c>
      <c r="E751" s="5">
        <f>IF(B751=0,VLOOKUP(A751,Feuil2!$A$2:$M$1241,6,FALSE)," ")</f>
        <v>24397</v>
      </c>
      <c r="F751" s="1" t="str">
        <f>IF(B751=0,VLOOKUP(A751,Feuil2!$A$2:$M$1241,12,FALSE)," ")</f>
        <v>H</v>
      </c>
      <c r="G751" s="1" t="str">
        <f>IF(B751=0,VLOOKUP(A751,Feuil2!$A$2:$M$1241,11,FALSE)," ")</f>
        <v>M</v>
      </c>
      <c r="H751" s="1" t="s">
        <v>16</v>
      </c>
      <c r="I751" s="6">
        <f>IF(B751=0,VLOOKUP(A751,Feuil2!$A$2:$M$1241,7,FALSE)," ")</f>
        <v>2965765</v>
      </c>
      <c r="J751" s="1" t="str">
        <f>IF(B751=0,VLOOKUP(A751,Feuil2!$A$2:$M$1241,9,FALSE)," ")</f>
        <v>28 Rue Achour</v>
      </c>
      <c r="K751" s="1" t="str">
        <f>IF(B751=0,VLOOKUP(A751,Feuil2!$A$2:$M$1241,10,FALSE)," ")</f>
        <v>Msaken 4070</v>
      </c>
      <c r="L751" s="1">
        <v>4070</v>
      </c>
      <c r="M751" s="1">
        <v>98793624</v>
      </c>
      <c r="N751" s="1"/>
      <c r="O751" s="8" t="str">
        <f>IF(B751=0,VLOOKUP(A751,Feuil2!$A$2:$M$1241,13,FALSE)," ")</f>
        <v>03508056010100097521</v>
      </c>
    </row>
    <row r="752" spans="1:16" x14ac:dyDescent="0.3">
      <c r="A752" s="1">
        <v>480</v>
      </c>
      <c r="B752" s="1">
        <v>1</v>
      </c>
      <c r="C752" s="1" t="s">
        <v>2584</v>
      </c>
      <c r="D752" s="1" t="s">
        <v>2372</v>
      </c>
      <c r="E752" s="5">
        <v>26730</v>
      </c>
      <c r="F752" s="1" t="s">
        <v>17</v>
      </c>
      <c r="G752" s="1" t="s">
        <v>15</v>
      </c>
      <c r="H752" s="1" t="s">
        <v>16</v>
      </c>
      <c r="I752" s="6" t="str">
        <f>IF(B752=0,VLOOKUP(A752,Feuil2!$A$2:$M$1241,7,FALSE)," ")</f>
        <v xml:space="preserve"> </v>
      </c>
      <c r="J752" s="1" t="str">
        <f>IF(B752=0,VLOOKUP(A752,Feuil2!$A$2:$M$1241,9,FALSE)," ")</f>
        <v xml:space="preserve"> </v>
      </c>
      <c r="K752" s="1" t="str">
        <f>IF(B752=0,VLOOKUP(A752,Feuil2!$A$2:$M$1241,10,FALSE)," ")</f>
        <v xml:space="preserve"> </v>
      </c>
      <c r="L752" s="1"/>
      <c r="M752" s="1"/>
      <c r="N752" s="1"/>
      <c r="O752" s="8" t="str">
        <f>IF(B752=0,VLOOKUP(A752,Feuil2!$A$2:$M$1241,13,FALSE)," ")</f>
        <v xml:space="preserve"> </v>
      </c>
    </row>
    <row r="753" spans="1:15" x14ac:dyDescent="0.3">
      <c r="A753" s="1">
        <v>480</v>
      </c>
      <c r="B753" s="1">
        <v>2</v>
      </c>
      <c r="C753" s="1" t="s">
        <v>369</v>
      </c>
      <c r="D753" s="1" t="s">
        <v>2585</v>
      </c>
      <c r="E753" s="5">
        <v>38848</v>
      </c>
      <c r="F753" s="1" t="s">
        <v>17</v>
      </c>
      <c r="G753" s="1" t="str">
        <f>IF(B753=0,VLOOKUP(A753,Feuil2!$A$2:$M$1241,11,FALSE)," ")</f>
        <v xml:space="preserve"> </v>
      </c>
      <c r="H753" s="1" t="s">
        <v>16</v>
      </c>
      <c r="I753" s="6" t="str">
        <f>IF(B753=0,VLOOKUP(A753,Feuil2!$A$2:$M$1241,7,FALSE)," ")</f>
        <v xml:space="preserve"> </v>
      </c>
      <c r="J753" s="1" t="str">
        <f>IF(B753=0,VLOOKUP(A753,Feuil2!$A$2:$M$1241,9,FALSE)," ")</f>
        <v xml:space="preserve"> </v>
      </c>
      <c r="K753" s="1" t="str">
        <f>IF(B753=0,VLOOKUP(A753,Feuil2!$A$2:$M$1241,10,FALSE)," ")</f>
        <v xml:space="preserve"> </v>
      </c>
      <c r="L753" s="1"/>
      <c r="M753" s="1"/>
      <c r="N753" s="1"/>
      <c r="O753" s="8" t="str">
        <f>IF(B753=0,VLOOKUP(A753,Feuil2!$A$2:$M$1241,13,FALSE)," ")</f>
        <v xml:space="preserve"> </v>
      </c>
    </row>
    <row r="754" spans="1:15" x14ac:dyDescent="0.3">
      <c r="A754" s="1">
        <v>480</v>
      </c>
      <c r="B754" s="1">
        <v>3</v>
      </c>
      <c r="C754" s="1" t="s">
        <v>369</v>
      </c>
      <c r="D754" s="1" t="s">
        <v>2385</v>
      </c>
      <c r="E754" s="5">
        <v>39681</v>
      </c>
      <c r="F754" s="1" t="s">
        <v>17</v>
      </c>
      <c r="G754" s="1" t="str">
        <f>IF(B754=0,VLOOKUP(A754,Feuil2!$A$2:$M$1241,11,FALSE)," ")</f>
        <v xml:space="preserve"> </v>
      </c>
      <c r="H754" s="1" t="s">
        <v>16</v>
      </c>
      <c r="I754" s="6" t="str">
        <f>IF(B754=0,VLOOKUP(A754,Feuil2!$A$2:$M$1241,7,FALSE)," ")</f>
        <v xml:space="preserve"> </v>
      </c>
      <c r="J754" s="1" t="str">
        <f>IF(B754=0,VLOOKUP(A754,Feuil2!$A$2:$M$1241,9,FALSE)," ")</f>
        <v xml:space="preserve"> </v>
      </c>
      <c r="K754" s="1" t="str">
        <f>IF(B754=0,VLOOKUP(A754,Feuil2!$A$2:$M$1241,10,FALSE)," ")</f>
        <v xml:space="preserve"> </v>
      </c>
      <c r="L754" s="1"/>
      <c r="M754" s="1"/>
      <c r="N754" s="1"/>
      <c r="O754" s="8" t="str">
        <f>IF(B754=0,VLOOKUP(A754,Feuil2!$A$2:$M$1241,13,FALSE)," ")</f>
        <v xml:space="preserve"> </v>
      </c>
    </row>
    <row r="755" spans="1:15" x14ac:dyDescent="0.3">
      <c r="A755" s="1">
        <v>482</v>
      </c>
      <c r="B755" s="1">
        <v>0</v>
      </c>
      <c r="C755" s="1" t="str">
        <f>IF(B755=0,VLOOKUP(A755,Feuil2!$A$2:$M$1241,2,FALSE)," ")</f>
        <v>MAATOUG</v>
      </c>
      <c r="D755" s="1" t="str">
        <f>IF(B755=0,VLOOKUP(A755,Feuil2!$A$2:$M$1241,3,FALSE)," ")</f>
        <v>HMAIED</v>
      </c>
      <c r="E755" s="5">
        <f>IF(B755=0,VLOOKUP(A755,Feuil2!$A$2:$M$1241,6,FALSE)," ")</f>
        <v>23390</v>
      </c>
      <c r="F755" s="1" t="str">
        <f>IF(B755=0,VLOOKUP(A755,Feuil2!$A$2:$M$1241,12,FALSE)," ")</f>
        <v>H</v>
      </c>
      <c r="G755" s="1" t="str">
        <f>IF(B755=0,VLOOKUP(A755,Feuil2!$A$2:$M$1241,11,FALSE)," ")</f>
        <v>M</v>
      </c>
      <c r="H755" s="1" t="s">
        <v>16</v>
      </c>
      <c r="I755" s="6">
        <f>IF(B755=0,VLOOKUP(A755,Feuil2!$A$2:$M$1241,7,FALSE)," ")</f>
        <v>4164812</v>
      </c>
      <c r="J755" s="1" t="str">
        <f>IF(B755=0,VLOOKUP(A755,Feuil2!$A$2:$M$1241,9,FALSE)," ")</f>
        <v>21 Rue Elouroud</v>
      </c>
      <c r="K755" s="1" t="str">
        <f>IF(B755=0,VLOOKUP(A755,Feuil2!$A$2:$M$1241,10,FALSE)," ")</f>
        <v>Msaken 4070</v>
      </c>
      <c r="L755" s="1">
        <v>4070</v>
      </c>
      <c r="M755" s="1">
        <v>27211620</v>
      </c>
      <c r="N755" s="1"/>
      <c r="O755" s="8" t="str">
        <f>IF(B755=0,VLOOKUP(A755,Feuil2!$A$2:$M$1241,13,FALSE)," ")</f>
        <v>05048000116500150477</v>
      </c>
    </row>
    <row r="756" spans="1:15" x14ac:dyDescent="0.3">
      <c r="A756" s="1">
        <v>482</v>
      </c>
      <c r="B756" s="1">
        <v>1</v>
      </c>
      <c r="C756" s="1" t="s">
        <v>2586</v>
      </c>
      <c r="D756" s="1" t="s">
        <v>2587</v>
      </c>
      <c r="E756" s="5">
        <v>24440</v>
      </c>
      <c r="F756" s="1" t="s">
        <v>17</v>
      </c>
      <c r="G756" s="1" t="s">
        <v>15</v>
      </c>
      <c r="H756" s="1" t="s">
        <v>16</v>
      </c>
      <c r="I756" s="6" t="str">
        <f>IF(B756=0,VLOOKUP(A756,Feuil2!$A$2:$M$1241,7,FALSE)," ")</f>
        <v xml:space="preserve"> </v>
      </c>
      <c r="J756" s="1" t="str">
        <f>IF(B756=0,VLOOKUP(A756,Feuil2!$A$2:$M$1241,9,FALSE)," ")</f>
        <v xml:space="preserve"> </v>
      </c>
      <c r="K756" s="1" t="str">
        <f>IF(B756=0,VLOOKUP(A756,Feuil2!$A$2:$M$1241,10,FALSE)," ")</f>
        <v xml:space="preserve"> </v>
      </c>
      <c r="L756" s="1"/>
      <c r="M756" s="1"/>
      <c r="N756" s="1"/>
      <c r="O756" s="8" t="str">
        <f>IF(B756=0,VLOOKUP(A756,Feuil2!$A$2:$M$1241,13,FALSE)," ")</f>
        <v xml:space="preserve"> </v>
      </c>
    </row>
    <row r="757" spans="1:15" x14ac:dyDescent="0.3">
      <c r="A757" s="1">
        <v>482</v>
      </c>
      <c r="B757" s="1">
        <v>2</v>
      </c>
      <c r="C757" s="1" t="s">
        <v>114</v>
      </c>
      <c r="D757" s="1" t="s">
        <v>2588</v>
      </c>
      <c r="E757" s="5">
        <v>33541</v>
      </c>
      <c r="F757" s="1" t="s">
        <v>17</v>
      </c>
      <c r="G757" s="1" t="str">
        <f>IF(B757=0,VLOOKUP(A757,Feuil2!$A$2:$M$1241,11,FALSE)," ")</f>
        <v xml:space="preserve"> </v>
      </c>
      <c r="H757" s="1" t="s">
        <v>16</v>
      </c>
      <c r="I757" s="6" t="str">
        <f>IF(B757=0,VLOOKUP(A757,Feuil2!$A$2:$M$1241,7,FALSE)," ")</f>
        <v xml:space="preserve"> </v>
      </c>
      <c r="J757" s="1" t="str">
        <f>IF(B757=0,VLOOKUP(A757,Feuil2!$A$2:$M$1241,9,FALSE)," ")</f>
        <v xml:space="preserve"> </v>
      </c>
      <c r="K757" s="1" t="str">
        <f>IF(B757=0,VLOOKUP(A757,Feuil2!$A$2:$M$1241,10,FALSE)," ")</f>
        <v xml:space="preserve"> </v>
      </c>
      <c r="L757" s="1"/>
      <c r="M757" s="1"/>
      <c r="N757" s="1"/>
      <c r="O757" s="8" t="str">
        <f>IF(B757=0,VLOOKUP(A757,Feuil2!$A$2:$M$1241,13,FALSE)," ")</f>
        <v xml:space="preserve"> </v>
      </c>
    </row>
    <row r="758" spans="1:15" x14ac:dyDescent="0.3">
      <c r="A758" s="1">
        <v>482</v>
      </c>
      <c r="B758" s="1">
        <v>3</v>
      </c>
      <c r="C758" s="1" t="s">
        <v>114</v>
      </c>
      <c r="D758" s="1" t="s">
        <v>363</v>
      </c>
      <c r="E758" s="5">
        <v>37665</v>
      </c>
      <c r="F758" s="1" t="s">
        <v>506</v>
      </c>
      <c r="G758" s="1" t="str">
        <f>IF(B758=0,VLOOKUP(A758,Feuil2!$A$2:$M$1241,11,FALSE)," ")</f>
        <v xml:space="preserve"> </v>
      </c>
      <c r="H758" s="1" t="s">
        <v>16</v>
      </c>
      <c r="I758" s="6" t="str">
        <f>IF(B758=0,VLOOKUP(A758,Feuil2!$A$2:$M$1241,7,FALSE)," ")</f>
        <v xml:space="preserve"> </v>
      </c>
      <c r="J758" s="1" t="str">
        <f>IF(B758=0,VLOOKUP(A758,Feuil2!$A$2:$M$1241,9,FALSE)," ")</f>
        <v xml:space="preserve"> </v>
      </c>
      <c r="K758" s="1" t="str">
        <f>IF(B758=0,VLOOKUP(A758,Feuil2!$A$2:$M$1241,10,FALSE)," ")</f>
        <v xml:space="preserve"> </v>
      </c>
      <c r="L758" s="1"/>
      <c r="M758" s="1"/>
      <c r="N758" s="1"/>
      <c r="O758" s="8" t="str">
        <f>IF(B758=0,VLOOKUP(A758,Feuil2!$A$2:$M$1241,13,FALSE)," ")</f>
        <v xml:space="preserve"> </v>
      </c>
    </row>
    <row r="759" spans="1:15" x14ac:dyDescent="0.3">
      <c r="A759" s="1">
        <v>482</v>
      </c>
      <c r="B759" s="1">
        <v>4</v>
      </c>
      <c r="C759" s="1" t="s">
        <v>114</v>
      </c>
      <c r="D759" s="1" t="s">
        <v>107</v>
      </c>
      <c r="E759" s="5">
        <v>38397</v>
      </c>
      <c r="F759" s="1" t="s">
        <v>506</v>
      </c>
      <c r="G759" s="1" t="str">
        <f>IF(B759=0,VLOOKUP(A759,Feuil2!$A$2:$M$1241,11,FALSE)," ")</f>
        <v xml:space="preserve"> </v>
      </c>
      <c r="H759" s="1" t="s">
        <v>16</v>
      </c>
      <c r="I759" s="6" t="str">
        <f>IF(B759=0,VLOOKUP(A759,Feuil2!$A$2:$M$1241,7,FALSE)," ")</f>
        <v xml:space="preserve"> </v>
      </c>
      <c r="J759" s="1" t="str">
        <f>IF(B759=0,VLOOKUP(A759,Feuil2!$A$2:$M$1241,9,FALSE)," ")</f>
        <v xml:space="preserve"> </v>
      </c>
      <c r="K759" s="1" t="str">
        <f>IF(B759=0,VLOOKUP(A759,Feuil2!$A$2:$M$1241,10,FALSE)," ")</f>
        <v xml:space="preserve"> </v>
      </c>
      <c r="L759" s="1"/>
      <c r="M759" s="1"/>
      <c r="N759" s="1"/>
      <c r="O759" s="8" t="str">
        <f>IF(B759=0,VLOOKUP(A759,Feuil2!$A$2:$M$1241,13,FALSE)," ")</f>
        <v xml:space="preserve"> </v>
      </c>
    </row>
    <row r="760" spans="1:15" x14ac:dyDescent="0.3">
      <c r="A760" s="1">
        <v>497</v>
      </c>
      <c r="B760" s="1">
        <v>0</v>
      </c>
      <c r="C760" s="1" t="str">
        <f>IF(B760=0,VLOOKUP(A760,Feuil2!$A$2:$M$1241,2,FALSE)," ")</f>
        <v>BEN ABDALLAH</v>
      </c>
      <c r="D760" s="1" t="str">
        <f>IF(B760=0,VLOOKUP(A760,Feuil2!$A$2:$M$1241,3,FALSE)," ")</f>
        <v>TAOUFIK</v>
      </c>
      <c r="E760" s="5">
        <f>IF(B760=0,VLOOKUP(A760,Feuil2!$A$2:$M$1241,6,FALSE)," ")</f>
        <v>24447</v>
      </c>
      <c r="F760" s="1" t="str">
        <f>IF(B760=0,VLOOKUP(A760,Feuil2!$A$2:$M$1241,12,FALSE)," ")</f>
        <v>H</v>
      </c>
      <c r="G760" s="1" t="str">
        <f>IF(B760=0,VLOOKUP(A760,Feuil2!$A$2:$M$1241,11,FALSE)," ")</f>
        <v>M</v>
      </c>
      <c r="H760" s="1" t="s">
        <v>16</v>
      </c>
      <c r="I760" s="6">
        <f>IF(B760=0,VLOOKUP(A760,Feuil2!$A$2:$M$1241,7,FALSE)," ")</f>
        <v>2986433</v>
      </c>
      <c r="J760" s="1" t="str">
        <f>IF(B760=0,VLOOKUP(A760,Feuil2!$A$2:$M$1241,9,FALSE)," ")</f>
        <v>22 Rue Omar Ibn Khattab</v>
      </c>
      <c r="K760" s="1" t="str">
        <f>IF(B760=0,VLOOKUP(A760,Feuil2!$A$2:$M$1241,10,FALSE)," ")</f>
        <v>Msaken 4070</v>
      </c>
      <c r="L760" s="1">
        <v>4070</v>
      </c>
      <c r="M760" s="1">
        <v>98793640</v>
      </c>
      <c r="N760" s="1"/>
      <c r="O760" s="8" t="str">
        <f>IF(B760=0,VLOOKUP(A760,Feuil2!$A$2:$M$1241,13,FALSE)," ")</f>
        <v>10506040203419978893</v>
      </c>
    </row>
    <row r="761" spans="1:15" x14ac:dyDescent="0.3">
      <c r="A761" s="1">
        <v>497</v>
      </c>
      <c r="B761" s="1">
        <v>1</v>
      </c>
      <c r="C761" s="1" t="s">
        <v>171</v>
      </c>
      <c r="D761" s="1" t="s">
        <v>1094</v>
      </c>
      <c r="E761" s="5">
        <v>27144</v>
      </c>
      <c r="F761" s="1" t="s">
        <v>17</v>
      </c>
      <c r="G761" s="1" t="s">
        <v>15</v>
      </c>
      <c r="H761" s="1" t="s">
        <v>16</v>
      </c>
      <c r="I761" s="6" t="str">
        <f>IF(B761=0,VLOOKUP(A761,Feuil2!$A$2:$M$1241,7,FALSE)," ")</f>
        <v xml:space="preserve"> </v>
      </c>
      <c r="J761" s="1" t="str">
        <f>IF(B761=0,VLOOKUP(A761,Feuil2!$A$2:$M$1241,9,FALSE)," ")</f>
        <v xml:space="preserve"> </v>
      </c>
      <c r="K761" s="1" t="str">
        <f>IF(B761=0,VLOOKUP(A761,Feuil2!$A$2:$M$1241,10,FALSE)," ")</f>
        <v xml:space="preserve"> </v>
      </c>
      <c r="L761" s="1"/>
      <c r="M761" s="1"/>
      <c r="N761" s="1"/>
      <c r="O761" s="8" t="str">
        <f>IF(B761=0,VLOOKUP(A761,Feuil2!$A$2:$M$1241,13,FALSE)," ")</f>
        <v xml:space="preserve"> </v>
      </c>
    </row>
    <row r="762" spans="1:15" x14ac:dyDescent="0.3">
      <c r="A762" s="1">
        <v>540</v>
      </c>
      <c r="B762" s="17">
        <v>0</v>
      </c>
      <c r="C762" s="17" t="str">
        <f>IF(B762=0,VLOOKUP(A762,Feuil2!$A$2:$M$1241,2,FALSE)," ")</f>
        <v>EL ABED</v>
      </c>
      <c r="D762" s="17" t="str">
        <f>IF(B762=0,VLOOKUP(A762,Feuil2!$A$2:$M$1241,3,FALSE)," ")</f>
        <v>FETHI</v>
      </c>
      <c r="E762" s="18">
        <f>IF(B762=0,VLOOKUP(A762,Feuil2!$A$2:$M$1241,6,FALSE)," ")</f>
        <v>22515</v>
      </c>
      <c r="F762" s="17" t="str">
        <f>IF(B762=0,VLOOKUP(A762,Feuil2!$A$2:$M$1241,12,FALSE)," ")</f>
        <v>H</v>
      </c>
      <c r="G762" s="17" t="str">
        <f>IF(B762=0,VLOOKUP(A762,Feuil2!$A$2:$M$1241,11,FALSE)," ")</f>
        <v>M</v>
      </c>
      <c r="H762" s="17" t="s">
        <v>16</v>
      </c>
      <c r="I762" s="19">
        <f>IF(B762=0,VLOOKUP(A762,Feuil2!$A$2:$M$1241,7,FALSE)," ")</f>
        <v>2861388</v>
      </c>
      <c r="J762" s="17" t="str">
        <f>IF(B762=0,VLOOKUP(A762,Feuil2!$A$2:$M$1241,9,FALSE)," ")</f>
        <v>Rue El Ouroud</v>
      </c>
      <c r="K762" s="17" t="str">
        <f>IF(B762=0,VLOOKUP(A762,Feuil2!$A$2:$M$1241,10,FALSE)," ")</f>
        <v>Msaken 4070</v>
      </c>
      <c r="L762" s="17">
        <v>4070</v>
      </c>
      <c r="M762" s="17">
        <v>98793518</v>
      </c>
      <c r="N762" s="17"/>
      <c r="O762" s="20" t="str">
        <f>IF(B762=0,VLOOKUP(A762,Feuil2!$A$2:$M$1241,13,FALSE)," ")</f>
        <v>08507000262000357602</v>
      </c>
    </row>
    <row r="763" spans="1:15" x14ac:dyDescent="0.3">
      <c r="A763" s="1">
        <v>540</v>
      </c>
      <c r="B763" s="1">
        <v>1</v>
      </c>
      <c r="C763" s="1" t="s">
        <v>2589</v>
      </c>
      <c r="D763" s="1" t="s">
        <v>2590</v>
      </c>
      <c r="E763" s="5">
        <v>25219</v>
      </c>
      <c r="F763" s="1" t="s">
        <v>17</v>
      </c>
      <c r="G763" s="1" t="s">
        <v>15</v>
      </c>
      <c r="H763" s="1" t="s">
        <v>16</v>
      </c>
      <c r="I763" s="6" t="str">
        <f>IF(B763=0,VLOOKUP(A763,Feuil2!$A$2:$M$1241,7,FALSE)," ")</f>
        <v xml:space="preserve"> </v>
      </c>
      <c r="J763" s="1" t="str">
        <f>IF(B763=0,VLOOKUP(A763,Feuil2!$A$2:$M$1241,9,FALSE)," ")</f>
        <v xml:space="preserve"> </v>
      </c>
      <c r="K763" s="1" t="str">
        <f>IF(B763=0,VLOOKUP(A763,Feuil2!$A$2:$M$1241,10,FALSE)," ")</f>
        <v xml:space="preserve"> </v>
      </c>
      <c r="L763" s="1"/>
      <c r="M763" s="1"/>
      <c r="N763" s="1"/>
      <c r="O763" s="8" t="str">
        <f>IF(B763=0,VLOOKUP(A763,Feuil2!$A$2:$M$1241,13,FALSE)," ")</f>
        <v xml:space="preserve"> </v>
      </c>
    </row>
    <row r="764" spans="1:15" x14ac:dyDescent="0.3">
      <c r="A764" s="1">
        <v>540</v>
      </c>
      <c r="B764" s="1">
        <v>2</v>
      </c>
      <c r="C764" s="1" t="s">
        <v>161</v>
      </c>
      <c r="D764" s="1" t="s">
        <v>2370</v>
      </c>
      <c r="E764" s="5">
        <v>33661</v>
      </c>
      <c r="F764" s="1" t="s">
        <v>17</v>
      </c>
      <c r="G764" s="1" t="str">
        <f>IF(B764=0,VLOOKUP(A764,Feuil2!$A$2:$M$1241,11,FALSE)," ")</f>
        <v xml:space="preserve"> </v>
      </c>
      <c r="H764" s="1" t="s">
        <v>16</v>
      </c>
      <c r="I764" s="6" t="str">
        <f>IF(B764=0,VLOOKUP(A764,Feuil2!$A$2:$M$1241,7,FALSE)," ")</f>
        <v xml:space="preserve"> </v>
      </c>
      <c r="J764" s="1" t="str">
        <f>IF(B764=0,VLOOKUP(A764,Feuil2!$A$2:$M$1241,9,FALSE)," ")</f>
        <v xml:space="preserve"> </v>
      </c>
      <c r="K764" s="1" t="str">
        <f>IF(B764=0,VLOOKUP(A764,Feuil2!$A$2:$M$1241,10,FALSE)," ")</f>
        <v xml:space="preserve"> </v>
      </c>
      <c r="L764" s="1"/>
      <c r="M764" s="1"/>
      <c r="N764" s="1"/>
      <c r="O764" s="8" t="str">
        <f>IF(B764=0,VLOOKUP(A764,Feuil2!$A$2:$M$1241,13,FALSE)," ")</f>
        <v xml:space="preserve"> </v>
      </c>
    </row>
    <row r="765" spans="1:15" x14ac:dyDescent="0.3">
      <c r="A765" s="1">
        <v>540</v>
      </c>
      <c r="B765" s="1">
        <v>3</v>
      </c>
      <c r="C765" s="1" t="s">
        <v>161</v>
      </c>
      <c r="D765" s="1" t="s">
        <v>2428</v>
      </c>
      <c r="E765" s="5">
        <v>36380</v>
      </c>
      <c r="F765" s="1" t="s">
        <v>506</v>
      </c>
      <c r="G765" s="1" t="str">
        <f>IF(B765=0,VLOOKUP(A765,Feuil2!$A$2:$M$1241,11,FALSE)," ")</f>
        <v xml:space="preserve"> </v>
      </c>
      <c r="H765" s="1" t="s">
        <v>16</v>
      </c>
      <c r="I765" s="6" t="str">
        <f>IF(B765=0,VLOOKUP(A765,Feuil2!$A$2:$M$1241,7,FALSE)," ")</f>
        <v xml:space="preserve"> </v>
      </c>
      <c r="J765" s="1" t="str">
        <f>IF(B765=0,VLOOKUP(A765,Feuil2!$A$2:$M$1241,9,FALSE)," ")</f>
        <v xml:space="preserve"> </v>
      </c>
      <c r="K765" s="1" t="str">
        <f>IF(B765=0,VLOOKUP(A765,Feuil2!$A$2:$M$1241,10,FALSE)," ")</f>
        <v xml:space="preserve"> </v>
      </c>
      <c r="L765" s="1"/>
      <c r="M765" s="1"/>
      <c r="N765" s="1"/>
      <c r="O765" s="8" t="str">
        <f>IF(B765=0,VLOOKUP(A765,Feuil2!$A$2:$M$1241,13,FALSE)," ")</f>
        <v xml:space="preserve"> </v>
      </c>
    </row>
    <row r="766" spans="1:15" x14ac:dyDescent="0.3">
      <c r="A766" s="1">
        <v>582</v>
      </c>
      <c r="B766" s="17">
        <v>0</v>
      </c>
      <c r="C766" s="17" t="str">
        <f>IF(B766=0,VLOOKUP(A766,Feuil2!$A$2:$M$1241,2,FALSE)," ")</f>
        <v>MATHLOUTHI</v>
      </c>
      <c r="D766" s="17" t="str">
        <f>IF(B766=0,VLOOKUP(A766,Feuil2!$A$2:$M$1241,3,FALSE)," ")</f>
        <v>TAIEB</v>
      </c>
      <c r="E766" s="18">
        <f>IF(B766=0,VLOOKUP(A766,Feuil2!$A$2:$M$1241,6,FALSE)," ")</f>
        <v>23804</v>
      </c>
      <c r="F766" s="17" t="str">
        <f>IF(B766=0,VLOOKUP(A766,Feuil2!$A$2:$M$1241,12,FALSE)," ")</f>
        <v>H</v>
      </c>
      <c r="G766" s="17" t="str">
        <f>IF(B766=0,VLOOKUP(A766,Feuil2!$A$2:$M$1241,11,FALSE)," ")</f>
        <v>M</v>
      </c>
      <c r="H766" s="17" t="s">
        <v>16</v>
      </c>
      <c r="I766" s="19">
        <f>IF(B766=0,VLOOKUP(A766,Feuil2!$A$2:$M$1241,7,FALSE)," ")</f>
        <v>2958465</v>
      </c>
      <c r="J766" s="17" t="str">
        <f>IF(B766=0,VLOOKUP(A766,Feuil2!$A$2:$M$1241,9,FALSE)," ")</f>
        <v>NULL</v>
      </c>
      <c r="K766" s="17" t="str">
        <f>IF(B766=0,VLOOKUP(A766,Feuil2!$A$2:$M$1241,10,FALSE)," ")</f>
        <v>BÃ©ni Rabiaa 4015</v>
      </c>
      <c r="L766" s="17"/>
      <c r="M766" s="17">
        <v>27829091</v>
      </c>
      <c r="N766" s="17"/>
      <c r="O766" s="20" t="str">
        <f>IF(B766=0,VLOOKUP(A766,Feuil2!$A$2:$M$1241,13,FALSE)," ")</f>
        <v>10506040203446678822</v>
      </c>
    </row>
    <row r="767" spans="1:15" x14ac:dyDescent="0.3">
      <c r="A767" s="1">
        <v>582</v>
      </c>
      <c r="B767" s="1">
        <v>1</v>
      </c>
      <c r="C767" s="1" t="s">
        <v>2591</v>
      </c>
      <c r="D767" s="1" t="s">
        <v>2367</v>
      </c>
      <c r="E767" s="5">
        <v>26193</v>
      </c>
      <c r="F767" s="1" t="s">
        <v>17</v>
      </c>
      <c r="G767" s="1" t="s">
        <v>15</v>
      </c>
      <c r="H767" s="1" t="s">
        <v>16</v>
      </c>
      <c r="I767" s="6" t="str">
        <f>IF(B767=0,VLOOKUP(A767,Feuil2!$A$2:$M$1241,7,FALSE)," ")</f>
        <v xml:space="preserve"> </v>
      </c>
      <c r="J767" s="1" t="str">
        <f>IF(B767=0,VLOOKUP(A767,Feuil2!$A$2:$M$1241,9,FALSE)," ")</f>
        <v xml:space="preserve"> </v>
      </c>
      <c r="K767" s="1" t="str">
        <f>IF(B767=0,VLOOKUP(A767,Feuil2!$A$2:$M$1241,10,FALSE)," ")</f>
        <v xml:space="preserve"> </v>
      </c>
      <c r="L767" s="1"/>
      <c r="M767" s="1"/>
      <c r="N767" s="1"/>
      <c r="O767" s="8" t="str">
        <f>IF(B767=0,VLOOKUP(A767,Feuil2!$A$2:$M$1241,13,FALSE)," ")</f>
        <v xml:space="preserve"> </v>
      </c>
    </row>
    <row r="768" spans="1:15" x14ac:dyDescent="0.3">
      <c r="A768" s="1">
        <v>582</v>
      </c>
      <c r="B768" s="1">
        <v>2</v>
      </c>
      <c r="C768" s="1" t="s">
        <v>173</v>
      </c>
      <c r="D768" s="1" t="s">
        <v>2480</v>
      </c>
      <c r="E768" s="5">
        <v>37280</v>
      </c>
      <c r="F768" s="1" t="s">
        <v>17</v>
      </c>
      <c r="G768" s="1" t="str">
        <f>IF(B768=0,VLOOKUP(A768,Feuil2!$A$2:$M$1241,11,FALSE)," ")</f>
        <v xml:space="preserve"> </v>
      </c>
      <c r="H768" s="1" t="s">
        <v>16</v>
      </c>
      <c r="I768" s="6" t="str">
        <f>IF(B768=0,VLOOKUP(A768,Feuil2!$A$2:$M$1241,7,FALSE)," ")</f>
        <v xml:space="preserve"> </v>
      </c>
      <c r="J768" s="1" t="str">
        <f>IF(B768=0,VLOOKUP(A768,Feuil2!$A$2:$M$1241,9,FALSE)," ")</f>
        <v xml:space="preserve"> </v>
      </c>
      <c r="K768" s="1" t="str">
        <f>IF(B768=0,VLOOKUP(A768,Feuil2!$A$2:$M$1241,10,FALSE)," ")</f>
        <v xml:space="preserve"> </v>
      </c>
      <c r="L768" s="1"/>
      <c r="M768" s="1"/>
      <c r="N768" s="1"/>
      <c r="O768" s="8" t="str">
        <f>IF(B768=0,VLOOKUP(A768,Feuil2!$A$2:$M$1241,13,FALSE)," ")</f>
        <v xml:space="preserve"> </v>
      </c>
    </row>
    <row r="769" spans="1:15" x14ac:dyDescent="0.3">
      <c r="A769" s="1">
        <v>582</v>
      </c>
      <c r="B769" s="1">
        <v>3</v>
      </c>
      <c r="C769" s="1" t="s">
        <v>173</v>
      </c>
      <c r="D769" s="1" t="s">
        <v>2592</v>
      </c>
      <c r="E769" s="5">
        <v>39005</v>
      </c>
      <c r="F769" s="1" t="s">
        <v>506</v>
      </c>
      <c r="G769" s="1" t="str">
        <f>IF(B769=0,VLOOKUP(A769,Feuil2!$A$2:$M$1241,11,FALSE)," ")</f>
        <v xml:space="preserve"> </v>
      </c>
      <c r="H769" s="1" t="s">
        <v>16</v>
      </c>
      <c r="I769" s="6" t="str">
        <f>IF(B769=0,VLOOKUP(A769,Feuil2!$A$2:$M$1241,7,FALSE)," ")</f>
        <v xml:space="preserve"> </v>
      </c>
      <c r="J769" s="1" t="str">
        <f>IF(B769=0,VLOOKUP(A769,Feuil2!$A$2:$M$1241,9,FALSE)," ")</f>
        <v xml:space="preserve"> </v>
      </c>
      <c r="K769" s="1" t="str">
        <f>IF(B769=0,VLOOKUP(A769,Feuil2!$A$2:$M$1241,10,FALSE)," ")</f>
        <v xml:space="preserve"> </v>
      </c>
      <c r="L769" s="1"/>
      <c r="M769" s="1"/>
      <c r="N769" s="1"/>
      <c r="O769" s="8" t="str">
        <f>IF(B769=0,VLOOKUP(A769,Feuil2!$A$2:$M$1241,13,FALSE)," ")</f>
        <v xml:space="preserve"> </v>
      </c>
    </row>
    <row r="770" spans="1:15" x14ac:dyDescent="0.3">
      <c r="A770" s="1">
        <v>582</v>
      </c>
      <c r="B770" s="1">
        <v>4</v>
      </c>
      <c r="C770" s="1" t="s">
        <v>173</v>
      </c>
      <c r="D770" s="1" t="s">
        <v>2332</v>
      </c>
      <c r="E770" s="5">
        <v>39528</v>
      </c>
      <c r="F770" s="1" t="s">
        <v>17</v>
      </c>
      <c r="G770" s="1" t="str">
        <f>IF(B770=0,VLOOKUP(A770,Feuil2!$A$2:$M$1241,11,FALSE)," ")</f>
        <v xml:space="preserve"> </v>
      </c>
      <c r="H770" s="1" t="s">
        <v>16</v>
      </c>
      <c r="I770" s="6" t="str">
        <f>IF(B770=0,VLOOKUP(A770,Feuil2!$A$2:$M$1241,7,FALSE)," ")</f>
        <v xml:space="preserve"> </v>
      </c>
      <c r="J770" s="1" t="str">
        <f>IF(B770=0,VLOOKUP(A770,Feuil2!$A$2:$M$1241,9,FALSE)," ")</f>
        <v xml:space="preserve"> </v>
      </c>
      <c r="K770" s="1" t="str">
        <f>IF(B770=0,VLOOKUP(A770,Feuil2!$A$2:$M$1241,10,FALSE)," ")</f>
        <v xml:space="preserve"> </v>
      </c>
      <c r="L770" s="1"/>
      <c r="M770" s="1"/>
      <c r="N770" s="1"/>
      <c r="O770" s="8" t="str">
        <f>IF(B770=0,VLOOKUP(A770,Feuil2!$A$2:$M$1241,13,FALSE)," ")</f>
        <v xml:space="preserve"> </v>
      </c>
    </row>
    <row r="771" spans="1:15" x14ac:dyDescent="0.3">
      <c r="A771" s="1">
        <v>599</v>
      </c>
      <c r="B771" s="17">
        <v>0</v>
      </c>
      <c r="C771" s="17" t="str">
        <f>IF(B771=0,VLOOKUP(A771,Feuil2!$A$2:$M$1241,2,FALSE)," ")</f>
        <v>LOGHMARI</v>
      </c>
      <c r="D771" s="17" t="str">
        <f>IF(B771=0,VLOOKUP(A771,Feuil2!$A$2:$M$1241,3,FALSE)," ")</f>
        <v>MOHAMED</v>
      </c>
      <c r="E771" s="18">
        <f>IF(B771=0,VLOOKUP(A771,Feuil2!$A$2:$M$1241,6,FALSE)," ")</f>
        <v>24432</v>
      </c>
      <c r="F771" s="17" t="str">
        <f>IF(B771=0,VLOOKUP(A771,Feuil2!$A$2:$M$1241,12,FALSE)," ")</f>
        <v>H</v>
      </c>
      <c r="G771" s="17" t="str">
        <f>IF(B771=0,VLOOKUP(A771,Feuil2!$A$2:$M$1241,11,FALSE)," ")</f>
        <v>M</v>
      </c>
      <c r="H771" s="17" t="s">
        <v>16</v>
      </c>
      <c r="I771" s="19">
        <f>IF(B771=0,VLOOKUP(A771,Feuil2!$A$2:$M$1241,7,FALSE)," ")</f>
        <v>2988440</v>
      </c>
      <c r="J771" s="17" t="str">
        <f>IF(B771=0,VLOOKUP(A771,Feuil2!$A$2:$M$1241,9,FALSE)," ")</f>
        <v>23 RUE ETIHAD</v>
      </c>
      <c r="K771" s="17" t="str">
        <f>IF(B771=0,VLOOKUP(A771,Feuil2!$A$2:$M$1241,10,FALSE)," ")</f>
        <v>Msaken 4070</v>
      </c>
      <c r="L771" s="17">
        <v>4070</v>
      </c>
      <c r="M771" s="17"/>
      <c r="N771" s="17"/>
      <c r="O771" s="20" t="str">
        <f>IF(B771=0,VLOOKUP(A771,Feuil2!$A$2:$M$1241,13,FALSE)," ")</f>
        <v>08507000262001386578</v>
      </c>
    </row>
    <row r="772" spans="1:15" x14ac:dyDescent="0.3">
      <c r="A772" s="1">
        <v>599</v>
      </c>
      <c r="B772" s="1">
        <v>1</v>
      </c>
      <c r="C772" s="1" t="s">
        <v>190</v>
      </c>
      <c r="D772" s="1" t="s">
        <v>2145</v>
      </c>
      <c r="E772" s="5">
        <v>26112</v>
      </c>
      <c r="F772" s="1" t="s">
        <v>17</v>
      </c>
      <c r="G772" s="1" t="s">
        <v>15</v>
      </c>
      <c r="H772" s="1" t="s">
        <v>16</v>
      </c>
      <c r="I772" s="6" t="str">
        <f>IF(B772=0,VLOOKUP(A772,Feuil2!$A$2:$M$1241,7,FALSE)," ")</f>
        <v xml:space="preserve"> </v>
      </c>
      <c r="J772" s="1" t="str">
        <f>IF(B772=0,VLOOKUP(A772,Feuil2!$A$2:$M$1241,9,FALSE)," ")</f>
        <v xml:space="preserve"> </v>
      </c>
      <c r="K772" s="1" t="str">
        <f>IF(B772=0,VLOOKUP(A772,Feuil2!$A$2:$M$1241,10,FALSE)," ")</f>
        <v xml:space="preserve"> </v>
      </c>
      <c r="L772" s="1"/>
      <c r="M772" s="1"/>
      <c r="N772" s="1"/>
      <c r="O772" s="8" t="str">
        <f>IF(B772=0,VLOOKUP(A772,Feuil2!$A$2:$M$1241,13,FALSE)," ")</f>
        <v xml:space="preserve"> </v>
      </c>
    </row>
    <row r="773" spans="1:15" x14ac:dyDescent="0.3">
      <c r="A773" s="1">
        <v>599</v>
      </c>
      <c r="B773" s="1">
        <v>2</v>
      </c>
      <c r="C773" s="1" t="s">
        <v>199</v>
      </c>
      <c r="D773" s="1" t="s">
        <v>402</v>
      </c>
      <c r="E773" s="5">
        <v>35692</v>
      </c>
      <c r="F773" s="1" t="s">
        <v>17</v>
      </c>
      <c r="G773" s="1" t="str">
        <f>IF(B773=0,VLOOKUP(A773,Feuil2!$A$2:$M$1241,11,FALSE)," ")</f>
        <v xml:space="preserve"> </v>
      </c>
      <c r="H773" s="1" t="s">
        <v>16</v>
      </c>
      <c r="I773" s="6" t="str">
        <f>IF(B773=0,VLOOKUP(A773,Feuil2!$A$2:$M$1241,7,FALSE)," ")</f>
        <v xml:space="preserve"> </v>
      </c>
      <c r="J773" s="1" t="str">
        <f>IF(B773=0,VLOOKUP(A773,Feuil2!$A$2:$M$1241,9,FALSE)," ")</f>
        <v xml:space="preserve"> </v>
      </c>
      <c r="K773" s="1" t="str">
        <f>IF(B773=0,VLOOKUP(A773,Feuil2!$A$2:$M$1241,10,FALSE)," ")</f>
        <v xml:space="preserve"> </v>
      </c>
      <c r="L773" s="1"/>
      <c r="M773" s="1"/>
      <c r="N773" s="1"/>
      <c r="O773" s="8" t="str">
        <f>IF(B773=0,VLOOKUP(A773,Feuil2!$A$2:$M$1241,13,FALSE)," ")</f>
        <v xml:space="preserve"> </v>
      </c>
    </row>
    <row r="774" spans="1:15" x14ac:dyDescent="0.3">
      <c r="A774" s="1">
        <v>599</v>
      </c>
      <c r="B774" s="1">
        <v>3</v>
      </c>
      <c r="C774" s="1" t="s">
        <v>199</v>
      </c>
      <c r="D774" s="1" t="s">
        <v>2345</v>
      </c>
      <c r="E774" s="5">
        <v>38394</v>
      </c>
      <c r="F774" s="1" t="s">
        <v>17</v>
      </c>
      <c r="G774" s="1" t="str">
        <f>IF(B774=0,VLOOKUP(A774,Feuil2!$A$2:$M$1241,11,FALSE)," ")</f>
        <v xml:space="preserve"> </v>
      </c>
      <c r="H774" s="1" t="s">
        <v>16</v>
      </c>
      <c r="I774" s="6" t="str">
        <f>IF(B774=0,VLOOKUP(A774,Feuil2!$A$2:$M$1241,7,FALSE)," ")</f>
        <v xml:space="preserve"> </v>
      </c>
      <c r="J774" s="1" t="str">
        <f>IF(B774=0,VLOOKUP(A774,Feuil2!$A$2:$M$1241,9,FALSE)," ")</f>
        <v xml:space="preserve"> </v>
      </c>
      <c r="K774" s="1" t="str">
        <f>IF(B774=0,VLOOKUP(A774,Feuil2!$A$2:$M$1241,10,FALSE)," ")</f>
        <v xml:space="preserve"> </v>
      </c>
      <c r="L774" s="1"/>
      <c r="M774" s="1"/>
      <c r="N774" s="1"/>
      <c r="O774" s="8" t="str">
        <f>IF(B774=0,VLOOKUP(A774,Feuil2!$A$2:$M$1241,13,FALSE)," ")</f>
        <v xml:space="preserve"> </v>
      </c>
    </row>
    <row r="775" spans="1:15" x14ac:dyDescent="0.3">
      <c r="A775" s="1">
        <v>599</v>
      </c>
      <c r="B775" s="1">
        <v>4</v>
      </c>
      <c r="C775" s="1" t="s">
        <v>199</v>
      </c>
      <c r="D775" s="1" t="s">
        <v>2593</v>
      </c>
      <c r="E775" s="5">
        <v>38394</v>
      </c>
      <c r="F775" s="1" t="s">
        <v>506</v>
      </c>
      <c r="G775" s="1" t="str">
        <f>IF(B775=0,VLOOKUP(A775,Feuil2!$A$2:$M$1241,11,FALSE)," ")</f>
        <v xml:space="preserve"> </v>
      </c>
      <c r="H775" s="1" t="s">
        <v>16</v>
      </c>
      <c r="I775" s="6" t="str">
        <f>IF(B775=0,VLOOKUP(A775,Feuil2!$A$2:$M$1241,7,FALSE)," ")</f>
        <v xml:space="preserve"> </v>
      </c>
      <c r="J775" s="1" t="str">
        <f>IF(B775=0,VLOOKUP(A775,Feuil2!$A$2:$M$1241,9,FALSE)," ")</f>
        <v xml:space="preserve"> </v>
      </c>
      <c r="K775" s="1" t="str">
        <f>IF(B775=0,VLOOKUP(A775,Feuil2!$A$2:$M$1241,10,FALSE)," ")</f>
        <v xml:space="preserve"> </v>
      </c>
      <c r="L775" s="1"/>
      <c r="M775" s="1"/>
      <c r="N775" s="1"/>
      <c r="O775" s="8" t="str">
        <f>IF(B775=0,VLOOKUP(A775,Feuil2!$A$2:$M$1241,13,FALSE)," ")</f>
        <v xml:space="preserve"> </v>
      </c>
    </row>
    <row r="776" spans="1:15" x14ac:dyDescent="0.3">
      <c r="A776" s="1">
        <v>599</v>
      </c>
      <c r="B776" s="1">
        <v>5</v>
      </c>
      <c r="C776" s="1" t="s">
        <v>199</v>
      </c>
      <c r="D776" s="1" t="s">
        <v>2347</v>
      </c>
      <c r="E776" s="5">
        <v>39780</v>
      </c>
      <c r="F776" s="1" t="s">
        <v>506</v>
      </c>
      <c r="G776" s="1" t="str">
        <f>IF(B776=0,VLOOKUP(A776,Feuil2!$A$2:$M$1241,11,FALSE)," ")</f>
        <v xml:space="preserve"> </v>
      </c>
      <c r="H776" s="1" t="s">
        <v>16</v>
      </c>
      <c r="I776" s="6" t="str">
        <f>IF(B776=0,VLOOKUP(A776,Feuil2!$A$2:$M$1241,7,FALSE)," ")</f>
        <v xml:space="preserve"> </v>
      </c>
      <c r="J776" s="1" t="str">
        <f>IF(B776=0,VLOOKUP(A776,Feuil2!$A$2:$M$1241,9,FALSE)," ")</f>
        <v xml:space="preserve"> </v>
      </c>
      <c r="K776" s="1" t="str">
        <f>IF(B776=0,VLOOKUP(A776,Feuil2!$A$2:$M$1241,10,FALSE)," ")</f>
        <v xml:space="preserve"> </v>
      </c>
      <c r="L776" s="1"/>
      <c r="M776" s="1"/>
      <c r="N776" s="1"/>
      <c r="O776" s="8" t="str">
        <f>IF(B776=0,VLOOKUP(A776,Feuil2!$A$2:$M$1241,13,FALSE)," ")</f>
        <v xml:space="preserve"> </v>
      </c>
    </row>
    <row r="777" spans="1:15" x14ac:dyDescent="0.3">
      <c r="A777" s="1">
        <v>640</v>
      </c>
      <c r="B777" s="17">
        <v>0</v>
      </c>
      <c r="C777" s="17" t="str">
        <f>IF(B777=0,VLOOKUP(A777,Feuil2!$A$2:$M$1241,2,FALSE)," ")</f>
        <v>JARRAR</v>
      </c>
      <c r="D777" s="17" t="str">
        <f>IF(B777=0,VLOOKUP(A777,Feuil2!$A$2:$M$1241,3,FALSE)," ")</f>
        <v>BECHIR</v>
      </c>
      <c r="E777" s="18">
        <f>IF(B777=0,VLOOKUP(A777,Feuil2!$A$2:$M$1241,6,FALSE)," ")</f>
        <v>25381</v>
      </c>
      <c r="F777" s="17" t="str">
        <f>IF(B777=0,VLOOKUP(A777,Feuil2!$A$2:$M$1241,12,FALSE)," ")</f>
        <v>H</v>
      </c>
      <c r="G777" s="17" t="str">
        <f>IF(B777=0,VLOOKUP(A777,Feuil2!$A$2:$M$1241,11,FALSE)," ")</f>
        <v>M</v>
      </c>
      <c r="H777" s="17" t="s">
        <v>16</v>
      </c>
      <c r="I777" s="19">
        <f>IF(B777=0,VLOOKUP(A777,Feuil2!$A$2:$M$1241,7,FALSE)," ")</f>
        <v>2985566</v>
      </c>
      <c r="J777" s="17" t="str">
        <f>IF(B777=0,VLOOKUP(A777,Feuil2!$A$2:$M$1241,9,FALSE)," ")</f>
        <v>247 R Mohamed Ali</v>
      </c>
      <c r="K777" s="17" t="str">
        <f>IF(B777=0,VLOOKUP(A777,Feuil2!$A$2:$M$1241,10,FALSE)," ")</f>
        <v>Msaken 4070</v>
      </c>
      <c r="L777" s="17">
        <v>4070</v>
      </c>
      <c r="M777" s="17">
        <v>20664960</v>
      </c>
      <c r="N777" s="17"/>
      <c r="O777" s="20" t="str">
        <f>IF(B777=0,VLOOKUP(A777,Feuil2!$A$2:$M$1241,13,FALSE)," ")</f>
        <v>03508056010100127397</v>
      </c>
    </row>
    <row r="778" spans="1:15" x14ac:dyDescent="0.3">
      <c r="A778" s="1">
        <v>640</v>
      </c>
      <c r="B778" s="1">
        <v>1</v>
      </c>
      <c r="C778" s="1" t="str">
        <f>IF(B778=0,VLOOKUP(A778,Feuil2!$A$2:$M$1241,2,FALSE)," ")</f>
        <v xml:space="preserve"> </v>
      </c>
      <c r="D778" s="1" t="s">
        <v>2381</v>
      </c>
      <c r="E778" s="5">
        <v>29837</v>
      </c>
      <c r="F778" s="1" t="s">
        <v>17</v>
      </c>
      <c r="G778" s="1" t="s">
        <v>15</v>
      </c>
      <c r="H778" s="1" t="s">
        <v>16</v>
      </c>
      <c r="I778" s="6" t="str">
        <f>IF(B778=0,VLOOKUP(A778,Feuil2!$A$2:$M$1241,7,FALSE)," ")</f>
        <v xml:space="preserve"> </v>
      </c>
      <c r="J778" s="1" t="str">
        <f>IF(B778=0,VLOOKUP(A778,Feuil2!$A$2:$M$1241,9,FALSE)," ")</f>
        <v xml:space="preserve"> </v>
      </c>
      <c r="K778" s="1" t="str">
        <f>IF(B778=0,VLOOKUP(A778,Feuil2!$A$2:$M$1241,10,FALSE)," ")</f>
        <v xml:space="preserve"> </v>
      </c>
      <c r="L778" s="1"/>
      <c r="M778" s="1"/>
      <c r="N778" s="1"/>
      <c r="O778" s="8" t="str">
        <f>IF(B778=0,VLOOKUP(A778,Feuil2!$A$2:$M$1241,13,FALSE)," ")</f>
        <v xml:space="preserve"> </v>
      </c>
    </row>
    <row r="779" spans="1:15" x14ac:dyDescent="0.3">
      <c r="A779" s="1">
        <v>640</v>
      </c>
      <c r="B779" s="1">
        <v>2</v>
      </c>
      <c r="C779" s="1" t="s">
        <v>33</v>
      </c>
      <c r="D779" s="1" t="s">
        <v>2367</v>
      </c>
      <c r="E779" s="5">
        <v>37425</v>
      </c>
      <c r="F779" s="1" t="s">
        <v>17</v>
      </c>
      <c r="G779" s="1" t="str">
        <f>IF(B779=0,VLOOKUP(A779,Feuil2!$A$2:$M$1241,11,FALSE)," ")</f>
        <v xml:space="preserve"> </v>
      </c>
      <c r="H779" s="1" t="s">
        <v>16</v>
      </c>
      <c r="I779" s="6" t="str">
        <f>IF(B779=0,VLOOKUP(A779,Feuil2!$A$2:$M$1241,7,FALSE)," ")</f>
        <v xml:space="preserve"> </v>
      </c>
      <c r="J779" s="1" t="str">
        <f>IF(B779=0,VLOOKUP(A779,Feuil2!$A$2:$M$1241,9,FALSE)," ")</f>
        <v xml:space="preserve"> </v>
      </c>
      <c r="K779" s="1" t="str">
        <f>IF(B779=0,VLOOKUP(A779,Feuil2!$A$2:$M$1241,10,FALSE)," ")</f>
        <v xml:space="preserve"> </v>
      </c>
      <c r="L779" s="1"/>
      <c r="M779" s="1"/>
      <c r="N779" s="1"/>
      <c r="O779" s="8" t="str">
        <f>IF(B779=0,VLOOKUP(A779,Feuil2!$A$2:$M$1241,13,FALSE)," ")</f>
        <v xml:space="preserve"> </v>
      </c>
    </row>
    <row r="780" spans="1:15" x14ac:dyDescent="0.3">
      <c r="A780" s="1">
        <v>640</v>
      </c>
      <c r="B780" s="1">
        <v>3</v>
      </c>
      <c r="C780" s="1" t="s">
        <v>33</v>
      </c>
      <c r="D780" s="1" t="s">
        <v>2362</v>
      </c>
      <c r="E780" s="5">
        <v>37979</v>
      </c>
      <c r="F780" s="1" t="s">
        <v>17</v>
      </c>
      <c r="G780" s="1" t="str">
        <f>IF(B780=0,VLOOKUP(A780,Feuil2!$A$2:$M$1241,11,FALSE)," ")</f>
        <v xml:space="preserve"> </v>
      </c>
      <c r="H780" s="1" t="s">
        <v>16</v>
      </c>
      <c r="I780" s="6" t="str">
        <f>IF(B780=0,VLOOKUP(A780,Feuil2!$A$2:$M$1241,7,FALSE)," ")</f>
        <v xml:space="preserve"> </v>
      </c>
      <c r="J780" s="1" t="str">
        <f>IF(B780=0,VLOOKUP(A780,Feuil2!$A$2:$M$1241,9,FALSE)," ")</f>
        <v xml:space="preserve"> </v>
      </c>
      <c r="K780" s="1" t="str">
        <f>IF(B780=0,VLOOKUP(A780,Feuil2!$A$2:$M$1241,10,FALSE)," ")</f>
        <v xml:space="preserve"> </v>
      </c>
      <c r="L780" s="1"/>
      <c r="M780" s="1"/>
      <c r="N780" s="1"/>
      <c r="O780" s="8" t="str">
        <f>IF(B780=0,VLOOKUP(A780,Feuil2!$A$2:$M$1241,13,FALSE)," ")</f>
        <v xml:space="preserve"> </v>
      </c>
    </row>
    <row r="781" spans="1:15" x14ac:dyDescent="0.3">
      <c r="A781" s="1">
        <v>640</v>
      </c>
      <c r="B781" s="1">
        <v>4</v>
      </c>
      <c r="C781" s="1" t="s">
        <v>33</v>
      </c>
      <c r="D781" s="1" t="s">
        <v>2594</v>
      </c>
      <c r="E781" s="5">
        <v>39329</v>
      </c>
      <c r="F781" s="1" t="s">
        <v>506</v>
      </c>
      <c r="G781" s="1" t="str">
        <f>IF(B781=0,VLOOKUP(A781,Feuil2!$A$2:$M$1241,11,FALSE)," ")</f>
        <v xml:space="preserve"> </v>
      </c>
      <c r="H781" s="1" t="s">
        <v>16</v>
      </c>
      <c r="I781" s="6" t="str">
        <f>IF(B781=0,VLOOKUP(A781,Feuil2!$A$2:$M$1241,7,FALSE)," ")</f>
        <v xml:space="preserve"> </v>
      </c>
      <c r="J781" s="1" t="str">
        <f>IF(B781=0,VLOOKUP(A781,Feuil2!$A$2:$M$1241,9,FALSE)," ")</f>
        <v xml:space="preserve"> </v>
      </c>
      <c r="K781" s="1" t="str">
        <f>IF(B781=0,VLOOKUP(A781,Feuil2!$A$2:$M$1241,10,FALSE)," ")</f>
        <v xml:space="preserve"> </v>
      </c>
      <c r="L781" s="1"/>
      <c r="M781" s="1"/>
      <c r="N781" s="1"/>
      <c r="O781" s="8" t="str">
        <f>IF(B781=0,VLOOKUP(A781,Feuil2!$A$2:$M$1241,13,FALSE)," ")</f>
        <v xml:space="preserve"> </v>
      </c>
    </row>
    <row r="782" spans="1:15" x14ac:dyDescent="0.3">
      <c r="A782" s="1">
        <v>656</v>
      </c>
      <c r="B782" s="1">
        <v>0</v>
      </c>
      <c r="C782" s="1" t="str">
        <f>IF(B782=0,VLOOKUP(A782,Feuil2!$A$2:$M$1241,2,FALSE)," ")</f>
        <v>CHEBIL</v>
      </c>
      <c r="D782" s="1" t="str">
        <f>IF(B782=0,VLOOKUP(A782,Feuil2!$A$2:$M$1241,3,FALSE)," ")</f>
        <v>MOHAMED MONCEF</v>
      </c>
      <c r="E782" s="5">
        <f>IF(B782=0,VLOOKUP(A782,Feuil2!$A$2:$M$1241,6,FALSE)," ")</f>
        <v>24939</v>
      </c>
      <c r="F782" s="1" t="str">
        <f>IF(B782=0,VLOOKUP(A782,Feuil2!$A$2:$M$1241,12,FALSE)," ")</f>
        <v>H</v>
      </c>
      <c r="G782" s="1" t="str">
        <f>IF(B782=0,VLOOKUP(A782,Feuil2!$A$2:$M$1241,11,FALSE)," ")</f>
        <v>M</v>
      </c>
      <c r="H782" s="1" t="s">
        <v>16</v>
      </c>
      <c r="I782" s="6">
        <f>IF(B782=0,VLOOKUP(A782,Feuil2!$A$2:$M$1241,7,FALSE)," ")</f>
        <v>2995824</v>
      </c>
      <c r="J782" s="1" t="str">
        <f>IF(B782=0,VLOOKUP(A782,Feuil2!$A$2:$M$1241,9,FALSE)," ")</f>
        <v>7 Rue Tarek Ibn Zied</v>
      </c>
      <c r="K782" s="1" t="str">
        <f>IF(B782=0,VLOOKUP(A782,Feuil2!$A$2:$M$1241,10,FALSE)," ")</f>
        <v>Msaken 4070</v>
      </c>
      <c r="L782" s="1">
        <v>4070</v>
      </c>
      <c r="M782" s="1">
        <v>98481056</v>
      </c>
      <c r="N782" s="1"/>
      <c r="O782" s="8" t="str">
        <f>IF(B782=0,VLOOKUP(A782,Feuil2!$A$2:$M$1241,13,FALSE)," ")</f>
        <v>05048000116500011767</v>
      </c>
    </row>
    <row r="783" spans="1:15" x14ac:dyDescent="0.3">
      <c r="A783" s="1">
        <v>656</v>
      </c>
      <c r="B783" s="1">
        <v>1</v>
      </c>
      <c r="C783" s="1" t="s">
        <v>161</v>
      </c>
      <c r="D783" s="1" t="s">
        <v>2595</v>
      </c>
      <c r="E783" s="5">
        <v>27198</v>
      </c>
      <c r="F783" s="1" t="s">
        <v>17</v>
      </c>
      <c r="G783" s="1" t="s">
        <v>15</v>
      </c>
      <c r="H783" s="1" t="s">
        <v>16</v>
      </c>
      <c r="I783" s="6" t="str">
        <f>IF(B783=0,VLOOKUP(A783,Feuil2!$A$2:$M$1241,7,FALSE)," ")</f>
        <v xml:space="preserve"> </v>
      </c>
      <c r="J783" s="1" t="str">
        <f>IF(B783=0,VLOOKUP(A783,Feuil2!$A$2:$M$1241,9,FALSE)," ")</f>
        <v xml:space="preserve"> </v>
      </c>
      <c r="K783" s="1" t="str">
        <f>IF(B783=0,VLOOKUP(A783,Feuil2!$A$2:$M$1241,10,FALSE)," ")</f>
        <v xml:space="preserve"> </v>
      </c>
      <c r="L783" s="1"/>
      <c r="M783" s="1"/>
      <c r="N783" s="1"/>
      <c r="O783" s="8" t="str">
        <f>IF(B783=0,VLOOKUP(A783,Feuil2!$A$2:$M$1241,13,FALSE)," ")</f>
        <v xml:space="preserve"> </v>
      </c>
    </row>
    <row r="784" spans="1:15" x14ac:dyDescent="0.3">
      <c r="A784" s="1">
        <v>656</v>
      </c>
      <c r="B784" s="1">
        <v>2</v>
      </c>
      <c r="C784" s="1" t="s">
        <v>394</v>
      </c>
      <c r="D784" s="1" t="s">
        <v>2596</v>
      </c>
      <c r="E784" s="5">
        <v>39964</v>
      </c>
      <c r="F784" s="1" t="s">
        <v>17</v>
      </c>
      <c r="G784" s="1" t="str">
        <f>IF(B784=0,VLOOKUP(A784,Feuil2!$A$2:$M$1241,11,FALSE)," ")</f>
        <v xml:space="preserve"> </v>
      </c>
      <c r="H784" s="1" t="s">
        <v>16</v>
      </c>
      <c r="I784" s="6" t="str">
        <f>IF(B784=0,VLOOKUP(A784,Feuil2!$A$2:$M$1241,7,FALSE)," ")</f>
        <v xml:space="preserve"> </v>
      </c>
      <c r="J784" s="1" t="str">
        <f>IF(B784=0,VLOOKUP(A784,Feuil2!$A$2:$M$1241,9,FALSE)," ")</f>
        <v xml:space="preserve"> </v>
      </c>
      <c r="K784" s="1" t="str">
        <f>IF(B784=0,VLOOKUP(A784,Feuil2!$A$2:$M$1241,10,FALSE)," ")</f>
        <v xml:space="preserve"> </v>
      </c>
      <c r="L784" s="1"/>
      <c r="M784" s="1"/>
      <c r="N784" s="1"/>
      <c r="O784" s="8" t="str">
        <f>IF(B784=0,VLOOKUP(A784,Feuil2!$A$2:$M$1241,13,FALSE)," ")</f>
        <v xml:space="preserve"> </v>
      </c>
    </row>
    <row r="785" spans="1:16" x14ac:dyDescent="0.3">
      <c r="A785" s="1">
        <v>661</v>
      </c>
      <c r="B785" s="12">
        <v>0</v>
      </c>
      <c r="C785" s="12" t="str">
        <f>IF(B785=0,VLOOKUP(A785,Feuil2!$A$2:$M$1241,2,FALSE)," ")</f>
        <v>BEN HMED</v>
      </c>
      <c r="D785" s="12" t="str">
        <f>IF(B785=0,VLOOKUP(A785,Feuil2!$A$2:$M$1241,3,FALSE)," ")</f>
        <v>MOHSEN</v>
      </c>
      <c r="E785" s="13">
        <f>IF(B785=0,VLOOKUP(A785,Feuil2!$A$2:$M$1241,6,FALSE)," ")</f>
        <v>25154</v>
      </c>
      <c r="F785" s="12" t="str">
        <f>IF(B785=0,VLOOKUP(A785,Feuil2!$A$2:$M$1241,12,FALSE)," ")</f>
        <v>H</v>
      </c>
      <c r="G785" s="12" t="str">
        <f>IF(B785=0,VLOOKUP(A785,Feuil2!$A$2:$M$1241,11,FALSE)," ")</f>
        <v>M</v>
      </c>
      <c r="H785" s="12" t="s">
        <v>16</v>
      </c>
      <c r="I785" s="14">
        <f>IF(B785=0,VLOOKUP(A785,Feuil2!$A$2:$M$1241,7,FALSE)," ")</f>
        <v>4162860</v>
      </c>
      <c r="J785" s="12" t="str">
        <f>IF(B785=0,VLOOKUP(A785,Feuil2!$A$2:$M$1241,9,FALSE)," ")</f>
        <v>4015 Beni Rabiaa</v>
      </c>
      <c r="K785" s="12" t="str">
        <f>IF(B785=0,VLOOKUP(A785,Feuil2!$A$2:$M$1241,10,FALSE)," ")</f>
        <v>BÃ©ni Rabiaa 4015</v>
      </c>
      <c r="L785" s="12"/>
      <c r="M785" s="12">
        <v>97225565</v>
      </c>
      <c r="N785" s="12"/>
      <c r="O785" s="15" t="str">
        <f>IF(B785=0,VLOOKUP(A785,Feuil2!$A$2:$M$1241,13,FALSE)," ")</f>
        <v>10506040203845778823</v>
      </c>
    </row>
    <row r="786" spans="1:16" x14ac:dyDescent="0.3">
      <c r="A786" s="1">
        <v>661</v>
      </c>
      <c r="B786" s="1">
        <v>1</v>
      </c>
      <c r="C786" s="1" t="s">
        <v>566</v>
      </c>
      <c r="D786" s="1" t="s">
        <v>1086</v>
      </c>
      <c r="E786" s="5">
        <v>27412</v>
      </c>
      <c r="F786" s="1" t="s">
        <v>17</v>
      </c>
      <c r="G786" s="1" t="s">
        <v>15</v>
      </c>
      <c r="H786" s="1" t="s">
        <v>16</v>
      </c>
      <c r="I786" s="6" t="str">
        <f>IF(B786=0,VLOOKUP(A786,Feuil2!$A$2:$M$1241,7,FALSE)," ")</f>
        <v xml:space="preserve"> </v>
      </c>
      <c r="J786" s="1" t="str">
        <f>IF(B786=0,VLOOKUP(A786,Feuil2!$A$2:$M$1241,9,FALSE)," ")</f>
        <v xml:space="preserve"> </v>
      </c>
      <c r="K786" s="1" t="str">
        <f>IF(B786=0,VLOOKUP(A786,Feuil2!$A$2:$M$1241,10,FALSE)," ")</f>
        <v xml:space="preserve"> </v>
      </c>
      <c r="L786" s="1"/>
      <c r="M786" s="1"/>
      <c r="N786" s="1"/>
      <c r="O786" s="8" t="str">
        <f>IF(B786=0,VLOOKUP(A786,Feuil2!$A$2:$M$1241,13,FALSE)," ")</f>
        <v xml:space="preserve"> </v>
      </c>
    </row>
    <row r="787" spans="1:16" x14ac:dyDescent="0.3">
      <c r="A787" s="1">
        <v>661</v>
      </c>
      <c r="B787" s="1">
        <v>2</v>
      </c>
      <c r="C787" s="1" t="s">
        <v>1131</v>
      </c>
      <c r="D787" s="1" t="s">
        <v>284</v>
      </c>
      <c r="E787" s="5">
        <v>36193</v>
      </c>
      <c r="F787" s="1" t="s">
        <v>506</v>
      </c>
      <c r="G787" s="1" t="str">
        <f>IF(B787=0,VLOOKUP(A787,Feuil2!$A$2:$M$1241,11,FALSE)," ")</f>
        <v xml:space="preserve"> </v>
      </c>
      <c r="H787" s="1" t="s">
        <v>16</v>
      </c>
      <c r="I787" s="6" t="str">
        <f>IF(B787=0,VLOOKUP(A787,Feuil2!$A$2:$M$1241,7,FALSE)," ")</f>
        <v xml:space="preserve"> </v>
      </c>
      <c r="J787" s="1" t="str">
        <f>IF(B787=0,VLOOKUP(A787,Feuil2!$A$2:$M$1241,9,FALSE)," ")</f>
        <v xml:space="preserve"> </v>
      </c>
      <c r="K787" s="1" t="str">
        <f>IF(B787=0,VLOOKUP(A787,Feuil2!$A$2:$M$1241,10,FALSE)," ")</f>
        <v xml:space="preserve"> </v>
      </c>
      <c r="L787" s="1"/>
      <c r="M787" s="1"/>
      <c r="N787" s="1"/>
      <c r="O787" s="8" t="str">
        <f>IF(B787=0,VLOOKUP(A787,Feuil2!$A$2:$M$1241,13,FALSE)," ")</f>
        <v xml:space="preserve"> </v>
      </c>
    </row>
    <row r="788" spans="1:16" x14ac:dyDescent="0.3">
      <c r="A788" s="1">
        <v>661</v>
      </c>
      <c r="B788" s="1">
        <v>3</v>
      </c>
      <c r="C788" s="1" t="s">
        <v>1131</v>
      </c>
      <c r="D788" s="1" t="s">
        <v>212</v>
      </c>
      <c r="E788" s="5">
        <v>37938</v>
      </c>
      <c r="F788" s="1" t="s">
        <v>506</v>
      </c>
      <c r="G788" s="1" t="str">
        <f>IF(B788=0,VLOOKUP(A788,Feuil2!$A$2:$M$1241,11,FALSE)," ")</f>
        <v xml:space="preserve"> </v>
      </c>
      <c r="H788" s="1" t="s">
        <v>16</v>
      </c>
      <c r="I788" s="6" t="str">
        <f>IF(B788=0,VLOOKUP(A788,Feuil2!$A$2:$M$1241,7,FALSE)," ")</f>
        <v xml:space="preserve"> </v>
      </c>
      <c r="J788" s="1" t="str">
        <f>IF(B788=0,VLOOKUP(A788,Feuil2!$A$2:$M$1241,9,FALSE)," ")</f>
        <v xml:space="preserve"> </v>
      </c>
      <c r="K788" s="1" t="str">
        <f>IF(B788=0,VLOOKUP(A788,Feuil2!$A$2:$M$1241,10,FALSE)," ")</f>
        <v xml:space="preserve"> </v>
      </c>
      <c r="L788" s="1"/>
      <c r="M788" s="1"/>
      <c r="N788" s="1"/>
      <c r="O788" s="8" t="str">
        <f>IF(B788=0,VLOOKUP(A788,Feuil2!$A$2:$M$1241,13,FALSE)," ")</f>
        <v xml:space="preserve"> </v>
      </c>
    </row>
    <row r="789" spans="1:16" x14ac:dyDescent="0.3">
      <c r="A789" s="1">
        <v>661</v>
      </c>
      <c r="B789" s="1">
        <v>4</v>
      </c>
      <c r="C789" s="1" t="s">
        <v>1131</v>
      </c>
      <c r="D789" s="1" t="s">
        <v>2332</v>
      </c>
      <c r="E789" s="5">
        <v>40430</v>
      </c>
      <c r="F789" s="1" t="s">
        <v>17</v>
      </c>
      <c r="G789" s="1" t="str">
        <f>IF(B789=0,VLOOKUP(A789,Feuil2!$A$2:$M$1241,11,FALSE)," ")</f>
        <v xml:space="preserve"> </v>
      </c>
      <c r="H789" s="1" t="s">
        <v>16</v>
      </c>
      <c r="I789" s="6" t="str">
        <f>IF(B789=0,VLOOKUP(A789,Feuil2!$A$2:$M$1241,7,FALSE)," ")</f>
        <v xml:space="preserve"> </v>
      </c>
      <c r="J789" s="1" t="str">
        <f>IF(B789=0,VLOOKUP(A789,Feuil2!$A$2:$M$1241,9,FALSE)," ")</f>
        <v xml:space="preserve"> </v>
      </c>
      <c r="K789" s="1" t="str">
        <f>IF(B789=0,VLOOKUP(A789,Feuil2!$A$2:$M$1241,10,FALSE)," ")</f>
        <v xml:space="preserve"> </v>
      </c>
      <c r="L789" s="1"/>
      <c r="M789" s="1"/>
      <c r="N789" s="1"/>
      <c r="O789" s="8" t="str">
        <f>IF(B789=0,VLOOKUP(A789,Feuil2!$A$2:$M$1241,13,FALSE)," ")</f>
        <v xml:space="preserve"> </v>
      </c>
    </row>
    <row r="790" spans="1:16" x14ac:dyDescent="0.3">
      <c r="A790" s="1">
        <v>662</v>
      </c>
      <c r="B790" s="17">
        <v>0</v>
      </c>
      <c r="C790" s="17" t="str">
        <f>IF(B790=0,VLOOKUP(A790,Feuil2!$A$2:$M$1241,2,FALSE)," ")</f>
        <v>BEN YOUSSEF</v>
      </c>
      <c r="D790" s="17" t="str">
        <f>IF(B790=0,VLOOKUP(A790,Feuil2!$A$2:$M$1241,3,FALSE)," ")</f>
        <v>RACHED</v>
      </c>
      <c r="E790" s="18">
        <f>IF(B790=0,VLOOKUP(A790,Feuil2!$A$2:$M$1241,6,FALSE)," ")</f>
        <v>24678</v>
      </c>
      <c r="F790" s="17" t="str">
        <f>IF(B790=0,VLOOKUP(A790,Feuil2!$A$2:$M$1241,12,FALSE)," ")</f>
        <v>H</v>
      </c>
      <c r="G790" s="17" t="str">
        <f>IF(B790=0,VLOOKUP(A790,Feuil2!$A$2:$M$1241,11,FALSE)," ")</f>
        <v>M</v>
      </c>
      <c r="H790" s="17" t="s">
        <v>16</v>
      </c>
      <c r="I790" s="19">
        <f>IF(B790=0,VLOOKUP(A790,Feuil2!$A$2:$M$1241,7,FALSE)," ")</f>
        <v>2981354</v>
      </c>
      <c r="J790" s="17" t="str">
        <f>IF(B790=0,VLOOKUP(A790,Feuil2!$A$2:$M$1241,9,FALSE)," ")</f>
        <v>8 Rue Ibn El Jazzar</v>
      </c>
      <c r="K790" s="17" t="str">
        <f>IF(B790=0,VLOOKUP(A790,Feuil2!$A$2:$M$1241,10,FALSE)," ")</f>
        <v>Messadine 4013</v>
      </c>
      <c r="L790" s="17"/>
      <c r="M790" s="17">
        <v>29073920</v>
      </c>
      <c r="N790" s="17"/>
      <c r="O790" s="20" t="str">
        <f>IF(B790=0,VLOOKUP(A790,Feuil2!$A$2:$M$1241,13,FALSE)," ")</f>
        <v>25018000000009849449</v>
      </c>
    </row>
    <row r="791" spans="1:16" x14ac:dyDescent="0.3">
      <c r="A791" s="1">
        <v>662</v>
      </c>
      <c r="B791" s="1">
        <v>1</v>
      </c>
      <c r="C791" s="1" t="s">
        <v>3052</v>
      </c>
      <c r="D791" s="1" t="s">
        <v>2408</v>
      </c>
      <c r="E791" s="5">
        <v>28844</v>
      </c>
      <c r="F791" s="1" t="s">
        <v>17</v>
      </c>
      <c r="G791" s="1" t="s">
        <v>15</v>
      </c>
      <c r="H791" s="1" t="s">
        <v>16</v>
      </c>
      <c r="I791" s="6" t="str">
        <f>IF(B791=0,VLOOKUP(A791,Feuil2!$A$2:$M$1241,7,FALSE)," ")</f>
        <v xml:space="preserve"> </v>
      </c>
      <c r="J791" s="1" t="str">
        <f>IF(B791=0,VLOOKUP(A791,Feuil2!$A$2:$M$1241,9,FALSE)," ")</f>
        <v xml:space="preserve"> </v>
      </c>
      <c r="K791" s="1" t="str">
        <f>IF(B791=0,VLOOKUP(A791,Feuil2!$A$2:$M$1241,10,FALSE)," ")</f>
        <v xml:space="preserve"> </v>
      </c>
      <c r="L791" s="1"/>
      <c r="M791" s="1"/>
      <c r="N791" s="1"/>
      <c r="O791" s="8" t="str">
        <f>IF(B791=0,VLOOKUP(A791,Feuil2!$A$2:$M$1241,13,FALSE)," ")</f>
        <v xml:space="preserve"> </v>
      </c>
    </row>
    <row r="792" spans="1:16" x14ac:dyDescent="0.3">
      <c r="A792" s="1">
        <v>662</v>
      </c>
      <c r="B792" s="1">
        <v>2</v>
      </c>
      <c r="C792" s="1" t="s">
        <v>171</v>
      </c>
      <c r="D792" s="1" t="s">
        <v>2597</v>
      </c>
      <c r="E792" s="5">
        <v>35356</v>
      </c>
      <c r="F792" s="1" t="s">
        <v>17</v>
      </c>
      <c r="G792" s="1" t="str">
        <f>IF(B792=0,VLOOKUP(A792,Feuil2!$A$2:$M$1241,11,FALSE)," ")</f>
        <v xml:space="preserve"> </v>
      </c>
      <c r="H792" s="1" t="s">
        <v>16</v>
      </c>
      <c r="I792" s="6" t="str">
        <f>IF(B792=0,VLOOKUP(A792,Feuil2!$A$2:$M$1241,7,FALSE)," ")</f>
        <v xml:space="preserve"> </v>
      </c>
      <c r="J792" s="1" t="str">
        <f>IF(B792=0,VLOOKUP(A792,Feuil2!$A$2:$M$1241,9,FALSE)," ")</f>
        <v xml:space="preserve"> </v>
      </c>
      <c r="K792" s="1" t="str">
        <f>IF(B792=0,VLOOKUP(A792,Feuil2!$A$2:$M$1241,10,FALSE)," ")</f>
        <v xml:space="preserve"> </v>
      </c>
      <c r="L792" s="1"/>
      <c r="M792" s="1"/>
      <c r="N792" s="1"/>
      <c r="O792" s="8" t="str">
        <f>IF(B792=0,VLOOKUP(A792,Feuil2!$A$2:$M$1241,13,FALSE)," ")</f>
        <v xml:space="preserve"> </v>
      </c>
    </row>
    <row r="793" spans="1:16" x14ac:dyDescent="0.3">
      <c r="A793" s="1">
        <v>662</v>
      </c>
      <c r="B793" s="1">
        <v>3</v>
      </c>
      <c r="C793" s="1" t="s">
        <v>171</v>
      </c>
      <c r="D793" s="1" t="s">
        <v>89</v>
      </c>
      <c r="E793" s="5">
        <v>36740</v>
      </c>
      <c r="F793" s="1" t="s">
        <v>506</v>
      </c>
      <c r="G793" s="1" t="str">
        <f>IF(B793=0,VLOOKUP(A793,Feuil2!$A$2:$M$1241,11,FALSE)," ")</f>
        <v xml:space="preserve"> </v>
      </c>
      <c r="H793" s="1" t="s">
        <v>16</v>
      </c>
      <c r="I793" s="6" t="str">
        <f>IF(B793=0,VLOOKUP(A793,Feuil2!$A$2:$M$1241,7,FALSE)," ")</f>
        <v xml:space="preserve"> </v>
      </c>
      <c r="J793" s="1" t="str">
        <f>IF(B793=0,VLOOKUP(A793,Feuil2!$A$2:$M$1241,9,FALSE)," ")</f>
        <v xml:space="preserve"> </v>
      </c>
      <c r="K793" s="1" t="str">
        <f>IF(B793=0,VLOOKUP(A793,Feuil2!$A$2:$M$1241,10,FALSE)," ")</f>
        <v xml:space="preserve"> </v>
      </c>
      <c r="L793" s="1"/>
      <c r="M793" s="1"/>
      <c r="N793" s="1"/>
      <c r="O793" s="8" t="str">
        <f>IF(B793=0,VLOOKUP(A793,Feuil2!$A$2:$M$1241,13,FALSE)," ")</f>
        <v xml:space="preserve"> </v>
      </c>
    </row>
    <row r="794" spans="1:16" x14ac:dyDescent="0.3">
      <c r="A794" s="1">
        <v>662</v>
      </c>
      <c r="B794" s="1">
        <v>4</v>
      </c>
      <c r="C794" s="1" t="s">
        <v>171</v>
      </c>
      <c r="D794" s="1" t="s">
        <v>34</v>
      </c>
      <c r="E794" s="5">
        <v>37161</v>
      </c>
      <c r="F794" s="1" t="s">
        <v>506</v>
      </c>
      <c r="G794" s="1" t="str">
        <f>IF(B794=0,VLOOKUP(A794,Feuil2!$A$2:$M$1241,11,FALSE)," ")</f>
        <v xml:space="preserve"> </v>
      </c>
      <c r="H794" s="1" t="s">
        <v>16</v>
      </c>
      <c r="I794" s="6" t="str">
        <f>IF(B794=0,VLOOKUP(A794,Feuil2!$A$2:$M$1241,7,FALSE)," ")</f>
        <v xml:space="preserve"> </v>
      </c>
      <c r="J794" s="1" t="str">
        <f>IF(B794=0,VLOOKUP(A794,Feuil2!$A$2:$M$1241,9,FALSE)," ")</f>
        <v xml:space="preserve"> </v>
      </c>
      <c r="K794" s="1" t="str">
        <f>IF(B794=0,VLOOKUP(A794,Feuil2!$A$2:$M$1241,10,FALSE)," ")</f>
        <v xml:space="preserve"> </v>
      </c>
      <c r="L794" s="1"/>
      <c r="M794" s="1"/>
      <c r="N794" s="1"/>
      <c r="O794" s="8" t="str">
        <f>IF(B794=0,VLOOKUP(A794,Feuil2!$A$2:$M$1241,13,FALSE)," ")</f>
        <v xml:space="preserve"> </v>
      </c>
      <c r="P794" t="s">
        <v>2805</v>
      </c>
    </row>
    <row r="795" spans="1:16" x14ac:dyDescent="0.3">
      <c r="A795" s="1">
        <v>662</v>
      </c>
      <c r="B795" s="1">
        <v>5</v>
      </c>
      <c r="C795" s="1" t="s">
        <v>171</v>
      </c>
      <c r="D795" s="1" t="s">
        <v>2598</v>
      </c>
      <c r="E795" s="5">
        <v>37869</v>
      </c>
      <c r="F795" s="1" t="s">
        <v>506</v>
      </c>
      <c r="G795" s="1" t="str">
        <f>IF(B795=0,VLOOKUP(A795,Feuil2!$A$2:$M$1241,11,FALSE)," ")</f>
        <v xml:space="preserve"> </v>
      </c>
      <c r="H795" s="1" t="s">
        <v>16</v>
      </c>
      <c r="I795" s="6" t="str">
        <f>IF(B795=0,VLOOKUP(A795,Feuil2!$A$2:$M$1241,7,FALSE)," ")</f>
        <v xml:space="preserve"> </v>
      </c>
      <c r="J795" s="1" t="str">
        <f>IF(B795=0,VLOOKUP(A795,Feuil2!$A$2:$M$1241,9,FALSE)," ")</f>
        <v xml:space="preserve"> </v>
      </c>
      <c r="K795" s="1" t="str">
        <f>IF(B795=0,VLOOKUP(A795,Feuil2!$A$2:$M$1241,10,FALSE)," ")</f>
        <v xml:space="preserve"> </v>
      </c>
      <c r="L795" s="1"/>
      <c r="M795" s="1"/>
      <c r="N795" s="1"/>
      <c r="O795" s="8" t="str">
        <f>IF(B795=0,VLOOKUP(A795,Feuil2!$A$2:$M$1241,13,FALSE)," ")</f>
        <v xml:space="preserve"> </v>
      </c>
    </row>
    <row r="796" spans="1:16" x14ac:dyDescent="0.3">
      <c r="A796" s="1">
        <v>662</v>
      </c>
      <c r="B796" s="1">
        <v>6</v>
      </c>
      <c r="C796" s="1" t="s">
        <v>171</v>
      </c>
      <c r="D796" s="1" t="s">
        <v>2599</v>
      </c>
      <c r="E796" s="5">
        <v>40250</v>
      </c>
      <c r="F796" s="1" t="s">
        <v>506</v>
      </c>
      <c r="G796" s="1" t="str">
        <f>IF(B796=0,VLOOKUP(A796,Feuil2!$A$2:$M$1241,11,FALSE)," ")</f>
        <v xml:space="preserve"> </v>
      </c>
      <c r="H796" s="1" t="s">
        <v>16</v>
      </c>
      <c r="I796" s="6" t="str">
        <f>IF(B796=0,VLOOKUP(A796,Feuil2!$A$2:$M$1241,7,FALSE)," ")</f>
        <v xml:space="preserve"> </v>
      </c>
      <c r="J796" s="1" t="str">
        <f>IF(B796=0,VLOOKUP(A796,Feuil2!$A$2:$M$1241,9,FALSE)," ")</f>
        <v xml:space="preserve"> </v>
      </c>
      <c r="K796" s="1" t="str">
        <f>IF(B796=0,VLOOKUP(A796,Feuil2!$A$2:$M$1241,10,FALSE)," ")</f>
        <v xml:space="preserve"> </v>
      </c>
      <c r="L796" s="1"/>
      <c r="M796" s="1"/>
      <c r="N796" s="1"/>
      <c r="O796" s="8" t="str">
        <f>IF(B796=0,VLOOKUP(A796,Feuil2!$A$2:$M$1241,13,FALSE)," ")</f>
        <v xml:space="preserve"> </v>
      </c>
      <c r="P796" s="22"/>
    </row>
    <row r="797" spans="1:16" x14ac:dyDescent="0.3">
      <c r="A797" s="1">
        <v>675</v>
      </c>
      <c r="B797" s="17">
        <v>0</v>
      </c>
      <c r="C797" s="17" t="str">
        <f>IF(B797=0,VLOOKUP(A797,Feuil2!$A$2:$M$1241,2,FALSE)," ")</f>
        <v>BOUBAKER</v>
      </c>
      <c r="D797" s="17" t="str">
        <f>IF(B797=0,VLOOKUP(A797,Feuil2!$A$2:$M$1241,3,FALSE)," ")</f>
        <v>MAHER</v>
      </c>
      <c r="E797" s="18">
        <f>IF(B797=0,VLOOKUP(A797,Feuil2!$A$2:$M$1241,6,FALSE)," ")</f>
        <v>24482</v>
      </c>
      <c r="F797" s="17" t="str">
        <f>IF(B797=0,VLOOKUP(A797,Feuil2!$A$2:$M$1241,12,FALSE)," ")</f>
        <v>H</v>
      </c>
      <c r="G797" s="17" t="str">
        <f>IF(B797=0,VLOOKUP(A797,Feuil2!$A$2:$M$1241,11,FALSE)," ")</f>
        <v>M</v>
      </c>
      <c r="H797" s="17" t="s">
        <v>16</v>
      </c>
      <c r="I797" s="19">
        <f>IF(B797=0,VLOOKUP(A797,Feuil2!$A$2:$M$1241,7,FALSE)," ")</f>
        <v>2977030</v>
      </c>
      <c r="J797" s="17" t="str">
        <f>IF(B797=0,VLOOKUP(A797,Feuil2!$A$2:$M$1241,9,FALSE)," ")</f>
        <v>Rue de la RÃ©publique</v>
      </c>
      <c r="K797" s="17" t="str">
        <f>IF(B797=0,VLOOKUP(A797,Feuil2!$A$2:$M$1241,10,FALSE)," ")</f>
        <v>Messadine 4013</v>
      </c>
      <c r="L797" s="17"/>
      <c r="M797" s="17">
        <v>52686714</v>
      </c>
      <c r="N797" s="17"/>
      <c r="O797" s="20" t="str">
        <f>IF(B797=0,VLOOKUP(A797,Feuil2!$A$2:$M$1241,13,FALSE)," ")</f>
        <v>10506040204381278866</v>
      </c>
    </row>
    <row r="798" spans="1:16" x14ac:dyDescent="0.3">
      <c r="A798" s="1">
        <v>675</v>
      </c>
      <c r="B798" s="1">
        <v>1</v>
      </c>
      <c r="C798" s="1" t="s">
        <v>369</v>
      </c>
      <c r="D798" s="1" t="s">
        <v>746</v>
      </c>
      <c r="E798" s="5">
        <v>26671</v>
      </c>
      <c r="F798" s="1" t="s">
        <v>17</v>
      </c>
      <c r="G798" s="1" t="s">
        <v>15</v>
      </c>
      <c r="H798" s="1" t="s">
        <v>16</v>
      </c>
      <c r="I798" s="6" t="str">
        <f>IF(B798=0,VLOOKUP(A798,Feuil2!$A$2:$M$1241,7,FALSE)," ")</f>
        <v xml:space="preserve"> </v>
      </c>
      <c r="J798" s="1" t="str">
        <f>IF(B798=0,VLOOKUP(A798,Feuil2!$A$2:$M$1241,9,FALSE)," ")</f>
        <v xml:space="preserve"> </v>
      </c>
      <c r="K798" s="1" t="str">
        <f>IF(B798=0,VLOOKUP(A798,Feuil2!$A$2:$M$1241,10,FALSE)," ")</f>
        <v xml:space="preserve"> </v>
      </c>
      <c r="L798" s="1"/>
      <c r="M798" s="1"/>
      <c r="N798" s="1"/>
      <c r="O798" s="8" t="str">
        <f>IF(B798=0,VLOOKUP(A798,Feuil2!$A$2:$M$1241,13,FALSE)," ")</f>
        <v xml:space="preserve"> </v>
      </c>
    </row>
    <row r="799" spans="1:16" x14ac:dyDescent="0.3">
      <c r="A799" s="1">
        <v>675</v>
      </c>
      <c r="B799" s="1">
        <v>2</v>
      </c>
      <c r="C799" s="1" t="s">
        <v>488</v>
      </c>
      <c r="D799" s="1" t="s">
        <v>230</v>
      </c>
      <c r="E799" s="5">
        <v>37965</v>
      </c>
      <c r="F799" s="1" t="s">
        <v>506</v>
      </c>
      <c r="G799" s="1" t="str">
        <f>IF(B799=0,VLOOKUP(A799,Feuil2!$A$2:$M$1241,11,FALSE)," ")</f>
        <v xml:space="preserve"> </v>
      </c>
      <c r="H799" s="1" t="s">
        <v>16</v>
      </c>
      <c r="I799" s="6" t="str">
        <f>IF(B799=0,VLOOKUP(A799,Feuil2!$A$2:$M$1241,7,FALSE)," ")</f>
        <v xml:space="preserve"> </v>
      </c>
      <c r="J799" s="1" t="str">
        <f>IF(B799=0,VLOOKUP(A799,Feuil2!$A$2:$M$1241,9,FALSE)," ")</f>
        <v xml:space="preserve"> </v>
      </c>
      <c r="K799" s="1" t="str">
        <f>IF(B799=0,VLOOKUP(A799,Feuil2!$A$2:$M$1241,10,FALSE)," ")</f>
        <v xml:space="preserve"> </v>
      </c>
      <c r="L799" s="1"/>
      <c r="M799" s="1"/>
      <c r="N799" s="1"/>
      <c r="O799" s="8" t="str">
        <f>IF(B799=0,VLOOKUP(A799,Feuil2!$A$2:$M$1241,13,FALSE)," ")</f>
        <v xml:space="preserve"> </v>
      </c>
    </row>
    <row r="800" spans="1:16" x14ac:dyDescent="0.3">
      <c r="A800" s="1">
        <v>675</v>
      </c>
      <c r="B800" s="1">
        <v>3</v>
      </c>
      <c r="C800" s="1" t="s">
        <v>488</v>
      </c>
      <c r="D800" s="1" t="s">
        <v>61</v>
      </c>
      <c r="E800" s="5">
        <v>40143</v>
      </c>
      <c r="F800" s="1" t="s">
        <v>506</v>
      </c>
      <c r="G800" s="1" t="str">
        <f>IF(B800=0,VLOOKUP(A800,Feuil2!$A$2:$M$1241,11,FALSE)," ")</f>
        <v xml:space="preserve"> </v>
      </c>
      <c r="H800" s="1" t="s">
        <v>16</v>
      </c>
      <c r="I800" s="6" t="str">
        <f>IF(B800=0,VLOOKUP(A800,Feuil2!$A$2:$M$1241,7,FALSE)," ")</f>
        <v xml:space="preserve"> </v>
      </c>
      <c r="J800" s="1" t="str">
        <f>IF(B800=0,VLOOKUP(A800,Feuil2!$A$2:$M$1241,9,FALSE)," ")</f>
        <v xml:space="preserve"> </v>
      </c>
      <c r="K800" s="1" t="str">
        <f>IF(B800=0,VLOOKUP(A800,Feuil2!$A$2:$M$1241,10,FALSE)," ")</f>
        <v xml:space="preserve"> </v>
      </c>
      <c r="L800" s="1"/>
      <c r="M800" s="1"/>
      <c r="N800" s="1"/>
      <c r="O800" s="8" t="str">
        <f>IF(B800=0,VLOOKUP(A800,Feuil2!$A$2:$M$1241,13,FALSE)," ")</f>
        <v xml:space="preserve"> </v>
      </c>
    </row>
    <row r="801" spans="1:16" x14ac:dyDescent="0.3">
      <c r="A801" s="1">
        <v>692</v>
      </c>
      <c r="B801" s="17">
        <v>0</v>
      </c>
      <c r="C801" s="17" t="str">
        <f>IF(B801=0,VLOOKUP(A801,Feuil2!$A$2:$M$1241,2,FALSE)," ")</f>
        <v>ABDELLAH</v>
      </c>
      <c r="D801" s="17" t="str">
        <f>IF(B801=0,VLOOKUP(A801,Feuil2!$A$2:$M$1241,3,FALSE)," ")</f>
        <v>MOHAMED</v>
      </c>
      <c r="E801" s="18">
        <f>IF(B801=0,VLOOKUP(A801,Feuil2!$A$2:$M$1241,6,FALSE)," ")</f>
        <v>25360</v>
      </c>
      <c r="F801" s="17" t="str">
        <f>IF(B801=0,VLOOKUP(A801,Feuil2!$A$2:$M$1241,12,FALSE)," ")</f>
        <v>H</v>
      </c>
      <c r="G801" s="17" t="str">
        <f>IF(B801=0,VLOOKUP(A801,Feuil2!$A$2:$M$1241,11,FALSE)," ")</f>
        <v>M</v>
      </c>
      <c r="H801" s="17" t="s">
        <v>16</v>
      </c>
      <c r="I801" s="19">
        <f>IF(B801=0,VLOOKUP(A801,Feuil2!$A$2:$M$1241,7,FALSE)," ")</f>
        <v>5506228</v>
      </c>
      <c r="J801" s="17" t="str">
        <f>IF(B801=0,VLOOKUP(A801,Feuil2!$A$2:$M$1241,9,FALSE)," ")</f>
        <v>142 Rue Khaireddine</v>
      </c>
      <c r="K801" s="17" t="str">
        <f>IF(B801=0,VLOOKUP(A801,Feuil2!$A$2:$M$1241,10,FALSE)," ")</f>
        <v>Msaken 4070</v>
      </c>
      <c r="L801" s="17">
        <v>4070</v>
      </c>
      <c r="M801" s="17">
        <v>5430256</v>
      </c>
      <c r="N801" s="17"/>
      <c r="O801" s="20" t="str">
        <f>IF(B801=0,VLOOKUP(A801,Feuil2!$A$2:$M$1241,13,FALSE)," ")</f>
        <v>05048000116500470868</v>
      </c>
    </row>
    <row r="802" spans="1:16" x14ac:dyDescent="0.3">
      <c r="A802" s="1">
        <v>692</v>
      </c>
      <c r="B802" s="1">
        <v>1</v>
      </c>
      <c r="C802" s="1" t="s">
        <v>71</v>
      </c>
      <c r="D802" s="1" t="s">
        <v>596</v>
      </c>
      <c r="E802" s="5">
        <v>26429</v>
      </c>
      <c r="F802" s="1" t="s">
        <v>17</v>
      </c>
      <c r="G802" s="1" t="s">
        <v>15</v>
      </c>
      <c r="H802" s="1" t="s">
        <v>16</v>
      </c>
      <c r="I802" s="6" t="str">
        <f>IF(B802=0,VLOOKUP(A802,Feuil2!$A$2:$M$1241,7,FALSE)," ")</f>
        <v xml:space="preserve"> </v>
      </c>
      <c r="J802" s="1" t="str">
        <f>IF(B802=0,VLOOKUP(A802,Feuil2!$A$2:$M$1241,9,FALSE)," ")</f>
        <v xml:space="preserve"> </v>
      </c>
      <c r="K802" s="1" t="str">
        <f>IF(B802=0,VLOOKUP(A802,Feuil2!$A$2:$M$1241,10,FALSE)," ")</f>
        <v xml:space="preserve"> </v>
      </c>
      <c r="L802" s="1"/>
      <c r="M802" s="1"/>
      <c r="N802" s="1"/>
      <c r="O802" s="8" t="str">
        <f>IF(B802=0,VLOOKUP(A802,Feuil2!$A$2:$M$1241,13,FALSE)," ")</f>
        <v xml:space="preserve"> </v>
      </c>
    </row>
    <row r="803" spans="1:16" x14ac:dyDescent="0.3">
      <c r="A803" s="1">
        <v>692</v>
      </c>
      <c r="B803" s="1">
        <v>2</v>
      </c>
      <c r="C803" s="1" t="s">
        <v>177</v>
      </c>
      <c r="D803" s="1" t="s">
        <v>2600</v>
      </c>
      <c r="E803" s="5">
        <v>35137</v>
      </c>
      <c r="F803" s="1" t="s">
        <v>17</v>
      </c>
      <c r="G803" s="1" t="str">
        <f>IF(B803=0,VLOOKUP(A803,Feuil2!$A$2:$M$1241,11,FALSE)," ")</f>
        <v xml:space="preserve"> </v>
      </c>
      <c r="H803" s="1" t="s">
        <v>16</v>
      </c>
      <c r="I803" s="6" t="str">
        <f>IF(B803=0,VLOOKUP(A803,Feuil2!$A$2:$M$1241,7,FALSE)," ")</f>
        <v xml:space="preserve"> </v>
      </c>
      <c r="J803" s="1" t="str">
        <f>IF(B803=0,VLOOKUP(A803,Feuil2!$A$2:$M$1241,9,FALSE)," ")</f>
        <v xml:space="preserve"> </v>
      </c>
      <c r="K803" s="1" t="str">
        <f>IF(B803=0,VLOOKUP(A803,Feuil2!$A$2:$M$1241,10,FALSE)," ")</f>
        <v xml:space="preserve"> </v>
      </c>
      <c r="L803" s="1"/>
      <c r="M803" s="1"/>
      <c r="N803" s="1"/>
      <c r="O803" s="8" t="str">
        <f>IF(B803=0,VLOOKUP(A803,Feuil2!$A$2:$M$1241,13,FALSE)," ")</f>
        <v xml:space="preserve"> </v>
      </c>
    </row>
    <row r="804" spans="1:16" x14ac:dyDescent="0.3">
      <c r="A804" s="1">
        <v>692</v>
      </c>
      <c r="B804" s="1">
        <v>3</v>
      </c>
      <c r="C804" s="1" t="s">
        <v>177</v>
      </c>
      <c r="D804" s="1" t="s">
        <v>232</v>
      </c>
      <c r="E804" s="5">
        <v>36663</v>
      </c>
      <c r="F804" s="1" t="s">
        <v>506</v>
      </c>
      <c r="G804" s="1" t="str">
        <f>IF(B804=0,VLOOKUP(A804,Feuil2!$A$2:$M$1241,11,FALSE)," ")</f>
        <v xml:space="preserve"> </v>
      </c>
      <c r="H804" s="1" t="s">
        <v>16</v>
      </c>
      <c r="I804" s="6" t="str">
        <f>IF(B804=0,VLOOKUP(A804,Feuil2!$A$2:$M$1241,7,FALSE)," ")</f>
        <v xml:space="preserve"> </v>
      </c>
      <c r="J804" s="1" t="str">
        <f>IF(B804=0,VLOOKUP(A804,Feuil2!$A$2:$M$1241,9,FALSE)," ")</f>
        <v xml:space="preserve"> </v>
      </c>
      <c r="K804" s="1" t="str">
        <f>IF(B804=0,VLOOKUP(A804,Feuil2!$A$2:$M$1241,10,FALSE)," ")</f>
        <v xml:space="preserve"> </v>
      </c>
      <c r="L804" s="1"/>
      <c r="M804" s="1"/>
      <c r="N804" s="1"/>
      <c r="O804" s="8" t="str">
        <f>IF(B804=0,VLOOKUP(A804,Feuil2!$A$2:$M$1241,13,FALSE)," ")</f>
        <v xml:space="preserve"> </v>
      </c>
      <c r="P804" s="22"/>
    </row>
    <row r="805" spans="1:16" x14ac:dyDescent="0.3">
      <c r="A805" s="1">
        <v>692</v>
      </c>
      <c r="B805" s="1">
        <v>4</v>
      </c>
      <c r="C805" s="1" t="s">
        <v>177</v>
      </c>
      <c r="D805" s="1" t="s">
        <v>2485</v>
      </c>
      <c r="E805" s="5">
        <v>37525</v>
      </c>
      <c r="F805" s="1" t="s">
        <v>506</v>
      </c>
      <c r="G805" s="1" t="str">
        <f>IF(B805=0,VLOOKUP(A805,Feuil2!$A$2:$M$1241,11,FALSE)," ")</f>
        <v xml:space="preserve"> </v>
      </c>
      <c r="H805" s="1" t="s">
        <v>16</v>
      </c>
      <c r="I805" s="6" t="str">
        <f>IF(B805=0,VLOOKUP(A805,Feuil2!$A$2:$M$1241,7,FALSE)," ")</f>
        <v xml:space="preserve"> </v>
      </c>
      <c r="J805" s="1" t="str">
        <f>IF(B805=0,VLOOKUP(A805,Feuil2!$A$2:$M$1241,9,FALSE)," ")</f>
        <v xml:space="preserve"> </v>
      </c>
      <c r="K805" s="1" t="str">
        <f>IF(B805=0,VLOOKUP(A805,Feuil2!$A$2:$M$1241,10,FALSE)," ")</f>
        <v xml:space="preserve"> </v>
      </c>
      <c r="L805" s="1"/>
      <c r="M805" s="1"/>
      <c r="N805" s="1"/>
      <c r="O805" s="8" t="str">
        <f>IF(B805=0,VLOOKUP(A805,Feuil2!$A$2:$M$1241,13,FALSE)," ")</f>
        <v xml:space="preserve"> </v>
      </c>
    </row>
    <row r="806" spans="1:16" x14ac:dyDescent="0.3">
      <c r="A806" s="1">
        <v>692</v>
      </c>
      <c r="B806" s="1">
        <v>5</v>
      </c>
      <c r="C806" s="1" t="s">
        <v>177</v>
      </c>
      <c r="D806" s="1" t="s">
        <v>2366</v>
      </c>
      <c r="E806" s="5">
        <v>40385</v>
      </c>
      <c r="F806" s="1" t="s">
        <v>506</v>
      </c>
      <c r="G806" s="1" t="str">
        <f>IF(B806=0,VLOOKUP(A806,Feuil2!$A$2:$M$1241,11,FALSE)," ")</f>
        <v xml:space="preserve"> </v>
      </c>
      <c r="H806" s="1" t="s">
        <v>16</v>
      </c>
      <c r="I806" s="6" t="str">
        <f>IF(B806=0,VLOOKUP(A806,Feuil2!$A$2:$M$1241,7,FALSE)," ")</f>
        <v xml:space="preserve"> </v>
      </c>
      <c r="J806" s="1" t="str">
        <f>IF(B806=0,VLOOKUP(A806,Feuil2!$A$2:$M$1241,9,FALSE)," ")</f>
        <v xml:space="preserve"> </v>
      </c>
      <c r="K806" s="1" t="str">
        <f>IF(B806=0,VLOOKUP(A806,Feuil2!$A$2:$M$1241,10,FALSE)," ")</f>
        <v xml:space="preserve"> </v>
      </c>
      <c r="L806" s="1"/>
      <c r="M806" s="1"/>
      <c r="N806" s="1"/>
      <c r="O806" s="8" t="str">
        <f>IF(B806=0,VLOOKUP(A806,Feuil2!$A$2:$M$1241,13,FALSE)," ")</f>
        <v xml:space="preserve"> </v>
      </c>
    </row>
    <row r="807" spans="1:16" x14ac:dyDescent="0.3">
      <c r="A807" s="1">
        <v>701</v>
      </c>
      <c r="B807" s="17">
        <v>0</v>
      </c>
      <c r="C807" s="17" t="str">
        <f>IF(B807=0,VLOOKUP(A807,Feuil2!$A$2:$M$1241,2,FALSE)," ")</f>
        <v>BEN HASSINE</v>
      </c>
      <c r="D807" s="17" t="str">
        <f>IF(B807=0,VLOOKUP(A807,Feuil2!$A$2:$M$1241,3,FALSE)," ")</f>
        <v>ABDELHAKIM</v>
      </c>
      <c r="E807" s="18">
        <f>IF(B807=0,VLOOKUP(A807,Feuil2!$A$2:$M$1241,6,FALSE)," ")</f>
        <v>23384</v>
      </c>
      <c r="F807" s="17" t="str">
        <f>IF(B807=0,VLOOKUP(A807,Feuil2!$A$2:$M$1241,12,FALSE)," ")</f>
        <v>H</v>
      </c>
      <c r="G807" s="17" t="str">
        <f>IF(B807=0,VLOOKUP(A807,Feuil2!$A$2:$M$1241,11,FALSE)," ")</f>
        <v>M</v>
      </c>
      <c r="H807" s="17" t="s">
        <v>16</v>
      </c>
      <c r="I807" s="19">
        <f>IF(B807=0,VLOOKUP(A807,Feuil2!$A$2:$M$1241,7,FALSE)," ")</f>
        <v>2952045</v>
      </c>
      <c r="J807" s="17" t="str">
        <f>IF(B807=0,VLOOKUP(A807,Feuil2!$A$2:$M$1241,9,FALSE)," ")</f>
        <v>267 Av Kh Ibn Walid</v>
      </c>
      <c r="K807" s="17" t="str">
        <f>IF(B807=0,VLOOKUP(A807,Feuil2!$A$2:$M$1241,10,FALSE)," ")</f>
        <v>Messadine 4013</v>
      </c>
      <c r="L807" s="17"/>
      <c r="M807" s="17">
        <v>54203883</v>
      </c>
      <c r="N807" s="17"/>
      <c r="O807" s="20" t="str">
        <f>IF(B807=0,VLOOKUP(A807,Feuil2!$A$2:$M$1241,13,FALSE)," ")</f>
        <v>12505000580101058132</v>
      </c>
      <c r="P807" t="s">
        <v>2805</v>
      </c>
    </row>
    <row r="808" spans="1:16" x14ac:dyDescent="0.3">
      <c r="A808" s="1">
        <v>701</v>
      </c>
      <c r="B808" s="1">
        <v>1</v>
      </c>
      <c r="C808" s="1" t="s">
        <v>314</v>
      </c>
      <c r="D808" s="1" t="s">
        <v>2219</v>
      </c>
      <c r="E808" s="5">
        <v>25504</v>
      </c>
      <c r="F808" s="1" t="s">
        <v>17</v>
      </c>
      <c r="G808" s="1" t="s">
        <v>15</v>
      </c>
      <c r="H808" s="1" t="s">
        <v>16</v>
      </c>
      <c r="I808" s="6" t="str">
        <f>IF(B808=0,VLOOKUP(A808,Feuil2!$A$2:$M$1241,7,FALSE)," ")</f>
        <v xml:space="preserve"> </v>
      </c>
      <c r="J808" s="1" t="str">
        <f>IF(B808=0,VLOOKUP(A808,Feuil2!$A$2:$M$1241,9,FALSE)," ")</f>
        <v xml:space="preserve"> </v>
      </c>
      <c r="K808" s="1" t="str">
        <f>IF(B808=0,VLOOKUP(A808,Feuil2!$A$2:$M$1241,10,FALSE)," ")</f>
        <v xml:space="preserve"> </v>
      </c>
      <c r="L808" s="1"/>
      <c r="M808" s="1"/>
      <c r="N808" s="1"/>
      <c r="O808" s="8" t="str">
        <f>IF(B808=0,VLOOKUP(A808,Feuil2!$A$2:$M$1241,13,FALSE)," ")</f>
        <v xml:space="preserve"> </v>
      </c>
    </row>
    <row r="809" spans="1:16" x14ac:dyDescent="0.3">
      <c r="A809" s="1">
        <v>701</v>
      </c>
      <c r="B809" s="1">
        <v>2</v>
      </c>
      <c r="C809" s="1" t="s">
        <v>314</v>
      </c>
      <c r="D809" s="1" t="s">
        <v>2601</v>
      </c>
      <c r="E809" s="5">
        <v>39356</v>
      </c>
      <c r="F809" s="1" t="s">
        <v>506</v>
      </c>
      <c r="G809" s="1" t="str">
        <f>IF(B809=0,VLOOKUP(A809,Feuil2!$A$2:$M$1241,11,FALSE)," ")</f>
        <v xml:space="preserve"> </v>
      </c>
      <c r="H809" s="1" t="s">
        <v>16</v>
      </c>
      <c r="I809" s="6" t="str">
        <f>IF(B809=0,VLOOKUP(A809,Feuil2!$A$2:$M$1241,7,FALSE)," ")</f>
        <v xml:space="preserve"> </v>
      </c>
      <c r="J809" s="1" t="str">
        <f>IF(B809=0,VLOOKUP(A809,Feuil2!$A$2:$M$1241,9,FALSE)," ")</f>
        <v xml:space="preserve"> </v>
      </c>
      <c r="K809" s="1" t="str">
        <f>IF(B809=0,VLOOKUP(A809,Feuil2!$A$2:$M$1241,10,FALSE)," ")</f>
        <v xml:space="preserve"> </v>
      </c>
      <c r="L809" s="1"/>
      <c r="M809" s="1"/>
      <c r="N809" s="1"/>
      <c r="O809" s="8" t="str">
        <f>IF(B809=0,VLOOKUP(A809,Feuil2!$A$2:$M$1241,13,FALSE)," ")</f>
        <v xml:space="preserve"> </v>
      </c>
    </row>
    <row r="810" spans="1:16" x14ac:dyDescent="0.3">
      <c r="A810" s="1">
        <v>721</v>
      </c>
      <c r="B810" s="1">
        <v>0</v>
      </c>
      <c r="C810" s="1" t="str">
        <f>IF(B810=0,VLOOKUP(A810,Feuil2!$A$2:$M$1241,2,FALSE)," ")</f>
        <v>BEN ABDELJELIL</v>
      </c>
      <c r="D810" s="1" t="str">
        <f>IF(B810=0,VLOOKUP(A810,Feuil2!$A$2:$M$1241,3,FALSE)," ")</f>
        <v>WAHID</v>
      </c>
      <c r="E810" s="5">
        <f>IF(B810=0,VLOOKUP(A810,Feuil2!$A$2:$M$1241,6,FALSE)," ")</f>
        <v>24231</v>
      </c>
      <c r="F810" s="1" t="str">
        <f>IF(B810=0,VLOOKUP(A810,Feuil2!$A$2:$M$1241,12,FALSE)," ")</f>
        <v>H</v>
      </c>
      <c r="G810" s="1" t="str">
        <f>IF(B810=0,VLOOKUP(A810,Feuil2!$A$2:$M$1241,11,FALSE)," ")</f>
        <v>M</v>
      </c>
      <c r="H810" s="1" t="s">
        <v>16</v>
      </c>
      <c r="I810" s="6">
        <f>IF(B810=0,VLOOKUP(A810,Feuil2!$A$2:$M$1241,7,FALSE)," ")</f>
        <v>2983061</v>
      </c>
      <c r="J810" s="1" t="str">
        <f>IF(B810=0,VLOOKUP(A810,Feuil2!$A$2:$M$1241,9,FALSE)," ")</f>
        <v>4 R de Bizerte</v>
      </c>
      <c r="K810" s="1" t="str">
        <f>IF(B810=0,VLOOKUP(A810,Feuil2!$A$2:$M$1241,10,FALSE)," ")</f>
        <v>Msaken 4070</v>
      </c>
      <c r="L810" s="1">
        <v>4070</v>
      </c>
      <c r="M810" s="1">
        <v>28312103</v>
      </c>
      <c r="N810" s="1"/>
      <c r="O810" s="8" t="str">
        <f>IF(B810=0,VLOOKUP(A810,Feuil2!$A$2:$M$1241,13,FALSE)," ")</f>
        <v>10506040203869378826</v>
      </c>
    </row>
    <row r="811" spans="1:16" x14ac:dyDescent="0.3">
      <c r="A811" s="1">
        <v>721</v>
      </c>
      <c r="B811" s="1">
        <v>1</v>
      </c>
      <c r="C811" s="1" t="s">
        <v>2510</v>
      </c>
      <c r="D811" s="1" t="s">
        <v>2353</v>
      </c>
      <c r="E811" s="5">
        <v>27812</v>
      </c>
      <c r="F811" s="1" t="s">
        <v>17</v>
      </c>
      <c r="G811" s="1" t="s">
        <v>15</v>
      </c>
      <c r="H811" s="1" t="s">
        <v>16</v>
      </c>
      <c r="I811" s="6" t="str">
        <f>IF(B811=0,VLOOKUP(A811,Feuil2!$A$2:$M$1241,7,FALSE)," ")</f>
        <v xml:space="preserve"> </v>
      </c>
      <c r="J811" s="1" t="str">
        <f>IF(B811=0,VLOOKUP(A811,Feuil2!$A$2:$M$1241,9,FALSE)," ")</f>
        <v xml:space="preserve"> </v>
      </c>
      <c r="K811" s="1" t="str">
        <f>IF(B811=0,VLOOKUP(A811,Feuil2!$A$2:$M$1241,10,FALSE)," ")</f>
        <v xml:space="preserve"> </v>
      </c>
      <c r="L811" s="1"/>
      <c r="M811" s="1"/>
      <c r="N811" s="1"/>
      <c r="O811" s="8" t="str">
        <f>IF(B811=0,VLOOKUP(A811,Feuil2!$A$2:$M$1241,13,FALSE)," ")</f>
        <v xml:space="preserve"> </v>
      </c>
    </row>
    <row r="812" spans="1:16" x14ac:dyDescent="0.3">
      <c r="A812" s="1">
        <v>721</v>
      </c>
      <c r="B812" s="1">
        <v>2</v>
      </c>
      <c r="C812" s="1" t="s">
        <v>703</v>
      </c>
      <c r="D812" s="1" t="s">
        <v>2347</v>
      </c>
      <c r="E812" s="5">
        <v>38754</v>
      </c>
      <c r="F812" s="1" t="s">
        <v>506</v>
      </c>
      <c r="G812" s="1" t="str">
        <f>IF(B812=0,VLOOKUP(A812,Feuil2!$A$2:$M$1241,11,FALSE)," ")</f>
        <v xml:space="preserve"> </v>
      </c>
      <c r="H812" s="1" t="s">
        <v>16</v>
      </c>
      <c r="I812" s="6" t="str">
        <f>IF(B812=0,VLOOKUP(A812,Feuil2!$A$2:$M$1241,7,FALSE)," ")</f>
        <v xml:space="preserve"> </v>
      </c>
      <c r="J812" s="1" t="str">
        <f>IF(B812=0,VLOOKUP(A812,Feuil2!$A$2:$M$1241,9,FALSE)," ")</f>
        <v xml:space="preserve"> </v>
      </c>
      <c r="K812" s="1" t="str">
        <f>IF(B812=0,VLOOKUP(A812,Feuil2!$A$2:$M$1241,10,FALSE)," ")</f>
        <v xml:space="preserve"> </v>
      </c>
      <c r="L812" s="1"/>
      <c r="M812" s="1"/>
      <c r="N812" s="1"/>
      <c r="O812" s="8" t="str">
        <f>IF(B812=0,VLOOKUP(A812,Feuil2!$A$2:$M$1241,13,FALSE)," ")</f>
        <v xml:space="preserve"> </v>
      </c>
    </row>
    <row r="813" spans="1:16" x14ac:dyDescent="0.3">
      <c r="A813" s="1">
        <v>721</v>
      </c>
      <c r="B813" s="1">
        <v>3</v>
      </c>
      <c r="C813" s="1" t="s">
        <v>703</v>
      </c>
      <c r="D813" s="1" t="s">
        <v>2512</v>
      </c>
      <c r="E813" s="5">
        <v>39459</v>
      </c>
      <c r="F813" s="1" t="s">
        <v>17</v>
      </c>
      <c r="G813" s="1" t="str">
        <f>IF(B813=0,VLOOKUP(A813,Feuil2!$A$2:$M$1241,11,FALSE)," ")</f>
        <v xml:space="preserve"> </v>
      </c>
      <c r="H813" s="1" t="s">
        <v>16</v>
      </c>
      <c r="I813" s="6" t="str">
        <f>IF(B813=0,VLOOKUP(A813,Feuil2!$A$2:$M$1241,7,FALSE)," ")</f>
        <v xml:space="preserve"> </v>
      </c>
      <c r="J813" s="1" t="str">
        <f>IF(B813=0,VLOOKUP(A813,Feuil2!$A$2:$M$1241,9,FALSE)," ")</f>
        <v xml:space="preserve"> </v>
      </c>
      <c r="K813" s="1" t="str">
        <f>IF(B813=0,VLOOKUP(A813,Feuil2!$A$2:$M$1241,10,FALSE)," ")</f>
        <v xml:space="preserve"> </v>
      </c>
      <c r="L813" s="1"/>
      <c r="M813" s="1"/>
      <c r="N813" s="1"/>
      <c r="O813" s="8" t="str">
        <f>IF(B813=0,VLOOKUP(A813,Feuil2!$A$2:$M$1241,13,FALSE)," ")</f>
        <v xml:space="preserve"> </v>
      </c>
    </row>
    <row r="814" spans="1:16" x14ac:dyDescent="0.3">
      <c r="A814" s="1">
        <v>721</v>
      </c>
      <c r="B814" s="1">
        <v>4</v>
      </c>
      <c r="C814" s="1" t="s">
        <v>703</v>
      </c>
      <c r="D814" s="1" t="s">
        <v>2367</v>
      </c>
      <c r="E814" s="5">
        <v>41978</v>
      </c>
      <c r="F814" s="1" t="s">
        <v>17</v>
      </c>
      <c r="G814" s="1" t="str">
        <f>IF(B814=0,VLOOKUP(A814,Feuil2!$A$2:$M$1241,11,FALSE)," ")</f>
        <v xml:space="preserve"> </v>
      </c>
      <c r="H814" s="1" t="s">
        <v>16</v>
      </c>
      <c r="I814" s="6" t="str">
        <f>IF(B814=0,VLOOKUP(A814,Feuil2!$A$2:$M$1241,7,FALSE)," ")</f>
        <v xml:space="preserve"> </v>
      </c>
      <c r="J814" s="1" t="str">
        <f>IF(B814=0,VLOOKUP(A814,Feuil2!$A$2:$M$1241,9,FALSE)," ")</f>
        <v xml:space="preserve"> </v>
      </c>
      <c r="K814" s="1" t="str">
        <f>IF(B814=0,VLOOKUP(A814,Feuil2!$A$2:$M$1241,10,FALSE)," ")</f>
        <v xml:space="preserve"> </v>
      </c>
      <c r="L814" s="1"/>
      <c r="M814" s="1"/>
      <c r="N814" s="1"/>
      <c r="O814" s="8" t="str">
        <f>IF(B814=0,VLOOKUP(A814,Feuil2!$A$2:$M$1241,13,FALSE)," ")</f>
        <v xml:space="preserve"> </v>
      </c>
    </row>
    <row r="815" spans="1:16" x14ac:dyDescent="0.3">
      <c r="A815" s="1">
        <v>784</v>
      </c>
      <c r="B815" s="17">
        <v>0</v>
      </c>
      <c r="C815" s="17" t="str">
        <f>IF(B815=0,VLOOKUP(A815,Feuil2!$A$2:$M$1241,2,FALSE)," ")</f>
        <v>BEN AMOR</v>
      </c>
      <c r="D815" s="17" t="str">
        <f>IF(B815=0,VLOOKUP(A815,Feuil2!$A$2:$M$1241,3,FALSE)," ")</f>
        <v>MED NEJIB</v>
      </c>
      <c r="E815" s="18">
        <f>IF(B815=0,VLOOKUP(A815,Feuil2!$A$2:$M$1241,6,FALSE)," ")</f>
        <v>23622</v>
      </c>
      <c r="F815" s="17" t="str">
        <f>IF(B815=0,VLOOKUP(A815,Feuil2!$A$2:$M$1241,12,FALSE)," ")</f>
        <v>H</v>
      </c>
      <c r="G815" s="17" t="str">
        <f>IF(B815=0,VLOOKUP(A815,Feuil2!$A$2:$M$1241,11,FALSE)," ")</f>
        <v>M</v>
      </c>
      <c r="H815" s="17" t="s">
        <v>16</v>
      </c>
      <c r="I815" s="19">
        <f>IF(B815=0,VLOOKUP(A815,Feuil2!$A$2:$M$1241,7,FALSE)," ")</f>
        <v>2966982</v>
      </c>
      <c r="J815" s="17" t="str">
        <f>IF(B815=0,VLOOKUP(A815,Feuil2!$A$2:$M$1241,9,FALSE)," ")</f>
        <v>Impass Bagdad</v>
      </c>
      <c r="K815" s="17" t="str">
        <f>IF(B815=0,VLOOKUP(A815,Feuil2!$A$2:$M$1241,10,FALSE)," ")</f>
        <v>Messadine 4013</v>
      </c>
      <c r="L815" s="17"/>
      <c r="M815" s="17">
        <v>98793549</v>
      </c>
      <c r="N815" s="17"/>
      <c r="O815" s="20" t="str">
        <f>IF(B815=0,VLOOKUP(A815,Feuil2!$A$2:$M$1241,13,FALSE)," ")</f>
        <v>04204067001222816935</v>
      </c>
    </row>
    <row r="816" spans="1:16" x14ac:dyDescent="0.3">
      <c r="A816" s="1">
        <v>784</v>
      </c>
      <c r="B816" s="1">
        <v>1</v>
      </c>
      <c r="C816" s="1" t="s">
        <v>2602</v>
      </c>
      <c r="D816" s="1" t="s">
        <v>2454</v>
      </c>
      <c r="E816" s="5">
        <v>27821</v>
      </c>
      <c r="F816" s="1" t="s">
        <v>17</v>
      </c>
      <c r="G816" s="1" t="s">
        <v>15</v>
      </c>
      <c r="H816" s="1" t="s">
        <v>16</v>
      </c>
      <c r="I816" s="6" t="str">
        <f>IF(B816=0,VLOOKUP(A816,Feuil2!$A$2:$M$1241,7,FALSE)," ")</f>
        <v xml:space="preserve"> </v>
      </c>
      <c r="J816" s="1" t="str">
        <f>IF(B816=0,VLOOKUP(A816,Feuil2!$A$2:$M$1241,9,FALSE)," ")</f>
        <v xml:space="preserve"> </v>
      </c>
      <c r="K816" s="1" t="str">
        <f>IF(B816=0,VLOOKUP(A816,Feuil2!$A$2:$M$1241,10,FALSE)," ")</f>
        <v xml:space="preserve"> </v>
      </c>
      <c r="L816" s="1"/>
      <c r="M816" s="1"/>
      <c r="N816" s="1"/>
      <c r="O816" s="8" t="str">
        <f>IF(B816=0,VLOOKUP(A816,Feuil2!$A$2:$M$1241,13,FALSE)," ")</f>
        <v xml:space="preserve"> </v>
      </c>
    </row>
    <row r="817" spans="1:16" x14ac:dyDescent="0.3">
      <c r="A817" s="1">
        <v>784</v>
      </c>
      <c r="B817" s="1">
        <v>2</v>
      </c>
      <c r="C817" s="1" t="s">
        <v>217</v>
      </c>
      <c r="D817" s="1" t="s">
        <v>2603</v>
      </c>
      <c r="E817" s="5">
        <v>35878</v>
      </c>
      <c r="F817" s="1" t="s">
        <v>17</v>
      </c>
      <c r="G817" s="1" t="str">
        <f>IF(B817=0,VLOOKUP(A817,Feuil2!$A$2:$M$1241,11,FALSE)," ")</f>
        <v xml:space="preserve"> </v>
      </c>
      <c r="H817" s="1" t="s">
        <v>16</v>
      </c>
      <c r="I817" s="6" t="str">
        <f>IF(B817=0,VLOOKUP(A817,Feuil2!$A$2:$M$1241,7,FALSE)," ")</f>
        <v xml:space="preserve"> </v>
      </c>
      <c r="J817" s="1" t="str">
        <f>IF(B817=0,VLOOKUP(A817,Feuil2!$A$2:$M$1241,9,FALSE)," ")</f>
        <v xml:space="preserve"> </v>
      </c>
      <c r="K817" s="1" t="str">
        <f>IF(B817=0,VLOOKUP(A817,Feuil2!$A$2:$M$1241,10,FALSE)," ")</f>
        <v xml:space="preserve"> </v>
      </c>
      <c r="L817" s="1"/>
      <c r="M817" s="1"/>
      <c r="N817" s="1"/>
      <c r="O817" s="8" t="str">
        <f>IF(B817=0,VLOOKUP(A817,Feuil2!$A$2:$M$1241,13,FALSE)," ")</f>
        <v xml:space="preserve"> </v>
      </c>
    </row>
    <row r="818" spans="1:16" x14ac:dyDescent="0.3">
      <c r="A818" s="1">
        <v>784</v>
      </c>
      <c r="B818" s="1">
        <v>3</v>
      </c>
      <c r="C818" s="1" t="s">
        <v>217</v>
      </c>
      <c r="D818" s="1" t="s">
        <v>2604</v>
      </c>
      <c r="E818" s="5">
        <v>37107</v>
      </c>
      <c r="F818" s="1" t="s">
        <v>17</v>
      </c>
      <c r="G818" s="1" t="str">
        <f>IF(B818=0,VLOOKUP(A818,Feuil2!$A$2:$M$1241,11,FALSE)," ")</f>
        <v xml:space="preserve"> </v>
      </c>
      <c r="H818" s="1" t="s">
        <v>16</v>
      </c>
      <c r="I818" s="6" t="str">
        <f>IF(B818=0,VLOOKUP(A818,Feuil2!$A$2:$M$1241,7,FALSE)," ")</f>
        <v xml:space="preserve"> </v>
      </c>
      <c r="J818" s="1" t="str">
        <f>IF(B818=0,VLOOKUP(A818,Feuil2!$A$2:$M$1241,9,FALSE)," ")</f>
        <v xml:space="preserve"> </v>
      </c>
      <c r="K818" s="1" t="str">
        <f>IF(B818=0,VLOOKUP(A818,Feuil2!$A$2:$M$1241,10,FALSE)," ")</f>
        <v xml:space="preserve"> </v>
      </c>
      <c r="L818" s="1"/>
      <c r="M818" s="1"/>
      <c r="N818" s="1"/>
      <c r="O818" s="8" t="str">
        <f>IF(B818=0,VLOOKUP(A818,Feuil2!$A$2:$M$1241,13,FALSE)," ")</f>
        <v xml:space="preserve"> </v>
      </c>
      <c r="P818" t="s">
        <v>2805</v>
      </c>
    </row>
    <row r="819" spans="1:16" x14ac:dyDescent="0.3">
      <c r="A819" s="1">
        <v>784</v>
      </c>
      <c r="B819" s="1">
        <v>4</v>
      </c>
      <c r="C819" s="1" t="s">
        <v>217</v>
      </c>
      <c r="D819" s="1" t="s">
        <v>2598</v>
      </c>
      <c r="E819" s="5">
        <v>39101</v>
      </c>
      <c r="F819" s="1" t="s">
        <v>506</v>
      </c>
      <c r="G819" s="1" t="str">
        <f>IF(B819=0,VLOOKUP(A819,Feuil2!$A$2:$M$1241,11,FALSE)," ")</f>
        <v xml:space="preserve"> </v>
      </c>
      <c r="H819" s="1" t="s">
        <v>16</v>
      </c>
      <c r="I819" s="6" t="str">
        <f>IF(B819=0,VLOOKUP(A819,Feuil2!$A$2:$M$1241,7,FALSE)," ")</f>
        <v xml:space="preserve"> </v>
      </c>
      <c r="J819" s="1" t="str">
        <f>IF(B819=0,VLOOKUP(A819,Feuil2!$A$2:$M$1241,9,FALSE)," ")</f>
        <v xml:space="preserve"> </v>
      </c>
      <c r="K819" s="1" t="str">
        <f>IF(B819=0,VLOOKUP(A819,Feuil2!$A$2:$M$1241,10,FALSE)," ")</f>
        <v xml:space="preserve"> </v>
      </c>
      <c r="L819" s="1"/>
      <c r="M819" s="1"/>
      <c r="N819" s="1"/>
      <c r="O819" s="8" t="str">
        <f>IF(B819=0,VLOOKUP(A819,Feuil2!$A$2:$M$1241,13,FALSE)," ")</f>
        <v xml:space="preserve"> </v>
      </c>
    </row>
    <row r="820" spans="1:16" x14ac:dyDescent="0.3">
      <c r="A820" s="1">
        <v>784</v>
      </c>
      <c r="B820" s="1">
        <v>5</v>
      </c>
      <c r="C820" s="1" t="s">
        <v>217</v>
      </c>
      <c r="D820" s="1" t="s">
        <v>2592</v>
      </c>
      <c r="E820" s="5">
        <v>39903</v>
      </c>
      <c r="F820" s="1" t="s">
        <v>506</v>
      </c>
      <c r="G820" s="1" t="str">
        <f>IF(B820=0,VLOOKUP(A820,Feuil2!$A$2:$M$1241,11,FALSE)," ")</f>
        <v xml:space="preserve"> </v>
      </c>
      <c r="H820" s="1" t="s">
        <v>16</v>
      </c>
      <c r="I820" s="6" t="str">
        <f>IF(B820=0,VLOOKUP(A820,Feuil2!$A$2:$M$1241,7,FALSE)," ")</f>
        <v xml:space="preserve"> </v>
      </c>
      <c r="J820" s="1" t="str">
        <f>IF(B820=0,VLOOKUP(A820,Feuil2!$A$2:$M$1241,9,FALSE)," ")</f>
        <v xml:space="preserve"> </v>
      </c>
      <c r="K820" s="1" t="str">
        <f>IF(B820=0,VLOOKUP(A820,Feuil2!$A$2:$M$1241,10,FALSE)," ")</f>
        <v xml:space="preserve"> </v>
      </c>
      <c r="L820" s="1"/>
      <c r="M820" s="1"/>
      <c r="N820" s="1"/>
      <c r="O820" s="8" t="str">
        <f>IF(B820=0,VLOOKUP(A820,Feuil2!$A$2:$M$1241,13,FALSE)," ")</f>
        <v xml:space="preserve"> </v>
      </c>
    </row>
    <row r="821" spans="1:16" x14ac:dyDescent="0.3">
      <c r="A821" s="17">
        <v>803</v>
      </c>
      <c r="B821" s="17">
        <v>0</v>
      </c>
      <c r="C821" s="17" t="str">
        <f>IF(B821=0,VLOOKUP(A821,Feuil2!$A$2:$M$1241,2,FALSE)," ")</f>
        <v>KRIFA</v>
      </c>
      <c r="D821" s="17" t="str">
        <f>IF(B821=0,VLOOKUP(A821,Feuil2!$A$2:$M$1241,3,FALSE)," ")</f>
        <v>ALI</v>
      </c>
      <c r="E821" s="18">
        <f>IF(B821=0,VLOOKUP(A821,Feuil2!$A$2:$M$1241,6,FALSE)," ")</f>
        <v>24445</v>
      </c>
      <c r="F821" s="17" t="str">
        <f>IF(B821=0,VLOOKUP(A821,Feuil2!$A$2:$M$1241,12,FALSE)," ")</f>
        <v>H</v>
      </c>
      <c r="G821" s="17" t="str">
        <f>IF(B821=0,VLOOKUP(A821,Feuil2!$A$2:$M$1241,11,FALSE)," ")</f>
        <v>M</v>
      </c>
      <c r="H821" s="17" t="s">
        <v>16</v>
      </c>
      <c r="I821" s="19">
        <f>IF(B821=0,VLOOKUP(A821,Feuil2!$A$2:$M$1241,7,FALSE)," ")</f>
        <v>2979743</v>
      </c>
      <c r="J821" s="17" t="str">
        <f>IF(B821=0,VLOOKUP(A821,Feuil2!$A$2:$M$1241,9,FALSE)," ")</f>
        <v>4025 Sidi El Hani</v>
      </c>
      <c r="K821" s="17" t="str">
        <f>IF(B821=0,VLOOKUP(A821,Feuil2!$A$2:$M$1241,10,FALSE)," ")</f>
        <v>Sidi El HÃ©ni 4025</v>
      </c>
      <c r="L821" s="17"/>
      <c r="M821" s="17">
        <v>98783201</v>
      </c>
      <c r="N821" s="17"/>
      <c r="O821" s="20" t="str">
        <f>IF(B821=0,VLOOKUP(A821,Feuil2!$A$2:$M$1241,13,FALSE)," ")</f>
        <v>03508056010100114302</v>
      </c>
    </row>
    <row r="822" spans="1:16" x14ac:dyDescent="0.3">
      <c r="A822" s="1">
        <v>803</v>
      </c>
      <c r="B822" s="1">
        <v>1</v>
      </c>
      <c r="C822" s="1" t="str">
        <f>IF(B822=0,VLOOKUP(A822,Feuil2!$A$2:$M$1241,2,FALSE)," ")</f>
        <v xml:space="preserve"> </v>
      </c>
      <c r="D822" s="1" t="s">
        <v>2605</v>
      </c>
      <c r="E822" s="5">
        <v>24932</v>
      </c>
      <c r="F822" s="1" t="s">
        <v>17</v>
      </c>
      <c r="G822" s="1" t="s">
        <v>15</v>
      </c>
      <c r="H822" s="1" t="s">
        <v>16</v>
      </c>
      <c r="I822" s="6" t="str">
        <f>IF(B822=0,VLOOKUP(A822,Feuil2!$A$2:$M$1241,7,FALSE)," ")</f>
        <v xml:space="preserve"> </v>
      </c>
      <c r="J822" s="1" t="str">
        <f>IF(B822=0,VLOOKUP(A822,Feuil2!$A$2:$M$1241,9,FALSE)," ")</f>
        <v xml:space="preserve"> </v>
      </c>
      <c r="K822" s="1" t="str">
        <f>IF(B822=0,VLOOKUP(A822,Feuil2!$A$2:$M$1241,10,FALSE)," ")</f>
        <v xml:space="preserve"> </v>
      </c>
      <c r="L822" s="1"/>
      <c r="M822" s="1"/>
      <c r="N822" s="1"/>
      <c r="O822" s="8" t="str">
        <f>IF(B822=0,VLOOKUP(A822,Feuil2!$A$2:$M$1241,13,FALSE)," ")</f>
        <v xml:space="preserve"> </v>
      </c>
    </row>
    <row r="823" spans="1:16" x14ac:dyDescent="0.3">
      <c r="A823" s="1">
        <v>803</v>
      </c>
      <c r="B823" s="1">
        <v>2</v>
      </c>
      <c r="C823" s="1" t="s">
        <v>227</v>
      </c>
      <c r="D823" s="1" t="s">
        <v>2606</v>
      </c>
      <c r="E823" s="5">
        <v>36457</v>
      </c>
      <c r="F823" s="1" t="s">
        <v>17</v>
      </c>
      <c r="G823" s="1" t="str">
        <f>IF(B823=0,VLOOKUP(A823,Feuil2!$A$2:$M$1241,11,FALSE)," ")</f>
        <v xml:space="preserve"> </v>
      </c>
      <c r="H823" s="1" t="s">
        <v>16</v>
      </c>
      <c r="I823" s="6" t="str">
        <f>IF(B823=0,VLOOKUP(A823,Feuil2!$A$2:$M$1241,7,FALSE)," ")</f>
        <v xml:space="preserve"> </v>
      </c>
      <c r="J823" s="1" t="str">
        <f>IF(B823=0,VLOOKUP(A823,Feuil2!$A$2:$M$1241,9,FALSE)," ")</f>
        <v xml:space="preserve"> </v>
      </c>
      <c r="K823" s="1" t="str">
        <f>IF(B823=0,VLOOKUP(A823,Feuil2!$A$2:$M$1241,10,FALSE)," ")</f>
        <v xml:space="preserve"> </v>
      </c>
      <c r="L823" s="1"/>
      <c r="M823" s="1"/>
      <c r="N823" s="1"/>
      <c r="O823" s="8" t="str">
        <f>IF(B823=0,VLOOKUP(A823,Feuil2!$A$2:$M$1241,13,FALSE)," ")</f>
        <v xml:space="preserve"> </v>
      </c>
    </row>
    <row r="824" spans="1:16" x14ac:dyDescent="0.3">
      <c r="A824" s="1">
        <v>803</v>
      </c>
      <c r="B824" s="1">
        <v>3</v>
      </c>
      <c r="C824" s="1" t="s">
        <v>227</v>
      </c>
      <c r="D824" s="1" t="s">
        <v>34</v>
      </c>
      <c r="E824" s="5">
        <v>37460</v>
      </c>
      <c r="F824" s="1" t="s">
        <v>506</v>
      </c>
      <c r="G824" s="1" t="str">
        <f>IF(B824=0,VLOOKUP(A824,Feuil2!$A$2:$M$1241,11,FALSE)," ")</f>
        <v xml:space="preserve"> </v>
      </c>
      <c r="H824" s="1" t="s">
        <v>16</v>
      </c>
      <c r="I824" s="6" t="str">
        <f>IF(B824=0,VLOOKUP(A824,Feuil2!$A$2:$M$1241,7,FALSE)," ")</f>
        <v xml:space="preserve"> </v>
      </c>
      <c r="J824" s="1" t="str">
        <f>IF(B824=0,VLOOKUP(A824,Feuil2!$A$2:$M$1241,9,FALSE)," ")</f>
        <v xml:space="preserve"> </v>
      </c>
      <c r="K824" s="1" t="str">
        <f>IF(B824=0,VLOOKUP(A824,Feuil2!$A$2:$M$1241,10,FALSE)," ")</f>
        <v xml:space="preserve"> </v>
      </c>
      <c r="L824" s="1"/>
      <c r="M824" s="1"/>
      <c r="N824" s="1"/>
      <c r="O824" s="8" t="str">
        <f>IF(B824=0,VLOOKUP(A824,Feuil2!$A$2:$M$1241,13,FALSE)," ")</f>
        <v xml:space="preserve"> </v>
      </c>
    </row>
    <row r="825" spans="1:16" x14ac:dyDescent="0.3">
      <c r="A825" s="17">
        <v>824</v>
      </c>
      <c r="B825" s="17">
        <v>0</v>
      </c>
      <c r="C825" s="17" t="str">
        <f>IF(B825=0,VLOOKUP(A825,Feuil2!$A$2:$M$1241,2,FALSE)," ")</f>
        <v>MRIBAH</v>
      </c>
      <c r="D825" s="17" t="str">
        <f>IF(B825=0,VLOOKUP(A825,Feuil2!$A$2:$M$1241,3,FALSE)," ")</f>
        <v>NACEUR</v>
      </c>
      <c r="E825" s="18">
        <f>IF(B825=0,VLOOKUP(A825,Feuil2!$A$2:$M$1241,6,FALSE)," ")</f>
        <v>24493</v>
      </c>
      <c r="F825" s="17" t="str">
        <f>IF(B825=0,VLOOKUP(A825,Feuil2!$A$2:$M$1241,12,FALSE)," ")</f>
        <v>H</v>
      </c>
      <c r="G825" s="17" t="str">
        <f>IF(B825=0,VLOOKUP(A825,Feuil2!$A$2:$M$1241,11,FALSE)," ")</f>
        <v>M</v>
      </c>
      <c r="H825" s="17" t="s">
        <v>16</v>
      </c>
      <c r="I825" s="19">
        <f>IF(B825=0,VLOOKUP(A825,Feuil2!$A$2:$M$1241,7,FALSE)," ")</f>
        <v>2977876</v>
      </c>
      <c r="J825" s="17" t="str">
        <f>IF(B825=0,VLOOKUP(A825,Feuil2!$A$2:$M$1241,9,FALSE)," ")</f>
        <v>117 Rue Farhat Hached</v>
      </c>
      <c r="K825" s="17" t="str">
        <f>IF(B825=0,VLOOKUP(A825,Feuil2!$A$2:$M$1241,10,FALSE)," ")</f>
        <v>Msaken 4070</v>
      </c>
      <c r="L825" s="17">
        <v>4070</v>
      </c>
      <c r="M825" s="17">
        <v>26363753</v>
      </c>
      <c r="N825" s="17"/>
      <c r="O825" s="20" t="str">
        <f>IF(B825=0,VLOOKUP(A825,Feuil2!$A$2:$M$1241,13,FALSE)," ")</f>
        <v>10506040203883978878</v>
      </c>
    </row>
    <row r="826" spans="1:16" x14ac:dyDescent="0.3">
      <c r="A826" s="1">
        <v>824</v>
      </c>
      <c r="B826" s="1">
        <v>1</v>
      </c>
      <c r="C826" s="1" t="str">
        <f>IF(B826=0,VLOOKUP(A826,Feuil2!$A$2:$M$1241,2,FALSE)," ")</f>
        <v xml:space="preserve"> </v>
      </c>
      <c r="D826" s="1" t="s">
        <v>1387</v>
      </c>
      <c r="E826" s="5">
        <v>25218</v>
      </c>
      <c r="F826" s="1" t="s">
        <v>17</v>
      </c>
      <c r="G826" s="1" t="s">
        <v>15</v>
      </c>
      <c r="H826" s="1" t="s">
        <v>16</v>
      </c>
      <c r="I826" s="6" t="str">
        <f>IF(B826=0,VLOOKUP(A826,Feuil2!$A$2:$M$1241,7,FALSE)," ")</f>
        <v xml:space="preserve"> </v>
      </c>
      <c r="J826" s="1" t="str">
        <f>IF(B826=0,VLOOKUP(A826,Feuil2!$A$2:$M$1241,9,FALSE)," ")</f>
        <v xml:space="preserve"> </v>
      </c>
      <c r="K826" s="1" t="str">
        <f>IF(B826=0,VLOOKUP(A826,Feuil2!$A$2:$M$1241,10,FALSE)," ")</f>
        <v xml:space="preserve"> </v>
      </c>
      <c r="L826" s="1"/>
      <c r="M826" s="1"/>
      <c r="N826" s="1"/>
      <c r="O826" s="8" t="str">
        <f>IF(B826=0,VLOOKUP(A826,Feuil2!$A$2:$M$1241,13,FALSE)," ")</f>
        <v xml:space="preserve"> </v>
      </c>
    </row>
    <row r="827" spans="1:16" x14ac:dyDescent="0.3">
      <c r="A827" s="1">
        <v>824</v>
      </c>
      <c r="B827" s="1">
        <v>2</v>
      </c>
      <c r="C827" s="1" t="s">
        <v>214</v>
      </c>
      <c r="D827" s="1" t="s">
        <v>2607</v>
      </c>
      <c r="E827" s="5">
        <v>36682</v>
      </c>
      <c r="F827" s="1" t="s">
        <v>17</v>
      </c>
      <c r="G827" s="1" t="str">
        <f>IF(B827=0,VLOOKUP(A827,Feuil2!$A$2:$M$1241,11,FALSE)," ")</f>
        <v xml:space="preserve"> </v>
      </c>
      <c r="H827" s="1" t="s">
        <v>16</v>
      </c>
      <c r="I827" s="6" t="str">
        <f>IF(B827=0,VLOOKUP(A827,Feuil2!$A$2:$M$1241,7,FALSE)," ")</f>
        <v xml:space="preserve"> </v>
      </c>
      <c r="J827" s="1" t="str">
        <f>IF(B827=0,VLOOKUP(A827,Feuil2!$A$2:$M$1241,9,FALSE)," ")</f>
        <v xml:space="preserve"> </v>
      </c>
      <c r="K827" s="1" t="str">
        <f>IF(B827=0,VLOOKUP(A827,Feuil2!$A$2:$M$1241,10,FALSE)," ")</f>
        <v xml:space="preserve"> </v>
      </c>
      <c r="L827" s="1"/>
      <c r="M827" s="1"/>
      <c r="N827" s="1"/>
      <c r="O827" s="8" t="str">
        <f>IF(B827=0,VLOOKUP(A827,Feuil2!$A$2:$M$1241,13,FALSE)," ")</f>
        <v xml:space="preserve"> </v>
      </c>
    </row>
    <row r="828" spans="1:16" x14ac:dyDescent="0.3">
      <c r="A828" s="1">
        <v>824</v>
      </c>
      <c r="B828" s="1">
        <v>3</v>
      </c>
      <c r="C828" s="1" t="s">
        <v>214</v>
      </c>
      <c r="D828" s="1" t="s">
        <v>2367</v>
      </c>
      <c r="E828" s="5">
        <v>38714</v>
      </c>
      <c r="F828" s="1" t="s">
        <v>17</v>
      </c>
      <c r="G828" s="1" t="str">
        <f>IF(B828=0,VLOOKUP(A828,Feuil2!$A$2:$M$1241,11,FALSE)," ")</f>
        <v xml:space="preserve"> </v>
      </c>
      <c r="H828" s="1" t="s">
        <v>16</v>
      </c>
      <c r="I828" s="6" t="str">
        <f>IF(B828=0,VLOOKUP(A828,Feuil2!$A$2:$M$1241,7,FALSE)," ")</f>
        <v xml:space="preserve"> </v>
      </c>
      <c r="J828" s="1" t="str">
        <f>IF(B828=0,VLOOKUP(A828,Feuil2!$A$2:$M$1241,9,FALSE)," ")</f>
        <v xml:space="preserve"> </v>
      </c>
      <c r="K828" s="1" t="str">
        <f>IF(B828=0,VLOOKUP(A828,Feuil2!$A$2:$M$1241,10,FALSE)," ")</f>
        <v xml:space="preserve"> </v>
      </c>
      <c r="L828" s="1"/>
      <c r="M828" s="1"/>
      <c r="N828" s="1"/>
      <c r="O828" s="8" t="str">
        <f>IF(B828=0,VLOOKUP(A828,Feuil2!$A$2:$M$1241,13,FALSE)," ")</f>
        <v xml:space="preserve"> </v>
      </c>
    </row>
    <row r="829" spans="1:16" x14ac:dyDescent="0.3">
      <c r="A829" s="1">
        <v>835</v>
      </c>
      <c r="B829" s="1">
        <v>0</v>
      </c>
      <c r="C829" s="1" t="str">
        <f>IF(B829=0,VLOOKUP(A829,Feuil2!$A$2:$M$1241,2,FALSE)," ")</f>
        <v>LAGRAS</v>
      </c>
      <c r="D829" s="1" t="str">
        <f>IF(B829=0,VLOOKUP(A829,Feuil2!$A$2:$M$1241,3,FALSE)," ")</f>
        <v>SADOK</v>
      </c>
      <c r="E829" s="5">
        <f>IF(B829=0,VLOOKUP(A829,Feuil2!$A$2:$M$1241,6,FALSE)," ")</f>
        <v>24293</v>
      </c>
      <c r="F829" s="1" t="str">
        <f>IF(B829=0,VLOOKUP(A829,Feuil2!$A$2:$M$1241,12,FALSE)," ")</f>
        <v>H</v>
      </c>
      <c r="G829" s="1" t="str">
        <f>IF(B829=0,VLOOKUP(A829,Feuil2!$A$2:$M$1241,11,FALSE)," ")</f>
        <v>M</v>
      </c>
      <c r="H829" s="1" t="s">
        <v>16</v>
      </c>
      <c r="I829" s="6">
        <f>IF(B829=0,VLOOKUP(A829,Feuil2!$A$2:$M$1241,7,FALSE)," ")</f>
        <v>2969965</v>
      </c>
      <c r="J829" s="1" t="str">
        <f>IF(B829=0,VLOOKUP(A829,Feuil2!$A$2:$M$1241,9,FALSE)," ")</f>
        <v>172 Rue sidi b Hassen</v>
      </c>
      <c r="K829" s="1" t="str">
        <f>IF(B829=0,VLOOKUP(A829,Feuil2!$A$2:$M$1241,10,FALSE)," ")</f>
        <v>Msaken 4070</v>
      </c>
      <c r="L829" s="1">
        <v>4070</v>
      </c>
      <c r="M829" s="1">
        <v>22408484</v>
      </c>
      <c r="N829" s="1"/>
      <c r="O829" s="8" t="str">
        <f>IF(B829=0,VLOOKUP(A829,Feuil2!$A$2:$M$1241,13,FALSE)," ")</f>
        <v>05048000116500144075</v>
      </c>
    </row>
    <row r="830" spans="1:16" x14ac:dyDescent="0.3">
      <c r="A830" s="1">
        <v>835</v>
      </c>
      <c r="B830" s="1">
        <v>1</v>
      </c>
      <c r="C830" s="1" t="s">
        <v>71</v>
      </c>
      <c r="D830" s="1" t="s">
        <v>596</v>
      </c>
      <c r="E830" s="5">
        <v>25468</v>
      </c>
      <c r="F830" s="1" t="s">
        <v>17</v>
      </c>
      <c r="G830" s="1" t="s">
        <v>15</v>
      </c>
      <c r="H830" s="1" t="s">
        <v>16</v>
      </c>
      <c r="I830" s="6" t="str">
        <f>IF(B830=0,VLOOKUP(A830,Feuil2!$A$2:$M$1241,7,FALSE)," ")</f>
        <v xml:space="preserve"> </v>
      </c>
      <c r="J830" s="1" t="str">
        <f>IF(B830=0,VLOOKUP(A830,Feuil2!$A$2:$M$1241,9,FALSE)," ")</f>
        <v xml:space="preserve"> </v>
      </c>
      <c r="K830" s="1" t="str">
        <f>IF(B830=0,VLOOKUP(A830,Feuil2!$A$2:$M$1241,10,FALSE)," ")</f>
        <v xml:space="preserve"> </v>
      </c>
      <c r="L830" s="1"/>
      <c r="M830" s="1"/>
      <c r="N830" s="1"/>
      <c r="O830" s="8" t="str">
        <f>IF(B830=0,VLOOKUP(A830,Feuil2!$A$2:$M$1241,13,FALSE)," ")</f>
        <v xml:space="preserve"> </v>
      </c>
      <c r="P830" t="s">
        <v>2805</v>
      </c>
    </row>
    <row r="831" spans="1:16" x14ac:dyDescent="0.3">
      <c r="A831" s="1">
        <v>835</v>
      </c>
      <c r="B831" s="1">
        <v>2</v>
      </c>
      <c r="C831" s="1" t="s">
        <v>100</v>
      </c>
      <c r="D831" s="1" t="s">
        <v>2371</v>
      </c>
      <c r="E831" s="5">
        <v>34569</v>
      </c>
      <c r="F831" s="1" t="s">
        <v>17</v>
      </c>
      <c r="G831" s="1" t="str">
        <f>IF(B831=0,VLOOKUP(A831,Feuil2!$A$2:$M$1241,11,FALSE)," ")</f>
        <v xml:space="preserve"> </v>
      </c>
      <c r="H831" s="1" t="s">
        <v>16</v>
      </c>
      <c r="I831" s="6" t="str">
        <f>IF(B831=0,VLOOKUP(A831,Feuil2!$A$2:$M$1241,7,FALSE)," ")</f>
        <v xml:space="preserve"> </v>
      </c>
      <c r="J831" s="1" t="str">
        <f>IF(B831=0,VLOOKUP(A831,Feuil2!$A$2:$M$1241,9,FALSE)," ")</f>
        <v xml:space="preserve"> </v>
      </c>
      <c r="K831" s="1" t="str">
        <f>IF(B831=0,VLOOKUP(A831,Feuil2!$A$2:$M$1241,10,FALSE)," ")</f>
        <v xml:space="preserve"> </v>
      </c>
      <c r="L831" s="1"/>
      <c r="M831" s="1"/>
      <c r="N831" s="1"/>
      <c r="O831" s="8" t="str">
        <f>IF(B831=0,VLOOKUP(A831,Feuil2!$A$2:$M$1241,13,FALSE)," ")</f>
        <v xml:space="preserve"> </v>
      </c>
    </row>
    <row r="832" spans="1:16" x14ac:dyDescent="0.3">
      <c r="A832" s="1">
        <v>835</v>
      </c>
      <c r="B832" s="1">
        <v>3</v>
      </c>
      <c r="C832" s="1" t="s">
        <v>100</v>
      </c>
      <c r="D832" s="1" t="s">
        <v>2411</v>
      </c>
      <c r="E832" s="5">
        <v>35562</v>
      </c>
      <c r="F832" s="1" t="s">
        <v>17</v>
      </c>
      <c r="G832" s="1" t="str">
        <f>IF(B832=0,VLOOKUP(A832,Feuil2!$A$2:$M$1241,11,FALSE)," ")</f>
        <v xml:space="preserve"> </v>
      </c>
      <c r="H832" s="1" t="s">
        <v>16</v>
      </c>
      <c r="I832" s="6" t="str">
        <f>IF(B832=0,VLOOKUP(A832,Feuil2!$A$2:$M$1241,7,FALSE)," ")</f>
        <v xml:space="preserve"> </v>
      </c>
      <c r="J832" s="1" t="str">
        <f>IF(B832=0,VLOOKUP(A832,Feuil2!$A$2:$M$1241,9,FALSE)," ")</f>
        <v xml:space="preserve"> </v>
      </c>
      <c r="K832" s="1" t="str">
        <f>IF(B832=0,VLOOKUP(A832,Feuil2!$A$2:$M$1241,10,FALSE)," ")</f>
        <v xml:space="preserve"> </v>
      </c>
      <c r="L832" s="1"/>
      <c r="M832" s="1"/>
      <c r="N832" s="1"/>
      <c r="O832" s="8" t="str">
        <f>IF(B832=0,VLOOKUP(A832,Feuil2!$A$2:$M$1241,13,FALSE)," ")</f>
        <v xml:space="preserve"> </v>
      </c>
    </row>
    <row r="833" spans="1:15" x14ac:dyDescent="0.3">
      <c r="A833" s="1">
        <v>835</v>
      </c>
      <c r="B833" s="1">
        <v>4</v>
      </c>
      <c r="C833" s="1" t="s">
        <v>100</v>
      </c>
      <c r="D833" s="1" t="s">
        <v>2383</v>
      </c>
      <c r="E833" s="5">
        <v>38681</v>
      </c>
      <c r="F833" s="1" t="s">
        <v>17</v>
      </c>
      <c r="G833" s="1" t="str">
        <f>IF(B833=0,VLOOKUP(A833,Feuil2!$A$2:$M$1241,11,FALSE)," ")</f>
        <v xml:space="preserve"> </v>
      </c>
      <c r="H833" s="1" t="s">
        <v>16</v>
      </c>
      <c r="I833" s="6" t="str">
        <f>IF(B833=0,VLOOKUP(A833,Feuil2!$A$2:$M$1241,7,FALSE)," ")</f>
        <v xml:space="preserve"> </v>
      </c>
      <c r="J833" s="1" t="str">
        <f>IF(B833=0,VLOOKUP(A833,Feuil2!$A$2:$M$1241,9,FALSE)," ")</f>
        <v xml:space="preserve"> </v>
      </c>
      <c r="K833" s="1" t="str">
        <f>IF(B833=0,VLOOKUP(A833,Feuil2!$A$2:$M$1241,10,FALSE)," ")</f>
        <v xml:space="preserve"> </v>
      </c>
      <c r="L833" s="1"/>
      <c r="M833" s="1"/>
      <c r="N833" s="1"/>
      <c r="O833" s="8" t="str">
        <f>IF(B833=0,VLOOKUP(A833,Feuil2!$A$2:$M$1241,13,FALSE)," ")</f>
        <v xml:space="preserve"> </v>
      </c>
    </row>
    <row r="834" spans="1:15" x14ac:dyDescent="0.3">
      <c r="A834" s="17">
        <v>843</v>
      </c>
      <c r="B834" s="17">
        <v>0</v>
      </c>
      <c r="C834" s="17" t="str">
        <f>IF(B834=0,VLOOKUP(A834,Feuil2!$A$2:$M$1241,2,FALSE)," ")</f>
        <v>IBN KHEBACHA</v>
      </c>
      <c r="D834" s="17" t="str">
        <f>IF(B834=0,VLOOKUP(A834,Feuil2!$A$2:$M$1241,3,FALSE)," ")</f>
        <v>ANOUAR</v>
      </c>
      <c r="E834" s="18">
        <f>IF(B834=0,VLOOKUP(A834,Feuil2!$A$2:$M$1241,6,FALSE)," ")</f>
        <v>24482</v>
      </c>
      <c r="F834" s="17" t="str">
        <f>IF(B834=0,VLOOKUP(A834,Feuil2!$A$2:$M$1241,12,FALSE)," ")</f>
        <v>H</v>
      </c>
      <c r="G834" s="17" t="str">
        <f>IF(B834=0,VLOOKUP(A834,Feuil2!$A$2:$M$1241,11,FALSE)," ")</f>
        <v>M</v>
      </c>
      <c r="H834" s="17" t="s">
        <v>16</v>
      </c>
      <c r="I834" s="19">
        <f>IF(B834=0,VLOOKUP(A834,Feuil2!$A$2:$M$1241,7,FALSE)," ")</f>
        <v>2974146</v>
      </c>
      <c r="J834" s="17" t="str">
        <f>IF(B834=0,VLOOKUP(A834,Feuil2!$A$2:$M$1241,9,FALSE)," ")</f>
        <v>Rue Ali Belhouan</v>
      </c>
      <c r="K834" s="17" t="str">
        <f>IF(B834=0,VLOOKUP(A834,Feuil2!$A$2:$M$1241,10,FALSE)," ")</f>
        <v>Messadine 4013</v>
      </c>
      <c r="L834" s="17"/>
      <c r="M834" s="17">
        <v>28412444</v>
      </c>
      <c r="N834" s="17"/>
      <c r="O834" s="20" t="str">
        <f>IF(B834=0,VLOOKUP(A834,Feuil2!$A$2:$M$1241,13,FALSE)," ")</f>
        <v>12505000580101227494</v>
      </c>
    </row>
    <row r="835" spans="1:15" x14ac:dyDescent="0.3">
      <c r="A835" s="1">
        <v>843</v>
      </c>
      <c r="B835" s="1">
        <v>1</v>
      </c>
      <c r="C835" s="1" t="s">
        <v>2608</v>
      </c>
      <c r="D835" s="1" t="s">
        <v>2348</v>
      </c>
      <c r="E835" s="5">
        <v>28676</v>
      </c>
      <c r="F835" s="1" t="s">
        <v>17</v>
      </c>
      <c r="G835" s="1" t="s">
        <v>15</v>
      </c>
      <c r="H835" s="1" t="s">
        <v>16</v>
      </c>
      <c r="I835" s="6" t="str">
        <f>IF(B835=0,VLOOKUP(A835,Feuil2!$A$2:$M$1241,7,FALSE)," ")</f>
        <v xml:space="preserve"> </v>
      </c>
      <c r="J835" s="1" t="str">
        <f>IF(B835=0,VLOOKUP(A835,Feuil2!$A$2:$M$1241,9,FALSE)," ")</f>
        <v xml:space="preserve"> </v>
      </c>
      <c r="K835" s="1" t="str">
        <f>IF(B835=0,VLOOKUP(A835,Feuil2!$A$2:$M$1241,10,FALSE)," ")</f>
        <v xml:space="preserve"> </v>
      </c>
      <c r="L835" s="1"/>
      <c r="M835" s="1"/>
      <c r="N835" s="1"/>
      <c r="O835" s="8" t="str">
        <f>IF(B835=0,VLOOKUP(A835,Feuil2!$A$2:$M$1241,13,FALSE)," ")</f>
        <v xml:space="preserve"> </v>
      </c>
    </row>
    <row r="836" spans="1:15" x14ac:dyDescent="0.3">
      <c r="A836" s="1">
        <v>843</v>
      </c>
      <c r="B836" s="1">
        <v>2</v>
      </c>
      <c r="C836" s="1" t="s">
        <v>1274</v>
      </c>
      <c r="D836" s="1" t="s">
        <v>1541</v>
      </c>
      <c r="E836" s="5">
        <v>35630</v>
      </c>
      <c r="F836" s="1" t="s">
        <v>17</v>
      </c>
      <c r="G836" s="1" t="str">
        <f>IF(B836=0,VLOOKUP(A836,Feuil2!$A$2:$M$1241,11,FALSE)," ")</f>
        <v xml:space="preserve"> </v>
      </c>
      <c r="H836" s="1" t="s">
        <v>16</v>
      </c>
      <c r="I836" s="6" t="str">
        <f>IF(B836=0,VLOOKUP(A836,Feuil2!$A$2:$M$1241,7,FALSE)," ")</f>
        <v xml:space="preserve"> </v>
      </c>
      <c r="J836" s="1" t="str">
        <f>IF(B836=0,VLOOKUP(A836,Feuil2!$A$2:$M$1241,9,FALSE)," ")</f>
        <v xml:space="preserve"> </v>
      </c>
      <c r="K836" s="1" t="str">
        <f>IF(B836=0,VLOOKUP(A836,Feuil2!$A$2:$M$1241,10,FALSE)," ")</f>
        <v xml:space="preserve"> </v>
      </c>
      <c r="L836" s="1"/>
      <c r="M836" s="1"/>
      <c r="N836" s="1"/>
      <c r="O836" s="8" t="str">
        <f>IF(B836=0,VLOOKUP(A836,Feuil2!$A$2:$M$1241,13,FALSE)," ")</f>
        <v xml:space="preserve"> </v>
      </c>
    </row>
    <row r="837" spans="1:15" x14ac:dyDescent="0.3">
      <c r="A837" s="1">
        <v>843</v>
      </c>
      <c r="B837" s="1">
        <v>3</v>
      </c>
      <c r="C837" s="1" t="s">
        <v>1274</v>
      </c>
      <c r="D837" s="1" t="s">
        <v>2347</v>
      </c>
      <c r="E837" s="5">
        <v>36796</v>
      </c>
      <c r="F837" s="1" t="s">
        <v>506</v>
      </c>
      <c r="G837" s="1" t="str">
        <f>IF(B837=0,VLOOKUP(A837,Feuil2!$A$2:$M$1241,11,FALSE)," ")</f>
        <v xml:space="preserve"> </v>
      </c>
      <c r="H837" s="1" t="s">
        <v>16</v>
      </c>
      <c r="I837" s="6" t="str">
        <f>IF(B837=0,VLOOKUP(A837,Feuil2!$A$2:$M$1241,7,FALSE)," ")</f>
        <v xml:space="preserve"> </v>
      </c>
      <c r="J837" s="1" t="str">
        <f>IF(B837=0,VLOOKUP(A837,Feuil2!$A$2:$M$1241,9,FALSE)," ")</f>
        <v xml:space="preserve"> </v>
      </c>
      <c r="K837" s="1" t="str">
        <f>IF(B837=0,VLOOKUP(A837,Feuil2!$A$2:$M$1241,10,FALSE)," ")</f>
        <v xml:space="preserve"> </v>
      </c>
      <c r="L837" s="1"/>
      <c r="M837" s="1"/>
      <c r="N837" s="1"/>
      <c r="O837" s="8" t="str">
        <f>IF(B837=0,VLOOKUP(A837,Feuil2!$A$2:$M$1241,13,FALSE)," ")</f>
        <v xml:space="preserve"> </v>
      </c>
    </row>
    <row r="838" spans="1:15" x14ac:dyDescent="0.3">
      <c r="A838" s="1">
        <v>843</v>
      </c>
      <c r="B838" s="1">
        <v>4</v>
      </c>
      <c r="C838" s="1" t="s">
        <v>1274</v>
      </c>
      <c r="D838" s="1" t="s">
        <v>30</v>
      </c>
      <c r="E838" s="5">
        <v>38707</v>
      </c>
      <c r="F838" s="1" t="s">
        <v>506</v>
      </c>
      <c r="G838" s="1" t="str">
        <f>IF(B838=0,VLOOKUP(A838,Feuil2!$A$2:$M$1241,11,FALSE)," ")</f>
        <v xml:space="preserve"> </v>
      </c>
      <c r="H838" s="1" t="s">
        <v>16</v>
      </c>
      <c r="I838" s="6" t="str">
        <f>IF(B838=0,VLOOKUP(A838,Feuil2!$A$2:$M$1241,7,FALSE)," ")</f>
        <v xml:space="preserve"> </v>
      </c>
      <c r="J838" s="1" t="str">
        <f>IF(B838=0,VLOOKUP(A838,Feuil2!$A$2:$M$1241,9,FALSE)," ")</f>
        <v xml:space="preserve"> </v>
      </c>
      <c r="K838" s="1" t="str">
        <f>IF(B838=0,VLOOKUP(A838,Feuil2!$A$2:$M$1241,10,FALSE)," ")</f>
        <v xml:space="preserve"> </v>
      </c>
      <c r="L838" s="1"/>
      <c r="M838" s="1"/>
      <c r="N838" s="1"/>
      <c r="O838" s="8" t="str">
        <f>IF(B838=0,VLOOKUP(A838,Feuil2!$A$2:$M$1241,13,FALSE)," ")</f>
        <v xml:space="preserve"> </v>
      </c>
    </row>
    <row r="839" spans="1:15" x14ac:dyDescent="0.3">
      <c r="A839" s="1">
        <v>843</v>
      </c>
      <c r="B839" s="1">
        <v>5</v>
      </c>
      <c r="C839" s="1" t="s">
        <v>1274</v>
      </c>
      <c r="D839" s="1" t="s">
        <v>2345</v>
      </c>
      <c r="E839" s="5">
        <v>39149</v>
      </c>
      <c r="F839" s="1" t="s">
        <v>17</v>
      </c>
      <c r="G839" s="1" t="str">
        <f>IF(B839=0,VLOOKUP(A839,Feuil2!$A$2:$M$1241,11,FALSE)," ")</f>
        <v xml:space="preserve"> </v>
      </c>
      <c r="H839" s="1" t="s">
        <v>16</v>
      </c>
      <c r="I839" s="6" t="str">
        <f>IF(B839=0,VLOOKUP(A839,Feuil2!$A$2:$M$1241,7,FALSE)," ")</f>
        <v xml:space="preserve"> </v>
      </c>
      <c r="J839" s="1" t="str">
        <f>IF(B839=0,VLOOKUP(A839,Feuil2!$A$2:$M$1241,9,FALSE)," ")</f>
        <v xml:space="preserve"> </v>
      </c>
      <c r="K839" s="1" t="str">
        <f>IF(B839=0,VLOOKUP(A839,Feuil2!$A$2:$M$1241,10,FALSE)," ")</f>
        <v xml:space="preserve"> </v>
      </c>
      <c r="L839" s="1"/>
      <c r="M839" s="1"/>
      <c r="N839" s="1"/>
      <c r="O839" s="8" t="str">
        <f>IF(B839=0,VLOOKUP(A839,Feuil2!$A$2:$M$1241,13,FALSE)," ")</f>
        <v xml:space="preserve"> </v>
      </c>
    </row>
    <row r="840" spans="1:15" x14ac:dyDescent="0.3">
      <c r="A840" s="1">
        <v>843</v>
      </c>
      <c r="B840" s="1">
        <v>6</v>
      </c>
      <c r="C840" s="1" t="s">
        <v>1274</v>
      </c>
      <c r="D840" s="1" t="s">
        <v>2404</v>
      </c>
      <c r="E840" s="5">
        <v>40030</v>
      </c>
      <c r="F840" s="1" t="s">
        <v>506</v>
      </c>
      <c r="G840" s="1" t="str">
        <f>IF(B840=0,VLOOKUP(A840,Feuil2!$A$2:$M$1241,11,FALSE)," ")</f>
        <v xml:space="preserve"> </v>
      </c>
      <c r="H840" s="1" t="s">
        <v>16</v>
      </c>
      <c r="I840" s="6" t="str">
        <f>IF(B840=0,VLOOKUP(A840,Feuil2!$A$2:$M$1241,7,FALSE)," ")</f>
        <v xml:space="preserve"> </v>
      </c>
      <c r="J840" s="1" t="str">
        <f>IF(B840=0,VLOOKUP(A840,Feuil2!$A$2:$M$1241,9,FALSE)," ")</f>
        <v xml:space="preserve"> </v>
      </c>
      <c r="K840" s="1" t="str">
        <f>IF(B840=0,VLOOKUP(A840,Feuil2!$A$2:$M$1241,10,FALSE)," ")</f>
        <v xml:space="preserve"> </v>
      </c>
      <c r="L840" s="1"/>
      <c r="M840" s="1"/>
      <c r="N840" s="1"/>
      <c r="O840" s="8" t="str">
        <f>IF(B840=0,VLOOKUP(A840,Feuil2!$A$2:$M$1241,13,FALSE)," ")</f>
        <v xml:space="preserve"> </v>
      </c>
    </row>
    <row r="841" spans="1:15" x14ac:dyDescent="0.3">
      <c r="A841" s="1">
        <v>843</v>
      </c>
      <c r="B841" s="1">
        <v>7</v>
      </c>
      <c r="C841" s="1" t="s">
        <v>1274</v>
      </c>
      <c r="D841" s="1" t="s">
        <v>89</v>
      </c>
      <c r="E841" s="5">
        <v>43618</v>
      </c>
      <c r="F841" s="1" t="s">
        <v>506</v>
      </c>
      <c r="G841" s="1" t="str">
        <f>IF(B841=0,VLOOKUP(A841,Feuil2!$A$2:$M$1241,11,FALSE)," ")</f>
        <v xml:space="preserve"> </v>
      </c>
      <c r="H841" s="1" t="s">
        <v>16</v>
      </c>
      <c r="I841" s="6" t="str">
        <f>IF(B841=0,VLOOKUP(A841,Feuil2!$A$2:$M$1241,7,FALSE)," ")</f>
        <v xml:space="preserve"> </v>
      </c>
      <c r="J841" s="1" t="str">
        <f>IF(B841=0,VLOOKUP(A841,Feuil2!$A$2:$M$1241,9,FALSE)," ")</f>
        <v xml:space="preserve"> </v>
      </c>
      <c r="K841" s="1" t="str">
        <f>IF(B841=0,VLOOKUP(A841,Feuil2!$A$2:$M$1241,10,FALSE)," ")</f>
        <v xml:space="preserve"> </v>
      </c>
      <c r="L841" s="1"/>
      <c r="M841" s="1"/>
      <c r="N841" s="1"/>
      <c r="O841" s="8" t="str">
        <f>IF(B841=0,VLOOKUP(A841,Feuil2!$A$2:$M$1241,13,FALSE)," ")</f>
        <v xml:space="preserve"> </v>
      </c>
    </row>
    <row r="842" spans="1:15" x14ac:dyDescent="0.3">
      <c r="A842" s="17">
        <v>854</v>
      </c>
      <c r="B842" s="17">
        <v>0</v>
      </c>
      <c r="C842" s="17" t="str">
        <f>IF(B842=0,VLOOKUP(A842,Feuil2!$A$2:$M$1241,2,FALSE)," ")</f>
        <v>SAHLI</v>
      </c>
      <c r="D842" s="17" t="str">
        <f>IF(B842=0,VLOOKUP(A842,Feuil2!$A$2:$M$1241,3,FALSE)," ")</f>
        <v>SAMIR</v>
      </c>
      <c r="E842" s="18">
        <f>IF(B842=0,VLOOKUP(A842,Feuil2!$A$2:$M$1241,6,FALSE)," ")</f>
        <v>24446</v>
      </c>
      <c r="F842" s="17" t="str">
        <f>IF(B842=0,VLOOKUP(A842,Feuil2!$A$2:$M$1241,12,FALSE)," ")</f>
        <v>H</v>
      </c>
      <c r="G842" s="17" t="str">
        <f>IF(B842=0,VLOOKUP(A842,Feuil2!$A$2:$M$1241,11,FALSE)," ")</f>
        <v>M</v>
      </c>
      <c r="H842" s="17" t="s">
        <v>16</v>
      </c>
      <c r="I842" s="19">
        <f>IF(B842=0,VLOOKUP(A842,Feuil2!$A$2:$M$1241,7,FALSE)," ")</f>
        <v>2980871</v>
      </c>
      <c r="J842" s="17" t="str">
        <f>IF(B842=0,VLOOKUP(A842,Feuil2!$A$2:$M$1241,9,FALSE)," ")</f>
        <v>4015 Borjine</v>
      </c>
      <c r="K842" s="17" t="str">
        <f>IF(B842=0,VLOOKUP(A842,Feuil2!$A$2:$M$1241,10,FALSE)," ")</f>
        <v>Borjine 4015</v>
      </c>
      <c r="L842" s="17">
        <v>4015</v>
      </c>
      <c r="M842" s="17">
        <v>98502782</v>
      </c>
      <c r="N842" s="17"/>
      <c r="O842" s="20" t="str">
        <f>IF(B842=0,VLOOKUP(A842,Feuil2!$A$2:$M$1241,13,FALSE)," ")</f>
        <v>24010033229251110114</v>
      </c>
    </row>
    <row r="843" spans="1:15" x14ac:dyDescent="0.3">
      <c r="A843" s="1">
        <v>854</v>
      </c>
      <c r="B843" s="1">
        <v>1</v>
      </c>
      <c r="C843" s="1" t="s">
        <v>2609</v>
      </c>
      <c r="D843" s="1" t="s">
        <v>2610</v>
      </c>
      <c r="E843" s="5">
        <v>28406</v>
      </c>
      <c r="F843" s="1" t="s">
        <v>17</v>
      </c>
      <c r="G843" s="1" t="s">
        <v>15</v>
      </c>
      <c r="H843" s="1" t="s">
        <v>16</v>
      </c>
      <c r="I843" s="6" t="str">
        <f>IF(B843=0,VLOOKUP(A843,Feuil2!$A$2:$M$1241,7,FALSE)," ")</f>
        <v xml:space="preserve"> </v>
      </c>
      <c r="J843" s="1" t="str">
        <f>IF(B843=0,VLOOKUP(A843,Feuil2!$A$2:$M$1241,9,FALSE)," ")</f>
        <v xml:space="preserve"> </v>
      </c>
      <c r="K843" s="1" t="str">
        <f>IF(B843=0,VLOOKUP(A843,Feuil2!$A$2:$M$1241,10,FALSE)," ")</f>
        <v xml:space="preserve"> </v>
      </c>
      <c r="L843" s="1"/>
      <c r="M843" s="1"/>
      <c r="N843" s="1"/>
      <c r="O843" s="8" t="str">
        <f>IF(B843=0,VLOOKUP(A843,Feuil2!$A$2:$M$1241,13,FALSE)," ")</f>
        <v xml:space="preserve"> </v>
      </c>
    </row>
    <row r="844" spans="1:15" x14ac:dyDescent="0.3">
      <c r="A844" s="1">
        <v>854</v>
      </c>
      <c r="B844" s="1">
        <v>2</v>
      </c>
      <c r="C844" s="1" t="s">
        <v>248</v>
      </c>
      <c r="D844" s="1" t="s">
        <v>2579</v>
      </c>
      <c r="E844" s="5">
        <v>39918</v>
      </c>
      <c r="F844" s="1" t="s">
        <v>17</v>
      </c>
      <c r="G844" s="1" t="str">
        <f>IF(B844=0,VLOOKUP(A844,Feuil2!$A$2:$M$1241,11,FALSE)," ")</f>
        <v xml:space="preserve"> </v>
      </c>
      <c r="H844" s="1" t="s">
        <v>16</v>
      </c>
      <c r="I844" s="6" t="str">
        <f>IF(B844=0,VLOOKUP(A844,Feuil2!$A$2:$M$1241,7,FALSE)," ")</f>
        <v xml:space="preserve"> </v>
      </c>
      <c r="J844" s="1" t="str">
        <f>IF(B844=0,VLOOKUP(A844,Feuil2!$A$2:$M$1241,9,FALSE)," ")</f>
        <v xml:space="preserve"> </v>
      </c>
      <c r="K844" s="1" t="str">
        <f>IF(B844=0,VLOOKUP(A844,Feuil2!$A$2:$M$1241,10,FALSE)," ")</f>
        <v xml:space="preserve"> </v>
      </c>
      <c r="L844" s="1"/>
      <c r="M844" s="1"/>
      <c r="N844" s="1"/>
      <c r="O844" s="8" t="str">
        <f>IF(B844=0,VLOOKUP(A844,Feuil2!$A$2:$M$1241,13,FALSE)," ")</f>
        <v xml:space="preserve"> </v>
      </c>
    </row>
    <row r="845" spans="1:15" x14ac:dyDescent="0.3">
      <c r="A845" s="17">
        <v>872</v>
      </c>
      <c r="B845" s="17">
        <v>0</v>
      </c>
      <c r="C845" s="17" t="str">
        <f>IF(B845=0,VLOOKUP(A845,Feuil2!$A$2:$M$1241,2,FALSE)," ")</f>
        <v>BOUHLEL</v>
      </c>
      <c r="D845" s="17" t="str">
        <f>IF(B845=0,VLOOKUP(A845,Feuil2!$A$2:$M$1241,3,FALSE)," ")</f>
        <v>SAMIR</v>
      </c>
      <c r="E845" s="18">
        <f>IF(B845=0,VLOOKUP(A845,Feuil2!$A$2:$M$1241,6,FALSE)," ")</f>
        <v>25248</v>
      </c>
      <c r="F845" s="17" t="str">
        <f>IF(B845=0,VLOOKUP(A845,Feuil2!$A$2:$M$1241,12,FALSE)," ")</f>
        <v>H</v>
      </c>
      <c r="G845" s="17" t="str">
        <f>IF(B845=0,VLOOKUP(A845,Feuil2!$A$2:$M$1241,11,FALSE)," ")</f>
        <v>M</v>
      </c>
      <c r="H845" s="17" t="s">
        <v>16</v>
      </c>
      <c r="I845" s="19">
        <f>IF(B845=0,VLOOKUP(A845,Feuil2!$A$2:$M$1241,7,FALSE)," ")</f>
        <v>2985571</v>
      </c>
      <c r="J845" s="17" t="str">
        <f>IF(B845=0,VLOOKUP(A845,Feuil2!$A$2:$M$1241,9,FALSE)," ")</f>
        <v>39 R Hamda Hamila</v>
      </c>
      <c r="K845" s="17" t="str">
        <f>IF(B845=0,VLOOKUP(A845,Feuil2!$A$2:$M$1241,10,FALSE)," ")</f>
        <v>Msaken 4070</v>
      </c>
      <c r="L845" s="17">
        <v>4070</v>
      </c>
      <c r="M845" s="17">
        <v>22901158</v>
      </c>
      <c r="N845" s="17"/>
      <c r="O845" s="20" t="str">
        <f>IF(B845=0,VLOOKUP(A845,Feuil2!$A$2:$M$1241,13,FALSE)," ")</f>
        <v>08507000262000224324</v>
      </c>
    </row>
    <row r="846" spans="1:15" x14ac:dyDescent="0.3">
      <c r="A846" s="1">
        <v>872</v>
      </c>
      <c r="B846" s="1">
        <v>1</v>
      </c>
      <c r="C846" s="1" t="str">
        <f>IF(B846=0,VLOOKUP(A846,Feuil2!$A$2:$M$1241,2,FALSE)," ")</f>
        <v xml:space="preserve"> </v>
      </c>
      <c r="D846" s="1" t="s">
        <v>2086</v>
      </c>
      <c r="E846" s="5">
        <v>29127</v>
      </c>
      <c r="F846" s="1" t="s">
        <v>17</v>
      </c>
      <c r="G846" s="1" t="s">
        <v>15</v>
      </c>
      <c r="H846" s="1" t="s">
        <v>16</v>
      </c>
      <c r="I846" s="6" t="str">
        <f>IF(B846=0,VLOOKUP(A846,Feuil2!$A$2:$M$1241,7,FALSE)," ")</f>
        <v xml:space="preserve"> </v>
      </c>
      <c r="J846" s="1" t="str">
        <f>IF(B846=0,VLOOKUP(A846,Feuil2!$A$2:$M$1241,9,FALSE)," ")</f>
        <v xml:space="preserve"> </v>
      </c>
      <c r="K846" s="1" t="str">
        <f>IF(B846=0,VLOOKUP(A846,Feuil2!$A$2:$M$1241,10,FALSE)," ")</f>
        <v xml:space="preserve"> </v>
      </c>
      <c r="L846" s="1"/>
      <c r="M846" s="1"/>
      <c r="N846" s="1"/>
      <c r="O846" s="8" t="str">
        <f>IF(B846=0,VLOOKUP(A846,Feuil2!$A$2:$M$1241,13,FALSE)," ")</f>
        <v xml:space="preserve"> </v>
      </c>
    </row>
    <row r="847" spans="1:15" x14ac:dyDescent="0.3">
      <c r="A847" s="1">
        <v>872</v>
      </c>
      <c r="B847" s="1">
        <v>2</v>
      </c>
      <c r="C847" s="1" t="s">
        <v>83</v>
      </c>
      <c r="D847" s="1" t="s">
        <v>2380</v>
      </c>
      <c r="E847" s="5">
        <v>36489</v>
      </c>
      <c r="F847" s="1" t="s">
        <v>17</v>
      </c>
      <c r="G847" s="1" t="str">
        <f>IF(B847=0,VLOOKUP(A847,Feuil2!$A$2:$M$1241,11,FALSE)," ")</f>
        <v xml:space="preserve"> </v>
      </c>
      <c r="H847" s="1" t="s">
        <v>16</v>
      </c>
      <c r="I847" s="6" t="str">
        <f>IF(B847=0,VLOOKUP(A847,Feuil2!$A$2:$M$1241,7,FALSE)," ")</f>
        <v xml:space="preserve"> </v>
      </c>
      <c r="J847" s="1" t="str">
        <f>IF(B847=0,VLOOKUP(A847,Feuil2!$A$2:$M$1241,9,FALSE)," ")</f>
        <v xml:space="preserve"> </v>
      </c>
      <c r="K847" s="1" t="str">
        <f>IF(B847=0,VLOOKUP(A847,Feuil2!$A$2:$M$1241,10,FALSE)," ")</f>
        <v xml:space="preserve"> </v>
      </c>
      <c r="L847" s="1"/>
      <c r="M847" s="1"/>
      <c r="N847" s="1"/>
      <c r="O847" s="8" t="str">
        <f>IF(B847=0,VLOOKUP(A847,Feuil2!$A$2:$M$1241,13,FALSE)," ")</f>
        <v xml:space="preserve"> </v>
      </c>
    </row>
    <row r="848" spans="1:15" x14ac:dyDescent="0.3">
      <c r="A848" s="1">
        <v>872</v>
      </c>
      <c r="B848" s="1">
        <v>3</v>
      </c>
      <c r="C848" s="1" t="s">
        <v>83</v>
      </c>
      <c r="D848" s="1" t="s">
        <v>2382</v>
      </c>
      <c r="E848" s="5">
        <v>36489</v>
      </c>
      <c r="F848" s="1" t="s">
        <v>17</v>
      </c>
      <c r="G848" s="1" t="str">
        <f>IF(B848=0,VLOOKUP(A848,Feuil2!$A$2:$M$1241,11,FALSE)," ")</f>
        <v xml:space="preserve"> </v>
      </c>
      <c r="H848" s="1" t="s">
        <v>16</v>
      </c>
      <c r="I848" s="6" t="str">
        <f>IF(B848=0,VLOOKUP(A848,Feuil2!$A$2:$M$1241,7,FALSE)," ")</f>
        <v xml:space="preserve"> </v>
      </c>
      <c r="J848" s="1" t="str">
        <f>IF(B848=0,VLOOKUP(A848,Feuil2!$A$2:$M$1241,9,FALSE)," ")</f>
        <v xml:space="preserve"> </v>
      </c>
      <c r="K848" s="1" t="str">
        <f>IF(B848=0,VLOOKUP(A848,Feuil2!$A$2:$M$1241,10,FALSE)," ")</f>
        <v xml:space="preserve"> </v>
      </c>
      <c r="L848" s="1"/>
      <c r="M848" s="1"/>
      <c r="N848" s="1"/>
      <c r="O848" s="8" t="str">
        <f>IF(B848=0,VLOOKUP(A848,Feuil2!$A$2:$M$1241,13,FALSE)," ")</f>
        <v xml:space="preserve"> </v>
      </c>
    </row>
    <row r="849" spans="1:16" x14ac:dyDescent="0.3">
      <c r="A849" s="1">
        <v>872</v>
      </c>
      <c r="B849" s="1">
        <v>4</v>
      </c>
      <c r="C849" s="1" t="s">
        <v>83</v>
      </c>
      <c r="D849" s="1" t="s">
        <v>441</v>
      </c>
      <c r="E849" s="5">
        <v>38008</v>
      </c>
      <c r="F849" s="1" t="s">
        <v>506</v>
      </c>
      <c r="G849" s="1" t="str">
        <f>IF(B849=0,VLOOKUP(A849,Feuil2!$A$2:$M$1241,11,FALSE)," ")</f>
        <v xml:space="preserve"> </v>
      </c>
      <c r="H849" s="1" t="s">
        <v>16</v>
      </c>
      <c r="I849" s="6" t="str">
        <f>IF(B849=0,VLOOKUP(A849,Feuil2!$A$2:$M$1241,7,FALSE)," ")</f>
        <v xml:space="preserve"> </v>
      </c>
      <c r="J849" s="1" t="str">
        <f>IF(B849=0,VLOOKUP(A849,Feuil2!$A$2:$M$1241,9,FALSE)," ")</f>
        <v xml:space="preserve"> </v>
      </c>
      <c r="K849" s="1" t="str">
        <f>IF(B849=0,VLOOKUP(A849,Feuil2!$A$2:$M$1241,10,FALSE)," ")</f>
        <v xml:space="preserve"> </v>
      </c>
      <c r="L849" s="1"/>
      <c r="M849" s="1"/>
      <c r="N849" s="1"/>
      <c r="O849" s="8" t="str">
        <f>IF(B849=0,VLOOKUP(A849,Feuil2!$A$2:$M$1241,13,FALSE)," ")</f>
        <v xml:space="preserve"> </v>
      </c>
    </row>
    <row r="850" spans="1:16" x14ac:dyDescent="0.3">
      <c r="A850" s="1">
        <v>872</v>
      </c>
      <c r="B850" s="1">
        <v>5</v>
      </c>
      <c r="C850" s="1" t="s">
        <v>83</v>
      </c>
      <c r="D850" s="1" t="s">
        <v>2381</v>
      </c>
      <c r="E850" s="5">
        <v>40081</v>
      </c>
      <c r="F850" s="1" t="s">
        <v>17</v>
      </c>
      <c r="G850" s="1" t="str">
        <f>IF(B850=0,VLOOKUP(A850,Feuil2!$A$2:$M$1241,11,FALSE)," ")</f>
        <v xml:space="preserve"> </v>
      </c>
      <c r="H850" s="1" t="s">
        <v>16</v>
      </c>
      <c r="I850" s="6" t="str">
        <f>IF(B850=0,VLOOKUP(A850,Feuil2!$A$2:$M$1241,7,FALSE)," ")</f>
        <v xml:space="preserve"> </v>
      </c>
      <c r="J850" s="1" t="str">
        <f>IF(B850=0,VLOOKUP(A850,Feuil2!$A$2:$M$1241,9,FALSE)," ")</f>
        <v xml:space="preserve"> </v>
      </c>
      <c r="K850" s="1" t="str">
        <f>IF(B850=0,VLOOKUP(A850,Feuil2!$A$2:$M$1241,10,FALSE)," ")</f>
        <v xml:space="preserve"> </v>
      </c>
      <c r="L850" s="1"/>
      <c r="M850" s="1"/>
      <c r="N850" s="1"/>
      <c r="O850" s="8" t="str">
        <f>IF(B850=0,VLOOKUP(A850,Feuil2!$A$2:$M$1241,13,FALSE)," ")</f>
        <v xml:space="preserve"> </v>
      </c>
    </row>
    <row r="851" spans="1:16" x14ac:dyDescent="0.3">
      <c r="A851" s="1">
        <v>872</v>
      </c>
      <c r="B851" s="1">
        <v>6</v>
      </c>
      <c r="C851" s="1" t="s">
        <v>83</v>
      </c>
      <c r="D851" s="1" t="s">
        <v>2611</v>
      </c>
      <c r="E851" s="5">
        <v>43786</v>
      </c>
      <c r="F851" s="1" t="s">
        <v>506</v>
      </c>
      <c r="G851" s="1" t="str">
        <f>IF(B851=0,VLOOKUP(A851,Feuil2!$A$2:$M$1241,11,FALSE)," ")</f>
        <v xml:space="preserve"> </v>
      </c>
      <c r="H851" s="1" t="s">
        <v>16</v>
      </c>
      <c r="I851" s="6" t="str">
        <f>IF(B851=0,VLOOKUP(A851,Feuil2!$A$2:$M$1241,7,FALSE)," ")</f>
        <v xml:space="preserve"> </v>
      </c>
      <c r="J851" s="1" t="str">
        <f>IF(B851=0,VLOOKUP(A851,Feuil2!$A$2:$M$1241,9,FALSE)," ")</f>
        <v xml:space="preserve"> </v>
      </c>
      <c r="K851" s="1" t="str">
        <f>IF(B851=0,VLOOKUP(A851,Feuil2!$A$2:$M$1241,10,FALSE)," ")</f>
        <v xml:space="preserve"> </v>
      </c>
      <c r="L851" s="1"/>
      <c r="M851" s="1"/>
      <c r="N851" s="1"/>
      <c r="O851" s="8" t="str">
        <f>IF(B851=0,VLOOKUP(A851,Feuil2!$A$2:$M$1241,13,FALSE)," ")</f>
        <v xml:space="preserve"> </v>
      </c>
    </row>
    <row r="852" spans="1:16" x14ac:dyDescent="0.3">
      <c r="A852" s="1">
        <v>879</v>
      </c>
      <c r="B852" s="1">
        <v>0</v>
      </c>
      <c r="C852" s="1" t="str">
        <f>IF(B852=0,VLOOKUP(A852,Feuil2!$A$2:$M$1241,2,FALSE)," ")</f>
        <v>MOUSSA</v>
      </c>
      <c r="D852" s="1" t="str">
        <f>IF(B852=0,VLOOKUP(A852,Feuil2!$A$2:$M$1241,3,FALSE)," ")</f>
        <v>ABDERRAZEK</v>
      </c>
      <c r="E852" s="5">
        <f>IF(B852=0,VLOOKUP(A852,Feuil2!$A$2:$M$1241,6,FALSE)," ")</f>
        <v>24954</v>
      </c>
      <c r="F852" s="1" t="str">
        <f>IF(B852=0,VLOOKUP(A852,Feuil2!$A$2:$M$1241,12,FALSE)," ")</f>
        <v>H</v>
      </c>
      <c r="G852" s="1" t="str">
        <f>IF(B852=0,VLOOKUP(A852,Feuil2!$A$2:$M$1241,11,FALSE)," ")</f>
        <v>M</v>
      </c>
      <c r="H852" s="1" t="s">
        <v>16</v>
      </c>
      <c r="I852" s="6">
        <f>IF(B852=0,VLOOKUP(A852,Feuil2!$A$2:$M$1241,7,FALSE)," ")</f>
        <v>2994644</v>
      </c>
      <c r="J852" s="1" t="str">
        <f>IF(B852=0,VLOOKUP(A852,Feuil2!$A$2:$M$1241,9,FALSE)," ")</f>
        <v>20 Rue  Mohamed Ali</v>
      </c>
      <c r="K852" s="1" t="str">
        <f>IF(B852=0,VLOOKUP(A852,Feuil2!$A$2:$M$1241,10,FALSE)," ")</f>
        <v>Msaken 4070</v>
      </c>
      <c r="L852" s="1">
        <v>4070</v>
      </c>
      <c r="M852" s="1">
        <v>55847646</v>
      </c>
      <c r="N852" s="1"/>
      <c r="O852" s="8" t="str">
        <f>IF(B852=0,VLOOKUP(A852,Feuil2!$A$2:$M$1241,13,FALSE)," ")</f>
        <v>25018000000018656855</v>
      </c>
    </row>
    <row r="853" spans="1:16" x14ac:dyDescent="0.3">
      <c r="A853" s="1">
        <v>879</v>
      </c>
      <c r="B853" s="1">
        <v>1</v>
      </c>
      <c r="C853" s="1" t="s">
        <v>182</v>
      </c>
      <c r="D853" s="1" t="s">
        <v>2219</v>
      </c>
      <c r="E853" s="5">
        <v>28667</v>
      </c>
      <c r="F853" s="1" t="s">
        <v>17</v>
      </c>
      <c r="G853" s="1" t="s">
        <v>15</v>
      </c>
      <c r="H853" s="1" t="s">
        <v>16</v>
      </c>
      <c r="I853" s="6" t="str">
        <f>IF(B853=0,VLOOKUP(A853,Feuil2!$A$2:$M$1241,7,FALSE)," ")</f>
        <v xml:space="preserve"> </v>
      </c>
      <c r="J853" s="1" t="str">
        <f>IF(B853=0,VLOOKUP(A853,Feuil2!$A$2:$M$1241,9,FALSE)," ")</f>
        <v xml:space="preserve"> </v>
      </c>
      <c r="K853" s="1" t="str">
        <f>IF(B853=0,VLOOKUP(A853,Feuil2!$A$2:$M$1241,10,FALSE)," ")</f>
        <v xml:space="preserve"> </v>
      </c>
      <c r="L853" s="1"/>
      <c r="M853" s="1"/>
      <c r="N853" s="1"/>
      <c r="O853" s="8" t="str">
        <f>IF(B853=0,VLOOKUP(A853,Feuil2!$A$2:$M$1241,13,FALSE)," ")</f>
        <v xml:space="preserve"> </v>
      </c>
    </row>
    <row r="854" spans="1:16" x14ac:dyDescent="0.3">
      <c r="A854" s="1">
        <v>879</v>
      </c>
      <c r="B854" s="1">
        <v>2</v>
      </c>
      <c r="C854" s="1" t="s">
        <v>67</v>
      </c>
      <c r="D854" s="1" t="s">
        <v>2612</v>
      </c>
      <c r="E854" s="5">
        <v>36471</v>
      </c>
      <c r="F854" s="1" t="s">
        <v>506</v>
      </c>
      <c r="G854" s="1" t="str">
        <f>IF(B854=0,VLOOKUP(A854,Feuil2!$A$2:$M$1241,11,FALSE)," ")</f>
        <v xml:space="preserve"> </v>
      </c>
      <c r="H854" s="1" t="s">
        <v>16</v>
      </c>
      <c r="I854" s="6" t="str">
        <f>IF(B854=0,VLOOKUP(A854,Feuil2!$A$2:$M$1241,7,FALSE)," ")</f>
        <v xml:space="preserve"> </v>
      </c>
      <c r="J854" s="1" t="str">
        <f>IF(B854=0,VLOOKUP(A854,Feuil2!$A$2:$M$1241,9,FALSE)," ")</f>
        <v xml:space="preserve"> </v>
      </c>
      <c r="K854" s="1" t="str">
        <f>IF(B854=0,VLOOKUP(A854,Feuil2!$A$2:$M$1241,10,FALSE)," ")</f>
        <v xml:space="preserve"> </v>
      </c>
      <c r="L854" s="1"/>
      <c r="M854" s="1"/>
      <c r="N854" s="1"/>
      <c r="O854" s="8" t="str">
        <f>IF(B854=0,VLOOKUP(A854,Feuil2!$A$2:$M$1241,13,FALSE)," ")</f>
        <v xml:space="preserve"> </v>
      </c>
    </row>
    <row r="855" spans="1:16" x14ac:dyDescent="0.3">
      <c r="A855" s="1">
        <v>879</v>
      </c>
      <c r="B855" s="1">
        <v>3</v>
      </c>
      <c r="C855" s="1" t="s">
        <v>67</v>
      </c>
      <c r="D855" s="1" t="s">
        <v>2613</v>
      </c>
      <c r="E855" s="5">
        <v>37995</v>
      </c>
      <c r="F855" s="1" t="s">
        <v>17</v>
      </c>
      <c r="G855" s="1" t="str">
        <f>IF(B855=0,VLOOKUP(A855,Feuil2!$A$2:$M$1241,11,FALSE)," ")</f>
        <v xml:space="preserve"> </v>
      </c>
      <c r="H855" s="1" t="s">
        <v>16</v>
      </c>
      <c r="I855" s="6" t="str">
        <f>IF(B855=0,VLOOKUP(A855,Feuil2!$A$2:$M$1241,7,FALSE)," ")</f>
        <v xml:space="preserve"> </v>
      </c>
      <c r="J855" s="1" t="str">
        <f>IF(B855=0,VLOOKUP(A855,Feuil2!$A$2:$M$1241,9,FALSE)," ")</f>
        <v xml:space="preserve"> </v>
      </c>
      <c r="K855" s="1" t="str">
        <f>IF(B855=0,VLOOKUP(A855,Feuil2!$A$2:$M$1241,10,FALSE)," ")</f>
        <v xml:space="preserve"> </v>
      </c>
      <c r="L855" s="1"/>
      <c r="M855" s="1"/>
      <c r="N855" s="1"/>
      <c r="O855" s="8" t="str">
        <f>IF(B855=0,VLOOKUP(A855,Feuil2!$A$2:$M$1241,13,FALSE)," ")</f>
        <v xml:space="preserve"> </v>
      </c>
      <c r="P855" s="16"/>
    </row>
    <row r="856" spans="1:16" x14ac:dyDescent="0.3">
      <c r="A856" s="1">
        <v>879</v>
      </c>
      <c r="B856" s="1">
        <v>4</v>
      </c>
      <c r="C856" s="1" t="s">
        <v>67</v>
      </c>
      <c r="D856" s="1" t="s">
        <v>2404</v>
      </c>
      <c r="E856" s="5">
        <v>39854</v>
      </c>
      <c r="F856" s="1" t="s">
        <v>506</v>
      </c>
      <c r="G856" s="1" t="str">
        <f>IF(B856=0,VLOOKUP(A856,Feuil2!$A$2:$M$1241,11,FALSE)," ")</f>
        <v xml:space="preserve"> </v>
      </c>
      <c r="H856" s="1" t="s">
        <v>16</v>
      </c>
      <c r="I856" s="6" t="str">
        <f>IF(B856=0,VLOOKUP(A856,Feuil2!$A$2:$M$1241,7,FALSE)," ")</f>
        <v xml:space="preserve"> </v>
      </c>
      <c r="J856" s="1" t="str">
        <f>IF(B856=0,VLOOKUP(A856,Feuil2!$A$2:$M$1241,9,FALSE)," ")</f>
        <v xml:space="preserve"> </v>
      </c>
      <c r="K856" s="1" t="str">
        <f>IF(B856=0,VLOOKUP(A856,Feuil2!$A$2:$M$1241,10,FALSE)," ")</f>
        <v xml:space="preserve"> </v>
      </c>
      <c r="L856" s="1"/>
      <c r="M856" s="1"/>
      <c r="N856" s="1"/>
      <c r="O856" s="8" t="str">
        <f>IF(B856=0,VLOOKUP(A856,Feuil2!$A$2:$M$1241,13,FALSE)," ")</f>
        <v xml:space="preserve"> </v>
      </c>
    </row>
    <row r="857" spans="1:16" x14ac:dyDescent="0.3">
      <c r="A857" s="1">
        <v>885</v>
      </c>
      <c r="B857" s="17">
        <v>0</v>
      </c>
      <c r="C857" s="17" t="str">
        <f>IF(B857=0,VLOOKUP(A857,Feuil2!$A$2:$M$1241,2,FALSE)," ")</f>
        <v>LAYOUNI</v>
      </c>
      <c r="D857" s="17" t="str">
        <f>IF(B857=0,VLOOKUP(A857,Feuil2!$A$2:$M$1241,3,FALSE)," ")</f>
        <v>ABDELLATIF</v>
      </c>
      <c r="E857" s="18">
        <f>IF(B857=0,VLOOKUP(A857,Feuil2!$A$2:$M$1241,6,FALSE)," ")</f>
        <v>26238</v>
      </c>
      <c r="F857" s="17" t="str">
        <f>IF(B857=0,VLOOKUP(A857,Feuil2!$A$2:$M$1241,12,FALSE)," ")</f>
        <v>H</v>
      </c>
      <c r="G857" s="17" t="str">
        <f>IF(B857=0,VLOOKUP(A857,Feuil2!$A$2:$M$1241,11,FALSE)," ")</f>
        <v>M</v>
      </c>
      <c r="H857" s="17" t="s">
        <v>16</v>
      </c>
      <c r="I857" s="19">
        <f>IF(B857=0,VLOOKUP(A857,Feuil2!$A$2:$M$1241,7,FALSE)," ")</f>
        <v>5505561</v>
      </c>
      <c r="J857" s="17" t="str">
        <f>IF(B857=0,VLOOKUP(A857,Feuil2!$A$2:$M$1241,9,FALSE)," ")</f>
        <v>80 Rue 1er Juin 1955</v>
      </c>
      <c r="K857" s="17" t="str">
        <f>IF(B857=0,VLOOKUP(A857,Feuil2!$A$2:$M$1241,10,FALSE)," ")</f>
        <v>Msaken 4070</v>
      </c>
      <c r="L857" s="17">
        <v>4070</v>
      </c>
      <c r="M857" s="17">
        <v>21924453</v>
      </c>
      <c r="N857" s="17"/>
      <c r="O857" s="20" t="str">
        <f>IF(B857=0,VLOOKUP(A857,Feuil2!$A$2:$M$1241,13,FALSE)," ")</f>
        <v>10506040204619578863</v>
      </c>
    </row>
    <row r="858" spans="1:16" x14ac:dyDescent="0.3">
      <c r="A858" s="1">
        <v>885</v>
      </c>
      <c r="B858" s="1">
        <v>1</v>
      </c>
      <c r="C858" s="1" t="s">
        <v>250</v>
      </c>
      <c r="D858" s="1" t="s">
        <v>2614</v>
      </c>
      <c r="E858" s="5">
        <v>27144</v>
      </c>
      <c r="F858" s="1" t="s">
        <v>17</v>
      </c>
      <c r="G858" s="1" t="s">
        <v>15</v>
      </c>
      <c r="H858" s="1" t="s">
        <v>16</v>
      </c>
      <c r="I858" s="6" t="str">
        <f>IF(B858=0,VLOOKUP(A858,Feuil2!$A$2:$M$1241,7,FALSE)," ")</f>
        <v xml:space="preserve"> </v>
      </c>
      <c r="J858" s="1" t="str">
        <f>IF(B858=0,VLOOKUP(A858,Feuil2!$A$2:$M$1241,9,FALSE)," ")</f>
        <v xml:space="preserve"> </v>
      </c>
      <c r="K858" s="1" t="str">
        <f>IF(B858=0,VLOOKUP(A858,Feuil2!$A$2:$M$1241,10,FALSE)," ")</f>
        <v xml:space="preserve"> </v>
      </c>
      <c r="L858" s="1"/>
      <c r="M858" s="1"/>
      <c r="N858" s="1"/>
      <c r="O858" s="8" t="str">
        <f>IF(B858=0,VLOOKUP(A858,Feuil2!$A$2:$M$1241,13,FALSE)," ")</f>
        <v xml:space="preserve"> </v>
      </c>
    </row>
    <row r="859" spans="1:16" x14ac:dyDescent="0.3">
      <c r="A859" s="1">
        <v>885</v>
      </c>
      <c r="B859" s="1">
        <v>2</v>
      </c>
      <c r="C859" s="1" t="s">
        <v>250</v>
      </c>
      <c r="D859" s="1" t="s">
        <v>172</v>
      </c>
      <c r="E859" s="5">
        <v>36635</v>
      </c>
      <c r="F859" s="1" t="s">
        <v>506</v>
      </c>
      <c r="G859" s="1" t="str">
        <f>IF(B859=0,VLOOKUP(A859,Feuil2!$A$2:$M$1241,11,FALSE)," ")</f>
        <v xml:space="preserve"> </v>
      </c>
      <c r="H859" s="1" t="s">
        <v>16</v>
      </c>
      <c r="I859" s="6" t="str">
        <f>IF(B859=0,VLOOKUP(A859,Feuil2!$A$2:$M$1241,7,FALSE)," ")</f>
        <v xml:space="preserve"> </v>
      </c>
      <c r="J859" s="1" t="str">
        <f>IF(B859=0,VLOOKUP(A859,Feuil2!$A$2:$M$1241,9,FALSE)," ")</f>
        <v xml:space="preserve"> </v>
      </c>
      <c r="K859" s="1" t="str">
        <f>IF(B859=0,VLOOKUP(A859,Feuil2!$A$2:$M$1241,10,FALSE)," ")</f>
        <v xml:space="preserve"> </v>
      </c>
      <c r="L859" s="1"/>
      <c r="M859" s="1"/>
      <c r="N859" s="1"/>
      <c r="O859" s="8" t="str">
        <f>IF(B859=0,VLOOKUP(A859,Feuil2!$A$2:$M$1241,13,FALSE)," ")</f>
        <v xml:space="preserve"> </v>
      </c>
    </row>
    <row r="860" spans="1:16" x14ac:dyDescent="0.3">
      <c r="A860" s="1">
        <v>885</v>
      </c>
      <c r="B860" s="1">
        <v>3</v>
      </c>
      <c r="C860" s="1" t="s">
        <v>250</v>
      </c>
      <c r="D860" s="1" t="s">
        <v>2615</v>
      </c>
      <c r="E860" s="5">
        <v>39767</v>
      </c>
      <c r="F860" s="1" t="str">
        <f>IF(B860=0,VLOOKUP(A860,Feuil2!$A$2:$M$1241,12,FALSE)," ")</f>
        <v xml:space="preserve"> </v>
      </c>
      <c r="G860" s="1" t="str">
        <f>IF(B860=0,VLOOKUP(A860,Feuil2!$A$2:$M$1241,11,FALSE)," ")</f>
        <v xml:space="preserve"> </v>
      </c>
      <c r="H860" s="1" t="s">
        <v>16</v>
      </c>
      <c r="I860" s="6" t="str">
        <f>IF(B860=0,VLOOKUP(A860,Feuil2!$A$2:$M$1241,7,FALSE)," ")</f>
        <v xml:space="preserve"> </v>
      </c>
      <c r="J860" s="1" t="str">
        <f>IF(B860=0,VLOOKUP(A860,Feuil2!$A$2:$M$1241,9,FALSE)," ")</f>
        <v xml:space="preserve"> </v>
      </c>
      <c r="K860" s="1" t="str">
        <f>IF(B860=0,VLOOKUP(A860,Feuil2!$A$2:$M$1241,10,FALSE)," ")</f>
        <v xml:space="preserve"> </v>
      </c>
      <c r="L860" s="1"/>
      <c r="M860" s="1"/>
      <c r="N860" s="1"/>
      <c r="O860" s="8" t="str">
        <f>IF(B860=0,VLOOKUP(A860,Feuil2!$A$2:$M$1241,13,FALSE)," ")</f>
        <v xml:space="preserve"> </v>
      </c>
    </row>
    <row r="861" spans="1:16" x14ac:dyDescent="0.3">
      <c r="A861" s="1">
        <v>903</v>
      </c>
      <c r="B861" s="17">
        <v>0</v>
      </c>
      <c r="C861" s="17" t="str">
        <f>IF(B861=0,VLOOKUP(A861,Feuil2!$A$2:$M$1241,2,FALSE)," ")</f>
        <v>BEL HADJ ALI</v>
      </c>
      <c r="D861" s="17" t="str">
        <f>IF(B861=0,VLOOKUP(A861,Feuil2!$A$2:$M$1241,3,FALSE)," ")</f>
        <v>JALEL</v>
      </c>
      <c r="E861" s="18">
        <f>IF(B861=0,VLOOKUP(A861,Feuil2!$A$2:$M$1241,6,FALSE)," ")</f>
        <v>24698</v>
      </c>
      <c r="F861" s="17" t="str">
        <f>IF(B861=0,VLOOKUP(A861,Feuil2!$A$2:$M$1241,12,FALSE)," ")</f>
        <v>H</v>
      </c>
      <c r="G861" s="17" t="str">
        <f>IF(B861=0,VLOOKUP(A861,Feuil2!$A$2:$M$1241,11,FALSE)," ")</f>
        <v>M</v>
      </c>
      <c r="H861" s="17" t="s">
        <v>16</v>
      </c>
      <c r="I861" s="19">
        <f>IF(B861=0,VLOOKUP(A861,Feuil2!$A$2:$M$1241,7,FALSE)," ")</f>
        <v>2994422</v>
      </c>
      <c r="J861" s="17" t="str">
        <f>IF(B861=0,VLOOKUP(A861,Feuil2!$A$2:$M$1241,9,FALSE)," ")</f>
        <v>4016 beni kalthoum</v>
      </c>
      <c r="K861" s="17" t="str">
        <f>IF(B861=0,VLOOKUP(A861,Feuil2!$A$2:$M$1241,10,FALSE)," ")</f>
        <v>BÃ©ni Kalthoum 4016</v>
      </c>
      <c r="L861" s="17"/>
      <c r="M861" s="17">
        <v>98793837</v>
      </c>
      <c r="N861" s="17"/>
      <c r="O861" s="20" t="str">
        <f>IF(B861=0,VLOOKUP(A861,Feuil2!$A$2:$M$1241,13,FALSE)," ")</f>
        <v>05048000116500493760</v>
      </c>
    </row>
    <row r="862" spans="1:16" x14ac:dyDescent="0.3">
      <c r="A862" s="1">
        <v>903</v>
      </c>
      <c r="B862" s="1">
        <v>1</v>
      </c>
      <c r="C862" s="1" t="s">
        <v>1526</v>
      </c>
      <c r="D862" s="1" t="s">
        <v>1541</v>
      </c>
      <c r="E862" s="5">
        <v>27733</v>
      </c>
      <c r="F862" s="1" t="s">
        <v>17</v>
      </c>
      <c r="G862" s="1" t="s">
        <v>15</v>
      </c>
      <c r="H862" s="1" t="s">
        <v>16</v>
      </c>
      <c r="I862" s="6" t="str">
        <f>IF(B862=0,VLOOKUP(A862,Feuil2!$A$2:$M$1241,7,FALSE)," ")</f>
        <v xml:space="preserve"> </v>
      </c>
      <c r="J862" s="1" t="str">
        <f>IF(B862=0,VLOOKUP(A862,Feuil2!$A$2:$M$1241,9,FALSE)," ")</f>
        <v xml:space="preserve"> </v>
      </c>
      <c r="K862" s="1" t="str">
        <f>IF(B862=0,VLOOKUP(A862,Feuil2!$A$2:$M$1241,10,FALSE)," ")</f>
        <v xml:space="preserve"> </v>
      </c>
      <c r="L862" s="1"/>
      <c r="M862" s="1"/>
      <c r="N862" s="1"/>
      <c r="O862" s="8" t="str">
        <f>IF(B862=0,VLOOKUP(A862,Feuil2!$A$2:$M$1241,13,FALSE)," ")</f>
        <v xml:space="preserve"> </v>
      </c>
    </row>
    <row r="863" spans="1:16" x14ac:dyDescent="0.3">
      <c r="A863" s="1">
        <v>903</v>
      </c>
      <c r="B863" s="1">
        <v>2</v>
      </c>
      <c r="C863" s="1" t="s">
        <v>799</v>
      </c>
      <c r="D863" s="1" t="s">
        <v>2603</v>
      </c>
      <c r="E863" s="5">
        <v>36327</v>
      </c>
      <c r="F863" s="1" t="s">
        <v>17</v>
      </c>
      <c r="G863" s="1" t="str">
        <f>IF(B863=0,VLOOKUP(A863,Feuil2!$A$2:$M$1241,11,FALSE)," ")</f>
        <v xml:space="preserve"> </v>
      </c>
      <c r="H863" s="1" t="s">
        <v>16</v>
      </c>
      <c r="I863" s="6" t="str">
        <f>IF(B863=0,VLOOKUP(A863,Feuil2!$A$2:$M$1241,7,FALSE)," ")</f>
        <v xml:space="preserve"> </v>
      </c>
      <c r="J863" s="1" t="str">
        <f>IF(B863=0,VLOOKUP(A863,Feuil2!$A$2:$M$1241,9,FALSE)," ")</f>
        <v xml:space="preserve"> </v>
      </c>
      <c r="K863" s="1" t="str">
        <f>IF(B863=0,VLOOKUP(A863,Feuil2!$A$2:$M$1241,10,FALSE)," ")</f>
        <v xml:space="preserve"> </v>
      </c>
      <c r="L863" s="1"/>
      <c r="M863" s="1"/>
      <c r="N863" s="1"/>
      <c r="O863" s="8" t="str">
        <f>IF(B863=0,VLOOKUP(A863,Feuil2!$A$2:$M$1241,13,FALSE)," ")</f>
        <v xml:space="preserve"> </v>
      </c>
    </row>
    <row r="864" spans="1:16" x14ac:dyDescent="0.3">
      <c r="A864" s="1">
        <v>903</v>
      </c>
      <c r="B864" s="1">
        <v>3</v>
      </c>
      <c r="C864" s="1" t="s">
        <v>799</v>
      </c>
      <c r="D864" s="1" t="s">
        <v>2616</v>
      </c>
      <c r="E864" s="5">
        <v>37611</v>
      </c>
      <c r="F864" s="1" t="s">
        <v>506</v>
      </c>
      <c r="G864" s="1" t="str">
        <f>IF(B864=0,VLOOKUP(A864,Feuil2!$A$2:$M$1241,11,FALSE)," ")</f>
        <v xml:space="preserve"> </v>
      </c>
      <c r="H864" s="1" t="s">
        <v>16</v>
      </c>
      <c r="I864" s="6" t="str">
        <f>IF(B864=0,VLOOKUP(A864,Feuil2!$A$2:$M$1241,7,FALSE)," ")</f>
        <v xml:space="preserve"> </v>
      </c>
      <c r="J864" s="1" t="str">
        <f>IF(B864=0,VLOOKUP(A864,Feuil2!$A$2:$M$1241,9,FALSE)," ")</f>
        <v xml:space="preserve"> </v>
      </c>
      <c r="K864" s="1" t="str">
        <f>IF(B864=0,VLOOKUP(A864,Feuil2!$A$2:$M$1241,10,FALSE)," ")</f>
        <v xml:space="preserve"> </v>
      </c>
      <c r="L864" s="1"/>
      <c r="M864" s="1"/>
      <c r="N864" s="1"/>
      <c r="O864" s="8" t="str">
        <f>IF(B864=0,VLOOKUP(A864,Feuil2!$A$2:$M$1241,13,FALSE)," ")</f>
        <v xml:space="preserve"> </v>
      </c>
    </row>
    <row r="865" spans="1:15" x14ac:dyDescent="0.3">
      <c r="A865" s="1">
        <v>903</v>
      </c>
      <c r="B865" s="1">
        <v>4</v>
      </c>
      <c r="C865" s="1" t="s">
        <v>799</v>
      </c>
      <c r="D865" s="1" t="s">
        <v>2448</v>
      </c>
      <c r="E865" s="5">
        <v>39195</v>
      </c>
      <c r="F865" s="1" t="s">
        <v>506</v>
      </c>
      <c r="G865" s="1" t="str">
        <f>IF(B865=0,VLOOKUP(A865,Feuil2!$A$2:$M$1241,11,FALSE)," ")</f>
        <v xml:space="preserve"> </v>
      </c>
      <c r="H865" s="1" t="s">
        <v>16</v>
      </c>
      <c r="I865" s="6" t="str">
        <f>IF(B865=0,VLOOKUP(A865,Feuil2!$A$2:$M$1241,7,FALSE)," ")</f>
        <v xml:space="preserve"> </v>
      </c>
      <c r="J865" s="1" t="str">
        <f>IF(B865=0,VLOOKUP(A865,Feuil2!$A$2:$M$1241,9,FALSE)," ")</f>
        <v xml:space="preserve"> </v>
      </c>
      <c r="K865" s="1" t="str">
        <f>IF(B865=0,VLOOKUP(A865,Feuil2!$A$2:$M$1241,10,FALSE)," ")</f>
        <v xml:space="preserve"> </v>
      </c>
      <c r="L865" s="1"/>
      <c r="M865" s="1"/>
      <c r="N865" s="1"/>
      <c r="O865" s="8" t="str">
        <f>IF(B865=0,VLOOKUP(A865,Feuil2!$A$2:$M$1241,13,FALSE)," ")</f>
        <v xml:space="preserve"> </v>
      </c>
    </row>
    <row r="866" spans="1:15" x14ac:dyDescent="0.3">
      <c r="A866" s="1">
        <v>907</v>
      </c>
      <c r="B866" s="12">
        <v>0</v>
      </c>
      <c r="C866" s="12" t="str">
        <f>IF(B866=0,VLOOKUP(A866,Feuil2!$A$2:$M$1241,2,FALSE)," ")</f>
        <v>NOUIRA</v>
      </c>
      <c r="D866" s="12" t="str">
        <f>IF(B866=0,VLOOKUP(A866,Feuil2!$A$2:$M$1241,3,FALSE)," ")</f>
        <v>KAMEL</v>
      </c>
      <c r="E866" s="13">
        <f>IF(B866=0,VLOOKUP(A866,Feuil2!$A$2:$M$1241,6,FALSE)," ")</f>
        <v>25122</v>
      </c>
      <c r="F866" s="12" t="str">
        <f>IF(B866=0,VLOOKUP(A866,Feuil2!$A$2:$M$1241,12,FALSE)," ")</f>
        <v>H</v>
      </c>
      <c r="G866" s="12" t="str">
        <f>IF(B866=0,VLOOKUP(A866,Feuil2!$A$2:$M$1241,11,FALSE)," ")</f>
        <v>M</v>
      </c>
      <c r="H866" s="12" t="s">
        <v>16</v>
      </c>
      <c r="I866" s="14">
        <f>IF(B866=0,VLOOKUP(A866,Feuil2!$A$2:$M$1241,7,FALSE)," ")</f>
        <v>5510722</v>
      </c>
      <c r="J866" s="12" t="str">
        <f>IF(B866=0,VLOOKUP(A866,Feuil2!$A$2:$M$1241,9,FALSE)," ")</f>
        <v>79 Rue du Caire</v>
      </c>
      <c r="K866" s="12" t="str">
        <f>IF(B866=0,VLOOKUP(A866,Feuil2!$A$2:$M$1241,10,FALSE)," ")</f>
        <v>Zaouit Sousse</v>
      </c>
      <c r="L866" s="12"/>
      <c r="M866" s="12">
        <v>52483316</v>
      </c>
      <c r="N866" s="12"/>
      <c r="O866" s="15" t="str">
        <f>IF(B866=0,VLOOKUP(A866,Feuil2!$A$2:$M$1241,13,FALSE)," ")</f>
        <v>03508056010100126524</v>
      </c>
    </row>
    <row r="867" spans="1:15" x14ac:dyDescent="0.3">
      <c r="A867" s="1">
        <v>907</v>
      </c>
      <c r="B867" s="1">
        <v>1</v>
      </c>
      <c r="C867" s="1" t="s">
        <v>2617</v>
      </c>
      <c r="D867" s="1" t="s">
        <v>1023</v>
      </c>
      <c r="E867" s="5">
        <v>26790</v>
      </c>
      <c r="F867" s="1" t="s">
        <v>17</v>
      </c>
      <c r="G867" s="1" t="s">
        <v>15</v>
      </c>
      <c r="H867" s="1" t="s">
        <v>16</v>
      </c>
      <c r="I867" s="6" t="str">
        <f>IF(B867=0,VLOOKUP(A867,Feuil2!$A$2:$M$1241,7,FALSE)," ")</f>
        <v xml:space="preserve"> </v>
      </c>
      <c r="J867" s="1" t="str">
        <f>IF(B867=0,VLOOKUP(A867,Feuil2!$A$2:$M$1241,9,FALSE)," ")</f>
        <v xml:space="preserve"> </v>
      </c>
      <c r="K867" s="1" t="str">
        <f>IF(B867=0,VLOOKUP(A867,Feuil2!$A$2:$M$1241,10,FALSE)," ")</f>
        <v xml:space="preserve"> </v>
      </c>
      <c r="L867" s="1"/>
      <c r="M867" s="1"/>
      <c r="N867" s="1"/>
      <c r="O867" s="8" t="str">
        <f>IF(B867=0,VLOOKUP(A867,Feuil2!$A$2:$M$1241,13,FALSE)," ")</f>
        <v xml:space="preserve"> </v>
      </c>
    </row>
    <row r="868" spans="1:15" x14ac:dyDescent="0.3">
      <c r="A868" s="1">
        <v>907</v>
      </c>
      <c r="B868" s="1">
        <v>2</v>
      </c>
      <c r="C868" s="1" t="s">
        <v>352</v>
      </c>
      <c r="D868" s="1" t="s">
        <v>2517</v>
      </c>
      <c r="E868" s="5">
        <v>35783</v>
      </c>
      <c r="F868" s="1" t="s">
        <v>17</v>
      </c>
      <c r="G868" s="1" t="str">
        <f>IF(B868=0,VLOOKUP(A868,Feuil2!$A$2:$M$1241,11,FALSE)," ")</f>
        <v xml:space="preserve"> </v>
      </c>
      <c r="H868" s="1" t="s">
        <v>16</v>
      </c>
      <c r="I868" s="6" t="str">
        <f>IF(B868=0,VLOOKUP(A868,Feuil2!$A$2:$M$1241,7,FALSE)," ")</f>
        <v xml:space="preserve"> </v>
      </c>
      <c r="J868" s="1" t="str">
        <f>IF(B868=0,VLOOKUP(A868,Feuil2!$A$2:$M$1241,9,FALSE)," ")</f>
        <v xml:space="preserve"> </v>
      </c>
      <c r="K868" s="1" t="str">
        <f>IF(B868=0,VLOOKUP(A868,Feuil2!$A$2:$M$1241,10,FALSE)," ")</f>
        <v xml:space="preserve"> </v>
      </c>
      <c r="L868" s="1"/>
      <c r="M868" s="1"/>
      <c r="N868" s="1"/>
      <c r="O868" s="8" t="str">
        <f>IF(B868=0,VLOOKUP(A868,Feuil2!$A$2:$M$1241,13,FALSE)," ")</f>
        <v xml:space="preserve"> </v>
      </c>
    </row>
    <row r="869" spans="1:15" x14ac:dyDescent="0.3">
      <c r="A869" s="1">
        <v>907</v>
      </c>
      <c r="B869" s="1">
        <v>3</v>
      </c>
      <c r="C869" s="1" t="s">
        <v>352</v>
      </c>
      <c r="D869" s="1" t="s">
        <v>2618</v>
      </c>
      <c r="E869" s="5">
        <v>39103</v>
      </c>
      <c r="F869" s="1" t="s">
        <v>506</v>
      </c>
      <c r="G869" s="1" t="str">
        <f>IF(B869=0,VLOOKUP(A869,Feuil2!$A$2:$M$1241,11,FALSE)," ")</f>
        <v xml:space="preserve"> </v>
      </c>
      <c r="H869" s="1" t="s">
        <v>16</v>
      </c>
      <c r="I869" s="6" t="str">
        <f>IF(B869=0,VLOOKUP(A869,Feuil2!$A$2:$M$1241,7,FALSE)," ")</f>
        <v xml:space="preserve"> </v>
      </c>
      <c r="J869" s="1" t="str">
        <f>IF(B869=0,VLOOKUP(A869,Feuil2!$A$2:$M$1241,9,FALSE)," ")</f>
        <v xml:space="preserve"> </v>
      </c>
      <c r="K869" s="1" t="str">
        <f>IF(B869=0,VLOOKUP(A869,Feuil2!$A$2:$M$1241,10,FALSE)," ")</f>
        <v xml:space="preserve"> </v>
      </c>
      <c r="L869" s="1"/>
      <c r="M869" s="1"/>
      <c r="N869" s="1"/>
      <c r="O869" s="8" t="str">
        <f>IF(B869=0,VLOOKUP(A869,Feuil2!$A$2:$M$1241,13,FALSE)," ")</f>
        <v xml:space="preserve"> </v>
      </c>
    </row>
    <row r="870" spans="1:15" x14ac:dyDescent="0.3">
      <c r="A870" s="1">
        <v>907</v>
      </c>
      <c r="B870" s="1">
        <v>4</v>
      </c>
      <c r="C870" s="1" t="s">
        <v>352</v>
      </c>
      <c r="D870" s="1" t="s">
        <v>122</v>
      </c>
      <c r="E870" s="5">
        <v>39103</v>
      </c>
      <c r="F870" s="1" t="s">
        <v>506</v>
      </c>
      <c r="G870" s="1" t="str">
        <f>IF(B870=0,VLOOKUP(A870,Feuil2!$A$2:$M$1241,11,FALSE)," ")</f>
        <v xml:space="preserve"> </v>
      </c>
      <c r="H870" s="1" t="s">
        <v>16</v>
      </c>
      <c r="I870" s="6" t="str">
        <f>IF(B870=0,VLOOKUP(A870,Feuil2!$A$2:$M$1241,7,FALSE)," ")</f>
        <v xml:space="preserve"> </v>
      </c>
      <c r="J870" s="1" t="str">
        <f>IF(B870=0,VLOOKUP(A870,Feuil2!$A$2:$M$1241,9,FALSE)," ")</f>
        <v xml:space="preserve"> </v>
      </c>
      <c r="K870" s="1" t="str">
        <f>IF(B870=0,VLOOKUP(A870,Feuil2!$A$2:$M$1241,10,FALSE)," ")</f>
        <v xml:space="preserve"> </v>
      </c>
      <c r="L870" s="1"/>
      <c r="M870" s="1"/>
      <c r="N870" s="1"/>
      <c r="O870" s="8" t="str">
        <f>IF(B870=0,VLOOKUP(A870,Feuil2!$A$2:$M$1241,13,FALSE)," ")</f>
        <v xml:space="preserve"> </v>
      </c>
    </row>
    <row r="871" spans="1:15" x14ac:dyDescent="0.3">
      <c r="A871" s="1">
        <v>908</v>
      </c>
      <c r="B871" s="1">
        <v>0</v>
      </c>
      <c r="C871" s="1" t="str">
        <f>IF(B871=0,VLOOKUP(A871,Feuil2!$A$2:$M$1241,2,FALSE)," ")</f>
        <v>YOUSSEF</v>
      </c>
      <c r="D871" s="1" t="str">
        <f>IF(B871=0,VLOOKUP(A871,Feuil2!$A$2:$M$1241,3,FALSE)," ")</f>
        <v>HEDI</v>
      </c>
      <c r="E871" s="5">
        <f>IF(B871=0,VLOOKUP(A871,Feuil2!$A$2:$M$1241,6,FALSE)," ")</f>
        <v>24842</v>
      </c>
      <c r="F871" s="1" t="str">
        <f>IF(B871=0,VLOOKUP(A871,Feuil2!$A$2:$M$1241,12,FALSE)," ")</f>
        <v>H</v>
      </c>
      <c r="G871" s="1" t="str">
        <f>IF(B871=0,VLOOKUP(A871,Feuil2!$A$2:$M$1241,11,FALSE)," ")</f>
        <v>M</v>
      </c>
      <c r="H871" s="1" t="s">
        <v>16</v>
      </c>
      <c r="I871" s="6">
        <f>IF(B871=0,VLOOKUP(A871,Feuil2!$A$2:$M$1241,7,FALSE)," ")</f>
        <v>2997429</v>
      </c>
      <c r="J871" s="1" t="str">
        <f>IF(B871=0,VLOOKUP(A871,Feuil2!$A$2:$M$1241,9,FALSE)," ")</f>
        <v>184 R du Rekab</v>
      </c>
      <c r="K871" s="1" t="str">
        <f>IF(B871=0,VLOOKUP(A871,Feuil2!$A$2:$M$1241,10,FALSE)," ")</f>
        <v>Msaken 4070</v>
      </c>
      <c r="L871" s="1">
        <v>4070</v>
      </c>
      <c r="M871" s="1">
        <v>73312138</v>
      </c>
      <c r="N871" s="1"/>
      <c r="O871" s="8" t="str">
        <f>IF(B871=0,VLOOKUP(A871,Feuil2!$A$2:$M$1241,13,FALSE)," ")</f>
        <v>03508056010100126427</v>
      </c>
    </row>
    <row r="872" spans="1:15" x14ac:dyDescent="0.3">
      <c r="A872" s="1">
        <v>908</v>
      </c>
      <c r="B872" s="1">
        <v>1</v>
      </c>
      <c r="C872" s="1" t="s">
        <v>790</v>
      </c>
      <c r="D872" s="1" t="s">
        <v>1049</v>
      </c>
      <c r="E872" s="5">
        <v>29390</v>
      </c>
      <c r="F872" s="1" t="s">
        <v>17</v>
      </c>
      <c r="G872" s="1" t="s">
        <v>15</v>
      </c>
      <c r="H872" s="1" t="s">
        <v>16</v>
      </c>
      <c r="I872" s="6" t="str">
        <f>IF(B872=0,VLOOKUP(A872,Feuil2!$A$2:$M$1241,7,FALSE)," ")</f>
        <v xml:space="preserve"> </v>
      </c>
      <c r="J872" s="1" t="str">
        <f>IF(B872=0,VLOOKUP(A872,Feuil2!$A$2:$M$1241,9,FALSE)," ")</f>
        <v xml:space="preserve"> </v>
      </c>
      <c r="K872" s="1" t="str">
        <f>IF(B872=0,VLOOKUP(A872,Feuil2!$A$2:$M$1241,10,FALSE)," ")</f>
        <v xml:space="preserve"> </v>
      </c>
      <c r="L872" s="1"/>
      <c r="M872" s="1"/>
      <c r="N872" s="1"/>
      <c r="O872" s="8" t="str">
        <f>IF(B872=0,VLOOKUP(A872,Feuil2!$A$2:$M$1241,13,FALSE)," ")</f>
        <v xml:space="preserve"> </v>
      </c>
    </row>
    <row r="873" spans="1:15" x14ac:dyDescent="0.3">
      <c r="A873" s="1">
        <v>908</v>
      </c>
      <c r="B873" s="1">
        <v>2</v>
      </c>
      <c r="C873" s="1" t="s">
        <v>61</v>
      </c>
      <c r="D873" s="1" t="s">
        <v>2366</v>
      </c>
      <c r="E873" s="5">
        <v>36706</v>
      </c>
      <c r="F873" s="1" t="s">
        <v>506</v>
      </c>
      <c r="G873" s="1" t="str">
        <f>IF(B873=0,VLOOKUP(A873,Feuil2!$A$2:$M$1241,11,FALSE)," ")</f>
        <v xml:space="preserve"> </v>
      </c>
      <c r="H873" s="1" t="s">
        <v>16</v>
      </c>
      <c r="I873" s="6" t="str">
        <f>IF(B873=0,VLOOKUP(A873,Feuil2!$A$2:$M$1241,7,FALSE)," ")</f>
        <v xml:space="preserve"> </v>
      </c>
      <c r="J873" s="1" t="str">
        <f>IF(B873=0,VLOOKUP(A873,Feuil2!$A$2:$M$1241,9,FALSE)," ")</f>
        <v xml:space="preserve"> </v>
      </c>
      <c r="K873" s="1" t="str">
        <f>IF(B873=0,VLOOKUP(A873,Feuil2!$A$2:$M$1241,10,FALSE)," ")</f>
        <v xml:space="preserve"> </v>
      </c>
      <c r="L873" s="1"/>
      <c r="M873" s="1"/>
      <c r="N873" s="1"/>
      <c r="O873" s="8" t="str">
        <f>IF(B873=0,VLOOKUP(A873,Feuil2!$A$2:$M$1241,13,FALSE)," ")</f>
        <v xml:space="preserve"> </v>
      </c>
    </row>
    <row r="874" spans="1:15" x14ac:dyDescent="0.3">
      <c r="A874" s="1">
        <v>908</v>
      </c>
      <c r="B874" s="1">
        <v>3</v>
      </c>
      <c r="C874" s="1" t="s">
        <v>61</v>
      </c>
      <c r="D874" s="1" t="s">
        <v>2336</v>
      </c>
      <c r="E874" s="5">
        <v>37639</v>
      </c>
      <c r="F874" s="1" t="s">
        <v>17</v>
      </c>
      <c r="G874" s="1" t="str">
        <f>IF(B874=0,VLOOKUP(A874,Feuil2!$A$2:$M$1241,11,FALSE)," ")</f>
        <v xml:space="preserve"> </v>
      </c>
      <c r="H874" s="1" t="s">
        <v>16</v>
      </c>
      <c r="I874" s="6" t="str">
        <f>IF(B874=0,VLOOKUP(A874,Feuil2!$A$2:$M$1241,7,FALSE)," ")</f>
        <v xml:space="preserve"> </v>
      </c>
      <c r="J874" s="1" t="str">
        <f>IF(B874=0,VLOOKUP(A874,Feuil2!$A$2:$M$1241,9,FALSE)," ")</f>
        <v xml:space="preserve"> </v>
      </c>
      <c r="K874" s="1" t="str">
        <f>IF(B874=0,VLOOKUP(A874,Feuil2!$A$2:$M$1241,10,FALSE)," ")</f>
        <v xml:space="preserve"> </v>
      </c>
      <c r="L874" s="1"/>
      <c r="M874" s="1"/>
      <c r="N874" s="1"/>
      <c r="O874" s="8" t="str">
        <f>IF(B874=0,VLOOKUP(A874,Feuil2!$A$2:$M$1241,13,FALSE)," ")</f>
        <v xml:space="preserve"> </v>
      </c>
    </row>
    <row r="875" spans="1:15" x14ac:dyDescent="0.3">
      <c r="A875" s="1">
        <v>908</v>
      </c>
      <c r="B875" s="1">
        <v>4</v>
      </c>
      <c r="C875" s="1" t="s">
        <v>61</v>
      </c>
      <c r="D875" s="1" t="s">
        <v>2327</v>
      </c>
      <c r="E875" s="5">
        <v>38547</v>
      </c>
      <c r="F875" s="1" t="s">
        <v>17</v>
      </c>
      <c r="G875" s="1" t="str">
        <f>IF(B875=0,VLOOKUP(A875,Feuil2!$A$2:$M$1241,11,FALSE)," ")</f>
        <v xml:space="preserve"> </v>
      </c>
      <c r="H875" s="1" t="s">
        <v>16</v>
      </c>
      <c r="I875" s="6" t="str">
        <f>IF(B875=0,VLOOKUP(A875,Feuil2!$A$2:$M$1241,7,FALSE)," ")</f>
        <v xml:space="preserve"> </v>
      </c>
      <c r="J875" s="1" t="str">
        <f>IF(B875=0,VLOOKUP(A875,Feuil2!$A$2:$M$1241,9,FALSE)," ")</f>
        <v xml:space="preserve"> </v>
      </c>
      <c r="K875" s="1" t="str">
        <f>IF(B875=0,VLOOKUP(A875,Feuil2!$A$2:$M$1241,10,FALSE)," ")</f>
        <v xml:space="preserve"> </v>
      </c>
      <c r="L875" s="1"/>
      <c r="M875" s="1"/>
      <c r="N875" s="1"/>
      <c r="O875" s="8" t="str">
        <f>IF(B875=0,VLOOKUP(A875,Feuil2!$A$2:$M$1241,13,FALSE)," ")</f>
        <v xml:space="preserve"> </v>
      </c>
    </row>
    <row r="876" spans="1:15" x14ac:dyDescent="0.3">
      <c r="A876" s="1">
        <v>908</v>
      </c>
      <c r="B876" s="1">
        <v>5</v>
      </c>
      <c r="C876" s="1" t="s">
        <v>61</v>
      </c>
      <c r="D876" s="1" t="s">
        <v>34</v>
      </c>
      <c r="E876" s="5">
        <v>40438</v>
      </c>
      <c r="F876" s="1" t="s">
        <v>506</v>
      </c>
      <c r="G876" s="1" t="str">
        <f>IF(B876=0,VLOOKUP(A876,Feuil2!$A$2:$M$1241,11,FALSE)," ")</f>
        <v xml:space="preserve"> </v>
      </c>
      <c r="H876" s="1" t="s">
        <v>16</v>
      </c>
      <c r="I876" s="6" t="str">
        <f>IF(B876=0,VLOOKUP(A876,Feuil2!$A$2:$M$1241,7,FALSE)," ")</f>
        <v xml:space="preserve"> </v>
      </c>
      <c r="J876" s="1" t="str">
        <f>IF(B876=0,VLOOKUP(A876,Feuil2!$A$2:$M$1241,9,FALSE)," ")</f>
        <v xml:space="preserve"> </v>
      </c>
      <c r="K876" s="1" t="str">
        <f>IF(B876=0,VLOOKUP(A876,Feuil2!$A$2:$M$1241,10,FALSE)," ")</f>
        <v xml:space="preserve"> </v>
      </c>
      <c r="L876" s="1"/>
      <c r="M876" s="1"/>
      <c r="N876" s="1"/>
      <c r="O876" s="8" t="str">
        <f>IF(B876=0,VLOOKUP(A876,Feuil2!$A$2:$M$1241,13,FALSE)," ")</f>
        <v xml:space="preserve"> </v>
      </c>
    </row>
    <row r="877" spans="1:15" x14ac:dyDescent="0.3">
      <c r="A877" s="1">
        <v>913</v>
      </c>
      <c r="B877" s="17">
        <v>0</v>
      </c>
      <c r="C877" s="17" t="str">
        <f>IF(B877=0,VLOOKUP(A877,Feuil2!$A$2:$M$1241,2,FALSE)," ")</f>
        <v>MAOUA</v>
      </c>
      <c r="D877" s="17" t="str">
        <f>IF(B877=0,VLOOKUP(A877,Feuil2!$A$2:$M$1241,3,FALSE)," ")</f>
        <v>MED HEDI</v>
      </c>
      <c r="E877" s="18">
        <f>IF(B877=0,VLOOKUP(A877,Feuil2!$A$2:$M$1241,6,FALSE)," ")</f>
        <v>25084</v>
      </c>
      <c r="F877" s="17" t="str">
        <f>IF(B877=0,VLOOKUP(A877,Feuil2!$A$2:$M$1241,12,FALSE)," ")</f>
        <v>H</v>
      </c>
      <c r="G877" s="17" t="str">
        <f>IF(B877=0,VLOOKUP(A877,Feuil2!$A$2:$M$1241,11,FALSE)," ")</f>
        <v>M</v>
      </c>
      <c r="H877" s="17" t="s">
        <v>16</v>
      </c>
      <c r="I877" s="19">
        <f>IF(B877=0,VLOOKUP(A877,Feuil2!$A$2:$M$1241,7,FALSE)," ")</f>
        <v>2993865</v>
      </c>
      <c r="J877" s="17" t="str">
        <f>IF(B877=0,VLOOKUP(A877,Feuil2!$A$2:$M$1241,9,FALSE)," ")</f>
        <v>6 Rue Martyr  Hamda Hamila</v>
      </c>
      <c r="K877" s="17" t="str">
        <f>IF(B877=0,VLOOKUP(A877,Feuil2!$A$2:$M$1241,10,FALSE)," ")</f>
        <v>Msaken 4070</v>
      </c>
      <c r="L877" s="17">
        <v>4070</v>
      </c>
      <c r="M877" s="17">
        <v>98793766</v>
      </c>
      <c r="N877" s="17"/>
      <c r="O877" s="20" t="str">
        <f>IF(B877=0,VLOOKUP(A877,Feuil2!$A$2:$M$1241,13,FALSE)," ")</f>
        <v>10506040204066078821</v>
      </c>
    </row>
    <row r="878" spans="1:15" x14ac:dyDescent="0.3">
      <c r="A878" s="1">
        <v>913</v>
      </c>
      <c r="B878" s="1">
        <v>1</v>
      </c>
      <c r="C878" s="1" t="s">
        <v>2619</v>
      </c>
      <c r="D878" s="1" t="s">
        <v>596</v>
      </c>
      <c r="E878" s="5">
        <v>28284</v>
      </c>
      <c r="F878" s="1" t="s">
        <v>17</v>
      </c>
      <c r="G878" s="1" t="s">
        <v>15</v>
      </c>
      <c r="H878" s="1" t="s">
        <v>16</v>
      </c>
      <c r="I878" s="6" t="str">
        <f>IF(B878=0,VLOOKUP(A878,Feuil2!$A$2:$M$1241,7,FALSE)," ")</f>
        <v xml:space="preserve"> </v>
      </c>
      <c r="J878" s="1" t="str">
        <f>IF(B878=0,VLOOKUP(A878,Feuil2!$A$2:$M$1241,9,FALSE)," ")</f>
        <v xml:space="preserve"> </v>
      </c>
      <c r="K878" s="1" t="str">
        <f>IF(B878=0,VLOOKUP(A878,Feuil2!$A$2:$M$1241,10,FALSE)," ")</f>
        <v xml:space="preserve"> </v>
      </c>
      <c r="L878" s="1"/>
      <c r="M878" s="1"/>
      <c r="N878" s="1"/>
      <c r="O878" s="8" t="str">
        <f>IF(B878=0,VLOOKUP(A878,Feuil2!$A$2:$M$1241,13,FALSE)," ")</f>
        <v xml:space="preserve"> </v>
      </c>
    </row>
    <row r="879" spans="1:15" x14ac:dyDescent="0.3">
      <c r="A879" s="1">
        <v>913</v>
      </c>
      <c r="B879" s="1">
        <v>2</v>
      </c>
      <c r="C879" s="1" t="s">
        <v>75</v>
      </c>
      <c r="D879" s="1" t="s">
        <v>2620</v>
      </c>
      <c r="E879" s="5">
        <v>37305</v>
      </c>
      <c r="F879" s="1" t="s">
        <v>17</v>
      </c>
      <c r="G879" s="1" t="str">
        <f>IF(B879=0,VLOOKUP(A879,Feuil2!$A$2:$M$1241,11,FALSE)," ")</f>
        <v xml:space="preserve"> </v>
      </c>
      <c r="H879" s="1" t="s">
        <v>16</v>
      </c>
      <c r="I879" s="6" t="str">
        <f>IF(B879=0,VLOOKUP(A879,Feuil2!$A$2:$M$1241,7,FALSE)," ")</f>
        <v xml:space="preserve"> </v>
      </c>
      <c r="J879" s="1" t="str">
        <f>IF(B879=0,VLOOKUP(A879,Feuil2!$A$2:$M$1241,9,FALSE)," ")</f>
        <v xml:space="preserve"> </v>
      </c>
      <c r="K879" s="1" t="str">
        <f>IF(B879=0,VLOOKUP(A879,Feuil2!$A$2:$M$1241,10,FALSE)," ")</f>
        <v xml:space="preserve"> </v>
      </c>
      <c r="L879" s="1"/>
      <c r="M879" s="1"/>
      <c r="N879" s="1"/>
      <c r="O879" s="8" t="str">
        <f>IF(B879=0,VLOOKUP(A879,Feuil2!$A$2:$M$1241,13,FALSE)," ")</f>
        <v xml:space="preserve"> </v>
      </c>
    </row>
    <row r="880" spans="1:15" x14ac:dyDescent="0.3">
      <c r="A880" s="1">
        <v>913</v>
      </c>
      <c r="B880" s="1">
        <v>3</v>
      </c>
      <c r="C880" s="1" t="s">
        <v>75</v>
      </c>
      <c r="D880" s="1" t="s">
        <v>402</v>
      </c>
      <c r="E880" s="5">
        <v>38224</v>
      </c>
      <c r="F880" s="1" t="s">
        <v>17</v>
      </c>
      <c r="G880" s="1" t="str">
        <f>IF(B880=0,VLOOKUP(A880,Feuil2!$A$2:$M$1241,11,FALSE)," ")</f>
        <v xml:space="preserve"> </v>
      </c>
      <c r="H880" s="1" t="s">
        <v>16</v>
      </c>
      <c r="I880" s="6" t="str">
        <f>IF(B880=0,VLOOKUP(A880,Feuil2!$A$2:$M$1241,7,FALSE)," ")</f>
        <v xml:space="preserve"> </v>
      </c>
      <c r="J880" s="1" t="str">
        <f>IF(B880=0,VLOOKUP(A880,Feuil2!$A$2:$M$1241,9,FALSE)," ")</f>
        <v xml:space="preserve"> </v>
      </c>
      <c r="K880" s="1" t="str">
        <f>IF(B880=0,VLOOKUP(A880,Feuil2!$A$2:$M$1241,10,FALSE)," ")</f>
        <v xml:space="preserve"> </v>
      </c>
      <c r="L880" s="1"/>
      <c r="M880" s="1"/>
      <c r="N880" s="1"/>
      <c r="O880" s="8" t="str">
        <f>IF(B880=0,VLOOKUP(A880,Feuil2!$A$2:$M$1241,13,FALSE)," ")</f>
        <v xml:space="preserve"> </v>
      </c>
    </row>
    <row r="881" spans="1:15" x14ac:dyDescent="0.3">
      <c r="A881" s="1">
        <v>913</v>
      </c>
      <c r="B881" s="1">
        <v>4</v>
      </c>
      <c r="C881" s="1" t="s">
        <v>75</v>
      </c>
      <c r="D881" s="1" t="s">
        <v>2381</v>
      </c>
      <c r="E881" s="5">
        <v>39456</v>
      </c>
      <c r="F881" s="1" t="s">
        <v>17</v>
      </c>
      <c r="G881" s="1" t="str">
        <f>IF(B881=0,VLOOKUP(A881,Feuil2!$A$2:$M$1241,11,FALSE)," ")</f>
        <v xml:space="preserve"> </v>
      </c>
      <c r="H881" s="1" t="s">
        <v>16</v>
      </c>
      <c r="I881" s="6" t="str">
        <f>IF(B881=0,VLOOKUP(A881,Feuil2!$A$2:$M$1241,7,FALSE)," ")</f>
        <v xml:space="preserve"> </v>
      </c>
      <c r="J881" s="1" t="str">
        <f>IF(B881=0,VLOOKUP(A881,Feuil2!$A$2:$M$1241,9,FALSE)," ")</f>
        <v xml:space="preserve"> </v>
      </c>
      <c r="K881" s="1" t="str">
        <f>IF(B881=0,VLOOKUP(A881,Feuil2!$A$2:$M$1241,10,FALSE)," ")</f>
        <v xml:space="preserve"> </v>
      </c>
      <c r="L881" s="1"/>
      <c r="M881" s="1"/>
      <c r="N881" s="1"/>
      <c r="O881" s="8" t="str">
        <f>IF(B881=0,VLOOKUP(A881,Feuil2!$A$2:$M$1241,13,FALSE)," ")</f>
        <v xml:space="preserve"> </v>
      </c>
    </row>
    <row r="882" spans="1:15" x14ac:dyDescent="0.3">
      <c r="A882" s="1">
        <v>913</v>
      </c>
      <c r="B882" s="1">
        <v>5</v>
      </c>
      <c r="C882" s="1" t="s">
        <v>75</v>
      </c>
      <c r="D882" s="1" t="s">
        <v>2621</v>
      </c>
      <c r="E882" s="5">
        <v>42308</v>
      </c>
      <c r="F882" s="1" t="s">
        <v>17</v>
      </c>
      <c r="G882" s="1" t="str">
        <f>IF(B882=0,VLOOKUP(A882,Feuil2!$A$2:$M$1241,11,FALSE)," ")</f>
        <v xml:space="preserve"> </v>
      </c>
      <c r="H882" s="1" t="s">
        <v>16</v>
      </c>
      <c r="I882" s="6" t="str">
        <f>IF(B882=0,VLOOKUP(A882,Feuil2!$A$2:$M$1241,7,FALSE)," ")</f>
        <v xml:space="preserve"> </v>
      </c>
      <c r="J882" s="1" t="str">
        <f>IF(B882=0,VLOOKUP(A882,Feuil2!$A$2:$M$1241,9,FALSE)," ")</f>
        <v xml:space="preserve"> </v>
      </c>
      <c r="K882" s="1" t="str">
        <f>IF(B882=0,VLOOKUP(A882,Feuil2!$A$2:$M$1241,10,FALSE)," ")</f>
        <v xml:space="preserve"> </v>
      </c>
      <c r="L882" s="1"/>
      <c r="M882" s="1"/>
      <c r="N882" s="1"/>
      <c r="O882" s="8" t="str">
        <f>IF(B882=0,VLOOKUP(A882,Feuil2!$A$2:$M$1241,13,FALSE)," ")</f>
        <v xml:space="preserve"> </v>
      </c>
    </row>
    <row r="883" spans="1:15" x14ac:dyDescent="0.3">
      <c r="A883" s="1">
        <v>913</v>
      </c>
      <c r="B883" s="1">
        <v>6</v>
      </c>
      <c r="C883" s="1" t="s">
        <v>75</v>
      </c>
      <c r="D883" s="1" t="s">
        <v>2331</v>
      </c>
      <c r="E883" s="5">
        <v>43613</v>
      </c>
      <c r="F883" s="1" t="s">
        <v>17</v>
      </c>
      <c r="G883" s="1" t="str">
        <f>IF(B883=0,VLOOKUP(A883,Feuil2!$A$2:$M$1241,11,FALSE)," ")</f>
        <v xml:space="preserve"> </v>
      </c>
      <c r="H883" s="1" t="s">
        <v>16</v>
      </c>
      <c r="I883" s="6" t="str">
        <f>IF(B883=0,VLOOKUP(A883,Feuil2!$A$2:$M$1241,7,FALSE)," ")</f>
        <v xml:space="preserve"> </v>
      </c>
      <c r="J883" s="1" t="str">
        <f>IF(B883=0,VLOOKUP(A883,Feuil2!$A$2:$M$1241,9,FALSE)," ")</f>
        <v xml:space="preserve"> </v>
      </c>
      <c r="K883" s="1" t="str">
        <f>IF(B883=0,VLOOKUP(A883,Feuil2!$A$2:$M$1241,10,FALSE)," ")</f>
        <v xml:space="preserve"> </v>
      </c>
      <c r="L883" s="1"/>
      <c r="M883" s="1"/>
      <c r="N883" s="1"/>
      <c r="O883" s="8" t="str">
        <f>IF(B883=0,VLOOKUP(A883,Feuil2!$A$2:$M$1241,13,FALSE)," ")</f>
        <v xml:space="preserve"> </v>
      </c>
    </row>
    <row r="884" spans="1:15" x14ac:dyDescent="0.3">
      <c r="A884" s="17">
        <v>915</v>
      </c>
      <c r="B884" s="17">
        <v>0</v>
      </c>
      <c r="C884" s="17" t="str">
        <f>IF(B884=0,VLOOKUP(A884,Feuil2!$A$2:$M$1241,2,FALSE)," ")</f>
        <v>AMARA</v>
      </c>
      <c r="D884" s="17" t="str">
        <f>IF(B884=0,VLOOKUP(A884,Feuil2!$A$2:$M$1241,3,FALSE)," ")</f>
        <v>HABIB</v>
      </c>
      <c r="E884" s="18">
        <f>IF(B884=0,VLOOKUP(A884,Feuil2!$A$2:$M$1241,6,FALSE)," ")</f>
        <v>23491</v>
      </c>
      <c r="F884" s="17" t="str">
        <f>IF(B884=0,VLOOKUP(A884,Feuil2!$A$2:$M$1241,12,FALSE)," ")</f>
        <v>H</v>
      </c>
      <c r="G884" s="17" t="str">
        <f>IF(B884=0,VLOOKUP(A884,Feuil2!$A$2:$M$1241,11,FALSE)," ")</f>
        <v>M</v>
      </c>
      <c r="H884" s="17" t="s">
        <v>16</v>
      </c>
      <c r="I884" s="19">
        <f>IF(B884=0,VLOOKUP(A884,Feuil2!$A$2:$M$1241,7,FALSE)," ")</f>
        <v>2955595</v>
      </c>
      <c r="J884" s="17" t="str">
        <f>IF(B884=0,VLOOKUP(A884,Feuil2!$A$2:$M$1241,9,FALSE)," ")</f>
        <v>69 Rue Habib Thameur</v>
      </c>
      <c r="K884" s="17" t="str">
        <f>IF(B884=0,VLOOKUP(A884,Feuil2!$A$2:$M$1241,10,FALSE)," ")</f>
        <v>Kalaa Sghira</v>
      </c>
      <c r="L884" s="17"/>
      <c r="M884" s="17">
        <v>21131835</v>
      </c>
      <c r="N884" s="17"/>
      <c r="O884" s="20" t="str">
        <f>IF(B884=0,VLOOKUP(A884,Feuil2!$A$2:$M$1241,13,FALSE)," ")</f>
        <v>08506000252000349839</v>
      </c>
    </row>
    <row r="885" spans="1:15" x14ac:dyDescent="0.3">
      <c r="A885" s="1">
        <v>915</v>
      </c>
      <c r="B885" s="1">
        <v>1</v>
      </c>
      <c r="C885" s="1" t="str">
        <f>IF(B885=0,VLOOKUP(A885,Feuil2!$A$2:$M$1241,2,FALSE)," ")</f>
        <v xml:space="preserve"> </v>
      </c>
      <c r="D885" s="1" t="s">
        <v>2331</v>
      </c>
      <c r="E885" s="5">
        <v>26448</v>
      </c>
      <c r="F885" s="1" t="s">
        <v>17</v>
      </c>
      <c r="G885" s="1" t="s">
        <v>15</v>
      </c>
      <c r="H885" s="1" t="s">
        <v>16</v>
      </c>
      <c r="I885" s="6" t="str">
        <f>IF(B885=0,VLOOKUP(A885,Feuil2!$A$2:$M$1241,7,FALSE)," ")</f>
        <v xml:space="preserve"> </v>
      </c>
      <c r="J885" s="1" t="str">
        <f>IF(B885=0,VLOOKUP(A885,Feuil2!$A$2:$M$1241,9,FALSE)," ")</f>
        <v xml:space="preserve"> </v>
      </c>
      <c r="K885" s="1" t="str">
        <f>IF(B885=0,VLOOKUP(A885,Feuil2!$A$2:$M$1241,10,FALSE)," ")</f>
        <v xml:space="preserve"> </v>
      </c>
      <c r="L885" s="1"/>
      <c r="M885" s="1"/>
      <c r="N885" s="1"/>
      <c r="O885" s="8" t="str">
        <f>IF(B885=0,VLOOKUP(A885,Feuil2!$A$2:$M$1241,13,FALSE)," ")</f>
        <v xml:space="preserve"> </v>
      </c>
    </row>
    <row r="886" spans="1:15" x14ac:dyDescent="0.3">
      <c r="A886" s="1">
        <v>915</v>
      </c>
      <c r="B886" s="1">
        <v>2</v>
      </c>
      <c r="C886" s="1" t="s">
        <v>163</v>
      </c>
      <c r="D886" s="1" t="s">
        <v>2622</v>
      </c>
      <c r="E886" s="5">
        <v>36332</v>
      </c>
      <c r="F886" s="1" t="s">
        <v>17</v>
      </c>
      <c r="G886" s="1" t="str">
        <f>IF(B886=0,VLOOKUP(A886,Feuil2!$A$2:$M$1241,11,FALSE)," ")</f>
        <v xml:space="preserve"> </v>
      </c>
      <c r="H886" s="1" t="s">
        <v>16</v>
      </c>
      <c r="I886" s="6" t="str">
        <f>IF(B886=0,VLOOKUP(A886,Feuil2!$A$2:$M$1241,7,FALSE)," ")</f>
        <v xml:space="preserve"> </v>
      </c>
      <c r="J886" s="1" t="str">
        <f>IF(B886=0,VLOOKUP(A886,Feuil2!$A$2:$M$1241,9,FALSE)," ")</f>
        <v xml:space="preserve"> </v>
      </c>
      <c r="K886" s="1" t="str">
        <f>IF(B886=0,VLOOKUP(A886,Feuil2!$A$2:$M$1241,10,FALSE)," ")</f>
        <v xml:space="preserve"> </v>
      </c>
      <c r="L886" s="1"/>
      <c r="M886" s="1"/>
      <c r="N886" s="1"/>
      <c r="O886" s="8" t="str">
        <f>IF(B886=0,VLOOKUP(A886,Feuil2!$A$2:$M$1241,13,FALSE)," ")</f>
        <v xml:space="preserve"> </v>
      </c>
    </row>
    <row r="887" spans="1:15" x14ac:dyDescent="0.3">
      <c r="A887" s="1">
        <v>915</v>
      </c>
      <c r="B887" s="1">
        <v>3</v>
      </c>
      <c r="C887" s="1" t="s">
        <v>163</v>
      </c>
      <c r="D887" s="1" t="s">
        <v>2465</v>
      </c>
      <c r="E887" s="5">
        <v>37795</v>
      </c>
      <c r="F887" s="1" t="s">
        <v>506</v>
      </c>
      <c r="G887" s="1" t="str">
        <f>IF(B887=0,VLOOKUP(A887,Feuil2!$A$2:$M$1241,11,FALSE)," ")</f>
        <v xml:space="preserve"> </v>
      </c>
      <c r="H887" s="1" t="s">
        <v>16</v>
      </c>
      <c r="I887" s="6" t="str">
        <f>IF(B887=0,VLOOKUP(A887,Feuil2!$A$2:$M$1241,7,FALSE)," ")</f>
        <v xml:space="preserve"> </v>
      </c>
      <c r="J887" s="1" t="str">
        <f>IF(B887=0,VLOOKUP(A887,Feuil2!$A$2:$M$1241,9,FALSE)," ")</f>
        <v xml:space="preserve"> </v>
      </c>
      <c r="K887" s="1" t="str">
        <f>IF(B887=0,VLOOKUP(A887,Feuil2!$A$2:$M$1241,10,FALSE)," ")</f>
        <v xml:space="preserve"> </v>
      </c>
      <c r="L887" s="1"/>
      <c r="M887" s="1"/>
      <c r="N887" s="1"/>
      <c r="O887" s="8" t="str">
        <f>IF(B887=0,VLOOKUP(A887,Feuil2!$A$2:$M$1241,13,FALSE)," ")</f>
        <v xml:space="preserve"> </v>
      </c>
    </row>
    <row r="888" spans="1:15" x14ac:dyDescent="0.3">
      <c r="A888" s="1">
        <v>923</v>
      </c>
      <c r="B888" s="1">
        <v>0</v>
      </c>
      <c r="C888" s="1" t="str">
        <f>IF(B888=0,VLOOKUP(A888,Feuil2!$A$2:$M$1241,2,FALSE)," ")</f>
        <v>BEN AZIZA</v>
      </c>
      <c r="D888" s="1" t="str">
        <f>IF(B888=0,VLOOKUP(A888,Feuil2!$A$2:$M$1241,3,FALSE)," ")</f>
        <v>SLAH</v>
      </c>
      <c r="E888" s="5">
        <f>IF(B888=0,VLOOKUP(A888,Feuil2!$A$2:$M$1241,6,FALSE)," ")</f>
        <v>25818</v>
      </c>
      <c r="F888" s="1" t="str">
        <f>IF(B888=0,VLOOKUP(A888,Feuil2!$A$2:$M$1241,12,FALSE)," ")</f>
        <v>H</v>
      </c>
      <c r="G888" s="1" t="str">
        <f>IF(B888=0,VLOOKUP(A888,Feuil2!$A$2:$M$1241,11,FALSE)," ")</f>
        <v>M</v>
      </c>
      <c r="H888" s="1" t="s">
        <v>16</v>
      </c>
      <c r="I888" s="6">
        <f>IF(B888=0,VLOOKUP(A888,Feuil2!$A$2:$M$1241,7,FALSE)," ")</f>
        <v>5523180</v>
      </c>
      <c r="J888" s="1" t="str">
        <f>IF(B888=0,VLOOKUP(A888,Feuil2!$A$2:$M$1241,9,FALSE)," ")</f>
        <v>NULL</v>
      </c>
      <c r="K888" s="1" t="str">
        <f>IF(B888=0,VLOOKUP(A888,Feuil2!$A$2:$M$1241,10,FALSE)," ")</f>
        <v>Sidi El HÃ©ni 4025</v>
      </c>
      <c r="L888" s="1"/>
      <c r="M888" s="1">
        <v>98563523</v>
      </c>
      <c r="N888" s="1"/>
      <c r="O888" s="8" t="str">
        <f>IF(B888=0,VLOOKUP(A888,Feuil2!$A$2:$M$1241,13,FALSE)," ")</f>
        <v>04204067404000676143</v>
      </c>
    </row>
    <row r="889" spans="1:15" x14ac:dyDescent="0.3">
      <c r="A889" s="1">
        <v>923</v>
      </c>
      <c r="B889" s="1">
        <v>1</v>
      </c>
      <c r="C889" s="1" t="s">
        <v>2110</v>
      </c>
      <c r="D889" s="1" t="s">
        <v>1286</v>
      </c>
      <c r="E889" s="5">
        <v>28443</v>
      </c>
      <c r="F889" s="1" t="s">
        <v>17</v>
      </c>
      <c r="G889" s="1" t="s">
        <v>15</v>
      </c>
      <c r="H889" s="1" t="s">
        <v>16</v>
      </c>
      <c r="I889" s="6" t="str">
        <f>IF(B889=0,VLOOKUP(A889,Feuil2!$A$2:$M$1241,7,FALSE)," ")</f>
        <v xml:space="preserve"> </v>
      </c>
      <c r="J889" s="1" t="str">
        <f>IF(B889=0,VLOOKUP(A889,Feuil2!$A$2:$M$1241,9,FALSE)," ")</f>
        <v xml:space="preserve"> </v>
      </c>
      <c r="K889" s="1" t="str">
        <f>IF(B889=0,VLOOKUP(A889,Feuil2!$A$2:$M$1241,10,FALSE)," ")</f>
        <v xml:space="preserve"> </v>
      </c>
      <c r="L889" s="1"/>
      <c r="M889" s="1"/>
      <c r="N889" s="1"/>
      <c r="O889" s="8" t="str">
        <f>IF(B889=0,VLOOKUP(A889,Feuil2!$A$2:$M$1241,13,FALSE)," ")</f>
        <v xml:space="preserve"> </v>
      </c>
    </row>
    <row r="890" spans="1:15" x14ac:dyDescent="0.3">
      <c r="A890" s="1">
        <v>923</v>
      </c>
      <c r="B890" s="1">
        <v>2</v>
      </c>
      <c r="C890" s="1" t="s">
        <v>487</v>
      </c>
      <c r="D890" s="1" t="s">
        <v>237</v>
      </c>
      <c r="E890" s="5">
        <v>36299</v>
      </c>
      <c r="F890" s="1" t="s">
        <v>506</v>
      </c>
      <c r="G890" s="1" t="str">
        <f>IF(B890=0,VLOOKUP(A890,Feuil2!$A$2:$M$1241,11,FALSE)," ")</f>
        <v xml:space="preserve"> </v>
      </c>
      <c r="H890" s="1" t="s">
        <v>16</v>
      </c>
      <c r="I890" s="6" t="str">
        <f>IF(B890=0,VLOOKUP(A890,Feuil2!$A$2:$M$1241,7,FALSE)," ")</f>
        <v xml:space="preserve"> </v>
      </c>
      <c r="J890" s="1" t="str">
        <f>IF(B890=0,VLOOKUP(A890,Feuil2!$A$2:$M$1241,9,FALSE)," ")</f>
        <v xml:space="preserve"> </v>
      </c>
      <c r="K890" s="1" t="str">
        <f>IF(B890=0,VLOOKUP(A890,Feuil2!$A$2:$M$1241,10,FALSE)," ")</f>
        <v xml:space="preserve"> </v>
      </c>
      <c r="L890" s="1"/>
      <c r="M890" s="1"/>
      <c r="N890" s="1"/>
      <c r="O890" s="8" t="str">
        <f>IF(B890=0,VLOOKUP(A890,Feuil2!$A$2:$M$1241,13,FALSE)," ")</f>
        <v xml:space="preserve"> </v>
      </c>
    </row>
    <row r="891" spans="1:15" x14ac:dyDescent="0.3">
      <c r="A891" s="1">
        <v>923</v>
      </c>
      <c r="B891" s="1">
        <v>3</v>
      </c>
      <c r="C891" s="1" t="s">
        <v>487</v>
      </c>
      <c r="D891" s="1" t="s">
        <v>2623</v>
      </c>
      <c r="E891" s="5">
        <v>37308</v>
      </c>
      <c r="F891" s="1" t="s">
        <v>17</v>
      </c>
      <c r="G891" s="1" t="str">
        <f>IF(B891=0,VLOOKUP(A891,Feuil2!$A$2:$M$1241,11,FALSE)," ")</f>
        <v xml:space="preserve"> </v>
      </c>
      <c r="H891" s="1" t="s">
        <v>16</v>
      </c>
      <c r="I891" s="6" t="str">
        <f>IF(B891=0,VLOOKUP(A891,Feuil2!$A$2:$M$1241,7,FALSE)," ")</f>
        <v xml:space="preserve"> </v>
      </c>
      <c r="J891" s="1" t="str">
        <f>IF(B891=0,VLOOKUP(A891,Feuil2!$A$2:$M$1241,9,FALSE)," ")</f>
        <v xml:space="preserve"> </v>
      </c>
      <c r="K891" s="1" t="str">
        <f>IF(B891=0,VLOOKUP(A891,Feuil2!$A$2:$M$1241,10,FALSE)," ")</f>
        <v xml:space="preserve"> </v>
      </c>
      <c r="L891" s="1"/>
      <c r="M891" s="1"/>
      <c r="N891" s="1"/>
      <c r="O891" s="8" t="str">
        <f>IF(B891=0,VLOOKUP(A891,Feuil2!$A$2:$M$1241,13,FALSE)," ")</f>
        <v xml:space="preserve"> </v>
      </c>
    </row>
    <row r="892" spans="1:15" x14ac:dyDescent="0.3">
      <c r="A892" s="1">
        <v>923</v>
      </c>
      <c r="B892" s="1">
        <v>4</v>
      </c>
      <c r="C892" s="1" t="s">
        <v>487</v>
      </c>
      <c r="D892" s="1" t="s">
        <v>390</v>
      </c>
      <c r="E892" s="5">
        <v>39247</v>
      </c>
      <c r="F892" s="1" t="s">
        <v>506</v>
      </c>
      <c r="G892" s="1" t="str">
        <f>IF(B892=0,VLOOKUP(A892,Feuil2!$A$2:$M$1241,11,FALSE)," ")</f>
        <v xml:space="preserve"> </v>
      </c>
      <c r="H892" s="1" t="s">
        <v>16</v>
      </c>
      <c r="I892" s="6" t="str">
        <f>IF(B892=0,VLOOKUP(A892,Feuil2!$A$2:$M$1241,7,FALSE)," ")</f>
        <v xml:space="preserve"> </v>
      </c>
      <c r="J892" s="1" t="str">
        <f>IF(B892=0,VLOOKUP(A892,Feuil2!$A$2:$M$1241,9,FALSE)," ")</f>
        <v xml:space="preserve"> </v>
      </c>
      <c r="K892" s="1" t="str">
        <f>IF(B892=0,VLOOKUP(A892,Feuil2!$A$2:$M$1241,10,FALSE)," ")</f>
        <v xml:space="preserve"> </v>
      </c>
      <c r="L892" s="1"/>
      <c r="M892" s="1"/>
      <c r="N892" s="1"/>
      <c r="O892" s="8" t="str">
        <f>IF(B892=0,VLOOKUP(A892,Feuil2!$A$2:$M$1241,13,FALSE)," ")</f>
        <v xml:space="preserve"> </v>
      </c>
    </row>
    <row r="893" spans="1:15" x14ac:dyDescent="0.3">
      <c r="A893" s="1">
        <v>927</v>
      </c>
      <c r="B893" s="1">
        <v>0</v>
      </c>
      <c r="C893" s="1" t="str">
        <f>IF(B893=0,VLOOKUP(A893,Feuil2!$A$2:$M$1241,2,FALSE)," ")</f>
        <v>ZIDI SAAFI</v>
      </c>
      <c r="D893" s="1" t="str">
        <f>IF(B893=0,VLOOKUP(A893,Feuil2!$A$2:$M$1241,3,FALSE)," ")</f>
        <v>MUSTAPHA</v>
      </c>
      <c r="E893" s="5">
        <f>IF(B893=0,VLOOKUP(A893,Feuil2!$A$2:$M$1241,6,FALSE)," ")</f>
        <v>25955</v>
      </c>
      <c r="F893" s="1" t="str">
        <f>IF(B893=0,VLOOKUP(A893,Feuil2!$A$2:$M$1241,12,FALSE)," ")</f>
        <v>H</v>
      </c>
      <c r="G893" s="1" t="str">
        <f>IF(B893=0,VLOOKUP(A893,Feuil2!$A$2:$M$1241,11,FALSE)," ")</f>
        <v>M</v>
      </c>
      <c r="H893" s="1" t="s">
        <v>16</v>
      </c>
      <c r="I893" s="6">
        <f>IF(B893=0,VLOOKUP(A893,Feuil2!$A$2:$M$1241,7,FALSE)," ")</f>
        <v>5525913</v>
      </c>
      <c r="J893" s="1" t="str">
        <f>IF(B893=0,VLOOKUP(A893,Feuil2!$A$2:$M$1241,9,FALSE)," ")</f>
        <v>Aouled Alouane</v>
      </c>
      <c r="K893" s="1" t="str">
        <f>IF(B893=0,VLOOKUP(A893,Feuil2!$A$2:$M$1241,10,FALSE)," ")</f>
        <v>Sidi El HÃ©ni 4025</v>
      </c>
      <c r="L893" s="1"/>
      <c r="M893" s="1">
        <v>98685504</v>
      </c>
      <c r="N893" s="1"/>
      <c r="O893" s="8" t="str">
        <f>IF(B893=0,VLOOKUP(A893,Feuil2!$A$2:$M$1241,13,FALSE)," ")</f>
        <v>04204067404000785074</v>
      </c>
    </row>
    <row r="894" spans="1:15" x14ac:dyDescent="0.3">
      <c r="A894" s="1">
        <v>927</v>
      </c>
      <c r="B894" s="1">
        <v>1</v>
      </c>
      <c r="C894" s="1" t="s">
        <v>2861</v>
      </c>
      <c r="D894" s="1" t="s">
        <v>606</v>
      </c>
      <c r="E894" s="5">
        <v>26044</v>
      </c>
      <c r="F894" s="1" t="s">
        <v>17</v>
      </c>
      <c r="G894" s="1" t="s">
        <v>15</v>
      </c>
      <c r="H894" s="1" t="s">
        <v>16</v>
      </c>
      <c r="I894" s="6" t="str">
        <f>IF(B894=0,VLOOKUP(A894,Feuil2!$A$2:$M$1241,7,FALSE)," ")</f>
        <v xml:space="preserve"> </v>
      </c>
      <c r="J894" s="1" t="str">
        <f>IF(B894=0,VLOOKUP(A894,Feuil2!$A$2:$M$1241,9,FALSE)," ")</f>
        <v xml:space="preserve"> </v>
      </c>
      <c r="K894" s="1" t="str">
        <f>IF(B894=0,VLOOKUP(A894,Feuil2!$A$2:$M$1241,10,FALSE)," ")</f>
        <v xml:space="preserve"> </v>
      </c>
      <c r="L894" s="1"/>
      <c r="M894" s="1"/>
      <c r="N894" s="1"/>
      <c r="O894" s="8" t="str">
        <f>IF(B894=0,VLOOKUP(A894,Feuil2!$A$2:$M$1241,13,FALSE)," ")</f>
        <v xml:space="preserve"> </v>
      </c>
    </row>
    <row r="895" spans="1:15" x14ac:dyDescent="0.3">
      <c r="A895" s="1">
        <v>927</v>
      </c>
      <c r="B895" s="1">
        <v>2</v>
      </c>
      <c r="C895" s="1" t="s">
        <v>1337</v>
      </c>
      <c r="D895" s="1" t="s">
        <v>404</v>
      </c>
      <c r="E895" s="5">
        <v>37219</v>
      </c>
      <c r="F895" s="1" t="s">
        <v>17</v>
      </c>
      <c r="G895" s="1" t="str">
        <f>IF(B895=0,VLOOKUP(A895,Feuil2!$A$2:$M$1241,11,FALSE)," ")</f>
        <v xml:space="preserve"> </v>
      </c>
      <c r="H895" s="1" t="s">
        <v>16</v>
      </c>
      <c r="I895" s="6" t="str">
        <f>IF(B895=0,VLOOKUP(A895,Feuil2!$A$2:$M$1241,7,FALSE)," ")</f>
        <v xml:space="preserve"> </v>
      </c>
      <c r="J895" s="1" t="str">
        <f>IF(B895=0,VLOOKUP(A895,Feuil2!$A$2:$M$1241,9,FALSE)," ")</f>
        <v xml:space="preserve"> </v>
      </c>
      <c r="K895" s="1" t="str">
        <f>IF(B895=0,VLOOKUP(A895,Feuil2!$A$2:$M$1241,10,FALSE)," ")</f>
        <v xml:space="preserve"> </v>
      </c>
      <c r="L895" s="1"/>
      <c r="M895" s="1"/>
      <c r="N895" s="1"/>
      <c r="O895" s="8" t="str">
        <f>IF(B895=0,VLOOKUP(A895,Feuil2!$A$2:$M$1241,13,FALSE)," ")</f>
        <v xml:space="preserve"> </v>
      </c>
    </row>
    <row r="896" spans="1:15" x14ac:dyDescent="0.3">
      <c r="A896" s="1">
        <v>927</v>
      </c>
      <c r="B896" s="1">
        <v>3</v>
      </c>
      <c r="C896" s="1" t="s">
        <v>1337</v>
      </c>
      <c r="D896" s="1" t="s">
        <v>230</v>
      </c>
      <c r="E896" s="5">
        <v>38368</v>
      </c>
      <c r="F896" s="1" t="s">
        <v>506</v>
      </c>
      <c r="G896" s="1" t="str">
        <f>IF(B896=0,VLOOKUP(A896,Feuil2!$A$2:$M$1241,11,FALSE)," ")</f>
        <v xml:space="preserve"> </v>
      </c>
      <c r="H896" s="1" t="s">
        <v>16</v>
      </c>
      <c r="I896" s="6" t="str">
        <f>IF(B896=0,VLOOKUP(A896,Feuil2!$A$2:$M$1241,7,FALSE)," ")</f>
        <v xml:space="preserve"> </v>
      </c>
      <c r="J896" s="1" t="str">
        <f>IF(B896=0,VLOOKUP(A896,Feuil2!$A$2:$M$1241,9,FALSE)," ")</f>
        <v xml:space="preserve"> </v>
      </c>
      <c r="K896" s="1" t="str">
        <f>IF(B896=0,VLOOKUP(A896,Feuil2!$A$2:$M$1241,10,FALSE)," ")</f>
        <v xml:space="preserve"> </v>
      </c>
      <c r="L896" s="1"/>
      <c r="M896" s="1"/>
      <c r="N896" s="1"/>
      <c r="O896" s="8" t="str">
        <f>IF(B896=0,VLOOKUP(A896,Feuil2!$A$2:$M$1241,13,FALSE)," ")</f>
        <v xml:space="preserve"> </v>
      </c>
    </row>
    <row r="897" spans="1:16" x14ac:dyDescent="0.3">
      <c r="A897" s="1">
        <v>927</v>
      </c>
      <c r="B897" s="1">
        <v>4</v>
      </c>
      <c r="C897" s="1" t="s">
        <v>1337</v>
      </c>
      <c r="D897" s="1" t="s">
        <v>54</v>
      </c>
      <c r="E897" s="5">
        <v>39604</v>
      </c>
      <c r="F897" s="1" t="s">
        <v>17</v>
      </c>
      <c r="G897" s="1" t="str">
        <f>IF(B897=0,VLOOKUP(A897,Feuil2!$A$2:$M$1241,11,FALSE)," ")</f>
        <v xml:space="preserve"> </v>
      </c>
      <c r="H897" s="1" t="s">
        <v>16</v>
      </c>
      <c r="I897" s="6" t="str">
        <f>IF(B897=0,VLOOKUP(A897,Feuil2!$A$2:$M$1241,7,FALSE)," ")</f>
        <v xml:space="preserve"> </v>
      </c>
      <c r="J897" s="1" t="str">
        <f>IF(B897=0,VLOOKUP(A897,Feuil2!$A$2:$M$1241,9,FALSE)," ")</f>
        <v xml:space="preserve"> </v>
      </c>
      <c r="K897" s="1" t="str">
        <f>IF(B897=0,VLOOKUP(A897,Feuil2!$A$2:$M$1241,10,FALSE)," ")</f>
        <v xml:space="preserve"> </v>
      </c>
      <c r="L897" s="1"/>
      <c r="M897" s="1"/>
      <c r="N897" s="1"/>
      <c r="O897" s="8" t="str">
        <f>IF(B897=0,VLOOKUP(A897,Feuil2!$A$2:$M$1241,13,FALSE)," ")</f>
        <v xml:space="preserve"> </v>
      </c>
    </row>
    <row r="898" spans="1:16" x14ac:dyDescent="0.3">
      <c r="A898" s="1">
        <v>927</v>
      </c>
      <c r="B898" s="1">
        <v>5</v>
      </c>
      <c r="C898" s="1" t="s">
        <v>1337</v>
      </c>
      <c r="D898" s="1" t="s">
        <v>30</v>
      </c>
      <c r="E898" s="5">
        <v>36060</v>
      </c>
      <c r="F898" s="1" t="s">
        <v>506</v>
      </c>
      <c r="G898" s="1" t="str">
        <f>IF(B898=0,VLOOKUP(A898,Feuil2!$A$2:$M$1241,11,FALSE)," ")</f>
        <v xml:space="preserve"> </v>
      </c>
      <c r="H898" s="1" t="s">
        <v>16</v>
      </c>
      <c r="I898" s="6" t="str">
        <f>IF(B898=0,VLOOKUP(A898,Feuil2!$A$2:$M$1241,7,FALSE)," ")</f>
        <v xml:space="preserve"> </v>
      </c>
      <c r="J898" s="1" t="str">
        <f>IF(B898=0,VLOOKUP(A898,Feuil2!$A$2:$M$1241,9,FALSE)," ")</f>
        <v xml:space="preserve"> </v>
      </c>
      <c r="K898" s="1" t="str">
        <f>IF(B898=0,VLOOKUP(A898,Feuil2!$A$2:$M$1241,10,FALSE)," ")</f>
        <v xml:space="preserve"> </v>
      </c>
      <c r="L898" s="1"/>
      <c r="M898" s="1"/>
      <c r="N898" s="1"/>
      <c r="O898" s="8" t="str">
        <f>IF(B898=0,VLOOKUP(A898,Feuil2!$A$2:$M$1241,13,FALSE)," ")</f>
        <v xml:space="preserve"> </v>
      </c>
    </row>
    <row r="899" spans="1:16" x14ac:dyDescent="0.3">
      <c r="A899" s="1">
        <v>927</v>
      </c>
      <c r="B899" s="1">
        <v>6</v>
      </c>
      <c r="C899" s="1" t="s">
        <v>1337</v>
      </c>
      <c r="D899" s="1" t="s">
        <v>449</v>
      </c>
      <c r="E899" s="5">
        <v>36612</v>
      </c>
      <c r="F899" s="1" t="s">
        <v>17</v>
      </c>
      <c r="G899" s="1" t="str">
        <f>IF(B899=0,VLOOKUP(A899,Feuil2!$A$2:$M$1241,11,FALSE)," ")</f>
        <v xml:space="preserve"> </v>
      </c>
      <c r="H899" s="1" t="s">
        <v>16</v>
      </c>
      <c r="I899" s="6" t="str">
        <f>IF(B899=0,VLOOKUP(A899,Feuil2!$A$2:$M$1241,7,FALSE)," ")</f>
        <v xml:space="preserve"> </v>
      </c>
      <c r="J899" s="1" t="str">
        <f>IF(B899=0,VLOOKUP(A899,Feuil2!$A$2:$M$1241,9,FALSE)," ")</f>
        <v xml:space="preserve"> </v>
      </c>
      <c r="K899" s="1" t="str">
        <f>IF(B899=0,VLOOKUP(A899,Feuil2!$A$2:$M$1241,10,FALSE)," ")</f>
        <v xml:space="preserve"> </v>
      </c>
      <c r="L899" s="1"/>
      <c r="M899" s="1"/>
      <c r="N899" s="1"/>
      <c r="O899" s="8" t="str">
        <f>IF(B899=0,VLOOKUP(A899,Feuil2!$A$2:$M$1241,13,FALSE)," ")</f>
        <v xml:space="preserve"> </v>
      </c>
    </row>
    <row r="900" spans="1:16" x14ac:dyDescent="0.3">
      <c r="A900" s="1">
        <v>933</v>
      </c>
      <c r="B900" s="17">
        <v>0</v>
      </c>
      <c r="C900" s="17" t="str">
        <f>IF(B900=0,VLOOKUP(A900,Feuil2!$A$2:$M$1241,2,FALSE)," ")</f>
        <v>ACHECH</v>
      </c>
      <c r="D900" s="17" t="str">
        <f>IF(B900=0,VLOOKUP(A900,Feuil2!$A$2:$M$1241,3,FALSE)," ")</f>
        <v>IMED</v>
      </c>
      <c r="E900" s="18">
        <f>IF(B900=0,VLOOKUP(A900,Feuil2!$A$2:$M$1241,6,FALSE)," ")</f>
        <v>25584</v>
      </c>
      <c r="F900" s="17" t="str">
        <f>IF(B900=0,VLOOKUP(A900,Feuil2!$A$2:$M$1241,12,FALSE)," ")</f>
        <v>H</v>
      </c>
      <c r="G900" s="17" t="str">
        <f>IF(B900=0,VLOOKUP(A900,Feuil2!$A$2:$M$1241,11,FALSE)," ")</f>
        <v>M</v>
      </c>
      <c r="H900" s="17" t="s">
        <v>16</v>
      </c>
      <c r="I900" s="19">
        <f>IF(B900=0,VLOOKUP(A900,Feuil2!$A$2:$M$1241,7,FALSE)," ")</f>
        <v>5525537</v>
      </c>
      <c r="J900" s="17" t="str">
        <f>IF(B900=0,VLOOKUP(A900,Feuil2!$A$2:$M$1241,9,FALSE)," ")</f>
        <v>07, Rue Omar Ibn El khattab</v>
      </c>
      <c r="K900" s="17" t="str">
        <f>IF(B900=0,VLOOKUP(A900,Feuil2!$A$2:$M$1241,10,FALSE)," ")</f>
        <v>Msaken 4070</v>
      </c>
      <c r="L900" s="17">
        <v>4070</v>
      </c>
      <c r="M900" s="17">
        <v>26530614</v>
      </c>
      <c r="N900" s="17"/>
      <c r="O900" s="20" t="str">
        <f>IF(B900=0,VLOOKUP(A900,Feuil2!$A$2:$M$1241,13,FALSE)," ")</f>
        <v>10506040204144178856</v>
      </c>
    </row>
    <row r="901" spans="1:16" x14ac:dyDescent="0.3">
      <c r="A901" s="1">
        <v>933</v>
      </c>
      <c r="B901" s="1">
        <v>1</v>
      </c>
      <c r="C901" s="1" t="s">
        <v>42</v>
      </c>
      <c r="D901" s="1" t="s">
        <v>2286</v>
      </c>
      <c r="E901" s="5">
        <v>27697</v>
      </c>
      <c r="F901" s="1" t="s">
        <v>17</v>
      </c>
      <c r="G901" s="1" t="s">
        <v>15</v>
      </c>
      <c r="H901" s="1" t="s">
        <v>16</v>
      </c>
      <c r="I901" s="6" t="str">
        <f>IF(B901=0,VLOOKUP(A901,Feuil2!$A$2:$M$1241,7,FALSE)," ")</f>
        <v xml:space="preserve"> </v>
      </c>
      <c r="J901" s="1" t="str">
        <f>IF(B901=0,VLOOKUP(A901,Feuil2!$A$2:$M$1241,9,FALSE)," ")</f>
        <v xml:space="preserve"> </v>
      </c>
      <c r="K901" s="1" t="str">
        <f>IF(B901=0,VLOOKUP(A901,Feuil2!$A$2:$M$1241,10,FALSE)," ")</f>
        <v xml:space="preserve"> </v>
      </c>
      <c r="L901" s="1"/>
      <c r="M901" s="1"/>
      <c r="N901" s="1"/>
      <c r="O901" s="8" t="str">
        <f>IF(B901=0,VLOOKUP(A901,Feuil2!$A$2:$M$1241,13,FALSE)," ")</f>
        <v xml:space="preserve"> </v>
      </c>
    </row>
    <row r="902" spans="1:16" x14ac:dyDescent="0.3">
      <c r="A902" s="1">
        <v>933</v>
      </c>
      <c r="B902" s="1">
        <v>2</v>
      </c>
      <c r="C902" s="1" t="s">
        <v>335</v>
      </c>
      <c r="D902" s="1" t="s">
        <v>2380</v>
      </c>
      <c r="E902" s="5">
        <v>37474</v>
      </c>
      <c r="F902" s="1" t="s">
        <v>17</v>
      </c>
      <c r="G902" s="1" t="str">
        <f>IF(B902=0,VLOOKUP(A902,Feuil2!$A$2:$M$1241,11,FALSE)," ")</f>
        <v xml:space="preserve"> </v>
      </c>
      <c r="H902" s="1" t="s">
        <v>16</v>
      </c>
      <c r="I902" s="6" t="str">
        <f>IF(B902=0,VLOOKUP(A902,Feuil2!$A$2:$M$1241,7,FALSE)," ")</f>
        <v xml:space="preserve"> </v>
      </c>
      <c r="J902" s="1" t="str">
        <f>IF(B902=0,VLOOKUP(A902,Feuil2!$A$2:$M$1241,9,FALSE)," ")</f>
        <v xml:space="preserve"> </v>
      </c>
      <c r="K902" s="1" t="str">
        <f>IF(B902=0,VLOOKUP(A902,Feuil2!$A$2:$M$1241,10,FALSE)," ")</f>
        <v xml:space="preserve"> </v>
      </c>
      <c r="L902" s="1"/>
      <c r="M902" s="1"/>
      <c r="N902" s="1"/>
      <c r="O902" s="8" t="str">
        <f>IF(B902=0,VLOOKUP(A902,Feuil2!$A$2:$M$1241,13,FALSE)," ")</f>
        <v xml:space="preserve"> </v>
      </c>
    </row>
    <row r="903" spans="1:16" x14ac:dyDescent="0.3">
      <c r="A903" s="1">
        <v>933</v>
      </c>
      <c r="B903" s="1">
        <v>3</v>
      </c>
      <c r="C903" s="1" t="s">
        <v>335</v>
      </c>
      <c r="D903" s="1" t="s">
        <v>2624</v>
      </c>
      <c r="E903" s="5">
        <v>39455</v>
      </c>
      <c r="F903" s="1" t="s">
        <v>506</v>
      </c>
      <c r="G903" s="1" t="str">
        <f>IF(B903=0,VLOOKUP(A903,Feuil2!$A$2:$M$1241,11,FALSE)," ")</f>
        <v xml:space="preserve"> </v>
      </c>
      <c r="H903" s="1" t="s">
        <v>16</v>
      </c>
      <c r="I903" s="6" t="str">
        <f>IF(B903=0,VLOOKUP(A903,Feuil2!$A$2:$M$1241,7,FALSE)," ")</f>
        <v xml:space="preserve"> </v>
      </c>
      <c r="J903" s="1" t="str">
        <f>IF(B903=0,VLOOKUP(A903,Feuil2!$A$2:$M$1241,9,FALSE)," ")</f>
        <v xml:space="preserve"> </v>
      </c>
      <c r="K903" s="1" t="str">
        <f>IF(B903=0,VLOOKUP(A903,Feuil2!$A$2:$M$1241,10,FALSE)," ")</f>
        <v xml:space="preserve"> </v>
      </c>
      <c r="L903" s="1"/>
      <c r="M903" s="1"/>
      <c r="N903" s="1"/>
      <c r="O903" s="8" t="str">
        <f>IF(B903=0,VLOOKUP(A903,Feuil2!$A$2:$M$1241,13,FALSE)," ")</f>
        <v xml:space="preserve"> </v>
      </c>
      <c r="P903" s="22"/>
    </row>
    <row r="904" spans="1:16" x14ac:dyDescent="0.3">
      <c r="A904" s="1">
        <v>933</v>
      </c>
      <c r="B904" s="1">
        <v>4</v>
      </c>
      <c r="C904" s="1" t="s">
        <v>335</v>
      </c>
      <c r="D904" s="1" t="s">
        <v>2579</v>
      </c>
      <c r="E904" s="5">
        <v>40369</v>
      </c>
      <c r="F904" s="1" t="s">
        <v>17</v>
      </c>
      <c r="G904" s="1" t="str">
        <f>IF(B904=0,VLOOKUP(A904,Feuil2!$A$2:$M$1241,11,FALSE)," ")</f>
        <v xml:space="preserve"> </v>
      </c>
      <c r="H904" s="1" t="s">
        <v>16</v>
      </c>
      <c r="I904" s="6" t="str">
        <f>IF(B904=0,VLOOKUP(A904,Feuil2!$A$2:$M$1241,7,FALSE)," ")</f>
        <v xml:space="preserve"> </v>
      </c>
      <c r="J904" s="1" t="str">
        <f>IF(B904=0,VLOOKUP(A904,Feuil2!$A$2:$M$1241,9,FALSE)," ")</f>
        <v xml:space="preserve"> </v>
      </c>
      <c r="K904" s="1" t="str">
        <f>IF(B904=0,VLOOKUP(A904,Feuil2!$A$2:$M$1241,10,FALSE)," ")</f>
        <v xml:space="preserve"> </v>
      </c>
      <c r="L904" s="1"/>
      <c r="M904" s="1"/>
      <c r="N904" s="1"/>
      <c r="O904" s="8" t="str">
        <f>IF(B904=0,VLOOKUP(A904,Feuil2!$A$2:$M$1241,13,FALSE)," ")</f>
        <v xml:space="preserve"> </v>
      </c>
    </row>
    <row r="905" spans="1:16" x14ac:dyDescent="0.3">
      <c r="A905" s="1">
        <v>955</v>
      </c>
      <c r="B905" s="17">
        <v>0</v>
      </c>
      <c r="C905" s="17" t="str">
        <f>IF(B905=0,VLOOKUP(A905,Feuil2!$A$2:$M$1241,2,FALSE)," ")</f>
        <v>MANSOUR</v>
      </c>
      <c r="D905" s="17" t="str">
        <f>IF(B905=0,VLOOKUP(A905,Feuil2!$A$2:$M$1241,3,FALSE)," ")</f>
        <v>NABIL</v>
      </c>
      <c r="E905" s="18">
        <f>IF(B905=0,VLOOKUP(A905,Feuil2!$A$2:$M$1241,6,FALSE)," ")</f>
        <v>25631</v>
      </c>
      <c r="F905" s="17" t="str">
        <f>IF(B905=0,VLOOKUP(A905,Feuil2!$A$2:$M$1241,12,FALSE)," ")</f>
        <v>H</v>
      </c>
      <c r="G905" s="17" t="str">
        <f>IF(B905=0,VLOOKUP(A905,Feuil2!$A$2:$M$1241,11,FALSE)," ")</f>
        <v>M</v>
      </c>
      <c r="H905" s="17" t="s">
        <v>16</v>
      </c>
      <c r="I905" s="19">
        <f>IF(B905=0,VLOOKUP(A905,Feuil2!$A$2:$M$1241,7,FALSE)," ")</f>
        <v>5503471</v>
      </c>
      <c r="J905" s="17" t="str">
        <f>IF(B905=0,VLOOKUP(A905,Feuil2!$A$2:$M$1241,9,FALSE)," ")</f>
        <v>4015 Beni Rabiaa</v>
      </c>
      <c r="K905" s="17" t="str">
        <f>IF(B905=0,VLOOKUP(A905,Feuil2!$A$2:$M$1241,10,FALSE)," ")</f>
        <v>BÃ©ni Rabiaa 4015</v>
      </c>
      <c r="L905" s="17"/>
      <c r="M905" s="17">
        <v>55148610</v>
      </c>
      <c r="N905" s="17"/>
      <c r="O905" s="20" t="str">
        <f>IF(B905=0,VLOOKUP(A905,Feuil2!$A$2:$M$1241,13,FALSE)," ")</f>
        <v>04204067404002218055</v>
      </c>
    </row>
    <row r="906" spans="1:16" x14ac:dyDescent="0.3">
      <c r="A906" s="1">
        <v>955</v>
      </c>
      <c r="B906" s="1">
        <v>1</v>
      </c>
      <c r="C906" s="1" t="s">
        <v>2625</v>
      </c>
      <c r="D906" s="1" t="s">
        <v>2372</v>
      </c>
      <c r="E906" s="5">
        <v>30093</v>
      </c>
      <c r="F906" s="1" t="s">
        <v>17</v>
      </c>
      <c r="G906" s="1" t="s">
        <v>15</v>
      </c>
      <c r="H906" s="1" t="s">
        <v>16</v>
      </c>
      <c r="I906" s="6" t="str">
        <f>IF(B906=0,VLOOKUP(A906,Feuil2!$A$2:$M$1241,7,FALSE)," ")</f>
        <v xml:space="preserve"> </v>
      </c>
      <c r="J906" s="1" t="str">
        <f>IF(B906=0,VLOOKUP(A906,Feuil2!$A$2:$M$1241,9,FALSE)," ")</f>
        <v xml:space="preserve"> </v>
      </c>
      <c r="K906" s="1" t="str">
        <f>IF(B906=0,VLOOKUP(A906,Feuil2!$A$2:$M$1241,10,FALSE)," ")</f>
        <v xml:space="preserve"> </v>
      </c>
      <c r="L906" s="1"/>
      <c r="M906" s="1"/>
      <c r="N906" s="1"/>
      <c r="O906" s="8" t="str">
        <f>IF(B906=0,VLOOKUP(A906,Feuil2!$A$2:$M$1241,13,FALSE)," ")</f>
        <v xml:space="preserve"> </v>
      </c>
    </row>
    <row r="907" spans="1:16" x14ac:dyDescent="0.3">
      <c r="A907" s="1">
        <v>955</v>
      </c>
      <c r="B907" s="1">
        <v>2</v>
      </c>
      <c r="C907" s="1" t="s">
        <v>197</v>
      </c>
      <c r="D907" s="1" t="s">
        <v>2377</v>
      </c>
      <c r="E907" s="5">
        <v>40709</v>
      </c>
      <c r="F907" s="1" t="s">
        <v>17</v>
      </c>
      <c r="G907" s="1" t="str">
        <f>IF(B907=0,VLOOKUP(A907,Feuil2!$A$2:$M$1241,11,FALSE)," ")</f>
        <v xml:space="preserve"> </v>
      </c>
      <c r="H907" s="1" t="s">
        <v>16</v>
      </c>
      <c r="I907" s="6" t="str">
        <f>IF(B907=0,VLOOKUP(A907,Feuil2!$A$2:$M$1241,7,FALSE)," ")</f>
        <v xml:space="preserve"> </v>
      </c>
      <c r="J907" s="1" t="str">
        <f>IF(B907=0,VLOOKUP(A907,Feuil2!$A$2:$M$1241,9,FALSE)," ")</f>
        <v xml:space="preserve"> </v>
      </c>
      <c r="K907" s="1" t="str">
        <f>IF(B907=0,VLOOKUP(A907,Feuil2!$A$2:$M$1241,10,FALSE)," ")</f>
        <v xml:space="preserve"> </v>
      </c>
      <c r="L907" s="1"/>
      <c r="M907" s="1"/>
      <c r="N907" s="1"/>
      <c r="O907" s="8" t="str">
        <f>IF(B907=0,VLOOKUP(A907,Feuil2!$A$2:$M$1241,13,FALSE)," ")</f>
        <v xml:space="preserve"> </v>
      </c>
      <c r="P907" t="s">
        <v>2805</v>
      </c>
    </row>
    <row r="908" spans="1:16" x14ac:dyDescent="0.3">
      <c r="A908" s="1">
        <v>958</v>
      </c>
      <c r="B908" s="17">
        <v>0</v>
      </c>
      <c r="C908" s="17" t="str">
        <f>IF(B908=0,VLOOKUP(A908,Feuil2!$A$2:$M$1241,2,FALSE)," ")</f>
        <v>LAMINE</v>
      </c>
      <c r="D908" s="17" t="str">
        <f>IF(B908=0,VLOOKUP(A908,Feuil2!$A$2:$M$1241,3,FALSE)," ")</f>
        <v>ABDELAZIZ</v>
      </c>
      <c r="E908" s="18">
        <f>IF(B908=0,VLOOKUP(A908,Feuil2!$A$2:$M$1241,6,FALSE)," ")</f>
        <v>25131</v>
      </c>
      <c r="F908" s="17" t="str">
        <f>IF(B908=0,VLOOKUP(A908,Feuil2!$A$2:$M$1241,12,FALSE)," ")</f>
        <v>H</v>
      </c>
      <c r="G908" s="17" t="str">
        <f>IF(B908=0,VLOOKUP(A908,Feuil2!$A$2:$M$1241,11,FALSE)," ")</f>
        <v>M</v>
      </c>
      <c r="H908" s="17" t="s">
        <v>16</v>
      </c>
      <c r="I908" s="19">
        <f>IF(B908=0,VLOOKUP(A908,Feuil2!$A$2:$M$1241,7,FALSE)," ")</f>
        <v>2995477</v>
      </c>
      <c r="J908" s="17" t="str">
        <f>IF(B908=0,VLOOKUP(A908,Feuil2!$A$2:$M$1241,9,FALSE)," ")</f>
        <v>Rue Mohamed Ali</v>
      </c>
      <c r="K908" s="17" t="str">
        <f>IF(B908=0,VLOOKUP(A908,Feuil2!$A$2:$M$1241,10,FALSE)," ")</f>
        <v>Msaken 4070</v>
      </c>
      <c r="L908" s="17">
        <v>4070</v>
      </c>
      <c r="M908" s="17">
        <v>26123861</v>
      </c>
      <c r="N908" s="17"/>
      <c r="O908" s="20" t="str">
        <f>IF(B908=0,VLOOKUP(A908,Feuil2!$A$2:$M$1241,13,FALSE)," ")</f>
        <v>10506040204273578893</v>
      </c>
    </row>
    <row r="909" spans="1:16" x14ac:dyDescent="0.3">
      <c r="A909" s="1">
        <v>958</v>
      </c>
      <c r="B909" s="1">
        <v>1</v>
      </c>
      <c r="C909" s="1" t="s">
        <v>186</v>
      </c>
      <c r="D909" s="1" t="s">
        <v>2372</v>
      </c>
      <c r="E909" s="5">
        <v>28373</v>
      </c>
      <c r="F909" s="1" t="s">
        <v>17</v>
      </c>
      <c r="G909" s="1" t="s">
        <v>15</v>
      </c>
      <c r="H909" s="1" t="s">
        <v>16</v>
      </c>
      <c r="I909" s="6" t="str">
        <f>IF(B909=0,VLOOKUP(A909,Feuil2!$A$2:$M$1241,7,FALSE)," ")</f>
        <v xml:space="preserve"> </v>
      </c>
      <c r="J909" s="1" t="str">
        <f>IF(B909=0,VLOOKUP(A909,Feuil2!$A$2:$M$1241,9,FALSE)," ")</f>
        <v xml:space="preserve"> </v>
      </c>
      <c r="K909" s="1" t="str">
        <f>IF(B909=0,VLOOKUP(A909,Feuil2!$A$2:$M$1241,10,FALSE)," ")</f>
        <v xml:space="preserve"> </v>
      </c>
      <c r="L909" s="1"/>
      <c r="M909" s="1"/>
      <c r="N909" s="1"/>
      <c r="O909" s="8" t="str">
        <f>IF(B909=0,VLOOKUP(A909,Feuil2!$A$2:$M$1241,13,FALSE)," ")</f>
        <v xml:space="preserve"> </v>
      </c>
    </row>
    <row r="910" spans="1:16" x14ac:dyDescent="0.3">
      <c r="A910" s="1">
        <v>958</v>
      </c>
      <c r="B910" s="1">
        <v>2</v>
      </c>
      <c r="C910" s="1" t="s">
        <v>359</v>
      </c>
      <c r="D910" s="1" t="s">
        <v>34</v>
      </c>
      <c r="E910" s="5">
        <v>35995</v>
      </c>
      <c r="F910" s="1" t="s">
        <v>506</v>
      </c>
      <c r="G910" s="1" t="str">
        <f>IF(B910=0,VLOOKUP(A910,Feuil2!$A$2:$M$1241,11,FALSE)," ")</f>
        <v xml:space="preserve"> </v>
      </c>
      <c r="H910" s="1" t="s">
        <v>16</v>
      </c>
      <c r="I910" s="6" t="str">
        <f>IF(B910=0,VLOOKUP(A910,Feuil2!$A$2:$M$1241,7,FALSE)," ")</f>
        <v xml:space="preserve"> </v>
      </c>
      <c r="J910" s="1" t="str">
        <f>IF(B910=0,VLOOKUP(A910,Feuil2!$A$2:$M$1241,9,FALSE)," ")</f>
        <v xml:space="preserve"> </v>
      </c>
      <c r="K910" s="1" t="str">
        <f>IF(B910=0,VLOOKUP(A910,Feuil2!$A$2:$M$1241,10,FALSE)," ")</f>
        <v xml:space="preserve"> </v>
      </c>
      <c r="L910" s="1"/>
      <c r="M910" s="1"/>
      <c r="N910" s="1"/>
      <c r="O910" s="8" t="str">
        <f>IF(B910=0,VLOOKUP(A910,Feuil2!$A$2:$M$1241,13,FALSE)," ")</f>
        <v xml:space="preserve"> </v>
      </c>
    </row>
    <row r="911" spans="1:16" x14ac:dyDescent="0.3">
      <c r="A911" s="1">
        <v>958</v>
      </c>
      <c r="B911" s="1">
        <v>3</v>
      </c>
      <c r="C911" s="1" t="s">
        <v>359</v>
      </c>
      <c r="D911" s="1" t="s">
        <v>122</v>
      </c>
      <c r="E911" s="5">
        <v>36955</v>
      </c>
      <c r="F911" s="1" t="s">
        <v>506</v>
      </c>
      <c r="G911" s="1" t="str">
        <f>IF(B911=0,VLOOKUP(A911,Feuil2!$A$2:$M$1241,11,FALSE)," ")</f>
        <v xml:space="preserve"> </v>
      </c>
      <c r="H911" s="1" t="s">
        <v>16</v>
      </c>
      <c r="I911" s="6" t="str">
        <f>IF(B911=0,VLOOKUP(A911,Feuil2!$A$2:$M$1241,7,FALSE)," ")</f>
        <v xml:space="preserve"> </v>
      </c>
      <c r="J911" s="1" t="str">
        <f>IF(B911=0,VLOOKUP(A911,Feuil2!$A$2:$M$1241,9,FALSE)," ")</f>
        <v xml:space="preserve"> </v>
      </c>
      <c r="K911" s="1" t="str">
        <f>IF(B911=0,VLOOKUP(A911,Feuil2!$A$2:$M$1241,10,FALSE)," ")</f>
        <v xml:space="preserve"> </v>
      </c>
      <c r="L911" s="1"/>
      <c r="M911" s="1"/>
      <c r="N911" s="1"/>
      <c r="O911" s="8" t="str">
        <f>IF(B911=0,VLOOKUP(A911,Feuil2!$A$2:$M$1241,13,FALSE)," ")</f>
        <v xml:space="preserve"> </v>
      </c>
    </row>
    <row r="912" spans="1:16" x14ac:dyDescent="0.3">
      <c r="A912" s="1">
        <v>958</v>
      </c>
      <c r="B912" s="1">
        <v>4</v>
      </c>
      <c r="C912" s="1" t="s">
        <v>359</v>
      </c>
      <c r="D912" s="1" t="s">
        <v>2337</v>
      </c>
      <c r="E912" s="5">
        <v>37296</v>
      </c>
      <c r="F912" s="1" t="s">
        <v>17</v>
      </c>
      <c r="G912" s="1" t="str">
        <f>IF(B912=0,VLOOKUP(A912,Feuil2!$A$2:$M$1241,11,FALSE)," ")</f>
        <v xml:space="preserve"> </v>
      </c>
      <c r="H912" s="1" t="s">
        <v>16</v>
      </c>
      <c r="I912" s="6" t="str">
        <f>IF(B912=0,VLOOKUP(A912,Feuil2!$A$2:$M$1241,7,FALSE)," ")</f>
        <v xml:space="preserve"> </v>
      </c>
      <c r="J912" s="1" t="str">
        <f>IF(B912=0,VLOOKUP(A912,Feuil2!$A$2:$M$1241,9,FALSE)," ")</f>
        <v xml:space="preserve"> </v>
      </c>
      <c r="K912" s="1" t="str">
        <f>IF(B912=0,VLOOKUP(A912,Feuil2!$A$2:$M$1241,10,FALSE)," ")</f>
        <v xml:space="preserve"> </v>
      </c>
      <c r="L912" s="1"/>
      <c r="M912" s="1"/>
      <c r="N912" s="1"/>
      <c r="O912" s="8" t="str">
        <f>IF(B912=0,VLOOKUP(A912,Feuil2!$A$2:$M$1241,13,FALSE)," ")</f>
        <v xml:space="preserve"> </v>
      </c>
    </row>
    <row r="913" spans="1:16" x14ac:dyDescent="0.3">
      <c r="A913" s="1">
        <v>958</v>
      </c>
      <c r="B913" s="1">
        <v>5</v>
      </c>
      <c r="C913" s="1" t="s">
        <v>359</v>
      </c>
      <c r="D913" s="1" t="s">
        <v>2345</v>
      </c>
      <c r="E913" s="5">
        <v>40262</v>
      </c>
      <c r="F913" s="1" t="s">
        <v>17</v>
      </c>
      <c r="G913" s="1" t="str">
        <f>IF(B913=0,VLOOKUP(A913,Feuil2!$A$2:$M$1241,11,FALSE)," ")</f>
        <v xml:space="preserve"> </v>
      </c>
      <c r="H913" s="1" t="s">
        <v>16</v>
      </c>
      <c r="I913" s="6" t="str">
        <f>IF(B913=0,VLOOKUP(A913,Feuil2!$A$2:$M$1241,7,FALSE)," ")</f>
        <v xml:space="preserve"> </v>
      </c>
      <c r="J913" s="1" t="str">
        <f>IF(B913=0,VLOOKUP(A913,Feuil2!$A$2:$M$1241,9,FALSE)," ")</f>
        <v xml:space="preserve"> </v>
      </c>
      <c r="K913" s="1" t="str">
        <f>IF(B913=0,VLOOKUP(A913,Feuil2!$A$2:$M$1241,10,FALSE)," ")</f>
        <v xml:space="preserve"> </v>
      </c>
      <c r="L913" s="1"/>
      <c r="M913" s="1"/>
      <c r="N913" s="1"/>
      <c r="O913" s="8" t="str">
        <f>IF(B913=0,VLOOKUP(A913,Feuil2!$A$2:$M$1241,13,FALSE)," ")</f>
        <v xml:space="preserve"> </v>
      </c>
    </row>
    <row r="914" spans="1:16" x14ac:dyDescent="0.3">
      <c r="A914" s="1">
        <v>961</v>
      </c>
      <c r="B914" s="17">
        <v>0</v>
      </c>
      <c r="C914" s="17" t="str">
        <f>IF(B914=0,VLOOKUP(A914,Feuil2!$A$2:$M$1241,2,FALSE)," ")</f>
        <v>REGAIEG</v>
      </c>
      <c r="D914" s="17" t="str">
        <f>IF(B914=0,VLOOKUP(A914,Feuil2!$A$2:$M$1241,3,FALSE)," ")</f>
        <v>HABIB</v>
      </c>
      <c r="E914" s="18">
        <f>IF(B914=0,VLOOKUP(A914,Feuil2!$A$2:$M$1241,6,FALSE)," ")</f>
        <v>25170</v>
      </c>
      <c r="F914" s="17" t="str">
        <f>IF(B914=0,VLOOKUP(A914,Feuil2!$A$2:$M$1241,12,FALSE)," ")</f>
        <v>H</v>
      </c>
      <c r="G914" s="17" t="str">
        <f>IF(B914=0,VLOOKUP(A914,Feuil2!$A$2:$M$1241,11,FALSE)," ")</f>
        <v>M</v>
      </c>
      <c r="H914" s="17" t="s">
        <v>16</v>
      </c>
      <c r="I914" s="19">
        <f>IF(B914=0,VLOOKUP(A914,Feuil2!$A$2:$M$1241,7,FALSE)," ")</f>
        <v>5501176</v>
      </c>
      <c r="J914" s="17" t="str">
        <f>IF(B914=0,VLOOKUP(A914,Feuil2!$A$2:$M$1241,9,FALSE)," ")</f>
        <v>4014 Knaies</v>
      </c>
      <c r="K914" s="17" t="str">
        <f>IF(B914=0,VLOOKUP(A914,Feuil2!$A$2:$M$1241,10,FALSE)," ")</f>
        <v>Knaies 4014</v>
      </c>
      <c r="L914" s="17">
        <v>4014</v>
      </c>
      <c r="M914" s="17">
        <v>97472490</v>
      </c>
      <c r="N914" s="17"/>
      <c r="O914" s="20" t="str">
        <f>IF(B914=0,VLOOKUP(A914,Feuil2!$A$2:$M$1241,13,FALSE)," ")</f>
        <v>10506040206727078851</v>
      </c>
    </row>
    <row r="915" spans="1:16" x14ac:dyDescent="0.3">
      <c r="A915" s="1">
        <v>961</v>
      </c>
      <c r="B915" s="1">
        <v>1</v>
      </c>
      <c r="C915" s="1" t="s">
        <v>173</v>
      </c>
      <c r="D915" s="1" t="s">
        <v>1049</v>
      </c>
      <c r="E915" s="5">
        <v>29830</v>
      </c>
      <c r="F915" s="1" t="s">
        <v>17</v>
      </c>
      <c r="G915" s="1" t="s">
        <v>15</v>
      </c>
      <c r="H915" s="1" t="s">
        <v>16</v>
      </c>
      <c r="I915" s="6" t="str">
        <f>IF(B915=0,VLOOKUP(A915,Feuil2!$A$2:$M$1241,7,FALSE)," ")</f>
        <v xml:space="preserve"> </v>
      </c>
      <c r="J915" s="1" t="str">
        <f>IF(B915=0,VLOOKUP(A915,Feuil2!$A$2:$M$1241,9,FALSE)," ")</f>
        <v xml:space="preserve"> </v>
      </c>
      <c r="K915" s="1" t="str">
        <f>IF(B915=0,VLOOKUP(A915,Feuil2!$A$2:$M$1241,10,FALSE)," ")</f>
        <v xml:space="preserve"> </v>
      </c>
      <c r="L915" s="1"/>
      <c r="M915" s="1"/>
      <c r="N915" s="1"/>
      <c r="O915" s="8" t="str">
        <f>IF(B915=0,VLOOKUP(A915,Feuil2!$A$2:$M$1241,13,FALSE)," ")</f>
        <v xml:space="preserve"> </v>
      </c>
    </row>
    <row r="916" spans="1:16" x14ac:dyDescent="0.3">
      <c r="A916" s="1">
        <v>961</v>
      </c>
      <c r="B916" s="1">
        <v>2</v>
      </c>
      <c r="C916" s="1" t="s">
        <v>316</v>
      </c>
      <c r="D916" s="1" t="s">
        <v>2509</v>
      </c>
      <c r="E916" s="5">
        <v>38262</v>
      </c>
      <c r="F916" s="1" t="s">
        <v>506</v>
      </c>
      <c r="G916" s="1" t="str">
        <f>IF(B916=0,VLOOKUP(A916,Feuil2!$A$2:$M$1241,11,FALSE)," ")</f>
        <v xml:space="preserve"> </v>
      </c>
      <c r="H916" s="1" t="s">
        <v>16</v>
      </c>
      <c r="I916" s="6" t="str">
        <f>IF(B916=0,VLOOKUP(A916,Feuil2!$A$2:$M$1241,7,FALSE)," ")</f>
        <v xml:space="preserve"> </v>
      </c>
      <c r="J916" s="1" t="str">
        <f>IF(B916=0,VLOOKUP(A916,Feuil2!$A$2:$M$1241,9,FALSE)," ")</f>
        <v xml:space="preserve"> </v>
      </c>
      <c r="K916" s="1" t="str">
        <f>IF(B916=0,VLOOKUP(A916,Feuil2!$A$2:$M$1241,10,FALSE)," ")</f>
        <v xml:space="preserve"> </v>
      </c>
      <c r="L916" s="1"/>
      <c r="M916" s="1"/>
      <c r="N916" s="1"/>
      <c r="O916" s="8" t="str">
        <f>IF(B916=0,VLOOKUP(A916,Feuil2!$A$2:$M$1241,13,FALSE)," ")</f>
        <v xml:space="preserve"> </v>
      </c>
    </row>
    <row r="917" spans="1:16" x14ac:dyDescent="0.3">
      <c r="A917" s="1">
        <v>961</v>
      </c>
      <c r="B917" s="1">
        <v>3</v>
      </c>
      <c r="C917" s="1" t="s">
        <v>316</v>
      </c>
      <c r="D917" s="1" t="s">
        <v>2567</v>
      </c>
      <c r="E917" s="5">
        <v>38262</v>
      </c>
      <c r="F917" s="1" t="s">
        <v>506</v>
      </c>
      <c r="G917" s="1" t="str">
        <f>IF(B917=0,VLOOKUP(A917,Feuil2!$A$2:$M$1241,11,FALSE)," ")</f>
        <v xml:space="preserve"> </v>
      </c>
      <c r="H917" s="1" t="s">
        <v>16</v>
      </c>
      <c r="I917" s="6" t="str">
        <f>IF(B917=0,VLOOKUP(A917,Feuil2!$A$2:$M$1241,7,FALSE)," ")</f>
        <v xml:space="preserve"> </v>
      </c>
      <c r="J917" s="1" t="str">
        <f>IF(B917=0,VLOOKUP(A917,Feuil2!$A$2:$M$1241,9,FALSE)," ")</f>
        <v xml:space="preserve"> </v>
      </c>
      <c r="K917" s="1" t="str">
        <f>IF(B917=0,VLOOKUP(A917,Feuil2!$A$2:$M$1241,10,FALSE)," ")</f>
        <v xml:space="preserve"> </v>
      </c>
      <c r="L917" s="1"/>
      <c r="M917" s="1"/>
      <c r="N917" s="1"/>
      <c r="O917" s="8" t="str">
        <f>IF(B917=0,VLOOKUP(A917,Feuil2!$A$2:$M$1241,13,FALSE)," ")</f>
        <v xml:space="preserve"> </v>
      </c>
    </row>
    <row r="918" spans="1:16" x14ac:dyDescent="0.3">
      <c r="A918" s="1">
        <v>961</v>
      </c>
      <c r="B918" s="1">
        <v>4</v>
      </c>
      <c r="C918" s="1" t="s">
        <v>316</v>
      </c>
      <c r="D918" s="1" t="s">
        <v>2366</v>
      </c>
      <c r="E918" s="5">
        <v>40384</v>
      </c>
      <c r="F918" s="1" t="s">
        <v>506</v>
      </c>
      <c r="G918" s="1" t="str">
        <f>IF(B918=0,VLOOKUP(A918,Feuil2!$A$2:$M$1241,11,FALSE)," ")</f>
        <v xml:space="preserve"> </v>
      </c>
      <c r="H918" s="1" t="s">
        <v>16</v>
      </c>
      <c r="I918" s="6" t="str">
        <f>IF(B918=0,VLOOKUP(A918,Feuil2!$A$2:$M$1241,7,FALSE)," ")</f>
        <v xml:space="preserve"> </v>
      </c>
      <c r="J918" s="1" t="str">
        <f>IF(B918=0,VLOOKUP(A918,Feuil2!$A$2:$M$1241,9,FALSE)," ")</f>
        <v xml:space="preserve"> </v>
      </c>
      <c r="K918" s="1" t="str">
        <f>IF(B918=0,VLOOKUP(A918,Feuil2!$A$2:$M$1241,10,FALSE)," ")</f>
        <v xml:space="preserve"> </v>
      </c>
      <c r="L918" s="1"/>
      <c r="M918" s="1"/>
      <c r="N918" s="1"/>
      <c r="O918" s="8" t="str">
        <f>IF(B918=0,VLOOKUP(A918,Feuil2!$A$2:$M$1241,13,FALSE)," ")</f>
        <v xml:space="preserve"> </v>
      </c>
    </row>
    <row r="919" spans="1:16" x14ac:dyDescent="0.3">
      <c r="A919" s="1">
        <v>965</v>
      </c>
      <c r="B919" s="1">
        <v>0</v>
      </c>
      <c r="C919" s="1" t="str">
        <f>IF(B919=0,VLOOKUP(A919,Feuil2!$A$2:$M$1241,2,FALSE)," ")</f>
        <v>BEN FREDJ</v>
      </c>
      <c r="D919" s="1" t="str">
        <f>IF(B919=0,VLOOKUP(A919,Feuil2!$A$2:$M$1241,3,FALSE)," ")</f>
        <v>ABDELKARIM</v>
      </c>
      <c r="E919" s="5">
        <f>IF(B919=0,VLOOKUP(A919,Feuil2!$A$2:$M$1241,6,FALSE)," ")</f>
        <v>25242</v>
      </c>
      <c r="F919" s="1" t="str">
        <f>IF(B919=0,VLOOKUP(A919,Feuil2!$A$2:$M$1241,12,FALSE)," ")</f>
        <v>H</v>
      </c>
      <c r="G919" s="1" t="str">
        <f>IF(B919=0,VLOOKUP(A919,Feuil2!$A$2:$M$1241,11,FALSE)," ")</f>
        <v>M</v>
      </c>
      <c r="H919" s="1" t="s">
        <v>16</v>
      </c>
      <c r="I919" s="6">
        <f>IF(B919=0,VLOOKUP(A919,Feuil2!$A$2:$M$1241,7,FALSE)," ")</f>
        <v>5511294</v>
      </c>
      <c r="J919" s="1" t="str">
        <f>IF(B919=0,VLOOKUP(A919,Feuil2!$A$2:$M$1241,9,FALSE)," ")</f>
        <v>29 Rue Ibn Charaf</v>
      </c>
      <c r="K919" s="1" t="str">
        <f>IF(B919=0,VLOOKUP(A919,Feuil2!$A$2:$M$1241,10,FALSE)," ")</f>
        <v>Sousse</v>
      </c>
      <c r="L919" s="1"/>
      <c r="M919" s="1">
        <v>98793646</v>
      </c>
      <c r="N919" s="1"/>
      <c r="O919" s="8" t="str">
        <f>IF(B919=0,VLOOKUP(A919,Feuil2!$A$2:$M$1241,13,FALSE)," ")</f>
        <v>14007007100705944102</v>
      </c>
    </row>
    <row r="920" spans="1:16" x14ac:dyDescent="0.3">
      <c r="A920" s="1">
        <v>965</v>
      </c>
      <c r="B920" s="1">
        <v>1</v>
      </c>
      <c r="C920" s="1" t="s">
        <v>2626</v>
      </c>
      <c r="D920" s="1" t="s">
        <v>2175</v>
      </c>
      <c r="E920" s="5">
        <v>27723</v>
      </c>
      <c r="F920" s="1" t="s">
        <v>17</v>
      </c>
      <c r="G920" s="1" t="s">
        <v>15</v>
      </c>
      <c r="H920" s="1" t="s">
        <v>16</v>
      </c>
      <c r="I920" s="6" t="str">
        <f>IF(B920=0,VLOOKUP(A920,Feuil2!$A$2:$M$1241,7,FALSE)," ")</f>
        <v xml:space="preserve"> </v>
      </c>
      <c r="J920" s="1" t="str">
        <f>IF(B920=0,VLOOKUP(A920,Feuil2!$A$2:$M$1241,9,FALSE)," ")</f>
        <v xml:space="preserve"> </v>
      </c>
      <c r="K920" s="1" t="str">
        <f>IF(B920=0,VLOOKUP(A920,Feuil2!$A$2:$M$1241,10,FALSE)," ")</f>
        <v xml:space="preserve"> </v>
      </c>
      <c r="L920" s="1"/>
      <c r="M920" s="1"/>
      <c r="N920" s="1"/>
      <c r="O920" s="8" t="str">
        <f>IF(B920=0,VLOOKUP(A920,Feuil2!$A$2:$M$1241,13,FALSE)," ")</f>
        <v xml:space="preserve"> </v>
      </c>
    </row>
    <row r="921" spans="1:16" x14ac:dyDescent="0.3">
      <c r="A921" s="1">
        <v>965</v>
      </c>
      <c r="B921" s="1">
        <v>2</v>
      </c>
      <c r="C921" s="1" t="s">
        <v>1215</v>
      </c>
      <c r="D921" s="1" t="s">
        <v>2627</v>
      </c>
      <c r="E921" s="5">
        <v>36978</v>
      </c>
      <c r="F921" s="1" t="s">
        <v>506</v>
      </c>
      <c r="G921" s="1" t="str">
        <f>IF(B921=0,VLOOKUP(A921,Feuil2!$A$2:$M$1241,11,FALSE)," ")</f>
        <v xml:space="preserve"> </v>
      </c>
      <c r="H921" s="1" t="s">
        <v>16</v>
      </c>
      <c r="I921" s="6" t="str">
        <f>IF(B921=0,VLOOKUP(A921,Feuil2!$A$2:$M$1241,7,FALSE)," ")</f>
        <v xml:space="preserve"> </v>
      </c>
      <c r="J921" s="1" t="str">
        <f>IF(B921=0,VLOOKUP(A921,Feuil2!$A$2:$M$1241,9,FALSE)," ")</f>
        <v xml:space="preserve"> </v>
      </c>
      <c r="K921" s="1" t="str">
        <f>IF(B921=0,VLOOKUP(A921,Feuil2!$A$2:$M$1241,10,FALSE)," ")</f>
        <v xml:space="preserve"> </v>
      </c>
      <c r="L921" s="1"/>
      <c r="M921" s="1"/>
      <c r="N921" s="1"/>
      <c r="O921" s="8" t="str">
        <f>IF(B921=0,VLOOKUP(A921,Feuil2!$A$2:$M$1241,13,FALSE)," ")</f>
        <v xml:space="preserve"> </v>
      </c>
    </row>
    <row r="922" spans="1:16" x14ac:dyDescent="0.3">
      <c r="A922" s="1">
        <v>965</v>
      </c>
      <c r="B922" s="1">
        <v>3</v>
      </c>
      <c r="C922" s="1" t="s">
        <v>1215</v>
      </c>
      <c r="D922" s="1" t="s">
        <v>149</v>
      </c>
      <c r="E922" s="5">
        <v>37328</v>
      </c>
      <c r="F922" s="1" t="s">
        <v>506</v>
      </c>
      <c r="G922" s="1" t="str">
        <f>IF(B922=0,VLOOKUP(A922,Feuil2!$A$2:$M$1241,11,FALSE)," ")</f>
        <v xml:space="preserve"> </v>
      </c>
      <c r="H922" s="1" t="s">
        <v>16</v>
      </c>
      <c r="I922" s="6" t="str">
        <f>IF(B922=0,VLOOKUP(A922,Feuil2!$A$2:$M$1241,7,FALSE)," ")</f>
        <v xml:space="preserve"> </v>
      </c>
      <c r="J922" s="1" t="str">
        <f>IF(B922=0,VLOOKUP(A922,Feuil2!$A$2:$M$1241,9,FALSE)," ")</f>
        <v xml:space="preserve"> </v>
      </c>
      <c r="K922" s="1" t="str">
        <f>IF(B922=0,VLOOKUP(A922,Feuil2!$A$2:$M$1241,10,FALSE)," ")</f>
        <v xml:space="preserve"> </v>
      </c>
      <c r="L922" s="1"/>
      <c r="M922" s="1"/>
      <c r="N922" s="1"/>
      <c r="O922" s="8" t="str">
        <f>IF(B922=0,VLOOKUP(A922,Feuil2!$A$2:$M$1241,13,FALSE)," ")</f>
        <v xml:space="preserve"> </v>
      </c>
    </row>
    <row r="923" spans="1:16" x14ac:dyDescent="0.3">
      <c r="A923" s="1">
        <v>965</v>
      </c>
      <c r="B923" s="1">
        <v>4</v>
      </c>
      <c r="C923" s="1" t="s">
        <v>1215</v>
      </c>
      <c r="D923" s="1" t="s">
        <v>2628</v>
      </c>
      <c r="E923" s="5">
        <v>41041</v>
      </c>
      <c r="F923" s="1" t="s">
        <v>506</v>
      </c>
      <c r="G923" s="1" t="str">
        <f>IF(B923=0,VLOOKUP(A923,Feuil2!$A$2:$M$1241,11,FALSE)," ")</f>
        <v xml:space="preserve"> </v>
      </c>
      <c r="H923" s="1" t="s">
        <v>16</v>
      </c>
      <c r="I923" s="6" t="str">
        <f>IF(B923=0,VLOOKUP(A923,Feuil2!$A$2:$M$1241,7,FALSE)," ")</f>
        <v xml:space="preserve"> </v>
      </c>
      <c r="J923" s="1" t="str">
        <f>IF(B923=0,VLOOKUP(A923,Feuil2!$A$2:$M$1241,9,FALSE)," ")</f>
        <v xml:space="preserve"> </v>
      </c>
      <c r="K923" s="1" t="str">
        <f>IF(B923=0,VLOOKUP(A923,Feuil2!$A$2:$M$1241,10,FALSE)," ")</f>
        <v xml:space="preserve"> </v>
      </c>
      <c r="L923" s="1"/>
      <c r="M923" s="1"/>
      <c r="N923" s="1"/>
      <c r="O923" s="8" t="str">
        <f>IF(B923=0,VLOOKUP(A923,Feuil2!$A$2:$M$1241,13,FALSE)," ")</f>
        <v xml:space="preserve"> </v>
      </c>
    </row>
    <row r="924" spans="1:16" x14ac:dyDescent="0.3">
      <c r="A924" s="1">
        <v>978</v>
      </c>
      <c r="B924" s="1">
        <v>0</v>
      </c>
      <c r="C924" s="1" t="str">
        <f>IF(B924=0,VLOOKUP(A924,Feuil2!$A$2:$M$1241,2,FALSE)," ")</f>
        <v>GRAIET</v>
      </c>
      <c r="D924" s="1" t="str">
        <f>IF(B924=0,VLOOKUP(A924,Feuil2!$A$2:$M$1241,3,FALSE)," ")</f>
        <v>ADEL</v>
      </c>
      <c r="E924" s="5">
        <f>IF(B924=0,VLOOKUP(A924,Feuil2!$A$2:$M$1241,6,FALSE)," ")</f>
        <v>26055</v>
      </c>
      <c r="F924" s="1" t="str">
        <f>IF(B924=0,VLOOKUP(A924,Feuil2!$A$2:$M$1241,12,FALSE)," ")</f>
        <v>H</v>
      </c>
      <c r="G924" s="1" t="str">
        <f>IF(B924=0,VLOOKUP(A924,Feuil2!$A$2:$M$1241,11,FALSE)," ")</f>
        <v>M</v>
      </c>
      <c r="H924" s="1" t="s">
        <v>16</v>
      </c>
      <c r="I924" s="6">
        <f>IF(B924=0,VLOOKUP(A924,Feuil2!$A$2:$M$1241,7,FALSE)," ")</f>
        <v>5523752</v>
      </c>
      <c r="J924" s="1" t="str">
        <f>IF(B924=0,VLOOKUP(A924,Feuil2!$A$2:$M$1241,9,FALSE)," ")</f>
        <v>40 Rue Annibal</v>
      </c>
      <c r="K924" s="1" t="str">
        <f>IF(B924=0,VLOOKUP(A924,Feuil2!$A$2:$M$1241,10,FALSE)," ")</f>
        <v>Msaken 4070</v>
      </c>
      <c r="L924" s="1">
        <v>4070</v>
      </c>
      <c r="M924" s="1">
        <v>52451127</v>
      </c>
      <c r="N924" s="1"/>
      <c r="O924" s="8" t="str">
        <f>IF(B924=0,VLOOKUP(A924,Feuil2!$A$2:$M$1241,13,FALSE)," ")</f>
        <v>03508056010100346714</v>
      </c>
    </row>
    <row r="925" spans="1:16" x14ac:dyDescent="0.3">
      <c r="A925" s="1">
        <v>978</v>
      </c>
      <c r="B925" s="1">
        <v>1</v>
      </c>
      <c r="C925" s="1" t="str">
        <f>IF(B925=0,VLOOKUP(A925,Feuil2!$A$2:$M$1241,2,FALSE)," ")</f>
        <v xml:space="preserve"> </v>
      </c>
      <c r="D925" s="1" t="s">
        <v>2629</v>
      </c>
      <c r="E925" s="5">
        <v>29604</v>
      </c>
      <c r="F925" s="1" t="s">
        <v>17</v>
      </c>
      <c r="G925" s="1" t="s">
        <v>15</v>
      </c>
      <c r="H925" s="1" t="s">
        <v>16</v>
      </c>
      <c r="I925" s="6" t="str">
        <f>IF(B925=0,VLOOKUP(A925,Feuil2!$A$2:$M$1241,7,FALSE)," ")</f>
        <v xml:space="preserve"> </v>
      </c>
      <c r="J925" s="1" t="str">
        <f>IF(B925=0,VLOOKUP(A925,Feuil2!$A$2:$M$1241,9,FALSE)," ")</f>
        <v xml:space="preserve"> </v>
      </c>
      <c r="K925" s="1" t="str">
        <f>IF(B925=0,VLOOKUP(A925,Feuil2!$A$2:$M$1241,10,FALSE)," ")</f>
        <v xml:space="preserve"> </v>
      </c>
      <c r="L925" s="1"/>
      <c r="M925" s="1"/>
      <c r="N925" s="1"/>
      <c r="O925" s="8" t="str">
        <f>IF(B925=0,VLOOKUP(A925,Feuil2!$A$2:$M$1241,13,FALSE)," ")</f>
        <v xml:space="preserve"> </v>
      </c>
    </row>
    <row r="926" spans="1:16" x14ac:dyDescent="0.3">
      <c r="A926" s="1">
        <v>978</v>
      </c>
      <c r="B926" s="1">
        <v>2</v>
      </c>
      <c r="C926" s="1" t="s">
        <v>37</v>
      </c>
      <c r="D926" s="1" t="s">
        <v>2521</v>
      </c>
      <c r="E926" s="5">
        <v>42652</v>
      </c>
      <c r="F926" s="1" t="s">
        <v>506</v>
      </c>
      <c r="G926" s="1" t="str">
        <f>IF(B926=0,VLOOKUP(A926,Feuil2!$A$2:$M$1241,11,FALSE)," ")</f>
        <v xml:space="preserve"> </v>
      </c>
      <c r="H926" s="1" t="s">
        <v>16</v>
      </c>
      <c r="I926" s="6" t="str">
        <f>IF(B926=0,VLOOKUP(A926,Feuil2!$A$2:$M$1241,7,FALSE)," ")</f>
        <v xml:space="preserve"> </v>
      </c>
      <c r="J926" s="1" t="str">
        <f>IF(B926=0,VLOOKUP(A926,Feuil2!$A$2:$M$1241,9,FALSE)," ")</f>
        <v xml:space="preserve"> </v>
      </c>
      <c r="K926" s="1" t="str">
        <f>IF(B926=0,VLOOKUP(A926,Feuil2!$A$2:$M$1241,10,FALSE)," ")</f>
        <v xml:space="preserve"> </v>
      </c>
      <c r="L926" s="1"/>
      <c r="M926" s="1"/>
      <c r="N926" s="1"/>
      <c r="O926" s="8" t="str">
        <f>IF(B926=0,VLOOKUP(A926,Feuil2!$A$2:$M$1241,13,FALSE)," ")</f>
        <v xml:space="preserve"> </v>
      </c>
    </row>
    <row r="927" spans="1:16" x14ac:dyDescent="0.3">
      <c r="A927" s="1">
        <v>978</v>
      </c>
      <c r="B927" s="1">
        <v>3</v>
      </c>
      <c r="C927" s="1" t="s">
        <v>37</v>
      </c>
      <c r="D927" s="1" t="s">
        <v>2613</v>
      </c>
      <c r="E927" s="5">
        <v>43484</v>
      </c>
      <c r="F927" s="1" t="s">
        <v>17</v>
      </c>
      <c r="G927" s="1" t="str">
        <f>IF(B927=0,VLOOKUP(A927,Feuil2!$A$2:$M$1241,11,FALSE)," ")</f>
        <v xml:space="preserve"> </v>
      </c>
      <c r="H927" s="1" t="s">
        <v>16</v>
      </c>
      <c r="I927" s="6" t="str">
        <f>IF(B927=0,VLOOKUP(A927,Feuil2!$A$2:$M$1241,7,FALSE)," ")</f>
        <v xml:space="preserve"> </v>
      </c>
      <c r="J927" s="1" t="str">
        <f>IF(B927=0,VLOOKUP(A927,Feuil2!$A$2:$M$1241,9,FALSE)," ")</f>
        <v xml:space="preserve"> </v>
      </c>
      <c r="K927" s="1" t="str">
        <f>IF(B927=0,VLOOKUP(A927,Feuil2!$A$2:$M$1241,10,FALSE)," ")</f>
        <v xml:space="preserve"> </v>
      </c>
      <c r="L927" s="1"/>
      <c r="M927" s="1"/>
      <c r="N927" s="1"/>
      <c r="O927" s="8" t="str">
        <f>IF(B927=0,VLOOKUP(A927,Feuil2!$A$2:$M$1241,13,FALSE)," ")</f>
        <v xml:space="preserve"> </v>
      </c>
    </row>
    <row r="928" spans="1:16" x14ac:dyDescent="0.3">
      <c r="A928" s="1">
        <v>990</v>
      </c>
      <c r="B928" s="1">
        <v>0</v>
      </c>
      <c r="C928" s="1" t="str">
        <f>IF(B928=0,VLOOKUP(A928,Feuil2!$A$2:$M$1241,2,FALSE)," ")</f>
        <v>GARDALLOU</v>
      </c>
      <c r="D928" s="1" t="str">
        <f>IF(B928=0,VLOOKUP(A928,Feuil2!$A$2:$M$1241,3,FALSE)," ")</f>
        <v>SAMIR</v>
      </c>
      <c r="E928" s="5">
        <f>IF(B928=0,VLOOKUP(A928,Feuil2!$A$2:$M$1241,6,FALSE)," ")</f>
        <v>24113</v>
      </c>
      <c r="F928" s="1" t="str">
        <f>IF(B928=0,VLOOKUP(A928,Feuil2!$A$2:$M$1241,12,FALSE)," ")</f>
        <v>H</v>
      </c>
      <c r="G928" s="1" t="str">
        <f>IF(B928=0,VLOOKUP(A928,Feuil2!$A$2:$M$1241,11,FALSE)," ")</f>
        <v>M</v>
      </c>
      <c r="H928" s="1" t="s">
        <v>16</v>
      </c>
      <c r="I928" s="6">
        <f>IF(B928=0,VLOOKUP(A928,Feuil2!$A$2:$M$1241,7,FALSE)," ")</f>
        <v>2971250</v>
      </c>
      <c r="J928" s="1" t="str">
        <f>IF(B928=0,VLOOKUP(A928,Feuil2!$A$2:$M$1241,9,FALSE)," ")</f>
        <v>R 20 Mars</v>
      </c>
      <c r="K928" s="1" t="str">
        <f>IF(B928=0,VLOOKUP(A928,Feuil2!$A$2:$M$1241,10,FALSE)," ")</f>
        <v>Kalaa Sghira</v>
      </c>
      <c r="L928" s="1"/>
      <c r="M928" s="1">
        <v>98793747</v>
      </c>
      <c r="N928" s="1"/>
      <c r="O928" s="8" t="str">
        <f>IF(B928=0,VLOOKUP(A928,Feuil2!$A$2:$M$1241,13,FALSE)," ")</f>
        <v>10506040204556378804</v>
      </c>
      <c r="P928" t="s">
        <v>2805</v>
      </c>
    </row>
    <row r="929" spans="1:15" x14ac:dyDescent="0.3">
      <c r="A929" s="1">
        <v>990</v>
      </c>
      <c r="B929" s="1">
        <v>1</v>
      </c>
      <c r="C929" s="1" t="s">
        <v>1374</v>
      </c>
      <c r="D929" s="1" t="s">
        <v>559</v>
      </c>
      <c r="E929" s="5">
        <v>25520</v>
      </c>
      <c r="F929" s="1" t="s">
        <v>17</v>
      </c>
      <c r="G929" s="1" t="s">
        <v>15</v>
      </c>
      <c r="H929" s="1" t="s">
        <v>16</v>
      </c>
      <c r="I929" s="6" t="str">
        <f>IF(B929=0,VLOOKUP(A929,Feuil2!$A$2:$M$1241,7,FALSE)," ")</f>
        <v xml:space="preserve"> </v>
      </c>
      <c r="J929" s="1" t="str">
        <f>IF(B929=0,VLOOKUP(A929,Feuil2!$A$2:$M$1241,9,FALSE)," ")</f>
        <v xml:space="preserve"> </v>
      </c>
      <c r="K929" s="1" t="str">
        <f>IF(B929=0,VLOOKUP(A929,Feuil2!$A$2:$M$1241,10,FALSE)," ")</f>
        <v xml:space="preserve"> </v>
      </c>
      <c r="L929" s="1"/>
      <c r="M929" s="1"/>
      <c r="N929" s="1"/>
      <c r="O929" s="8" t="str">
        <f>IF(B929=0,VLOOKUP(A929,Feuil2!$A$2:$M$1241,13,FALSE)," ")</f>
        <v xml:space="preserve"> </v>
      </c>
    </row>
    <row r="930" spans="1:15" x14ac:dyDescent="0.3">
      <c r="A930" s="1">
        <v>990</v>
      </c>
      <c r="B930" s="1">
        <v>2</v>
      </c>
      <c r="C930" s="1" t="s">
        <v>1374</v>
      </c>
      <c r="D930" s="1" t="s">
        <v>2336</v>
      </c>
      <c r="E930" s="5">
        <v>36263</v>
      </c>
      <c r="F930" s="1" t="s">
        <v>17</v>
      </c>
      <c r="G930" s="1" t="str">
        <f>IF(B930=0,VLOOKUP(A930,Feuil2!$A$2:$M$1241,11,FALSE)," ")</f>
        <v xml:space="preserve"> </v>
      </c>
      <c r="H930" s="1" t="s">
        <v>16</v>
      </c>
      <c r="I930" s="6" t="str">
        <f>IF(B930=0,VLOOKUP(A930,Feuil2!$A$2:$M$1241,7,FALSE)," ")</f>
        <v xml:space="preserve"> </v>
      </c>
      <c r="J930" s="1" t="str">
        <f>IF(B930=0,VLOOKUP(A930,Feuil2!$A$2:$M$1241,9,FALSE)," ")</f>
        <v xml:space="preserve"> </v>
      </c>
      <c r="K930" s="1" t="str">
        <f>IF(B930=0,VLOOKUP(A930,Feuil2!$A$2:$M$1241,10,FALSE)," ")</f>
        <v xml:space="preserve"> </v>
      </c>
      <c r="L930" s="1"/>
      <c r="M930" s="1"/>
      <c r="N930" s="1"/>
      <c r="O930" s="8" t="str">
        <f>IF(B930=0,VLOOKUP(A930,Feuil2!$A$2:$M$1241,13,FALSE)," ")</f>
        <v xml:space="preserve"> </v>
      </c>
    </row>
    <row r="931" spans="1:15" x14ac:dyDescent="0.3">
      <c r="A931" s="1">
        <v>990</v>
      </c>
      <c r="B931" s="1">
        <v>3</v>
      </c>
      <c r="C931" s="1" t="s">
        <v>1374</v>
      </c>
      <c r="D931" s="1" t="s">
        <v>2630</v>
      </c>
      <c r="E931" s="5">
        <v>37792</v>
      </c>
      <c r="F931" s="1" t="s">
        <v>17</v>
      </c>
      <c r="G931" s="1" t="str">
        <f>IF(B931=0,VLOOKUP(A931,Feuil2!$A$2:$M$1241,11,FALSE)," ")</f>
        <v xml:space="preserve"> </v>
      </c>
      <c r="H931" s="1" t="s">
        <v>16</v>
      </c>
      <c r="I931" s="6" t="str">
        <f>IF(B931=0,VLOOKUP(A931,Feuil2!$A$2:$M$1241,7,FALSE)," ")</f>
        <v xml:space="preserve"> </v>
      </c>
      <c r="J931" s="1" t="str">
        <f>IF(B931=0,VLOOKUP(A931,Feuil2!$A$2:$M$1241,9,FALSE)," ")</f>
        <v xml:space="preserve"> </v>
      </c>
      <c r="K931" s="1" t="str">
        <f>IF(B931=0,VLOOKUP(A931,Feuil2!$A$2:$M$1241,10,FALSE)," ")</f>
        <v xml:space="preserve"> </v>
      </c>
      <c r="L931" s="1"/>
      <c r="M931" s="1"/>
      <c r="N931" s="1"/>
      <c r="O931" s="8" t="str">
        <f>IF(B931=0,VLOOKUP(A931,Feuil2!$A$2:$M$1241,13,FALSE)," ")</f>
        <v xml:space="preserve"> </v>
      </c>
    </row>
    <row r="932" spans="1:15" x14ac:dyDescent="0.3">
      <c r="A932" s="1">
        <v>990</v>
      </c>
      <c r="B932" s="1">
        <v>4</v>
      </c>
      <c r="C932" s="1" t="s">
        <v>1374</v>
      </c>
      <c r="D932" s="1" t="s">
        <v>2332</v>
      </c>
      <c r="E932" s="5">
        <v>39837</v>
      </c>
      <c r="F932" s="1" t="s">
        <v>17</v>
      </c>
      <c r="G932" s="1" t="str">
        <f>IF(B932=0,VLOOKUP(A932,Feuil2!$A$2:$M$1241,11,FALSE)," ")</f>
        <v xml:space="preserve"> </v>
      </c>
      <c r="H932" s="1" t="s">
        <v>16</v>
      </c>
      <c r="I932" s="6" t="str">
        <f>IF(B932=0,VLOOKUP(A932,Feuil2!$A$2:$M$1241,7,FALSE)," ")</f>
        <v xml:space="preserve"> </v>
      </c>
      <c r="J932" s="1" t="str">
        <f>IF(B932=0,VLOOKUP(A932,Feuil2!$A$2:$M$1241,9,FALSE)," ")</f>
        <v xml:space="preserve"> </v>
      </c>
      <c r="K932" s="1" t="str">
        <f>IF(B932=0,VLOOKUP(A932,Feuil2!$A$2:$M$1241,10,FALSE)," ")</f>
        <v xml:space="preserve"> </v>
      </c>
      <c r="L932" s="1"/>
      <c r="M932" s="1"/>
      <c r="N932" s="1"/>
      <c r="O932" s="8" t="str">
        <f>IF(B932=0,VLOOKUP(A932,Feuil2!$A$2:$M$1241,13,FALSE)," ")</f>
        <v xml:space="preserve"> </v>
      </c>
    </row>
    <row r="933" spans="1:15" x14ac:dyDescent="0.3">
      <c r="A933" s="1">
        <v>990</v>
      </c>
      <c r="B933" s="1">
        <v>5</v>
      </c>
      <c r="C933" s="1" t="s">
        <v>1374</v>
      </c>
      <c r="D933" s="1" t="s">
        <v>34</v>
      </c>
      <c r="E933" s="5">
        <v>40833</v>
      </c>
      <c r="F933" s="1" t="s">
        <v>506</v>
      </c>
      <c r="G933" s="1" t="str">
        <f>IF(B933=0,VLOOKUP(A933,Feuil2!$A$2:$M$1241,11,FALSE)," ")</f>
        <v xml:space="preserve"> </v>
      </c>
      <c r="H933" s="1" t="s">
        <v>16</v>
      </c>
      <c r="I933" s="6" t="str">
        <f>IF(B933=0,VLOOKUP(A933,Feuil2!$A$2:$M$1241,7,FALSE)," ")</f>
        <v xml:space="preserve"> </v>
      </c>
      <c r="J933" s="1" t="str">
        <f>IF(B933=0,VLOOKUP(A933,Feuil2!$A$2:$M$1241,9,FALSE)," ")</f>
        <v xml:space="preserve"> </v>
      </c>
      <c r="K933" s="1" t="str">
        <f>IF(B933=0,VLOOKUP(A933,Feuil2!$A$2:$M$1241,10,FALSE)," ")</f>
        <v xml:space="preserve"> </v>
      </c>
      <c r="L933" s="1"/>
      <c r="M933" s="1"/>
      <c r="N933" s="1"/>
      <c r="O933" s="8" t="str">
        <f>IF(B933=0,VLOOKUP(A933,Feuil2!$A$2:$M$1241,13,FALSE)," ")</f>
        <v xml:space="preserve"> </v>
      </c>
    </row>
    <row r="934" spans="1:15" x14ac:dyDescent="0.3">
      <c r="A934" s="1">
        <v>993</v>
      </c>
      <c r="B934" s="17">
        <v>0</v>
      </c>
      <c r="C934" s="17" t="str">
        <f>IF(B934=0,VLOOKUP(A934,Feuil2!$A$2:$M$1241,2,FALSE)," ")</f>
        <v>LAADHARI</v>
      </c>
      <c r="D934" s="17" t="str">
        <f>IF(B934=0,VLOOKUP(A934,Feuil2!$A$2:$M$1241,3,FALSE)," ")</f>
        <v>SALEM</v>
      </c>
      <c r="E934" s="18">
        <f>IF(B934=0,VLOOKUP(A934,Feuil2!$A$2:$M$1241,6,FALSE)," ")</f>
        <v>22253</v>
      </c>
      <c r="F934" s="17" t="str">
        <f>IF(B934=0,VLOOKUP(A934,Feuil2!$A$2:$M$1241,12,FALSE)," ")</f>
        <v>H</v>
      </c>
      <c r="G934" s="17" t="str">
        <f>IF(B934=0,VLOOKUP(A934,Feuil2!$A$2:$M$1241,11,FALSE)," ")</f>
        <v>M</v>
      </c>
      <c r="H934" s="17" t="s">
        <v>16</v>
      </c>
      <c r="I934" s="19">
        <f>IF(B934=0,VLOOKUP(A934,Feuil2!$A$2:$M$1241,7,FALSE)," ")</f>
        <v>2844713</v>
      </c>
      <c r="J934" s="17" t="str">
        <f>IF(B934=0,VLOOKUP(A934,Feuil2!$A$2:$M$1241,9,FALSE)," ")</f>
        <v>CitÃ© Ennour</v>
      </c>
      <c r="K934" s="17" t="str">
        <f>IF(B934=0,VLOOKUP(A934,Feuil2!$A$2:$M$1241,10,FALSE)," ")</f>
        <v>Msaken 4070</v>
      </c>
      <c r="L934" s="17">
        <v>4070</v>
      </c>
      <c r="M934" s="17">
        <v>97455879</v>
      </c>
      <c r="N934" s="17"/>
      <c r="O934" s="20" t="str">
        <f>IF(B934=0,VLOOKUP(A934,Feuil2!$A$2:$M$1241,13,FALSE)," ")</f>
        <v>24010035312251110102</v>
      </c>
    </row>
    <row r="935" spans="1:15" x14ac:dyDescent="0.3">
      <c r="A935" s="1">
        <v>993</v>
      </c>
      <c r="B935" s="1">
        <v>1</v>
      </c>
      <c r="C935" s="1" t="s">
        <v>582</v>
      </c>
      <c r="D935" s="1" t="s">
        <v>1094</v>
      </c>
      <c r="E935" s="5">
        <v>23680</v>
      </c>
      <c r="F935" s="1" t="s">
        <v>17</v>
      </c>
      <c r="G935" s="1" t="s">
        <v>15</v>
      </c>
      <c r="H935" s="1" t="s">
        <v>16</v>
      </c>
      <c r="I935" s="6" t="str">
        <f>IF(B935=0,VLOOKUP(A935,Feuil2!$A$2:$M$1241,7,FALSE)," ")</f>
        <v xml:space="preserve"> </v>
      </c>
      <c r="J935" s="1" t="str">
        <f>IF(B935=0,VLOOKUP(A935,Feuil2!$A$2:$M$1241,9,FALSE)," ")</f>
        <v xml:space="preserve"> </v>
      </c>
      <c r="K935" s="1" t="str">
        <f>IF(B935=0,VLOOKUP(A935,Feuil2!$A$2:$M$1241,10,FALSE)," ")</f>
        <v xml:space="preserve"> </v>
      </c>
      <c r="L935" s="1"/>
      <c r="M935" s="1"/>
      <c r="N935" s="1"/>
      <c r="O935" s="8" t="str">
        <f>IF(B935=0,VLOOKUP(A935,Feuil2!$A$2:$M$1241,13,FALSE)," ")</f>
        <v xml:space="preserve"> </v>
      </c>
    </row>
    <row r="936" spans="1:15" x14ac:dyDescent="0.3">
      <c r="A936" s="1">
        <v>997</v>
      </c>
      <c r="B936" s="1">
        <v>0</v>
      </c>
      <c r="C936" s="1" t="str">
        <f>IF(B936=0,VLOOKUP(A936,Feuil2!$A$2:$M$1241,2,FALSE)," ")</f>
        <v>KOIUISSAH MAHJOUB</v>
      </c>
      <c r="D936" s="1" t="str">
        <f>IF(B936=0,VLOOKUP(A936,Feuil2!$A$2:$M$1241,3,FALSE)," ")</f>
        <v>SLAH</v>
      </c>
      <c r="E936" s="5">
        <f>IF(B936=0,VLOOKUP(A936,Feuil2!$A$2:$M$1241,6,FALSE)," ")</f>
        <v>24866</v>
      </c>
      <c r="F936" s="1" t="str">
        <f>IF(B936=0,VLOOKUP(A936,Feuil2!$A$2:$M$1241,12,FALSE)," ")</f>
        <v>H</v>
      </c>
      <c r="G936" s="1" t="str">
        <f>IF(B936=0,VLOOKUP(A936,Feuil2!$A$2:$M$1241,11,FALSE)," ")</f>
        <v>M</v>
      </c>
      <c r="H936" s="1" t="s">
        <v>16</v>
      </c>
      <c r="I936" s="6">
        <f>IF(B936=0,VLOOKUP(A936,Feuil2!$A$2:$M$1241,7,FALSE)," ")</f>
        <v>5505960</v>
      </c>
      <c r="J936" s="1" t="str">
        <f>IF(B936=0,VLOOKUP(A936,Feuil2!$A$2:$M$1241,9,FALSE)," ")</f>
        <v>25 Route de Sfax</v>
      </c>
      <c r="K936" s="1" t="str">
        <f>IF(B936=0,VLOOKUP(A936,Feuil2!$A$2:$M$1241,10,FALSE)," ")</f>
        <v>Msaken 4070</v>
      </c>
      <c r="L936" s="1">
        <v>4070</v>
      </c>
      <c r="M936" s="1">
        <v>27255611</v>
      </c>
      <c r="N936" s="1"/>
      <c r="O936" s="8" t="str">
        <f>IF(B936=0,VLOOKUP(A936,Feuil2!$A$2:$M$1241,13,FALSE)," ")</f>
        <v>03508056010100160474</v>
      </c>
    </row>
    <row r="937" spans="1:15" x14ac:dyDescent="0.3">
      <c r="A937" s="1">
        <v>997</v>
      </c>
      <c r="B937" s="1">
        <v>1</v>
      </c>
      <c r="C937" s="1" t="s">
        <v>186</v>
      </c>
      <c r="D937" s="1" t="s">
        <v>2372</v>
      </c>
      <c r="E937" s="5">
        <v>29017</v>
      </c>
      <c r="F937" s="1" t="s">
        <v>17</v>
      </c>
      <c r="G937" s="1" t="s">
        <v>15</v>
      </c>
      <c r="H937" s="1" t="s">
        <v>16</v>
      </c>
      <c r="I937" s="6" t="str">
        <f>IF(B937=0,VLOOKUP(A937,Feuil2!$A$2:$M$1241,7,FALSE)," ")</f>
        <v xml:space="preserve"> </v>
      </c>
      <c r="J937" s="1" t="str">
        <f>IF(B937=0,VLOOKUP(A937,Feuil2!$A$2:$M$1241,9,FALSE)," ")</f>
        <v xml:space="preserve"> </v>
      </c>
      <c r="K937" s="1" t="str">
        <f>IF(B937=0,VLOOKUP(A937,Feuil2!$A$2:$M$1241,10,FALSE)," ")</f>
        <v xml:space="preserve"> </v>
      </c>
      <c r="L937" s="1"/>
      <c r="M937" s="1"/>
      <c r="N937" s="1"/>
      <c r="O937" s="8" t="str">
        <f>IF(B937=0,VLOOKUP(A937,Feuil2!$A$2:$M$1241,13,FALSE)," ")</f>
        <v xml:space="preserve"> </v>
      </c>
    </row>
    <row r="938" spans="1:15" x14ac:dyDescent="0.3">
      <c r="A938" s="1">
        <v>997</v>
      </c>
      <c r="B938" s="1">
        <v>2</v>
      </c>
      <c r="C938" s="1" t="s">
        <v>1380</v>
      </c>
      <c r="D938" s="1" t="s">
        <v>2362</v>
      </c>
      <c r="E938" s="5">
        <v>36871</v>
      </c>
      <c r="F938" s="1" t="s">
        <v>17</v>
      </c>
      <c r="G938" s="1" t="str">
        <f>IF(B938=0,VLOOKUP(A938,Feuil2!$A$2:$M$1241,11,FALSE)," ")</f>
        <v xml:space="preserve"> </v>
      </c>
      <c r="H938" s="1" t="s">
        <v>16</v>
      </c>
      <c r="I938" s="6" t="str">
        <f>IF(B938=0,VLOOKUP(A938,Feuil2!$A$2:$M$1241,7,FALSE)," ")</f>
        <v xml:space="preserve"> </v>
      </c>
      <c r="J938" s="1" t="str">
        <f>IF(B938=0,VLOOKUP(A938,Feuil2!$A$2:$M$1241,9,FALSE)," ")</f>
        <v xml:space="preserve"> </v>
      </c>
      <c r="K938" s="1" t="str">
        <f>IF(B938=0,VLOOKUP(A938,Feuil2!$A$2:$M$1241,10,FALSE)," ")</f>
        <v xml:space="preserve"> </v>
      </c>
      <c r="L938" s="1"/>
      <c r="M938" s="1"/>
      <c r="N938" s="1"/>
      <c r="O938" s="8" t="str">
        <f>IF(B938=0,VLOOKUP(A938,Feuil2!$A$2:$M$1241,13,FALSE)," ")</f>
        <v xml:space="preserve"> </v>
      </c>
    </row>
    <row r="939" spans="1:15" x14ac:dyDescent="0.3">
      <c r="A939" s="1">
        <v>997</v>
      </c>
      <c r="B939" s="1">
        <v>3</v>
      </c>
      <c r="C939" s="1" t="s">
        <v>1380</v>
      </c>
      <c r="D939" s="1" t="s">
        <v>2631</v>
      </c>
      <c r="E939" s="5">
        <v>37443</v>
      </c>
      <c r="F939" s="1" t="s">
        <v>506</v>
      </c>
      <c r="G939" s="1" t="str">
        <f>IF(B939=0,VLOOKUP(A939,Feuil2!$A$2:$M$1241,11,FALSE)," ")</f>
        <v xml:space="preserve"> </v>
      </c>
      <c r="H939" s="1" t="s">
        <v>16</v>
      </c>
      <c r="I939" s="6" t="str">
        <f>IF(B939=0,VLOOKUP(A939,Feuil2!$A$2:$M$1241,7,FALSE)," ")</f>
        <v xml:space="preserve"> </v>
      </c>
      <c r="J939" s="1" t="str">
        <f>IF(B939=0,VLOOKUP(A939,Feuil2!$A$2:$M$1241,9,FALSE)," ")</f>
        <v xml:space="preserve"> </v>
      </c>
      <c r="K939" s="1" t="str">
        <f>IF(B939=0,VLOOKUP(A939,Feuil2!$A$2:$M$1241,10,FALSE)," ")</f>
        <v xml:space="preserve"> </v>
      </c>
      <c r="L939" s="1"/>
      <c r="M939" s="1"/>
      <c r="N939" s="1"/>
      <c r="O939" s="8" t="str">
        <f>IF(B939=0,VLOOKUP(A939,Feuil2!$A$2:$M$1241,13,FALSE)," ")</f>
        <v xml:space="preserve"> </v>
      </c>
    </row>
    <row r="940" spans="1:15" x14ac:dyDescent="0.3">
      <c r="A940" s="1">
        <v>997</v>
      </c>
      <c r="B940" s="1">
        <v>4</v>
      </c>
      <c r="C940" s="1" t="s">
        <v>1380</v>
      </c>
      <c r="D940" s="1" t="s">
        <v>2376</v>
      </c>
      <c r="E940" s="5">
        <v>40280</v>
      </c>
      <c r="F940" s="1" t="s">
        <v>506</v>
      </c>
      <c r="G940" s="1" t="str">
        <f>IF(B940=0,VLOOKUP(A940,Feuil2!$A$2:$M$1241,11,FALSE)," ")</f>
        <v xml:space="preserve"> </v>
      </c>
      <c r="H940" s="1" t="s">
        <v>16</v>
      </c>
      <c r="I940" s="6" t="str">
        <f>IF(B940=0,VLOOKUP(A940,Feuil2!$A$2:$M$1241,7,FALSE)," ")</f>
        <v xml:space="preserve"> </v>
      </c>
      <c r="J940" s="1" t="str">
        <f>IF(B940=0,VLOOKUP(A940,Feuil2!$A$2:$M$1241,9,FALSE)," ")</f>
        <v xml:space="preserve"> </v>
      </c>
      <c r="K940" s="1" t="str">
        <f>IF(B940=0,VLOOKUP(A940,Feuil2!$A$2:$M$1241,10,FALSE)," ")</f>
        <v xml:space="preserve"> </v>
      </c>
      <c r="L940" s="1"/>
      <c r="M940" s="1"/>
      <c r="N940" s="1"/>
      <c r="O940" s="8" t="str">
        <f>IF(B940=0,VLOOKUP(A940,Feuil2!$A$2:$M$1241,13,FALSE)," ")</f>
        <v xml:space="preserve"> </v>
      </c>
    </row>
    <row r="941" spans="1:15" x14ac:dyDescent="0.3">
      <c r="A941" s="1">
        <v>1507</v>
      </c>
      <c r="B941" s="17">
        <v>0</v>
      </c>
      <c r="C941" s="17" t="str">
        <f>IF(B941=0,VLOOKUP(A941,Feuil2!$A$2:$M$1241,2,FALSE)," ")</f>
        <v>MANSOUR</v>
      </c>
      <c r="D941" s="17" t="str">
        <f>IF(B941=0,VLOOKUP(A941,Feuil2!$A$2:$M$1241,3,FALSE)," ")</f>
        <v>AHMED</v>
      </c>
      <c r="E941" s="18">
        <f>IF(B941=0,VLOOKUP(A941,Feuil2!$A$2:$M$1241,6,FALSE)," ")</f>
        <v>23691</v>
      </c>
      <c r="F941" s="17" t="str">
        <f>IF(B941=0,VLOOKUP(A941,Feuil2!$A$2:$M$1241,12,FALSE)," ")</f>
        <v>H</v>
      </c>
      <c r="G941" s="17" t="str">
        <f>IF(B941=0,VLOOKUP(A941,Feuil2!$A$2:$M$1241,11,FALSE)," ")</f>
        <v>M</v>
      </c>
      <c r="H941" s="17" t="s">
        <v>16</v>
      </c>
      <c r="I941" s="19">
        <f>IF(B941=0,VLOOKUP(A941,Feuil2!$A$2:$M$1241,7,FALSE)," ")</f>
        <v>2958639</v>
      </c>
      <c r="J941" s="17" t="str">
        <f>IF(B941=0,VLOOKUP(A941,Feuil2!$A$2:$M$1241,9,FALSE)," ")</f>
        <v>4015 Beni Rabiaa</v>
      </c>
      <c r="K941" s="17" t="str">
        <f>IF(B941=0,VLOOKUP(A941,Feuil2!$A$2:$M$1241,10,FALSE)," ")</f>
        <v>BÃ©ni Rabiaa 4015</v>
      </c>
      <c r="L941" s="17"/>
      <c r="M941" s="17">
        <v>25298468</v>
      </c>
      <c r="N941" s="17"/>
      <c r="O941" s="20" t="str">
        <f>IF(B941=0,VLOOKUP(A941,Feuil2!$A$2:$M$1241,13,FALSE)," ")</f>
        <v>05048000116500172593</v>
      </c>
    </row>
    <row r="942" spans="1:15" x14ac:dyDescent="0.3">
      <c r="A942" s="1">
        <v>1507</v>
      </c>
      <c r="B942" s="1">
        <v>1</v>
      </c>
      <c r="C942" s="1" t="s">
        <v>2637</v>
      </c>
      <c r="D942" s="1" t="s">
        <v>2638</v>
      </c>
      <c r="E942" s="5">
        <v>24602</v>
      </c>
      <c r="F942" s="1" t="s">
        <v>17</v>
      </c>
      <c r="G942" s="1" t="s">
        <v>15</v>
      </c>
      <c r="H942" s="1" t="s">
        <v>16</v>
      </c>
      <c r="I942" s="6" t="str">
        <f>IF(B942=0,VLOOKUP(A942,Feuil2!$A$2:$M$1241,7,FALSE)," ")</f>
        <v xml:space="preserve"> </v>
      </c>
      <c r="J942" s="1" t="str">
        <f>IF(B942=0,VLOOKUP(A942,Feuil2!$A$2:$M$1241,9,FALSE)," ")</f>
        <v xml:space="preserve"> </v>
      </c>
      <c r="K942" s="1" t="str">
        <f>IF(B942=0,VLOOKUP(A942,Feuil2!$A$2:$M$1241,10,FALSE)," ")</f>
        <v xml:space="preserve"> </v>
      </c>
      <c r="L942" s="1"/>
      <c r="M942" s="1"/>
      <c r="N942" s="1"/>
      <c r="O942" s="8" t="str">
        <f>IF(B942=0,VLOOKUP(A942,Feuil2!$A$2:$M$1241,13,FALSE)," ")</f>
        <v xml:space="preserve"> </v>
      </c>
    </row>
    <row r="943" spans="1:15" x14ac:dyDescent="0.3">
      <c r="A943" s="1">
        <v>1507</v>
      </c>
      <c r="B943" s="1">
        <v>2</v>
      </c>
      <c r="C943" s="1" t="s">
        <v>197</v>
      </c>
      <c r="D943" s="1" t="s">
        <v>2627</v>
      </c>
      <c r="E943" s="5">
        <v>38328</v>
      </c>
      <c r="F943" s="1" t="s">
        <v>506</v>
      </c>
      <c r="G943" s="1" t="str">
        <f>IF(B943=0,VLOOKUP(A943,Feuil2!$A$2:$M$1241,11,FALSE)," ")</f>
        <v xml:space="preserve"> </v>
      </c>
      <c r="H943" s="1" t="s">
        <v>16</v>
      </c>
      <c r="I943" s="6" t="str">
        <f>IF(B943=0,VLOOKUP(A943,Feuil2!$A$2:$M$1241,7,FALSE)," ")</f>
        <v xml:space="preserve"> </v>
      </c>
      <c r="J943" s="1" t="str">
        <f>IF(B943=0,VLOOKUP(A943,Feuil2!$A$2:$M$1241,9,FALSE)," ")</f>
        <v xml:space="preserve"> </v>
      </c>
      <c r="K943" s="1" t="str">
        <f>IF(B943=0,VLOOKUP(A943,Feuil2!$A$2:$M$1241,10,FALSE)," ")</f>
        <v xml:space="preserve"> </v>
      </c>
      <c r="L943" s="1"/>
      <c r="M943" s="1"/>
      <c r="N943" s="1"/>
      <c r="O943" s="8" t="str">
        <f>IF(B943=0,VLOOKUP(A943,Feuil2!$A$2:$M$1241,13,FALSE)," ")</f>
        <v xml:space="preserve"> </v>
      </c>
    </row>
    <row r="944" spans="1:15" x14ac:dyDescent="0.3">
      <c r="A944" s="1">
        <v>1514</v>
      </c>
      <c r="B944" s="17">
        <v>0</v>
      </c>
      <c r="C944" s="17" t="str">
        <f>IF(B944=0,VLOOKUP(A944,Feuil2!$A$2:$M$1241,2,FALSE)," ")</f>
        <v>KHELIFI</v>
      </c>
      <c r="D944" s="17" t="str">
        <f>IF(B944=0,VLOOKUP(A944,Feuil2!$A$2:$M$1241,3,FALSE)," ")</f>
        <v>MOHSEN</v>
      </c>
      <c r="E944" s="18">
        <f>IF(B944=0,VLOOKUP(A944,Feuil2!$A$2:$M$1241,6,FALSE)," ")</f>
        <v>23482</v>
      </c>
      <c r="F944" s="17" t="str">
        <f>IF(B944=0,VLOOKUP(A944,Feuil2!$A$2:$M$1241,12,FALSE)," ")</f>
        <v>H</v>
      </c>
      <c r="G944" s="17" t="str">
        <f>IF(B944=0,VLOOKUP(A944,Feuil2!$A$2:$M$1241,11,FALSE)," ")</f>
        <v>M</v>
      </c>
      <c r="H944" s="17" t="s">
        <v>16</v>
      </c>
      <c r="I944" s="19">
        <f>IF(B944=0,VLOOKUP(A944,Feuil2!$A$2:$M$1241,7,FALSE)," ")</f>
        <v>2970886</v>
      </c>
      <c r="J944" s="17" t="str">
        <f>IF(B944=0,VLOOKUP(A944,Feuil2!$A$2:$M$1241,9,FALSE)," ")</f>
        <v>172 Bouhssina</v>
      </c>
      <c r="K944" s="17" t="str">
        <f>IF(B944=0,VLOOKUP(A944,Feuil2!$A$2:$M$1241,10,FALSE)," ")</f>
        <v>Sousse</v>
      </c>
      <c r="L944" s="17"/>
      <c r="M944" s="17">
        <v>98793551</v>
      </c>
      <c r="N944" s="17"/>
      <c r="O944" s="20" t="str">
        <f>IF(B944=0,VLOOKUP(A944,Feuil2!$A$2:$M$1241,13,FALSE)," ")</f>
        <v>04500043000973256116</v>
      </c>
    </row>
    <row r="945" spans="1:15" x14ac:dyDescent="0.3">
      <c r="A945" s="1">
        <v>1514</v>
      </c>
      <c r="B945" s="1">
        <v>1</v>
      </c>
      <c r="C945" s="1" t="s">
        <v>144</v>
      </c>
      <c r="D945" s="1" t="s">
        <v>2639</v>
      </c>
      <c r="E945" s="5">
        <v>26502</v>
      </c>
      <c r="F945" s="1" t="s">
        <v>17</v>
      </c>
      <c r="G945" s="1" t="s">
        <v>15</v>
      </c>
      <c r="H945" s="1" t="s">
        <v>16</v>
      </c>
      <c r="I945" s="6" t="str">
        <f>IF(B945=0,VLOOKUP(A945,Feuil2!$A$2:$M$1241,7,FALSE)," ")</f>
        <v xml:space="preserve"> </v>
      </c>
      <c r="J945" s="1" t="str">
        <f>IF(B945=0,VLOOKUP(A945,Feuil2!$A$2:$M$1241,9,FALSE)," ")</f>
        <v xml:space="preserve"> </v>
      </c>
      <c r="K945" s="1" t="str">
        <f>IF(B945=0,VLOOKUP(A945,Feuil2!$A$2:$M$1241,10,FALSE)," ")</f>
        <v xml:space="preserve"> </v>
      </c>
      <c r="L945" s="1"/>
      <c r="M945" s="1"/>
      <c r="N945" s="1"/>
      <c r="O945" s="8" t="str">
        <f>IF(B945=0,VLOOKUP(A945,Feuil2!$A$2:$M$1241,13,FALSE)," ")</f>
        <v xml:space="preserve"> </v>
      </c>
    </row>
    <row r="946" spans="1:15" x14ac:dyDescent="0.3">
      <c r="A946" s="1">
        <v>1514</v>
      </c>
      <c r="B946" s="1">
        <v>2</v>
      </c>
      <c r="C946" s="1" t="s">
        <v>401</v>
      </c>
      <c r="D946" s="1" t="s">
        <v>34</v>
      </c>
      <c r="E946" s="5">
        <v>37035</v>
      </c>
      <c r="F946" s="1" t="s">
        <v>506</v>
      </c>
      <c r="G946" s="1" t="str">
        <f>IF(B946=0,VLOOKUP(A946,Feuil2!$A$2:$M$1241,11,FALSE)," ")</f>
        <v xml:space="preserve"> </v>
      </c>
      <c r="H946" s="1" t="s">
        <v>16</v>
      </c>
      <c r="I946" s="6" t="str">
        <f>IF(B946=0,VLOOKUP(A946,Feuil2!$A$2:$M$1241,7,FALSE)," ")</f>
        <v xml:space="preserve"> </v>
      </c>
      <c r="J946" s="1" t="str">
        <f>IF(B946=0,VLOOKUP(A946,Feuil2!$A$2:$M$1241,9,FALSE)," ")</f>
        <v xml:space="preserve"> </v>
      </c>
      <c r="K946" s="1" t="str">
        <f>IF(B946=0,VLOOKUP(A946,Feuil2!$A$2:$M$1241,10,FALSE)," ")</f>
        <v xml:space="preserve"> </v>
      </c>
      <c r="L946" s="1"/>
      <c r="M946" s="1"/>
      <c r="N946" s="1"/>
      <c r="O946" s="8" t="str">
        <f>IF(B946=0,VLOOKUP(A946,Feuil2!$A$2:$M$1241,13,FALSE)," ")</f>
        <v xml:space="preserve"> </v>
      </c>
    </row>
    <row r="947" spans="1:15" x14ac:dyDescent="0.3">
      <c r="A947" s="1">
        <v>1514</v>
      </c>
      <c r="B947" s="1">
        <v>3</v>
      </c>
      <c r="C947" s="1" t="s">
        <v>401</v>
      </c>
      <c r="D947" s="1" t="s">
        <v>122</v>
      </c>
      <c r="E947" s="5">
        <v>38141</v>
      </c>
      <c r="F947" s="1" t="s">
        <v>506</v>
      </c>
      <c r="G947" s="1" t="str">
        <f>IF(B947=0,VLOOKUP(A947,Feuil2!$A$2:$M$1241,11,FALSE)," ")</f>
        <v xml:space="preserve"> </v>
      </c>
      <c r="H947" s="1" t="s">
        <v>16</v>
      </c>
      <c r="I947" s="6" t="str">
        <f>IF(B947=0,VLOOKUP(A947,Feuil2!$A$2:$M$1241,7,FALSE)," ")</f>
        <v xml:space="preserve"> </v>
      </c>
      <c r="J947" s="1" t="str">
        <f>IF(B947=0,VLOOKUP(A947,Feuil2!$A$2:$M$1241,9,FALSE)," ")</f>
        <v xml:space="preserve"> </v>
      </c>
      <c r="K947" s="1" t="str">
        <f>IF(B947=0,VLOOKUP(A947,Feuil2!$A$2:$M$1241,10,FALSE)," ")</f>
        <v xml:space="preserve"> </v>
      </c>
      <c r="L947" s="1"/>
      <c r="M947" s="1"/>
      <c r="N947" s="1"/>
      <c r="O947" s="8" t="str">
        <f>IF(B947=0,VLOOKUP(A947,Feuil2!$A$2:$M$1241,13,FALSE)," ")</f>
        <v xml:space="preserve"> </v>
      </c>
    </row>
    <row r="948" spans="1:15" x14ac:dyDescent="0.3">
      <c r="A948" s="1">
        <v>1514</v>
      </c>
      <c r="B948" s="1">
        <v>4</v>
      </c>
      <c r="C948" s="1" t="s">
        <v>401</v>
      </c>
      <c r="D948" s="1" t="s">
        <v>2640</v>
      </c>
      <c r="E948" s="5">
        <v>39806</v>
      </c>
      <c r="F948" s="1" t="s">
        <v>17</v>
      </c>
      <c r="G948" s="1" t="str">
        <f>IF(B948=0,VLOOKUP(A948,Feuil2!$A$2:$M$1241,11,FALSE)," ")</f>
        <v xml:space="preserve"> </v>
      </c>
      <c r="H948" s="1" t="s">
        <v>16</v>
      </c>
      <c r="I948" s="6" t="str">
        <f>IF(B948=0,VLOOKUP(A948,Feuil2!$A$2:$M$1241,7,FALSE)," ")</f>
        <v xml:space="preserve"> </v>
      </c>
      <c r="J948" s="1" t="str">
        <f>IF(B948=0,VLOOKUP(A948,Feuil2!$A$2:$M$1241,9,FALSE)," ")</f>
        <v xml:space="preserve"> </v>
      </c>
      <c r="K948" s="1" t="str">
        <f>IF(B948=0,VLOOKUP(A948,Feuil2!$A$2:$M$1241,10,FALSE)," ")</f>
        <v xml:space="preserve"> </v>
      </c>
      <c r="L948" s="1"/>
      <c r="M948" s="1"/>
      <c r="N948" s="1"/>
      <c r="O948" s="8" t="str">
        <f>IF(B948=0,VLOOKUP(A948,Feuil2!$A$2:$M$1241,13,FALSE)," ")</f>
        <v xml:space="preserve"> </v>
      </c>
    </row>
    <row r="949" spans="1:15" x14ac:dyDescent="0.3">
      <c r="A949" s="1">
        <v>1524</v>
      </c>
      <c r="B949" s="1">
        <v>0</v>
      </c>
      <c r="C949" s="1" t="str">
        <f>IF(B949=0,VLOOKUP(A949,Feuil2!$A$2:$M$1241,2,FALSE)," ")</f>
        <v>BABAY ROUIS</v>
      </c>
      <c r="D949" s="1" t="str">
        <f>IF(B949=0,VLOOKUP(A949,Feuil2!$A$2:$M$1241,3,FALSE)," ")</f>
        <v>LOTFI</v>
      </c>
      <c r="E949" s="5">
        <f>IF(B949=0,VLOOKUP(A949,Feuil2!$A$2:$M$1241,6,FALSE)," ")</f>
        <v>25689</v>
      </c>
      <c r="F949" s="1" t="str">
        <f>IF(B949=0,VLOOKUP(A949,Feuil2!$A$2:$M$1241,12,FALSE)," ")</f>
        <v>H</v>
      </c>
      <c r="G949" s="1" t="str">
        <f>IF(B949=0,VLOOKUP(A949,Feuil2!$A$2:$M$1241,11,FALSE)," ")</f>
        <v>M</v>
      </c>
      <c r="H949" s="1" t="s">
        <v>16</v>
      </c>
      <c r="I949" s="6">
        <f>IF(B949=0,VLOOKUP(A949,Feuil2!$A$2:$M$1241,7,FALSE)," ")</f>
        <v>2997573</v>
      </c>
      <c r="J949" s="1" t="str">
        <f>IF(B949=0,VLOOKUP(A949,Feuil2!$A$2:$M$1241,9,FALSE)," ")</f>
        <v>370 Rue  Farhat  Hached</v>
      </c>
      <c r="K949" s="1" t="str">
        <f>IF(B949=0,VLOOKUP(A949,Feuil2!$A$2:$M$1241,10,FALSE)," ")</f>
        <v>Msaken 4070</v>
      </c>
      <c r="L949" s="1">
        <v>4070</v>
      </c>
      <c r="M949" s="1">
        <v>98783208</v>
      </c>
      <c r="N949" s="1"/>
      <c r="O949" s="8" t="str">
        <f>IF(B949=0,VLOOKUP(A949,Feuil2!$A$2:$M$1241,13,FALSE)," ")</f>
        <v>10506040204737478871</v>
      </c>
    </row>
    <row r="950" spans="1:15" x14ac:dyDescent="0.3">
      <c r="A950" s="1">
        <v>1524</v>
      </c>
      <c r="B950" s="1">
        <v>1</v>
      </c>
      <c r="C950" s="1" t="s">
        <v>71</v>
      </c>
      <c r="D950" s="1" t="s">
        <v>2641</v>
      </c>
      <c r="E950" s="5">
        <v>28668</v>
      </c>
      <c r="F950" s="1" t="s">
        <v>17</v>
      </c>
      <c r="G950" s="1" t="s">
        <v>15</v>
      </c>
      <c r="H950" s="1" t="s">
        <v>16</v>
      </c>
      <c r="I950" s="6" t="str">
        <f>IF(B950=0,VLOOKUP(A950,Feuil2!$A$2:$M$1241,7,FALSE)," ")</f>
        <v xml:space="preserve"> </v>
      </c>
      <c r="J950" s="1" t="str">
        <f>IF(B950=0,VLOOKUP(A950,Feuil2!$A$2:$M$1241,9,FALSE)," ")</f>
        <v xml:space="preserve"> </v>
      </c>
      <c r="K950" s="1" t="str">
        <f>IF(B950=0,VLOOKUP(A950,Feuil2!$A$2:$M$1241,10,FALSE)," ")</f>
        <v xml:space="preserve"> </v>
      </c>
      <c r="L950" s="1"/>
      <c r="M950" s="1"/>
      <c r="N950" s="1"/>
      <c r="O950" s="8" t="str">
        <f>IF(B950=0,VLOOKUP(A950,Feuil2!$A$2:$M$1241,13,FALSE)," ")</f>
        <v xml:space="preserve"> </v>
      </c>
    </row>
    <row r="951" spans="1:15" x14ac:dyDescent="0.3">
      <c r="A951" s="1">
        <v>1524</v>
      </c>
      <c r="B951" s="1">
        <v>2</v>
      </c>
      <c r="C951" s="1" t="s">
        <v>614</v>
      </c>
      <c r="D951" s="1" t="s">
        <v>2367</v>
      </c>
      <c r="E951" s="5">
        <v>36294</v>
      </c>
      <c r="F951" s="1" t="s">
        <v>506</v>
      </c>
      <c r="G951" s="1" t="str">
        <f>IF(B951=0,VLOOKUP(A951,Feuil2!$A$2:$M$1241,11,FALSE)," ")</f>
        <v xml:space="preserve"> </v>
      </c>
      <c r="H951" s="1" t="s">
        <v>16</v>
      </c>
      <c r="I951" s="6" t="str">
        <f>IF(B951=0,VLOOKUP(A951,Feuil2!$A$2:$M$1241,7,FALSE)," ")</f>
        <v xml:space="preserve"> </v>
      </c>
      <c r="J951" s="1" t="str">
        <f>IF(B951=0,VLOOKUP(A951,Feuil2!$A$2:$M$1241,9,FALSE)," ")</f>
        <v xml:space="preserve"> </v>
      </c>
      <c r="K951" s="1" t="str">
        <f>IF(B951=0,VLOOKUP(A951,Feuil2!$A$2:$M$1241,10,FALSE)," ")</f>
        <v xml:space="preserve"> </v>
      </c>
      <c r="L951" s="1"/>
      <c r="M951" s="1"/>
      <c r="N951" s="1"/>
      <c r="O951" s="8" t="str">
        <f>IF(B951=0,VLOOKUP(A951,Feuil2!$A$2:$M$1241,13,FALSE)," ")</f>
        <v xml:space="preserve"> </v>
      </c>
    </row>
    <row r="952" spans="1:15" x14ac:dyDescent="0.3">
      <c r="A952" s="1">
        <v>1524</v>
      </c>
      <c r="B952" s="1">
        <v>3</v>
      </c>
      <c r="C952" s="1" t="s">
        <v>614</v>
      </c>
      <c r="D952" s="1" t="s">
        <v>34</v>
      </c>
      <c r="E952" s="5">
        <v>36920</v>
      </c>
      <c r="F952" s="1" t="s">
        <v>506</v>
      </c>
      <c r="G952" s="1" t="str">
        <f>IF(B952=0,VLOOKUP(A952,Feuil2!$A$2:$M$1241,11,FALSE)," ")</f>
        <v xml:space="preserve"> </v>
      </c>
      <c r="H952" s="1" t="s">
        <v>16</v>
      </c>
      <c r="I952" s="6" t="str">
        <f>IF(B952=0,VLOOKUP(A952,Feuil2!$A$2:$M$1241,7,FALSE)," ")</f>
        <v xml:space="preserve"> </v>
      </c>
      <c r="J952" s="1" t="str">
        <f>IF(B952=0,VLOOKUP(A952,Feuil2!$A$2:$M$1241,9,FALSE)," ")</f>
        <v xml:space="preserve"> </v>
      </c>
      <c r="K952" s="1" t="str">
        <f>IF(B952=0,VLOOKUP(A952,Feuil2!$A$2:$M$1241,10,FALSE)," ")</f>
        <v xml:space="preserve"> </v>
      </c>
      <c r="L952" s="1"/>
      <c r="M952" s="1"/>
      <c r="N952" s="1"/>
      <c r="O952" s="8" t="str">
        <f>IF(B952=0,VLOOKUP(A952,Feuil2!$A$2:$M$1241,13,FALSE)," ")</f>
        <v xml:space="preserve"> </v>
      </c>
    </row>
    <row r="953" spans="1:15" x14ac:dyDescent="0.3">
      <c r="A953" s="1">
        <v>1524</v>
      </c>
      <c r="B953" s="1">
        <v>4</v>
      </c>
      <c r="C953" s="1" t="s">
        <v>614</v>
      </c>
      <c r="D953" s="1" t="s">
        <v>2627</v>
      </c>
      <c r="E953" s="5">
        <v>37442</v>
      </c>
      <c r="F953" s="1" t="s">
        <v>506</v>
      </c>
      <c r="G953" s="1" t="str">
        <f>IF(B953=0,VLOOKUP(A953,Feuil2!$A$2:$M$1241,11,FALSE)," ")</f>
        <v xml:space="preserve"> </v>
      </c>
      <c r="H953" s="1" t="s">
        <v>16</v>
      </c>
      <c r="I953" s="6" t="str">
        <f>IF(B953=0,VLOOKUP(A953,Feuil2!$A$2:$M$1241,7,FALSE)," ")</f>
        <v xml:space="preserve"> </v>
      </c>
      <c r="J953" s="1" t="str">
        <f>IF(B953=0,VLOOKUP(A953,Feuil2!$A$2:$M$1241,9,FALSE)," ")</f>
        <v xml:space="preserve"> </v>
      </c>
      <c r="K953" s="1" t="str">
        <f>IF(B953=0,VLOOKUP(A953,Feuil2!$A$2:$M$1241,10,FALSE)," ")</f>
        <v xml:space="preserve"> </v>
      </c>
      <c r="L953" s="1"/>
      <c r="M953" s="1"/>
      <c r="N953" s="1"/>
      <c r="O953" s="8" t="str">
        <f>IF(B953=0,VLOOKUP(A953,Feuil2!$A$2:$M$1241,13,FALSE)," ")</f>
        <v xml:space="preserve"> </v>
      </c>
    </row>
    <row r="954" spans="1:15" x14ac:dyDescent="0.3">
      <c r="A954" s="1">
        <v>1524</v>
      </c>
      <c r="B954" s="1">
        <v>5</v>
      </c>
      <c r="C954" s="1" t="s">
        <v>614</v>
      </c>
      <c r="D954" s="1" t="s">
        <v>2613</v>
      </c>
      <c r="E954" s="5">
        <v>40669</v>
      </c>
      <c r="F954" s="1" t="s">
        <v>17</v>
      </c>
      <c r="G954" s="1" t="str">
        <f>IF(B954=0,VLOOKUP(A954,Feuil2!$A$2:$M$1241,11,FALSE)," ")</f>
        <v xml:space="preserve"> </v>
      </c>
      <c r="H954" s="1" t="s">
        <v>16</v>
      </c>
      <c r="I954" s="6" t="str">
        <f>IF(B954=0,VLOOKUP(A954,Feuil2!$A$2:$M$1241,7,FALSE)," ")</f>
        <v xml:space="preserve"> </v>
      </c>
      <c r="J954" s="1" t="str">
        <f>IF(B954=0,VLOOKUP(A954,Feuil2!$A$2:$M$1241,9,FALSE)," ")</f>
        <v xml:space="preserve"> </v>
      </c>
      <c r="K954" s="1" t="str">
        <f>IF(B954=0,VLOOKUP(A954,Feuil2!$A$2:$M$1241,10,FALSE)," ")</f>
        <v xml:space="preserve"> </v>
      </c>
      <c r="L954" s="1"/>
      <c r="M954" s="1"/>
      <c r="N954" s="1"/>
      <c r="O954" s="8" t="str">
        <f>IF(B954=0,VLOOKUP(A954,Feuil2!$A$2:$M$1241,13,FALSE)," ")</f>
        <v xml:space="preserve"> </v>
      </c>
    </row>
    <row r="955" spans="1:15" x14ac:dyDescent="0.3">
      <c r="A955" s="1">
        <v>1526</v>
      </c>
      <c r="B955" s="17">
        <v>0</v>
      </c>
      <c r="C955" s="17" t="str">
        <f>IF(B955=0,VLOOKUP(A955,Feuil2!$A$2:$M$1241,2,FALSE)," ")</f>
        <v>SASSI</v>
      </c>
      <c r="D955" s="17" t="str">
        <f>IF(B955=0,VLOOKUP(A955,Feuil2!$A$2:$M$1241,3,FALSE)," ")</f>
        <v>ZOUHAIER</v>
      </c>
      <c r="E955" s="18">
        <f>IF(B955=0,VLOOKUP(A955,Feuil2!$A$2:$M$1241,6,FALSE)," ")</f>
        <v>26054</v>
      </c>
      <c r="F955" s="17" t="str">
        <f>IF(B955=0,VLOOKUP(A955,Feuil2!$A$2:$M$1241,12,FALSE)," ")</f>
        <v>H</v>
      </c>
      <c r="G955" s="17" t="str">
        <f>IF(B955=0,VLOOKUP(A955,Feuil2!$A$2:$M$1241,11,FALSE)," ")</f>
        <v>M</v>
      </c>
      <c r="H955" s="17" t="s">
        <v>16</v>
      </c>
      <c r="I955" s="19">
        <f>IF(B955=0,VLOOKUP(A955,Feuil2!$A$2:$M$1241,7,FALSE)," ")</f>
        <v>5533508</v>
      </c>
      <c r="J955" s="17" t="str">
        <f>IF(B955=0,VLOOKUP(A955,Feuil2!$A$2:$M$1241,9,FALSE)," ")</f>
        <v>28 Rue Hassen Ibn Noomen</v>
      </c>
      <c r="K955" s="17" t="str">
        <f>IF(B955=0,VLOOKUP(A955,Feuil2!$A$2:$M$1241,10,FALSE)," ")</f>
        <v>Msaken 4070</v>
      </c>
      <c r="L955" s="17">
        <v>4070</v>
      </c>
      <c r="M955" s="17">
        <v>55198460</v>
      </c>
      <c r="N955" s="17"/>
      <c r="O955" s="20" t="str">
        <f>IF(B955=0,VLOOKUP(A955,Feuil2!$A$2:$M$1241,13,FALSE)," ")</f>
        <v>04204067404000765286</v>
      </c>
    </row>
    <row r="956" spans="1:15" x14ac:dyDescent="0.3">
      <c r="A956" s="1">
        <v>1526</v>
      </c>
      <c r="B956" s="1">
        <v>1</v>
      </c>
      <c r="C956" s="1" t="s">
        <v>190</v>
      </c>
      <c r="D956" s="1" t="s">
        <v>2642</v>
      </c>
      <c r="E956" s="5">
        <v>27111</v>
      </c>
      <c r="F956" s="1" t="s">
        <v>17</v>
      </c>
      <c r="G956" s="1" t="s">
        <v>15</v>
      </c>
      <c r="H956" s="1" t="s">
        <v>16</v>
      </c>
      <c r="I956" s="6" t="str">
        <f>IF(B956=0,VLOOKUP(A956,Feuil2!$A$2:$M$1241,7,FALSE)," ")</f>
        <v xml:space="preserve"> </v>
      </c>
      <c r="J956" s="1" t="str">
        <f>IF(B956=0,VLOOKUP(A956,Feuil2!$A$2:$M$1241,9,FALSE)," ")</f>
        <v xml:space="preserve"> </v>
      </c>
      <c r="K956" s="1" t="str">
        <f>IF(B956=0,VLOOKUP(A956,Feuil2!$A$2:$M$1241,10,FALSE)," ")</f>
        <v xml:space="preserve"> </v>
      </c>
      <c r="L956" s="1"/>
      <c r="M956" s="1"/>
      <c r="N956" s="1"/>
      <c r="O956" s="8" t="str">
        <f>IF(B956=0,VLOOKUP(A956,Feuil2!$A$2:$M$1241,13,FALSE)," ")</f>
        <v xml:space="preserve"> </v>
      </c>
    </row>
    <row r="957" spans="1:15" x14ac:dyDescent="0.3">
      <c r="A957" s="1">
        <v>1526</v>
      </c>
      <c r="B957" s="1">
        <v>2</v>
      </c>
      <c r="C957" s="1" t="s">
        <v>104</v>
      </c>
      <c r="D957" s="1" t="s">
        <v>237</v>
      </c>
      <c r="E957" s="5">
        <v>36688</v>
      </c>
      <c r="F957" s="1" t="s">
        <v>506</v>
      </c>
      <c r="G957" s="1" t="str">
        <f>IF(B957=0,VLOOKUP(A957,Feuil2!$A$2:$M$1241,11,FALSE)," ")</f>
        <v xml:space="preserve"> </v>
      </c>
      <c r="H957" s="1" t="s">
        <v>16</v>
      </c>
      <c r="I957" s="6" t="str">
        <f>IF(B957=0,VLOOKUP(A957,Feuil2!$A$2:$M$1241,7,FALSE)," ")</f>
        <v xml:space="preserve"> </v>
      </c>
      <c r="J957" s="1" t="str">
        <f>IF(B957=0,VLOOKUP(A957,Feuil2!$A$2:$M$1241,9,FALSE)," ")</f>
        <v xml:space="preserve"> </v>
      </c>
      <c r="K957" s="1" t="str">
        <f>IF(B957=0,VLOOKUP(A957,Feuil2!$A$2:$M$1241,10,FALSE)," ")</f>
        <v xml:space="preserve"> </v>
      </c>
      <c r="L957" s="1"/>
      <c r="M957" s="1"/>
      <c r="N957" s="1"/>
      <c r="O957" s="8" t="str">
        <f>IF(B957=0,VLOOKUP(A957,Feuil2!$A$2:$M$1241,13,FALSE)," ")</f>
        <v xml:space="preserve"> </v>
      </c>
    </row>
    <row r="958" spans="1:15" x14ac:dyDescent="0.3">
      <c r="A958" s="1">
        <v>1526</v>
      </c>
      <c r="B958" s="1">
        <v>3</v>
      </c>
      <c r="C958" s="1" t="s">
        <v>104</v>
      </c>
      <c r="D958" s="1" t="s">
        <v>2370</v>
      </c>
      <c r="E958" s="5">
        <v>37138</v>
      </c>
      <c r="F958" s="1" t="s">
        <v>17</v>
      </c>
      <c r="G958" s="1" t="str">
        <f>IF(B958=0,VLOOKUP(A958,Feuil2!$A$2:$M$1241,11,FALSE)," ")</f>
        <v xml:space="preserve"> </v>
      </c>
      <c r="H958" s="1" t="s">
        <v>16</v>
      </c>
      <c r="I958" s="6" t="str">
        <f>IF(B958=0,VLOOKUP(A958,Feuil2!$A$2:$M$1241,7,FALSE)," ")</f>
        <v xml:space="preserve"> </v>
      </c>
      <c r="J958" s="1" t="str">
        <f>IF(B958=0,VLOOKUP(A958,Feuil2!$A$2:$M$1241,9,FALSE)," ")</f>
        <v xml:space="preserve"> </v>
      </c>
      <c r="K958" s="1" t="str">
        <f>IF(B958=0,VLOOKUP(A958,Feuil2!$A$2:$M$1241,10,FALSE)," ")</f>
        <v xml:space="preserve"> </v>
      </c>
      <c r="L958" s="1"/>
      <c r="M958" s="1"/>
      <c r="N958" s="1"/>
      <c r="O958" s="8" t="str">
        <f>IF(B958=0,VLOOKUP(A958,Feuil2!$A$2:$M$1241,13,FALSE)," ")</f>
        <v xml:space="preserve"> </v>
      </c>
    </row>
    <row r="959" spans="1:15" x14ac:dyDescent="0.3">
      <c r="A959" s="1">
        <v>1526</v>
      </c>
      <c r="B959" s="1">
        <v>4</v>
      </c>
      <c r="C959" s="1" t="s">
        <v>104</v>
      </c>
      <c r="D959" s="1" t="s">
        <v>2371</v>
      </c>
      <c r="E959" s="5">
        <v>44104</v>
      </c>
      <c r="F959" s="1" t="s">
        <v>17</v>
      </c>
      <c r="G959" s="1" t="str">
        <f>IF(B959=0,VLOOKUP(A959,Feuil2!$A$2:$M$1241,11,FALSE)," ")</f>
        <v xml:space="preserve"> </v>
      </c>
      <c r="H959" s="1" t="s">
        <v>16</v>
      </c>
      <c r="I959" s="6" t="str">
        <f>IF(B959=0,VLOOKUP(A959,Feuil2!$A$2:$M$1241,7,FALSE)," ")</f>
        <v xml:space="preserve"> </v>
      </c>
      <c r="J959" s="1" t="str">
        <f>IF(B959=0,VLOOKUP(A959,Feuil2!$A$2:$M$1241,9,FALSE)," ")</f>
        <v xml:space="preserve"> </v>
      </c>
      <c r="K959" s="1" t="str">
        <f>IF(B959=0,VLOOKUP(A959,Feuil2!$A$2:$M$1241,10,FALSE)," ")</f>
        <v xml:space="preserve"> </v>
      </c>
      <c r="L959" s="1"/>
      <c r="M959" s="1"/>
      <c r="N959" s="1"/>
      <c r="O959" s="8" t="str">
        <f>IF(B959=0,VLOOKUP(A959,Feuil2!$A$2:$M$1241,13,FALSE)," ")</f>
        <v xml:space="preserve"> </v>
      </c>
    </row>
    <row r="960" spans="1:15" x14ac:dyDescent="0.3">
      <c r="A960" s="1">
        <v>1526</v>
      </c>
      <c r="B960" s="1">
        <v>5</v>
      </c>
      <c r="C960" s="1" t="s">
        <v>104</v>
      </c>
      <c r="D960" s="1" t="s">
        <v>2376</v>
      </c>
      <c r="E960" s="5">
        <v>40174</v>
      </c>
      <c r="F960" s="1" t="s">
        <v>506</v>
      </c>
      <c r="G960" s="1" t="str">
        <f>IF(B960=0,VLOOKUP(A960,Feuil2!$A$2:$M$1241,11,FALSE)," ")</f>
        <v xml:space="preserve"> </v>
      </c>
      <c r="H960" s="1" t="s">
        <v>16</v>
      </c>
      <c r="I960" s="6" t="str">
        <f>IF(B960=0,VLOOKUP(A960,Feuil2!$A$2:$M$1241,7,FALSE)," ")</f>
        <v xml:space="preserve"> </v>
      </c>
      <c r="J960" s="1" t="str">
        <f>IF(B960=0,VLOOKUP(A960,Feuil2!$A$2:$M$1241,9,FALSE)," ")</f>
        <v xml:space="preserve"> </v>
      </c>
      <c r="K960" s="1" t="str">
        <f>IF(B960=0,VLOOKUP(A960,Feuil2!$A$2:$M$1241,10,FALSE)," ")</f>
        <v xml:space="preserve"> </v>
      </c>
      <c r="L960" s="1"/>
      <c r="M960" s="1"/>
      <c r="N960" s="1"/>
      <c r="O960" s="8" t="str">
        <f>IF(B960=0,VLOOKUP(A960,Feuil2!$A$2:$M$1241,13,FALSE)," ")</f>
        <v xml:space="preserve"> </v>
      </c>
    </row>
    <row r="961" spans="1:15" x14ac:dyDescent="0.3">
      <c r="A961" s="1">
        <v>1541</v>
      </c>
      <c r="B961" s="1">
        <v>0</v>
      </c>
      <c r="C961" s="1" t="str">
        <f>IF(B961=0,VLOOKUP(A961,Feuil2!$A$2:$M$1241,2,FALSE)," ")</f>
        <v>MAHJOUB</v>
      </c>
      <c r="D961" s="1" t="str">
        <f>IF(B961=0,VLOOKUP(A961,Feuil2!$A$2:$M$1241,3,FALSE)," ")</f>
        <v>MOUNIR</v>
      </c>
      <c r="E961" s="5">
        <f>IF(B961=0,VLOOKUP(A961,Feuil2!$A$2:$M$1241,6,FALSE)," ")</f>
        <v>26595</v>
      </c>
      <c r="F961" s="1" t="str">
        <f>IF(B961=0,VLOOKUP(A961,Feuil2!$A$2:$M$1241,12,FALSE)," ")</f>
        <v>H</v>
      </c>
      <c r="G961" s="1" t="str">
        <f>IF(B961=0,VLOOKUP(A961,Feuil2!$A$2:$M$1241,11,FALSE)," ")</f>
        <v>M</v>
      </c>
      <c r="H961" s="1" t="s">
        <v>16</v>
      </c>
      <c r="I961" s="6">
        <f>IF(B961=0,VLOOKUP(A961,Feuil2!$A$2:$M$1241,7,FALSE)," ")</f>
        <v>5530020</v>
      </c>
      <c r="J961" s="1" t="str">
        <f>IF(B961=0,VLOOKUP(A961,Feuil2!$A$2:$M$1241,9,FALSE)," ")</f>
        <v>4 R Taoufik Elhakim</v>
      </c>
      <c r="K961" s="1" t="str">
        <f>IF(B961=0,VLOOKUP(A961,Feuil2!$A$2:$M$1241,10,FALSE)," ")</f>
        <v>Msaken 4070</v>
      </c>
      <c r="L961" s="1">
        <v>4070</v>
      </c>
      <c r="M961" s="1">
        <v>23613118</v>
      </c>
      <c r="N961" s="1"/>
      <c r="O961" s="8" t="str">
        <f>IF(B961=0,VLOOKUP(A961,Feuil2!$A$2:$M$1241,13,FALSE)," ")</f>
        <v>03508056010100182202</v>
      </c>
    </row>
    <row r="962" spans="1:15" x14ac:dyDescent="0.3">
      <c r="A962" s="1">
        <v>1541</v>
      </c>
      <c r="B962" s="1">
        <v>1</v>
      </c>
      <c r="C962" s="1" t="str">
        <f>IF(B962=0,VLOOKUP(A962,Feuil2!$A$2:$M$1241,2,FALSE)," ")</f>
        <v xml:space="preserve"> </v>
      </c>
      <c r="D962" s="1" t="s">
        <v>2643</v>
      </c>
      <c r="E962" s="5">
        <v>29712</v>
      </c>
      <c r="F962" s="1" t="s">
        <v>17</v>
      </c>
      <c r="G962" s="1" t="s">
        <v>15</v>
      </c>
      <c r="H962" s="1" t="s">
        <v>16</v>
      </c>
      <c r="I962" s="6" t="str">
        <f>IF(B962=0,VLOOKUP(A962,Feuil2!$A$2:$M$1241,7,FALSE)," ")</f>
        <v xml:space="preserve"> </v>
      </c>
      <c r="J962" s="1" t="str">
        <f>IF(B962=0,VLOOKUP(A962,Feuil2!$A$2:$M$1241,9,FALSE)," ")</f>
        <v xml:space="preserve"> </v>
      </c>
      <c r="K962" s="1" t="str">
        <f>IF(B962=0,VLOOKUP(A962,Feuil2!$A$2:$M$1241,10,FALSE)," ")</f>
        <v xml:space="preserve"> </v>
      </c>
      <c r="L962" s="1"/>
      <c r="M962" s="1"/>
      <c r="N962" s="1"/>
      <c r="O962" s="8" t="str">
        <f>IF(B962=0,VLOOKUP(A962,Feuil2!$A$2:$M$1241,13,FALSE)," ")</f>
        <v xml:space="preserve"> </v>
      </c>
    </row>
    <row r="963" spans="1:15" x14ac:dyDescent="0.3">
      <c r="A963" s="1">
        <v>1541</v>
      </c>
      <c r="B963" s="1">
        <v>2</v>
      </c>
      <c r="C963" s="1" t="s">
        <v>19</v>
      </c>
      <c r="D963" s="1" t="s">
        <v>2337</v>
      </c>
      <c r="E963" s="5">
        <v>37346</v>
      </c>
      <c r="F963" s="1" t="s">
        <v>17</v>
      </c>
      <c r="G963" s="1" t="str">
        <f>IF(B963=0,VLOOKUP(A963,Feuil2!$A$2:$M$1241,11,FALSE)," ")</f>
        <v xml:space="preserve"> </v>
      </c>
      <c r="H963" s="1" t="s">
        <v>16</v>
      </c>
      <c r="I963" s="6" t="str">
        <f>IF(B963=0,VLOOKUP(A963,Feuil2!$A$2:$M$1241,7,FALSE)," ")</f>
        <v xml:space="preserve"> </v>
      </c>
      <c r="J963" s="1" t="str">
        <f>IF(B963=0,VLOOKUP(A963,Feuil2!$A$2:$M$1241,9,FALSE)," ")</f>
        <v xml:space="preserve"> </v>
      </c>
      <c r="K963" s="1" t="str">
        <f>IF(B963=0,VLOOKUP(A963,Feuil2!$A$2:$M$1241,10,FALSE)," ")</f>
        <v xml:space="preserve"> </v>
      </c>
      <c r="L963" s="1"/>
      <c r="M963" s="1"/>
      <c r="N963" s="1"/>
      <c r="O963" s="8" t="str">
        <f>IF(B963=0,VLOOKUP(A963,Feuil2!$A$2:$M$1241,13,FALSE)," ")</f>
        <v xml:space="preserve"> </v>
      </c>
    </row>
    <row r="964" spans="1:15" x14ac:dyDescent="0.3">
      <c r="A964" s="1">
        <v>1541</v>
      </c>
      <c r="B964" s="1">
        <v>3</v>
      </c>
      <c r="C964" s="1" t="s">
        <v>19</v>
      </c>
      <c r="D964" s="1" t="s">
        <v>2465</v>
      </c>
      <c r="E964" s="5">
        <v>38504</v>
      </c>
      <c r="F964" s="1" t="s">
        <v>506</v>
      </c>
      <c r="G964" s="1" t="str">
        <f>IF(B964=0,VLOOKUP(A964,Feuil2!$A$2:$M$1241,11,FALSE)," ")</f>
        <v xml:space="preserve"> </v>
      </c>
      <c r="H964" s="1" t="s">
        <v>16</v>
      </c>
      <c r="I964" s="6" t="str">
        <f>IF(B964=0,VLOOKUP(A964,Feuil2!$A$2:$M$1241,7,FALSE)," ")</f>
        <v xml:space="preserve"> </v>
      </c>
      <c r="J964" s="1" t="str">
        <f>IF(B964=0,VLOOKUP(A964,Feuil2!$A$2:$M$1241,9,FALSE)," ")</f>
        <v xml:space="preserve"> </v>
      </c>
      <c r="K964" s="1" t="str">
        <f>IF(B964=0,VLOOKUP(A964,Feuil2!$A$2:$M$1241,10,FALSE)," ")</f>
        <v xml:space="preserve"> </v>
      </c>
      <c r="L964" s="1"/>
      <c r="M964" s="1"/>
      <c r="N964" s="1"/>
      <c r="O964" s="8" t="str">
        <f>IF(B964=0,VLOOKUP(A964,Feuil2!$A$2:$M$1241,13,FALSE)," ")</f>
        <v xml:space="preserve"> </v>
      </c>
    </row>
    <row r="965" spans="1:15" x14ac:dyDescent="0.3">
      <c r="A965" s="1">
        <v>1541</v>
      </c>
      <c r="B965" s="1">
        <v>4</v>
      </c>
      <c r="C965" s="1" t="s">
        <v>19</v>
      </c>
      <c r="D965" s="1" t="s">
        <v>77</v>
      </c>
      <c r="E965" s="5">
        <v>39476</v>
      </c>
      <c r="F965" s="1" t="s">
        <v>506</v>
      </c>
      <c r="G965" s="1" t="str">
        <f>IF(B965=0,VLOOKUP(A965,Feuil2!$A$2:$M$1241,11,FALSE)," ")</f>
        <v xml:space="preserve"> </v>
      </c>
      <c r="H965" s="1" t="s">
        <v>16</v>
      </c>
      <c r="I965" s="6" t="str">
        <f>IF(B965=0,VLOOKUP(A965,Feuil2!$A$2:$M$1241,7,FALSE)," ")</f>
        <v xml:space="preserve"> </v>
      </c>
      <c r="J965" s="1" t="str">
        <f>IF(B965=0,VLOOKUP(A965,Feuil2!$A$2:$M$1241,9,FALSE)," ")</f>
        <v xml:space="preserve"> </v>
      </c>
      <c r="K965" s="1" t="str">
        <f>IF(B965=0,VLOOKUP(A965,Feuil2!$A$2:$M$1241,10,FALSE)," ")</f>
        <v xml:space="preserve"> </v>
      </c>
      <c r="L965" s="1"/>
      <c r="M965" s="1"/>
      <c r="N965" s="1"/>
      <c r="O965" s="8" t="str">
        <f>IF(B965=0,VLOOKUP(A965,Feuil2!$A$2:$M$1241,13,FALSE)," ")</f>
        <v xml:space="preserve"> </v>
      </c>
    </row>
    <row r="966" spans="1:15" x14ac:dyDescent="0.3">
      <c r="A966" s="1">
        <v>1541</v>
      </c>
      <c r="B966" s="1">
        <v>5</v>
      </c>
      <c r="C966" s="1" t="s">
        <v>19</v>
      </c>
      <c r="D966" s="1" t="s">
        <v>2644</v>
      </c>
      <c r="E966" s="5">
        <v>39932</v>
      </c>
      <c r="F966" s="1" t="s">
        <v>17</v>
      </c>
      <c r="G966" s="1" t="str">
        <f>IF(B966=0,VLOOKUP(A966,Feuil2!$A$2:$M$1241,11,FALSE)," ")</f>
        <v xml:space="preserve"> </v>
      </c>
      <c r="H966" s="1" t="s">
        <v>16</v>
      </c>
      <c r="I966" s="6" t="str">
        <f>IF(B966=0,VLOOKUP(A966,Feuil2!$A$2:$M$1241,7,FALSE)," ")</f>
        <v xml:space="preserve"> </v>
      </c>
      <c r="J966" s="1" t="str">
        <f>IF(B966=0,VLOOKUP(A966,Feuil2!$A$2:$M$1241,9,FALSE)," ")</f>
        <v xml:space="preserve"> </v>
      </c>
      <c r="K966" s="1" t="str">
        <f>IF(B966=0,VLOOKUP(A966,Feuil2!$A$2:$M$1241,10,FALSE)," ")</f>
        <v xml:space="preserve"> </v>
      </c>
      <c r="L966" s="1"/>
      <c r="M966" s="1"/>
      <c r="N966" s="1"/>
      <c r="O966" s="8" t="str">
        <f>IF(B966=0,VLOOKUP(A966,Feuil2!$A$2:$M$1241,13,FALSE)," ")</f>
        <v xml:space="preserve"> </v>
      </c>
    </row>
    <row r="967" spans="1:15" x14ac:dyDescent="0.3">
      <c r="A967" s="1">
        <v>1541</v>
      </c>
      <c r="B967" s="1">
        <v>6</v>
      </c>
      <c r="C967" s="1" t="s">
        <v>19</v>
      </c>
      <c r="D967" s="1" t="s">
        <v>2500</v>
      </c>
      <c r="E967" s="5">
        <v>41172</v>
      </c>
      <c r="F967" s="1" t="s">
        <v>17</v>
      </c>
      <c r="G967" s="1" t="str">
        <f>IF(B967=0,VLOOKUP(A967,Feuil2!$A$2:$M$1241,11,FALSE)," ")</f>
        <v xml:space="preserve"> </v>
      </c>
      <c r="H967" s="1" t="s">
        <v>16</v>
      </c>
      <c r="I967" s="6" t="str">
        <f>IF(B967=0,VLOOKUP(A967,Feuil2!$A$2:$M$1241,7,FALSE)," ")</f>
        <v xml:space="preserve"> </v>
      </c>
      <c r="J967" s="1" t="str">
        <f>IF(B967=0,VLOOKUP(A967,Feuil2!$A$2:$M$1241,9,FALSE)," ")</f>
        <v xml:space="preserve"> </v>
      </c>
      <c r="K967" s="1" t="str">
        <f>IF(B967=0,VLOOKUP(A967,Feuil2!$A$2:$M$1241,10,FALSE)," ")</f>
        <v xml:space="preserve"> </v>
      </c>
      <c r="L967" s="1"/>
      <c r="M967" s="1"/>
      <c r="N967" s="1"/>
      <c r="O967" s="8" t="str">
        <f>IF(B967=0,VLOOKUP(A967,Feuil2!$A$2:$M$1241,13,FALSE)," ")</f>
        <v xml:space="preserve"> </v>
      </c>
    </row>
    <row r="968" spans="1:15" x14ac:dyDescent="0.3">
      <c r="A968" s="1">
        <v>1549</v>
      </c>
      <c r="B968" s="1">
        <v>0</v>
      </c>
      <c r="C968" s="1" t="str">
        <f>IF(B968=0,VLOOKUP(A968,Feuil2!$A$2:$M$1241,2,FALSE)," ")</f>
        <v>GUERRIDA</v>
      </c>
      <c r="D968" s="1" t="str">
        <f>IF(B968=0,VLOOKUP(A968,Feuil2!$A$2:$M$1241,3,FALSE)," ")</f>
        <v>JAOUHAR</v>
      </c>
      <c r="E968" s="5">
        <f>IF(B968=0,VLOOKUP(A968,Feuil2!$A$2:$M$1241,6,FALSE)," ")</f>
        <v>25742</v>
      </c>
      <c r="F968" s="1" t="str">
        <f>IF(B968=0,VLOOKUP(A968,Feuil2!$A$2:$M$1241,12,FALSE)," ")</f>
        <v>H</v>
      </c>
      <c r="G968" s="1" t="str">
        <f>IF(B968=0,VLOOKUP(A968,Feuil2!$A$2:$M$1241,11,FALSE)," ")</f>
        <v>M</v>
      </c>
      <c r="H968" s="1" t="s">
        <v>16</v>
      </c>
      <c r="I968" s="6">
        <f>IF(B968=0,VLOOKUP(A968,Feuil2!$A$2:$M$1241,7,FALSE)," ")</f>
        <v>5514949</v>
      </c>
      <c r="J968" s="1" t="str">
        <f>IF(B968=0,VLOOKUP(A968,Feuil2!$A$2:$M$1241,9,FALSE)," ")</f>
        <v>4016 beni kalthoum</v>
      </c>
      <c r="K968" s="1" t="str">
        <f>IF(B968=0,VLOOKUP(A968,Feuil2!$A$2:$M$1241,10,FALSE)," ")</f>
        <v>BÃ©ni Kalthoum 4016</v>
      </c>
      <c r="L968" s="1"/>
      <c r="M968" s="1">
        <v>98793671</v>
      </c>
      <c r="N968" s="1"/>
      <c r="O968" s="8" t="str">
        <f>IF(B968=0,VLOOKUP(A968,Feuil2!$A$2:$M$1241,13,FALSE)," ")</f>
        <v>04204067002698615869</v>
      </c>
    </row>
    <row r="969" spans="1:15" x14ac:dyDescent="0.3">
      <c r="A969" s="1">
        <v>1549</v>
      </c>
      <c r="B969" s="1">
        <v>1</v>
      </c>
      <c r="C969" s="1" t="s">
        <v>283</v>
      </c>
      <c r="D969" s="1" t="s">
        <v>2645</v>
      </c>
      <c r="E969" s="5">
        <v>27902</v>
      </c>
      <c r="F969" s="1" t="s">
        <v>17</v>
      </c>
      <c r="G969" s="1" t="s">
        <v>15</v>
      </c>
      <c r="H969" s="1" t="s">
        <v>16</v>
      </c>
      <c r="I969" s="6" t="str">
        <f>IF(B969=0,VLOOKUP(A969,Feuil2!$A$2:$M$1241,7,FALSE)," ")</f>
        <v xml:space="preserve"> </v>
      </c>
      <c r="J969" s="1" t="str">
        <f>IF(B969=0,VLOOKUP(A969,Feuil2!$A$2:$M$1241,9,FALSE)," ")</f>
        <v xml:space="preserve"> </v>
      </c>
      <c r="K969" s="1" t="str">
        <f>IF(B969=0,VLOOKUP(A969,Feuil2!$A$2:$M$1241,10,FALSE)," ")</f>
        <v xml:space="preserve"> </v>
      </c>
      <c r="L969" s="1"/>
      <c r="M969" s="1"/>
      <c r="N969" s="1"/>
      <c r="O969" s="8" t="str">
        <f>IF(B969=0,VLOOKUP(A969,Feuil2!$A$2:$M$1241,13,FALSE)," ")</f>
        <v xml:space="preserve"> </v>
      </c>
    </row>
    <row r="970" spans="1:15" x14ac:dyDescent="0.3">
      <c r="A970" s="1">
        <v>1549</v>
      </c>
      <c r="B970" s="1">
        <v>2</v>
      </c>
      <c r="C970" s="1" t="s">
        <v>50</v>
      </c>
      <c r="D970" s="1" t="s">
        <v>2380</v>
      </c>
      <c r="E970" s="5">
        <v>37968</v>
      </c>
      <c r="F970" s="1" t="s">
        <v>17</v>
      </c>
      <c r="G970" s="1" t="str">
        <f>IF(B970=0,VLOOKUP(A970,Feuil2!$A$2:$M$1241,11,FALSE)," ")</f>
        <v xml:space="preserve"> </v>
      </c>
      <c r="H970" s="1" t="s">
        <v>16</v>
      </c>
      <c r="I970" s="6" t="str">
        <f>IF(B970=0,VLOOKUP(A970,Feuil2!$A$2:$M$1241,7,FALSE)," ")</f>
        <v xml:space="preserve"> </v>
      </c>
      <c r="J970" s="1" t="str">
        <f>IF(B970=0,VLOOKUP(A970,Feuil2!$A$2:$M$1241,9,FALSE)," ")</f>
        <v xml:space="preserve"> </v>
      </c>
      <c r="K970" s="1" t="str">
        <f>IF(B970=0,VLOOKUP(A970,Feuil2!$A$2:$M$1241,10,FALSE)," ")</f>
        <v xml:space="preserve"> </v>
      </c>
      <c r="L970" s="1"/>
      <c r="M970" s="1"/>
      <c r="N970" s="1"/>
      <c r="O970" s="8" t="str">
        <f>IF(B970=0,VLOOKUP(A970,Feuil2!$A$2:$M$1241,13,FALSE)," ")</f>
        <v xml:space="preserve"> </v>
      </c>
    </row>
    <row r="971" spans="1:15" x14ac:dyDescent="0.3">
      <c r="A971" s="1">
        <v>1549</v>
      </c>
      <c r="B971" s="1">
        <v>3</v>
      </c>
      <c r="C971" s="1" t="s">
        <v>50</v>
      </c>
      <c r="D971" s="1" t="s">
        <v>2646</v>
      </c>
      <c r="E971" s="5">
        <v>38967</v>
      </c>
      <c r="F971" s="1" t="s">
        <v>506</v>
      </c>
      <c r="G971" s="1" t="str">
        <f>IF(B971=0,VLOOKUP(A971,Feuil2!$A$2:$M$1241,11,FALSE)," ")</f>
        <v xml:space="preserve"> </v>
      </c>
      <c r="H971" s="1" t="s">
        <v>16</v>
      </c>
      <c r="I971" s="6" t="str">
        <f>IF(B971=0,VLOOKUP(A971,Feuil2!$A$2:$M$1241,7,FALSE)," ")</f>
        <v xml:space="preserve"> </v>
      </c>
      <c r="J971" s="1" t="str">
        <f>IF(B971=0,VLOOKUP(A971,Feuil2!$A$2:$M$1241,9,FALSE)," ")</f>
        <v xml:space="preserve"> </v>
      </c>
      <c r="K971" s="1" t="str">
        <f>IF(B971=0,VLOOKUP(A971,Feuil2!$A$2:$M$1241,10,FALSE)," ")</f>
        <v xml:space="preserve"> </v>
      </c>
      <c r="L971" s="1"/>
      <c r="M971" s="1"/>
      <c r="N971" s="1"/>
      <c r="O971" s="8" t="str">
        <f>IF(B971=0,VLOOKUP(A971,Feuil2!$A$2:$M$1241,13,FALSE)," ")</f>
        <v xml:space="preserve"> </v>
      </c>
    </row>
    <row r="972" spans="1:15" x14ac:dyDescent="0.3">
      <c r="A972" s="1">
        <v>1549</v>
      </c>
      <c r="B972" s="1">
        <v>4</v>
      </c>
      <c r="C972" s="1" t="s">
        <v>50</v>
      </c>
      <c r="D972" s="1" t="s">
        <v>2338</v>
      </c>
      <c r="E972" s="5">
        <v>40348</v>
      </c>
      <c r="F972" s="1" t="s">
        <v>17</v>
      </c>
      <c r="G972" s="1" t="str">
        <f>IF(B972=0,VLOOKUP(A972,Feuil2!$A$2:$M$1241,11,FALSE)," ")</f>
        <v xml:space="preserve"> </v>
      </c>
      <c r="H972" s="1" t="s">
        <v>16</v>
      </c>
      <c r="I972" s="6" t="str">
        <f>IF(B972=0,VLOOKUP(A972,Feuil2!$A$2:$M$1241,7,FALSE)," ")</f>
        <v xml:space="preserve"> </v>
      </c>
      <c r="J972" s="1" t="str">
        <f>IF(B972=0,VLOOKUP(A972,Feuil2!$A$2:$M$1241,9,FALSE)," ")</f>
        <v xml:space="preserve"> </v>
      </c>
      <c r="K972" s="1" t="str">
        <f>IF(B972=0,VLOOKUP(A972,Feuil2!$A$2:$M$1241,10,FALSE)," ")</f>
        <v xml:space="preserve"> </v>
      </c>
      <c r="L972" s="1"/>
      <c r="M972" s="1"/>
      <c r="N972" s="1"/>
      <c r="O972" s="8" t="str">
        <f>IF(B972=0,VLOOKUP(A972,Feuil2!$A$2:$M$1241,13,FALSE)," ")</f>
        <v xml:space="preserve"> </v>
      </c>
    </row>
    <row r="973" spans="1:15" x14ac:dyDescent="0.3">
      <c r="A973" s="1">
        <v>1555</v>
      </c>
      <c r="B973" s="1">
        <v>0</v>
      </c>
      <c r="C973" s="1" t="str">
        <f>IF(B973=0,VLOOKUP(A973,Feuil2!$A$2:$M$1241,2,FALSE)," ")</f>
        <v>FHIMA</v>
      </c>
      <c r="D973" s="1" t="str">
        <f>IF(B973=0,VLOOKUP(A973,Feuil2!$A$2:$M$1241,3,FALSE)," ")</f>
        <v>HAMDI</v>
      </c>
      <c r="E973" s="5">
        <f>IF(B973=0,VLOOKUP(A973,Feuil2!$A$2:$M$1241,6,FALSE)," ")</f>
        <v>25607</v>
      </c>
      <c r="F973" s="1" t="str">
        <f>IF(B973=0,VLOOKUP(A973,Feuil2!$A$2:$M$1241,12,FALSE)," ")</f>
        <v>H</v>
      </c>
      <c r="G973" s="1" t="str">
        <f>IF(B973=0,VLOOKUP(A973,Feuil2!$A$2:$M$1241,11,FALSE)," ")</f>
        <v>M</v>
      </c>
      <c r="H973" s="1" t="s">
        <v>16</v>
      </c>
      <c r="I973" s="6">
        <f>IF(B973=0,VLOOKUP(A973,Feuil2!$A$2:$M$1241,7,FALSE)," ")</f>
        <v>2998267</v>
      </c>
      <c r="J973" s="1" t="str">
        <f>IF(B973=0,VLOOKUP(A973,Feuil2!$A$2:$M$1241,9,FALSE)," ")</f>
        <v>267 Rue Farhat Hached</v>
      </c>
      <c r="K973" s="1" t="str">
        <f>IF(B973=0,VLOOKUP(A973,Feuil2!$A$2:$M$1241,10,FALSE)," ")</f>
        <v>Msaken 4070</v>
      </c>
      <c r="L973" s="1"/>
      <c r="M973" s="1"/>
      <c r="N973" s="1"/>
      <c r="O973" s="8" t="str">
        <f>IF(B973=0,VLOOKUP(A973,Feuil2!$A$2:$M$1241,13,FALSE)," ")</f>
        <v>05048000116500482120</v>
      </c>
    </row>
    <row r="974" spans="1:15" x14ac:dyDescent="0.3">
      <c r="A974" s="1">
        <v>1555</v>
      </c>
      <c r="B974" s="1">
        <v>1</v>
      </c>
      <c r="C974" s="1" t="s">
        <v>84</v>
      </c>
      <c r="D974" s="1" t="s">
        <v>2647</v>
      </c>
      <c r="E974" s="5">
        <v>29357</v>
      </c>
      <c r="F974" s="1" t="s">
        <v>17</v>
      </c>
      <c r="G974" s="1" t="s">
        <v>15</v>
      </c>
      <c r="H974" s="1" t="s">
        <v>16</v>
      </c>
      <c r="I974" s="6" t="str">
        <f>IF(B974=0,VLOOKUP(A974,Feuil2!$A$2:$M$1241,7,FALSE)," ")</f>
        <v xml:space="preserve"> </v>
      </c>
      <c r="J974" s="1" t="str">
        <f>IF(B974=0,VLOOKUP(A974,Feuil2!$A$2:$M$1241,9,FALSE)," ")</f>
        <v xml:space="preserve"> </v>
      </c>
      <c r="K974" s="1" t="str">
        <f>IF(B974=0,VLOOKUP(A974,Feuil2!$A$2:$M$1241,10,FALSE)," ")</f>
        <v xml:space="preserve"> </v>
      </c>
      <c r="L974" s="1"/>
      <c r="M974" s="1"/>
      <c r="N974" s="1"/>
      <c r="O974" s="8" t="str">
        <f>IF(B974=0,VLOOKUP(A974,Feuil2!$A$2:$M$1241,13,FALSE)," ")</f>
        <v xml:space="preserve"> </v>
      </c>
    </row>
    <row r="975" spans="1:15" x14ac:dyDescent="0.3">
      <c r="A975" s="1">
        <v>1555</v>
      </c>
      <c r="B975" s="1">
        <v>2</v>
      </c>
      <c r="C975" s="1" t="s">
        <v>174</v>
      </c>
      <c r="D975" s="1" t="s">
        <v>118</v>
      </c>
      <c r="E975" s="5">
        <v>38806</v>
      </c>
      <c r="F975" s="1" t="s">
        <v>506</v>
      </c>
      <c r="G975" s="1" t="str">
        <f>IF(B975=0,VLOOKUP(A975,Feuil2!$A$2:$M$1241,11,FALSE)," ")</f>
        <v xml:space="preserve"> </v>
      </c>
      <c r="H975" s="1" t="s">
        <v>16</v>
      </c>
      <c r="I975" s="6" t="str">
        <f>IF(B975=0,VLOOKUP(A975,Feuil2!$A$2:$M$1241,7,FALSE)," ")</f>
        <v xml:space="preserve"> </v>
      </c>
      <c r="J975" s="1" t="str">
        <f>IF(B975=0,VLOOKUP(A975,Feuil2!$A$2:$M$1241,9,FALSE)," ")</f>
        <v xml:space="preserve"> </v>
      </c>
      <c r="K975" s="1" t="str">
        <f>IF(B975=0,VLOOKUP(A975,Feuil2!$A$2:$M$1241,10,FALSE)," ")</f>
        <v xml:space="preserve"> </v>
      </c>
      <c r="L975" s="1"/>
      <c r="M975" s="1"/>
      <c r="N975" s="1"/>
      <c r="O975" s="8" t="str">
        <f>IF(B975=0,VLOOKUP(A975,Feuil2!$A$2:$M$1241,13,FALSE)," ")</f>
        <v xml:space="preserve"> </v>
      </c>
    </row>
    <row r="976" spans="1:15" x14ac:dyDescent="0.3">
      <c r="A976" s="1">
        <v>1558</v>
      </c>
      <c r="B976" s="1">
        <v>0</v>
      </c>
      <c r="C976" s="1" t="str">
        <f>IF(B976=0,VLOOKUP(A976,Feuil2!$A$2:$M$1241,2,FALSE)," ")</f>
        <v>DRIDI</v>
      </c>
      <c r="D976" s="1" t="str">
        <f>IF(B976=0,VLOOKUP(A976,Feuil2!$A$2:$M$1241,3,FALSE)," ")</f>
        <v>KARIM</v>
      </c>
      <c r="E976" s="5">
        <f>IF(B976=0,VLOOKUP(A976,Feuil2!$A$2:$M$1241,6,FALSE)," ")</f>
        <v>26390</v>
      </c>
      <c r="F976" s="1" t="str">
        <f>IF(B976=0,VLOOKUP(A976,Feuil2!$A$2:$M$1241,12,FALSE)," ")</f>
        <v>H</v>
      </c>
      <c r="G976" s="1" t="str">
        <f>IF(B976=0,VLOOKUP(A976,Feuil2!$A$2:$M$1241,11,FALSE)," ")</f>
        <v>M</v>
      </c>
      <c r="H976" s="1" t="s">
        <v>16</v>
      </c>
      <c r="I976" s="6">
        <f>IF(B976=0,VLOOKUP(A976,Feuil2!$A$2:$M$1241,7,FALSE)," ")</f>
        <v>5514947</v>
      </c>
      <c r="J976" s="1" t="str">
        <f>IF(B976=0,VLOOKUP(A976,Feuil2!$A$2:$M$1241,9,FALSE)," ")</f>
        <v>98 Rue Yahia Ibn Omar</v>
      </c>
      <c r="K976" s="1" t="str">
        <f>IF(B976=0,VLOOKUP(A976,Feuil2!$A$2:$M$1241,10,FALSE)," ")</f>
        <v>Msaken 4070</v>
      </c>
      <c r="L976" s="1">
        <v>4070</v>
      </c>
      <c r="M976" s="1">
        <v>58864991</v>
      </c>
      <c r="N976" s="1"/>
      <c r="O976" s="8" t="str">
        <f>IF(B976=0,VLOOKUP(A976,Feuil2!$A$2:$M$1241,13,FALSE)," ")</f>
        <v>04204067404002160437</v>
      </c>
    </row>
    <row r="977" spans="1:15" x14ac:dyDescent="0.3">
      <c r="A977" s="1">
        <v>1558</v>
      </c>
      <c r="B977" s="1">
        <v>1</v>
      </c>
      <c r="C977" s="1" t="s">
        <v>2648</v>
      </c>
      <c r="D977" s="1" t="s">
        <v>2327</v>
      </c>
      <c r="E977" s="5">
        <v>30396</v>
      </c>
      <c r="F977" s="1" t="s">
        <v>17</v>
      </c>
      <c r="G977" s="1" t="s">
        <v>15</v>
      </c>
      <c r="H977" s="1" t="s">
        <v>16</v>
      </c>
      <c r="I977" s="6" t="str">
        <f>IF(B977=0,VLOOKUP(A977,Feuil2!$A$2:$M$1241,7,FALSE)," ")</f>
        <v xml:space="preserve"> </v>
      </c>
      <c r="J977" s="1" t="str">
        <f>IF(B977=0,VLOOKUP(A977,Feuil2!$A$2:$M$1241,9,FALSE)," ")</f>
        <v xml:space="preserve"> </v>
      </c>
      <c r="K977" s="1" t="str">
        <f>IF(B977=0,VLOOKUP(A977,Feuil2!$A$2:$M$1241,10,FALSE)," ")</f>
        <v xml:space="preserve"> </v>
      </c>
      <c r="L977" s="1"/>
      <c r="M977" s="1"/>
      <c r="N977" s="1"/>
      <c r="O977" s="8" t="str">
        <f>IF(B977=0,VLOOKUP(A977,Feuil2!$A$2:$M$1241,13,FALSE)," ")</f>
        <v xml:space="preserve"> </v>
      </c>
    </row>
    <row r="978" spans="1:15" x14ac:dyDescent="0.3">
      <c r="A978" s="1">
        <v>1558</v>
      </c>
      <c r="B978" s="1">
        <v>2</v>
      </c>
      <c r="C978" s="1" t="s">
        <v>320</v>
      </c>
      <c r="D978" s="1" t="s">
        <v>34</v>
      </c>
      <c r="E978" s="5">
        <v>37589</v>
      </c>
      <c r="F978" s="1" t="s">
        <v>506</v>
      </c>
      <c r="G978" s="1" t="str">
        <f>IF(B978=0,VLOOKUP(A978,Feuil2!$A$2:$M$1241,11,FALSE)," ")</f>
        <v xml:space="preserve"> </v>
      </c>
      <c r="H978" s="1" t="s">
        <v>16</v>
      </c>
      <c r="I978" s="6" t="str">
        <f>IF(B978=0,VLOOKUP(A978,Feuil2!$A$2:$M$1241,7,FALSE)," ")</f>
        <v xml:space="preserve"> </v>
      </c>
      <c r="J978" s="1" t="str">
        <f>IF(B978=0,VLOOKUP(A978,Feuil2!$A$2:$M$1241,9,FALSE)," ")</f>
        <v xml:space="preserve"> </v>
      </c>
      <c r="K978" s="1" t="str">
        <f>IF(B978=0,VLOOKUP(A978,Feuil2!$A$2:$M$1241,10,FALSE)," ")</f>
        <v xml:space="preserve"> </v>
      </c>
      <c r="L978" s="1"/>
      <c r="M978" s="1"/>
      <c r="N978" s="1"/>
      <c r="O978" s="8" t="str">
        <f>IF(B978=0,VLOOKUP(A978,Feuil2!$A$2:$M$1241,13,FALSE)," ")</f>
        <v xml:space="preserve"> </v>
      </c>
    </row>
    <row r="979" spans="1:15" x14ac:dyDescent="0.3">
      <c r="A979" s="1">
        <v>1558</v>
      </c>
      <c r="B979" s="1">
        <v>3</v>
      </c>
      <c r="C979" s="1" t="s">
        <v>320</v>
      </c>
      <c r="D979" s="1" t="s">
        <v>287</v>
      </c>
      <c r="E979" s="5">
        <v>38202</v>
      </c>
      <c r="F979" s="1" t="s">
        <v>506</v>
      </c>
      <c r="G979" s="1" t="str">
        <f>IF(B979=0,VLOOKUP(A979,Feuil2!$A$2:$M$1241,11,FALSE)," ")</f>
        <v xml:space="preserve"> </v>
      </c>
      <c r="H979" s="1" t="s">
        <v>16</v>
      </c>
      <c r="I979" s="6" t="str">
        <f>IF(B979=0,VLOOKUP(A979,Feuil2!$A$2:$M$1241,7,FALSE)," ")</f>
        <v xml:space="preserve"> </v>
      </c>
      <c r="J979" s="1" t="str">
        <f>IF(B979=0,VLOOKUP(A979,Feuil2!$A$2:$M$1241,9,FALSE)," ")</f>
        <v xml:space="preserve"> </v>
      </c>
      <c r="K979" s="1" t="str">
        <f>IF(B979=0,VLOOKUP(A979,Feuil2!$A$2:$M$1241,10,FALSE)," ")</f>
        <v xml:space="preserve"> </v>
      </c>
      <c r="L979" s="1"/>
      <c r="M979" s="1"/>
      <c r="N979" s="1"/>
      <c r="O979" s="8" t="str">
        <f>IF(B979=0,VLOOKUP(A979,Feuil2!$A$2:$M$1241,13,FALSE)," ")</f>
        <v xml:space="preserve"> </v>
      </c>
    </row>
    <row r="980" spans="1:15" x14ac:dyDescent="0.3">
      <c r="A980" s="1">
        <v>1558</v>
      </c>
      <c r="B980" s="1">
        <v>4</v>
      </c>
      <c r="C980" s="1" t="s">
        <v>320</v>
      </c>
      <c r="D980" s="1" t="s">
        <v>2362</v>
      </c>
      <c r="E980" s="5">
        <v>39336</v>
      </c>
      <c r="F980" s="1" t="s">
        <v>17</v>
      </c>
      <c r="G980" s="1" t="str">
        <f>IF(B980=0,VLOOKUP(A980,Feuil2!$A$2:$M$1241,11,FALSE)," ")</f>
        <v xml:space="preserve"> </v>
      </c>
      <c r="H980" s="1" t="s">
        <v>16</v>
      </c>
      <c r="I980" s="6" t="str">
        <f>IF(B980=0,VLOOKUP(A980,Feuil2!$A$2:$M$1241,7,FALSE)," ")</f>
        <v xml:space="preserve"> </v>
      </c>
      <c r="J980" s="1" t="str">
        <f>IF(B980=0,VLOOKUP(A980,Feuil2!$A$2:$M$1241,9,FALSE)," ")</f>
        <v xml:space="preserve"> </v>
      </c>
      <c r="K980" s="1" t="str">
        <f>IF(B980=0,VLOOKUP(A980,Feuil2!$A$2:$M$1241,10,FALSE)," ")</f>
        <v xml:space="preserve"> </v>
      </c>
      <c r="L980" s="1"/>
      <c r="M980" s="1"/>
      <c r="N980" s="1"/>
      <c r="O980" s="8" t="str">
        <f>IF(B980=0,VLOOKUP(A980,Feuil2!$A$2:$M$1241,13,FALSE)," ")</f>
        <v xml:space="preserve"> </v>
      </c>
    </row>
    <row r="981" spans="1:15" x14ac:dyDescent="0.3">
      <c r="A981" s="1">
        <v>1561</v>
      </c>
      <c r="B981" s="1">
        <v>0</v>
      </c>
      <c r="C981" s="1" t="str">
        <f>IF(B981=0,VLOOKUP(A981,Feuil2!$A$2:$M$1241,2,FALSE)," ")</f>
        <v>JMEGUER</v>
      </c>
      <c r="D981" s="1" t="str">
        <f>IF(B981=0,VLOOKUP(A981,Feuil2!$A$2:$M$1241,3,FALSE)," ")</f>
        <v>SAMI</v>
      </c>
      <c r="E981" s="5">
        <f>IF(B981=0,VLOOKUP(A981,Feuil2!$A$2:$M$1241,6,FALSE)," ")</f>
        <v>27399</v>
      </c>
      <c r="F981" s="1" t="str">
        <f>IF(B981=0,VLOOKUP(A981,Feuil2!$A$2:$M$1241,12,FALSE)," ")</f>
        <v>H</v>
      </c>
      <c r="G981" s="1" t="str">
        <f>IF(B981=0,VLOOKUP(A981,Feuil2!$A$2:$M$1241,11,FALSE)," ")</f>
        <v>M</v>
      </c>
      <c r="H981" s="1" t="s">
        <v>16</v>
      </c>
      <c r="I981" s="6">
        <f>IF(B981=0,VLOOKUP(A981,Feuil2!$A$2:$M$1241,7,FALSE)," ")</f>
        <v>5546984</v>
      </c>
      <c r="J981" s="1" t="str">
        <f>IF(B981=0,VLOOKUP(A981,Feuil2!$A$2:$M$1241,9,FALSE)," ")</f>
        <v>22 Rue Allala El Fessi</v>
      </c>
      <c r="K981" s="1" t="str">
        <f>IF(B981=0,VLOOKUP(A981,Feuil2!$A$2:$M$1241,10,FALSE)," ")</f>
        <v>Msaken 4070</v>
      </c>
      <c r="L981" s="1">
        <v>4070</v>
      </c>
      <c r="M981" s="1">
        <v>98783238</v>
      </c>
      <c r="N981" s="1"/>
      <c r="O981" s="8" t="str">
        <f>IF(B981=0,VLOOKUP(A981,Feuil2!$A$2:$M$1241,13,FALSE)," ")</f>
        <v>04204067404000850258</v>
      </c>
    </row>
    <row r="982" spans="1:15" x14ac:dyDescent="0.3">
      <c r="A982" s="1">
        <v>1561</v>
      </c>
      <c r="B982" s="1">
        <v>1</v>
      </c>
      <c r="C982" s="1" t="s">
        <v>2649</v>
      </c>
      <c r="D982" s="1" t="s">
        <v>2435</v>
      </c>
      <c r="E982" s="5">
        <v>30222</v>
      </c>
      <c r="F982" s="1" t="s">
        <v>17</v>
      </c>
      <c r="G982" s="1" t="s">
        <v>15</v>
      </c>
      <c r="H982" s="1" t="s">
        <v>16</v>
      </c>
      <c r="I982" s="6" t="str">
        <f>IF(B982=0,VLOOKUP(A982,Feuil2!$A$2:$M$1241,7,FALSE)," ")</f>
        <v xml:space="preserve"> </v>
      </c>
      <c r="J982" s="1" t="str">
        <f>IF(B982=0,VLOOKUP(A982,Feuil2!$A$2:$M$1241,9,FALSE)," ")</f>
        <v xml:space="preserve"> </v>
      </c>
      <c r="K982" s="1" t="str">
        <f>IF(B982=0,VLOOKUP(A982,Feuil2!$A$2:$M$1241,10,FALSE)," ")</f>
        <v xml:space="preserve"> </v>
      </c>
      <c r="L982" s="1"/>
      <c r="M982" s="1"/>
      <c r="N982" s="1"/>
      <c r="O982" s="8" t="str">
        <f>IF(B982=0,VLOOKUP(A982,Feuil2!$A$2:$M$1241,13,FALSE)," ")</f>
        <v xml:space="preserve"> </v>
      </c>
    </row>
    <row r="983" spans="1:15" x14ac:dyDescent="0.3">
      <c r="A983" s="1">
        <v>1561</v>
      </c>
      <c r="B983" s="1">
        <v>2</v>
      </c>
      <c r="C983" s="1" t="s">
        <v>205</v>
      </c>
      <c r="D983" s="1" t="s">
        <v>2651</v>
      </c>
      <c r="E983" s="5">
        <v>40036</v>
      </c>
      <c r="F983" s="1" t="s">
        <v>506</v>
      </c>
      <c r="G983" s="1" t="str">
        <f>IF(B983=0,VLOOKUP(A983,Feuil2!$A$2:$M$1241,11,FALSE)," ")</f>
        <v xml:space="preserve"> </v>
      </c>
      <c r="H983" s="1" t="s">
        <v>16</v>
      </c>
      <c r="I983" s="6" t="str">
        <f>IF(B983=0,VLOOKUP(A983,Feuil2!$A$2:$M$1241,7,FALSE)," ")</f>
        <v xml:space="preserve"> </v>
      </c>
      <c r="J983" s="1" t="str">
        <f>IF(B983=0,VLOOKUP(A983,Feuil2!$A$2:$M$1241,9,FALSE)," ")</f>
        <v xml:space="preserve"> </v>
      </c>
      <c r="K983" s="1" t="str">
        <f>IF(B983=0,VLOOKUP(A983,Feuil2!$A$2:$M$1241,10,FALSE)," ")</f>
        <v xml:space="preserve"> </v>
      </c>
      <c r="L983" s="1"/>
      <c r="M983" s="1"/>
      <c r="N983" s="1"/>
      <c r="O983" s="8" t="str">
        <f>IF(B983=0,VLOOKUP(A983,Feuil2!$A$2:$M$1241,13,FALSE)," ")</f>
        <v xml:space="preserve"> </v>
      </c>
    </row>
    <row r="984" spans="1:15" x14ac:dyDescent="0.3">
      <c r="A984" s="1">
        <v>1561</v>
      </c>
      <c r="B984" s="1">
        <v>3</v>
      </c>
      <c r="C984" s="1" t="s">
        <v>205</v>
      </c>
      <c r="D984" s="1" t="s">
        <v>2437</v>
      </c>
      <c r="E984" s="5">
        <v>41086</v>
      </c>
      <c r="F984" s="1" t="s">
        <v>17</v>
      </c>
      <c r="G984" s="1" t="str">
        <f>IF(B984=0,VLOOKUP(A984,Feuil2!$A$2:$M$1241,11,FALSE)," ")</f>
        <v xml:space="preserve"> </v>
      </c>
      <c r="H984" s="1" t="s">
        <v>16</v>
      </c>
      <c r="I984" s="6" t="str">
        <f>IF(B984=0,VLOOKUP(A984,Feuil2!$A$2:$M$1241,7,FALSE)," ")</f>
        <v xml:space="preserve"> </v>
      </c>
      <c r="J984" s="1" t="str">
        <f>IF(B984=0,VLOOKUP(A984,Feuil2!$A$2:$M$1241,9,FALSE)," ")</f>
        <v xml:space="preserve"> </v>
      </c>
      <c r="K984" s="1" t="str">
        <f>IF(B984=0,VLOOKUP(A984,Feuil2!$A$2:$M$1241,10,FALSE)," ")</f>
        <v xml:space="preserve"> </v>
      </c>
      <c r="L984" s="1"/>
      <c r="M984" s="1"/>
      <c r="N984" s="1"/>
      <c r="O984" s="8" t="str">
        <f>IF(B984=0,VLOOKUP(A984,Feuil2!$A$2:$M$1241,13,FALSE)," ")</f>
        <v xml:space="preserve"> </v>
      </c>
    </row>
    <row r="985" spans="1:15" x14ac:dyDescent="0.3">
      <c r="A985" s="1">
        <v>1561</v>
      </c>
      <c r="B985" s="1">
        <v>4</v>
      </c>
      <c r="C985" s="1" t="s">
        <v>205</v>
      </c>
      <c r="D985" s="1" t="s">
        <v>34</v>
      </c>
      <c r="E985" s="5">
        <v>41754</v>
      </c>
      <c r="F985" s="1" t="s">
        <v>506</v>
      </c>
      <c r="G985" s="1" t="str">
        <f>IF(B985=0,VLOOKUP(A985,Feuil2!$A$2:$M$1241,11,FALSE)," ")</f>
        <v xml:space="preserve"> </v>
      </c>
      <c r="H985" s="1" t="s">
        <v>16</v>
      </c>
      <c r="I985" s="6" t="str">
        <f>IF(B985=0,VLOOKUP(A985,Feuil2!$A$2:$M$1241,7,FALSE)," ")</f>
        <v xml:space="preserve"> </v>
      </c>
      <c r="J985" s="1" t="str">
        <f>IF(B985=0,VLOOKUP(A985,Feuil2!$A$2:$M$1241,9,FALSE)," ")</f>
        <v xml:space="preserve"> </v>
      </c>
      <c r="K985" s="1" t="str">
        <f>IF(B985=0,VLOOKUP(A985,Feuil2!$A$2:$M$1241,10,FALSE)," ")</f>
        <v xml:space="preserve"> </v>
      </c>
      <c r="L985" s="1"/>
      <c r="M985" s="1"/>
      <c r="N985" s="1"/>
      <c r="O985" s="8" t="str">
        <f>IF(B985=0,VLOOKUP(A985,Feuil2!$A$2:$M$1241,13,FALSE)," ")</f>
        <v xml:space="preserve"> </v>
      </c>
    </row>
    <row r="986" spans="1:15" x14ac:dyDescent="0.3">
      <c r="A986" s="1">
        <v>1569</v>
      </c>
      <c r="B986" s="1">
        <v>0</v>
      </c>
      <c r="C986" s="1" t="str">
        <f>IF(B986=0,VLOOKUP(A986,Feuil2!$A$2:$M$1241,2,FALSE)," ")</f>
        <v>BETTAIEB</v>
      </c>
      <c r="D986" s="1" t="str">
        <f>IF(B986=0,VLOOKUP(A986,Feuil2!$A$2:$M$1241,3,FALSE)," ")</f>
        <v>MOULDI</v>
      </c>
      <c r="E986" s="5">
        <f>IF(B986=0,VLOOKUP(A986,Feuil2!$A$2:$M$1241,6,FALSE)," ")</f>
        <v>27123</v>
      </c>
      <c r="F986" s="1" t="str">
        <f>IF(B986=0,VLOOKUP(A986,Feuil2!$A$2:$M$1241,12,FALSE)," ")</f>
        <v>H</v>
      </c>
      <c r="G986" s="1" t="str">
        <f>IF(B986=0,VLOOKUP(A986,Feuil2!$A$2:$M$1241,11,FALSE)," ")</f>
        <v>M</v>
      </c>
      <c r="H986" s="1" t="s">
        <v>16</v>
      </c>
      <c r="I986" s="6">
        <f>IF(B986=0,VLOOKUP(A986,Feuil2!$A$2:$M$1241,7,FALSE)," ")</f>
        <v>5562215</v>
      </c>
      <c r="J986" s="1" t="str">
        <f>IF(B986=0,VLOOKUP(A986,Feuil2!$A$2:$M$1241,9,FALSE)," ")</f>
        <v>4015 Borjine</v>
      </c>
      <c r="K986" s="1" t="str">
        <f>IF(B986=0,VLOOKUP(A986,Feuil2!$A$2:$M$1241,10,FALSE)," ")</f>
        <v>Borjine 4015</v>
      </c>
      <c r="L986" s="1">
        <v>4015</v>
      </c>
      <c r="M986" s="1">
        <v>92072625</v>
      </c>
      <c r="N986" s="1"/>
      <c r="O986" s="8" t="str">
        <f>IF(B986=0,VLOOKUP(A986,Feuil2!$A$2:$M$1241,13,FALSE)," ")</f>
        <v>04204067404002213108</v>
      </c>
    </row>
    <row r="987" spans="1:15" x14ac:dyDescent="0.3">
      <c r="A987" s="1">
        <v>1569</v>
      </c>
      <c r="B987" s="1">
        <v>1</v>
      </c>
      <c r="C987" s="1" t="s">
        <v>2650</v>
      </c>
      <c r="D987" s="1" t="s">
        <v>2411</v>
      </c>
      <c r="E987" s="5">
        <v>31339</v>
      </c>
      <c r="F987" s="1" t="s">
        <v>17</v>
      </c>
      <c r="G987" s="1" t="s">
        <v>15</v>
      </c>
      <c r="H987" s="1" t="s">
        <v>16</v>
      </c>
      <c r="I987" s="6" t="str">
        <f>IF(B987=0,VLOOKUP(A987,Feuil2!$A$2:$M$1241,7,FALSE)," ")</f>
        <v xml:space="preserve"> </v>
      </c>
      <c r="J987" s="1" t="str">
        <f>IF(B987=0,VLOOKUP(A987,Feuil2!$A$2:$M$1241,9,FALSE)," ")</f>
        <v xml:space="preserve"> </v>
      </c>
      <c r="K987" s="1" t="str">
        <f>IF(B987=0,VLOOKUP(A987,Feuil2!$A$2:$M$1241,10,FALSE)," ")</f>
        <v xml:space="preserve"> </v>
      </c>
      <c r="L987" s="1"/>
      <c r="M987" s="1"/>
      <c r="N987" s="1"/>
      <c r="O987" s="8" t="str">
        <f>IF(B987=0,VLOOKUP(A987,Feuil2!$A$2:$M$1241,13,FALSE)," ")</f>
        <v xml:space="preserve"> </v>
      </c>
    </row>
    <row r="988" spans="1:15" x14ac:dyDescent="0.3">
      <c r="A988" s="1">
        <v>1569</v>
      </c>
      <c r="B988" s="1">
        <v>2</v>
      </c>
      <c r="C988" s="1" t="s">
        <v>358</v>
      </c>
      <c r="D988" s="1" t="s">
        <v>2377</v>
      </c>
      <c r="E988" s="5">
        <v>40708</v>
      </c>
      <c r="F988" s="1" t="s">
        <v>17</v>
      </c>
      <c r="G988" s="1" t="str">
        <f>IF(B988=0,VLOOKUP(A988,Feuil2!$A$2:$M$1241,11,FALSE)," ")</f>
        <v xml:space="preserve"> </v>
      </c>
      <c r="H988" s="1" t="s">
        <v>16</v>
      </c>
      <c r="I988" s="6" t="str">
        <f>IF(B988=0,VLOOKUP(A988,Feuil2!$A$2:$M$1241,7,FALSE)," ")</f>
        <v xml:space="preserve"> </v>
      </c>
      <c r="J988" s="1" t="str">
        <f>IF(B988=0,VLOOKUP(A988,Feuil2!$A$2:$M$1241,9,FALSE)," ")</f>
        <v xml:space="preserve"> </v>
      </c>
      <c r="K988" s="1" t="str">
        <f>IF(B988=0,VLOOKUP(A988,Feuil2!$A$2:$M$1241,10,FALSE)," ")</f>
        <v xml:space="preserve"> </v>
      </c>
      <c r="L988" s="1"/>
      <c r="M988" s="1"/>
      <c r="N988" s="1"/>
      <c r="O988" s="8" t="str">
        <f>IF(B988=0,VLOOKUP(A988,Feuil2!$A$2:$M$1241,13,FALSE)," ")</f>
        <v xml:space="preserve"> </v>
      </c>
    </row>
    <row r="989" spans="1:15" x14ac:dyDescent="0.3">
      <c r="A989" s="1">
        <v>1569</v>
      </c>
      <c r="B989" s="1">
        <v>3</v>
      </c>
      <c r="C989" s="1" t="s">
        <v>358</v>
      </c>
      <c r="D989" s="1" t="s">
        <v>149</v>
      </c>
      <c r="E989" s="5">
        <v>42037</v>
      </c>
      <c r="F989" s="1" t="s">
        <v>506</v>
      </c>
      <c r="G989" s="1" t="str">
        <f>IF(B989=0,VLOOKUP(A989,Feuil2!$A$2:$M$1241,11,FALSE)," ")</f>
        <v xml:space="preserve"> </v>
      </c>
      <c r="H989" s="1" t="s">
        <v>16</v>
      </c>
      <c r="I989" s="6" t="str">
        <f>IF(B989=0,VLOOKUP(A989,Feuil2!$A$2:$M$1241,7,FALSE)," ")</f>
        <v xml:space="preserve"> </v>
      </c>
      <c r="J989" s="1" t="str">
        <f>IF(B989=0,VLOOKUP(A989,Feuil2!$A$2:$M$1241,9,FALSE)," ")</f>
        <v xml:space="preserve"> </v>
      </c>
      <c r="K989" s="1" t="str">
        <f>IF(B989=0,VLOOKUP(A989,Feuil2!$A$2:$M$1241,10,FALSE)," ")</f>
        <v xml:space="preserve"> </v>
      </c>
      <c r="L989" s="1"/>
      <c r="M989" s="1"/>
      <c r="N989" s="1"/>
      <c r="O989" s="8" t="str">
        <f>IF(B989=0,VLOOKUP(A989,Feuil2!$A$2:$M$1241,13,FALSE)," ")</f>
        <v xml:space="preserve"> </v>
      </c>
    </row>
    <row r="990" spans="1:15" x14ac:dyDescent="0.3">
      <c r="A990" s="1">
        <v>1575</v>
      </c>
      <c r="B990" s="1">
        <v>0</v>
      </c>
      <c r="C990" s="1" t="str">
        <f>IF(B990=0,VLOOKUP(A990,Feuil2!$A$2:$M$1241,2,FALSE)," ")</f>
        <v>BEN ABDELJELIL</v>
      </c>
      <c r="D990" s="1" t="str">
        <f>IF(B990=0,VLOOKUP(A990,Feuil2!$A$2:$M$1241,3,FALSE)," ")</f>
        <v>ZOUHAIER</v>
      </c>
      <c r="E990" s="5">
        <f>IF(B990=0,VLOOKUP(A990,Feuil2!$A$2:$M$1241,6,FALSE)," ")</f>
        <v>28120</v>
      </c>
      <c r="F990" s="1" t="str">
        <f>IF(B990=0,VLOOKUP(A990,Feuil2!$A$2:$M$1241,12,FALSE)," ")</f>
        <v>H</v>
      </c>
      <c r="G990" s="1" t="str">
        <f>IF(B990=0,VLOOKUP(A990,Feuil2!$A$2:$M$1241,11,FALSE)," ")</f>
        <v>M</v>
      </c>
      <c r="H990" s="1" t="s">
        <v>16</v>
      </c>
      <c r="I990" s="6">
        <f>IF(B990=0,VLOOKUP(A990,Feuil2!$A$2:$M$1241,7,FALSE)," ")</f>
        <v>5545038</v>
      </c>
      <c r="J990" s="1" t="str">
        <f>IF(B990=0,VLOOKUP(A990,Feuil2!$A$2:$M$1241,9,FALSE)," ")</f>
        <v>09 Rue Zitouna</v>
      </c>
      <c r="K990" s="1" t="str">
        <f>IF(B990=0,VLOOKUP(A990,Feuil2!$A$2:$M$1241,10,FALSE)," ")</f>
        <v>Msaken 4070</v>
      </c>
      <c r="L990" s="1">
        <v>4070</v>
      </c>
      <c r="M990" s="1">
        <v>98981562</v>
      </c>
      <c r="N990" s="1"/>
      <c r="O990" s="8" t="str">
        <f>IF(B990=0,VLOOKUP(A990,Feuil2!$A$2:$M$1241,13,FALSE)," ")</f>
        <v>08507000262006373057</v>
      </c>
    </row>
    <row r="991" spans="1:15" x14ac:dyDescent="0.3">
      <c r="A991" s="1">
        <v>1575</v>
      </c>
      <c r="B991" s="1">
        <v>1</v>
      </c>
      <c r="C991" s="1" t="s">
        <v>703</v>
      </c>
      <c r="D991" s="1" t="s">
        <v>2387</v>
      </c>
      <c r="E991" s="5">
        <v>30158</v>
      </c>
      <c r="F991" s="1" t="s">
        <v>17</v>
      </c>
      <c r="G991" s="1" t="s">
        <v>15</v>
      </c>
      <c r="H991" s="1" t="s">
        <v>16</v>
      </c>
      <c r="I991" s="6" t="str">
        <f>IF(B991=0,VLOOKUP(A991,Feuil2!$A$2:$M$1241,7,FALSE)," ")</f>
        <v xml:space="preserve"> </v>
      </c>
      <c r="J991" s="1" t="str">
        <f>IF(B991=0,VLOOKUP(A991,Feuil2!$A$2:$M$1241,9,FALSE)," ")</f>
        <v xml:space="preserve"> </v>
      </c>
      <c r="K991" s="1" t="str">
        <f>IF(B991=0,VLOOKUP(A991,Feuil2!$A$2:$M$1241,10,FALSE)," ")</f>
        <v xml:space="preserve"> </v>
      </c>
      <c r="L991" s="1"/>
      <c r="M991" s="1"/>
      <c r="N991" s="1"/>
      <c r="O991" s="8" t="str">
        <f>IF(B991=0,VLOOKUP(A991,Feuil2!$A$2:$M$1241,13,FALSE)," ")</f>
        <v xml:space="preserve"> </v>
      </c>
    </row>
    <row r="992" spans="1:15" x14ac:dyDescent="0.3">
      <c r="A992" s="1">
        <v>1575</v>
      </c>
      <c r="B992" s="1">
        <v>2</v>
      </c>
      <c r="C992" s="1" t="s">
        <v>703</v>
      </c>
      <c r="D992" s="1" t="s">
        <v>2366</v>
      </c>
      <c r="E992" s="5">
        <v>38251</v>
      </c>
      <c r="F992" s="1" t="s">
        <v>506</v>
      </c>
      <c r="G992" s="1" t="str">
        <f>IF(B992=0,VLOOKUP(A992,Feuil2!$A$2:$M$1241,11,FALSE)," ")</f>
        <v xml:space="preserve"> </v>
      </c>
      <c r="H992" s="1" t="s">
        <v>16</v>
      </c>
      <c r="I992" s="6" t="str">
        <f>IF(B992=0,VLOOKUP(A992,Feuil2!$A$2:$M$1241,7,FALSE)," ")</f>
        <v xml:space="preserve"> </v>
      </c>
      <c r="J992" s="1" t="str">
        <f>IF(B992=0,VLOOKUP(A992,Feuil2!$A$2:$M$1241,9,FALSE)," ")</f>
        <v xml:space="preserve"> </v>
      </c>
      <c r="K992" s="1" t="str">
        <f>IF(B992=0,VLOOKUP(A992,Feuil2!$A$2:$M$1241,10,FALSE)," ")</f>
        <v xml:space="preserve"> </v>
      </c>
      <c r="L992" s="1"/>
      <c r="M992" s="1"/>
      <c r="N992" s="1"/>
      <c r="O992" s="8" t="str">
        <f>IF(B992=0,VLOOKUP(A992,Feuil2!$A$2:$M$1241,13,FALSE)," ")</f>
        <v xml:space="preserve"> </v>
      </c>
    </row>
    <row r="993" spans="1:15" x14ac:dyDescent="0.3">
      <c r="A993" s="1">
        <v>1575</v>
      </c>
      <c r="B993" s="1">
        <v>3</v>
      </c>
      <c r="C993" s="1" t="s">
        <v>703</v>
      </c>
      <c r="D993" s="1" t="s">
        <v>2465</v>
      </c>
      <c r="E993" s="5">
        <v>39810</v>
      </c>
      <c r="F993" s="1" t="s">
        <v>506</v>
      </c>
      <c r="G993" s="1" t="str">
        <f>IF(B993=0,VLOOKUP(A993,Feuil2!$A$2:$M$1241,11,FALSE)," ")</f>
        <v xml:space="preserve"> </v>
      </c>
      <c r="H993" s="1" t="s">
        <v>16</v>
      </c>
      <c r="I993" s="6" t="str">
        <f>IF(B993=0,VLOOKUP(A993,Feuil2!$A$2:$M$1241,7,FALSE)," ")</f>
        <v xml:space="preserve"> </v>
      </c>
      <c r="J993" s="1" t="str">
        <f>IF(B993=0,VLOOKUP(A993,Feuil2!$A$2:$M$1241,9,FALSE)," ")</f>
        <v xml:space="preserve"> </v>
      </c>
      <c r="K993" s="1" t="str">
        <f>IF(B993=0,VLOOKUP(A993,Feuil2!$A$2:$M$1241,10,FALSE)," ")</f>
        <v xml:space="preserve"> </v>
      </c>
      <c r="L993" s="1"/>
      <c r="M993" s="1"/>
      <c r="N993" s="1"/>
      <c r="O993" s="8" t="str">
        <f>IF(B993=0,VLOOKUP(A993,Feuil2!$A$2:$M$1241,13,FALSE)," ")</f>
        <v xml:space="preserve"> </v>
      </c>
    </row>
    <row r="994" spans="1:15" x14ac:dyDescent="0.3">
      <c r="A994" s="1">
        <v>1575</v>
      </c>
      <c r="B994" s="1">
        <v>4</v>
      </c>
      <c r="C994" s="1" t="s">
        <v>703</v>
      </c>
      <c r="D994" s="1" t="s">
        <v>2345</v>
      </c>
      <c r="E994" s="5">
        <v>42259</v>
      </c>
      <c r="F994" s="1" t="s">
        <v>17</v>
      </c>
      <c r="G994" s="1" t="str">
        <f>IF(B994=0,VLOOKUP(A994,Feuil2!$A$2:$M$1241,11,FALSE)," ")</f>
        <v xml:space="preserve"> </v>
      </c>
      <c r="H994" s="1" t="s">
        <v>16</v>
      </c>
      <c r="I994" s="6" t="str">
        <f>IF(B994=0,VLOOKUP(A994,Feuil2!$A$2:$M$1241,7,FALSE)," ")</f>
        <v xml:space="preserve"> </v>
      </c>
      <c r="J994" s="1" t="str">
        <f>IF(B994=0,VLOOKUP(A994,Feuil2!$A$2:$M$1241,9,FALSE)," ")</f>
        <v xml:space="preserve"> </v>
      </c>
      <c r="K994" s="1" t="str">
        <f>IF(B994=0,VLOOKUP(A994,Feuil2!$A$2:$M$1241,10,FALSE)," ")</f>
        <v xml:space="preserve"> </v>
      </c>
      <c r="L994" s="1"/>
      <c r="M994" s="1"/>
      <c r="N994" s="1"/>
      <c r="O994" s="8" t="str">
        <f>IF(B994=0,VLOOKUP(A994,Feuil2!$A$2:$M$1241,13,FALSE)," ")</f>
        <v xml:space="preserve"> </v>
      </c>
    </row>
    <row r="995" spans="1:15" x14ac:dyDescent="0.3">
      <c r="A995" s="1">
        <v>1580</v>
      </c>
      <c r="B995" s="1">
        <v>0</v>
      </c>
      <c r="C995" s="1" t="str">
        <f>IF(B995=0,VLOOKUP(A995,Feuil2!$A$2:$M$1241,2,FALSE)," ")</f>
        <v>ZARRAA</v>
      </c>
      <c r="D995" s="1" t="str">
        <f>IF(B995=0,VLOOKUP(A995,Feuil2!$A$2:$M$1241,3,FALSE)," ")</f>
        <v>MOHAMED</v>
      </c>
      <c r="E995" s="5">
        <f>IF(B995=0,VLOOKUP(A995,Feuil2!$A$2:$M$1241,6,FALSE)," ")</f>
        <v>27280</v>
      </c>
      <c r="F995" s="1" t="str">
        <f>IF(B995=0,VLOOKUP(A995,Feuil2!$A$2:$M$1241,12,FALSE)," ")</f>
        <v>H</v>
      </c>
      <c r="G995" s="1" t="str">
        <f>IF(B995=0,VLOOKUP(A995,Feuil2!$A$2:$M$1241,11,FALSE)," ")</f>
        <v>M</v>
      </c>
      <c r="H995" s="1" t="s">
        <v>16</v>
      </c>
      <c r="I995" s="6">
        <f>IF(B995=0,VLOOKUP(A995,Feuil2!$A$2:$M$1241,7,FALSE)," ")</f>
        <v>5531969</v>
      </c>
      <c r="J995" s="1" t="str">
        <f>IF(B995=0,VLOOKUP(A995,Feuil2!$A$2:$M$1241,9,FALSE)," ")</f>
        <v>21,Rue Taoufik Ebdelli</v>
      </c>
      <c r="K995" s="1" t="str">
        <f>IF(B995=0,VLOOKUP(A995,Feuil2!$A$2:$M$1241,10,FALSE)," ")</f>
        <v>CitÃ© Erriadh</v>
      </c>
      <c r="L995" s="1"/>
      <c r="M995" s="1">
        <v>97136790</v>
      </c>
      <c r="N995" s="1"/>
      <c r="O995" s="8" t="str">
        <f>IF(B995=0,VLOOKUP(A995,Feuil2!$A$2:$M$1241,13,FALSE)," ")</f>
        <v>12033000000208205134</v>
      </c>
    </row>
    <row r="996" spans="1:15" x14ac:dyDescent="0.3">
      <c r="A996" s="1">
        <v>1580</v>
      </c>
      <c r="B996" s="1">
        <v>1</v>
      </c>
      <c r="C996" s="1" t="s">
        <v>2652</v>
      </c>
      <c r="D996" s="1" t="s">
        <v>2115</v>
      </c>
      <c r="E996" s="5">
        <v>27817</v>
      </c>
      <c r="F996" s="1" t="s">
        <v>17</v>
      </c>
      <c r="G996" s="1" t="s">
        <v>15</v>
      </c>
      <c r="H996" s="1" t="s">
        <v>16</v>
      </c>
      <c r="I996" s="6" t="str">
        <f>IF(B996=0,VLOOKUP(A996,Feuil2!$A$2:$M$1241,7,FALSE)," ")</f>
        <v xml:space="preserve"> </v>
      </c>
      <c r="J996" s="1" t="str">
        <f>IF(B996=0,VLOOKUP(A996,Feuil2!$A$2:$M$1241,9,FALSE)," ")</f>
        <v xml:space="preserve"> </v>
      </c>
      <c r="K996" s="1" t="str">
        <f>IF(B996=0,VLOOKUP(A996,Feuil2!$A$2:$M$1241,10,FALSE)," ")</f>
        <v xml:space="preserve"> </v>
      </c>
      <c r="L996" s="1"/>
      <c r="M996" s="1"/>
      <c r="N996" s="1"/>
      <c r="O996" s="8" t="str">
        <f>IF(B996=0,VLOOKUP(A996,Feuil2!$A$2:$M$1241,13,FALSE)," ")</f>
        <v xml:space="preserve"> </v>
      </c>
    </row>
    <row r="997" spans="1:15" x14ac:dyDescent="0.3">
      <c r="A997" s="1">
        <v>1580</v>
      </c>
      <c r="B997" s="1">
        <v>2</v>
      </c>
      <c r="C997" s="1" t="s">
        <v>155</v>
      </c>
      <c r="D997" s="1" t="s">
        <v>89</v>
      </c>
      <c r="E997" s="5">
        <v>38461</v>
      </c>
      <c r="F997" s="1" t="s">
        <v>506</v>
      </c>
      <c r="G997" s="1" t="str">
        <f>IF(B997=0,VLOOKUP(A997,Feuil2!$A$2:$M$1241,11,FALSE)," ")</f>
        <v xml:space="preserve"> </v>
      </c>
      <c r="H997" s="1" t="s">
        <v>16</v>
      </c>
      <c r="I997" s="6" t="str">
        <f>IF(B997=0,VLOOKUP(A997,Feuil2!$A$2:$M$1241,7,FALSE)," ")</f>
        <v xml:space="preserve"> </v>
      </c>
      <c r="J997" s="1" t="str">
        <f>IF(B997=0,VLOOKUP(A997,Feuil2!$A$2:$M$1241,9,FALSE)," ")</f>
        <v xml:space="preserve"> </v>
      </c>
      <c r="K997" s="1" t="str">
        <f>IF(B997=0,VLOOKUP(A997,Feuil2!$A$2:$M$1241,10,FALSE)," ")</f>
        <v xml:space="preserve"> </v>
      </c>
      <c r="L997" s="1"/>
      <c r="M997" s="1"/>
      <c r="N997" s="1"/>
      <c r="O997" s="8" t="str">
        <f>IF(B997=0,VLOOKUP(A997,Feuil2!$A$2:$M$1241,13,FALSE)," ")</f>
        <v xml:space="preserve"> </v>
      </c>
    </row>
    <row r="998" spans="1:15" x14ac:dyDescent="0.3">
      <c r="A998" s="1">
        <v>1580</v>
      </c>
      <c r="B998" s="1">
        <v>3</v>
      </c>
      <c r="C998" s="1" t="s">
        <v>155</v>
      </c>
      <c r="D998" s="1" t="s">
        <v>402</v>
      </c>
      <c r="E998" s="5">
        <v>39615</v>
      </c>
      <c r="F998" s="1" t="s">
        <v>17</v>
      </c>
      <c r="G998" s="1" t="str">
        <f>IF(B998=0,VLOOKUP(A998,Feuil2!$A$2:$M$1241,11,FALSE)," ")</f>
        <v xml:space="preserve"> </v>
      </c>
      <c r="H998" s="1" t="s">
        <v>16</v>
      </c>
      <c r="I998" s="6" t="str">
        <f>IF(B998=0,VLOOKUP(A998,Feuil2!$A$2:$M$1241,7,FALSE)," ")</f>
        <v xml:space="preserve"> </v>
      </c>
      <c r="J998" s="1" t="str">
        <f>IF(B998=0,VLOOKUP(A998,Feuil2!$A$2:$M$1241,9,FALSE)," ")</f>
        <v xml:space="preserve"> </v>
      </c>
      <c r="K998" s="1" t="str">
        <f>IF(B998=0,VLOOKUP(A998,Feuil2!$A$2:$M$1241,10,FALSE)," ")</f>
        <v xml:space="preserve"> </v>
      </c>
      <c r="L998" s="1"/>
      <c r="M998" s="1"/>
      <c r="N998" s="1"/>
      <c r="O998" s="8" t="str">
        <f>IF(B998=0,VLOOKUP(A998,Feuil2!$A$2:$M$1241,13,FALSE)," ")</f>
        <v xml:space="preserve"> </v>
      </c>
    </row>
    <row r="999" spans="1:15" x14ac:dyDescent="0.3">
      <c r="A999" s="1">
        <v>1595</v>
      </c>
      <c r="B999" s="1">
        <v>0</v>
      </c>
      <c r="C999" s="1" t="str">
        <f>IF(B999=0,VLOOKUP(A999,Feuil2!$A$2:$M$1241,2,FALSE)," ")</f>
        <v>BEN SALEM</v>
      </c>
      <c r="D999" s="1" t="str">
        <f>IF(B999=0,VLOOKUP(A999,Feuil2!$A$2:$M$1241,3,FALSE)," ")</f>
        <v>FETHI</v>
      </c>
      <c r="E999" s="5">
        <f>IF(B999=0,VLOOKUP(A999,Feuil2!$A$2:$M$1241,6,FALSE)," ")</f>
        <v>26876</v>
      </c>
      <c r="F999" s="1" t="str">
        <f>IF(B999=0,VLOOKUP(A999,Feuil2!$A$2:$M$1241,12,FALSE)," ")</f>
        <v>H</v>
      </c>
      <c r="G999" s="1" t="str">
        <f>IF(B999=0,VLOOKUP(A999,Feuil2!$A$2:$M$1241,11,FALSE)," ")</f>
        <v>M</v>
      </c>
      <c r="H999" s="1" t="s">
        <v>16</v>
      </c>
      <c r="I999" s="6">
        <f>IF(B999=0,VLOOKUP(A999,Feuil2!$A$2:$M$1241,7,FALSE)," ")</f>
        <v>5546698</v>
      </c>
      <c r="J999" s="1" t="str">
        <f>IF(B999=0,VLOOKUP(A999,Feuil2!$A$2:$M$1241,9,FALSE)," ")</f>
        <v>Rue de Moknine</v>
      </c>
      <c r="K999" s="1" t="str">
        <f>IF(B999=0,VLOOKUP(A999,Feuil2!$A$2:$M$1241,10,FALSE)," ")</f>
        <v>Msaken 4070</v>
      </c>
      <c r="L999" s="1">
        <v>4070</v>
      </c>
      <c r="M999" s="1">
        <v>54200805</v>
      </c>
      <c r="N999" s="1"/>
      <c r="O999" s="8" t="str">
        <f>IF(B999=0,VLOOKUP(A999,Feuil2!$A$2:$M$1241,13,FALSE)," ")</f>
        <v>04204067404000618331</v>
      </c>
    </row>
    <row r="1000" spans="1:15" x14ac:dyDescent="0.3">
      <c r="A1000" s="1">
        <v>1595</v>
      </c>
      <c r="B1000" s="1">
        <v>1</v>
      </c>
      <c r="C1000" s="1" t="s">
        <v>103</v>
      </c>
      <c r="D1000" s="1" t="s">
        <v>625</v>
      </c>
      <c r="E1000" s="5">
        <v>29945</v>
      </c>
      <c r="F1000" s="1" t="s">
        <v>17</v>
      </c>
      <c r="G1000" s="1" t="s">
        <v>15</v>
      </c>
      <c r="H1000" s="1" t="s">
        <v>16</v>
      </c>
      <c r="I1000" s="6" t="str">
        <f>IF(B1000=0,VLOOKUP(A1000,Feuil2!$A$2:$M$1241,7,FALSE)," ")</f>
        <v xml:space="preserve"> </v>
      </c>
      <c r="J1000" s="1" t="str">
        <f>IF(B1000=0,VLOOKUP(A1000,Feuil2!$A$2:$M$1241,9,FALSE)," ")</f>
        <v xml:space="preserve"> </v>
      </c>
      <c r="K1000" s="1" t="str">
        <f>IF(B1000=0,VLOOKUP(A1000,Feuil2!$A$2:$M$1241,10,FALSE)," ")</f>
        <v xml:space="preserve"> </v>
      </c>
      <c r="L1000" s="1"/>
      <c r="M1000" s="1"/>
      <c r="N1000" s="1"/>
      <c r="O1000" s="8" t="str">
        <f>IF(B1000=0,VLOOKUP(A1000,Feuil2!$A$2:$M$1241,13,FALSE)," ")</f>
        <v xml:space="preserve"> </v>
      </c>
    </row>
    <row r="1001" spans="1:15" x14ac:dyDescent="0.3">
      <c r="A1001" s="1">
        <v>1595</v>
      </c>
      <c r="B1001" s="1">
        <v>2</v>
      </c>
      <c r="C1001" s="1" t="s">
        <v>283</v>
      </c>
      <c r="D1001" s="1" t="s">
        <v>110</v>
      </c>
      <c r="E1001" s="5">
        <v>39292</v>
      </c>
      <c r="F1001" s="1" t="s">
        <v>506</v>
      </c>
      <c r="G1001" s="1" t="str">
        <f>IF(B1001=0,VLOOKUP(A1001,Feuil2!$A$2:$M$1241,11,FALSE)," ")</f>
        <v xml:space="preserve"> </v>
      </c>
      <c r="H1001" s="1" t="s">
        <v>16</v>
      </c>
      <c r="I1001" s="6" t="str">
        <f>IF(B1001=0,VLOOKUP(A1001,Feuil2!$A$2:$M$1241,7,FALSE)," ")</f>
        <v xml:space="preserve"> </v>
      </c>
      <c r="J1001" s="1" t="str">
        <f>IF(B1001=0,VLOOKUP(A1001,Feuil2!$A$2:$M$1241,9,FALSE)," ")</f>
        <v xml:space="preserve"> </v>
      </c>
      <c r="K1001" s="1" t="str">
        <f>IF(B1001=0,VLOOKUP(A1001,Feuil2!$A$2:$M$1241,10,FALSE)," ")</f>
        <v xml:space="preserve"> </v>
      </c>
      <c r="L1001" s="1"/>
      <c r="M1001" s="1"/>
      <c r="N1001" s="1"/>
      <c r="O1001" s="8" t="str">
        <f>IF(B1001=0,VLOOKUP(A1001,Feuil2!$A$2:$M$1241,13,FALSE)," ")</f>
        <v xml:space="preserve"> </v>
      </c>
    </row>
    <row r="1002" spans="1:15" x14ac:dyDescent="0.3">
      <c r="A1002" s="1">
        <v>1595</v>
      </c>
      <c r="B1002" s="1">
        <v>3</v>
      </c>
      <c r="C1002" s="1" t="s">
        <v>283</v>
      </c>
      <c r="D1002" s="1" t="s">
        <v>2376</v>
      </c>
      <c r="E1002" s="5">
        <v>39716</v>
      </c>
      <c r="F1002" s="1" t="s">
        <v>506</v>
      </c>
      <c r="G1002" s="1" t="str">
        <f>IF(B1002=0,VLOOKUP(A1002,Feuil2!$A$2:$M$1241,11,FALSE)," ")</f>
        <v xml:space="preserve"> </v>
      </c>
      <c r="H1002" s="1" t="s">
        <v>16</v>
      </c>
      <c r="I1002" s="6" t="str">
        <f>IF(B1002=0,VLOOKUP(A1002,Feuil2!$A$2:$M$1241,7,FALSE)," ")</f>
        <v xml:space="preserve"> </v>
      </c>
      <c r="J1002" s="1" t="str">
        <f>IF(B1002=0,VLOOKUP(A1002,Feuil2!$A$2:$M$1241,9,FALSE)," ")</f>
        <v xml:space="preserve"> </v>
      </c>
      <c r="K1002" s="1" t="str">
        <f>IF(B1002=0,VLOOKUP(A1002,Feuil2!$A$2:$M$1241,10,FALSE)," ")</f>
        <v xml:space="preserve"> </v>
      </c>
      <c r="L1002" s="1"/>
      <c r="M1002" s="1"/>
      <c r="N1002" s="1"/>
      <c r="O1002" s="8" t="str">
        <f>IF(B1002=0,VLOOKUP(A1002,Feuil2!$A$2:$M$1241,13,FALSE)," ")</f>
        <v xml:space="preserve"> </v>
      </c>
    </row>
    <row r="1003" spans="1:15" x14ac:dyDescent="0.3">
      <c r="A1003" s="1">
        <v>1595</v>
      </c>
      <c r="B1003" s="1">
        <v>4</v>
      </c>
      <c r="C1003" s="1" t="s">
        <v>283</v>
      </c>
      <c r="D1003" s="1" t="s">
        <v>2383</v>
      </c>
      <c r="E1003" s="5">
        <v>40603</v>
      </c>
      <c r="F1003" s="1" t="s">
        <v>17</v>
      </c>
      <c r="G1003" s="1" t="str">
        <f>IF(B1003=0,VLOOKUP(A1003,Feuil2!$A$2:$M$1241,11,FALSE)," ")</f>
        <v xml:space="preserve"> </v>
      </c>
      <c r="H1003" s="1" t="s">
        <v>16</v>
      </c>
      <c r="I1003" s="6" t="str">
        <f>IF(B1003=0,VLOOKUP(A1003,Feuil2!$A$2:$M$1241,7,FALSE)," ")</f>
        <v xml:space="preserve"> </v>
      </c>
      <c r="J1003" s="1" t="str">
        <f>IF(B1003=0,VLOOKUP(A1003,Feuil2!$A$2:$M$1241,9,FALSE)," ")</f>
        <v xml:space="preserve"> </v>
      </c>
      <c r="K1003" s="1" t="str">
        <f>IF(B1003=0,VLOOKUP(A1003,Feuil2!$A$2:$M$1241,10,FALSE)," ")</f>
        <v xml:space="preserve"> </v>
      </c>
      <c r="L1003" s="1"/>
      <c r="M1003" s="1"/>
      <c r="N1003" s="1"/>
      <c r="O1003" s="8" t="str">
        <f>IF(B1003=0,VLOOKUP(A1003,Feuil2!$A$2:$M$1241,13,FALSE)," ")</f>
        <v xml:space="preserve"> </v>
      </c>
    </row>
    <row r="1004" spans="1:15" x14ac:dyDescent="0.3">
      <c r="A1004" s="1">
        <v>1595</v>
      </c>
      <c r="B1004" s="1">
        <v>5</v>
      </c>
      <c r="C1004" s="1" t="s">
        <v>283</v>
      </c>
      <c r="D1004" s="1" t="s">
        <v>212</v>
      </c>
      <c r="E1004" s="5">
        <v>41891</v>
      </c>
      <c r="F1004" s="1" t="s">
        <v>506</v>
      </c>
      <c r="G1004" s="1" t="str">
        <f>IF(B1004=0,VLOOKUP(A1004,Feuil2!$A$2:$M$1241,11,FALSE)," ")</f>
        <v xml:space="preserve"> </v>
      </c>
      <c r="H1004" s="1" t="s">
        <v>16</v>
      </c>
      <c r="I1004" s="6" t="str">
        <f>IF(B1004=0,VLOOKUP(A1004,Feuil2!$A$2:$M$1241,7,FALSE)," ")</f>
        <v xml:space="preserve"> </v>
      </c>
      <c r="J1004" s="1" t="str">
        <f>IF(B1004=0,VLOOKUP(A1004,Feuil2!$A$2:$M$1241,9,FALSE)," ")</f>
        <v xml:space="preserve"> </v>
      </c>
      <c r="K1004" s="1" t="str">
        <f>IF(B1004=0,VLOOKUP(A1004,Feuil2!$A$2:$M$1241,10,FALSE)," ")</f>
        <v xml:space="preserve"> </v>
      </c>
      <c r="L1004" s="1"/>
      <c r="M1004" s="1"/>
      <c r="N1004" s="1"/>
      <c r="O1004" s="8" t="str">
        <f>IF(B1004=0,VLOOKUP(A1004,Feuil2!$A$2:$M$1241,13,FALSE)," ")</f>
        <v xml:space="preserve"> </v>
      </c>
    </row>
    <row r="1005" spans="1:15" x14ac:dyDescent="0.3">
      <c r="A1005" s="1">
        <v>1596</v>
      </c>
      <c r="B1005" s="1">
        <v>0</v>
      </c>
      <c r="C1005" s="1" t="str">
        <f>IF(B1005=0,VLOOKUP(A1005,Feuil2!$A$2:$M$1241,2,FALSE)," ")</f>
        <v>GORCHENE</v>
      </c>
      <c r="D1005" s="1" t="str">
        <f>IF(B1005=0,VLOOKUP(A1005,Feuil2!$A$2:$M$1241,3,FALSE)," ")</f>
        <v>NOUREDDINE</v>
      </c>
      <c r="E1005" s="5">
        <f>IF(B1005=0,VLOOKUP(A1005,Feuil2!$A$2:$M$1241,6,FALSE)," ")</f>
        <v>25886</v>
      </c>
      <c r="F1005" s="1" t="str">
        <f>IF(B1005=0,VLOOKUP(A1005,Feuil2!$A$2:$M$1241,12,FALSE)," ")</f>
        <v>H</v>
      </c>
      <c r="G1005" s="1" t="str">
        <f>IF(B1005=0,VLOOKUP(A1005,Feuil2!$A$2:$M$1241,11,FALSE)," ")</f>
        <v>M</v>
      </c>
      <c r="H1005" s="1" t="s">
        <v>16</v>
      </c>
      <c r="I1005" s="6">
        <f>IF(B1005=0,VLOOKUP(A1005,Feuil2!$A$2:$M$1241,7,FALSE)," ")</f>
        <v>5513780</v>
      </c>
      <c r="J1005" s="1" t="str">
        <f>IF(B1005=0,VLOOKUP(A1005,Feuil2!$A$2:$M$1241,9,FALSE)," ")</f>
        <v>300 Rue Ararfat</v>
      </c>
      <c r="K1005" s="1" t="str">
        <f>IF(B1005=0,VLOOKUP(A1005,Feuil2!$A$2:$M$1241,10,FALSE)," ")</f>
        <v>Msaken 4070</v>
      </c>
      <c r="L1005" s="1">
        <v>4070</v>
      </c>
      <c r="M1005" s="1">
        <v>97139815</v>
      </c>
      <c r="N1005" s="1"/>
      <c r="O1005" s="8" t="str">
        <f>IF(B1005=0,VLOOKUP(A1005,Feuil2!$A$2:$M$1241,13,FALSE)," ")</f>
        <v>05048000116500208095</v>
      </c>
    </row>
    <row r="1006" spans="1:15" x14ac:dyDescent="0.3">
      <c r="A1006" s="1">
        <v>1596</v>
      </c>
      <c r="B1006" s="1">
        <v>1</v>
      </c>
      <c r="C1006" s="1" t="s">
        <v>2653</v>
      </c>
      <c r="D1006" s="1" t="s">
        <v>746</v>
      </c>
      <c r="E1006" s="5">
        <v>28761</v>
      </c>
      <c r="F1006" s="1" t="s">
        <v>17</v>
      </c>
      <c r="G1006" s="1" t="s">
        <v>15</v>
      </c>
      <c r="H1006" s="1" t="s">
        <v>16</v>
      </c>
      <c r="I1006" s="6" t="str">
        <f>IF(B1006=0,VLOOKUP(A1006,Feuil2!$A$2:$M$1241,7,FALSE)," ")</f>
        <v xml:space="preserve"> </v>
      </c>
      <c r="J1006" s="1" t="str">
        <f>IF(B1006=0,VLOOKUP(A1006,Feuil2!$A$2:$M$1241,9,FALSE)," ")</f>
        <v xml:space="preserve"> </v>
      </c>
      <c r="K1006" s="1" t="str">
        <f>IF(B1006=0,VLOOKUP(A1006,Feuil2!$A$2:$M$1241,10,FALSE)," ")</f>
        <v xml:space="preserve"> </v>
      </c>
      <c r="L1006" s="1"/>
      <c r="M1006" s="1"/>
      <c r="N1006" s="1"/>
      <c r="O1006" s="8" t="str">
        <f>IF(B1006=0,VLOOKUP(A1006,Feuil2!$A$2:$M$1241,13,FALSE)," ")</f>
        <v xml:space="preserve"> </v>
      </c>
    </row>
    <row r="1007" spans="1:15" x14ac:dyDescent="0.3">
      <c r="A1007" s="1">
        <v>1596</v>
      </c>
      <c r="B1007" s="1">
        <v>2</v>
      </c>
      <c r="C1007" s="1" t="s">
        <v>215</v>
      </c>
      <c r="D1007" s="1" t="s">
        <v>596</v>
      </c>
      <c r="E1007" s="5">
        <v>37476</v>
      </c>
      <c r="F1007" s="1" t="s">
        <v>17</v>
      </c>
      <c r="G1007" s="1" t="str">
        <f>IF(B1007=0,VLOOKUP(A1007,Feuil2!$A$2:$M$1241,11,FALSE)," ")</f>
        <v xml:space="preserve"> </v>
      </c>
      <c r="H1007" s="1" t="s">
        <v>16</v>
      </c>
      <c r="I1007" s="6" t="str">
        <f>IF(B1007=0,VLOOKUP(A1007,Feuil2!$A$2:$M$1241,7,FALSE)," ")</f>
        <v xml:space="preserve"> </v>
      </c>
      <c r="J1007" s="1" t="str">
        <f>IF(B1007=0,VLOOKUP(A1007,Feuil2!$A$2:$M$1241,9,FALSE)," ")</f>
        <v xml:space="preserve"> </v>
      </c>
      <c r="K1007" s="1" t="str">
        <f>IF(B1007=0,VLOOKUP(A1007,Feuil2!$A$2:$M$1241,10,FALSE)," ")</f>
        <v xml:space="preserve"> </v>
      </c>
      <c r="L1007" s="1"/>
      <c r="M1007" s="1"/>
      <c r="N1007" s="1"/>
      <c r="O1007" s="8" t="str">
        <f>IF(B1007=0,VLOOKUP(A1007,Feuil2!$A$2:$M$1241,13,FALSE)," ")</f>
        <v xml:space="preserve"> </v>
      </c>
    </row>
    <row r="1008" spans="1:15" x14ac:dyDescent="0.3">
      <c r="A1008" s="1">
        <v>1596</v>
      </c>
      <c r="B1008" s="1">
        <v>3</v>
      </c>
      <c r="C1008" s="1" t="s">
        <v>215</v>
      </c>
      <c r="D1008" s="1" t="s">
        <v>2357</v>
      </c>
      <c r="E1008" s="5">
        <v>38047</v>
      </c>
      <c r="F1008" s="1" t="s">
        <v>17</v>
      </c>
      <c r="G1008" s="1" t="str">
        <f>IF(B1008=0,VLOOKUP(A1008,Feuil2!$A$2:$M$1241,11,FALSE)," ")</f>
        <v xml:space="preserve"> </v>
      </c>
      <c r="H1008" s="1" t="s">
        <v>16</v>
      </c>
      <c r="I1008" s="6" t="str">
        <f>IF(B1008=0,VLOOKUP(A1008,Feuil2!$A$2:$M$1241,7,FALSE)," ")</f>
        <v xml:space="preserve"> </v>
      </c>
      <c r="J1008" s="1" t="str">
        <f>IF(B1008=0,VLOOKUP(A1008,Feuil2!$A$2:$M$1241,9,FALSE)," ")</f>
        <v xml:space="preserve"> </v>
      </c>
      <c r="K1008" s="1" t="str">
        <f>IF(B1008=0,VLOOKUP(A1008,Feuil2!$A$2:$M$1241,10,FALSE)," ")</f>
        <v xml:space="preserve"> </v>
      </c>
      <c r="L1008" s="1"/>
      <c r="M1008" s="1"/>
      <c r="N1008" s="1"/>
      <c r="O1008" s="8" t="str">
        <f>IF(B1008=0,VLOOKUP(A1008,Feuil2!$A$2:$M$1241,13,FALSE)," ")</f>
        <v xml:space="preserve"> </v>
      </c>
    </row>
    <row r="1009" spans="1:16" x14ac:dyDescent="0.3">
      <c r="A1009" s="1">
        <v>1596</v>
      </c>
      <c r="B1009" s="1">
        <v>4</v>
      </c>
      <c r="C1009" s="1" t="s">
        <v>215</v>
      </c>
      <c r="D1009" s="1" t="s">
        <v>34</v>
      </c>
      <c r="E1009" s="5">
        <v>39870</v>
      </c>
      <c r="F1009" s="1" t="s">
        <v>506</v>
      </c>
      <c r="G1009" s="1" t="str">
        <f>IF(B1009=0,VLOOKUP(A1009,Feuil2!$A$2:$M$1241,11,FALSE)," ")</f>
        <v xml:space="preserve"> </v>
      </c>
      <c r="H1009" s="1" t="s">
        <v>16</v>
      </c>
      <c r="I1009" s="6" t="str">
        <f>IF(B1009=0,VLOOKUP(A1009,Feuil2!$A$2:$M$1241,7,FALSE)," ")</f>
        <v xml:space="preserve"> </v>
      </c>
      <c r="J1009" s="1" t="str">
        <f>IF(B1009=0,VLOOKUP(A1009,Feuil2!$A$2:$M$1241,9,FALSE)," ")</f>
        <v xml:space="preserve"> </v>
      </c>
      <c r="K1009" s="1" t="str">
        <f>IF(B1009=0,VLOOKUP(A1009,Feuil2!$A$2:$M$1241,10,FALSE)," ")</f>
        <v xml:space="preserve"> </v>
      </c>
      <c r="L1009" s="1"/>
      <c r="M1009" s="1"/>
      <c r="N1009" s="1"/>
      <c r="O1009" s="8" t="str">
        <f>IF(B1009=0,VLOOKUP(A1009,Feuil2!$A$2:$M$1241,13,FALSE)," ")</f>
        <v xml:space="preserve"> </v>
      </c>
    </row>
    <row r="1010" spans="1:16" x14ac:dyDescent="0.3">
      <c r="A1010" s="1">
        <v>1600</v>
      </c>
      <c r="B1010" s="1">
        <v>0</v>
      </c>
      <c r="C1010" s="1" t="str">
        <f>IF(B1010=0,VLOOKUP(A1010,Feuil2!$A$2:$M$1241,2,FALSE)," ")</f>
        <v>MAOUA</v>
      </c>
      <c r="D1010" s="1" t="str">
        <f>IF(B1010=0,VLOOKUP(A1010,Feuil2!$A$2:$M$1241,3,FALSE)," ")</f>
        <v>MOHAMED</v>
      </c>
      <c r="E1010" s="5">
        <f>IF(B1010=0,VLOOKUP(A1010,Feuil2!$A$2:$M$1241,6,FALSE)," ")</f>
        <v>27988</v>
      </c>
      <c r="F1010" s="1" t="str">
        <f>IF(B1010=0,VLOOKUP(A1010,Feuil2!$A$2:$M$1241,12,FALSE)," ")</f>
        <v>H</v>
      </c>
      <c r="G1010" s="1" t="str">
        <f>IF(B1010=0,VLOOKUP(A1010,Feuil2!$A$2:$M$1241,11,FALSE)," ")</f>
        <v>M</v>
      </c>
      <c r="H1010" s="1" t="s">
        <v>16</v>
      </c>
      <c r="I1010" s="6">
        <f>IF(B1010=0,VLOOKUP(A1010,Feuil2!$A$2:$M$1241,7,FALSE)," ")</f>
        <v>5544576</v>
      </c>
      <c r="J1010" s="1" t="str">
        <f>IF(B1010=0,VLOOKUP(A1010,Feuil2!$A$2:$M$1241,9,FALSE)," ")</f>
        <v>9 Rue El Bougi</v>
      </c>
      <c r="K1010" s="1" t="str">
        <f>IF(B1010=0,VLOOKUP(A1010,Feuil2!$A$2:$M$1241,10,FALSE)," ")</f>
        <v>Msaken 4070</v>
      </c>
      <c r="L1010" s="1">
        <v>4070</v>
      </c>
      <c r="M1010" s="1">
        <v>98826394</v>
      </c>
      <c r="N1010" s="1"/>
      <c r="O1010" s="8" t="str">
        <f>IF(B1010=0,VLOOKUP(A1010,Feuil2!$A$2:$M$1241,13,FALSE)," ")</f>
        <v>05048000116500469413</v>
      </c>
      <c r="P1010" t="s">
        <v>2805</v>
      </c>
    </row>
    <row r="1011" spans="1:16" x14ac:dyDescent="0.3">
      <c r="A1011" s="1">
        <v>1600</v>
      </c>
      <c r="B1011" s="1">
        <v>1</v>
      </c>
      <c r="C1011" s="1" t="s">
        <v>121</v>
      </c>
      <c r="D1011" s="1" t="s">
        <v>2654</v>
      </c>
      <c r="E1011" s="5">
        <v>28658</v>
      </c>
      <c r="F1011" s="1" t="s">
        <v>17</v>
      </c>
      <c r="G1011" s="1" t="s">
        <v>15</v>
      </c>
      <c r="H1011" s="1" t="s">
        <v>16</v>
      </c>
      <c r="I1011" s="6" t="str">
        <f>IF(B1011=0,VLOOKUP(A1011,Feuil2!$A$2:$M$1241,7,FALSE)," ")</f>
        <v xml:space="preserve"> </v>
      </c>
      <c r="J1011" s="1" t="str">
        <f>IF(B1011=0,VLOOKUP(A1011,Feuil2!$A$2:$M$1241,9,FALSE)," ")</f>
        <v xml:space="preserve"> </v>
      </c>
      <c r="K1011" s="1" t="str">
        <f>IF(B1011=0,VLOOKUP(A1011,Feuil2!$A$2:$M$1241,10,FALSE)," ")</f>
        <v xml:space="preserve"> </v>
      </c>
      <c r="L1011" s="1"/>
      <c r="M1011" s="1"/>
      <c r="N1011" s="1"/>
      <c r="O1011" s="8" t="str">
        <f>IF(B1011=0,VLOOKUP(A1011,Feuil2!$A$2:$M$1241,13,FALSE)," ")</f>
        <v xml:space="preserve"> </v>
      </c>
    </row>
    <row r="1012" spans="1:16" x14ac:dyDescent="0.3">
      <c r="A1012" s="1">
        <v>1600</v>
      </c>
      <c r="B1012" s="1">
        <v>2</v>
      </c>
      <c r="C1012" s="1" t="s">
        <v>75</v>
      </c>
      <c r="D1012" s="1" t="s">
        <v>2655</v>
      </c>
      <c r="E1012" s="5">
        <v>39402</v>
      </c>
      <c r="F1012" s="1" t="s">
        <v>17</v>
      </c>
      <c r="G1012" s="1" t="str">
        <f>IF(B1012=0,VLOOKUP(A1012,Feuil2!$A$2:$M$1241,11,FALSE)," ")</f>
        <v xml:space="preserve"> </v>
      </c>
      <c r="H1012" s="1" t="s">
        <v>16</v>
      </c>
      <c r="I1012" s="6" t="str">
        <f>IF(B1012=0,VLOOKUP(A1012,Feuil2!$A$2:$M$1241,7,FALSE)," ")</f>
        <v xml:space="preserve"> </v>
      </c>
      <c r="J1012" s="1" t="str">
        <f>IF(B1012=0,VLOOKUP(A1012,Feuil2!$A$2:$M$1241,9,FALSE)," ")</f>
        <v xml:space="preserve"> </v>
      </c>
      <c r="K1012" s="1" t="str">
        <f>IF(B1012=0,VLOOKUP(A1012,Feuil2!$A$2:$M$1241,10,FALSE)," ")</f>
        <v xml:space="preserve"> </v>
      </c>
      <c r="L1012" s="1"/>
      <c r="M1012" s="1"/>
      <c r="N1012" s="1"/>
      <c r="O1012" s="8" t="str">
        <f>IF(B1012=0,VLOOKUP(A1012,Feuil2!$A$2:$M$1241,13,FALSE)," ")</f>
        <v xml:space="preserve"> </v>
      </c>
    </row>
    <row r="1013" spans="1:16" x14ac:dyDescent="0.3">
      <c r="A1013" s="1">
        <v>1600</v>
      </c>
      <c r="B1013" s="1">
        <v>3</v>
      </c>
      <c r="C1013" s="1" t="s">
        <v>75</v>
      </c>
      <c r="D1013" s="1" t="s">
        <v>2338</v>
      </c>
      <c r="E1013" s="5">
        <v>40000</v>
      </c>
      <c r="F1013" s="1" t="s">
        <v>17</v>
      </c>
      <c r="G1013" s="1" t="str">
        <f>IF(B1013=0,VLOOKUP(A1013,Feuil2!$A$2:$M$1241,11,FALSE)," ")</f>
        <v xml:space="preserve"> </v>
      </c>
      <c r="H1013" s="1" t="s">
        <v>16</v>
      </c>
      <c r="I1013" s="6" t="str">
        <f>IF(B1013=0,VLOOKUP(A1013,Feuil2!$A$2:$M$1241,7,FALSE)," ")</f>
        <v xml:space="preserve"> </v>
      </c>
      <c r="J1013" s="1" t="str">
        <f>IF(B1013=0,VLOOKUP(A1013,Feuil2!$A$2:$M$1241,9,FALSE)," ")</f>
        <v xml:space="preserve"> </v>
      </c>
      <c r="K1013" s="1" t="str">
        <f>IF(B1013=0,VLOOKUP(A1013,Feuil2!$A$2:$M$1241,10,FALSE)," ")</f>
        <v xml:space="preserve"> </v>
      </c>
      <c r="L1013" s="1"/>
      <c r="M1013" s="1"/>
      <c r="N1013" s="1"/>
      <c r="O1013" s="8" t="str">
        <f>IF(B1013=0,VLOOKUP(A1013,Feuil2!$A$2:$M$1241,13,FALSE)," ")</f>
        <v xml:space="preserve"> </v>
      </c>
    </row>
    <row r="1014" spans="1:16" x14ac:dyDescent="0.3">
      <c r="A1014" s="1">
        <v>1600</v>
      </c>
      <c r="B1014" s="1">
        <v>4</v>
      </c>
      <c r="C1014" s="1" t="s">
        <v>75</v>
      </c>
      <c r="D1014" s="1" t="s">
        <v>402</v>
      </c>
      <c r="E1014" s="5">
        <v>42608</v>
      </c>
      <c r="F1014" s="1" t="s">
        <v>17</v>
      </c>
      <c r="G1014" s="1" t="str">
        <f>IF(B1014=0,VLOOKUP(A1014,Feuil2!$A$2:$M$1241,11,FALSE)," ")</f>
        <v xml:space="preserve"> </v>
      </c>
      <c r="H1014" s="1" t="s">
        <v>16</v>
      </c>
      <c r="I1014" s="6" t="str">
        <f>IF(B1014=0,VLOOKUP(A1014,Feuil2!$A$2:$M$1241,7,FALSE)," ")</f>
        <v xml:space="preserve"> </v>
      </c>
      <c r="J1014" s="1" t="str">
        <f>IF(B1014=0,VLOOKUP(A1014,Feuil2!$A$2:$M$1241,9,FALSE)," ")</f>
        <v xml:space="preserve"> </v>
      </c>
      <c r="K1014" s="1" t="str">
        <f>IF(B1014=0,VLOOKUP(A1014,Feuil2!$A$2:$M$1241,10,FALSE)," ")</f>
        <v xml:space="preserve"> </v>
      </c>
      <c r="L1014" s="1"/>
      <c r="M1014" s="1"/>
      <c r="N1014" s="1"/>
      <c r="O1014" s="8" t="str">
        <f>IF(B1014=0,VLOOKUP(A1014,Feuil2!$A$2:$M$1241,13,FALSE)," ")</f>
        <v xml:space="preserve"> </v>
      </c>
    </row>
    <row r="1015" spans="1:16" x14ac:dyDescent="0.3">
      <c r="A1015" s="1">
        <v>1601</v>
      </c>
      <c r="B1015" s="1">
        <v>0</v>
      </c>
      <c r="C1015" s="1" t="str">
        <f>IF(B1015=0,VLOOKUP(A1015,Feuil2!$A$2:$M$1241,2,FALSE)," ")</f>
        <v>BOUKADIDA</v>
      </c>
      <c r="D1015" s="1" t="str">
        <f>IF(B1015=0,VLOOKUP(A1015,Feuil2!$A$2:$M$1241,3,FALSE)," ")</f>
        <v>JAMEL</v>
      </c>
      <c r="E1015" s="5">
        <f>IF(B1015=0,VLOOKUP(A1015,Feuil2!$A$2:$M$1241,6,FALSE)," ")</f>
        <v>28268</v>
      </c>
      <c r="F1015" s="1" t="str">
        <f>IF(B1015=0,VLOOKUP(A1015,Feuil2!$A$2:$M$1241,12,FALSE)," ")</f>
        <v>H</v>
      </c>
      <c r="G1015" s="1" t="str">
        <f>IF(B1015=0,VLOOKUP(A1015,Feuil2!$A$2:$M$1241,11,FALSE)," ")</f>
        <v>M</v>
      </c>
      <c r="H1015" s="1" t="s">
        <v>16</v>
      </c>
      <c r="I1015" s="6">
        <f>IF(B1015=0,VLOOKUP(A1015,Feuil2!$A$2:$M$1241,7,FALSE)," ")</f>
        <v>5560893</v>
      </c>
      <c r="J1015" s="1" t="str">
        <f>IF(B1015=0,VLOOKUP(A1015,Feuil2!$A$2:$M$1241,9,FALSE)," ")</f>
        <v>5 Rue Salah Hafsa</v>
      </c>
      <c r="K1015" s="1" t="str">
        <f>IF(B1015=0,VLOOKUP(A1015,Feuil2!$A$2:$M$1241,10,FALSE)," ")</f>
        <v>Msaken 4070</v>
      </c>
      <c r="L1015" s="1">
        <v>4070</v>
      </c>
      <c r="M1015" s="1">
        <v>25394952</v>
      </c>
      <c r="N1015" s="1"/>
      <c r="O1015" s="8" t="str">
        <f>IF(B1015=0,VLOOKUP(A1015,Feuil2!$A$2:$M$1241,13,FALSE)," ")</f>
        <v>08050020052000110670</v>
      </c>
    </row>
    <row r="1016" spans="1:16" x14ac:dyDescent="0.3">
      <c r="A1016" s="1">
        <v>1601</v>
      </c>
      <c r="B1016" s="1">
        <v>1</v>
      </c>
      <c r="C1016" s="1" t="s">
        <v>33</v>
      </c>
      <c r="D1016" s="1" t="s">
        <v>449</v>
      </c>
      <c r="E1016" s="5">
        <v>31067</v>
      </c>
      <c r="F1016" s="1" t="s">
        <v>17</v>
      </c>
      <c r="G1016" s="1" t="s">
        <v>15</v>
      </c>
      <c r="H1016" s="1" t="s">
        <v>16</v>
      </c>
      <c r="I1016" s="6" t="str">
        <f>IF(B1016=0,VLOOKUP(A1016,Feuil2!$A$2:$M$1241,7,FALSE)," ")</f>
        <v xml:space="preserve"> </v>
      </c>
      <c r="J1016" s="1" t="str">
        <f>IF(B1016=0,VLOOKUP(A1016,Feuil2!$A$2:$M$1241,9,FALSE)," ")</f>
        <v xml:space="preserve"> </v>
      </c>
      <c r="K1016" s="1" t="str">
        <f>IF(B1016=0,VLOOKUP(A1016,Feuil2!$A$2:$M$1241,10,FALSE)," ")</f>
        <v xml:space="preserve"> </v>
      </c>
      <c r="L1016" s="1"/>
      <c r="M1016" s="1"/>
      <c r="N1016" s="1"/>
      <c r="O1016" s="8" t="str">
        <f>IF(B1016=0,VLOOKUP(A1016,Feuil2!$A$2:$M$1241,13,FALSE)," ")</f>
        <v xml:space="preserve"> </v>
      </c>
    </row>
    <row r="1017" spans="1:16" x14ac:dyDescent="0.3">
      <c r="A1017" s="1">
        <v>1601</v>
      </c>
      <c r="B1017" s="1">
        <v>2</v>
      </c>
      <c r="C1017" s="1" t="s">
        <v>1486</v>
      </c>
      <c r="D1017" s="1" t="s">
        <v>2656</v>
      </c>
      <c r="E1017" s="5">
        <v>38999</v>
      </c>
      <c r="F1017" s="1" t="s">
        <v>506</v>
      </c>
      <c r="G1017" s="1" t="str">
        <f>IF(B1017=0,VLOOKUP(A1017,Feuil2!$A$2:$M$1241,11,FALSE)," ")</f>
        <v xml:space="preserve"> </v>
      </c>
      <c r="H1017" s="1" t="s">
        <v>16</v>
      </c>
      <c r="I1017" s="6" t="str">
        <f>IF(B1017=0,VLOOKUP(A1017,Feuil2!$A$2:$M$1241,7,FALSE)," ")</f>
        <v xml:space="preserve"> </v>
      </c>
      <c r="J1017" s="1" t="str">
        <f>IF(B1017=0,VLOOKUP(A1017,Feuil2!$A$2:$M$1241,9,FALSE)," ")</f>
        <v xml:space="preserve"> </v>
      </c>
      <c r="K1017" s="1" t="str">
        <f>IF(B1017=0,VLOOKUP(A1017,Feuil2!$A$2:$M$1241,10,FALSE)," ")</f>
        <v xml:space="preserve"> </v>
      </c>
      <c r="L1017" s="1"/>
      <c r="M1017" s="1"/>
      <c r="N1017" s="1"/>
      <c r="O1017" s="8" t="str">
        <f>IF(B1017=0,VLOOKUP(A1017,Feuil2!$A$2:$M$1241,13,FALSE)," ")</f>
        <v xml:space="preserve"> </v>
      </c>
    </row>
    <row r="1018" spans="1:16" x14ac:dyDescent="0.3">
      <c r="A1018" s="1">
        <v>1601</v>
      </c>
      <c r="B1018" s="1">
        <v>3</v>
      </c>
      <c r="C1018" s="1" t="s">
        <v>1486</v>
      </c>
      <c r="D1018" s="1" t="s">
        <v>2332</v>
      </c>
      <c r="E1018" s="5">
        <v>39351</v>
      </c>
      <c r="F1018" s="1" t="s">
        <v>17</v>
      </c>
      <c r="G1018" s="1" t="str">
        <f>IF(B1018=0,VLOOKUP(A1018,Feuil2!$A$2:$M$1241,11,FALSE)," ")</f>
        <v xml:space="preserve"> </v>
      </c>
      <c r="H1018" s="1" t="s">
        <v>16</v>
      </c>
      <c r="I1018" s="6" t="str">
        <f>IF(B1018=0,VLOOKUP(A1018,Feuil2!$A$2:$M$1241,7,FALSE)," ")</f>
        <v xml:space="preserve"> </v>
      </c>
      <c r="J1018" s="1" t="str">
        <f>IF(B1018=0,VLOOKUP(A1018,Feuil2!$A$2:$M$1241,9,FALSE)," ")</f>
        <v xml:space="preserve"> </v>
      </c>
      <c r="K1018" s="1" t="str">
        <f>IF(B1018=0,VLOOKUP(A1018,Feuil2!$A$2:$M$1241,10,FALSE)," ")</f>
        <v xml:space="preserve"> </v>
      </c>
      <c r="L1018" s="1"/>
      <c r="M1018" s="1"/>
      <c r="N1018" s="1"/>
      <c r="O1018" s="8" t="str">
        <f>IF(B1018=0,VLOOKUP(A1018,Feuil2!$A$2:$M$1241,13,FALSE)," ")</f>
        <v xml:space="preserve"> </v>
      </c>
    </row>
    <row r="1019" spans="1:16" x14ac:dyDescent="0.3">
      <c r="A1019" s="1">
        <v>1601</v>
      </c>
      <c r="B1019" s="1">
        <v>4</v>
      </c>
      <c r="C1019" s="1" t="s">
        <v>1486</v>
      </c>
      <c r="D1019" s="1" t="s">
        <v>2657</v>
      </c>
      <c r="E1019" s="5">
        <v>42343</v>
      </c>
      <c r="F1019" s="1" t="s">
        <v>506</v>
      </c>
      <c r="G1019" s="1" t="str">
        <f>IF(B1019=0,VLOOKUP(A1019,Feuil2!$A$2:$M$1241,11,FALSE)," ")</f>
        <v xml:space="preserve"> </v>
      </c>
      <c r="H1019" s="1" t="s">
        <v>16</v>
      </c>
      <c r="I1019" s="6" t="str">
        <f>IF(B1019=0,VLOOKUP(A1019,Feuil2!$A$2:$M$1241,7,FALSE)," ")</f>
        <v xml:space="preserve"> </v>
      </c>
      <c r="J1019" s="1" t="str">
        <f>IF(B1019=0,VLOOKUP(A1019,Feuil2!$A$2:$M$1241,9,FALSE)," ")</f>
        <v xml:space="preserve"> </v>
      </c>
      <c r="K1019" s="1" t="str">
        <f>IF(B1019=0,VLOOKUP(A1019,Feuil2!$A$2:$M$1241,10,FALSE)," ")</f>
        <v xml:space="preserve"> </v>
      </c>
      <c r="L1019" s="1"/>
      <c r="M1019" s="1"/>
      <c r="N1019" s="1"/>
      <c r="O1019" s="8" t="str">
        <f>IF(B1019=0,VLOOKUP(A1019,Feuil2!$A$2:$M$1241,13,FALSE)," ")</f>
        <v xml:space="preserve"> </v>
      </c>
    </row>
    <row r="1020" spans="1:16" x14ac:dyDescent="0.3">
      <c r="A1020" s="1">
        <v>1603</v>
      </c>
      <c r="B1020" s="1">
        <v>0</v>
      </c>
      <c r="C1020" s="1" t="str">
        <f>IF(B1020=0,VLOOKUP(A1020,Feuil2!$A$2:$M$1241,2,FALSE)," ")</f>
        <v>MANSOUR</v>
      </c>
      <c r="D1020" s="1" t="str">
        <f>IF(B1020=0,VLOOKUP(A1020,Feuil2!$A$2:$M$1241,3,FALSE)," ")</f>
        <v>SALHA</v>
      </c>
      <c r="E1020" s="5">
        <f>IF(B1020=0,VLOOKUP(A1020,Feuil2!$A$2:$M$1241,6,FALSE)," ")</f>
        <v>24794</v>
      </c>
      <c r="F1020" s="1" t="str">
        <f>IF(B1020=0,VLOOKUP(A1020,Feuil2!$A$2:$M$1241,12,FALSE)," ")</f>
        <v>F</v>
      </c>
      <c r="G1020" s="1" t="str">
        <f>IF(B1020=0,VLOOKUP(A1020,Feuil2!$A$2:$M$1241,11,FALSE)," ")</f>
        <v>C</v>
      </c>
      <c r="H1020" s="1" t="s">
        <v>16</v>
      </c>
      <c r="I1020" s="6">
        <f>IF(B1020=0,VLOOKUP(A1020,Feuil2!$A$2:$M$1241,7,FALSE)," ")</f>
        <v>5510876</v>
      </c>
      <c r="J1020" s="1" t="str">
        <f>IF(B1020=0,VLOOKUP(A1020,Feuil2!$A$2:$M$1241,9,FALSE)," ")</f>
        <v>NULL</v>
      </c>
      <c r="K1020" s="1" t="str">
        <f>IF(B1020=0,VLOOKUP(A1020,Feuil2!$A$2:$M$1241,10,FALSE)," ")</f>
        <v>BÃ©ni Rabiaa 4015</v>
      </c>
      <c r="L1020" s="1"/>
      <c r="M1020" s="1">
        <v>98793778</v>
      </c>
      <c r="N1020" s="1"/>
      <c r="O1020" s="8" t="str">
        <f>IF(B1020=0,VLOOKUP(A1020,Feuil2!$A$2:$M$1241,13,FALSE)," ")</f>
        <v>10506040205178378888</v>
      </c>
    </row>
    <row r="1021" spans="1:16" x14ac:dyDescent="0.3">
      <c r="A1021" s="1">
        <v>1610</v>
      </c>
      <c r="B1021" s="17">
        <v>0</v>
      </c>
      <c r="C1021" s="17" t="str">
        <f>IF(B1021=0,VLOOKUP(A1021,Feuil2!$A$2:$M$1241,2,FALSE)," ")</f>
        <v>BOUARGOUB</v>
      </c>
      <c r="D1021" s="17" t="str">
        <f>IF(B1021=0,VLOOKUP(A1021,Feuil2!$A$2:$M$1241,3,FALSE)," ")</f>
        <v>KARIM</v>
      </c>
      <c r="E1021" s="18">
        <f>IF(B1021=0,VLOOKUP(A1021,Feuil2!$A$2:$M$1241,6,FALSE)," ")</f>
        <v>27208</v>
      </c>
      <c r="F1021" s="17" t="str">
        <f>IF(B1021=0,VLOOKUP(A1021,Feuil2!$A$2:$M$1241,12,FALSE)," ")</f>
        <v>H</v>
      </c>
      <c r="G1021" s="17" t="str">
        <f>IF(B1021=0,VLOOKUP(A1021,Feuil2!$A$2:$M$1241,11,FALSE)," ")</f>
        <v>M</v>
      </c>
      <c r="H1021" s="17" t="s">
        <v>16</v>
      </c>
      <c r="I1021" s="19">
        <f>IF(B1021=0,VLOOKUP(A1021,Feuil2!$A$2:$M$1241,7,FALSE)," ")</f>
        <v>5544329</v>
      </c>
      <c r="J1021" s="17" t="str">
        <f>IF(B1021=0,VLOOKUP(A1021,Feuil2!$A$2:$M$1241,9,FALSE)," ")</f>
        <v>7 Rue Ahmed Regaieg</v>
      </c>
      <c r="K1021" s="17" t="str">
        <f>IF(B1021=0,VLOOKUP(A1021,Feuil2!$A$2:$M$1241,10,FALSE)," ")</f>
        <v>Msaken 4070</v>
      </c>
      <c r="L1021" s="17">
        <v>4070</v>
      </c>
      <c r="M1021" s="17">
        <v>28145760</v>
      </c>
      <c r="N1021" s="17"/>
      <c r="O1021" s="20" t="str">
        <f>IF(B1021=0,VLOOKUP(A1021,Feuil2!$A$2:$M$1241,13,FALSE)," ")</f>
        <v>12505000000213580974</v>
      </c>
    </row>
    <row r="1022" spans="1:16" x14ac:dyDescent="0.3">
      <c r="A1022" s="1">
        <v>1610</v>
      </c>
      <c r="B1022" s="1">
        <v>1</v>
      </c>
      <c r="C1022" s="1" t="s">
        <v>1400</v>
      </c>
      <c r="D1022" s="1" t="s">
        <v>2658</v>
      </c>
      <c r="E1022" s="5">
        <v>30579</v>
      </c>
      <c r="F1022" s="1" t="s">
        <v>17</v>
      </c>
      <c r="G1022" s="1" t="s">
        <v>15</v>
      </c>
      <c r="H1022" s="1" t="s">
        <v>16</v>
      </c>
      <c r="I1022" s="6" t="str">
        <f>IF(B1022=0,VLOOKUP(A1022,Feuil2!$A$2:$M$1241,7,FALSE)," ")</f>
        <v xml:space="preserve"> </v>
      </c>
      <c r="J1022" s="1" t="str">
        <f>IF(B1022=0,VLOOKUP(A1022,Feuil2!$A$2:$M$1241,9,FALSE)," ")</f>
        <v xml:space="preserve"> </v>
      </c>
      <c r="K1022" s="1" t="str">
        <f>IF(B1022=0,VLOOKUP(A1022,Feuil2!$A$2:$M$1241,10,FALSE)," ")</f>
        <v xml:space="preserve"> </v>
      </c>
      <c r="L1022" s="1"/>
      <c r="M1022" s="1"/>
      <c r="N1022" s="1"/>
      <c r="O1022" s="8" t="str">
        <f>IF(B1022=0,VLOOKUP(A1022,Feuil2!$A$2:$M$1241,13,FALSE)," ")</f>
        <v xml:space="preserve"> </v>
      </c>
    </row>
    <row r="1023" spans="1:16" x14ac:dyDescent="0.3">
      <c r="A1023" s="1">
        <v>1610</v>
      </c>
      <c r="B1023" s="1">
        <v>2</v>
      </c>
      <c r="C1023" s="1" t="s">
        <v>446</v>
      </c>
      <c r="D1023" s="1" t="s">
        <v>296</v>
      </c>
      <c r="E1023" s="5">
        <v>38608</v>
      </c>
      <c r="F1023" s="1" t="s">
        <v>506</v>
      </c>
      <c r="G1023" s="1" t="str">
        <f>IF(B1023=0,VLOOKUP(A1023,Feuil2!$A$2:$M$1241,11,FALSE)," ")</f>
        <v xml:space="preserve"> </v>
      </c>
      <c r="H1023" s="1" t="s">
        <v>16</v>
      </c>
      <c r="I1023" s="6" t="str">
        <f>IF(B1023=0,VLOOKUP(A1023,Feuil2!$A$2:$M$1241,7,FALSE)," ")</f>
        <v xml:space="preserve"> </v>
      </c>
      <c r="J1023" s="1" t="str">
        <f>IF(B1023=0,VLOOKUP(A1023,Feuil2!$A$2:$M$1241,9,FALSE)," ")</f>
        <v xml:space="preserve"> </v>
      </c>
      <c r="K1023" s="1" t="str">
        <f>IF(B1023=0,VLOOKUP(A1023,Feuil2!$A$2:$M$1241,10,FALSE)," ")</f>
        <v xml:space="preserve"> </v>
      </c>
      <c r="L1023" s="1"/>
      <c r="M1023" s="1"/>
      <c r="N1023" s="1"/>
      <c r="O1023" s="8" t="str">
        <f>IF(B1023=0,VLOOKUP(A1023,Feuil2!$A$2:$M$1241,13,FALSE)," ")</f>
        <v xml:space="preserve"> </v>
      </c>
    </row>
    <row r="1024" spans="1:16" x14ac:dyDescent="0.3">
      <c r="A1024" s="1">
        <v>1610</v>
      </c>
      <c r="B1024" s="1">
        <v>3</v>
      </c>
      <c r="C1024" s="1" t="s">
        <v>446</v>
      </c>
      <c r="D1024" s="1" t="s">
        <v>122</v>
      </c>
      <c r="E1024" s="5">
        <v>39165</v>
      </c>
      <c r="F1024" s="1" t="s">
        <v>506</v>
      </c>
      <c r="G1024" s="1" t="str">
        <f>IF(B1024=0,VLOOKUP(A1024,Feuil2!$A$2:$M$1241,11,FALSE)," ")</f>
        <v xml:space="preserve"> </v>
      </c>
      <c r="H1024" s="1" t="s">
        <v>16</v>
      </c>
      <c r="I1024" s="6" t="str">
        <f>IF(B1024=0,VLOOKUP(A1024,Feuil2!$A$2:$M$1241,7,FALSE)," ")</f>
        <v xml:space="preserve"> </v>
      </c>
      <c r="J1024" s="1" t="str">
        <f>IF(B1024=0,VLOOKUP(A1024,Feuil2!$A$2:$M$1241,9,FALSE)," ")</f>
        <v xml:space="preserve"> </v>
      </c>
      <c r="K1024" s="1" t="str">
        <f>IF(B1024=0,VLOOKUP(A1024,Feuil2!$A$2:$M$1241,10,FALSE)," ")</f>
        <v xml:space="preserve"> </v>
      </c>
      <c r="L1024" s="1"/>
      <c r="M1024" s="1"/>
      <c r="N1024" s="1"/>
      <c r="O1024" s="8" t="str">
        <f>IF(B1024=0,VLOOKUP(A1024,Feuil2!$A$2:$M$1241,13,FALSE)," ")</f>
        <v xml:space="preserve"> </v>
      </c>
    </row>
    <row r="1025" spans="1:15" x14ac:dyDescent="0.3">
      <c r="A1025" s="1">
        <v>1610</v>
      </c>
      <c r="B1025" s="1">
        <v>4</v>
      </c>
      <c r="C1025" s="1" t="s">
        <v>446</v>
      </c>
      <c r="D1025" s="1" t="s">
        <v>2579</v>
      </c>
      <c r="E1025" s="5">
        <v>40828</v>
      </c>
      <c r="F1025" s="1" t="s">
        <v>17</v>
      </c>
      <c r="G1025" s="1" t="str">
        <f>IF(B1025=0,VLOOKUP(A1025,Feuil2!$A$2:$M$1241,11,FALSE)," ")</f>
        <v xml:space="preserve"> </v>
      </c>
      <c r="H1025" s="1" t="s">
        <v>16</v>
      </c>
      <c r="I1025" s="6" t="str">
        <f>IF(B1025=0,VLOOKUP(A1025,Feuil2!$A$2:$M$1241,7,FALSE)," ")</f>
        <v xml:space="preserve"> </v>
      </c>
      <c r="J1025" s="1" t="str">
        <f>IF(B1025=0,VLOOKUP(A1025,Feuil2!$A$2:$M$1241,9,FALSE)," ")</f>
        <v xml:space="preserve"> </v>
      </c>
      <c r="K1025" s="1" t="str">
        <f>IF(B1025=0,VLOOKUP(A1025,Feuil2!$A$2:$M$1241,10,FALSE)," ")</f>
        <v xml:space="preserve"> </v>
      </c>
      <c r="L1025" s="1"/>
      <c r="M1025" s="1"/>
      <c r="N1025" s="1"/>
      <c r="O1025" s="8" t="str">
        <f>IF(B1025=0,VLOOKUP(A1025,Feuil2!$A$2:$M$1241,13,FALSE)," ")</f>
        <v xml:space="preserve"> </v>
      </c>
    </row>
    <row r="1026" spans="1:15" x14ac:dyDescent="0.3">
      <c r="A1026" s="1">
        <v>1610</v>
      </c>
      <c r="B1026" s="1">
        <v>5</v>
      </c>
      <c r="C1026" s="1" t="s">
        <v>446</v>
      </c>
      <c r="D1026" s="1" t="s">
        <v>2475</v>
      </c>
      <c r="E1026" s="5">
        <v>44208</v>
      </c>
      <c r="F1026" s="1" t="s">
        <v>506</v>
      </c>
      <c r="G1026" s="1"/>
      <c r="H1026" s="1"/>
      <c r="I1026" s="6"/>
      <c r="J1026" s="1"/>
      <c r="K1026" s="1"/>
      <c r="L1026" s="1"/>
      <c r="M1026" s="1"/>
      <c r="N1026" s="1"/>
      <c r="O1026" s="8"/>
    </row>
    <row r="1027" spans="1:15" x14ac:dyDescent="0.3">
      <c r="A1027" s="1">
        <v>1611</v>
      </c>
      <c r="B1027" s="1">
        <v>0</v>
      </c>
      <c r="C1027" s="1" t="str">
        <f>IF(B1027=0,VLOOKUP(A1027,Feuil2!$A$2:$M$1241,2,FALSE)," ")</f>
        <v>ATTIA</v>
      </c>
      <c r="D1027" s="1" t="str">
        <f>IF(B1027=0,VLOOKUP(A1027,Feuil2!$A$2:$M$1241,3,FALSE)," ")</f>
        <v>KAMEL</v>
      </c>
      <c r="E1027" s="5">
        <f>IF(B1027=0,VLOOKUP(A1027,Feuil2!$A$2:$M$1241,6,FALSE)," ")</f>
        <v>25006</v>
      </c>
      <c r="F1027" s="1" t="str">
        <f>IF(B1027=0,VLOOKUP(A1027,Feuil2!$A$2:$M$1241,12,FALSE)," ")</f>
        <v>H</v>
      </c>
      <c r="G1027" s="1" t="str">
        <f>IF(B1027=0,VLOOKUP(A1027,Feuil2!$A$2:$M$1241,11,FALSE)," ")</f>
        <v>M</v>
      </c>
      <c r="H1027" s="1" t="s">
        <v>16</v>
      </c>
      <c r="I1027" s="6">
        <f>IF(B1027=0,VLOOKUP(A1027,Feuil2!$A$2:$M$1241,7,FALSE)," ")</f>
        <v>5501924</v>
      </c>
      <c r="J1027" s="1" t="str">
        <f>IF(B1027=0,VLOOKUP(A1027,Feuil2!$A$2:$M$1241,9,FALSE)," ")</f>
        <v>5 Rue Ennajeh</v>
      </c>
      <c r="K1027" s="1" t="str">
        <f>IF(B1027=0,VLOOKUP(A1027,Feuil2!$A$2:$M$1241,10,FALSE)," ")</f>
        <v>Msaken 4070</v>
      </c>
      <c r="L1027" s="1">
        <v>4070</v>
      </c>
      <c r="M1027" s="1">
        <v>52395577</v>
      </c>
      <c r="N1027" s="1"/>
      <c r="O1027" s="8" t="str">
        <f>IF(B1027=0,VLOOKUP(A1027,Feuil2!$A$2:$M$1241,13,FALSE)," ")</f>
        <v>12505000580104728030</v>
      </c>
    </row>
    <row r="1028" spans="1:15" x14ac:dyDescent="0.3">
      <c r="A1028" s="1">
        <v>1611</v>
      </c>
      <c r="B1028" s="1">
        <v>1</v>
      </c>
      <c r="C1028" s="1" t="s">
        <v>342</v>
      </c>
      <c r="D1028" s="1" t="s">
        <v>1361</v>
      </c>
      <c r="E1028" s="5">
        <v>25617</v>
      </c>
      <c r="F1028" s="1" t="s">
        <v>17</v>
      </c>
      <c r="G1028" s="1" t="s">
        <v>15</v>
      </c>
      <c r="H1028" s="1" t="s">
        <v>16</v>
      </c>
      <c r="I1028" s="6" t="str">
        <f>IF(B1028=0,VLOOKUP(A1028,Feuil2!$A$2:$M$1241,7,FALSE)," ")</f>
        <v xml:space="preserve"> </v>
      </c>
      <c r="J1028" s="1" t="str">
        <f>IF(B1028=0,VLOOKUP(A1028,Feuil2!$A$2:$M$1241,9,FALSE)," ")</f>
        <v xml:space="preserve"> </v>
      </c>
      <c r="K1028" s="1" t="str">
        <f>IF(B1028=0,VLOOKUP(A1028,Feuil2!$A$2:$M$1241,10,FALSE)," ")</f>
        <v xml:space="preserve"> </v>
      </c>
      <c r="L1028" s="1"/>
      <c r="M1028" s="1"/>
      <c r="N1028" s="1"/>
      <c r="O1028" s="8" t="str">
        <f>IF(B1028=0,VLOOKUP(A1028,Feuil2!$A$2:$M$1241,13,FALSE)," ")</f>
        <v xml:space="preserve"> </v>
      </c>
    </row>
    <row r="1029" spans="1:15" x14ac:dyDescent="0.3">
      <c r="A1029" s="1">
        <v>1611</v>
      </c>
      <c r="B1029" s="1">
        <v>2</v>
      </c>
      <c r="C1029" s="1" t="s">
        <v>57</v>
      </c>
      <c r="D1029" s="1" t="s">
        <v>2366</v>
      </c>
      <c r="E1029" s="5">
        <v>36867</v>
      </c>
      <c r="F1029" s="1" t="s">
        <v>506</v>
      </c>
      <c r="G1029" s="1" t="str">
        <f>IF(B1029=0,VLOOKUP(A1029,Feuil2!$A$2:$M$1241,11,FALSE)," ")</f>
        <v xml:space="preserve"> </v>
      </c>
      <c r="H1029" s="1" t="s">
        <v>16</v>
      </c>
      <c r="I1029" s="6" t="str">
        <f>IF(B1029=0,VLOOKUP(A1029,Feuil2!$A$2:$M$1241,7,FALSE)," ")</f>
        <v xml:space="preserve"> </v>
      </c>
      <c r="J1029" s="1" t="str">
        <f>IF(B1029=0,VLOOKUP(A1029,Feuil2!$A$2:$M$1241,9,FALSE)," ")</f>
        <v xml:space="preserve"> </v>
      </c>
      <c r="K1029" s="1" t="str">
        <f>IF(B1029=0,VLOOKUP(A1029,Feuil2!$A$2:$M$1241,10,FALSE)," ")</f>
        <v xml:space="preserve"> </v>
      </c>
      <c r="L1029" s="1"/>
      <c r="M1029" s="1"/>
      <c r="N1029" s="1"/>
      <c r="O1029" s="8" t="str">
        <f>IF(B1029=0,VLOOKUP(A1029,Feuil2!$A$2:$M$1241,13,FALSE)," ")</f>
        <v xml:space="preserve"> </v>
      </c>
    </row>
    <row r="1030" spans="1:15" x14ac:dyDescent="0.3">
      <c r="A1030" s="1">
        <v>1611</v>
      </c>
      <c r="B1030" s="1">
        <v>3</v>
      </c>
      <c r="C1030" s="1" t="s">
        <v>57</v>
      </c>
      <c r="D1030" s="1" t="s">
        <v>2640</v>
      </c>
      <c r="E1030" s="5">
        <v>37519</v>
      </c>
      <c r="F1030" s="1" t="s">
        <v>17</v>
      </c>
      <c r="G1030" s="1" t="str">
        <f>IF(B1030=0,VLOOKUP(A1030,Feuil2!$A$2:$M$1241,11,FALSE)," ")</f>
        <v xml:space="preserve"> </v>
      </c>
      <c r="H1030" s="1" t="s">
        <v>16</v>
      </c>
      <c r="I1030" s="6" t="str">
        <f>IF(B1030=0,VLOOKUP(A1030,Feuil2!$A$2:$M$1241,7,FALSE)," ")</f>
        <v xml:space="preserve"> </v>
      </c>
      <c r="J1030" s="1" t="str">
        <f>IF(B1030=0,VLOOKUP(A1030,Feuil2!$A$2:$M$1241,9,FALSE)," ")</f>
        <v xml:space="preserve"> </v>
      </c>
      <c r="K1030" s="1" t="str">
        <f>IF(B1030=0,VLOOKUP(A1030,Feuil2!$A$2:$M$1241,10,FALSE)," ")</f>
        <v xml:space="preserve"> </v>
      </c>
      <c r="L1030" s="1"/>
      <c r="M1030" s="1"/>
      <c r="N1030" s="1"/>
      <c r="O1030" s="8" t="str">
        <f>IF(B1030=0,VLOOKUP(A1030,Feuil2!$A$2:$M$1241,13,FALSE)," ")</f>
        <v xml:space="preserve"> </v>
      </c>
    </row>
    <row r="1031" spans="1:15" x14ac:dyDescent="0.3">
      <c r="A1031" s="1">
        <v>1611</v>
      </c>
      <c r="B1031" s="1">
        <v>4</v>
      </c>
      <c r="C1031" s="1" t="s">
        <v>57</v>
      </c>
      <c r="D1031" s="1" t="s">
        <v>2422</v>
      </c>
      <c r="E1031" s="5">
        <v>38708</v>
      </c>
      <c r="F1031" s="1" t="s">
        <v>17</v>
      </c>
      <c r="G1031" s="1" t="str">
        <f>IF(B1031=0,VLOOKUP(A1031,Feuil2!$A$2:$M$1241,11,FALSE)," ")</f>
        <v xml:space="preserve"> </v>
      </c>
      <c r="H1031" s="1" t="s">
        <v>16</v>
      </c>
      <c r="I1031" s="6" t="str">
        <f>IF(B1031=0,VLOOKUP(A1031,Feuil2!$A$2:$M$1241,7,FALSE)," ")</f>
        <v xml:space="preserve"> </v>
      </c>
      <c r="J1031" s="1" t="str">
        <f>IF(B1031=0,VLOOKUP(A1031,Feuil2!$A$2:$M$1241,9,FALSE)," ")</f>
        <v xml:space="preserve"> </v>
      </c>
      <c r="K1031" s="1" t="str">
        <f>IF(B1031=0,VLOOKUP(A1031,Feuil2!$A$2:$M$1241,10,FALSE)," ")</f>
        <v xml:space="preserve"> </v>
      </c>
      <c r="L1031" s="1"/>
      <c r="M1031" s="1"/>
      <c r="N1031" s="1"/>
      <c r="O1031" s="8" t="str">
        <f>IF(B1031=0,VLOOKUP(A1031,Feuil2!$A$2:$M$1241,13,FALSE)," ")</f>
        <v xml:space="preserve"> </v>
      </c>
    </row>
    <row r="1032" spans="1:15" x14ac:dyDescent="0.3">
      <c r="A1032" s="1">
        <v>1612</v>
      </c>
      <c r="B1032" s="1">
        <v>0</v>
      </c>
      <c r="C1032" s="1" t="str">
        <f>IF(B1032=0,VLOOKUP(A1032,Feuil2!$A$2:$M$1241,2,FALSE)," ")</f>
        <v>LADHERI</v>
      </c>
      <c r="D1032" s="1" t="str">
        <f>IF(B1032=0,VLOOKUP(A1032,Feuil2!$A$2:$M$1241,3,FALSE)," ")</f>
        <v>NAJEH</v>
      </c>
      <c r="E1032" s="5">
        <f>IF(B1032=0,VLOOKUP(A1032,Feuil2!$A$2:$M$1241,6,FALSE)," ")</f>
        <v>24632</v>
      </c>
      <c r="F1032" s="1" t="str">
        <f>IF(B1032=0,VLOOKUP(A1032,Feuil2!$A$2:$M$1241,12,FALSE)," ")</f>
        <v>H</v>
      </c>
      <c r="G1032" s="1" t="str">
        <f>IF(B1032=0,VLOOKUP(A1032,Feuil2!$A$2:$M$1241,11,FALSE)," ")</f>
        <v>M</v>
      </c>
      <c r="H1032" s="1" t="s">
        <v>16</v>
      </c>
      <c r="I1032" s="6">
        <f>IF(B1032=0,VLOOKUP(A1032,Feuil2!$A$2:$M$1241,7,FALSE)," ")</f>
        <v>2991495</v>
      </c>
      <c r="J1032" s="1" t="str">
        <f>IF(B1032=0,VLOOKUP(A1032,Feuil2!$A$2:$M$1241,9,FALSE)," ")</f>
        <v>Rue Mohamed Ali</v>
      </c>
      <c r="K1032" s="1" t="str">
        <f>IF(B1032=0,VLOOKUP(A1032,Feuil2!$A$2:$M$1241,10,FALSE)," ")</f>
        <v>Msaken 4070</v>
      </c>
      <c r="L1032" s="1">
        <v>4070</v>
      </c>
      <c r="M1032" s="1">
        <v>20854416</v>
      </c>
      <c r="N1032" s="1"/>
      <c r="O1032" s="8" t="str">
        <f>IF(B1032=0,VLOOKUP(A1032,Feuil2!$A$2:$M$1241,13,FALSE)," ")</f>
        <v>12505000580102208358</v>
      </c>
    </row>
    <row r="1033" spans="1:15" x14ac:dyDescent="0.3">
      <c r="A1033" s="1">
        <v>1612</v>
      </c>
      <c r="B1033" s="1">
        <v>1</v>
      </c>
      <c r="C1033" s="1" t="s">
        <v>180</v>
      </c>
      <c r="D1033" s="1" t="s">
        <v>596</v>
      </c>
      <c r="E1033" s="5">
        <v>25980</v>
      </c>
      <c r="F1033" s="1" t="s">
        <v>17</v>
      </c>
      <c r="G1033" s="1" t="s">
        <v>15</v>
      </c>
      <c r="H1033" s="1" t="s">
        <v>16</v>
      </c>
      <c r="I1033" s="6" t="str">
        <f>IF(B1033=0,VLOOKUP(A1033,Feuil2!$A$2:$M$1241,7,FALSE)," ")</f>
        <v xml:space="preserve"> </v>
      </c>
      <c r="J1033" s="1" t="str">
        <f>IF(B1033=0,VLOOKUP(A1033,Feuil2!$A$2:$M$1241,9,FALSE)," ")</f>
        <v xml:space="preserve"> </v>
      </c>
      <c r="K1033" s="1" t="str">
        <f>IF(B1033=0,VLOOKUP(A1033,Feuil2!$A$2:$M$1241,10,FALSE)," ")</f>
        <v xml:space="preserve"> </v>
      </c>
      <c r="L1033" s="1"/>
      <c r="M1033" s="1"/>
      <c r="N1033" s="1"/>
      <c r="O1033" s="8" t="str">
        <f>IF(B1033=0,VLOOKUP(A1033,Feuil2!$A$2:$M$1241,13,FALSE)," ")</f>
        <v xml:space="preserve"> </v>
      </c>
    </row>
    <row r="1034" spans="1:15" x14ac:dyDescent="0.3">
      <c r="A1034" s="1">
        <v>1612</v>
      </c>
      <c r="B1034" s="1">
        <v>2</v>
      </c>
      <c r="C1034" s="1" t="s">
        <v>354</v>
      </c>
      <c r="D1034" s="1" t="s">
        <v>89</v>
      </c>
      <c r="E1034" s="5">
        <v>35370</v>
      </c>
      <c r="F1034" s="1" t="s">
        <v>506</v>
      </c>
      <c r="G1034" s="1" t="str">
        <f>IF(B1034=0,VLOOKUP(A1034,Feuil2!$A$2:$M$1241,11,FALSE)," ")</f>
        <v xml:space="preserve"> </v>
      </c>
      <c r="H1034" s="1" t="s">
        <v>16</v>
      </c>
      <c r="I1034" s="6" t="str">
        <f>IF(B1034=0,VLOOKUP(A1034,Feuil2!$A$2:$M$1241,7,FALSE)," ")</f>
        <v xml:space="preserve"> </v>
      </c>
      <c r="J1034" s="1" t="str">
        <f>IF(B1034=0,VLOOKUP(A1034,Feuil2!$A$2:$M$1241,9,FALSE)," ")</f>
        <v xml:space="preserve"> </v>
      </c>
      <c r="K1034" s="1" t="str">
        <f>IF(B1034=0,VLOOKUP(A1034,Feuil2!$A$2:$M$1241,10,FALSE)," ")</f>
        <v xml:space="preserve"> </v>
      </c>
      <c r="L1034" s="1"/>
      <c r="M1034" s="1"/>
      <c r="N1034" s="1"/>
      <c r="O1034" s="8" t="str">
        <f>IF(B1034=0,VLOOKUP(A1034,Feuil2!$A$2:$M$1241,13,FALSE)," ")</f>
        <v xml:space="preserve"> </v>
      </c>
    </row>
    <row r="1035" spans="1:15" x14ac:dyDescent="0.3">
      <c r="A1035" s="1">
        <v>1612</v>
      </c>
      <c r="B1035" s="1">
        <v>3</v>
      </c>
      <c r="C1035" s="1" t="s">
        <v>354</v>
      </c>
      <c r="D1035" s="1" t="s">
        <v>34</v>
      </c>
      <c r="E1035" s="5">
        <v>36968</v>
      </c>
      <c r="F1035" s="1" t="s">
        <v>506</v>
      </c>
      <c r="G1035" s="1" t="str">
        <f>IF(B1035=0,VLOOKUP(A1035,Feuil2!$A$2:$M$1241,11,FALSE)," ")</f>
        <v xml:space="preserve"> </v>
      </c>
      <c r="H1035" s="1" t="s">
        <v>16</v>
      </c>
      <c r="I1035" s="6" t="str">
        <f>IF(B1035=0,VLOOKUP(A1035,Feuil2!$A$2:$M$1241,7,FALSE)," ")</f>
        <v xml:space="preserve"> </v>
      </c>
      <c r="J1035" s="1" t="str">
        <f>IF(B1035=0,VLOOKUP(A1035,Feuil2!$A$2:$M$1241,9,FALSE)," ")</f>
        <v xml:space="preserve"> </v>
      </c>
      <c r="K1035" s="1" t="str">
        <f>IF(B1035=0,VLOOKUP(A1035,Feuil2!$A$2:$M$1241,10,FALSE)," ")</f>
        <v xml:space="preserve"> </v>
      </c>
      <c r="L1035" s="1"/>
      <c r="M1035" s="1"/>
      <c r="N1035" s="1"/>
      <c r="O1035" s="8" t="str">
        <f>IF(B1035=0,VLOOKUP(A1035,Feuil2!$A$2:$M$1241,13,FALSE)," ")</f>
        <v xml:space="preserve"> </v>
      </c>
    </row>
    <row r="1036" spans="1:15" x14ac:dyDescent="0.3">
      <c r="A1036" s="1">
        <v>1612</v>
      </c>
      <c r="B1036" s="1">
        <v>4</v>
      </c>
      <c r="C1036" s="1" t="s">
        <v>354</v>
      </c>
      <c r="D1036" s="1" t="s">
        <v>2659</v>
      </c>
      <c r="E1036" s="5">
        <v>40072</v>
      </c>
      <c r="F1036" s="1" t="s">
        <v>506</v>
      </c>
      <c r="G1036" s="1" t="str">
        <f>IF(B1036=0,VLOOKUP(A1036,Feuil2!$A$2:$M$1241,11,FALSE)," ")</f>
        <v xml:space="preserve"> </v>
      </c>
      <c r="H1036" s="1" t="s">
        <v>16</v>
      </c>
      <c r="I1036" s="6" t="str">
        <f>IF(B1036=0,VLOOKUP(A1036,Feuil2!$A$2:$M$1241,7,FALSE)," ")</f>
        <v xml:space="preserve"> </v>
      </c>
      <c r="J1036" s="1" t="str">
        <f>IF(B1036=0,VLOOKUP(A1036,Feuil2!$A$2:$M$1241,9,FALSE)," ")</f>
        <v xml:space="preserve"> </v>
      </c>
      <c r="K1036" s="1" t="str">
        <f>IF(B1036=0,VLOOKUP(A1036,Feuil2!$A$2:$M$1241,10,FALSE)," ")</f>
        <v xml:space="preserve"> </v>
      </c>
      <c r="L1036" s="1"/>
      <c r="M1036" s="1"/>
      <c r="N1036" s="1"/>
      <c r="O1036" s="8" t="str">
        <f>IF(B1036=0,VLOOKUP(A1036,Feuil2!$A$2:$M$1241,13,FALSE)," ")</f>
        <v xml:space="preserve"> </v>
      </c>
    </row>
    <row r="1037" spans="1:15" x14ac:dyDescent="0.3">
      <c r="A1037" s="1">
        <v>1612</v>
      </c>
      <c r="B1037" s="1">
        <v>5</v>
      </c>
      <c r="C1037" s="1" t="s">
        <v>354</v>
      </c>
      <c r="D1037" s="1" t="s">
        <v>61</v>
      </c>
      <c r="E1037" s="5">
        <v>42368</v>
      </c>
      <c r="F1037" s="1" t="s">
        <v>506</v>
      </c>
      <c r="G1037" s="1" t="str">
        <f>IF(B1037=0,VLOOKUP(A1037,Feuil2!$A$2:$M$1241,11,FALSE)," ")</f>
        <v xml:space="preserve"> </v>
      </c>
      <c r="H1037" s="1" t="s">
        <v>16</v>
      </c>
      <c r="I1037" s="6" t="str">
        <f>IF(B1037=0,VLOOKUP(A1037,Feuil2!$A$2:$M$1241,7,FALSE)," ")</f>
        <v xml:space="preserve"> </v>
      </c>
      <c r="J1037" s="1" t="str">
        <f>IF(B1037=0,VLOOKUP(A1037,Feuil2!$A$2:$M$1241,9,FALSE)," ")</f>
        <v xml:space="preserve"> </v>
      </c>
      <c r="K1037" s="1" t="str">
        <f>IF(B1037=0,VLOOKUP(A1037,Feuil2!$A$2:$M$1241,10,FALSE)," ")</f>
        <v xml:space="preserve"> </v>
      </c>
      <c r="L1037" s="1"/>
      <c r="M1037" s="1"/>
      <c r="N1037" s="1"/>
      <c r="O1037" s="8" t="str">
        <f>IF(B1037=0,VLOOKUP(A1037,Feuil2!$A$2:$M$1241,13,FALSE)," ")</f>
        <v xml:space="preserve"> </v>
      </c>
    </row>
    <row r="1038" spans="1:15" x14ac:dyDescent="0.3">
      <c r="A1038" s="1">
        <v>1614</v>
      </c>
      <c r="B1038" s="17">
        <v>0</v>
      </c>
      <c r="C1038" s="17" t="str">
        <f>IF(B1038=0,VLOOKUP(A1038,Feuil2!$A$2:$M$1241,2,FALSE)," ")</f>
        <v>JMEGUER</v>
      </c>
      <c r="D1038" s="17" t="str">
        <f>IF(B1038=0,VLOOKUP(A1038,Feuil2!$A$2:$M$1241,3,FALSE)," ")</f>
        <v>CHERIF</v>
      </c>
      <c r="E1038" s="18">
        <f>IF(B1038=0,VLOOKUP(A1038,Feuil2!$A$2:$M$1241,6,FALSE)," ")</f>
        <v>24586</v>
      </c>
      <c r="F1038" s="17" t="str">
        <f>IF(B1038=0,VLOOKUP(A1038,Feuil2!$A$2:$M$1241,12,FALSE)," ")</f>
        <v>H</v>
      </c>
      <c r="G1038" s="17" t="str">
        <f>IF(B1038=0,VLOOKUP(A1038,Feuil2!$A$2:$M$1241,11,FALSE)," ")</f>
        <v>M</v>
      </c>
      <c r="H1038" s="17" t="s">
        <v>16</v>
      </c>
      <c r="I1038" s="19">
        <f>IF(B1038=0,VLOOKUP(A1038,Feuil2!$A$2:$M$1241,7,FALSE)," ")</f>
        <v>2980882</v>
      </c>
      <c r="J1038" s="17" t="str">
        <f>IF(B1038=0,VLOOKUP(A1038,Feuil2!$A$2:$M$1241,9,FALSE)," ")</f>
        <v>77 Rue Tahar Sfar</v>
      </c>
      <c r="K1038" s="17" t="str">
        <f>IF(B1038=0,VLOOKUP(A1038,Feuil2!$A$2:$M$1241,10,FALSE)," ")</f>
        <v>Msaken 4070</v>
      </c>
      <c r="L1038" s="17">
        <v>4070</v>
      </c>
      <c r="M1038" s="17">
        <v>98592468</v>
      </c>
      <c r="N1038" s="17"/>
      <c r="O1038" s="20" t="str">
        <f>IF(B1038=0,VLOOKUP(A1038,Feuil2!$A$2:$M$1241,13,FALSE)," ")</f>
        <v>03508056010100175897</v>
      </c>
    </row>
    <row r="1039" spans="1:15" x14ac:dyDescent="0.3">
      <c r="A1039" s="1">
        <v>1614</v>
      </c>
      <c r="B1039" s="1">
        <v>1</v>
      </c>
      <c r="C1039" s="1" t="s">
        <v>19</v>
      </c>
      <c r="D1039" s="1" t="s">
        <v>596</v>
      </c>
      <c r="E1039" s="5">
        <v>24111</v>
      </c>
      <c r="F1039" s="1" t="s">
        <v>17</v>
      </c>
      <c r="G1039" s="1" t="s">
        <v>15</v>
      </c>
      <c r="H1039" s="1" t="s">
        <v>16</v>
      </c>
      <c r="I1039" s="6" t="str">
        <f>IF(B1039=0,VLOOKUP(A1039,Feuil2!$A$2:$M$1241,7,FALSE)," ")</f>
        <v xml:space="preserve"> </v>
      </c>
      <c r="J1039" s="1" t="str">
        <f>IF(B1039=0,VLOOKUP(A1039,Feuil2!$A$2:$M$1241,9,FALSE)," ")</f>
        <v xml:space="preserve"> </v>
      </c>
      <c r="K1039" s="1" t="str">
        <f>IF(B1039=0,VLOOKUP(A1039,Feuil2!$A$2:$M$1241,10,FALSE)," ")</f>
        <v xml:space="preserve"> </v>
      </c>
      <c r="L1039" s="1"/>
      <c r="M1039" s="1"/>
      <c r="N1039" s="1"/>
      <c r="O1039" s="8" t="str">
        <f>IF(B1039=0,VLOOKUP(A1039,Feuil2!$A$2:$M$1241,13,FALSE)," ")</f>
        <v xml:space="preserve"> </v>
      </c>
    </row>
    <row r="1040" spans="1:15" x14ac:dyDescent="0.3">
      <c r="A1040" s="1">
        <v>1615</v>
      </c>
      <c r="B1040" s="17">
        <v>0</v>
      </c>
      <c r="C1040" s="17" t="str">
        <f>IF(B1040=0,VLOOKUP(A1040,Feuil2!$A$2:$M$1241,2,FALSE)," ")</f>
        <v>EL GARES</v>
      </c>
      <c r="D1040" s="17" t="str">
        <f>IF(B1040=0,VLOOKUP(A1040,Feuil2!$A$2:$M$1241,3,FALSE)," ")</f>
        <v>MONIA</v>
      </c>
      <c r="E1040" s="18">
        <f>IF(B1040=0,VLOOKUP(A1040,Feuil2!$A$2:$M$1241,6,FALSE)," ")</f>
        <v>24008</v>
      </c>
      <c r="F1040" s="17" t="str">
        <f>IF(B1040=0,VLOOKUP(A1040,Feuil2!$A$2:$M$1241,12,FALSE)," ")</f>
        <v>F</v>
      </c>
      <c r="G1040" s="17" t="str">
        <f>IF(B1040=0,VLOOKUP(A1040,Feuil2!$A$2:$M$1241,11,FALSE)," ")</f>
        <v>V</v>
      </c>
      <c r="H1040" s="17" t="s">
        <v>16</v>
      </c>
      <c r="I1040" s="19">
        <f>IF(B1040=0,VLOOKUP(A1040,Feuil2!$A$2:$M$1241,7,FALSE)," ")</f>
        <v>5525145</v>
      </c>
      <c r="J1040" s="17" t="str">
        <f>IF(B1040=0,VLOOKUP(A1040,Feuil2!$A$2:$M$1241,9,FALSE)," ")</f>
        <v>50 Rue Taieb Hachicha</v>
      </c>
      <c r="K1040" s="17" t="str">
        <f>IF(B1040=0,VLOOKUP(A1040,Feuil2!$A$2:$M$1241,10,FALSE)," ")</f>
        <v>Msaken 4070</v>
      </c>
      <c r="L1040" s="17">
        <v>4070</v>
      </c>
      <c r="M1040" s="17">
        <v>97225412</v>
      </c>
      <c r="N1040" s="17"/>
      <c r="O1040" s="20" t="str">
        <f>IF(B1040=0,VLOOKUP(A1040,Feuil2!$A$2:$M$1241,13,FALSE)," ")</f>
        <v>08507000262001006823</v>
      </c>
    </row>
    <row r="1041" spans="1:16" x14ac:dyDescent="0.3">
      <c r="A1041" s="1">
        <v>1617</v>
      </c>
      <c r="B1041" s="1">
        <v>0</v>
      </c>
      <c r="C1041" s="1" t="str">
        <f>IF(B1041=0,VLOOKUP(A1041,Feuil2!$A$2:$M$1241,2,FALSE)," ")</f>
        <v>BEN BEKRI</v>
      </c>
      <c r="D1041" s="1" t="str">
        <f>IF(B1041=0,VLOOKUP(A1041,Feuil2!$A$2:$M$1241,3,FALSE)," ")</f>
        <v>MONCEF</v>
      </c>
      <c r="E1041" s="5">
        <f>IF(B1041=0,VLOOKUP(A1041,Feuil2!$A$2:$M$1241,6,FALSE)," ")</f>
        <v>26359</v>
      </c>
      <c r="F1041" s="1" t="str">
        <f>IF(B1041=0,VLOOKUP(A1041,Feuil2!$A$2:$M$1241,12,FALSE)," ")</f>
        <v>H</v>
      </c>
      <c r="G1041" s="1" t="str">
        <f>IF(B1041=0,VLOOKUP(A1041,Feuil2!$A$2:$M$1241,11,FALSE)," ")</f>
        <v>M</v>
      </c>
      <c r="H1041" s="1" t="s">
        <v>16</v>
      </c>
      <c r="I1041" s="6">
        <f>IF(B1041=0,VLOOKUP(A1041,Feuil2!$A$2:$M$1241,7,FALSE)," ")</f>
        <v>5551292</v>
      </c>
      <c r="J1041" s="1" t="str">
        <f>IF(B1041=0,VLOOKUP(A1041,Feuil2!$A$2:$M$1241,9,FALSE)," ")</f>
        <v>NULL</v>
      </c>
      <c r="K1041" s="1" t="str">
        <f>IF(B1041=0,VLOOKUP(A1041,Feuil2!$A$2:$M$1241,10,FALSE)," ")</f>
        <v>Sidi El HÃ©ni 4025</v>
      </c>
      <c r="L1041" s="1"/>
      <c r="M1041" s="1">
        <v>25967958</v>
      </c>
      <c r="N1041" s="1"/>
      <c r="O1041" s="8" t="str">
        <f>IF(B1041=0,VLOOKUP(A1041,Feuil2!$A$2:$M$1241,13,FALSE)," ")</f>
        <v>04204067404000991490</v>
      </c>
    </row>
    <row r="1042" spans="1:16" x14ac:dyDescent="0.3">
      <c r="A1042" s="1">
        <v>1617</v>
      </c>
      <c r="B1042" s="1">
        <v>1</v>
      </c>
      <c r="C1042" s="1" t="s">
        <v>233</v>
      </c>
      <c r="D1042" s="1" t="s">
        <v>2289</v>
      </c>
      <c r="E1042" s="5">
        <v>30377</v>
      </c>
      <c r="F1042" s="1" t="s">
        <v>17</v>
      </c>
      <c r="G1042" s="1" t="s">
        <v>15</v>
      </c>
      <c r="H1042" s="1" t="s">
        <v>16</v>
      </c>
      <c r="I1042" s="6" t="str">
        <f>IF(B1042=0,VLOOKUP(A1042,Feuil2!$A$2:$M$1241,7,FALSE)," ")</f>
        <v xml:space="preserve"> </v>
      </c>
      <c r="J1042" s="1" t="str">
        <f>IF(B1042=0,VLOOKUP(A1042,Feuil2!$A$2:$M$1241,9,FALSE)," ")</f>
        <v xml:space="preserve"> </v>
      </c>
      <c r="K1042" s="1" t="str">
        <f>IF(B1042=0,VLOOKUP(A1042,Feuil2!$A$2:$M$1241,10,FALSE)," ")</f>
        <v xml:space="preserve"> </v>
      </c>
      <c r="L1042" s="1"/>
      <c r="M1042" s="1"/>
      <c r="N1042" s="1"/>
      <c r="O1042" s="8" t="str">
        <f>IF(B1042=0,VLOOKUP(A1042,Feuil2!$A$2:$M$1241,13,FALSE)," ")</f>
        <v xml:space="preserve"> </v>
      </c>
    </row>
    <row r="1043" spans="1:16" x14ac:dyDescent="0.3">
      <c r="A1043" s="1">
        <v>1617</v>
      </c>
      <c r="B1043" s="1">
        <v>2</v>
      </c>
      <c r="C1043" s="1" t="s">
        <v>1500</v>
      </c>
      <c r="D1043" s="1" t="s">
        <v>2660</v>
      </c>
      <c r="E1043" s="5">
        <v>38765</v>
      </c>
      <c r="F1043" s="1" t="s">
        <v>17</v>
      </c>
      <c r="G1043" s="1" t="str">
        <f>IF(B1043=0,VLOOKUP(A1043,Feuil2!$A$2:$M$1241,11,FALSE)," ")</f>
        <v xml:space="preserve"> </v>
      </c>
      <c r="H1043" s="1" t="s">
        <v>16</v>
      </c>
      <c r="I1043" s="6" t="str">
        <f>IF(B1043=0,VLOOKUP(A1043,Feuil2!$A$2:$M$1241,7,FALSE)," ")</f>
        <v xml:space="preserve"> </v>
      </c>
      <c r="J1043" s="1" t="str">
        <f>IF(B1043=0,VLOOKUP(A1043,Feuil2!$A$2:$M$1241,9,FALSE)," ")</f>
        <v xml:space="preserve"> </v>
      </c>
      <c r="K1043" s="1" t="str">
        <f>IF(B1043=0,VLOOKUP(A1043,Feuil2!$A$2:$M$1241,10,FALSE)," ")</f>
        <v xml:space="preserve"> </v>
      </c>
      <c r="L1043" s="1"/>
      <c r="M1043" s="1"/>
      <c r="N1043" s="1"/>
      <c r="O1043" s="8" t="str">
        <f>IF(B1043=0,VLOOKUP(A1043,Feuil2!$A$2:$M$1241,13,FALSE)," ")</f>
        <v xml:space="preserve"> </v>
      </c>
    </row>
    <row r="1044" spans="1:16" x14ac:dyDescent="0.3">
      <c r="A1044" s="1">
        <v>1617</v>
      </c>
      <c r="B1044" s="1">
        <v>3</v>
      </c>
      <c r="C1044" s="1" t="s">
        <v>1500</v>
      </c>
      <c r="D1044" s="1" t="s">
        <v>212</v>
      </c>
      <c r="E1044" s="5">
        <v>39374</v>
      </c>
      <c r="F1044" s="1" t="s">
        <v>506</v>
      </c>
      <c r="G1044" s="1" t="str">
        <f>IF(B1044=0,VLOOKUP(A1044,Feuil2!$A$2:$M$1241,11,FALSE)," ")</f>
        <v xml:space="preserve"> </v>
      </c>
      <c r="H1044" s="1" t="s">
        <v>16</v>
      </c>
      <c r="I1044" s="6" t="str">
        <f>IF(B1044=0,VLOOKUP(A1044,Feuil2!$A$2:$M$1241,7,FALSE)," ")</f>
        <v xml:space="preserve"> </v>
      </c>
      <c r="J1044" s="1" t="str">
        <f>IF(B1044=0,VLOOKUP(A1044,Feuil2!$A$2:$M$1241,9,FALSE)," ")</f>
        <v xml:space="preserve"> </v>
      </c>
      <c r="K1044" s="1" t="str">
        <f>IF(B1044=0,VLOOKUP(A1044,Feuil2!$A$2:$M$1241,10,FALSE)," ")</f>
        <v xml:space="preserve"> </v>
      </c>
      <c r="L1044" s="1"/>
      <c r="M1044" s="1"/>
      <c r="N1044" s="1"/>
      <c r="O1044" s="8" t="str">
        <f>IF(B1044=0,VLOOKUP(A1044,Feuil2!$A$2:$M$1241,13,FALSE)," ")</f>
        <v xml:space="preserve"> </v>
      </c>
    </row>
    <row r="1045" spans="1:16" x14ac:dyDescent="0.3">
      <c r="A1045" s="1">
        <v>1617</v>
      </c>
      <c r="B1045" s="1">
        <v>4</v>
      </c>
      <c r="C1045" s="1" t="s">
        <v>1500</v>
      </c>
      <c r="D1045" s="1" t="s">
        <v>2389</v>
      </c>
      <c r="E1045" s="5">
        <v>40082</v>
      </c>
      <c r="F1045" s="1" t="s">
        <v>17</v>
      </c>
      <c r="G1045" s="1" t="str">
        <f>IF(B1045=0,VLOOKUP(A1045,Feuil2!$A$2:$M$1241,11,FALSE)," ")</f>
        <v xml:space="preserve"> </v>
      </c>
      <c r="H1045" s="1" t="s">
        <v>16</v>
      </c>
      <c r="I1045" s="6" t="str">
        <f>IF(B1045=0,VLOOKUP(A1045,Feuil2!$A$2:$M$1241,7,FALSE)," ")</f>
        <v xml:space="preserve"> </v>
      </c>
      <c r="J1045" s="1" t="str">
        <f>IF(B1045=0,VLOOKUP(A1045,Feuil2!$A$2:$M$1241,9,FALSE)," ")</f>
        <v xml:space="preserve"> </v>
      </c>
      <c r="K1045" s="1" t="str">
        <f>IF(B1045=0,VLOOKUP(A1045,Feuil2!$A$2:$M$1241,10,FALSE)," ")</f>
        <v xml:space="preserve"> </v>
      </c>
      <c r="L1045" s="1"/>
      <c r="M1045" s="1"/>
      <c r="N1045" s="1"/>
      <c r="O1045" s="8" t="str">
        <f>IF(B1045=0,VLOOKUP(A1045,Feuil2!$A$2:$M$1241,13,FALSE)," ")</f>
        <v xml:space="preserve"> </v>
      </c>
    </row>
    <row r="1046" spans="1:16" x14ac:dyDescent="0.3">
      <c r="A1046" s="1">
        <v>1617</v>
      </c>
      <c r="B1046" s="1">
        <v>5</v>
      </c>
      <c r="C1046" s="1" t="s">
        <v>1500</v>
      </c>
      <c r="D1046" s="1" t="s">
        <v>2661</v>
      </c>
      <c r="E1046" s="5">
        <v>40811</v>
      </c>
      <c r="F1046" s="1" t="s">
        <v>506</v>
      </c>
      <c r="G1046" s="1" t="str">
        <f>IF(B1046=0,VLOOKUP(A1046,Feuil2!$A$2:$M$1241,11,FALSE)," ")</f>
        <v xml:space="preserve"> </v>
      </c>
      <c r="H1046" s="1" t="s">
        <v>16</v>
      </c>
      <c r="I1046" s="6" t="str">
        <f>IF(B1046=0,VLOOKUP(A1046,Feuil2!$A$2:$M$1241,7,FALSE)," ")</f>
        <v xml:space="preserve"> </v>
      </c>
      <c r="J1046" s="1" t="str">
        <f>IF(B1046=0,VLOOKUP(A1046,Feuil2!$A$2:$M$1241,9,FALSE)," ")</f>
        <v xml:space="preserve"> </v>
      </c>
      <c r="K1046" s="1" t="str">
        <f>IF(B1046=0,VLOOKUP(A1046,Feuil2!$A$2:$M$1241,10,FALSE)," ")</f>
        <v xml:space="preserve"> </v>
      </c>
      <c r="L1046" s="1"/>
      <c r="M1046" s="1"/>
      <c r="N1046" s="1"/>
      <c r="O1046" s="8" t="str">
        <f>IF(B1046=0,VLOOKUP(A1046,Feuil2!$A$2:$M$1241,13,FALSE)," ")</f>
        <v xml:space="preserve"> </v>
      </c>
    </row>
    <row r="1047" spans="1:16" x14ac:dyDescent="0.3">
      <c r="A1047" s="1">
        <v>1619</v>
      </c>
      <c r="B1047" s="17">
        <v>0</v>
      </c>
      <c r="C1047" s="17" t="str">
        <f>IF(B1047=0,VLOOKUP(A1047,Feuil2!$A$2:$M$1241,2,FALSE)," ")</f>
        <v>CHTIOUI</v>
      </c>
      <c r="D1047" s="17" t="str">
        <f>IF(B1047=0,VLOOKUP(A1047,Feuil2!$A$2:$M$1241,3,FALSE)," ")</f>
        <v>FETHI</v>
      </c>
      <c r="E1047" s="18">
        <f>IF(B1047=0,VLOOKUP(A1047,Feuil2!$A$2:$M$1241,6,FALSE)," ")</f>
        <v>25762</v>
      </c>
      <c r="F1047" s="17" t="str">
        <f>IF(B1047=0,VLOOKUP(A1047,Feuil2!$A$2:$M$1241,12,FALSE)," ")</f>
        <v>H</v>
      </c>
      <c r="G1047" s="17" t="str">
        <f>IF(B1047=0,VLOOKUP(A1047,Feuil2!$A$2:$M$1241,11,FALSE)," ")</f>
        <v>M</v>
      </c>
      <c r="H1047" s="17" t="s">
        <v>16</v>
      </c>
      <c r="I1047" s="19">
        <f>IF(B1047=0,VLOOKUP(A1047,Feuil2!$A$2:$M$1241,7,FALSE)," ")</f>
        <v>5514585</v>
      </c>
      <c r="J1047" s="17" t="str">
        <f>IF(B1047=0,VLOOKUP(A1047,Feuil2!$A$2:$M$1241,9,FALSE)," ")</f>
        <v>22,Rue des Aghlabites</v>
      </c>
      <c r="K1047" s="17" t="str">
        <f>IF(B1047=0,VLOOKUP(A1047,Feuil2!$A$2:$M$1241,10,FALSE)," ")</f>
        <v>Msaken 4070</v>
      </c>
      <c r="L1047" s="17">
        <v>4070</v>
      </c>
      <c r="M1047" s="17">
        <v>96541902</v>
      </c>
      <c r="N1047" s="17"/>
      <c r="O1047" s="20" t="str">
        <f>IF(B1047=0,VLOOKUP(A1047,Feuil2!$A$2:$M$1241,13,FALSE)," ")</f>
        <v>05048000116500463593</v>
      </c>
    </row>
    <row r="1048" spans="1:16" x14ac:dyDescent="0.3">
      <c r="A1048" s="1">
        <v>1619</v>
      </c>
      <c r="B1048" s="1">
        <v>1</v>
      </c>
      <c r="C1048" s="1" t="s">
        <v>42</v>
      </c>
      <c r="D1048" s="1" t="s">
        <v>2334</v>
      </c>
      <c r="E1048" s="5">
        <v>28099</v>
      </c>
      <c r="F1048" s="1" t="s">
        <v>17</v>
      </c>
      <c r="G1048" s="1" t="s">
        <v>15</v>
      </c>
      <c r="H1048" s="1" t="s">
        <v>16</v>
      </c>
      <c r="I1048" s="6" t="str">
        <f>IF(B1048=0,VLOOKUP(A1048,Feuil2!$A$2:$M$1241,7,FALSE)," ")</f>
        <v xml:space="preserve"> </v>
      </c>
      <c r="J1048" s="1" t="str">
        <f>IF(B1048=0,VLOOKUP(A1048,Feuil2!$A$2:$M$1241,9,FALSE)," ")</f>
        <v xml:space="preserve"> </v>
      </c>
      <c r="K1048" s="1" t="str">
        <f>IF(B1048=0,VLOOKUP(A1048,Feuil2!$A$2:$M$1241,10,FALSE)," ")</f>
        <v xml:space="preserve"> </v>
      </c>
      <c r="L1048" s="1"/>
      <c r="M1048" s="1"/>
      <c r="N1048" s="1"/>
      <c r="O1048" s="8" t="str">
        <f>IF(B1048=0,VLOOKUP(A1048,Feuil2!$A$2:$M$1241,13,FALSE)," ")</f>
        <v xml:space="preserve"> </v>
      </c>
    </row>
    <row r="1049" spans="1:16" x14ac:dyDescent="0.3">
      <c r="A1049" s="1">
        <v>1619</v>
      </c>
      <c r="B1049" s="1">
        <v>2</v>
      </c>
      <c r="C1049" s="1" t="s">
        <v>42</v>
      </c>
      <c r="D1049" s="1" t="s">
        <v>2662</v>
      </c>
      <c r="E1049" s="5">
        <v>35264</v>
      </c>
      <c r="F1049" s="1" t="s">
        <v>17</v>
      </c>
      <c r="G1049" s="1" t="str">
        <f>IF(B1049=0,VLOOKUP(A1049,Feuil2!$A$2:$M$1241,11,FALSE)," ")</f>
        <v xml:space="preserve"> </v>
      </c>
      <c r="H1049" s="1" t="s">
        <v>16</v>
      </c>
      <c r="I1049" s="6" t="str">
        <f>IF(B1049=0,VLOOKUP(A1049,Feuil2!$A$2:$M$1241,7,FALSE)," ")</f>
        <v xml:space="preserve"> </v>
      </c>
      <c r="J1049" s="1" t="str">
        <f>IF(B1049=0,VLOOKUP(A1049,Feuil2!$A$2:$M$1241,9,FALSE)," ")</f>
        <v xml:space="preserve"> </v>
      </c>
      <c r="K1049" s="1" t="str">
        <f>IF(B1049=0,VLOOKUP(A1049,Feuil2!$A$2:$M$1241,10,FALSE)," ")</f>
        <v xml:space="preserve"> </v>
      </c>
      <c r="L1049" s="1"/>
      <c r="M1049" s="1"/>
      <c r="N1049" s="1"/>
      <c r="O1049" s="8" t="str">
        <f>IF(B1049=0,VLOOKUP(A1049,Feuil2!$A$2:$M$1241,13,FALSE)," ")</f>
        <v xml:space="preserve"> </v>
      </c>
    </row>
    <row r="1050" spans="1:16" x14ac:dyDescent="0.3">
      <c r="A1050" s="1">
        <v>1619</v>
      </c>
      <c r="B1050" s="1">
        <v>3</v>
      </c>
      <c r="C1050" s="1" t="s">
        <v>42</v>
      </c>
      <c r="D1050" s="1" t="s">
        <v>2366</v>
      </c>
      <c r="E1050" s="5">
        <v>36507</v>
      </c>
      <c r="F1050" s="1" t="s">
        <v>506</v>
      </c>
      <c r="G1050" s="1" t="str">
        <f>IF(B1050=0,VLOOKUP(A1050,Feuil2!$A$2:$M$1241,11,FALSE)," ")</f>
        <v xml:space="preserve"> </v>
      </c>
      <c r="H1050" s="1" t="s">
        <v>16</v>
      </c>
      <c r="I1050" s="6" t="str">
        <f>IF(B1050=0,VLOOKUP(A1050,Feuil2!$A$2:$M$1241,7,FALSE)," ")</f>
        <v xml:space="preserve"> </v>
      </c>
      <c r="J1050" s="1" t="str">
        <f>IF(B1050=0,VLOOKUP(A1050,Feuil2!$A$2:$M$1241,9,FALSE)," ")</f>
        <v xml:space="preserve"> </v>
      </c>
      <c r="K1050" s="1" t="str">
        <f>IF(B1050=0,VLOOKUP(A1050,Feuil2!$A$2:$M$1241,10,FALSE)," ")</f>
        <v xml:space="preserve"> </v>
      </c>
      <c r="L1050" s="1"/>
      <c r="M1050" s="1"/>
      <c r="N1050" s="1"/>
      <c r="O1050" s="8" t="str">
        <f>IF(B1050=0,VLOOKUP(A1050,Feuil2!$A$2:$M$1241,13,FALSE)," ")</f>
        <v xml:space="preserve"> </v>
      </c>
    </row>
    <row r="1051" spans="1:16" x14ac:dyDescent="0.3">
      <c r="A1051" s="1">
        <v>1619</v>
      </c>
      <c r="B1051" s="1">
        <v>4</v>
      </c>
      <c r="C1051" s="1" t="s">
        <v>42</v>
      </c>
      <c r="D1051" s="1" t="s">
        <v>439</v>
      </c>
      <c r="E1051" s="5">
        <v>37842</v>
      </c>
      <c r="F1051" s="1" t="s">
        <v>17</v>
      </c>
      <c r="G1051" s="1" t="str">
        <f>IF(B1051=0,VLOOKUP(A1051,Feuil2!$A$2:$M$1241,11,FALSE)," ")</f>
        <v xml:space="preserve"> </v>
      </c>
      <c r="H1051" s="1" t="s">
        <v>16</v>
      </c>
      <c r="I1051" s="6" t="str">
        <f>IF(B1051=0,VLOOKUP(A1051,Feuil2!$A$2:$M$1241,7,FALSE)," ")</f>
        <v xml:space="preserve"> </v>
      </c>
      <c r="J1051" s="1" t="str">
        <f>IF(B1051=0,VLOOKUP(A1051,Feuil2!$A$2:$M$1241,9,FALSE)," ")</f>
        <v xml:space="preserve"> </v>
      </c>
      <c r="K1051" s="1" t="str">
        <f>IF(B1051=0,VLOOKUP(A1051,Feuil2!$A$2:$M$1241,10,FALSE)," ")</f>
        <v xml:space="preserve"> </v>
      </c>
      <c r="L1051" s="1"/>
      <c r="M1051" s="1"/>
      <c r="N1051" s="1"/>
      <c r="O1051" s="8" t="str">
        <f>IF(B1051=0,VLOOKUP(A1051,Feuil2!$A$2:$M$1241,13,FALSE)," ")</f>
        <v xml:space="preserve"> </v>
      </c>
    </row>
    <row r="1052" spans="1:16" x14ac:dyDescent="0.3">
      <c r="A1052" s="1">
        <v>1619</v>
      </c>
      <c r="B1052" s="1">
        <v>5</v>
      </c>
      <c r="C1052" s="1" t="s">
        <v>42</v>
      </c>
      <c r="D1052" s="1" t="s">
        <v>2345</v>
      </c>
      <c r="E1052" s="5">
        <v>39730</v>
      </c>
      <c r="F1052" s="1" t="s">
        <v>17</v>
      </c>
      <c r="G1052" s="1" t="str">
        <f>IF(B1052=0,VLOOKUP(A1052,Feuil2!$A$2:$M$1241,11,FALSE)," ")</f>
        <v xml:space="preserve"> </v>
      </c>
      <c r="H1052" s="1" t="s">
        <v>16</v>
      </c>
      <c r="I1052" s="6" t="str">
        <f>IF(B1052=0,VLOOKUP(A1052,Feuil2!$A$2:$M$1241,7,FALSE)," ")</f>
        <v xml:space="preserve"> </v>
      </c>
      <c r="J1052" s="1" t="str">
        <f>IF(B1052=0,VLOOKUP(A1052,Feuil2!$A$2:$M$1241,9,FALSE)," ")</f>
        <v xml:space="preserve"> </v>
      </c>
      <c r="K1052" s="1" t="str">
        <f>IF(B1052=0,VLOOKUP(A1052,Feuil2!$A$2:$M$1241,10,FALSE)," ")</f>
        <v xml:space="preserve"> </v>
      </c>
      <c r="L1052" s="1"/>
      <c r="M1052" s="1"/>
      <c r="N1052" s="1"/>
      <c r="O1052" s="8" t="str">
        <f>IF(B1052=0,VLOOKUP(A1052,Feuil2!$A$2:$M$1241,13,FALSE)," ")</f>
        <v xml:space="preserve"> </v>
      </c>
    </row>
    <row r="1053" spans="1:16" x14ac:dyDescent="0.3">
      <c r="A1053" s="1">
        <v>1619</v>
      </c>
      <c r="B1053" s="1">
        <v>6</v>
      </c>
      <c r="C1053" s="1" t="s">
        <v>42</v>
      </c>
      <c r="D1053" s="1" t="s">
        <v>2332</v>
      </c>
      <c r="E1053" s="5">
        <v>40327</v>
      </c>
      <c r="F1053" s="1" t="s">
        <v>17</v>
      </c>
      <c r="G1053" s="1" t="str">
        <f>IF(B1053=0,VLOOKUP(A1053,Feuil2!$A$2:$M$1241,11,FALSE)," ")</f>
        <v xml:space="preserve"> </v>
      </c>
      <c r="H1053" s="1" t="s">
        <v>16</v>
      </c>
      <c r="I1053" s="6" t="str">
        <f>IF(B1053=0,VLOOKUP(A1053,Feuil2!$A$2:$M$1241,7,FALSE)," ")</f>
        <v xml:space="preserve"> </v>
      </c>
      <c r="J1053" s="1" t="str">
        <f>IF(B1053=0,VLOOKUP(A1053,Feuil2!$A$2:$M$1241,9,FALSE)," ")</f>
        <v xml:space="preserve"> </v>
      </c>
      <c r="K1053" s="1" t="str">
        <f>IF(B1053=0,VLOOKUP(A1053,Feuil2!$A$2:$M$1241,10,FALSE)," ")</f>
        <v xml:space="preserve"> </v>
      </c>
      <c r="L1053" s="1"/>
      <c r="M1053" s="1"/>
      <c r="N1053" s="1"/>
      <c r="O1053" s="8" t="str">
        <f>IF(B1053=0,VLOOKUP(A1053,Feuil2!$A$2:$M$1241,13,FALSE)," ")</f>
        <v xml:space="preserve"> </v>
      </c>
    </row>
    <row r="1054" spans="1:16" x14ac:dyDescent="0.3">
      <c r="A1054" s="1">
        <v>1621</v>
      </c>
      <c r="B1054" s="1">
        <v>0</v>
      </c>
      <c r="C1054" s="1" t="str">
        <f>IF(B1054=0,VLOOKUP(A1054,Feuil2!$A$2:$M$1241,2,FALSE)," ")</f>
        <v>BEN HASSINE</v>
      </c>
      <c r="D1054" s="1" t="str">
        <f>IF(B1054=0,VLOOKUP(A1054,Feuil2!$A$2:$M$1241,3,FALSE)," ")</f>
        <v>WASSEF</v>
      </c>
      <c r="E1054" s="5">
        <f>IF(B1054=0,VLOOKUP(A1054,Feuil2!$A$2:$M$1241,6,FALSE)," ")</f>
        <v>28175</v>
      </c>
      <c r="F1054" s="1" t="str">
        <f>IF(B1054=0,VLOOKUP(A1054,Feuil2!$A$2:$M$1241,12,FALSE)," ")</f>
        <v>H</v>
      </c>
      <c r="G1054" s="1" t="str">
        <f>IF(B1054=0,VLOOKUP(A1054,Feuil2!$A$2:$M$1241,11,FALSE)," ")</f>
        <v>M</v>
      </c>
      <c r="H1054" s="1" t="s">
        <v>16</v>
      </c>
      <c r="I1054" s="6">
        <f>IF(B1054=0,VLOOKUP(A1054,Feuil2!$A$2:$M$1241,7,FALSE)," ")</f>
        <v>5556834</v>
      </c>
      <c r="J1054" s="1" t="str">
        <f>IF(B1054=0,VLOOKUP(A1054,Feuil2!$A$2:$M$1241,9,FALSE)," ")</f>
        <v>6 Rue Assad Ibn Fourat</v>
      </c>
      <c r="K1054" s="1" t="str">
        <f>IF(B1054=0,VLOOKUP(A1054,Feuil2!$A$2:$M$1241,10,FALSE)," ")</f>
        <v>Msaken 4070</v>
      </c>
      <c r="L1054" s="1">
        <v>4070</v>
      </c>
      <c r="M1054" s="1">
        <v>52555556</v>
      </c>
      <c r="N1054" s="1"/>
      <c r="O1054" s="8" t="str">
        <f>IF(B1054=0,VLOOKUP(A1054,Feuil2!$A$2:$M$1241,13,FALSE)," ")</f>
        <v>24010026274251110195</v>
      </c>
      <c r="P1054" t="s">
        <v>2805</v>
      </c>
    </row>
    <row r="1055" spans="1:16" x14ac:dyDescent="0.3">
      <c r="A1055" s="1">
        <v>1621</v>
      </c>
      <c r="B1055" s="1">
        <v>1</v>
      </c>
      <c r="C1055" s="1" t="s">
        <v>41</v>
      </c>
      <c r="D1055" s="1" t="s">
        <v>2535</v>
      </c>
      <c r="E1055" s="5">
        <v>29620</v>
      </c>
      <c r="F1055" s="1" t="s">
        <v>17</v>
      </c>
      <c r="G1055" s="1" t="s">
        <v>15</v>
      </c>
      <c r="H1055" s="1" t="s">
        <v>16</v>
      </c>
      <c r="I1055" s="6" t="str">
        <f>IF(B1055=0,VLOOKUP(A1055,Feuil2!$A$2:$M$1241,7,FALSE)," ")</f>
        <v xml:space="preserve"> </v>
      </c>
      <c r="J1055" s="1" t="str">
        <f>IF(B1055=0,VLOOKUP(A1055,Feuil2!$A$2:$M$1241,9,FALSE)," ")</f>
        <v xml:space="preserve"> </v>
      </c>
      <c r="K1055" s="1" t="str">
        <f>IF(B1055=0,VLOOKUP(A1055,Feuil2!$A$2:$M$1241,10,FALSE)," ")</f>
        <v xml:space="preserve"> </v>
      </c>
      <c r="L1055" s="1"/>
      <c r="M1055" s="1"/>
      <c r="N1055" s="1"/>
      <c r="O1055" s="8" t="str">
        <f>IF(B1055=0,VLOOKUP(A1055,Feuil2!$A$2:$M$1241,13,FALSE)," ")</f>
        <v xml:space="preserve"> </v>
      </c>
    </row>
    <row r="1056" spans="1:16" x14ac:dyDescent="0.3">
      <c r="A1056" s="1">
        <v>1621</v>
      </c>
      <c r="B1056" s="1">
        <v>2</v>
      </c>
      <c r="C1056" s="1" t="s">
        <v>314</v>
      </c>
      <c r="D1056" s="1" t="s">
        <v>122</v>
      </c>
      <c r="E1056" s="5">
        <v>38994</v>
      </c>
      <c r="F1056" s="1" t="s">
        <v>506</v>
      </c>
      <c r="G1056" s="1" t="str">
        <f>IF(B1056=0,VLOOKUP(A1056,Feuil2!$A$2:$M$1241,11,FALSE)," ")</f>
        <v xml:space="preserve"> </v>
      </c>
      <c r="H1056" s="1" t="s">
        <v>16</v>
      </c>
      <c r="I1056" s="6" t="str">
        <f>IF(B1056=0,VLOOKUP(A1056,Feuil2!$A$2:$M$1241,7,FALSE)," ")</f>
        <v xml:space="preserve"> </v>
      </c>
      <c r="J1056" s="1" t="str">
        <f>IF(B1056=0,VLOOKUP(A1056,Feuil2!$A$2:$M$1241,9,FALSE)," ")</f>
        <v xml:space="preserve"> </v>
      </c>
      <c r="K1056" s="1" t="str">
        <f>IF(B1056=0,VLOOKUP(A1056,Feuil2!$A$2:$M$1241,10,FALSE)," ")</f>
        <v xml:space="preserve"> </v>
      </c>
      <c r="L1056" s="1"/>
      <c r="M1056" s="1"/>
      <c r="N1056" s="1"/>
      <c r="O1056" s="8" t="str">
        <f>IF(B1056=0,VLOOKUP(A1056,Feuil2!$A$2:$M$1241,13,FALSE)," ")</f>
        <v xml:space="preserve"> </v>
      </c>
    </row>
    <row r="1057" spans="1:15" x14ac:dyDescent="0.3">
      <c r="A1057" s="1">
        <v>1621</v>
      </c>
      <c r="B1057" s="1">
        <v>3</v>
      </c>
      <c r="C1057" s="1" t="s">
        <v>314</v>
      </c>
      <c r="D1057" s="1" t="s">
        <v>2389</v>
      </c>
      <c r="E1057" s="5">
        <v>40075</v>
      </c>
      <c r="F1057" s="1" t="s">
        <v>17</v>
      </c>
      <c r="G1057" s="1" t="str">
        <f>IF(B1057=0,VLOOKUP(A1057,Feuil2!$A$2:$M$1241,11,FALSE)," ")</f>
        <v xml:space="preserve"> </v>
      </c>
      <c r="H1057" s="1" t="s">
        <v>16</v>
      </c>
      <c r="I1057" s="6" t="str">
        <f>IF(B1057=0,VLOOKUP(A1057,Feuil2!$A$2:$M$1241,7,FALSE)," ")</f>
        <v xml:space="preserve"> </v>
      </c>
      <c r="J1057" s="1" t="str">
        <f>IF(B1057=0,VLOOKUP(A1057,Feuil2!$A$2:$M$1241,9,FALSE)," ")</f>
        <v xml:space="preserve"> </v>
      </c>
      <c r="K1057" s="1" t="str">
        <f>IF(B1057=0,VLOOKUP(A1057,Feuil2!$A$2:$M$1241,10,FALSE)," ")</f>
        <v xml:space="preserve"> </v>
      </c>
      <c r="L1057" s="1"/>
      <c r="M1057" s="1"/>
      <c r="N1057" s="1"/>
      <c r="O1057" s="8" t="str">
        <f>IF(B1057=0,VLOOKUP(A1057,Feuil2!$A$2:$M$1241,13,FALSE)," ")</f>
        <v xml:space="preserve"> </v>
      </c>
    </row>
    <row r="1058" spans="1:15" x14ac:dyDescent="0.3">
      <c r="A1058" s="1">
        <v>1621</v>
      </c>
      <c r="B1058" s="1">
        <v>4</v>
      </c>
      <c r="C1058" s="1" t="s">
        <v>314</v>
      </c>
      <c r="D1058" s="1" t="s">
        <v>2432</v>
      </c>
      <c r="E1058" s="5">
        <v>42213</v>
      </c>
      <c r="F1058" s="1" t="s">
        <v>17</v>
      </c>
      <c r="G1058" s="1" t="str">
        <f>IF(B1058=0,VLOOKUP(A1058,Feuil2!$A$2:$M$1241,11,FALSE)," ")</f>
        <v xml:space="preserve"> </v>
      </c>
      <c r="H1058" s="1" t="s">
        <v>16</v>
      </c>
      <c r="I1058" s="6" t="str">
        <f>IF(B1058=0,VLOOKUP(A1058,Feuil2!$A$2:$M$1241,7,FALSE)," ")</f>
        <v xml:space="preserve"> </v>
      </c>
      <c r="J1058" s="1" t="str">
        <f>IF(B1058=0,VLOOKUP(A1058,Feuil2!$A$2:$M$1241,9,FALSE)," ")</f>
        <v xml:space="preserve"> </v>
      </c>
      <c r="K1058" s="1" t="str">
        <f>IF(B1058=0,VLOOKUP(A1058,Feuil2!$A$2:$M$1241,10,FALSE)," ")</f>
        <v xml:space="preserve"> </v>
      </c>
      <c r="L1058" s="1"/>
      <c r="M1058" s="1"/>
      <c r="N1058" s="1"/>
      <c r="O1058" s="8" t="str">
        <f>IF(B1058=0,VLOOKUP(A1058,Feuil2!$A$2:$M$1241,13,FALSE)," ")</f>
        <v xml:space="preserve"> </v>
      </c>
    </row>
    <row r="1059" spans="1:15" x14ac:dyDescent="0.3">
      <c r="A1059" s="1">
        <v>1625</v>
      </c>
      <c r="B1059" s="17">
        <v>0</v>
      </c>
      <c r="C1059" s="17" t="str">
        <f>IF(B1059=0,VLOOKUP(A1059,Feuil2!$A$2:$M$1241,2,FALSE)," ")</f>
        <v>HAMILA</v>
      </c>
      <c r="D1059" s="17" t="str">
        <f>IF(B1059=0,VLOOKUP(A1059,Feuil2!$A$2:$M$1241,3,FALSE)," ")</f>
        <v>SAMIR</v>
      </c>
      <c r="E1059" s="18">
        <f>IF(B1059=0,VLOOKUP(A1059,Feuil2!$A$2:$M$1241,6,FALSE)," ")</f>
        <v>24415</v>
      </c>
      <c r="F1059" s="17" t="str">
        <f>IF(B1059=0,VLOOKUP(A1059,Feuil2!$A$2:$M$1241,12,FALSE)," ")</f>
        <v>H</v>
      </c>
      <c r="G1059" s="17" t="str">
        <f>IF(B1059=0,VLOOKUP(A1059,Feuil2!$A$2:$M$1241,11,FALSE)," ")</f>
        <v>M</v>
      </c>
      <c r="H1059" s="17" t="s">
        <v>16</v>
      </c>
      <c r="I1059" s="19">
        <f>IF(B1059=0,VLOOKUP(A1059,Feuil2!$A$2:$M$1241,7,FALSE)," ")</f>
        <v>2969963</v>
      </c>
      <c r="J1059" s="17" t="str">
        <f>IF(B1059=0,VLOOKUP(A1059,Feuil2!$A$2:$M$1241,9,FALSE)," ")</f>
        <v>27, Rue Najd citÃ© Ennour</v>
      </c>
      <c r="K1059" s="17" t="str">
        <f>IF(B1059=0,VLOOKUP(A1059,Feuil2!$A$2:$M$1241,10,FALSE)," ")</f>
        <v>Msaken 4070</v>
      </c>
      <c r="L1059" s="17">
        <v>4070</v>
      </c>
      <c r="M1059" s="17">
        <v>98570477</v>
      </c>
      <c r="N1059" s="17"/>
      <c r="O1059" s="20" t="str">
        <f>IF(B1059=0,VLOOKUP(A1059,Feuil2!$A$2:$M$1241,13,FALSE)," ")</f>
        <v>17503000000129105744</v>
      </c>
    </row>
    <row r="1060" spans="1:15" x14ac:dyDescent="0.3">
      <c r="A1060" s="1">
        <v>1625</v>
      </c>
      <c r="B1060" s="1">
        <v>1</v>
      </c>
      <c r="C1060" s="1" t="str">
        <f>IF(B1060=0,VLOOKUP(A1060,Feuil2!$A$2:$M$1241,2,FALSE)," ")</f>
        <v xml:space="preserve"> </v>
      </c>
      <c r="D1060" s="1" t="s">
        <v>2381</v>
      </c>
      <c r="E1060" s="5">
        <v>27461</v>
      </c>
      <c r="F1060" s="1" t="s">
        <v>17</v>
      </c>
      <c r="G1060" s="1" t="s">
        <v>15</v>
      </c>
      <c r="H1060" s="1" t="s">
        <v>16</v>
      </c>
      <c r="I1060" s="6" t="str">
        <f>IF(B1060=0,VLOOKUP(A1060,Feuil2!$A$2:$M$1241,7,FALSE)," ")</f>
        <v xml:space="preserve"> </v>
      </c>
      <c r="J1060" s="1" t="str">
        <f>IF(B1060=0,VLOOKUP(A1060,Feuil2!$A$2:$M$1241,9,FALSE)," ")</f>
        <v xml:space="preserve"> </v>
      </c>
      <c r="K1060" s="1" t="str">
        <f>IF(B1060=0,VLOOKUP(A1060,Feuil2!$A$2:$M$1241,10,FALSE)," ")</f>
        <v xml:space="preserve"> </v>
      </c>
      <c r="L1060" s="1"/>
      <c r="M1060" s="1"/>
      <c r="N1060" s="1"/>
      <c r="O1060" s="8" t="str">
        <f>IF(B1060=0,VLOOKUP(A1060,Feuil2!$A$2:$M$1241,13,FALSE)," ")</f>
        <v xml:space="preserve"> </v>
      </c>
    </row>
    <row r="1061" spans="1:15" x14ac:dyDescent="0.3">
      <c r="A1061" s="1">
        <v>1625</v>
      </c>
      <c r="B1061" s="1">
        <v>2</v>
      </c>
      <c r="C1061" s="1" t="s">
        <v>103</v>
      </c>
      <c r="D1061" s="1" t="s">
        <v>130</v>
      </c>
      <c r="E1061" s="5">
        <v>35474</v>
      </c>
      <c r="F1061" s="1" t="s">
        <v>506</v>
      </c>
      <c r="G1061" s="1" t="str">
        <f>IF(B1061=0,VLOOKUP(A1061,Feuil2!$A$2:$M$1241,11,FALSE)," ")</f>
        <v xml:space="preserve"> </v>
      </c>
      <c r="H1061" s="1" t="s">
        <v>16</v>
      </c>
      <c r="I1061" s="6" t="str">
        <f>IF(B1061=0,VLOOKUP(A1061,Feuil2!$A$2:$M$1241,7,FALSE)," ")</f>
        <v xml:space="preserve"> </v>
      </c>
      <c r="J1061" s="1" t="str">
        <f>IF(B1061=0,VLOOKUP(A1061,Feuil2!$A$2:$M$1241,9,FALSE)," ")</f>
        <v xml:space="preserve"> </v>
      </c>
      <c r="K1061" s="1" t="str">
        <f>IF(B1061=0,VLOOKUP(A1061,Feuil2!$A$2:$M$1241,10,FALSE)," ")</f>
        <v xml:space="preserve"> </v>
      </c>
      <c r="L1061" s="1"/>
      <c r="M1061" s="1"/>
      <c r="N1061" s="1"/>
      <c r="O1061" s="8" t="str">
        <f>IF(B1061=0,VLOOKUP(A1061,Feuil2!$A$2:$M$1241,13,FALSE)," ")</f>
        <v xml:space="preserve"> </v>
      </c>
    </row>
    <row r="1062" spans="1:15" x14ac:dyDescent="0.3">
      <c r="A1062" s="1">
        <v>1625</v>
      </c>
      <c r="B1062" s="1">
        <v>3</v>
      </c>
      <c r="C1062" s="1" t="s">
        <v>103</v>
      </c>
      <c r="D1062" s="1" t="s">
        <v>2579</v>
      </c>
      <c r="E1062" s="5">
        <v>39081</v>
      </c>
      <c r="F1062" s="1" t="s">
        <v>17</v>
      </c>
      <c r="G1062" s="1" t="str">
        <f>IF(B1062=0,VLOOKUP(A1062,Feuil2!$A$2:$M$1241,11,FALSE)," ")</f>
        <v xml:space="preserve"> </v>
      </c>
      <c r="H1062" s="1" t="s">
        <v>16</v>
      </c>
      <c r="I1062" s="6" t="str">
        <f>IF(B1062=0,VLOOKUP(A1062,Feuil2!$A$2:$M$1241,7,FALSE)," ")</f>
        <v xml:space="preserve"> </v>
      </c>
      <c r="J1062" s="1" t="str">
        <f>IF(B1062=0,VLOOKUP(A1062,Feuil2!$A$2:$M$1241,9,FALSE)," ")</f>
        <v xml:space="preserve"> </v>
      </c>
      <c r="K1062" s="1" t="str">
        <f>IF(B1062=0,VLOOKUP(A1062,Feuil2!$A$2:$M$1241,10,FALSE)," ")</f>
        <v xml:space="preserve"> </v>
      </c>
      <c r="L1062" s="1"/>
      <c r="M1062" s="1"/>
      <c r="N1062" s="1"/>
      <c r="O1062" s="8" t="str">
        <f>IF(B1062=0,VLOOKUP(A1062,Feuil2!$A$2:$M$1241,13,FALSE)," ")</f>
        <v xml:space="preserve"> </v>
      </c>
    </row>
    <row r="1063" spans="1:15" x14ac:dyDescent="0.3">
      <c r="A1063" s="1">
        <v>1626</v>
      </c>
      <c r="B1063" s="17">
        <v>0</v>
      </c>
      <c r="C1063" s="17" t="str">
        <f>IF(B1063=0,VLOOKUP(A1063,Feuil2!$A$2:$M$1241,2,FALSE)," ")</f>
        <v>CHAARANA</v>
      </c>
      <c r="D1063" s="17" t="str">
        <f>IF(B1063=0,VLOOKUP(A1063,Feuil2!$A$2:$M$1241,3,FALSE)," ")</f>
        <v>MOHAMED</v>
      </c>
      <c r="E1063" s="18">
        <f>IF(B1063=0,VLOOKUP(A1063,Feuil2!$A$2:$M$1241,6,FALSE)," ")</f>
        <v>25236</v>
      </c>
      <c r="F1063" s="17" t="str">
        <f>IF(B1063=0,VLOOKUP(A1063,Feuil2!$A$2:$M$1241,12,FALSE)," ")</f>
        <v>H</v>
      </c>
      <c r="G1063" s="17" t="str">
        <f>IF(B1063=0,VLOOKUP(A1063,Feuil2!$A$2:$M$1241,11,FALSE)," ")</f>
        <v>M</v>
      </c>
      <c r="H1063" s="17" t="s">
        <v>16</v>
      </c>
      <c r="I1063" s="19">
        <f>IF(B1063=0,VLOOKUP(A1063,Feuil2!$A$2:$M$1241,7,FALSE)," ")</f>
        <v>5517129</v>
      </c>
      <c r="J1063" s="17" t="str">
        <f>IF(B1063=0,VLOOKUP(A1063,Feuil2!$A$2:$M$1241,9,FALSE)," ")</f>
        <v>143 Rue HÃ©di Chaker</v>
      </c>
      <c r="K1063" s="17" t="str">
        <f>IF(B1063=0,VLOOKUP(A1063,Feuil2!$A$2:$M$1241,10,FALSE)," ")</f>
        <v>Msaken 4070</v>
      </c>
      <c r="L1063" s="17">
        <v>4070</v>
      </c>
      <c r="M1063" s="17">
        <v>97800668</v>
      </c>
      <c r="N1063" s="17"/>
      <c r="O1063" s="20" t="str">
        <f>IF(B1063=0,VLOOKUP(A1063,Feuil2!$A$2:$M$1241,13,FALSE)," ")</f>
        <v>04204067000979955222</v>
      </c>
    </row>
    <row r="1064" spans="1:15" x14ac:dyDescent="0.3">
      <c r="A1064" s="1">
        <v>1626</v>
      </c>
      <c r="B1064" s="1">
        <v>1</v>
      </c>
      <c r="C1064" s="1" t="s">
        <v>103</v>
      </c>
      <c r="D1064" s="1" t="s">
        <v>1301</v>
      </c>
      <c r="E1064" s="5">
        <v>28447</v>
      </c>
      <c r="F1064" s="1" t="s">
        <v>17</v>
      </c>
      <c r="G1064" s="1" t="s">
        <v>15</v>
      </c>
      <c r="H1064" s="1" t="s">
        <v>16</v>
      </c>
      <c r="I1064" s="6" t="str">
        <f>IF(B1064=0,VLOOKUP(A1064,Feuil2!$A$2:$M$1241,7,FALSE)," ")</f>
        <v xml:space="preserve"> </v>
      </c>
      <c r="J1064" s="1" t="str">
        <f>IF(B1064=0,VLOOKUP(A1064,Feuil2!$A$2:$M$1241,9,FALSE)," ")</f>
        <v xml:space="preserve"> </v>
      </c>
      <c r="K1064" s="1" t="str">
        <f>IF(B1064=0,VLOOKUP(A1064,Feuil2!$A$2:$M$1241,10,FALSE)," ")</f>
        <v xml:space="preserve"> </v>
      </c>
      <c r="L1064" s="1"/>
      <c r="M1064" s="1"/>
      <c r="N1064" s="1"/>
      <c r="O1064" s="8" t="str">
        <f>IF(B1064=0,VLOOKUP(A1064,Feuil2!$A$2:$M$1241,13,FALSE)," ")</f>
        <v xml:space="preserve"> </v>
      </c>
    </row>
    <row r="1065" spans="1:15" x14ac:dyDescent="0.3">
      <c r="A1065" s="1">
        <v>1626</v>
      </c>
      <c r="B1065" s="1">
        <v>2</v>
      </c>
      <c r="C1065" s="1" t="s">
        <v>84</v>
      </c>
      <c r="D1065" s="1" t="s">
        <v>107</v>
      </c>
      <c r="E1065" s="5">
        <v>38279</v>
      </c>
      <c r="F1065" s="1" t="s">
        <v>506</v>
      </c>
      <c r="G1065" s="1" t="str">
        <f>IF(B1065=0,VLOOKUP(A1065,Feuil2!$A$2:$M$1241,11,FALSE)," ")</f>
        <v xml:space="preserve"> </v>
      </c>
      <c r="H1065" s="1" t="s">
        <v>16</v>
      </c>
      <c r="I1065" s="6" t="str">
        <f>IF(B1065=0,VLOOKUP(A1065,Feuil2!$A$2:$M$1241,7,FALSE)," ")</f>
        <v xml:space="preserve"> </v>
      </c>
      <c r="J1065" s="1" t="str">
        <f>IF(B1065=0,VLOOKUP(A1065,Feuil2!$A$2:$M$1241,9,FALSE)," ")</f>
        <v xml:space="preserve"> </v>
      </c>
      <c r="K1065" s="1" t="str">
        <f>IF(B1065=0,VLOOKUP(A1065,Feuil2!$A$2:$M$1241,10,FALSE)," ")</f>
        <v xml:space="preserve"> </v>
      </c>
      <c r="L1065" s="1"/>
      <c r="M1065" s="1"/>
      <c r="N1065" s="1"/>
      <c r="O1065" s="8" t="str">
        <f>IF(B1065=0,VLOOKUP(A1065,Feuil2!$A$2:$M$1241,13,FALSE)," ")</f>
        <v xml:space="preserve"> </v>
      </c>
    </row>
    <row r="1066" spans="1:15" x14ac:dyDescent="0.3">
      <c r="A1066" s="1">
        <v>1626</v>
      </c>
      <c r="B1066" s="1">
        <v>3</v>
      </c>
      <c r="C1066" s="1" t="s">
        <v>84</v>
      </c>
      <c r="D1066" s="1" t="s">
        <v>2060</v>
      </c>
      <c r="E1066" s="5">
        <v>41497</v>
      </c>
      <c r="F1066" s="1" t="s">
        <v>17</v>
      </c>
      <c r="G1066" s="1" t="str">
        <f>IF(B1066=0,VLOOKUP(A1066,Feuil2!$A$2:$M$1241,11,FALSE)," ")</f>
        <v xml:space="preserve"> </v>
      </c>
      <c r="H1066" s="1" t="s">
        <v>16</v>
      </c>
      <c r="I1066" s="6" t="str">
        <f>IF(B1066=0,VLOOKUP(A1066,Feuil2!$A$2:$M$1241,7,FALSE)," ")</f>
        <v xml:space="preserve"> </v>
      </c>
      <c r="J1066" s="1" t="str">
        <f>IF(B1066=0,VLOOKUP(A1066,Feuil2!$A$2:$M$1241,9,FALSE)," ")</f>
        <v xml:space="preserve"> </v>
      </c>
      <c r="K1066" s="1" t="str">
        <f>IF(B1066=0,VLOOKUP(A1066,Feuil2!$A$2:$M$1241,10,FALSE)," ")</f>
        <v xml:space="preserve"> </v>
      </c>
      <c r="L1066" s="1"/>
      <c r="M1066" s="1"/>
      <c r="N1066" s="1"/>
      <c r="O1066" s="8" t="str">
        <f>IF(B1066=0,VLOOKUP(A1066,Feuil2!$A$2:$M$1241,13,FALSE)," ")</f>
        <v xml:space="preserve"> </v>
      </c>
    </row>
    <row r="1067" spans="1:15" x14ac:dyDescent="0.3">
      <c r="A1067" s="1">
        <v>1633</v>
      </c>
      <c r="B1067" s="1">
        <v>0</v>
      </c>
      <c r="C1067" s="1" t="str">
        <f>IF(B1067=0,VLOOKUP(A1067,Feuil2!$A$2:$M$1241,2,FALSE)," ")</f>
        <v>ROMDHANE</v>
      </c>
      <c r="D1067" s="1" t="str">
        <f>IF(B1067=0,VLOOKUP(A1067,Feuil2!$A$2:$M$1241,3,FALSE)," ")</f>
        <v>HEDI</v>
      </c>
      <c r="E1067" s="5">
        <f>IF(B1067=0,VLOOKUP(A1067,Feuil2!$A$2:$M$1241,6,FALSE)," ")</f>
        <v>27233</v>
      </c>
      <c r="F1067" s="1" t="str">
        <f>IF(B1067=0,VLOOKUP(A1067,Feuil2!$A$2:$M$1241,12,FALSE)," ")</f>
        <v>H</v>
      </c>
      <c r="G1067" s="1" t="str">
        <f>IF(B1067=0,VLOOKUP(A1067,Feuil2!$A$2:$M$1241,11,FALSE)," ")</f>
        <v>M</v>
      </c>
      <c r="H1067" s="1" t="s">
        <v>16</v>
      </c>
      <c r="I1067" s="6">
        <f>IF(B1067=0,VLOOKUP(A1067,Feuil2!$A$2:$M$1241,7,FALSE)," ")</f>
        <v>5546757</v>
      </c>
      <c r="J1067" s="1" t="str">
        <f>IF(B1067=0,VLOOKUP(A1067,Feuil2!$A$2:$M$1241,9,FALSE)," ")</f>
        <v>8 Rue Aziza Othmana</v>
      </c>
      <c r="K1067" s="1" t="str">
        <f>IF(B1067=0,VLOOKUP(A1067,Feuil2!$A$2:$M$1241,10,FALSE)," ")</f>
        <v>Msaken 4070</v>
      </c>
      <c r="L1067" s="1">
        <v>4070</v>
      </c>
      <c r="M1067" s="1">
        <v>26077854</v>
      </c>
      <c r="N1067" s="1"/>
      <c r="O1067" s="8" t="str">
        <f>IF(B1067=0,VLOOKUP(A1067,Feuil2!$A$2:$M$1241,13,FALSE)," ")</f>
        <v>10506040206974378896</v>
      </c>
    </row>
    <row r="1068" spans="1:15" x14ac:dyDescent="0.3">
      <c r="A1068" s="1">
        <v>1633</v>
      </c>
      <c r="B1068" s="1">
        <v>1</v>
      </c>
      <c r="C1068" s="1" t="s">
        <v>620</v>
      </c>
      <c r="D1068" s="1" t="s">
        <v>2327</v>
      </c>
      <c r="E1068" s="5">
        <v>32333</v>
      </c>
      <c r="F1068" s="1" t="s">
        <v>17</v>
      </c>
      <c r="G1068" s="1" t="s">
        <v>15</v>
      </c>
      <c r="H1068" s="1" t="s">
        <v>16</v>
      </c>
      <c r="I1068" s="6" t="str">
        <f>IF(B1068=0,VLOOKUP(A1068,Feuil2!$A$2:$M$1241,7,FALSE)," ")</f>
        <v xml:space="preserve"> </v>
      </c>
      <c r="J1068" s="1" t="str">
        <f>IF(B1068=0,VLOOKUP(A1068,Feuil2!$A$2:$M$1241,9,FALSE)," ")</f>
        <v xml:space="preserve"> </v>
      </c>
      <c r="K1068" s="1" t="str">
        <f>IF(B1068=0,VLOOKUP(A1068,Feuil2!$A$2:$M$1241,10,FALSE)," ")</f>
        <v xml:space="preserve"> </v>
      </c>
      <c r="L1068" s="1"/>
      <c r="M1068" s="1"/>
      <c r="N1068" s="1"/>
      <c r="O1068" s="8" t="str">
        <f>IF(B1068=0,VLOOKUP(A1068,Feuil2!$A$2:$M$1241,13,FALSE)," ")</f>
        <v xml:space="preserve"> </v>
      </c>
    </row>
    <row r="1069" spans="1:15" x14ac:dyDescent="0.3">
      <c r="A1069" s="1">
        <v>1633</v>
      </c>
      <c r="B1069" s="1">
        <v>2</v>
      </c>
      <c r="C1069" s="1" t="s">
        <v>62</v>
      </c>
      <c r="D1069" s="1" t="s">
        <v>2383</v>
      </c>
      <c r="E1069" s="5">
        <v>39623</v>
      </c>
      <c r="F1069" s="1" t="s">
        <v>17</v>
      </c>
      <c r="G1069" s="1" t="str">
        <f>IF(B1069=0,VLOOKUP(A1069,Feuil2!$A$2:$M$1241,11,FALSE)," ")</f>
        <v xml:space="preserve"> </v>
      </c>
      <c r="H1069" s="1" t="s">
        <v>16</v>
      </c>
      <c r="I1069" s="6" t="str">
        <f>IF(B1069=0,VLOOKUP(A1069,Feuil2!$A$2:$M$1241,7,FALSE)," ")</f>
        <v xml:space="preserve"> </v>
      </c>
      <c r="J1069" s="1" t="str">
        <f>IF(B1069=0,VLOOKUP(A1069,Feuil2!$A$2:$M$1241,9,FALSE)," ")</f>
        <v xml:space="preserve"> </v>
      </c>
      <c r="K1069" s="1" t="str">
        <f>IF(B1069=0,VLOOKUP(A1069,Feuil2!$A$2:$M$1241,10,FALSE)," ")</f>
        <v xml:space="preserve"> </v>
      </c>
      <c r="L1069" s="1"/>
      <c r="M1069" s="1"/>
      <c r="N1069" s="1"/>
      <c r="O1069" s="8" t="str">
        <f>IF(B1069=0,VLOOKUP(A1069,Feuil2!$A$2:$M$1241,13,FALSE)," ")</f>
        <v xml:space="preserve"> </v>
      </c>
    </row>
    <row r="1070" spans="1:15" x14ac:dyDescent="0.3">
      <c r="A1070" s="1">
        <v>1633</v>
      </c>
      <c r="B1070" s="1">
        <v>3</v>
      </c>
      <c r="C1070" s="1" t="s">
        <v>62</v>
      </c>
      <c r="D1070" s="1" t="s">
        <v>2663</v>
      </c>
      <c r="E1070" s="5">
        <v>40345</v>
      </c>
      <c r="F1070" s="1" t="s">
        <v>17</v>
      </c>
      <c r="G1070" s="1" t="str">
        <f>IF(B1070=0,VLOOKUP(A1070,Feuil2!$A$2:$M$1241,11,FALSE)," ")</f>
        <v xml:space="preserve"> </v>
      </c>
      <c r="H1070" s="1" t="s">
        <v>16</v>
      </c>
      <c r="I1070" s="6" t="str">
        <f>IF(B1070=0,VLOOKUP(A1070,Feuil2!$A$2:$M$1241,7,FALSE)," ")</f>
        <v xml:space="preserve"> </v>
      </c>
      <c r="J1070" s="1" t="str">
        <f>IF(B1070=0,VLOOKUP(A1070,Feuil2!$A$2:$M$1241,9,FALSE)," ")</f>
        <v xml:space="preserve"> </v>
      </c>
      <c r="K1070" s="1" t="str">
        <f>IF(B1070=0,VLOOKUP(A1070,Feuil2!$A$2:$M$1241,10,FALSE)," ")</f>
        <v xml:space="preserve"> </v>
      </c>
      <c r="L1070" s="1"/>
      <c r="M1070" s="1"/>
      <c r="N1070" s="1"/>
      <c r="O1070" s="8" t="str">
        <f>IF(B1070=0,VLOOKUP(A1070,Feuil2!$A$2:$M$1241,13,FALSE)," ")</f>
        <v xml:space="preserve"> </v>
      </c>
    </row>
    <row r="1071" spans="1:15" x14ac:dyDescent="0.3">
      <c r="A1071" s="1">
        <v>1633</v>
      </c>
      <c r="B1071" s="1">
        <v>4</v>
      </c>
      <c r="C1071" s="1" t="s">
        <v>62</v>
      </c>
      <c r="D1071" s="1" t="s">
        <v>2664</v>
      </c>
      <c r="E1071" s="5">
        <v>41941</v>
      </c>
      <c r="F1071" s="1" t="s">
        <v>506</v>
      </c>
      <c r="G1071" s="1" t="str">
        <f>IF(B1071=0,VLOOKUP(A1071,Feuil2!$A$2:$M$1241,11,FALSE)," ")</f>
        <v xml:space="preserve"> </v>
      </c>
      <c r="H1071" s="1" t="s">
        <v>16</v>
      </c>
      <c r="I1071" s="6" t="str">
        <f>IF(B1071=0,VLOOKUP(A1071,Feuil2!$A$2:$M$1241,7,FALSE)," ")</f>
        <v xml:space="preserve"> </v>
      </c>
      <c r="J1071" s="1" t="str">
        <f>IF(B1071=0,VLOOKUP(A1071,Feuil2!$A$2:$M$1241,9,FALSE)," ")</f>
        <v xml:space="preserve"> </v>
      </c>
      <c r="K1071" s="1" t="str">
        <f>IF(B1071=0,VLOOKUP(A1071,Feuil2!$A$2:$M$1241,10,FALSE)," ")</f>
        <v xml:space="preserve"> </v>
      </c>
      <c r="L1071" s="1"/>
      <c r="M1071" s="1"/>
      <c r="N1071" s="1"/>
      <c r="O1071" s="8" t="str">
        <f>IF(B1071=0,VLOOKUP(A1071,Feuil2!$A$2:$M$1241,13,FALSE)," ")</f>
        <v xml:space="preserve"> </v>
      </c>
    </row>
    <row r="1072" spans="1:15" x14ac:dyDescent="0.3">
      <c r="A1072" s="1">
        <v>1639</v>
      </c>
      <c r="B1072" s="1">
        <v>0</v>
      </c>
      <c r="C1072" s="1" t="str">
        <f>IF(B1072=0,VLOOKUP(A1072,Feuil2!$A$2:$M$1241,2,FALSE)," ")</f>
        <v>ZBIDI</v>
      </c>
      <c r="D1072" s="1" t="str">
        <f>IF(B1072=0,VLOOKUP(A1072,Feuil2!$A$2:$M$1241,3,FALSE)," ")</f>
        <v>FAKHER</v>
      </c>
      <c r="E1072" s="5">
        <f>IF(B1072=0,VLOOKUP(A1072,Feuil2!$A$2:$M$1241,6,FALSE)," ")</f>
        <v>24279</v>
      </c>
      <c r="F1072" s="1" t="str">
        <f>IF(B1072=0,VLOOKUP(A1072,Feuil2!$A$2:$M$1241,12,FALSE)," ")</f>
        <v>H</v>
      </c>
      <c r="G1072" s="1" t="str">
        <f>IF(B1072=0,VLOOKUP(A1072,Feuil2!$A$2:$M$1241,11,FALSE)," ")</f>
        <v>M</v>
      </c>
      <c r="H1072" s="1" t="s">
        <v>16</v>
      </c>
      <c r="I1072" s="6">
        <f>IF(B1072=0,VLOOKUP(A1072,Feuil2!$A$2:$M$1241,7,FALSE)," ")</f>
        <v>2980299</v>
      </c>
      <c r="J1072" s="1" t="str">
        <f>IF(B1072=0,VLOOKUP(A1072,Feuil2!$A$2:$M$1241,9,FALSE)," ")</f>
        <v>NULL</v>
      </c>
      <c r="K1072" s="1" t="str">
        <f>IF(B1072=0,VLOOKUP(A1072,Feuil2!$A$2:$M$1241,10,FALSE)," ")</f>
        <v>NULL</v>
      </c>
      <c r="L1072" s="1"/>
      <c r="M1072" s="1">
        <v>98793521</v>
      </c>
      <c r="N1072" s="1"/>
      <c r="O1072" s="8" t="str">
        <f>IF(B1072=0,VLOOKUP(A1072,Feuil2!$A$2:$M$1241,13,FALSE)," ")</f>
        <v>14014014100700604557</v>
      </c>
    </row>
    <row r="1073" spans="1:15" x14ac:dyDescent="0.3">
      <c r="A1073" s="1">
        <v>1639</v>
      </c>
      <c r="B1073" s="1">
        <v>1</v>
      </c>
      <c r="C1073" s="1" t="s">
        <v>1486</v>
      </c>
      <c r="D1073" s="1" t="s">
        <v>2316</v>
      </c>
      <c r="E1073" s="5">
        <v>26752</v>
      </c>
      <c r="F1073" s="1" t="s">
        <v>17</v>
      </c>
      <c r="G1073" s="1" t="s">
        <v>15</v>
      </c>
      <c r="H1073" s="1" t="s">
        <v>16</v>
      </c>
      <c r="I1073" s="6" t="str">
        <f>IF(B1073=0,VLOOKUP(A1073,Feuil2!$A$2:$M$1241,7,FALSE)," ")</f>
        <v xml:space="preserve"> </v>
      </c>
      <c r="J1073" s="1" t="str">
        <f>IF(B1073=0,VLOOKUP(A1073,Feuil2!$A$2:$M$1241,9,FALSE)," ")</f>
        <v xml:space="preserve"> </v>
      </c>
      <c r="K1073" s="1" t="str">
        <f>IF(B1073=0,VLOOKUP(A1073,Feuil2!$A$2:$M$1241,10,FALSE)," ")</f>
        <v xml:space="preserve"> </v>
      </c>
      <c r="L1073" s="1"/>
      <c r="M1073" s="1"/>
      <c r="N1073" s="1"/>
      <c r="O1073" s="8" t="str">
        <f>IF(B1073=0,VLOOKUP(A1073,Feuil2!$A$2:$M$1241,13,FALSE)," ")</f>
        <v xml:space="preserve"> </v>
      </c>
    </row>
    <row r="1074" spans="1:15" x14ac:dyDescent="0.3">
      <c r="A1074" s="1">
        <v>1639</v>
      </c>
      <c r="B1074" s="1">
        <v>2</v>
      </c>
      <c r="C1074" s="1" t="s">
        <v>409</v>
      </c>
      <c r="D1074" s="1" t="s">
        <v>2371</v>
      </c>
      <c r="E1074" s="5">
        <v>37770</v>
      </c>
      <c r="F1074" s="1" t="s">
        <v>17</v>
      </c>
      <c r="G1074" s="1" t="str">
        <f>IF(B1074=0,VLOOKUP(A1074,Feuil2!$A$2:$M$1241,11,FALSE)," ")</f>
        <v xml:space="preserve"> </v>
      </c>
      <c r="H1074" s="1" t="s">
        <v>16</v>
      </c>
      <c r="I1074" s="6" t="str">
        <f>IF(B1074=0,VLOOKUP(A1074,Feuil2!$A$2:$M$1241,7,FALSE)," ")</f>
        <v xml:space="preserve"> </v>
      </c>
      <c r="J1074" s="1" t="str">
        <f>IF(B1074=0,VLOOKUP(A1074,Feuil2!$A$2:$M$1241,9,FALSE)," ")</f>
        <v xml:space="preserve"> </v>
      </c>
      <c r="K1074" s="1" t="str">
        <f>IF(B1074=0,VLOOKUP(A1074,Feuil2!$A$2:$M$1241,10,FALSE)," ")</f>
        <v xml:space="preserve"> </v>
      </c>
      <c r="L1074" s="1"/>
      <c r="M1074" s="1"/>
      <c r="N1074" s="1"/>
      <c r="O1074" s="8" t="str">
        <f>IF(B1074=0,VLOOKUP(A1074,Feuil2!$A$2:$M$1241,13,FALSE)," ")</f>
        <v xml:space="preserve"> </v>
      </c>
    </row>
    <row r="1075" spans="1:15" x14ac:dyDescent="0.3">
      <c r="A1075" s="1">
        <v>1639</v>
      </c>
      <c r="B1075" s="1">
        <v>3</v>
      </c>
      <c r="C1075" s="1" t="s">
        <v>409</v>
      </c>
      <c r="D1075" s="1" t="s">
        <v>1824</v>
      </c>
      <c r="E1075" s="5">
        <v>38840</v>
      </c>
      <c r="F1075" s="1" t="s">
        <v>17</v>
      </c>
      <c r="G1075" s="1" t="str">
        <f>IF(B1075=0,VLOOKUP(A1075,Feuil2!$A$2:$M$1241,11,FALSE)," ")</f>
        <v xml:space="preserve"> </v>
      </c>
      <c r="H1075" s="1" t="s">
        <v>16</v>
      </c>
      <c r="I1075" s="6" t="str">
        <f>IF(B1075=0,VLOOKUP(A1075,Feuil2!$A$2:$M$1241,7,FALSE)," ")</f>
        <v xml:space="preserve"> </v>
      </c>
      <c r="J1075" s="1" t="str">
        <f>IF(B1075=0,VLOOKUP(A1075,Feuil2!$A$2:$M$1241,9,FALSE)," ")</f>
        <v xml:space="preserve"> </v>
      </c>
      <c r="K1075" s="1" t="str">
        <f>IF(B1075=0,VLOOKUP(A1075,Feuil2!$A$2:$M$1241,10,FALSE)," ")</f>
        <v xml:space="preserve"> </v>
      </c>
      <c r="L1075" s="1"/>
      <c r="M1075" s="1"/>
      <c r="N1075" s="1"/>
      <c r="O1075" s="8" t="str">
        <f>IF(B1075=0,VLOOKUP(A1075,Feuil2!$A$2:$M$1241,13,FALSE)," ")</f>
        <v xml:space="preserve"> </v>
      </c>
    </row>
    <row r="1076" spans="1:15" x14ac:dyDescent="0.3">
      <c r="A1076" s="1">
        <v>1639</v>
      </c>
      <c r="B1076" s="1">
        <v>4</v>
      </c>
      <c r="C1076" s="1" t="s">
        <v>409</v>
      </c>
      <c r="D1076" s="1" t="s">
        <v>2345</v>
      </c>
      <c r="E1076" s="5">
        <v>40528</v>
      </c>
      <c r="F1076" s="1" t="s">
        <v>17</v>
      </c>
      <c r="G1076" s="1" t="str">
        <f>IF(B1076=0,VLOOKUP(A1076,Feuil2!$A$2:$M$1241,11,FALSE)," ")</f>
        <v xml:space="preserve"> </v>
      </c>
      <c r="H1076" s="1" t="s">
        <v>16</v>
      </c>
      <c r="I1076" s="6" t="str">
        <f>IF(B1076=0,VLOOKUP(A1076,Feuil2!$A$2:$M$1241,7,FALSE)," ")</f>
        <v xml:space="preserve"> </v>
      </c>
      <c r="J1076" s="1" t="str">
        <f>IF(B1076=0,VLOOKUP(A1076,Feuil2!$A$2:$M$1241,9,FALSE)," ")</f>
        <v xml:space="preserve"> </v>
      </c>
      <c r="K1076" s="1" t="str">
        <f>IF(B1076=0,VLOOKUP(A1076,Feuil2!$A$2:$M$1241,10,FALSE)," ")</f>
        <v xml:space="preserve"> </v>
      </c>
      <c r="L1076" s="1"/>
      <c r="M1076" s="1"/>
      <c r="N1076" s="1"/>
      <c r="O1076" s="8" t="str">
        <f>IF(B1076=0,VLOOKUP(A1076,Feuil2!$A$2:$M$1241,13,FALSE)," ")</f>
        <v xml:space="preserve"> </v>
      </c>
    </row>
    <row r="1077" spans="1:15" x14ac:dyDescent="0.3">
      <c r="A1077" s="1">
        <v>1643</v>
      </c>
      <c r="B1077" s="1">
        <v>0</v>
      </c>
      <c r="C1077" s="1" t="str">
        <f>IF(B1077=0,VLOOKUP(A1077,Feuil2!$A$2:$M$1241,2,FALSE)," ")</f>
        <v>HALLEB</v>
      </c>
      <c r="D1077" s="1" t="str">
        <f>IF(B1077=0,VLOOKUP(A1077,Feuil2!$A$2:$M$1241,3,FALSE)," ")</f>
        <v>SALAH</v>
      </c>
      <c r="E1077" s="5">
        <f>IF(B1077=0,VLOOKUP(A1077,Feuil2!$A$2:$M$1241,6,FALSE)," ")</f>
        <v>28526</v>
      </c>
      <c r="F1077" s="1" t="str">
        <f>IF(B1077=0,VLOOKUP(A1077,Feuil2!$A$2:$M$1241,12,FALSE)," ")</f>
        <v>H</v>
      </c>
      <c r="G1077" s="1" t="str">
        <f>IF(B1077=0,VLOOKUP(A1077,Feuil2!$A$2:$M$1241,11,FALSE)," ")</f>
        <v>M</v>
      </c>
      <c r="H1077" s="1" t="s">
        <v>16</v>
      </c>
      <c r="I1077" s="6">
        <f>IF(B1077=0,VLOOKUP(A1077,Feuil2!$A$2:$M$1241,7,FALSE)," ")</f>
        <v>5581900</v>
      </c>
      <c r="J1077" s="1" t="str">
        <f>IF(B1077=0,VLOOKUP(A1077,Feuil2!$A$2:$M$1241,9,FALSE)," ")</f>
        <v>4014 Knaies</v>
      </c>
      <c r="K1077" s="1" t="str">
        <f>IF(B1077=0,VLOOKUP(A1077,Feuil2!$A$2:$M$1241,10,FALSE)," ")</f>
        <v>Knaies 4014</v>
      </c>
      <c r="L1077" s="1">
        <v>4014</v>
      </c>
      <c r="M1077" s="1">
        <v>97554413</v>
      </c>
      <c r="N1077" s="1"/>
      <c r="O1077" s="8" t="str">
        <f>IF(B1077=0,VLOOKUP(A1077,Feuil2!$A$2:$M$1241,13,FALSE)," ")</f>
        <v>10506040206209778821</v>
      </c>
    </row>
    <row r="1078" spans="1:15" x14ac:dyDescent="0.3">
      <c r="A1078" s="1">
        <v>1643</v>
      </c>
      <c r="B1078" s="1">
        <v>1</v>
      </c>
      <c r="C1078" s="1" t="s">
        <v>111</v>
      </c>
      <c r="D1078" s="1" t="s">
        <v>2569</v>
      </c>
      <c r="E1078" s="5">
        <v>32483</v>
      </c>
      <c r="F1078" s="1" t="s">
        <v>17</v>
      </c>
      <c r="G1078" s="1" t="s">
        <v>15</v>
      </c>
      <c r="H1078" s="1" t="s">
        <v>16</v>
      </c>
      <c r="I1078" s="6" t="str">
        <f>IF(B1078=0,VLOOKUP(A1078,Feuil2!$A$2:$M$1241,7,FALSE)," ")</f>
        <v xml:space="preserve"> </v>
      </c>
      <c r="J1078" s="1" t="str">
        <f>IF(B1078=0,VLOOKUP(A1078,Feuil2!$A$2:$M$1241,9,FALSE)," ")</f>
        <v xml:space="preserve"> </v>
      </c>
      <c r="K1078" s="1" t="str">
        <f>IF(B1078=0,VLOOKUP(A1078,Feuil2!$A$2:$M$1241,10,FALSE)," ")</f>
        <v xml:space="preserve"> </v>
      </c>
      <c r="L1078" s="1"/>
      <c r="M1078" s="1"/>
      <c r="N1078" s="1"/>
      <c r="O1078" s="8" t="str">
        <f>IF(B1078=0,VLOOKUP(A1078,Feuil2!$A$2:$M$1241,13,FALSE)," ")</f>
        <v xml:space="preserve"> </v>
      </c>
    </row>
    <row r="1079" spans="1:15" x14ac:dyDescent="0.3">
      <c r="A1079" s="1">
        <v>1643</v>
      </c>
      <c r="B1079" s="1">
        <v>2</v>
      </c>
      <c r="C1079" s="1" t="s">
        <v>207</v>
      </c>
      <c r="D1079" s="1" t="s">
        <v>2665</v>
      </c>
      <c r="E1079" s="5">
        <v>39982</v>
      </c>
      <c r="F1079" s="1" t="s">
        <v>17</v>
      </c>
      <c r="G1079" s="1" t="str">
        <f>IF(B1079=0,VLOOKUP(A1079,Feuil2!$A$2:$M$1241,11,FALSE)," ")</f>
        <v xml:space="preserve"> </v>
      </c>
      <c r="H1079" s="1" t="s">
        <v>16</v>
      </c>
      <c r="I1079" s="6" t="str">
        <f>IF(B1079=0,VLOOKUP(A1079,Feuil2!$A$2:$M$1241,7,FALSE)," ")</f>
        <v xml:space="preserve"> </v>
      </c>
      <c r="J1079" s="1" t="str">
        <f>IF(B1079=0,VLOOKUP(A1079,Feuil2!$A$2:$M$1241,9,FALSE)," ")</f>
        <v xml:space="preserve"> </v>
      </c>
      <c r="K1079" s="1" t="str">
        <f>IF(B1079=0,VLOOKUP(A1079,Feuil2!$A$2:$M$1241,10,FALSE)," ")</f>
        <v xml:space="preserve"> </v>
      </c>
      <c r="L1079" s="1"/>
      <c r="M1079" s="1"/>
      <c r="N1079" s="1"/>
      <c r="O1079" s="8" t="str">
        <f>IF(B1079=0,VLOOKUP(A1079,Feuil2!$A$2:$M$1241,13,FALSE)," ")</f>
        <v xml:space="preserve"> </v>
      </c>
    </row>
    <row r="1080" spans="1:15" x14ac:dyDescent="0.3">
      <c r="A1080" s="1">
        <v>1643</v>
      </c>
      <c r="B1080" s="1">
        <v>3</v>
      </c>
      <c r="C1080" s="1" t="s">
        <v>207</v>
      </c>
      <c r="D1080" s="1" t="s">
        <v>2498</v>
      </c>
      <c r="E1080" s="5">
        <v>41677</v>
      </c>
      <c r="F1080" s="1" t="s">
        <v>17</v>
      </c>
      <c r="G1080" s="1" t="str">
        <f>IF(B1080=0,VLOOKUP(A1080,Feuil2!$A$2:$M$1241,11,FALSE)," ")</f>
        <v xml:space="preserve"> </v>
      </c>
      <c r="H1080" s="1" t="s">
        <v>16</v>
      </c>
      <c r="I1080" s="6" t="str">
        <f>IF(B1080=0,VLOOKUP(A1080,Feuil2!$A$2:$M$1241,7,FALSE)," ")</f>
        <v xml:space="preserve"> </v>
      </c>
      <c r="J1080" s="1" t="str">
        <f>IF(B1080=0,VLOOKUP(A1080,Feuil2!$A$2:$M$1241,9,FALSE)," ")</f>
        <v xml:space="preserve"> </v>
      </c>
      <c r="K1080" s="1" t="str">
        <f>IF(B1080=0,VLOOKUP(A1080,Feuil2!$A$2:$M$1241,10,FALSE)," ")</f>
        <v xml:space="preserve"> </v>
      </c>
      <c r="L1080" s="1"/>
      <c r="M1080" s="1"/>
      <c r="N1080" s="1"/>
      <c r="O1080" s="8" t="str">
        <f>IF(B1080=0,VLOOKUP(A1080,Feuil2!$A$2:$M$1241,13,FALSE)," ")</f>
        <v xml:space="preserve"> </v>
      </c>
    </row>
    <row r="1081" spans="1:15" x14ac:dyDescent="0.3">
      <c r="A1081" s="1">
        <v>1643</v>
      </c>
      <c r="B1081" s="1">
        <v>4</v>
      </c>
      <c r="C1081" s="1" t="s">
        <v>207</v>
      </c>
      <c r="D1081" s="1" t="s">
        <v>34</v>
      </c>
      <c r="E1081" s="5">
        <v>42119</v>
      </c>
      <c r="F1081" s="1" t="s">
        <v>506</v>
      </c>
      <c r="G1081" s="1" t="str">
        <f>IF(B1081=0,VLOOKUP(A1081,Feuil2!$A$2:$M$1241,11,FALSE)," ")</f>
        <v xml:space="preserve"> </v>
      </c>
      <c r="H1081" s="1" t="s">
        <v>16</v>
      </c>
      <c r="I1081" s="6" t="str">
        <f>IF(B1081=0,VLOOKUP(A1081,Feuil2!$A$2:$M$1241,7,FALSE)," ")</f>
        <v xml:space="preserve"> </v>
      </c>
      <c r="J1081" s="1" t="str">
        <f>IF(B1081=0,VLOOKUP(A1081,Feuil2!$A$2:$M$1241,9,FALSE)," ")</f>
        <v xml:space="preserve"> </v>
      </c>
      <c r="K1081" s="1" t="str">
        <f>IF(B1081=0,VLOOKUP(A1081,Feuil2!$A$2:$M$1241,10,FALSE)," ")</f>
        <v xml:space="preserve"> </v>
      </c>
      <c r="L1081" s="1"/>
      <c r="M1081" s="1"/>
      <c r="N1081" s="1"/>
      <c r="O1081" s="8" t="str">
        <f>IF(B1081=0,VLOOKUP(A1081,Feuil2!$A$2:$M$1241,13,FALSE)," ")</f>
        <v xml:space="preserve"> </v>
      </c>
    </row>
    <row r="1082" spans="1:15" x14ac:dyDescent="0.3">
      <c r="A1082" s="17">
        <v>1644</v>
      </c>
      <c r="B1082" s="17">
        <v>0</v>
      </c>
      <c r="C1082" s="17" t="str">
        <f>IF(B1082=0,VLOOKUP(A1082,Feuil2!$A$2:$M$1241,2,FALSE)," ")</f>
        <v>CHANTOU JMEGUER</v>
      </c>
      <c r="D1082" s="17" t="str">
        <f>IF(B1082=0,VLOOKUP(A1082,Feuil2!$A$2:$M$1241,3,FALSE)," ")</f>
        <v>LOTFI</v>
      </c>
      <c r="E1082" s="18">
        <f>IF(B1082=0,VLOOKUP(A1082,Feuil2!$A$2:$M$1241,6,FALSE)," ")</f>
        <v>23995</v>
      </c>
      <c r="F1082" s="17" t="str">
        <f>IF(B1082=0,VLOOKUP(A1082,Feuil2!$A$2:$M$1241,12,FALSE)," ")</f>
        <v>H</v>
      </c>
      <c r="G1082" s="17" t="str">
        <f>IF(B1082=0,VLOOKUP(A1082,Feuil2!$A$2:$M$1241,11,FALSE)," ")</f>
        <v>M</v>
      </c>
      <c r="H1082" s="17" t="s">
        <v>16</v>
      </c>
      <c r="I1082" s="19">
        <f>IF(B1082=0,VLOOKUP(A1082,Feuil2!$A$2:$M$1241,7,FALSE)," ")</f>
        <v>2979427</v>
      </c>
      <c r="J1082" s="17" t="str">
        <f>IF(B1082=0,VLOOKUP(A1082,Feuil2!$A$2:$M$1241,9,FALSE)," ")</f>
        <v>5 Rue El Hana</v>
      </c>
      <c r="K1082" s="17" t="str">
        <f>IF(B1082=0,VLOOKUP(A1082,Feuil2!$A$2:$M$1241,10,FALSE)," ")</f>
        <v>Msaken 4070</v>
      </c>
      <c r="L1082" s="17">
        <v>4070</v>
      </c>
      <c r="M1082" s="17">
        <v>97224621</v>
      </c>
      <c r="N1082" s="17"/>
      <c r="O1082" s="20" t="str">
        <f>IF(B1082=0,VLOOKUP(A1082,Feuil2!$A$2:$M$1241,13,FALSE)," ")</f>
        <v>04204067404002207385</v>
      </c>
    </row>
    <row r="1083" spans="1:15" x14ac:dyDescent="0.3">
      <c r="A1083" s="1">
        <v>1644</v>
      </c>
      <c r="B1083" s="1">
        <v>1</v>
      </c>
      <c r="C1083" s="1" t="s">
        <v>713</v>
      </c>
      <c r="D1083" s="1" t="s">
        <v>2666</v>
      </c>
      <c r="E1083" s="5">
        <v>27571</v>
      </c>
      <c r="F1083" s="1" t="s">
        <v>17</v>
      </c>
      <c r="G1083" s="1" t="s">
        <v>15</v>
      </c>
      <c r="H1083" s="1" t="s">
        <v>16</v>
      </c>
      <c r="I1083" s="6" t="str">
        <f>IF(B1083=0,VLOOKUP(A1083,Feuil2!$A$2:$M$1241,7,FALSE)," ")</f>
        <v xml:space="preserve"> </v>
      </c>
      <c r="J1083" s="1" t="str">
        <f>IF(B1083=0,VLOOKUP(A1083,Feuil2!$A$2:$M$1241,9,FALSE)," ")</f>
        <v xml:space="preserve"> </v>
      </c>
      <c r="K1083" s="1" t="str">
        <f>IF(B1083=0,VLOOKUP(A1083,Feuil2!$A$2:$M$1241,10,FALSE)," ")</f>
        <v xml:space="preserve"> </v>
      </c>
      <c r="L1083" s="1"/>
      <c r="M1083" s="1"/>
      <c r="N1083" s="1"/>
      <c r="O1083" s="8" t="str">
        <f>IF(B1083=0,VLOOKUP(A1083,Feuil2!$A$2:$M$1241,13,FALSE)," ")</f>
        <v xml:space="preserve"> </v>
      </c>
    </row>
    <row r="1084" spans="1:15" x14ac:dyDescent="0.3">
      <c r="A1084" s="1">
        <v>1644</v>
      </c>
      <c r="B1084" s="1">
        <v>2</v>
      </c>
      <c r="C1084" s="1" t="s">
        <v>1483</v>
      </c>
      <c r="D1084" s="1" t="s">
        <v>402</v>
      </c>
      <c r="E1084" s="5">
        <v>34901</v>
      </c>
      <c r="F1084" s="1" t="s">
        <v>17</v>
      </c>
      <c r="G1084" s="1" t="str">
        <f>IF(B1084=0,VLOOKUP(A1084,Feuil2!$A$2:$M$1241,11,FALSE)," ")</f>
        <v xml:space="preserve"> </v>
      </c>
      <c r="H1084" s="1" t="s">
        <v>16</v>
      </c>
      <c r="I1084" s="6" t="str">
        <f>IF(B1084=0,VLOOKUP(A1084,Feuil2!$A$2:$M$1241,7,FALSE)," ")</f>
        <v xml:space="preserve"> </v>
      </c>
      <c r="J1084" s="1" t="str">
        <f>IF(B1084=0,VLOOKUP(A1084,Feuil2!$A$2:$M$1241,9,FALSE)," ")</f>
        <v xml:space="preserve"> </v>
      </c>
      <c r="K1084" s="1" t="str">
        <f>IF(B1084=0,VLOOKUP(A1084,Feuil2!$A$2:$M$1241,10,FALSE)," ")</f>
        <v xml:space="preserve"> </v>
      </c>
      <c r="L1084" s="1"/>
      <c r="M1084" s="1"/>
      <c r="N1084" s="1"/>
      <c r="O1084" s="8" t="str">
        <f>IF(B1084=0,VLOOKUP(A1084,Feuil2!$A$2:$M$1241,13,FALSE)," ")</f>
        <v xml:space="preserve"> </v>
      </c>
    </row>
    <row r="1085" spans="1:15" x14ac:dyDescent="0.3">
      <c r="A1085" s="1">
        <v>1644</v>
      </c>
      <c r="B1085" s="1">
        <v>3</v>
      </c>
      <c r="C1085" s="1" t="s">
        <v>1483</v>
      </c>
      <c r="D1085" s="1" t="s">
        <v>413</v>
      </c>
      <c r="E1085" s="5">
        <v>35705</v>
      </c>
      <c r="F1085" s="1" t="s">
        <v>17</v>
      </c>
      <c r="G1085" s="1" t="str">
        <f>IF(B1085=0,VLOOKUP(A1085,Feuil2!$A$2:$M$1241,11,FALSE)," ")</f>
        <v xml:space="preserve"> </v>
      </c>
      <c r="H1085" s="1" t="s">
        <v>16</v>
      </c>
      <c r="I1085" s="6" t="str">
        <f>IF(B1085=0,VLOOKUP(A1085,Feuil2!$A$2:$M$1241,7,FALSE)," ")</f>
        <v xml:space="preserve"> </v>
      </c>
      <c r="J1085" s="1" t="str">
        <f>IF(B1085=0,VLOOKUP(A1085,Feuil2!$A$2:$M$1241,9,FALSE)," ")</f>
        <v xml:space="preserve"> </v>
      </c>
      <c r="K1085" s="1" t="str">
        <f>IF(B1085=0,VLOOKUP(A1085,Feuil2!$A$2:$M$1241,10,FALSE)," ")</f>
        <v xml:space="preserve"> </v>
      </c>
      <c r="L1085" s="1"/>
      <c r="M1085" s="1"/>
      <c r="N1085" s="1"/>
      <c r="O1085" s="8" t="str">
        <f>IF(B1085=0,VLOOKUP(A1085,Feuil2!$A$2:$M$1241,13,FALSE)," ")</f>
        <v xml:space="preserve"> </v>
      </c>
    </row>
    <row r="1086" spans="1:15" x14ac:dyDescent="0.3">
      <c r="A1086" s="1">
        <v>1644</v>
      </c>
      <c r="B1086" s="1">
        <v>4</v>
      </c>
      <c r="C1086" s="1" t="s">
        <v>1483</v>
      </c>
      <c r="D1086" s="1" t="s">
        <v>2598</v>
      </c>
      <c r="E1086" s="5">
        <v>37833</v>
      </c>
      <c r="F1086" s="1" t="s">
        <v>506</v>
      </c>
      <c r="G1086" s="1" t="str">
        <f>IF(B1086=0,VLOOKUP(A1086,Feuil2!$A$2:$M$1241,11,FALSE)," ")</f>
        <v xml:space="preserve"> </v>
      </c>
      <c r="H1086" s="1" t="s">
        <v>16</v>
      </c>
      <c r="I1086" s="6" t="str">
        <f>IF(B1086=0,VLOOKUP(A1086,Feuil2!$A$2:$M$1241,7,FALSE)," ")</f>
        <v xml:space="preserve"> </v>
      </c>
      <c r="J1086" s="1" t="str">
        <f>IF(B1086=0,VLOOKUP(A1086,Feuil2!$A$2:$M$1241,9,FALSE)," ")</f>
        <v xml:space="preserve"> </v>
      </c>
      <c r="K1086" s="1" t="str">
        <f>IF(B1086=0,VLOOKUP(A1086,Feuil2!$A$2:$M$1241,10,FALSE)," ")</f>
        <v xml:space="preserve"> </v>
      </c>
      <c r="L1086" s="1"/>
      <c r="M1086" s="1"/>
      <c r="N1086" s="1"/>
      <c r="O1086" s="8" t="str">
        <f>IF(B1086=0,VLOOKUP(A1086,Feuil2!$A$2:$M$1241,13,FALSE)," ")</f>
        <v xml:space="preserve"> </v>
      </c>
    </row>
    <row r="1087" spans="1:15" x14ac:dyDescent="0.3">
      <c r="A1087" s="1">
        <v>1644</v>
      </c>
      <c r="B1087" s="1">
        <v>5</v>
      </c>
      <c r="C1087" s="1" t="s">
        <v>1483</v>
      </c>
      <c r="D1087" s="1" t="s">
        <v>2447</v>
      </c>
      <c r="E1087" s="5">
        <v>39163</v>
      </c>
      <c r="F1087" s="1" t="s">
        <v>17</v>
      </c>
      <c r="G1087" s="1" t="str">
        <f>IF(B1087=0,VLOOKUP(A1087,Feuil2!$A$2:$M$1241,11,FALSE)," ")</f>
        <v xml:space="preserve"> </v>
      </c>
      <c r="H1087" s="1" t="s">
        <v>16</v>
      </c>
      <c r="I1087" s="6" t="str">
        <f>IF(B1087=0,VLOOKUP(A1087,Feuil2!$A$2:$M$1241,7,FALSE)," ")</f>
        <v xml:space="preserve"> </v>
      </c>
      <c r="J1087" s="1" t="str">
        <f>IF(B1087=0,VLOOKUP(A1087,Feuil2!$A$2:$M$1241,9,FALSE)," ")</f>
        <v xml:space="preserve"> </v>
      </c>
      <c r="K1087" s="1" t="str">
        <f>IF(B1087=0,VLOOKUP(A1087,Feuil2!$A$2:$M$1241,10,FALSE)," ")</f>
        <v xml:space="preserve"> </v>
      </c>
      <c r="L1087" s="1"/>
      <c r="M1087" s="1"/>
      <c r="N1087" s="1"/>
      <c r="O1087" s="8" t="str">
        <f>IF(B1087=0,VLOOKUP(A1087,Feuil2!$A$2:$M$1241,13,FALSE)," ")</f>
        <v xml:space="preserve"> </v>
      </c>
    </row>
    <row r="1088" spans="1:15" x14ac:dyDescent="0.3">
      <c r="A1088" s="1">
        <v>1644</v>
      </c>
      <c r="B1088" s="1">
        <v>6</v>
      </c>
      <c r="C1088" s="1" t="s">
        <v>1483</v>
      </c>
      <c r="D1088" s="1" t="s">
        <v>34</v>
      </c>
      <c r="E1088" s="5">
        <v>39764</v>
      </c>
      <c r="F1088" s="1" t="s">
        <v>506</v>
      </c>
      <c r="G1088" s="1" t="str">
        <f>IF(B1088=0,VLOOKUP(A1088,Feuil2!$A$2:$M$1241,11,FALSE)," ")</f>
        <v xml:space="preserve"> </v>
      </c>
      <c r="H1088" s="1" t="s">
        <v>16</v>
      </c>
      <c r="I1088" s="6" t="str">
        <f>IF(B1088=0,VLOOKUP(A1088,Feuil2!$A$2:$M$1241,7,FALSE)," ")</f>
        <v xml:space="preserve"> </v>
      </c>
      <c r="J1088" s="1" t="str">
        <f>IF(B1088=0,VLOOKUP(A1088,Feuil2!$A$2:$M$1241,9,FALSE)," ")</f>
        <v xml:space="preserve"> </v>
      </c>
      <c r="K1088" s="1" t="str">
        <f>IF(B1088=0,VLOOKUP(A1088,Feuil2!$A$2:$M$1241,10,FALSE)," ")</f>
        <v xml:space="preserve"> </v>
      </c>
      <c r="L1088" s="1"/>
      <c r="M1088" s="1"/>
      <c r="N1088" s="1"/>
      <c r="O1088" s="8" t="str">
        <f>IF(B1088=0,VLOOKUP(A1088,Feuil2!$A$2:$M$1241,13,FALSE)," ")</f>
        <v xml:space="preserve"> </v>
      </c>
    </row>
    <row r="1089" spans="1:16" x14ac:dyDescent="0.3">
      <c r="A1089" s="1">
        <v>1652</v>
      </c>
      <c r="B1089" s="1">
        <v>0</v>
      </c>
      <c r="C1089" s="1" t="str">
        <f>IF(B1089=0,VLOOKUP(A1089,Feuil2!$A$2:$M$1241,2,FALSE)," ")</f>
        <v>BEN ABDALLAH</v>
      </c>
      <c r="D1089" s="1" t="str">
        <f>IF(B1089=0,VLOOKUP(A1089,Feuil2!$A$2:$M$1241,3,FALSE)," ")</f>
        <v>KHELIL</v>
      </c>
      <c r="E1089" s="5">
        <f>IF(B1089=0,VLOOKUP(A1089,Feuil2!$A$2:$M$1241,6,FALSE)," ")</f>
        <v>26487</v>
      </c>
      <c r="F1089" s="1" t="str">
        <f>IF(B1089=0,VLOOKUP(A1089,Feuil2!$A$2:$M$1241,12,FALSE)," ")</f>
        <v>H</v>
      </c>
      <c r="G1089" s="1" t="str">
        <f>IF(B1089=0,VLOOKUP(A1089,Feuil2!$A$2:$M$1241,11,FALSE)," ")</f>
        <v>M</v>
      </c>
      <c r="H1089" s="1" t="s">
        <v>16</v>
      </c>
      <c r="I1089" s="6">
        <f>IF(B1089=0,VLOOKUP(A1089,Feuil2!$A$2:$M$1241,7,FALSE)," ")</f>
        <v>5534619</v>
      </c>
      <c r="J1089" s="1" t="str">
        <f>IF(B1089=0,VLOOKUP(A1089,Feuil2!$A$2:$M$1241,9,FALSE)," ")</f>
        <v>182 Rue Mohamed Ali</v>
      </c>
      <c r="K1089" s="1" t="str">
        <f>IF(B1089=0,VLOOKUP(A1089,Feuil2!$A$2:$M$1241,10,FALSE)," ")</f>
        <v>Msaken 4070</v>
      </c>
      <c r="L1089" s="1">
        <v>4070</v>
      </c>
      <c r="M1089" s="1">
        <v>98793758</v>
      </c>
      <c r="N1089" s="1"/>
      <c r="O1089" s="8" t="str">
        <f>IF(B1089=0,VLOOKUP(A1089,Feuil2!$A$2:$M$1241,13,FALSE)," ")</f>
        <v>03508056010100279493</v>
      </c>
    </row>
    <row r="1090" spans="1:16" x14ac:dyDescent="0.3">
      <c r="A1090" s="1">
        <v>1652</v>
      </c>
      <c r="B1090" s="1">
        <v>1</v>
      </c>
      <c r="C1090" s="1" t="s">
        <v>33</v>
      </c>
      <c r="D1090" s="1" t="s">
        <v>1007</v>
      </c>
      <c r="E1090" s="5">
        <v>30161</v>
      </c>
      <c r="F1090" s="1" t="s">
        <v>17</v>
      </c>
      <c r="G1090" s="1" t="s">
        <v>15</v>
      </c>
      <c r="H1090" s="1" t="s">
        <v>16</v>
      </c>
      <c r="I1090" s="6" t="str">
        <f>IF(B1090=0,VLOOKUP(A1090,Feuil2!$A$2:$M$1241,7,FALSE)," ")</f>
        <v xml:space="preserve"> </v>
      </c>
      <c r="J1090" s="1" t="str">
        <f>IF(B1090=0,VLOOKUP(A1090,Feuil2!$A$2:$M$1241,9,FALSE)," ")</f>
        <v xml:space="preserve"> </v>
      </c>
      <c r="K1090" s="1" t="str">
        <f>IF(B1090=0,VLOOKUP(A1090,Feuil2!$A$2:$M$1241,10,FALSE)," ")</f>
        <v xml:space="preserve"> </v>
      </c>
      <c r="L1090" s="1"/>
      <c r="M1090" s="1"/>
      <c r="N1090" s="1"/>
      <c r="O1090" s="8" t="str">
        <f>IF(B1090=0,VLOOKUP(A1090,Feuil2!$A$2:$M$1241,13,FALSE)," ")</f>
        <v xml:space="preserve"> </v>
      </c>
    </row>
    <row r="1091" spans="1:16" x14ac:dyDescent="0.3">
      <c r="A1091" s="1">
        <v>1652</v>
      </c>
      <c r="B1091" s="1">
        <v>2</v>
      </c>
      <c r="C1091" s="1" t="s">
        <v>582</v>
      </c>
      <c r="D1091" s="1" t="s">
        <v>2667</v>
      </c>
      <c r="E1091" s="5">
        <v>38207</v>
      </c>
      <c r="F1091" s="1" t="s">
        <v>17</v>
      </c>
      <c r="G1091" s="1" t="str">
        <f>IF(B1091=0,VLOOKUP(A1091,Feuil2!$A$2:$M$1241,11,FALSE)," ")</f>
        <v xml:space="preserve"> </v>
      </c>
      <c r="H1091" s="1" t="s">
        <v>16</v>
      </c>
      <c r="I1091" s="6" t="str">
        <f>IF(B1091=0,VLOOKUP(A1091,Feuil2!$A$2:$M$1241,7,FALSE)," ")</f>
        <v xml:space="preserve"> </v>
      </c>
      <c r="J1091" s="1" t="str">
        <f>IF(B1091=0,VLOOKUP(A1091,Feuil2!$A$2:$M$1241,9,FALSE)," ")</f>
        <v xml:space="preserve"> </v>
      </c>
      <c r="K1091" s="1" t="str">
        <f>IF(B1091=0,VLOOKUP(A1091,Feuil2!$A$2:$M$1241,10,FALSE)," ")</f>
        <v xml:space="preserve"> </v>
      </c>
      <c r="L1091" s="1"/>
      <c r="M1091" s="1"/>
      <c r="N1091" s="1"/>
      <c r="O1091" s="8" t="str">
        <f>IF(B1091=0,VLOOKUP(A1091,Feuil2!$A$2:$M$1241,13,FALSE)," ")</f>
        <v xml:space="preserve"> </v>
      </c>
    </row>
    <row r="1092" spans="1:16" x14ac:dyDescent="0.3">
      <c r="A1092" s="1">
        <v>1652</v>
      </c>
      <c r="B1092" s="1">
        <v>3</v>
      </c>
      <c r="C1092" s="1" t="s">
        <v>582</v>
      </c>
      <c r="D1092" s="1" t="s">
        <v>2332</v>
      </c>
      <c r="E1092" s="5">
        <v>40791</v>
      </c>
      <c r="F1092" s="1" t="s">
        <v>17</v>
      </c>
      <c r="G1092" s="1" t="str">
        <f>IF(B1092=0,VLOOKUP(A1092,Feuil2!$A$2:$M$1241,11,FALSE)," ")</f>
        <v xml:space="preserve"> </v>
      </c>
      <c r="H1092" s="1" t="s">
        <v>16</v>
      </c>
      <c r="I1092" s="6" t="str">
        <f>IF(B1092=0,VLOOKUP(A1092,Feuil2!$A$2:$M$1241,7,FALSE)," ")</f>
        <v xml:space="preserve"> </v>
      </c>
      <c r="J1092" s="1" t="str">
        <f>IF(B1092=0,VLOOKUP(A1092,Feuil2!$A$2:$M$1241,9,FALSE)," ")</f>
        <v xml:space="preserve"> </v>
      </c>
      <c r="K1092" s="1" t="str">
        <f>IF(B1092=0,VLOOKUP(A1092,Feuil2!$A$2:$M$1241,10,FALSE)," ")</f>
        <v xml:space="preserve"> </v>
      </c>
      <c r="L1092" s="1"/>
      <c r="M1092" s="1"/>
      <c r="N1092" s="1"/>
      <c r="O1092" s="8" t="str">
        <f>IF(B1092=0,VLOOKUP(A1092,Feuil2!$A$2:$M$1241,13,FALSE)," ")</f>
        <v xml:space="preserve"> </v>
      </c>
      <c r="P1092" s="22"/>
    </row>
    <row r="1093" spans="1:16" x14ac:dyDescent="0.3">
      <c r="A1093" s="1">
        <v>1652</v>
      </c>
      <c r="B1093" s="1">
        <v>4</v>
      </c>
      <c r="C1093" s="1" t="s">
        <v>582</v>
      </c>
      <c r="D1093" s="1" t="s">
        <v>2383</v>
      </c>
      <c r="E1093" s="5">
        <v>41502</v>
      </c>
      <c r="F1093" s="1" t="s">
        <v>17</v>
      </c>
      <c r="G1093" s="1" t="str">
        <f>IF(B1093=0,VLOOKUP(A1093,Feuil2!$A$2:$M$1241,11,FALSE)," ")</f>
        <v xml:space="preserve"> </v>
      </c>
      <c r="H1093" s="1" t="s">
        <v>16</v>
      </c>
      <c r="I1093" s="6" t="str">
        <f>IF(B1093=0,VLOOKUP(A1093,Feuil2!$A$2:$M$1241,7,FALSE)," ")</f>
        <v xml:space="preserve"> </v>
      </c>
      <c r="J1093" s="1" t="str">
        <f>IF(B1093=0,VLOOKUP(A1093,Feuil2!$A$2:$M$1241,9,FALSE)," ")</f>
        <v xml:space="preserve"> </v>
      </c>
      <c r="K1093" s="1" t="str">
        <f>IF(B1093=0,VLOOKUP(A1093,Feuil2!$A$2:$M$1241,10,FALSE)," ")</f>
        <v xml:space="preserve"> </v>
      </c>
      <c r="L1093" s="1"/>
      <c r="M1093" s="1"/>
      <c r="N1093" s="1"/>
      <c r="O1093" s="8" t="str">
        <f>IF(B1093=0,VLOOKUP(A1093,Feuil2!$A$2:$M$1241,13,FALSE)," ")</f>
        <v xml:space="preserve"> </v>
      </c>
    </row>
    <row r="1094" spans="1:16" x14ac:dyDescent="0.3">
      <c r="A1094" s="1">
        <v>1658</v>
      </c>
      <c r="B1094" s="17">
        <v>0</v>
      </c>
      <c r="C1094" s="17" t="str">
        <f>IF(B1094=0,VLOOKUP(A1094,Feuil2!$A$2:$M$1241,2,FALSE)," ")</f>
        <v>SLAMA</v>
      </c>
      <c r="D1094" s="17" t="str">
        <f>IF(B1094=0,VLOOKUP(A1094,Feuil2!$A$2:$M$1241,3,FALSE)," ")</f>
        <v>MOUNIR</v>
      </c>
      <c r="E1094" s="18">
        <f>IF(B1094=0,VLOOKUP(A1094,Feuil2!$A$2:$M$1241,6,FALSE)," ")</f>
        <v>26227</v>
      </c>
      <c r="F1094" s="17" t="str">
        <f>IF(B1094=0,VLOOKUP(A1094,Feuil2!$A$2:$M$1241,12,FALSE)," ")</f>
        <v>H</v>
      </c>
      <c r="G1094" s="17" t="str">
        <f>IF(B1094=0,VLOOKUP(A1094,Feuil2!$A$2:$M$1241,11,FALSE)," ")</f>
        <v>M</v>
      </c>
      <c r="H1094" s="17" t="s">
        <v>16</v>
      </c>
      <c r="I1094" s="19">
        <f>IF(B1094=0,VLOOKUP(A1094,Feuil2!$A$2:$M$1241,7,FALSE)," ")</f>
        <v>5524837</v>
      </c>
      <c r="J1094" s="17" t="str">
        <f>IF(B1094=0,VLOOKUP(A1094,Feuil2!$A$2:$M$1241,9,FALSE)," ")</f>
        <v>Rue de l'IndÃ©pendance</v>
      </c>
      <c r="K1094" s="17" t="str">
        <f>IF(B1094=0,VLOOKUP(A1094,Feuil2!$A$2:$M$1241,10,FALSE)," ")</f>
        <v>Akouda</v>
      </c>
      <c r="L1094" s="17"/>
      <c r="M1094" s="17">
        <v>98793554</v>
      </c>
      <c r="N1094" s="17"/>
      <c r="O1094" s="20" t="str">
        <f>IF(B1094=0,VLOOKUP(A1094,Feuil2!$A$2:$M$1241,13,FALSE)," ")</f>
        <v>04204067000559723286</v>
      </c>
    </row>
    <row r="1095" spans="1:16" x14ac:dyDescent="0.3">
      <c r="A1095" s="1">
        <v>1658</v>
      </c>
      <c r="B1095" s="1">
        <v>1</v>
      </c>
      <c r="C1095" s="1" t="s">
        <v>409</v>
      </c>
      <c r="D1095" s="1" t="s">
        <v>1049</v>
      </c>
      <c r="E1095" s="5">
        <v>26552</v>
      </c>
      <c r="F1095" s="1" t="s">
        <v>17</v>
      </c>
      <c r="G1095" s="1" t="s">
        <v>15</v>
      </c>
      <c r="H1095" s="1" t="s">
        <v>16</v>
      </c>
      <c r="I1095" s="6" t="str">
        <f>IF(B1095=0,VLOOKUP(A1095,Feuil2!$A$2:$M$1241,7,FALSE)," ")</f>
        <v xml:space="preserve"> </v>
      </c>
      <c r="J1095" s="1" t="str">
        <f>IF(B1095=0,VLOOKUP(A1095,Feuil2!$A$2:$M$1241,9,FALSE)," ")</f>
        <v xml:space="preserve"> </v>
      </c>
      <c r="K1095" s="1" t="str">
        <f>IF(B1095=0,VLOOKUP(A1095,Feuil2!$A$2:$M$1241,10,FALSE)," ")</f>
        <v xml:space="preserve"> </v>
      </c>
      <c r="L1095" s="1"/>
      <c r="M1095" s="1"/>
      <c r="N1095" s="1"/>
      <c r="O1095" s="8" t="str">
        <f>IF(B1095=0,VLOOKUP(A1095,Feuil2!$A$2:$M$1241,13,FALSE)," ")</f>
        <v xml:space="preserve"> </v>
      </c>
    </row>
    <row r="1096" spans="1:16" x14ac:dyDescent="0.3">
      <c r="A1096" s="1">
        <v>1658</v>
      </c>
      <c r="B1096" s="1">
        <v>2</v>
      </c>
      <c r="C1096" s="1" t="s">
        <v>111</v>
      </c>
      <c r="D1096" s="1" t="s">
        <v>2668</v>
      </c>
      <c r="E1096" s="5">
        <v>38447</v>
      </c>
      <c r="F1096" s="1" t="s">
        <v>17</v>
      </c>
      <c r="G1096" s="1" t="str">
        <f>IF(B1096=0,VLOOKUP(A1096,Feuil2!$A$2:$M$1241,11,FALSE)," ")</f>
        <v xml:space="preserve"> </v>
      </c>
      <c r="H1096" s="1" t="s">
        <v>16</v>
      </c>
      <c r="I1096" s="6" t="str">
        <f>IF(B1096=0,VLOOKUP(A1096,Feuil2!$A$2:$M$1241,7,FALSE)," ")</f>
        <v xml:space="preserve"> </v>
      </c>
      <c r="J1096" s="1" t="str">
        <f>IF(B1096=0,VLOOKUP(A1096,Feuil2!$A$2:$M$1241,9,FALSE)," ")</f>
        <v xml:space="preserve"> </v>
      </c>
      <c r="K1096" s="1" t="str">
        <f>IF(B1096=0,VLOOKUP(A1096,Feuil2!$A$2:$M$1241,10,FALSE)," ")</f>
        <v xml:space="preserve"> </v>
      </c>
      <c r="L1096" s="1"/>
      <c r="M1096" s="1"/>
      <c r="N1096" s="1"/>
      <c r="O1096" s="8" t="str">
        <f>IF(B1096=0,VLOOKUP(A1096,Feuil2!$A$2:$M$1241,13,FALSE)," ")</f>
        <v xml:space="preserve"> </v>
      </c>
    </row>
    <row r="1097" spans="1:16" x14ac:dyDescent="0.3">
      <c r="A1097" s="1">
        <v>1658</v>
      </c>
      <c r="B1097" s="1">
        <v>3</v>
      </c>
      <c r="C1097" s="1" t="s">
        <v>111</v>
      </c>
      <c r="D1097" s="1" t="s">
        <v>2578</v>
      </c>
      <c r="E1097" s="5">
        <v>39393</v>
      </c>
      <c r="F1097" s="1" t="s">
        <v>506</v>
      </c>
      <c r="G1097" s="1" t="str">
        <f>IF(B1097=0,VLOOKUP(A1097,Feuil2!$A$2:$M$1241,11,FALSE)," ")</f>
        <v xml:space="preserve"> </v>
      </c>
      <c r="H1097" s="1" t="s">
        <v>16</v>
      </c>
      <c r="I1097" s="6" t="str">
        <f>IF(B1097=0,VLOOKUP(A1097,Feuil2!$A$2:$M$1241,7,FALSE)," ")</f>
        <v xml:space="preserve"> </v>
      </c>
      <c r="J1097" s="1" t="str">
        <f>IF(B1097=0,VLOOKUP(A1097,Feuil2!$A$2:$M$1241,9,FALSE)," ")</f>
        <v xml:space="preserve"> </v>
      </c>
      <c r="K1097" s="1" t="str">
        <f>IF(B1097=0,VLOOKUP(A1097,Feuil2!$A$2:$M$1241,10,FALSE)," ")</f>
        <v xml:space="preserve"> </v>
      </c>
      <c r="L1097" s="1"/>
      <c r="M1097" s="1"/>
      <c r="N1097" s="1"/>
      <c r="O1097" s="8" t="str">
        <f>IF(B1097=0,VLOOKUP(A1097,Feuil2!$A$2:$M$1241,13,FALSE)," ")</f>
        <v xml:space="preserve"> </v>
      </c>
      <c r="P1097" t="s">
        <v>2805</v>
      </c>
    </row>
    <row r="1098" spans="1:16" x14ac:dyDescent="0.3">
      <c r="A1098" s="1">
        <v>1658</v>
      </c>
      <c r="B1098" s="1">
        <v>4</v>
      </c>
      <c r="C1098" s="1" t="s">
        <v>111</v>
      </c>
      <c r="D1098" s="1" t="s">
        <v>2585</v>
      </c>
      <c r="E1098" s="5">
        <v>41121</v>
      </c>
      <c r="F1098" s="1" t="s">
        <v>17</v>
      </c>
      <c r="G1098" s="1" t="str">
        <f>IF(B1098=0,VLOOKUP(A1098,Feuil2!$A$2:$M$1241,11,FALSE)," ")</f>
        <v xml:space="preserve"> </v>
      </c>
      <c r="H1098" s="1" t="s">
        <v>16</v>
      </c>
      <c r="I1098" s="6" t="str">
        <f>IF(B1098=0,VLOOKUP(A1098,Feuil2!$A$2:$M$1241,7,FALSE)," ")</f>
        <v xml:space="preserve"> </v>
      </c>
      <c r="J1098" s="1" t="str">
        <f>IF(B1098=0,VLOOKUP(A1098,Feuil2!$A$2:$M$1241,9,FALSE)," ")</f>
        <v xml:space="preserve"> </v>
      </c>
      <c r="K1098" s="1" t="str">
        <f>IF(B1098=0,VLOOKUP(A1098,Feuil2!$A$2:$M$1241,10,FALSE)," ")</f>
        <v xml:space="preserve"> </v>
      </c>
      <c r="L1098" s="1"/>
      <c r="M1098" s="1"/>
      <c r="N1098" s="1"/>
      <c r="O1098" s="8" t="str">
        <f>IF(B1098=0,VLOOKUP(A1098,Feuil2!$A$2:$M$1241,13,FALSE)," ")</f>
        <v xml:space="preserve"> </v>
      </c>
    </row>
    <row r="1099" spans="1:16" x14ac:dyDescent="0.3">
      <c r="A1099" s="1">
        <v>1662</v>
      </c>
      <c r="B1099" s="1">
        <v>0</v>
      </c>
      <c r="C1099" s="1" t="str">
        <f>IF(B1099=0,VLOOKUP(A1099,Feuil2!$A$2:$M$1241,2,FALSE)," ")</f>
        <v>BEN SAAD</v>
      </c>
      <c r="D1099" s="1" t="str">
        <f>IF(B1099=0,VLOOKUP(A1099,Feuil2!$A$2:$M$1241,3,FALSE)," ")</f>
        <v>ZIED</v>
      </c>
      <c r="E1099" s="5">
        <f>IF(B1099=0,VLOOKUP(A1099,Feuil2!$A$2:$M$1241,6,FALSE)," ")</f>
        <v>27587</v>
      </c>
      <c r="F1099" s="1" t="str">
        <f>IF(B1099=0,VLOOKUP(A1099,Feuil2!$A$2:$M$1241,12,FALSE)," ")</f>
        <v>H</v>
      </c>
      <c r="G1099" s="1" t="str">
        <f>IF(B1099=0,VLOOKUP(A1099,Feuil2!$A$2:$M$1241,11,FALSE)," ")</f>
        <v>M</v>
      </c>
      <c r="H1099" s="1" t="s">
        <v>16</v>
      </c>
      <c r="I1099" s="6">
        <f>IF(B1099=0,VLOOKUP(A1099,Feuil2!$A$2:$M$1241,7,FALSE)," ")</f>
        <v>5505015</v>
      </c>
      <c r="J1099" s="1" t="str">
        <f>IF(B1099=0,VLOOKUP(A1099,Feuil2!$A$2:$M$1241,9,FALSE)," ")</f>
        <v>4014 Knaies</v>
      </c>
      <c r="K1099" s="1" t="str">
        <f>IF(B1099=0,VLOOKUP(A1099,Feuil2!$A$2:$M$1241,10,FALSE)," ")</f>
        <v>Knaies 4014</v>
      </c>
      <c r="L1099" s="1">
        <v>4014</v>
      </c>
      <c r="M1099" s="1">
        <v>50427541</v>
      </c>
      <c r="N1099" s="1"/>
      <c r="O1099" s="8" t="str">
        <f>IF(B1099=0,VLOOKUP(A1099,Feuil2!$A$2:$M$1241,13,FALSE)," ")</f>
        <v>08050020052000910726</v>
      </c>
    </row>
    <row r="1100" spans="1:16" x14ac:dyDescent="0.3">
      <c r="A1100" s="1">
        <v>1662</v>
      </c>
      <c r="B1100" s="1">
        <v>1</v>
      </c>
      <c r="C1100" s="1" t="s">
        <v>2669</v>
      </c>
      <c r="D1100" s="1" t="s">
        <v>413</v>
      </c>
      <c r="E1100" s="5">
        <v>30583</v>
      </c>
      <c r="F1100" s="1" t="s">
        <v>17</v>
      </c>
      <c r="G1100" s="1" t="s">
        <v>15</v>
      </c>
      <c r="H1100" s="1" t="s">
        <v>16</v>
      </c>
      <c r="I1100" s="6" t="str">
        <f>IF(B1100=0,VLOOKUP(A1100,Feuil2!$A$2:$M$1241,7,FALSE)," ")</f>
        <v xml:space="preserve"> </v>
      </c>
      <c r="J1100" s="1" t="str">
        <f>IF(B1100=0,VLOOKUP(A1100,Feuil2!$A$2:$M$1241,9,FALSE)," ")</f>
        <v xml:space="preserve"> </v>
      </c>
      <c r="K1100" s="1" t="str">
        <f>IF(B1100=0,VLOOKUP(A1100,Feuil2!$A$2:$M$1241,10,FALSE)," ")</f>
        <v xml:space="preserve"> </v>
      </c>
      <c r="L1100" s="1"/>
      <c r="M1100" s="1"/>
      <c r="N1100" s="1"/>
      <c r="O1100" s="8" t="str">
        <f>IF(B1100=0,VLOOKUP(A1100,Feuil2!$A$2:$M$1241,13,FALSE)," ")</f>
        <v xml:space="preserve"> </v>
      </c>
    </row>
    <row r="1101" spans="1:16" x14ac:dyDescent="0.3">
      <c r="A1101" s="1">
        <v>1662</v>
      </c>
      <c r="B1101" s="1">
        <v>2</v>
      </c>
      <c r="C1101" s="1" t="s">
        <v>231</v>
      </c>
      <c r="D1101" s="1" t="s">
        <v>45</v>
      </c>
      <c r="E1101" s="5">
        <v>42434</v>
      </c>
      <c r="F1101" s="1" t="s">
        <v>506</v>
      </c>
      <c r="G1101" s="1" t="str">
        <f>IF(B1101=0,VLOOKUP(A1101,Feuil2!$A$2:$M$1241,11,FALSE)," ")</f>
        <v xml:space="preserve"> </v>
      </c>
      <c r="H1101" s="1" t="s">
        <v>16</v>
      </c>
      <c r="I1101" s="6" t="str">
        <f>IF(B1101=0,VLOOKUP(A1101,Feuil2!$A$2:$M$1241,7,FALSE)," ")</f>
        <v xml:space="preserve"> </v>
      </c>
      <c r="J1101" s="1" t="str">
        <f>IF(B1101=0,VLOOKUP(A1101,Feuil2!$A$2:$M$1241,9,FALSE)," ")</f>
        <v xml:space="preserve"> </v>
      </c>
      <c r="K1101" s="1" t="str">
        <f>IF(B1101=0,VLOOKUP(A1101,Feuil2!$A$2:$M$1241,10,FALSE)," ")</f>
        <v xml:space="preserve"> </v>
      </c>
      <c r="L1101" s="1"/>
      <c r="M1101" s="1"/>
      <c r="N1101" s="1"/>
      <c r="O1101" s="8" t="str">
        <f>IF(B1101=0,VLOOKUP(A1101,Feuil2!$A$2:$M$1241,13,FALSE)," ")</f>
        <v xml:space="preserve"> </v>
      </c>
    </row>
    <row r="1102" spans="1:16" x14ac:dyDescent="0.3">
      <c r="A1102" s="1">
        <v>1662</v>
      </c>
      <c r="B1102" s="1">
        <v>3</v>
      </c>
      <c r="C1102" s="1" t="s">
        <v>231</v>
      </c>
      <c r="D1102" s="1" t="s">
        <v>2670</v>
      </c>
      <c r="E1102" s="5">
        <v>43462</v>
      </c>
      <c r="F1102" s="1" t="s">
        <v>17</v>
      </c>
      <c r="G1102" s="1" t="str">
        <f>IF(B1102=0,VLOOKUP(A1102,Feuil2!$A$2:$M$1241,11,FALSE)," ")</f>
        <v xml:space="preserve"> </v>
      </c>
      <c r="H1102" s="1" t="s">
        <v>16</v>
      </c>
      <c r="I1102" s="6" t="str">
        <f>IF(B1102=0,VLOOKUP(A1102,Feuil2!$A$2:$M$1241,7,FALSE)," ")</f>
        <v xml:space="preserve"> </v>
      </c>
      <c r="J1102" s="1" t="str">
        <f>IF(B1102=0,VLOOKUP(A1102,Feuil2!$A$2:$M$1241,9,FALSE)," ")</f>
        <v xml:space="preserve"> </v>
      </c>
      <c r="K1102" s="1" t="str">
        <f>IF(B1102=0,VLOOKUP(A1102,Feuil2!$A$2:$M$1241,10,FALSE)," ")</f>
        <v xml:space="preserve"> </v>
      </c>
      <c r="L1102" s="1"/>
      <c r="M1102" s="1"/>
      <c r="N1102" s="1"/>
      <c r="O1102" s="8" t="str">
        <f>IF(B1102=0,VLOOKUP(A1102,Feuil2!$A$2:$M$1241,13,FALSE)," ")</f>
        <v xml:space="preserve"> </v>
      </c>
    </row>
    <row r="1103" spans="1:16" x14ac:dyDescent="0.3">
      <c r="A1103" s="1">
        <v>1665</v>
      </c>
      <c r="B1103" s="17">
        <v>0</v>
      </c>
      <c r="C1103" s="17" t="str">
        <f>IF(B1103=0,VLOOKUP(A1103,Feuil2!$A$2:$M$1241,2,FALSE)," ")</f>
        <v>BOUHLEL</v>
      </c>
      <c r="D1103" s="17" t="str">
        <f>IF(B1103=0,VLOOKUP(A1103,Feuil2!$A$2:$M$1241,3,FALSE)," ")</f>
        <v>ANIS</v>
      </c>
      <c r="E1103" s="18">
        <f>IF(B1103=0,VLOOKUP(A1103,Feuil2!$A$2:$M$1241,6,FALSE)," ")</f>
        <v>27893</v>
      </c>
      <c r="F1103" s="17" t="str">
        <f>IF(B1103=0,VLOOKUP(A1103,Feuil2!$A$2:$M$1241,12,FALSE)," ")</f>
        <v>H</v>
      </c>
      <c r="G1103" s="17" t="str">
        <f>IF(B1103=0,VLOOKUP(A1103,Feuil2!$A$2:$M$1241,11,FALSE)," ")</f>
        <v>M</v>
      </c>
      <c r="H1103" s="17" t="s">
        <v>16</v>
      </c>
      <c r="I1103" s="19">
        <f>IF(B1103=0,VLOOKUP(A1103,Feuil2!$A$2:$M$1241,7,FALSE)," ")</f>
        <v>5542806</v>
      </c>
      <c r="J1103" s="17" t="str">
        <f>IF(B1103=0,VLOOKUP(A1103,Feuil2!$A$2:$M$1241,9,FALSE)," ")</f>
        <v>42 Rue Errazi</v>
      </c>
      <c r="K1103" s="17" t="str">
        <f>IF(B1103=0,VLOOKUP(A1103,Feuil2!$A$2:$M$1241,10,FALSE)," ")</f>
        <v>Msaken 4070</v>
      </c>
      <c r="L1103" s="17">
        <v>4070</v>
      </c>
      <c r="M1103" s="17">
        <v>22551090</v>
      </c>
      <c r="N1103" s="17"/>
      <c r="O1103" s="20" t="str">
        <f>IF(B1103=0,VLOOKUP(A1103,Feuil2!$A$2:$M$1241,13,FALSE)," ")</f>
        <v>20009092220048743464</v>
      </c>
    </row>
    <row r="1104" spans="1:16" x14ac:dyDescent="0.3">
      <c r="A1104" s="1">
        <v>1665</v>
      </c>
      <c r="B1104" s="1">
        <v>1</v>
      </c>
      <c r="C1104" s="1" t="s">
        <v>2671</v>
      </c>
      <c r="D1104" s="1" t="s">
        <v>2480</v>
      </c>
      <c r="E1104" s="5">
        <v>29076</v>
      </c>
      <c r="F1104" s="1" t="s">
        <v>17</v>
      </c>
      <c r="G1104" s="1" t="s">
        <v>15</v>
      </c>
      <c r="H1104" s="1" t="s">
        <v>16</v>
      </c>
      <c r="I1104" s="6" t="str">
        <f>IF(B1104=0,VLOOKUP(A1104,Feuil2!$A$2:$M$1241,7,FALSE)," ")</f>
        <v xml:space="preserve"> </v>
      </c>
      <c r="J1104" s="1" t="str">
        <f>IF(B1104=0,VLOOKUP(A1104,Feuil2!$A$2:$M$1241,9,FALSE)," ")</f>
        <v xml:space="preserve"> </v>
      </c>
      <c r="K1104" s="1" t="str">
        <f>IF(B1104=0,VLOOKUP(A1104,Feuil2!$A$2:$M$1241,10,FALSE)," ")</f>
        <v xml:space="preserve"> </v>
      </c>
      <c r="L1104" s="1"/>
      <c r="M1104" s="1"/>
      <c r="N1104" s="1"/>
      <c r="O1104" s="8" t="str">
        <f>IF(B1104=0,VLOOKUP(A1104,Feuil2!$A$2:$M$1241,13,FALSE)," ")</f>
        <v xml:space="preserve"> </v>
      </c>
    </row>
    <row r="1105" spans="1:15" x14ac:dyDescent="0.3">
      <c r="A1105" s="1">
        <v>1665</v>
      </c>
      <c r="B1105" s="1">
        <v>2</v>
      </c>
      <c r="C1105" s="1" t="s">
        <v>83</v>
      </c>
      <c r="D1105" s="1" t="s">
        <v>2389</v>
      </c>
      <c r="E1105" s="5">
        <v>38569</v>
      </c>
      <c r="F1105" s="1" t="s">
        <v>17</v>
      </c>
      <c r="G1105" s="1" t="str">
        <f>IF(B1105=0,VLOOKUP(A1105,Feuil2!$A$2:$M$1241,11,FALSE)," ")</f>
        <v xml:space="preserve"> </v>
      </c>
      <c r="H1105" s="1" t="s">
        <v>16</v>
      </c>
      <c r="I1105" s="6" t="str">
        <f>IF(B1105=0,VLOOKUP(A1105,Feuil2!$A$2:$M$1241,7,FALSE)," ")</f>
        <v xml:space="preserve"> </v>
      </c>
      <c r="J1105" s="1" t="str">
        <f>IF(B1105=0,VLOOKUP(A1105,Feuil2!$A$2:$M$1241,9,FALSE)," ")</f>
        <v xml:space="preserve"> </v>
      </c>
      <c r="K1105" s="1" t="str">
        <f>IF(B1105=0,VLOOKUP(A1105,Feuil2!$A$2:$M$1241,10,FALSE)," ")</f>
        <v xml:space="preserve"> </v>
      </c>
      <c r="L1105" s="1"/>
      <c r="M1105" s="1"/>
      <c r="N1105" s="1"/>
      <c r="O1105" s="8" t="str">
        <f>IF(B1105=0,VLOOKUP(A1105,Feuil2!$A$2:$M$1241,13,FALSE)," ")</f>
        <v xml:space="preserve"> </v>
      </c>
    </row>
    <row r="1106" spans="1:15" x14ac:dyDescent="0.3">
      <c r="A1106" s="1">
        <v>1665</v>
      </c>
      <c r="B1106" s="1">
        <v>3</v>
      </c>
      <c r="C1106" s="1" t="s">
        <v>83</v>
      </c>
      <c r="D1106" s="1" t="s">
        <v>2672</v>
      </c>
      <c r="E1106" s="5">
        <v>40058</v>
      </c>
      <c r="F1106" s="1" t="str">
        <f>IF(B1106=0,VLOOKUP(A1106,Feuil2!$A$2:$M$1241,12,FALSE)," ")</f>
        <v xml:space="preserve"> </v>
      </c>
      <c r="G1106" s="1" t="str">
        <f>IF(B1106=0,VLOOKUP(A1106,Feuil2!$A$2:$M$1241,11,FALSE)," ")</f>
        <v xml:space="preserve"> </v>
      </c>
      <c r="H1106" s="1" t="s">
        <v>16</v>
      </c>
      <c r="I1106" s="6" t="str">
        <f>IF(B1106=0,VLOOKUP(A1106,Feuil2!$A$2:$M$1241,7,FALSE)," ")</f>
        <v xml:space="preserve"> </v>
      </c>
      <c r="J1106" s="1" t="str">
        <f>IF(B1106=0,VLOOKUP(A1106,Feuil2!$A$2:$M$1241,9,FALSE)," ")</f>
        <v xml:space="preserve"> </v>
      </c>
      <c r="K1106" s="1" t="str">
        <f>IF(B1106=0,VLOOKUP(A1106,Feuil2!$A$2:$M$1241,10,FALSE)," ")</f>
        <v xml:space="preserve"> </v>
      </c>
      <c r="L1106" s="1"/>
      <c r="M1106" s="1"/>
      <c r="N1106" s="1"/>
      <c r="O1106" s="8" t="str">
        <f>IF(B1106=0,VLOOKUP(A1106,Feuil2!$A$2:$M$1241,13,FALSE)," ")</f>
        <v xml:space="preserve"> </v>
      </c>
    </row>
    <row r="1107" spans="1:15" x14ac:dyDescent="0.3">
      <c r="A1107" s="1">
        <v>1671</v>
      </c>
      <c r="B1107" s="1">
        <v>0</v>
      </c>
      <c r="C1107" s="1" t="str">
        <f>IF(B1107=0,VLOOKUP(A1107,Feuil2!$A$2:$M$1241,2,FALSE)," ")</f>
        <v>EL BACH</v>
      </c>
      <c r="D1107" s="1" t="str">
        <f>IF(B1107=0,VLOOKUP(A1107,Feuil2!$A$2:$M$1241,3,FALSE)," ")</f>
        <v>ADEL</v>
      </c>
      <c r="E1107" s="5">
        <f>IF(B1107=0,VLOOKUP(A1107,Feuil2!$A$2:$M$1241,6,FALSE)," ")</f>
        <v>27336</v>
      </c>
      <c r="F1107" s="1" t="str">
        <f>IF(B1107=0,VLOOKUP(A1107,Feuil2!$A$2:$M$1241,12,FALSE)," ")</f>
        <v>H</v>
      </c>
      <c r="G1107" s="1" t="str">
        <f>IF(B1107=0,VLOOKUP(A1107,Feuil2!$A$2:$M$1241,11,FALSE)," ")</f>
        <v>M</v>
      </c>
      <c r="H1107" s="1" t="s">
        <v>16</v>
      </c>
      <c r="I1107" s="6">
        <f>IF(B1107=0,VLOOKUP(A1107,Feuil2!$A$2:$M$1241,7,FALSE)," ")</f>
        <v>5525578</v>
      </c>
      <c r="J1107" s="1" t="str">
        <f>IF(B1107=0,VLOOKUP(A1107,Feuil2!$A$2:$M$1241,9,FALSE)," ")</f>
        <v>83 Rue Ali Bach Hamba</v>
      </c>
      <c r="K1107" s="1" t="str">
        <f>IF(B1107=0,VLOOKUP(A1107,Feuil2!$A$2:$M$1241,10,FALSE)," ")</f>
        <v>Msaken 4070</v>
      </c>
      <c r="L1107" s="1">
        <v>4070</v>
      </c>
      <c r="M1107" s="1">
        <v>25330965</v>
      </c>
      <c r="N1107" s="1"/>
      <c r="O1107" s="8" t="str">
        <f>IF(B1107=0,VLOOKUP(A1107,Feuil2!$A$2:$M$1241,13,FALSE)," ")</f>
        <v>08507000262006751551</v>
      </c>
    </row>
    <row r="1108" spans="1:15" x14ac:dyDescent="0.3">
      <c r="A1108" s="1">
        <v>1671</v>
      </c>
      <c r="B1108" s="1">
        <v>1</v>
      </c>
      <c r="C1108" s="1" t="s">
        <v>83</v>
      </c>
      <c r="D1108" s="1" t="s">
        <v>2613</v>
      </c>
      <c r="E1108" s="5">
        <v>26741</v>
      </c>
      <c r="F1108" s="1" t="s">
        <v>17</v>
      </c>
      <c r="G1108" s="1" t="s">
        <v>15</v>
      </c>
      <c r="H1108" s="1" t="s">
        <v>16</v>
      </c>
      <c r="I1108" s="6" t="str">
        <f>IF(B1108=0,VLOOKUP(A1108,Feuil2!$A$2:$M$1241,7,FALSE)," ")</f>
        <v xml:space="preserve"> </v>
      </c>
      <c r="J1108" s="1" t="str">
        <f>IF(B1108=0,VLOOKUP(A1108,Feuil2!$A$2:$M$1241,9,FALSE)," ")</f>
        <v xml:space="preserve"> </v>
      </c>
      <c r="K1108" s="1" t="str">
        <f>IF(B1108=0,VLOOKUP(A1108,Feuil2!$A$2:$M$1241,10,FALSE)," ")</f>
        <v xml:space="preserve"> </v>
      </c>
      <c r="L1108" s="1"/>
      <c r="M1108" s="1"/>
      <c r="N1108" s="1"/>
      <c r="O1108" s="8" t="str">
        <f>IF(B1108=0,VLOOKUP(A1108,Feuil2!$A$2:$M$1241,13,FALSE)," ")</f>
        <v xml:space="preserve"> </v>
      </c>
    </row>
    <row r="1109" spans="1:15" x14ac:dyDescent="0.3">
      <c r="A1109" s="1">
        <v>1671</v>
      </c>
      <c r="B1109" s="1">
        <v>2</v>
      </c>
      <c r="C1109" s="1" t="s">
        <v>183</v>
      </c>
      <c r="D1109" s="1" t="s">
        <v>107</v>
      </c>
      <c r="E1109" s="5">
        <v>37854</v>
      </c>
      <c r="F1109" s="1" t="s">
        <v>506</v>
      </c>
      <c r="G1109" s="1" t="str">
        <f>IF(B1109=0,VLOOKUP(A1109,Feuil2!$A$2:$M$1241,11,FALSE)," ")</f>
        <v xml:space="preserve"> </v>
      </c>
      <c r="H1109" s="1" t="s">
        <v>16</v>
      </c>
      <c r="I1109" s="6" t="str">
        <f>IF(B1109=0,VLOOKUP(A1109,Feuil2!$A$2:$M$1241,7,FALSE)," ")</f>
        <v xml:space="preserve"> </v>
      </c>
      <c r="J1109" s="1" t="str">
        <f>IF(B1109=0,VLOOKUP(A1109,Feuil2!$A$2:$M$1241,9,FALSE)," ")</f>
        <v xml:space="preserve"> </v>
      </c>
      <c r="K1109" s="1" t="str">
        <f>IF(B1109=0,VLOOKUP(A1109,Feuil2!$A$2:$M$1241,10,FALSE)," ")</f>
        <v xml:space="preserve"> </v>
      </c>
      <c r="L1109" s="1"/>
      <c r="M1109" s="1"/>
      <c r="N1109" s="1"/>
      <c r="O1109" s="8" t="str">
        <f>IF(B1109=0,VLOOKUP(A1109,Feuil2!$A$2:$M$1241,13,FALSE)," ")</f>
        <v xml:space="preserve"> </v>
      </c>
    </row>
    <row r="1110" spans="1:15" x14ac:dyDescent="0.3">
      <c r="A1110" s="1">
        <v>1671</v>
      </c>
      <c r="B1110" s="1">
        <v>3</v>
      </c>
      <c r="C1110" s="1" t="s">
        <v>183</v>
      </c>
      <c r="D1110" s="1" t="s">
        <v>2500</v>
      </c>
      <c r="E1110" s="5">
        <v>40833</v>
      </c>
      <c r="F1110" s="1" t="s">
        <v>17</v>
      </c>
      <c r="G1110" s="1" t="str">
        <f>IF(B1110=0,VLOOKUP(A1110,Feuil2!$A$2:$M$1241,11,FALSE)," ")</f>
        <v xml:space="preserve"> </v>
      </c>
      <c r="H1110" s="1" t="s">
        <v>16</v>
      </c>
      <c r="I1110" s="6" t="str">
        <f>IF(B1110=0,VLOOKUP(A1110,Feuil2!$A$2:$M$1241,7,FALSE)," ")</f>
        <v xml:space="preserve"> </v>
      </c>
      <c r="J1110" s="1" t="str">
        <f>IF(B1110=0,VLOOKUP(A1110,Feuil2!$A$2:$M$1241,9,FALSE)," ")</f>
        <v xml:space="preserve"> </v>
      </c>
      <c r="K1110" s="1" t="str">
        <f>IF(B1110=0,VLOOKUP(A1110,Feuil2!$A$2:$M$1241,10,FALSE)," ")</f>
        <v xml:space="preserve"> </v>
      </c>
      <c r="L1110" s="1"/>
      <c r="M1110" s="1"/>
      <c r="N1110" s="1"/>
      <c r="O1110" s="8" t="str">
        <f>IF(B1110=0,VLOOKUP(A1110,Feuil2!$A$2:$M$1241,13,FALSE)," ")</f>
        <v xml:space="preserve"> </v>
      </c>
    </row>
    <row r="1111" spans="1:15" x14ac:dyDescent="0.3">
      <c r="A1111" s="1">
        <v>1673</v>
      </c>
      <c r="B1111" s="1">
        <v>0</v>
      </c>
      <c r="C1111" s="1" t="str">
        <f>IF(B1111=0,VLOOKUP(A1111,Feuil2!$A$2:$M$1241,2,FALSE)," ")</f>
        <v>ABBASSI</v>
      </c>
      <c r="D1111" s="1" t="str">
        <f>IF(B1111=0,VLOOKUP(A1111,Feuil2!$A$2:$M$1241,3,FALSE)," ")</f>
        <v>MONDHER</v>
      </c>
      <c r="E1111" s="5">
        <f>IF(B1111=0,VLOOKUP(A1111,Feuil2!$A$2:$M$1241,6,FALSE)," ")</f>
        <v>27780</v>
      </c>
      <c r="F1111" s="1" t="str">
        <f>IF(B1111=0,VLOOKUP(A1111,Feuil2!$A$2:$M$1241,12,FALSE)," ")</f>
        <v>H</v>
      </c>
      <c r="G1111" s="1" t="str">
        <f>IF(B1111=0,VLOOKUP(A1111,Feuil2!$A$2:$M$1241,11,FALSE)," ")</f>
        <v>M</v>
      </c>
      <c r="H1111" s="1" t="s">
        <v>16</v>
      </c>
      <c r="I1111" s="6">
        <f>IF(B1111=0,VLOOKUP(A1111,Feuil2!$A$2:$M$1241,7,FALSE)," ")</f>
        <v>5553283</v>
      </c>
      <c r="J1111" s="1" t="str">
        <f>IF(B1111=0,VLOOKUP(A1111,Feuil2!$A$2:$M$1241,9,FALSE)," ")</f>
        <v>12 Rue Ibn Rochd</v>
      </c>
      <c r="K1111" s="1" t="str">
        <f>IF(B1111=0,VLOOKUP(A1111,Feuil2!$A$2:$M$1241,10,FALSE)," ")</f>
        <v>Msaken 4070</v>
      </c>
      <c r="L1111" s="1">
        <v>4070</v>
      </c>
      <c r="M1111" s="1">
        <v>25845653</v>
      </c>
      <c r="N1111" s="1"/>
      <c r="O1111" s="8" t="str">
        <f>IF(B1111=0,VLOOKUP(A1111,Feuil2!$A$2:$M$1241,13,FALSE)," ")</f>
        <v>08507000262005162788</v>
      </c>
    </row>
    <row r="1112" spans="1:15" x14ac:dyDescent="0.3">
      <c r="A1112" s="1">
        <v>1673</v>
      </c>
      <c r="B1112" s="1">
        <v>1</v>
      </c>
      <c r="C1112" s="1" t="s">
        <v>283</v>
      </c>
      <c r="D1112" s="1" t="s">
        <v>2289</v>
      </c>
      <c r="E1112" s="5">
        <v>31780</v>
      </c>
      <c r="F1112" s="1" t="s">
        <v>17</v>
      </c>
      <c r="G1112" s="1" t="s">
        <v>15</v>
      </c>
      <c r="H1112" s="1" t="s">
        <v>16</v>
      </c>
      <c r="I1112" s="6" t="str">
        <f>IF(B1112=0,VLOOKUP(A1112,Feuil2!$A$2:$M$1241,7,FALSE)," ")</f>
        <v xml:space="preserve"> </v>
      </c>
      <c r="J1112" s="1" t="str">
        <f>IF(B1112=0,VLOOKUP(A1112,Feuil2!$A$2:$M$1241,9,FALSE)," ")</f>
        <v xml:space="preserve"> </v>
      </c>
      <c r="K1112" s="1" t="str">
        <f>IF(B1112=0,VLOOKUP(A1112,Feuil2!$A$2:$M$1241,10,FALSE)," ")</f>
        <v xml:space="preserve"> </v>
      </c>
      <c r="L1112" s="1"/>
      <c r="M1112" s="1"/>
      <c r="N1112" s="1"/>
      <c r="O1112" s="8" t="str">
        <f>IF(B1112=0,VLOOKUP(A1112,Feuil2!$A$2:$M$1241,13,FALSE)," ")</f>
        <v xml:space="preserve"> </v>
      </c>
    </row>
    <row r="1113" spans="1:15" x14ac:dyDescent="0.3">
      <c r="A1113" s="1">
        <v>1673</v>
      </c>
      <c r="B1113" s="1">
        <v>2</v>
      </c>
      <c r="C1113" s="1" t="s">
        <v>254</v>
      </c>
      <c r="D1113" s="1" t="s">
        <v>2451</v>
      </c>
      <c r="E1113" s="5">
        <v>40431</v>
      </c>
      <c r="F1113" s="1" t="s">
        <v>17</v>
      </c>
      <c r="G1113" s="1" t="str">
        <f>IF(B1113=0,VLOOKUP(A1113,Feuil2!$A$2:$M$1241,11,FALSE)," ")</f>
        <v xml:space="preserve"> </v>
      </c>
      <c r="H1113" s="1" t="s">
        <v>16</v>
      </c>
      <c r="I1113" s="6" t="str">
        <f>IF(B1113=0,VLOOKUP(A1113,Feuil2!$A$2:$M$1241,7,FALSE)," ")</f>
        <v xml:space="preserve"> </v>
      </c>
      <c r="J1113" s="1" t="str">
        <f>IF(B1113=0,VLOOKUP(A1113,Feuil2!$A$2:$M$1241,9,FALSE)," ")</f>
        <v xml:space="preserve"> </v>
      </c>
      <c r="K1113" s="1" t="str">
        <f>IF(B1113=0,VLOOKUP(A1113,Feuil2!$A$2:$M$1241,10,FALSE)," ")</f>
        <v xml:space="preserve"> </v>
      </c>
      <c r="L1113" s="1"/>
      <c r="M1113" s="1"/>
      <c r="N1113" s="1"/>
      <c r="O1113" s="8" t="str">
        <f>IF(B1113=0,VLOOKUP(A1113,Feuil2!$A$2:$M$1241,13,FALSE)," ")</f>
        <v xml:space="preserve"> </v>
      </c>
    </row>
    <row r="1114" spans="1:15" x14ac:dyDescent="0.3">
      <c r="A1114" s="1">
        <v>1673</v>
      </c>
      <c r="B1114" s="1">
        <v>3</v>
      </c>
      <c r="C1114" s="1" t="s">
        <v>254</v>
      </c>
      <c r="D1114" s="1" t="s">
        <v>2628</v>
      </c>
      <c r="E1114" s="5">
        <v>42758</v>
      </c>
      <c r="F1114" s="1" t="s">
        <v>506</v>
      </c>
      <c r="G1114" s="1" t="str">
        <f>IF(B1114=0,VLOOKUP(A1114,Feuil2!$A$2:$M$1241,11,FALSE)," ")</f>
        <v xml:space="preserve"> </v>
      </c>
      <c r="H1114" s="1" t="s">
        <v>16</v>
      </c>
      <c r="I1114" s="6" t="str">
        <f>IF(B1114=0,VLOOKUP(A1114,Feuil2!$A$2:$M$1241,7,FALSE)," ")</f>
        <v xml:space="preserve"> </v>
      </c>
      <c r="J1114" s="1" t="str">
        <f>IF(B1114=0,VLOOKUP(A1114,Feuil2!$A$2:$M$1241,9,FALSE)," ")</f>
        <v xml:space="preserve"> </v>
      </c>
      <c r="K1114" s="1" t="str">
        <f>IF(B1114=0,VLOOKUP(A1114,Feuil2!$A$2:$M$1241,10,FALSE)," ")</f>
        <v xml:space="preserve"> </v>
      </c>
      <c r="L1114" s="1"/>
      <c r="M1114" s="1"/>
      <c r="N1114" s="1"/>
      <c r="O1114" s="8" t="str">
        <f>IF(B1114=0,VLOOKUP(A1114,Feuil2!$A$2:$M$1241,13,FALSE)," ")</f>
        <v xml:space="preserve"> </v>
      </c>
    </row>
    <row r="1115" spans="1:15" x14ac:dyDescent="0.3">
      <c r="A1115" s="1">
        <v>1673</v>
      </c>
      <c r="B1115" s="1">
        <v>4</v>
      </c>
      <c r="C1115" s="1" t="s">
        <v>254</v>
      </c>
      <c r="D1115" s="1" t="s">
        <v>77</v>
      </c>
      <c r="E1115" s="5">
        <v>42758</v>
      </c>
      <c r="F1115" s="1" t="s">
        <v>506</v>
      </c>
      <c r="G1115" s="1" t="str">
        <f>IF(B1115=0,VLOOKUP(A1115,Feuil2!$A$2:$M$1241,11,FALSE)," ")</f>
        <v xml:space="preserve"> </v>
      </c>
      <c r="H1115" s="1" t="s">
        <v>16</v>
      </c>
      <c r="I1115" s="6" t="str">
        <f>IF(B1115=0,VLOOKUP(A1115,Feuil2!$A$2:$M$1241,7,FALSE)," ")</f>
        <v xml:space="preserve"> </v>
      </c>
      <c r="J1115" s="1" t="str">
        <f>IF(B1115=0,VLOOKUP(A1115,Feuil2!$A$2:$M$1241,9,FALSE)," ")</f>
        <v xml:space="preserve"> </v>
      </c>
      <c r="K1115" s="1" t="str">
        <f>IF(B1115=0,VLOOKUP(A1115,Feuil2!$A$2:$M$1241,10,FALSE)," ")</f>
        <v xml:space="preserve"> </v>
      </c>
      <c r="L1115" s="1"/>
      <c r="M1115" s="1"/>
      <c r="N1115" s="1"/>
      <c r="O1115" s="8" t="str">
        <f>IF(B1115=0,VLOOKUP(A1115,Feuil2!$A$2:$M$1241,13,FALSE)," ")</f>
        <v xml:space="preserve"> </v>
      </c>
    </row>
    <row r="1116" spans="1:15" x14ac:dyDescent="0.3">
      <c r="A1116" s="1">
        <v>1677</v>
      </c>
      <c r="B1116" s="17">
        <v>0</v>
      </c>
      <c r="C1116" s="17" t="str">
        <f>IF(B1116=0,VLOOKUP(A1116,Feuil2!$A$2:$M$1241,2,FALSE)," ")</f>
        <v>HADJ AMMAR</v>
      </c>
      <c r="D1116" s="17" t="str">
        <f>IF(B1116=0,VLOOKUP(A1116,Feuil2!$A$2:$M$1241,3,FALSE)," ")</f>
        <v>BRAHIM</v>
      </c>
      <c r="E1116" s="18">
        <f>IF(B1116=0,VLOOKUP(A1116,Feuil2!$A$2:$M$1241,6,FALSE)," ")</f>
        <v>25427</v>
      </c>
      <c r="F1116" s="17" t="str">
        <f>IF(B1116=0,VLOOKUP(A1116,Feuil2!$A$2:$M$1241,12,FALSE)," ")</f>
        <v>H</v>
      </c>
      <c r="G1116" s="17" t="str">
        <f>IF(B1116=0,VLOOKUP(A1116,Feuil2!$A$2:$M$1241,11,FALSE)," ")</f>
        <v>M</v>
      </c>
      <c r="H1116" s="17" t="s">
        <v>16</v>
      </c>
      <c r="I1116" s="19">
        <f>IF(B1116=0,VLOOKUP(A1116,Feuil2!$A$2:$M$1241,7,FALSE)," ")</f>
        <v>2993759</v>
      </c>
      <c r="J1116" s="17" t="str">
        <f>IF(B1116=0,VLOOKUP(A1116,Feuil2!$A$2:$M$1241,9,FALSE)," ")</f>
        <v>NULL</v>
      </c>
      <c r="K1116" s="17" t="str">
        <f>IF(B1116=0,VLOOKUP(A1116,Feuil2!$A$2:$M$1241,10,FALSE)," ")</f>
        <v>Sidi El HÃ©ni 4025</v>
      </c>
      <c r="L1116" s="17"/>
      <c r="M1116" s="17">
        <v>97451789</v>
      </c>
      <c r="N1116" s="17"/>
      <c r="O1116" s="20" t="str">
        <f>IF(B1116=0,VLOOKUP(A1116,Feuil2!$A$2:$M$1241,13,FALSE)," ")</f>
        <v>17503000000150144947</v>
      </c>
    </row>
    <row r="1117" spans="1:15" x14ac:dyDescent="0.3">
      <c r="A1117" s="1">
        <v>1677</v>
      </c>
      <c r="B1117" s="1">
        <v>1</v>
      </c>
      <c r="C1117" s="1" t="s">
        <v>1258</v>
      </c>
      <c r="D1117" s="1" t="s">
        <v>2099</v>
      </c>
      <c r="E1117" s="5">
        <v>25275</v>
      </c>
      <c r="F1117" s="1" t="s">
        <v>17</v>
      </c>
      <c r="G1117" s="1" t="s">
        <v>15</v>
      </c>
      <c r="H1117" s="1" t="s">
        <v>16</v>
      </c>
      <c r="I1117" s="6" t="str">
        <f>IF(B1117=0,VLOOKUP(A1117,Feuil2!$A$2:$M$1241,7,FALSE)," ")</f>
        <v xml:space="preserve"> </v>
      </c>
      <c r="J1117" s="1" t="str">
        <f>IF(B1117=0,VLOOKUP(A1117,Feuil2!$A$2:$M$1241,9,FALSE)," ")</f>
        <v xml:space="preserve"> </v>
      </c>
      <c r="K1117" s="1" t="str">
        <f>IF(B1117=0,VLOOKUP(A1117,Feuil2!$A$2:$M$1241,10,FALSE)," ")</f>
        <v xml:space="preserve"> </v>
      </c>
      <c r="L1117" s="1"/>
      <c r="M1117" s="1"/>
      <c r="N1117" s="1"/>
      <c r="O1117" s="8" t="str">
        <f>IF(B1117=0,VLOOKUP(A1117,Feuil2!$A$2:$M$1241,13,FALSE)," ")</f>
        <v xml:space="preserve"> </v>
      </c>
    </row>
    <row r="1118" spans="1:15" x14ac:dyDescent="0.3">
      <c r="A1118" s="1">
        <v>1677</v>
      </c>
      <c r="B1118" s="1">
        <v>2</v>
      </c>
      <c r="C1118" s="1" t="s">
        <v>1258</v>
      </c>
      <c r="D1118" s="1" t="s">
        <v>2673</v>
      </c>
      <c r="E1118" s="5">
        <v>36346</v>
      </c>
      <c r="F1118" s="1" t="s">
        <v>506</v>
      </c>
      <c r="G1118" s="1" t="str">
        <f>IF(B1118=0,VLOOKUP(A1118,Feuil2!$A$2:$M$1241,11,FALSE)," ")</f>
        <v xml:space="preserve"> </v>
      </c>
      <c r="H1118" s="1" t="s">
        <v>16</v>
      </c>
      <c r="I1118" s="6" t="str">
        <f>IF(B1118=0,VLOOKUP(A1118,Feuil2!$A$2:$M$1241,7,FALSE)," ")</f>
        <v xml:space="preserve"> </v>
      </c>
      <c r="J1118" s="1" t="str">
        <f>IF(B1118=0,VLOOKUP(A1118,Feuil2!$A$2:$M$1241,9,FALSE)," ")</f>
        <v xml:space="preserve"> </v>
      </c>
      <c r="K1118" s="1" t="str">
        <f>IF(B1118=0,VLOOKUP(A1118,Feuil2!$A$2:$M$1241,10,FALSE)," ")</f>
        <v xml:space="preserve"> </v>
      </c>
      <c r="L1118" s="1"/>
      <c r="M1118" s="1"/>
      <c r="N1118" s="1"/>
      <c r="O1118" s="8" t="str">
        <f>IF(B1118=0,VLOOKUP(A1118,Feuil2!$A$2:$M$1241,13,FALSE)," ")</f>
        <v xml:space="preserve"> </v>
      </c>
    </row>
    <row r="1119" spans="1:15" x14ac:dyDescent="0.3">
      <c r="A1119" s="1">
        <v>1677</v>
      </c>
      <c r="B1119" s="1">
        <v>3</v>
      </c>
      <c r="C1119" s="1" t="s">
        <v>1258</v>
      </c>
      <c r="D1119" s="1" t="s">
        <v>402</v>
      </c>
      <c r="E1119" s="5">
        <v>39544</v>
      </c>
      <c r="F1119" s="1" t="s">
        <v>17</v>
      </c>
      <c r="G1119" s="1" t="str">
        <f>IF(B1119=0,VLOOKUP(A1119,Feuil2!$A$2:$M$1241,11,FALSE)," ")</f>
        <v xml:space="preserve"> </v>
      </c>
      <c r="H1119" s="1" t="s">
        <v>16</v>
      </c>
      <c r="I1119" s="6" t="str">
        <f>IF(B1119=0,VLOOKUP(A1119,Feuil2!$A$2:$M$1241,7,FALSE)," ")</f>
        <v xml:space="preserve"> </v>
      </c>
      <c r="J1119" s="1" t="str">
        <f>IF(B1119=0,VLOOKUP(A1119,Feuil2!$A$2:$M$1241,9,FALSE)," ")</f>
        <v xml:space="preserve"> </v>
      </c>
      <c r="K1119" s="1" t="str">
        <f>IF(B1119=0,VLOOKUP(A1119,Feuil2!$A$2:$M$1241,10,FALSE)," ")</f>
        <v xml:space="preserve"> </v>
      </c>
      <c r="L1119" s="1"/>
      <c r="M1119" s="1"/>
      <c r="N1119" s="1"/>
      <c r="O1119" s="8" t="str">
        <f>IF(B1119=0,VLOOKUP(A1119,Feuil2!$A$2:$M$1241,13,FALSE)," ")</f>
        <v xml:space="preserve"> </v>
      </c>
    </row>
    <row r="1120" spans="1:15" x14ac:dyDescent="0.3">
      <c r="A1120" s="1">
        <v>1679</v>
      </c>
      <c r="B1120" s="1">
        <v>0</v>
      </c>
      <c r="C1120" s="1" t="str">
        <f>IF(B1120=0,VLOOKUP(A1120,Feuil2!$A$2:$M$1241,2,FALSE)," ")</f>
        <v>YOUSSEF</v>
      </c>
      <c r="D1120" s="1" t="str">
        <f>IF(B1120=0,VLOOKUP(A1120,Feuil2!$A$2:$M$1241,3,FALSE)," ")</f>
        <v>ADEM</v>
      </c>
      <c r="E1120" s="5">
        <f>IF(B1120=0,VLOOKUP(A1120,Feuil2!$A$2:$M$1241,6,FALSE)," ")</f>
        <v>26673</v>
      </c>
      <c r="F1120" s="1" t="str">
        <f>IF(B1120=0,VLOOKUP(A1120,Feuil2!$A$2:$M$1241,12,FALSE)," ")</f>
        <v>H</v>
      </c>
      <c r="G1120" s="1" t="str">
        <f>IF(B1120=0,VLOOKUP(A1120,Feuil2!$A$2:$M$1241,11,FALSE)," ")</f>
        <v>M</v>
      </c>
      <c r="H1120" s="1" t="s">
        <v>16</v>
      </c>
      <c r="I1120" s="6">
        <f>IF(B1120=0,VLOOKUP(A1120,Feuil2!$A$2:$M$1241,7,FALSE)," ")</f>
        <v>5516906</v>
      </c>
      <c r="J1120" s="1" t="str">
        <f>IF(B1120=0,VLOOKUP(A1120,Feuil2!$A$2:$M$1241,9,FALSE)," ")</f>
        <v>39 Rue 9 Avril</v>
      </c>
      <c r="K1120" s="1" t="str">
        <f>IF(B1120=0,VLOOKUP(A1120,Feuil2!$A$2:$M$1241,10,FALSE)," ")</f>
        <v>Msaken 4070</v>
      </c>
      <c r="L1120" s="1">
        <v>4070</v>
      </c>
      <c r="M1120" s="1">
        <v>97805959</v>
      </c>
      <c r="N1120" s="1"/>
      <c r="O1120" s="8" t="str">
        <f>IF(B1120=0,VLOOKUP(A1120,Feuil2!$A$2:$M$1241,13,FALSE)," ")</f>
        <v>12505000000237471686</v>
      </c>
    </row>
    <row r="1121" spans="1:15" x14ac:dyDescent="0.3">
      <c r="A1121" s="1">
        <v>1680</v>
      </c>
      <c r="B1121" s="1">
        <v>0</v>
      </c>
      <c r="C1121" s="1" t="str">
        <f>IF(B1121=0,VLOOKUP(A1121,Feuil2!$A$2:$M$1241,2,FALSE)," ")</f>
        <v>SASSI</v>
      </c>
      <c r="D1121" s="1" t="str">
        <f>IF(B1121=0,VLOOKUP(A1121,Feuil2!$A$2:$M$1241,3,FALSE)," ")</f>
        <v>WALID</v>
      </c>
      <c r="E1121" s="5">
        <f>IF(B1121=0,VLOOKUP(A1121,Feuil2!$A$2:$M$1241,6,FALSE)," ")</f>
        <v>28151</v>
      </c>
      <c r="F1121" s="1" t="str">
        <f>IF(B1121=0,VLOOKUP(A1121,Feuil2!$A$2:$M$1241,12,FALSE)," ")</f>
        <v>H</v>
      </c>
      <c r="G1121" s="1" t="str">
        <f>IF(B1121=0,VLOOKUP(A1121,Feuil2!$A$2:$M$1241,11,FALSE)," ")</f>
        <v>M</v>
      </c>
      <c r="H1121" s="1" t="s">
        <v>16</v>
      </c>
      <c r="I1121" s="6">
        <f>IF(B1121=0,VLOOKUP(A1121,Feuil2!$A$2:$M$1241,7,FALSE)," ")</f>
        <v>5562358</v>
      </c>
      <c r="J1121" s="1" t="str">
        <f>IF(B1121=0,VLOOKUP(A1121,Feuil2!$A$2:$M$1241,9,FALSE)," ")</f>
        <v>28 Rue Khaled Ibn El Walid</v>
      </c>
      <c r="K1121" s="1" t="str">
        <f>IF(B1121=0,VLOOKUP(A1121,Feuil2!$A$2:$M$1241,10,FALSE)," ")</f>
        <v>Msaken 4070</v>
      </c>
      <c r="L1121" s="1">
        <v>4070</v>
      </c>
      <c r="M1121" s="1">
        <v>26070176</v>
      </c>
      <c r="N1121" s="1"/>
      <c r="O1121" s="8" t="str">
        <f>IF(B1121=0,VLOOKUP(A1121,Feuil2!$A$2:$M$1241,13,FALSE)," ")</f>
        <v>08507000262001147182</v>
      </c>
    </row>
    <row r="1122" spans="1:15" x14ac:dyDescent="0.3">
      <c r="A1122" s="1">
        <v>1680</v>
      </c>
      <c r="B1122" s="1">
        <v>1</v>
      </c>
      <c r="C1122" s="1" t="s">
        <v>283</v>
      </c>
      <c r="D1122" s="1" t="s">
        <v>2569</v>
      </c>
      <c r="E1122" s="5">
        <v>30185</v>
      </c>
      <c r="F1122" s="1" t="s">
        <v>17</v>
      </c>
      <c r="G1122" s="1" t="s">
        <v>15</v>
      </c>
      <c r="H1122" s="1" t="s">
        <v>16</v>
      </c>
      <c r="I1122" s="6" t="str">
        <f>IF(B1122=0,VLOOKUP(A1122,Feuil2!$A$2:$M$1241,7,FALSE)," ")</f>
        <v xml:space="preserve"> </v>
      </c>
      <c r="J1122" s="1" t="str">
        <f>IF(B1122=0,VLOOKUP(A1122,Feuil2!$A$2:$M$1241,9,FALSE)," ")</f>
        <v xml:space="preserve"> </v>
      </c>
      <c r="K1122" s="1" t="str">
        <f>IF(B1122=0,VLOOKUP(A1122,Feuil2!$A$2:$M$1241,10,FALSE)," ")</f>
        <v xml:space="preserve"> </v>
      </c>
      <c r="L1122" s="1"/>
      <c r="M1122" s="1"/>
      <c r="N1122" s="1"/>
      <c r="O1122" s="8" t="str">
        <f>IF(B1122=0,VLOOKUP(A1122,Feuil2!$A$2:$M$1241,13,FALSE)," ")</f>
        <v xml:space="preserve"> </v>
      </c>
    </row>
    <row r="1123" spans="1:15" x14ac:dyDescent="0.3">
      <c r="A1123" s="1">
        <v>1680</v>
      </c>
      <c r="B1123" s="1">
        <v>2</v>
      </c>
      <c r="C1123" s="1" t="s">
        <v>104</v>
      </c>
      <c r="D1123" s="1" t="s">
        <v>2404</v>
      </c>
      <c r="E1123" s="5">
        <v>40406</v>
      </c>
      <c r="F1123" s="1" t="s">
        <v>506</v>
      </c>
      <c r="G1123" s="1" t="str">
        <f>IF(B1123=0,VLOOKUP(A1123,Feuil2!$A$2:$M$1241,11,FALSE)," ")</f>
        <v xml:space="preserve"> </v>
      </c>
      <c r="H1123" s="1" t="s">
        <v>16</v>
      </c>
      <c r="I1123" s="6" t="str">
        <f>IF(B1123=0,VLOOKUP(A1123,Feuil2!$A$2:$M$1241,7,FALSE)," ")</f>
        <v xml:space="preserve"> </v>
      </c>
      <c r="J1123" s="1" t="str">
        <f>IF(B1123=0,VLOOKUP(A1123,Feuil2!$A$2:$M$1241,9,FALSE)," ")</f>
        <v xml:space="preserve"> </v>
      </c>
      <c r="K1123" s="1" t="str">
        <f>IF(B1123=0,VLOOKUP(A1123,Feuil2!$A$2:$M$1241,10,FALSE)," ")</f>
        <v xml:space="preserve"> </v>
      </c>
      <c r="L1123" s="1"/>
      <c r="M1123" s="1"/>
      <c r="N1123" s="1"/>
      <c r="O1123" s="8" t="str">
        <f>IF(B1123=0,VLOOKUP(A1123,Feuil2!$A$2:$M$1241,13,FALSE)," ")</f>
        <v xml:space="preserve"> </v>
      </c>
    </row>
    <row r="1124" spans="1:15" x14ac:dyDescent="0.3">
      <c r="A1124" s="1">
        <v>1680</v>
      </c>
      <c r="B1124" s="1">
        <v>3</v>
      </c>
      <c r="C1124" s="1" t="s">
        <v>104</v>
      </c>
      <c r="D1124" s="1" t="s">
        <v>77</v>
      </c>
      <c r="E1124" s="5">
        <v>41211</v>
      </c>
      <c r="F1124" s="1" t="s">
        <v>506</v>
      </c>
      <c r="G1124" s="1" t="str">
        <f>IF(B1124=0,VLOOKUP(A1124,Feuil2!$A$2:$M$1241,11,FALSE)," ")</f>
        <v xml:space="preserve"> </v>
      </c>
      <c r="H1124" s="1" t="s">
        <v>16</v>
      </c>
      <c r="I1124" s="6" t="str">
        <f>IF(B1124=0,VLOOKUP(A1124,Feuil2!$A$2:$M$1241,7,FALSE)," ")</f>
        <v xml:space="preserve"> </v>
      </c>
      <c r="J1124" s="1" t="str">
        <f>IF(B1124=0,VLOOKUP(A1124,Feuil2!$A$2:$M$1241,9,FALSE)," ")</f>
        <v xml:space="preserve"> </v>
      </c>
      <c r="K1124" s="1" t="str">
        <f>IF(B1124=0,VLOOKUP(A1124,Feuil2!$A$2:$M$1241,10,FALSE)," ")</f>
        <v xml:space="preserve"> </v>
      </c>
      <c r="L1124" s="1"/>
      <c r="M1124" s="1"/>
      <c r="N1124" s="1"/>
      <c r="O1124" s="8" t="str">
        <f>IF(B1124=0,VLOOKUP(A1124,Feuil2!$A$2:$M$1241,13,FALSE)," ")</f>
        <v xml:space="preserve"> </v>
      </c>
    </row>
    <row r="1125" spans="1:15" x14ac:dyDescent="0.3">
      <c r="A1125" s="1">
        <v>1680</v>
      </c>
      <c r="B1125" s="1">
        <v>4</v>
      </c>
      <c r="C1125" s="1" t="s">
        <v>104</v>
      </c>
      <c r="D1125" s="1" t="s">
        <v>2501</v>
      </c>
      <c r="E1125" s="5">
        <v>45187</v>
      </c>
      <c r="F1125" s="1" t="s">
        <v>17</v>
      </c>
      <c r="G1125" s="1"/>
      <c r="H1125" s="1" t="s">
        <v>16</v>
      </c>
      <c r="I1125" s="6"/>
      <c r="J1125" s="1"/>
      <c r="K1125" s="1"/>
      <c r="L1125" s="1"/>
      <c r="M1125" s="1"/>
      <c r="N1125" s="1"/>
      <c r="O1125" s="8"/>
    </row>
    <row r="1126" spans="1:15" x14ac:dyDescent="0.3">
      <c r="A1126" s="1">
        <v>1681</v>
      </c>
      <c r="B1126" s="17">
        <v>0</v>
      </c>
      <c r="C1126" s="17" t="str">
        <f>IF(B1126=0,VLOOKUP(A1126,Feuil2!$A$2:$M$1241,2,FALSE)," ")</f>
        <v>HAMILA</v>
      </c>
      <c r="D1126" s="17" t="str">
        <f>IF(B1126=0,VLOOKUP(A1126,Feuil2!$A$2:$M$1241,3,FALSE)," ")</f>
        <v>NEBIL</v>
      </c>
      <c r="E1126" s="18">
        <f>IF(B1126=0,VLOOKUP(A1126,Feuil2!$A$2:$M$1241,6,FALSE)," ")</f>
        <v>25725</v>
      </c>
      <c r="F1126" s="17" t="str">
        <f>IF(B1126=0,VLOOKUP(A1126,Feuil2!$A$2:$M$1241,12,FALSE)," ")</f>
        <v>H</v>
      </c>
      <c r="G1126" s="17" t="str">
        <f>IF(B1126=0,VLOOKUP(A1126,Feuil2!$A$2:$M$1241,11,FALSE)," ")</f>
        <v>M</v>
      </c>
      <c r="H1126" s="17" t="s">
        <v>16</v>
      </c>
      <c r="I1126" s="19">
        <f>IF(B1126=0,VLOOKUP(A1126,Feuil2!$A$2:$M$1241,7,FALSE)," ")</f>
        <v>5612318</v>
      </c>
      <c r="J1126" s="17" t="str">
        <f>IF(B1126=0,VLOOKUP(A1126,Feuil2!$A$2:$M$1241,9,FALSE)," ")</f>
        <v>Rue Taieb Mhiri</v>
      </c>
      <c r="K1126" s="17" t="str">
        <f>IF(B1126=0,VLOOKUP(A1126,Feuil2!$A$2:$M$1241,10,FALSE)," ")</f>
        <v>Msaken 4070</v>
      </c>
      <c r="L1126" s="17">
        <v>4070</v>
      </c>
      <c r="M1126" s="17">
        <v>26365822</v>
      </c>
      <c r="N1126" s="17"/>
      <c r="O1126" s="20" t="str">
        <f>IF(B1126=0,VLOOKUP(A1126,Feuil2!$A$2:$M$1241,13,FALSE)," ")</f>
        <v>20009092220005843953</v>
      </c>
    </row>
    <row r="1127" spans="1:15" x14ac:dyDescent="0.3">
      <c r="A1127" s="1">
        <v>1681</v>
      </c>
      <c r="B1127" s="1">
        <v>1</v>
      </c>
      <c r="C1127" s="1" t="s">
        <v>582</v>
      </c>
      <c r="D1127" s="1" t="s">
        <v>524</v>
      </c>
      <c r="E1127" s="5">
        <v>29098</v>
      </c>
      <c r="F1127" s="1" t="s">
        <v>17</v>
      </c>
      <c r="G1127" s="1" t="s">
        <v>15</v>
      </c>
      <c r="H1127" s="1" t="s">
        <v>16</v>
      </c>
      <c r="I1127" s="6" t="str">
        <f>IF(B1127=0,VLOOKUP(A1127,Feuil2!$A$2:$M$1241,7,FALSE)," ")</f>
        <v xml:space="preserve"> </v>
      </c>
      <c r="J1127" s="1" t="str">
        <f>IF(B1127=0,VLOOKUP(A1127,Feuil2!$A$2:$M$1241,9,FALSE)," ")</f>
        <v xml:space="preserve"> </v>
      </c>
      <c r="K1127" s="1" t="str">
        <f>IF(B1127=0,VLOOKUP(A1127,Feuil2!$A$2:$M$1241,10,FALSE)," ")</f>
        <v xml:space="preserve"> </v>
      </c>
      <c r="L1127" s="1"/>
      <c r="M1127" s="1"/>
      <c r="N1127" s="1"/>
      <c r="O1127" s="8" t="str">
        <f>IF(B1127=0,VLOOKUP(A1127,Feuil2!$A$2:$M$1241,13,FALSE)," ")</f>
        <v xml:space="preserve"> </v>
      </c>
    </row>
    <row r="1128" spans="1:15" x14ac:dyDescent="0.3">
      <c r="A1128" s="1">
        <v>1681</v>
      </c>
      <c r="B1128" s="1">
        <v>2</v>
      </c>
      <c r="C1128" s="1" t="s">
        <v>103</v>
      </c>
      <c r="D1128" s="1" t="s">
        <v>2674</v>
      </c>
      <c r="E1128" s="5">
        <v>36969</v>
      </c>
      <c r="F1128" s="1" t="s">
        <v>506</v>
      </c>
      <c r="G1128" s="1" t="str">
        <f>IF(B1128=0,VLOOKUP(A1128,Feuil2!$A$2:$M$1241,11,FALSE)," ")</f>
        <v xml:space="preserve"> </v>
      </c>
      <c r="H1128" s="1" t="s">
        <v>16</v>
      </c>
      <c r="I1128" s="6" t="str">
        <f>IF(B1128=0,VLOOKUP(A1128,Feuil2!$A$2:$M$1241,7,FALSE)," ")</f>
        <v xml:space="preserve"> </v>
      </c>
      <c r="J1128" s="1" t="str">
        <f>IF(B1128=0,VLOOKUP(A1128,Feuil2!$A$2:$M$1241,9,FALSE)," ")</f>
        <v xml:space="preserve"> </v>
      </c>
      <c r="K1128" s="1" t="str">
        <f>IF(B1128=0,VLOOKUP(A1128,Feuil2!$A$2:$M$1241,10,FALSE)," ")</f>
        <v xml:space="preserve"> </v>
      </c>
      <c r="L1128" s="1"/>
      <c r="M1128" s="1"/>
      <c r="N1128" s="1"/>
      <c r="O1128" s="8" t="str">
        <f>IF(B1128=0,VLOOKUP(A1128,Feuil2!$A$2:$M$1241,13,FALSE)," ")</f>
        <v xml:space="preserve"> </v>
      </c>
    </row>
    <row r="1129" spans="1:15" x14ac:dyDescent="0.3">
      <c r="A1129" s="1">
        <v>1681</v>
      </c>
      <c r="B1129" s="1">
        <v>3</v>
      </c>
      <c r="C1129" s="1" t="s">
        <v>103</v>
      </c>
      <c r="D1129" s="1" t="s">
        <v>2585</v>
      </c>
      <c r="E1129" s="5">
        <v>38634</v>
      </c>
      <c r="F1129" s="1" t="s">
        <v>17</v>
      </c>
      <c r="G1129" s="1" t="str">
        <f>IF(B1129=0,VLOOKUP(A1129,Feuil2!$A$2:$M$1241,11,FALSE)," ")</f>
        <v xml:space="preserve"> </v>
      </c>
      <c r="H1129" s="1" t="s">
        <v>16</v>
      </c>
      <c r="I1129" s="6" t="str">
        <f>IF(B1129=0,VLOOKUP(A1129,Feuil2!$A$2:$M$1241,7,FALSE)," ")</f>
        <v xml:space="preserve"> </v>
      </c>
      <c r="J1129" s="1" t="str">
        <f>IF(B1129=0,VLOOKUP(A1129,Feuil2!$A$2:$M$1241,9,FALSE)," ")</f>
        <v xml:space="preserve"> </v>
      </c>
      <c r="K1129" s="1" t="str">
        <f>IF(B1129=0,VLOOKUP(A1129,Feuil2!$A$2:$M$1241,10,FALSE)," ")</f>
        <v xml:space="preserve"> </v>
      </c>
      <c r="L1129" s="1"/>
      <c r="M1129" s="1"/>
      <c r="N1129" s="1"/>
      <c r="O1129" s="8" t="str">
        <f>IF(B1129=0,VLOOKUP(A1129,Feuil2!$A$2:$M$1241,13,FALSE)," ")</f>
        <v xml:space="preserve"> </v>
      </c>
    </row>
    <row r="1130" spans="1:15" x14ac:dyDescent="0.3">
      <c r="A1130" s="1">
        <v>1681</v>
      </c>
      <c r="B1130" s="1">
        <v>4</v>
      </c>
      <c r="C1130" s="1" t="s">
        <v>103</v>
      </c>
      <c r="D1130" s="1" t="s">
        <v>2437</v>
      </c>
      <c r="E1130" s="5">
        <v>40626</v>
      </c>
      <c r="F1130" s="1" t="s">
        <v>17</v>
      </c>
      <c r="G1130" s="1" t="str">
        <f>IF(B1130=0,VLOOKUP(A1130,Feuil2!$A$2:$M$1241,11,FALSE)," ")</f>
        <v xml:space="preserve"> </v>
      </c>
      <c r="H1130" s="1" t="s">
        <v>16</v>
      </c>
      <c r="I1130" s="6" t="str">
        <f>IF(B1130=0,VLOOKUP(A1130,Feuil2!$A$2:$M$1241,7,FALSE)," ")</f>
        <v xml:space="preserve"> </v>
      </c>
      <c r="J1130" s="1" t="str">
        <f>IF(B1130=0,VLOOKUP(A1130,Feuil2!$A$2:$M$1241,9,FALSE)," ")</f>
        <v xml:space="preserve"> </v>
      </c>
      <c r="K1130" s="1" t="str">
        <f>IF(B1130=0,VLOOKUP(A1130,Feuil2!$A$2:$M$1241,10,FALSE)," ")</f>
        <v xml:space="preserve"> </v>
      </c>
      <c r="L1130" s="1"/>
      <c r="M1130" s="1"/>
      <c r="N1130" s="1"/>
      <c r="O1130" s="8" t="str">
        <f>IF(B1130=0,VLOOKUP(A1130,Feuil2!$A$2:$M$1241,13,FALSE)," ")</f>
        <v xml:space="preserve"> </v>
      </c>
    </row>
    <row r="1131" spans="1:15" x14ac:dyDescent="0.3">
      <c r="A1131" s="1">
        <v>1687</v>
      </c>
      <c r="B1131" s="1">
        <v>0</v>
      </c>
      <c r="C1131" s="1" t="str">
        <f>IF(B1131=0,VLOOKUP(A1131,Feuil2!$A$2:$M$1241,2,FALSE)," ")</f>
        <v>LACHHAB</v>
      </c>
      <c r="D1131" s="1" t="str">
        <f>IF(B1131=0,VLOOKUP(A1131,Feuil2!$A$2:$M$1241,3,FALSE)," ")</f>
        <v>SAHBI</v>
      </c>
      <c r="E1131" s="5">
        <f>IF(B1131=0,VLOOKUP(A1131,Feuil2!$A$2:$M$1241,6,FALSE)," ")</f>
        <v>28127</v>
      </c>
      <c r="F1131" s="1" t="str">
        <f>IF(B1131=0,VLOOKUP(A1131,Feuil2!$A$2:$M$1241,12,FALSE)," ")</f>
        <v>H</v>
      </c>
      <c r="G1131" s="1" t="str">
        <f>IF(B1131=0,VLOOKUP(A1131,Feuil2!$A$2:$M$1241,11,FALSE)," ")</f>
        <v>M</v>
      </c>
      <c r="H1131" s="1" t="s">
        <v>16</v>
      </c>
      <c r="I1131" s="6">
        <f>IF(B1131=0,VLOOKUP(A1131,Feuil2!$A$2:$M$1241,7,FALSE)," ")</f>
        <v>5573977</v>
      </c>
      <c r="J1131" s="1" t="str">
        <f>IF(B1131=0,VLOOKUP(A1131,Feuil2!$A$2:$M$1241,9,FALSE)," ")</f>
        <v>30 Rue Essaada</v>
      </c>
      <c r="K1131" s="1" t="str">
        <f>IF(B1131=0,VLOOKUP(A1131,Feuil2!$A$2:$M$1241,10,FALSE)," ")</f>
        <v>Msaken 4070</v>
      </c>
      <c r="L1131" s="1">
        <v>4070</v>
      </c>
      <c r="M1131" s="1">
        <v>22790200</v>
      </c>
      <c r="N1131" s="1"/>
      <c r="O1131" s="8" t="str">
        <f>IF(B1131=0,VLOOKUP(A1131,Feuil2!$A$2:$M$1241,13,FALSE)," ")</f>
        <v>12505000580102559789</v>
      </c>
    </row>
    <row r="1132" spans="1:15" x14ac:dyDescent="0.3">
      <c r="A1132" s="1">
        <v>1687</v>
      </c>
      <c r="B1132" s="1">
        <v>1</v>
      </c>
      <c r="C1132" s="1" t="str">
        <f>IF(B1132=0,VLOOKUP(A1132,Feuil2!$A$2:$M$1241,2,FALSE)," ")</f>
        <v xml:space="preserve"> </v>
      </c>
      <c r="D1132" s="1" t="s">
        <v>2348</v>
      </c>
      <c r="E1132" s="5">
        <v>29041</v>
      </c>
      <c r="F1132" s="1" t="s">
        <v>17</v>
      </c>
      <c r="G1132" s="1" t="s">
        <v>15</v>
      </c>
      <c r="H1132" s="1" t="s">
        <v>16</v>
      </c>
      <c r="I1132" s="6" t="str">
        <f>IF(B1132=0,VLOOKUP(A1132,Feuil2!$A$2:$M$1241,7,FALSE)," ")</f>
        <v xml:space="preserve"> </v>
      </c>
      <c r="J1132" s="1" t="str">
        <f>IF(B1132=0,VLOOKUP(A1132,Feuil2!$A$2:$M$1241,9,FALSE)," ")</f>
        <v xml:space="preserve"> </v>
      </c>
      <c r="K1132" s="1" t="str">
        <f>IF(B1132=0,VLOOKUP(A1132,Feuil2!$A$2:$M$1241,10,FALSE)," ")</f>
        <v xml:space="preserve"> </v>
      </c>
      <c r="L1132" s="1"/>
      <c r="M1132" s="1"/>
      <c r="N1132" s="1"/>
      <c r="O1132" s="8" t="str">
        <f>IF(B1132=0,VLOOKUP(A1132,Feuil2!$A$2:$M$1241,13,FALSE)," ")</f>
        <v xml:space="preserve"> </v>
      </c>
    </row>
    <row r="1133" spans="1:15" x14ac:dyDescent="0.3">
      <c r="A1133" s="1">
        <v>1687</v>
      </c>
      <c r="B1133" s="1">
        <v>2</v>
      </c>
      <c r="C1133" s="1" t="s">
        <v>220</v>
      </c>
      <c r="D1133" s="1" t="s">
        <v>2435</v>
      </c>
      <c r="E1133" s="5">
        <v>39334</v>
      </c>
      <c r="F1133" s="1" t="s">
        <v>17</v>
      </c>
      <c r="G1133" s="1" t="str">
        <f>IF(B1133=0,VLOOKUP(A1133,Feuil2!$A$2:$M$1241,11,FALSE)," ")</f>
        <v xml:space="preserve"> </v>
      </c>
      <c r="H1133" s="1" t="s">
        <v>16</v>
      </c>
      <c r="I1133" s="6" t="str">
        <f>IF(B1133=0,VLOOKUP(A1133,Feuil2!$A$2:$M$1241,7,FALSE)," ")</f>
        <v xml:space="preserve"> </v>
      </c>
      <c r="J1133" s="1" t="str">
        <f>IF(B1133=0,VLOOKUP(A1133,Feuil2!$A$2:$M$1241,9,FALSE)," ")</f>
        <v xml:space="preserve"> </v>
      </c>
      <c r="K1133" s="1" t="str">
        <f>IF(B1133=0,VLOOKUP(A1133,Feuil2!$A$2:$M$1241,10,FALSE)," ")</f>
        <v xml:space="preserve"> </v>
      </c>
      <c r="L1133" s="1"/>
      <c r="M1133" s="1"/>
      <c r="N1133" s="1"/>
      <c r="O1133" s="8" t="str">
        <f>IF(B1133=0,VLOOKUP(A1133,Feuil2!$A$2:$M$1241,13,FALSE)," ")</f>
        <v xml:space="preserve"> </v>
      </c>
    </row>
    <row r="1134" spans="1:15" x14ac:dyDescent="0.3">
      <c r="A1134" s="1">
        <v>1687</v>
      </c>
      <c r="B1134" s="1">
        <v>3</v>
      </c>
      <c r="C1134" s="1" t="s">
        <v>220</v>
      </c>
      <c r="D1134" s="1" t="s">
        <v>110</v>
      </c>
      <c r="E1134" s="5">
        <v>40065</v>
      </c>
      <c r="F1134" s="1" t="s">
        <v>506</v>
      </c>
      <c r="G1134" s="1" t="str">
        <f>IF(B1134=0,VLOOKUP(A1134,Feuil2!$A$2:$M$1241,11,FALSE)," ")</f>
        <v xml:space="preserve"> </v>
      </c>
      <c r="H1134" s="1" t="s">
        <v>16</v>
      </c>
      <c r="I1134" s="6" t="str">
        <f>IF(B1134=0,VLOOKUP(A1134,Feuil2!$A$2:$M$1241,7,FALSE)," ")</f>
        <v xml:space="preserve"> </v>
      </c>
      <c r="J1134" s="1" t="str">
        <f>IF(B1134=0,VLOOKUP(A1134,Feuil2!$A$2:$M$1241,9,FALSE)," ")</f>
        <v xml:space="preserve"> </v>
      </c>
      <c r="K1134" s="1" t="str">
        <f>IF(B1134=0,VLOOKUP(A1134,Feuil2!$A$2:$M$1241,10,FALSE)," ")</f>
        <v xml:space="preserve"> </v>
      </c>
      <c r="L1134" s="1"/>
      <c r="M1134" s="1"/>
      <c r="N1134" s="1"/>
      <c r="O1134" s="8" t="str">
        <f>IF(B1134=0,VLOOKUP(A1134,Feuil2!$A$2:$M$1241,13,FALSE)," ")</f>
        <v xml:space="preserve"> </v>
      </c>
    </row>
    <row r="1135" spans="1:15" x14ac:dyDescent="0.3">
      <c r="A1135" s="1">
        <v>1687</v>
      </c>
      <c r="B1135" s="1">
        <v>4</v>
      </c>
      <c r="C1135" s="1" t="s">
        <v>220</v>
      </c>
      <c r="D1135" s="1" t="s">
        <v>2675</v>
      </c>
      <c r="E1135" s="5">
        <v>41150</v>
      </c>
      <c r="F1135" s="1" t="s">
        <v>506</v>
      </c>
      <c r="G1135" s="1" t="str">
        <f>IF(B1135=0,VLOOKUP(A1135,Feuil2!$A$2:$M$1241,11,FALSE)," ")</f>
        <v xml:space="preserve"> </v>
      </c>
      <c r="H1135" s="1" t="s">
        <v>16</v>
      </c>
      <c r="I1135" s="6" t="str">
        <f>IF(B1135=0,VLOOKUP(A1135,Feuil2!$A$2:$M$1241,7,FALSE)," ")</f>
        <v xml:space="preserve"> </v>
      </c>
      <c r="J1135" s="1" t="str">
        <f>IF(B1135=0,VLOOKUP(A1135,Feuil2!$A$2:$M$1241,9,FALSE)," ")</f>
        <v xml:space="preserve"> </v>
      </c>
      <c r="K1135" s="1" t="str">
        <f>IF(B1135=0,VLOOKUP(A1135,Feuil2!$A$2:$M$1241,10,FALSE)," ")</f>
        <v xml:space="preserve"> </v>
      </c>
      <c r="L1135" s="1"/>
      <c r="M1135" s="1"/>
      <c r="N1135" s="1"/>
      <c r="O1135" s="8" t="str">
        <f>IF(B1135=0,VLOOKUP(A1135,Feuil2!$A$2:$M$1241,13,FALSE)," ")</f>
        <v xml:space="preserve"> </v>
      </c>
    </row>
    <row r="1136" spans="1:15" x14ac:dyDescent="0.3">
      <c r="A1136" s="1">
        <v>1687</v>
      </c>
      <c r="B1136" s="1">
        <v>5</v>
      </c>
      <c r="C1136" s="1" t="s">
        <v>220</v>
      </c>
      <c r="D1136" s="1" t="s">
        <v>2465</v>
      </c>
      <c r="E1136" s="5">
        <v>42308</v>
      </c>
      <c r="F1136" s="1" t="s">
        <v>506</v>
      </c>
      <c r="G1136" s="1" t="str">
        <f>IF(B1136=0,VLOOKUP(A1136,Feuil2!$A$2:$M$1241,11,FALSE)," ")</f>
        <v xml:space="preserve"> </v>
      </c>
      <c r="H1136" s="1" t="s">
        <v>16</v>
      </c>
      <c r="I1136" s="6" t="str">
        <f>IF(B1136=0,VLOOKUP(A1136,Feuil2!$A$2:$M$1241,7,FALSE)," ")</f>
        <v xml:space="preserve"> </v>
      </c>
      <c r="J1136" s="1" t="str">
        <f>IF(B1136=0,VLOOKUP(A1136,Feuil2!$A$2:$M$1241,9,FALSE)," ")</f>
        <v xml:space="preserve"> </v>
      </c>
      <c r="K1136" s="1" t="str">
        <f>IF(B1136=0,VLOOKUP(A1136,Feuil2!$A$2:$M$1241,10,FALSE)," ")</f>
        <v xml:space="preserve"> </v>
      </c>
      <c r="L1136" s="1"/>
      <c r="M1136" s="1"/>
      <c r="N1136" s="1"/>
      <c r="O1136" s="8" t="str">
        <f>IF(B1136=0,VLOOKUP(A1136,Feuil2!$A$2:$M$1241,13,FALSE)," ")</f>
        <v xml:space="preserve"> </v>
      </c>
    </row>
    <row r="1137" spans="1:15" x14ac:dyDescent="0.3">
      <c r="A1137" s="1">
        <v>1688</v>
      </c>
      <c r="B1137" s="1">
        <v>0</v>
      </c>
      <c r="C1137" s="1" t="str">
        <f>IF(B1137=0,VLOOKUP(A1137,Feuil2!$A$2:$M$1241,2,FALSE)," ")</f>
        <v>BEN ABDELJELIL</v>
      </c>
      <c r="D1137" s="1" t="str">
        <f>IF(B1137=0,VLOOKUP(A1137,Feuil2!$A$2:$M$1241,3,FALSE)," ")</f>
        <v>MED ANIS</v>
      </c>
      <c r="E1137" s="5">
        <f>IF(B1137=0,VLOOKUP(A1137,Feuil2!$A$2:$M$1241,6,FALSE)," ")</f>
        <v>28181</v>
      </c>
      <c r="F1137" s="1" t="str">
        <f>IF(B1137=0,VLOOKUP(A1137,Feuil2!$A$2:$M$1241,12,FALSE)," ")</f>
        <v>H</v>
      </c>
      <c r="G1137" s="1" t="str">
        <f>IF(B1137=0,VLOOKUP(A1137,Feuil2!$A$2:$M$1241,11,FALSE)," ")</f>
        <v>M</v>
      </c>
      <c r="H1137" s="1" t="s">
        <v>16</v>
      </c>
      <c r="I1137" s="6">
        <f>IF(B1137=0,VLOOKUP(A1137,Feuil2!$A$2:$M$1241,7,FALSE)," ")</f>
        <v>5597199</v>
      </c>
      <c r="J1137" s="1" t="str">
        <f>IF(B1137=0,VLOOKUP(A1137,Feuil2!$A$2:$M$1241,9,FALSE)," ")</f>
        <v>76 Rue de Bizerte</v>
      </c>
      <c r="K1137" s="1" t="str">
        <f>IF(B1137=0,VLOOKUP(A1137,Feuil2!$A$2:$M$1241,10,FALSE)," ")</f>
        <v>Msaken 4070</v>
      </c>
      <c r="L1137" s="1">
        <v>4070</v>
      </c>
      <c r="M1137" s="1">
        <v>20569555</v>
      </c>
      <c r="N1137" s="1"/>
      <c r="O1137" s="8" t="str">
        <f>IF(B1137=0,VLOOKUP(A1137,Feuil2!$A$2:$M$1241,13,FALSE)," ")</f>
        <v>08050020052000537373</v>
      </c>
    </row>
    <row r="1138" spans="1:15" x14ac:dyDescent="0.3">
      <c r="A1138" s="1">
        <v>1688</v>
      </c>
      <c r="B1138" s="1">
        <v>1</v>
      </c>
      <c r="C1138" s="1" t="s">
        <v>1797</v>
      </c>
      <c r="D1138" s="1" t="s">
        <v>2371</v>
      </c>
      <c r="E1138" s="5">
        <v>30441</v>
      </c>
      <c r="F1138" s="1" t="s">
        <v>17</v>
      </c>
      <c r="G1138" s="1" t="s">
        <v>15</v>
      </c>
      <c r="H1138" s="1" t="s">
        <v>16</v>
      </c>
      <c r="I1138" s="6" t="str">
        <f>IF(B1138=0,VLOOKUP(A1138,Feuil2!$A$2:$M$1241,7,FALSE)," ")</f>
        <v xml:space="preserve"> </v>
      </c>
      <c r="J1138" s="1" t="str">
        <f>IF(B1138=0,VLOOKUP(A1138,Feuil2!$A$2:$M$1241,9,FALSE)," ")</f>
        <v xml:space="preserve"> </v>
      </c>
      <c r="K1138" s="1" t="str">
        <f>IF(B1138=0,VLOOKUP(A1138,Feuil2!$A$2:$M$1241,10,FALSE)," ")</f>
        <v xml:space="preserve"> </v>
      </c>
      <c r="L1138" s="1"/>
      <c r="M1138" s="1"/>
      <c r="N1138" s="1"/>
      <c r="O1138" s="8" t="str">
        <f>IF(B1138=0,VLOOKUP(A1138,Feuil2!$A$2:$M$1241,13,FALSE)," ")</f>
        <v xml:space="preserve"> </v>
      </c>
    </row>
    <row r="1139" spans="1:15" x14ac:dyDescent="0.3">
      <c r="A1139" s="1">
        <v>1688</v>
      </c>
      <c r="B1139" s="1">
        <v>2</v>
      </c>
      <c r="C1139" s="1" t="s">
        <v>703</v>
      </c>
      <c r="D1139" s="1" t="s">
        <v>284</v>
      </c>
      <c r="E1139" s="5">
        <v>38686</v>
      </c>
      <c r="F1139" s="1" t="s">
        <v>506</v>
      </c>
      <c r="G1139" s="1" t="str">
        <f>IF(B1139=0,VLOOKUP(A1139,Feuil2!$A$2:$M$1241,11,FALSE)," ")</f>
        <v xml:space="preserve"> </v>
      </c>
      <c r="H1139" s="1" t="s">
        <v>16</v>
      </c>
      <c r="I1139" s="6" t="str">
        <f>IF(B1139=0,VLOOKUP(A1139,Feuil2!$A$2:$M$1241,7,FALSE)," ")</f>
        <v xml:space="preserve"> </v>
      </c>
      <c r="J1139" s="1" t="str">
        <f>IF(B1139=0,VLOOKUP(A1139,Feuil2!$A$2:$M$1241,9,FALSE)," ")</f>
        <v xml:space="preserve"> </v>
      </c>
      <c r="K1139" s="1" t="str">
        <f>IF(B1139=0,VLOOKUP(A1139,Feuil2!$A$2:$M$1241,10,FALSE)," ")</f>
        <v xml:space="preserve"> </v>
      </c>
      <c r="L1139" s="1"/>
      <c r="M1139" s="1"/>
      <c r="N1139" s="1"/>
      <c r="O1139" s="8" t="str">
        <f>IF(B1139=0,VLOOKUP(A1139,Feuil2!$A$2:$M$1241,13,FALSE)," ")</f>
        <v xml:space="preserve"> </v>
      </c>
    </row>
    <row r="1140" spans="1:15" x14ac:dyDescent="0.3">
      <c r="A1140" s="1">
        <v>1688</v>
      </c>
      <c r="B1140" s="1">
        <v>3</v>
      </c>
      <c r="C1140" s="1" t="s">
        <v>703</v>
      </c>
      <c r="D1140" s="1" t="s">
        <v>2676</v>
      </c>
      <c r="E1140" s="5">
        <v>39314</v>
      </c>
      <c r="F1140" s="1" t="s">
        <v>506</v>
      </c>
      <c r="G1140" s="1" t="str">
        <f>IF(B1140=0,VLOOKUP(A1140,Feuil2!$A$2:$M$1241,11,FALSE)," ")</f>
        <v xml:space="preserve"> </v>
      </c>
      <c r="H1140" s="1" t="s">
        <v>16</v>
      </c>
      <c r="I1140" s="6" t="str">
        <f>IF(B1140=0,VLOOKUP(A1140,Feuil2!$A$2:$M$1241,7,FALSE)," ")</f>
        <v xml:space="preserve"> </v>
      </c>
      <c r="J1140" s="1" t="str">
        <f>IF(B1140=0,VLOOKUP(A1140,Feuil2!$A$2:$M$1241,9,FALSE)," ")</f>
        <v xml:space="preserve"> </v>
      </c>
      <c r="K1140" s="1" t="str">
        <f>IF(B1140=0,VLOOKUP(A1140,Feuil2!$A$2:$M$1241,10,FALSE)," ")</f>
        <v xml:space="preserve"> </v>
      </c>
      <c r="L1140" s="1"/>
      <c r="M1140" s="1"/>
      <c r="N1140" s="1"/>
      <c r="O1140" s="8" t="str">
        <f>IF(B1140=0,VLOOKUP(A1140,Feuil2!$A$2:$M$1241,13,FALSE)," ")</f>
        <v xml:space="preserve"> </v>
      </c>
    </row>
    <row r="1141" spans="1:15" x14ac:dyDescent="0.3">
      <c r="A1141" s="1">
        <v>1688</v>
      </c>
      <c r="B1141" s="1">
        <v>4</v>
      </c>
      <c r="C1141" s="1" t="s">
        <v>703</v>
      </c>
      <c r="D1141" s="1" t="s">
        <v>2599</v>
      </c>
      <c r="E1141" s="5">
        <v>39897</v>
      </c>
      <c r="F1141" s="1" t="s">
        <v>506</v>
      </c>
      <c r="G1141" s="1" t="str">
        <f>IF(B1141=0,VLOOKUP(A1141,Feuil2!$A$2:$M$1241,11,FALSE)," ")</f>
        <v xml:space="preserve"> </v>
      </c>
      <c r="H1141" s="1" t="s">
        <v>16</v>
      </c>
      <c r="I1141" s="6" t="str">
        <f>IF(B1141=0,VLOOKUP(A1141,Feuil2!$A$2:$M$1241,7,FALSE)," ")</f>
        <v xml:space="preserve"> </v>
      </c>
      <c r="J1141" s="1" t="str">
        <f>IF(B1141=0,VLOOKUP(A1141,Feuil2!$A$2:$M$1241,9,FALSE)," ")</f>
        <v xml:space="preserve"> </v>
      </c>
      <c r="K1141" s="1" t="str">
        <f>IF(B1141=0,VLOOKUP(A1141,Feuil2!$A$2:$M$1241,10,FALSE)," ")</f>
        <v xml:space="preserve"> </v>
      </c>
      <c r="L1141" s="1"/>
      <c r="M1141" s="1"/>
      <c r="N1141" s="1"/>
      <c r="O1141" s="8" t="str">
        <f>IF(B1141=0,VLOOKUP(A1141,Feuil2!$A$2:$M$1241,13,FALSE)," ")</f>
        <v xml:space="preserve"> </v>
      </c>
    </row>
    <row r="1142" spans="1:15" x14ac:dyDescent="0.3">
      <c r="A1142" s="1">
        <v>1688</v>
      </c>
      <c r="B1142" s="1">
        <v>5</v>
      </c>
      <c r="C1142" s="1" t="s">
        <v>703</v>
      </c>
      <c r="D1142" s="1" t="s">
        <v>2879</v>
      </c>
      <c r="E1142" s="5">
        <v>44635</v>
      </c>
      <c r="F1142" s="1" t="s">
        <v>17</v>
      </c>
      <c r="G1142" s="1"/>
      <c r="H1142" s="1" t="s">
        <v>16</v>
      </c>
      <c r="I1142" s="6"/>
      <c r="J1142" s="1"/>
      <c r="K1142" s="1"/>
      <c r="L1142" s="1"/>
      <c r="M1142" s="1"/>
      <c r="N1142" s="1"/>
      <c r="O1142" s="8"/>
    </row>
    <row r="1143" spans="1:15" x14ac:dyDescent="0.3">
      <c r="A1143" s="1">
        <v>1689</v>
      </c>
      <c r="B1143" s="1">
        <v>0</v>
      </c>
      <c r="C1143" s="1" t="str">
        <f>IF(B1143=0,VLOOKUP(A1143,Feuil2!$A$2:$M$1241,2,FALSE)," ")</f>
        <v>GRAA</v>
      </c>
      <c r="D1143" s="1" t="str">
        <f>IF(B1143=0,VLOOKUP(A1143,Feuil2!$A$2:$M$1241,3,FALSE)," ")</f>
        <v>SKANDER</v>
      </c>
      <c r="E1143" s="5">
        <f>IF(B1143=0,VLOOKUP(A1143,Feuil2!$A$2:$M$1241,6,FALSE)," ")</f>
        <v>28052</v>
      </c>
      <c r="F1143" s="1" t="str">
        <f>IF(B1143=0,VLOOKUP(A1143,Feuil2!$A$2:$M$1241,12,FALSE)," ")</f>
        <v>H</v>
      </c>
      <c r="G1143" s="1" t="str">
        <f>IF(B1143=0,VLOOKUP(A1143,Feuil2!$A$2:$M$1241,11,FALSE)," ")</f>
        <v>M</v>
      </c>
      <c r="H1143" s="1" t="s">
        <v>16</v>
      </c>
      <c r="I1143" s="6">
        <f>IF(B1143=0,VLOOKUP(A1143,Feuil2!$A$2:$M$1241,7,FALSE)," ")</f>
        <v>5533523</v>
      </c>
      <c r="J1143" s="1" t="str">
        <f>IF(B1143=0,VLOOKUP(A1143,Feuil2!$A$2:$M$1241,9,FALSE)," ")</f>
        <v>210 Rue El Asphahani</v>
      </c>
      <c r="K1143" s="1" t="str">
        <f>IF(B1143=0,VLOOKUP(A1143,Feuil2!$A$2:$M$1241,10,FALSE)," ")</f>
        <v>Msaken 4070</v>
      </c>
      <c r="L1143" s="1">
        <v>4070</v>
      </c>
      <c r="M1143" s="1">
        <v>28129234</v>
      </c>
      <c r="N1143" s="1"/>
      <c r="O1143" s="8" t="str">
        <f>IF(B1143=0,VLOOKUP(A1143,Feuil2!$A$2:$M$1241,13,FALSE)," ")</f>
        <v>08507000262006563662</v>
      </c>
    </row>
    <row r="1144" spans="1:15" x14ac:dyDescent="0.3">
      <c r="A1144" s="1">
        <v>1689</v>
      </c>
      <c r="B1144" s="1">
        <v>1</v>
      </c>
      <c r="C1144" s="1" t="s">
        <v>71</v>
      </c>
      <c r="D1144" s="1" t="s">
        <v>749</v>
      </c>
      <c r="E1144" s="5">
        <v>29456</v>
      </c>
      <c r="F1144" s="1" t="s">
        <v>17</v>
      </c>
      <c r="G1144" s="1" t="s">
        <v>15</v>
      </c>
      <c r="H1144" s="1" t="s">
        <v>16</v>
      </c>
      <c r="I1144" s="6" t="str">
        <f>IF(B1144=0,VLOOKUP(A1144,Feuil2!$A$2:$M$1241,7,FALSE)," ")</f>
        <v xml:space="preserve"> </v>
      </c>
      <c r="J1144" s="1" t="str">
        <f>IF(B1144=0,VLOOKUP(A1144,Feuil2!$A$2:$M$1241,9,FALSE)," ")</f>
        <v xml:space="preserve"> </v>
      </c>
      <c r="K1144" s="1" t="str">
        <f>IF(B1144=0,VLOOKUP(A1144,Feuil2!$A$2:$M$1241,10,FALSE)," ")</f>
        <v xml:space="preserve"> </v>
      </c>
      <c r="L1144" s="1"/>
      <c r="M1144" s="1"/>
      <c r="N1144" s="1"/>
      <c r="O1144" s="8" t="str">
        <f>IF(B1144=0,VLOOKUP(A1144,Feuil2!$A$2:$M$1241,13,FALSE)," ")</f>
        <v xml:space="preserve"> </v>
      </c>
    </row>
    <row r="1145" spans="1:15" x14ac:dyDescent="0.3">
      <c r="A1145" s="1">
        <v>1689</v>
      </c>
      <c r="B1145" s="1">
        <v>2</v>
      </c>
      <c r="C1145" s="1" t="s">
        <v>186</v>
      </c>
      <c r="D1145" s="1" t="s">
        <v>278</v>
      </c>
      <c r="E1145" s="5">
        <v>40686</v>
      </c>
      <c r="F1145" s="1" t="s">
        <v>506</v>
      </c>
      <c r="G1145" s="1" t="str">
        <f>IF(B1145=0,VLOOKUP(A1145,Feuil2!$A$2:$M$1241,11,FALSE)," ")</f>
        <v xml:space="preserve"> </v>
      </c>
      <c r="H1145" s="1" t="s">
        <v>16</v>
      </c>
      <c r="I1145" s="6" t="str">
        <f>IF(B1145=0,VLOOKUP(A1145,Feuil2!$A$2:$M$1241,7,FALSE)," ")</f>
        <v xml:space="preserve"> </v>
      </c>
      <c r="J1145" s="1" t="str">
        <f>IF(B1145=0,VLOOKUP(A1145,Feuil2!$A$2:$M$1241,9,FALSE)," ")</f>
        <v xml:space="preserve"> </v>
      </c>
      <c r="K1145" s="1" t="str">
        <f>IF(B1145=0,VLOOKUP(A1145,Feuil2!$A$2:$M$1241,10,FALSE)," ")</f>
        <v xml:space="preserve"> </v>
      </c>
      <c r="L1145" s="1"/>
      <c r="M1145" s="1"/>
      <c r="N1145" s="1"/>
      <c r="O1145" s="8" t="str">
        <f>IF(B1145=0,VLOOKUP(A1145,Feuil2!$A$2:$M$1241,13,FALSE)," ")</f>
        <v xml:space="preserve"> </v>
      </c>
    </row>
    <row r="1146" spans="1:15" x14ac:dyDescent="0.3">
      <c r="A1146" s="1">
        <v>1689</v>
      </c>
      <c r="B1146" s="1">
        <v>3</v>
      </c>
      <c r="C1146" s="1" t="s">
        <v>186</v>
      </c>
      <c r="D1146" s="1" t="s">
        <v>61</v>
      </c>
      <c r="E1146" s="5">
        <v>41528</v>
      </c>
      <c r="F1146" s="1" t="s">
        <v>506</v>
      </c>
      <c r="G1146" s="1" t="str">
        <f>IF(B1146=0,VLOOKUP(A1146,Feuil2!$A$2:$M$1241,11,FALSE)," ")</f>
        <v xml:space="preserve"> </v>
      </c>
      <c r="H1146" s="1" t="s">
        <v>16</v>
      </c>
      <c r="I1146" s="6" t="str">
        <f>IF(B1146=0,VLOOKUP(A1146,Feuil2!$A$2:$M$1241,7,FALSE)," ")</f>
        <v xml:space="preserve"> </v>
      </c>
      <c r="J1146" s="1" t="str">
        <f>IF(B1146=0,VLOOKUP(A1146,Feuil2!$A$2:$M$1241,9,FALSE)," ")</f>
        <v xml:space="preserve"> </v>
      </c>
      <c r="K1146" s="1" t="str">
        <f>IF(B1146=0,VLOOKUP(A1146,Feuil2!$A$2:$M$1241,10,FALSE)," ")</f>
        <v xml:space="preserve"> </v>
      </c>
      <c r="L1146" s="1"/>
      <c r="M1146" s="1"/>
      <c r="N1146" s="1"/>
      <c r="O1146" s="8" t="str">
        <f>IF(B1146=0,VLOOKUP(A1146,Feuil2!$A$2:$M$1241,13,FALSE)," ")</f>
        <v xml:space="preserve"> </v>
      </c>
    </row>
    <row r="1147" spans="1:15" x14ac:dyDescent="0.3">
      <c r="A1147" s="1">
        <v>1689</v>
      </c>
      <c r="B1147" s="1">
        <v>4</v>
      </c>
      <c r="C1147" s="1" t="s">
        <v>186</v>
      </c>
      <c r="D1147" s="1" t="s">
        <v>2677</v>
      </c>
      <c r="E1147" s="5">
        <v>42129</v>
      </c>
      <c r="F1147" s="1" t="s">
        <v>17</v>
      </c>
      <c r="G1147" s="1" t="str">
        <f>IF(B1147=0,VLOOKUP(A1147,Feuil2!$A$2:$M$1241,11,FALSE)," ")</f>
        <v xml:space="preserve"> </v>
      </c>
      <c r="H1147" s="1" t="s">
        <v>16</v>
      </c>
      <c r="I1147" s="6" t="str">
        <f>IF(B1147=0,VLOOKUP(A1147,Feuil2!$A$2:$M$1241,7,FALSE)," ")</f>
        <v xml:space="preserve"> </v>
      </c>
      <c r="J1147" s="1" t="str">
        <f>IF(B1147=0,VLOOKUP(A1147,Feuil2!$A$2:$M$1241,9,FALSE)," ")</f>
        <v xml:space="preserve"> </v>
      </c>
      <c r="K1147" s="1" t="str">
        <f>IF(B1147=0,VLOOKUP(A1147,Feuil2!$A$2:$M$1241,10,FALSE)," ")</f>
        <v xml:space="preserve"> </v>
      </c>
      <c r="L1147" s="1"/>
      <c r="M1147" s="1"/>
      <c r="N1147" s="1"/>
      <c r="O1147" s="8" t="str">
        <f>IF(B1147=0,VLOOKUP(A1147,Feuil2!$A$2:$M$1241,13,FALSE)," ")</f>
        <v xml:space="preserve"> </v>
      </c>
    </row>
    <row r="1148" spans="1:15" x14ac:dyDescent="0.3">
      <c r="A1148" s="1">
        <v>1691</v>
      </c>
      <c r="B1148" s="1">
        <v>0</v>
      </c>
      <c r="C1148" s="1" t="str">
        <f>IF(B1148=0,VLOOKUP(A1148,Feuil2!$A$2:$M$1241,2,FALSE)," ")</f>
        <v>GADHI</v>
      </c>
      <c r="D1148" s="1" t="str">
        <f>IF(B1148=0,VLOOKUP(A1148,Feuil2!$A$2:$M$1241,3,FALSE)," ")</f>
        <v>MOHAMED</v>
      </c>
      <c r="E1148" s="5">
        <f>IF(B1148=0,VLOOKUP(A1148,Feuil2!$A$2:$M$1241,6,FALSE)," ")</f>
        <v>26960</v>
      </c>
      <c r="F1148" s="1" t="str">
        <f>IF(B1148=0,VLOOKUP(A1148,Feuil2!$A$2:$M$1241,12,FALSE)," ")</f>
        <v>H</v>
      </c>
      <c r="G1148" s="1" t="str">
        <f>IF(B1148=0,VLOOKUP(A1148,Feuil2!$A$2:$M$1241,11,FALSE)," ")</f>
        <v>M</v>
      </c>
      <c r="H1148" s="1" t="s">
        <v>16</v>
      </c>
      <c r="I1148" s="6">
        <f>IF(B1148=0,VLOOKUP(A1148,Feuil2!$A$2:$M$1241,7,FALSE)," ")</f>
        <v>5555099</v>
      </c>
      <c r="J1148" s="1" t="str">
        <f>IF(B1148=0,VLOOKUP(A1148,Feuil2!$A$2:$M$1241,9,FALSE)," ")</f>
        <v>193 Rue Ali Belhouane</v>
      </c>
      <c r="K1148" s="1" t="str">
        <f>IF(B1148=0,VLOOKUP(A1148,Feuil2!$A$2:$M$1241,10,FALSE)," ")</f>
        <v>Msaken 4070</v>
      </c>
      <c r="L1148" s="1">
        <v>4070</v>
      </c>
      <c r="M1148" s="1">
        <v>22906267</v>
      </c>
      <c r="N1148" s="1"/>
      <c r="O1148" s="8" t="str">
        <f>IF(B1148=0,VLOOKUP(A1148,Feuil2!$A$2:$M$1241,13,FALSE)," ")</f>
        <v>03508056010100336820</v>
      </c>
    </row>
    <row r="1149" spans="1:15" x14ac:dyDescent="0.3">
      <c r="A1149" s="1">
        <v>1691</v>
      </c>
      <c r="B1149" s="1">
        <v>1</v>
      </c>
      <c r="C1149" s="1" t="s">
        <v>1876</v>
      </c>
      <c r="D1149" s="1" t="s">
        <v>2327</v>
      </c>
      <c r="E1149" s="5">
        <v>30709</v>
      </c>
      <c r="F1149" s="1" t="s">
        <v>17</v>
      </c>
      <c r="G1149" s="1" t="s">
        <v>15</v>
      </c>
      <c r="H1149" s="1" t="s">
        <v>16</v>
      </c>
      <c r="I1149" s="6" t="str">
        <f>IF(B1149=0,VLOOKUP(A1149,Feuil2!$A$2:$M$1241,7,FALSE)," ")</f>
        <v xml:space="preserve"> </v>
      </c>
      <c r="J1149" s="1" t="str">
        <f>IF(B1149=0,VLOOKUP(A1149,Feuil2!$A$2:$M$1241,9,FALSE)," ")</f>
        <v xml:space="preserve"> </v>
      </c>
      <c r="K1149" s="1" t="str">
        <f>IF(B1149=0,VLOOKUP(A1149,Feuil2!$A$2:$M$1241,10,FALSE)," ")</f>
        <v xml:space="preserve"> </v>
      </c>
      <c r="L1149" s="1"/>
      <c r="M1149" s="1"/>
      <c r="N1149" s="1"/>
      <c r="O1149" s="8" t="str">
        <f>IF(B1149=0,VLOOKUP(A1149,Feuil2!$A$2:$M$1241,13,FALSE)," ")</f>
        <v xml:space="preserve"> </v>
      </c>
    </row>
    <row r="1150" spans="1:15" x14ac:dyDescent="0.3">
      <c r="A1150" s="1">
        <v>1691</v>
      </c>
      <c r="B1150" s="1">
        <v>2</v>
      </c>
      <c r="C1150" s="1" t="s">
        <v>123</v>
      </c>
      <c r="D1150" s="1" t="s">
        <v>2678</v>
      </c>
      <c r="E1150" s="5">
        <v>38093</v>
      </c>
      <c r="F1150" s="1" t="s">
        <v>17</v>
      </c>
      <c r="G1150" s="1" t="str">
        <f>IF(B1150=0,VLOOKUP(A1150,Feuil2!$A$2:$M$1241,11,FALSE)," ")</f>
        <v xml:space="preserve"> </v>
      </c>
      <c r="H1150" s="1" t="s">
        <v>16</v>
      </c>
      <c r="I1150" s="6" t="str">
        <f>IF(B1150=0,VLOOKUP(A1150,Feuil2!$A$2:$M$1241,7,FALSE)," ")</f>
        <v xml:space="preserve"> </v>
      </c>
      <c r="J1150" s="1" t="str">
        <f>IF(B1150=0,VLOOKUP(A1150,Feuil2!$A$2:$M$1241,9,FALSE)," ")</f>
        <v xml:space="preserve"> </v>
      </c>
      <c r="K1150" s="1" t="str">
        <f>IF(B1150=0,VLOOKUP(A1150,Feuil2!$A$2:$M$1241,10,FALSE)," ")</f>
        <v xml:space="preserve"> </v>
      </c>
      <c r="L1150" s="1"/>
      <c r="M1150" s="1"/>
      <c r="N1150" s="1"/>
      <c r="O1150" s="8" t="str">
        <f>IF(B1150=0,VLOOKUP(A1150,Feuil2!$A$2:$M$1241,13,FALSE)," ")</f>
        <v xml:space="preserve"> </v>
      </c>
    </row>
    <row r="1151" spans="1:15" x14ac:dyDescent="0.3">
      <c r="A1151" s="1">
        <v>1691</v>
      </c>
      <c r="B1151" s="1">
        <v>3</v>
      </c>
      <c r="C1151" s="1" t="s">
        <v>123</v>
      </c>
      <c r="D1151" s="1" t="s">
        <v>2679</v>
      </c>
      <c r="E1151" s="5">
        <v>39387</v>
      </c>
      <c r="F1151" s="1" t="s">
        <v>506</v>
      </c>
      <c r="G1151" s="1" t="str">
        <f>IF(B1151=0,VLOOKUP(A1151,Feuil2!$A$2:$M$1241,11,FALSE)," ")</f>
        <v xml:space="preserve"> </v>
      </c>
      <c r="H1151" s="1" t="s">
        <v>16</v>
      </c>
      <c r="I1151" s="6" t="str">
        <f>IF(B1151=0,VLOOKUP(A1151,Feuil2!$A$2:$M$1241,7,FALSE)," ")</f>
        <v xml:space="preserve"> </v>
      </c>
      <c r="J1151" s="1" t="str">
        <f>IF(B1151=0,VLOOKUP(A1151,Feuil2!$A$2:$M$1241,9,FALSE)," ")</f>
        <v xml:space="preserve"> </v>
      </c>
      <c r="K1151" s="1" t="str">
        <f>IF(B1151=0,VLOOKUP(A1151,Feuil2!$A$2:$M$1241,10,FALSE)," ")</f>
        <v xml:space="preserve"> </v>
      </c>
      <c r="L1151" s="1"/>
      <c r="M1151" s="1"/>
      <c r="N1151" s="1"/>
      <c r="O1151" s="8" t="str">
        <f>IF(B1151=0,VLOOKUP(A1151,Feuil2!$A$2:$M$1241,13,FALSE)," ")</f>
        <v xml:space="preserve"> </v>
      </c>
    </row>
    <row r="1152" spans="1:15" x14ac:dyDescent="0.3">
      <c r="A1152" s="1">
        <v>1691</v>
      </c>
      <c r="B1152" s="1">
        <v>4</v>
      </c>
      <c r="C1152" s="1" t="s">
        <v>123</v>
      </c>
      <c r="D1152" s="1" t="s">
        <v>2680</v>
      </c>
      <c r="E1152" s="5">
        <v>41706</v>
      </c>
      <c r="F1152" s="1" t="s">
        <v>506</v>
      </c>
      <c r="G1152" s="1" t="str">
        <f>IF(B1152=0,VLOOKUP(A1152,Feuil2!$A$2:$M$1241,11,FALSE)," ")</f>
        <v xml:space="preserve"> </v>
      </c>
      <c r="H1152" s="1" t="s">
        <v>16</v>
      </c>
      <c r="I1152" s="6" t="str">
        <f>IF(B1152=0,VLOOKUP(A1152,Feuil2!$A$2:$M$1241,7,FALSE)," ")</f>
        <v xml:space="preserve"> </v>
      </c>
      <c r="J1152" s="1" t="str">
        <f>IF(B1152=0,VLOOKUP(A1152,Feuil2!$A$2:$M$1241,9,FALSE)," ")</f>
        <v xml:space="preserve"> </v>
      </c>
      <c r="K1152" s="1" t="str">
        <f>IF(B1152=0,VLOOKUP(A1152,Feuil2!$A$2:$M$1241,10,FALSE)," ")</f>
        <v xml:space="preserve"> </v>
      </c>
      <c r="L1152" s="1"/>
      <c r="M1152" s="1"/>
      <c r="N1152" s="1"/>
      <c r="O1152" s="8" t="str">
        <f>IF(B1152=0,VLOOKUP(A1152,Feuil2!$A$2:$M$1241,13,FALSE)," ")</f>
        <v xml:space="preserve"> </v>
      </c>
    </row>
    <row r="1153" spans="1:15" x14ac:dyDescent="0.3">
      <c r="A1153" s="1">
        <v>1694</v>
      </c>
      <c r="B1153" s="1">
        <v>0</v>
      </c>
      <c r="C1153" s="1" t="str">
        <f>IF(B1153=0,VLOOKUP(A1153,Feuil2!$A$2:$M$1241,2,FALSE)," ")</f>
        <v>ZRELLI</v>
      </c>
      <c r="D1153" s="1" t="str">
        <f>IF(B1153=0,VLOOKUP(A1153,Feuil2!$A$2:$M$1241,3,FALSE)," ")</f>
        <v>KHALED</v>
      </c>
      <c r="E1153" s="5">
        <f>IF(B1153=0,VLOOKUP(A1153,Feuil2!$A$2:$M$1241,6,FALSE)," ")</f>
        <v>27590</v>
      </c>
      <c r="F1153" s="1" t="str">
        <f>IF(B1153=0,VLOOKUP(A1153,Feuil2!$A$2:$M$1241,12,FALSE)," ")</f>
        <v>H</v>
      </c>
      <c r="G1153" s="1" t="str">
        <f>IF(B1153=0,VLOOKUP(A1153,Feuil2!$A$2:$M$1241,11,FALSE)," ")</f>
        <v>M</v>
      </c>
      <c r="H1153" s="1" t="s">
        <v>16</v>
      </c>
      <c r="I1153" s="6">
        <f>IF(B1153=0,VLOOKUP(A1153,Feuil2!$A$2:$M$1241,7,FALSE)," ")</f>
        <v>5563458</v>
      </c>
      <c r="J1153" s="1" t="str">
        <f>IF(B1153=0,VLOOKUP(A1153,Feuil2!$A$2:$M$1241,9,FALSE)," ")</f>
        <v>118 Rue Mohamed Ali</v>
      </c>
      <c r="K1153" s="1" t="str">
        <f>IF(B1153=0,VLOOKUP(A1153,Feuil2!$A$2:$M$1241,10,FALSE)," ")</f>
        <v>Msaken 4070</v>
      </c>
      <c r="L1153" s="1">
        <v>4070</v>
      </c>
      <c r="M1153" s="1">
        <v>96524898</v>
      </c>
      <c r="N1153" s="1"/>
      <c r="O1153" s="8" t="str">
        <f>IF(B1153=0,VLOOKUP(A1153,Feuil2!$A$2:$M$1241,13,FALSE)," ")</f>
        <v>08507000262001237004</v>
      </c>
    </row>
    <row r="1154" spans="1:15" x14ac:dyDescent="0.3">
      <c r="A1154" s="1">
        <v>1694</v>
      </c>
      <c r="B1154" s="1">
        <v>1</v>
      </c>
      <c r="C1154" s="1" t="s">
        <v>217</v>
      </c>
      <c r="D1154" s="1" t="s">
        <v>2408</v>
      </c>
      <c r="E1154" s="5">
        <v>30393</v>
      </c>
      <c r="F1154" s="1" t="s">
        <v>17</v>
      </c>
      <c r="G1154" s="1" t="s">
        <v>15</v>
      </c>
      <c r="H1154" s="1" t="s">
        <v>16</v>
      </c>
      <c r="I1154" s="6" t="str">
        <f>IF(B1154=0,VLOOKUP(A1154,Feuil2!$A$2:$M$1241,7,FALSE)," ")</f>
        <v xml:space="preserve"> </v>
      </c>
      <c r="J1154" s="1" t="str">
        <f>IF(B1154=0,VLOOKUP(A1154,Feuil2!$A$2:$M$1241,9,FALSE)," ")</f>
        <v xml:space="preserve"> </v>
      </c>
      <c r="K1154" s="1" t="str">
        <f>IF(B1154=0,VLOOKUP(A1154,Feuil2!$A$2:$M$1241,10,FALSE)," ")</f>
        <v xml:space="preserve"> </v>
      </c>
      <c r="L1154" s="1"/>
      <c r="M1154" s="1"/>
      <c r="N1154" s="1"/>
      <c r="O1154" s="8" t="str">
        <f>IF(B1154=0,VLOOKUP(A1154,Feuil2!$A$2:$M$1241,13,FALSE)," ")</f>
        <v xml:space="preserve"> </v>
      </c>
    </row>
    <row r="1155" spans="1:15" x14ac:dyDescent="0.3">
      <c r="A1155" s="1">
        <v>1694</v>
      </c>
      <c r="B1155" s="1">
        <v>2</v>
      </c>
      <c r="C1155" s="1" t="s">
        <v>180</v>
      </c>
      <c r="D1155" s="1" t="s">
        <v>2681</v>
      </c>
      <c r="E1155" s="5">
        <v>39307</v>
      </c>
      <c r="F1155" s="1" t="s">
        <v>506</v>
      </c>
      <c r="G1155" s="1" t="str">
        <f>IF(B1155=0,VLOOKUP(A1155,Feuil2!$A$2:$M$1241,11,FALSE)," ")</f>
        <v xml:space="preserve"> </v>
      </c>
      <c r="H1155" s="1" t="s">
        <v>16</v>
      </c>
      <c r="I1155" s="6" t="str">
        <f>IF(B1155=0,VLOOKUP(A1155,Feuil2!$A$2:$M$1241,7,FALSE)," ")</f>
        <v xml:space="preserve"> </v>
      </c>
      <c r="J1155" s="1" t="str">
        <f>IF(B1155=0,VLOOKUP(A1155,Feuil2!$A$2:$M$1241,9,FALSE)," ")</f>
        <v xml:space="preserve"> </v>
      </c>
      <c r="K1155" s="1" t="str">
        <f>IF(B1155=0,VLOOKUP(A1155,Feuil2!$A$2:$M$1241,10,FALSE)," ")</f>
        <v xml:space="preserve"> </v>
      </c>
      <c r="L1155" s="1"/>
      <c r="M1155" s="1"/>
      <c r="N1155" s="1"/>
      <c r="O1155" s="8" t="str">
        <f>IF(B1155=0,VLOOKUP(A1155,Feuil2!$A$2:$M$1241,13,FALSE)," ")</f>
        <v xml:space="preserve"> </v>
      </c>
    </row>
    <row r="1156" spans="1:15" x14ac:dyDescent="0.3">
      <c r="A1156" s="1">
        <v>1694</v>
      </c>
      <c r="B1156" s="1">
        <v>3</v>
      </c>
      <c r="C1156" s="1" t="s">
        <v>180</v>
      </c>
      <c r="D1156" s="1" t="s">
        <v>2674</v>
      </c>
      <c r="E1156" s="5">
        <v>40359</v>
      </c>
      <c r="F1156" s="1" t="s">
        <v>506</v>
      </c>
      <c r="G1156" s="1" t="str">
        <f>IF(B1156=0,VLOOKUP(A1156,Feuil2!$A$2:$M$1241,11,FALSE)," ")</f>
        <v xml:space="preserve"> </v>
      </c>
      <c r="H1156" s="1" t="s">
        <v>16</v>
      </c>
      <c r="I1156" s="6" t="str">
        <f>IF(B1156=0,VLOOKUP(A1156,Feuil2!$A$2:$M$1241,7,FALSE)," ")</f>
        <v xml:space="preserve"> </v>
      </c>
      <c r="J1156" s="1" t="str">
        <f>IF(B1156=0,VLOOKUP(A1156,Feuil2!$A$2:$M$1241,9,FALSE)," ")</f>
        <v xml:space="preserve"> </v>
      </c>
      <c r="K1156" s="1" t="str">
        <f>IF(B1156=0,VLOOKUP(A1156,Feuil2!$A$2:$M$1241,10,FALSE)," ")</f>
        <v xml:space="preserve"> </v>
      </c>
      <c r="L1156" s="1"/>
      <c r="M1156" s="1"/>
      <c r="N1156" s="1"/>
      <c r="O1156" s="8" t="str">
        <f>IF(B1156=0,VLOOKUP(A1156,Feuil2!$A$2:$M$1241,13,FALSE)," ")</f>
        <v xml:space="preserve"> </v>
      </c>
    </row>
    <row r="1157" spans="1:15" x14ac:dyDescent="0.3">
      <c r="A1157" s="1">
        <v>1694</v>
      </c>
      <c r="B1157" s="1">
        <v>4</v>
      </c>
      <c r="C1157" s="1" t="s">
        <v>180</v>
      </c>
      <c r="D1157" s="1" t="s">
        <v>2465</v>
      </c>
      <c r="E1157" s="5">
        <v>40697</v>
      </c>
      <c r="F1157" s="1" t="s">
        <v>506</v>
      </c>
      <c r="G1157" s="1" t="str">
        <f>IF(B1157=0,VLOOKUP(A1157,Feuil2!$A$2:$M$1241,11,FALSE)," ")</f>
        <v xml:space="preserve"> </v>
      </c>
      <c r="H1157" s="1" t="s">
        <v>16</v>
      </c>
      <c r="I1157" s="6" t="str">
        <f>IF(B1157=0,VLOOKUP(A1157,Feuil2!$A$2:$M$1241,7,FALSE)," ")</f>
        <v xml:space="preserve"> </v>
      </c>
      <c r="J1157" s="1" t="str">
        <f>IF(B1157=0,VLOOKUP(A1157,Feuil2!$A$2:$M$1241,9,FALSE)," ")</f>
        <v xml:space="preserve"> </v>
      </c>
      <c r="K1157" s="1" t="str">
        <f>IF(B1157=0,VLOOKUP(A1157,Feuil2!$A$2:$M$1241,10,FALSE)," ")</f>
        <v xml:space="preserve"> </v>
      </c>
      <c r="L1157" s="1"/>
      <c r="M1157" s="1"/>
      <c r="N1157" s="1"/>
      <c r="O1157" s="8" t="str">
        <f>IF(B1157=0,VLOOKUP(A1157,Feuil2!$A$2:$M$1241,13,FALSE)," ")</f>
        <v xml:space="preserve"> </v>
      </c>
    </row>
    <row r="1158" spans="1:15" x14ac:dyDescent="0.3">
      <c r="A1158" s="1">
        <v>1694</v>
      </c>
      <c r="B1158" s="1">
        <v>5</v>
      </c>
      <c r="C1158" s="1" t="s">
        <v>180</v>
      </c>
      <c r="D1158" s="1" t="s">
        <v>2585</v>
      </c>
      <c r="E1158" s="5">
        <v>43540</v>
      </c>
      <c r="F1158" s="1" t="s">
        <v>17</v>
      </c>
      <c r="G1158" s="1" t="str">
        <f>IF(B1158=0,VLOOKUP(A1158,Feuil2!$A$2:$M$1241,11,FALSE)," ")</f>
        <v xml:space="preserve"> </v>
      </c>
      <c r="H1158" s="1" t="s">
        <v>16</v>
      </c>
      <c r="I1158" s="6" t="str">
        <f>IF(B1158=0,VLOOKUP(A1158,Feuil2!$A$2:$M$1241,7,FALSE)," ")</f>
        <v xml:space="preserve"> </v>
      </c>
      <c r="J1158" s="1" t="str">
        <f>IF(B1158=0,VLOOKUP(A1158,Feuil2!$A$2:$M$1241,9,FALSE)," ")</f>
        <v xml:space="preserve"> </v>
      </c>
      <c r="K1158" s="1" t="str">
        <f>IF(B1158=0,VLOOKUP(A1158,Feuil2!$A$2:$M$1241,10,FALSE)," ")</f>
        <v xml:space="preserve"> </v>
      </c>
      <c r="L1158" s="1"/>
      <c r="M1158" s="1"/>
      <c r="N1158" s="1"/>
      <c r="O1158" s="8" t="str">
        <f>IF(B1158=0,VLOOKUP(A1158,Feuil2!$A$2:$M$1241,13,FALSE)," ")</f>
        <v xml:space="preserve"> </v>
      </c>
    </row>
    <row r="1159" spans="1:15" x14ac:dyDescent="0.3">
      <c r="A1159" s="1">
        <v>1695</v>
      </c>
      <c r="B1159" s="1">
        <v>0</v>
      </c>
      <c r="C1159" s="1" t="str">
        <f>IF(B1159=0,VLOOKUP(A1159,Feuil2!$A$2:$M$1241,2,FALSE)," ")</f>
        <v>BEN AROUS</v>
      </c>
      <c r="D1159" s="1" t="str">
        <f>IF(B1159=0,VLOOKUP(A1159,Feuil2!$A$2:$M$1241,3,FALSE)," ")</f>
        <v>FOUED</v>
      </c>
      <c r="E1159" s="5">
        <f>IF(B1159=0,VLOOKUP(A1159,Feuil2!$A$2:$M$1241,6,FALSE)," ")</f>
        <v>26914</v>
      </c>
      <c r="F1159" s="1" t="str">
        <f>IF(B1159=0,VLOOKUP(A1159,Feuil2!$A$2:$M$1241,12,FALSE)," ")</f>
        <v>H</v>
      </c>
      <c r="G1159" s="1" t="str">
        <f>IF(B1159=0,VLOOKUP(A1159,Feuil2!$A$2:$M$1241,11,FALSE)," ")</f>
        <v>M</v>
      </c>
      <c r="H1159" s="1" t="s">
        <v>16</v>
      </c>
      <c r="I1159" s="6">
        <f>IF(B1159=0,VLOOKUP(A1159,Feuil2!$A$2:$M$1241,7,FALSE)," ")</f>
        <v>5521052</v>
      </c>
      <c r="J1159" s="1" t="str">
        <f>IF(B1159=0,VLOOKUP(A1159,Feuil2!$A$2:$M$1241,9,FALSE)," ")</f>
        <v>204 Rue Arafat</v>
      </c>
      <c r="K1159" s="1" t="str">
        <f>IF(B1159=0,VLOOKUP(A1159,Feuil2!$A$2:$M$1241,10,FALSE)," ")</f>
        <v>Msaken 4070</v>
      </c>
      <c r="L1159" s="1">
        <v>4070</v>
      </c>
      <c r="M1159" s="1">
        <v>98793647</v>
      </c>
      <c r="N1159" s="1"/>
      <c r="O1159" s="8" t="str">
        <f>IF(B1159=0,VLOOKUP(A1159,Feuil2!$A$2:$M$1241,13,FALSE)," ")</f>
        <v>04204067404000927858</v>
      </c>
    </row>
    <row r="1160" spans="1:15" x14ac:dyDescent="0.3">
      <c r="A1160" s="1">
        <v>1695</v>
      </c>
      <c r="B1160" s="1">
        <v>1</v>
      </c>
      <c r="C1160" s="1" t="s">
        <v>83</v>
      </c>
      <c r="D1160" s="1" t="s">
        <v>1787</v>
      </c>
      <c r="E1160" s="5">
        <v>30098</v>
      </c>
      <c r="F1160" s="1" t="s">
        <v>17</v>
      </c>
      <c r="G1160" s="1" t="s">
        <v>15</v>
      </c>
      <c r="H1160" s="1" t="s">
        <v>16</v>
      </c>
      <c r="I1160" s="6" t="str">
        <f>IF(B1160=0,VLOOKUP(A1160,Feuil2!$A$2:$M$1241,7,FALSE)," ")</f>
        <v xml:space="preserve"> </v>
      </c>
      <c r="J1160" s="1" t="str">
        <f>IF(B1160=0,VLOOKUP(A1160,Feuil2!$A$2:$M$1241,9,FALSE)," ")</f>
        <v xml:space="preserve"> </v>
      </c>
      <c r="K1160" s="1" t="str">
        <f>IF(B1160=0,VLOOKUP(A1160,Feuil2!$A$2:$M$1241,10,FALSE)," ")</f>
        <v xml:space="preserve"> </v>
      </c>
      <c r="L1160" s="1"/>
      <c r="M1160" s="1"/>
      <c r="N1160" s="1"/>
      <c r="O1160" s="8" t="str">
        <f>IF(B1160=0,VLOOKUP(A1160,Feuil2!$A$2:$M$1241,13,FALSE)," ")</f>
        <v xml:space="preserve"> </v>
      </c>
    </row>
    <row r="1161" spans="1:15" x14ac:dyDescent="0.3">
      <c r="A1161" s="1">
        <v>1695</v>
      </c>
      <c r="B1161" s="1">
        <v>2</v>
      </c>
      <c r="C1161" s="1" t="s">
        <v>1589</v>
      </c>
      <c r="D1161" s="1" t="s">
        <v>2465</v>
      </c>
      <c r="E1161" s="5">
        <v>38955</v>
      </c>
      <c r="F1161" s="1" t="s">
        <v>506</v>
      </c>
      <c r="G1161" s="1" t="str">
        <f>IF(B1161=0,VLOOKUP(A1161,Feuil2!$A$2:$M$1241,11,FALSE)," ")</f>
        <v xml:space="preserve"> </v>
      </c>
      <c r="H1161" s="1" t="s">
        <v>16</v>
      </c>
      <c r="I1161" s="6" t="str">
        <f>IF(B1161=0,VLOOKUP(A1161,Feuil2!$A$2:$M$1241,7,FALSE)," ")</f>
        <v xml:space="preserve"> </v>
      </c>
      <c r="J1161" s="1" t="str">
        <f>IF(B1161=0,VLOOKUP(A1161,Feuil2!$A$2:$M$1241,9,FALSE)," ")</f>
        <v xml:space="preserve"> </v>
      </c>
      <c r="K1161" s="1" t="str">
        <f>IF(B1161=0,VLOOKUP(A1161,Feuil2!$A$2:$M$1241,10,FALSE)," ")</f>
        <v xml:space="preserve"> </v>
      </c>
      <c r="L1161" s="1"/>
      <c r="M1161" s="1"/>
      <c r="N1161" s="1"/>
      <c r="O1161" s="8" t="str">
        <f>IF(B1161=0,VLOOKUP(A1161,Feuil2!$A$2:$M$1241,13,FALSE)," ")</f>
        <v xml:space="preserve"> </v>
      </c>
    </row>
    <row r="1162" spans="1:15" x14ac:dyDescent="0.3">
      <c r="A1162" s="1">
        <v>1695</v>
      </c>
      <c r="B1162" s="1">
        <v>3</v>
      </c>
      <c r="C1162" s="1" t="s">
        <v>1589</v>
      </c>
      <c r="D1162" s="1" t="s">
        <v>2682</v>
      </c>
      <c r="E1162" s="5">
        <v>39669</v>
      </c>
      <c r="F1162" s="1" t="s">
        <v>17</v>
      </c>
      <c r="G1162" s="1" t="str">
        <f>IF(B1162=0,VLOOKUP(A1162,Feuil2!$A$2:$M$1241,11,FALSE)," ")</f>
        <v xml:space="preserve"> </v>
      </c>
      <c r="H1162" s="1" t="s">
        <v>16</v>
      </c>
      <c r="I1162" s="6" t="str">
        <f>IF(B1162=0,VLOOKUP(A1162,Feuil2!$A$2:$M$1241,7,FALSE)," ")</f>
        <v xml:space="preserve"> </v>
      </c>
      <c r="J1162" s="1" t="str">
        <f>IF(B1162=0,VLOOKUP(A1162,Feuil2!$A$2:$M$1241,9,FALSE)," ")</f>
        <v xml:space="preserve"> </v>
      </c>
      <c r="K1162" s="1" t="str">
        <f>IF(B1162=0,VLOOKUP(A1162,Feuil2!$A$2:$M$1241,10,FALSE)," ")</f>
        <v xml:space="preserve"> </v>
      </c>
      <c r="L1162" s="1"/>
      <c r="M1162" s="1"/>
      <c r="N1162" s="1"/>
      <c r="O1162" s="8" t="str">
        <f>IF(B1162=0,VLOOKUP(A1162,Feuil2!$A$2:$M$1241,13,FALSE)," ")</f>
        <v xml:space="preserve"> </v>
      </c>
    </row>
    <row r="1163" spans="1:15" x14ac:dyDescent="0.3">
      <c r="A1163" s="1">
        <v>1695</v>
      </c>
      <c r="B1163" s="1">
        <v>4</v>
      </c>
      <c r="C1163" s="1" t="s">
        <v>1589</v>
      </c>
      <c r="D1163" s="1" t="s">
        <v>2345</v>
      </c>
      <c r="E1163" s="5">
        <v>41078</v>
      </c>
      <c r="F1163" s="1" t="s">
        <v>17</v>
      </c>
      <c r="G1163" s="1" t="str">
        <f>IF(B1163=0,VLOOKUP(A1163,Feuil2!$A$2:$M$1241,11,FALSE)," ")</f>
        <v xml:space="preserve"> </v>
      </c>
      <c r="H1163" s="1" t="s">
        <v>16</v>
      </c>
      <c r="I1163" s="6" t="str">
        <f>IF(B1163=0,VLOOKUP(A1163,Feuil2!$A$2:$M$1241,7,FALSE)," ")</f>
        <v xml:space="preserve"> </v>
      </c>
      <c r="J1163" s="1" t="str">
        <f>IF(B1163=0,VLOOKUP(A1163,Feuil2!$A$2:$M$1241,9,FALSE)," ")</f>
        <v xml:space="preserve"> </v>
      </c>
      <c r="K1163" s="1" t="str">
        <f>IF(B1163=0,VLOOKUP(A1163,Feuil2!$A$2:$M$1241,10,FALSE)," ")</f>
        <v xml:space="preserve"> </v>
      </c>
      <c r="L1163" s="1"/>
      <c r="M1163" s="1"/>
      <c r="N1163" s="1"/>
      <c r="O1163" s="8" t="str">
        <f>IF(B1163=0,VLOOKUP(A1163,Feuil2!$A$2:$M$1241,13,FALSE)," ")</f>
        <v xml:space="preserve"> </v>
      </c>
    </row>
    <row r="1164" spans="1:15" x14ac:dyDescent="0.3">
      <c r="A1164" s="1">
        <v>1695</v>
      </c>
      <c r="B1164" s="1">
        <v>5</v>
      </c>
      <c r="C1164" s="1" t="s">
        <v>1589</v>
      </c>
      <c r="D1164" s="1" t="s">
        <v>2657</v>
      </c>
      <c r="E1164" s="5">
        <v>42106</v>
      </c>
      <c r="F1164" s="1" t="s">
        <v>506</v>
      </c>
      <c r="G1164" s="1" t="str">
        <f>IF(B1164=0,VLOOKUP(A1164,Feuil2!$A$2:$M$1241,11,FALSE)," ")</f>
        <v xml:space="preserve"> </v>
      </c>
      <c r="H1164" s="1" t="s">
        <v>16</v>
      </c>
      <c r="I1164" s="6" t="str">
        <f>IF(B1164=0,VLOOKUP(A1164,Feuil2!$A$2:$M$1241,7,FALSE)," ")</f>
        <v xml:space="preserve"> </v>
      </c>
      <c r="J1164" s="1" t="str">
        <f>IF(B1164=0,VLOOKUP(A1164,Feuil2!$A$2:$M$1241,9,FALSE)," ")</f>
        <v xml:space="preserve"> </v>
      </c>
      <c r="K1164" s="1" t="str">
        <f>IF(B1164=0,VLOOKUP(A1164,Feuil2!$A$2:$M$1241,10,FALSE)," ")</f>
        <v xml:space="preserve"> </v>
      </c>
      <c r="L1164" s="1"/>
      <c r="M1164" s="1"/>
      <c r="N1164" s="1"/>
      <c r="O1164" s="8" t="str">
        <f>IF(B1164=0,VLOOKUP(A1164,Feuil2!$A$2:$M$1241,13,FALSE)," ")</f>
        <v xml:space="preserve"> </v>
      </c>
    </row>
    <row r="1165" spans="1:15" x14ac:dyDescent="0.3">
      <c r="A1165" s="1">
        <v>1698</v>
      </c>
      <c r="B1165" s="1">
        <v>0</v>
      </c>
      <c r="C1165" s="1" t="str">
        <f>IF(B1165=0,VLOOKUP(A1165,Feuil2!$A$2:$M$1241,2,FALSE)," ")</f>
        <v>BEL HADJ</v>
      </c>
      <c r="D1165" s="1" t="str">
        <f>IF(B1165=0,VLOOKUP(A1165,Feuil2!$A$2:$M$1241,3,FALSE)," ")</f>
        <v>NABIL</v>
      </c>
      <c r="E1165" s="5">
        <f>IF(B1165=0,VLOOKUP(A1165,Feuil2!$A$2:$M$1241,6,FALSE)," ")</f>
        <v>25904</v>
      </c>
      <c r="F1165" s="1" t="str">
        <f>IF(B1165=0,VLOOKUP(A1165,Feuil2!$A$2:$M$1241,12,FALSE)," ")</f>
        <v>H</v>
      </c>
      <c r="G1165" s="1" t="str">
        <f>IF(B1165=0,VLOOKUP(A1165,Feuil2!$A$2:$M$1241,11,FALSE)," ")</f>
        <v>M</v>
      </c>
      <c r="H1165" s="1" t="s">
        <v>16</v>
      </c>
      <c r="I1165" s="6">
        <f>IF(B1165=0,VLOOKUP(A1165,Feuil2!$A$2:$M$1241,7,FALSE)," ")</f>
        <v>5502955</v>
      </c>
      <c r="J1165" s="1" t="str">
        <f>IF(B1165=0,VLOOKUP(A1165,Feuil2!$A$2:$M$1241,9,FALSE)," ")</f>
        <v>274,Rue Arafat</v>
      </c>
      <c r="K1165" s="1" t="str">
        <f>IF(B1165=0,VLOOKUP(A1165,Feuil2!$A$2:$M$1241,10,FALSE)," ")</f>
        <v>Msaken 4070</v>
      </c>
      <c r="L1165" s="1">
        <v>4070</v>
      </c>
      <c r="M1165" s="1">
        <v>98783239</v>
      </c>
      <c r="N1165" s="1"/>
      <c r="O1165" s="8" t="str">
        <f>IF(B1165=0,VLOOKUP(A1165,Feuil2!$A$2:$M$1241,13,FALSE)," ")</f>
        <v>04204067003277901906</v>
      </c>
    </row>
    <row r="1166" spans="1:15" x14ac:dyDescent="0.3">
      <c r="A1166" s="1">
        <v>1698</v>
      </c>
      <c r="B1166" s="1">
        <v>1</v>
      </c>
      <c r="C1166" s="1" t="s">
        <v>283</v>
      </c>
      <c r="D1166" s="1" t="s">
        <v>2289</v>
      </c>
      <c r="E1166" s="5">
        <v>27701</v>
      </c>
      <c r="F1166" s="1" t="s">
        <v>17</v>
      </c>
      <c r="G1166" s="1" t="s">
        <v>15</v>
      </c>
      <c r="H1166" s="1" t="s">
        <v>16</v>
      </c>
      <c r="I1166" s="6" t="str">
        <f>IF(B1166=0,VLOOKUP(A1166,Feuil2!$A$2:$M$1241,7,FALSE)," ")</f>
        <v xml:space="preserve"> </v>
      </c>
      <c r="J1166" s="1" t="str">
        <f>IF(B1166=0,VLOOKUP(A1166,Feuil2!$A$2:$M$1241,9,FALSE)," ")</f>
        <v xml:space="preserve"> </v>
      </c>
      <c r="K1166" s="1" t="str">
        <f>IF(B1166=0,VLOOKUP(A1166,Feuil2!$A$2:$M$1241,10,FALSE)," ")</f>
        <v xml:space="preserve"> </v>
      </c>
      <c r="L1166" s="1"/>
      <c r="M1166" s="1"/>
      <c r="N1166" s="1"/>
      <c r="O1166" s="8" t="str">
        <f>IF(B1166=0,VLOOKUP(A1166,Feuil2!$A$2:$M$1241,13,FALSE)," ")</f>
        <v xml:space="preserve"> </v>
      </c>
    </row>
    <row r="1167" spans="1:15" x14ac:dyDescent="0.3">
      <c r="A1167" s="1">
        <v>1698</v>
      </c>
      <c r="B1167" s="1">
        <v>2</v>
      </c>
      <c r="C1167" s="1" t="s">
        <v>35</v>
      </c>
      <c r="D1167" s="1" t="s">
        <v>346</v>
      </c>
      <c r="E1167" s="5">
        <v>36763</v>
      </c>
      <c r="F1167" s="1" t="s">
        <v>506</v>
      </c>
      <c r="G1167" s="1" t="str">
        <f>IF(B1167=0,VLOOKUP(A1167,Feuil2!$A$2:$M$1241,11,FALSE)," ")</f>
        <v xml:space="preserve"> </v>
      </c>
      <c r="H1167" s="1" t="s">
        <v>16</v>
      </c>
      <c r="I1167" s="6" t="str">
        <f>IF(B1167=0,VLOOKUP(A1167,Feuil2!$A$2:$M$1241,7,FALSE)," ")</f>
        <v xml:space="preserve"> </v>
      </c>
      <c r="J1167" s="1" t="str">
        <f>IF(B1167=0,VLOOKUP(A1167,Feuil2!$A$2:$M$1241,9,FALSE)," ")</f>
        <v xml:space="preserve"> </v>
      </c>
      <c r="K1167" s="1" t="str">
        <f>IF(B1167=0,VLOOKUP(A1167,Feuil2!$A$2:$M$1241,10,FALSE)," ")</f>
        <v xml:space="preserve"> </v>
      </c>
      <c r="L1167" s="1"/>
      <c r="M1167" s="1"/>
      <c r="N1167" s="1"/>
      <c r="O1167" s="8" t="str">
        <f>IF(B1167=0,VLOOKUP(A1167,Feuil2!$A$2:$M$1241,13,FALSE)," ")</f>
        <v xml:space="preserve"> </v>
      </c>
    </row>
    <row r="1168" spans="1:15" x14ac:dyDescent="0.3">
      <c r="A1168" s="1">
        <v>1698</v>
      </c>
      <c r="B1168" s="1">
        <v>3</v>
      </c>
      <c r="C1168" s="1" t="s">
        <v>35</v>
      </c>
      <c r="D1168" s="1" t="s">
        <v>2683</v>
      </c>
      <c r="E1168" s="5">
        <v>37908</v>
      </c>
      <c r="F1168" s="1" t="s">
        <v>17</v>
      </c>
      <c r="G1168" s="1" t="str">
        <f>IF(B1168=0,VLOOKUP(A1168,Feuil2!$A$2:$M$1241,11,FALSE)," ")</f>
        <v xml:space="preserve"> </v>
      </c>
      <c r="H1168" s="1" t="s">
        <v>16</v>
      </c>
      <c r="I1168" s="6" t="str">
        <f>IF(B1168=0,VLOOKUP(A1168,Feuil2!$A$2:$M$1241,7,FALSE)," ")</f>
        <v xml:space="preserve"> </v>
      </c>
      <c r="J1168" s="1" t="str">
        <f>IF(B1168=0,VLOOKUP(A1168,Feuil2!$A$2:$M$1241,9,FALSE)," ")</f>
        <v xml:space="preserve"> </v>
      </c>
      <c r="K1168" s="1" t="str">
        <f>IF(B1168=0,VLOOKUP(A1168,Feuil2!$A$2:$M$1241,10,FALSE)," ")</f>
        <v xml:space="preserve"> </v>
      </c>
      <c r="L1168" s="1"/>
      <c r="M1168" s="1"/>
      <c r="N1168" s="1"/>
      <c r="O1168" s="8" t="str">
        <f>IF(B1168=0,VLOOKUP(A1168,Feuil2!$A$2:$M$1241,13,FALSE)," ")</f>
        <v xml:space="preserve"> </v>
      </c>
    </row>
    <row r="1169" spans="1:15" x14ac:dyDescent="0.3">
      <c r="A1169" s="1">
        <v>1698</v>
      </c>
      <c r="B1169" s="1">
        <v>4</v>
      </c>
      <c r="C1169" s="1" t="s">
        <v>35</v>
      </c>
      <c r="D1169" s="1" t="s">
        <v>61</v>
      </c>
      <c r="E1169" s="5">
        <v>40728</v>
      </c>
      <c r="F1169" s="1" t="s">
        <v>506</v>
      </c>
      <c r="G1169" s="1" t="str">
        <f>IF(B1169=0,VLOOKUP(A1169,Feuil2!$A$2:$M$1241,11,FALSE)," ")</f>
        <v xml:space="preserve"> </v>
      </c>
      <c r="H1169" s="1" t="s">
        <v>16</v>
      </c>
      <c r="I1169" s="6" t="str">
        <f>IF(B1169=0,VLOOKUP(A1169,Feuil2!$A$2:$M$1241,7,FALSE)," ")</f>
        <v xml:space="preserve"> </v>
      </c>
      <c r="J1169" s="1" t="str">
        <f>IF(B1169=0,VLOOKUP(A1169,Feuil2!$A$2:$M$1241,9,FALSE)," ")</f>
        <v xml:space="preserve"> </v>
      </c>
      <c r="K1169" s="1" t="str">
        <f>IF(B1169=0,VLOOKUP(A1169,Feuil2!$A$2:$M$1241,10,FALSE)," ")</f>
        <v xml:space="preserve"> </v>
      </c>
      <c r="L1169" s="1"/>
      <c r="M1169" s="1"/>
      <c r="N1169" s="1"/>
      <c r="O1169" s="8" t="str">
        <f>IF(B1169=0,VLOOKUP(A1169,Feuil2!$A$2:$M$1241,13,FALSE)," ")</f>
        <v xml:space="preserve"> </v>
      </c>
    </row>
    <row r="1170" spans="1:15" x14ac:dyDescent="0.3">
      <c r="A1170" s="1">
        <v>1699</v>
      </c>
      <c r="B1170" s="1">
        <v>0</v>
      </c>
      <c r="C1170" s="1" t="str">
        <f>IF(B1170=0,VLOOKUP(A1170,Feuil2!$A$2:$M$1241,2,FALSE)," ")</f>
        <v>BEJAOUI</v>
      </c>
      <c r="D1170" s="1" t="str">
        <f>IF(B1170=0,VLOOKUP(A1170,Feuil2!$A$2:$M$1241,3,FALSE)," ")</f>
        <v>NEBIL</v>
      </c>
      <c r="E1170" s="5">
        <f>IF(B1170=0,VLOOKUP(A1170,Feuil2!$A$2:$M$1241,6,FALSE)," ")</f>
        <v>26970</v>
      </c>
      <c r="F1170" s="1" t="str">
        <f>IF(B1170=0,VLOOKUP(A1170,Feuil2!$A$2:$M$1241,12,FALSE)," ")</f>
        <v>H</v>
      </c>
      <c r="G1170" s="1" t="str">
        <f>IF(B1170=0,VLOOKUP(A1170,Feuil2!$A$2:$M$1241,11,FALSE)," ")</f>
        <v>M</v>
      </c>
      <c r="H1170" s="1" t="s">
        <v>16</v>
      </c>
      <c r="I1170" s="6">
        <f>IF(B1170=0,VLOOKUP(A1170,Feuil2!$A$2:$M$1241,7,FALSE)," ")</f>
        <v>5658708</v>
      </c>
      <c r="J1170" s="1" t="str">
        <f>IF(B1170=0,VLOOKUP(A1170,Feuil2!$A$2:$M$1241,9,FALSE)," ")</f>
        <v>Rue 18 Janvier guengla M bourg</v>
      </c>
      <c r="K1170" s="1" t="str">
        <f>IF(B1170=0,VLOOKUP(A1170,Feuil2!$A$2:$M$1241,10,FALSE)," ")</f>
        <v>Bizert</v>
      </c>
      <c r="L1170" s="1"/>
      <c r="M1170" s="1">
        <v>98793645</v>
      </c>
      <c r="N1170" s="1"/>
      <c r="O1170" s="8" t="str">
        <f>IF(B1170=0,VLOOKUP(A1170,Feuil2!$A$2:$M$1241,13,FALSE)," ")</f>
        <v>12505000580105070246</v>
      </c>
    </row>
    <row r="1171" spans="1:15" x14ac:dyDescent="0.3">
      <c r="A1171" s="1">
        <v>1699</v>
      </c>
      <c r="B1171" s="1">
        <v>1</v>
      </c>
      <c r="C1171" s="1" t="s">
        <v>2684</v>
      </c>
      <c r="D1171" s="1" t="s">
        <v>2175</v>
      </c>
      <c r="E1171" s="5">
        <v>27926</v>
      </c>
      <c r="F1171" s="1" t="s">
        <v>17</v>
      </c>
      <c r="G1171" s="1" t="s">
        <v>15</v>
      </c>
      <c r="H1171" s="1" t="s">
        <v>16</v>
      </c>
      <c r="I1171" s="6" t="str">
        <f>IF(B1171=0,VLOOKUP(A1171,Feuil2!$A$2:$M$1241,7,FALSE)," ")</f>
        <v xml:space="preserve"> </v>
      </c>
      <c r="J1171" s="1" t="str">
        <f>IF(B1171=0,VLOOKUP(A1171,Feuil2!$A$2:$M$1241,9,FALSE)," ")</f>
        <v xml:space="preserve"> </v>
      </c>
      <c r="K1171" s="1" t="str">
        <f>IF(B1171=0,VLOOKUP(A1171,Feuil2!$A$2:$M$1241,10,FALSE)," ")</f>
        <v xml:space="preserve"> </v>
      </c>
      <c r="L1171" s="1"/>
      <c r="M1171" s="1"/>
      <c r="N1171" s="1"/>
      <c r="O1171" s="8" t="str">
        <f>IF(B1171=0,VLOOKUP(A1171,Feuil2!$A$2:$M$1241,13,FALSE)," ")</f>
        <v xml:space="preserve"> </v>
      </c>
    </row>
    <row r="1172" spans="1:15" x14ac:dyDescent="0.3">
      <c r="A1172" s="1">
        <v>1699</v>
      </c>
      <c r="B1172" s="1">
        <v>2</v>
      </c>
      <c r="C1172" s="1" t="s">
        <v>141</v>
      </c>
      <c r="D1172" s="1" t="s">
        <v>1596</v>
      </c>
      <c r="E1172" s="5">
        <v>37775</v>
      </c>
      <c r="F1172" s="1" t="s">
        <v>506</v>
      </c>
      <c r="G1172" s="1" t="str">
        <f>IF(B1172=0,VLOOKUP(A1172,Feuil2!$A$2:$M$1241,11,FALSE)," ")</f>
        <v xml:space="preserve"> </v>
      </c>
      <c r="H1172" s="1" t="s">
        <v>16</v>
      </c>
      <c r="I1172" s="6" t="str">
        <f>IF(B1172=0,VLOOKUP(A1172,Feuil2!$A$2:$M$1241,7,FALSE)," ")</f>
        <v xml:space="preserve"> </v>
      </c>
      <c r="J1172" s="1" t="str">
        <f>IF(B1172=0,VLOOKUP(A1172,Feuil2!$A$2:$M$1241,9,FALSE)," ")</f>
        <v xml:space="preserve"> </v>
      </c>
      <c r="K1172" s="1" t="str">
        <f>IF(B1172=0,VLOOKUP(A1172,Feuil2!$A$2:$M$1241,10,FALSE)," ")</f>
        <v xml:space="preserve"> </v>
      </c>
      <c r="L1172" s="1"/>
      <c r="M1172" s="1"/>
      <c r="N1172" s="1"/>
      <c r="O1172" s="8" t="str">
        <f>IF(B1172=0,VLOOKUP(A1172,Feuil2!$A$2:$M$1241,13,FALSE)," ")</f>
        <v xml:space="preserve"> </v>
      </c>
    </row>
    <row r="1173" spans="1:15" x14ac:dyDescent="0.3">
      <c r="A1173" s="1">
        <v>1699</v>
      </c>
      <c r="B1173" s="1">
        <v>3</v>
      </c>
      <c r="C1173" s="1" t="s">
        <v>141</v>
      </c>
      <c r="D1173" s="1" t="s">
        <v>70</v>
      </c>
      <c r="E1173" s="5">
        <v>37775</v>
      </c>
      <c r="F1173" s="1" t="s">
        <v>506</v>
      </c>
      <c r="G1173" s="1" t="str">
        <f>IF(B1173=0,VLOOKUP(A1173,Feuil2!$A$2:$M$1241,11,FALSE)," ")</f>
        <v xml:space="preserve"> </v>
      </c>
      <c r="H1173" s="1" t="s">
        <v>16</v>
      </c>
      <c r="I1173" s="6" t="str">
        <f>IF(B1173=0,VLOOKUP(A1173,Feuil2!$A$2:$M$1241,7,FALSE)," ")</f>
        <v xml:space="preserve"> </v>
      </c>
      <c r="J1173" s="1" t="str">
        <f>IF(B1173=0,VLOOKUP(A1173,Feuil2!$A$2:$M$1241,9,FALSE)," ")</f>
        <v xml:space="preserve"> </v>
      </c>
      <c r="K1173" s="1" t="str">
        <f>IF(B1173=0,VLOOKUP(A1173,Feuil2!$A$2:$M$1241,10,FALSE)," ")</f>
        <v xml:space="preserve"> </v>
      </c>
      <c r="L1173" s="1"/>
      <c r="M1173" s="1"/>
      <c r="N1173" s="1"/>
      <c r="O1173" s="8" t="str">
        <f>IF(B1173=0,VLOOKUP(A1173,Feuil2!$A$2:$M$1241,13,FALSE)," ")</f>
        <v xml:space="preserve"> </v>
      </c>
    </row>
    <row r="1174" spans="1:15" x14ac:dyDescent="0.3">
      <c r="A1174" s="1">
        <v>1699</v>
      </c>
      <c r="B1174" s="1">
        <v>4</v>
      </c>
      <c r="C1174" s="1" t="s">
        <v>141</v>
      </c>
      <c r="D1174" s="1" t="s">
        <v>2480</v>
      </c>
      <c r="E1174" s="5">
        <v>39835</v>
      </c>
      <c r="F1174" s="1" t="s">
        <v>17</v>
      </c>
      <c r="G1174" s="1" t="str">
        <f>IF(B1174=0,VLOOKUP(A1174,Feuil2!$A$2:$M$1241,11,FALSE)," ")</f>
        <v xml:space="preserve"> </v>
      </c>
      <c r="H1174" s="1" t="s">
        <v>16</v>
      </c>
      <c r="I1174" s="6" t="str">
        <f>IF(B1174=0,VLOOKUP(A1174,Feuil2!$A$2:$M$1241,7,FALSE)," ")</f>
        <v xml:space="preserve"> </v>
      </c>
      <c r="J1174" s="1" t="str">
        <f>IF(B1174=0,VLOOKUP(A1174,Feuil2!$A$2:$M$1241,9,FALSE)," ")</f>
        <v xml:space="preserve"> </v>
      </c>
      <c r="K1174" s="1" t="str">
        <f>IF(B1174=0,VLOOKUP(A1174,Feuil2!$A$2:$M$1241,10,FALSE)," ")</f>
        <v xml:space="preserve"> </v>
      </c>
      <c r="L1174" s="1"/>
      <c r="M1174" s="1"/>
      <c r="N1174" s="1"/>
      <c r="O1174" s="8" t="str">
        <f>IF(B1174=0,VLOOKUP(A1174,Feuil2!$A$2:$M$1241,13,FALSE)," ")</f>
        <v xml:space="preserve"> </v>
      </c>
    </row>
    <row r="1175" spans="1:15" x14ac:dyDescent="0.3">
      <c r="A1175" s="1">
        <v>1701</v>
      </c>
      <c r="B1175" s="1">
        <v>0</v>
      </c>
      <c r="C1175" s="1" t="str">
        <f>IF(B1175=0,VLOOKUP(A1175,Feuil2!$A$2:$M$1241,2,FALSE)," ")</f>
        <v>SASSI</v>
      </c>
      <c r="D1175" s="1" t="str">
        <f>IF(B1175=0,VLOOKUP(A1175,Feuil2!$A$2:$M$1241,3,FALSE)," ")</f>
        <v>KARIM</v>
      </c>
      <c r="E1175" s="5">
        <f>IF(B1175=0,VLOOKUP(A1175,Feuil2!$A$2:$M$1241,6,FALSE)," ")</f>
        <v>27746</v>
      </c>
      <c r="F1175" s="1" t="str">
        <f>IF(B1175=0,VLOOKUP(A1175,Feuil2!$A$2:$M$1241,12,FALSE)," ")</f>
        <v>H</v>
      </c>
      <c r="G1175" s="1" t="str">
        <f>IF(B1175=0,VLOOKUP(A1175,Feuil2!$A$2:$M$1241,11,FALSE)," ")</f>
        <v>M</v>
      </c>
      <c r="H1175" s="1" t="s">
        <v>16</v>
      </c>
      <c r="I1175" s="6">
        <f>IF(B1175=0,VLOOKUP(A1175,Feuil2!$A$2:$M$1241,7,FALSE)," ")</f>
        <v>5558196</v>
      </c>
      <c r="J1175" s="1" t="str">
        <f>IF(B1175=0,VLOOKUP(A1175,Feuil2!$A$2:$M$1241,9,FALSE)," ")</f>
        <v>22, Rue 18 Janvier</v>
      </c>
      <c r="K1175" s="1" t="str">
        <f>IF(B1175=0,VLOOKUP(A1175,Feuil2!$A$2:$M$1241,10,FALSE)," ")</f>
        <v>Msaken 4070</v>
      </c>
      <c r="L1175" s="1">
        <v>4070</v>
      </c>
      <c r="M1175" s="1">
        <v>97311073</v>
      </c>
      <c r="N1175" s="1"/>
      <c r="O1175" s="8" t="str">
        <f>IF(B1175=0,VLOOKUP(A1175,Feuil2!$A$2:$M$1241,13,FALSE)," ")</f>
        <v>08507000262003266535</v>
      </c>
    </row>
    <row r="1176" spans="1:15" x14ac:dyDescent="0.3">
      <c r="A1176" s="1">
        <v>1701</v>
      </c>
      <c r="B1176" s="1">
        <v>1</v>
      </c>
      <c r="C1176" s="1" t="str">
        <f>IF(B1176=0,VLOOKUP(A1176,Feuil2!$A$2:$M$1241,2,FALSE)," ")</f>
        <v xml:space="preserve"> </v>
      </c>
      <c r="D1176" s="1" t="s">
        <v>449</v>
      </c>
      <c r="E1176" s="5">
        <v>29688</v>
      </c>
      <c r="F1176" s="1" t="s">
        <v>17</v>
      </c>
      <c r="G1176" s="1" t="s">
        <v>15</v>
      </c>
      <c r="H1176" s="1" t="s">
        <v>16</v>
      </c>
      <c r="I1176" s="6" t="str">
        <f>IF(B1176=0,VLOOKUP(A1176,Feuil2!$A$2:$M$1241,7,FALSE)," ")</f>
        <v xml:space="preserve"> </v>
      </c>
      <c r="J1176" s="1" t="str">
        <f>IF(B1176=0,VLOOKUP(A1176,Feuil2!$A$2:$M$1241,9,FALSE)," ")</f>
        <v xml:space="preserve"> </v>
      </c>
      <c r="K1176" s="1" t="str">
        <f>IF(B1176=0,VLOOKUP(A1176,Feuil2!$A$2:$M$1241,10,FALSE)," ")</f>
        <v xml:space="preserve"> </v>
      </c>
      <c r="L1176" s="1"/>
      <c r="M1176" s="1"/>
      <c r="N1176" s="1"/>
      <c r="O1176" s="8" t="str">
        <f>IF(B1176=0,VLOOKUP(A1176,Feuil2!$A$2:$M$1241,13,FALSE)," ")</f>
        <v xml:space="preserve"> </v>
      </c>
    </row>
    <row r="1177" spans="1:15" x14ac:dyDescent="0.3">
      <c r="A1177" s="1">
        <v>1701</v>
      </c>
      <c r="B1177" s="1">
        <v>2</v>
      </c>
      <c r="C1177" s="1" t="s">
        <v>104</v>
      </c>
      <c r="D1177" s="1" t="s">
        <v>226</v>
      </c>
      <c r="E1177" s="5">
        <v>38189</v>
      </c>
      <c r="F1177" s="1" t="s">
        <v>506</v>
      </c>
      <c r="G1177" s="1" t="str">
        <f>IF(B1177=0,VLOOKUP(A1177,Feuil2!$A$2:$M$1241,11,FALSE)," ")</f>
        <v xml:space="preserve"> </v>
      </c>
      <c r="H1177" s="1" t="s">
        <v>16</v>
      </c>
      <c r="I1177" s="6" t="str">
        <f>IF(B1177=0,VLOOKUP(A1177,Feuil2!$A$2:$M$1241,7,FALSE)," ")</f>
        <v xml:space="preserve"> </v>
      </c>
      <c r="J1177" s="1" t="str">
        <f>IF(B1177=0,VLOOKUP(A1177,Feuil2!$A$2:$M$1241,9,FALSE)," ")</f>
        <v xml:space="preserve"> </v>
      </c>
      <c r="K1177" s="1" t="str">
        <f>IF(B1177=0,VLOOKUP(A1177,Feuil2!$A$2:$M$1241,10,FALSE)," ")</f>
        <v xml:space="preserve"> </v>
      </c>
      <c r="L1177" s="1"/>
      <c r="M1177" s="1"/>
      <c r="N1177" s="1"/>
      <c r="O1177" s="8" t="str">
        <f>IF(B1177=0,VLOOKUP(A1177,Feuil2!$A$2:$M$1241,13,FALSE)," ")</f>
        <v xml:space="preserve"> </v>
      </c>
    </row>
    <row r="1178" spans="1:15" x14ac:dyDescent="0.3">
      <c r="A1178" s="1">
        <v>1701</v>
      </c>
      <c r="B1178" s="1">
        <v>3</v>
      </c>
      <c r="C1178" s="1" t="s">
        <v>104</v>
      </c>
      <c r="D1178" s="1" t="s">
        <v>2407</v>
      </c>
      <c r="E1178" s="5">
        <v>39182</v>
      </c>
      <c r="F1178" s="1" t="s">
        <v>17</v>
      </c>
      <c r="G1178" s="1" t="str">
        <f>IF(B1178=0,VLOOKUP(A1178,Feuil2!$A$2:$M$1241,11,FALSE)," ")</f>
        <v xml:space="preserve"> </v>
      </c>
      <c r="H1178" s="1" t="s">
        <v>16</v>
      </c>
      <c r="I1178" s="6" t="str">
        <f>IF(B1178=0,VLOOKUP(A1178,Feuil2!$A$2:$M$1241,7,FALSE)," ")</f>
        <v xml:space="preserve"> </v>
      </c>
      <c r="J1178" s="1" t="str">
        <f>IF(B1178=0,VLOOKUP(A1178,Feuil2!$A$2:$M$1241,9,FALSE)," ")</f>
        <v xml:space="preserve"> </v>
      </c>
      <c r="K1178" s="1" t="str">
        <f>IF(B1178=0,VLOOKUP(A1178,Feuil2!$A$2:$M$1241,10,FALSE)," ")</f>
        <v xml:space="preserve"> </v>
      </c>
      <c r="L1178" s="1"/>
      <c r="M1178" s="1"/>
      <c r="N1178" s="1"/>
      <c r="O1178" s="8" t="str">
        <f>IF(B1178=0,VLOOKUP(A1178,Feuil2!$A$2:$M$1241,13,FALSE)," ")</f>
        <v xml:space="preserve"> </v>
      </c>
    </row>
    <row r="1179" spans="1:15" x14ac:dyDescent="0.3">
      <c r="A1179" s="1">
        <v>1701</v>
      </c>
      <c r="B1179" s="1">
        <v>4</v>
      </c>
      <c r="C1179" s="1" t="s">
        <v>104</v>
      </c>
      <c r="D1179" s="1" t="s">
        <v>230</v>
      </c>
      <c r="E1179" s="5">
        <v>41195</v>
      </c>
      <c r="F1179" s="1" t="s">
        <v>506</v>
      </c>
      <c r="G1179" s="1" t="str">
        <f>IF(B1179=0,VLOOKUP(A1179,Feuil2!$A$2:$M$1241,11,FALSE)," ")</f>
        <v xml:space="preserve"> </v>
      </c>
      <c r="H1179" s="1" t="s">
        <v>16</v>
      </c>
      <c r="I1179" s="6" t="str">
        <f>IF(B1179=0,VLOOKUP(A1179,Feuil2!$A$2:$M$1241,7,FALSE)," ")</f>
        <v xml:space="preserve"> </v>
      </c>
      <c r="J1179" s="1" t="str">
        <f>IF(B1179=0,VLOOKUP(A1179,Feuil2!$A$2:$M$1241,9,FALSE)," ")</f>
        <v xml:space="preserve"> </v>
      </c>
      <c r="K1179" s="1" t="str">
        <f>IF(B1179=0,VLOOKUP(A1179,Feuil2!$A$2:$M$1241,10,FALSE)," ")</f>
        <v xml:space="preserve"> </v>
      </c>
      <c r="L1179" s="1"/>
      <c r="M1179" s="1"/>
      <c r="N1179" s="1"/>
      <c r="O1179" s="8" t="str">
        <f>IF(B1179=0,VLOOKUP(A1179,Feuil2!$A$2:$M$1241,13,FALSE)," ")</f>
        <v xml:space="preserve"> </v>
      </c>
    </row>
    <row r="1180" spans="1:15" x14ac:dyDescent="0.3">
      <c r="A1180" s="1">
        <v>1701</v>
      </c>
      <c r="B1180" s="1">
        <v>5</v>
      </c>
      <c r="C1180" s="1" t="s">
        <v>104</v>
      </c>
      <c r="D1180" s="1" t="s">
        <v>2676</v>
      </c>
      <c r="E1180" s="5">
        <v>42226</v>
      </c>
      <c r="F1180" s="1" t="s">
        <v>506</v>
      </c>
      <c r="G1180" s="1" t="str">
        <f>IF(B1180=0,VLOOKUP(A1180,Feuil2!$A$2:$M$1241,11,FALSE)," ")</f>
        <v xml:space="preserve"> </v>
      </c>
      <c r="H1180" s="1" t="s">
        <v>16</v>
      </c>
      <c r="I1180" s="6" t="str">
        <f>IF(B1180=0,VLOOKUP(A1180,Feuil2!$A$2:$M$1241,7,FALSE)," ")</f>
        <v xml:space="preserve"> </v>
      </c>
      <c r="J1180" s="1" t="str">
        <f>IF(B1180=0,VLOOKUP(A1180,Feuil2!$A$2:$M$1241,9,FALSE)," ")</f>
        <v xml:space="preserve"> </v>
      </c>
      <c r="K1180" s="1" t="str">
        <f>IF(B1180=0,VLOOKUP(A1180,Feuil2!$A$2:$M$1241,10,FALSE)," ")</f>
        <v xml:space="preserve"> </v>
      </c>
      <c r="L1180" s="1"/>
      <c r="M1180" s="1"/>
      <c r="N1180" s="1"/>
      <c r="O1180" s="8" t="str">
        <f>IF(B1180=0,VLOOKUP(A1180,Feuil2!$A$2:$M$1241,13,FALSE)," ")</f>
        <v xml:space="preserve"> </v>
      </c>
    </row>
    <row r="1181" spans="1:15" x14ac:dyDescent="0.3">
      <c r="A1181" s="1">
        <v>1703</v>
      </c>
      <c r="B1181" s="17">
        <v>0</v>
      </c>
      <c r="C1181" s="17" t="str">
        <f>IF(B1181=0,VLOOKUP(A1181,Feuil2!$A$2:$M$1241,2,FALSE)," ")</f>
        <v>EL GARES</v>
      </c>
      <c r="D1181" s="17" t="str">
        <f>IF(B1181=0,VLOOKUP(A1181,Feuil2!$A$2:$M$1241,3,FALSE)," ")</f>
        <v>BRAHIM</v>
      </c>
      <c r="E1181" s="18">
        <f>IF(B1181=0,VLOOKUP(A1181,Feuil2!$A$2:$M$1241,6,FALSE)," ")</f>
        <v>23013</v>
      </c>
      <c r="F1181" s="17" t="str">
        <f>IF(B1181=0,VLOOKUP(A1181,Feuil2!$A$2:$M$1241,12,FALSE)," ")</f>
        <v>H</v>
      </c>
      <c r="G1181" s="17" t="str">
        <f>IF(B1181=0,VLOOKUP(A1181,Feuil2!$A$2:$M$1241,11,FALSE)," ")</f>
        <v>M</v>
      </c>
      <c r="H1181" s="17" t="s">
        <v>16</v>
      </c>
      <c r="I1181" s="19">
        <f>IF(B1181=0,VLOOKUP(A1181,Feuil2!$A$2:$M$1241,7,FALSE)," ")</f>
        <v>2941893</v>
      </c>
      <c r="J1181" s="17" t="str">
        <f>IF(B1181=0,VLOOKUP(A1181,Feuil2!$A$2:$M$1241,9,FALSE)," ")</f>
        <v>Rue Abdelkader Khattabi</v>
      </c>
      <c r="K1181" s="17" t="str">
        <f>IF(B1181=0,VLOOKUP(A1181,Feuil2!$A$2:$M$1241,10,FALSE)," ")</f>
        <v>Msaken 4070</v>
      </c>
      <c r="L1181" s="17">
        <v>4070</v>
      </c>
      <c r="M1181" s="17">
        <v>97451981</v>
      </c>
      <c r="N1181" s="17"/>
      <c r="O1181" s="20" t="str">
        <f>IF(B1181=0,VLOOKUP(A1181,Feuil2!$A$2:$M$1241,13,FALSE)," ")</f>
        <v>01018058113010106743</v>
      </c>
    </row>
    <row r="1182" spans="1:15" x14ac:dyDescent="0.3">
      <c r="A1182" s="1">
        <v>1703</v>
      </c>
      <c r="B1182" s="1">
        <v>1</v>
      </c>
      <c r="C1182" s="1" t="str">
        <f>IF(B1182=0,VLOOKUP(A1182,Feuil2!$A$2:$M$1241,2,FALSE)," ")</f>
        <v xml:space="preserve"> </v>
      </c>
      <c r="D1182" s="1" t="s">
        <v>1541</v>
      </c>
      <c r="E1182" s="5">
        <v>26353</v>
      </c>
      <c r="F1182" s="1" t="s">
        <v>17</v>
      </c>
      <c r="G1182" s="1" t="s">
        <v>15</v>
      </c>
      <c r="H1182" s="1" t="s">
        <v>16</v>
      </c>
      <c r="I1182" s="6" t="str">
        <f>IF(B1182=0,VLOOKUP(A1182,Feuil2!$A$2:$M$1241,7,FALSE)," ")</f>
        <v xml:space="preserve"> </v>
      </c>
      <c r="J1182" s="1" t="str">
        <f>IF(B1182=0,VLOOKUP(A1182,Feuil2!$A$2:$M$1241,9,FALSE)," ")</f>
        <v xml:space="preserve"> </v>
      </c>
      <c r="K1182" s="1" t="str">
        <f>IF(B1182=0,VLOOKUP(A1182,Feuil2!$A$2:$M$1241,10,FALSE)," ")</f>
        <v xml:space="preserve"> </v>
      </c>
      <c r="L1182" s="1"/>
      <c r="M1182" s="1"/>
      <c r="N1182" s="1"/>
      <c r="O1182" s="8" t="str">
        <f>IF(B1182=0,VLOOKUP(A1182,Feuil2!$A$2:$M$1241,13,FALSE)," ")</f>
        <v xml:space="preserve"> </v>
      </c>
    </row>
    <row r="1183" spans="1:15" x14ac:dyDescent="0.3">
      <c r="A1183" s="1">
        <v>1703</v>
      </c>
      <c r="B1183" s="1">
        <v>2</v>
      </c>
      <c r="C1183" s="1" t="s">
        <v>25</v>
      </c>
      <c r="D1183" s="1" t="s">
        <v>346</v>
      </c>
      <c r="E1183" s="5">
        <v>37798</v>
      </c>
      <c r="F1183" s="1" t="s">
        <v>506</v>
      </c>
      <c r="G1183" s="1" t="str">
        <f>IF(B1183=0,VLOOKUP(A1183,Feuil2!$A$2:$M$1241,11,FALSE)," ")</f>
        <v xml:space="preserve"> </v>
      </c>
      <c r="H1183" s="1" t="s">
        <v>16</v>
      </c>
      <c r="I1183" s="6" t="str">
        <f>IF(B1183=0,VLOOKUP(A1183,Feuil2!$A$2:$M$1241,7,FALSE)," ")</f>
        <v xml:space="preserve"> </v>
      </c>
      <c r="J1183" s="1" t="str">
        <f>IF(B1183=0,VLOOKUP(A1183,Feuil2!$A$2:$M$1241,9,FALSE)," ")</f>
        <v xml:space="preserve"> </v>
      </c>
      <c r="K1183" s="1" t="str">
        <f>IF(B1183=0,VLOOKUP(A1183,Feuil2!$A$2:$M$1241,10,FALSE)," ")</f>
        <v xml:space="preserve"> </v>
      </c>
      <c r="L1183" s="1"/>
      <c r="M1183" s="1"/>
      <c r="N1183" s="1"/>
      <c r="O1183" s="8" t="str">
        <f>IF(B1183=0,VLOOKUP(A1183,Feuil2!$A$2:$M$1241,13,FALSE)," ")</f>
        <v xml:space="preserve"> </v>
      </c>
    </row>
    <row r="1184" spans="1:15" x14ac:dyDescent="0.3">
      <c r="A1184" s="1">
        <v>1703</v>
      </c>
      <c r="B1184" s="1">
        <v>3</v>
      </c>
      <c r="C1184" s="1" t="s">
        <v>25</v>
      </c>
      <c r="D1184" s="1" t="s">
        <v>212</v>
      </c>
      <c r="E1184" s="5">
        <v>39663</v>
      </c>
      <c r="F1184" s="1" t="s">
        <v>506</v>
      </c>
      <c r="G1184" s="1" t="str">
        <f>IF(B1184=0,VLOOKUP(A1184,Feuil2!$A$2:$M$1241,11,FALSE)," ")</f>
        <v xml:space="preserve"> </v>
      </c>
      <c r="H1184" s="1" t="s">
        <v>16</v>
      </c>
      <c r="I1184" s="6" t="str">
        <f>IF(B1184=0,VLOOKUP(A1184,Feuil2!$A$2:$M$1241,7,FALSE)," ")</f>
        <v xml:space="preserve"> </v>
      </c>
      <c r="J1184" s="1" t="str">
        <f>IF(B1184=0,VLOOKUP(A1184,Feuil2!$A$2:$M$1241,9,FALSE)," ")</f>
        <v xml:space="preserve"> </v>
      </c>
      <c r="K1184" s="1" t="str">
        <f>IF(B1184=0,VLOOKUP(A1184,Feuil2!$A$2:$M$1241,10,FALSE)," ")</f>
        <v xml:space="preserve"> </v>
      </c>
      <c r="L1184" s="1"/>
      <c r="M1184" s="1"/>
      <c r="N1184" s="1"/>
      <c r="O1184" s="8" t="str">
        <f>IF(B1184=0,VLOOKUP(A1184,Feuil2!$A$2:$M$1241,13,FALSE)," ")</f>
        <v xml:space="preserve"> </v>
      </c>
    </row>
    <row r="1185" spans="1:15" x14ac:dyDescent="0.3">
      <c r="A1185" s="1">
        <v>1707</v>
      </c>
      <c r="B1185" s="1">
        <v>0</v>
      </c>
      <c r="C1185" s="1" t="str">
        <f>IF(B1185=0,VLOOKUP(A1185,Feuil2!$A$2:$M$1241,2,FALSE)," ")</f>
        <v>MKHININI</v>
      </c>
      <c r="D1185" s="1" t="str">
        <f>IF(B1185=0,VLOOKUP(A1185,Feuil2!$A$2:$M$1241,3,FALSE)," ")</f>
        <v>MOHAMED BEN SALAH</v>
      </c>
      <c r="E1185" s="5">
        <f>IF(B1185=0,VLOOKUP(A1185,Feuil2!$A$2:$M$1241,6,FALSE)," ")</f>
        <v>26370</v>
      </c>
      <c r="F1185" s="1" t="str">
        <f>IF(B1185=0,VLOOKUP(A1185,Feuil2!$A$2:$M$1241,12,FALSE)," ")</f>
        <v>H</v>
      </c>
      <c r="G1185" s="1" t="str">
        <f>IF(B1185=0,VLOOKUP(A1185,Feuil2!$A$2:$M$1241,11,FALSE)," ")</f>
        <v>M</v>
      </c>
      <c r="H1185" s="1" t="s">
        <v>16</v>
      </c>
      <c r="I1185" s="6">
        <f>IF(B1185=0,VLOOKUP(A1185,Feuil2!$A$2:$M$1241,7,FALSE)," ")</f>
        <v>2989716</v>
      </c>
      <c r="J1185" s="1" t="str">
        <f>IF(B1185=0,VLOOKUP(A1185,Feuil2!$A$2:$M$1241,9,FALSE)," ")</f>
        <v>408 Rue 1er Juin</v>
      </c>
      <c r="K1185" s="1" t="str">
        <f>IF(B1185=0,VLOOKUP(A1185,Feuil2!$A$2:$M$1241,10,FALSE)," ")</f>
        <v>Msaken 4070</v>
      </c>
      <c r="L1185" s="1">
        <v>4070</v>
      </c>
      <c r="M1185" s="1">
        <v>50733068</v>
      </c>
      <c r="N1185" s="1"/>
      <c r="O1185" s="8" t="str">
        <f>IF(B1185=0,VLOOKUP(A1185,Feuil2!$A$2:$M$1241,13,FALSE)," ")</f>
        <v>04204067404001410433</v>
      </c>
    </row>
    <row r="1186" spans="1:15" x14ac:dyDescent="0.3">
      <c r="A1186" s="1">
        <v>1707</v>
      </c>
      <c r="B1186" s="1">
        <v>1</v>
      </c>
      <c r="C1186" s="1" t="s">
        <v>182</v>
      </c>
      <c r="D1186" s="1" t="s">
        <v>559</v>
      </c>
      <c r="E1186" s="5">
        <v>22364</v>
      </c>
      <c r="F1186" s="1" t="s">
        <v>17</v>
      </c>
      <c r="G1186" s="1" t="s">
        <v>15</v>
      </c>
      <c r="H1186" s="1" t="s">
        <v>16</v>
      </c>
      <c r="I1186" s="6" t="str">
        <f>IF(B1186=0,VLOOKUP(A1186,Feuil2!$A$2:$M$1241,7,FALSE)," ")</f>
        <v xml:space="preserve"> </v>
      </c>
      <c r="J1186" s="1" t="str">
        <f>IF(B1186=0,VLOOKUP(A1186,Feuil2!$A$2:$M$1241,9,FALSE)," ")</f>
        <v xml:space="preserve"> </v>
      </c>
      <c r="K1186" s="1" t="str">
        <f>IF(B1186=0,VLOOKUP(A1186,Feuil2!$A$2:$M$1241,10,FALSE)," ")</f>
        <v xml:space="preserve"> </v>
      </c>
      <c r="L1186" s="1"/>
      <c r="M1186" s="1"/>
      <c r="N1186" s="1"/>
      <c r="O1186" s="8" t="str">
        <f>IF(B1186=0,VLOOKUP(A1186,Feuil2!$A$2:$M$1241,13,FALSE)," ")</f>
        <v xml:space="preserve"> </v>
      </c>
    </row>
    <row r="1187" spans="1:15" x14ac:dyDescent="0.3">
      <c r="A1187" s="1">
        <v>1707</v>
      </c>
      <c r="B1187" s="1">
        <v>2</v>
      </c>
      <c r="C1187" s="1" t="s">
        <v>182</v>
      </c>
      <c r="D1187" s="1" t="s">
        <v>2099</v>
      </c>
      <c r="E1187" s="5">
        <v>34232</v>
      </c>
      <c r="F1187" s="1" t="s">
        <v>17</v>
      </c>
      <c r="G1187" s="1" t="str">
        <f>IF(B1187=0,VLOOKUP(A1187,Feuil2!$A$2:$M$1241,11,FALSE)," ")</f>
        <v xml:space="preserve"> </v>
      </c>
      <c r="H1187" s="1" t="s">
        <v>16</v>
      </c>
      <c r="I1187" s="6" t="str">
        <f>IF(B1187=0,VLOOKUP(A1187,Feuil2!$A$2:$M$1241,7,FALSE)," ")</f>
        <v xml:space="preserve"> </v>
      </c>
      <c r="J1187" s="1" t="str">
        <f>IF(B1187=0,VLOOKUP(A1187,Feuil2!$A$2:$M$1241,9,FALSE)," ")</f>
        <v xml:space="preserve"> </v>
      </c>
      <c r="K1187" s="1" t="str">
        <f>IF(B1187=0,VLOOKUP(A1187,Feuil2!$A$2:$M$1241,10,FALSE)," ")</f>
        <v xml:space="preserve"> </v>
      </c>
      <c r="L1187" s="1"/>
      <c r="M1187" s="1"/>
      <c r="N1187" s="1"/>
      <c r="O1187" s="8" t="str">
        <f>IF(B1187=0,VLOOKUP(A1187,Feuil2!$A$2:$M$1241,13,FALSE)," ")</f>
        <v xml:space="preserve"> </v>
      </c>
    </row>
    <row r="1188" spans="1:15" x14ac:dyDescent="0.3">
      <c r="A1188" s="1">
        <v>1707</v>
      </c>
      <c r="B1188" s="1">
        <v>3</v>
      </c>
      <c r="C1188" s="1" t="s">
        <v>182</v>
      </c>
      <c r="D1188" s="1" t="s">
        <v>60</v>
      </c>
      <c r="E1188" s="5">
        <v>34782</v>
      </c>
      <c r="F1188" s="1" t="s">
        <v>506</v>
      </c>
      <c r="G1188" s="1" t="str">
        <f>IF(B1188=0,VLOOKUP(A1188,Feuil2!$A$2:$M$1241,11,FALSE)," ")</f>
        <v xml:space="preserve"> </v>
      </c>
      <c r="H1188" s="1" t="s">
        <v>16</v>
      </c>
      <c r="I1188" s="6" t="str">
        <f>IF(B1188=0,VLOOKUP(A1188,Feuil2!$A$2:$M$1241,7,FALSE)," ")</f>
        <v xml:space="preserve"> </v>
      </c>
      <c r="J1188" s="1" t="str">
        <f>IF(B1188=0,VLOOKUP(A1188,Feuil2!$A$2:$M$1241,9,FALSE)," ")</f>
        <v xml:space="preserve"> </v>
      </c>
      <c r="K1188" s="1" t="str">
        <f>IF(B1188=0,VLOOKUP(A1188,Feuil2!$A$2:$M$1241,10,FALSE)," ")</f>
        <v xml:space="preserve"> </v>
      </c>
      <c r="L1188" s="1"/>
      <c r="M1188" s="1"/>
      <c r="N1188" s="1"/>
      <c r="O1188" s="8" t="str">
        <f>IF(B1188=0,VLOOKUP(A1188,Feuil2!$A$2:$M$1241,13,FALSE)," ")</f>
        <v xml:space="preserve"> </v>
      </c>
    </row>
    <row r="1189" spans="1:15" x14ac:dyDescent="0.3">
      <c r="A1189" s="1">
        <v>1707</v>
      </c>
      <c r="B1189" s="1">
        <v>4</v>
      </c>
      <c r="C1189" s="1" t="s">
        <v>182</v>
      </c>
      <c r="D1189" s="1" t="s">
        <v>2464</v>
      </c>
      <c r="E1189" s="5">
        <v>36210</v>
      </c>
      <c r="F1189" s="1" t="s">
        <v>17</v>
      </c>
      <c r="G1189" s="1" t="str">
        <f>IF(B1189=0,VLOOKUP(A1189,Feuil2!$A$2:$M$1241,11,FALSE)," ")</f>
        <v xml:space="preserve"> </v>
      </c>
      <c r="H1189" s="1" t="s">
        <v>16</v>
      </c>
      <c r="I1189" s="6" t="str">
        <f>IF(B1189=0,VLOOKUP(A1189,Feuil2!$A$2:$M$1241,7,FALSE)," ")</f>
        <v xml:space="preserve"> </v>
      </c>
      <c r="J1189" s="1" t="str">
        <f>IF(B1189=0,VLOOKUP(A1189,Feuil2!$A$2:$M$1241,9,FALSE)," ")</f>
        <v xml:space="preserve"> </v>
      </c>
      <c r="K1189" s="1" t="str">
        <f>IF(B1189=0,VLOOKUP(A1189,Feuil2!$A$2:$M$1241,10,FALSE)," ")</f>
        <v xml:space="preserve"> </v>
      </c>
      <c r="L1189" s="1"/>
      <c r="M1189" s="1"/>
      <c r="N1189" s="1"/>
      <c r="O1189" s="8" t="str">
        <f>IF(B1189=0,VLOOKUP(A1189,Feuil2!$A$2:$M$1241,13,FALSE)," ")</f>
        <v xml:space="preserve"> </v>
      </c>
    </row>
    <row r="1190" spans="1:15" x14ac:dyDescent="0.3">
      <c r="A1190" s="1">
        <v>1707</v>
      </c>
      <c r="B1190" s="1">
        <v>5</v>
      </c>
      <c r="C1190" s="1" t="s">
        <v>182</v>
      </c>
      <c r="D1190" s="1" t="s">
        <v>2214</v>
      </c>
      <c r="E1190" s="5">
        <v>38910</v>
      </c>
      <c r="F1190" s="1" t="s">
        <v>17</v>
      </c>
      <c r="G1190" s="1" t="str">
        <f>IF(B1190=0,VLOOKUP(A1190,Feuil2!$A$2:$M$1241,11,FALSE)," ")</f>
        <v xml:space="preserve"> </v>
      </c>
      <c r="H1190" s="1" t="s">
        <v>16</v>
      </c>
      <c r="I1190" s="6" t="str">
        <f>IF(B1190=0,VLOOKUP(A1190,Feuil2!$A$2:$M$1241,7,FALSE)," ")</f>
        <v xml:space="preserve"> </v>
      </c>
      <c r="J1190" s="1" t="str">
        <f>IF(B1190=0,VLOOKUP(A1190,Feuil2!$A$2:$M$1241,9,FALSE)," ")</f>
        <v xml:space="preserve"> </v>
      </c>
      <c r="K1190" s="1" t="str">
        <f>IF(B1190=0,VLOOKUP(A1190,Feuil2!$A$2:$M$1241,10,FALSE)," ")</f>
        <v xml:space="preserve"> </v>
      </c>
      <c r="L1190" s="1"/>
      <c r="M1190" s="1"/>
      <c r="N1190" s="1"/>
      <c r="O1190" s="8" t="str">
        <f>IF(B1190=0,VLOOKUP(A1190,Feuil2!$A$2:$M$1241,13,FALSE)," ")</f>
        <v xml:space="preserve"> </v>
      </c>
    </row>
    <row r="1191" spans="1:15" x14ac:dyDescent="0.3">
      <c r="A1191" s="1">
        <v>1708</v>
      </c>
      <c r="B1191" s="17">
        <v>0</v>
      </c>
      <c r="C1191" s="17" t="str">
        <f>IF(B1191=0,VLOOKUP(A1191,Feuil2!$A$2:$M$1241,2,FALSE)," ")</f>
        <v>EL HOTMANI</v>
      </c>
      <c r="D1191" s="17" t="str">
        <f>IF(B1191=0,VLOOKUP(A1191,Feuil2!$A$2:$M$1241,3,FALSE)," ")</f>
        <v>SAMI</v>
      </c>
      <c r="E1191" s="18">
        <f>IF(B1191=0,VLOOKUP(A1191,Feuil2!$A$2:$M$1241,6,FALSE)," ")</f>
        <v>29153</v>
      </c>
      <c r="F1191" s="17" t="str">
        <f>IF(B1191=0,VLOOKUP(A1191,Feuil2!$A$2:$M$1241,12,FALSE)," ")</f>
        <v>H</v>
      </c>
      <c r="G1191" s="17" t="str">
        <f>IF(B1191=0,VLOOKUP(A1191,Feuil2!$A$2:$M$1241,11,FALSE)," ")</f>
        <v>M</v>
      </c>
      <c r="H1191" s="17" t="s">
        <v>16</v>
      </c>
      <c r="I1191" s="19">
        <f>IF(B1191=0,VLOOKUP(A1191,Feuil2!$A$2:$M$1241,7,FALSE)," ")</f>
        <v>5549145</v>
      </c>
      <c r="J1191" s="17" t="str">
        <f>IF(B1191=0,VLOOKUP(A1191,Feuil2!$A$2:$M$1241,9,FALSE)," ")</f>
        <v>4014 Knaies</v>
      </c>
      <c r="K1191" s="17" t="str">
        <f>IF(B1191=0,VLOOKUP(A1191,Feuil2!$A$2:$M$1241,10,FALSE)," ")</f>
        <v>Knaies 4014</v>
      </c>
      <c r="L1191" s="17">
        <v>4014</v>
      </c>
      <c r="M1191" s="17">
        <v>22191429</v>
      </c>
      <c r="N1191" s="17"/>
      <c r="O1191" s="20" t="str">
        <f>IF(B1191=0,VLOOKUP(A1191,Feuil2!$A$2:$M$1241,13,FALSE)," ")</f>
        <v>04204067404000911271</v>
      </c>
    </row>
    <row r="1192" spans="1:15" x14ac:dyDescent="0.3">
      <c r="A1192" s="1">
        <v>1708</v>
      </c>
      <c r="B1192" s="1">
        <v>1</v>
      </c>
      <c r="C1192" s="1" t="s">
        <v>2245</v>
      </c>
      <c r="D1192" s="1" t="s">
        <v>2685</v>
      </c>
      <c r="E1192" s="5">
        <v>31635</v>
      </c>
      <c r="F1192" s="1" t="s">
        <v>17</v>
      </c>
      <c r="G1192" s="1" t="s">
        <v>15</v>
      </c>
      <c r="H1192" s="1" t="s">
        <v>16</v>
      </c>
      <c r="I1192" s="6" t="str">
        <f>IF(B1192=0,VLOOKUP(A1192,Feuil2!$A$2:$M$1241,7,FALSE)," ")</f>
        <v xml:space="preserve"> </v>
      </c>
      <c r="J1192" s="1" t="str">
        <f>IF(B1192=0,VLOOKUP(A1192,Feuil2!$A$2:$M$1241,9,FALSE)," ")</f>
        <v xml:space="preserve"> </v>
      </c>
      <c r="K1192" s="1" t="str">
        <f>IF(B1192=0,VLOOKUP(A1192,Feuil2!$A$2:$M$1241,10,FALSE)," ")</f>
        <v xml:space="preserve"> </v>
      </c>
      <c r="L1192" s="1"/>
      <c r="M1192" s="1"/>
      <c r="N1192" s="1"/>
      <c r="O1192" s="8" t="str">
        <f>IF(B1192=0,VLOOKUP(A1192,Feuil2!$A$2:$M$1241,13,FALSE)," ")</f>
        <v xml:space="preserve"> </v>
      </c>
    </row>
    <row r="1193" spans="1:15" x14ac:dyDescent="0.3">
      <c r="A1193" s="1">
        <v>1708</v>
      </c>
      <c r="B1193" s="1">
        <v>2</v>
      </c>
      <c r="C1193" s="1" t="s">
        <v>1604</v>
      </c>
      <c r="D1193" s="1" t="s">
        <v>2562</v>
      </c>
      <c r="E1193" s="5">
        <v>39952</v>
      </c>
      <c r="F1193" s="1" t="s">
        <v>17</v>
      </c>
      <c r="G1193" s="1" t="str">
        <f>IF(B1193=0,VLOOKUP(A1193,Feuil2!$A$2:$M$1241,11,FALSE)," ")</f>
        <v xml:space="preserve"> </v>
      </c>
      <c r="H1193" s="1" t="s">
        <v>16</v>
      </c>
      <c r="I1193" s="6" t="str">
        <f>IF(B1193=0,VLOOKUP(A1193,Feuil2!$A$2:$M$1241,7,FALSE)," ")</f>
        <v xml:space="preserve"> </v>
      </c>
      <c r="J1193" s="1" t="str">
        <f>IF(B1193=0,VLOOKUP(A1193,Feuil2!$A$2:$M$1241,9,FALSE)," ")</f>
        <v xml:space="preserve"> </v>
      </c>
      <c r="K1193" s="1" t="str">
        <f>IF(B1193=0,VLOOKUP(A1193,Feuil2!$A$2:$M$1241,10,FALSE)," ")</f>
        <v xml:space="preserve"> </v>
      </c>
      <c r="L1193" s="1"/>
      <c r="M1193" s="1"/>
      <c r="N1193" s="1"/>
      <c r="O1193" s="8" t="str">
        <f>IF(B1193=0,VLOOKUP(A1193,Feuil2!$A$2:$M$1241,13,FALSE)," ")</f>
        <v xml:space="preserve"> </v>
      </c>
    </row>
    <row r="1194" spans="1:15" x14ac:dyDescent="0.3">
      <c r="A1194" s="1">
        <v>1708</v>
      </c>
      <c r="B1194" s="1">
        <v>3</v>
      </c>
      <c r="C1194" s="1" t="s">
        <v>1604</v>
      </c>
      <c r="D1194" s="1" t="s">
        <v>61</v>
      </c>
      <c r="E1194" s="5">
        <v>40780</v>
      </c>
      <c r="F1194" s="1" t="s">
        <v>506</v>
      </c>
      <c r="G1194" s="1" t="str">
        <f>IF(B1194=0,VLOOKUP(A1194,Feuil2!$A$2:$M$1241,11,FALSE)," ")</f>
        <v xml:space="preserve"> </v>
      </c>
      <c r="H1194" s="1" t="s">
        <v>16</v>
      </c>
      <c r="I1194" s="6" t="str">
        <f>IF(B1194=0,VLOOKUP(A1194,Feuil2!$A$2:$M$1241,7,FALSE)," ")</f>
        <v xml:space="preserve"> </v>
      </c>
      <c r="J1194" s="1" t="str">
        <f>IF(B1194=0,VLOOKUP(A1194,Feuil2!$A$2:$M$1241,9,FALSE)," ")</f>
        <v xml:space="preserve"> </v>
      </c>
      <c r="K1194" s="1" t="str">
        <f>IF(B1194=0,VLOOKUP(A1194,Feuil2!$A$2:$M$1241,10,FALSE)," ")</f>
        <v xml:space="preserve"> </v>
      </c>
      <c r="L1194" s="1"/>
      <c r="M1194" s="1"/>
      <c r="N1194" s="1"/>
      <c r="O1194" s="8" t="str">
        <f>IF(B1194=0,VLOOKUP(A1194,Feuil2!$A$2:$M$1241,13,FALSE)," ")</f>
        <v xml:space="preserve"> </v>
      </c>
    </row>
    <row r="1195" spans="1:15" x14ac:dyDescent="0.3">
      <c r="A1195" s="1">
        <v>1709</v>
      </c>
      <c r="B1195" s="1">
        <v>0</v>
      </c>
      <c r="C1195" s="1" t="str">
        <f>IF(B1195=0,VLOOKUP(A1195,Feuil2!$A$2:$M$1241,2,FALSE)," ")</f>
        <v>MAJDOUB</v>
      </c>
      <c r="D1195" s="1" t="str">
        <f>IF(B1195=0,VLOOKUP(A1195,Feuil2!$A$2:$M$1241,3,FALSE)," ")</f>
        <v>SAMI</v>
      </c>
      <c r="E1195" s="5">
        <f>IF(B1195=0,VLOOKUP(A1195,Feuil2!$A$2:$M$1241,6,FALSE)," ")</f>
        <v>26123</v>
      </c>
      <c r="F1195" s="1" t="str">
        <f>IF(B1195=0,VLOOKUP(A1195,Feuil2!$A$2:$M$1241,12,FALSE)," ")</f>
        <v>H</v>
      </c>
      <c r="G1195" s="1" t="str">
        <f>IF(B1195=0,VLOOKUP(A1195,Feuil2!$A$2:$M$1241,11,FALSE)," ")</f>
        <v>M</v>
      </c>
      <c r="H1195" s="1" t="s">
        <v>16</v>
      </c>
      <c r="I1195" s="6">
        <f>IF(B1195=0,VLOOKUP(A1195,Feuil2!$A$2:$M$1241,7,FALSE)," ")</f>
        <v>5528090</v>
      </c>
      <c r="J1195" s="1" t="str">
        <f>IF(B1195=0,VLOOKUP(A1195,Feuil2!$A$2:$M$1241,9,FALSE)," ")</f>
        <v>90 Rue El Hana</v>
      </c>
      <c r="K1195" s="1" t="str">
        <f>IF(B1195=0,VLOOKUP(A1195,Feuil2!$A$2:$M$1241,10,FALSE)," ")</f>
        <v>Msaken 4070</v>
      </c>
      <c r="L1195" s="1">
        <v>4070</v>
      </c>
      <c r="M1195" s="1">
        <v>28382178</v>
      </c>
      <c r="N1195" s="1"/>
      <c r="O1195" s="8" t="str">
        <f>IF(B1195=0,VLOOKUP(A1195,Feuil2!$A$2:$M$1241,13,FALSE)," ")</f>
        <v>03508056010100334977</v>
      </c>
    </row>
    <row r="1196" spans="1:15" x14ac:dyDescent="0.3">
      <c r="A1196" s="1">
        <v>1709</v>
      </c>
      <c r="B1196" s="1">
        <v>1</v>
      </c>
      <c r="C1196" s="1" t="s">
        <v>2686</v>
      </c>
      <c r="D1196" s="1" t="s">
        <v>404</v>
      </c>
      <c r="E1196" s="5">
        <v>31260</v>
      </c>
      <c r="F1196" s="1" t="s">
        <v>17</v>
      </c>
      <c r="G1196" s="1" t="s">
        <v>15</v>
      </c>
      <c r="H1196" s="1" t="s">
        <v>16</v>
      </c>
      <c r="I1196" s="6" t="str">
        <f>IF(B1196=0,VLOOKUP(A1196,Feuil2!$A$2:$M$1241,7,FALSE)," ")</f>
        <v xml:space="preserve"> </v>
      </c>
      <c r="J1196" s="1" t="str">
        <f>IF(B1196=0,VLOOKUP(A1196,Feuil2!$A$2:$M$1241,9,FALSE)," ")</f>
        <v xml:space="preserve"> </v>
      </c>
      <c r="K1196" s="1" t="str">
        <f>IF(B1196=0,VLOOKUP(A1196,Feuil2!$A$2:$M$1241,10,FALSE)," ")</f>
        <v xml:space="preserve"> </v>
      </c>
      <c r="L1196" s="1"/>
      <c r="M1196" s="1"/>
      <c r="N1196" s="1"/>
      <c r="O1196" s="8" t="str">
        <f>IF(B1196=0,VLOOKUP(A1196,Feuil2!$A$2:$M$1241,13,FALSE)," ")</f>
        <v xml:space="preserve"> </v>
      </c>
    </row>
    <row r="1197" spans="1:15" x14ac:dyDescent="0.3">
      <c r="A1197" s="1">
        <v>1709</v>
      </c>
      <c r="B1197" s="1">
        <v>2</v>
      </c>
      <c r="C1197" s="1" t="s">
        <v>366</v>
      </c>
      <c r="D1197" s="1" t="s">
        <v>2687</v>
      </c>
      <c r="E1197" s="5">
        <v>38556</v>
      </c>
      <c r="F1197" s="1" t="s">
        <v>17</v>
      </c>
      <c r="G1197" s="1" t="str">
        <f>IF(B1197=0,VLOOKUP(A1197,Feuil2!$A$2:$M$1241,11,FALSE)," ")</f>
        <v xml:space="preserve"> </v>
      </c>
      <c r="H1197" s="1" t="s">
        <v>16</v>
      </c>
      <c r="I1197" s="6" t="str">
        <f>IF(B1197=0,VLOOKUP(A1197,Feuil2!$A$2:$M$1241,7,FALSE)," ")</f>
        <v xml:space="preserve"> </v>
      </c>
      <c r="J1197" s="1" t="str">
        <f>IF(B1197=0,VLOOKUP(A1197,Feuil2!$A$2:$M$1241,9,FALSE)," ")</f>
        <v xml:space="preserve"> </v>
      </c>
      <c r="K1197" s="1" t="str">
        <f>IF(B1197=0,VLOOKUP(A1197,Feuil2!$A$2:$M$1241,10,FALSE)," ")</f>
        <v xml:space="preserve"> </v>
      </c>
      <c r="L1197" s="1"/>
      <c r="M1197" s="1"/>
      <c r="N1197" s="1"/>
      <c r="O1197" s="8" t="str">
        <f>IF(B1197=0,VLOOKUP(A1197,Feuil2!$A$2:$M$1241,13,FALSE)," ")</f>
        <v xml:space="preserve"> </v>
      </c>
    </row>
    <row r="1198" spans="1:15" x14ac:dyDescent="0.3">
      <c r="A1198" s="1">
        <v>1709</v>
      </c>
      <c r="B1198" s="1">
        <v>3</v>
      </c>
      <c r="C1198" s="1" t="s">
        <v>366</v>
      </c>
      <c r="D1198" s="1" t="s">
        <v>2672</v>
      </c>
      <c r="E1198" s="5">
        <v>39087</v>
      </c>
      <c r="F1198" s="1" t="s">
        <v>17</v>
      </c>
      <c r="G1198" s="1" t="str">
        <f>IF(B1198=0,VLOOKUP(A1198,Feuil2!$A$2:$M$1241,11,FALSE)," ")</f>
        <v xml:space="preserve"> </v>
      </c>
      <c r="H1198" s="1" t="s">
        <v>16</v>
      </c>
      <c r="I1198" s="6" t="str">
        <f>IF(B1198=0,VLOOKUP(A1198,Feuil2!$A$2:$M$1241,7,FALSE)," ")</f>
        <v xml:space="preserve"> </v>
      </c>
      <c r="J1198" s="1" t="str">
        <f>IF(B1198=0,VLOOKUP(A1198,Feuil2!$A$2:$M$1241,9,FALSE)," ")</f>
        <v xml:space="preserve"> </v>
      </c>
      <c r="K1198" s="1" t="str">
        <f>IF(B1198=0,VLOOKUP(A1198,Feuil2!$A$2:$M$1241,10,FALSE)," ")</f>
        <v xml:space="preserve"> </v>
      </c>
      <c r="L1198" s="1"/>
      <c r="M1198" s="1"/>
      <c r="N1198" s="1"/>
      <c r="O1198" s="8" t="str">
        <f>IF(B1198=0,VLOOKUP(A1198,Feuil2!$A$2:$M$1241,13,FALSE)," ")</f>
        <v xml:space="preserve"> </v>
      </c>
    </row>
    <row r="1199" spans="1:15" x14ac:dyDescent="0.3">
      <c r="A1199" s="1">
        <v>1709</v>
      </c>
      <c r="B1199" s="1">
        <v>4</v>
      </c>
      <c r="C1199" s="1" t="s">
        <v>366</v>
      </c>
      <c r="D1199" s="1" t="s">
        <v>2383</v>
      </c>
      <c r="E1199" s="5">
        <v>40404</v>
      </c>
      <c r="F1199" s="1" t="s">
        <v>17</v>
      </c>
      <c r="G1199" s="1" t="str">
        <f>IF(B1199=0,VLOOKUP(A1199,Feuil2!$A$2:$M$1241,11,FALSE)," ")</f>
        <v xml:space="preserve"> </v>
      </c>
      <c r="H1199" s="1" t="s">
        <v>16</v>
      </c>
      <c r="I1199" s="6" t="str">
        <f>IF(B1199=0,VLOOKUP(A1199,Feuil2!$A$2:$M$1241,7,FALSE)," ")</f>
        <v xml:space="preserve"> </v>
      </c>
      <c r="J1199" s="1" t="str">
        <f>IF(B1199=0,VLOOKUP(A1199,Feuil2!$A$2:$M$1241,9,FALSE)," ")</f>
        <v xml:space="preserve"> </v>
      </c>
      <c r="K1199" s="1" t="str">
        <f>IF(B1199=0,VLOOKUP(A1199,Feuil2!$A$2:$M$1241,10,FALSE)," ")</f>
        <v xml:space="preserve"> </v>
      </c>
      <c r="L1199" s="1"/>
      <c r="M1199" s="1"/>
      <c r="N1199" s="1"/>
      <c r="O1199" s="8" t="str">
        <f>IF(B1199=0,VLOOKUP(A1199,Feuil2!$A$2:$M$1241,13,FALSE)," ")</f>
        <v xml:space="preserve"> </v>
      </c>
    </row>
    <row r="1200" spans="1:15" x14ac:dyDescent="0.3">
      <c r="A1200" s="1">
        <v>1709</v>
      </c>
      <c r="B1200" s="1">
        <v>5</v>
      </c>
      <c r="C1200" s="1" t="s">
        <v>366</v>
      </c>
      <c r="D1200" s="1" t="s">
        <v>2641</v>
      </c>
      <c r="E1200" s="5">
        <v>41159</v>
      </c>
      <c r="F1200" s="1" t="s">
        <v>17</v>
      </c>
      <c r="G1200" s="1" t="str">
        <f>IF(B1200=0,VLOOKUP(A1200,Feuil2!$A$2:$M$1241,11,FALSE)," ")</f>
        <v xml:space="preserve"> </v>
      </c>
      <c r="H1200" s="1" t="s">
        <v>16</v>
      </c>
      <c r="I1200" s="6" t="str">
        <f>IF(B1200=0,VLOOKUP(A1200,Feuil2!$A$2:$M$1241,7,FALSE)," ")</f>
        <v xml:space="preserve"> </v>
      </c>
      <c r="J1200" s="1" t="str">
        <f>IF(B1200=0,VLOOKUP(A1200,Feuil2!$A$2:$M$1241,9,FALSE)," ")</f>
        <v xml:space="preserve"> </v>
      </c>
      <c r="K1200" s="1" t="str">
        <f>IF(B1200=0,VLOOKUP(A1200,Feuil2!$A$2:$M$1241,10,FALSE)," ")</f>
        <v xml:space="preserve"> </v>
      </c>
      <c r="L1200" s="1"/>
      <c r="M1200" s="1"/>
      <c r="N1200" s="1"/>
      <c r="O1200" s="8" t="str">
        <f>IF(B1200=0,VLOOKUP(A1200,Feuil2!$A$2:$M$1241,13,FALSE)," ")</f>
        <v xml:space="preserve"> </v>
      </c>
    </row>
    <row r="1201" spans="1:15" x14ac:dyDescent="0.3">
      <c r="A1201" s="1">
        <v>1711</v>
      </c>
      <c r="B1201" s="1">
        <v>0</v>
      </c>
      <c r="C1201" s="1" t="str">
        <f>IF(B1201=0,VLOOKUP(A1201,Feuil2!$A$2:$M$1241,2,FALSE)," ")</f>
        <v>BEN ISMAIL</v>
      </c>
      <c r="D1201" s="1" t="str">
        <f>IF(B1201=0,VLOOKUP(A1201,Feuil2!$A$2:$M$1241,3,FALSE)," ")</f>
        <v>HOSNI</v>
      </c>
      <c r="E1201" s="5">
        <f>IF(B1201=0,VLOOKUP(A1201,Feuil2!$A$2:$M$1241,6,FALSE)," ")</f>
        <v>26471</v>
      </c>
      <c r="F1201" s="1" t="str">
        <f>IF(B1201=0,VLOOKUP(A1201,Feuil2!$A$2:$M$1241,12,FALSE)," ")</f>
        <v>H</v>
      </c>
      <c r="G1201" s="1" t="str">
        <f>IF(B1201=0,VLOOKUP(A1201,Feuil2!$A$2:$M$1241,11,FALSE)," ")</f>
        <v>M</v>
      </c>
      <c r="H1201" s="1" t="s">
        <v>16</v>
      </c>
      <c r="I1201" s="6">
        <f>IF(B1201=0,VLOOKUP(A1201,Feuil2!$A$2:$M$1241,7,FALSE)," ")</f>
        <v>5534686</v>
      </c>
      <c r="J1201" s="1" t="str">
        <f>IF(B1201=0,VLOOKUP(A1201,Feuil2!$A$2:$M$1241,9,FALSE)," ")</f>
        <v>4016 beni kalthoum</v>
      </c>
      <c r="K1201" s="1" t="str">
        <f>IF(B1201=0,VLOOKUP(A1201,Feuil2!$A$2:$M$1241,10,FALSE)," ")</f>
        <v>BÃ©ni Kalthoum 4016</v>
      </c>
      <c r="L1201" s="1"/>
      <c r="M1201" s="1">
        <v>22478240</v>
      </c>
      <c r="N1201" s="1"/>
      <c r="O1201" s="8" t="str">
        <f>IF(B1201=0,VLOOKUP(A1201,Feuil2!$A$2:$M$1241,13,FALSE)," ")</f>
        <v>04204067404001427893</v>
      </c>
    </row>
    <row r="1202" spans="1:15" x14ac:dyDescent="0.3">
      <c r="A1202" s="1">
        <v>1711</v>
      </c>
      <c r="B1202" s="1">
        <v>1</v>
      </c>
      <c r="C1202" s="1" t="str">
        <f>IF(B1202=0,VLOOKUP(A1202,Feuil2!$A$2:$M$1241,2,FALSE)," ")</f>
        <v xml:space="preserve"> </v>
      </c>
      <c r="D1202" s="1" t="s">
        <v>2470</v>
      </c>
      <c r="E1202" s="5">
        <v>27378</v>
      </c>
      <c r="F1202" s="1" t="s">
        <v>17</v>
      </c>
      <c r="G1202" s="1" t="s">
        <v>15</v>
      </c>
      <c r="H1202" s="1" t="s">
        <v>16</v>
      </c>
      <c r="I1202" s="6" t="str">
        <f>IF(B1202=0,VLOOKUP(A1202,Feuil2!$A$2:$M$1241,7,FALSE)," ")</f>
        <v xml:space="preserve"> </v>
      </c>
      <c r="J1202" s="1" t="str">
        <f>IF(B1202=0,VLOOKUP(A1202,Feuil2!$A$2:$M$1241,9,FALSE)," ")</f>
        <v xml:space="preserve"> </v>
      </c>
      <c r="K1202" s="1" t="str">
        <f>IF(B1202=0,VLOOKUP(A1202,Feuil2!$A$2:$M$1241,10,FALSE)," ")</f>
        <v xml:space="preserve"> </v>
      </c>
      <c r="L1202" s="1"/>
      <c r="M1202" s="1"/>
      <c r="N1202" s="1"/>
      <c r="O1202" s="8" t="str">
        <f>IF(B1202=0,VLOOKUP(A1202,Feuil2!$A$2:$M$1241,13,FALSE)," ")</f>
        <v xml:space="preserve"> </v>
      </c>
    </row>
    <row r="1203" spans="1:15" x14ac:dyDescent="0.3">
      <c r="A1203" s="1">
        <v>1711</v>
      </c>
      <c r="B1203" s="1">
        <v>2</v>
      </c>
      <c r="C1203" s="1" t="s">
        <v>1503</v>
      </c>
      <c r="D1203" s="1" t="s">
        <v>2383</v>
      </c>
      <c r="E1203" s="5">
        <v>40370</v>
      </c>
      <c r="F1203" s="1" t="s">
        <v>17</v>
      </c>
      <c r="G1203" s="1" t="str">
        <f>IF(B1203=0,VLOOKUP(A1203,Feuil2!$A$2:$M$1241,11,FALSE)," ")</f>
        <v xml:space="preserve"> </v>
      </c>
      <c r="H1203" s="1" t="s">
        <v>16</v>
      </c>
      <c r="I1203" s="6" t="str">
        <f>IF(B1203=0,VLOOKUP(A1203,Feuil2!$A$2:$M$1241,7,FALSE)," ")</f>
        <v xml:space="preserve"> </v>
      </c>
      <c r="J1203" s="1" t="str">
        <f>IF(B1203=0,VLOOKUP(A1203,Feuil2!$A$2:$M$1241,9,FALSE)," ")</f>
        <v xml:space="preserve"> </v>
      </c>
      <c r="K1203" s="1" t="str">
        <f>IF(B1203=0,VLOOKUP(A1203,Feuil2!$A$2:$M$1241,10,FALSE)," ")</f>
        <v xml:space="preserve"> </v>
      </c>
      <c r="L1203" s="1"/>
      <c r="M1203" s="1"/>
      <c r="N1203" s="1"/>
      <c r="O1203" s="8" t="str">
        <f>IF(B1203=0,VLOOKUP(A1203,Feuil2!$A$2:$M$1241,13,FALSE)," ")</f>
        <v xml:space="preserve"> </v>
      </c>
    </row>
    <row r="1204" spans="1:15" x14ac:dyDescent="0.3">
      <c r="A1204" s="1">
        <v>1714</v>
      </c>
      <c r="B1204" s="1">
        <v>0</v>
      </c>
      <c r="C1204" s="1" t="str">
        <f>IF(B1204=0,VLOOKUP(A1204,Feuil2!$A$2:$M$1241,2,FALSE)," ")</f>
        <v>MATHLOUTHI</v>
      </c>
      <c r="D1204" s="1" t="str">
        <f>IF(B1204=0,VLOOKUP(A1204,Feuil2!$A$2:$M$1241,3,FALSE)," ")</f>
        <v>MONDHER</v>
      </c>
      <c r="E1204" s="5">
        <f>IF(B1204=0,VLOOKUP(A1204,Feuil2!$A$2:$M$1241,6,FALSE)," ")</f>
        <v>26177</v>
      </c>
      <c r="F1204" s="1" t="str">
        <f>IF(B1204=0,VLOOKUP(A1204,Feuil2!$A$2:$M$1241,12,FALSE)," ")</f>
        <v>H</v>
      </c>
      <c r="G1204" s="1" t="str">
        <f>IF(B1204=0,VLOOKUP(A1204,Feuil2!$A$2:$M$1241,11,FALSE)," ")</f>
        <v>M</v>
      </c>
      <c r="H1204" s="1" t="s">
        <v>16</v>
      </c>
      <c r="I1204" s="6">
        <f>IF(B1204=0,VLOOKUP(A1204,Feuil2!$A$2:$M$1241,7,FALSE)," ")</f>
        <v>5516538</v>
      </c>
      <c r="J1204" s="1" t="str">
        <f>IF(B1204=0,VLOOKUP(A1204,Feuil2!$A$2:$M$1241,9,FALSE)," ")</f>
        <v>4014 Knaies</v>
      </c>
      <c r="K1204" s="1" t="str">
        <f>IF(B1204=0,VLOOKUP(A1204,Feuil2!$A$2:$M$1241,10,FALSE)," ")</f>
        <v>Knaies 4014</v>
      </c>
      <c r="L1204" s="1">
        <v>4014</v>
      </c>
      <c r="M1204" s="1">
        <v>97339020</v>
      </c>
      <c r="N1204" s="1"/>
      <c r="O1204" s="8" t="str">
        <f>IF(B1204=0,VLOOKUP(A1204,Feuil2!$A$2:$M$1241,13,FALSE)," ")</f>
        <v>10506040205595278874</v>
      </c>
    </row>
    <row r="1205" spans="1:15" x14ac:dyDescent="0.3">
      <c r="A1205" s="1">
        <v>1714</v>
      </c>
      <c r="B1205" s="1">
        <v>1</v>
      </c>
      <c r="C1205" s="1" t="s">
        <v>1633</v>
      </c>
      <c r="D1205" s="1" t="s">
        <v>2473</v>
      </c>
      <c r="E1205" s="5">
        <v>32304</v>
      </c>
      <c r="F1205" s="1" t="s">
        <v>17</v>
      </c>
      <c r="G1205" s="1" t="s">
        <v>15</v>
      </c>
      <c r="H1205" s="1" t="s">
        <v>16</v>
      </c>
      <c r="I1205" s="6" t="str">
        <f>IF(B1205=0,VLOOKUP(A1205,Feuil2!$A$2:$M$1241,7,FALSE)," ")</f>
        <v xml:space="preserve"> </v>
      </c>
      <c r="J1205" s="1" t="str">
        <f>IF(B1205=0,VLOOKUP(A1205,Feuil2!$A$2:$M$1241,9,FALSE)," ")</f>
        <v xml:space="preserve"> </v>
      </c>
      <c r="K1205" s="1" t="str">
        <f>IF(B1205=0,VLOOKUP(A1205,Feuil2!$A$2:$M$1241,10,FALSE)," ")</f>
        <v xml:space="preserve"> </v>
      </c>
      <c r="L1205" s="1"/>
      <c r="M1205" s="1"/>
      <c r="N1205" s="1"/>
      <c r="O1205" s="8" t="str">
        <f>IF(B1205=0,VLOOKUP(A1205,Feuil2!$A$2:$M$1241,13,FALSE)," ")</f>
        <v xml:space="preserve"> </v>
      </c>
    </row>
    <row r="1206" spans="1:15" x14ac:dyDescent="0.3">
      <c r="A1206" s="1">
        <v>1714</v>
      </c>
      <c r="B1206" s="1">
        <v>2</v>
      </c>
      <c r="C1206" s="1" t="s">
        <v>173</v>
      </c>
      <c r="D1206" s="1" t="s">
        <v>107</v>
      </c>
      <c r="E1206" s="5">
        <v>40343</v>
      </c>
      <c r="F1206" s="1" t="s">
        <v>506</v>
      </c>
      <c r="G1206" s="1" t="str">
        <f>IF(B1206=0,VLOOKUP(A1206,Feuil2!$A$2:$M$1241,11,FALSE)," ")</f>
        <v xml:space="preserve"> </v>
      </c>
      <c r="H1206" s="1" t="s">
        <v>16</v>
      </c>
      <c r="I1206" s="6" t="str">
        <f>IF(B1206=0,VLOOKUP(A1206,Feuil2!$A$2:$M$1241,7,FALSE)," ")</f>
        <v xml:space="preserve"> </v>
      </c>
      <c r="J1206" s="1" t="str">
        <f>IF(B1206=0,VLOOKUP(A1206,Feuil2!$A$2:$M$1241,9,FALSE)," ")</f>
        <v xml:space="preserve"> </v>
      </c>
      <c r="K1206" s="1" t="str">
        <f>IF(B1206=0,VLOOKUP(A1206,Feuil2!$A$2:$M$1241,10,FALSE)," ")</f>
        <v xml:space="preserve"> </v>
      </c>
      <c r="L1206" s="1"/>
      <c r="M1206" s="1"/>
      <c r="N1206" s="1"/>
      <c r="O1206" s="8" t="str">
        <f>IF(B1206=0,VLOOKUP(A1206,Feuil2!$A$2:$M$1241,13,FALSE)," ")</f>
        <v xml:space="preserve"> </v>
      </c>
    </row>
    <row r="1207" spans="1:15" x14ac:dyDescent="0.3">
      <c r="A1207" s="1">
        <v>1714</v>
      </c>
      <c r="B1207" s="1">
        <v>3</v>
      </c>
      <c r="C1207" s="1" t="s">
        <v>173</v>
      </c>
      <c r="D1207" s="1" t="s">
        <v>2340</v>
      </c>
      <c r="E1207" s="5">
        <v>40973</v>
      </c>
      <c r="F1207" s="1" t="s">
        <v>17</v>
      </c>
      <c r="G1207" s="1" t="str">
        <f>IF(B1207=0,VLOOKUP(A1207,Feuil2!$A$2:$M$1241,11,FALSE)," ")</f>
        <v xml:space="preserve"> </v>
      </c>
      <c r="H1207" s="1" t="s">
        <v>16</v>
      </c>
      <c r="I1207" s="6" t="str">
        <f>IF(B1207=0,VLOOKUP(A1207,Feuil2!$A$2:$M$1241,7,FALSE)," ")</f>
        <v xml:space="preserve"> </v>
      </c>
      <c r="J1207" s="1" t="str">
        <f>IF(B1207=0,VLOOKUP(A1207,Feuil2!$A$2:$M$1241,9,FALSE)," ")</f>
        <v xml:space="preserve"> </v>
      </c>
      <c r="K1207" s="1" t="str">
        <f>IF(B1207=0,VLOOKUP(A1207,Feuil2!$A$2:$M$1241,10,FALSE)," ")</f>
        <v xml:space="preserve"> </v>
      </c>
      <c r="L1207" s="1"/>
      <c r="M1207" s="1"/>
      <c r="N1207" s="1"/>
      <c r="O1207" s="8" t="str">
        <f>IF(B1207=0,VLOOKUP(A1207,Feuil2!$A$2:$M$1241,13,FALSE)," ")</f>
        <v xml:space="preserve"> </v>
      </c>
    </row>
    <row r="1208" spans="1:15" x14ac:dyDescent="0.3">
      <c r="A1208" s="1">
        <v>1714</v>
      </c>
      <c r="B1208" s="1">
        <v>4</v>
      </c>
      <c r="C1208" s="1" t="s">
        <v>173</v>
      </c>
      <c r="D1208" s="1" t="s">
        <v>2331</v>
      </c>
      <c r="E1208" s="5">
        <v>41759</v>
      </c>
      <c r="F1208" s="1" t="s">
        <v>17</v>
      </c>
      <c r="G1208" s="1" t="str">
        <f>IF(B1208=0,VLOOKUP(A1208,Feuil2!$A$2:$M$1241,11,FALSE)," ")</f>
        <v xml:space="preserve"> </v>
      </c>
      <c r="H1208" s="1" t="s">
        <v>16</v>
      </c>
      <c r="I1208" s="6" t="str">
        <f>IF(B1208=0,VLOOKUP(A1208,Feuil2!$A$2:$M$1241,7,FALSE)," ")</f>
        <v xml:space="preserve"> </v>
      </c>
      <c r="J1208" s="1" t="str">
        <f>IF(B1208=0,VLOOKUP(A1208,Feuil2!$A$2:$M$1241,9,FALSE)," ")</f>
        <v xml:space="preserve"> </v>
      </c>
      <c r="K1208" s="1" t="str">
        <f>IF(B1208=0,VLOOKUP(A1208,Feuil2!$A$2:$M$1241,10,FALSE)," ")</f>
        <v xml:space="preserve"> </v>
      </c>
      <c r="L1208" s="1"/>
      <c r="M1208" s="1"/>
      <c r="N1208" s="1"/>
      <c r="O1208" s="8" t="str">
        <f>IF(B1208=0,VLOOKUP(A1208,Feuil2!$A$2:$M$1241,13,FALSE)," ")</f>
        <v xml:space="preserve"> </v>
      </c>
    </row>
    <row r="1209" spans="1:15" x14ac:dyDescent="0.3">
      <c r="A1209" s="1">
        <v>1723</v>
      </c>
      <c r="B1209" s="1">
        <v>0</v>
      </c>
      <c r="C1209" s="1" t="str">
        <f>IF(B1209=0,VLOOKUP(A1209,Feuil2!$A$2:$M$1241,2,FALSE)," ")</f>
        <v>BAYA</v>
      </c>
      <c r="D1209" s="1" t="str">
        <f>IF(B1209=0,VLOOKUP(A1209,Feuil2!$A$2:$M$1241,3,FALSE)," ")</f>
        <v>MEHDI</v>
      </c>
      <c r="E1209" s="5">
        <f>IF(B1209=0,VLOOKUP(A1209,Feuil2!$A$2:$M$1241,6,FALSE)," ")</f>
        <v>25167</v>
      </c>
      <c r="F1209" s="1" t="str">
        <f>IF(B1209=0,VLOOKUP(A1209,Feuil2!$A$2:$M$1241,12,FALSE)," ")</f>
        <v>H</v>
      </c>
      <c r="G1209" s="1" t="str">
        <f>IF(B1209=0,VLOOKUP(A1209,Feuil2!$A$2:$M$1241,11,FALSE)," ")</f>
        <v>M</v>
      </c>
      <c r="H1209" s="1" t="s">
        <v>16</v>
      </c>
      <c r="I1209" s="6">
        <f>IF(B1209=0,VLOOKUP(A1209,Feuil2!$A$2:$M$1241,7,FALSE)," ")</f>
        <v>2991026</v>
      </c>
      <c r="J1209" s="1" t="str">
        <f>IF(B1209=0,VLOOKUP(A1209,Feuil2!$A$2:$M$1241,9,FALSE)," ")</f>
        <v>455 Rue 1 juin</v>
      </c>
      <c r="K1209" s="1" t="str">
        <f>IF(B1209=0,VLOOKUP(A1209,Feuil2!$A$2:$M$1241,10,FALSE)," ")</f>
        <v>Msaken 4070</v>
      </c>
      <c r="L1209" s="1">
        <v>4070</v>
      </c>
      <c r="M1209" s="1">
        <v>53799426</v>
      </c>
      <c r="N1209" s="1"/>
      <c r="O1209" s="8" t="str">
        <f>IF(B1209=0,VLOOKUP(A1209,Feuil2!$A$2:$M$1241,13,FALSE)," ")</f>
        <v>04204067404001426050</v>
      </c>
    </row>
    <row r="1210" spans="1:15" x14ac:dyDescent="0.3">
      <c r="A1210" s="1">
        <v>1723</v>
      </c>
      <c r="B1210" s="1">
        <v>1</v>
      </c>
      <c r="C1210" s="1" t="s">
        <v>2688</v>
      </c>
      <c r="D1210" s="1" t="s">
        <v>2689</v>
      </c>
      <c r="E1210" s="5">
        <v>28142</v>
      </c>
      <c r="F1210" s="1" t="s">
        <v>17</v>
      </c>
      <c r="G1210" s="1" t="s">
        <v>15</v>
      </c>
      <c r="H1210" s="1" t="s">
        <v>16</v>
      </c>
      <c r="I1210" s="6" t="str">
        <f>IF(B1210=0,VLOOKUP(A1210,Feuil2!$A$2:$M$1241,7,FALSE)," ")</f>
        <v xml:space="preserve"> </v>
      </c>
      <c r="J1210" s="1" t="str">
        <f>IF(B1210=0,VLOOKUP(A1210,Feuil2!$A$2:$M$1241,9,FALSE)," ")</f>
        <v xml:space="preserve"> </v>
      </c>
      <c r="K1210" s="1" t="str">
        <f>IF(B1210=0,VLOOKUP(A1210,Feuil2!$A$2:$M$1241,10,FALSE)," ")</f>
        <v xml:space="preserve"> </v>
      </c>
      <c r="L1210" s="1"/>
      <c r="M1210" s="1"/>
      <c r="N1210" s="1"/>
      <c r="O1210" s="8" t="str">
        <f>IF(B1210=0,VLOOKUP(A1210,Feuil2!$A$2:$M$1241,13,FALSE)," ")</f>
        <v xml:space="preserve"> </v>
      </c>
    </row>
    <row r="1211" spans="1:15" x14ac:dyDescent="0.3">
      <c r="A1211" s="1">
        <v>1723</v>
      </c>
      <c r="B1211" s="1">
        <v>2</v>
      </c>
      <c r="C1211" s="1" t="s">
        <v>29</v>
      </c>
      <c r="D1211" s="1" t="s">
        <v>2517</v>
      </c>
      <c r="E1211" s="5">
        <v>37396</v>
      </c>
      <c r="F1211" s="1" t="s">
        <v>17</v>
      </c>
      <c r="G1211" s="1" t="str">
        <f>IF(B1211=0,VLOOKUP(A1211,Feuil2!$A$2:$M$1241,11,FALSE)," ")</f>
        <v xml:space="preserve"> </v>
      </c>
      <c r="H1211" s="1" t="s">
        <v>16</v>
      </c>
      <c r="I1211" s="6" t="str">
        <f>IF(B1211=0,VLOOKUP(A1211,Feuil2!$A$2:$M$1241,7,FALSE)," ")</f>
        <v xml:space="preserve"> </v>
      </c>
      <c r="J1211" s="1" t="str">
        <f>IF(B1211=0,VLOOKUP(A1211,Feuil2!$A$2:$M$1241,9,FALSE)," ")</f>
        <v xml:space="preserve"> </v>
      </c>
      <c r="K1211" s="1" t="str">
        <f>IF(B1211=0,VLOOKUP(A1211,Feuil2!$A$2:$M$1241,10,FALSE)," ")</f>
        <v xml:space="preserve"> </v>
      </c>
      <c r="L1211" s="1"/>
      <c r="M1211" s="1"/>
      <c r="N1211" s="1"/>
      <c r="O1211" s="8" t="str">
        <f>IF(B1211=0,VLOOKUP(A1211,Feuil2!$A$2:$M$1241,13,FALSE)," ")</f>
        <v xml:space="preserve"> </v>
      </c>
    </row>
    <row r="1212" spans="1:15" x14ac:dyDescent="0.3">
      <c r="A1212" s="1">
        <v>1723</v>
      </c>
      <c r="B1212" s="1">
        <v>3</v>
      </c>
      <c r="C1212" s="1" t="s">
        <v>29</v>
      </c>
      <c r="D1212" s="1" t="s">
        <v>2613</v>
      </c>
      <c r="E1212" s="5">
        <v>38325</v>
      </c>
      <c r="F1212" s="1" t="s">
        <v>17</v>
      </c>
      <c r="G1212" s="1" t="str">
        <f>IF(B1212=0,VLOOKUP(A1212,Feuil2!$A$2:$M$1241,11,FALSE)," ")</f>
        <v xml:space="preserve"> </v>
      </c>
      <c r="H1212" s="1" t="s">
        <v>16</v>
      </c>
      <c r="I1212" s="6" t="str">
        <f>IF(B1212=0,VLOOKUP(A1212,Feuil2!$A$2:$M$1241,7,FALSE)," ")</f>
        <v xml:space="preserve"> </v>
      </c>
      <c r="J1212" s="1" t="str">
        <f>IF(B1212=0,VLOOKUP(A1212,Feuil2!$A$2:$M$1241,9,FALSE)," ")</f>
        <v xml:space="preserve"> </v>
      </c>
      <c r="K1212" s="1" t="str">
        <f>IF(B1212=0,VLOOKUP(A1212,Feuil2!$A$2:$M$1241,10,FALSE)," ")</f>
        <v xml:space="preserve"> </v>
      </c>
      <c r="L1212" s="1"/>
      <c r="M1212" s="1"/>
      <c r="N1212" s="1"/>
      <c r="O1212" s="8" t="str">
        <f>IF(B1212=0,VLOOKUP(A1212,Feuil2!$A$2:$M$1241,13,FALSE)," ")</f>
        <v xml:space="preserve"> </v>
      </c>
    </row>
    <row r="1213" spans="1:15" x14ac:dyDescent="0.3">
      <c r="A1213" s="1">
        <v>1723</v>
      </c>
      <c r="B1213" s="1">
        <v>4</v>
      </c>
      <c r="C1213" s="1" t="s">
        <v>29</v>
      </c>
      <c r="D1213" s="1" t="s">
        <v>2690</v>
      </c>
      <c r="E1213" s="5">
        <v>39939</v>
      </c>
      <c r="F1213" s="1" t="s">
        <v>17</v>
      </c>
      <c r="G1213" s="1" t="str">
        <f>IF(B1213=0,VLOOKUP(A1213,Feuil2!$A$2:$M$1241,11,FALSE)," ")</f>
        <v xml:space="preserve"> </v>
      </c>
      <c r="H1213" s="1" t="s">
        <v>16</v>
      </c>
      <c r="I1213" s="6" t="str">
        <f>IF(B1213=0,VLOOKUP(A1213,Feuil2!$A$2:$M$1241,7,FALSE)," ")</f>
        <v xml:space="preserve"> </v>
      </c>
      <c r="J1213" s="1" t="str">
        <f>IF(B1213=0,VLOOKUP(A1213,Feuil2!$A$2:$M$1241,9,FALSE)," ")</f>
        <v xml:space="preserve"> </v>
      </c>
      <c r="K1213" s="1" t="str">
        <f>IF(B1213=0,VLOOKUP(A1213,Feuil2!$A$2:$M$1241,10,FALSE)," ")</f>
        <v xml:space="preserve"> </v>
      </c>
      <c r="L1213" s="1"/>
      <c r="M1213" s="1"/>
      <c r="N1213" s="1"/>
      <c r="O1213" s="8" t="str">
        <f>IF(B1213=0,VLOOKUP(A1213,Feuil2!$A$2:$M$1241,13,FALSE)," ")</f>
        <v xml:space="preserve"> </v>
      </c>
    </row>
    <row r="1214" spans="1:15" x14ac:dyDescent="0.3">
      <c r="A1214" s="1">
        <v>1723</v>
      </c>
      <c r="B1214" s="1">
        <v>5</v>
      </c>
      <c r="C1214" s="1" t="s">
        <v>29</v>
      </c>
      <c r="D1214" s="1" t="s">
        <v>2667</v>
      </c>
      <c r="E1214" s="5">
        <v>41096</v>
      </c>
      <c r="F1214" s="1" t="s">
        <v>17</v>
      </c>
      <c r="G1214" s="1" t="str">
        <f>IF(B1214=0,VLOOKUP(A1214,Feuil2!$A$2:$M$1241,11,FALSE)," ")</f>
        <v xml:space="preserve"> </v>
      </c>
      <c r="H1214" s="1" t="s">
        <v>16</v>
      </c>
      <c r="I1214" s="6" t="str">
        <f>IF(B1214=0,VLOOKUP(A1214,Feuil2!$A$2:$M$1241,7,FALSE)," ")</f>
        <v xml:space="preserve"> </v>
      </c>
      <c r="J1214" s="1" t="str">
        <f>IF(B1214=0,VLOOKUP(A1214,Feuil2!$A$2:$M$1241,9,FALSE)," ")</f>
        <v xml:space="preserve"> </v>
      </c>
      <c r="K1214" s="1" t="str">
        <f>IF(B1214=0,VLOOKUP(A1214,Feuil2!$A$2:$M$1241,10,FALSE)," ")</f>
        <v xml:space="preserve"> </v>
      </c>
      <c r="L1214" s="1"/>
      <c r="M1214" s="1"/>
      <c r="N1214" s="1"/>
      <c r="O1214" s="8" t="str">
        <f>IF(B1214=0,VLOOKUP(A1214,Feuil2!$A$2:$M$1241,13,FALSE)," ")</f>
        <v xml:space="preserve"> </v>
      </c>
    </row>
    <row r="1215" spans="1:15" x14ac:dyDescent="0.3">
      <c r="A1215" s="1">
        <v>1726</v>
      </c>
      <c r="B1215" s="1">
        <v>0</v>
      </c>
      <c r="C1215" s="1" t="str">
        <f>IF(B1215=0,VLOOKUP(A1215,Feuil2!$A$2:$M$1241,2,FALSE)," ")</f>
        <v>BEN FREDJ</v>
      </c>
      <c r="D1215" s="1" t="str">
        <f>IF(B1215=0,VLOOKUP(A1215,Feuil2!$A$2:$M$1241,3,FALSE)," ")</f>
        <v>NOUREDDINE</v>
      </c>
      <c r="E1215" s="5">
        <f>IF(B1215=0,VLOOKUP(A1215,Feuil2!$A$2:$M$1241,6,FALSE)," ")</f>
        <v>24191</v>
      </c>
      <c r="F1215" s="1" t="str">
        <f>IF(B1215=0,VLOOKUP(A1215,Feuil2!$A$2:$M$1241,12,FALSE)," ")</f>
        <v>H</v>
      </c>
      <c r="G1215" s="1" t="str">
        <f>IF(B1215=0,VLOOKUP(A1215,Feuil2!$A$2:$M$1241,11,FALSE)," ")</f>
        <v>M</v>
      </c>
      <c r="H1215" s="1" t="s">
        <v>16</v>
      </c>
      <c r="I1215" s="6">
        <f>IF(B1215=0,VLOOKUP(A1215,Feuil2!$A$2:$M$1241,7,FALSE)," ")</f>
        <v>2992794</v>
      </c>
      <c r="J1215" s="1" t="str">
        <f>IF(B1215=0,VLOOKUP(A1215,Feuil2!$A$2:$M$1241,9,FALSE)," ")</f>
        <v>Rue Ibn Charaf</v>
      </c>
      <c r="K1215" s="1" t="str">
        <f>IF(B1215=0,VLOOKUP(A1215,Feuil2!$A$2:$M$1241,10,FALSE)," ")</f>
        <v>Sousse</v>
      </c>
      <c r="L1215" s="1"/>
      <c r="M1215" s="1">
        <v>99256502</v>
      </c>
      <c r="N1215" s="1"/>
      <c r="O1215" s="8" t="str">
        <f>IF(B1215=0,VLOOKUP(A1215,Feuil2!$A$2:$M$1241,13,FALSE)," ")</f>
        <v>03508056010100347587</v>
      </c>
    </row>
    <row r="1216" spans="1:15" x14ac:dyDescent="0.3">
      <c r="A1216" s="1">
        <v>1726</v>
      </c>
      <c r="B1216" s="1">
        <v>1</v>
      </c>
      <c r="C1216" s="1" t="str">
        <f>IF(B1216=0,VLOOKUP(A1216,Feuil2!$A$2:$M$1241,2,FALSE)," ")</f>
        <v xml:space="preserve"> </v>
      </c>
      <c r="D1216" s="1" t="s">
        <v>2309</v>
      </c>
      <c r="E1216" s="5">
        <v>25935</v>
      </c>
      <c r="F1216" s="1" t="s">
        <v>17</v>
      </c>
      <c r="G1216" s="1" t="s">
        <v>15</v>
      </c>
      <c r="H1216" s="1" t="s">
        <v>16</v>
      </c>
      <c r="I1216" s="6" t="str">
        <f>IF(B1216=0,VLOOKUP(A1216,Feuil2!$A$2:$M$1241,7,FALSE)," ")</f>
        <v xml:space="preserve"> </v>
      </c>
      <c r="J1216" s="1" t="str">
        <f>IF(B1216=0,VLOOKUP(A1216,Feuil2!$A$2:$M$1241,9,FALSE)," ")</f>
        <v xml:space="preserve"> </v>
      </c>
      <c r="K1216" s="1" t="str">
        <f>IF(B1216=0,VLOOKUP(A1216,Feuil2!$A$2:$M$1241,10,FALSE)," ")</f>
        <v xml:space="preserve"> </v>
      </c>
      <c r="L1216" s="1"/>
      <c r="M1216" s="1"/>
      <c r="N1216" s="1"/>
      <c r="O1216" s="8" t="str">
        <f>IF(B1216=0,VLOOKUP(A1216,Feuil2!$A$2:$M$1241,13,FALSE)," ")</f>
        <v xml:space="preserve"> </v>
      </c>
    </row>
    <row r="1217" spans="1:16" x14ac:dyDescent="0.3">
      <c r="A1217" s="1">
        <v>1726</v>
      </c>
      <c r="B1217" s="1">
        <v>2</v>
      </c>
      <c r="C1217" s="1" t="s">
        <v>1215</v>
      </c>
      <c r="D1217" s="1" t="s">
        <v>2685</v>
      </c>
      <c r="E1217" s="5">
        <v>35959</v>
      </c>
      <c r="F1217" s="1" t="s">
        <v>17</v>
      </c>
      <c r="G1217" s="1" t="str">
        <f>IF(B1217=0,VLOOKUP(A1217,Feuil2!$A$2:$M$1241,11,FALSE)," ")</f>
        <v xml:space="preserve"> </v>
      </c>
      <c r="H1217" s="1" t="s">
        <v>16</v>
      </c>
      <c r="I1217" s="6" t="str">
        <f>IF(B1217=0,VLOOKUP(A1217,Feuil2!$A$2:$M$1241,7,FALSE)," ")</f>
        <v xml:space="preserve"> </v>
      </c>
      <c r="J1217" s="1" t="str">
        <f>IF(B1217=0,VLOOKUP(A1217,Feuil2!$A$2:$M$1241,9,FALSE)," ")</f>
        <v xml:space="preserve"> </v>
      </c>
      <c r="K1217" s="1" t="str">
        <f>IF(B1217=0,VLOOKUP(A1217,Feuil2!$A$2:$M$1241,10,FALSE)," ")</f>
        <v xml:space="preserve"> </v>
      </c>
      <c r="L1217" s="1"/>
      <c r="M1217" s="1"/>
      <c r="N1217" s="1"/>
      <c r="O1217" s="8" t="str">
        <f>IF(B1217=0,VLOOKUP(A1217,Feuil2!$A$2:$M$1241,13,FALSE)," ")</f>
        <v xml:space="preserve"> </v>
      </c>
    </row>
    <row r="1218" spans="1:16" x14ac:dyDescent="0.3">
      <c r="A1218" s="1">
        <v>1726</v>
      </c>
      <c r="B1218" s="1">
        <v>3</v>
      </c>
      <c r="C1218" s="1" t="s">
        <v>1215</v>
      </c>
      <c r="D1218" s="1" t="s">
        <v>2337</v>
      </c>
      <c r="E1218" s="5">
        <v>37093</v>
      </c>
      <c r="F1218" s="1" t="s">
        <v>17</v>
      </c>
      <c r="G1218" s="1" t="str">
        <f>IF(B1218=0,VLOOKUP(A1218,Feuil2!$A$2:$M$1241,11,FALSE)," ")</f>
        <v xml:space="preserve"> </v>
      </c>
      <c r="H1218" s="1" t="s">
        <v>16</v>
      </c>
      <c r="I1218" s="6" t="str">
        <f>IF(B1218=0,VLOOKUP(A1218,Feuil2!$A$2:$M$1241,7,FALSE)," ")</f>
        <v xml:space="preserve"> </v>
      </c>
      <c r="J1218" s="1" t="str">
        <f>IF(B1218=0,VLOOKUP(A1218,Feuil2!$A$2:$M$1241,9,FALSE)," ")</f>
        <v xml:space="preserve"> </v>
      </c>
      <c r="K1218" s="1" t="str">
        <f>IF(B1218=0,VLOOKUP(A1218,Feuil2!$A$2:$M$1241,10,FALSE)," ")</f>
        <v xml:space="preserve"> </v>
      </c>
      <c r="L1218" s="1"/>
      <c r="M1218" s="1"/>
      <c r="N1218" s="1"/>
      <c r="O1218" s="8" t="str">
        <f>IF(B1218=0,VLOOKUP(A1218,Feuil2!$A$2:$M$1241,13,FALSE)," ")</f>
        <v xml:space="preserve"> </v>
      </c>
    </row>
    <row r="1219" spans="1:16" x14ac:dyDescent="0.3">
      <c r="A1219" s="1">
        <v>1726</v>
      </c>
      <c r="B1219" s="1">
        <v>4</v>
      </c>
      <c r="C1219" s="1" t="s">
        <v>1215</v>
      </c>
      <c r="D1219" s="1" t="s">
        <v>2691</v>
      </c>
      <c r="E1219" s="5">
        <v>37718</v>
      </c>
      <c r="F1219" s="1" t="s">
        <v>506</v>
      </c>
      <c r="G1219" s="1" t="str">
        <f>IF(B1219=0,VLOOKUP(A1219,Feuil2!$A$2:$M$1241,11,FALSE)," ")</f>
        <v xml:space="preserve"> </v>
      </c>
      <c r="H1219" s="1" t="s">
        <v>16</v>
      </c>
      <c r="I1219" s="6" t="str">
        <f>IF(B1219=0,VLOOKUP(A1219,Feuil2!$A$2:$M$1241,7,FALSE)," ")</f>
        <v xml:space="preserve"> </v>
      </c>
      <c r="J1219" s="1" t="str">
        <f>IF(B1219=0,VLOOKUP(A1219,Feuil2!$A$2:$M$1241,9,FALSE)," ")</f>
        <v xml:space="preserve"> </v>
      </c>
      <c r="K1219" s="1" t="str">
        <f>IF(B1219=0,VLOOKUP(A1219,Feuil2!$A$2:$M$1241,10,FALSE)," ")</f>
        <v xml:space="preserve"> </v>
      </c>
      <c r="L1219" s="1"/>
      <c r="M1219" s="1"/>
      <c r="N1219" s="1"/>
      <c r="O1219" s="8" t="str">
        <f>IF(B1219=0,VLOOKUP(A1219,Feuil2!$A$2:$M$1241,13,FALSE)," ")</f>
        <v xml:space="preserve"> </v>
      </c>
    </row>
    <row r="1220" spans="1:16" x14ac:dyDescent="0.3">
      <c r="A1220" s="1">
        <v>1726</v>
      </c>
      <c r="B1220" s="1">
        <v>5</v>
      </c>
      <c r="C1220" s="1" t="s">
        <v>1215</v>
      </c>
      <c r="D1220" s="1" t="s">
        <v>1782</v>
      </c>
      <c r="E1220" s="5">
        <v>38554</v>
      </c>
      <c r="F1220" s="1" t="s">
        <v>506</v>
      </c>
      <c r="G1220" s="1" t="str">
        <f>IF(B1220=0,VLOOKUP(A1220,Feuil2!$A$2:$M$1241,11,FALSE)," ")</f>
        <v xml:space="preserve"> </v>
      </c>
      <c r="H1220" s="1" t="s">
        <v>16</v>
      </c>
      <c r="I1220" s="6" t="str">
        <f>IF(B1220=0,VLOOKUP(A1220,Feuil2!$A$2:$M$1241,7,FALSE)," ")</f>
        <v xml:space="preserve"> </v>
      </c>
      <c r="J1220" s="1" t="str">
        <f>IF(B1220=0,VLOOKUP(A1220,Feuil2!$A$2:$M$1241,9,FALSE)," ")</f>
        <v xml:space="preserve"> </v>
      </c>
      <c r="K1220" s="1" t="str">
        <f>IF(B1220=0,VLOOKUP(A1220,Feuil2!$A$2:$M$1241,10,FALSE)," ")</f>
        <v xml:space="preserve"> </v>
      </c>
      <c r="L1220" s="1"/>
      <c r="M1220" s="1"/>
      <c r="N1220" s="1"/>
      <c r="O1220" s="8" t="str">
        <f>IF(B1220=0,VLOOKUP(A1220,Feuil2!$A$2:$M$1241,13,FALSE)," ")</f>
        <v xml:space="preserve"> </v>
      </c>
    </row>
    <row r="1221" spans="1:16" x14ac:dyDescent="0.3">
      <c r="A1221" s="1">
        <v>1728</v>
      </c>
      <c r="B1221" s="1">
        <v>0</v>
      </c>
      <c r="C1221" s="1" t="str">
        <f>IF(B1221=0,VLOOKUP(A1221,Feuil2!$A$2:$M$1241,2,FALSE)," ")</f>
        <v>SLAMA</v>
      </c>
      <c r="D1221" s="1" t="str">
        <f>IF(B1221=0,VLOOKUP(A1221,Feuil2!$A$2:$M$1241,3,FALSE)," ")</f>
        <v>DHAFER</v>
      </c>
      <c r="E1221" s="5">
        <f>IF(B1221=0,VLOOKUP(A1221,Feuil2!$A$2:$M$1241,6,FALSE)," ")</f>
        <v>29412</v>
      </c>
      <c r="F1221" s="1" t="str">
        <f>IF(B1221=0,VLOOKUP(A1221,Feuil2!$A$2:$M$1241,12,FALSE)," ")</f>
        <v>H</v>
      </c>
      <c r="G1221" s="1" t="str">
        <f>IF(B1221=0,VLOOKUP(A1221,Feuil2!$A$2:$M$1241,11,FALSE)," ")</f>
        <v>M</v>
      </c>
      <c r="H1221" s="1" t="s">
        <v>16</v>
      </c>
      <c r="I1221" s="6">
        <f>IF(B1221=0,VLOOKUP(A1221,Feuil2!$A$2:$M$1241,7,FALSE)," ")</f>
        <v>8438436</v>
      </c>
      <c r="J1221" s="1" t="str">
        <f>IF(B1221=0,VLOOKUP(A1221,Feuil2!$A$2:$M$1241,9,FALSE)," ")</f>
        <v>AV Habib bourguiba</v>
      </c>
      <c r="K1221" s="1" t="str">
        <f>IF(B1221=0,VLOOKUP(A1221,Feuil2!$A$2:$M$1241,10,FALSE)," ")</f>
        <v>Zaouit Sousse</v>
      </c>
      <c r="L1221" s="1"/>
      <c r="M1221" s="1">
        <v>55101595</v>
      </c>
      <c r="N1221" s="1"/>
      <c r="O1221" s="8" t="str">
        <f>IF(B1221=0,VLOOKUP(A1221,Feuil2!$A$2:$M$1241,13,FALSE)," ")</f>
        <v>20009090001147342392</v>
      </c>
    </row>
    <row r="1222" spans="1:16" x14ac:dyDescent="0.3">
      <c r="A1222" s="1">
        <v>1728</v>
      </c>
      <c r="B1222" s="1">
        <v>1</v>
      </c>
      <c r="C1222" s="1" t="s">
        <v>2617</v>
      </c>
      <c r="D1222" s="1" t="s">
        <v>2331</v>
      </c>
      <c r="E1222" s="5">
        <v>30228</v>
      </c>
      <c r="F1222" s="1" t="s">
        <v>17</v>
      </c>
      <c r="G1222" s="1" t="s">
        <v>15</v>
      </c>
      <c r="H1222" s="1" t="s">
        <v>16</v>
      </c>
      <c r="I1222" s="6" t="str">
        <f>IF(B1222=0,VLOOKUP(A1222,Feuil2!$A$2:$M$1241,7,FALSE)," ")</f>
        <v xml:space="preserve"> </v>
      </c>
      <c r="J1222" s="1" t="str">
        <f>IF(B1222=0,VLOOKUP(A1222,Feuil2!$A$2:$M$1241,9,FALSE)," ")</f>
        <v xml:space="preserve"> </v>
      </c>
      <c r="K1222" s="1" t="str">
        <f>IF(B1222=0,VLOOKUP(A1222,Feuil2!$A$2:$M$1241,10,FALSE)," ")</f>
        <v xml:space="preserve"> </v>
      </c>
      <c r="L1222" s="1"/>
      <c r="M1222" s="1"/>
      <c r="N1222" s="1"/>
      <c r="O1222" s="8" t="str">
        <f>IF(B1222=0,VLOOKUP(A1222,Feuil2!$A$2:$M$1241,13,FALSE)," ")</f>
        <v xml:space="preserve"> </v>
      </c>
      <c r="P1222" s="22"/>
    </row>
    <row r="1223" spans="1:16" x14ac:dyDescent="0.3">
      <c r="A1223" s="1">
        <v>1728</v>
      </c>
      <c r="B1223" s="1">
        <v>2</v>
      </c>
      <c r="C1223" s="1" t="s">
        <v>111</v>
      </c>
      <c r="D1223" s="1" t="s">
        <v>2475</v>
      </c>
      <c r="E1223" s="5">
        <v>41213</v>
      </c>
      <c r="F1223" s="1" t="s">
        <v>506</v>
      </c>
      <c r="G1223" s="1" t="str">
        <f>IF(B1223=0,VLOOKUP(A1223,Feuil2!$A$2:$M$1241,11,FALSE)," ")</f>
        <v xml:space="preserve"> </v>
      </c>
      <c r="H1223" s="1" t="s">
        <v>16</v>
      </c>
      <c r="I1223" s="6" t="str">
        <f>IF(B1223=0,VLOOKUP(A1223,Feuil2!$A$2:$M$1241,7,FALSE)," ")</f>
        <v xml:space="preserve"> </v>
      </c>
      <c r="J1223" s="1" t="str">
        <f>IF(B1223=0,VLOOKUP(A1223,Feuil2!$A$2:$M$1241,9,FALSE)," ")</f>
        <v xml:space="preserve"> </v>
      </c>
      <c r="K1223" s="1" t="str">
        <f>IF(B1223=0,VLOOKUP(A1223,Feuil2!$A$2:$M$1241,10,FALSE)," ")</f>
        <v xml:space="preserve"> </v>
      </c>
      <c r="L1223" s="1"/>
      <c r="M1223" s="1"/>
      <c r="N1223" s="1"/>
      <c r="O1223" s="8" t="str">
        <f>IF(B1223=0,VLOOKUP(A1223,Feuil2!$A$2:$M$1241,13,FALSE)," ")</f>
        <v xml:space="preserve"> </v>
      </c>
    </row>
    <row r="1224" spans="1:16" x14ac:dyDescent="0.3">
      <c r="A1224" s="1">
        <v>1728</v>
      </c>
      <c r="B1224" s="1">
        <v>3</v>
      </c>
      <c r="C1224" s="1" t="s">
        <v>111</v>
      </c>
      <c r="D1224" s="1" t="s">
        <v>2345</v>
      </c>
      <c r="E1224" s="5">
        <v>41678</v>
      </c>
      <c r="F1224" s="1" t="s">
        <v>17</v>
      </c>
      <c r="G1224" s="1" t="str">
        <f>IF(B1224=0,VLOOKUP(A1224,Feuil2!$A$2:$M$1241,11,FALSE)," ")</f>
        <v xml:space="preserve"> </v>
      </c>
      <c r="H1224" s="1" t="s">
        <v>16</v>
      </c>
      <c r="I1224" s="6" t="str">
        <f>IF(B1224=0,VLOOKUP(A1224,Feuil2!$A$2:$M$1241,7,FALSE)," ")</f>
        <v xml:space="preserve"> </v>
      </c>
      <c r="J1224" s="1" t="str">
        <f>IF(B1224=0,VLOOKUP(A1224,Feuil2!$A$2:$M$1241,9,FALSE)," ")</f>
        <v xml:space="preserve"> </v>
      </c>
      <c r="K1224" s="1" t="str">
        <f>IF(B1224=0,VLOOKUP(A1224,Feuil2!$A$2:$M$1241,10,FALSE)," ")</f>
        <v xml:space="preserve"> </v>
      </c>
      <c r="L1224" s="1"/>
      <c r="M1224" s="1"/>
      <c r="N1224" s="1"/>
      <c r="O1224" s="8" t="str">
        <f>IF(B1224=0,VLOOKUP(A1224,Feuil2!$A$2:$M$1241,13,FALSE)," ")</f>
        <v xml:space="preserve"> </v>
      </c>
    </row>
    <row r="1225" spans="1:16" x14ac:dyDescent="0.3">
      <c r="A1225" s="1">
        <v>1730</v>
      </c>
      <c r="B1225" s="1">
        <v>0</v>
      </c>
      <c r="C1225" s="1" t="str">
        <f>IF(B1225=0,VLOOKUP(A1225,Feuil2!$A$2:$M$1241,2,FALSE)," ")</f>
        <v>BEN SALMA</v>
      </c>
      <c r="D1225" s="1" t="str">
        <f>IF(B1225=0,VLOOKUP(A1225,Feuil2!$A$2:$M$1241,3,FALSE)," ")</f>
        <v>ANIS</v>
      </c>
      <c r="E1225" s="5">
        <f>IF(B1225=0,VLOOKUP(A1225,Feuil2!$A$2:$M$1241,6,FALSE)," ")</f>
        <v>28858</v>
      </c>
      <c r="F1225" s="1" t="str">
        <f>IF(B1225=0,VLOOKUP(A1225,Feuil2!$A$2:$M$1241,12,FALSE)," ")</f>
        <v>H</v>
      </c>
      <c r="G1225" s="1" t="str">
        <f>IF(B1225=0,VLOOKUP(A1225,Feuil2!$A$2:$M$1241,11,FALSE)," ")</f>
        <v>M</v>
      </c>
      <c r="H1225" s="1" t="s">
        <v>16</v>
      </c>
      <c r="I1225" s="6">
        <f>IF(B1225=0,VLOOKUP(A1225,Feuil2!$A$2:$M$1241,7,FALSE)," ")</f>
        <v>5581385</v>
      </c>
      <c r="J1225" s="1" t="str">
        <f>IF(B1225=0,VLOOKUP(A1225,Feuil2!$A$2:$M$1241,9,FALSE)," ")</f>
        <v>4014 Knaies</v>
      </c>
      <c r="K1225" s="1" t="str">
        <f>IF(B1225=0,VLOOKUP(A1225,Feuil2!$A$2:$M$1241,10,FALSE)," ")</f>
        <v>Knaies 4014</v>
      </c>
      <c r="L1225" s="1">
        <v>4014</v>
      </c>
      <c r="M1225" s="1">
        <v>26162382</v>
      </c>
      <c r="N1225" s="1"/>
      <c r="O1225" s="8" t="str">
        <f>IF(B1225=0,VLOOKUP(A1225,Feuil2!$A$2:$M$1241,13,FALSE)," ")</f>
        <v>20009092220001199108</v>
      </c>
    </row>
    <row r="1226" spans="1:16" x14ac:dyDescent="0.3">
      <c r="A1226" s="1">
        <v>1730</v>
      </c>
      <c r="B1226" s="1">
        <v>1</v>
      </c>
      <c r="C1226" s="1" t="s">
        <v>1215</v>
      </c>
      <c r="D1226" s="1" t="s">
        <v>2692</v>
      </c>
      <c r="E1226" s="5">
        <v>30849</v>
      </c>
      <c r="F1226" s="1" t="s">
        <v>17</v>
      </c>
      <c r="G1226" s="1" t="s">
        <v>15</v>
      </c>
      <c r="H1226" s="1" t="s">
        <v>16</v>
      </c>
      <c r="I1226" s="6" t="str">
        <f>IF(B1226=0,VLOOKUP(A1226,Feuil2!$A$2:$M$1241,7,FALSE)," ")</f>
        <v xml:space="preserve"> </v>
      </c>
      <c r="J1226" s="1" t="str">
        <f>IF(B1226=0,VLOOKUP(A1226,Feuil2!$A$2:$M$1241,9,FALSE)," ")</f>
        <v xml:space="preserve"> </v>
      </c>
      <c r="K1226" s="1" t="str">
        <f>IF(B1226=0,VLOOKUP(A1226,Feuil2!$A$2:$M$1241,10,FALSE)," ")</f>
        <v xml:space="preserve"> </v>
      </c>
      <c r="L1226" s="1"/>
      <c r="M1226" s="1"/>
      <c r="N1226" s="1"/>
      <c r="O1226" s="8" t="str">
        <f>IF(B1226=0,VLOOKUP(A1226,Feuil2!$A$2:$M$1241,13,FALSE)," ")</f>
        <v xml:space="preserve"> </v>
      </c>
    </row>
    <row r="1227" spans="1:16" x14ac:dyDescent="0.3">
      <c r="A1227" s="1">
        <v>1730</v>
      </c>
      <c r="B1227" s="1">
        <v>2</v>
      </c>
      <c r="C1227" s="1" t="s">
        <v>1633</v>
      </c>
      <c r="D1227" s="1" t="s">
        <v>2585</v>
      </c>
      <c r="E1227" s="5">
        <v>39852</v>
      </c>
      <c r="F1227" s="1" t="s">
        <v>17</v>
      </c>
      <c r="G1227" s="1" t="str">
        <f>IF(B1227=0,VLOOKUP(A1227,Feuil2!$A$2:$M$1241,11,FALSE)," ")</f>
        <v xml:space="preserve"> </v>
      </c>
      <c r="H1227" s="1" t="s">
        <v>16</v>
      </c>
      <c r="I1227" s="6" t="str">
        <f>IF(B1227=0,VLOOKUP(A1227,Feuil2!$A$2:$M$1241,7,FALSE)," ")</f>
        <v xml:space="preserve"> </v>
      </c>
      <c r="J1227" s="1" t="str">
        <f>IF(B1227=0,VLOOKUP(A1227,Feuil2!$A$2:$M$1241,9,FALSE)," ")</f>
        <v xml:space="preserve"> </v>
      </c>
      <c r="K1227" s="1" t="str">
        <f>IF(B1227=0,VLOOKUP(A1227,Feuil2!$A$2:$M$1241,10,FALSE)," ")</f>
        <v xml:space="preserve"> </v>
      </c>
      <c r="L1227" s="1"/>
      <c r="M1227" s="1"/>
      <c r="N1227" s="1"/>
      <c r="O1227" s="8" t="str">
        <f>IF(B1227=0,VLOOKUP(A1227,Feuil2!$A$2:$M$1241,13,FALSE)," ")</f>
        <v xml:space="preserve"> </v>
      </c>
    </row>
    <row r="1228" spans="1:16" x14ac:dyDescent="0.3">
      <c r="A1228" s="1">
        <v>1730</v>
      </c>
      <c r="B1228" s="1">
        <v>3</v>
      </c>
      <c r="C1228" s="1" t="s">
        <v>1633</v>
      </c>
      <c r="D1228" s="1" t="s">
        <v>149</v>
      </c>
      <c r="E1228" s="5">
        <v>40650</v>
      </c>
      <c r="F1228" s="1" t="s">
        <v>506</v>
      </c>
      <c r="G1228" s="1" t="str">
        <f>IF(B1228=0,VLOOKUP(A1228,Feuil2!$A$2:$M$1241,11,FALSE)," ")</f>
        <v xml:space="preserve"> </v>
      </c>
      <c r="H1228" s="1" t="s">
        <v>16</v>
      </c>
      <c r="I1228" s="6" t="str">
        <f>IF(B1228=0,VLOOKUP(A1228,Feuil2!$A$2:$M$1241,7,FALSE)," ")</f>
        <v xml:space="preserve"> </v>
      </c>
      <c r="J1228" s="1" t="str">
        <f>IF(B1228=0,VLOOKUP(A1228,Feuil2!$A$2:$M$1241,9,FALSE)," ")</f>
        <v xml:space="preserve"> </v>
      </c>
      <c r="K1228" s="1" t="str">
        <f>IF(B1228=0,VLOOKUP(A1228,Feuil2!$A$2:$M$1241,10,FALSE)," ")</f>
        <v xml:space="preserve"> </v>
      </c>
      <c r="L1228" s="1"/>
      <c r="M1228" s="1"/>
      <c r="N1228" s="1"/>
      <c r="O1228" s="8" t="str">
        <f>IF(B1228=0,VLOOKUP(A1228,Feuil2!$A$2:$M$1241,13,FALSE)," ")</f>
        <v xml:space="preserve"> </v>
      </c>
    </row>
    <row r="1229" spans="1:16" x14ac:dyDescent="0.3">
      <c r="A1229" s="1">
        <v>1730</v>
      </c>
      <c r="B1229" s="1">
        <v>4</v>
      </c>
      <c r="C1229" s="1" t="s">
        <v>1633</v>
      </c>
      <c r="D1229" s="1" t="s">
        <v>2501</v>
      </c>
      <c r="E1229" s="5">
        <v>41768</v>
      </c>
      <c r="F1229" s="1" t="s">
        <v>17</v>
      </c>
      <c r="G1229" s="1" t="str">
        <f>IF(B1229=0,VLOOKUP(A1229,Feuil2!$A$2:$M$1241,11,FALSE)," ")</f>
        <v xml:space="preserve"> </v>
      </c>
      <c r="H1229" s="1" t="s">
        <v>16</v>
      </c>
      <c r="I1229" s="6" t="str">
        <f>IF(B1229=0,VLOOKUP(A1229,Feuil2!$A$2:$M$1241,7,FALSE)," ")</f>
        <v xml:space="preserve"> </v>
      </c>
      <c r="J1229" s="1" t="str">
        <f>IF(B1229=0,VLOOKUP(A1229,Feuil2!$A$2:$M$1241,9,FALSE)," ")</f>
        <v xml:space="preserve"> </v>
      </c>
      <c r="K1229" s="1" t="str">
        <f>IF(B1229=0,VLOOKUP(A1229,Feuil2!$A$2:$M$1241,10,FALSE)," ")</f>
        <v xml:space="preserve"> </v>
      </c>
      <c r="L1229" s="1"/>
      <c r="M1229" s="1"/>
      <c r="N1229" s="1"/>
      <c r="O1229" s="8" t="str">
        <f>IF(B1229=0,VLOOKUP(A1229,Feuil2!$A$2:$M$1241,13,FALSE)," ")</f>
        <v xml:space="preserve"> </v>
      </c>
    </row>
    <row r="1230" spans="1:16" x14ac:dyDescent="0.3">
      <c r="A1230" s="1">
        <v>1738</v>
      </c>
      <c r="B1230" s="1">
        <v>0</v>
      </c>
      <c r="C1230" s="1" t="str">
        <f>IF(B1230=0,VLOOKUP(A1230,Feuil2!$A$2:$M$1241,2,FALSE)," ")</f>
        <v>GAMHA</v>
      </c>
      <c r="D1230" s="1" t="str">
        <f>IF(B1230=0,VLOOKUP(A1230,Feuil2!$A$2:$M$1241,3,FALSE)," ")</f>
        <v>KHALED</v>
      </c>
      <c r="E1230" s="5">
        <f>IF(B1230=0,VLOOKUP(A1230,Feuil2!$A$2:$M$1241,6,FALSE)," ")</f>
        <v>26132</v>
      </c>
      <c r="F1230" s="1" t="str">
        <f>IF(B1230=0,VLOOKUP(A1230,Feuil2!$A$2:$M$1241,12,FALSE)," ")</f>
        <v>H</v>
      </c>
      <c r="G1230" s="1" t="str">
        <f>IF(B1230=0,VLOOKUP(A1230,Feuil2!$A$2:$M$1241,11,FALSE)," ")</f>
        <v>M</v>
      </c>
      <c r="H1230" s="1" t="s">
        <v>16</v>
      </c>
      <c r="I1230" s="6">
        <f>IF(B1230=0,VLOOKUP(A1230,Feuil2!$A$2:$M$1241,7,FALSE)," ")</f>
        <v>5508381</v>
      </c>
      <c r="J1230" s="1" t="str">
        <f>IF(B1230=0,VLOOKUP(A1230,Feuil2!$A$2:$M$1241,9,FALSE)," ")</f>
        <v>44 Rue Mongi Bali</v>
      </c>
      <c r="K1230" s="1" t="str">
        <f>IF(B1230=0,VLOOKUP(A1230,Feuil2!$A$2:$M$1241,10,FALSE)," ")</f>
        <v>Msaken 4070</v>
      </c>
      <c r="L1230" s="1">
        <v>4070</v>
      </c>
      <c r="M1230" s="1">
        <v>27994919</v>
      </c>
      <c r="N1230" s="1"/>
      <c r="O1230" s="8" t="str">
        <f>IF(B1230=0,VLOOKUP(A1230,Feuil2!$A$2:$M$1241,13,FALSE)," ")</f>
        <v>20009092220011205046</v>
      </c>
    </row>
    <row r="1231" spans="1:16" x14ac:dyDescent="0.3">
      <c r="A1231" s="1">
        <v>1738</v>
      </c>
      <c r="B1231" s="1">
        <v>1</v>
      </c>
      <c r="C1231" s="1" t="s">
        <v>283</v>
      </c>
      <c r="D1231" s="1" t="s">
        <v>1007</v>
      </c>
      <c r="E1231" s="5">
        <v>30564</v>
      </c>
      <c r="F1231" s="1" t="s">
        <v>17</v>
      </c>
      <c r="G1231" s="1" t="s">
        <v>15</v>
      </c>
      <c r="H1231" s="1" t="s">
        <v>16</v>
      </c>
      <c r="I1231" s="6" t="str">
        <f>IF(B1231=0,VLOOKUP(A1231,Feuil2!$A$2:$M$1241,7,FALSE)," ")</f>
        <v xml:space="preserve"> </v>
      </c>
      <c r="J1231" s="1" t="str">
        <f>IF(B1231=0,VLOOKUP(A1231,Feuil2!$A$2:$M$1241,9,FALSE)," ")</f>
        <v xml:space="preserve"> </v>
      </c>
      <c r="K1231" s="1" t="str">
        <f>IF(B1231=0,VLOOKUP(A1231,Feuil2!$A$2:$M$1241,10,FALSE)," ")</f>
        <v xml:space="preserve"> </v>
      </c>
      <c r="L1231" s="1"/>
      <c r="M1231" s="1"/>
      <c r="N1231" s="1"/>
      <c r="O1231" s="8" t="str">
        <f>IF(B1231=0,VLOOKUP(A1231,Feuil2!$A$2:$M$1241,13,FALSE)," ")</f>
        <v xml:space="preserve"> </v>
      </c>
    </row>
    <row r="1232" spans="1:16" x14ac:dyDescent="0.3">
      <c r="A1232" s="1">
        <v>1738</v>
      </c>
      <c r="B1232" s="1">
        <v>2</v>
      </c>
      <c r="C1232" s="1" t="s">
        <v>168</v>
      </c>
      <c r="D1232" s="1" t="s">
        <v>402</v>
      </c>
      <c r="E1232" s="5">
        <v>38191</v>
      </c>
      <c r="F1232" s="1" t="s">
        <v>17</v>
      </c>
      <c r="G1232" s="1" t="str">
        <f>IF(B1232=0,VLOOKUP(A1232,Feuil2!$A$2:$M$1241,11,FALSE)," ")</f>
        <v xml:space="preserve"> </v>
      </c>
      <c r="H1232" s="1" t="s">
        <v>16</v>
      </c>
      <c r="I1232" s="6" t="str">
        <f>IF(B1232=0,VLOOKUP(A1232,Feuil2!$A$2:$M$1241,7,FALSE)," ")</f>
        <v xml:space="preserve"> </v>
      </c>
      <c r="J1232" s="1" t="str">
        <f>IF(B1232=0,VLOOKUP(A1232,Feuil2!$A$2:$M$1241,9,FALSE)," ")</f>
        <v xml:space="preserve"> </v>
      </c>
      <c r="K1232" s="1" t="str">
        <f>IF(B1232=0,VLOOKUP(A1232,Feuil2!$A$2:$M$1241,10,FALSE)," ")</f>
        <v xml:space="preserve"> </v>
      </c>
      <c r="L1232" s="1"/>
      <c r="M1232" s="1"/>
      <c r="N1232" s="1"/>
      <c r="O1232" s="8" t="str">
        <f>IF(B1232=0,VLOOKUP(A1232,Feuil2!$A$2:$M$1241,13,FALSE)," ")</f>
        <v xml:space="preserve"> </v>
      </c>
    </row>
    <row r="1233" spans="1:15" x14ac:dyDescent="0.3">
      <c r="A1233" s="1">
        <v>1738</v>
      </c>
      <c r="B1233" s="1">
        <v>3</v>
      </c>
      <c r="C1233" s="1" t="s">
        <v>168</v>
      </c>
      <c r="D1233" s="1" t="s">
        <v>230</v>
      </c>
      <c r="E1233" s="5">
        <v>38699</v>
      </c>
      <c r="F1233" s="1" t="s">
        <v>506</v>
      </c>
      <c r="G1233" s="1" t="str">
        <f>IF(B1233=0,VLOOKUP(A1233,Feuil2!$A$2:$M$1241,11,FALSE)," ")</f>
        <v xml:space="preserve"> </v>
      </c>
      <c r="H1233" s="1" t="s">
        <v>16</v>
      </c>
      <c r="I1233" s="6" t="str">
        <f>IF(B1233=0,VLOOKUP(A1233,Feuil2!$A$2:$M$1241,7,FALSE)," ")</f>
        <v xml:space="preserve"> </v>
      </c>
      <c r="J1233" s="1" t="str">
        <f>IF(B1233=0,VLOOKUP(A1233,Feuil2!$A$2:$M$1241,9,FALSE)," ")</f>
        <v xml:space="preserve"> </v>
      </c>
      <c r="K1233" s="1" t="str">
        <f>IF(B1233=0,VLOOKUP(A1233,Feuil2!$A$2:$M$1241,10,FALSE)," ")</f>
        <v xml:space="preserve"> </v>
      </c>
      <c r="L1233" s="1"/>
      <c r="M1233" s="1"/>
      <c r="N1233" s="1"/>
      <c r="O1233" s="8" t="str">
        <f>IF(B1233=0,VLOOKUP(A1233,Feuil2!$A$2:$M$1241,13,FALSE)," ")</f>
        <v xml:space="preserve"> </v>
      </c>
    </row>
    <row r="1234" spans="1:15" x14ac:dyDescent="0.3">
      <c r="A1234" s="1">
        <v>1738</v>
      </c>
      <c r="B1234" s="1">
        <v>4</v>
      </c>
      <c r="C1234" s="1" t="s">
        <v>168</v>
      </c>
      <c r="D1234" s="1" t="s">
        <v>2366</v>
      </c>
      <c r="E1234" s="5">
        <v>39834</v>
      </c>
      <c r="F1234" s="1" t="s">
        <v>506</v>
      </c>
      <c r="G1234" s="1" t="str">
        <f>IF(B1234=0,VLOOKUP(A1234,Feuil2!$A$2:$M$1241,11,FALSE)," ")</f>
        <v xml:space="preserve"> </v>
      </c>
      <c r="H1234" s="1" t="s">
        <v>16</v>
      </c>
      <c r="I1234" s="6" t="str">
        <f>IF(B1234=0,VLOOKUP(A1234,Feuil2!$A$2:$M$1241,7,FALSE)," ")</f>
        <v xml:space="preserve"> </v>
      </c>
      <c r="J1234" s="1" t="str">
        <f>IF(B1234=0,VLOOKUP(A1234,Feuil2!$A$2:$M$1241,9,FALSE)," ")</f>
        <v xml:space="preserve"> </v>
      </c>
      <c r="K1234" s="1" t="str">
        <f>IF(B1234=0,VLOOKUP(A1234,Feuil2!$A$2:$M$1241,10,FALSE)," ")</f>
        <v xml:space="preserve"> </v>
      </c>
      <c r="L1234" s="1"/>
      <c r="M1234" s="1"/>
      <c r="N1234" s="1"/>
      <c r="O1234" s="8" t="str">
        <f>IF(B1234=0,VLOOKUP(A1234,Feuil2!$A$2:$M$1241,13,FALSE)," ")</f>
        <v xml:space="preserve"> </v>
      </c>
    </row>
    <row r="1235" spans="1:15" x14ac:dyDescent="0.3">
      <c r="A1235" s="1">
        <v>1740</v>
      </c>
      <c r="B1235" s="1">
        <v>0</v>
      </c>
      <c r="C1235" s="1" t="str">
        <f>IF(B1235=0,VLOOKUP(A1235,Feuil2!$A$2:$M$1241,2,FALSE)," ")</f>
        <v>YOUSSEF</v>
      </c>
      <c r="D1235" s="1" t="str">
        <f>IF(B1235=0,VLOOKUP(A1235,Feuil2!$A$2:$M$1241,3,FALSE)," ")</f>
        <v>LOTFI</v>
      </c>
      <c r="E1235" s="5">
        <f>IF(B1235=0,VLOOKUP(A1235,Feuil2!$A$2:$M$1241,6,FALSE)," ")</f>
        <v>26312</v>
      </c>
      <c r="F1235" s="1" t="str">
        <f>IF(B1235=0,VLOOKUP(A1235,Feuil2!$A$2:$M$1241,12,FALSE)," ")</f>
        <v>H</v>
      </c>
      <c r="G1235" s="1" t="str">
        <f>IF(B1235=0,VLOOKUP(A1235,Feuil2!$A$2:$M$1241,11,FALSE)," ")</f>
        <v>M</v>
      </c>
      <c r="H1235" s="1" t="s">
        <v>16</v>
      </c>
      <c r="I1235" s="6">
        <f>IF(B1235=0,VLOOKUP(A1235,Feuil2!$A$2:$M$1241,7,FALSE)," ")</f>
        <v>5519578</v>
      </c>
      <c r="J1235" s="1" t="str">
        <f>IF(B1235=0,VLOOKUP(A1235,Feuil2!$A$2:$M$1241,9,FALSE)," ")</f>
        <v>30 Rue Sadok Chatti</v>
      </c>
      <c r="K1235" s="1" t="str">
        <f>IF(B1235=0,VLOOKUP(A1235,Feuil2!$A$2:$M$1241,10,FALSE)," ")</f>
        <v>Msaken 4070</v>
      </c>
      <c r="L1235" s="1">
        <v>4070</v>
      </c>
      <c r="M1235" s="1">
        <v>29101300</v>
      </c>
      <c r="N1235" s="1"/>
      <c r="O1235" s="8" t="str">
        <f>IF(B1235=0,VLOOKUP(A1235,Feuil2!$A$2:$M$1241,13,FALSE)," ")</f>
        <v>04204067404000973254</v>
      </c>
    </row>
    <row r="1236" spans="1:15" x14ac:dyDescent="0.3">
      <c r="A1236" s="1">
        <v>1740</v>
      </c>
      <c r="B1236" s="1">
        <v>1</v>
      </c>
      <c r="C1236" s="1" t="s">
        <v>2693</v>
      </c>
      <c r="D1236" s="1" t="s">
        <v>1787</v>
      </c>
      <c r="E1236" s="5">
        <v>26823</v>
      </c>
      <c r="F1236" s="1" t="s">
        <v>17</v>
      </c>
      <c r="G1236" s="1" t="s">
        <v>15</v>
      </c>
      <c r="H1236" s="1" t="s">
        <v>16</v>
      </c>
      <c r="I1236" s="6" t="str">
        <f>IF(B1236=0,VLOOKUP(A1236,Feuil2!$A$2:$M$1241,7,FALSE)," ")</f>
        <v xml:space="preserve"> </v>
      </c>
      <c r="J1236" s="1" t="str">
        <f>IF(B1236=0,VLOOKUP(A1236,Feuil2!$A$2:$M$1241,9,FALSE)," ")</f>
        <v xml:space="preserve"> </v>
      </c>
      <c r="K1236" s="1" t="str">
        <f>IF(B1236=0,VLOOKUP(A1236,Feuil2!$A$2:$M$1241,10,FALSE)," ")</f>
        <v xml:space="preserve"> </v>
      </c>
      <c r="L1236" s="1"/>
      <c r="M1236" s="1"/>
      <c r="N1236" s="1"/>
      <c r="O1236" s="8" t="str">
        <f>IF(B1236=0,VLOOKUP(A1236,Feuil2!$A$2:$M$1241,13,FALSE)," ")</f>
        <v xml:space="preserve"> </v>
      </c>
    </row>
    <row r="1237" spans="1:15" x14ac:dyDescent="0.3">
      <c r="A1237" s="1">
        <v>1740</v>
      </c>
      <c r="B1237" s="1">
        <v>2</v>
      </c>
      <c r="C1237" s="1" t="s">
        <v>61</v>
      </c>
      <c r="D1237" s="1" t="s">
        <v>346</v>
      </c>
      <c r="E1237" s="5">
        <v>36835</v>
      </c>
      <c r="F1237" s="1" t="s">
        <v>506</v>
      </c>
      <c r="G1237" s="1" t="str">
        <f>IF(B1237=0,VLOOKUP(A1237,Feuil2!$A$2:$M$1241,11,FALSE)," ")</f>
        <v xml:space="preserve"> </v>
      </c>
      <c r="H1237" s="1" t="s">
        <v>16</v>
      </c>
      <c r="I1237" s="6" t="str">
        <f>IF(B1237=0,VLOOKUP(A1237,Feuil2!$A$2:$M$1241,7,FALSE)," ")</f>
        <v xml:space="preserve"> </v>
      </c>
      <c r="J1237" s="1" t="str">
        <f>IF(B1237=0,VLOOKUP(A1237,Feuil2!$A$2:$M$1241,9,FALSE)," ")</f>
        <v xml:space="preserve"> </v>
      </c>
      <c r="K1237" s="1" t="str">
        <f>IF(B1237=0,VLOOKUP(A1237,Feuil2!$A$2:$M$1241,10,FALSE)," ")</f>
        <v xml:space="preserve"> </v>
      </c>
      <c r="L1237" s="1"/>
      <c r="M1237" s="1"/>
      <c r="N1237" s="1"/>
      <c r="O1237" s="8" t="str">
        <f>IF(B1237=0,VLOOKUP(A1237,Feuil2!$A$2:$M$1241,13,FALSE)," ")</f>
        <v xml:space="preserve"> </v>
      </c>
    </row>
    <row r="1238" spans="1:15" x14ac:dyDescent="0.3">
      <c r="A1238" s="1">
        <v>1740</v>
      </c>
      <c r="B1238" s="1">
        <v>3</v>
      </c>
      <c r="C1238" s="1" t="s">
        <v>61</v>
      </c>
      <c r="D1238" s="1" t="s">
        <v>120</v>
      </c>
      <c r="E1238" s="5">
        <v>37472</v>
      </c>
      <c r="F1238" s="1" t="s">
        <v>506</v>
      </c>
      <c r="G1238" s="1" t="str">
        <f>IF(B1238=0,VLOOKUP(A1238,Feuil2!$A$2:$M$1241,11,FALSE)," ")</f>
        <v xml:space="preserve"> </v>
      </c>
      <c r="H1238" s="1" t="s">
        <v>16</v>
      </c>
      <c r="I1238" s="6" t="str">
        <f>IF(B1238=0,VLOOKUP(A1238,Feuil2!$A$2:$M$1241,7,FALSE)," ")</f>
        <v xml:space="preserve"> </v>
      </c>
      <c r="J1238" s="1" t="str">
        <f>IF(B1238=0,VLOOKUP(A1238,Feuil2!$A$2:$M$1241,9,FALSE)," ")</f>
        <v xml:space="preserve"> </v>
      </c>
      <c r="K1238" s="1" t="str">
        <f>IF(B1238=0,VLOOKUP(A1238,Feuil2!$A$2:$M$1241,10,FALSE)," ")</f>
        <v xml:space="preserve"> </v>
      </c>
      <c r="L1238" s="1"/>
      <c r="M1238" s="1"/>
      <c r="N1238" s="1"/>
      <c r="O1238" s="8" t="str">
        <f>IF(B1238=0,VLOOKUP(A1238,Feuil2!$A$2:$M$1241,13,FALSE)," ")</f>
        <v xml:space="preserve"> </v>
      </c>
    </row>
    <row r="1239" spans="1:15" x14ac:dyDescent="0.3">
      <c r="A1239" s="1">
        <v>1740</v>
      </c>
      <c r="B1239" s="1">
        <v>4</v>
      </c>
      <c r="C1239" s="1" t="s">
        <v>61</v>
      </c>
      <c r="D1239" s="1" t="s">
        <v>2376</v>
      </c>
      <c r="E1239" s="5">
        <v>39300</v>
      </c>
      <c r="F1239" s="1" t="s">
        <v>506</v>
      </c>
      <c r="G1239" s="1" t="str">
        <f>IF(B1239=0,VLOOKUP(A1239,Feuil2!$A$2:$M$1241,11,FALSE)," ")</f>
        <v xml:space="preserve"> </v>
      </c>
      <c r="H1239" s="1" t="s">
        <v>16</v>
      </c>
      <c r="I1239" s="6" t="str">
        <f>IF(B1239=0,VLOOKUP(A1239,Feuil2!$A$2:$M$1241,7,FALSE)," ")</f>
        <v xml:space="preserve"> </v>
      </c>
      <c r="J1239" s="1" t="str">
        <f>IF(B1239=0,VLOOKUP(A1239,Feuil2!$A$2:$M$1241,9,FALSE)," ")</f>
        <v xml:space="preserve"> </v>
      </c>
      <c r="K1239" s="1" t="str">
        <f>IF(B1239=0,VLOOKUP(A1239,Feuil2!$A$2:$M$1241,10,FALSE)," ")</f>
        <v xml:space="preserve"> </v>
      </c>
      <c r="L1239" s="1"/>
      <c r="M1239" s="1"/>
      <c r="N1239" s="1"/>
      <c r="O1239" s="8" t="str">
        <f>IF(B1239=0,VLOOKUP(A1239,Feuil2!$A$2:$M$1241,13,FALSE)," ")</f>
        <v xml:space="preserve"> </v>
      </c>
    </row>
    <row r="1240" spans="1:15" x14ac:dyDescent="0.3">
      <c r="A1240" s="1">
        <v>1741</v>
      </c>
      <c r="B1240" s="1">
        <v>0</v>
      </c>
      <c r="C1240" s="1" t="str">
        <f>IF(B1240=0,VLOOKUP(A1240,Feuil2!$A$2:$M$1241,2,FALSE)," ")</f>
        <v>HACHICHA</v>
      </c>
      <c r="D1240" s="1" t="str">
        <f>IF(B1240=0,VLOOKUP(A1240,Feuil2!$A$2:$M$1241,3,FALSE)," ")</f>
        <v>ZIED</v>
      </c>
      <c r="E1240" s="5">
        <f>IF(B1240=0,VLOOKUP(A1240,Feuil2!$A$2:$M$1241,6,FALSE)," ")</f>
        <v>28289</v>
      </c>
      <c r="F1240" s="1" t="str">
        <f>IF(B1240=0,VLOOKUP(A1240,Feuil2!$A$2:$M$1241,12,FALSE)," ")</f>
        <v>H</v>
      </c>
      <c r="G1240" s="1" t="str">
        <f>IF(B1240=0,VLOOKUP(A1240,Feuil2!$A$2:$M$1241,11,FALSE)," ")</f>
        <v>M</v>
      </c>
      <c r="H1240" s="1" t="s">
        <v>16</v>
      </c>
      <c r="I1240" s="6">
        <f>IF(B1240=0,VLOOKUP(A1240,Feuil2!$A$2:$M$1241,7,FALSE)," ")</f>
        <v>5583908</v>
      </c>
      <c r="J1240" s="1" t="str">
        <f>IF(B1240=0,VLOOKUP(A1240,Feuil2!$A$2:$M$1241,9,FALSE)," ")</f>
        <v>3 Rue Mohamed Ali</v>
      </c>
      <c r="K1240" s="1" t="str">
        <f>IF(B1240=0,VLOOKUP(A1240,Feuil2!$A$2:$M$1241,10,FALSE)," ")</f>
        <v>Msaken 4070</v>
      </c>
      <c r="L1240" s="1">
        <v>4070</v>
      </c>
      <c r="M1240" s="1">
        <v>24325476</v>
      </c>
      <c r="N1240" s="1"/>
      <c r="O1240" s="8" t="str">
        <f>IF(B1240=0,VLOOKUP(A1240,Feuil2!$A$2:$M$1241,13,FALSE)," ")</f>
        <v>04204067404000969083</v>
      </c>
    </row>
    <row r="1241" spans="1:15" x14ac:dyDescent="0.3">
      <c r="A1241" s="1">
        <v>1741</v>
      </c>
      <c r="B1241" s="1">
        <v>1</v>
      </c>
      <c r="C1241" s="1" t="s">
        <v>57</v>
      </c>
      <c r="D1241" s="1" t="s">
        <v>2694</v>
      </c>
      <c r="E1241" s="5">
        <v>31528</v>
      </c>
      <c r="F1241" s="1" t="s">
        <v>17</v>
      </c>
      <c r="G1241" s="1" t="s">
        <v>15</v>
      </c>
      <c r="H1241" s="1" t="s">
        <v>16</v>
      </c>
      <c r="I1241" s="6" t="str">
        <f>IF(B1241=0,VLOOKUP(A1241,Feuil2!$A$2:$M$1241,7,FALSE)," ")</f>
        <v xml:space="preserve"> </v>
      </c>
      <c r="J1241" s="1" t="str">
        <f>IF(B1241=0,VLOOKUP(A1241,Feuil2!$A$2:$M$1241,9,FALSE)," ")</f>
        <v xml:space="preserve"> </v>
      </c>
      <c r="K1241" s="1" t="str">
        <f>IF(B1241=0,VLOOKUP(A1241,Feuil2!$A$2:$M$1241,10,FALSE)," ")</f>
        <v xml:space="preserve"> </v>
      </c>
      <c r="L1241" s="1"/>
      <c r="M1241" s="1"/>
      <c r="N1241" s="1"/>
      <c r="O1241" s="8" t="str">
        <f>IF(B1241=0,VLOOKUP(A1241,Feuil2!$A$2:$M$1241,13,FALSE)," ")</f>
        <v xml:space="preserve"> </v>
      </c>
    </row>
    <row r="1242" spans="1:15" x14ac:dyDescent="0.3">
      <c r="A1242" s="1">
        <v>1741</v>
      </c>
      <c r="B1242" s="1">
        <v>2</v>
      </c>
      <c r="C1242" s="1" t="s">
        <v>304</v>
      </c>
      <c r="D1242" s="1" t="s">
        <v>2695</v>
      </c>
      <c r="E1242" s="5">
        <v>40675</v>
      </c>
      <c r="F1242" s="1" t="s">
        <v>17</v>
      </c>
      <c r="G1242" s="1" t="str">
        <f>IF(B1242=0,VLOOKUP(A1242,Feuil2!$A$2:$M$1241,11,FALSE)," ")</f>
        <v xml:space="preserve"> </v>
      </c>
      <c r="H1242" s="1" t="s">
        <v>16</v>
      </c>
      <c r="I1242" s="6" t="str">
        <f>IF(B1242=0,VLOOKUP(A1242,Feuil2!$A$2:$M$1241,7,FALSE)," ")</f>
        <v xml:space="preserve"> </v>
      </c>
      <c r="J1242" s="1" t="str">
        <f>IF(B1242=0,VLOOKUP(A1242,Feuil2!$A$2:$M$1241,9,FALSE)," ")</f>
        <v xml:space="preserve"> </v>
      </c>
      <c r="K1242" s="1" t="str">
        <f>IF(B1242=0,VLOOKUP(A1242,Feuil2!$A$2:$M$1241,10,FALSE)," ")</f>
        <v xml:space="preserve"> </v>
      </c>
      <c r="L1242" s="1"/>
      <c r="M1242" s="1"/>
      <c r="N1242" s="1"/>
      <c r="O1242" s="8" t="str">
        <f>IF(B1242=0,VLOOKUP(A1242,Feuil2!$A$2:$M$1241,13,FALSE)," ")</f>
        <v xml:space="preserve"> </v>
      </c>
    </row>
    <row r="1243" spans="1:15" x14ac:dyDescent="0.3">
      <c r="A1243" s="1">
        <v>1741</v>
      </c>
      <c r="B1243" s="1">
        <v>3</v>
      </c>
      <c r="C1243" s="1" t="s">
        <v>304</v>
      </c>
      <c r="D1243" s="1" t="s">
        <v>2383</v>
      </c>
      <c r="E1243" s="5">
        <v>41908</v>
      </c>
      <c r="F1243" s="1" t="s">
        <v>17</v>
      </c>
      <c r="G1243" s="1" t="str">
        <f>IF(B1243=0,VLOOKUP(A1243,Feuil2!$A$2:$M$1241,11,FALSE)," ")</f>
        <v xml:space="preserve"> </v>
      </c>
      <c r="H1243" s="1" t="s">
        <v>16</v>
      </c>
      <c r="I1243" s="6" t="str">
        <f>IF(B1243=0,VLOOKUP(A1243,Feuil2!$A$2:$M$1241,7,FALSE)," ")</f>
        <v xml:space="preserve"> </v>
      </c>
      <c r="J1243" s="1" t="str">
        <f>IF(B1243=0,VLOOKUP(A1243,Feuil2!$A$2:$M$1241,9,FALSE)," ")</f>
        <v xml:space="preserve"> </v>
      </c>
      <c r="K1243" s="1" t="str">
        <f>IF(B1243=0,VLOOKUP(A1243,Feuil2!$A$2:$M$1241,10,FALSE)," ")</f>
        <v xml:space="preserve"> </v>
      </c>
      <c r="L1243" s="1"/>
      <c r="M1243" s="1"/>
      <c r="N1243" s="1"/>
      <c r="O1243" s="8" t="str">
        <f>IF(B1243=0,VLOOKUP(A1243,Feuil2!$A$2:$M$1241,13,FALSE)," ")</f>
        <v xml:space="preserve"> </v>
      </c>
    </row>
    <row r="1244" spans="1:15" x14ac:dyDescent="0.3">
      <c r="A1244" s="1">
        <v>1741</v>
      </c>
      <c r="B1244" s="1">
        <v>4</v>
      </c>
      <c r="C1244" s="1" t="s">
        <v>304</v>
      </c>
      <c r="D1244" s="1" t="s">
        <v>2475</v>
      </c>
      <c r="E1244" s="5">
        <v>44909</v>
      </c>
      <c r="F1244" s="1" t="s">
        <v>506</v>
      </c>
      <c r="G1244" s="1"/>
      <c r="H1244" s="1"/>
      <c r="I1244" s="6"/>
      <c r="J1244" s="1"/>
      <c r="K1244" s="1"/>
      <c r="L1244" s="1"/>
      <c r="M1244" s="1"/>
      <c r="N1244" s="1"/>
      <c r="O1244" s="20" t="str">
        <f>IF(B1245=0,VLOOKUP(A1245,Feuil2!$A$2:$M$1241,13,FALSE)," ")</f>
        <v>04204067404002083807</v>
      </c>
    </row>
    <row r="1245" spans="1:15" x14ac:dyDescent="0.3">
      <c r="A1245" s="1">
        <v>1742</v>
      </c>
      <c r="B1245" s="17">
        <v>0</v>
      </c>
      <c r="C1245" s="17" t="str">
        <f>IF(B1245=0,VLOOKUP(A1245,Feuil2!$A$2:$M$1241,2,FALSE)," ")</f>
        <v>BEN AZIZA</v>
      </c>
      <c r="D1245" s="17" t="str">
        <f>IF(B1245=0,VLOOKUP(A1245,Feuil2!$A$2:$M$1241,3,FALSE)," ")</f>
        <v>JAMEL</v>
      </c>
      <c r="E1245" s="18">
        <f>IF(B1245=0,VLOOKUP(A1245,Feuil2!$A$2:$M$1241,6,FALSE)," ")</f>
        <v>23756</v>
      </c>
      <c r="F1245" s="17" t="str">
        <f>IF(B1245=0,VLOOKUP(A1245,Feuil2!$A$2:$M$1241,12,FALSE)," ")</f>
        <v>H</v>
      </c>
      <c r="G1245" s="17" t="str">
        <f>IF(B1245=0,VLOOKUP(A1245,Feuil2!$A$2:$M$1241,11,FALSE)," ")</f>
        <v>M</v>
      </c>
      <c r="H1245" s="17" t="s">
        <v>16</v>
      </c>
      <c r="I1245" s="19">
        <f>IF(B1245=0,VLOOKUP(A1245,Feuil2!$A$2:$M$1241,7,FALSE)," ")</f>
        <v>2954102</v>
      </c>
      <c r="J1245" s="17" t="str">
        <f>IF(B1245=0,VLOOKUP(A1245,Feuil2!$A$2:$M$1241,9,FALSE)," ")</f>
        <v>4015 beni rabiaa</v>
      </c>
      <c r="K1245" s="17" t="str">
        <f>IF(B1245=0,VLOOKUP(A1245,Feuil2!$A$2:$M$1241,10,FALSE)," ")</f>
        <v>NULL</v>
      </c>
      <c r="L1245" s="17"/>
      <c r="M1245" s="17">
        <v>52442384</v>
      </c>
      <c r="N1245" s="17"/>
      <c r="O1245" s="8" t="str">
        <f>IF(B1246=0,VLOOKUP(A1246,Feuil2!$A$2:$M$1241,13,FALSE)," ")</f>
        <v xml:space="preserve"> </v>
      </c>
    </row>
    <row r="1246" spans="1:15" x14ac:dyDescent="0.3">
      <c r="A1246" s="1">
        <v>1742</v>
      </c>
      <c r="B1246" s="1">
        <v>1</v>
      </c>
      <c r="C1246" s="1" t="s">
        <v>487</v>
      </c>
      <c r="D1246" s="1" t="s">
        <v>2539</v>
      </c>
      <c r="E1246" s="5">
        <v>26187</v>
      </c>
      <c r="F1246" s="1" t="s">
        <v>17</v>
      </c>
      <c r="G1246" s="1" t="s">
        <v>15</v>
      </c>
      <c r="H1246" s="1" t="s">
        <v>16</v>
      </c>
      <c r="I1246" s="6" t="str">
        <f>IF(B1246=0,VLOOKUP(A1246,Feuil2!$A$2:$M$1241,7,FALSE)," ")</f>
        <v xml:space="preserve"> </v>
      </c>
      <c r="J1246" s="1" t="str">
        <f>IF(B1246=0,VLOOKUP(A1246,Feuil2!$A$2:$M$1241,9,FALSE)," ")</f>
        <v xml:space="preserve"> </v>
      </c>
      <c r="K1246" s="1" t="str">
        <f>IF(B1246=0,VLOOKUP(A1246,Feuil2!$A$2:$M$1241,10,FALSE)," ")</f>
        <v xml:space="preserve"> </v>
      </c>
      <c r="L1246" s="1"/>
      <c r="M1246" s="1"/>
      <c r="N1246" s="1"/>
      <c r="O1246" s="8" t="str">
        <f>IF(B1247=0,VLOOKUP(A1247,Feuil2!$A$2:$M$1241,13,FALSE)," ")</f>
        <v>25005000000000759194</v>
      </c>
    </row>
    <row r="1247" spans="1:15" x14ac:dyDescent="0.3">
      <c r="A1247" s="1">
        <v>1752</v>
      </c>
      <c r="B1247" s="1">
        <v>0</v>
      </c>
      <c r="C1247" s="1" t="str">
        <f>IF(B1247=0,VLOOKUP(A1247,Feuil2!$A$2:$M$1241,2,FALSE)," ")</f>
        <v>HEDHILI</v>
      </c>
      <c r="D1247" s="1" t="str">
        <f>IF(B1247=0,VLOOKUP(A1247,Feuil2!$A$2:$M$1241,3,FALSE)," ")</f>
        <v>MUSTAPHA</v>
      </c>
      <c r="E1247" s="5">
        <f>IF(B1247=0,VLOOKUP(A1247,Feuil2!$A$2:$M$1241,6,FALSE)," ")</f>
        <v>27392</v>
      </c>
      <c r="F1247" s="1" t="str">
        <f>IF(B1247=0,VLOOKUP(A1247,Feuil2!$A$2:$M$1241,12,FALSE)," ")</f>
        <v>H</v>
      </c>
      <c r="G1247" s="1" t="str">
        <f>IF(B1247=0,VLOOKUP(A1247,Feuil2!$A$2:$M$1241,11,FALSE)," ")</f>
        <v>M</v>
      </c>
      <c r="H1247" s="1" t="s">
        <v>16</v>
      </c>
      <c r="I1247" s="6">
        <f>IF(B1247=0,VLOOKUP(A1247,Feuil2!$A$2:$M$1241,7,FALSE)," ")</f>
        <v>5533364</v>
      </c>
      <c r="J1247" s="1" t="str">
        <f>IF(B1247=0,VLOOKUP(A1247,Feuil2!$A$2:$M$1241,9,FALSE)," ")</f>
        <v>14 Rue de Monastir</v>
      </c>
      <c r="K1247" s="1" t="str">
        <f>IF(B1247=0,VLOOKUP(A1247,Feuil2!$A$2:$M$1241,10,FALSE)," ")</f>
        <v>Msaken 4070</v>
      </c>
      <c r="L1247" s="1">
        <v>4070</v>
      </c>
      <c r="M1247" s="1">
        <v>27009041</v>
      </c>
      <c r="N1247" s="1"/>
      <c r="O1247" s="8" t="str">
        <f>IF(B1248=0,VLOOKUP(A1248,Feuil2!$A$2:$M$1241,13,FALSE)," ")</f>
        <v xml:space="preserve"> </v>
      </c>
    </row>
    <row r="1248" spans="1:15" x14ac:dyDescent="0.3">
      <c r="A1248" s="1">
        <v>1752</v>
      </c>
      <c r="B1248" s="1">
        <v>1</v>
      </c>
      <c r="C1248" s="1" t="s">
        <v>1876</v>
      </c>
      <c r="D1248" s="1" t="s">
        <v>2370</v>
      </c>
      <c r="E1248" s="5">
        <v>28527</v>
      </c>
      <c r="F1248" s="1" t="s">
        <v>17</v>
      </c>
      <c r="G1248" s="1" t="s">
        <v>15</v>
      </c>
      <c r="H1248" s="1" t="s">
        <v>16</v>
      </c>
      <c r="I1248" s="6" t="str">
        <f>IF(B1248=0,VLOOKUP(A1248,Feuil2!$A$2:$M$1241,7,FALSE)," ")</f>
        <v xml:space="preserve"> </v>
      </c>
      <c r="J1248" s="1" t="str">
        <f>IF(B1248=0,VLOOKUP(A1248,Feuil2!$A$2:$M$1241,9,FALSE)," ")</f>
        <v xml:space="preserve"> </v>
      </c>
      <c r="K1248" s="1" t="str">
        <f>IF(B1248=0,VLOOKUP(A1248,Feuil2!$A$2:$M$1241,10,FALSE)," ")</f>
        <v xml:space="preserve"> </v>
      </c>
      <c r="L1248" s="1"/>
      <c r="M1248" s="1"/>
      <c r="N1248" s="1"/>
      <c r="O1248" s="8" t="str">
        <f>IF(B1249=0,VLOOKUP(A1249,Feuil2!$A$2:$M$1241,13,FALSE)," ")</f>
        <v xml:space="preserve"> </v>
      </c>
    </row>
    <row r="1249" spans="1:15" x14ac:dyDescent="0.3">
      <c r="A1249" s="1">
        <v>1752</v>
      </c>
      <c r="B1249" s="1">
        <v>2</v>
      </c>
      <c r="C1249" s="1" t="s">
        <v>78</v>
      </c>
      <c r="D1249" s="1" t="s">
        <v>77</v>
      </c>
      <c r="E1249" s="5">
        <v>40074</v>
      </c>
      <c r="F1249" s="1" t="s">
        <v>506</v>
      </c>
      <c r="G1249" s="1" t="str">
        <f>IF(B1249=0,VLOOKUP(A1249,Feuil2!$A$2:$M$1241,11,FALSE)," ")</f>
        <v xml:space="preserve"> </v>
      </c>
      <c r="H1249" s="1" t="s">
        <v>16</v>
      </c>
      <c r="I1249" s="6" t="str">
        <f>IF(B1249=0,VLOOKUP(A1249,Feuil2!$A$2:$M$1241,7,FALSE)," ")</f>
        <v xml:space="preserve"> </v>
      </c>
      <c r="J1249" s="1" t="str">
        <f>IF(B1249=0,VLOOKUP(A1249,Feuil2!$A$2:$M$1241,9,FALSE)," ")</f>
        <v xml:space="preserve"> </v>
      </c>
      <c r="K1249" s="1" t="str">
        <f>IF(B1249=0,VLOOKUP(A1249,Feuil2!$A$2:$M$1241,10,FALSE)," ")</f>
        <v xml:space="preserve"> </v>
      </c>
      <c r="L1249" s="1"/>
      <c r="M1249" s="1"/>
      <c r="N1249" s="1"/>
      <c r="O1249" s="8" t="str">
        <f>IF(B1250=0,VLOOKUP(A1250,Feuil2!$A$2:$M$1241,13,FALSE)," ")</f>
        <v xml:space="preserve"> </v>
      </c>
    </row>
    <row r="1250" spans="1:15" x14ac:dyDescent="0.3">
      <c r="A1250" s="1">
        <v>1752</v>
      </c>
      <c r="B1250" s="1">
        <v>3</v>
      </c>
      <c r="C1250" s="1" t="s">
        <v>78</v>
      </c>
      <c r="D1250" s="1" t="s">
        <v>2338</v>
      </c>
      <c r="E1250" s="5">
        <v>40911</v>
      </c>
      <c r="F1250" s="1" t="s">
        <v>17</v>
      </c>
      <c r="G1250" s="1" t="str">
        <f>IF(B1250=0,VLOOKUP(A1250,Feuil2!$A$2:$M$1241,11,FALSE)," ")</f>
        <v xml:space="preserve"> </v>
      </c>
      <c r="H1250" s="1" t="s">
        <v>16</v>
      </c>
      <c r="I1250" s="6" t="str">
        <f>IF(B1250=0,VLOOKUP(A1250,Feuil2!$A$2:$M$1241,7,FALSE)," ")</f>
        <v xml:space="preserve"> </v>
      </c>
      <c r="J1250" s="1" t="str">
        <f>IF(B1250=0,VLOOKUP(A1250,Feuil2!$A$2:$M$1241,9,FALSE)," ")</f>
        <v xml:space="preserve"> </v>
      </c>
      <c r="K1250" s="1" t="str">
        <f>IF(B1250=0,VLOOKUP(A1250,Feuil2!$A$2:$M$1241,10,FALSE)," ")</f>
        <v xml:space="preserve"> </v>
      </c>
      <c r="L1250" s="1"/>
      <c r="M1250" s="1"/>
      <c r="N1250" s="1"/>
      <c r="O1250" s="8" t="str">
        <f>IF(B1251=0,VLOOKUP(A1251,Feuil2!$A$2:$M$1241,13,FALSE)," ")</f>
        <v xml:space="preserve"> </v>
      </c>
    </row>
    <row r="1251" spans="1:15" x14ac:dyDescent="0.3">
      <c r="A1251" s="1">
        <v>1752</v>
      </c>
      <c r="B1251" s="1">
        <v>4</v>
      </c>
      <c r="C1251" s="1" t="s">
        <v>78</v>
      </c>
      <c r="D1251" s="1" t="s">
        <v>2451</v>
      </c>
      <c r="E1251" s="5">
        <v>41316</v>
      </c>
      <c r="F1251" s="1" t="s">
        <v>17</v>
      </c>
      <c r="G1251" s="1" t="str">
        <f>IF(B1251=0,VLOOKUP(A1251,Feuil2!$A$2:$M$1241,11,FALSE)," ")</f>
        <v xml:space="preserve"> </v>
      </c>
      <c r="H1251" s="1" t="s">
        <v>16</v>
      </c>
      <c r="I1251" s="6" t="str">
        <f>IF(B1251=0,VLOOKUP(A1251,Feuil2!$A$2:$M$1241,7,FALSE)," ")</f>
        <v xml:space="preserve"> </v>
      </c>
      <c r="J1251" s="1" t="str">
        <f>IF(B1251=0,VLOOKUP(A1251,Feuil2!$A$2:$M$1241,9,FALSE)," ")</f>
        <v xml:space="preserve"> </v>
      </c>
      <c r="K1251" s="1" t="str">
        <f>IF(B1251=0,VLOOKUP(A1251,Feuil2!$A$2:$M$1241,10,FALSE)," ")</f>
        <v xml:space="preserve"> </v>
      </c>
      <c r="L1251" s="1"/>
      <c r="M1251" s="1"/>
      <c r="N1251" s="1"/>
      <c r="O1251" s="8" t="str">
        <f>IF(B1252=0,VLOOKUP(A1252,Feuil2!$A$2:$M$1241,13,FALSE)," ")</f>
        <v xml:space="preserve"> </v>
      </c>
    </row>
    <row r="1252" spans="1:15" x14ac:dyDescent="0.3">
      <c r="A1252" s="1">
        <v>1752</v>
      </c>
      <c r="B1252" s="1">
        <v>5</v>
      </c>
      <c r="C1252" s="1" t="s">
        <v>78</v>
      </c>
      <c r="D1252" s="1" t="s">
        <v>89</v>
      </c>
      <c r="E1252" s="5">
        <v>43589</v>
      </c>
      <c r="F1252" s="1" t="s">
        <v>506</v>
      </c>
      <c r="G1252" s="1" t="str">
        <f>IF(B1252=0,VLOOKUP(A1252,Feuil2!$A$2:$M$1241,11,FALSE)," ")</f>
        <v xml:space="preserve"> </v>
      </c>
      <c r="H1252" s="1" t="s">
        <v>16</v>
      </c>
      <c r="I1252" s="6" t="str">
        <f>IF(B1252=0,VLOOKUP(A1252,Feuil2!$A$2:$M$1241,7,FALSE)," ")</f>
        <v xml:space="preserve"> </v>
      </c>
      <c r="J1252" s="1" t="str">
        <f>IF(B1252=0,VLOOKUP(A1252,Feuil2!$A$2:$M$1241,9,FALSE)," ")</f>
        <v xml:space="preserve"> </v>
      </c>
      <c r="K1252" s="1" t="str">
        <f>IF(B1252=0,VLOOKUP(A1252,Feuil2!$A$2:$M$1241,10,FALSE)," ")</f>
        <v xml:space="preserve"> </v>
      </c>
      <c r="L1252" s="1"/>
      <c r="M1252" s="1"/>
      <c r="N1252" s="1"/>
      <c r="O1252" s="8" t="str">
        <f>IF(B1253=0,VLOOKUP(A1253,Feuil2!$A$2:$M$1241,13,FALSE)," ")</f>
        <v>08507000262005302662</v>
      </c>
    </row>
    <row r="1253" spans="1:15" x14ac:dyDescent="0.3">
      <c r="A1253" s="1">
        <v>1755</v>
      </c>
      <c r="B1253" s="17">
        <v>0</v>
      </c>
      <c r="C1253" s="17" t="str">
        <f>IF(B1253=0,VLOOKUP(A1253,Feuil2!$A$2:$M$1241,2,FALSE)," ")</f>
        <v>REJEB</v>
      </c>
      <c r="D1253" s="17" t="str">
        <f>IF(B1253=0,VLOOKUP(A1253,Feuil2!$A$2:$M$1241,3,FALSE)," ")</f>
        <v>NEJIB</v>
      </c>
      <c r="E1253" s="18">
        <f>IF(B1253=0,VLOOKUP(A1253,Feuil2!$A$2:$M$1241,6,FALSE)," ")</f>
        <v>25116</v>
      </c>
      <c r="F1253" s="17" t="str">
        <f>IF(B1253=0,VLOOKUP(A1253,Feuil2!$A$2:$M$1241,12,FALSE)," ")</f>
        <v>H</v>
      </c>
      <c r="G1253" s="17" t="str">
        <f>IF(B1253=0,VLOOKUP(A1253,Feuil2!$A$2:$M$1241,11,FALSE)," ")</f>
        <v>M</v>
      </c>
      <c r="H1253" s="17" t="s">
        <v>16</v>
      </c>
      <c r="I1253" s="19">
        <f>IF(B1253=0,VLOOKUP(A1253,Feuil2!$A$2:$M$1241,7,FALSE)," ")</f>
        <v>2984455</v>
      </c>
      <c r="J1253" s="17" t="str">
        <f>IF(B1253=0,VLOOKUP(A1253,Feuil2!$A$2:$M$1241,9,FALSE)," ")</f>
        <v>NULL</v>
      </c>
      <c r="K1253" s="17" t="str">
        <f>IF(B1253=0,VLOOKUP(A1253,Feuil2!$A$2:$M$1241,10,FALSE)," ")</f>
        <v>Knaies 4014</v>
      </c>
      <c r="L1253" s="17">
        <v>4014</v>
      </c>
      <c r="M1253" s="17">
        <v>98783224</v>
      </c>
      <c r="N1253" s="17"/>
      <c r="O1253" s="20" t="str">
        <f>IF(B1254=0,VLOOKUP(A1254,Feuil2!$A$2:$M$1241,13,FALSE)," ")</f>
        <v xml:space="preserve"> </v>
      </c>
    </row>
    <row r="1254" spans="1:15" x14ac:dyDescent="0.3">
      <c r="A1254" s="1">
        <v>1755</v>
      </c>
      <c r="B1254" s="1">
        <v>1</v>
      </c>
      <c r="C1254" s="1" t="s">
        <v>173</v>
      </c>
      <c r="D1254" s="1" t="s">
        <v>2142</v>
      </c>
      <c r="E1254" s="5">
        <v>28391</v>
      </c>
      <c r="F1254" s="1" t="s">
        <v>17</v>
      </c>
      <c r="G1254" s="1" t="s">
        <v>15</v>
      </c>
      <c r="H1254" s="1" t="s">
        <v>16</v>
      </c>
      <c r="I1254" s="6" t="str">
        <f>IF(B1254=0,VLOOKUP(A1254,Feuil2!$A$2:$M$1241,7,FALSE)," ")</f>
        <v xml:space="preserve"> </v>
      </c>
      <c r="J1254" s="1" t="str">
        <f>IF(B1254=0,VLOOKUP(A1254,Feuil2!$A$2:$M$1241,9,FALSE)," ")</f>
        <v xml:space="preserve"> </v>
      </c>
      <c r="K1254" s="1" t="str">
        <f>IF(B1254=0,VLOOKUP(A1254,Feuil2!$A$2:$M$1241,10,FALSE)," ")</f>
        <v xml:space="preserve"> </v>
      </c>
      <c r="L1254" s="1"/>
      <c r="M1254" s="1"/>
      <c r="N1254" s="1"/>
      <c r="O1254" s="8" t="str">
        <f>IF(B1255=0,VLOOKUP(A1255,Feuil2!$A$2:$M$1241,13,FALSE)," ")</f>
        <v xml:space="preserve"> </v>
      </c>
    </row>
    <row r="1255" spans="1:15" x14ac:dyDescent="0.3">
      <c r="A1255" s="1">
        <v>1755</v>
      </c>
      <c r="B1255" s="1">
        <v>2</v>
      </c>
      <c r="C1255" s="1" t="s">
        <v>333</v>
      </c>
      <c r="D1255" s="1" t="s">
        <v>361</v>
      </c>
      <c r="E1255" s="5">
        <v>37733</v>
      </c>
      <c r="F1255" s="1" t="s">
        <v>506</v>
      </c>
      <c r="G1255" s="1" t="str">
        <f>IF(B1255=0,VLOOKUP(A1255,Feuil2!$A$2:$M$1241,11,FALSE)," ")</f>
        <v xml:space="preserve"> </v>
      </c>
      <c r="H1255" s="1" t="s">
        <v>16</v>
      </c>
      <c r="I1255" s="6" t="str">
        <f>IF(B1255=0,VLOOKUP(A1255,Feuil2!$A$2:$M$1241,7,FALSE)," ")</f>
        <v xml:space="preserve"> </v>
      </c>
      <c r="J1255" s="1" t="str">
        <f>IF(B1255=0,VLOOKUP(A1255,Feuil2!$A$2:$M$1241,9,FALSE)," ")</f>
        <v xml:space="preserve"> </v>
      </c>
      <c r="K1255" s="1" t="str">
        <f>IF(B1255=0,VLOOKUP(A1255,Feuil2!$A$2:$M$1241,10,FALSE)," ")</f>
        <v xml:space="preserve"> </v>
      </c>
      <c r="L1255" s="1"/>
      <c r="M1255" s="1"/>
      <c r="N1255" s="1"/>
      <c r="O1255" s="8" t="str">
        <f>IF(B1256=0,VLOOKUP(A1256,Feuil2!$A$2:$M$1241,13,FALSE)," ")</f>
        <v xml:space="preserve"> </v>
      </c>
    </row>
    <row r="1256" spans="1:15" x14ac:dyDescent="0.3">
      <c r="A1256" s="1">
        <v>1755</v>
      </c>
      <c r="B1256" s="1">
        <v>3</v>
      </c>
      <c r="C1256" s="1" t="s">
        <v>333</v>
      </c>
      <c r="D1256" s="1" t="s">
        <v>2696</v>
      </c>
      <c r="E1256" s="5">
        <v>38904</v>
      </c>
      <c r="F1256" s="1" t="s">
        <v>17</v>
      </c>
      <c r="G1256" s="1" t="str">
        <f>IF(B1256=0,VLOOKUP(A1256,Feuil2!$A$2:$M$1241,11,FALSE)," ")</f>
        <v xml:space="preserve"> </v>
      </c>
      <c r="H1256" s="1" t="s">
        <v>16</v>
      </c>
      <c r="I1256" s="6" t="str">
        <f>IF(B1256=0,VLOOKUP(A1256,Feuil2!$A$2:$M$1241,7,FALSE)," ")</f>
        <v xml:space="preserve"> </v>
      </c>
      <c r="J1256" s="1" t="str">
        <f>IF(B1256=0,VLOOKUP(A1256,Feuil2!$A$2:$M$1241,9,FALSE)," ")</f>
        <v xml:space="preserve"> </v>
      </c>
      <c r="K1256" s="1" t="str">
        <f>IF(B1256=0,VLOOKUP(A1256,Feuil2!$A$2:$M$1241,10,FALSE)," ")</f>
        <v xml:space="preserve"> </v>
      </c>
      <c r="L1256" s="1"/>
      <c r="M1256" s="1"/>
      <c r="N1256" s="1"/>
      <c r="O1256" s="8" t="str">
        <f>IF(B1257=0,VLOOKUP(A1257,Feuil2!$A$2:$M$1241,13,FALSE)," ")</f>
        <v xml:space="preserve"> </v>
      </c>
    </row>
    <row r="1257" spans="1:15" x14ac:dyDescent="0.3">
      <c r="A1257" s="1">
        <v>1755</v>
      </c>
      <c r="B1257" s="1">
        <v>4</v>
      </c>
      <c r="C1257" s="1" t="s">
        <v>333</v>
      </c>
      <c r="D1257" s="1" t="s">
        <v>122</v>
      </c>
      <c r="E1257" s="5">
        <v>40262</v>
      </c>
      <c r="F1257" s="1" t="s">
        <v>506</v>
      </c>
      <c r="G1257" s="1" t="str">
        <f>IF(B1257=0,VLOOKUP(A1257,Feuil2!$A$2:$M$1241,11,FALSE)," ")</f>
        <v xml:space="preserve"> </v>
      </c>
      <c r="H1257" s="1" t="s">
        <v>16</v>
      </c>
      <c r="I1257" s="6" t="str">
        <f>IF(B1257=0,VLOOKUP(A1257,Feuil2!$A$2:$M$1241,7,FALSE)," ")</f>
        <v xml:space="preserve"> </v>
      </c>
      <c r="J1257" s="1" t="str">
        <f>IF(B1257=0,VLOOKUP(A1257,Feuil2!$A$2:$M$1241,9,FALSE)," ")</f>
        <v xml:space="preserve"> </v>
      </c>
      <c r="K1257" s="1" t="str">
        <f>IF(B1257=0,VLOOKUP(A1257,Feuil2!$A$2:$M$1241,10,FALSE)," ")</f>
        <v xml:space="preserve"> </v>
      </c>
      <c r="L1257" s="1"/>
      <c r="M1257" s="1"/>
      <c r="N1257" s="1"/>
      <c r="O1257" s="8" t="str">
        <f>IF(B1258=0,VLOOKUP(A1258,Feuil2!$A$2:$M$1241,13,FALSE)," ")</f>
        <v>08050020052000183129</v>
      </c>
    </row>
    <row r="1258" spans="1:15" x14ac:dyDescent="0.3">
      <c r="A1258" s="1">
        <v>1756</v>
      </c>
      <c r="B1258" s="1">
        <v>0</v>
      </c>
      <c r="C1258" s="1" t="str">
        <f>IF(B1258=0,VLOOKUP(A1258,Feuil2!$A$2:$M$1241,2,FALSE)," ")</f>
        <v>SOUA</v>
      </c>
      <c r="D1258" s="1" t="str">
        <f>IF(B1258=0,VLOOKUP(A1258,Feuil2!$A$2:$M$1241,3,FALSE)," ")</f>
        <v>FOUED</v>
      </c>
      <c r="E1258" s="5">
        <f>IF(B1258=0,VLOOKUP(A1258,Feuil2!$A$2:$M$1241,6,FALSE)," ")</f>
        <v>29056</v>
      </c>
      <c r="F1258" s="1" t="str">
        <f>IF(B1258=0,VLOOKUP(A1258,Feuil2!$A$2:$M$1241,12,FALSE)," ")</f>
        <v>H</v>
      </c>
      <c r="G1258" s="1" t="str">
        <f>IF(B1258=0,VLOOKUP(A1258,Feuil2!$A$2:$M$1241,11,FALSE)," ")</f>
        <v>M</v>
      </c>
      <c r="H1258" s="1" t="s">
        <v>16</v>
      </c>
      <c r="I1258" s="6">
        <f>IF(B1258=0,VLOOKUP(A1258,Feuil2!$A$2:$M$1241,7,FALSE)," ")</f>
        <v>5580004</v>
      </c>
      <c r="J1258" s="1" t="str">
        <f>IF(B1258=0,VLOOKUP(A1258,Feuil2!$A$2:$M$1241,9,FALSE)," ")</f>
        <v>29 Rue Essafa</v>
      </c>
      <c r="K1258" s="1" t="str">
        <f>IF(B1258=0,VLOOKUP(A1258,Feuil2!$A$2:$M$1241,10,FALSE)," ")</f>
        <v>Msaken 4070</v>
      </c>
      <c r="L1258" s="1">
        <v>4070</v>
      </c>
      <c r="M1258" s="1">
        <v>97554907</v>
      </c>
      <c r="N1258" s="1"/>
      <c r="O1258" s="8" t="str">
        <f>IF(B1259=0,VLOOKUP(A1259,Feuil2!$A$2:$M$1241,13,FALSE)," ")</f>
        <v xml:space="preserve"> </v>
      </c>
    </row>
    <row r="1259" spans="1:15" x14ac:dyDescent="0.3">
      <c r="A1259" s="1">
        <v>1756</v>
      </c>
      <c r="B1259" s="1">
        <v>1</v>
      </c>
      <c r="C1259" s="1" t="s">
        <v>417</v>
      </c>
      <c r="D1259" s="1" t="s">
        <v>2370</v>
      </c>
      <c r="E1259" s="5">
        <v>32065</v>
      </c>
      <c r="F1259" s="1" t="s">
        <v>17</v>
      </c>
      <c r="G1259" s="1" t="s">
        <v>15</v>
      </c>
      <c r="H1259" s="1" t="s">
        <v>16</v>
      </c>
      <c r="I1259" s="6" t="str">
        <f>IF(B1259=0,VLOOKUP(A1259,Feuil2!$A$2:$M$1241,7,FALSE)," ")</f>
        <v xml:space="preserve"> </v>
      </c>
      <c r="J1259" s="1" t="str">
        <f>IF(B1259=0,VLOOKUP(A1259,Feuil2!$A$2:$M$1241,9,FALSE)," ")</f>
        <v xml:space="preserve"> </v>
      </c>
      <c r="K1259" s="1" t="str">
        <f>IF(B1259=0,VLOOKUP(A1259,Feuil2!$A$2:$M$1241,10,FALSE)," ")</f>
        <v xml:space="preserve"> </v>
      </c>
      <c r="L1259" s="1"/>
      <c r="M1259" s="1"/>
      <c r="N1259" s="1"/>
      <c r="O1259" s="8" t="str">
        <f>IF(B1260=0,VLOOKUP(A1260,Feuil2!$A$2:$M$1241,13,FALSE)," ")</f>
        <v xml:space="preserve"> </v>
      </c>
    </row>
    <row r="1260" spans="1:15" x14ac:dyDescent="0.3">
      <c r="A1260" s="1">
        <v>1756</v>
      </c>
      <c r="B1260" s="1">
        <v>2</v>
      </c>
      <c r="C1260" s="1" t="s">
        <v>324</v>
      </c>
      <c r="D1260" s="1" t="s">
        <v>402</v>
      </c>
      <c r="E1260" s="5">
        <v>38915</v>
      </c>
      <c r="F1260" s="1" t="s">
        <v>17</v>
      </c>
      <c r="G1260" s="1" t="str">
        <f>IF(B1260=0,VLOOKUP(A1260,Feuil2!$A$2:$M$1241,11,FALSE)," ")</f>
        <v xml:space="preserve"> </v>
      </c>
      <c r="H1260" s="1" t="s">
        <v>16</v>
      </c>
      <c r="I1260" s="6" t="str">
        <f>IF(B1260=0,VLOOKUP(A1260,Feuil2!$A$2:$M$1241,7,FALSE)," ")</f>
        <v xml:space="preserve"> </v>
      </c>
      <c r="J1260" s="1" t="str">
        <f>IF(B1260=0,VLOOKUP(A1260,Feuil2!$A$2:$M$1241,9,FALSE)," ")</f>
        <v xml:space="preserve"> </v>
      </c>
      <c r="K1260" s="1" t="str">
        <f>IF(B1260=0,VLOOKUP(A1260,Feuil2!$A$2:$M$1241,10,FALSE)," ")</f>
        <v xml:space="preserve"> </v>
      </c>
      <c r="L1260" s="1"/>
      <c r="M1260" s="1"/>
      <c r="N1260" s="1"/>
      <c r="O1260" s="8" t="str">
        <f>IF(B1261=0,VLOOKUP(A1261,Feuil2!$A$2:$M$1241,13,FALSE)," ")</f>
        <v xml:space="preserve"> </v>
      </c>
    </row>
    <row r="1261" spans="1:15" x14ac:dyDescent="0.3">
      <c r="A1261" s="1">
        <v>1756</v>
      </c>
      <c r="B1261" s="1">
        <v>3</v>
      </c>
      <c r="C1261" s="1" t="s">
        <v>324</v>
      </c>
      <c r="D1261" s="1" t="s">
        <v>1596</v>
      </c>
      <c r="E1261" s="5">
        <v>39912</v>
      </c>
      <c r="F1261" s="1" t="s">
        <v>506</v>
      </c>
      <c r="G1261" s="1" t="str">
        <f>IF(B1261=0,VLOOKUP(A1261,Feuil2!$A$2:$M$1241,11,FALSE)," ")</f>
        <v xml:space="preserve"> </v>
      </c>
      <c r="H1261" s="1" t="s">
        <v>16</v>
      </c>
      <c r="I1261" s="6" t="str">
        <f>IF(B1261=0,VLOOKUP(A1261,Feuil2!$A$2:$M$1241,7,FALSE)," ")</f>
        <v xml:space="preserve"> </v>
      </c>
      <c r="J1261" s="1" t="str">
        <f>IF(B1261=0,VLOOKUP(A1261,Feuil2!$A$2:$M$1241,9,FALSE)," ")</f>
        <v xml:space="preserve"> </v>
      </c>
      <c r="K1261" s="1" t="str">
        <f>IF(B1261=0,VLOOKUP(A1261,Feuil2!$A$2:$M$1241,10,FALSE)," ")</f>
        <v xml:space="preserve"> </v>
      </c>
      <c r="L1261" s="1"/>
      <c r="M1261" s="1"/>
      <c r="N1261" s="1"/>
      <c r="O1261" s="8" t="str">
        <f>IF(B1262=0,VLOOKUP(A1262,Feuil2!$A$2:$M$1241,13,FALSE)," ")</f>
        <v xml:space="preserve"> </v>
      </c>
    </row>
    <row r="1262" spans="1:15" x14ac:dyDescent="0.3">
      <c r="A1262" s="1">
        <v>1756</v>
      </c>
      <c r="B1262" s="1">
        <v>4</v>
      </c>
      <c r="C1262" s="1" t="s">
        <v>324</v>
      </c>
      <c r="D1262" s="1" t="s">
        <v>2627</v>
      </c>
      <c r="E1262" s="5">
        <v>41756</v>
      </c>
      <c r="F1262" s="1" t="s">
        <v>506</v>
      </c>
      <c r="G1262" s="1" t="str">
        <f>IF(B1262=0,VLOOKUP(A1262,Feuil2!$A$2:$M$1241,11,FALSE)," ")</f>
        <v xml:space="preserve"> </v>
      </c>
      <c r="H1262" s="1" t="s">
        <v>16</v>
      </c>
      <c r="I1262" s="6" t="str">
        <f>IF(B1262=0,VLOOKUP(A1262,Feuil2!$A$2:$M$1241,7,FALSE)," ")</f>
        <v xml:space="preserve"> </v>
      </c>
      <c r="J1262" s="1" t="str">
        <f>IF(B1262=0,VLOOKUP(A1262,Feuil2!$A$2:$M$1241,9,FALSE)," ")</f>
        <v xml:space="preserve"> </v>
      </c>
      <c r="K1262" s="1" t="str">
        <f>IF(B1262=0,VLOOKUP(A1262,Feuil2!$A$2:$M$1241,10,FALSE)," ")</f>
        <v xml:space="preserve"> </v>
      </c>
      <c r="L1262" s="1"/>
      <c r="M1262" s="1"/>
      <c r="N1262" s="1"/>
      <c r="O1262" s="8" t="str">
        <f>IF(B1263=0,VLOOKUP(A1263,Feuil2!$A$2:$M$1241,13,FALSE)," ")</f>
        <v>04204067001309440457</v>
      </c>
    </row>
    <row r="1263" spans="1:15" x14ac:dyDescent="0.3">
      <c r="A1263" s="1">
        <v>1757</v>
      </c>
      <c r="B1263" s="1">
        <v>0</v>
      </c>
      <c r="C1263" s="1" t="str">
        <f>IF(B1263=0,VLOOKUP(A1263,Feuil2!$A$2:$M$1241,2,FALSE)," ")</f>
        <v>EL HOTMANI</v>
      </c>
      <c r="D1263" s="1" t="str">
        <f>IF(B1263=0,VLOOKUP(A1263,Feuil2!$A$2:$M$1241,3,FALSE)," ")</f>
        <v>BESSEM</v>
      </c>
      <c r="E1263" s="5">
        <f>IF(B1263=0,VLOOKUP(A1263,Feuil2!$A$2:$M$1241,6,FALSE)," ")</f>
        <v>29449</v>
      </c>
      <c r="F1263" s="1" t="str">
        <f>IF(B1263=0,VLOOKUP(A1263,Feuil2!$A$2:$M$1241,12,FALSE)," ")</f>
        <v>H</v>
      </c>
      <c r="G1263" s="1" t="str">
        <f>IF(B1263=0,VLOOKUP(A1263,Feuil2!$A$2:$M$1241,11,FALSE)," ")</f>
        <v>M</v>
      </c>
      <c r="H1263" s="1" t="s">
        <v>16</v>
      </c>
      <c r="I1263" s="6">
        <f>IF(B1263=0,VLOOKUP(A1263,Feuil2!$A$2:$M$1241,7,FALSE)," ")</f>
        <v>8427531</v>
      </c>
      <c r="J1263" s="1" t="str">
        <f>IF(B1263=0,VLOOKUP(A1263,Feuil2!$A$2:$M$1241,9,FALSE)," ")</f>
        <v>NULL</v>
      </c>
      <c r="K1263" s="1" t="str">
        <f>IF(B1263=0,VLOOKUP(A1263,Feuil2!$A$2:$M$1241,10,FALSE)," ")</f>
        <v>Knaies 4014</v>
      </c>
      <c r="L1263" s="1">
        <v>4014</v>
      </c>
      <c r="M1263" s="1">
        <v>98528998</v>
      </c>
      <c r="N1263" s="1"/>
      <c r="O1263" s="8" t="str">
        <f>IF(B1264=0,VLOOKUP(A1264,Feuil2!$A$2:$M$1241,13,FALSE)," ")</f>
        <v xml:space="preserve"> </v>
      </c>
    </row>
    <row r="1264" spans="1:15" x14ac:dyDescent="0.3">
      <c r="A1264" s="1">
        <v>1757</v>
      </c>
      <c r="B1264" s="1">
        <v>1</v>
      </c>
      <c r="C1264" s="1" t="s">
        <v>2697</v>
      </c>
      <c r="D1264" s="1" t="s">
        <v>2641</v>
      </c>
      <c r="E1264" s="5">
        <v>30947</v>
      </c>
      <c r="F1264" s="1" t="s">
        <v>17</v>
      </c>
      <c r="G1264" s="1" t="s">
        <v>15</v>
      </c>
      <c r="H1264" s="1" t="s">
        <v>16</v>
      </c>
      <c r="I1264" s="6" t="str">
        <f>IF(B1264=0,VLOOKUP(A1264,Feuil2!$A$2:$M$1241,7,FALSE)," ")</f>
        <v xml:space="preserve"> </v>
      </c>
      <c r="J1264" s="1" t="str">
        <f>IF(B1264=0,VLOOKUP(A1264,Feuil2!$A$2:$M$1241,9,FALSE)," ")</f>
        <v xml:space="preserve"> </v>
      </c>
      <c r="K1264" s="1" t="str">
        <f>IF(B1264=0,VLOOKUP(A1264,Feuil2!$A$2:$M$1241,10,FALSE)," ")</f>
        <v xml:space="preserve"> </v>
      </c>
      <c r="L1264" s="1"/>
      <c r="M1264" s="1"/>
      <c r="N1264" s="1"/>
      <c r="O1264" s="8" t="str">
        <f>IF(B1265=0,VLOOKUP(A1265,Feuil2!$A$2:$M$1241,13,FALSE)," ")</f>
        <v xml:space="preserve"> </v>
      </c>
    </row>
    <row r="1265" spans="1:15" x14ac:dyDescent="0.3">
      <c r="A1265" s="1">
        <v>1757</v>
      </c>
      <c r="B1265" s="1">
        <v>2</v>
      </c>
      <c r="C1265" s="1" t="s">
        <v>1604</v>
      </c>
      <c r="D1265" s="1" t="s">
        <v>2696</v>
      </c>
      <c r="E1265" s="5">
        <v>39510</v>
      </c>
      <c r="F1265" s="1" t="s">
        <v>17</v>
      </c>
      <c r="G1265" s="1" t="str">
        <f>IF(B1265=0,VLOOKUP(A1265,Feuil2!$A$2:$M$1241,11,FALSE)," ")</f>
        <v xml:space="preserve"> </v>
      </c>
      <c r="H1265" s="1" t="s">
        <v>16</v>
      </c>
      <c r="I1265" s="6" t="str">
        <f>IF(B1265=0,VLOOKUP(A1265,Feuil2!$A$2:$M$1241,7,FALSE)," ")</f>
        <v xml:space="preserve"> </v>
      </c>
      <c r="J1265" s="1" t="str">
        <f>IF(B1265=0,VLOOKUP(A1265,Feuil2!$A$2:$M$1241,9,FALSE)," ")</f>
        <v xml:space="preserve"> </v>
      </c>
      <c r="K1265" s="1" t="str">
        <f>IF(B1265=0,VLOOKUP(A1265,Feuil2!$A$2:$M$1241,10,FALSE)," ")</f>
        <v xml:space="preserve"> </v>
      </c>
      <c r="L1265" s="1"/>
      <c r="M1265" s="1"/>
      <c r="N1265" s="1"/>
      <c r="O1265" s="8" t="str">
        <f>IF(B1266=0,VLOOKUP(A1266,Feuil2!$A$2:$M$1241,13,FALSE)," ")</f>
        <v xml:space="preserve"> </v>
      </c>
    </row>
    <row r="1266" spans="1:15" x14ac:dyDescent="0.3">
      <c r="A1266" s="1">
        <v>1757</v>
      </c>
      <c r="B1266" s="1">
        <v>3</v>
      </c>
      <c r="C1266" s="1" t="s">
        <v>1604</v>
      </c>
      <c r="D1266" s="1" t="s">
        <v>441</v>
      </c>
      <c r="E1266" s="5">
        <v>39874</v>
      </c>
      <c r="F1266" s="1" t="s">
        <v>506</v>
      </c>
      <c r="G1266" s="1" t="str">
        <f>IF(B1266=0,VLOOKUP(A1266,Feuil2!$A$2:$M$1241,11,FALSE)," ")</f>
        <v xml:space="preserve"> </v>
      </c>
      <c r="H1266" s="1" t="s">
        <v>16</v>
      </c>
      <c r="I1266" s="6" t="str">
        <f>IF(B1266=0,VLOOKUP(A1266,Feuil2!$A$2:$M$1241,7,FALSE)," ")</f>
        <v xml:space="preserve"> </v>
      </c>
      <c r="J1266" s="1" t="str">
        <f>IF(B1266=0,VLOOKUP(A1266,Feuil2!$A$2:$M$1241,9,FALSE)," ")</f>
        <v xml:space="preserve"> </v>
      </c>
      <c r="K1266" s="1" t="str">
        <f>IF(B1266=0,VLOOKUP(A1266,Feuil2!$A$2:$M$1241,10,FALSE)," ")</f>
        <v xml:space="preserve"> </v>
      </c>
      <c r="L1266" s="1"/>
      <c r="M1266" s="1"/>
      <c r="N1266" s="1"/>
      <c r="O1266" s="8" t="str">
        <f>IF(B1267=0,VLOOKUP(A1267,Feuil2!$A$2:$M$1241,13,FALSE)," ")</f>
        <v xml:space="preserve"> </v>
      </c>
    </row>
    <row r="1267" spans="1:15" x14ac:dyDescent="0.3">
      <c r="A1267" s="1">
        <v>1757</v>
      </c>
      <c r="B1267" s="1">
        <v>4</v>
      </c>
      <c r="C1267" s="1" t="s">
        <v>1604</v>
      </c>
      <c r="D1267" s="1" t="s">
        <v>519</v>
      </c>
      <c r="E1267" s="5">
        <v>41386</v>
      </c>
      <c r="F1267" s="1" t="s">
        <v>506</v>
      </c>
      <c r="G1267" s="1" t="str">
        <f>IF(B1267=0,VLOOKUP(A1267,Feuil2!$A$2:$M$1241,11,FALSE)," ")</f>
        <v xml:space="preserve"> </v>
      </c>
      <c r="H1267" s="1" t="s">
        <v>16</v>
      </c>
      <c r="I1267" s="6" t="str">
        <f>IF(B1267=0,VLOOKUP(A1267,Feuil2!$A$2:$M$1241,7,FALSE)," ")</f>
        <v xml:space="preserve"> </v>
      </c>
      <c r="J1267" s="1" t="str">
        <f>IF(B1267=0,VLOOKUP(A1267,Feuil2!$A$2:$M$1241,9,FALSE)," ")</f>
        <v xml:space="preserve"> </v>
      </c>
      <c r="K1267" s="1" t="str">
        <f>IF(B1267=0,VLOOKUP(A1267,Feuil2!$A$2:$M$1241,10,FALSE)," ")</f>
        <v xml:space="preserve"> </v>
      </c>
      <c r="L1267" s="1"/>
      <c r="M1267" s="1"/>
      <c r="N1267" s="1"/>
      <c r="O1267" s="8" t="str">
        <f>IF(B1268=0,VLOOKUP(A1268,Feuil2!$A$2:$M$1241,13,FALSE)," ")</f>
        <v>20009090001147054205</v>
      </c>
    </row>
    <row r="1268" spans="1:15" x14ac:dyDescent="0.3">
      <c r="A1268" s="1">
        <v>1759</v>
      </c>
      <c r="B1268" s="1">
        <v>0</v>
      </c>
      <c r="C1268" s="1" t="str">
        <f>IF(B1268=0,VLOOKUP(A1268,Feuil2!$A$2:$M$1241,2,FALSE)," ")</f>
        <v>HNIA</v>
      </c>
      <c r="D1268" s="1" t="str">
        <f>IF(B1268=0,VLOOKUP(A1268,Feuil2!$A$2:$M$1241,3,FALSE)," ")</f>
        <v>ISSAM</v>
      </c>
      <c r="E1268" s="5">
        <f>IF(B1268=0,VLOOKUP(A1268,Feuil2!$A$2:$M$1241,6,FALSE)," ")</f>
        <v>28309</v>
      </c>
      <c r="F1268" s="1" t="str">
        <f>IF(B1268=0,VLOOKUP(A1268,Feuil2!$A$2:$M$1241,12,FALSE)," ")</f>
        <v>H</v>
      </c>
      <c r="G1268" s="1" t="str">
        <f>IF(B1268=0,VLOOKUP(A1268,Feuil2!$A$2:$M$1241,11,FALSE)," ")</f>
        <v>M</v>
      </c>
      <c r="H1268" s="1" t="s">
        <v>16</v>
      </c>
      <c r="I1268" s="6">
        <f>IF(B1268=0,VLOOKUP(A1268,Feuil2!$A$2:$M$1241,7,FALSE)," ")</f>
        <v>5549561</v>
      </c>
      <c r="J1268" s="1" t="str">
        <f>IF(B1268=0,VLOOKUP(A1268,Feuil2!$A$2:$M$1241,9,FALSE)," ")</f>
        <v>NULL</v>
      </c>
      <c r="K1268" s="1" t="str">
        <f>IF(B1268=0,VLOOKUP(A1268,Feuil2!$A$2:$M$1241,10,FALSE)," ")</f>
        <v>Knaies 4014</v>
      </c>
      <c r="L1268" s="1">
        <v>4014</v>
      </c>
      <c r="M1268" s="1">
        <v>29076096</v>
      </c>
      <c r="N1268" s="1"/>
      <c r="O1268" s="8" t="str">
        <f>IF(B1269=0,VLOOKUP(A1269,Feuil2!$A$2:$M$1241,13,FALSE)," ")</f>
        <v xml:space="preserve"> </v>
      </c>
    </row>
    <row r="1269" spans="1:15" x14ac:dyDescent="0.3">
      <c r="A1269" s="1">
        <v>1759</v>
      </c>
      <c r="B1269" s="1">
        <v>1</v>
      </c>
      <c r="C1269" s="1" t="s">
        <v>283</v>
      </c>
      <c r="D1269" s="1" t="s">
        <v>1787</v>
      </c>
      <c r="E1269" s="5">
        <v>33616</v>
      </c>
      <c r="F1269" s="1" t="s">
        <v>17</v>
      </c>
      <c r="G1269" s="1" t="s">
        <v>15</v>
      </c>
      <c r="H1269" s="1" t="s">
        <v>16</v>
      </c>
      <c r="I1269" s="6" t="str">
        <f>IF(B1269=0,VLOOKUP(A1269,Feuil2!$A$2:$M$1241,7,FALSE)," ")</f>
        <v xml:space="preserve"> </v>
      </c>
      <c r="J1269" s="1" t="str">
        <f>IF(B1269=0,VLOOKUP(A1269,Feuil2!$A$2:$M$1241,9,FALSE)," ")</f>
        <v xml:space="preserve"> </v>
      </c>
      <c r="K1269" s="1" t="str">
        <f>IF(B1269=0,VLOOKUP(A1269,Feuil2!$A$2:$M$1241,10,FALSE)," ")</f>
        <v xml:space="preserve"> </v>
      </c>
      <c r="L1269" s="1"/>
      <c r="M1269" s="1"/>
      <c r="N1269" s="1"/>
      <c r="O1269" s="8" t="str">
        <f>IF(B1270=0,VLOOKUP(A1270,Feuil2!$A$2:$M$1241,13,FALSE)," ")</f>
        <v xml:space="preserve"> </v>
      </c>
    </row>
    <row r="1270" spans="1:15" x14ac:dyDescent="0.3">
      <c r="A1270" s="1">
        <v>1759</v>
      </c>
      <c r="B1270" s="1">
        <v>2</v>
      </c>
      <c r="C1270" s="1" t="s">
        <v>223</v>
      </c>
      <c r="D1270" s="1" t="s">
        <v>2431</v>
      </c>
      <c r="E1270" s="5">
        <v>41971</v>
      </c>
      <c r="F1270" s="1" t="s">
        <v>506</v>
      </c>
      <c r="G1270" s="1" t="str">
        <f>IF(B1270=0,VLOOKUP(A1270,Feuil2!$A$2:$M$1241,11,FALSE)," ")</f>
        <v xml:space="preserve"> </v>
      </c>
      <c r="H1270" s="1" t="s">
        <v>16</v>
      </c>
      <c r="I1270" s="6" t="str">
        <f>IF(B1270=0,VLOOKUP(A1270,Feuil2!$A$2:$M$1241,7,FALSE)," ")</f>
        <v xml:space="preserve"> </v>
      </c>
      <c r="J1270" s="1" t="str">
        <f>IF(B1270=0,VLOOKUP(A1270,Feuil2!$A$2:$M$1241,9,FALSE)," ")</f>
        <v xml:space="preserve"> </v>
      </c>
      <c r="K1270" s="1" t="str">
        <f>IF(B1270=0,VLOOKUP(A1270,Feuil2!$A$2:$M$1241,10,FALSE)," ")</f>
        <v xml:space="preserve"> </v>
      </c>
      <c r="L1270" s="1"/>
      <c r="M1270" s="1"/>
      <c r="N1270" s="1"/>
      <c r="O1270" s="8" t="str">
        <f>IF(B1271=0,VLOOKUP(A1271,Feuil2!$A$2:$M$1241,13,FALSE)," ")</f>
        <v xml:space="preserve"> </v>
      </c>
    </row>
    <row r="1271" spans="1:15" x14ac:dyDescent="0.3">
      <c r="A1271" s="1">
        <v>1759</v>
      </c>
      <c r="B1271" s="1">
        <v>3</v>
      </c>
      <c r="C1271" s="1" t="s">
        <v>223</v>
      </c>
      <c r="D1271" s="1" t="s">
        <v>185</v>
      </c>
      <c r="E1271" s="5">
        <v>42434</v>
      </c>
      <c r="F1271" s="1" t="s">
        <v>506</v>
      </c>
      <c r="G1271" s="1" t="str">
        <f>IF(B1271=0,VLOOKUP(A1271,Feuil2!$A$2:$M$1241,11,FALSE)," ")</f>
        <v xml:space="preserve"> </v>
      </c>
      <c r="H1271" s="1" t="s">
        <v>16</v>
      </c>
      <c r="I1271" s="6" t="str">
        <f>IF(B1271=0,VLOOKUP(A1271,Feuil2!$A$2:$M$1241,7,FALSE)," ")</f>
        <v xml:space="preserve"> </v>
      </c>
      <c r="J1271" s="1" t="str">
        <f>IF(B1271=0,VLOOKUP(A1271,Feuil2!$A$2:$M$1241,9,FALSE)," ")</f>
        <v xml:space="preserve"> </v>
      </c>
      <c r="K1271" s="1" t="str">
        <f>IF(B1271=0,VLOOKUP(A1271,Feuil2!$A$2:$M$1241,10,FALSE)," ")</f>
        <v xml:space="preserve"> </v>
      </c>
      <c r="L1271" s="1"/>
      <c r="M1271" s="1"/>
      <c r="N1271" s="1"/>
      <c r="O1271" s="8" t="str">
        <f>IF(B1272=0,VLOOKUP(A1272,Feuil2!$A$2:$M$1241,13,FALSE)," ")</f>
        <v>08507000262001937538</v>
      </c>
    </row>
    <row r="1272" spans="1:15" x14ac:dyDescent="0.3">
      <c r="A1272" s="1">
        <v>1760</v>
      </c>
      <c r="B1272" s="1">
        <v>0</v>
      </c>
      <c r="C1272" s="1" t="str">
        <f>IF(B1272=0,VLOOKUP(A1272,Feuil2!$A$2:$M$1241,2,FALSE)," ")</f>
        <v>SASSI</v>
      </c>
      <c r="D1272" s="1" t="str">
        <f>IF(B1272=0,VLOOKUP(A1272,Feuil2!$A$2:$M$1241,3,FALSE)," ")</f>
        <v>SAMIR</v>
      </c>
      <c r="E1272" s="5">
        <f>IF(B1272=0,VLOOKUP(A1272,Feuil2!$A$2:$M$1241,6,FALSE)," ")</f>
        <v>28389</v>
      </c>
      <c r="F1272" s="1" t="str">
        <f>IF(B1272=0,VLOOKUP(A1272,Feuil2!$A$2:$M$1241,12,FALSE)," ")</f>
        <v>H</v>
      </c>
      <c r="G1272" s="1" t="str">
        <f>IF(B1272=0,VLOOKUP(A1272,Feuil2!$A$2:$M$1241,11,FALSE)," ")</f>
        <v>M</v>
      </c>
      <c r="H1272" s="1" t="s">
        <v>16</v>
      </c>
      <c r="I1272" s="6">
        <f>IF(B1272=0,VLOOKUP(A1272,Feuil2!$A$2:$M$1241,7,FALSE)," ")</f>
        <v>5571497</v>
      </c>
      <c r="J1272" s="1" t="str">
        <f>IF(B1272=0,VLOOKUP(A1272,Feuil2!$A$2:$M$1241,9,FALSE)," ")</f>
        <v>28 Rue Khaled Ibn El Walid</v>
      </c>
      <c r="K1272" s="1" t="str">
        <f>IF(B1272=0,VLOOKUP(A1272,Feuil2!$A$2:$M$1241,10,FALSE)," ")</f>
        <v>Msaken 4070</v>
      </c>
      <c r="L1272" s="1">
        <v>4070</v>
      </c>
      <c r="M1272" s="1">
        <v>46556372</v>
      </c>
      <c r="N1272" s="1"/>
      <c r="O1272" s="8" t="str">
        <f>IF(B1273=0,VLOOKUP(A1273,Feuil2!$A$2:$M$1241,13,FALSE)," ")</f>
        <v xml:space="preserve"> </v>
      </c>
    </row>
    <row r="1273" spans="1:15" x14ac:dyDescent="0.3">
      <c r="A1273" s="1">
        <v>1760</v>
      </c>
      <c r="B1273" s="1">
        <v>1</v>
      </c>
      <c r="C1273" s="1" t="s">
        <v>2459</v>
      </c>
      <c r="D1273" s="1" t="s">
        <v>2387</v>
      </c>
      <c r="E1273" s="5">
        <v>30199</v>
      </c>
      <c r="F1273" s="1" t="s">
        <v>17</v>
      </c>
      <c r="G1273" s="1" t="s">
        <v>15</v>
      </c>
      <c r="H1273" s="1" t="s">
        <v>16</v>
      </c>
      <c r="I1273" s="6" t="str">
        <f>IF(B1273=0,VLOOKUP(A1273,Feuil2!$A$2:$M$1241,7,FALSE)," ")</f>
        <v xml:space="preserve"> </v>
      </c>
      <c r="J1273" s="1" t="str">
        <f>IF(B1273=0,VLOOKUP(A1273,Feuil2!$A$2:$M$1241,9,FALSE)," ")</f>
        <v xml:space="preserve"> </v>
      </c>
      <c r="K1273" s="1" t="str">
        <f>IF(B1273=0,VLOOKUP(A1273,Feuil2!$A$2:$M$1241,10,FALSE)," ")</f>
        <v xml:space="preserve"> </v>
      </c>
      <c r="L1273" s="1"/>
      <c r="M1273" s="1"/>
      <c r="N1273" s="1"/>
      <c r="O1273" s="8" t="str">
        <f>IF(B1274=0,VLOOKUP(A1274,Feuil2!$A$2:$M$1241,13,FALSE)," ")</f>
        <v xml:space="preserve"> </v>
      </c>
    </row>
    <row r="1274" spans="1:15" x14ac:dyDescent="0.3">
      <c r="A1274" s="1">
        <v>1760</v>
      </c>
      <c r="B1274" s="1">
        <v>2</v>
      </c>
      <c r="C1274" s="1" t="s">
        <v>104</v>
      </c>
      <c r="D1274" s="1" t="s">
        <v>2698</v>
      </c>
      <c r="E1274" s="5">
        <v>39031</v>
      </c>
      <c r="F1274" s="1" t="s">
        <v>506</v>
      </c>
      <c r="G1274" s="1" t="str">
        <f>IF(B1274=0,VLOOKUP(A1274,Feuil2!$A$2:$M$1241,11,FALSE)," ")</f>
        <v xml:space="preserve"> </v>
      </c>
      <c r="H1274" s="1" t="s">
        <v>16</v>
      </c>
      <c r="I1274" s="6" t="str">
        <f>IF(B1274=0,VLOOKUP(A1274,Feuil2!$A$2:$M$1241,7,FALSE)," ")</f>
        <v xml:space="preserve"> </v>
      </c>
      <c r="J1274" s="1" t="str">
        <f>IF(B1274=0,VLOOKUP(A1274,Feuil2!$A$2:$M$1241,9,FALSE)," ")</f>
        <v xml:space="preserve"> </v>
      </c>
      <c r="K1274" s="1" t="str">
        <f>IF(B1274=0,VLOOKUP(A1274,Feuil2!$A$2:$M$1241,10,FALSE)," ")</f>
        <v xml:space="preserve"> </v>
      </c>
      <c r="L1274" s="1"/>
      <c r="M1274" s="1"/>
      <c r="N1274" s="1"/>
      <c r="O1274" s="8" t="str">
        <f>IF(B1275=0,VLOOKUP(A1275,Feuil2!$A$2:$M$1241,13,FALSE)," ")</f>
        <v xml:space="preserve"> </v>
      </c>
    </row>
    <row r="1275" spans="1:15" x14ac:dyDescent="0.3">
      <c r="A1275" s="1">
        <v>1760</v>
      </c>
      <c r="B1275" s="1">
        <v>3</v>
      </c>
      <c r="C1275" s="1" t="s">
        <v>104</v>
      </c>
      <c r="D1275" s="1" t="s">
        <v>2624</v>
      </c>
      <c r="E1275" s="5">
        <v>39422</v>
      </c>
      <c r="F1275" s="1" t="s">
        <v>506</v>
      </c>
      <c r="G1275" s="1" t="str">
        <f>IF(B1275=0,VLOOKUP(A1275,Feuil2!$A$2:$M$1241,11,FALSE)," ")</f>
        <v xml:space="preserve"> </v>
      </c>
      <c r="H1275" s="1" t="s">
        <v>16</v>
      </c>
      <c r="I1275" s="6" t="str">
        <f>IF(B1275=0,VLOOKUP(A1275,Feuil2!$A$2:$M$1241,7,FALSE)," ")</f>
        <v xml:space="preserve"> </v>
      </c>
      <c r="J1275" s="1" t="str">
        <f>IF(B1275=0,VLOOKUP(A1275,Feuil2!$A$2:$M$1241,9,FALSE)," ")</f>
        <v xml:space="preserve"> </v>
      </c>
      <c r="K1275" s="1" t="str">
        <f>IF(B1275=0,VLOOKUP(A1275,Feuil2!$A$2:$M$1241,10,FALSE)," ")</f>
        <v xml:space="preserve"> </v>
      </c>
      <c r="L1275" s="1"/>
      <c r="M1275" s="1"/>
      <c r="N1275" s="1"/>
      <c r="O1275" s="8" t="str">
        <f>IF(B1276=0,VLOOKUP(A1276,Feuil2!$A$2:$M$1241,13,FALSE)," ")</f>
        <v xml:space="preserve"> </v>
      </c>
    </row>
    <row r="1276" spans="1:15" x14ac:dyDescent="0.3">
      <c r="A1276" s="1">
        <v>1760</v>
      </c>
      <c r="B1276" s="1">
        <v>4</v>
      </c>
      <c r="C1276" s="1" t="s">
        <v>104</v>
      </c>
      <c r="D1276" s="1" t="s">
        <v>2699</v>
      </c>
      <c r="E1276" s="5">
        <v>41740</v>
      </c>
      <c r="F1276" s="1" t="s">
        <v>506</v>
      </c>
      <c r="G1276" s="1" t="str">
        <f>IF(B1276=0,VLOOKUP(A1276,Feuil2!$A$2:$M$1241,11,FALSE)," ")</f>
        <v xml:space="preserve"> </v>
      </c>
      <c r="H1276" s="1" t="s">
        <v>16</v>
      </c>
      <c r="I1276" s="6" t="str">
        <f>IF(B1276=0,VLOOKUP(A1276,Feuil2!$A$2:$M$1241,7,FALSE)," ")</f>
        <v xml:space="preserve"> </v>
      </c>
      <c r="J1276" s="1" t="str">
        <f>IF(B1276=0,VLOOKUP(A1276,Feuil2!$A$2:$M$1241,9,FALSE)," ")</f>
        <v xml:space="preserve"> </v>
      </c>
      <c r="K1276" s="1" t="str">
        <f>IF(B1276=0,VLOOKUP(A1276,Feuil2!$A$2:$M$1241,10,FALSE)," ")</f>
        <v xml:space="preserve"> </v>
      </c>
      <c r="L1276" s="1"/>
      <c r="M1276" s="1"/>
      <c r="N1276" s="1"/>
      <c r="O1276" s="8" t="str">
        <f>IF(B1277=0,VLOOKUP(A1277,Feuil2!$A$2:$M$1241,13,FALSE)," ")</f>
        <v>12505000580102676383</v>
      </c>
    </row>
    <row r="1277" spans="1:15" x14ac:dyDescent="0.3">
      <c r="A1277" s="1">
        <v>1761</v>
      </c>
      <c r="B1277" s="1">
        <v>0</v>
      </c>
      <c r="C1277" s="1" t="str">
        <f>IF(B1277=0,VLOOKUP(A1277,Feuil2!$A$2:$M$1241,2,FALSE)," ")</f>
        <v>BEN SALEM</v>
      </c>
      <c r="D1277" s="1" t="str">
        <f>IF(B1277=0,VLOOKUP(A1277,Feuil2!$A$2:$M$1241,3,FALSE)," ")</f>
        <v>KHELIL</v>
      </c>
      <c r="E1277" s="5">
        <f>IF(B1277=0,VLOOKUP(A1277,Feuil2!$A$2:$M$1241,6,FALSE)," ")</f>
        <v>27843</v>
      </c>
      <c r="F1277" s="1" t="str">
        <f>IF(B1277=0,VLOOKUP(A1277,Feuil2!$A$2:$M$1241,12,FALSE)," ")</f>
        <v>H</v>
      </c>
      <c r="G1277" s="1" t="str">
        <f>IF(B1277=0,VLOOKUP(A1277,Feuil2!$A$2:$M$1241,11,FALSE)," ")</f>
        <v>M</v>
      </c>
      <c r="H1277" s="1" t="s">
        <v>16</v>
      </c>
      <c r="I1277" s="6">
        <f>IF(B1277=0,VLOOKUP(A1277,Feuil2!$A$2:$M$1241,7,FALSE)," ")</f>
        <v>5572308</v>
      </c>
      <c r="J1277" s="1" t="str">
        <f>IF(B1277=0,VLOOKUP(A1277,Feuil2!$A$2:$M$1241,9,FALSE)," ")</f>
        <v>NULL</v>
      </c>
      <c r="K1277" s="1" t="str">
        <f>IF(B1277=0,VLOOKUP(A1277,Feuil2!$A$2:$M$1241,10,FALSE)," ")</f>
        <v>Knaies 4014</v>
      </c>
      <c r="L1277" s="1">
        <v>4014</v>
      </c>
      <c r="M1277" s="1">
        <v>25558553</v>
      </c>
      <c r="N1277" s="1"/>
      <c r="O1277" s="8" t="str">
        <f>IF(B1278=0,VLOOKUP(A1278,Feuil2!$A$2:$M$1241,13,FALSE)," ")</f>
        <v xml:space="preserve"> </v>
      </c>
    </row>
    <row r="1278" spans="1:15" x14ac:dyDescent="0.3">
      <c r="A1278" s="1">
        <v>1761</v>
      </c>
      <c r="B1278" s="1">
        <v>1</v>
      </c>
      <c r="C1278" s="1" t="s">
        <v>1826</v>
      </c>
      <c r="D1278" s="1" t="s">
        <v>404</v>
      </c>
      <c r="E1278" s="5" t="str">
        <f>IF(B1278=0,VLOOKUP(A1278,Feuil2!$A$2:$M$1241,6,FALSE)," ")</f>
        <v xml:space="preserve"> </v>
      </c>
      <c r="F1278" s="1" t="s">
        <v>17</v>
      </c>
      <c r="G1278" s="1" t="s">
        <v>15</v>
      </c>
      <c r="H1278" s="1" t="s">
        <v>16</v>
      </c>
      <c r="I1278" s="6" t="str">
        <f>IF(B1278=0,VLOOKUP(A1278,Feuil2!$A$2:$M$1241,7,FALSE)," ")</f>
        <v xml:space="preserve"> </v>
      </c>
      <c r="J1278" s="1" t="str">
        <f>IF(B1278=0,VLOOKUP(A1278,Feuil2!$A$2:$M$1241,9,FALSE)," ")</f>
        <v xml:space="preserve"> </v>
      </c>
      <c r="K1278" s="1" t="str">
        <f>IF(B1278=0,VLOOKUP(A1278,Feuil2!$A$2:$M$1241,10,FALSE)," ")</f>
        <v xml:space="preserve"> </v>
      </c>
      <c r="L1278" s="1"/>
      <c r="M1278" s="1"/>
      <c r="N1278" s="1"/>
      <c r="O1278" s="8" t="str">
        <f>IF(B1279=0,VLOOKUP(A1279,Feuil2!$A$2:$M$1241,13,FALSE)," ")</f>
        <v xml:space="preserve"> </v>
      </c>
    </row>
    <row r="1279" spans="1:15" x14ac:dyDescent="0.3">
      <c r="A1279" s="1">
        <v>1761</v>
      </c>
      <c r="B1279" s="1">
        <v>2</v>
      </c>
      <c r="C1279" s="1" t="s">
        <v>283</v>
      </c>
      <c r="D1279" s="1" t="s">
        <v>2366</v>
      </c>
      <c r="E1279" s="5">
        <v>42092</v>
      </c>
      <c r="F1279" s="1" t="s">
        <v>506</v>
      </c>
      <c r="G1279" s="1" t="str">
        <f>IF(B1279=0,VLOOKUP(A1279,Feuil2!$A$2:$M$1241,11,FALSE)," ")</f>
        <v xml:space="preserve"> </v>
      </c>
      <c r="H1279" s="1" t="s">
        <v>16</v>
      </c>
      <c r="I1279" s="6" t="str">
        <f>IF(B1279=0,VLOOKUP(A1279,Feuil2!$A$2:$M$1241,7,FALSE)," ")</f>
        <v xml:space="preserve"> </v>
      </c>
      <c r="J1279" s="1" t="str">
        <f>IF(B1279=0,VLOOKUP(A1279,Feuil2!$A$2:$M$1241,9,FALSE)," ")</f>
        <v xml:space="preserve"> </v>
      </c>
      <c r="K1279" s="1" t="str">
        <f>IF(B1279=0,VLOOKUP(A1279,Feuil2!$A$2:$M$1241,10,FALSE)," ")</f>
        <v xml:space="preserve"> </v>
      </c>
      <c r="L1279" s="1"/>
      <c r="M1279" s="1"/>
      <c r="N1279" s="1"/>
      <c r="O1279" s="8" t="str">
        <f>IF(B1282=0,VLOOKUP(A1282,Feuil2!$A$2:$M$1241,13,FALSE)," ")</f>
        <v>17503000000104562610</v>
      </c>
    </row>
    <row r="1280" spans="1:15" x14ac:dyDescent="0.3">
      <c r="A1280" s="1">
        <v>1761</v>
      </c>
      <c r="B1280" s="1">
        <v>3</v>
      </c>
      <c r="C1280" s="1" t="s">
        <v>283</v>
      </c>
      <c r="D1280" s="1" t="s">
        <v>2916</v>
      </c>
      <c r="E1280" s="5">
        <v>44178</v>
      </c>
      <c r="F1280" s="1" t="s">
        <v>506</v>
      </c>
      <c r="G1280" s="1"/>
      <c r="H1280" s="1"/>
      <c r="I1280" s="6"/>
      <c r="J1280" s="1"/>
      <c r="K1280" s="1"/>
      <c r="L1280" s="1"/>
      <c r="M1280" s="1"/>
      <c r="N1280" s="1"/>
      <c r="O1280" s="8" t="str">
        <f>IF(B1283=0,VLOOKUP(A1283,Feuil2!$A$2:$M$1241,13,FALSE)," ")</f>
        <v xml:space="preserve"> </v>
      </c>
    </row>
    <row r="1281" spans="1:15" x14ac:dyDescent="0.3">
      <c r="A1281" s="1">
        <v>1761</v>
      </c>
      <c r="B1281" s="1">
        <v>4</v>
      </c>
      <c r="C1281" s="1" t="s">
        <v>283</v>
      </c>
      <c r="D1281" s="1" t="s">
        <v>3009</v>
      </c>
      <c r="E1281" s="5">
        <v>45196</v>
      </c>
      <c r="F1281" s="1" t="s">
        <v>17</v>
      </c>
      <c r="G1281" s="1"/>
      <c r="H1281" s="1"/>
      <c r="I1281" s="6"/>
      <c r="J1281" s="1"/>
      <c r="K1281" s="1"/>
      <c r="L1281" s="1"/>
      <c r="M1281" s="1"/>
      <c r="N1281" s="1"/>
      <c r="O1281" s="8"/>
    </row>
    <row r="1282" spans="1:15" x14ac:dyDescent="0.3">
      <c r="A1282" s="1">
        <v>1764</v>
      </c>
      <c r="B1282" s="1">
        <v>0</v>
      </c>
      <c r="C1282" s="1" t="str">
        <f>IF(B1282=0,VLOOKUP(A1282,Feuil2!$A$2:$M$1241,2,FALSE)," ")</f>
        <v>RBEH</v>
      </c>
      <c r="D1282" s="1" t="str">
        <f>IF(B1282=0,VLOOKUP(A1282,Feuil2!$A$2:$M$1241,3,FALSE)," ")</f>
        <v>MAHMOUD</v>
      </c>
      <c r="E1282" s="5">
        <f>IF(B1282=0,VLOOKUP(A1282,Feuil2!$A$2:$M$1241,6,FALSE)," ")</f>
        <v>25641</v>
      </c>
      <c r="F1282" s="1" t="str">
        <f>IF(B1282=0,VLOOKUP(A1282,Feuil2!$A$2:$M$1241,12,FALSE)," ")</f>
        <v>H</v>
      </c>
      <c r="G1282" s="1" t="str">
        <f>IF(B1282=0,VLOOKUP(A1282,Feuil2!$A$2:$M$1241,11,FALSE)," ")</f>
        <v>M</v>
      </c>
      <c r="H1282" s="1" t="s">
        <v>16</v>
      </c>
      <c r="I1282" s="6">
        <f>IF(B1282=0,VLOOKUP(A1282,Feuil2!$A$2:$M$1241,7,FALSE)," ")</f>
        <v>6107232</v>
      </c>
      <c r="J1282" s="1" t="str">
        <f>IF(B1282=0,VLOOKUP(A1282,Feuil2!$A$2:$M$1241,9,FALSE)," ")</f>
        <v>61 Avenu de la RÃ©publique</v>
      </c>
      <c r="K1282" s="1" t="str">
        <f>IF(B1282=0,VLOOKUP(A1282,Feuil2!$A$2:$M$1241,10,FALSE)," ")</f>
        <v>Msaken 4070</v>
      </c>
      <c r="L1282" s="1">
        <v>4070</v>
      </c>
      <c r="M1282" s="1">
        <v>23873166</v>
      </c>
      <c r="N1282" s="1"/>
      <c r="O1282" s="8" t="str">
        <f>IF(B1284=0,VLOOKUP(A1284,Feuil2!$A$2:$M$1241,13,FALSE)," ")</f>
        <v xml:space="preserve"> </v>
      </c>
    </row>
    <row r="1283" spans="1:15" x14ac:dyDescent="0.3">
      <c r="A1283" s="1">
        <v>1764</v>
      </c>
      <c r="B1283" s="1">
        <v>1</v>
      </c>
      <c r="C1283" s="1" t="s">
        <v>1669</v>
      </c>
      <c r="D1283" s="1" t="s">
        <v>2194</v>
      </c>
      <c r="E1283" s="5">
        <v>28435</v>
      </c>
      <c r="F1283" s="1" t="s">
        <v>17</v>
      </c>
      <c r="G1283" s="1" t="s">
        <v>15</v>
      </c>
      <c r="H1283" s="1" t="s">
        <v>16</v>
      </c>
      <c r="I1283" s="6" t="str">
        <f>IF(B1283=0,VLOOKUP(A1283,Feuil2!$A$2:$M$1241,7,FALSE)," ")</f>
        <v xml:space="preserve"> </v>
      </c>
      <c r="J1283" s="1" t="str">
        <f>IF(B1283=0,VLOOKUP(A1283,Feuil2!$A$2:$M$1241,9,FALSE)," ")</f>
        <v xml:space="preserve"> </v>
      </c>
      <c r="K1283" s="1" t="str">
        <f>IF(B1283=0,VLOOKUP(A1283,Feuil2!$A$2:$M$1241,10,FALSE)," ")</f>
        <v xml:space="preserve"> </v>
      </c>
      <c r="L1283" s="1"/>
      <c r="M1283" s="1"/>
      <c r="N1283" s="1"/>
      <c r="O1283" s="8" t="str">
        <f>IF(B1285=0,VLOOKUP(A1285,Feuil2!$A$2:$M$1241,13,FALSE)," ")</f>
        <v xml:space="preserve"> </v>
      </c>
    </row>
    <row r="1284" spans="1:15" x14ac:dyDescent="0.3">
      <c r="A1284" s="1">
        <v>1764</v>
      </c>
      <c r="B1284" s="1">
        <v>2</v>
      </c>
      <c r="C1284" s="1" t="s">
        <v>1669</v>
      </c>
      <c r="D1284" s="1" t="s">
        <v>110</v>
      </c>
      <c r="E1284" s="5">
        <v>39318</v>
      </c>
      <c r="F1284" s="1" t="s">
        <v>506</v>
      </c>
      <c r="G1284" s="1" t="str">
        <f>IF(B1284=0,VLOOKUP(A1284,Feuil2!$A$2:$M$1241,11,FALSE)," ")</f>
        <v xml:space="preserve"> </v>
      </c>
      <c r="H1284" s="1" t="s">
        <v>16</v>
      </c>
      <c r="I1284" s="6" t="str">
        <f>IF(B1284=0,VLOOKUP(A1284,Feuil2!$A$2:$M$1241,7,FALSE)," ")</f>
        <v xml:space="preserve"> </v>
      </c>
      <c r="J1284" s="1" t="str">
        <f>IF(B1284=0,VLOOKUP(A1284,Feuil2!$A$2:$M$1241,9,FALSE)," ")</f>
        <v xml:space="preserve"> </v>
      </c>
      <c r="K1284" s="1" t="str">
        <f>IF(B1284=0,VLOOKUP(A1284,Feuil2!$A$2:$M$1241,10,FALSE)," ")</f>
        <v xml:space="preserve"> </v>
      </c>
      <c r="L1284" s="1"/>
      <c r="M1284" s="1"/>
      <c r="N1284" s="1"/>
      <c r="O1284" s="8" t="str">
        <f>IF(B1286=0,VLOOKUP(A1286,Feuil2!$A$2:$M$1241,13,FALSE)," ")</f>
        <v>04204067404001012830</v>
      </c>
    </row>
    <row r="1285" spans="1:15" x14ac:dyDescent="0.3">
      <c r="A1285" s="1">
        <v>1764</v>
      </c>
      <c r="B1285" s="1">
        <v>3</v>
      </c>
      <c r="C1285" s="1" t="s">
        <v>1669</v>
      </c>
      <c r="D1285" s="1" t="s">
        <v>98</v>
      </c>
      <c r="E1285" s="5">
        <v>40278</v>
      </c>
      <c r="F1285" s="1" t="s">
        <v>506</v>
      </c>
      <c r="G1285" s="1" t="str">
        <f>IF(B1285=0,VLOOKUP(A1285,Feuil2!$A$2:$M$1241,11,FALSE)," ")</f>
        <v xml:space="preserve"> </v>
      </c>
      <c r="H1285" s="1" t="s">
        <v>16</v>
      </c>
      <c r="I1285" s="6" t="str">
        <f>IF(B1285=0,VLOOKUP(A1285,Feuil2!$A$2:$M$1241,7,FALSE)," ")</f>
        <v xml:space="preserve"> </v>
      </c>
      <c r="J1285" s="1" t="str">
        <f>IF(B1285=0,VLOOKUP(A1285,Feuil2!$A$2:$M$1241,9,FALSE)," ")</f>
        <v xml:space="preserve"> </v>
      </c>
      <c r="K1285" s="1" t="str">
        <f>IF(B1285=0,VLOOKUP(A1285,Feuil2!$A$2:$M$1241,10,FALSE)," ")</f>
        <v xml:space="preserve"> </v>
      </c>
      <c r="L1285" s="1"/>
      <c r="M1285" s="1"/>
      <c r="N1285" s="1"/>
      <c r="O1285" s="8" t="str">
        <f>IF(B1287=0,VLOOKUP(A1287,Feuil2!$A$2:$M$1241,13,FALSE)," ")</f>
        <v xml:space="preserve"> </v>
      </c>
    </row>
    <row r="1286" spans="1:15" x14ac:dyDescent="0.3">
      <c r="A1286" s="1">
        <v>1765</v>
      </c>
      <c r="B1286" s="1">
        <v>0</v>
      </c>
      <c r="C1286" s="1" t="str">
        <f>IF(B1286=0,VLOOKUP(A1286,Feuil2!$A$2:$M$1241,2,FALSE)," ")</f>
        <v>DAHMANI</v>
      </c>
      <c r="D1286" s="1" t="str">
        <f>IF(B1286=0,VLOOKUP(A1286,Feuil2!$A$2:$M$1241,3,FALSE)," ")</f>
        <v>SALAH</v>
      </c>
      <c r="E1286" s="5">
        <f>IF(B1286=0,VLOOKUP(A1286,Feuil2!$A$2:$M$1241,6,FALSE)," ")</f>
        <v>23792</v>
      </c>
      <c r="F1286" s="1" t="str">
        <f>IF(B1286=0,VLOOKUP(A1286,Feuil2!$A$2:$M$1241,12,FALSE)," ")</f>
        <v>H</v>
      </c>
      <c r="G1286" s="1" t="str">
        <f>IF(B1286=0,VLOOKUP(A1286,Feuil2!$A$2:$M$1241,11,FALSE)," ")</f>
        <v>M</v>
      </c>
      <c r="H1286" s="1" t="s">
        <v>16</v>
      </c>
      <c r="I1286" s="6">
        <f>IF(B1286=0,VLOOKUP(A1286,Feuil2!$A$2:$M$1241,7,FALSE)," ")</f>
        <v>2963893</v>
      </c>
      <c r="J1286" s="1" t="str">
        <f>IF(B1286=0,VLOOKUP(A1286,Feuil2!$A$2:$M$1241,9,FALSE)," ")</f>
        <v>23 Rue Dahmani Bougi</v>
      </c>
      <c r="K1286" s="1" t="str">
        <f>IF(B1286=0,VLOOKUP(A1286,Feuil2!$A$2:$M$1241,10,FALSE)," ")</f>
        <v>Msaken 4070</v>
      </c>
      <c r="L1286" s="1">
        <v>4070</v>
      </c>
      <c r="M1286" s="1">
        <v>98783256</v>
      </c>
      <c r="N1286" s="1"/>
      <c r="O1286" s="8" t="str">
        <f>IF(B1288=0,VLOOKUP(A1288,Feuil2!$A$2:$M$1241,13,FALSE)," ")</f>
        <v xml:space="preserve"> </v>
      </c>
    </row>
    <row r="1287" spans="1:15" x14ac:dyDescent="0.3">
      <c r="A1287" s="1">
        <v>1765</v>
      </c>
      <c r="B1287" s="1">
        <v>1</v>
      </c>
      <c r="C1287" s="1" t="s">
        <v>462</v>
      </c>
      <c r="D1287" s="1" t="s">
        <v>413</v>
      </c>
      <c r="E1287" s="5">
        <v>27900</v>
      </c>
      <c r="F1287" s="1" t="s">
        <v>17</v>
      </c>
      <c r="G1287" s="1" t="s">
        <v>15</v>
      </c>
      <c r="H1287" s="1" t="s">
        <v>16</v>
      </c>
      <c r="I1287" s="6" t="str">
        <f>IF(B1287=0,VLOOKUP(A1287,Feuil2!$A$2:$M$1241,7,FALSE)," ")</f>
        <v xml:space="preserve"> </v>
      </c>
      <c r="J1287" s="1" t="str">
        <f>IF(B1287=0,VLOOKUP(A1287,Feuil2!$A$2:$M$1241,9,FALSE)," ")</f>
        <v xml:space="preserve"> </v>
      </c>
      <c r="K1287" s="1" t="str">
        <f>IF(B1287=0,VLOOKUP(A1287,Feuil2!$A$2:$M$1241,10,FALSE)," ")</f>
        <v xml:space="preserve"> </v>
      </c>
      <c r="L1287" s="1"/>
      <c r="M1287" s="1"/>
      <c r="N1287" s="1"/>
      <c r="O1287" s="8" t="str">
        <f>IF(B1289=0,VLOOKUP(A1289,Feuil2!$A$2:$M$1241,13,FALSE)," ")</f>
        <v xml:space="preserve"> </v>
      </c>
    </row>
    <row r="1288" spans="1:15" x14ac:dyDescent="0.3">
      <c r="A1288" s="1">
        <v>1765</v>
      </c>
      <c r="B1288" s="1">
        <v>2</v>
      </c>
      <c r="C1288" s="1" t="s">
        <v>46</v>
      </c>
      <c r="D1288" s="1" t="s">
        <v>384</v>
      </c>
      <c r="E1288" s="5">
        <v>38019</v>
      </c>
      <c r="F1288" s="1" t="s">
        <v>506</v>
      </c>
      <c r="G1288" s="1" t="str">
        <f>IF(B1288=0,VLOOKUP(A1288,Feuil2!$A$2:$M$1241,11,FALSE)," ")</f>
        <v xml:space="preserve"> </v>
      </c>
      <c r="H1288" s="1" t="s">
        <v>16</v>
      </c>
      <c r="I1288" s="6" t="str">
        <f>IF(B1288=0,VLOOKUP(A1288,Feuil2!$A$2:$M$1241,7,FALSE)," ")</f>
        <v xml:space="preserve"> </v>
      </c>
      <c r="J1288" s="1" t="str">
        <f>IF(B1288=0,VLOOKUP(A1288,Feuil2!$A$2:$M$1241,9,FALSE)," ")</f>
        <v xml:space="preserve"> </v>
      </c>
      <c r="K1288" s="1" t="str">
        <f>IF(B1288=0,VLOOKUP(A1288,Feuil2!$A$2:$M$1241,10,FALSE)," ")</f>
        <v xml:space="preserve"> </v>
      </c>
      <c r="L1288" s="1"/>
      <c r="M1288" s="1"/>
      <c r="N1288" s="1"/>
      <c r="O1288" s="8" t="str">
        <f>IF(B1290=0,VLOOKUP(A1290,Feuil2!$A$2:$M$1241,13,FALSE)," ")</f>
        <v xml:space="preserve"> </v>
      </c>
    </row>
    <row r="1289" spans="1:15" x14ac:dyDescent="0.3">
      <c r="A1289" s="1">
        <v>1765</v>
      </c>
      <c r="B1289" s="1">
        <v>3</v>
      </c>
      <c r="C1289" s="1" t="s">
        <v>46</v>
      </c>
      <c r="D1289" s="1" t="s">
        <v>2696</v>
      </c>
      <c r="E1289" s="5">
        <v>39279</v>
      </c>
      <c r="F1289" s="1" t="s">
        <v>17</v>
      </c>
      <c r="G1289" s="1" t="str">
        <f>IF(B1289=0,VLOOKUP(A1289,Feuil2!$A$2:$M$1241,11,FALSE)," ")</f>
        <v xml:space="preserve"> </v>
      </c>
      <c r="H1289" s="1" t="s">
        <v>16</v>
      </c>
      <c r="I1289" s="6" t="str">
        <f>IF(B1289=0,VLOOKUP(A1289,Feuil2!$A$2:$M$1241,7,FALSE)," ")</f>
        <v xml:space="preserve"> </v>
      </c>
      <c r="J1289" s="1" t="str">
        <f>IF(B1289=0,VLOOKUP(A1289,Feuil2!$A$2:$M$1241,9,FALSE)," ")</f>
        <v xml:space="preserve"> </v>
      </c>
      <c r="K1289" s="1" t="str">
        <f>IF(B1289=0,VLOOKUP(A1289,Feuil2!$A$2:$M$1241,10,FALSE)," ")</f>
        <v xml:space="preserve"> </v>
      </c>
      <c r="L1289" s="1"/>
      <c r="M1289" s="1"/>
      <c r="N1289" s="1"/>
      <c r="O1289" s="8" t="str">
        <f>IF(B1291=0,VLOOKUP(A1291,Feuil2!$A$2:$M$1241,13,FALSE)," ")</f>
        <v>10506040518515178824</v>
      </c>
    </row>
    <row r="1290" spans="1:15" x14ac:dyDescent="0.3">
      <c r="A1290" s="1">
        <v>1765</v>
      </c>
      <c r="B1290" s="1">
        <v>4</v>
      </c>
      <c r="C1290" s="1" t="s">
        <v>46</v>
      </c>
      <c r="D1290" s="1" t="s">
        <v>2521</v>
      </c>
      <c r="E1290" s="5">
        <v>40213</v>
      </c>
      <c r="F1290" s="1" t="s">
        <v>506</v>
      </c>
      <c r="G1290" s="1" t="str">
        <f>IF(B1290=0,VLOOKUP(A1290,Feuil2!$A$2:$M$1241,11,FALSE)," ")</f>
        <v xml:space="preserve"> </v>
      </c>
      <c r="H1290" s="1" t="s">
        <v>16</v>
      </c>
      <c r="I1290" s="6" t="str">
        <f>IF(B1290=0,VLOOKUP(A1290,Feuil2!$A$2:$M$1241,7,FALSE)," ")</f>
        <v xml:space="preserve"> </v>
      </c>
      <c r="J1290" s="1" t="str">
        <f>IF(B1290=0,VLOOKUP(A1290,Feuil2!$A$2:$M$1241,9,FALSE)," ")</f>
        <v xml:space="preserve"> </v>
      </c>
      <c r="K1290" s="1" t="str">
        <f>IF(B1290=0,VLOOKUP(A1290,Feuil2!$A$2:$M$1241,10,FALSE)," ")</f>
        <v xml:space="preserve"> </v>
      </c>
      <c r="L1290" s="1"/>
      <c r="M1290" s="1"/>
      <c r="N1290" s="1"/>
      <c r="O1290" s="8" t="str">
        <f>IF(B1292=0,VLOOKUP(A1292,Feuil2!$A$2:$M$1241,13,FALSE)," ")</f>
        <v xml:space="preserve"> </v>
      </c>
    </row>
    <row r="1291" spans="1:15" x14ac:dyDescent="0.3">
      <c r="A1291" s="1">
        <v>1767</v>
      </c>
      <c r="B1291" s="1">
        <v>0</v>
      </c>
      <c r="C1291" s="1" t="str">
        <f>IF(B1291=0,VLOOKUP(A1291,Feuil2!$A$2:$M$1241,2,FALSE)," ")</f>
        <v>B.H.SGHAIER</v>
      </c>
      <c r="D1291" s="1" t="str">
        <f>IF(B1291=0,VLOOKUP(A1291,Feuil2!$A$2:$M$1241,3,FALSE)," ")</f>
        <v>NAOUFEL</v>
      </c>
      <c r="E1291" s="5">
        <f>IF(B1291=0,VLOOKUP(A1291,Feuil2!$A$2:$M$1241,6,FALSE)," ")</f>
        <v>29103</v>
      </c>
      <c r="F1291" s="1" t="str">
        <f>IF(B1291=0,VLOOKUP(A1291,Feuil2!$A$2:$M$1241,12,FALSE)," ")</f>
        <v>H</v>
      </c>
      <c r="G1291" s="1" t="str">
        <f>IF(B1291=0,VLOOKUP(A1291,Feuil2!$A$2:$M$1241,11,FALSE)," ")</f>
        <v>M</v>
      </c>
      <c r="H1291" s="1" t="s">
        <v>16</v>
      </c>
      <c r="I1291" s="6">
        <f>IF(B1291=0,VLOOKUP(A1291,Feuil2!$A$2:$M$1241,7,FALSE)," ")</f>
        <v>5581140</v>
      </c>
      <c r="J1291" s="1" t="str">
        <f>IF(B1291=0,VLOOKUP(A1291,Feuil2!$A$2:$M$1241,9,FALSE)," ")</f>
        <v>4 Rue Ezzouhour</v>
      </c>
      <c r="K1291" s="1" t="str">
        <f>IF(B1291=0,VLOOKUP(A1291,Feuil2!$A$2:$M$1241,10,FALSE)," ")</f>
        <v>Msaken 4070</v>
      </c>
      <c r="L1291" s="1">
        <v>4070</v>
      </c>
      <c r="M1291" s="1">
        <v>98481069</v>
      </c>
      <c r="N1291" s="1"/>
      <c r="O1291" s="8" t="str">
        <f>IF(B1293=0,VLOOKUP(A1293,Feuil2!$A$2:$M$1241,13,FALSE)," ")</f>
        <v xml:space="preserve"> </v>
      </c>
    </row>
    <row r="1292" spans="1:15" x14ac:dyDescent="0.3">
      <c r="A1292" s="1">
        <v>1767</v>
      </c>
      <c r="B1292" s="1">
        <v>1</v>
      </c>
      <c r="C1292" s="1" t="s">
        <v>103</v>
      </c>
      <c r="D1292" s="1" t="s">
        <v>2666</v>
      </c>
      <c r="E1292" s="5">
        <v>31404</v>
      </c>
      <c r="F1292" s="1" t="s">
        <v>17</v>
      </c>
      <c r="G1292" s="1" t="s">
        <v>15</v>
      </c>
      <c r="H1292" s="1" t="s">
        <v>16</v>
      </c>
      <c r="I1292" s="6" t="str">
        <f>IF(B1292=0,VLOOKUP(A1292,Feuil2!$A$2:$M$1241,7,FALSE)," ")</f>
        <v xml:space="preserve"> </v>
      </c>
      <c r="J1292" s="1" t="str">
        <f>IF(B1292=0,VLOOKUP(A1292,Feuil2!$A$2:$M$1241,9,FALSE)," ")</f>
        <v xml:space="preserve"> </v>
      </c>
      <c r="K1292" s="1" t="str">
        <f>IF(B1292=0,VLOOKUP(A1292,Feuil2!$A$2:$M$1241,10,FALSE)," ")</f>
        <v xml:space="preserve"> </v>
      </c>
      <c r="L1292" s="1"/>
      <c r="M1292" s="1"/>
      <c r="N1292" s="1"/>
      <c r="O1292" s="8" t="str">
        <f>IF(B1294=0,VLOOKUP(A1294,Feuil2!$A$2:$M$1241,13,FALSE)," ")</f>
        <v xml:space="preserve"> </v>
      </c>
    </row>
    <row r="1293" spans="1:15" x14ac:dyDescent="0.3">
      <c r="A1293" s="1">
        <v>1767</v>
      </c>
      <c r="B1293" s="1">
        <v>2</v>
      </c>
      <c r="C1293" s="1" t="s">
        <v>1674</v>
      </c>
      <c r="D1293" s="1" t="s">
        <v>2377</v>
      </c>
      <c r="E1293" s="5">
        <v>38390</v>
      </c>
      <c r="F1293" s="1" t="s">
        <v>17</v>
      </c>
      <c r="G1293" s="1" t="str">
        <f>IF(B1293=0,VLOOKUP(A1293,Feuil2!$A$2:$M$1241,11,FALSE)," ")</f>
        <v xml:space="preserve"> </v>
      </c>
      <c r="H1293" s="1" t="s">
        <v>16</v>
      </c>
      <c r="I1293" s="6" t="str">
        <f>IF(B1293=0,VLOOKUP(A1293,Feuil2!$A$2:$M$1241,7,FALSE)," ")</f>
        <v xml:space="preserve"> </v>
      </c>
      <c r="J1293" s="1" t="str">
        <f>IF(B1293=0,VLOOKUP(A1293,Feuil2!$A$2:$M$1241,9,FALSE)," ")</f>
        <v xml:space="preserve"> </v>
      </c>
      <c r="K1293" s="1" t="str">
        <f>IF(B1293=0,VLOOKUP(A1293,Feuil2!$A$2:$M$1241,10,FALSE)," ")</f>
        <v xml:space="preserve"> </v>
      </c>
      <c r="L1293" s="1"/>
      <c r="M1293" s="1"/>
      <c r="N1293" s="1"/>
      <c r="O1293" s="8" t="str">
        <f>IF(B1295=0,VLOOKUP(A1295,Feuil2!$A$2:$M$1241,13,FALSE)," ")</f>
        <v xml:space="preserve"> </v>
      </c>
    </row>
    <row r="1294" spans="1:15" x14ac:dyDescent="0.3">
      <c r="A1294" s="1">
        <v>1767</v>
      </c>
      <c r="B1294" s="1">
        <v>3</v>
      </c>
      <c r="C1294" s="1" t="s">
        <v>1674</v>
      </c>
      <c r="D1294" s="1" t="s">
        <v>2624</v>
      </c>
      <c r="E1294" s="5">
        <v>39104</v>
      </c>
      <c r="F1294" s="1" t="s">
        <v>506</v>
      </c>
      <c r="G1294" s="1" t="str">
        <f>IF(B1294=0,VLOOKUP(A1294,Feuil2!$A$2:$M$1241,11,FALSE)," ")</f>
        <v xml:space="preserve"> </v>
      </c>
      <c r="H1294" s="1" t="s">
        <v>16</v>
      </c>
      <c r="I1294" s="6" t="str">
        <f>IF(B1294=0,VLOOKUP(A1294,Feuil2!$A$2:$M$1241,7,FALSE)," ")</f>
        <v xml:space="preserve"> </v>
      </c>
      <c r="J1294" s="1" t="str">
        <f>IF(B1294=0,VLOOKUP(A1294,Feuil2!$A$2:$M$1241,9,FALSE)," ")</f>
        <v xml:space="preserve"> </v>
      </c>
      <c r="K1294" s="1" t="str">
        <f>IF(B1294=0,VLOOKUP(A1294,Feuil2!$A$2:$M$1241,10,FALSE)," ")</f>
        <v xml:space="preserve"> </v>
      </c>
      <c r="L1294" s="1"/>
      <c r="M1294" s="1"/>
      <c r="N1294" s="1"/>
      <c r="O1294" s="8" t="str">
        <f>IF(B1297=0,VLOOKUP(A1297,Feuil2!$A$2:$M$1241,13,FALSE)," ")</f>
        <v>12015000000223791516</v>
      </c>
    </row>
    <row r="1295" spans="1:15" x14ac:dyDescent="0.3">
      <c r="A1295" s="1">
        <v>1767</v>
      </c>
      <c r="B1295" s="1">
        <v>4</v>
      </c>
      <c r="C1295" s="1" t="s">
        <v>1674</v>
      </c>
      <c r="D1295" s="1" t="s">
        <v>2572</v>
      </c>
      <c r="E1295" s="5">
        <v>41314</v>
      </c>
      <c r="F1295" s="1" t="s">
        <v>506</v>
      </c>
      <c r="G1295" s="1" t="str">
        <f>IF(B1295=0,VLOOKUP(A1295,Feuil2!$A$2:$M$1241,11,FALSE)," ")</f>
        <v xml:space="preserve"> </v>
      </c>
      <c r="H1295" s="1" t="s">
        <v>16</v>
      </c>
      <c r="I1295" s="6" t="str">
        <f>IF(B1295=0,VLOOKUP(A1295,Feuil2!$A$2:$M$1241,7,FALSE)," ")</f>
        <v xml:space="preserve"> </v>
      </c>
      <c r="J1295" s="1" t="str">
        <f>IF(B1295=0,VLOOKUP(A1295,Feuil2!$A$2:$M$1241,9,FALSE)," ")</f>
        <v xml:space="preserve"> </v>
      </c>
      <c r="K1295" s="1" t="str">
        <f>IF(B1295=0,VLOOKUP(A1295,Feuil2!$A$2:$M$1241,10,FALSE)," ")</f>
        <v xml:space="preserve"> </v>
      </c>
      <c r="L1295" s="1"/>
      <c r="M1295" s="1"/>
      <c r="N1295" s="1"/>
      <c r="O1295" s="8" t="str">
        <f>IF(B1298=0,VLOOKUP(A1298,Feuil2!$A$2:$M$1241,13,FALSE)," ")</f>
        <v xml:space="preserve"> </v>
      </c>
    </row>
    <row r="1296" spans="1:15" x14ac:dyDescent="0.3">
      <c r="A1296" s="1">
        <v>1767</v>
      </c>
      <c r="B1296" s="1">
        <v>5</v>
      </c>
      <c r="C1296" s="1" t="s">
        <v>1674</v>
      </c>
      <c r="D1296" s="1" t="s">
        <v>3230</v>
      </c>
      <c r="E1296" s="5">
        <v>45981</v>
      </c>
      <c r="F1296" s="1" t="s">
        <v>506</v>
      </c>
      <c r="G1296" s="1"/>
      <c r="H1296" s="1"/>
      <c r="I1296" s="6"/>
      <c r="J1296" s="1"/>
      <c r="K1296" s="1"/>
      <c r="L1296" s="1"/>
      <c r="M1296" s="1"/>
      <c r="N1296" s="1"/>
      <c r="O1296" s="8"/>
    </row>
    <row r="1297" spans="1:15" x14ac:dyDescent="0.3">
      <c r="A1297" s="1">
        <v>1768</v>
      </c>
      <c r="B1297" s="1">
        <v>0</v>
      </c>
      <c r="C1297" s="1" t="str">
        <f>IF(B1297=0,VLOOKUP(A1297,Feuil2!$A$2:$M$1241,2,FALSE)," ")</f>
        <v>LADJIMI</v>
      </c>
      <c r="D1297" s="1" t="str">
        <f>IF(B1297=0,VLOOKUP(A1297,Feuil2!$A$2:$M$1241,3,FALSE)," ")</f>
        <v>MAHER</v>
      </c>
      <c r="E1297" s="5">
        <f>IF(B1297=0,VLOOKUP(A1297,Feuil2!$A$2:$M$1241,6,FALSE)," ")</f>
        <v>26698</v>
      </c>
      <c r="F1297" s="1" t="str">
        <f>IF(B1297=0,VLOOKUP(A1297,Feuil2!$A$2:$M$1241,12,FALSE)," ")</f>
        <v>H</v>
      </c>
      <c r="G1297" s="1" t="str">
        <f>IF(B1297=0,VLOOKUP(A1297,Feuil2!$A$2:$M$1241,11,FALSE)," ")</f>
        <v>M</v>
      </c>
      <c r="H1297" s="1" t="s">
        <v>16</v>
      </c>
      <c r="I1297" s="6">
        <f>IF(B1297=0,VLOOKUP(A1297,Feuil2!$A$2:$M$1241,7,FALSE)," ")</f>
        <v>5539321</v>
      </c>
      <c r="J1297" s="1" t="str">
        <f>IF(B1297=0,VLOOKUP(A1297,Feuil2!$A$2:$M$1241,9,FALSE)," ")</f>
        <v>8 Rue KÃ¢ab Ibn Zoubaier</v>
      </c>
      <c r="K1297" s="1" t="str">
        <f>IF(B1297=0,VLOOKUP(A1297,Feuil2!$A$2:$M$1241,10,FALSE)," ")</f>
        <v>Sousse</v>
      </c>
      <c r="L1297" s="1"/>
      <c r="M1297" s="1">
        <v>98961176</v>
      </c>
      <c r="N1297" s="1"/>
      <c r="O1297" s="8" t="str">
        <f>IF(B1299=0,VLOOKUP(A1299,Feuil2!$A$2:$M$1241,13,FALSE)," ")</f>
        <v xml:space="preserve"> </v>
      </c>
    </row>
    <row r="1298" spans="1:15" x14ac:dyDescent="0.3">
      <c r="A1298" s="1">
        <v>1768</v>
      </c>
      <c r="B1298" s="1">
        <v>1</v>
      </c>
      <c r="C1298" s="1" t="s">
        <v>2700</v>
      </c>
      <c r="D1298" s="1" t="s">
        <v>413</v>
      </c>
      <c r="E1298" s="5">
        <v>27852</v>
      </c>
      <c r="F1298" s="1" t="s">
        <v>17</v>
      </c>
      <c r="G1298" s="1" t="s">
        <v>15</v>
      </c>
      <c r="H1298" s="1" t="s">
        <v>16</v>
      </c>
      <c r="I1298" s="6" t="str">
        <f>IF(B1298=0,VLOOKUP(A1298,Feuil2!$A$2:$M$1241,7,FALSE)," ")</f>
        <v xml:space="preserve"> </v>
      </c>
      <c r="J1298" s="1" t="str">
        <f>IF(B1298=0,VLOOKUP(A1298,Feuil2!$A$2:$M$1241,9,FALSE)," ")</f>
        <v xml:space="preserve"> </v>
      </c>
      <c r="K1298" s="1" t="str">
        <f>IF(B1298=0,VLOOKUP(A1298,Feuil2!$A$2:$M$1241,10,FALSE)," ")</f>
        <v xml:space="preserve"> </v>
      </c>
      <c r="L1298" s="1"/>
      <c r="M1298" s="1"/>
      <c r="N1298" s="1"/>
      <c r="O1298" s="8" t="str">
        <f>IF(B1300=0,VLOOKUP(A1300,Feuil2!$A$2:$M$1241,13,FALSE)," ")</f>
        <v xml:space="preserve"> </v>
      </c>
    </row>
    <row r="1299" spans="1:15" x14ac:dyDescent="0.3">
      <c r="A1299" s="1">
        <v>1768</v>
      </c>
      <c r="B1299" s="1">
        <v>2</v>
      </c>
      <c r="C1299" s="1" t="s">
        <v>325</v>
      </c>
      <c r="D1299" s="1" t="s">
        <v>2579</v>
      </c>
      <c r="E1299" s="5">
        <v>38994</v>
      </c>
      <c r="F1299" s="1" t="s">
        <v>17</v>
      </c>
      <c r="G1299" s="1" t="str">
        <f>IF(B1299=0,VLOOKUP(A1299,Feuil2!$A$2:$M$1241,11,FALSE)," ")</f>
        <v xml:space="preserve"> </v>
      </c>
      <c r="H1299" s="1" t="s">
        <v>16</v>
      </c>
      <c r="I1299" s="6" t="str">
        <f>IF(B1299=0,VLOOKUP(A1299,Feuil2!$A$2:$M$1241,7,FALSE)," ")</f>
        <v xml:space="preserve"> </v>
      </c>
      <c r="J1299" s="1" t="str">
        <f>IF(B1299=0,VLOOKUP(A1299,Feuil2!$A$2:$M$1241,9,FALSE)," ")</f>
        <v xml:space="preserve"> </v>
      </c>
      <c r="K1299" s="1" t="str">
        <f>IF(B1299=0,VLOOKUP(A1299,Feuil2!$A$2:$M$1241,10,FALSE)," ")</f>
        <v xml:space="preserve"> </v>
      </c>
      <c r="L1299" s="1"/>
      <c r="M1299" s="1"/>
      <c r="N1299" s="1"/>
      <c r="O1299" s="8" t="str">
        <f>IF(B1301=0,VLOOKUP(A1301,Feuil2!$A$2:$M$1241,13,FALSE)," ")</f>
        <v>12064000000226942490</v>
      </c>
    </row>
    <row r="1300" spans="1:15" x14ac:dyDescent="0.3">
      <c r="A1300" s="1">
        <v>1768</v>
      </c>
      <c r="B1300" s="1">
        <v>3</v>
      </c>
      <c r="C1300" s="1" t="s">
        <v>325</v>
      </c>
      <c r="D1300" s="1" t="s">
        <v>2435</v>
      </c>
      <c r="E1300" s="5">
        <v>41241</v>
      </c>
      <c r="F1300" s="1" t="s">
        <v>17</v>
      </c>
      <c r="G1300" s="1" t="str">
        <f>IF(B1300=0,VLOOKUP(A1300,Feuil2!$A$2:$M$1241,11,FALSE)," ")</f>
        <v xml:space="preserve"> </v>
      </c>
      <c r="H1300" s="1" t="s">
        <v>16</v>
      </c>
      <c r="I1300" s="6" t="str">
        <f>IF(B1300=0,VLOOKUP(A1300,Feuil2!$A$2:$M$1241,7,FALSE)," ")</f>
        <v xml:space="preserve"> </v>
      </c>
      <c r="J1300" s="1" t="str">
        <f>IF(B1300=0,VLOOKUP(A1300,Feuil2!$A$2:$M$1241,9,FALSE)," ")</f>
        <v xml:space="preserve"> </v>
      </c>
      <c r="K1300" s="1" t="str">
        <f>IF(B1300=0,VLOOKUP(A1300,Feuil2!$A$2:$M$1241,10,FALSE)," ")</f>
        <v xml:space="preserve"> </v>
      </c>
      <c r="L1300" s="1"/>
      <c r="M1300" s="1"/>
      <c r="N1300" s="1"/>
      <c r="O1300" s="8" t="str">
        <f>IF(B1302=0,VLOOKUP(A1302,Feuil2!$A$2:$M$1241,13,FALSE)," ")</f>
        <v>12505000580104409579</v>
      </c>
    </row>
    <row r="1301" spans="1:15" x14ac:dyDescent="0.3">
      <c r="A1301" s="1">
        <v>1771</v>
      </c>
      <c r="B1301" s="1">
        <v>0</v>
      </c>
      <c r="C1301" s="1" t="str">
        <f>IF(B1301=0,VLOOKUP(A1301,Feuil2!$A$2:$M$1241,2,FALSE)," ")</f>
        <v>ATTIA</v>
      </c>
      <c r="D1301" s="1" t="str">
        <f>IF(B1301=0,VLOOKUP(A1301,Feuil2!$A$2:$M$1241,3,FALSE)," ")</f>
        <v>KARIM</v>
      </c>
      <c r="E1301" s="5">
        <f>IF(B1301=0,VLOOKUP(A1301,Feuil2!$A$2:$M$1241,6,FALSE)," ")</f>
        <v>28432</v>
      </c>
      <c r="F1301" s="1" t="str">
        <f>IF(B1301=0,VLOOKUP(A1301,Feuil2!$A$2:$M$1241,12,FALSE)," ")</f>
        <v>H</v>
      </c>
      <c r="G1301" s="1" t="str">
        <f>IF(B1301=0,VLOOKUP(A1301,Feuil2!$A$2:$M$1241,11,FALSE)," ")</f>
        <v>C</v>
      </c>
      <c r="H1301" s="1" t="s">
        <v>16</v>
      </c>
      <c r="I1301" s="6">
        <f>IF(B1301=0,VLOOKUP(A1301,Feuil2!$A$2:$M$1241,7,FALSE)," ")</f>
        <v>8431130</v>
      </c>
      <c r="J1301" s="1" t="str">
        <f>IF(B1301=0,VLOOKUP(A1301,Feuil2!$A$2:$M$1241,9,FALSE)," ")</f>
        <v>34, Rue Essafa</v>
      </c>
      <c r="K1301" s="1" t="str">
        <f>IF(B1301=0,VLOOKUP(A1301,Feuil2!$A$2:$M$1241,10,FALSE)," ")</f>
        <v>Msaken 4070</v>
      </c>
      <c r="L1301" s="1">
        <v>4070</v>
      </c>
      <c r="M1301" s="1">
        <v>28393032</v>
      </c>
      <c r="N1301" s="1"/>
      <c r="O1301" s="8" t="str">
        <f>IF(B1303=0,VLOOKUP(A1303,Feuil2!$A$2:$M$1241,13,FALSE)," ")</f>
        <v xml:space="preserve"> </v>
      </c>
    </row>
    <row r="1302" spans="1:15" x14ac:dyDescent="0.3">
      <c r="A1302" s="1">
        <v>1773</v>
      </c>
      <c r="B1302" s="1">
        <v>0</v>
      </c>
      <c r="C1302" s="1" t="str">
        <f>IF(B1302=0,VLOOKUP(A1302,Feuil2!$A$2:$M$1241,2,FALSE)," ")</f>
        <v>GAIEB</v>
      </c>
      <c r="D1302" s="1" t="str">
        <f>IF(B1302=0,VLOOKUP(A1302,Feuil2!$A$2:$M$1241,3,FALSE)," ")</f>
        <v>SAMI</v>
      </c>
      <c r="E1302" s="5">
        <f>IF(B1302=0,VLOOKUP(A1302,Feuil2!$A$2:$M$1241,6,FALSE)," ")</f>
        <v>27797</v>
      </c>
      <c r="F1302" s="1" t="str">
        <f>IF(B1302=0,VLOOKUP(A1302,Feuil2!$A$2:$M$1241,12,FALSE)," ")</f>
        <v>H</v>
      </c>
      <c r="G1302" s="1" t="str">
        <f>IF(B1302=0,VLOOKUP(A1302,Feuil2!$A$2:$M$1241,11,FALSE)," ")</f>
        <v>M</v>
      </c>
      <c r="H1302" s="1" t="s">
        <v>16</v>
      </c>
      <c r="I1302" s="6">
        <f>IF(B1302=0,VLOOKUP(A1302,Feuil2!$A$2:$M$1241,7,FALSE)," ")</f>
        <v>5548423</v>
      </c>
      <c r="J1302" s="1" t="str">
        <f>IF(B1302=0,VLOOKUP(A1302,Feuil2!$A$2:$M$1241,9,FALSE)," ")</f>
        <v>15 Rue Sidi  Abar</v>
      </c>
      <c r="K1302" s="1" t="str">
        <f>IF(B1302=0,VLOOKUP(A1302,Feuil2!$A$2:$M$1241,10,FALSE)," ")</f>
        <v>Msaken 4070</v>
      </c>
      <c r="L1302" s="1">
        <v>4070</v>
      </c>
      <c r="M1302" s="1">
        <v>22834092</v>
      </c>
      <c r="N1302" s="1"/>
      <c r="O1302" s="8" t="str">
        <f>IF(B1304=0,VLOOKUP(A1304,Feuil2!$A$2:$M$1241,13,FALSE)," ")</f>
        <v xml:space="preserve"> </v>
      </c>
    </row>
    <row r="1303" spans="1:15" x14ac:dyDescent="0.3">
      <c r="A1303" s="1">
        <v>1773</v>
      </c>
      <c r="B1303" s="1">
        <v>1</v>
      </c>
      <c r="C1303" s="1" t="s">
        <v>283</v>
      </c>
      <c r="D1303" s="1" t="s">
        <v>2682</v>
      </c>
      <c r="E1303" s="5">
        <v>31358</v>
      </c>
      <c r="F1303" s="1" t="s">
        <v>17</v>
      </c>
      <c r="G1303" s="1" t="s">
        <v>15</v>
      </c>
      <c r="H1303" s="1" t="s">
        <v>16</v>
      </c>
      <c r="I1303" s="6" t="str">
        <f>IF(B1303=0,VLOOKUP(A1303,Feuil2!$A$2:$M$1241,7,FALSE)," ")</f>
        <v xml:space="preserve"> </v>
      </c>
      <c r="J1303" s="1" t="str">
        <f>IF(B1303=0,VLOOKUP(A1303,Feuil2!$A$2:$M$1241,9,FALSE)," ")</f>
        <v xml:space="preserve"> </v>
      </c>
      <c r="K1303" s="1" t="str">
        <f>IF(B1303=0,VLOOKUP(A1303,Feuil2!$A$2:$M$1241,10,FALSE)," ")</f>
        <v xml:space="preserve"> </v>
      </c>
      <c r="L1303" s="1"/>
      <c r="M1303" s="1"/>
      <c r="N1303" s="1"/>
      <c r="O1303" s="8" t="str">
        <f>IF(B1305=0,VLOOKUP(A1305,Feuil2!$A$2:$M$1241,13,FALSE)," ")</f>
        <v xml:space="preserve"> </v>
      </c>
    </row>
    <row r="1304" spans="1:15" x14ac:dyDescent="0.3">
      <c r="A1304" s="1">
        <v>1773</v>
      </c>
      <c r="B1304" s="1">
        <v>2</v>
      </c>
      <c r="C1304" s="1" t="s">
        <v>307</v>
      </c>
      <c r="D1304" s="1" t="s">
        <v>2621</v>
      </c>
      <c r="E1304" s="5">
        <v>41736</v>
      </c>
      <c r="F1304" s="1" t="s">
        <v>17</v>
      </c>
      <c r="G1304" s="1" t="str">
        <f>IF(B1304=0,VLOOKUP(A1304,Feuil2!$A$2:$M$1241,11,FALSE)," ")</f>
        <v xml:space="preserve"> </v>
      </c>
      <c r="H1304" s="1" t="s">
        <v>16</v>
      </c>
      <c r="I1304" s="6" t="str">
        <f>IF(B1304=0,VLOOKUP(A1304,Feuil2!$A$2:$M$1241,7,FALSE)," ")</f>
        <v xml:space="preserve"> </v>
      </c>
      <c r="J1304" s="1" t="str">
        <f>IF(B1304=0,VLOOKUP(A1304,Feuil2!$A$2:$M$1241,9,FALSE)," ")</f>
        <v xml:space="preserve"> </v>
      </c>
      <c r="K1304" s="1" t="str">
        <f>IF(B1304=0,VLOOKUP(A1304,Feuil2!$A$2:$M$1241,10,FALSE)," ")</f>
        <v xml:space="preserve"> </v>
      </c>
      <c r="L1304" s="1"/>
      <c r="M1304" s="1"/>
      <c r="N1304" s="1"/>
      <c r="O1304" s="8" t="str">
        <f>IF(B1306=0,VLOOKUP(A1306,Feuil2!$A$2:$M$1241,13,FALSE)," ")</f>
        <v xml:space="preserve"> </v>
      </c>
    </row>
    <row r="1305" spans="1:15" x14ac:dyDescent="0.3">
      <c r="A1305" s="1">
        <v>1773</v>
      </c>
      <c r="B1305" s="1">
        <v>3</v>
      </c>
      <c r="C1305" s="1" t="s">
        <v>307</v>
      </c>
      <c r="D1305" s="1" t="s">
        <v>2701</v>
      </c>
      <c r="E1305" s="5">
        <v>42513</v>
      </c>
      <c r="F1305" s="1" t="s">
        <v>17</v>
      </c>
      <c r="G1305" s="1" t="str">
        <f>IF(B1305=0,VLOOKUP(A1305,Feuil2!$A$2:$M$1241,11,FALSE)," ")</f>
        <v xml:space="preserve"> </v>
      </c>
      <c r="H1305" s="1" t="s">
        <v>16</v>
      </c>
      <c r="I1305" s="6" t="str">
        <f>IF(B1305=0,VLOOKUP(A1305,Feuil2!$A$2:$M$1241,7,FALSE)," ")</f>
        <v xml:space="preserve"> </v>
      </c>
      <c r="J1305" s="1" t="str">
        <f>IF(B1305=0,VLOOKUP(A1305,Feuil2!$A$2:$M$1241,9,FALSE)," ")</f>
        <v xml:space="preserve"> </v>
      </c>
      <c r="K1305" s="1" t="str">
        <f>IF(B1305=0,VLOOKUP(A1305,Feuil2!$A$2:$M$1241,10,FALSE)," ")</f>
        <v xml:space="preserve"> </v>
      </c>
      <c r="L1305" s="1"/>
      <c r="M1305" s="1"/>
      <c r="N1305" s="1"/>
      <c r="O1305" s="8" t="str">
        <f>IF(B1308=0,VLOOKUP(A1308,Feuil2!$A$2:$M$1241,13,FALSE)," ")</f>
        <v>12505000580103522320</v>
      </c>
    </row>
    <row r="1306" spans="1:15" x14ac:dyDescent="0.3">
      <c r="A1306" s="1">
        <v>1773</v>
      </c>
      <c r="B1306" s="1">
        <v>4</v>
      </c>
      <c r="C1306" s="1" t="s">
        <v>307</v>
      </c>
      <c r="D1306" s="1" t="s">
        <v>2695</v>
      </c>
      <c r="E1306" s="5">
        <v>43388</v>
      </c>
      <c r="F1306" s="1" t="s">
        <v>17</v>
      </c>
      <c r="G1306" s="1" t="str">
        <f>IF(B1306=0,VLOOKUP(A1306,Feuil2!$A$2:$M$1241,11,FALSE)," ")</f>
        <v xml:space="preserve"> </v>
      </c>
      <c r="H1306" s="1" t="s">
        <v>16</v>
      </c>
      <c r="I1306" s="6" t="str">
        <f>IF(B1306=0,VLOOKUP(A1306,Feuil2!$A$2:$M$1241,7,FALSE)," ")</f>
        <v xml:space="preserve"> </v>
      </c>
      <c r="J1306" s="1" t="str">
        <f>IF(B1306=0,VLOOKUP(A1306,Feuil2!$A$2:$M$1241,9,FALSE)," ")</f>
        <v xml:space="preserve"> </v>
      </c>
      <c r="K1306" s="1" t="str">
        <f>IF(B1306=0,VLOOKUP(A1306,Feuil2!$A$2:$M$1241,10,FALSE)," ")</f>
        <v xml:space="preserve"> </v>
      </c>
      <c r="L1306" s="1"/>
      <c r="M1306" s="1"/>
      <c r="N1306" s="1"/>
      <c r="O1306" s="8" t="str">
        <f>IF(B1309=0,VLOOKUP(A1309,Feuil2!$A$2:$M$1241,13,FALSE)," ")</f>
        <v xml:space="preserve"> </v>
      </c>
    </row>
    <row r="1307" spans="1:15" x14ac:dyDescent="0.3">
      <c r="A1307" s="1">
        <v>1773</v>
      </c>
      <c r="B1307" s="1">
        <v>5</v>
      </c>
      <c r="C1307" s="1" t="s">
        <v>307</v>
      </c>
      <c r="D1307" s="1" t="s">
        <v>406</v>
      </c>
      <c r="E1307" s="5">
        <v>44802</v>
      </c>
      <c r="F1307" s="1" t="s">
        <v>506</v>
      </c>
      <c r="G1307" s="1"/>
      <c r="H1307" s="1"/>
      <c r="I1307" s="6"/>
      <c r="J1307" s="1"/>
      <c r="K1307" s="1"/>
      <c r="L1307" s="1"/>
      <c r="M1307" s="1"/>
      <c r="N1307" s="1"/>
      <c r="O1307" s="8" t="str">
        <f>IF(B1310=0,VLOOKUP(A1310,Feuil2!$A$2:$M$1241,13,FALSE)," ")</f>
        <v xml:space="preserve"> </v>
      </c>
    </row>
    <row r="1308" spans="1:15" x14ac:dyDescent="0.3">
      <c r="A1308" s="1">
        <v>1779</v>
      </c>
      <c r="B1308" s="1">
        <v>0</v>
      </c>
      <c r="C1308" s="1" t="str">
        <f>IF(B1308=0,VLOOKUP(A1308,Feuil2!$A$2:$M$1241,2,FALSE)," ")</f>
        <v>BEN FREDJ</v>
      </c>
      <c r="D1308" s="1" t="str">
        <f>IF(B1308=0,VLOOKUP(A1308,Feuil2!$A$2:$M$1241,3,FALSE)," ")</f>
        <v>LOTFI</v>
      </c>
      <c r="E1308" s="5">
        <f>IF(B1308=0,VLOOKUP(A1308,Feuil2!$A$2:$M$1241,6,FALSE)," ")</f>
        <v>27304</v>
      </c>
      <c r="F1308" s="1" t="str">
        <f>IF(B1308=0,VLOOKUP(A1308,Feuil2!$A$2:$M$1241,12,FALSE)," ")</f>
        <v>H</v>
      </c>
      <c r="G1308" s="1" t="str">
        <f>IF(B1308=0,VLOOKUP(A1308,Feuil2!$A$2:$M$1241,11,FALSE)," ")</f>
        <v>M</v>
      </c>
      <c r="H1308" s="1" t="s">
        <v>16</v>
      </c>
      <c r="I1308" s="6">
        <f>IF(B1308=0,VLOOKUP(A1308,Feuil2!$A$2:$M$1241,7,FALSE)," ")</f>
        <v>5505830</v>
      </c>
      <c r="J1308" s="1" t="str">
        <f>IF(B1308=0,VLOOKUP(A1308,Feuil2!$A$2:$M$1241,9,FALSE)," ")</f>
        <v>NULL</v>
      </c>
      <c r="K1308" s="1" t="str">
        <f>IF(B1308=0,VLOOKUP(A1308,Feuil2!$A$2:$M$1241,10,FALSE)," ")</f>
        <v>Knaies 4014</v>
      </c>
      <c r="L1308" s="1">
        <v>4014</v>
      </c>
      <c r="M1308" s="1"/>
      <c r="N1308" s="1"/>
      <c r="O1308" s="8" t="str">
        <f>IF(B1311=0,VLOOKUP(A1311,Feuil2!$A$2:$M$1241,13,FALSE)," ")</f>
        <v xml:space="preserve"> </v>
      </c>
    </row>
    <row r="1309" spans="1:15" x14ac:dyDescent="0.3">
      <c r="A1309" s="1">
        <v>1779</v>
      </c>
      <c r="B1309" s="1">
        <v>1</v>
      </c>
      <c r="C1309" s="1" t="s">
        <v>231</v>
      </c>
      <c r="D1309" s="1" t="s">
        <v>2099</v>
      </c>
      <c r="E1309" s="5">
        <v>30509</v>
      </c>
      <c r="F1309" s="1" t="s">
        <v>17</v>
      </c>
      <c r="G1309" s="1" t="s">
        <v>15</v>
      </c>
      <c r="H1309" s="1" t="s">
        <v>16</v>
      </c>
      <c r="I1309" s="6" t="str">
        <f>IF(B1309=0,VLOOKUP(A1309,Feuil2!$A$2:$M$1241,7,FALSE)," ")</f>
        <v xml:space="preserve"> </v>
      </c>
      <c r="J1309" s="1" t="str">
        <f>IF(B1309=0,VLOOKUP(A1309,Feuil2!$A$2:$M$1241,9,FALSE)," ")</f>
        <v xml:space="preserve"> </v>
      </c>
      <c r="K1309" s="1" t="str">
        <f>IF(B1309=0,VLOOKUP(A1309,Feuil2!$A$2:$M$1241,10,FALSE)," ")</f>
        <v xml:space="preserve"> </v>
      </c>
      <c r="L1309" s="1"/>
      <c r="M1309" s="1"/>
      <c r="N1309" s="1"/>
      <c r="O1309" s="8" t="str">
        <f>IF(B1312=0,VLOOKUP(A1312,Feuil2!$A$2:$M$1241,13,FALSE)," ")</f>
        <v xml:space="preserve"> </v>
      </c>
    </row>
    <row r="1310" spans="1:15" x14ac:dyDescent="0.3">
      <c r="A1310" s="1">
        <v>1779</v>
      </c>
      <c r="B1310" s="1">
        <v>2</v>
      </c>
      <c r="C1310" s="1" t="s">
        <v>1215</v>
      </c>
      <c r="D1310" s="1" t="s">
        <v>2579</v>
      </c>
      <c r="E1310" s="5">
        <v>38922</v>
      </c>
      <c r="F1310" s="1" t="s">
        <v>17</v>
      </c>
      <c r="G1310" s="1" t="str">
        <f>IF(B1310=0,VLOOKUP(A1310,Feuil2!$A$2:$M$1241,11,FALSE)," ")</f>
        <v xml:space="preserve"> </v>
      </c>
      <c r="H1310" s="1" t="s">
        <v>16</v>
      </c>
      <c r="I1310" s="6" t="str">
        <f>IF(B1310=0,VLOOKUP(A1310,Feuil2!$A$2:$M$1241,7,FALSE)," ")</f>
        <v xml:space="preserve"> </v>
      </c>
      <c r="J1310" s="1" t="str">
        <f>IF(B1310=0,VLOOKUP(A1310,Feuil2!$A$2:$M$1241,9,FALSE)," ")</f>
        <v xml:space="preserve"> </v>
      </c>
      <c r="K1310" s="1" t="str">
        <f>IF(B1310=0,VLOOKUP(A1310,Feuil2!$A$2:$M$1241,10,FALSE)," ")</f>
        <v xml:space="preserve"> </v>
      </c>
      <c r="L1310" s="1"/>
      <c r="M1310" s="1"/>
      <c r="N1310" s="1"/>
      <c r="O1310" s="8" t="str">
        <f>IF(B1313=0,VLOOKUP(A1313,Feuil2!$A$2:$M$1241,13,FALSE)," ")</f>
        <v xml:space="preserve"> </v>
      </c>
    </row>
    <row r="1311" spans="1:15" x14ac:dyDescent="0.3">
      <c r="A1311" s="1">
        <v>1779</v>
      </c>
      <c r="B1311" s="1">
        <v>3</v>
      </c>
      <c r="C1311" s="1" t="s">
        <v>1215</v>
      </c>
      <c r="D1311" s="1" t="s">
        <v>326</v>
      </c>
      <c r="E1311" s="5">
        <v>39282</v>
      </c>
      <c r="F1311" s="1" t="s">
        <v>506</v>
      </c>
      <c r="G1311" s="1" t="str">
        <f>IF(B1311=0,VLOOKUP(A1311,Feuil2!$A$2:$M$1241,11,FALSE)," ")</f>
        <v xml:space="preserve"> </v>
      </c>
      <c r="H1311" s="1" t="s">
        <v>16</v>
      </c>
      <c r="I1311" s="6" t="str">
        <f>IF(B1311=0,VLOOKUP(A1311,Feuil2!$A$2:$M$1241,7,FALSE)," ")</f>
        <v xml:space="preserve"> </v>
      </c>
      <c r="J1311" s="1" t="str">
        <f>IF(B1311=0,VLOOKUP(A1311,Feuil2!$A$2:$M$1241,9,FALSE)," ")</f>
        <v xml:space="preserve"> </v>
      </c>
      <c r="K1311" s="1" t="str">
        <f>IF(B1311=0,VLOOKUP(A1311,Feuil2!$A$2:$M$1241,10,FALSE)," ")</f>
        <v xml:space="preserve"> </v>
      </c>
      <c r="L1311" s="1"/>
      <c r="M1311" s="1"/>
      <c r="N1311" s="1"/>
      <c r="O1311" s="8" t="str">
        <f>IF(B1314=0,VLOOKUP(A1314,Feuil2!$A$2:$M$1241,13,FALSE)," ")</f>
        <v>04204067404001067247</v>
      </c>
    </row>
    <row r="1312" spans="1:15" x14ac:dyDescent="0.3">
      <c r="A1312" s="1">
        <v>1779</v>
      </c>
      <c r="B1312" s="1">
        <v>4</v>
      </c>
      <c r="C1312" s="1" t="s">
        <v>1215</v>
      </c>
      <c r="D1312" s="1" t="s">
        <v>2367</v>
      </c>
      <c r="E1312" s="5">
        <v>40463</v>
      </c>
      <c r="F1312" s="1" t="s">
        <v>17</v>
      </c>
      <c r="G1312" s="1" t="str">
        <f>IF(B1312=0,VLOOKUP(A1312,Feuil2!$A$2:$M$1241,11,FALSE)," ")</f>
        <v xml:space="preserve"> </v>
      </c>
      <c r="H1312" s="1" t="s">
        <v>16</v>
      </c>
      <c r="I1312" s="6" t="str">
        <f>IF(B1312=0,VLOOKUP(A1312,Feuil2!$A$2:$M$1241,7,FALSE)," ")</f>
        <v xml:space="preserve"> </v>
      </c>
      <c r="J1312" s="1" t="str">
        <f>IF(B1312=0,VLOOKUP(A1312,Feuil2!$A$2:$M$1241,9,FALSE)," ")</f>
        <v xml:space="preserve"> </v>
      </c>
      <c r="K1312" s="1" t="str">
        <f>IF(B1312=0,VLOOKUP(A1312,Feuil2!$A$2:$M$1241,10,FALSE)," ")</f>
        <v xml:space="preserve"> </v>
      </c>
      <c r="L1312" s="1"/>
      <c r="M1312" s="1"/>
      <c r="N1312" s="1"/>
      <c r="O1312" s="8" t="str">
        <f>IF(B1315=0,VLOOKUP(A1315,Feuil2!$A$2:$M$1241,13,FALSE)," ")</f>
        <v xml:space="preserve"> </v>
      </c>
    </row>
    <row r="1313" spans="1:15" x14ac:dyDescent="0.3">
      <c r="A1313" s="1">
        <v>1779</v>
      </c>
      <c r="B1313" s="1">
        <v>5</v>
      </c>
      <c r="C1313" s="1" t="s">
        <v>1215</v>
      </c>
      <c r="D1313" s="1" t="s">
        <v>2702</v>
      </c>
      <c r="E1313" s="5">
        <v>41214</v>
      </c>
      <c r="F1313" s="1" t="s">
        <v>506</v>
      </c>
      <c r="G1313" s="1" t="str">
        <f>IF(B1313=0,VLOOKUP(A1313,Feuil2!$A$2:$M$1241,11,FALSE)," ")</f>
        <v xml:space="preserve"> </v>
      </c>
      <c r="H1313" s="1" t="s">
        <v>16</v>
      </c>
      <c r="I1313" s="6" t="str">
        <f>IF(B1313=0,VLOOKUP(A1313,Feuil2!$A$2:$M$1241,7,FALSE)," ")</f>
        <v xml:space="preserve"> </v>
      </c>
      <c r="J1313" s="1" t="str">
        <f>IF(B1313=0,VLOOKUP(A1313,Feuil2!$A$2:$M$1241,9,FALSE)," ")</f>
        <v xml:space="preserve"> </v>
      </c>
      <c r="K1313" s="1" t="str">
        <f>IF(B1313=0,VLOOKUP(A1313,Feuil2!$A$2:$M$1241,10,FALSE)," ")</f>
        <v xml:space="preserve"> </v>
      </c>
      <c r="L1313" s="1"/>
      <c r="M1313" s="1"/>
      <c r="N1313" s="1"/>
      <c r="O1313" s="8" t="str">
        <f>IF(B1316=0,VLOOKUP(A1316,Feuil2!$A$2:$M$1241,13,FALSE)," ")</f>
        <v xml:space="preserve"> </v>
      </c>
    </row>
    <row r="1314" spans="1:15" x14ac:dyDescent="0.3">
      <c r="A1314" s="1">
        <v>1782</v>
      </c>
      <c r="B1314" s="1">
        <v>0</v>
      </c>
      <c r="C1314" s="1" t="str">
        <f>IF(B1314=0,VLOOKUP(A1314,Feuil2!$A$2:$M$1241,2,FALSE)," ")</f>
        <v>IBRAHIM</v>
      </c>
      <c r="D1314" s="1" t="str">
        <f>IF(B1314=0,VLOOKUP(A1314,Feuil2!$A$2:$M$1241,3,FALSE)," ")</f>
        <v>JAMEL</v>
      </c>
      <c r="E1314" s="5">
        <f>IF(B1314=0,VLOOKUP(A1314,Feuil2!$A$2:$M$1241,6,FALSE)," ")</f>
        <v>28430</v>
      </c>
      <c r="F1314" s="1" t="str">
        <f>IF(B1314=0,VLOOKUP(A1314,Feuil2!$A$2:$M$1241,12,FALSE)," ")</f>
        <v>H</v>
      </c>
      <c r="G1314" s="1" t="str">
        <f>IF(B1314=0,VLOOKUP(A1314,Feuil2!$A$2:$M$1241,11,FALSE)," ")</f>
        <v>M</v>
      </c>
      <c r="H1314" s="1" t="s">
        <v>16</v>
      </c>
      <c r="I1314" s="6">
        <f>IF(B1314=0,VLOOKUP(A1314,Feuil2!$A$2:$M$1241,7,FALSE)," ")</f>
        <v>5582601</v>
      </c>
      <c r="J1314" s="1" t="str">
        <f>IF(B1314=0,VLOOKUP(A1314,Feuil2!$A$2:$M$1241,9,FALSE)," ")</f>
        <v>141 Route de Sfax</v>
      </c>
      <c r="K1314" s="1" t="str">
        <f>IF(B1314=0,VLOOKUP(A1314,Feuil2!$A$2:$M$1241,10,FALSE)," ")</f>
        <v>Msaken 4070</v>
      </c>
      <c r="L1314" s="1">
        <v>4070</v>
      </c>
      <c r="M1314" s="1">
        <v>98793762</v>
      </c>
      <c r="N1314" s="1"/>
      <c r="O1314" s="8" t="str">
        <f>IF(B1317=0,VLOOKUP(A1317,Feuil2!$A$2:$M$1241,13,FALSE)," ")</f>
        <v xml:space="preserve"> </v>
      </c>
    </row>
    <row r="1315" spans="1:15" x14ac:dyDescent="0.3">
      <c r="A1315" s="1">
        <v>1782</v>
      </c>
      <c r="B1315" s="1">
        <v>1</v>
      </c>
      <c r="C1315" s="1" t="s">
        <v>61</v>
      </c>
      <c r="D1315" s="1" t="s">
        <v>2089</v>
      </c>
      <c r="E1315" s="5">
        <v>29632</v>
      </c>
      <c r="F1315" s="1" t="s">
        <v>17</v>
      </c>
      <c r="G1315" s="1" t="s">
        <v>15</v>
      </c>
      <c r="H1315" s="1" t="s">
        <v>16</v>
      </c>
      <c r="I1315" s="6" t="str">
        <f>IF(B1315=0,VLOOKUP(A1315,Feuil2!$A$2:$M$1241,7,FALSE)," ")</f>
        <v xml:space="preserve"> </v>
      </c>
      <c r="J1315" s="1" t="str">
        <f>IF(B1315=0,VLOOKUP(A1315,Feuil2!$A$2:$M$1241,9,FALSE)," ")</f>
        <v xml:space="preserve"> </v>
      </c>
      <c r="K1315" s="1" t="str">
        <f>IF(B1315=0,VLOOKUP(A1315,Feuil2!$A$2:$M$1241,10,FALSE)," ")</f>
        <v xml:space="preserve"> </v>
      </c>
      <c r="L1315" s="1"/>
      <c r="M1315" s="1"/>
      <c r="N1315" s="1"/>
      <c r="O1315" s="8" t="str">
        <f>IF(B1318=0,VLOOKUP(A1318,Feuil2!$A$2:$M$1241,13,FALSE)," ")</f>
        <v xml:space="preserve"> </v>
      </c>
    </row>
    <row r="1316" spans="1:15" x14ac:dyDescent="0.3">
      <c r="A1316" s="1">
        <v>1782</v>
      </c>
      <c r="B1316" s="1">
        <v>2</v>
      </c>
      <c r="C1316" s="1" t="s">
        <v>77</v>
      </c>
      <c r="D1316" s="1" t="s">
        <v>2703</v>
      </c>
      <c r="E1316" s="5">
        <v>39297</v>
      </c>
      <c r="F1316" s="1" t="s">
        <v>506</v>
      </c>
      <c r="G1316" s="1" t="str">
        <f>IF(B1316=0,VLOOKUP(A1316,Feuil2!$A$2:$M$1241,11,FALSE)," ")</f>
        <v xml:space="preserve"> </v>
      </c>
      <c r="H1316" s="1" t="s">
        <v>16</v>
      </c>
      <c r="I1316" s="6" t="str">
        <f>IF(B1316=0,VLOOKUP(A1316,Feuil2!$A$2:$M$1241,7,FALSE)," ")</f>
        <v xml:space="preserve"> </v>
      </c>
      <c r="J1316" s="1" t="str">
        <f>IF(B1316=0,VLOOKUP(A1316,Feuil2!$A$2:$M$1241,9,FALSE)," ")</f>
        <v xml:space="preserve"> </v>
      </c>
      <c r="K1316" s="1" t="str">
        <f>IF(B1316=0,VLOOKUP(A1316,Feuil2!$A$2:$M$1241,10,FALSE)," ")</f>
        <v xml:space="preserve"> </v>
      </c>
      <c r="L1316" s="1"/>
      <c r="M1316" s="1"/>
      <c r="N1316" s="1"/>
      <c r="O1316" s="8" t="str">
        <f>IF(B1319=0,VLOOKUP(A1319,Feuil2!$A$2:$M$1241,13,FALSE)," ")</f>
        <v xml:space="preserve"> </v>
      </c>
    </row>
    <row r="1317" spans="1:15" x14ac:dyDescent="0.3">
      <c r="A1317" s="1">
        <v>1782</v>
      </c>
      <c r="B1317" s="1">
        <v>3</v>
      </c>
      <c r="C1317" s="1" t="s">
        <v>77</v>
      </c>
      <c r="D1317" s="1" t="s">
        <v>30</v>
      </c>
      <c r="E1317" s="5">
        <v>39714</v>
      </c>
      <c r="F1317" s="1" t="s">
        <v>506</v>
      </c>
      <c r="G1317" s="1" t="str">
        <f>IF(B1317=0,VLOOKUP(A1317,Feuil2!$A$2:$M$1241,11,FALSE)," ")</f>
        <v xml:space="preserve"> </v>
      </c>
      <c r="H1317" s="1" t="s">
        <v>16</v>
      </c>
      <c r="I1317" s="6" t="str">
        <f>IF(B1317=0,VLOOKUP(A1317,Feuil2!$A$2:$M$1241,7,FALSE)," ")</f>
        <v xml:space="preserve"> </v>
      </c>
      <c r="J1317" s="1" t="str">
        <f>IF(B1317=0,VLOOKUP(A1317,Feuil2!$A$2:$M$1241,9,FALSE)," ")</f>
        <v xml:space="preserve"> </v>
      </c>
      <c r="K1317" s="1" t="str">
        <f>IF(B1317=0,VLOOKUP(A1317,Feuil2!$A$2:$M$1241,10,FALSE)," ")</f>
        <v xml:space="preserve"> </v>
      </c>
      <c r="L1317" s="1"/>
      <c r="M1317" s="1"/>
      <c r="N1317" s="1"/>
      <c r="O1317" s="8" t="str">
        <f>IF(B1320=0,VLOOKUP(A1320,Feuil2!$A$2:$M$1241,13,FALSE)," ")</f>
        <v>24010035437251110120</v>
      </c>
    </row>
    <row r="1318" spans="1:15" x14ac:dyDescent="0.3">
      <c r="A1318" s="1">
        <v>1782</v>
      </c>
      <c r="B1318" s="1">
        <v>4</v>
      </c>
      <c r="C1318" s="1" t="s">
        <v>77</v>
      </c>
      <c r="D1318" s="1" t="s">
        <v>2517</v>
      </c>
      <c r="E1318" s="5">
        <v>41307</v>
      </c>
      <c r="F1318" s="1" t="s">
        <v>17</v>
      </c>
      <c r="G1318" s="1" t="str">
        <f>IF(B1318=0,VLOOKUP(A1318,Feuil2!$A$2:$M$1241,11,FALSE)," ")</f>
        <v xml:space="preserve"> </v>
      </c>
      <c r="H1318" s="1" t="s">
        <v>16</v>
      </c>
      <c r="I1318" s="6" t="str">
        <f>IF(B1318=0,VLOOKUP(A1318,Feuil2!$A$2:$M$1241,7,FALSE)," ")</f>
        <v xml:space="preserve"> </v>
      </c>
      <c r="J1318" s="1" t="str">
        <f>IF(B1318=0,VLOOKUP(A1318,Feuil2!$A$2:$M$1241,9,FALSE)," ")</f>
        <v xml:space="preserve"> </v>
      </c>
      <c r="K1318" s="1" t="str">
        <f>IF(B1318=0,VLOOKUP(A1318,Feuil2!$A$2:$M$1241,10,FALSE)," ")</f>
        <v xml:space="preserve"> </v>
      </c>
      <c r="L1318" s="1"/>
      <c r="M1318" s="1"/>
      <c r="N1318" s="1"/>
      <c r="O1318" s="8" t="str">
        <f>IF(B1321=0,VLOOKUP(A1321,Feuil2!$A$2:$M$1241,13,FALSE)," ")</f>
        <v xml:space="preserve"> </v>
      </c>
    </row>
    <row r="1319" spans="1:15" x14ac:dyDescent="0.3">
      <c r="A1319" s="1">
        <v>1782</v>
      </c>
      <c r="B1319" s="1">
        <v>5</v>
      </c>
      <c r="C1319" s="1" t="s">
        <v>77</v>
      </c>
      <c r="D1319" s="1" t="s">
        <v>2398</v>
      </c>
      <c r="E1319" s="5">
        <v>43344</v>
      </c>
      <c r="F1319" s="1" t="s">
        <v>506</v>
      </c>
      <c r="G1319" s="1" t="str">
        <f>IF(B1319=0,VLOOKUP(A1319,Feuil2!$A$2:$M$1241,11,FALSE)," ")</f>
        <v xml:space="preserve"> </v>
      </c>
      <c r="H1319" s="1" t="s">
        <v>16</v>
      </c>
      <c r="I1319" s="6" t="str">
        <f>IF(B1319=0,VLOOKUP(A1319,Feuil2!$A$2:$M$1241,7,FALSE)," ")</f>
        <v xml:space="preserve"> </v>
      </c>
      <c r="J1319" s="1" t="str">
        <f>IF(B1319=0,VLOOKUP(A1319,Feuil2!$A$2:$M$1241,9,FALSE)," ")</f>
        <v xml:space="preserve"> </v>
      </c>
      <c r="K1319" s="1" t="str">
        <f>IF(B1319=0,VLOOKUP(A1319,Feuil2!$A$2:$M$1241,10,FALSE)," ")</f>
        <v xml:space="preserve"> </v>
      </c>
      <c r="L1319" s="1"/>
      <c r="M1319" s="1"/>
      <c r="N1319" s="1"/>
      <c r="O1319" s="8" t="str">
        <f>IF(B1322=0,VLOOKUP(A1322,Feuil2!$A$2:$M$1241,13,FALSE)," ")</f>
        <v xml:space="preserve"> </v>
      </c>
    </row>
    <row r="1320" spans="1:15" x14ac:dyDescent="0.3">
      <c r="A1320" s="1">
        <v>1784</v>
      </c>
      <c r="B1320" s="1">
        <v>0</v>
      </c>
      <c r="C1320" s="1" t="str">
        <f>IF(B1320=0,VLOOKUP(A1320,Feuil2!$A$2:$M$1241,2,FALSE)," ")</f>
        <v>LAYOUNI</v>
      </c>
      <c r="D1320" s="1" t="str">
        <f>IF(B1320=0,VLOOKUP(A1320,Feuil2!$A$2:$M$1241,3,FALSE)," ")</f>
        <v>KHALED</v>
      </c>
      <c r="E1320" s="5">
        <f>IF(B1320=0,VLOOKUP(A1320,Feuil2!$A$2:$M$1241,6,FALSE)," ")</f>
        <v>28421</v>
      </c>
      <c r="F1320" s="1" t="str">
        <f>IF(B1320=0,VLOOKUP(A1320,Feuil2!$A$2:$M$1241,12,FALSE)," ")</f>
        <v>H</v>
      </c>
      <c r="G1320" s="1" t="str">
        <f>IF(B1320=0,VLOOKUP(A1320,Feuil2!$A$2:$M$1241,11,FALSE)," ")</f>
        <v>M</v>
      </c>
      <c r="H1320" s="1" t="s">
        <v>16</v>
      </c>
      <c r="I1320" s="6">
        <f>IF(B1320=0,VLOOKUP(A1320,Feuil2!$A$2:$M$1241,7,FALSE)," ")</f>
        <v>5581138</v>
      </c>
      <c r="J1320" s="1" t="str">
        <f>IF(B1320=0,VLOOKUP(A1320,Feuil2!$A$2:$M$1241,9,FALSE)," ")</f>
        <v>43 Rue du Caire</v>
      </c>
      <c r="K1320" s="1" t="str">
        <f>IF(B1320=0,VLOOKUP(A1320,Feuil2!$A$2:$M$1241,10,FALSE)," ")</f>
        <v>Msaken 4070</v>
      </c>
      <c r="L1320" s="1">
        <v>4070</v>
      </c>
      <c r="M1320" s="1">
        <v>26429461</v>
      </c>
      <c r="N1320" s="1"/>
      <c r="O1320" s="8" t="str">
        <f>IF(B1323=0,VLOOKUP(A1323,Feuil2!$A$2:$M$1241,13,FALSE)," ")</f>
        <v xml:space="preserve"> </v>
      </c>
    </row>
    <row r="1321" spans="1:15" x14ac:dyDescent="0.3">
      <c r="A1321" s="1">
        <v>1784</v>
      </c>
      <c r="B1321" s="1">
        <v>1</v>
      </c>
      <c r="C1321" s="1" t="s">
        <v>19</v>
      </c>
      <c r="D1321" s="1" t="s">
        <v>1007</v>
      </c>
      <c r="E1321" s="5">
        <v>30930</v>
      </c>
      <c r="F1321" s="1" t="s">
        <v>17</v>
      </c>
      <c r="G1321" s="1" t="s">
        <v>15</v>
      </c>
      <c r="H1321" s="1" t="s">
        <v>16</v>
      </c>
      <c r="I1321" s="6" t="str">
        <f>IF(B1321=0,VLOOKUP(A1321,Feuil2!$A$2:$M$1241,7,FALSE)," ")</f>
        <v xml:space="preserve"> </v>
      </c>
      <c r="J1321" s="1" t="str">
        <f>IF(B1321=0,VLOOKUP(A1321,Feuil2!$A$2:$M$1241,9,FALSE)," ")</f>
        <v xml:space="preserve"> </v>
      </c>
      <c r="K1321" s="1" t="str">
        <f>IF(B1321=0,VLOOKUP(A1321,Feuil2!$A$2:$M$1241,10,FALSE)," ")</f>
        <v xml:space="preserve"> </v>
      </c>
      <c r="L1321" s="1"/>
      <c r="M1321" s="1"/>
      <c r="N1321" s="1"/>
      <c r="O1321" s="8" t="str">
        <f>IF(B1324=0,VLOOKUP(A1324,Feuil2!$A$2:$M$1241,13,FALSE)," ")</f>
        <v>04204067404001016904</v>
      </c>
    </row>
    <row r="1322" spans="1:15" x14ac:dyDescent="0.3">
      <c r="A1322" s="1">
        <v>1784</v>
      </c>
      <c r="B1322" s="1">
        <v>2</v>
      </c>
      <c r="C1322" s="1" t="s">
        <v>250</v>
      </c>
      <c r="D1322" s="1" t="s">
        <v>2431</v>
      </c>
      <c r="E1322" s="5">
        <v>40911</v>
      </c>
      <c r="F1322" s="1" t="s">
        <v>506</v>
      </c>
      <c r="G1322" s="1" t="str">
        <f>IF(B1322=0,VLOOKUP(A1322,Feuil2!$A$2:$M$1241,11,FALSE)," ")</f>
        <v xml:space="preserve"> </v>
      </c>
      <c r="H1322" s="1" t="s">
        <v>16</v>
      </c>
      <c r="I1322" s="6" t="str">
        <f>IF(B1322=0,VLOOKUP(A1322,Feuil2!$A$2:$M$1241,7,FALSE)," ")</f>
        <v xml:space="preserve"> </v>
      </c>
      <c r="J1322" s="1" t="str">
        <f>IF(B1322=0,VLOOKUP(A1322,Feuil2!$A$2:$M$1241,9,FALSE)," ")</f>
        <v xml:space="preserve"> </v>
      </c>
      <c r="K1322" s="1" t="str">
        <f>IF(B1322=0,VLOOKUP(A1322,Feuil2!$A$2:$M$1241,10,FALSE)," ")</f>
        <v xml:space="preserve"> </v>
      </c>
      <c r="L1322" s="1"/>
      <c r="M1322" s="1"/>
      <c r="N1322" s="1"/>
      <c r="O1322" s="8" t="str">
        <f>IF(B1325=0,VLOOKUP(A1325,Feuil2!$A$2:$M$1241,13,FALSE)," ")</f>
        <v xml:space="preserve"> </v>
      </c>
    </row>
    <row r="1323" spans="1:15" x14ac:dyDescent="0.3">
      <c r="A1323" s="1">
        <v>1784</v>
      </c>
      <c r="B1323" s="1">
        <v>3</v>
      </c>
      <c r="C1323" s="1" t="s">
        <v>250</v>
      </c>
      <c r="D1323" s="1" t="s">
        <v>2677</v>
      </c>
      <c r="E1323" s="5">
        <v>42698</v>
      </c>
      <c r="F1323" s="1" t="s">
        <v>17</v>
      </c>
      <c r="G1323" s="1" t="str">
        <f>IF(B1323=0,VLOOKUP(A1323,Feuil2!$A$2:$M$1241,11,FALSE)," ")</f>
        <v xml:space="preserve"> </v>
      </c>
      <c r="H1323" s="1" t="s">
        <v>16</v>
      </c>
      <c r="I1323" s="6" t="str">
        <f>IF(B1323=0,VLOOKUP(A1323,Feuil2!$A$2:$M$1241,7,FALSE)," ")</f>
        <v xml:space="preserve"> </v>
      </c>
      <c r="J1323" s="1" t="str">
        <f>IF(B1323=0,VLOOKUP(A1323,Feuil2!$A$2:$M$1241,9,FALSE)," ")</f>
        <v xml:space="preserve"> </v>
      </c>
      <c r="K1323" s="1" t="str">
        <f>IF(B1323=0,VLOOKUP(A1323,Feuil2!$A$2:$M$1241,10,FALSE)," ")</f>
        <v xml:space="preserve"> </v>
      </c>
      <c r="L1323" s="1"/>
      <c r="M1323" s="1"/>
      <c r="N1323" s="1"/>
      <c r="O1323" s="8" t="str">
        <f>IF(B1326=0,VLOOKUP(A1326,Feuil2!$A$2:$M$1241,13,FALSE)," ")</f>
        <v xml:space="preserve"> </v>
      </c>
    </row>
    <row r="1324" spans="1:15" x14ac:dyDescent="0.3">
      <c r="A1324" s="1">
        <v>1786</v>
      </c>
      <c r="B1324" s="1">
        <v>0</v>
      </c>
      <c r="C1324" s="1" t="str">
        <f>IF(B1324=0,VLOOKUP(A1324,Feuil2!$A$2:$M$1241,2,FALSE)," ")</f>
        <v>GUIZANI</v>
      </c>
      <c r="D1324" s="1" t="str">
        <f>IF(B1324=0,VLOOKUP(A1324,Feuil2!$A$2:$M$1241,3,FALSE)," ")</f>
        <v>MOHAMED</v>
      </c>
      <c r="E1324" s="5">
        <f>IF(B1324=0,VLOOKUP(A1324,Feuil2!$A$2:$M$1241,6,FALSE)," ")</f>
        <v>27416</v>
      </c>
      <c r="F1324" s="1" t="str">
        <f>IF(B1324=0,VLOOKUP(A1324,Feuil2!$A$2:$M$1241,12,FALSE)," ")</f>
        <v>H</v>
      </c>
      <c r="G1324" s="1" t="str">
        <f>IF(B1324=0,VLOOKUP(A1324,Feuil2!$A$2:$M$1241,11,FALSE)," ")</f>
        <v>M</v>
      </c>
      <c r="H1324" s="1" t="s">
        <v>16</v>
      </c>
      <c r="I1324" s="6">
        <f>IF(B1324=0,VLOOKUP(A1324,Feuil2!$A$2:$M$1241,7,FALSE)," ")</f>
        <v>5543480</v>
      </c>
      <c r="J1324" s="1" t="str">
        <f>IF(B1324=0,VLOOKUP(A1324,Feuil2!$A$2:$M$1241,9,FALSE)," ")</f>
        <v>NULL</v>
      </c>
      <c r="K1324" s="1" t="str">
        <f>IF(B1324=0,VLOOKUP(A1324,Feuil2!$A$2:$M$1241,10,FALSE)," ")</f>
        <v>Knaies 4014</v>
      </c>
      <c r="L1324" s="1">
        <v>4014</v>
      </c>
      <c r="M1324" s="1">
        <v>22867999</v>
      </c>
      <c r="N1324" s="1"/>
      <c r="O1324" s="8" t="str">
        <f>IF(B1327=0,VLOOKUP(A1327,Feuil2!$A$2:$M$1241,13,FALSE)," ")</f>
        <v xml:space="preserve"> </v>
      </c>
    </row>
    <row r="1325" spans="1:15" x14ac:dyDescent="0.3">
      <c r="A1325" s="1">
        <v>1786</v>
      </c>
      <c r="B1325" s="1">
        <v>1</v>
      </c>
      <c r="C1325" s="1" t="s">
        <v>2245</v>
      </c>
      <c r="D1325" s="1" t="s">
        <v>2407</v>
      </c>
      <c r="E1325" s="5">
        <v>30416</v>
      </c>
      <c r="F1325" s="1" t="s">
        <v>17</v>
      </c>
      <c r="G1325" s="1" t="s">
        <v>15</v>
      </c>
      <c r="H1325" s="1" t="s">
        <v>16</v>
      </c>
      <c r="I1325" s="6" t="str">
        <f>IF(B1325=0,VLOOKUP(A1325,Feuil2!$A$2:$M$1241,7,FALSE)," ")</f>
        <v xml:space="preserve"> </v>
      </c>
      <c r="J1325" s="1" t="str">
        <f>IF(B1325=0,VLOOKUP(A1325,Feuil2!$A$2:$M$1241,9,FALSE)," ")</f>
        <v xml:space="preserve"> </v>
      </c>
      <c r="K1325" s="1" t="str">
        <f>IF(B1325=0,VLOOKUP(A1325,Feuil2!$A$2:$M$1241,10,FALSE)," ")</f>
        <v xml:space="preserve"> </v>
      </c>
      <c r="L1325" s="1"/>
      <c r="M1325" s="1"/>
      <c r="N1325" s="1"/>
      <c r="O1325" s="8" t="str">
        <f>IF(B1328=0,VLOOKUP(A1328,Feuil2!$A$2:$M$1241,13,FALSE)," ")</f>
        <v xml:space="preserve"> </v>
      </c>
    </row>
    <row r="1326" spans="1:15" x14ac:dyDescent="0.3">
      <c r="A1326" s="1">
        <v>1786</v>
      </c>
      <c r="B1326" s="1">
        <v>2</v>
      </c>
      <c r="C1326" s="1" t="s">
        <v>85</v>
      </c>
      <c r="D1326" s="1" t="s">
        <v>2704</v>
      </c>
      <c r="E1326" s="5">
        <v>39557</v>
      </c>
      <c r="F1326" s="1" t="s">
        <v>506</v>
      </c>
      <c r="G1326" s="1" t="str">
        <f>IF(B1326=0,VLOOKUP(A1326,Feuil2!$A$2:$M$1241,11,FALSE)," ")</f>
        <v xml:space="preserve"> </v>
      </c>
      <c r="H1326" s="1" t="s">
        <v>16</v>
      </c>
      <c r="I1326" s="6" t="str">
        <f>IF(B1326=0,VLOOKUP(A1326,Feuil2!$A$2:$M$1241,7,FALSE)," ")</f>
        <v xml:space="preserve"> </v>
      </c>
      <c r="J1326" s="1" t="str">
        <f>IF(B1326=0,VLOOKUP(A1326,Feuil2!$A$2:$M$1241,9,FALSE)," ")</f>
        <v xml:space="preserve"> </v>
      </c>
      <c r="K1326" s="1" t="str">
        <f>IF(B1326=0,VLOOKUP(A1326,Feuil2!$A$2:$M$1241,10,FALSE)," ")</f>
        <v xml:space="preserve"> </v>
      </c>
      <c r="L1326" s="1"/>
      <c r="M1326" s="1"/>
      <c r="N1326" s="1"/>
      <c r="O1326" s="8" t="str">
        <f>IF(B1329=0,VLOOKUP(A1329,Feuil2!$A$2:$M$1241,13,FALSE)," ")</f>
        <v>12033000000219957460</v>
      </c>
    </row>
    <row r="1327" spans="1:15" x14ac:dyDescent="0.3">
      <c r="A1327" s="1">
        <v>1786</v>
      </c>
      <c r="B1327" s="1">
        <v>3</v>
      </c>
      <c r="C1327" s="1" t="s">
        <v>85</v>
      </c>
      <c r="D1327" s="1" t="s">
        <v>2705</v>
      </c>
      <c r="E1327" s="5">
        <v>40642</v>
      </c>
      <c r="F1327" s="1" t="s">
        <v>506</v>
      </c>
      <c r="G1327" s="1" t="str">
        <f>IF(B1327=0,VLOOKUP(A1327,Feuil2!$A$2:$M$1241,11,FALSE)," ")</f>
        <v xml:space="preserve"> </v>
      </c>
      <c r="H1327" s="1" t="s">
        <v>16</v>
      </c>
      <c r="I1327" s="6" t="str">
        <f>IF(B1327=0,VLOOKUP(A1327,Feuil2!$A$2:$M$1241,7,FALSE)," ")</f>
        <v xml:space="preserve"> </v>
      </c>
      <c r="J1327" s="1" t="str">
        <f>IF(B1327=0,VLOOKUP(A1327,Feuil2!$A$2:$M$1241,9,FALSE)," ")</f>
        <v xml:space="preserve"> </v>
      </c>
      <c r="K1327" s="1" t="str">
        <f>IF(B1327=0,VLOOKUP(A1327,Feuil2!$A$2:$M$1241,10,FALSE)," ")</f>
        <v xml:space="preserve"> </v>
      </c>
      <c r="L1327" s="1"/>
      <c r="M1327" s="1"/>
      <c r="N1327" s="1"/>
      <c r="O1327" s="8" t="str">
        <f>IF(B1330=0,VLOOKUP(A1330,Feuil2!$A$2:$M$1241,13,FALSE)," ")</f>
        <v xml:space="preserve"> </v>
      </c>
    </row>
    <row r="1328" spans="1:15" x14ac:dyDescent="0.3">
      <c r="A1328" s="1">
        <v>1786</v>
      </c>
      <c r="B1328" s="1">
        <v>4</v>
      </c>
      <c r="C1328" s="1" t="s">
        <v>85</v>
      </c>
      <c r="D1328" s="1" t="s">
        <v>2706</v>
      </c>
      <c r="E1328" s="5">
        <v>42412</v>
      </c>
      <c r="F1328" s="1" t="str">
        <f>IF(B1328=0,VLOOKUP(A1328,Feuil2!$A$2:$M$1241,12,FALSE)," ")</f>
        <v xml:space="preserve"> </v>
      </c>
      <c r="G1328" s="1" t="str">
        <f>IF(B1328=0,VLOOKUP(A1328,Feuil2!$A$2:$M$1241,11,FALSE)," ")</f>
        <v xml:space="preserve"> </v>
      </c>
      <c r="H1328" s="1" t="s">
        <v>16</v>
      </c>
      <c r="I1328" s="6" t="str">
        <f>IF(B1328=0,VLOOKUP(A1328,Feuil2!$A$2:$M$1241,7,FALSE)," ")</f>
        <v xml:space="preserve"> </v>
      </c>
      <c r="J1328" s="1" t="str">
        <f>IF(B1328=0,VLOOKUP(A1328,Feuil2!$A$2:$M$1241,9,FALSE)," ")</f>
        <v xml:space="preserve"> </v>
      </c>
      <c r="K1328" s="1" t="str">
        <f>IF(B1328=0,VLOOKUP(A1328,Feuil2!$A$2:$M$1241,10,FALSE)," ")</f>
        <v xml:space="preserve"> </v>
      </c>
      <c r="L1328" s="1"/>
      <c r="M1328" s="1"/>
      <c r="N1328" s="1"/>
      <c r="O1328" s="8" t="str">
        <f>IF(B1331=0,VLOOKUP(A1331,Feuil2!$A$2:$M$1241,13,FALSE)," ")</f>
        <v xml:space="preserve"> </v>
      </c>
    </row>
    <row r="1329" spans="1:15" x14ac:dyDescent="0.3">
      <c r="A1329" s="1">
        <v>1787</v>
      </c>
      <c r="B1329" s="1">
        <v>0</v>
      </c>
      <c r="C1329" s="1" t="str">
        <f>IF(B1329=0,VLOOKUP(A1329,Feuil2!$A$2:$M$1241,2,FALSE)," ")</f>
        <v>BEN ALITA</v>
      </c>
      <c r="D1329" s="1" t="str">
        <f>IF(B1329=0,VLOOKUP(A1329,Feuil2!$A$2:$M$1241,3,FALSE)," ")</f>
        <v>NEBIL</v>
      </c>
      <c r="E1329" s="5">
        <f>IF(B1329=0,VLOOKUP(A1329,Feuil2!$A$2:$M$1241,6,FALSE)," ")</f>
        <v>25851</v>
      </c>
      <c r="F1329" s="1" t="str">
        <f>IF(B1329=0,VLOOKUP(A1329,Feuil2!$A$2:$M$1241,12,FALSE)," ")</f>
        <v>H</v>
      </c>
      <c r="G1329" s="1" t="str">
        <f>IF(B1329=0,VLOOKUP(A1329,Feuil2!$A$2:$M$1241,11,FALSE)," ")</f>
        <v>M</v>
      </c>
      <c r="H1329" s="1" t="s">
        <v>16</v>
      </c>
      <c r="I1329" s="6">
        <f>IF(B1329=0,VLOOKUP(A1329,Feuil2!$A$2:$M$1241,7,FALSE)," ")</f>
        <v>2995878</v>
      </c>
      <c r="J1329" s="1" t="str">
        <f>IF(B1329=0,VLOOKUP(A1329,Feuil2!$A$2:$M$1241,9,FALSE)," ")</f>
        <v>Ecole de Frada</v>
      </c>
      <c r="K1329" s="1" t="str">
        <f>IF(B1329=0,VLOOKUP(A1329,Feuil2!$A$2:$M$1241,10,FALSE)," ")</f>
        <v>Borjine 4015</v>
      </c>
      <c r="L1329" s="1">
        <v>4015</v>
      </c>
      <c r="M1329" s="1">
        <v>97597552</v>
      </c>
      <c r="N1329" s="1"/>
      <c r="O1329" s="8" t="str">
        <f>IF(B1332=0,VLOOKUP(A1332,Feuil2!$A$2:$M$1241,13,FALSE)," ")</f>
        <v xml:space="preserve"> </v>
      </c>
    </row>
    <row r="1330" spans="1:15" x14ac:dyDescent="0.3">
      <c r="A1330" s="1">
        <v>1787</v>
      </c>
      <c r="B1330" s="1">
        <v>1</v>
      </c>
      <c r="C1330" s="1" t="s">
        <v>2707</v>
      </c>
      <c r="D1330" s="1" t="s">
        <v>2708</v>
      </c>
      <c r="E1330" s="5">
        <v>27417</v>
      </c>
      <c r="F1330" s="1" t="s">
        <v>17</v>
      </c>
      <c r="G1330" s="1" t="s">
        <v>15</v>
      </c>
      <c r="H1330" s="1" t="s">
        <v>16</v>
      </c>
      <c r="I1330" s="6" t="str">
        <f>IF(B1330=0,VLOOKUP(A1330,Feuil2!$A$2:$M$1241,7,FALSE)," ")</f>
        <v xml:space="preserve"> </v>
      </c>
      <c r="J1330" s="1" t="str">
        <f>IF(B1330=0,VLOOKUP(A1330,Feuil2!$A$2:$M$1241,9,FALSE)," ")</f>
        <v xml:space="preserve"> </v>
      </c>
      <c r="K1330" s="1" t="str">
        <f>IF(B1330=0,VLOOKUP(A1330,Feuil2!$A$2:$M$1241,10,FALSE)," ")</f>
        <v xml:space="preserve"> </v>
      </c>
      <c r="L1330" s="1"/>
      <c r="M1330" s="1"/>
      <c r="N1330" s="1"/>
      <c r="O1330" s="8" t="str">
        <f>IF(B1333=0,VLOOKUP(A1333,Feuil2!$A$2:$M$1241,13,FALSE)," ")</f>
        <v>12505000580103770640</v>
      </c>
    </row>
    <row r="1331" spans="1:15" x14ac:dyDescent="0.3">
      <c r="A1331" s="1">
        <v>1787</v>
      </c>
      <c r="B1331" s="1">
        <v>2</v>
      </c>
      <c r="C1331" s="1" t="s">
        <v>1695</v>
      </c>
      <c r="D1331" s="1" t="s">
        <v>2627</v>
      </c>
      <c r="E1331" s="5">
        <v>38450</v>
      </c>
      <c r="F1331" s="1" t="s">
        <v>506</v>
      </c>
      <c r="G1331" s="1" t="str">
        <f>IF(B1331=0,VLOOKUP(A1331,Feuil2!$A$2:$M$1241,11,FALSE)," ")</f>
        <v xml:space="preserve"> </v>
      </c>
      <c r="H1331" s="1" t="s">
        <v>16</v>
      </c>
      <c r="I1331" s="6" t="str">
        <f>IF(B1331=0,VLOOKUP(A1331,Feuil2!$A$2:$M$1241,7,FALSE)," ")</f>
        <v xml:space="preserve"> </v>
      </c>
      <c r="J1331" s="1" t="str">
        <f>IF(B1331=0,VLOOKUP(A1331,Feuil2!$A$2:$M$1241,9,FALSE)," ")</f>
        <v xml:space="preserve"> </v>
      </c>
      <c r="K1331" s="1" t="str">
        <f>IF(B1331=0,VLOOKUP(A1331,Feuil2!$A$2:$M$1241,10,FALSE)," ")</f>
        <v xml:space="preserve"> </v>
      </c>
      <c r="L1331" s="1"/>
      <c r="M1331" s="1"/>
      <c r="N1331" s="1"/>
      <c r="O1331" s="8" t="str">
        <f>IF(B1334=0,VLOOKUP(A1334,Feuil2!$A$2:$M$1241,13,FALSE)," ")</f>
        <v xml:space="preserve"> </v>
      </c>
    </row>
    <row r="1332" spans="1:15" x14ac:dyDescent="0.3">
      <c r="A1332" s="1">
        <v>1787</v>
      </c>
      <c r="B1332" s="1">
        <v>3</v>
      </c>
      <c r="C1332" s="1" t="s">
        <v>1695</v>
      </c>
      <c r="D1332" s="1" t="s">
        <v>2337</v>
      </c>
      <c r="E1332" s="5">
        <v>39108</v>
      </c>
      <c r="F1332" s="1" t="s">
        <v>17</v>
      </c>
      <c r="G1332" s="1" t="str">
        <f>IF(B1332=0,VLOOKUP(A1332,Feuil2!$A$2:$M$1241,11,FALSE)," ")</f>
        <v xml:space="preserve"> </v>
      </c>
      <c r="H1332" s="1" t="s">
        <v>16</v>
      </c>
      <c r="I1332" s="6" t="str">
        <f>IF(B1332=0,VLOOKUP(A1332,Feuil2!$A$2:$M$1241,7,FALSE)," ")</f>
        <v xml:space="preserve"> </v>
      </c>
      <c r="J1332" s="1" t="str">
        <f>IF(B1332=0,VLOOKUP(A1332,Feuil2!$A$2:$M$1241,9,FALSE)," ")</f>
        <v xml:space="preserve"> </v>
      </c>
      <c r="K1332" s="1" t="str">
        <f>IF(B1332=0,VLOOKUP(A1332,Feuil2!$A$2:$M$1241,10,FALSE)," ")</f>
        <v xml:space="preserve"> </v>
      </c>
      <c r="L1332" s="1"/>
      <c r="M1332" s="1"/>
      <c r="N1332" s="1"/>
      <c r="O1332" s="8" t="str">
        <f>IF(B1335=0,VLOOKUP(A1335,Feuil2!$A$2:$M$1241,13,FALSE)," ")</f>
        <v xml:space="preserve"> </v>
      </c>
    </row>
    <row r="1333" spans="1:15" x14ac:dyDescent="0.3">
      <c r="A1333" s="1">
        <v>1789</v>
      </c>
      <c r="B1333" s="1">
        <v>0</v>
      </c>
      <c r="C1333" s="1" t="str">
        <f>IF(B1333=0,VLOOKUP(A1333,Feuil2!$A$2:$M$1241,2,FALSE)," ")</f>
        <v>CHIHI</v>
      </c>
      <c r="D1333" s="1" t="str">
        <f>IF(B1333=0,VLOOKUP(A1333,Feuil2!$A$2:$M$1241,3,FALSE)," ")</f>
        <v>MOHAMED SALAH</v>
      </c>
      <c r="E1333" s="5">
        <f>IF(B1333=0,VLOOKUP(A1333,Feuil2!$A$2:$M$1241,6,FALSE)," ")</f>
        <v>29854</v>
      </c>
      <c r="F1333" s="1" t="str">
        <f>IF(B1333=0,VLOOKUP(A1333,Feuil2!$A$2:$M$1241,12,FALSE)," ")</f>
        <v>H</v>
      </c>
      <c r="G1333" s="1" t="str">
        <f>IF(B1333=0,VLOOKUP(A1333,Feuil2!$A$2:$M$1241,11,FALSE)," ")</f>
        <v>M</v>
      </c>
      <c r="H1333" s="1" t="s">
        <v>16</v>
      </c>
      <c r="I1333" s="6">
        <f>IF(B1333=0,VLOOKUP(A1333,Feuil2!$A$2:$M$1241,7,FALSE)," ")</f>
        <v>5597866</v>
      </c>
      <c r="J1333" s="1" t="str">
        <f>IF(B1333=0,VLOOKUP(A1333,Feuil2!$A$2:$M$1241,9,FALSE)," ")</f>
        <v>14 Nouvelle CitÃ©</v>
      </c>
      <c r="K1333" s="1" t="str">
        <f>IF(B1333=0,VLOOKUP(A1333,Feuil2!$A$2:$M$1241,10,FALSE)," ")</f>
        <v>BÃ©ni Kalthoum 4016</v>
      </c>
      <c r="L1333" s="1"/>
      <c r="M1333" s="1">
        <v>97225601</v>
      </c>
      <c r="N1333" s="1"/>
      <c r="O1333" s="8" t="str">
        <f>IF(B1336=0,VLOOKUP(A1336,Feuil2!$A$2:$M$1241,13,FALSE)," ")</f>
        <v xml:space="preserve"> </v>
      </c>
    </row>
    <row r="1334" spans="1:15" x14ac:dyDescent="0.3">
      <c r="A1334" s="1">
        <v>1789</v>
      </c>
      <c r="B1334" s="1">
        <v>1</v>
      </c>
      <c r="C1334" s="1" t="s">
        <v>582</v>
      </c>
      <c r="D1334" s="1" t="s">
        <v>2372</v>
      </c>
      <c r="E1334" s="5">
        <v>30950</v>
      </c>
      <c r="F1334" s="1" t="s">
        <v>17</v>
      </c>
      <c r="G1334" s="1" t="s">
        <v>15</v>
      </c>
      <c r="H1334" s="1" t="s">
        <v>16</v>
      </c>
      <c r="I1334" s="6" t="str">
        <f>IF(B1334=0,VLOOKUP(A1334,Feuil2!$A$2:$M$1241,7,FALSE)," ")</f>
        <v xml:space="preserve"> </v>
      </c>
      <c r="J1334" s="1" t="str">
        <f>IF(B1334=0,VLOOKUP(A1334,Feuil2!$A$2:$M$1241,9,FALSE)," ")</f>
        <v xml:space="preserve"> </v>
      </c>
      <c r="K1334" s="1" t="str">
        <f>IF(B1334=0,VLOOKUP(A1334,Feuil2!$A$2:$M$1241,10,FALSE)," ")</f>
        <v xml:space="preserve"> </v>
      </c>
      <c r="L1334" s="1"/>
      <c r="M1334" s="1"/>
      <c r="N1334" s="1"/>
      <c r="O1334" s="8" t="str">
        <f>IF(B1337=0,VLOOKUP(A1337,Feuil2!$A$2:$M$1241,13,FALSE)," ")</f>
        <v xml:space="preserve"> </v>
      </c>
    </row>
    <row r="1335" spans="1:15" x14ac:dyDescent="0.3">
      <c r="A1335" s="1">
        <v>1789</v>
      </c>
      <c r="B1335" s="1">
        <v>2</v>
      </c>
      <c r="C1335" s="1" t="s">
        <v>238</v>
      </c>
      <c r="D1335" s="1" t="s">
        <v>2347</v>
      </c>
      <c r="E1335" s="5">
        <v>38197</v>
      </c>
      <c r="F1335" s="1" t="s">
        <v>506</v>
      </c>
      <c r="G1335" s="1" t="str">
        <f>IF(B1335=0,VLOOKUP(A1335,Feuil2!$A$2:$M$1241,11,FALSE)," ")</f>
        <v xml:space="preserve"> </v>
      </c>
      <c r="H1335" s="1" t="s">
        <v>16</v>
      </c>
      <c r="I1335" s="6" t="str">
        <f>IF(B1335=0,VLOOKUP(A1335,Feuil2!$A$2:$M$1241,7,FALSE)," ")</f>
        <v xml:space="preserve"> </v>
      </c>
      <c r="J1335" s="1" t="str">
        <f>IF(B1335=0,VLOOKUP(A1335,Feuil2!$A$2:$M$1241,9,FALSE)," ")</f>
        <v xml:space="preserve"> </v>
      </c>
      <c r="K1335" s="1" t="str">
        <f>IF(B1335=0,VLOOKUP(A1335,Feuil2!$A$2:$M$1241,10,FALSE)," ")</f>
        <v xml:space="preserve"> </v>
      </c>
      <c r="L1335" s="1"/>
      <c r="M1335" s="1"/>
      <c r="N1335" s="1"/>
      <c r="O1335" s="8" t="str">
        <f>IF(B1338=0,VLOOKUP(A1338,Feuil2!$A$2:$M$1241,13,FALSE)," ")</f>
        <v xml:space="preserve"> </v>
      </c>
    </row>
    <row r="1336" spans="1:15" x14ac:dyDescent="0.3">
      <c r="A1336" s="1">
        <v>1789</v>
      </c>
      <c r="B1336" s="1">
        <v>3</v>
      </c>
      <c r="C1336" s="1" t="s">
        <v>238</v>
      </c>
      <c r="D1336" s="1" t="s">
        <v>2373</v>
      </c>
      <c r="E1336" s="5">
        <v>39248</v>
      </c>
      <c r="F1336" s="1" t="s">
        <v>17</v>
      </c>
      <c r="G1336" s="1" t="str">
        <f>IF(B1336=0,VLOOKUP(A1336,Feuil2!$A$2:$M$1241,11,FALSE)," ")</f>
        <v xml:space="preserve"> </v>
      </c>
      <c r="H1336" s="1" t="s">
        <v>16</v>
      </c>
      <c r="I1336" s="6" t="str">
        <f>IF(B1336=0,VLOOKUP(A1336,Feuil2!$A$2:$M$1241,7,FALSE)," ")</f>
        <v xml:space="preserve"> </v>
      </c>
      <c r="J1336" s="1" t="str">
        <f>IF(B1336=0,VLOOKUP(A1336,Feuil2!$A$2:$M$1241,9,FALSE)," ")</f>
        <v xml:space="preserve"> </v>
      </c>
      <c r="K1336" s="1" t="str">
        <f>IF(B1336=0,VLOOKUP(A1336,Feuil2!$A$2:$M$1241,10,FALSE)," ")</f>
        <v xml:space="preserve"> </v>
      </c>
      <c r="L1336" s="1"/>
      <c r="M1336" s="1"/>
      <c r="N1336" s="1"/>
      <c r="O1336" s="8" t="str">
        <f>IF(B1339=0,VLOOKUP(A1339,Feuil2!$A$2:$M$1241,13,FALSE)," ")</f>
        <v>10506040512067878854</v>
      </c>
    </row>
    <row r="1337" spans="1:15" x14ac:dyDescent="0.3">
      <c r="A1337" s="1">
        <v>1789</v>
      </c>
      <c r="B1337" s="1">
        <v>4</v>
      </c>
      <c r="C1337" s="1" t="s">
        <v>238</v>
      </c>
      <c r="D1337" s="1" t="s">
        <v>2331</v>
      </c>
      <c r="E1337" s="5">
        <v>40920</v>
      </c>
      <c r="F1337" s="1" t="s">
        <v>17</v>
      </c>
      <c r="G1337" s="1" t="str">
        <f>IF(B1337=0,VLOOKUP(A1337,Feuil2!$A$2:$M$1241,11,FALSE)," ")</f>
        <v xml:space="preserve"> </v>
      </c>
      <c r="H1337" s="1" t="s">
        <v>16</v>
      </c>
      <c r="I1337" s="6" t="str">
        <f>IF(B1337=0,VLOOKUP(A1337,Feuil2!$A$2:$M$1241,7,FALSE)," ")</f>
        <v xml:space="preserve"> </v>
      </c>
      <c r="J1337" s="1" t="str">
        <f>IF(B1337=0,VLOOKUP(A1337,Feuil2!$A$2:$M$1241,9,FALSE)," ")</f>
        <v xml:space="preserve"> </v>
      </c>
      <c r="K1337" s="1" t="str">
        <f>IF(B1337=0,VLOOKUP(A1337,Feuil2!$A$2:$M$1241,10,FALSE)," ")</f>
        <v xml:space="preserve"> </v>
      </c>
      <c r="L1337" s="1"/>
      <c r="M1337" s="1"/>
      <c r="N1337" s="1"/>
      <c r="O1337" s="8" t="str">
        <f>IF(B1340=0,VLOOKUP(A1340,Feuil2!$A$2:$M$1241,13,FALSE)," ")</f>
        <v xml:space="preserve"> </v>
      </c>
    </row>
    <row r="1338" spans="1:15" x14ac:dyDescent="0.3">
      <c r="A1338" s="1">
        <v>1789</v>
      </c>
      <c r="B1338" s="1">
        <v>5</v>
      </c>
      <c r="C1338" s="1" t="s">
        <v>238</v>
      </c>
      <c r="D1338" s="1" t="s">
        <v>287</v>
      </c>
      <c r="E1338" s="5">
        <v>42884</v>
      </c>
      <c r="F1338" s="1" t="s">
        <v>506</v>
      </c>
      <c r="G1338" s="1" t="str">
        <f>IF(B1338=0,VLOOKUP(A1338,Feuil2!$A$2:$M$1241,11,FALSE)," ")</f>
        <v xml:space="preserve"> </v>
      </c>
      <c r="H1338" s="1" t="s">
        <v>16</v>
      </c>
      <c r="I1338" s="6" t="str">
        <f>IF(B1338=0,VLOOKUP(A1338,Feuil2!$A$2:$M$1241,7,FALSE)," ")</f>
        <v xml:space="preserve"> </v>
      </c>
      <c r="J1338" s="1" t="str">
        <f>IF(B1338=0,VLOOKUP(A1338,Feuil2!$A$2:$M$1241,9,FALSE)," ")</f>
        <v xml:space="preserve"> </v>
      </c>
      <c r="K1338" s="1" t="str">
        <f>IF(B1338=0,VLOOKUP(A1338,Feuil2!$A$2:$M$1241,10,FALSE)," ")</f>
        <v xml:space="preserve"> </v>
      </c>
      <c r="L1338" s="1"/>
      <c r="M1338" s="1"/>
      <c r="N1338" s="1"/>
      <c r="O1338" s="8" t="str">
        <f>IF(B1341=0,VLOOKUP(A1341,Feuil2!$A$2:$M$1241,13,FALSE)," ")</f>
        <v xml:space="preserve"> </v>
      </c>
    </row>
    <row r="1339" spans="1:15" x14ac:dyDescent="0.3">
      <c r="A1339" s="1">
        <v>1795</v>
      </c>
      <c r="B1339" s="1">
        <v>0</v>
      </c>
      <c r="C1339" s="1" t="str">
        <f>IF(B1339=0,VLOOKUP(A1339,Feuil2!$A$2:$M$1241,2,FALSE)," ")</f>
        <v>SOUA</v>
      </c>
      <c r="D1339" s="1" t="str">
        <f>IF(B1339=0,VLOOKUP(A1339,Feuil2!$A$2:$M$1241,3,FALSE)," ")</f>
        <v>MOHAMED</v>
      </c>
      <c r="E1339" s="5">
        <f>IF(B1339=0,VLOOKUP(A1339,Feuil2!$A$2:$M$1241,6,FALSE)," ")</f>
        <v>26861</v>
      </c>
      <c r="F1339" s="1" t="str">
        <f>IF(B1339=0,VLOOKUP(A1339,Feuil2!$A$2:$M$1241,12,FALSE)," ")</f>
        <v>H</v>
      </c>
      <c r="G1339" s="1" t="str">
        <f>IF(B1339=0,VLOOKUP(A1339,Feuil2!$A$2:$M$1241,11,FALSE)," ")</f>
        <v>M</v>
      </c>
      <c r="H1339" s="1" t="s">
        <v>16</v>
      </c>
      <c r="I1339" s="6">
        <f>IF(B1339=0,VLOOKUP(A1339,Feuil2!$A$2:$M$1241,7,FALSE)," ")</f>
        <v>5530484</v>
      </c>
      <c r="J1339" s="1" t="str">
        <f>IF(B1339=0,VLOOKUP(A1339,Feuil2!$A$2:$M$1241,9,FALSE)," ")</f>
        <v>10 Rue El Amal</v>
      </c>
      <c r="K1339" s="1" t="str">
        <f>IF(B1339=0,VLOOKUP(A1339,Feuil2!$A$2:$M$1241,10,FALSE)," ")</f>
        <v>Msaken 4070</v>
      </c>
      <c r="L1339" s="1">
        <v>4070</v>
      </c>
      <c r="M1339" s="1">
        <v>98476386</v>
      </c>
      <c r="N1339" s="1"/>
      <c r="O1339" s="8" t="str">
        <f>IF(B1342=0,VLOOKUP(A1342,Feuil2!$A$2:$M$1241,13,FALSE)," ")</f>
        <v xml:space="preserve"> </v>
      </c>
    </row>
    <row r="1340" spans="1:15" x14ac:dyDescent="0.3">
      <c r="A1340" s="1">
        <v>1795</v>
      </c>
      <c r="B1340" s="1">
        <v>1</v>
      </c>
      <c r="C1340" s="1" t="s">
        <v>2653</v>
      </c>
      <c r="D1340" s="1" t="s">
        <v>501</v>
      </c>
      <c r="E1340" s="5">
        <v>28047</v>
      </c>
      <c r="F1340" s="1" t="s">
        <v>17</v>
      </c>
      <c r="G1340" s="1" t="s">
        <v>15</v>
      </c>
      <c r="H1340" s="1" t="s">
        <v>16</v>
      </c>
      <c r="I1340" s="6" t="str">
        <f>IF(B1340=0,VLOOKUP(A1340,Feuil2!$A$2:$M$1241,7,FALSE)," ")</f>
        <v xml:space="preserve"> </v>
      </c>
      <c r="J1340" s="1" t="str">
        <f>IF(B1340=0,VLOOKUP(A1340,Feuil2!$A$2:$M$1241,9,FALSE)," ")</f>
        <v xml:space="preserve"> </v>
      </c>
      <c r="K1340" s="1" t="str">
        <f>IF(B1340=0,VLOOKUP(A1340,Feuil2!$A$2:$M$1241,10,FALSE)," ")</f>
        <v xml:space="preserve"> </v>
      </c>
      <c r="L1340" s="1"/>
      <c r="M1340" s="1"/>
      <c r="N1340" s="1"/>
      <c r="O1340" s="8" t="str">
        <f>IF(B1343=0,VLOOKUP(A1343,Feuil2!$A$2:$M$1241,13,FALSE)," ")</f>
        <v xml:space="preserve"> </v>
      </c>
    </row>
    <row r="1341" spans="1:15" x14ac:dyDescent="0.3">
      <c r="A1341" s="1">
        <v>1795</v>
      </c>
      <c r="B1341" s="1">
        <v>2</v>
      </c>
      <c r="C1341" s="1" t="s">
        <v>324</v>
      </c>
      <c r="D1341" s="1" t="s">
        <v>2643</v>
      </c>
      <c r="E1341" s="5">
        <v>38632</v>
      </c>
      <c r="F1341" s="1" t="s">
        <v>17</v>
      </c>
      <c r="G1341" s="1" t="str">
        <f>IF(B1341=0,VLOOKUP(A1341,Feuil2!$A$2:$M$1241,11,FALSE)," ")</f>
        <v xml:space="preserve"> </v>
      </c>
      <c r="H1341" s="1" t="s">
        <v>16</v>
      </c>
      <c r="I1341" s="6" t="str">
        <f>IF(B1341=0,VLOOKUP(A1341,Feuil2!$A$2:$M$1241,7,FALSE)," ")</f>
        <v xml:space="preserve"> </v>
      </c>
      <c r="J1341" s="1" t="str">
        <f>IF(B1341=0,VLOOKUP(A1341,Feuil2!$A$2:$M$1241,9,FALSE)," ")</f>
        <v xml:space="preserve"> </v>
      </c>
      <c r="K1341" s="1" t="str">
        <f>IF(B1341=0,VLOOKUP(A1341,Feuil2!$A$2:$M$1241,10,FALSE)," ")</f>
        <v xml:space="preserve"> </v>
      </c>
      <c r="L1341" s="1"/>
      <c r="M1341" s="1"/>
      <c r="N1341" s="1"/>
      <c r="O1341" s="8" t="str">
        <f>IF(B1344=0,VLOOKUP(A1344,Feuil2!$A$2:$M$1241,13,FALSE)," ")</f>
        <v xml:space="preserve"> </v>
      </c>
    </row>
    <row r="1342" spans="1:15" x14ac:dyDescent="0.3">
      <c r="A1342" s="1">
        <v>1795</v>
      </c>
      <c r="B1342" s="1">
        <v>3</v>
      </c>
      <c r="C1342" s="1" t="s">
        <v>324</v>
      </c>
      <c r="D1342" s="1" t="s">
        <v>122</v>
      </c>
      <c r="E1342" s="5">
        <v>39145</v>
      </c>
      <c r="F1342" s="1" t="s">
        <v>506</v>
      </c>
      <c r="G1342" s="1" t="str">
        <f>IF(B1342=0,VLOOKUP(A1342,Feuil2!$A$2:$M$1241,11,FALSE)," ")</f>
        <v xml:space="preserve"> </v>
      </c>
      <c r="H1342" s="1" t="s">
        <v>16</v>
      </c>
      <c r="I1342" s="6" t="str">
        <f>IF(B1342=0,VLOOKUP(A1342,Feuil2!$A$2:$M$1241,7,FALSE)," ")</f>
        <v xml:space="preserve"> </v>
      </c>
      <c r="J1342" s="1" t="str">
        <f>IF(B1342=0,VLOOKUP(A1342,Feuil2!$A$2:$M$1241,9,FALSE)," ")</f>
        <v xml:space="preserve"> </v>
      </c>
      <c r="K1342" s="1" t="str">
        <f>IF(B1342=0,VLOOKUP(A1342,Feuil2!$A$2:$M$1241,10,FALSE)," ")</f>
        <v xml:space="preserve"> </v>
      </c>
      <c r="L1342" s="1"/>
      <c r="M1342" s="1"/>
      <c r="N1342" s="1"/>
      <c r="O1342" s="8" t="str">
        <f>IF(B1345=0,VLOOKUP(A1345,Feuil2!$A$2:$M$1241,13,FALSE)," ")</f>
        <v>03508056010110198422</v>
      </c>
    </row>
    <row r="1343" spans="1:15" x14ac:dyDescent="0.3">
      <c r="A1343" s="1">
        <v>1795</v>
      </c>
      <c r="B1343" s="1">
        <v>4</v>
      </c>
      <c r="C1343" s="1" t="s">
        <v>324</v>
      </c>
      <c r="D1343" s="1" t="s">
        <v>2385</v>
      </c>
      <c r="E1343" s="5">
        <v>40670</v>
      </c>
      <c r="F1343" s="1" t="s">
        <v>17</v>
      </c>
      <c r="G1343" s="1" t="str">
        <f>IF(B1343=0,VLOOKUP(A1343,Feuil2!$A$2:$M$1241,11,FALSE)," ")</f>
        <v xml:space="preserve"> </v>
      </c>
      <c r="H1343" s="1" t="s">
        <v>16</v>
      </c>
      <c r="I1343" s="6" t="str">
        <f>IF(B1343=0,VLOOKUP(A1343,Feuil2!$A$2:$M$1241,7,FALSE)," ")</f>
        <v xml:space="preserve"> </v>
      </c>
      <c r="J1343" s="1" t="str">
        <f>IF(B1343=0,VLOOKUP(A1343,Feuil2!$A$2:$M$1241,9,FALSE)," ")</f>
        <v xml:space="preserve"> </v>
      </c>
      <c r="K1343" s="1" t="str">
        <f>IF(B1343=0,VLOOKUP(A1343,Feuil2!$A$2:$M$1241,10,FALSE)," ")</f>
        <v xml:space="preserve"> </v>
      </c>
      <c r="L1343" s="1"/>
      <c r="M1343" s="1"/>
      <c r="N1343" s="1"/>
      <c r="O1343" s="8" t="str">
        <f>IF(B1346=0,VLOOKUP(A1346,Feuil2!$A$2:$M$1241,13,FALSE)," ")</f>
        <v xml:space="preserve"> </v>
      </c>
    </row>
    <row r="1344" spans="1:15" x14ac:dyDescent="0.3">
      <c r="A1344" s="1">
        <v>1795</v>
      </c>
      <c r="B1344" s="1">
        <v>5</v>
      </c>
      <c r="C1344" s="1" t="s">
        <v>324</v>
      </c>
      <c r="D1344" s="1" t="s">
        <v>61</v>
      </c>
      <c r="E1344" s="5">
        <v>42563</v>
      </c>
      <c r="F1344" s="1" t="s">
        <v>506</v>
      </c>
      <c r="G1344" s="1" t="str">
        <f>IF(B1344=0,VLOOKUP(A1344,Feuil2!$A$2:$M$1241,11,FALSE)," ")</f>
        <v xml:space="preserve"> </v>
      </c>
      <c r="H1344" s="1" t="s">
        <v>16</v>
      </c>
      <c r="I1344" s="6" t="str">
        <f>IF(B1344=0,VLOOKUP(A1344,Feuil2!$A$2:$M$1241,7,FALSE)," ")</f>
        <v xml:space="preserve"> </v>
      </c>
      <c r="J1344" s="1" t="str">
        <f>IF(B1344=0,VLOOKUP(A1344,Feuil2!$A$2:$M$1241,9,FALSE)," ")</f>
        <v xml:space="preserve"> </v>
      </c>
      <c r="K1344" s="1" t="str">
        <f>IF(B1344=0,VLOOKUP(A1344,Feuil2!$A$2:$M$1241,10,FALSE)," ")</f>
        <v xml:space="preserve"> </v>
      </c>
      <c r="L1344" s="1"/>
      <c r="M1344" s="1"/>
      <c r="N1344" s="1"/>
      <c r="O1344" s="8" t="str">
        <f>IF(B1347=0,VLOOKUP(A1347,Feuil2!$A$2:$M$1241,13,FALSE)," ")</f>
        <v xml:space="preserve"> </v>
      </c>
    </row>
    <row r="1345" spans="1:18" x14ac:dyDescent="0.3">
      <c r="A1345" s="1">
        <v>1800</v>
      </c>
      <c r="B1345" s="1">
        <v>0</v>
      </c>
      <c r="C1345" s="1" t="str">
        <f>IF(B1345=0,VLOOKUP(A1345,Feuil2!$A$2:$M$1241,2,FALSE)," ")</f>
        <v>BEN CHAOUACHA</v>
      </c>
      <c r="D1345" s="1" t="str">
        <f>IF(B1345=0,VLOOKUP(A1345,Feuil2!$A$2:$M$1241,3,FALSE)," ")</f>
        <v>WAHIB</v>
      </c>
      <c r="E1345" s="5">
        <f>IF(B1345=0,VLOOKUP(A1345,Feuil2!$A$2:$M$1241,6,FALSE)," ")</f>
        <v>25260</v>
      </c>
      <c r="F1345" s="1" t="str">
        <f>IF(B1345=0,VLOOKUP(A1345,Feuil2!$A$2:$M$1241,12,FALSE)," ")</f>
        <v>H</v>
      </c>
      <c r="G1345" s="1" t="str">
        <f>IF(B1345=0,VLOOKUP(A1345,Feuil2!$A$2:$M$1241,11,FALSE)," ")</f>
        <v>M</v>
      </c>
      <c r="H1345" s="1" t="s">
        <v>16</v>
      </c>
      <c r="I1345" s="6">
        <f>IF(B1345=0,VLOOKUP(A1345,Feuil2!$A$2:$M$1241,7,FALSE)," ")</f>
        <v>2999994</v>
      </c>
      <c r="J1345" s="1" t="str">
        <f>IF(B1345=0,VLOOKUP(A1345,Feuil2!$A$2:$M$1241,9,FALSE)," ")</f>
        <v>8 Impasse Essaada</v>
      </c>
      <c r="K1345" s="1" t="str">
        <f>IF(B1345=0,VLOOKUP(A1345,Feuil2!$A$2:$M$1241,10,FALSE)," ")</f>
        <v>Kessibet Sousse</v>
      </c>
      <c r="L1345" s="1"/>
      <c r="M1345" s="1">
        <v>52989628</v>
      </c>
      <c r="N1345" s="1"/>
      <c r="O1345" s="8" t="str">
        <f>IF(B1348=0,VLOOKUP(A1348,Feuil2!$A$2:$M$1241,13,FALSE)," ")</f>
        <v xml:space="preserve"> </v>
      </c>
    </row>
    <row r="1346" spans="1:18" x14ac:dyDescent="0.3">
      <c r="A1346" s="1">
        <v>1800</v>
      </c>
      <c r="B1346" s="1">
        <v>1</v>
      </c>
      <c r="C1346" s="1" t="s">
        <v>2709</v>
      </c>
      <c r="D1346" s="1" t="s">
        <v>1094</v>
      </c>
      <c r="E1346" s="5">
        <v>28739</v>
      </c>
      <c r="F1346" s="1" t="s">
        <v>17</v>
      </c>
      <c r="G1346" s="1" t="s">
        <v>15</v>
      </c>
      <c r="H1346" s="1" t="s">
        <v>16</v>
      </c>
      <c r="I1346" s="6" t="str">
        <f>IF(B1346=0,VLOOKUP(A1346,Feuil2!$A$2:$M$1241,7,FALSE)," ")</f>
        <v xml:space="preserve"> </v>
      </c>
      <c r="J1346" s="1" t="str">
        <f>IF(B1346=0,VLOOKUP(A1346,Feuil2!$A$2:$M$1241,9,FALSE)," ")</f>
        <v xml:space="preserve"> </v>
      </c>
      <c r="K1346" s="1" t="str">
        <f>IF(B1346=0,VLOOKUP(A1346,Feuil2!$A$2:$M$1241,10,FALSE)," ")</f>
        <v xml:space="preserve"> </v>
      </c>
      <c r="L1346" s="1"/>
      <c r="M1346" s="1"/>
      <c r="N1346" s="1"/>
      <c r="O1346" s="8" t="str">
        <f>IF(B1349=0,VLOOKUP(A1349,Feuil2!$A$2:$M$1241,13,FALSE)," ")</f>
        <v xml:space="preserve"> </v>
      </c>
    </row>
    <row r="1347" spans="1:18" x14ac:dyDescent="0.3">
      <c r="A1347" s="1">
        <v>1800</v>
      </c>
      <c r="B1347" s="1">
        <v>2</v>
      </c>
      <c r="C1347" s="1" t="s">
        <v>1617</v>
      </c>
      <c r="D1347" s="1" t="s">
        <v>2530</v>
      </c>
      <c r="E1347" s="5">
        <v>38302</v>
      </c>
      <c r="F1347" s="1" t="s">
        <v>506</v>
      </c>
      <c r="G1347" s="1" t="str">
        <f>IF(B1347=0,VLOOKUP(A1347,Feuil2!$A$2:$M$1241,11,FALSE)," ")</f>
        <v xml:space="preserve"> </v>
      </c>
      <c r="H1347" s="1" t="s">
        <v>16</v>
      </c>
      <c r="I1347" s="6" t="str">
        <f>IF(B1347=0,VLOOKUP(A1347,Feuil2!$A$2:$M$1241,7,FALSE)," ")</f>
        <v xml:space="preserve"> </v>
      </c>
      <c r="J1347" s="1" t="str">
        <f>IF(B1347=0,VLOOKUP(A1347,Feuil2!$A$2:$M$1241,9,FALSE)," ")</f>
        <v xml:space="preserve"> </v>
      </c>
      <c r="K1347" s="1" t="str">
        <f>IF(B1347=0,VLOOKUP(A1347,Feuil2!$A$2:$M$1241,10,FALSE)," ")</f>
        <v xml:space="preserve"> </v>
      </c>
      <c r="L1347" s="1"/>
      <c r="M1347" s="1"/>
      <c r="N1347" s="1"/>
      <c r="O1347" s="8" t="str">
        <f>IF(B1350=0,VLOOKUP(A1350,Feuil2!$A$2:$M$1241,13,FALSE)," ")</f>
        <v>10506040206252678817</v>
      </c>
      <c r="P1347" s="16"/>
      <c r="Q1347" s="16"/>
      <c r="R1347" s="16"/>
    </row>
    <row r="1348" spans="1:18" x14ac:dyDescent="0.3">
      <c r="A1348" s="1">
        <v>1800</v>
      </c>
      <c r="B1348" s="1">
        <v>3</v>
      </c>
      <c r="C1348" s="1" t="s">
        <v>1617</v>
      </c>
      <c r="D1348" s="1" t="s">
        <v>2367</v>
      </c>
      <c r="E1348" s="5">
        <v>38730</v>
      </c>
      <c r="F1348" s="1" t="s">
        <v>17</v>
      </c>
      <c r="G1348" s="1" t="str">
        <f>IF(B1348=0,VLOOKUP(A1348,Feuil2!$A$2:$M$1241,11,FALSE)," ")</f>
        <v xml:space="preserve"> </v>
      </c>
      <c r="H1348" s="1" t="s">
        <v>16</v>
      </c>
      <c r="I1348" s="6" t="str">
        <f>IF(B1348=0,VLOOKUP(A1348,Feuil2!$A$2:$M$1241,7,FALSE)," ")</f>
        <v xml:space="preserve"> </v>
      </c>
      <c r="J1348" s="1" t="str">
        <f>IF(B1348=0,VLOOKUP(A1348,Feuil2!$A$2:$M$1241,9,FALSE)," ")</f>
        <v xml:space="preserve"> </v>
      </c>
      <c r="K1348" s="1" t="str">
        <f>IF(B1348=0,VLOOKUP(A1348,Feuil2!$A$2:$M$1241,10,FALSE)," ")</f>
        <v xml:space="preserve"> </v>
      </c>
      <c r="L1348" s="1"/>
      <c r="M1348" s="1"/>
      <c r="N1348" s="1"/>
      <c r="O1348" s="8" t="str">
        <f>IF(B1351=0,VLOOKUP(A1351,Feuil2!$A$2:$M$1241,13,FALSE)," ")</f>
        <v xml:space="preserve"> </v>
      </c>
    </row>
    <row r="1349" spans="1:18" x14ac:dyDescent="0.3">
      <c r="A1349" s="1">
        <v>1800</v>
      </c>
      <c r="B1349" s="1">
        <v>4</v>
      </c>
      <c r="C1349" s="1" t="s">
        <v>1617</v>
      </c>
      <c r="D1349" s="1" t="s">
        <v>2710</v>
      </c>
      <c r="E1349" s="5">
        <v>41577</v>
      </c>
      <c r="F1349" s="1" t="s">
        <v>506</v>
      </c>
      <c r="G1349" s="1" t="str">
        <f>IF(B1349=0,VLOOKUP(A1349,Feuil2!$A$2:$M$1241,11,FALSE)," ")</f>
        <v xml:space="preserve"> </v>
      </c>
      <c r="H1349" s="1" t="s">
        <v>16</v>
      </c>
      <c r="I1349" s="6" t="str">
        <f>IF(B1349=0,VLOOKUP(A1349,Feuil2!$A$2:$M$1241,7,FALSE)," ")</f>
        <v xml:space="preserve"> </v>
      </c>
      <c r="J1349" s="1" t="str">
        <f>IF(B1349=0,VLOOKUP(A1349,Feuil2!$A$2:$M$1241,9,FALSE)," ")</f>
        <v xml:space="preserve"> </v>
      </c>
      <c r="K1349" s="1" t="str">
        <f>IF(B1349=0,VLOOKUP(A1349,Feuil2!$A$2:$M$1241,10,FALSE)," ")</f>
        <v xml:space="preserve"> </v>
      </c>
      <c r="L1349" s="1"/>
      <c r="M1349" s="1"/>
      <c r="N1349" s="1"/>
      <c r="O1349" s="8" t="str">
        <f>IF(B1352=0,VLOOKUP(A1352,Feuil2!$A$2:$M$1241,13,FALSE)," ")</f>
        <v xml:space="preserve"> </v>
      </c>
    </row>
    <row r="1350" spans="1:18" x14ac:dyDescent="0.3">
      <c r="A1350" s="1">
        <v>1802</v>
      </c>
      <c r="B1350" s="1">
        <v>0</v>
      </c>
      <c r="C1350" s="1" t="str">
        <f>IF(B1350=0,VLOOKUP(A1350,Feuil2!$A$2:$M$1241,2,FALSE)," ")</f>
        <v>BHIRI</v>
      </c>
      <c r="D1350" s="1" t="str">
        <f>IF(B1350=0,VLOOKUP(A1350,Feuil2!$A$2:$M$1241,3,FALSE)," ")</f>
        <v>SABEUR</v>
      </c>
      <c r="E1350" s="5">
        <f>IF(B1350=0,VLOOKUP(A1350,Feuil2!$A$2:$M$1241,6,FALSE)," ")</f>
        <v>29045</v>
      </c>
      <c r="F1350" s="1" t="str">
        <f>IF(B1350=0,VLOOKUP(A1350,Feuil2!$A$2:$M$1241,12,FALSE)," ")</f>
        <v>H</v>
      </c>
      <c r="G1350" s="1" t="str">
        <f>IF(B1350=0,VLOOKUP(A1350,Feuil2!$A$2:$M$1241,11,FALSE)," ")</f>
        <v>M</v>
      </c>
      <c r="H1350" s="1" t="s">
        <v>16</v>
      </c>
      <c r="I1350" s="6">
        <f>IF(B1350=0,VLOOKUP(A1350,Feuil2!$A$2:$M$1241,7,FALSE)," ")</f>
        <v>5588831</v>
      </c>
      <c r="J1350" s="1" t="str">
        <f>IF(B1350=0,VLOOKUP(A1350,Feuil2!$A$2:$M$1241,9,FALSE)," ")</f>
        <v>163 Rue Hedi Chaker</v>
      </c>
      <c r="K1350" s="1" t="str">
        <f>IF(B1350=0,VLOOKUP(A1350,Feuil2!$A$2:$M$1241,10,FALSE)," ")</f>
        <v>Msaken 4070</v>
      </c>
      <c r="L1350" s="1">
        <v>4070</v>
      </c>
      <c r="M1350" s="1">
        <v>25367249</v>
      </c>
      <c r="N1350" s="1"/>
      <c r="O1350" s="8" t="str">
        <f>IF(B1353=0,VLOOKUP(A1353,Feuil2!$A$2:$M$1241,13,FALSE)," ")</f>
        <v xml:space="preserve"> </v>
      </c>
    </row>
    <row r="1351" spans="1:18" x14ac:dyDescent="0.3">
      <c r="A1351" s="1">
        <v>1802</v>
      </c>
      <c r="B1351" s="1">
        <v>1</v>
      </c>
      <c r="C1351" s="1" t="s">
        <v>3011</v>
      </c>
      <c r="D1351" s="1" t="s">
        <v>1541</v>
      </c>
      <c r="E1351" s="5">
        <v>28950</v>
      </c>
      <c r="F1351" s="1" t="s">
        <v>17</v>
      </c>
      <c r="G1351" s="1" t="s">
        <v>15</v>
      </c>
      <c r="H1351" s="1" t="s">
        <v>16</v>
      </c>
      <c r="I1351" s="6" t="str">
        <f>IF(B1351=0,VLOOKUP(A1351,Feuil2!$A$2:$M$1241,7,FALSE)," ")</f>
        <v xml:space="preserve"> </v>
      </c>
      <c r="J1351" s="1" t="str">
        <f>IF(B1351=0,VLOOKUP(A1351,Feuil2!$A$2:$M$1241,9,FALSE)," ")</f>
        <v xml:space="preserve"> </v>
      </c>
      <c r="K1351" s="1" t="str">
        <f>IF(B1351=0,VLOOKUP(A1351,Feuil2!$A$2:$M$1241,10,FALSE)," ")</f>
        <v xml:space="preserve"> </v>
      </c>
      <c r="L1351" s="1"/>
      <c r="M1351" s="1"/>
      <c r="N1351" s="1"/>
      <c r="O1351" s="8" t="str">
        <f>IF(B1354=0,VLOOKUP(A1354,Feuil2!$A$2:$M$1241,13,FALSE)," ")</f>
        <v xml:space="preserve"> </v>
      </c>
    </row>
    <row r="1352" spans="1:18" x14ac:dyDescent="0.3">
      <c r="A1352" s="1">
        <v>1802</v>
      </c>
      <c r="B1352" s="1">
        <v>2</v>
      </c>
      <c r="C1352" s="1" t="s">
        <v>193</v>
      </c>
      <c r="D1352" s="1" t="s">
        <v>34</v>
      </c>
      <c r="E1352" s="5">
        <v>36817</v>
      </c>
      <c r="F1352" s="1" t="s">
        <v>506</v>
      </c>
      <c r="G1352" s="1" t="str">
        <f>IF(B1352=0,VLOOKUP(A1352,Feuil2!$A$2:$M$1241,11,FALSE)," ")</f>
        <v xml:space="preserve"> </v>
      </c>
      <c r="H1352" s="1" t="s">
        <v>16</v>
      </c>
      <c r="I1352" s="6" t="str">
        <f>IF(B1352=0,VLOOKUP(A1352,Feuil2!$A$2:$M$1241,7,FALSE)," ")</f>
        <v xml:space="preserve"> </v>
      </c>
      <c r="J1352" s="1" t="str">
        <f>IF(B1352=0,VLOOKUP(A1352,Feuil2!$A$2:$M$1241,9,FALSE)," ")</f>
        <v xml:space="preserve"> </v>
      </c>
      <c r="K1352" s="1" t="str">
        <f>IF(B1352=0,VLOOKUP(A1352,Feuil2!$A$2:$M$1241,10,FALSE)," ")</f>
        <v xml:space="preserve"> </v>
      </c>
      <c r="L1352" s="1"/>
      <c r="M1352" s="1"/>
      <c r="N1352" s="1"/>
      <c r="O1352" s="8" t="str">
        <f>IF(B1355=0,VLOOKUP(A1355,Feuil2!$A$2:$M$1241,13,FALSE)," ")</f>
        <v>10506040504443978875</v>
      </c>
    </row>
    <row r="1353" spans="1:18" x14ac:dyDescent="0.3">
      <c r="A1353" s="1">
        <v>1802</v>
      </c>
      <c r="B1353" s="1">
        <v>3</v>
      </c>
      <c r="C1353" s="1" t="s">
        <v>193</v>
      </c>
      <c r="D1353" s="1" t="s">
        <v>89</v>
      </c>
      <c r="E1353" s="5">
        <v>39065</v>
      </c>
      <c r="F1353" s="1" t="s">
        <v>506</v>
      </c>
      <c r="G1353" s="1" t="str">
        <f>IF(B1353=0,VLOOKUP(A1353,Feuil2!$A$2:$M$1241,11,FALSE)," ")</f>
        <v xml:space="preserve"> </v>
      </c>
      <c r="H1353" s="1" t="s">
        <v>16</v>
      </c>
      <c r="I1353" s="6" t="str">
        <f>IF(B1353=0,VLOOKUP(A1353,Feuil2!$A$2:$M$1241,7,FALSE)," ")</f>
        <v xml:space="preserve"> </v>
      </c>
      <c r="J1353" s="1" t="str">
        <f>IF(B1353=0,VLOOKUP(A1353,Feuil2!$A$2:$M$1241,9,FALSE)," ")</f>
        <v xml:space="preserve"> </v>
      </c>
      <c r="K1353" s="1" t="str">
        <f>IF(B1353=0,VLOOKUP(A1353,Feuil2!$A$2:$M$1241,10,FALSE)," ")</f>
        <v xml:space="preserve"> </v>
      </c>
      <c r="L1353" s="1"/>
      <c r="M1353" s="1"/>
      <c r="N1353" s="1"/>
      <c r="O1353" s="8" t="str">
        <f>IF(B1356=0,VLOOKUP(A1356,Feuil2!$A$2:$M$1241,13,FALSE)," ")</f>
        <v xml:space="preserve"> </v>
      </c>
    </row>
    <row r="1354" spans="1:18" x14ac:dyDescent="0.3">
      <c r="A1354" s="1">
        <v>1802</v>
      </c>
      <c r="B1354" s="1">
        <v>4</v>
      </c>
      <c r="C1354" s="1" t="s">
        <v>193</v>
      </c>
      <c r="D1354" s="1" t="s">
        <v>2661</v>
      </c>
      <c r="E1354" s="5">
        <v>41827</v>
      </c>
      <c r="F1354" s="1" t="s">
        <v>506</v>
      </c>
      <c r="G1354" s="1" t="str">
        <f>IF(B1354=0,VLOOKUP(A1354,Feuil2!$A$2:$M$1241,11,FALSE)," ")</f>
        <v xml:space="preserve"> </v>
      </c>
      <c r="H1354" s="1" t="s">
        <v>16</v>
      </c>
      <c r="I1354" s="6" t="str">
        <f>IF(B1354=0,VLOOKUP(A1354,Feuil2!$A$2:$M$1241,7,FALSE)," ")</f>
        <v xml:space="preserve"> </v>
      </c>
      <c r="J1354" s="1" t="str">
        <f>IF(B1354=0,VLOOKUP(A1354,Feuil2!$A$2:$M$1241,9,FALSE)," ")</f>
        <v xml:space="preserve"> </v>
      </c>
      <c r="K1354" s="1" t="str">
        <f>IF(B1354=0,VLOOKUP(A1354,Feuil2!$A$2:$M$1241,10,FALSE)," ")</f>
        <v xml:space="preserve"> </v>
      </c>
      <c r="L1354" s="1"/>
      <c r="M1354" s="1"/>
      <c r="N1354" s="1"/>
      <c r="O1354" s="8" t="str">
        <f>IF(B1357=0,VLOOKUP(A1357,Feuil2!$A$2:$M$1241,13,FALSE)," ")</f>
        <v xml:space="preserve"> </v>
      </c>
    </row>
    <row r="1355" spans="1:18" x14ac:dyDescent="0.3">
      <c r="A1355" s="1">
        <v>1803</v>
      </c>
      <c r="B1355" s="1">
        <v>0</v>
      </c>
      <c r="C1355" s="1" t="str">
        <f>IF(B1355=0,VLOOKUP(A1355,Feuil2!$A$2:$M$1241,2,FALSE)," ")</f>
        <v>GAM</v>
      </c>
      <c r="D1355" s="1" t="str">
        <f>IF(B1355=0,VLOOKUP(A1355,Feuil2!$A$2:$M$1241,3,FALSE)," ")</f>
        <v>HAMDI</v>
      </c>
      <c r="E1355" s="5">
        <f>IF(B1355=0,VLOOKUP(A1355,Feuil2!$A$2:$M$1241,6,FALSE)," ")</f>
        <v>27882</v>
      </c>
      <c r="F1355" s="1" t="str">
        <f>IF(B1355=0,VLOOKUP(A1355,Feuil2!$A$2:$M$1241,12,FALSE)," ")</f>
        <v>H</v>
      </c>
      <c r="G1355" s="1" t="str">
        <f>IF(B1355=0,VLOOKUP(A1355,Feuil2!$A$2:$M$1241,11,FALSE)," ")</f>
        <v>M</v>
      </c>
      <c r="H1355" s="1" t="s">
        <v>16</v>
      </c>
      <c r="I1355" s="6">
        <f>IF(B1355=0,VLOOKUP(A1355,Feuil2!$A$2:$M$1241,7,FALSE)," ")</f>
        <v>5577003</v>
      </c>
      <c r="J1355" s="1" t="str">
        <f>IF(B1355=0,VLOOKUP(A1355,Feuil2!$A$2:$M$1241,9,FALSE)," ")</f>
        <v>267 Rue Habib Thameur</v>
      </c>
      <c r="K1355" s="1" t="str">
        <f>IF(B1355=0,VLOOKUP(A1355,Feuil2!$A$2:$M$1241,10,FALSE)," ")</f>
        <v>Msaken 4070</v>
      </c>
      <c r="L1355" s="1">
        <v>4070</v>
      </c>
      <c r="M1355" s="1">
        <v>21880700</v>
      </c>
      <c r="N1355" s="1"/>
      <c r="O1355" s="8" t="str">
        <f>IF(B1358=0,VLOOKUP(A1358,Feuil2!$A$2:$M$1241,13,FALSE)," ")</f>
        <v xml:space="preserve"> </v>
      </c>
    </row>
    <row r="1356" spans="1:18" x14ac:dyDescent="0.3">
      <c r="A1356" s="1">
        <v>1803</v>
      </c>
      <c r="B1356" s="1">
        <v>1</v>
      </c>
      <c r="C1356" s="1" t="s">
        <v>451</v>
      </c>
      <c r="D1356" s="1" t="s">
        <v>2316</v>
      </c>
      <c r="E1356" s="5">
        <v>29537</v>
      </c>
      <c r="F1356" s="1" t="s">
        <v>17</v>
      </c>
      <c r="G1356" s="1" t="s">
        <v>15</v>
      </c>
      <c r="H1356" s="1" t="s">
        <v>16</v>
      </c>
      <c r="I1356" s="6" t="str">
        <f>IF(B1356=0,VLOOKUP(A1356,Feuil2!$A$2:$M$1241,7,FALSE)," ")</f>
        <v xml:space="preserve"> </v>
      </c>
      <c r="J1356" s="1" t="str">
        <f>IF(B1356=0,VLOOKUP(A1356,Feuil2!$A$2:$M$1241,9,FALSE)," ")</f>
        <v xml:space="preserve"> </v>
      </c>
      <c r="K1356" s="1" t="str">
        <f>IF(B1356=0,VLOOKUP(A1356,Feuil2!$A$2:$M$1241,10,FALSE)," ")</f>
        <v xml:space="preserve"> </v>
      </c>
      <c r="L1356" s="1"/>
      <c r="M1356" s="1"/>
      <c r="N1356" s="1"/>
      <c r="O1356" s="8" t="str">
        <f>IF(B1359=0,VLOOKUP(A1359,Feuil2!$A$2:$M$1241,13,FALSE)," ")</f>
        <v>04204067404001064919</v>
      </c>
    </row>
    <row r="1357" spans="1:18" x14ac:dyDescent="0.3">
      <c r="A1357" s="1">
        <v>1803</v>
      </c>
      <c r="B1357" s="1">
        <v>2</v>
      </c>
      <c r="C1357" s="1" t="s">
        <v>309</v>
      </c>
      <c r="D1357" s="1" t="s">
        <v>89</v>
      </c>
      <c r="E1357" s="5">
        <v>39527</v>
      </c>
      <c r="F1357" s="1" t="s">
        <v>506</v>
      </c>
      <c r="G1357" s="1" t="str">
        <f>IF(B1357=0,VLOOKUP(A1357,Feuil2!$A$2:$M$1241,11,FALSE)," ")</f>
        <v xml:space="preserve"> </v>
      </c>
      <c r="H1357" s="1" t="s">
        <v>16</v>
      </c>
      <c r="I1357" s="6" t="str">
        <f>IF(B1357=0,VLOOKUP(A1357,Feuil2!$A$2:$M$1241,7,FALSE)," ")</f>
        <v xml:space="preserve"> </v>
      </c>
      <c r="J1357" s="1" t="str">
        <f>IF(B1357=0,VLOOKUP(A1357,Feuil2!$A$2:$M$1241,9,FALSE)," ")</f>
        <v xml:space="preserve"> </v>
      </c>
      <c r="K1357" s="1" t="str">
        <f>IF(B1357=0,VLOOKUP(A1357,Feuil2!$A$2:$M$1241,10,FALSE)," ")</f>
        <v xml:space="preserve"> </v>
      </c>
      <c r="L1357" s="1"/>
      <c r="M1357" s="1"/>
      <c r="N1357" s="1"/>
      <c r="O1357" s="8" t="str">
        <f>IF(B1360=0,VLOOKUP(A1360,Feuil2!$A$2:$M$1241,13,FALSE)," ")</f>
        <v xml:space="preserve"> </v>
      </c>
    </row>
    <row r="1358" spans="1:18" x14ac:dyDescent="0.3">
      <c r="A1358" s="1">
        <v>1803</v>
      </c>
      <c r="B1358" s="1">
        <v>3</v>
      </c>
      <c r="C1358" s="1" t="s">
        <v>309</v>
      </c>
      <c r="D1358" s="1" t="s">
        <v>2657</v>
      </c>
      <c r="E1358" s="5">
        <v>41602</v>
      </c>
      <c r="F1358" s="1" t="s">
        <v>506</v>
      </c>
      <c r="G1358" s="1" t="str">
        <f>IF(B1358=0,VLOOKUP(A1358,Feuil2!$A$2:$M$1241,11,FALSE)," ")</f>
        <v xml:space="preserve"> </v>
      </c>
      <c r="H1358" s="1" t="s">
        <v>16</v>
      </c>
      <c r="I1358" s="6" t="str">
        <f>IF(B1358=0,VLOOKUP(A1358,Feuil2!$A$2:$M$1241,7,FALSE)," ")</f>
        <v xml:space="preserve"> </v>
      </c>
      <c r="J1358" s="1" t="str">
        <f>IF(B1358=0,VLOOKUP(A1358,Feuil2!$A$2:$M$1241,9,FALSE)," ")</f>
        <v xml:space="preserve"> </v>
      </c>
      <c r="K1358" s="1" t="str">
        <f>IF(B1358=0,VLOOKUP(A1358,Feuil2!$A$2:$M$1241,10,FALSE)," ")</f>
        <v xml:space="preserve"> </v>
      </c>
      <c r="L1358" s="1"/>
      <c r="M1358" s="1"/>
      <c r="N1358" s="1"/>
      <c r="O1358" s="8" t="str">
        <f>IF(B1361=0,VLOOKUP(A1361,Feuil2!$A$2:$M$1241,13,FALSE)," ")</f>
        <v xml:space="preserve"> </v>
      </c>
    </row>
    <row r="1359" spans="1:18" x14ac:dyDescent="0.3">
      <c r="A1359" s="1">
        <v>1808</v>
      </c>
      <c r="B1359" s="17">
        <v>0</v>
      </c>
      <c r="C1359" s="17" t="str">
        <f>IF(B1359=0,VLOOKUP(A1359,Feuil2!$A$2:$M$1241,2,FALSE)," ")</f>
        <v>EL BAHLOUL</v>
      </c>
      <c r="D1359" s="17" t="str">
        <f>IF(B1359=0,VLOOKUP(A1359,Feuil2!$A$2:$M$1241,3,FALSE)," ")</f>
        <v>HICHEM</v>
      </c>
      <c r="E1359" s="18">
        <f>IF(B1359=0,VLOOKUP(A1359,Feuil2!$A$2:$M$1241,6,FALSE)," ")</f>
        <v>24136</v>
      </c>
      <c r="F1359" s="17" t="str">
        <f>IF(B1359=0,VLOOKUP(A1359,Feuil2!$A$2:$M$1241,12,FALSE)," ")</f>
        <v>H</v>
      </c>
      <c r="G1359" s="17" t="str">
        <f>IF(B1359=0,VLOOKUP(A1359,Feuil2!$A$2:$M$1241,11,FALSE)," ")</f>
        <v>M</v>
      </c>
      <c r="H1359" s="17" t="s">
        <v>16</v>
      </c>
      <c r="I1359" s="19">
        <f>IF(B1359=0,VLOOKUP(A1359,Feuil2!$A$2:$M$1241,7,FALSE)," ")</f>
        <v>2978207</v>
      </c>
      <c r="J1359" s="17" t="str">
        <f>IF(B1359=0,VLOOKUP(A1359,Feuil2!$A$2:$M$1241,9,FALSE)," ")</f>
        <v>4 Rue Ibn Sina</v>
      </c>
      <c r="K1359" s="17" t="str">
        <f>IF(B1359=0,VLOOKUP(A1359,Feuil2!$A$2:$M$1241,10,FALSE)," ")</f>
        <v>Msaken 4070</v>
      </c>
      <c r="L1359" s="17">
        <v>4070</v>
      </c>
      <c r="M1359" s="17">
        <v>50021686</v>
      </c>
      <c r="N1359" s="17"/>
      <c r="O1359" s="20" t="str">
        <f>IF(B1362=0,VLOOKUP(A1362,Feuil2!$A$2:$M$1241,13,FALSE)," ")</f>
        <v xml:space="preserve"> </v>
      </c>
    </row>
    <row r="1360" spans="1:18" x14ac:dyDescent="0.3">
      <c r="A1360" s="1">
        <v>1808</v>
      </c>
      <c r="B1360" s="1">
        <v>1</v>
      </c>
      <c r="C1360" s="1" t="s">
        <v>160</v>
      </c>
      <c r="D1360" s="1" t="s">
        <v>2381</v>
      </c>
      <c r="E1360" s="5">
        <v>26228</v>
      </c>
      <c r="F1360" s="1" t="s">
        <v>17</v>
      </c>
      <c r="G1360" s="1" t="s">
        <v>15</v>
      </c>
      <c r="H1360" s="1" t="s">
        <v>16</v>
      </c>
      <c r="I1360" s="6" t="str">
        <f>IF(B1360=0,VLOOKUP(A1360,Feuil2!$A$2:$M$1241,7,FALSE)," ")</f>
        <v xml:space="preserve"> </v>
      </c>
      <c r="J1360" s="1" t="str">
        <f>IF(B1360=0,VLOOKUP(A1360,Feuil2!$A$2:$M$1241,9,FALSE)," ")</f>
        <v xml:space="preserve"> </v>
      </c>
      <c r="K1360" s="1" t="str">
        <f>IF(B1360=0,VLOOKUP(A1360,Feuil2!$A$2:$M$1241,10,FALSE)," ")</f>
        <v xml:space="preserve"> </v>
      </c>
      <c r="L1360" s="1"/>
      <c r="M1360" s="1"/>
      <c r="N1360" s="1"/>
      <c r="O1360" s="8" t="str">
        <f>IF(B1363=0,VLOOKUP(A1363,Feuil2!$A$2:$M$1241,13,FALSE)," ")</f>
        <v xml:space="preserve"> </v>
      </c>
    </row>
    <row r="1361" spans="1:15" x14ac:dyDescent="0.3">
      <c r="A1361" s="1">
        <v>1808</v>
      </c>
      <c r="B1361" s="1">
        <v>2</v>
      </c>
      <c r="C1361" s="1" t="s">
        <v>1722</v>
      </c>
      <c r="D1361" s="1" t="s">
        <v>2585</v>
      </c>
      <c r="E1361" s="5">
        <v>38088</v>
      </c>
      <c r="F1361" s="1" t="s">
        <v>17</v>
      </c>
      <c r="G1361" s="1" t="str">
        <f>IF(B1361=0,VLOOKUP(A1361,Feuil2!$A$2:$M$1241,11,FALSE)," ")</f>
        <v xml:space="preserve"> </v>
      </c>
      <c r="H1361" s="1" t="s">
        <v>16</v>
      </c>
      <c r="I1361" s="6" t="str">
        <f>IF(B1361=0,VLOOKUP(A1361,Feuil2!$A$2:$M$1241,7,FALSE)," ")</f>
        <v xml:space="preserve"> </v>
      </c>
      <c r="J1361" s="1" t="str">
        <f>IF(B1361=0,VLOOKUP(A1361,Feuil2!$A$2:$M$1241,9,FALSE)," ")</f>
        <v xml:space="preserve"> </v>
      </c>
      <c r="K1361" s="1" t="str">
        <f>IF(B1361=0,VLOOKUP(A1361,Feuil2!$A$2:$M$1241,10,FALSE)," ")</f>
        <v xml:space="preserve"> </v>
      </c>
      <c r="L1361" s="1"/>
      <c r="M1361" s="1"/>
      <c r="N1361" s="1"/>
      <c r="O1361" s="8" t="str">
        <f>IF(B1364=0,VLOOKUP(A1364,Feuil2!$A$2:$M$1241,13,FALSE)," ")</f>
        <v>10317123101650278878</v>
      </c>
    </row>
    <row r="1362" spans="1:15" x14ac:dyDescent="0.3">
      <c r="A1362" s="1">
        <v>1808</v>
      </c>
      <c r="B1362" s="1">
        <v>3</v>
      </c>
      <c r="C1362" s="1" t="s">
        <v>1722</v>
      </c>
      <c r="D1362" s="1" t="s">
        <v>346</v>
      </c>
      <c r="E1362" s="5">
        <v>38946</v>
      </c>
      <c r="F1362" s="1" t="s">
        <v>506</v>
      </c>
      <c r="G1362" s="1" t="str">
        <f>IF(B1362=0,VLOOKUP(A1362,Feuil2!$A$2:$M$1241,11,FALSE)," ")</f>
        <v xml:space="preserve"> </v>
      </c>
      <c r="H1362" s="1" t="s">
        <v>16</v>
      </c>
      <c r="I1362" s="6" t="str">
        <f>IF(B1362=0,VLOOKUP(A1362,Feuil2!$A$2:$M$1241,7,FALSE)," ")</f>
        <v xml:space="preserve"> </v>
      </c>
      <c r="J1362" s="1" t="str">
        <f>IF(B1362=0,VLOOKUP(A1362,Feuil2!$A$2:$M$1241,9,FALSE)," ")</f>
        <v xml:space="preserve"> </v>
      </c>
      <c r="K1362" s="1" t="str">
        <f>IF(B1362=0,VLOOKUP(A1362,Feuil2!$A$2:$M$1241,10,FALSE)," ")</f>
        <v xml:space="preserve"> </v>
      </c>
      <c r="L1362" s="1"/>
      <c r="M1362" s="1"/>
      <c r="N1362" s="1"/>
      <c r="O1362" s="8" t="str">
        <f>IF(B1365=0,VLOOKUP(A1365,Feuil2!$A$2:$M$1241,13,FALSE)," ")</f>
        <v xml:space="preserve"> </v>
      </c>
    </row>
    <row r="1363" spans="1:15" x14ac:dyDescent="0.3">
      <c r="A1363" s="1">
        <v>1808</v>
      </c>
      <c r="B1363" s="1">
        <v>4</v>
      </c>
      <c r="C1363" s="1" t="s">
        <v>1722</v>
      </c>
      <c r="D1363" s="1" t="s">
        <v>2711</v>
      </c>
      <c r="E1363" s="5">
        <v>39568</v>
      </c>
      <c r="F1363" s="1" t="s">
        <v>17</v>
      </c>
      <c r="G1363" s="1" t="str">
        <f>IF(B1363=0,VLOOKUP(A1363,Feuil2!$A$2:$M$1241,11,FALSE)," ")</f>
        <v xml:space="preserve"> </v>
      </c>
      <c r="H1363" s="1" t="s">
        <v>16</v>
      </c>
      <c r="I1363" s="6" t="str">
        <f>IF(B1363=0,VLOOKUP(A1363,Feuil2!$A$2:$M$1241,7,FALSE)," ")</f>
        <v xml:space="preserve"> </v>
      </c>
      <c r="J1363" s="1" t="str">
        <f>IF(B1363=0,VLOOKUP(A1363,Feuil2!$A$2:$M$1241,9,FALSE)," ")</f>
        <v xml:space="preserve"> </v>
      </c>
      <c r="K1363" s="1" t="str">
        <f>IF(B1363=0,VLOOKUP(A1363,Feuil2!$A$2:$M$1241,10,FALSE)," ")</f>
        <v xml:space="preserve"> </v>
      </c>
      <c r="L1363" s="1"/>
      <c r="M1363" s="1"/>
      <c r="N1363" s="1"/>
      <c r="O1363" s="8" t="str">
        <f>IF(B1366=0,VLOOKUP(A1366,Feuil2!$A$2:$M$1241,13,FALSE)," ")</f>
        <v xml:space="preserve"> </v>
      </c>
    </row>
    <row r="1364" spans="1:15" x14ac:dyDescent="0.3">
      <c r="A1364" s="1">
        <v>1810</v>
      </c>
      <c r="B1364" s="1">
        <v>0</v>
      </c>
      <c r="C1364" s="1" t="str">
        <f>IF(B1364=0,VLOOKUP(A1364,Feuil2!$A$2:$M$1241,2,FALSE)," ")</f>
        <v>GHEZEL</v>
      </c>
      <c r="D1364" s="1" t="str">
        <f>IF(B1364=0,VLOOKUP(A1364,Feuil2!$A$2:$M$1241,3,FALSE)," ")</f>
        <v>SOFIANE</v>
      </c>
      <c r="E1364" s="5">
        <f>IF(B1364=0,VLOOKUP(A1364,Feuil2!$A$2:$M$1241,6,FALSE)," ")</f>
        <v>28199</v>
      </c>
      <c r="F1364" s="1" t="str">
        <f>IF(B1364=0,VLOOKUP(A1364,Feuil2!$A$2:$M$1241,12,FALSE)," ")</f>
        <v>H</v>
      </c>
      <c r="G1364" s="1" t="str">
        <f>IF(B1364=0,VLOOKUP(A1364,Feuil2!$A$2:$M$1241,11,FALSE)," ")</f>
        <v>M</v>
      </c>
      <c r="H1364" s="1" t="s">
        <v>16</v>
      </c>
      <c r="I1364" s="6">
        <f>IF(B1364=0,VLOOKUP(A1364,Feuil2!$A$2:$M$1241,7,FALSE)," ")</f>
        <v>5597495</v>
      </c>
      <c r="J1364" s="1" t="str">
        <f>IF(B1364=0,VLOOKUP(A1364,Feuil2!$A$2:$M$1241,9,FALSE)," ")</f>
        <v>14 Rue Ali Ben Ghedhahem</v>
      </c>
      <c r="K1364" s="1" t="str">
        <f>IF(B1364=0,VLOOKUP(A1364,Feuil2!$A$2:$M$1241,10,FALSE)," ")</f>
        <v>Msaken 4070</v>
      </c>
      <c r="L1364" s="1">
        <v>4070</v>
      </c>
      <c r="M1364" s="1">
        <v>23924449</v>
      </c>
      <c r="N1364" s="1"/>
      <c r="O1364" s="8" t="str">
        <f>IF(B1367=0,VLOOKUP(A1367,Feuil2!$A$2:$M$1241,13,FALSE)," ")</f>
        <v xml:space="preserve"> </v>
      </c>
    </row>
    <row r="1365" spans="1:15" x14ac:dyDescent="0.3">
      <c r="A1365" s="1">
        <v>1810</v>
      </c>
      <c r="B1365" s="1">
        <v>1</v>
      </c>
      <c r="C1365" s="1" t="s">
        <v>75</v>
      </c>
      <c r="D1365" s="1" t="s">
        <v>2480</v>
      </c>
      <c r="E1365" s="5">
        <v>28843</v>
      </c>
      <c r="F1365" s="1" t="s">
        <v>17</v>
      </c>
      <c r="G1365" s="1" t="s">
        <v>15</v>
      </c>
      <c r="H1365" s="1" t="s">
        <v>16</v>
      </c>
      <c r="I1365" s="6" t="str">
        <f>IF(B1365=0,VLOOKUP(A1365,Feuil2!$A$2:$M$1241,7,FALSE)," ")</f>
        <v xml:space="preserve"> </v>
      </c>
      <c r="J1365" s="1" t="str">
        <f>IF(B1365=0,VLOOKUP(A1365,Feuil2!$A$2:$M$1241,9,FALSE)," ")</f>
        <v xml:space="preserve"> </v>
      </c>
      <c r="K1365" s="1" t="str">
        <f>IF(B1365=0,VLOOKUP(A1365,Feuil2!$A$2:$M$1241,10,FALSE)," ")</f>
        <v xml:space="preserve"> </v>
      </c>
      <c r="L1365" s="1"/>
      <c r="M1365" s="1"/>
      <c r="N1365" s="1"/>
      <c r="O1365" s="8" t="str">
        <f>IF(B1368=0,VLOOKUP(A1368,Feuil2!$A$2:$M$1241,13,FALSE)," ")</f>
        <v xml:space="preserve"> </v>
      </c>
    </row>
    <row r="1366" spans="1:15" x14ac:dyDescent="0.3">
      <c r="A1366" s="1">
        <v>1810</v>
      </c>
      <c r="B1366" s="1">
        <v>2</v>
      </c>
      <c r="C1366" s="1" t="s">
        <v>160</v>
      </c>
      <c r="D1366" s="1" t="s">
        <v>441</v>
      </c>
      <c r="E1366" s="5">
        <v>38541</v>
      </c>
      <c r="F1366" s="1" t="s">
        <v>506</v>
      </c>
      <c r="G1366" s="1" t="str">
        <f>IF(B1366=0,VLOOKUP(A1366,Feuil2!$A$2:$M$1241,11,FALSE)," ")</f>
        <v xml:space="preserve"> </v>
      </c>
      <c r="H1366" s="1" t="s">
        <v>16</v>
      </c>
      <c r="I1366" s="6" t="str">
        <f>IF(B1366=0,VLOOKUP(A1366,Feuil2!$A$2:$M$1241,7,FALSE)," ")</f>
        <v xml:space="preserve"> </v>
      </c>
      <c r="J1366" s="1" t="str">
        <f>IF(B1366=0,VLOOKUP(A1366,Feuil2!$A$2:$M$1241,9,FALSE)," ")</f>
        <v xml:space="preserve"> </v>
      </c>
      <c r="K1366" s="1" t="str">
        <f>IF(B1366=0,VLOOKUP(A1366,Feuil2!$A$2:$M$1241,10,FALSE)," ")</f>
        <v xml:space="preserve"> </v>
      </c>
      <c r="L1366" s="1"/>
      <c r="M1366" s="1"/>
      <c r="N1366" s="1"/>
      <c r="O1366" s="8" t="str">
        <f>IF(B1369=0,VLOOKUP(A1369,Feuil2!$A$2:$M$1241,13,FALSE)," ")</f>
        <v>08507000262004024202</v>
      </c>
    </row>
    <row r="1367" spans="1:15" x14ac:dyDescent="0.3">
      <c r="A1367" s="1">
        <v>1810</v>
      </c>
      <c r="B1367" s="1">
        <v>3</v>
      </c>
      <c r="C1367" s="1" t="s">
        <v>160</v>
      </c>
      <c r="D1367" s="1" t="s">
        <v>61</v>
      </c>
      <c r="E1367" s="5">
        <v>40061</v>
      </c>
      <c r="F1367" s="1" t="s">
        <v>506</v>
      </c>
      <c r="G1367" s="1" t="str">
        <f>IF(B1367=0,VLOOKUP(A1367,Feuil2!$A$2:$M$1241,11,FALSE)," ")</f>
        <v xml:space="preserve"> </v>
      </c>
      <c r="H1367" s="1" t="s">
        <v>16</v>
      </c>
      <c r="I1367" s="6" t="str">
        <f>IF(B1367=0,VLOOKUP(A1367,Feuil2!$A$2:$M$1241,7,FALSE)," ")</f>
        <v xml:space="preserve"> </v>
      </c>
      <c r="J1367" s="1" t="str">
        <f>IF(B1367=0,VLOOKUP(A1367,Feuil2!$A$2:$M$1241,9,FALSE)," ")</f>
        <v xml:space="preserve"> </v>
      </c>
      <c r="K1367" s="1" t="str">
        <f>IF(B1367=0,VLOOKUP(A1367,Feuil2!$A$2:$M$1241,10,FALSE)," ")</f>
        <v xml:space="preserve"> </v>
      </c>
      <c r="L1367" s="1"/>
      <c r="M1367" s="1"/>
      <c r="N1367" s="1"/>
      <c r="O1367" s="8" t="str">
        <f>IF(B1370=0,VLOOKUP(A1370,Feuil2!$A$2:$M$1241,13,FALSE)," ")</f>
        <v xml:space="preserve"> </v>
      </c>
    </row>
    <row r="1368" spans="1:15" x14ac:dyDescent="0.3">
      <c r="A1368" s="1">
        <v>1810</v>
      </c>
      <c r="B1368" s="1">
        <v>4</v>
      </c>
      <c r="C1368" s="1" t="s">
        <v>160</v>
      </c>
      <c r="D1368" s="1" t="s">
        <v>2712</v>
      </c>
      <c r="E1368" s="5">
        <v>41878</v>
      </c>
      <c r="F1368" s="1" t="s">
        <v>506</v>
      </c>
      <c r="G1368" s="1" t="str">
        <f>IF(B1368=0,VLOOKUP(A1368,Feuil2!$A$2:$M$1241,11,FALSE)," ")</f>
        <v xml:space="preserve"> </v>
      </c>
      <c r="H1368" s="1" t="s">
        <v>16</v>
      </c>
      <c r="I1368" s="6" t="str">
        <f>IF(B1368=0,VLOOKUP(A1368,Feuil2!$A$2:$M$1241,7,FALSE)," ")</f>
        <v xml:space="preserve"> </v>
      </c>
      <c r="J1368" s="1" t="str">
        <f>IF(B1368=0,VLOOKUP(A1368,Feuil2!$A$2:$M$1241,9,FALSE)," ")</f>
        <v xml:space="preserve"> </v>
      </c>
      <c r="K1368" s="1" t="str">
        <f>IF(B1368=0,VLOOKUP(A1368,Feuil2!$A$2:$M$1241,10,FALSE)," ")</f>
        <v xml:space="preserve"> </v>
      </c>
      <c r="L1368" s="1"/>
      <c r="M1368" s="1"/>
      <c r="N1368" s="1"/>
      <c r="O1368" s="8" t="str">
        <f>IF(B1371=0,VLOOKUP(A1371,Feuil2!$A$2:$M$1241,13,FALSE)," ")</f>
        <v xml:space="preserve"> </v>
      </c>
    </row>
    <row r="1369" spans="1:15" x14ac:dyDescent="0.3">
      <c r="A1369" s="1">
        <v>1812</v>
      </c>
      <c r="B1369" s="1">
        <v>0</v>
      </c>
      <c r="C1369" s="1" t="str">
        <f>IF(B1369=0,VLOOKUP(A1369,Feuil2!$A$2:$M$1241,2,FALSE)," ")</f>
        <v>BEN SALEM</v>
      </c>
      <c r="D1369" s="1" t="str">
        <f>IF(B1369=0,VLOOKUP(A1369,Feuil2!$A$2:$M$1241,3,FALSE)," ")</f>
        <v>ZIED</v>
      </c>
      <c r="E1369" s="5">
        <f>IF(B1369=0,VLOOKUP(A1369,Feuil2!$A$2:$M$1241,6,FALSE)," ")</f>
        <v>29785</v>
      </c>
      <c r="F1369" s="1" t="str">
        <f>IF(B1369=0,VLOOKUP(A1369,Feuil2!$A$2:$M$1241,12,FALSE)," ")</f>
        <v>H</v>
      </c>
      <c r="G1369" s="1" t="str">
        <f>IF(B1369=0,VLOOKUP(A1369,Feuil2!$A$2:$M$1241,11,FALSE)," ")</f>
        <v>M</v>
      </c>
      <c r="H1369" s="1" t="s">
        <v>16</v>
      </c>
      <c r="I1369" s="6">
        <f>IF(B1369=0,VLOOKUP(A1369,Feuil2!$A$2:$M$1241,7,FALSE)," ")</f>
        <v>5586352</v>
      </c>
      <c r="J1369" s="1" t="str">
        <f>IF(B1369=0,VLOOKUP(A1369,Feuil2!$A$2:$M$1241,9,FALSE)," ")</f>
        <v>AV El Imam Abou Hanifa</v>
      </c>
      <c r="K1369" s="1" t="str">
        <f>IF(B1369=0,VLOOKUP(A1369,Feuil2!$A$2:$M$1241,10,FALSE)," ")</f>
        <v>Moureddine</v>
      </c>
      <c r="L1369" s="1"/>
      <c r="M1369" s="1">
        <v>24048163</v>
      </c>
      <c r="N1369" s="1"/>
      <c r="O1369" s="8" t="str">
        <f>IF(B1372=0,VLOOKUP(A1372,Feuil2!$A$2:$M$1241,13,FALSE)," ")</f>
        <v xml:space="preserve"> </v>
      </c>
    </row>
    <row r="1370" spans="1:15" x14ac:dyDescent="0.3">
      <c r="A1370" s="1">
        <v>1812</v>
      </c>
      <c r="B1370" s="1">
        <v>1</v>
      </c>
      <c r="C1370" s="1" t="s">
        <v>2245</v>
      </c>
      <c r="D1370" s="1" t="s">
        <v>2544</v>
      </c>
      <c r="E1370" s="5">
        <v>31935</v>
      </c>
      <c r="F1370" s="1" t="s">
        <v>17</v>
      </c>
      <c r="G1370" s="1" t="s">
        <v>15</v>
      </c>
      <c r="H1370" s="1" t="s">
        <v>16</v>
      </c>
      <c r="I1370" s="6" t="str">
        <f>IF(B1370=0,VLOOKUP(A1370,Feuil2!$A$2:$M$1241,7,FALSE)," ")</f>
        <v xml:space="preserve"> </v>
      </c>
      <c r="J1370" s="1" t="str">
        <f>IF(B1370=0,VLOOKUP(A1370,Feuil2!$A$2:$M$1241,9,FALSE)," ")</f>
        <v xml:space="preserve"> </v>
      </c>
      <c r="K1370" s="1" t="str">
        <f>IF(B1370=0,VLOOKUP(A1370,Feuil2!$A$2:$M$1241,10,FALSE)," ")</f>
        <v xml:space="preserve"> </v>
      </c>
      <c r="L1370" s="1"/>
      <c r="M1370" s="1"/>
      <c r="N1370" s="1"/>
      <c r="O1370" s="8" t="str">
        <f>IF(B1374=0,VLOOKUP(A1374,Feuil2!$A$2:$M$1241,13,FALSE)," ")</f>
        <v>04022108404001507753</v>
      </c>
    </row>
    <row r="1371" spans="1:15" x14ac:dyDescent="0.3">
      <c r="A1371" s="1">
        <v>1812</v>
      </c>
      <c r="B1371" s="1">
        <v>2</v>
      </c>
      <c r="C1371" s="1" t="s">
        <v>283</v>
      </c>
      <c r="D1371" s="1" t="s">
        <v>2475</v>
      </c>
      <c r="E1371" s="5">
        <v>40700</v>
      </c>
      <c r="F1371" s="1" t="s">
        <v>506</v>
      </c>
      <c r="G1371" s="1" t="str">
        <f>IF(B1371=0,VLOOKUP(A1371,Feuil2!$A$2:$M$1241,11,FALSE)," ")</f>
        <v xml:space="preserve"> </v>
      </c>
      <c r="H1371" s="1" t="s">
        <v>16</v>
      </c>
      <c r="I1371" s="6" t="str">
        <f>IF(B1371=0,VLOOKUP(A1371,Feuil2!$A$2:$M$1241,7,FALSE)," ")</f>
        <v xml:space="preserve"> </v>
      </c>
      <c r="J1371" s="1" t="str">
        <f>IF(B1371=0,VLOOKUP(A1371,Feuil2!$A$2:$M$1241,9,FALSE)," ")</f>
        <v xml:space="preserve"> </v>
      </c>
      <c r="K1371" s="1" t="str">
        <f>IF(B1371=0,VLOOKUP(A1371,Feuil2!$A$2:$M$1241,10,FALSE)," ")</f>
        <v xml:space="preserve"> </v>
      </c>
      <c r="L1371" s="1"/>
      <c r="M1371" s="1"/>
      <c r="N1371" s="1"/>
      <c r="O1371" s="8" t="str">
        <f>IF(B1375=0,VLOOKUP(A1375,Feuil2!$A$2:$M$1241,13,FALSE)," ")</f>
        <v xml:space="preserve"> </v>
      </c>
    </row>
    <row r="1372" spans="1:15" x14ac:dyDescent="0.3">
      <c r="A1372" s="1">
        <v>1812</v>
      </c>
      <c r="B1372" s="1">
        <v>3</v>
      </c>
      <c r="C1372" s="1" t="s">
        <v>283</v>
      </c>
      <c r="D1372" s="1" t="s">
        <v>107</v>
      </c>
      <c r="E1372" s="5">
        <v>41161</v>
      </c>
      <c r="F1372" s="1" t="s">
        <v>506</v>
      </c>
      <c r="G1372" s="1" t="str">
        <f>IF(B1372=0,VLOOKUP(A1372,Feuil2!$A$2:$M$1241,11,FALSE)," ")</f>
        <v xml:space="preserve"> </v>
      </c>
      <c r="H1372" s="1" t="s">
        <v>16</v>
      </c>
      <c r="I1372" s="6" t="str">
        <f>IF(B1372=0,VLOOKUP(A1372,Feuil2!$A$2:$M$1241,7,FALSE)," ")</f>
        <v xml:space="preserve"> </v>
      </c>
      <c r="J1372" s="1" t="str">
        <f>IF(B1372=0,VLOOKUP(A1372,Feuil2!$A$2:$M$1241,9,FALSE)," ")</f>
        <v xml:space="preserve"> </v>
      </c>
      <c r="K1372" s="1" t="str">
        <f>IF(B1372=0,VLOOKUP(A1372,Feuil2!$A$2:$M$1241,10,FALSE)," ")</f>
        <v xml:space="preserve"> </v>
      </c>
      <c r="L1372" s="1"/>
      <c r="M1372" s="1"/>
      <c r="N1372" s="1"/>
      <c r="O1372" s="8" t="str">
        <f>IF(B1376=0,VLOOKUP(A1376,Feuil2!$A$2:$M$1241,13,FALSE)," ")</f>
        <v xml:space="preserve"> </v>
      </c>
    </row>
    <row r="1373" spans="1:15" x14ac:dyDescent="0.3">
      <c r="A1373" s="1">
        <v>1812</v>
      </c>
      <c r="B1373" s="1">
        <v>4</v>
      </c>
      <c r="C1373" s="1" t="s">
        <v>283</v>
      </c>
      <c r="D1373" s="1" t="s">
        <v>2667</v>
      </c>
      <c r="E1373" s="5">
        <v>45254</v>
      </c>
      <c r="F1373" s="1" t="s">
        <v>17</v>
      </c>
      <c r="G1373" s="1"/>
      <c r="H1373" s="1"/>
      <c r="I1373" s="6"/>
      <c r="J1373" s="1"/>
      <c r="K1373" s="1"/>
      <c r="L1373" s="1"/>
      <c r="M1373" s="1"/>
      <c r="N1373" s="1"/>
      <c r="O1373" s="8"/>
    </row>
    <row r="1374" spans="1:15" x14ac:dyDescent="0.3">
      <c r="A1374" s="1">
        <v>1813</v>
      </c>
      <c r="B1374" s="1">
        <v>0</v>
      </c>
      <c r="C1374" s="1" t="str">
        <f>IF(B1374=0,VLOOKUP(A1374,Feuil2!$A$2:$M$1241,2,FALSE)," ")</f>
        <v>YOUSSEF</v>
      </c>
      <c r="D1374" s="1" t="str">
        <f>IF(B1374=0,VLOOKUP(A1374,Feuil2!$A$2:$M$1241,3,FALSE)," ")</f>
        <v>HICHEM</v>
      </c>
      <c r="E1374" s="5">
        <f>IF(B1374=0,VLOOKUP(A1374,Feuil2!$A$2:$M$1241,6,FALSE)," ")</f>
        <v>29323</v>
      </c>
      <c r="F1374" s="1" t="str">
        <f>IF(B1374=0,VLOOKUP(A1374,Feuil2!$A$2:$M$1241,12,FALSE)," ")</f>
        <v>H</v>
      </c>
      <c r="G1374" s="1" t="str">
        <f>IF(B1374=0,VLOOKUP(A1374,Feuil2!$A$2:$M$1241,11,FALSE)," ")</f>
        <v>M</v>
      </c>
      <c r="H1374" s="1" t="s">
        <v>16</v>
      </c>
      <c r="I1374" s="6">
        <f>IF(B1374=0,VLOOKUP(A1374,Feuil2!$A$2:$M$1241,7,FALSE)," ")</f>
        <v>8429881</v>
      </c>
      <c r="J1374" s="1" t="str">
        <f>IF(B1374=0,VLOOKUP(A1374,Feuil2!$A$2:$M$1241,9,FALSE)," ")</f>
        <v>767 Rue Douali</v>
      </c>
      <c r="K1374" s="1" t="str">
        <f>IF(B1374=0,VLOOKUP(A1374,Feuil2!$A$2:$M$1241,10,FALSE)," ")</f>
        <v>Msaken 4070</v>
      </c>
      <c r="L1374" s="1">
        <v>4070</v>
      </c>
      <c r="M1374" s="1"/>
      <c r="N1374" s="1"/>
      <c r="O1374" s="8" t="str">
        <f>IF(B1377=0,VLOOKUP(A1377,Feuil2!$A$2:$M$1241,13,FALSE)," ")</f>
        <v xml:space="preserve"> </v>
      </c>
    </row>
    <row r="1375" spans="1:15" x14ac:dyDescent="0.3">
      <c r="A1375" s="1">
        <v>1813</v>
      </c>
      <c r="B1375" s="1">
        <v>1</v>
      </c>
      <c r="C1375" s="1" t="s">
        <v>182</v>
      </c>
      <c r="D1375" s="1" t="s">
        <v>596</v>
      </c>
      <c r="E1375" s="5">
        <v>31001</v>
      </c>
      <c r="F1375" s="1" t="s">
        <v>17</v>
      </c>
      <c r="G1375" s="1" t="s">
        <v>15</v>
      </c>
      <c r="H1375" s="1" t="s">
        <v>16</v>
      </c>
      <c r="I1375" s="6" t="str">
        <f>IF(B1375=0,VLOOKUP(A1375,Feuil2!$A$2:$M$1241,7,FALSE)," ")</f>
        <v xml:space="preserve"> </v>
      </c>
      <c r="J1375" s="1" t="str">
        <f>IF(B1375=0,VLOOKUP(A1375,Feuil2!$A$2:$M$1241,9,FALSE)," ")</f>
        <v xml:space="preserve"> </v>
      </c>
      <c r="K1375" s="1" t="str">
        <f>IF(B1375=0,VLOOKUP(A1375,Feuil2!$A$2:$M$1241,10,FALSE)," ")</f>
        <v xml:space="preserve"> </v>
      </c>
      <c r="L1375" s="1"/>
      <c r="M1375" s="1"/>
      <c r="N1375" s="1"/>
      <c r="O1375" s="8" t="str">
        <f>IF(B1378=0,VLOOKUP(A1378,Feuil2!$A$2:$M$1241,13,FALSE)," ")</f>
        <v xml:space="preserve"> </v>
      </c>
    </row>
    <row r="1376" spans="1:15" x14ac:dyDescent="0.3">
      <c r="A1376" s="1">
        <v>1813</v>
      </c>
      <c r="B1376" s="1">
        <v>2</v>
      </c>
      <c r="C1376" s="1" t="s">
        <v>61</v>
      </c>
      <c r="D1376" s="1" t="s">
        <v>441</v>
      </c>
      <c r="E1376" s="5">
        <v>39242</v>
      </c>
      <c r="F1376" s="1" t="s">
        <v>506</v>
      </c>
      <c r="G1376" s="1" t="str">
        <f>IF(B1376=0,VLOOKUP(A1376,Feuil2!$A$2:$M$1241,11,FALSE)," ")</f>
        <v xml:space="preserve"> </v>
      </c>
      <c r="H1376" s="1" t="s">
        <v>16</v>
      </c>
      <c r="I1376" s="6" t="str">
        <f>IF(B1376=0,VLOOKUP(A1376,Feuil2!$A$2:$M$1241,7,FALSE)," ")</f>
        <v xml:space="preserve"> </v>
      </c>
      <c r="J1376" s="1" t="str">
        <f>IF(B1376=0,VLOOKUP(A1376,Feuil2!$A$2:$M$1241,9,FALSE)," ")</f>
        <v xml:space="preserve"> </v>
      </c>
      <c r="K1376" s="1" t="str">
        <f>IF(B1376=0,VLOOKUP(A1376,Feuil2!$A$2:$M$1241,10,FALSE)," ")</f>
        <v xml:space="preserve"> </v>
      </c>
      <c r="L1376" s="1"/>
      <c r="M1376" s="1"/>
      <c r="N1376" s="1"/>
      <c r="O1376" s="8" t="str">
        <f>IF(B1379=0,VLOOKUP(A1379,Feuil2!$A$2:$M$1241,13,FALSE)," ")</f>
        <v>12015000960100331420</v>
      </c>
    </row>
    <row r="1377" spans="1:15" x14ac:dyDescent="0.3">
      <c r="A1377" s="1">
        <v>1813</v>
      </c>
      <c r="B1377" s="1">
        <v>3</v>
      </c>
      <c r="C1377" s="1" t="s">
        <v>61</v>
      </c>
      <c r="D1377" s="1" t="s">
        <v>89</v>
      </c>
      <c r="E1377" s="5">
        <v>40128</v>
      </c>
      <c r="F1377" s="1" t="s">
        <v>506</v>
      </c>
      <c r="G1377" s="1" t="str">
        <f>IF(B1377=0,VLOOKUP(A1377,Feuil2!$A$2:$M$1241,11,FALSE)," ")</f>
        <v xml:space="preserve"> </v>
      </c>
      <c r="H1377" s="1" t="s">
        <v>16</v>
      </c>
      <c r="I1377" s="6" t="str">
        <f>IF(B1377=0,VLOOKUP(A1377,Feuil2!$A$2:$M$1241,7,FALSE)," ")</f>
        <v xml:space="preserve"> </v>
      </c>
      <c r="J1377" s="1" t="str">
        <f>IF(B1377=0,VLOOKUP(A1377,Feuil2!$A$2:$M$1241,9,FALSE)," ")</f>
        <v xml:space="preserve"> </v>
      </c>
      <c r="K1377" s="1" t="str">
        <f>IF(B1377=0,VLOOKUP(A1377,Feuil2!$A$2:$M$1241,10,FALSE)," ")</f>
        <v xml:space="preserve"> </v>
      </c>
      <c r="L1377" s="1"/>
      <c r="M1377" s="1"/>
      <c r="N1377" s="1"/>
      <c r="O1377" s="8" t="str">
        <f>IF(B1380=0,VLOOKUP(A1380,Feuil2!$A$2:$M$1241,13,FALSE)," ")</f>
        <v xml:space="preserve"> </v>
      </c>
    </row>
    <row r="1378" spans="1:15" x14ac:dyDescent="0.3">
      <c r="A1378" s="1">
        <v>1813</v>
      </c>
      <c r="B1378" s="1">
        <v>4</v>
      </c>
      <c r="C1378" s="1" t="s">
        <v>61</v>
      </c>
      <c r="D1378" s="1" t="s">
        <v>296</v>
      </c>
      <c r="E1378" s="5">
        <v>40591</v>
      </c>
      <c r="F1378" s="1" t="s">
        <v>506</v>
      </c>
      <c r="G1378" s="1" t="str">
        <f>IF(B1378=0,VLOOKUP(A1378,Feuil2!$A$2:$M$1241,11,FALSE)," ")</f>
        <v xml:space="preserve"> </v>
      </c>
      <c r="H1378" s="1" t="s">
        <v>16</v>
      </c>
      <c r="I1378" s="6" t="str">
        <f>IF(B1378=0,VLOOKUP(A1378,Feuil2!$A$2:$M$1241,7,FALSE)," ")</f>
        <v xml:space="preserve"> </v>
      </c>
      <c r="J1378" s="1" t="str">
        <f>IF(B1378=0,VLOOKUP(A1378,Feuil2!$A$2:$M$1241,9,FALSE)," ")</f>
        <v xml:space="preserve"> </v>
      </c>
      <c r="K1378" s="1" t="str">
        <f>IF(B1378=0,VLOOKUP(A1378,Feuil2!$A$2:$M$1241,10,FALSE)," ")</f>
        <v xml:space="preserve"> </v>
      </c>
      <c r="L1378" s="1"/>
      <c r="M1378" s="1"/>
      <c r="N1378" s="1"/>
      <c r="O1378" s="8" t="str">
        <f>IF(B1381=0,VLOOKUP(A1381,Feuil2!$A$2:$M$1241,13,FALSE)," ")</f>
        <v xml:space="preserve"> </v>
      </c>
    </row>
    <row r="1379" spans="1:15" x14ac:dyDescent="0.3">
      <c r="A1379" s="1">
        <v>1815</v>
      </c>
      <c r="B1379" s="1">
        <v>0</v>
      </c>
      <c r="C1379" s="1" t="str">
        <f>IF(B1379=0,VLOOKUP(A1379,Feuil2!$A$2:$M$1241,2,FALSE)," ")</f>
        <v>KHEDIMI</v>
      </c>
      <c r="D1379" s="1" t="str">
        <f>IF(B1379=0,VLOOKUP(A1379,Feuil2!$A$2:$M$1241,3,FALSE)," ")</f>
        <v>IMED</v>
      </c>
      <c r="E1379" s="5">
        <f>IF(B1379=0,VLOOKUP(A1379,Feuil2!$A$2:$M$1241,6,FALSE)," ")</f>
        <v>26813</v>
      </c>
      <c r="F1379" s="1" t="str">
        <f>IF(B1379=0,VLOOKUP(A1379,Feuil2!$A$2:$M$1241,12,FALSE)," ")</f>
        <v>H</v>
      </c>
      <c r="G1379" s="1" t="str">
        <f>IF(B1379=0,VLOOKUP(A1379,Feuil2!$A$2:$M$1241,11,FALSE)," ")</f>
        <v>M</v>
      </c>
      <c r="H1379" s="1" t="s">
        <v>16</v>
      </c>
      <c r="I1379" s="6">
        <f>IF(B1379=0,VLOOKUP(A1379,Feuil2!$A$2:$M$1241,7,FALSE)," ")</f>
        <v>5511383</v>
      </c>
      <c r="J1379" s="1" t="str">
        <f>IF(B1379=0,VLOOKUP(A1379,Feuil2!$A$2:$M$1241,9,FALSE)," ")</f>
        <v>11, Rue 2348 CitÃ© Laouina</v>
      </c>
      <c r="K1379" s="1" t="str">
        <f>IF(B1379=0,VLOOKUP(A1379,Feuil2!$A$2:$M$1241,10,FALSE)," ")</f>
        <v>Sousse</v>
      </c>
      <c r="L1379" s="1"/>
      <c r="M1379" s="1">
        <v>98793760</v>
      </c>
      <c r="N1379" s="1"/>
      <c r="O1379" s="8" t="str">
        <f>IF(B1382=0,VLOOKUP(A1382,Feuil2!$A$2:$M$1241,13,FALSE)," ")</f>
        <v xml:space="preserve"> </v>
      </c>
    </row>
    <row r="1380" spans="1:15" x14ac:dyDescent="0.3">
      <c r="A1380" s="1">
        <v>1815</v>
      </c>
      <c r="B1380" s="1">
        <v>1</v>
      </c>
      <c r="C1380" s="1" t="s">
        <v>2713</v>
      </c>
      <c r="D1380" s="1" t="s">
        <v>2219</v>
      </c>
      <c r="E1380" s="5">
        <v>27940</v>
      </c>
      <c r="F1380" s="1" t="s">
        <v>17</v>
      </c>
      <c r="G1380" s="1" t="s">
        <v>15</v>
      </c>
      <c r="H1380" s="1" t="s">
        <v>16</v>
      </c>
      <c r="I1380" s="6" t="str">
        <f>IF(B1380=0,VLOOKUP(A1380,Feuil2!$A$2:$M$1241,7,FALSE)," ")</f>
        <v xml:space="preserve"> </v>
      </c>
      <c r="J1380" s="1" t="str">
        <f>IF(B1380=0,VLOOKUP(A1380,Feuil2!$A$2:$M$1241,9,FALSE)," ")</f>
        <v xml:space="preserve"> </v>
      </c>
      <c r="K1380" s="1" t="str">
        <f>IF(B1380=0,VLOOKUP(A1380,Feuil2!$A$2:$M$1241,10,FALSE)," ")</f>
        <v xml:space="preserve"> </v>
      </c>
      <c r="L1380" s="1"/>
      <c r="M1380" s="1"/>
      <c r="N1380" s="1"/>
      <c r="O1380" s="8" t="str">
        <f>IF(B1383=0,VLOOKUP(A1383,Feuil2!$A$2:$M$1241,13,FALSE)," ")</f>
        <v xml:space="preserve"> </v>
      </c>
    </row>
    <row r="1381" spans="1:15" x14ac:dyDescent="0.3">
      <c r="A1381" s="1">
        <v>1815</v>
      </c>
      <c r="B1381" s="1">
        <v>2</v>
      </c>
      <c r="C1381" s="1" t="s">
        <v>73</v>
      </c>
      <c r="D1381" s="1" t="s">
        <v>18</v>
      </c>
      <c r="E1381" s="5">
        <v>37772</v>
      </c>
      <c r="F1381" s="1" t="s">
        <v>506</v>
      </c>
      <c r="G1381" s="1" t="str">
        <f>IF(B1381=0,VLOOKUP(A1381,Feuil2!$A$2:$M$1241,11,FALSE)," ")</f>
        <v xml:space="preserve"> </v>
      </c>
      <c r="H1381" s="1" t="s">
        <v>16</v>
      </c>
      <c r="I1381" s="6" t="str">
        <f>IF(B1381=0,VLOOKUP(A1381,Feuil2!$A$2:$M$1241,7,FALSE)," ")</f>
        <v xml:space="preserve"> </v>
      </c>
      <c r="J1381" s="1" t="str">
        <f>IF(B1381=0,VLOOKUP(A1381,Feuil2!$A$2:$M$1241,9,FALSE)," ")</f>
        <v xml:space="preserve"> </v>
      </c>
      <c r="K1381" s="1" t="str">
        <f>IF(B1381=0,VLOOKUP(A1381,Feuil2!$A$2:$M$1241,10,FALSE)," ")</f>
        <v xml:space="preserve"> </v>
      </c>
      <c r="L1381" s="1"/>
      <c r="M1381" s="1"/>
      <c r="N1381" s="1"/>
      <c r="O1381" s="8" t="str">
        <f>IF(B1384=0,VLOOKUP(A1384,Feuil2!$A$2:$M$1241,13,FALSE)," ")</f>
        <v>08507000262002769604</v>
      </c>
    </row>
    <row r="1382" spans="1:15" x14ac:dyDescent="0.3">
      <c r="A1382" s="1">
        <v>1815</v>
      </c>
      <c r="B1382" s="1">
        <v>3</v>
      </c>
      <c r="C1382" s="1" t="s">
        <v>73</v>
      </c>
      <c r="D1382" s="1" t="s">
        <v>2627</v>
      </c>
      <c r="E1382" s="5">
        <v>39169</v>
      </c>
      <c r="F1382" s="1" t="s">
        <v>506</v>
      </c>
      <c r="G1382" s="1" t="str">
        <f>IF(B1382=0,VLOOKUP(A1382,Feuil2!$A$2:$M$1241,11,FALSE)," ")</f>
        <v xml:space="preserve"> </v>
      </c>
      <c r="H1382" s="1" t="s">
        <v>16</v>
      </c>
      <c r="I1382" s="6" t="str">
        <f>IF(B1382=0,VLOOKUP(A1382,Feuil2!$A$2:$M$1241,7,FALSE)," ")</f>
        <v xml:space="preserve"> </v>
      </c>
      <c r="J1382" s="1" t="str">
        <f>IF(B1382=0,VLOOKUP(A1382,Feuil2!$A$2:$M$1241,9,FALSE)," ")</f>
        <v xml:space="preserve"> </v>
      </c>
      <c r="K1382" s="1" t="str">
        <f>IF(B1382=0,VLOOKUP(A1382,Feuil2!$A$2:$M$1241,10,FALSE)," ")</f>
        <v xml:space="preserve"> </v>
      </c>
      <c r="L1382" s="1"/>
      <c r="M1382" s="1"/>
      <c r="N1382" s="1"/>
      <c r="O1382" s="8" t="str">
        <f>IF(B1385=0,VLOOKUP(A1385,Feuil2!$A$2:$M$1241,13,FALSE)," ")</f>
        <v xml:space="preserve"> </v>
      </c>
    </row>
    <row r="1383" spans="1:15" x14ac:dyDescent="0.3">
      <c r="A1383" s="1">
        <v>1815</v>
      </c>
      <c r="B1383" s="1">
        <v>4</v>
      </c>
      <c r="C1383" s="1" t="s">
        <v>73</v>
      </c>
      <c r="D1383" s="1" t="s">
        <v>2432</v>
      </c>
      <c r="E1383" s="5">
        <v>41245</v>
      </c>
      <c r="F1383" s="1" t="s">
        <v>506</v>
      </c>
      <c r="G1383" s="1" t="str">
        <f>IF(B1383=0,VLOOKUP(A1383,Feuil2!$A$2:$M$1241,11,FALSE)," ")</f>
        <v xml:space="preserve"> </v>
      </c>
      <c r="H1383" s="1" t="s">
        <v>16</v>
      </c>
      <c r="I1383" s="6" t="str">
        <f>IF(B1383=0,VLOOKUP(A1383,Feuil2!$A$2:$M$1241,7,FALSE)," ")</f>
        <v xml:space="preserve"> </v>
      </c>
      <c r="J1383" s="1" t="str">
        <f>IF(B1383=0,VLOOKUP(A1383,Feuil2!$A$2:$M$1241,9,FALSE)," ")</f>
        <v xml:space="preserve"> </v>
      </c>
      <c r="K1383" s="1" t="str">
        <f>IF(B1383=0,VLOOKUP(A1383,Feuil2!$A$2:$M$1241,10,FALSE)," ")</f>
        <v xml:space="preserve"> </v>
      </c>
      <c r="L1383" s="1"/>
      <c r="M1383" s="1"/>
      <c r="N1383" s="1"/>
      <c r="O1383" s="8" t="str">
        <f>IF(B1386=0,VLOOKUP(A1386,Feuil2!$A$2:$M$1241,13,FALSE)," ")</f>
        <v xml:space="preserve"> </v>
      </c>
    </row>
    <row r="1384" spans="1:15" x14ac:dyDescent="0.3">
      <c r="A1384" s="1">
        <v>1817</v>
      </c>
      <c r="B1384" s="1">
        <v>0</v>
      </c>
      <c r="C1384" s="1" t="str">
        <f>IF(B1384=0,VLOOKUP(A1384,Feuil2!$A$2:$M$1241,2,FALSE)," ")</f>
        <v>ZOUITEN</v>
      </c>
      <c r="D1384" s="1" t="str">
        <f>IF(B1384=0,VLOOKUP(A1384,Feuil2!$A$2:$M$1241,3,FALSE)," ")</f>
        <v>MUSTAPHA</v>
      </c>
      <c r="E1384" s="5">
        <f>IF(B1384=0,VLOOKUP(A1384,Feuil2!$A$2:$M$1241,6,FALSE)," ")</f>
        <v>28553</v>
      </c>
      <c r="F1384" s="1" t="str">
        <f>IF(B1384=0,VLOOKUP(A1384,Feuil2!$A$2:$M$1241,12,FALSE)," ")</f>
        <v>H</v>
      </c>
      <c r="G1384" s="1" t="str">
        <f>IF(B1384=0,VLOOKUP(A1384,Feuil2!$A$2:$M$1241,11,FALSE)," ")</f>
        <v>M</v>
      </c>
      <c r="H1384" s="1" t="s">
        <v>16</v>
      </c>
      <c r="I1384" s="6">
        <f>IF(B1384=0,VLOOKUP(A1384,Feuil2!$A$2:$M$1241,7,FALSE)," ")</f>
        <v>5573826</v>
      </c>
      <c r="J1384" s="1" t="str">
        <f>IF(B1384=0,VLOOKUP(A1384,Feuil2!$A$2:$M$1241,9,FALSE)," ")</f>
        <v>R Yahia Ibn Khaled Essoussi Khezama</v>
      </c>
      <c r="K1384" s="1" t="str">
        <f>IF(B1384=0,VLOOKUP(A1384,Feuil2!$A$2:$M$1241,10,FALSE)," ")</f>
        <v>Sousse</v>
      </c>
      <c r="L1384" s="1"/>
      <c r="M1384" s="1">
        <v>54594549</v>
      </c>
      <c r="N1384" s="1"/>
      <c r="O1384" s="8" t="str">
        <f>IF(B1387=0,VLOOKUP(A1387,Feuil2!$A$2:$M$1241,13,FALSE)," ")</f>
        <v xml:space="preserve"> </v>
      </c>
    </row>
    <row r="1385" spans="1:15" x14ac:dyDescent="0.3">
      <c r="A1385" s="1">
        <v>1817</v>
      </c>
      <c r="B1385" s="1">
        <v>1</v>
      </c>
      <c r="C1385" s="1" t="str">
        <f>IF(B1385=0,VLOOKUP(A1385,Feuil2!$A$2:$M$1241,2,FALSE)," ")</f>
        <v xml:space="preserve"> </v>
      </c>
      <c r="D1385" s="1" t="s">
        <v>2582</v>
      </c>
      <c r="E1385" s="5">
        <v>30941</v>
      </c>
      <c r="F1385" s="1" t="s">
        <v>17</v>
      </c>
      <c r="G1385" s="1" t="s">
        <v>15</v>
      </c>
      <c r="H1385" s="1" t="s">
        <v>16</v>
      </c>
      <c r="I1385" s="6" t="str">
        <f>IF(B1385=0,VLOOKUP(A1385,Feuil2!$A$2:$M$1241,7,FALSE)," ")</f>
        <v xml:space="preserve"> </v>
      </c>
      <c r="J1385" s="1" t="str">
        <f>IF(B1385=0,VLOOKUP(A1385,Feuil2!$A$2:$M$1241,9,FALSE)," ")</f>
        <v xml:space="preserve"> </v>
      </c>
      <c r="K1385" s="1" t="str">
        <f>IF(B1385=0,VLOOKUP(A1385,Feuil2!$A$2:$M$1241,10,FALSE)," ")</f>
        <v xml:space="preserve"> </v>
      </c>
      <c r="L1385" s="1"/>
      <c r="M1385" s="1"/>
      <c r="N1385" s="1"/>
      <c r="O1385" s="8" t="str">
        <f>IF(B1388=0,VLOOKUP(A1388,Feuil2!$A$2:$M$1241,13,FALSE)," ")</f>
        <v xml:space="preserve"> </v>
      </c>
    </row>
    <row r="1386" spans="1:15" x14ac:dyDescent="0.3">
      <c r="A1386" s="1">
        <v>1817</v>
      </c>
      <c r="B1386" s="1">
        <v>2</v>
      </c>
      <c r="C1386" s="1" t="s">
        <v>138</v>
      </c>
      <c r="D1386" s="1" t="s">
        <v>472</v>
      </c>
      <c r="E1386" s="5">
        <v>38505</v>
      </c>
      <c r="F1386" s="1" t="s">
        <v>506</v>
      </c>
      <c r="G1386" s="1" t="str">
        <f>IF(B1386=0,VLOOKUP(A1386,Feuil2!$A$2:$M$1241,11,FALSE)," ")</f>
        <v xml:space="preserve"> </v>
      </c>
      <c r="H1386" s="1" t="s">
        <v>16</v>
      </c>
      <c r="I1386" s="6" t="str">
        <f>IF(B1386=0,VLOOKUP(A1386,Feuil2!$A$2:$M$1241,7,FALSE)," ")</f>
        <v xml:space="preserve"> </v>
      </c>
      <c r="J1386" s="1" t="str">
        <f>IF(B1386=0,VLOOKUP(A1386,Feuil2!$A$2:$M$1241,9,FALSE)," ")</f>
        <v xml:space="preserve"> </v>
      </c>
      <c r="K1386" s="1" t="str">
        <f>IF(B1386=0,VLOOKUP(A1386,Feuil2!$A$2:$M$1241,10,FALSE)," ")</f>
        <v xml:space="preserve"> </v>
      </c>
      <c r="L1386" s="1"/>
      <c r="M1386" s="1"/>
      <c r="N1386" s="1"/>
      <c r="O1386" s="8" t="str">
        <f>IF(B1389=0,VLOOKUP(A1389,Feuil2!$A$2:$M$1241,13,FALSE)," ")</f>
        <v>04204067000977568537</v>
      </c>
    </row>
    <row r="1387" spans="1:15" x14ac:dyDescent="0.3">
      <c r="A1387" s="1">
        <v>1817</v>
      </c>
      <c r="B1387" s="1">
        <v>3</v>
      </c>
      <c r="C1387" s="1" t="s">
        <v>138</v>
      </c>
      <c r="D1387" s="1" t="s">
        <v>2376</v>
      </c>
      <c r="E1387" s="5">
        <v>39320</v>
      </c>
      <c r="F1387" s="1" t="s">
        <v>506</v>
      </c>
      <c r="G1387" s="1" t="str">
        <f>IF(B1387=0,VLOOKUP(A1387,Feuil2!$A$2:$M$1241,11,FALSE)," ")</f>
        <v xml:space="preserve"> </v>
      </c>
      <c r="H1387" s="1" t="s">
        <v>16</v>
      </c>
      <c r="I1387" s="6" t="str">
        <f>IF(B1387=0,VLOOKUP(A1387,Feuil2!$A$2:$M$1241,7,FALSE)," ")</f>
        <v xml:space="preserve"> </v>
      </c>
      <c r="J1387" s="1" t="str">
        <f>IF(B1387=0,VLOOKUP(A1387,Feuil2!$A$2:$M$1241,9,FALSE)," ")</f>
        <v xml:space="preserve"> </v>
      </c>
      <c r="K1387" s="1" t="str">
        <f>IF(B1387=0,VLOOKUP(A1387,Feuil2!$A$2:$M$1241,10,FALSE)," ")</f>
        <v xml:space="preserve"> </v>
      </c>
      <c r="L1387" s="1"/>
      <c r="M1387" s="1"/>
      <c r="N1387" s="1"/>
      <c r="O1387" s="8" t="str">
        <f>IF(B1390=0,VLOOKUP(A1390,Feuil2!$A$2:$M$1241,13,FALSE)," ")</f>
        <v xml:space="preserve"> </v>
      </c>
    </row>
    <row r="1388" spans="1:15" x14ac:dyDescent="0.3">
      <c r="A1388" s="1">
        <v>1817</v>
      </c>
      <c r="B1388" s="1">
        <v>4</v>
      </c>
      <c r="C1388" s="1" t="s">
        <v>138</v>
      </c>
      <c r="D1388" s="1" t="s">
        <v>2372</v>
      </c>
      <c r="E1388" s="5">
        <v>42067</v>
      </c>
      <c r="F1388" s="1" t="s">
        <v>17</v>
      </c>
      <c r="G1388" s="1" t="str">
        <f>IF(B1388=0,VLOOKUP(A1388,Feuil2!$A$2:$M$1241,11,FALSE)," ")</f>
        <v xml:space="preserve"> </v>
      </c>
      <c r="H1388" s="1" t="s">
        <v>16</v>
      </c>
      <c r="I1388" s="6" t="str">
        <f>IF(B1388=0,VLOOKUP(A1388,Feuil2!$A$2:$M$1241,7,FALSE)," ")</f>
        <v xml:space="preserve"> </v>
      </c>
      <c r="J1388" s="1" t="str">
        <f>IF(B1388=0,VLOOKUP(A1388,Feuil2!$A$2:$M$1241,9,FALSE)," ")</f>
        <v xml:space="preserve"> </v>
      </c>
      <c r="K1388" s="1" t="str">
        <f>IF(B1388=0,VLOOKUP(A1388,Feuil2!$A$2:$M$1241,10,FALSE)," ")</f>
        <v xml:space="preserve"> </v>
      </c>
      <c r="L1388" s="1"/>
      <c r="M1388" s="1"/>
      <c r="N1388" s="1"/>
      <c r="O1388" s="8" t="str">
        <f>IF(B1391=0,VLOOKUP(A1391,Feuil2!$A$2:$M$1241,13,FALSE)," ")</f>
        <v xml:space="preserve"> </v>
      </c>
    </row>
    <row r="1389" spans="1:15" x14ac:dyDescent="0.3">
      <c r="A1389" s="1">
        <v>1821</v>
      </c>
      <c r="B1389" s="1">
        <v>0</v>
      </c>
      <c r="C1389" s="1" t="str">
        <f>IF(B1389=0,VLOOKUP(A1389,Feuil2!$A$2:$M$1241,2,FALSE)," ")</f>
        <v>BOURIGUA</v>
      </c>
      <c r="D1389" s="1" t="str">
        <f>IF(B1389=0,VLOOKUP(A1389,Feuil2!$A$2:$M$1241,3,FALSE)," ")</f>
        <v>MOHAMED</v>
      </c>
      <c r="E1389" s="5">
        <f>IF(B1389=0,VLOOKUP(A1389,Feuil2!$A$2:$M$1241,6,FALSE)," ")</f>
        <v>27692</v>
      </c>
      <c r="F1389" s="1" t="str">
        <f>IF(B1389=0,VLOOKUP(A1389,Feuil2!$A$2:$M$1241,12,FALSE)," ")</f>
        <v>H</v>
      </c>
      <c r="G1389" s="1" t="str">
        <f>IF(B1389=0,VLOOKUP(A1389,Feuil2!$A$2:$M$1241,11,FALSE)," ")</f>
        <v>M</v>
      </c>
      <c r="H1389" s="1" t="s">
        <v>16</v>
      </c>
      <c r="I1389" s="6">
        <f>IF(B1389=0,VLOOKUP(A1389,Feuil2!$A$2:$M$1241,7,FALSE)," ")</f>
        <v>5550907</v>
      </c>
      <c r="J1389" s="1" t="str">
        <f>IF(B1389=0,VLOOKUP(A1389,Feuil2!$A$2:$M$1241,9,FALSE)," ")</f>
        <v>88 Rue Farhat Hached</v>
      </c>
      <c r="K1389" s="1" t="str">
        <f>IF(B1389=0,VLOOKUP(A1389,Feuil2!$A$2:$M$1241,10,FALSE)," ")</f>
        <v>Msaken 4070</v>
      </c>
      <c r="L1389" s="1">
        <v>4070</v>
      </c>
      <c r="M1389" s="1">
        <v>98793826</v>
      </c>
      <c r="N1389" s="1"/>
      <c r="O1389" s="8" t="str">
        <f>IF(B1392=0,VLOOKUP(A1392,Feuil2!$A$2:$M$1241,13,FALSE)," ")</f>
        <v xml:space="preserve"> </v>
      </c>
    </row>
    <row r="1390" spans="1:15" x14ac:dyDescent="0.3">
      <c r="A1390" s="1">
        <v>1821</v>
      </c>
      <c r="B1390" s="1">
        <v>1</v>
      </c>
      <c r="C1390" s="1" t="s">
        <v>37</v>
      </c>
      <c r="D1390" s="1" t="s">
        <v>2714</v>
      </c>
      <c r="E1390" s="5">
        <v>28209</v>
      </c>
      <c r="F1390" s="1" t="s">
        <v>17</v>
      </c>
      <c r="G1390" s="1" t="s">
        <v>15</v>
      </c>
      <c r="H1390" s="1" t="s">
        <v>16</v>
      </c>
      <c r="I1390" s="6" t="str">
        <f>IF(B1390=0,VLOOKUP(A1390,Feuil2!$A$2:$M$1241,7,FALSE)," ")</f>
        <v xml:space="preserve"> </v>
      </c>
      <c r="J1390" s="1" t="str">
        <f>IF(B1390=0,VLOOKUP(A1390,Feuil2!$A$2:$M$1241,9,FALSE)," ")</f>
        <v xml:space="preserve"> </v>
      </c>
      <c r="K1390" s="1" t="str">
        <f>IF(B1390=0,VLOOKUP(A1390,Feuil2!$A$2:$M$1241,10,FALSE)," ")</f>
        <v xml:space="preserve"> </v>
      </c>
      <c r="L1390" s="1"/>
      <c r="M1390" s="1"/>
      <c r="N1390" s="1"/>
      <c r="O1390" s="8" t="str">
        <f>IF(B1393=0,VLOOKUP(A1393,Feuil2!$A$2:$M$1241,13,FALSE)," ")</f>
        <v xml:space="preserve"> </v>
      </c>
    </row>
    <row r="1391" spans="1:15" x14ac:dyDescent="0.3">
      <c r="A1391" s="1">
        <v>1821</v>
      </c>
      <c r="B1391" s="1">
        <v>2</v>
      </c>
      <c r="C1391" s="1" t="s">
        <v>360</v>
      </c>
      <c r="D1391" s="1" t="s">
        <v>2383</v>
      </c>
      <c r="E1391" s="5">
        <v>38158</v>
      </c>
      <c r="F1391" s="1" t="s">
        <v>17</v>
      </c>
      <c r="G1391" s="1" t="str">
        <f>IF(B1391=0,VLOOKUP(A1391,Feuil2!$A$2:$M$1241,11,FALSE)," ")</f>
        <v xml:space="preserve"> </v>
      </c>
      <c r="H1391" s="1" t="s">
        <v>16</v>
      </c>
      <c r="I1391" s="6" t="str">
        <f>IF(B1391=0,VLOOKUP(A1391,Feuil2!$A$2:$M$1241,7,FALSE)," ")</f>
        <v xml:space="preserve"> </v>
      </c>
      <c r="J1391" s="1" t="str">
        <f>IF(B1391=0,VLOOKUP(A1391,Feuil2!$A$2:$M$1241,9,FALSE)," ")</f>
        <v xml:space="preserve"> </v>
      </c>
      <c r="K1391" s="1" t="str">
        <f>IF(B1391=0,VLOOKUP(A1391,Feuil2!$A$2:$M$1241,10,FALSE)," ")</f>
        <v xml:space="preserve"> </v>
      </c>
      <c r="L1391" s="1"/>
      <c r="M1391" s="1"/>
      <c r="N1391" s="1"/>
      <c r="O1391" s="8" t="str">
        <f>IF(B1394=0,VLOOKUP(A1394,Feuil2!$A$2:$M$1241,13,FALSE)," ")</f>
        <v>14114114100701193838</v>
      </c>
    </row>
    <row r="1392" spans="1:15" x14ac:dyDescent="0.3">
      <c r="A1392" s="1">
        <v>1821</v>
      </c>
      <c r="B1392" s="1">
        <v>3</v>
      </c>
      <c r="C1392" s="1" t="s">
        <v>360</v>
      </c>
      <c r="D1392" s="1" t="s">
        <v>107</v>
      </c>
      <c r="E1392" s="5">
        <v>38839</v>
      </c>
      <c r="F1392" s="1" t="s">
        <v>506</v>
      </c>
      <c r="G1392" s="1" t="str">
        <f>IF(B1392=0,VLOOKUP(A1392,Feuil2!$A$2:$M$1241,11,FALSE)," ")</f>
        <v xml:space="preserve"> </v>
      </c>
      <c r="H1392" s="1" t="s">
        <v>16</v>
      </c>
      <c r="I1392" s="6" t="str">
        <f>IF(B1392=0,VLOOKUP(A1392,Feuil2!$A$2:$M$1241,7,FALSE)," ")</f>
        <v xml:space="preserve"> </v>
      </c>
      <c r="J1392" s="1" t="str">
        <f>IF(B1392=0,VLOOKUP(A1392,Feuil2!$A$2:$M$1241,9,FALSE)," ")</f>
        <v xml:space="preserve"> </v>
      </c>
      <c r="K1392" s="1" t="str">
        <f>IF(B1392=0,VLOOKUP(A1392,Feuil2!$A$2:$M$1241,10,FALSE)," ")</f>
        <v xml:space="preserve"> </v>
      </c>
      <c r="L1392" s="1"/>
      <c r="M1392" s="1"/>
      <c r="N1392" s="1"/>
      <c r="O1392" s="8" t="str">
        <f>IF(B1395=0,VLOOKUP(A1395,Feuil2!$A$2:$M$1241,13,FALSE)," ")</f>
        <v xml:space="preserve"> </v>
      </c>
    </row>
    <row r="1393" spans="1:15" x14ac:dyDescent="0.3">
      <c r="A1393" s="1">
        <v>1821</v>
      </c>
      <c r="B1393" s="1">
        <v>4</v>
      </c>
      <c r="C1393" s="1" t="s">
        <v>360</v>
      </c>
      <c r="D1393" s="1" t="s">
        <v>2357</v>
      </c>
      <c r="E1393" s="5">
        <v>39935</v>
      </c>
      <c r="F1393" s="1" t="s">
        <v>17</v>
      </c>
      <c r="G1393" s="1" t="str">
        <f>IF(B1393=0,VLOOKUP(A1393,Feuil2!$A$2:$M$1241,11,FALSE)," ")</f>
        <v xml:space="preserve"> </v>
      </c>
      <c r="H1393" s="1" t="s">
        <v>16</v>
      </c>
      <c r="I1393" s="6" t="str">
        <f>IF(B1393=0,VLOOKUP(A1393,Feuil2!$A$2:$M$1241,7,FALSE)," ")</f>
        <v xml:space="preserve"> </v>
      </c>
      <c r="J1393" s="1" t="str">
        <f>IF(B1393=0,VLOOKUP(A1393,Feuil2!$A$2:$M$1241,9,FALSE)," ")</f>
        <v xml:space="preserve"> </v>
      </c>
      <c r="K1393" s="1" t="str">
        <f>IF(B1393=0,VLOOKUP(A1393,Feuil2!$A$2:$M$1241,10,FALSE)," ")</f>
        <v xml:space="preserve"> </v>
      </c>
      <c r="L1393" s="1"/>
      <c r="M1393" s="1"/>
      <c r="N1393" s="1"/>
      <c r="O1393" s="8" t="str">
        <f>IF(B1396=0,VLOOKUP(A1396,Feuil2!$A$2:$M$1241,13,FALSE)," ")</f>
        <v xml:space="preserve"> </v>
      </c>
    </row>
    <row r="1394" spans="1:15" x14ac:dyDescent="0.3">
      <c r="A1394" s="1">
        <v>1825</v>
      </c>
      <c r="B1394" s="1">
        <v>0</v>
      </c>
      <c r="C1394" s="1" t="str">
        <f>IF(B1394=0,VLOOKUP(A1394,Feuil2!$A$2:$M$1241,2,FALSE)," ")</f>
        <v>AIFA</v>
      </c>
      <c r="D1394" s="1" t="str">
        <f>IF(B1394=0,VLOOKUP(A1394,Feuil2!$A$2:$M$1241,3,FALSE)," ")</f>
        <v>SADOK</v>
      </c>
      <c r="E1394" s="5">
        <f>IF(B1394=0,VLOOKUP(A1394,Feuil2!$A$2:$M$1241,6,FALSE)," ")</f>
        <v>25494</v>
      </c>
      <c r="F1394" s="1" t="str">
        <f>IF(B1394=0,VLOOKUP(A1394,Feuil2!$A$2:$M$1241,12,FALSE)," ")</f>
        <v>H</v>
      </c>
      <c r="G1394" s="1" t="str">
        <f>IF(B1394=0,VLOOKUP(A1394,Feuil2!$A$2:$M$1241,11,FALSE)," ")</f>
        <v>M</v>
      </c>
      <c r="H1394" s="1" t="s">
        <v>16</v>
      </c>
      <c r="I1394" s="6">
        <f>IF(B1394=0,VLOOKUP(A1394,Feuil2!$A$2:$M$1241,7,FALSE)," ")</f>
        <v>3968081</v>
      </c>
      <c r="J1394" s="1" t="str">
        <f>IF(B1394=0,VLOOKUP(A1394,Feuil2!$A$2:$M$1241,9,FALSE)," ")</f>
        <v>06 Rue Sobhi Salah</v>
      </c>
      <c r="K1394" s="1" t="str">
        <f>IF(B1394=0,VLOOKUP(A1394,Feuil2!$A$2:$M$1241,10,FALSE)," ")</f>
        <v>CitÃ© Erriadh</v>
      </c>
      <c r="L1394" s="1"/>
      <c r="M1394" s="1">
        <v>97262441</v>
      </c>
      <c r="N1394" s="1"/>
      <c r="O1394" s="8" t="str">
        <f>IF(B1397=0,VLOOKUP(A1397,Feuil2!$A$2:$M$1241,13,FALSE)," ")</f>
        <v>25066000000075663147</v>
      </c>
    </row>
    <row r="1395" spans="1:15" x14ac:dyDescent="0.3">
      <c r="A1395" s="1">
        <v>1825</v>
      </c>
      <c r="B1395" s="1">
        <v>1</v>
      </c>
      <c r="C1395" s="1" t="str">
        <f>IF(B1395=0,VLOOKUP(A1395,Feuil2!$A$2:$M$1241,2,FALSE)," ")</f>
        <v xml:space="preserve"> </v>
      </c>
      <c r="D1395" s="1" t="s">
        <v>2110</v>
      </c>
      <c r="E1395" s="5">
        <v>26708</v>
      </c>
      <c r="F1395" s="1" t="s">
        <v>17</v>
      </c>
      <c r="G1395" s="1" t="s">
        <v>15</v>
      </c>
      <c r="H1395" s="1" t="s">
        <v>16</v>
      </c>
      <c r="I1395" s="6" t="str">
        <f>IF(B1395=0,VLOOKUP(A1395,Feuil2!$A$2:$M$1241,7,FALSE)," ")</f>
        <v xml:space="preserve"> </v>
      </c>
      <c r="J1395" s="1" t="str">
        <f>IF(B1395=0,VLOOKUP(A1395,Feuil2!$A$2:$M$1241,9,FALSE)," ")</f>
        <v xml:space="preserve"> </v>
      </c>
      <c r="K1395" s="1" t="str">
        <f>IF(B1395=0,VLOOKUP(A1395,Feuil2!$A$2:$M$1241,10,FALSE)," ")</f>
        <v xml:space="preserve"> </v>
      </c>
      <c r="L1395" s="1"/>
      <c r="M1395" s="1"/>
      <c r="N1395" s="1"/>
      <c r="O1395" s="8" t="str">
        <f>IF(B1398=0,VLOOKUP(A1398,Feuil2!$A$2:$M$1241,13,FALSE)," ")</f>
        <v xml:space="preserve"> </v>
      </c>
    </row>
    <row r="1396" spans="1:15" x14ac:dyDescent="0.3">
      <c r="A1396" s="1">
        <v>1825</v>
      </c>
      <c r="B1396" s="1">
        <v>2</v>
      </c>
      <c r="C1396" s="1" t="s">
        <v>142</v>
      </c>
      <c r="D1396" s="1" t="s">
        <v>2715</v>
      </c>
      <c r="E1396" s="5">
        <v>40584</v>
      </c>
      <c r="F1396" s="1" t="s">
        <v>506</v>
      </c>
      <c r="G1396" s="1" t="str">
        <f>IF(B1396=0,VLOOKUP(A1396,Feuil2!$A$2:$M$1241,11,FALSE)," ")</f>
        <v xml:space="preserve"> </v>
      </c>
      <c r="H1396" s="1" t="s">
        <v>16</v>
      </c>
      <c r="I1396" s="6" t="str">
        <f>IF(B1396=0,VLOOKUP(A1396,Feuil2!$A$2:$M$1241,7,FALSE)," ")</f>
        <v xml:space="preserve"> </v>
      </c>
      <c r="J1396" s="1" t="str">
        <f>IF(B1396=0,VLOOKUP(A1396,Feuil2!$A$2:$M$1241,9,FALSE)," ")</f>
        <v xml:space="preserve"> </v>
      </c>
      <c r="K1396" s="1" t="str">
        <f>IF(B1396=0,VLOOKUP(A1396,Feuil2!$A$2:$M$1241,10,FALSE)," ")</f>
        <v xml:space="preserve"> </v>
      </c>
      <c r="L1396" s="1"/>
      <c r="M1396" s="1"/>
      <c r="N1396" s="1"/>
      <c r="O1396" s="8" t="str">
        <f>IF(B1399=0,VLOOKUP(A1399,Feuil2!$A$2:$M$1241,13,FALSE)," ")</f>
        <v xml:space="preserve"> </v>
      </c>
    </row>
    <row r="1397" spans="1:15" x14ac:dyDescent="0.3">
      <c r="A1397" s="1">
        <v>1827</v>
      </c>
      <c r="B1397" s="1">
        <v>0</v>
      </c>
      <c r="C1397" s="1" t="str">
        <f>IF(B1397=0,VLOOKUP(A1397,Feuil2!$A$2:$M$1241,2,FALSE)," ")</f>
        <v>CHTIOUI</v>
      </c>
      <c r="D1397" s="1" t="str">
        <f>IF(B1397=0,VLOOKUP(A1397,Feuil2!$A$2:$M$1241,3,FALSE)," ")</f>
        <v>HAMADI</v>
      </c>
      <c r="E1397" s="5">
        <f>IF(B1397=0,VLOOKUP(A1397,Feuil2!$A$2:$M$1241,6,FALSE)," ")</f>
        <v>28312</v>
      </c>
      <c r="F1397" s="1" t="str">
        <f>IF(B1397=0,VLOOKUP(A1397,Feuil2!$A$2:$M$1241,12,FALSE)," ")</f>
        <v>H</v>
      </c>
      <c r="G1397" s="1" t="str">
        <f>IF(B1397=0,VLOOKUP(A1397,Feuil2!$A$2:$M$1241,11,FALSE)," ")</f>
        <v>M</v>
      </c>
      <c r="H1397" s="1" t="s">
        <v>16</v>
      </c>
      <c r="I1397" s="6">
        <f>IF(B1397=0,VLOOKUP(A1397,Feuil2!$A$2:$M$1241,7,FALSE)," ")</f>
        <v>5570881</v>
      </c>
      <c r="J1397" s="1" t="str">
        <f>IF(B1397=0,VLOOKUP(A1397,Feuil2!$A$2:$M$1241,9,FALSE)," ")</f>
        <v>51 Rue Ibn Badis</v>
      </c>
      <c r="K1397" s="1" t="str">
        <f>IF(B1397=0,VLOOKUP(A1397,Feuil2!$A$2:$M$1241,10,FALSE)," ")</f>
        <v>Msaken 4070</v>
      </c>
      <c r="L1397" s="1">
        <v>4070</v>
      </c>
      <c r="M1397" s="1">
        <v>28787636</v>
      </c>
      <c r="N1397" s="1"/>
      <c r="O1397" s="8" t="str">
        <f>IF(B1400=0,VLOOKUP(A1400,Feuil2!$A$2:$M$1241,13,FALSE)," ")</f>
        <v xml:space="preserve"> </v>
      </c>
    </row>
    <row r="1398" spans="1:15" x14ac:dyDescent="0.3">
      <c r="A1398" s="1">
        <v>1827</v>
      </c>
      <c r="B1398" s="1">
        <v>1</v>
      </c>
      <c r="C1398" s="1" t="s">
        <v>217</v>
      </c>
      <c r="D1398" s="1" t="s">
        <v>2641</v>
      </c>
      <c r="E1398" s="5">
        <v>30801</v>
      </c>
      <c r="F1398" s="1" t="s">
        <v>17</v>
      </c>
      <c r="G1398" s="1" t="s">
        <v>15</v>
      </c>
      <c r="H1398" s="1" t="s">
        <v>16</v>
      </c>
      <c r="I1398" s="6" t="str">
        <f>IF(B1398=0,VLOOKUP(A1398,Feuil2!$A$2:$M$1241,7,FALSE)," ")</f>
        <v xml:space="preserve"> </v>
      </c>
      <c r="J1398" s="1" t="str">
        <f>IF(B1398=0,VLOOKUP(A1398,Feuil2!$A$2:$M$1241,9,FALSE)," ")</f>
        <v xml:space="preserve"> </v>
      </c>
      <c r="K1398" s="1" t="str">
        <f>IF(B1398=0,VLOOKUP(A1398,Feuil2!$A$2:$M$1241,10,FALSE)," ")</f>
        <v xml:space="preserve"> </v>
      </c>
      <c r="L1398" s="1"/>
      <c r="M1398" s="1"/>
      <c r="N1398" s="1"/>
      <c r="O1398" s="8" t="str">
        <f>IF(B1401=0,VLOOKUP(A1401,Feuil2!$A$2:$M$1241,13,FALSE)," ")</f>
        <v xml:space="preserve"> </v>
      </c>
    </row>
    <row r="1399" spans="1:15" x14ac:dyDescent="0.3">
      <c r="A1399" s="1">
        <v>1827</v>
      </c>
      <c r="B1399" s="1">
        <v>2</v>
      </c>
      <c r="C1399" s="1" t="s">
        <v>42</v>
      </c>
      <c r="D1399" s="1" t="s">
        <v>2716</v>
      </c>
      <c r="E1399" s="5">
        <v>40585</v>
      </c>
      <c r="F1399" s="1" t="s">
        <v>506</v>
      </c>
      <c r="G1399" s="1" t="str">
        <f>IF(B1399=0,VLOOKUP(A1399,Feuil2!$A$2:$M$1241,11,FALSE)," ")</f>
        <v xml:space="preserve"> </v>
      </c>
      <c r="H1399" s="1" t="s">
        <v>16</v>
      </c>
      <c r="I1399" s="6" t="str">
        <f>IF(B1399=0,VLOOKUP(A1399,Feuil2!$A$2:$M$1241,7,FALSE)," ")</f>
        <v xml:space="preserve"> </v>
      </c>
      <c r="J1399" s="1" t="str">
        <f>IF(B1399=0,VLOOKUP(A1399,Feuil2!$A$2:$M$1241,9,FALSE)," ")</f>
        <v xml:space="preserve"> </v>
      </c>
      <c r="K1399" s="1" t="str">
        <f>IF(B1399=0,VLOOKUP(A1399,Feuil2!$A$2:$M$1241,10,FALSE)," ")</f>
        <v xml:space="preserve"> </v>
      </c>
      <c r="L1399" s="1"/>
      <c r="M1399" s="1"/>
      <c r="N1399" s="1"/>
      <c r="O1399" s="8" t="str">
        <f>IF(B1402=0,VLOOKUP(A1402,Feuil2!$A$2:$M$1241,13,FALSE)," ")</f>
        <v>10506040206297978884</v>
      </c>
    </row>
    <row r="1400" spans="1:15" x14ac:dyDescent="0.3">
      <c r="A1400" s="1">
        <v>1827</v>
      </c>
      <c r="B1400" s="1">
        <v>3</v>
      </c>
      <c r="C1400" s="1" t="s">
        <v>42</v>
      </c>
      <c r="D1400" s="1" t="s">
        <v>2717</v>
      </c>
      <c r="E1400" s="5">
        <v>41683</v>
      </c>
      <c r="F1400" s="1" t="s">
        <v>506</v>
      </c>
      <c r="G1400" s="1" t="str">
        <f>IF(B1400=0,VLOOKUP(A1400,Feuil2!$A$2:$M$1241,11,FALSE)," ")</f>
        <v xml:space="preserve"> </v>
      </c>
      <c r="H1400" s="1" t="s">
        <v>16</v>
      </c>
      <c r="I1400" s="6" t="str">
        <f>IF(B1400=0,VLOOKUP(A1400,Feuil2!$A$2:$M$1241,7,FALSE)," ")</f>
        <v xml:space="preserve"> </v>
      </c>
      <c r="J1400" s="1" t="str">
        <f>IF(B1400=0,VLOOKUP(A1400,Feuil2!$A$2:$M$1241,9,FALSE)," ")</f>
        <v xml:space="preserve"> </v>
      </c>
      <c r="K1400" s="1" t="str">
        <f>IF(B1400=0,VLOOKUP(A1400,Feuil2!$A$2:$M$1241,10,FALSE)," ")</f>
        <v xml:space="preserve"> </v>
      </c>
      <c r="L1400" s="1"/>
      <c r="M1400" s="1"/>
      <c r="N1400" s="1"/>
      <c r="O1400" s="8" t="str">
        <f>IF(B1403=0,VLOOKUP(A1403,Feuil2!$A$2:$M$1241,13,FALSE)," ")</f>
        <v xml:space="preserve"> </v>
      </c>
    </row>
    <row r="1401" spans="1:15" x14ac:dyDescent="0.3">
      <c r="A1401" s="1">
        <v>1827</v>
      </c>
      <c r="B1401" s="1">
        <v>4</v>
      </c>
      <c r="C1401" s="1" t="s">
        <v>42</v>
      </c>
      <c r="D1401" s="1" t="s">
        <v>2404</v>
      </c>
      <c r="E1401" s="5">
        <v>43299</v>
      </c>
      <c r="F1401" s="1" t="s">
        <v>506</v>
      </c>
      <c r="G1401" s="1" t="str">
        <f>IF(B1401=0,VLOOKUP(A1401,Feuil2!$A$2:$M$1241,11,FALSE)," ")</f>
        <v xml:space="preserve"> </v>
      </c>
      <c r="H1401" s="1" t="s">
        <v>16</v>
      </c>
      <c r="I1401" s="6" t="str">
        <f>IF(B1401=0,VLOOKUP(A1401,Feuil2!$A$2:$M$1241,7,FALSE)," ")</f>
        <v xml:space="preserve"> </v>
      </c>
      <c r="J1401" s="1" t="str">
        <f>IF(B1401=0,VLOOKUP(A1401,Feuil2!$A$2:$M$1241,9,FALSE)," ")</f>
        <v xml:space="preserve"> </v>
      </c>
      <c r="K1401" s="1" t="str">
        <f>IF(B1401=0,VLOOKUP(A1401,Feuil2!$A$2:$M$1241,10,FALSE)," ")</f>
        <v xml:space="preserve"> </v>
      </c>
      <c r="L1401" s="1"/>
      <c r="M1401" s="1"/>
      <c r="N1401" s="1"/>
      <c r="O1401" s="8" t="str">
        <f>IF(B1404=0,VLOOKUP(A1404,Feuil2!$A$2:$M$1241,13,FALSE)," ")</f>
        <v xml:space="preserve"> </v>
      </c>
    </row>
    <row r="1402" spans="1:15" x14ac:dyDescent="0.3">
      <c r="A1402" s="1">
        <v>1828</v>
      </c>
      <c r="B1402" s="1">
        <v>0</v>
      </c>
      <c r="C1402" s="1" t="str">
        <f>IF(B1402=0,VLOOKUP(A1402,Feuil2!$A$2:$M$1241,2,FALSE)," ")</f>
        <v>FNAYOU</v>
      </c>
      <c r="D1402" s="1" t="str">
        <f>IF(B1402=0,VLOOKUP(A1402,Feuil2!$A$2:$M$1241,3,FALSE)," ")</f>
        <v>MOHAMED</v>
      </c>
      <c r="E1402" s="5">
        <f>IF(B1402=0,VLOOKUP(A1402,Feuil2!$A$2:$M$1241,6,FALSE)," ")</f>
        <v>28406</v>
      </c>
      <c r="F1402" s="1" t="str">
        <f>IF(B1402=0,VLOOKUP(A1402,Feuil2!$A$2:$M$1241,12,FALSE)," ")</f>
        <v>H</v>
      </c>
      <c r="G1402" s="1" t="str">
        <f>IF(B1402=0,VLOOKUP(A1402,Feuil2!$A$2:$M$1241,11,FALSE)," ")</f>
        <v>M</v>
      </c>
      <c r="H1402" s="1" t="s">
        <v>16</v>
      </c>
      <c r="I1402" s="6">
        <f>IF(B1402=0,VLOOKUP(A1402,Feuil2!$A$2:$M$1241,7,FALSE)," ")</f>
        <v>5598689</v>
      </c>
      <c r="J1402" s="1" t="str">
        <f>IF(B1402=0,VLOOKUP(A1402,Feuil2!$A$2:$M$1241,9,FALSE)," ")</f>
        <v>10 Rue Ahmed Ibn Abi Dhiaf</v>
      </c>
      <c r="K1402" s="1" t="str">
        <f>IF(B1402=0,VLOOKUP(A1402,Feuil2!$A$2:$M$1241,10,FALSE)," ")</f>
        <v>Msaken 4070</v>
      </c>
      <c r="L1402" s="1">
        <v>4070</v>
      </c>
      <c r="M1402" s="1">
        <v>26438118</v>
      </c>
      <c r="N1402" s="1"/>
      <c r="O1402" s="8" t="str">
        <f>IF(B1405=0,VLOOKUP(A1405,Feuil2!$A$2:$M$1241,13,FALSE)," ")</f>
        <v>10506040206568978842</v>
      </c>
    </row>
    <row r="1403" spans="1:15" x14ac:dyDescent="0.3">
      <c r="A1403" s="1">
        <v>1828</v>
      </c>
      <c r="B1403" s="1">
        <v>1</v>
      </c>
      <c r="C1403" s="1" t="s">
        <v>225</v>
      </c>
      <c r="D1403" s="1" t="s">
        <v>89</v>
      </c>
      <c r="E1403" s="5">
        <v>39219</v>
      </c>
      <c r="F1403" s="1" t="s">
        <v>506</v>
      </c>
      <c r="G1403" s="1" t="str">
        <f>IF(B1403=0,VLOOKUP(A1403,Feuil2!$A$2:$M$1241,11,FALSE)," ")</f>
        <v xml:space="preserve"> </v>
      </c>
      <c r="H1403" s="1" t="s">
        <v>16</v>
      </c>
      <c r="I1403" s="6" t="str">
        <f>IF(B1403=0,VLOOKUP(A1403,Feuil2!$A$2:$M$1241,7,FALSE)," ")</f>
        <v xml:space="preserve"> </v>
      </c>
      <c r="J1403" s="1" t="str">
        <f>IF(B1403=0,VLOOKUP(A1403,Feuil2!$A$2:$M$1241,9,FALSE)," ")</f>
        <v xml:space="preserve"> </v>
      </c>
      <c r="K1403" s="1" t="str">
        <f>IF(B1403=0,VLOOKUP(A1403,Feuil2!$A$2:$M$1241,10,FALSE)," ")</f>
        <v xml:space="preserve"> </v>
      </c>
      <c r="L1403" s="1"/>
      <c r="M1403" s="1"/>
      <c r="N1403" s="1"/>
      <c r="O1403" s="8" t="str">
        <f>IF(B1406=0,VLOOKUP(A1406,Feuil2!$A$2:$M$1241,13,FALSE)," ")</f>
        <v xml:space="preserve"> </v>
      </c>
    </row>
    <row r="1404" spans="1:15" x14ac:dyDescent="0.3">
      <c r="A1404" s="1">
        <v>1828</v>
      </c>
      <c r="B1404" s="1">
        <v>2</v>
      </c>
      <c r="C1404" s="1" t="s">
        <v>225</v>
      </c>
      <c r="D1404" s="1" t="s">
        <v>2718</v>
      </c>
      <c r="E1404" s="5">
        <v>39683</v>
      </c>
      <c r="F1404" s="1" t="s">
        <v>506</v>
      </c>
      <c r="G1404" s="1" t="str">
        <f>IF(B1404=0,VLOOKUP(A1404,Feuil2!$A$2:$M$1241,11,FALSE)," ")</f>
        <v xml:space="preserve"> </v>
      </c>
      <c r="H1404" s="1" t="s">
        <v>16</v>
      </c>
      <c r="I1404" s="6" t="str">
        <f>IF(B1404=0,VLOOKUP(A1404,Feuil2!$A$2:$M$1241,7,FALSE)," ")</f>
        <v xml:space="preserve"> </v>
      </c>
      <c r="J1404" s="1" t="str">
        <f>IF(B1404=0,VLOOKUP(A1404,Feuil2!$A$2:$M$1241,9,FALSE)," ")</f>
        <v xml:space="preserve"> </v>
      </c>
      <c r="K1404" s="1" t="str">
        <f>IF(B1404=0,VLOOKUP(A1404,Feuil2!$A$2:$M$1241,10,FALSE)," ")</f>
        <v xml:space="preserve"> </v>
      </c>
      <c r="L1404" s="1"/>
      <c r="M1404" s="1"/>
      <c r="N1404" s="1"/>
      <c r="O1404" s="8" t="str">
        <f>IF(B1407=0,VLOOKUP(A1407,Feuil2!$A$2:$M$1241,13,FALSE)," ")</f>
        <v xml:space="preserve"> </v>
      </c>
    </row>
    <row r="1405" spans="1:15" x14ac:dyDescent="0.3">
      <c r="A1405" s="1">
        <v>1830</v>
      </c>
      <c r="B1405" s="1">
        <v>0</v>
      </c>
      <c r="C1405" s="1" t="str">
        <f>IF(B1405=0,VLOOKUP(A1405,Feuil2!$A$2:$M$1241,2,FALSE)," ")</f>
        <v>LOURIMI</v>
      </c>
      <c r="D1405" s="1" t="s">
        <v>63</v>
      </c>
      <c r="E1405" s="5">
        <f>IF(B1405=0,VLOOKUP(A1405,Feuil2!$A$2:$M$1241,6,FALSE)," ")</f>
        <v>28242</v>
      </c>
      <c r="F1405" s="1" t="str">
        <f>IF(B1405=0,VLOOKUP(A1405,Feuil2!$A$2:$M$1241,12,FALSE)," ")</f>
        <v>H</v>
      </c>
      <c r="G1405" s="1" t="str">
        <f>IF(B1405=0,VLOOKUP(A1405,Feuil2!$A$2:$M$1241,11,FALSE)," ")</f>
        <v>M</v>
      </c>
      <c r="H1405" s="1" t="s">
        <v>16</v>
      </c>
      <c r="I1405" s="6">
        <f>IF(B1405=0,VLOOKUP(A1405,Feuil2!$A$2:$M$1241,7,FALSE)," ")</f>
        <v>5579578</v>
      </c>
      <c r="J1405" s="1" t="str">
        <f>IF(B1405=0,VLOOKUP(A1405,Feuil2!$A$2:$M$1241,9,FALSE)," ")</f>
        <v>NULL</v>
      </c>
      <c r="K1405" s="1" t="str">
        <f>IF(B1405=0,VLOOKUP(A1405,Feuil2!$A$2:$M$1241,10,FALSE)," ")</f>
        <v>Knaies 4014</v>
      </c>
      <c r="L1405" s="1">
        <v>4014</v>
      </c>
      <c r="M1405" s="1">
        <v>98793795</v>
      </c>
      <c r="N1405" s="1"/>
      <c r="O1405" s="8" t="str">
        <f>IF(B1408=0,VLOOKUP(A1408,Feuil2!$A$2:$M$1241,13,FALSE)," ")</f>
        <v xml:space="preserve"> </v>
      </c>
    </row>
    <row r="1406" spans="1:15" x14ac:dyDescent="0.3">
      <c r="A1406" s="1">
        <v>1830</v>
      </c>
      <c r="B1406" s="1">
        <v>1</v>
      </c>
      <c r="C1406" s="1" t="s">
        <v>1277</v>
      </c>
      <c r="D1406" s="1" t="s">
        <v>1387</v>
      </c>
      <c r="E1406" s="5">
        <v>32223</v>
      </c>
      <c r="F1406" s="1" t="s">
        <v>17</v>
      </c>
      <c r="G1406" s="1" t="s">
        <v>15</v>
      </c>
      <c r="H1406" s="1" t="s">
        <v>16</v>
      </c>
      <c r="I1406" s="6" t="str">
        <f>IF(B1406=0,VLOOKUP(A1406,Feuil2!$A$2:$M$1241,7,FALSE)," ")</f>
        <v xml:space="preserve"> </v>
      </c>
      <c r="J1406" s="1" t="str">
        <f>IF(B1406=0,VLOOKUP(A1406,Feuil2!$A$2:$M$1241,9,FALSE)," ")</f>
        <v xml:space="preserve"> </v>
      </c>
      <c r="K1406" s="1" t="str">
        <f>IF(B1406=0,VLOOKUP(A1406,Feuil2!$A$2:$M$1241,10,FALSE)," ")</f>
        <v xml:space="preserve"> </v>
      </c>
      <c r="L1406" s="1"/>
      <c r="M1406" s="1"/>
      <c r="N1406" s="1"/>
      <c r="O1406" s="8" t="str">
        <f>IF(B1409=0,VLOOKUP(A1409,Feuil2!$A$2:$M$1241,13,FALSE)," ")</f>
        <v xml:space="preserve"> </v>
      </c>
    </row>
    <row r="1407" spans="1:15" x14ac:dyDescent="0.3">
      <c r="A1407" s="1">
        <v>1830</v>
      </c>
      <c r="B1407" s="1">
        <v>2</v>
      </c>
      <c r="C1407" s="1" t="s">
        <v>64</v>
      </c>
      <c r="D1407" s="1" t="s">
        <v>416</v>
      </c>
      <c r="E1407" s="5">
        <v>39966</v>
      </c>
      <c r="F1407" s="1" t="s">
        <v>17</v>
      </c>
      <c r="G1407" s="1" t="str">
        <f>IF(B1407=0,VLOOKUP(A1407,Feuil2!$A$2:$M$1241,11,FALSE)," ")</f>
        <v xml:space="preserve"> </v>
      </c>
      <c r="H1407" s="1" t="s">
        <v>16</v>
      </c>
      <c r="I1407" s="6" t="str">
        <f>IF(B1407=0,VLOOKUP(A1407,Feuil2!$A$2:$M$1241,7,FALSE)," ")</f>
        <v xml:space="preserve"> </v>
      </c>
      <c r="J1407" s="1" t="str">
        <f>IF(B1407=0,VLOOKUP(A1407,Feuil2!$A$2:$M$1241,9,FALSE)," ")</f>
        <v xml:space="preserve"> </v>
      </c>
      <c r="K1407" s="1" t="str">
        <f>IF(B1407=0,VLOOKUP(A1407,Feuil2!$A$2:$M$1241,10,FALSE)," ")</f>
        <v xml:space="preserve"> </v>
      </c>
      <c r="L1407" s="1"/>
      <c r="M1407" s="1"/>
      <c r="N1407" s="1"/>
      <c r="O1407" s="8" t="str">
        <f>IF(B1410=0,VLOOKUP(A1410,Feuil2!$A$2:$M$1241,13,FALSE)," ")</f>
        <v>03508056010110001415</v>
      </c>
    </row>
    <row r="1408" spans="1:15" x14ac:dyDescent="0.3">
      <c r="A1408" s="1">
        <v>1830</v>
      </c>
      <c r="B1408" s="1">
        <v>3</v>
      </c>
      <c r="C1408" s="1" t="s">
        <v>64</v>
      </c>
      <c r="D1408" s="1" t="s">
        <v>54</v>
      </c>
      <c r="E1408" s="5">
        <v>41035</v>
      </c>
      <c r="F1408" s="1" t="s">
        <v>17</v>
      </c>
      <c r="G1408" s="1" t="str">
        <f>IF(B1408=0,VLOOKUP(A1408,Feuil2!$A$2:$M$1241,11,FALSE)," ")</f>
        <v xml:space="preserve"> </v>
      </c>
      <c r="H1408" s="1" t="s">
        <v>16</v>
      </c>
      <c r="I1408" s="6" t="str">
        <f>IF(B1408=0,VLOOKUP(A1408,Feuil2!$A$2:$M$1241,7,FALSE)," ")</f>
        <v xml:space="preserve"> </v>
      </c>
      <c r="J1408" s="1" t="str">
        <f>IF(B1408=0,VLOOKUP(A1408,Feuil2!$A$2:$M$1241,9,FALSE)," ")</f>
        <v xml:space="preserve"> </v>
      </c>
      <c r="K1408" s="1" t="str">
        <f>IF(B1408=0,VLOOKUP(A1408,Feuil2!$A$2:$M$1241,10,FALSE)," ")</f>
        <v xml:space="preserve"> </v>
      </c>
      <c r="L1408" s="1"/>
      <c r="M1408" s="1"/>
      <c r="N1408" s="1"/>
      <c r="O1408" s="8" t="str">
        <f>IF(B1411=0,VLOOKUP(A1411,Feuil2!$A$2:$M$1241,13,FALSE)," ")</f>
        <v xml:space="preserve"> </v>
      </c>
    </row>
    <row r="1409" spans="1:15" x14ac:dyDescent="0.3">
      <c r="A1409" s="1">
        <v>1830</v>
      </c>
      <c r="B1409" s="1">
        <v>4</v>
      </c>
      <c r="C1409" s="1" t="s">
        <v>64</v>
      </c>
      <c r="D1409" s="1" t="s">
        <v>2388</v>
      </c>
      <c r="E1409" s="5">
        <v>42422</v>
      </c>
      <c r="F1409" s="1" t="s">
        <v>506</v>
      </c>
      <c r="G1409" s="1" t="str">
        <f>IF(B1409=0,VLOOKUP(A1409,Feuil2!$A$2:$M$1241,11,FALSE)," ")</f>
        <v xml:space="preserve"> </v>
      </c>
      <c r="H1409" s="1" t="s">
        <v>16</v>
      </c>
      <c r="I1409" s="6" t="str">
        <f>IF(B1409=0,VLOOKUP(A1409,Feuil2!$A$2:$M$1241,7,FALSE)," ")</f>
        <v xml:space="preserve"> </v>
      </c>
      <c r="J1409" s="1" t="str">
        <f>IF(B1409=0,VLOOKUP(A1409,Feuil2!$A$2:$M$1241,9,FALSE)," ")</f>
        <v xml:space="preserve"> </v>
      </c>
      <c r="K1409" s="1" t="str">
        <f>IF(B1409=0,VLOOKUP(A1409,Feuil2!$A$2:$M$1241,10,FALSE)," ")</f>
        <v xml:space="preserve"> </v>
      </c>
      <c r="L1409" s="1"/>
      <c r="M1409" s="1"/>
      <c r="N1409" s="1"/>
      <c r="O1409" s="8" t="str">
        <f>IF(B1412=0,VLOOKUP(A1412,Feuil2!$A$2:$M$1241,13,FALSE)," ")</f>
        <v xml:space="preserve"> </v>
      </c>
    </row>
    <row r="1410" spans="1:15" x14ac:dyDescent="0.3">
      <c r="A1410" s="1">
        <v>1831</v>
      </c>
      <c r="B1410" s="1">
        <v>0</v>
      </c>
      <c r="C1410" s="1" t="str">
        <f>IF(B1410=0,VLOOKUP(A1410,Feuil2!$A$2:$M$1241,2,FALSE)," ")</f>
        <v>KEMIMECH</v>
      </c>
      <c r="D1410" s="1" t="str">
        <f>IF(B1410=0,VLOOKUP(A1410,Feuil2!$A$2:$M$1241,3,FALSE)," ")</f>
        <v>MOHAMED BEN MOHAMED</v>
      </c>
      <c r="E1410" s="5">
        <f>IF(B1410=0,VLOOKUP(A1410,Feuil2!$A$2:$M$1241,6,FALSE)," ")</f>
        <v>25805</v>
      </c>
      <c r="F1410" s="1" t="str">
        <f>IF(B1410=0,VLOOKUP(A1410,Feuil2!$A$2:$M$1241,12,FALSE)," ")</f>
        <v>H</v>
      </c>
      <c r="G1410" s="1" t="str">
        <f>IF(B1410=0,VLOOKUP(A1410,Feuil2!$A$2:$M$1241,11,FALSE)," ")</f>
        <v>M</v>
      </c>
      <c r="H1410" s="1" t="s">
        <v>16</v>
      </c>
      <c r="I1410" s="6">
        <f>IF(B1410=0,VLOOKUP(A1410,Feuil2!$A$2:$M$1241,7,FALSE)," ")</f>
        <v>5509654</v>
      </c>
      <c r="J1410" s="1" t="str">
        <f>IF(B1410=0,VLOOKUP(A1410,Feuil2!$A$2:$M$1241,9,FALSE)," ")</f>
        <v>37 Rue de l'Independance</v>
      </c>
      <c r="K1410" s="1" t="str">
        <f>IF(B1410=0,VLOOKUP(A1410,Feuil2!$A$2:$M$1241,10,FALSE)," ")</f>
        <v>Msaken 4070</v>
      </c>
      <c r="L1410" s="1">
        <v>4070</v>
      </c>
      <c r="M1410" s="1">
        <v>97122570</v>
      </c>
      <c r="N1410" s="1"/>
      <c r="O1410" s="8" t="str">
        <f>IF(B1413=0,VLOOKUP(A1413,Feuil2!$A$2:$M$1241,13,FALSE)," ")</f>
        <v xml:space="preserve"> </v>
      </c>
    </row>
    <row r="1411" spans="1:15" x14ac:dyDescent="0.3">
      <c r="A1411" s="1">
        <v>1831</v>
      </c>
      <c r="B1411" s="1">
        <v>1</v>
      </c>
      <c r="C1411" s="1" t="s">
        <v>703</v>
      </c>
      <c r="D1411" s="1" t="s">
        <v>2719</v>
      </c>
      <c r="E1411" s="5">
        <v>31148</v>
      </c>
      <c r="F1411" s="1" t="s">
        <v>17</v>
      </c>
      <c r="G1411" s="1" t="s">
        <v>15</v>
      </c>
      <c r="H1411" s="1" t="s">
        <v>16</v>
      </c>
      <c r="I1411" s="6" t="str">
        <f>IF(B1411=0,VLOOKUP(A1411,Feuil2!$A$2:$M$1241,7,FALSE)," ")</f>
        <v xml:space="preserve"> </v>
      </c>
      <c r="J1411" s="1" t="str">
        <f>IF(B1411=0,VLOOKUP(A1411,Feuil2!$A$2:$M$1241,9,FALSE)," ")</f>
        <v xml:space="preserve"> </v>
      </c>
      <c r="K1411" s="1" t="str">
        <f>IF(B1411=0,VLOOKUP(A1411,Feuil2!$A$2:$M$1241,10,FALSE)," ")</f>
        <v xml:space="preserve"> </v>
      </c>
      <c r="L1411" s="1"/>
      <c r="M1411" s="1"/>
      <c r="N1411" s="1"/>
      <c r="O1411" s="8" t="str">
        <f>IF(B1414=0,VLOOKUP(A1414,Feuil2!$A$2:$M$1241,13,FALSE)," ")</f>
        <v xml:space="preserve"> </v>
      </c>
    </row>
    <row r="1412" spans="1:15" x14ac:dyDescent="0.3">
      <c r="A1412" s="1">
        <v>1831</v>
      </c>
      <c r="B1412" s="1">
        <v>2</v>
      </c>
      <c r="C1412" s="1" t="s">
        <v>147</v>
      </c>
      <c r="D1412" s="1" t="s">
        <v>2345</v>
      </c>
      <c r="E1412" s="5">
        <v>40609</v>
      </c>
      <c r="F1412" s="1" t="s">
        <v>17</v>
      </c>
      <c r="G1412" s="1" t="str">
        <f>IF(B1412=0,VLOOKUP(A1412,Feuil2!$A$2:$M$1241,11,FALSE)," ")</f>
        <v xml:space="preserve"> </v>
      </c>
      <c r="H1412" s="1" t="s">
        <v>16</v>
      </c>
      <c r="I1412" s="6" t="str">
        <f>IF(B1412=0,VLOOKUP(A1412,Feuil2!$A$2:$M$1241,7,FALSE)," ")</f>
        <v xml:space="preserve"> </v>
      </c>
      <c r="J1412" s="1" t="str">
        <f>IF(B1412=0,VLOOKUP(A1412,Feuil2!$A$2:$M$1241,9,FALSE)," ")</f>
        <v xml:space="preserve"> </v>
      </c>
      <c r="K1412" s="1" t="str">
        <f>IF(B1412=0,VLOOKUP(A1412,Feuil2!$A$2:$M$1241,10,FALSE)," ")</f>
        <v xml:space="preserve"> </v>
      </c>
      <c r="L1412" s="1"/>
      <c r="M1412" s="1"/>
      <c r="N1412" s="1"/>
      <c r="O1412" s="8" t="str">
        <f>IF(B1415=0,VLOOKUP(A1415,Feuil2!$A$2:$M$1241,13,FALSE)," ")</f>
        <v xml:space="preserve"> </v>
      </c>
    </row>
    <row r="1413" spans="1:15" x14ac:dyDescent="0.3">
      <c r="A1413" s="1">
        <v>1831</v>
      </c>
      <c r="B1413" s="1">
        <v>3</v>
      </c>
      <c r="C1413" s="1" t="s">
        <v>147</v>
      </c>
      <c r="D1413" s="1" t="s">
        <v>2465</v>
      </c>
      <c r="E1413" s="5">
        <v>41219</v>
      </c>
      <c r="F1413" s="1" t="s">
        <v>506</v>
      </c>
      <c r="G1413" s="1" t="str">
        <f>IF(B1413=0,VLOOKUP(A1413,Feuil2!$A$2:$M$1241,11,FALSE)," ")</f>
        <v xml:space="preserve"> </v>
      </c>
      <c r="H1413" s="1" t="s">
        <v>16</v>
      </c>
      <c r="I1413" s="6" t="str">
        <f>IF(B1413=0,VLOOKUP(A1413,Feuil2!$A$2:$M$1241,7,FALSE)," ")</f>
        <v xml:space="preserve"> </v>
      </c>
      <c r="J1413" s="1" t="str">
        <f>IF(B1413=0,VLOOKUP(A1413,Feuil2!$A$2:$M$1241,9,FALSE)," ")</f>
        <v xml:space="preserve"> </v>
      </c>
      <c r="K1413" s="1" t="str">
        <f>IF(B1413=0,VLOOKUP(A1413,Feuil2!$A$2:$M$1241,10,FALSE)," ")</f>
        <v xml:space="preserve"> </v>
      </c>
      <c r="L1413" s="1"/>
      <c r="M1413" s="1"/>
      <c r="N1413" s="1"/>
      <c r="O1413" s="8" t="str">
        <f>IF(B1416=0,VLOOKUP(A1416,Feuil2!$A$2:$M$1241,13,FALSE)," ")</f>
        <v>03500020010110899370</v>
      </c>
    </row>
    <row r="1414" spans="1:15" x14ac:dyDescent="0.3">
      <c r="A1414" s="1">
        <v>1831</v>
      </c>
      <c r="B1414" s="1">
        <v>4</v>
      </c>
      <c r="C1414" s="1" t="s">
        <v>147</v>
      </c>
      <c r="D1414" s="1" t="s">
        <v>89</v>
      </c>
      <c r="E1414" s="5">
        <v>41960</v>
      </c>
      <c r="F1414" s="1" t="s">
        <v>506</v>
      </c>
      <c r="G1414" s="1" t="str">
        <f>IF(B1414=0,VLOOKUP(A1414,Feuil2!$A$2:$M$1241,11,FALSE)," ")</f>
        <v xml:space="preserve"> </v>
      </c>
      <c r="H1414" s="1" t="s">
        <v>16</v>
      </c>
      <c r="I1414" s="6" t="str">
        <f>IF(B1414=0,VLOOKUP(A1414,Feuil2!$A$2:$M$1241,7,FALSE)," ")</f>
        <v xml:space="preserve"> </v>
      </c>
      <c r="J1414" s="1" t="str">
        <f>IF(B1414=0,VLOOKUP(A1414,Feuil2!$A$2:$M$1241,9,FALSE)," ")</f>
        <v xml:space="preserve"> </v>
      </c>
      <c r="K1414" s="1" t="str">
        <f>IF(B1414=0,VLOOKUP(A1414,Feuil2!$A$2:$M$1241,10,FALSE)," ")</f>
        <v xml:space="preserve"> </v>
      </c>
      <c r="L1414" s="1"/>
      <c r="M1414" s="1"/>
      <c r="N1414" s="1"/>
      <c r="O1414" s="8" t="str">
        <f>IF(B1417=0,VLOOKUP(A1417,Feuil2!$A$2:$M$1241,13,FALSE)," ")</f>
        <v xml:space="preserve"> </v>
      </c>
    </row>
    <row r="1415" spans="1:15" x14ac:dyDescent="0.3">
      <c r="A1415" s="1">
        <v>1831</v>
      </c>
      <c r="B1415" s="1">
        <v>5</v>
      </c>
      <c r="C1415" s="1" t="s">
        <v>147</v>
      </c>
      <c r="D1415" s="1" t="s">
        <v>2676</v>
      </c>
      <c r="E1415" s="5">
        <v>43195</v>
      </c>
      <c r="F1415" s="1" t="s">
        <v>506</v>
      </c>
      <c r="G1415" s="1" t="str">
        <f>IF(B1415=0,VLOOKUP(A1415,Feuil2!$A$2:$M$1241,11,FALSE)," ")</f>
        <v xml:space="preserve"> </v>
      </c>
      <c r="H1415" s="1" t="s">
        <v>16</v>
      </c>
      <c r="I1415" s="6" t="str">
        <f>IF(B1415=0,VLOOKUP(A1415,Feuil2!$A$2:$M$1241,7,FALSE)," ")</f>
        <v xml:space="preserve"> </v>
      </c>
      <c r="J1415" s="1" t="str">
        <f>IF(B1415=0,VLOOKUP(A1415,Feuil2!$A$2:$M$1241,9,FALSE)," ")</f>
        <v xml:space="preserve"> </v>
      </c>
      <c r="K1415" s="1" t="str">
        <f>IF(B1415=0,VLOOKUP(A1415,Feuil2!$A$2:$M$1241,10,FALSE)," ")</f>
        <v xml:space="preserve"> </v>
      </c>
      <c r="L1415" s="1"/>
      <c r="M1415" s="1"/>
      <c r="N1415" s="1"/>
      <c r="O1415" s="8" t="str">
        <f>IF(B1418=0,VLOOKUP(A1418,Feuil2!$A$2:$M$1241,13,FALSE)," ")</f>
        <v xml:space="preserve"> </v>
      </c>
    </row>
    <row r="1416" spans="1:15" x14ac:dyDescent="0.3">
      <c r="A1416" s="1">
        <v>1832</v>
      </c>
      <c r="B1416" s="1">
        <v>0</v>
      </c>
      <c r="C1416" s="1" t="str">
        <f>IF(B1416=0,VLOOKUP(A1416,Feuil2!$A$2:$M$1241,2,FALSE)," ")</f>
        <v>ERGUEZ</v>
      </c>
      <c r="D1416" s="1" t="str">
        <f>IF(B1416=0,VLOOKUP(A1416,Feuil2!$A$2:$M$1241,3,FALSE)," ")</f>
        <v>MEJDI</v>
      </c>
      <c r="E1416" s="5">
        <f>IF(B1416=0,VLOOKUP(A1416,Feuil2!$A$2:$M$1241,6,FALSE)," ")</f>
        <v>27332</v>
      </c>
      <c r="F1416" s="1" t="str">
        <f>IF(B1416=0,VLOOKUP(A1416,Feuil2!$A$2:$M$1241,12,FALSE)," ")</f>
        <v>H</v>
      </c>
      <c r="G1416" s="1" t="str">
        <f>IF(B1416=0,VLOOKUP(A1416,Feuil2!$A$2:$M$1241,11,FALSE)," ")</f>
        <v>M</v>
      </c>
      <c r="H1416" s="1" t="s">
        <v>16</v>
      </c>
      <c r="I1416" s="6">
        <f>IF(B1416=0,VLOOKUP(A1416,Feuil2!$A$2:$M$1241,7,FALSE)," ")</f>
        <v>5525343</v>
      </c>
      <c r="J1416" s="1" t="str">
        <f>IF(B1416=0,VLOOKUP(A1416,Feuil2!$A$2:$M$1241,9,FALSE)," ")</f>
        <v>Rue Ali Ben Ayed 4022</v>
      </c>
      <c r="K1416" s="1" t="str">
        <f>IF(B1416=0,VLOOKUP(A1416,Feuil2!$A$2:$M$1241,10,FALSE)," ")</f>
        <v>Akouda</v>
      </c>
      <c r="L1416" s="1"/>
      <c r="M1416" s="1">
        <v>98793626</v>
      </c>
      <c r="N1416" s="1"/>
      <c r="O1416" s="8" t="str">
        <f>IF(B1419=0,VLOOKUP(A1419,Feuil2!$A$2:$M$1241,13,FALSE)," ")</f>
        <v xml:space="preserve"> </v>
      </c>
    </row>
    <row r="1417" spans="1:15" x14ac:dyDescent="0.3">
      <c r="A1417" s="1">
        <v>1832</v>
      </c>
      <c r="B1417" s="1">
        <v>1</v>
      </c>
      <c r="C1417" s="1" t="s">
        <v>190</v>
      </c>
      <c r="D1417" s="1" t="s">
        <v>2694</v>
      </c>
      <c r="E1417" s="5">
        <v>28385</v>
      </c>
      <c r="F1417" s="1" t="s">
        <v>17</v>
      </c>
      <c r="G1417" s="1" t="s">
        <v>15</v>
      </c>
      <c r="H1417" s="1" t="s">
        <v>16</v>
      </c>
      <c r="I1417" s="6" t="str">
        <f>IF(B1417=0,VLOOKUP(A1417,Feuil2!$A$2:$M$1241,7,FALSE)," ")</f>
        <v xml:space="preserve"> </v>
      </c>
      <c r="J1417" s="1" t="str">
        <f>IF(B1417=0,VLOOKUP(A1417,Feuil2!$A$2:$M$1241,9,FALSE)," ")</f>
        <v xml:space="preserve"> </v>
      </c>
      <c r="K1417" s="1" t="str">
        <f>IF(B1417=0,VLOOKUP(A1417,Feuil2!$A$2:$M$1241,10,FALSE)," ")</f>
        <v xml:space="preserve"> </v>
      </c>
      <c r="L1417" s="1"/>
      <c r="M1417" s="1"/>
      <c r="N1417" s="1"/>
      <c r="O1417" s="8" t="str">
        <f>IF(B1420=0,VLOOKUP(A1420,Feuil2!$A$2:$M$1241,13,FALSE)," ")</f>
        <v xml:space="preserve"> </v>
      </c>
    </row>
    <row r="1418" spans="1:15" x14ac:dyDescent="0.3">
      <c r="A1418" s="1">
        <v>1832</v>
      </c>
      <c r="B1418" s="1">
        <v>2</v>
      </c>
      <c r="C1418" s="1" t="s">
        <v>396</v>
      </c>
      <c r="D1418" s="1" t="s">
        <v>2344</v>
      </c>
      <c r="E1418" s="5">
        <v>38013</v>
      </c>
      <c r="F1418" s="1" t="s">
        <v>17</v>
      </c>
      <c r="G1418" s="1" t="str">
        <f>IF(B1418=0,VLOOKUP(A1418,Feuil2!$A$2:$M$1241,11,FALSE)," ")</f>
        <v xml:space="preserve"> </v>
      </c>
      <c r="H1418" s="1" t="s">
        <v>16</v>
      </c>
      <c r="I1418" s="6" t="str">
        <f>IF(B1418=0,VLOOKUP(A1418,Feuil2!$A$2:$M$1241,7,FALSE)," ")</f>
        <v xml:space="preserve"> </v>
      </c>
      <c r="J1418" s="1" t="str">
        <f>IF(B1418=0,VLOOKUP(A1418,Feuil2!$A$2:$M$1241,9,FALSE)," ")</f>
        <v xml:space="preserve"> </v>
      </c>
      <c r="K1418" s="1" t="str">
        <f>IF(B1418=0,VLOOKUP(A1418,Feuil2!$A$2:$M$1241,10,FALSE)," ")</f>
        <v xml:space="preserve"> </v>
      </c>
      <c r="L1418" s="1"/>
      <c r="M1418" s="1"/>
      <c r="N1418" s="1"/>
      <c r="O1418" s="8" t="str">
        <f>IF(B1421=0,VLOOKUP(A1421,Feuil2!$A$2:$M$1241,13,FALSE)," ")</f>
        <v>04500043404003647937</v>
      </c>
    </row>
    <row r="1419" spans="1:15" x14ac:dyDescent="0.3">
      <c r="A1419" s="1">
        <v>1832</v>
      </c>
      <c r="B1419" s="1">
        <v>3</v>
      </c>
      <c r="C1419" s="1" t="s">
        <v>396</v>
      </c>
      <c r="D1419" s="1" t="s">
        <v>2720</v>
      </c>
      <c r="E1419" s="5">
        <v>39183</v>
      </c>
      <c r="F1419" s="1" t="s">
        <v>17</v>
      </c>
      <c r="G1419" s="1" t="str">
        <f>IF(B1419=0,VLOOKUP(A1419,Feuil2!$A$2:$M$1241,11,FALSE)," ")</f>
        <v xml:space="preserve"> </v>
      </c>
      <c r="H1419" s="1" t="s">
        <v>16</v>
      </c>
      <c r="I1419" s="6" t="str">
        <f>IF(B1419=0,VLOOKUP(A1419,Feuil2!$A$2:$M$1241,7,FALSE)," ")</f>
        <v xml:space="preserve"> </v>
      </c>
      <c r="J1419" s="1" t="str">
        <f>IF(B1419=0,VLOOKUP(A1419,Feuil2!$A$2:$M$1241,9,FALSE)," ")</f>
        <v xml:space="preserve"> </v>
      </c>
      <c r="K1419" s="1" t="str">
        <f>IF(B1419=0,VLOOKUP(A1419,Feuil2!$A$2:$M$1241,10,FALSE)," ")</f>
        <v xml:space="preserve"> </v>
      </c>
      <c r="L1419" s="1"/>
      <c r="M1419" s="1"/>
      <c r="N1419" s="1"/>
      <c r="O1419" s="8" t="str">
        <f>IF(B1422=0,VLOOKUP(A1422,Feuil2!$A$2:$M$1241,13,FALSE)," ")</f>
        <v xml:space="preserve"> </v>
      </c>
    </row>
    <row r="1420" spans="1:15" x14ac:dyDescent="0.3">
      <c r="A1420" s="1">
        <v>1832</v>
      </c>
      <c r="B1420" s="1">
        <v>4</v>
      </c>
      <c r="C1420" s="1" t="s">
        <v>396</v>
      </c>
      <c r="D1420" s="1" t="s">
        <v>2721</v>
      </c>
      <c r="E1420" s="5">
        <v>40536</v>
      </c>
      <c r="F1420" s="1" t="s">
        <v>506</v>
      </c>
      <c r="G1420" s="1" t="str">
        <f>IF(B1420=0,VLOOKUP(A1420,Feuil2!$A$2:$M$1241,11,FALSE)," ")</f>
        <v xml:space="preserve"> </v>
      </c>
      <c r="H1420" s="1" t="s">
        <v>16</v>
      </c>
      <c r="I1420" s="6" t="str">
        <f>IF(B1420=0,VLOOKUP(A1420,Feuil2!$A$2:$M$1241,7,FALSE)," ")</f>
        <v xml:space="preserve"> </v>
      </c>
      <c r="J1420" s="1" t="str">
        <f>IF(B1420=0,VLOOKUP(A1420,Feuil2!$A$2:$M$1241,9,FALSE)," ")</f>
        <v xml:space="preserve"> </v>
      </c>
      <c r="K1420" s="1" t="str">
        <f>IF(B1420=0,VLOOKUP(A1420,Feuil2!$A$2:$M$1241,10,FALSE)," ")</f>
        <v xml:space="preserve"> </v>
      </c>
      <c r="L1420" s="1"/>
      <c r="M1420" s="1"/>
      <c r="N1420" s="1"/>
      <c r="O1420" s="8" t="str">
        <f>IF(B1423=0,VLOOKUP(A1423,Feuil2!$A$2:$M$1241,13,FALSE)," ")</f>
        <v xml:space="preserve"> </v>
      </c>
    </row>
    <row r="1421" spans="1:15" x14ac:dyDescent="0.3">
      <c r="A1421" s="1">
        <v>1833</v>
      </c>
      <c r="B1421" s="1">
        <v>0</v>
      </c>
      <c r="C1421" s="1" t="str">
        <f>IF(B1421=0,VLOOKUP(A1421,Feuil2!$A$2:$M$1241,2,FALSE)," ")</f>
        <v>BOUZAABIA</v>
      </c>
      <c r="D1421" s="1" t="str">
        <f>IF(B1421=0,VLOOKUP(A1421,Feuil2!$A$2:$M$1241,3,FALSE)," ")</f>
        <v>MOHAMED</v>
      </c>
      <c r="E1421" s="5">
        <f>IF(B1421=0,VLOOKUP(A1421,Feuil2!$A$2:$M$1241,6,FALSE)," ")</f>
        <v>27994</v>
      </c>
      <c r="F1421" s="1" t="str">
        <f>IF(B1421=0,VLOOKUP(A1421,Feuil2!$A$2:$M$1241,12,FALSE)," ")</f>
        <v>H</v>
      </c>
      <c r="G1421" s="1" t="str">
        <f>IF(B1421=0,VLOOKUP(A1421,Feuil2!$A$2:$M$1241,11,FALSE)," ")</f>
        <v>M</v>
      </c>
      <c r="H1421" s="1" t="s">
        <v>16</v>
      </c>
      <c r="I1421" s="6">
        <f>IF(B1421=0,VLOOKUP(A1421,Feuil2!$A$2:$M$1241,7,FALSE)," ")</f>
        <v>5524332</v>
      </c>
      <c r="J1421" s="1" t="str">
        <f>IF(B1421=0,VLOOKUP(A1421,Feuil2!$A$2:$M$1241,9,FALSE)," ")</f>
        <v>Rue KHaled Ibn El Walid</v>
      </c>
      <c r="K1421" s="1" t="str">
        <f>IF(B1421=0,VLOOKUP(A1421,Feuil2!$A$2:$M$1241,10,FALSE)," ")</f>
        <v>Zaouit Sousse</v>
      </c>
      <c r="L1421" s="1"/>
      <c r="M1421" s="1">
        <v>98476001</v>
      </c>
      <c r="N1421" s="1"/>
      <c r="O1421" s="8" t="str">
        <f>IF(B1424=0,VLOOKUP(A1424,Feuil2!$A$2:$M$1241,13,FALSE)," ")</f>
        <v xml:space="preserve"> </v>
      </c>
    </row>
    <row r="1422" spans="1:15" x14ac:dyDescent="0.3">
      <c r="A1422" s="1">
        <v>1833</v>
      </c>
      <c r="B1422" s="1">
        <v>1</v>
      </c>
      <c r="C1422" s="1" t="s">
        <v>63</v>
      </c>
      <c r="D1422" s="1" t="s">
        <v>2219</v>
      </c>
      <c r="E1422" s="5">
        <v>32009</v>
      </c>
      <c r="F1422" s="1" t="s">
        <v>17</v>
      </c>
      <c r="G1422" s="1" t="s">
        <v>15</v>
      </c>
      <c r="H1422" s="1" t="s">
        <v>16</v>
      </c>
      <c r="I1422" s="6" t="str">
        <f>IF(B1422=0,VLOOKUP(A1422,Feuil2!$A$2:$M$1241,7,FALSE)," ")</f>
        <v xml:space="preserve"> </v>
      </c>
      <c r="J1422" s="1" t="str">
        <f>IF(B1422=0,VLOOKUP(A1422,Feuil2!$A$2:$M$1241,9,FALSE)," ")</f>
        <v xml:space="preserve"> </v>
      </c>
      <c r="K1422" s="1" t="str">
        <f>IF(B1422=0,VLOOKUP(A1422,Feuil2!$A$2:$M$1241,10,FALSE)," ")</f>
        <v xml:space="preserve"> </v>
      </c>
      <c r="L1422" s="1"/>
      <c r="M1422" s="1"/>
      <c r="N1422" s="1"/>
      <c r="O1422" s="8" t="str">
        <f>IF(B1425=0,VLOOKUP(A1425,Feuil2!$A$2:$M$1241,13,FALSE)," ")</f>
        <v xml:space="preserve"> </v>
      </c>
    </row>
    <row r="1423" spans="1:15" x14ac:dyDescent="0.3">
      <c r="A1423" s="1">
        <v>1833</v>
      </c>
      <c r="B1423" s="1">
        <v>2</v>
      </c>
      <c r="C1423" s="1" t="s">
        <v>1751</v>
      </c>
      <c r="D1423" s="1" t="s">
        <v>2345</v>
      </c>
      <c r="E1423" s="5">
        <v>39566</v>
      </c>
      <c r="F1423" s="1" t="s">
        <v>17</v>
      </c>
      <c r="G1423" s="1" t="str">
        <f>IF(B1423=0,VLOOKUP(A1423,Feuil2!$A$2:$M$1241,11,FALSE)," ")</f>
        <v xml:space="preserve"> </v>
      </c>
      <c r="H1423" s="1" t="s">
        <v>16</v>
      </c>
      <c r="I1423" s="6" t="str">
        <f>IF(B1423=0,VLOOKUP(A1423,Feuil2!$A$2:$M$1241,7,FALSE)," ")</f>
        <v xml:space="preserve"> </v>
      </c>
      <c r="J1423" s="1" t="str">
        <f>IF(B1423=0,VLOOKUP(A1423,Feuil2!$A$2:$M$1241,9,FALSE)," ")</f>
        <v xml:space="preserve"> </v>
      </c>
      <c r="K1423" s="1" t="str">
        <f>IF(B1423=0,VLOOKUP(A1423,Feuil2!$A$2:$M$1241,10,FALSE)," ")</f>
        <v xml:space="preserve"> </v>
      </c>
      <c r="L1423" s="1"/>
      <c r="M1423" s="1"/>
      <c r="N1423" s="1"/>
      <c r="O1423" s="8" t="str">
        <f>IF(B1426=0,VLOOKUP(A1426,Feuil2!$A$2:$M$1241,13,FALSE)," ")</f>
        <v>10506040205813378815</v>
      </c>
    </row>
    <row r="1424" spans="1:15" x14ac:dyDescent="0.3">
      <c r="A1424" s="1">
        <v>1833</v>
      </c>
      <c r="B1424" s="1">
        <v>3</v>
      </c>
      <c r="C1424" s="1" t="s">
        <v>1751</v>
      </c>
      <c r="D1424" s="1" t="s">
        <v>2613</v>
      </c>
      <c r="E1424" s="5">
        <v>40930</v>
      </c>
      <c r="F1424" s="1" t="s">
        <v>17</v>
      </c>
      <c r="G1424" s="1" t="str">
        <f>IF(B1424=0,VLOOKUP(A1424,Feuil2!$A$2:$M$1241,11,FALSE)," ")</f>
        <v xml:space="preserve"> </v>
      </c>
      <c r="H1424" s="1" t="s">
        <v>16</v>
      </c>
      <c r="I1424" s="6" t="str">
        <f>IF(B1424=0,VLOOKUP(A1424,Feuil2!$A$2:$M$1241,7,FALSE)," ")</f>
        <v xml:space="preserve"> </v>
      </c>
      <c r="J1424" s="1" t="str">
        <f>IF(B1424=0,VLOOKUP(A1424,Feuil2!$A$2:$M$1241,9,FALSE)," ")</f>
        <v xml:space="preserve"> </v>
      </c>
      <c r="K1424" s="1" t="str">
        <f>IF(B1424=0,VLOOKUP(A1424,Feuil2!$A$2:$M$1241,10,FALSE)," ")</f>
        <v xml:space="preserve"> </v>
      </c>
      <c r="L1424" s="1"/>
      <c r="M1424" s="1"/>
      <c r="N1424" s="1"/>
      <c r="O1424" s="8" t="str">
        <f>IF(B1427=0,VLOOKUP(A1427,Feuil2!$A$2:$M$1241,13,FALSE)," ")</f>
        <v xml:space="preserve"> </v>
      </c>
    </row>
    <row r="1425" spans="1:15" x14ac:dyDescent="0.3">
      <c r="A1425" s="1">
        <v>1833</v>
      </c>
      <c r="B1425" s="1">
        <v>4</v>
      </c>
      <c r="C1425" s="1" t="s">
        <v>1751</v>
      </c>
      <c r="D1425" s="1" t="s">
        <v>2367</v>
      </c>
      <c r="E1425" s="5">
        <v>43151</v>
      </c>
      <c r="F1425" s="1" t="s">
        <v>17</v>
      </c>
      <c r="G1425" s="1" t="str">
        <f>IF(B1425=0,VLOOKUP(A1425,Feuil2!$A$2:$M$1241,11,FALSE)," ")</f>
        <v xml:space="preserve"> </v>
      </c>
      <c r="H1425" s="1" t="s">
        <v>16</v>
      </c>
      <c r="I1425" s="6" t="str">
        <f>IF(B1425=0,VLOOKUP(A1425,Feuil2!$A$2:$M$1241,7,FALSE)," ")</f>
        <v xml:space="preserve"> </v>
      </c>
      <c r="J1425" s="1" t="str">
        <f>IF(B1425=0,VLOOKUP(A1425,Feuil2!$A$2:$M$1241,9,FALSE)," ")</f>
        <v xml:space="preserve"> </v>
      </c>
      <c r="K1425" s="1" t="str">
        <f>IF(B1425=0,VLOOKUP(A1425,Feuil2!$A$2:$M$1241,10,FALSE)," ")</f>
        <v xml:space="preserve"> </v>
      </c>
      <c r="L1425" s="1"/>
      <c r="M1425" s="1"/>
      <c r="N1425" s="1"/>
      <c r="O1425" s="8" t="str">
        <f>IF(B1428=0,VLOOKUP(A1428,Feuil2!$A$2:$M$1241,13,FALSE)," ")</f>
        <v xml:space="preserve"> </v>
      </c>
    </row>
    <row r="1426" spans="1:15" x14ac:dyDescent="0.3">
      <c r="A1426" s="1">
        <v>1835</v>
      </c>
      <c r="B1426" s="1">
        <v>0</v>
      </c>
      <c r="C1426" s="1" t="str">
        <f>IF(B1426=0,VLOOKUP(A1426,Feuil2!$A$2:$M$1241,2,FALSE)," ")</f>
        <v>KRIFA</v>
      </c>
      <c r="D1426" s="1" t="str">
        <f>IF(B1426=0,VLOOKUP(A1426,Feuil2!$A$2:$M$1241,3,FALSE)," ")</f>
        <v>MOHAMED KAMEL</v>
      </c>
      <c r="E1426" s="5">
        <f>IF(B1426=0,VLOOKUP(A1426,Feuil2!$A$2:$M$1241,6,FALSE)," ")</f>
        <v>28242</v>
      </c>
      <c r="F1426" s="1" t="str">
        <f>IF(B1426=0,VLOOKUP(A1426,Feuil2!$A$2:$M$1241,12,FALSE)," ")</f>
        <v>H</v>
      </c>
      <c r="G1426" s="1" t="str">
        <f>IF(B1426=0,VLOOKUP(A1426,Feuil2!$A$2:$M$1241,11,FALSE)," ")</f>
        <v>M</v>
      </c>
      <c r="H1426" s="1" t="s">
        <v>16</v>
      </c>
      <c r="I1426" s="6">
        <f>IF(B1426=0,VLOOKUP(A1426,Feuil2!$A$2:$M$1241,7,FALSE)," ")</f>
        <v>5563132</v>
      </c>
      <c r="J1426" s="1" t="str">
        <f>IF(B1426=0,VLOOKUP(A1426,Feuil2!$A$2:$M$1241,9,FALSE)," ")</f>
        <v>CitÃ© Ibn Khouldoun</v>
      </c>
      <c r="K1426" s="1" t="str">
        <f>IF(B1426=0,VLOOKUP(A1426,Feuil2!$A$2:$M$1241,10,FALSE)," ")</f>
        <v>Msaken 4070</v>
      </c>
      <c r="L1426" s="1">
        <v>4070</v>
      </c>
      <c r="M1426" s="1">
        <v>25210470</v>
      </c>
      <c r="N1426" s="1"/>
      <c r="O1426" s="8" t="str">
        <f>IF(B1429=0,VLOOKUP(A1429,Feuil2!$A$2:$M$1241,13,FALSE)," ")</f>
        <v xml:space="preserve"> </v>
      </c>
    </row>
    <row r="1427" spans="1:15" x14ac:dyDescent="0.3">
      <c r="A1427" s="1">
        <v>1835</v>
      </c>
      <c r="B1427" s="1">
        <v>1</v>
      </c>
      <c r="C1427" s="1" t="s">
        <v>174</v>
      </c>
      <c r="D1427" s="1" t="s">
        <v>2327</v>
      </c>
      <c r="E1427" s="5">
        <v>32531</v>
      </c>
      <c r="F1427" s="1" t="s">
        <v>17</v>
      </c>
      <c r="G1427" s="1" t="s">
        <v>15</v>
      </c>
      <c r="H1427" s="1" t="s">
        <v>16</v>
      </c>
      <c r="I1427" s="6" t="str">
        <f>IF(B1427=0,VLOOKUP(A1427,Feuil2!$A$2:$M$1241,7,FALSE)," ")</f>
        <v xml:space="preserve"> </v>
      </c>
      <c r="J1427" s="1" t="str">
        <f>IF(B1427=0,VLOOKUP(A1427,Feuil2!$A$2:$M$1241,9,FALSE)," ")</f>
        <v xml:space="preserve"> </v>
      </c>
      <c r="K1427" s="1" t="str">
        <f>IF(B1427=0,VLOOKUP(A1427,Feuil2!$A$2:$M$1241,10,FALSE)," ")</f>
        <v xml:space="preserve"> </v>
      </c>
      <c r="L1427" s="1"/>
      <c r="M1427" s="1"/>
      <c r="N1427" s="1"/>
      <c r="O1427" s="8" t="str">
        <f>IF(B1430=0,VLOOKUP(A1430,Feuil2!$A$2:$M$1241,13,FALSE)," ")</f>
        <v xml:space="preserve"> </v>
      </c>
    </row>
    <row r="1428" spans="1:15" x14ac:dyDescent="0.3">
      <c r="A1428" s="1">
        <v>1835</v>
      </c>
      <c r="B1428" s="1">
        <v>2</v>
      </c>
      <c r="C1428" s="1" t="s">
        <v>227</v>
      </c>
      <c r="D1428" s="1" t="s">
        <v>2722</v>
      </c>
      <c r="E1428" s="5">
        <v>39589</v>
      </c>
      <c r="F1428" s="1" t="s">
        <v>506</v>
      </c>
      <c r="G1428" s="1" t="str">
        <f>IF(B1428=0,VLOOKUP(A1428,Feuil2!$A$2:$M$1241,11,FALSE)," ")</f>
        <v xml:space="preserve"> </v>
      </c>
      <c r="H1428" s="1" t="s">
        <v>16</v>
      </c>
      <c r="I1428" s="6" t="str">
        <f>IF(B1428=0,VLOOKUP(A1428,Feuil2!$A$2:$M$1241,7,FALSE)," ")</f>
        <v xml:space="preserve"> </v>
      </c>
      <c r="J1428" s="1" t="str">
        <f>IF(B1428=0,VLOOKUP(A1428,Feuil2!$A$2:$M$1241,9,FALSE)," ")</f>
        <v xml:space="preserve"> </v>
      </c>
      <c r="K1428" s="1" t="str">
        <f>IF(B1428=0,VLOOKUP(A1428,Feuil2!$A$2:$M$1241,10,FALSE)," ")</f>
        <v xml:space="preserve"> </v>
      </c>
      <c r="L1428" s="1"/>
      <c r="M1428" s="1"/>
      <c r="N1428" s="1"/>
      <c r="O1428" s="8" t="str">
        <f>IF(B1431=0,VLOOKUP(A1431,Feuil2!$A$2:$M$1241,13,FALSE)," ")</f>
        <v>04014102404002044047</v>
      </c>
    </row>
    <row r="1429" spans="1:15" x14ac:dyDescent="0.3">
      <c r="A1429" s="1">
        <v>1835</v>
      </c>
      <c r="B1429" s="1">
        <v>3</v>
      </c>
      <c r="C1429" s="1" t="s">
        <v>227</v>
      </c>
      <c r="D1429" s="1" t="s">
        <v>149</v>
      </c>
      <c r="E1429" s="5">
        <v>42237</v>
      </c>
      <c r="F1429" s="1" t="s">
        <v>506</v>
      </c>
      <c r="G1429" s="1" t="str">
        <f>IF(B1429=0,VLOOKUP(A1429,Feuil2!$A$2:$M$1241,11,FALSE)," ")</f>
        <v xml:space="preserve"> </v>
      </c>
      <c r="H1429" s="1" t="s">
        <v>16</v>
      </c>
      <c r="I1429" s="6" t="str">
        <f>IF(B1429=0,VLOOKUP(A1429,Feuil2!$A$2:$M$1241,7,FALSE)," ")</f>
        <v xml:space="preserve"> </v>
      </c>
      <c r="J1429" s="1" t="str">
        <f>IF(B1429=0,VLOOKUP(A1429,Feuil2!$A$2:$M$1241,9,FALSE)," ")</f>
        <v xml:space="preserve"> </v>
      </c>
      <c r="K1429" s="1" t="str">
        <f>IF(B1429=0,VLOOKUP(A1429,Feuil2!$A$2:$M$1241,10,FALSE)," ")</f>
        <v xml:space="preserve"> </v>
      </c>
      <c r="L1429" s="1"/>
      <c r="M1429" s="1"/>
      <c r="N1429" s="1"/>
      <c r="O1429" s="8" t="str">
        <f>IF(B1432=0,VLOOKUP(A1432,Feuil2!$A$2:$M$1241,13,FALSE)," ")</f>
        <v xml:space="preserve"> </v>
      </c>
    </row>
    <row r="1430" spans="1:15" x14ac:dyDescent="0.3">
      <c r="A1430" s="1">
        <v>1835</v>
      </c>
      <c r="B1430" s="1">
        <v>4</v>
      </c>
      <c r="C1430" s="1" t="s">
        <v>227</v>
      </c>
      <c r="D1430" s="1" t="s">
        <v>2423</v>
      </c>
      <c r="E1430" s="5">
        <v>42676</v>
      </c>
      <c r="F1430" s="1" t="s">
        <v>506</v>
      </c>
      <c r="G1430" s="1" t="str">
        <f>IF(B1430=0,VLOOKUP(A1430,Feuil2!$A$2:$M$1241,11,FALSE)," ")</f>
        <v xml:space="preserve"> </v>
      </c>
      <c r="H1430" s="1" t="s">
        <v>16</v>
      </c>
      <c r="I1430" s="6" t="str">
        <f>IF(B1430=0,VLOOKUP(A1430,Feuil2!$A$2:$M$1241,7,FALSE)," ")</f>
        <v xml:space="preserve"> </v>
      </c>
      <c r="J1430" s="1" t="str">
        <f>IF(B1430=0,VLOOKUP(A1430,Feuil2!$A$2:$M$1241,9,FALSE)," ")</f>
        <v xml:space="preserve"> </v>
      </c>
      <c r="K1430" s="1" t="str">
        <f>IF(B1430=0,VLOOKUP(A1430,Feuil2!$A$2:$M$1241,10,FALSE)," ")</f>
        <v xml:space="preserve"> </v>
      </c>
      <c r="L1430" s="1"/>
      <c r="M1430" s="1"/>
      <c r="N1430" s="1"/>
      <c r="O1430" s="8" t="str">
        <f>IF(B1433=0,VLOOKUP(A1433,Feuil2!$A$2:$M$1241,13,FALSE)," ")</f>
        <v xml:space="preserve"> </v>
      </c>
    </row>
    <row r="1431" spans="1:15" x14ac:dyDescent="0.3">
      <c r="A1431" s="1">
        <v>1837</v>
      </c>
      <c r="B1431" s="1">
        <v>0</v>
      </c>
      <c r="C1431" s="1" t="str">
        <f>IF(B1431=0,VLOOKUP(A1431,Feuil2!$A$2:$M$1241,2,FALSE)," ")</f>
        <v>SLAMA</v>
      </c>
      <c r="D1431" s="1" t="str">
        <f>IF(B1431=0,VLOOKUP(A1431,Feuil2!$A$2:$M$1241,3,FALSE)," ")</f>
        <v>SALEM</v>
      </c>
      <c r="E1431" s="5">
        <f>IF(B1431=0,VLOOKUP(A1431,Feuil2!$A$2:$M$1241,6,FALSE)," ")</f>
        <v>27765</v>
      </c>
      <c r="F1431" s="1" t="str">
        <f>IF(B1431=0,VLOOKUP(A1431,Feuil2!$A$2:$M$1241,12,FALSE)," ")</f>
        <v>H</v>
      </c>
      <c r="G1431" s="1" t="str">
        <f>IF(B1431=0,VLOOKUP(A1431,Feuil2!$A$2:$M$1241,11,FALSE)," ")</f>
        <v>M</v>
      </c>
      <c r="H1431" s="1" t="s">
        <v>16</v>
      </c>
      <c r="I1431" s="6">
        <f>IF(B1431=0,VLOOKUP(A1431,Feuil2!$A$2:$M$1241,7,FALSE)," ")</f>
        <v>5538930</v>
      </c>
      <c r="J1431" s="1" t="str">
        <f>IF(B1431=0,VLOOKUP(A1431,Feuil2!$A$2:$M$1241,9,FALSE)," ")</f>
        <v>Rue Ali Belhouane</v>
      </c>
      <c r="K1431" s="1" t="str">
        <f>IF(B1431=0,VLOOKUP(A1431,Feuil2!$A$2:$M$1241,10,FALSE)," ")</f>
        <v>Kalaa Kebira</v>
      </c>
      <c r="L1431" s="1"/>
      <c r="M1431" s="1">
        <v>98783253</v>
      </c>
      <c r="N1431" s="1"/>
      <c r="O1431" s="8" t="str">
        <f>IF(B1434=0,VLOOKUP(A1434,Feuil2!$A$2:$M$1241,13,FALSE)," ")</f>
        <v xml:space="preserve"> </v>
      </c>
    </row>
    <row r="1432" spans="1:15" x14ac:dyDescent="0.3">
      <c r="A1432" s="1">
        <v>1837</v>
      </c>
      <c r="B1432" s="1">
        <v>1</v>
      </c>
      <c r="C1432" s="1" t="s">
        <v>2723</v>
      </c>
      <c r="D1432" s="1" t="s">
        <v>402</v>
      </c>
      <c r="E1432" s="5">
        <v>29617</v>
      </c>
      <c r="F1432" s="1" t="s">
        <v>17</v>
      </c>
      <c r="G1432" s="1" t="s">
        <v>15</v>
      </c>
      <c r="H1432" s="1" t="s">
        <v>16</v>
      </c>
      <c r="I1432" s="6" t="str">
        <f>IF(B1432=0,VLOOKUP(A1432,Feuil2!$A$2:$M$1241,7,FALSE)," ")</f>
        <v xml:space="preserve"> </v>
      </c>
      <c r="J1432" s="1" t="str">
        <f>IF(B1432=0,VLOOKUP(A1432,Feuil2!$A$2:$M$1241,9,FALSE)," ")</f>
        <v xml:space="preserve"> </v>
      </c>
      <c r="K1432" s="1" t="str">
        <f>IF(B1432=0,VLOOKUP(A1432,Feuil2!$A$2:$M$1241,10,FALSE)," ")</f>
        <v xml:space="preserve"> </v>
      </c>
      <c r="L1432" s="1"/>
      <c r="M1432" s="1"/>
      <c r="N1432" s="1"/>
      <c r="O1432" s="8" t="str">
        <f>IF(B1435=0,VLOOKUP(A1435,Feuil2!$A$2:$M$1241,13,FALSE)," ")</f>
        <v>04204067000953931383</v>
      </c>
    </row>
    <row r="1433" spans="1:15" x14ac:dyDescent="0.3">
      <c r="A1433" s="1">
        <v>1837</v>
      </c>
      <c r="B1433" s="1">
        <v>2</v>
      </c>
      <c r="C1433" s="1" t="s">
        <v>111</v>
      </c>
      <c r="D1433" s="1" t="s">
        <v>89</v>
      </c>
      <c r="E1433" s="5">
        <v>41110</v>
      </c>
      <c r="F1433" s="1" t="s">
        <v>506</v>
      </c>
      <c r="G1433" s="1" t="str">
        <f>IF(B1433=0,VLOOKUP(A1433,Feuil2!$A$2:$M$1241,11,FALSE)," ")</f>
        <v xml:space="preserve"> </v>
      </c>
      <c r="H1433" s="1" t="s">
        <v>16</v>
      </c>
      <c r="I1433" s="6" t="str">
        <f>IF(B1433=0,VLOOKUP(A1433,Feuil2!$A$2:$M$1241,7,FALSE)," ")</f>
        <v xml:space="preserve"> </v>
      </c>
      <c r="J1433" s="1" t="str">
        <f>IF(B1433=0,VLOOKUP(A1433,Feuil2!$A$2:$M$1241,9,FALSE)," ")</f>
        <v xml:space="preserve"> </v>
      </c>
      <c r="K1433" s="1" t="str">
        <f>IF(B1433=0,VLOOKUP(A1433,Feuil2!$A$2:$M$1241,10,FALSE)," ")</f>
        <v xml:space="preserve"> </v>
      </c>
      <c r="L1433" s="1"/>
      <c r="M1433" s="1"/>
      <c r="N1433" s="1"/>
      <c r="O1433" s="8" t="str">
        <f>IF(B1436=0,VLOOKUP(A1436,Feuil2!$A$2:$M$1241,13,FALSE)," ")</f>
        <v xml:space="preserve"> </v>
      </c>
    </row>
    <row r="1434" spans="1:15" x14ac:dyDescent="0.3">
      <c r="A1434" s="1">
        <v>1837</v>
      </c>
      <c r="B1434" s="1">
        <v>3</v>
      </c>
      <c r="C1434" s="1" t="s">
        <v>111</v>
      </c>
      <c r="D1434" s="1" t="s">
        <v>2501</v>
      </c>
      <c r="E1434" s="5">
        <v>42738</v>
      </c>
      <c r="F1434" s="1" t="str">
        <f>IF(B1434=0,VLOOKUP(A1434,Feuil2!$A$2:$M$1241,12,FALSE)," ")</f>
        <v xml:space="preserve"> </v>
      </c>
      <c r="G1434" s="1" t="str">
        <f>IF(B1434=0,VLOOKUP(A1434,Feuil2!$A$2:$M$1241,11,FALSE)," ")</f>
        <v xml:space="preserve"> </v>
      </c>
      <c r="H1434" s="1" t="s">
        <v>16</v>
      </c>
      <c r="I1434" s="6" t="str">
        <f>IF(B1434=0,VLOOKUP(A1434,Feuil2!$A$2:$M$1241,7,FALSE)," ")</f>
        <v xml:space="preserve"> </v>
      </c>
      <c r="J1434" s="1" t="str">
        <f>IF(B1434=0,VLOOKUP(A1434,Feuil2!$A$2:$M$1241,9,FALSE)," ")</f>
        <v xml:space="preserve"> </v>
      </c>
      <c r="K1434" s="1" t="str">
        <f>IF(B1434=0,VLOOKUP(A1434,Feuil2!$A$2:$M$1241,10,FALSE)," ")</f>
        <v xml:space="preserve"> </v>
      </c>
      <c r="L1434" s="1"/>
      <c r="M1434" s="1"/>
      <c r="N1434" s="1"/>
      <c r="O1434" s="8" t="str">
        <f>IF(B1437=0,VLOOKUP(A1437,Feuil2!$A$2:$M$1241,13,FALSE)," ")</f>
        <v xml:space="preserve"> </v>
      </c>
    </row>
    <row r="1435" spans="1:15" x14ac:dyDescent="0.3">
      <c r="A1435" s="1">
        <v>1839</v>
      </c>
      <c r="B1435" s="1">
        <v>0</v>
      </c>
      <c r="C1435" s="1" t="str">
        <f>IF(B1435=0,VLOOKUP(A1435,Feuil2!$A$2:$M$1241,2,FALSE)," ")</f>
        <v>TERZEGUE</v>
      </c>
      <c r="D1435" s="1" t="str">
        <f>IF(B1435=0,VLOOKUP(A1435,Feuil2!$A$2:$M$1241,3,FALSE)," ")</f>
        <v>FERID</v>
      </c>
      <c r="E1435" s="5">
        <f>IF(B1435=0,VLOOKUP(A1435,Feuil2!$A$2:$M$1241,6,FALSE)," ")</f>
        <v>29586</v>
      </c>
      <c r="F1435" s="1" t="str">
        <f>IF(B1435=0,VLOOKUP(A1435,Feuil2!$A$2:$M$1241,12,FALSE)," ")</f>
        <v>H</v>
      </c>
      <c r="G1435" s="1" t="str">
        <f>IF(B1435=0,VLOOKUP(A1435,Feuil2!$A$2:$M$1241,11,FALSE)," ")</f>
        <v>M</v>
      </c>
      <c r="H1435" s="1" t="s">
        <v>16</v>
      </c>
      <c r="I1435" s="6">
        <f>IF(B1435=0,VLOOKUP(A1435,Feuil2!$A$2:$M$1241,7,FALSE)," ")</f>
        <v>5597311</v>
      </c>
      <c r="J1435" s="1" t="str">
        <f>IF(B1435=0,VLOOKUP(A1435,Feuil2!$A$2:$M$1241,9,FALSE)," ")</f>
        <v>Rue Sidi Bel Hassen</v>
      </c>
      <c r="K1435" s="1" t="str">
        <f>IF(B1435=0,VLOOKUP(A1435,Feuil2!$A$2:$M$1241,10,FALSE)," ")</f>
        <v>Msaken 4070</v>
      </c>
      <c r="L1435" s="1">
        <v>4070</v>
      </c>
      <c r="M1435" s="1">
        <v>28539831</v>
      </c>
      <c r="N1435" s="1"/>
      <c r="O1435" s="8" t="str">
        <f>IF(B1438=0,VLOOKUP(A1438,Feuil2!$A$2:$M$1241,13,FALSE)," ")</f>
        <v xml:space="preserve"> </v>
      </c>
    </row>
    <row r="1436" spans="1:15" x14ac:dyDescent="0.3">
      <c r="A1436" s="1">
        <v>1839</v>
      </c>
      <c r="B1436" s="1">
        <v>1</v>
      </c>
      <c r="C1436" s="1" t="s">
        <v>227</v>
      </c>
      <c r="D1436" s="1" t="s">
        <v>404</v>
      </c>
      <c r="E1436" s="5">
        <v>31000</v>
      </c>
      <c r="F1436" s="1" t="s">
        <v>17</v>
      </c>
      <c r="G1436" s="1" t="str">
        <f>IF(B1436=0,VLOOKUP(A1436,Feuil2!$A$2:$M$1241,11,FALSE)," ")</f>
        <v xml:space="preserve"> </v>
      </c>
      <c r="H1436" s="1" t="s">
        <v>16</v>
      </c>
      <c r="I1436" s="6" t="str">
        <f>IF(B1436=0,VLOOKUP(A1436,Feuil2!$A$2:$M$1241,7,FALSE)," ")</f>
        <v xml:space="preserve"> </v>
      </c>
      <c r="J1436" s="1" t="str">
        <f>IF(B1436=0,VLOOKUP(A1436,Feuil2!$A$2:$M$1241,9,FALSE)," ")</f>
        <v xml:space="preserve"> </v>
      </c>
      <c r="K1436" s="1" t="str">
        <f>IF(B1436=0,VLOOKUP(A1436,Feuil2!$A$2:$M$1241,10,FALSE)," ")</f>
        <v xml:space="preserve"> </v>
      </c>
      <c r="L1436" s="1"/>
      <c r="M1436" s="1"/>
      <c r="N1436" s="1"/>
      <c r="O1436" s="8" t="str">
        <f>IF(B1439=0,VLOOKUP(A1439,Feuil2!$A$2:$M$1241,13,FALSE)," ")</f>
        <v xml:space="preserve"> </v>
      </c>
    </row>
    <row r="1437" spans="1:15" x14ac:dyDescent="0.3">
      <c r="A1437" s="1">
        <v>1839</v>
      </c>
      <c r="B1437" s="1">
        <v>2</v>
      </c>
      <c r="C1437" s="1" t="s">
        <v>1758</v>
      </c>
      <c r="D1437" s="1" t="s">
        <v>346</v>
      </c>
      <c r="E1437" s="5">
        <v>40038</v>
      </c>
      <c r="F1437" s="1" t="s">
        <v>506</v>
      </c>
      <c r="G1437" s="1" t="str">
        <f>IF(B1437=0,VLOOKUP(A1437,Feuil2!$A$2:$M$1241,11,FALSE)," ")</f>
        <v xml:space="preserve"> </v>
      </c>
      <c r="H1437" s="1" t="s">
        <v>16</v>
      </c>
      <c r="I1437" s="6" t="str">
        <f>IF(B1437=0,VLOOKUP(A1437,Feuil2!$A$2:$M$1241,7,FALSE)," ")</f>
        <v xml:space="preserve"> </v>
      </c>
      <c r="J1437" s="1" t="str">
        <f>IF(B1437=0,VLOOKUP(A1437,Feuil2!$A$2:$M$1241,9,FALSE)," ")</f>
        <v xml:space="preserve"> </v>
      </c>
      <c r="K1437" s="1" t="str">
        <f>IF(B1437=0,VLOOKUP(A1437,Feuil2!$A$2:$M$1241,10,FALSE)," ")</f>
        <v xml:space="preserve"> </v>
      </c>
      <c r="L1437" s="1"/>
      <c r="M1437" s="1"/>
      <c r="N1437" s="1"/>
      <c r="O1437" s="8" t="str">
        <f>IF(B1440=0,VLOOKUP(A1440,Feuil2!$A$2:$M$1241,13,FALSE)," ")</f>
        <v xml:space="preserve"> </v>
      </c>
    </row>
    <row r="1438" spans="1:15" x14ac:dyDescent="0.3">
      <c r="A1438" s="1">
        <v>1839</v>
      </c>
      <c r="B1438" s="1">
        <v>3</v>
      </c>
      <c r="C1438" s="1" t="s">
        <v>1758</v>
      </c>
      <c r="D1438" s="1" t="s">
        <v>2451</v>
      </c>
      <c r="E1438" s="5">
        <v>40038</v>
      </c>
      <c r="F1438" s="1" t="s">
        <v>17</v>
      </c>
      <c r="G1438" s="1" t="str">
        <f>IF(B1438=0,VLOOKUP(A1438,Feuil2!$A$2:$M$1241,11,FALSE)," ")</f>
        <v xml:space="preserve"> </v>
      </c>
      <c r="H1438" s="1" t="s">
        <v>16</v>
      </c>
      <c r="I1438" s="6" t="str">
        <f>IF(B1438=0,VLOOKUP(A1438,Feuil2!$A$2:$M$1241,7,FALSE)," ")</f>
        <v xml:space="preserve"> </v>
      </c>
      <c r="J1438" s="1" t="str">
        <f>IF(B1438=0,VLOOKUP(A1438,Feuil2!$A$2:$M$1241,9,FALSE)," ")</f>
        <v xml:space="preserve"> </v>
      </c>
      <c r="K1438" s="1" t="str">
        <f>IF(B1438=0,VLOOKUP(A1438,Feuil2!$A$2:$M$1241,10,FALSE)," ")</f>
        <v xml:space="preserve"> </v>
      </c>
      <c r="L1438" s="1"/>
      <c r="M1438" s="1"/>
      <c r="N1438" s="1"/>
      <c r="O1438" s="8" t="str">
        <f>IF(B1441=0,VLOOKUP(A1441,Feuil2!$A$2:$M$1241,13,FALSE)," ")</f>
        <v>03508056010100394535</v>
      </c>
    </row>
    <row r="1439" spans="1:15" x14ac:dyDescent="0.3">
      <c r="A1439" s="1">
        <v>1839</v>
      </c>
      <c r="B1439" s="1">
        <v>4</v>
      </c>
      <c r="C1439" s="1" t="s">
        <v>1758</v>
      </c>
      <c r="D1439" s="1" t="s">
        <v>2376</v>
      </c>
      <c r="E1439" s="5">
        <v>40038</v>
      </c>
      <c r="F1439" s="1" t="s">
        <v>506</v>
      </c>
      <c r="G1439" s="1" t="str">
        <f>IF(B1439=0,VLOOKUP(A1439,Feuil2!$A$2:$M$1241,11,FALSE)," ")</f>
        <v xml:space="preserve"> </v>
      </c>
      <c r="H1439" s="1" t="s">
        <v>16</v>
      </c>
      <c r="I1439" s="6" t="str">
        <f>IF(B1439=0,VLOOKUP(A1439,Feuil2!$A$2:$M$1241,7,FALSE)," ")</f>
        <v xml:space="preserve"> </v>
      </c>
      <c r="J1439" s="1" t="str">
        <f>IF(B1439=0,VLOOKUP(A1439,Feuil2!$A$2:$M$1241,9,FALSE)," ")</f>
        <v xml:space="preserve"> </v>
      </c>
      <c r="K1439" s="1" t="str">
        <f>IF(B1439=0,VLOOKUP(A1439,Feuil2!$A$2:$M$1241,10,FALSE)," ")</f>
        <v xml:space="preserve"> </v>
      </c>
      <c r="L1439" s="1"/>
      <c r="M1439" s="1"/>
      <c r="N1439" s="1"/>
      <c r="O1439" s="8" t="str">
        <f>IF(B1442=0,VLOOKUP(A1442,Feuil2!$A$2:$M$1241,13,FALSE)," ")</f>
        <v xml:space="preserve"> </v>
      </c>
    </row>
    <row r="1440" spans="1:15" x14ac:dyDescent="0.3">
      <c r="A1440" s="1">
        <v>1839</v>
      </c>
      <c r="B1440" s="1">
        <v>5</v>
      </c>
      <c r="C1440" s="1" t="s">
        <v>1758</v>
      </c>
      <c r="D1440" s="1" t="s">
        <v>2338</v>
      </c>
      <c r="E1440" s="5">
        <v>41579</v>
      </c>
      <c r="F1440" s="1" t="s">
        <v>17</v>
      </c>
      <c r="G1440" s="1" t="str">
        <f>IF(B1440=0,VLOOKUP(A1440,Feuil2!$A$2:$M$1241,11,FALSE)," ")</f>
        <v xml:space="preserve"> </v>
      </c>
      <c r="H1440" s="1" t="s">
        <v>16</v>
      </c>
      <c r="I1440" s="6" t="str">
        <f>IF(B1440=0,VLOOKUP(A1440,Feuil2!$A$2:$M$1241,7,FALSE)," ")</f>
        <v xml:space="preserve"> </v>
      </c>
      <c r="J1440" s="1" t="str">
        <f>IF(B1440=0,VLOOKUP(A1440,Feuil2!$A$2:$M$1241,9,FALSE)," ")</f>
        <v xml:space="preserve"> </v>
      </c>
      <c r="K1440" s="1" t="str">
        <f>IF(B1440=0,VLOOKUP(A1440,Feuil2!$A$2:$M$1241,10,FALSE)," ")</f>
        <v xml:space="preserve"> </v>
      </c>
      <c r="L1440" s="1"/>
      <c r="M1440" s="1"/>
      <c r="N1440" s="1"/>
      <c r="O1440" s="8" t="str">
        <f>IF(B1443=0,VLOOKUP(A1443,Feuil2!$A$2:$M$1241,13,FALSE)," ")</f>
        <v>04204067404001173850</v>
      </c>
    </row>
    <row r="1441" spans="1:15" x14ac:dyDescent="0.3">
      <c r="A1441" s="1">
        <v>1842</v>
      </c>
      <c r="B1441" s="1">
        <v>0</v>
      </c>
      <c r="C1441" s="1" t="str">
        <f>IF(B1441=0,VLOOKUP(A1441,Feuil2!$A$2:$M$1241,2,FALSE)," ")</f>
        <v>SAKKA ROUIS</v>
      </c>
      <c r="D1441" s="1" t="str">
        <f>IF(B1441=0,VLOOKUP(A1441,Feuil2!$A$2:$M$1241,3,FALSE)," ")</f>
        <v>SAMI</v>
      </c>
      <c r="E1441" s="5">
        <f>IF(B1441=0,VLOOKUP(A1441,Feuil2!$A$2:$M$1241,6,FALSE)," ")</f>
        <v>29625</v>
      </c>
      <c r="F1441" s="1" t="str">
        <f>IF(B1441=0,VLOOKUP(A1441,Feuil2!$A$2:$M$1241,12,FALSE)," ")</f>
        <v>H</v>
      </c>
      <c r="G1441" s="1" t="s">
        <v>15</v>
      </c>
      <c r="H1441" s="1" t="s">
        <v>16</v>
      </c>
      <c r="I1441" s="6">
        <f>IF(B1441=0,VLOOKUP(A1441,Feuil2!$A$2:$M$1241,7,FALSE)," ")</f>
        <v>8461716</v>
      </c>
      <c r="J1441" s="1" t="str">
        <f>IF(B1441=0,VLOOKUP(A1441,Feuil2!$A$2:$M$1241,9,FALSE)," ")</f>
        <v>Rue Youssef Temimi</v>
      </c>
      <c r="K1441" s="1" t="str">
        <f>IF(B1441=0,VLOOKUP(A1441,Feuil2!$A$2:$M$1241,10,FALSE)," ")</f>
        <v>Msaken 4070</v>
      </c>
      <c r="L1441" s="1">
        <v>4070</v>
      </c>
      <c r="M1441" s="1">
        <v>25432642</v>
      </c>
      <c r="N1441" s="1"/>
      <c r="O1441" s="8" t="str">
        <f>IF(B1444=0,VLOOKUP(A1444,Feuil2!$A$2:$M$1241,13,FALSE)," ")</f>
        <v xml:space="preserve"> </v>
      </c>
    </row>
    <row r="1442" spans="1:15" x14ac:dyDescent="0.3">
      <c r="A1442" s="1">
        <v>1842</v>
      </c>
      <c r="B1442" s="1">
        <v>1</v>
      </c>
      <c r="C1442" s="1" t="s">
        <v>2724</v>
      </c>
      <c r="D1442" s="1" t="s">
        <v>2552</v>
      </c>
      <c r="E1442" s="5">
        <v>35291</v>
      </c>
      <c r="F1442" s="1" t="s">
        <v>17</v>
      </c>
      <c r="G1442" s="1" t="s">
        <v>15</v>
      </c>
      <c r="H1442" s="1" t="s">
        <v>16</v>
      </c>
      <c r="I1442" s="6" t="str">
        <f>IF(B1442=0,VLOOKUP(A1442,Feuil2!$A$2:$M$1241,7,FALSE)," ")</f>
        <v xml:space="preserve"> </v>
      </c>
      <c r="J1442" s="1" t="str">
        <f>IF(B1442=0,VLOOKUP(A1442,Feuil2!$A$2:$M$1241,9,FALSE)," ")</f>
        <v xml:space="preserve"> </v>
      </c>
      <c r="K1442" s="1" t="str">
        <f>IF(B1442=0,VLOOKUP(A1442,Feuil2!$A$2:$M$1241,10,FALSE)," ")</f>
        <v xml:space="preserve"> </v>
      </c>
      <c r="L1442" s="1"/>
      <c r="M1442" s="1"/>
      <c r="N1442" s="1"/>
      <c r="O1442" s="8" t="str">
        <f>IF(B1445=0,VLOOKUP(A1445,Feuil2!$A$2:$M$1241,13,FALSE)," ")</f>
        <v xml:space="preserve"> </v>
      </c>
    </row>
    <row r="1443" spans="1:15" x14ac:dyDescent="0.3">
      <c r="A1443" s="1">
        <v>1846</v>
      </c>
      <c r="B1443" s="1">
        <v>0</v>
      </c>
      <c r="C1443" s="1" t="str">
        <f>IF(B1443=0,VLOOKUP(A1443,Feuil2!$A$2:$M$1241,2,FALSE)," ")</f>
        <v>ROMDHANI</v>
      </c>
      <c r="D1443" s="1" t="str">
        <f>IF(B1443=0,VLOOKUP(A1443,Feuil2!$A$2:$M$1241,3,FALSE)," ")</f>
        <v>SAMI</v>
      </c>
      <c r="E1443" s="5">
        <f>IF(B1443=0,VLOOKUP(A1443,Feuil2!$A$2:$M$1241,6,FALSE)," ")</f>
        <v>28831</v>
      </c>
      <c r="F1443" s="1" t="str">
        <f>IF(B1443=0,VLOOKUP(A1443,Feuil2!$A$2:$M$1241,12,FALSE)," ")</f>
        <v>H</v>
      </c>
      <c r="G1443" s="1" t="str">
        <f>IF(B1443=0,VLOOKUP(A1443,Feuil2!$A$2:$M$1241,11,FALSE)," ")</f>
        <v>M</v>
      </c>
      <c r="H1443" s="1" t="s">
        <v>16</v>
      </c>
      <c r="I1443" s="6">
        <f>IF(B1443=0,VLOOKUP(A1443,Feuil2!$A$2:$M$1241,7,FALSE)," ")</f>
        <v>8212462</v>
      </c>
      <c r="J1443" s="1" t="str">
        <f>IF(B1443=0,VLOOKUP(A1443,Feuil2!$A$2:$M$1241,9,FALSE)," ")</f>
        <v>Immeuble Salah CitÃ© Ettaamir</v>
      </c>
      <c r="K1443" s="1" t="str">
        <f>IF(B1443=0,VLOOKUP(A1443,Feuil2!$A$2:$M$1241,10,FALSE)," ")</f>
        <v>Sousse</v>
      </c>
      <c r="L1443" s="1"/>
      <c r="M1443" s="1">
        <v>98793790</v>
      </c>
      <c r="N1443" s="1"/>
      <c r="O1443" s="8" t="str">
        <f>IF(B1446=0,VLOOKUP(A1446,Feuil2!$A$2:$M$1241,13,FALSE)," ")</f>
        <v xml:space="preserve"> </v>
      </c>
    </row>
    <row r="1444" spans="1:15" x14ac:dyDescent="0.3">
      <c r="A1444" s="1">
        <v>1846</v>
      </c>
      <c r="B1444" s="1">
        <v>1</v>
      </c>
      <c r="C1444" s="1" t="s">
        <v>2725</v>
      </c>
      <c r="D1444" s="1" t="s">
        <v>2289</v>
      </c>
      <c r="E1444" s="5">
        <v>31772</v>
      </c>
      <c r="F1444" s="1" t="s">
        <v>17</v>
      </c>
      <c r="G1444" s="1" t="s">
        <v>15</v>
      </c>
      <c r="H1444" s="1" t="s">
        <v>16</v>
      </c>
      <c r="I1444" s="6" t="str">
        <f>IF(B1444=0,VLOOKUP(A1444,Feuil2!$A$2:$M$1241,7,FALSE)," ")</f>
        <v xml:space="preserve"> </v>
      </c>
      <c r="J1444" s="1" t="str">
        <f>IF(B1444=0,VLOOKUP(A1444,Feuil2!$A$2:$M$1241,9,FALSE)," ")</f>
        <v xml:space="preserve"> </v>
      </c>
      <c r="K1444" s="1" t="str">
        <f>IF(B1444=0,VLOOKUP(A1444,Feuil2!$A$2:$M$1241,10,FALSE)," ")</f>
        <v xml:space="preserve"> </v>
      </c>
      <c r="L1444" s="1"/>
      <c r="M1444" s="1"/>
      <c r="N1444" s="1"/>
      <c r="O1444" s="8" t="str">
        <f>IF(B1447=0,VLOOKUP(A1447,Feuil2!$A$2:$M$1241,13,FALSE)," ")</f>
        <v>08507000262001640621</v>
      </c>
    </row>
    <row r="1445" spans="1:15" x14ac:dyDescent="0.3">
      <c r="A1445" s="1">
        <v>1846</v>
      </c>
      <c r="B1445" s="1">
        <v>2</v>
      </c>
      <c r="C1445" s="1" t="s">
        <v>397</v>
      </c>
      <c r="D1445" s="1" t="s">
        <v>2344</v>
      </c>
      <c r="E1445" s="5">
        <v>40683</v>
      </c>
      <c r="F1445" s="1" t="s">
        <v>17</v>
      </c>
      <c r="G1445" s="1" t="str">
        <f>IF(B1445=0,VLOOKUP(A1445,Feuil2!$A$2:$M$1241,11,FALSE)," ")</f>
        <v xml:space="preserve"> </v>
      </c>
      <c r="H1445" s="1" t="s">
        <v>16</v>
      </c>
      <c r="I1445" s="6" t="str">
        <f>IF(B1445=0,VLOOKUP(A1445,Feuil2!$A$2:$M$1241,7,FALSE)," ")</f>
        <v xml:space="preserve"> </v>
      </c>
      <c r="J1445" s="1" t="str">
        <f>IF(B1445=0,VLOOKUP(A1445,Feuil2!$A$2:$M$1241,9,FALSE)," ")</f>
        <v xml:space="preserve"> </v>
      </c>
      <c r="K1445" s="1" t="str">
        <f>IF(B1445=0,VLOOKUP(A1445,Feuil2!$A$2:$M$1241,10,FALSE)," ")</f>
        <v xml:space="preserve"> </v>
      </c>
      <c r="L1445" s="1"/>
      <c r="M1445" s="1"/>
      <c r="N1445" s="1"/>
      <c r="O1445" s="8" t="str">
        <f>IF(B1448=0,VLOOKUP(A1448,Feuil2!$A$2:$M$1241,13,FALSE)," ")</f>
        <v xml:space="preserve"> </v>
      </c>
    </row>
    <row r="1446" spans="1:15" x14ac:dyDescent="0.3">
      <c r="A1446" s="1">
        <v>1846</v>
      </c>
      <c r="B1446" s="1">
        <v>3</v>
      </c>
      <c r="C1446" s="1" t="s">
        <v>397</v>
      </c>
      <c r="D1446" s="1" t="s">
        <v>287</v>
      </c>
      <c r="E1446" s="5">
        <v>41887</v>
      </c>
      <c r="F1446" s="1" t="s">
        <v>506</v>
      </c>
      <c r="G1446" s="1" t="str">
        <f>IF(B1446=0,VLOOKUP(A1446,Feuil2!$A$2:$M$1241,11,FALSE)," ")</f>
        <v xml:space="preserve"> </v>
      </c>
      <c r="H1446" s="1" t="s">
        <v>16</v>
      </c>
      <c r="I1446" s="6" t="str">
        <f>IF(B1446=0,VLOOKUP(A1446,Feuil2!$A$2:$M$1241,7,FALSE)," ")</f>
        <v xml:space="preserve"> </v>
      </c>
      <c r="J1446" s="1" t="str">
        <f>IF(B1446=0,VLOOKUP(A1446,Feuil2!$A$2:$M$1241,9,FALSE)," ")</f>
        <v xml:space="preserve"> </v>
      </c>
      <c r="K1446" s="1" t="str">
        <f>IF(B1446=0,VLOOKUP(A1446,Feuil2!$A$2:$M$1241,10,FALSE)," ")</f>
        <v xml:space="preserve"> </v>
      </c>
      <c r="L1446" s="1"/>
      <c r="M1446" s="1"/>
      <c r="N1446" s="1"/>
      <c r="O1446" s="8" t="str">
        <f>IF(B1449=0,VLOOKUP(A1449,Feuil2!$A$2:$M$1241,13,FALSE)," ")</f>
        <v xml:space="preserve"> </v>
      </c>
    </row>
    <row r="1447" spans="1:15" x14ac:dyDescent="0.3">
      <c r="A1447" s="1">
        <v>1849</v>
      </c>
      <c r="B1447" s="1">
        <v>0</v>
      </c>
      <c r="C1447" s="1" t="str">
        <f>IF(B1447=0,VLOOKUP(A1447,Feuil2!$A$2:$M$1241,2,FALSE)," ")</f>
        <v>GANHOUBA</v>
      </c>
      <c r="D1447" s="1" t="str">
        <f>IF(B1447=0,VLOOKUP(A1447,Feuil2!$A$2:$M$1241,3,FALSE)," ")</f>
        <v>MEHDI</v>
      </c>
      <c r="E1447" s="5">
        <f>IF(B1447=0,VLOOKUP(A1447,Feuil2!$A$2:$M$1241,6,FALSE)," ")</f>
        <v>28745</v>
      </c>
      <c r="F1447" s="1" t="str">
        <f>IF(B1447=0,VLOOKUP(A1447,Feuil2!$A$2:$M$1241,12,FALSE)," ")</f>
        <v>H</v>
      </c>
      <c r="G1447" s="1" t="str">
        <f>IF(B1447=0,VLOOKUP(A1447,Feuil2!$A$2:$M$1241,11,FALSE)," ")</f>
        <v>M</v>
      </c>
      <c r="H1447" s="1" t="s">
        <v>16</v>
      </c>
      <c r="I1447" s="6">
        <f>IF(B1447=0,VLOOKUP(A1447,Feuil2!$A$2:$M$1241,7,FALSE)," ")</f>
        <v>8429082</v>
      </c>
      <c r="J1447" s="1" t="str">
        <f>IF(B1447=0,VLOOKUP(A1447,Feuil2!$A$2:$M$1241,9,FALSE)," ")</f>
        <v>2 Rue Mustapha Khraief</v>
      </c>
      <c r="K1447" s="1" t="str">
        <f>IF(B1447=0,VLOOKUP(A1447,Feuil2!$A$2:$M$1241,10,FALSE)," ")</f>
        <v>Msaken 4070</v>
      </c>
      <c r="L1447" s="1">
        <v>4070</v>
      </c>
      <c r="M1447" s="1">
        <v>98793759</v>
      </c>
      <c r="N1447" s="1"/>
      <c r="O1447" s="8" t="str">
        <f>IF(B1450=0,VLOOKUP(A1450,Feuil2!$A$2:$M$1241,13,FALSE)," ")</f>
        <v xml:space="preserve"> </v>
      </c>
    </row>
    <row r="1448" spans="1:15" x14ac:dyDescent="0.3">
      <c r="A1448" s="1">
        <v>1849</v>
      </c>
      <c r="B1448" s="1">
        <v>1</v>
      </c>
      <c r="C1448" s="1" t="s">
        <v>104</v>
      </c>
      <c r="D1448" s="1" t="s">
        <v>2726</v>
      </c>
      <c r="E1448" s="5">
        <v>29009</v>
      </c>
      <c r="F1448" s="1" t="s">
        <v>17</v>
      </c>
      <c r="G1448" s="1" t="s">
        <v>15</v>
      </c>
      <c r="H1448" s="1" t="s">
        <v>16</v>
      </c>
      <c r="I1448" s="6" t="str">
        <f>IF(B1448=0,VLOOKUP(A1448,Feuil2!$A$2:$M$1241,7,FALSE)," ")</f>
        <v xml:space="preserve"> </v>
      </c>
      <c r="J1448" s="1" t="str">
        <f>IF(B1448=0,VLOOKUP(A1448,Feuil2!$A$2:$M$1241,9,FALSE)," ")</f>
        <v xml:space="preserve"> </v>
      </c>
      <c r="K1448" s="1" t="str">
        <f>IF(B1448=0,VLOOKUP(A1448,Feuil2!$A$2:$M$1241,10,FALSE)," ")</f>
        <v xml:space="preserve"> </v>
      </c>
      <c r="L1448" s="1"/>
      <c r="M1448" s="1"/>
      <c r="N1448" s="1"/>
      <c r="O1448" s="8" t="str">
        <f>IF(B1451=0,VLOOKUP(A1451,Feuil2!$A$2:$M$1241,13,FALSE)," ")</f>
        <v xml:space="preserve"> </v>
      </c>
    </row>
    <row r="1449" spans="1:15" x14ac:dyDescent="0.3">
      <c r="A1449" s="1">
        <v>1849</v>
      </c>
      <c r="B1449" s="1">
        <v>2</v>
      </c>
      <c r="C1449" s="1" t="s">
        <v>462</v>
      </c>
      <c r="D1449" s="1" t="s">
        <v>404</v>
      </c>
      <c r="E1449" s="5">
        <v>42389</v>
      </c>
      <c r="F1449" s="1" t="s">
        <v>17</v>
      </c>
      <c r="G1449" s="1" t="str">
        <f>IF(B1449=0,VLOOKUP(A1449,Feuil2!$A$2:$M$1241,11,FALSE)," ")</f>
        <v xml:space="preserve"> </v>
      </c>
      <c r="H1449" s="1" t="s">
        <v>16</v>
      </c>
      <c r="I1449" s="6" t="str">
        <f>IF(B1449=0,VLOOKUP(A1449,Feuil2!$A$2:$M$1241,7,FALSE)," ")</f>
        <v xml:space="preserve"> </v>
      </c>
      <c r="J1449" s="1" t="str">
        <f>IF(B1449=0,VLOOKUP(A1449,Feuil2!$A$2:$M$1241,9,FALSE)," ")</f>
        <v xml:space="preserve"> </v>
      </c>
      <c r="K1449" s="1" t="str">
        <f>IF(B1449=0,VLOOKUP(A1449,Feuil2!$A$2:$M$1241,10,FALSE)," ")</f>
        <v xml:space="preserve"> </v>
      </c>
      <c r="L1449" s="1"/>
      <c r="M1449" s="1"/>
      <c r="N1449" s="1"/>
      <c r="O1449" s="8" t="str">
        <f>IF(B1452=0,VLOOKUP(A1452,Feuil2!$A$2:$M$1241,13,FALSE)," ")</f>
        <v>12015000000214839386</v>
      </c>
    </row>
    <row r="1450" spans="1:15" x14ac:dyDescent="0.3">
      <c r="A1450" s="1">
        <v>1849</v>
      </c>
      <c r="B1450" s="1">
        <v>3</v>
      </c>
      <c r="C1450" s="1" t="s">
        <v>462</v>
      </c>
      <c r="D1450" s="1" t="s">
        <v>2475</v>
      </c>
      <c r="E1450" s="5">
        <v>43314</v>
      </c>
      <c r="F1450" s="1" t="s">
        <v>506</v>
      </c>
      <c r="G1450" s="1" t="str">
        <f>IF(B1450=0,VLOOKUP(A1450,Feuil2!$A$2:$M$1241,11,FALSE)," ")</f>
        <v xml:space="preserve"> </v>
      </c>
      <c r="H1450" s="1" t="s">
        <v>16</v>
      </c>
      <c r="I1450" s="6" t="str">
        <f>IF(B1450=0,VLOOKUP(A1450,Feuil2!$A$2:$M$1241,7,FALSE)," ")</f>
        <v xml:space="preserve"> </v>
      </c>
      <c r="J1450" s="1" t="str">
        <f>IF(B1450=0,VLOOKUP(A1450,Feuil2!$A$2:$M$1241,9,FALSE)," ")</f>
        <v xml:space="preserve"> </v>
      </c>
      <c r="K1450" s="1" t="str">
        <f>IF(B1450=0,VLOOKUP(A1450,Feuil2!$A$2:$M$1241,10,FALSE)," ")</f>
        <v xml:space="preserve"> </v>
      </c>
      <c r="L1450" s="1"/>
      <c r="M1450" s="1"/>
      <c r="N1450" s="1"/>
      <c r="O1450" s="8" t="str">
        <f>IF(B1453=0,VLOOKUP(A1453,Feuil2!$A$2:$M$1241,13,FALSE)," ")</f>
        <v xml:space="preserve"> </v>
      </c>
    </row>
    <row r="1451" spans="1:15" x14ac:dyDescent="0.3">
      <c r="A1451" s="1">
        <v>1849</v>
      </c>
      <c r="B1451" s="1">
        <v>4</v>
      </c>
      <c r="C1451" s="1" t="s">
        <v>462</v>
      </c>
      <c r="D1451" s="1" t="s">
        <v>2431</v>
      </c>
      <c r="E1451" s="5">
        <v>43953</v>
      </c>
      <c r="F1451" s="1" t="s">
        <v>506</v>
      </c>
      <c r="G1451" s="1" t="str">
        <f>IF(B1451=0,VLOOKUP(A1451,Feuil2!$A$2:$M$1241,11,FALSE)," ")</f>
        <v xml:space="preserve"> </v>
      </c>
      <c r="H1451" s="1" t="s">
        <v>16</v>
      </c>
      <c r="I1451" s="6" t="str">
        <f>IF(B1451=0,VLOOKUP(A1451,Feuil2!$A$2:$M$1241,7,FALSE)," ")</f>
        <v xml:space="preserve"> </v>
      </c>
      <c r="J1451" s="1" t="str">
        <f>IF(B1451=0,VLOOKUP(A1451,Feuil2!$A$2:$M$1241,9,FALSE)," ")</f>
        <v xml:space="preserve"> </v>
      </c>
      <c r="K1451" s="1" t="str">
        <f>IF(B1451=0,VLOOKUP(A1451,Feuil2!$A$2:$M$1241,10,FALSE)," ")</f>
        <v xml:space="preserve"> </v>
      </c>
      <c r="L1451" s="1"/>
      <c r="M1451" s="1"/>
      <c r="N1451" s="1"/>
      <c r="O1451" s="8" t="str">
        <f>IF(B1454=0,VLOOKUP(A1454,Feuil2!$A$2:$M$1241,13,FALSE)," ")</f>
        <v xml:space="preserve"> </v>
      </c>
    </row>
    <row r="1452" spans="1:15" x14ac:dyDescent="0.3">
      <c r="A1452" s="1">
        <v>1856</v>
      </c>
      <c r="B1452" s="1">
        <v>0</v>
      </c>
      <c r="C1452" s="1" t="str">
        <f>IF(B1452=0,VLOOKUP(A1452,Feuil2!$A$2:$M$1241,2,FALSE)," ")</f>
        <v>ABDELLATIF</v>
      </c>
      <c r="D1452" s="1" t="str">
        <f>IF(B1452=0,VLOOKUP(A1452,Feuil2!$A$2:$M$1241,3,FALSE)," ")</f>
        <v>MOHAMED ALI</v>
      </c>
      <c r="E1452" s="5">
        <f>IF(B1452=0,VLOOKUP(A1452,Feuil2!$A$2:$M$1241,6,FALSE)," ")</f>
        <v>29472</v>
      </c>
      <c r="F1452" s="1" t="str">
        <f>IF(B1452=0,VLOOKUP(A1452,Feuil2!$A$2:$M$1241,12,FALSE)," ")</f>
        <v>H</v>
      </c>
      <c r="G1452" s="1" t="str">
        <f>IF(B1452=0,VLOOKUP(A1452,Feuil2!$A$2:$M$1241,11,FALSE)," ")</f>
        <v>M</v>
      </c>
      <c r="H1452" s="1" t="s">
        <v>16</v>
      </c>
      <c r="I1452" s="6">
        <f>IF(B1452=0,VLOOKUP(A1452,Feuil2!$A$2:$M$1241,7,FALSE)," ")</f>
        <v>8437911</v>
      </c>
      <c r="J1452" s="1" t="str">
        <f>IF(B1452=0,VLOOKUP(A1452,Feuil2!$A$2:$M$1241,9,FALSE)," ")</f>
        <v>27 Rue Bouhtouri Erriadh</v>
      </c>
      <c r="K1452" s="1" t="str">
        <f>IF(B1452=0,VLOOKUP(A1452,Feuil2!$A$2:$M$1241,10,FALSE)," ")</f>
        <v>Sousse</v>
      </c>
      <c r="L1452" s="1"/>
      <c r="M1452" s="1">
        <v>99602028</v>
      </c>
      <c r="N1452" s="1"/>
      <c r="O1452" s="8" t="str">
        <f>IF(B1455=0,VLOOKUP(A1455,Feuil2!$A$2:$M$1241,13,FALSE)," ")</f>
        <v xml:space="preserve"> </v>
      </c>
    </row>
    <row r="1453" spans="1:15" x14ac:dyDescent="0.3">
      <c r="A1453" s="1">
        <v>1856</v>
      </c>
      <c r="B1453" s="1">
        <v>1</v>
      </c>
      <c r="C1453" s="1" t="s">
        <v>296</v>
      </c>
      <c r="D1453" s="1" t="s">
        <v>2327</v>
      </c>
      <c r="E1453" s="5">
        <v>29692</v>
      </c>
      <c r="F1453" s="1" t="s">
        <v>17</v>
      </c>
      <c r="G1453" s="1" t="s">
        <v>15</v>
      </c>
      <c r="H1453" s="1" t="s">
        <v>16</v>
      </c>
      <c r="I1453" s="6" t="str">
        <f>IF(B1453=0,VLOOKUP(A1453,Feuil2!$A$2:$M$1241,7,FALSE)," ")</f>
        <v xml:space="preserve"> </v>
      </c>
      <c r="J1453" s="1" t="str">
        <f>IF(B1453=0,VLOOKUP(A1453,Feuil2!$A$2:$M$1241,9,FALSE)," ")</f>
        <v xml:space="preserve"> </v>
      </c>
      <c r="K1453" s="1" t="str">
        <f>IF(B1453=0,VLOOKUP(A1453,Feuil2!$A$2:$M$1241,10,FALSE)," ")</f>
        <v xml:space="preserve"> </v>
      </c>
      <c r="L1453" s="1"/>
      <c r="M1453" s="1"/>
      <c r="N1453" s="1"/>
      <c r="O1453" s="8" t="str">
        <f>IF(B1456=0,VLOOKUP(A1456,Feuil2!$A$2:$M$1241,13,FALSE)," ")</f>
        <v>04128195002622969088</v>
      </c>
    </row>
    <row r="1454" spans="1:15" x14ac:dyDescent="0.3">
      <c r="A1454" s="1">
        <v>1856</v>
      </c>
      <c r="B1454" s="1">
        <v>2</v>
      </c>
      <c r="C1454" s="1" t="s">
        <v>249</v>
      </c>
      <c r="D1454" s="1" t="s">
        <v>2598</v>
      </c>
      <c r="E1454" s="5">
        <v>41168</v>
      </c>
      <c r="F1454" s="1" t="s">
        <v>506</v>
      </c>
      <c r="G1454" s="1" t="str">
        <f>IF(B1454=0,VLOOKUP(A1454,Feuil2!$A$2:$M$1241,11,FALSE)," ")</f>
        <v xml:space="preserve"> </v>
      </c>
      <c r="H1454" s="1" t="s">
        <v>16</v>
      </c>
      <c r="I1454" s="6" t="str">
        <f>IF(B1454=0,VLOOKUP(A1454,Feuil2!$A$2:$M$1241,7,FALSE)," ")</f>
        <v xml:space="preserve"> </v>
      </c>
      <c r="J1454" s="1" t="str">
        <f>IF(B1454=0,VLOOKUP(A1454,Feuil2!$A$2:$M$1241,9,FALSE)," ")</f>
        <v xml:space="preserve"> </v>
      </c>
      <c r="K1454" s="1" t="str">
        <f>IF(B1454=0,VLOOKUP(A1454,Feuil2!$A$2:$M$1241,10,FALSE)," ")</f>
        <v xml:space="preserve"> </v>
      </c>
      <c r="L1454" s="1"/>
      <c r="M1454" s="1"/>
      <c r="N1454" s="1"/>
      <c r="O1454" s="8" t="str">
        <f>IF(B1457=0,VLOOKUP(A1457,Feuil2!$A$2:$M$1241,13,FALSE)," ")</f>
        <v xml:space="preserve"> </v>
      </c>
    </row>
    <row r="1455" spans="1:15" x14ac:dyDescent="0.3">
      <c r="A1455" s="1">
        <v>1856</v>
      </c>
      <c r="B1455" s="1">
        <v>3</v>
      </c>
      <c r="C1455" s="1" t="s">
        <v>249</v>
      </c>
      <c r="D1455" s="1" t="s">
        <v>2060</v>
      </c>
      <c r="E1455" s="5">
        <v>42913</v>
      </c>
      <c r="F1455" s="1" t="s">
        <v>17</v>
      </c>
      <c r="G1455" s="1" t="str">
        <f>IF(B1455=0,VLOOKUP(A1455,Feuil2!$A$2:$M$1241,11,FALSE)," ")</f>
        <v xml:space="preserve"> </v>
      </c>
      <c r="H1455" s="1" t="s">
        <v>16</v>
      </c>
      <c r="I1455" s="6" t="str">
        <f>IF(B1455=0,VLOOKUP(A1455,Feuil2!$A$2:$M$1241,7,FALSE)," ")</f>
        <v xml:space="preserve"> </v>
      </c>
      <c r="J1455" s="1" t="str">
        <f>IF(B1455=0,VLOOKUP(A1455,Feuil2!$A$2:$M$1241,9,FALSE)," ")</f>
        <v xml:space="preserve"> </v>
      </c>
      <c r="K1455" s="1" t="str">
        <f>IF(B1455=0,VLOOKUP(A1455,Feuil2!$A$2:$M$1241,10,FALSE)," ")</f>
        <v xml:space="preserve"> </v>
      </c>
      <c r="L1455" s="1"/>
      <c r="M1455" s="1"/>
      <c r="N1455" s="1"/>
      <c r="O1455" s="8" t="str">
        <f>IF(B1458=0,VLOOKUP(A1458,Feuil2!$A$2:$M$1241,13,FALSE)," ")</f>
        <v xml:space="preserve"> </v>
      </c>
    </row>
    <row r="1456" spans="1:15" x14ac:dyDescent="0.3">
      <c r="A1456" s="1">
        <v>1857</v>
      </c>
      <c r="B1456" s="1">
        <v>0</v>
      </c>
      <c r="C1456" s="1" t="str">
        <f>IF(B1456=0,VLOOKUP(A1456,Feuil2!$A$2:$M$1241,2,FALSE)," ")</f>
        <v>NOUIRA BOUJEBHA</v>
      </c>
      <c r="D1456" s="1" t="str">
        <f>IF(B1456=0,VLOOKUP(A1456,Feuil2!$A$2:$M$1241,3,FALSE)," ")</f>
        <v>RAMZI</v>
      </c>
      <c r="E1456" s="5">
        <f>IF(B1456=0,VLOOKUP(A1456,Feuil2!$A$2:$M$1241,6,FALSE)," ")</f>
        <v>25579</v>
      </c>
      <c r="F1456" s="1" t="str">
        <f>IF(B1456=0,VLOOKUP(A1456,Feuil2!$A$2:$M$1241,12,FALSE)," ")</f>
        <v>H</v>
      </c>
      <c r="G1456" s="1" t="str">
        <f>IF(B1456=0,VLOOKUP(A1456,Feuil2!$A$2:$M$1241,11,FALSE)," ")</f>
        <v>M</v>
      </c>
      <c r="H1456" s="1" t="s">
        <v>16</v>
      </c>
      <c r="I1456" s="6">
        <f>IF(B1456=0,VLOOKUP(A1456,Feuil2!$A$2:$M$1241,7,FALSE)," ")</f>
        <v>2985356</v>
      </c>
      <c r="J1456" s="1" t="str">
        <f>IF(B1456=0,VLOOKUP(A1456,Feuil2!$A$2:$M$1241,9,FALSE)," ")</f>
        <v>79 Rue Mendra</v>
      </c>
      <c r="K1456" s="1" t="str">
        <f>IF(B1456=0,VLOOKUP(A1456,Feuil2!$A$2:$M$1241,10,FALSE)," ")</f>
        <v>Zaouit Sousse</v>
      </c>
      <c r="L1456" s="1"/>
      <c r="M1456" s="1">
        <v>54503806</v>
      </c>
      <c r="N1456" s="1"/>
      <c r="O1456" s="8" t="str">
        <f>IF(B1459=0,VLOOKUP(A1459,Feuil2!$A$2:$M$1241,13,FALSE)," ")</f>
        <v xml:space="preserve"> </v>
      </c>
    </row>
    <row r="1457" spans="1:15" x14ac:dyDescent="0.3">
      <c r="A1457" s="1">
        <v>1857</v>
      </c>
      <c r="B1457" s="1">
        <v>1</v>
      </c>
      <c r="C1457" s="1" t="s">
        <v>2727</v>
      </c>
      <c r="D1457" s="1" t="s">
        <v>2289</v>
      </c>
      <c r="E1457" s="5">
        <v>26667</v>
      </c>
      <c r="F1457" s="1" t="s">
        <v>17</v>
      </c>
      <c r="G1457" s="1" t="s">
        <v>15</v>
      </c>
      <c r="H1457" s="1" t="s">
        <v>16</v>
      </c>
      <c r="I1457" s="6" t="str">
        <f>IF(B1457=0,VLOOKUP(A1457,Feuil2!$A$2:$M$1241,7,FALSE)," ")</f>
        <v xml:space="preserve"> </v>
      </c>
      <c r="J1457" s="1" t="str">
        <f>IF(B1457=0,VLOOKUP(A1457,Feuil2!$A$2:$M$1241,9,FALSE)," ")</f>
        <v xml:space="preserve"> </v>
      </c>
      <c r="K1457" s="1" t="str">
        <f>IF(B1457=0,VLOOKUP(A1457,Feuil2!$A$2:$M$1241,10,FALSE)," ")</f>
        <v xml:space="preserve"> </v>
      </c>
      <c r="L1457" s="1"/>
      <c r="M1457" s="1"/>
      <c r="N1457" s="1"/>
      <c r="O1457" s="8" t="str">
        <f>IF(B1460=0,VLOOKUP(A1460,Feuil2!$A$2:$M$1241,13,FALSE)," ")</f>
        <v xml:space="preserve"> </v>
      </c>
    </row>
    <row r="1458" spans="1:15" x14ac:dyDescent="0.3">
      <c r="A1458" s="1">
        <v>1857</v>
      </c>
      <c r="B1458" s="1">
        <v>2</v>
      </c>
      <c r="C1458" s="1" t="s">
        <v>1072</v>
      </c>
      <c r="D1458" s="1" t="s">
        <v>2677</v>
      </c>
      <c r="E1458" s="5">
        <v>35968</v>
      </c>
      <c r="F1458" s="1" t="s">
        <v>17</v>
      </c>
      <c r="G1458" s="1" t="str">
        <f>IF(B1458=0,VLOOKUP(A1458,Feuil2!$A$2:$M$1241,11,FALSE)," ")</f>
        <v xml:space="preserve"> </v>
      </c>
      <c r="H1458" s="1" t="s">
        <v>16</v>
      </c>
      <c r="I1458" s="6" t="str">
        <f>IF(B1458=0,VLOOKUP(A1458,Feuil2!$A$2:$M$1241,7,FALSE)," ")</f>
        <v xml:space="preserve"> </v>
      </c>
      <c r="J1458" s="1" t="str">
        <f>IF(B1458=0,VLOOKUP(A1458,Feuil2!$A$2:$M$1241,9,FALSE)," ")</f>
        <v xml:space="preserve"> </v>
      </c>
      <c r="K1458" s="1" t="str">
        <f>IF(B1458=0,VLOOKUP(A1458,Feuil2!$A$2:$M$1241,10,FALSE)," ")</f>
        <v xml:space="preserve"> </v>
      </c>
      <c r="L1458" s="1"/>
      <c r="M1458" s="1"/>
      <c r="N1458" s="1"/>
      <c r="O1458" s="8" t="str">
        <f>IF(B1461=0,VLOOKUP(A1461,Feuil2!$A$2:$M$1241,13,FALSE)," ")</f>
        <v>10506040207635978842</v>
      </c>
    </row>
    <row r="1459" spans="1:15" x14ac:dyDescent="0.3">
      <c r="A1459" s="1">
        <v>1857</v>
      </c>
      <c r="B1459" s="1">
        <v>3</v>
      </c>
      <c r="C1459" s="1" t="s">
        <v>1072</v>
      </c>
      <c r="D1459" s="1" t="s">
        <v>2530</v>
      </c>
      <c r="E1459" s="5">
        <v>36829</v>
      </c>
      <c r="F1459" s="1" t="s">
        <v>506</v>
      </c>
      <c r="G1459" s="1" t="str">
        <f>IF(B1459=0,VLOOKUP(A1459,Feuil2!$A$2:$M$1241,11,FALSE)," ")</f>
        <v xml:space="preserve"> </v>
      </c>
      <c r="H1459" s="1" t="s">
        <v>16</v>
      </c>
      <c r="I1459" s="6" t="str">
        <f>IF(B1459=0,VLOOKUP(A1459,Feuil2!$A$2:$M$1241,7,FALSE)," ")</f>
        <v xml:space="preserve"> </v>
      </c>
      <c r="J1459" s="1" t="str">
        <f>IF(B1459=0,VLOOKUP(A1459,Feuil2!$A$2:$M$1241,9,FALSE)," ")</f>
        <v xml:space="preserve"> </v>
      </c>
      <c r="K1459" s="1" t="str">
        <f>IF(B1459=0,VLOOKUP(A1459,Feuil2!$A$2:$M$1241,10,FALSE)," ")</f>
        <v xml:space="preserve"> </v>
      </c>
      <c r="L1459" s="1"/>
      <c r="M1459" s="1"/>
      <c r="N1459" s="1"/>
      <c r="O1459" s="8" t="str">
        <f>IF(B1462=0,VLOOKUP(A1462,Feuil2!$A$2:$M$1241,13,FALSE)," ")</f>
        <v xml:space="preserve"> </v>
      </c>
    </row>
    <row r="1460" spans="1:15" x14ac:dyDescent="0.3">
      <c r="A1460" s="1">
        <v>1857</v>
      </c>
      <c r="B1460" s="1">
        <v>4</v>
      </c>
      <c r="C1460" s="1" t="s">
        <v>1072</v>
      </c>
      <c r="D1460" s="1" t="s">
        <v>2685</v>
      </c>
      <c r="E1460" s="5">
        <v>38974</v>
      </c>
      <c r="F1460" s="1" t="s">
        <v>17</v>
      </c>
      <c r="G1460" s="1" t="str">
        <f>IF(B1460=0,VLOOKUP(A1460,Feuil2!$A$2:$M$1241,11,FALSE)," ")</f>
        <v xml:space="preserve"> </v>
      </c>
      <c r="H1460" s="1" t="s">
        <v>16</v>
      </c>
      <c r="I1460" s="6" t="str">
        <f>IF(B1460=0,VLOOKUP(A1460,Feuil2!$A$2:$M$1241,7,FALSE)," ")</f>
        <v xml:space="preserve"> </v>
      </c>
      <c r="J1460" s="1" t="str">
        <f>IF(B1460=0,VLOOKUP(A1460,Feuil2!$A$2:$M$1241,9,FALSE)," ")</f>
        <v xml:space="preserve"> </v>
      </c>
      <c r="K1460" s="1" t="str">
        <f>IF(B1460=0,VLOOKUP(A1460,Feuil2!$A$2:$M$1241,10,FALSE)," ")</f>
        <v xml:space="preserve"> </v>
      </c>
      <c r="L1460" s="1"/>
      <c r="M1460" s="1"/>
      <c r="N1460" s="1"/>
      <c r="O1460" s="8" t="str">
        <f>IF(B1463=0,VLOOKUP(A1463,Feuil2!$A$2:$M$1241,13,FALSE)," ")</f>
        <v xml:space="preserve"> </v>
      </c>
    </row>
    <row r="1461" spans="1:15" x14ac:dyDescent="0.3">
      <c r="A1461" s="1">
        <v>1860</v>
      </c>
      <c r="B1461" s="1">
        <v>0</v>
      </c>
      <c r="C1461" s="1" t="str">
        <f>IF(B1461=0,VLOOKUP(A1461,Feuil2!$A$2:$M$1241,2,FALSE)," ")</f>
        <v>KTAIEB</v>
      </c>
      <c r="D1461" s="1" t="str">
        <f>IF(B1461=0,VLOOKUP(A1461,Feuil2!$A$2:$M$1241,3,FALSE)," ")</f>
        <v>FREDJ</v>
      </c>
      <c r="E1461" s="5">
        <f>IF(B1461=0,VLOOKUP(A1461,Feuil2!$A$2:$M$1241,6,FALSE)," ")</f>
        <v>26240</v>
      </c>
      <c r="F1461" s="1" t="str">
        <f>IF(B1461=0,VLOOKUP(A1461,Feuil2!$A$2:$M$1241,12,FALSE)," ")</f>
        <v>H</v>
      </c>
      <c r="G1461" s="1" t="str">
        <f>IF(B1461=0,VLOOKUP(A1461,Feuil2!$A$2:$M$1241,11,FALSE)," ")</f>
        <v>M</v>
      </c>
      <c r="H1461" s="1" t="s">
        <v>16</v>
      </c>
      <c r="I1461" s="6">
        <f>IF(B1461=0,VLOOKUP(A1461,Feuil2!$A$2:$M$1241,7,FALSE)," ")</f>
        <v>5517008</v>
      </c>
      <c r="J1461" s="1" t="str">
        <f>IF(B1461=0,VLOOKUP(A1461,Feuil2!$A$2:$M$1241,9,FALSE)," ")</f>
        <v>NULL</v>
      </c>
      <c r="K1461" s="1" t="str">
        <f>IF(B1461=0,VLOOKUP(A1461,Feuil2!$A$2:$M$1241,10,FALSE)," ")</f>
        <v>BÃ©ni Rabiaa 4015</v>
      </c>
      <c r="L1461" s="1"/>
      <c r="M1461" s="1"/>
      <c r="N1461" s="1"/>
      <c r="O1461" s="8" t="str">
        <f>IF(B1464=0,VLOOKUP(A1464,Feuil2!$A$2:$M$1241,13,FALSE)," ")</f>
        <v xml:space="preserve"> </v>
      </c>
    </row>
    <row r="1462" spans="1:15" x14ac:dyDescent="0.3">
      <c r="A1462" s="1">
        <v>1860</v>
      </c>
      <c r="B1462" s="1">
        <v>1</v>
      </c>
      <c r="C1462" s="1" t="str">
        <f>IF(B1462=0,VLOOKUP(A1462,Feuil2!$A$2:$M$1241,2,FALSE)," ")</f>
        <v xml:space="preserve"> </v>
      </c>
      <c r="D1462" s="1" t="s">
        <v>1441</v>
      </c>
      <c r="E1462" s="5">
        <v>29695</v>
      </c>
      <c r="F1462" s="1" t="s">
        <v>17</v>
      </c>
      <c r="G1462" s="1" t="s">
        <v>15</v>
      </c>
      <c r="H1462" s="1" t="s">
        <v>16</v>
      </c>
      <c r="I1462" s="6" t="str">
        <f>IF(B1462=0,VLOOKUP(A1462,Feuil2!$A$2:$M$1241,7,FALSE)," ")</f>
        <v xml:space="preserve"> </v>
      </c>
      <c r="J1462" s="1" t="str">
        <f>IF(B1462=0,VLOOKUP(A1462,Feuil2!$A$2:$M$1241,9,FALSE)," ")</f>
        <v xml:space="preserve"> </v>
      </c>
      <c r="K1462" s="1" t="str">
        <f>IF(B1462=0,VLOOKUP(A1462,Feuil2!$A$2:$M$1241,10,FALSE)," ")</f>
        <v xml:space="preserve"> </v>
      </c>
      <c r="L1462" s="1"/>
      <c r="M1462" s="1"/>
      <c r="N1462" s="1"/>
      <c r="O1462" s="8" t="str">
        <f>IF(B1465=0,VLOOKUP(A1465,Feuil2!$A$2:$M$1241,13,FALSE)," ")</f>
        <v>04204067001373985906</v>
      </c>
    </row>
    <row r="1463" spans="1:15" x14ac:dyDescent="0.3">
      <c r="A1463" s="1">
        <v>1860</v>
      </c>
      <c r="B1463" s="1">
        <v>2</v>
      </c>
      <c r="C1463" s="1" t="s">
        <v>327</v>
      </c>
      <c r="D1463" s="1" t="s">
        <v>2387</v>
      </c>
      <c r="E1463" s="5">
        <v>36723</v>
      </c>
      <c r="F1463" s="1" t="s">
        <v>17</v>
      </c>
      <c r="G1463" s="1" t="str">
        <f>IF(B1463=0,VLOOKUP(A1463,Feuil2!$A$2:$M$1241,11,FALSE)," ")</f>
        <v xml:space="preserve"> </v>
      </c>
      <c r="H1463" s="1" t="s">
        <v>16</v>
      </c>
      <c r="I1463" s="6" t="str">
        <f>IF(B1463=0,VLOOKUP(A1463,Feuil2!$A$2:$M$1241,7,FALSE)," ")</f>
        <v xml:space="preserve"> </v>
      </c>
      <c r="J1463" s="1" t="str">
        <f>IF(B1463=0,VLOOKUP(A1463,Feuil2!$A$2:$M$1241,9,FALSE)," ")</f>
        <v xml:space="preserve"> </v>
      </c>
      <c r="K1463" s="1" t="str">
        <f>IF(B1463=0,VLOOKUP(A1463,Feuil2!$A$2:$M$1241,10,FALSE)," ")</f>
        <v xml:space="preserve"> </v>
      </c>
      <c r="L1463" s="1"/>
      <c r="M1463" s="1"/>
      <c r="N1463" s="1"/>
      <c r="O1463" s="8" t="str">
        <f>IF(B1466=0,VLOOKUP(A1466,Feuil2!$A$2:$M$1241,13,FALSE)," ")</f>
        <v xml:space="preserve"> </v>
      </c>
    </row>
    <row r="1464" spans="1:15" x14ac:dyDescent="0.3">
      <c r="A1464" s="1">
        <v>1860</v>
      </c>
      <c r="B1464" s="1">
        <v>3</v>
      </c>
      <c r="C1464" s="1" t="s">
        <v>327</v>
      </c>
      <c r="D1464" s="1" t="s">
        <v>2376</v>
      </c>
      <c r="E1464" s="5">
        <v>40456</v>
      </c>
      <c r="F1464" s="1" t="s">
        <v>506</v>
      </c>
      <c r="G1464" s="1" t="str">
        <f>IF(B1464=0,VLOOKUP(A1464,Feuil2!$A$2:$M$1241,11,FALSE)," ")</f>
        <v xml:space="preserve"> </v>
      </c>
      <c r="H1464" s="1" t="s">
        <v>16</v>
      </c>
      <c r="I1464" s="6" t="str">
        <f>IF(B1464=0,VLOOKUP(A1464,Feuil2!$A$2:$M$1241,7,FALSE)," ")</f>
        <v xml:space="preserve"> </v>
      </c>
      <c r="J1464" s="1" t="str">
        <f>IF(B1464=0,VLOOKUP(A1464,Feuil2!$A$2:$M$1241,9,FALSE)," ")</f>
        <v xml:space="preserve"> </v>
      </c>
      <c r="K1464" s="1" t="str">
        <f>IF(B1464=0,VLOOKUP(A1464,Feuil2!$A$2:$M$1241,10,FALSE)," ")</f>
        <v xml:space="preserve"> </v>
      </c>
      <c r="L1464" s="1"/>
      <c r="M1464" s="1"/>
      <c r="N1464" s="1"/>
      <c r="O1464" s="8" t="str">
        <f>IF(B1467=0,VLOOKUP(A1467,Feuil2!$A$2:$M$1241,13,FALSE)," ")</f>
        <v xml:space="preserve"> </v>
      </c>
    </row>
    <row r="1465" spans="1:15" x14ac:dyDescent="0.3">
      <c r="A1465" s="1">
        <v>1867</v>
      </c>
      <c r="B1465" s="1">
        <v>0</v>
      </c>
      <c r="C1465" s="1" t="str">
        <f>IF(B1465=0,VLOOKUP(A1465,Feuil2!$A$2:$M$1241,2,FALSE)," ")</f>
        <v>GAZZAH</v>
      </c>
      <c r="D1465" s="1" t="str">
        <f>IF(B1465=0,VLOOKUP(A1465,Feuil2!$A$2:$M$1241,3,FALSE)," ")</f>
        <v>LOTFI</v>
      </c>
      <c r="E1465" s="5">
        <f>IF(B1465=0,VLOOKUP(A1465,Feuil2!$A$2:$M$1241,6,FALSE)," ")</f>
        <v>27413</v>
      </c>
      <c r="F1465" s="1" t="str">
        <f>IF(B1465=0,VLOOKUP(A1465,Feuil2!$A$2:$M$1241,12,FALSE)," ")</f>
        <v>H</v>
      </c>
      <c r="G1465" s="1" t="str">
        <f>IF(B1465=0,VLOOKUP(A1465,Feuil2!$A$2:$M$1241,11,FALSE)," ")</f>
        <v>M</v>
      </c>
      <c r="H1465" s="1" t="s">
        <v>16</v>
      </c>
      <c r="I1465" s="6">
        <f>IF(B1465=0,VLOOKUP(A1465,Feuil2!$A$2:$M$1241,7,FALSE)," ")</f>
        <v>5560217</v>
      </c>
      <c r="J1465" s="1" t="str">
        <f>IF(B1465=0,VLOOKUP(A1465,Feuil2!$A$2:$M$1241,9,FALSE)," ")</f>
        <v>1 Rue Nidhal</v>
      </c>
      <c r="K1465" s="1" t="str">
        <f>IF(B1465=0,VLOOKUP(A1465,Feuil2!$A$2:$M$1241,10,FALSE)," ")</f>
        <v>Msaken 4070</v>
      </c>
      <c r="L1465" s="1">
        <v>4070</v>
      </c>
      <c r="M1465" s="1">
        <v>25905657</v>
      </c>
      <c r="N1465" s="1"/>
      <c r="O1465" s="8" t="str">
        <f>IF(B1468=0,VLOOKUP(A1468,Feuil2!$A$2:$M$1241,13,FALSE)," ")</f>
        <v xml:space="preserve"> </v>
      </c>
    </row>
    <row r="1466" spans="1:15" x14ac:dyDescent="0.3">
      <c r="A1466" s="1">
        <v>1867</v>
      </c>
      <c r="B1466" s="1">
        <v>1</v>
      </c>
      <c r="C1466" s="1" t="s">
        <v>42</v>
      </c>
      <c r="D1466" s="1" t="s">
        <v>2334</v>
      </c>
      <c r="E1466" s="5">
        <v>29333</v>
      </c>
      <c r="F1466" s="1" t="s">
        <v>17</v>
      </c>
      <c r="G1466" s="1" t="s">
        <v>15</v>
      </c>
      <c r="H1466" s="1" t="s">
        <v>16</v>
      </c>
      <c r="I1466" s="6" t="str">
        <f>IF(B1466=0,VLOOKUP(A1466,Feuil2!$A$2:$M$1241,7,FALSE)," ")</f>
        <v xml:space="preserve"> </v>
      </c>
      <c r="J1466" s="1" t="str">
        <f>IF(B1466=0,VLOOKUP(A1466,Feuil2!$A$2:$M$1241,9,FALSE)," ")</f>
        <v xml:space="preserve"> </v>
      </c>
      <c r="K1466" s="1" t="str">
        <f>IF(B1466=0,VLOOKUP(A1466,Feuil2!$A$2:$M$1241,10,FALSE)," ")</f>
        <v xml:space="preserve"> </v>
      </c>
      <c r="L1466" s="1"/>
      <c r="M1466" s="1"/>
      <c r="N1466" s="1"/>
      <c r="O1466" s="8" t="str">
        <f>IF(B1469=0,VLOOKUP(A1469,Feuil2!$A$2:$M$1241,13,FALSE)," ")</f>
        <v xml:space="preserve"> </v>
      </c>
    </row>
    <row r="1467" spans="1:15" x14ac:dyDescent="0.3">
      <c r="A1467" s="1">
        <v>1867</v>
      </c>
      <c r="B1467" s="1">
        <v>2</v>
      </c>
      <c r="C1467" s="1" t="s">
        <v>121</v>
      </c>
      <c r="D1467" s="1" t="s">
        <v>240</v>
      </c>
      <c r="E1467" s="5">
        <v>38512</v>
      </c>
      <c r="F1467" s="1" t="s">
        <v>506</v>
      </c>
      <c r="G1467" s="1" t="str">
        <f>IF(B1467=0,VLOOKUP(A1467,Feuil2!$A$2:$M$1241,11,FALSE)," ")</f>
        <v xml:space="preserve"> </v>
      </c>
      <c r="H1467" s="1" t="s">
        <v>16</v>
      </c>
      <c r="I1467" s="6" t="str">
        <f>IF(B1467=0,VLOOKUP(A1467,Feuil2!$A$2:$M$1241,7,FALSE)," ")</f>
        <v xml:space="preserve"> </v>
      </c>
      <c r="J1467" s="1" t="str">
        <f>IF(B1467=0,VLOOKUP(A1467,Feuil2!$A$2:$M$1241,9,FALSE)," ")</f>
        <v xml:space="preserve"> </v>
      </c>
      <c r="K1467" s="1" t="str">
        <f>IF(B1467=0,VLOOKUP(A1467,Feuil2!$A$2:$M$1241,10,FALSE)," ")</f>
        <v xml:space="preserve"> </v>
      </c>
      <c r="L1467" s="1"/>
      <c r="M1467" s="1"/>
      <c r="N1467" s="1"/>
      <c r="O1467" s="8" t="str">
        <f>IF(B1470=0,VLOOKUP(A1470,Feuil2!$A$2:$M$1241,13,FALSE)," ")</f>
        <v xml:space="preserve"> </v>
      </c>
    </row>
    <row r="1468" spans="1:15" x14ac:dyDescent="0.3">
      <c r="A1468" s="1">
        <v>1867</v>
      </c>
      <c r="B1468" s="1">
        <v>3</v>
      </c>
      <c r="C1468" s="1" t="s">
        <v>121</v>
      </c>
      <c r="D1468" s="1" t="s">
        <v>2367</v>
      </c>
      <c r="E1468" s="5">
        <v>39392</v>
      </c>
      <c r="F1468" s="1" t="s">
        <v>17</v>
      </c>
      <c r="G1468" s="1" t="str">
        <f>IF(B1468=0,VLOOKUP(A1468,Feuil2!$A$2:$M$1241,11,FALSE)," ")</f>
        <v xml:space="preserve"> </v>
      </c>
      <c r="H1468" s="1" t="s">
        <v>16</v>
      </c>
      <c r="I1468" s="6" t="str">
        <f>IF(B1468=0,VLOOKUP(A1468,Feuil2!$A$2:$M$1241,7,FALSE)," ")</f>
        <v xml:space="preserve"> </v>
      </c>
      <c r="J1468" s="1" t="str">
        <f>IF(B1468=0,VLOOKUP(A1468,Feuil2!$A$2:$M$1241,9,FALSE)," ")</f>
        <v xml:space="preserve"> </v>
      </c>
      <c r="K1468" s="1" t="str">
        <f>IF(B1468=0,VLOOKUP(A1468,Feuil2!$A$2:$M$1241,10,FALSE)," ")</f>
        <v xml:space="preserve"> </v>
      </c>
      <c r="L1468" s="1"/>
      <c r="M1468" s="1"/>
      <c r="N1468" s="1"/>
      <c r="O1468" s="8" t="str">
        <f>IF(B1471=0,VLOOKUP(A1471,Feuil2!$A$2:$M$1241,13,FALSE)," ")</f>
        <v>04204067404001183744</v>
      </c>
    </row>
    <row r="1469" spans="1:15" x14ac:dyDescent="0.3">
      <c r="A1469" s="1">
        <v>1867</v>
      </c>
      <c r="B1469" s="1">
        <v>4</v>
      </c>
      <c r="C1469" s="1" t="s">
        <v>121</v>
      </c>
      <c r="D1469" s="1" t="s">
        <v>2613</v>
      </c>
      <c r="E1469" s="5">
        <v>40173</v>
      </c>
      <c r="F1469" s="1" t="s">
        <v>17</v>
      </c>
      <c r="G1469" s="1" t="str">
        <f>IF(B1469=0,VLOOKUP(A1469,Feuil2!$A$2:$M$1241,11,FALSE)," ")</f>
        <v xml:space="preserve"> </v>
      </c>
      <c r="H1469" s="1" t="s">
        <v>16</v>
      </c>
      <c r="I1469" s="6" t="str">
        <f>IF(B1469=0,VLOOKUP(A1469,Feuil2!$A$2:$M$1241,7,FALSE)," ")</f>
        <v xml:space="preserve"> </v>
      </c>
      <c r="J1469" s="1" t="str">
        <f>IF(B1469=0,VLOOKUP(A1469,Feuil2!$A$2:$M$1241,9,FALSE)," ")</f>
        <v xml:space="preserve"> </v>
      </c>
      <c r="K1469" s="1" t="str">
        <f>IF(B1469=0,VLOOKUP(A1469,Feuil2!$A$2:$M$1241,10,FALSE)," ")</f>
        <v xml:space="preserve"> </v>
      </c>
      <c r="L1469" s="1"/>
      <c r="M1469" s="1"/>
      <c r="N1469" s="1"/>
      <c r="O1469" s="8" t="str">
        <f>IF(B1472=0,VLOOKUP(A1472,Feuil2!$A$2:$M$1241,13,FALSE)," ")</f>
        <v xml:space="preserve"> </v>
      </c>
    </row>
    <row r="1470" spans="1:15" x14ac:dyDescent="0.3">
      <c r="A1470" s="1">
        <v>1867</v>
      </c>
      <c r="B1470" s="1">
        <v>5</v>
      </c>
      <c r="C1470" s="1" t="s">
        <v>121</v>
      </c>
      <c r="D1470" s="1" t="s">
        <v>2332</v>
      </c>
      <c r="E1470" s="5">
        <v>42290</v>
      </c>
      <c r="F1470" s="1" t="s">
        <v>17</v>
      </c>
      <c r="G1470" s="1" t="str">
        <f>IF(B1470=0,VLOOKUP(A1470,Feuil2!$A$2:$M$1241,11,FALSE)," ")</f>
        <v xml:space="preserve"> </v>
      </c>
      <c r="H1470" s="1" t="s">
        <v>16</v>
      </c>
      <c r="I1470" s="6" t="str">
        <f>IF(B1470=0,VLOOKUP(A1470,Feuil2!$A$2:$M$1241,7,FALSE)," ")</f>
        <v xml:space="preserve"> </v>
      </c>
      <c r="J1470" s="1" t="str">
        <f>IF(B1470=0,VLOOKUP(A1470,Feuil2!$A$2:$M$1241,9,FALSE)," ")</f>
        <v xml:space="preserve"> </v>
      </c>
      <c r="K1470" s="1" t="str">
        <f>IF(B1470=0,VLOOKUP(A1470,Feuil2!$A$2:$M$1241,10,FALSE)," ")</f>
        <v xml:space="preserve"> </v>
      </c>
      <c r="L1470" s="1"/>
      <c r="M1470" s="1"/>
      <c r="N1470" s="1"/>
      <c r="O1470" s="8" t="str">
        <f>IF(B1473=0,VLOOKUP(A1473,Feuil2!$A$2:$M$1241,13,FALSE)," ")</f>
        <v xml:space="preserve"> </v>
      </c>
    </row>
    <row r="1471" spans="1:15" x14ac:dyDescent="0.3">
      <c r="A1471" s="1">
        <v>1871</v>
      </c>
      <c r="B1471" s="1">
        <v>0</v>
      </c>
      <c r="C1471" s="1" t="str">
        <f>IF(B1471=0,VLOOKUP(A1471,Feuil2!$A$2:$M$1241,2,FALSE)," ")</f>
        <v>LOGHMARI</v>
      </c>
      <c r="D1471" s="1" t="str">
        <f>IF(B1471=0,VLOOKUP(A1471,Feuil2!$A$2:$M$1241,3,FALSE)," ")</f>
        <v>HICHEM</v>
      </c>
      <c r="E1471" s="5">
        <f>IF(B1471=0,VLOOKUP(A1471,Feuil2!$A$2:$M$1241,6,FALSE)," ")</f>
        <v>28783</v>
      </c>
      <c r="F1471" s="1" t="str">
        <f>IF(B1471=0,VLOOKUP(A1471,Feuil2!$A$2:$M$1241,12,FALSE)," ")</f>
        <v>H</v>
      </c>
      <c r="G1471" s="1" t="str">
        <f>IF(B1471=0,VLOOKUP(A1471,Feuil2!$A$2:$M$1241,11,FALSE)," ")</f>
        <v>M</v>
      </c>
      <c r="H1471" s="1" t="s">
        <v>16</v>
      </c>
      <c r="I1471" s="6">
        <f>IF(B1471=0,VLOOKUP(A1471,Feuil2!$A$2:$M$1241,7,FALSE)," ")</f>
        <v>5564748</v>
      </c>
      <c r="J1471" s="1" t="str">
        <f>IF(B1471=0,VLOOKUP(A1471,Feuil2!$A$2:$M$1241,9,FALSE)," ")</f>
        <v>14 Rue El Imam El Mezri</v>
      </c>
      <c r="K1471" s="1" t="str">
        <f>IF(B1471=0,VLOOKUP(A1471,Feuil2!$A$2:$M$1241,10,FALSE)," ")</f>
        <v>Msaken 4070</v>
      </c>
      <c r="L1471" s="1">
        <v>4070</v>
      </c>
      <c r="M1471" s="1"/>
      <c r="N1471" s="1"/>
      <c r="O1471" s="8" t="str">
        <f>IF(B1474=0,VLOOKUP(A1474,Feuil2!$A$2:$M$1241,13,FALSE)," ")</f>
        <v xml:space="preserve"> </v>
      </c>
    </row>
    <row r="1472" spans="1:15" x14ac:dyDescent="0.3">
      <c r="A1472" s="1">
        <v>1871</v>
      </c>
      <c r="B1472" s="1">
        <v>1</v>
      </c>
      <c r="C1472" s="1" t="s">
        <v>381</v>
      </c>
      <c r="D1472" s="1" t="s">
        <v>2367</v>
      </c>
      <c r="E1472" s="5">
        <v>30655</v>
      </c>
      <c r="F1472" s="1" t="s">
        <v>17</v>
      </c>
      <c r="G1472" s="1" t="s">
        <v>15</v>
      </c>
      <c r="H1472" s="1" t="s">
        <v>16</v>
      </c>
      <c r="I1472" s="6" t="str">
        <f>IF(B1472=0,VLOOKUP(A1472,Feuil2!$A$2:$M$1241,7,FALSE)," ")</f>
        <v xml:space="preserve"> </v>
      </c>
      <c r="J1472" s="1" t="str">
        <f>IF(B1472=0,VLOOKUP(A1472,Feuil2!$A$2:$M$1241,9,FALSE)," ")</f>
        <v xml:space="preserve"> </v>
      </c>
      <c r="K1472" s="1" t="str">
        <f>IF(B1472=0,VLOOKUP(A1472,Feuil2!$A$2:$M$1241,10,FALSE)," ")</f>
        <v xml:space="preserve"> </v>
      </c>
      <c r="L1472" s="1"/>
      <c r="M1472" s="1"/>
      <c r="N1472" s="1"/>
      <c r="O1472" s="8" t="str">
        <f>IF(B1475=0,VLOOKUP(A1475,Feuil2!$A$2:$M$1241,13,FALSE)," ")</f>
        <v>12505000580103818461</v>
      </c>
    </row>
    <row r="1473" spans="1:15" x14ac:dyDescent="0.3">
      <c r="A1473" s="1">
        <v>1871</v>
      </c>
      <c r="B1473" s="1">
        <v>2</v>
      </c>
      <c r="C1473" s="1" t="s">
        <v>199</v>
      </c>
      <c r="D1473" s="1" t="s">
        <v>2099</v>
      </c>
      <c r="E1473" s="5">
        <v>40821</v>
      </c>
      <c r="F1473" s="1" t="s">
        <v>17</v>
      </c>
      <c r="G1473" s="1" t="str">
        <f>IF(B1473=0,VLOOKUP(A1473,Feuil2!$A$2:$M$1241,11,FALSE)," ")</f>
        <v xml:space="preserve"> </v>
      </c>
      <c r="H1473" s="1" t="s">
        <v>16</v>
      </c>
      <c r="I1473" s="6" t="str">
        <f>IF(B1473=0,VLOOKUP(A1473,Feuil2!$A$2:$M$1241,7,FALSE)," ")</f>
        <v xml:space="preserve"> </v>
      </c>
      <c r="J1473" s="1" t="str">
        <f>IF(B1473=0,VLOOKUP(A1473,Feuil2!$A$2:$M$1241,9,FALSE)," ")</f>
        <v xml:space="preserve"> </v>
      </c>
      <c r="K1473" s="1" t="str">
        <f>IF(B1473=0,VLOOKUP(A1473,Feuil2!$A$2:$M$1241,10,FALSE)," ")</f>
        <v xml:space="preserve"> </v>
      </c>
      <c r="L1473" s="1"/>
      <c r="M1473" s="1"/>
      <c r="N1473" s="1"/>
      <c r="O1473" s="8" t="str">
        <f>IF(B1476=0,VLOOKUP(A1476,Feuil2!$A$2:$M$1241,13,FALSE)," ")</f>
        <v xml:space="preserve"> </v>
      </c>
    </row>
    <row r="1474" spans="1:15" x14ac:dyDescent="0.3">
      <c r="A1474" s="1">
        <v>1871</v>
      </c>
      <c r="B1474" s="1">
        <v>3</v>
      </c>
      <c r="C1474" s="1" t="s">
        <v>199</v>
      </c>
      <c r="D1474" s="1" t="s">
        <v>2613</v>
      </c>
      <c r="E1474" s="5">
        <v>41559</v>
      </c>
      <c r="F1474" s="1" t="s">
        <v>17</v>
      </c>
      <c r="G1474" s="1" t="str">
        <f>IF(B1474=0,VLOOKUP(A1474,Feuil2!$A$2:$M$1241,11,FALSE)," ")</f>
        <v xml:space="preserve"> </v>
      </c>
      <c r="H1474" s="1" t="s">
        <v>16</v>
      </c>
      <c r="I1474" s="6" t="str">
        <f>IF(B1474=0,VLOOKUP(A1474,Feuil2!$A$2:$M$1241,7,FALSE)," ")</f>
        <v xml:space="preserve"> </v>
      </c>
      <c r="J1474" s="1" t="str">
        <f>IF(B1474=0,VLOOKUP(A1474,Feuil2!$A$2:$M$1241,9,FALSE)," ")</f>
        <v xml:space="preserve"> </v>
      </c>
      <c r="K1474" s="1" t="str">
        <f>IF(B1474=0,VLOOKUP(A1474,Feuil2!$A$2:$M$1241,10,FALSE)," ")</f>
        <v xml:space="preserve"> </v>
      </c>
      <c r="L1474" s="1"/>
      <c r="M1474" s="1"/>
      <c r="N1474" s="1"/>
      <c r="O1474" s="8" t="str">
        <f>IF(B1477=0,VLOOKUP(A1477,Feuil2!$A$2:$M$1241,13,FALSE)," ")</f>
        <v xml:space="preserve"> </v>
      </c>
    </row>
    <row r="1475" spans="1:15" x14ac:dyDescent="0.3">
      <c r="A1475" s="1">
        <v>1876</v>
      </c>
      <c r="B1475" s="1">
        <v>0</v>
      </c>
      <c r="C1475" s="1" t="str">
        <f>IF(B1475=0,VLOOKUP(A1475,Feuil2!$A$2:$M$1241,2,FALSE)," ")</f>
        <v>LADHERI</v>
      </c>
      <c r="D1475" s="1" t="str">
        <f>IF(B1475=0,VLOOKUP(A1475,Feuil2!$A$2:$M$1241,3,FALSE)," ")</f>
        <v>SAMI</v>
      </c>
      <c r="E1475" s="5">
        <f>IF(B1475=0,VLOOKUP(A1475,Feuil2!$A$2:$M$1241,6,FALSE)," ")</f>
        <v>28611</v>
      </c>
      <c r="F1475" s="1" t="str">
        <f>IF(B1475=0,VLOOKUP(A1475,Feuil2!$A$2:$M$1241,12,FALSE)," ")</f>
        <v>H</v>
      </c>
      <c r="G1475" s="1" t="str">
        <f>IF(B1475=0,VLOOKUP(A1475,Feuil2!$A$2:$M$1241,11,FALSE)," ")</f>
        <v>M</v>
      </c>
      <c r="H1475" s="1" t="s">
        <v>16</v>
      </c>
      <c r="I1475" s="6">
        <f>IF(B1475=0,VLOOKUP(A1475,Feuil2!$A$2:$M$1241,7,FALSE)," ")</f>
        <v>5586302</v>
      </c>
      <c r="J1475" s="1" t="str">
        <f>IF(B1475=0,VLOOKUP(A1475,Feuil2!$A$2:$M$1241,9,FALSE)," ")</f>
        <v>37 Rue de Sfax</v>
      </c>
      <c r="K1475" s="1" t="str">
        <f>IF(B1475=0,VLOOKUP(A1475,Feuil2!$A$2:$M$1241,10,FALSE)," ")</f>
        <v>Msaken 4070</v>
      </c>
      <c r="L1475" s="1">
        <v>4070</v>
      </c>
      <c r="M1475" s="1">
        <v>40308679</v>
      </c>
      <c r="N1475" s="1"/>
      <c r="O1475" s="8" t="str">
        <f>IF(B1478=0,VLOOKUP(A1478,Feuil2!$A$2:$M$1241,13,FALSE)," ")</f>
        <v xml:space="preserve"> </v>
      </c>
    </row>
    <row r="1476" spans="1:15" x14ac:dyDescent="0.3">
      <c r="A1476" s="1">
        <v>1876</v>
      </c>
      <c r="B1476" s="1">
        <v>1</v>
      </c>
      <c r="C1476" s="1" t="s">
        <v>2728</v>
      </c>
      <c r="D1476" s="1" t="s">
        <v>2367</v>
      </c>
      <c r="E1476" s="5">
        <v>30075</v>
      </c>
      <c r="F1476" s="1" t="s">
        <v>17</v>
      </c>
      <c r="G1476" s="1" t="s">
        <v>15</v>
      </c>
      <c r="H1476" s="1" t="s">
        <v>16</v>
      </c>
      <c r="I1476" s="6" t="str">
        <f>IF(B1476=0,VLOOKUP(A1476,Feuil2!$A$2:$M$1241,7,FALSE)," ")</f>
        <v xml:space="preserve"> </v>
      </c>
      <c r="J1476" s="1" t="str">
        <f>IF(B1476=0,VLOOKUP(A1476,Feuil2!$A$2:$M$1241,9,FALSE)," ")</f>
        <v xml:space="preserve"> </v>
      </c>
      <c r="K1476" s="1" t="str">
        <f>IF(B1476=0,VLOOKUP(A1476,Feuil2!$A$2:$M$1241,10,FALSE)," ")</f>
        <v xml:space="preserve"> </v>
      </c>
      <c r="L1476" s="1"/>
      <c r="M1476" s="1"/>
      <c r="N1476" s="1"/>
      <c r="O1476" s="8" t="str">
        <f>IF(B1479=0,VLOOKUP(A1479,Feuil2!$A$2:$M$1241,13,FALSE)," ")</f>
        <v xml:space="preserve"> </v>
      </c>
    </row>
    <row r="1477" spans="1:15" x14ac:dyDescent="0.3">
      <c r="A1477" s="1">
        <v>1876</v>
      </c>
      <c r="B1477" s="1">
        <v>2</v>
      </c>
      <c r="C1477" s="1" t="s">
        <v>354</v>
      </c>
      <c r="D1477" s="1" t="s">
        <v>2447</v>
      </c>
      <c r="E1477" s="5">
        <v>40347</v>
      </c>
      <c r="F1477" s="1" t="s">
        <v>17</v>
      </c>
      <c r="G1477" s="1" t="str">
        <f>IF(B1477=0,VLOOKUP(A1477,Feuil2!$A$2:$M$1241,11,FALSE)," ")</f>
        <v xml:space="preserve"> </v>
      </c>
      <c r="H1477" s="1" t="s">
        <v>16</v>
      </c>
      <c r="I1477" s="6" t="str">
        <f>IF(B1477=0,VLOOKUP(A1477,Feuil2!$A$2:$M$1241,7,FALSE)," ")</f>
        <v xml:space="preserve"> </v>
      </c>
      <c r="J1477" s="1" t="str">
        <f>IF(B1477=0,VLOOKUP(A1477,Feuil2!$A$2:$M$1241,9,FALSE)," ")</f>
        <v xml:space="preserve"> </v>
      </c>
      <c r="K1477" s="1" t="str">
        <f>IF(B1477=0,VLOOKUP(A1477,Feuil2!$A$2:$M$1241,10,FALSE)," ")</f>
        <v xml:space="preserve"> </v>
      </c>
      <c r="L1477" s="1"/>
      <c r="M1477" s="1"/>
      <c r="N1477" s="1"/>
      <c r="O1477" s="8" t="str">
        <f>IF(B1480=0,VLOOKUP(A1480,Feuil2!$A$2:$M$1241,13,FALSE)," ")</f>
        <v>04204067404002204087</v>
      </c>
    </row>
    <row r="1478" spans="1:15" x14ac:dyDescent="0.3">
      <c r="A1478" s="1">
        <v>1876</v>
      </c>
      <c r="B1478" s="1">
        <v>3</v>
      </c>
      <c r="C1478" s="1" t="s">
        <v>354</v>
      </c>
      <c r="D1478" s="1" t="s">
        <v>2613</v>
      </c>
      <c r="E1478" s="5">
        <v>40847</v>
      </c>
      <c r="F1478" s="1" t="s">
        <v>17</v>
      </c>
      <c r="G1478" s="1" t="str">
        <f>IF(B1478=0,VLOOKUP(A1478,Feuil2!$A$2:$M$1241,11,FALSE)," ")</f>
        <v xml:space="preserve"> </v>
      </c>
      <c r="H1478" s="1" t="s">
        <v>16</v>
      </c>
      <c r="I1478" s="6" t="str">
        <f>IF(B1478=0,VLOOKUP(A1478,Feuil2!$A$2:$M$1241,7,FALSE)," ")</f>
        <v xml:space="preserve"> </v>
      </c>
      <c r="J1478" s="1" t="str">
        <f>IF(B1478=0,VLOOKUP(A1478,Feuil2!$A$2:$M$1241,9,FALSE)," ")</f>
        <v xml:space="preserve"> </v>
      </c>
      <c r="K1478" s="1" t="str">
        <f>IF(B1478=0,VLOOKUP(A1478,Feuil2!$A$2:$M$1241,10,FALSE)," ")</f>
        <v xml:space="preserve"> </v>
      </c>
      <c r="L1478" s="1"/>
      <c r="M1478" s="1"/>
      <c r="N1478" s="1"/>
      <c r="O1478" s="8" t="str">
        <f>IF(B1481=0,VLOOKUP(A1481,Feuil2!$A$2:$M$1241,13,FALSE)," ")</f>
        <v xml:space="preserve"> </v>
      </c>
    </row>
    <row r="1479" spans="1:15" x14ac:dyDescent="0.3">
      <c r="A1479" s="1">
        <v>1876</v>
      </c>
      <c r="B1479" s="1">
        <v>4</v>
      </c>
      <c r="C1479" s="1" t="s">
        <v>354</v>
      </c>
      <c r="D1479" s="1" t="s">
        <v>2347</v>
      </c>
      <c r="E1479" s="5">
        <v>41778</v>
      </c>
      <c r="F1479" s="1" t="s">
        <v>506</v>
      </c>
      <c r="G1479" s="1" t="str">
        <f>IF(B1479=0,VLOOKUP(A1479,Feuil2!$A$2:$M$1241,11,FALSE)," ")</f>
        <v xml:space="preserve"> </v>
      </c>
      <c r="H1479" s="1" t="s">
        <v>16</v>
      </c>
      <c r="I1479" s="6" t="str">
        <f>IF(B1479=0,VLOOKUP(A1479,Feuil2!$A$2:$M$1241,7,FALSE)," ")</f>
        <v xml:space="preserve"> </v>
      </c>
      <c r="J1479" s="1" t="str">
        <f>IF(B1479=0,VLOOKUP(A1479,Feuil2!$A$2:$M$1241,9,FALSE)," ")</f>
        <v xml:space="preserve"> </v>
      </c>
      <c r="K1479" s="1" t="str">
        <f>IF(B1479=0,VLOOKUP(A1479,Feuil2!$A$2:$M$1241,10,FALSE)," ")</f>
        <v xml:space="preserve"> </v>
      </c>
      <c r="L1479" s="1"/>
      <c r="M1479" s="1"/>
      <c r="N1479" s="1"/>
      <c r="O1479" s="8" t="str">
        <f>IF(B1482=0,VLOOKUP(A1482,Feuil2!$A$2:$M$1241,13,FALSE)," ")</f>
        <v xml:space="preserve"> </v>
      </c>
    </row>
    <row r="1480" spans="1:15" x14ac:dyDescent="0.3">
      <c r="A1480" s="1">
        <v>1877</v>
      </c>
      <c r="B1480" s="1">
        <v>0</v>
      </c>
      <c r="C1480" s="1" t="str">
        <f>IF(B1480=0,VLOOKUP(A1480,Feuil2!$A$2:$M$1241,2,FALSE)," ")</f>
        <v>SOUSSI</v>
      </c>
      <c r="D1480" s="1" t="str">
        <f>IF(B1480=0,VLOOKUP(A1480,Feuil2!$A$2:$M$1241,3,FALSE)," ")</f>
        <v>MAHER</v>
      </c>
      <c r="E1480" s="5">
        <f>IF(B1480=0,VLOOKUP(A1480,Feuil2!$A$2:$M$1241,6,FALSE)," ")</f>
        <v>29504</v>
      </c>
      <c r="F1480" s="1" t="str">
        <f>IF(B1480=0,VLOOKUP(A1480,Feuil2!$A$2:$M$1241,12,FALSE)," ")</f>
        <v>H</v>
      </c>
      <c r="G1480" s="1" t="str">
        <f>IF(B1480=0,VLOOKUP(A1480,Feuil2!$A$2:$M$1241,11,FALSE)," ")</f>
        <v>M</v>
      </c>
      <c r="H1480" s="1" t="s">
        <v>16</v>
      </c>
      <c r="I1480" s="6">
        <f>IF(B1480=0,VLOOKUP(A1480,Feuil2!$A$2:$M$1241,7,FALSE)," ")</f>
        <v>5582729</v>
      </c>
      <c r="J1480" s="1" t="str">
        <f>IF(B1480=0,VLOOKUP(A1480,Feuil2!$A$2:$M$1241,9,FALSE)," ")</f>
        <v>Rue Tahar Haddad</v>
      </c>
      <c r="K1480" s="1" t="str">
        <f>IF(B1480=0,VLOOKUP(A1480,Feuil2!$A$2:$M$1241,10,FALSE)," ")</f>
        <v>Msaken 4070</v>
      </c>
      <c r="L1480" s="1">
        <v>4070</v>
      </c>
      <c r="M1480" s="1">
        <v>23859638</v>
      </c>
      <c r="N1480" s="1"/>
      <c r="O1480" s="8" t="str">
        <f>IF(B1483=0,VLOOKUP(A1483,Feuil2!$A$2:$M$1241,13,FALSE)," ")</f>
        <v xml:space="preserve"> </v>
      </c>
    </row>
    <row r="1481" spans="1:15" x14ac:dyDescent="0.3">
      <c r="A1481" s="1">
        <v>1877</v>
      </c>
      <c r="B1481" s="1">
        <v>1</v>
      </c>
      <c r="C1481" s="1" t="s">
        <v>614</v>
      </c>
      <c r="D1481" s="1" t="s">
        <v>2614</v>
      </c>
      <c r="E1481" s="5">
        <v>31323</v>
      </c>
      <c r="F1481" s="1" t="s">
        <v>17</v>
      </c>
      <c r="G1481" s="1" t="s">
        <v>15</v>
      </c>
      <c r="H1481" s="1" t="s">
        <v>16</v>
      </c>
      <c r="I1481" s="6" t="str">
        <f>IF(B1481=0,VLOOKUP(A1481,Feuil2!$A$2:$M$1241,7,FALSE)," ")</f>
        <v xml:space="preserve"> </v>
      </c>
      <c r="J1481" s="1" t="str">
        <f>IF(B1481=0,VLOOKUP(A1481,Feuil2!$A$2:$M$1241,9,FALSE)," ")</f>
        <v xml:space="preserve"> </v>
      </c>
      <c r="K1481" s="1" t="str">
        <f>IF(B1481=0,VLOOKUP(A1481,Feuil2!$A$2:$M$1241,10,FALSE)," ")</f>
        <v xml:space="preserve"> </v>
      </c>
      <c r="L1481" s="1"/>
      <c r="M1481" s="1"/>
      <c r="N1481" s="1"/>
      <c r="O1481" s="8" t="str">
        <f>IF(B1484=0,VLOOKUP(A1484,Feuil2!$A$2:$M$1241,13,FALSE)," ")</f>
        <v xml:space="preserve"> </v>
      </c>
    </row>
    <row r="1482" spans="1:15" x14ac:dyDescent="0.3">
      <c r="A1482" s="1">
        <v>1877</v>
      </c>
      <c r="B1482" s="1">
        <v>2</v>
      </c>
      <c r="C1482" s="1" t="s">
        <v>275</v>
      </c>
      <c r="D1482" s="1" t="s">
        <v>2530</v>
      </c>
      <c r="E1482" s="5">
        <v>40491</v>
      </c>
      <c r="F1482" s="1" t="s">
        <v>506</v>
      </c>
      <c r="G1482" s="1" t="str">
        <f>IF(B1482=0,VLOOKUP(A1482,Feuil2!$A$2:$M$1241,11,FALSE)," ")</f>
        <v xml:space="preserve"> </v>
      </c>
      <c r="H1482" s="1" t="s">
        <v>16</v>
      </c>
      <c r="I1482" s="6" t="str">
        <f>IF(B1482=0,VLOOKUP(A1482,Feuil2!$A$2:$M$1241,7,FALSE)," ")</f>
        <v xml:space="preserve"> </v>
      </c>
      <c r="J1482" s="1" t="str">
        <f>IF(B1482=0,VLOOKUP(A1482,Feuil2!$A$2:$M$1241,9,FALSE)," ")</f>
        <v xml:space="preserve"> </v>
      </c>
      <c r="K1482" s="1" t="str">
        <f>IF(B1482=0,VLOOKUP(A1482,Feuil2!$A$2:$M$1241,10,FALSE)," ")</f>
        <v xml:space="preserve"> </v>
      </c>
      <c r="L1482" s="1"/>
      <c r="M1482" s="1"/>
      <c r="N1482" s="1"/>
      <c r="O1482" s="8" t="str">
        <f>IF(B1485=0,VLOOKUP(A1485,Feuil2!$A$2:$M$1241,13,FALSE)," ")</f>
        <v>20009090001148364675</v>
      </c>
    </row>
    <row r="1483" spans="1:15" x14ac:dyDescent="0.3">
      <c r="A1483" s="1">
        <v>1877</v>
      </c>
      <c r="B1483" s="1">
        <v>3</v>
      </c>
      <c r="C1483" s="1" t="s">
        <v>275</v>
      </c>
      <c r="D1483" s="1" t="s">
        <v>2422</v>
      </c>
      <c r="E1483" s="5">
        <v>41489</v>
      </c>
      <c r="F1483" s="1" t="s">
        <v>17</v>
      </c>
      <c r="G1483" s="1" t="str">
        <f>IF(B1483=0,VLOOKUP(A1483,Feuil2!$A$2:$M$1241,11,FALSE)," ")</f>
        <v xml:space="preserve"> </v>
      </c>
      <c r="H1483" s="1" t="s">
        <v>16</v>
      </c>
      <c r="I1483" s="6" t="str">
        <f>IF(B1483=0,VLOOKUP(A1483,Feuil2!$A$2:$M$1241,7,FALSE)," ")</f>
        <v xml:space="preserve"> </v>
      </c>
      <c r="J1483" s="1" t="str">
        <f>IF(B1483=0,VLOOKUP(A1483,Feuil2!$A$2:$M$1241,9,FALSE)," ")</f>
        <v xml:space="preserve"> </v>
      </c>
      <c r="K1483" s="1" t="str">
        <f>IF(B1483=0,VLOOKUP(A1483,Feuil2!$A$2:$M$1241,10,FALSE)," ")</f>
        <v xml:space="preserve"> </v>
      </c>
      <c r="L1483" s="1"/>
      <c r="M1483" s="1"/>
      <c r="N1483" s="1"/>
      <c r="O1483" s="8" t="str">
        <f>IF(B1486=0,VLOOKUP(A1486,Feuil2!$A$2:$M$1241,13,FALSE)," ")</f>
        <v xml:space="preserve"> </v>
      </c>
    </row>
    <row r="1484" spans="1:15" x14ac:dyDescent="0.3">
      <c r="A1484" s="1">
        <v>1877</v>
      </c>
      <c r="B1484" s="1">
        <v>4</v>
      </c>
      <c r="C1484" s="1" t="s">
        <v>275</v>
      </c>
      <c r="D1484" s="1" t="s">
        <v>2465</v>
      </c>
      <c r="E1484" s="5">
        <v>43621</v>
      </c>
      <c r="F1484" s="1" t="s">
        <v>506</v>
      </c>
      <c r="G1484" s="1" t="str">
        <f>IF(B1484=0,VLOOKUP(A1484,Feuil2!$A$2:$M$1241,11,FALSE)," ")</f>
        <v xml:space="preserve"> </v>
      </c>
      <c r="H1484" s="1" t="s">
        <v>16</v>
      </c>
      <c r="I1484" s="6" t="str">
        <f>IF(B1484=0,VLOOKUP(A1484,Feuil2!$A$2:$M$1241,7,FALSE)," ")</f>
        <v xml:space="preserve"> </v>
      </c>
      <c r="J1484" s="1" t="str">
        <f>IF(B1484=0,VLOOKUP(A1484,Feuil2!$A$2:$M$1241,9,FALSE)," ")</f>
        <v xml:space="preserve"> </v>
      </c>
      <c r="K1484" s="1" t="str">
        <f>IF(B1484=0,VLOOKUP(A1484,Feuil2!$A$2:$M$1241,10,FALSE)," ")</f>
        <v xml:space="preserve"> </v>
      </c>
      <c r="L1484" s="1"/>
      <c r="M1484" s="1"/>
      <c r="N1484" s="1"/>
      <c r="O1484" s="8" t="str">
        <f>IF(B1487=0,VLOOKUP(A1487,Feuil2!$A$2:$M$1241,13,FALSE)," ")</f>
        <v xml:space="preserve"> </v>
      </c>
    </row>
    <row r="1485" spans="1:15" x14ac:dyDescent="0.3">
      <c r="A1485" s="1">
        <v>1884</v>
      </c>
      <c r="B1485" s="1">
        <v>0</v>
      </c>
      <c r="C1485" s="1" t="str">
        <f>IF(B1485=0,VLOOKUP(A1485,Feuil2!$A$2:$M$1241,2,FALSE)," ")</f>
        <v>BELKHIRIA</v>
      </c>
      <c r="D1485" s="1" t="str">
        <f>IF(B1485=0,VLOOKUP(A1485,Feuil2!$A$2:$M$1241,3,FALSE)," ")</f>
        <v>HAYKEL</v>
      </c>
      <c r="E1485" s="5">
        <f>IF(B1485=0,VLOOKUP(A1485,Feuil2!$A$2:$M$1241,6,FALSE)," ")</f>
        <v>30730</v>
      </c>
      <c r="F1485" s="1" t="str">
        <f>IF(B1485=0,VLOOKUP(A1485,Feuil2!$A$2:$M$1241,12,FALSE)," ")</f>
        <v>H</v>
      </c>
      <c r="G1485" s="1" t="str">
        <f>IF(B1485=0,VLOOKUP(A1485,Feuil2!$A$2:$M$1241,11,FALSE)," ")</f>
        <v>M</v>
      </c>
      <c r="H1485" s="1" t="s">
        <v>16</v>
      </c>
      <c r="I1485" s="6">
        <f>IF(B1485=0,VLOOKUP(A1485,Feuil2!$A$2:$M$1241,7,FALSE)," ")</f>
        <v>8460516</v>
      </c>
      <c r="J1485" s="1" t="str">
        <f>IF(B1485=0,VLOOKUP(A1485,Feuil2!$A$2:$M$1241,9,FALSE)," ")</f>
        <v>46 Rue 15 Octobre</v>
      </c>
      <c r="K1485" s="1" t="str">
        <f>IF(B1485=0,VLOOKUP(A1485,Feuil2!$A$2:$M$1241,10,FALSE)," ")</f>
        <v>CitÃ© Ezzouhour</v>
      </c>
      <c r="L1485" s="1"/>
      <c r="M1485" s="1">
        <v>25346745</v>
      </c>
      <c r="N1485" s="1"/>
      <c r="O1485" s="8" t="str">
        <f>IF(B1488=0,VLOOKUP(A1488,Feuil2!$A$2:$M$1241,13,FALSE)," ")</f>
        <v xml:space="preserve"> </v>
      </c>
    </row>
    <row r="1486" spans="1:15" x14ac:dyDescent="0.3">
      <c r="A1486" s="1">
        <v>1884</v>
      </c>
      <c r="B1486" s="1">
        <v>1</v>
      </c>
      <c r="C1486" s="1" t="s">
        <v>2729</v>
      </c>
      <c r="D1486" s="1" t="s">
        <v>2730</v>
      </c>
      <c r="E1486" s="5">
        <v>31905</v>
      </c>
      <c r="F1486" s="1" t="s">
        <v>17</v>
      </c>
      <c r="G1486" s="1" t="s">
        <v>15</v>
      </c>
      <c r="H1486" s="1" t="s">
        <v>16</v>
      </c>
      <c r="I1486" s="6" t="str">
        <f>IF(B1486=0,VLOOKUP(A1486,Feuil2!$A$2:$M$1241,7,FALSE)," ")</f>
        <v xml:space="preserve"> </v>
      </c>
      <c r="J1486" s="1" t="str">
        <f>IF(B1486=0,VLOOKUP(A1486,Feuil2!$A$2:$M$1241,9,FALSE)," ")</f>
        <v xml:space="preserve"> </v>
      </c>
      <c r="K1486" s="1" t="str">
        <f>IF(B1486=0,VLOOKUP(A1486,Feuil2!$A$2:$M$1241,10,FALSE)," ")</f>
        <v xml:space="preserve"> </v>
      </c>
      <c r="L1486" s="1"/>
      <c r="M1486" s="1"/>
      <c r="N1486" s="1"/>
      <c r="O1486" s="8" t="str">
        <f>IF(B1489=0,VLOOKUP(A1489,Feuil2!$A$2:$M$1241,13,FALSE)," ")</f>
        <v xml:space="preserve"> </v>
      </c>
    </row>
    <row r="1487" spans="1:15" x14ac:dyDescent="0.3">
      <c r="A1487" s="1">
        <v>1884</v>
      </c>
      <c r="B1487" s="1">
        <v>2</v>
      </c>
      <c r="C1487" s="1" t="s">
        <v>1821</v>
      </c>
      <c r="D1487" s="1" t="s">
        <v>2731</v>
      </c>
      <c r="E1487" s="5">
        <v>41041</v>
      </c>
      <c r="F1487" s="1" t="s">
        <v>506</v>
      </c>
      <c r="G1487" s="1" t="str">
        <f>IF(B1487=0,VLOOKUP(A1487,Feuil2!$A$2:$M$1241,11,FALSE)," ")</f>
        <v xml:space="preserve"> </v>
      </c>
      <c r="H1487" s="1" t="s">
        <v>16</v>
      </c>
      <c r="I1487" s="6" t="str">
        <f>IF(B1487=0,VLOOKUP(A1487,Feuil2!$A$2:$M$1241,7,FALSE)," ")</f>
        <v xml:space="preserve"> </v>
      </c>
      <c r="J1487" s="1" t="str">
        <f>IF(B1487=0,VLOOKUP(A1487,Feuil2!$A$2:$M$1241,9,FALSE)," ")</f>
        <v xml:space="preserve"> </v>
      </c>
      <c r="K1487" s="1" t="str">
        <f>IF(B1487=0,VLOOKUP(A1487,Feuil2!$A$2:$M$1241,10,FALSE)," ")</f>
        <v xml:space="preserve"> </v>
      </c>
      <c r="L1487" s="1"/>
      <c r="M1487" s="1"/>
      <c r="N1487" s="1"/>
      <c r="O1487" s="8" t="str">
        <f>IF(B1490=0,VLOOKUP(A1490,Feuil2!$A$2:$M$1241,13,FALSE)," ")</f>
        <v>04204067404002177897</v>
      </c>
    </row>
    <row r="1488" spans="1:15" x14ac:dyDescent="0.3">
      <c r="A1488" s="1">
        <v>1884</v>
      </c>
      <c r="B1488" s="1">
        <v>3</v>
      </c>
      <c r="C1488" s="1" t="s">
        <v>1821</v>
      </c>
      <c r="D1488" s="1" t="s">
        <v>2677</v>
      </c>
      <c r="E1488" s="5">
        <v>41705</v>
      </c>
      <c r="F1488" s="1" t="s">
        <v>17</v>
      </c>
      <c r="G1488" s="1" t="str">
        <f>IF(B1488=0,VLOOKUP(A1488,Feuil2!$A$2:$M$1241,11,FALSE)," ")</f>
        <v xml:space="preserve"> </v>
      </c>
      <c r="H1488" s="1" t="s">
        <v>16</v>
      </c>
      <c r="I1488" s="6" t="str">
        <f>IF(B1488=0,VLOOKUP(A1488,Feuil2!$A$2:$M$1241,7,FALSE)," ")</f>
        <v xml:space="preserve"> </v>
      </c>
      <c r="J1488" s="1" t="str">
        <f>IF(B1488=0,VLOOKUP(A1488,Feuil2!$A$2:$M$1241,9,FALSE)," ")</f>
        <v xml:space="preserve"> </v>
      </c>
      <c r="K1488" s="1" t="str">
        <f>IF(B1488=0,VLOOKUP(A1488,Feuil2!$A$2:$M$1241,10,FALSE)," ")</f>
        <v xml:space="preserve"> </v>
      </c>
      <c r="L1488" s="1"/>
      <c r="M1488" s="1"/>
      <c r="N1488" s="1"/>
      <c r="O1488" s="8" t="str">
        <f>IF(B1491=0,VLOOKUP(A1491,Feuil2!$A$2:$M$1241,13,FALSE)," ")</f>
        <v xml:space="preserve"> </v>
      </c>
    </row>
    <row r="1489" spans="1:15" x14ac:dyDescent="0.3">
      <c r="A1489" s="1">
        <v>1884</v>
      </c>
      <c r="B1489" s="1">
        <v>4</v>
      </c>
      <c r="C1489" s="1" t="s">
        <v>1821</v>
      </c>
      <c r="D1489" s="1" t="s">
        <v>2422</v>
      </c>
      <c r="E1489" s="5">
        <v>41705</v>
      </c>
      <c r="F1489" s="1" t="s">
        <v>17</v>
      </c>
      <c r="G1489" s="1" t="str">
        <f>IF(B1489=0,VLOOKUP(A1489,Feuil2!$A$2:$M$1241,11,FALSE)," ")</f>
        <v xml:space="preserve"> </v>
      </c>
      <c r="H1489" s="1" t="s">
        <v>16</v>
      </c>
      <c r="I1489" s="6" t="str">
        <f>IF(B1489=0,VLOOKUP(A1489,Feuil2!$A$2:$M$1241,7,FALSE)," ")</f>
        <v xml:space="preserve"> </v>
      </c>
      <c r="J1489" s="1" t="str">
        <f>IF(B1489=0,VLOOKUP(A1489,Feuil2!$A$2:$M$1241,9,FALSE)," ")</f>
        <v xml:space="preserve"> </v>
      </c>
      <c r="K1489" s="1" t="str">
        <f>IF(B1489=0,VLOOKUP(A1489,Feuil2!$A$2:$M$1241,10,FALSE)," ")</f>
        <v xml:space="preserve"> </v>
      </c>
      <c r="L1489" s="1"/>
      <c r="M1489" s="1"/>
      <c r="N1489" s="1"/>
      <c r="O1489" s="8" t="str">
        <f>IF(B1492=0,VLOOKUP(A1492,Feuil2!$A$2:$M$1241,13,FALSE)," ")</f>
        <v xml:space="preserve"> </v>
      </c>
    </row>
    <row r="1490" spans="1:15" x14ac:dyDescent="0.3">
      <c r="A1490" s="1">
        <v>1887</v>
      </c>
      <c r="B1490" s="1">
        <v>0</v>
      </c>
      <c r="C1490" s="1" t="str">
        <f>IF(B1490=0,VLOOKUP(A1490,Feuil2!$A$2:$M$1241,2,FALSE)," ")</f>
        <v>BEN SALAH</v>
      </c>
      <c r="D1490" s="1" t="str">
        <f>IF(B1490=0,VLOOKUP(A1490,Feuil2!$A$2:$M$1241,3,FALSE)," ")</f>
        <v>HATEM</v>
      </c>
      <c r="E1490" s="5">
        <f>IF(B1490=0,VLOOKUP(A1490,Feuil2!$A$2:$M$1241,6,FALSE)," ")</f>
        <v>30161</v>
      </c>
      <c r="F1490" s="1" t="str">
        <f>IF(B1490=0,VLOOKUP(A1490,Feuil2!$A$2:$M$1241,12,FALSE)," ")</f>
        <v>H</v>
      </c>
      <c r="G1490" s="1" t="str">
        <f>IF(B1490=0,VLOOKUP(A1490,Feuil2!$A$2:$M$1241,11,FALSE)," ")</f>
        <v>M</v>
      </c>
      <c r="H1490" s="1" t="s">
        <v>16</v>
      </c>
      <c r="I1490" s="6">
        <f>IF(B1490=0,VLOOKUP(A1490,Feuil2!$A$2:$M$1241,7,FALSE)," ")</f>
        <v>8442074</v>
      </c>
      <c r="J1490" s="1" t="str">
        <f>IF(B1490=0,VLOOKUP(A1490,Feuil2!$A$2:$M$1241,9,FALSE)," ")</f>
        <v>NULL</v>
      </c>
      <c r="K1490" s="1" t="str">
        <f>IF(B1490=0,VLOOKUP(A1490,Feuil2!$A$2:$M$1241,10,FALSE)," ")</f>
        <v>Knaies 4014</v>
      </c>
      <c r="L1490" s="1">
        <v>4014</v>
      </c>
      <c r="M1490" s="1">
        <v>23050940</v>
      </c>
      <c r="N1490" s="1"/>
      <c r="O1490" s="8" t="str">
        <f>IF(B1493=0,VLOOKUP(A1493,Feuil2!$A$2:$M$1241,13,FALSE)," ")</f>
        <v xml:space="preserve"> </v>
      </c>
    </row>
    <row r="1491" spans="1:15" x14ac:dyDescent="0.3">
      <c r="A1491" s="1">
        <v>1887</v>
      </c>
      <c r="B1491" s="1">
        <v>1</v>
      </c>
      <c r="C1491" s="1" t="s">
        <v>866</v>
      </c>
      <c r="D1491" s="1" t="s">
        <v>2367</v>
      </c>
      <c r="E1491" s="5">
        <v>33820</v>
      </c>
      <c r="F1491" s="1" t="s">
        <v>17</v>
      </c>
      <c r="G1491" s="1" t="s">
        <v>15</v>
      </c>
      <c r="H1491" s="1" t="s">
        <v>16</v>
      </c>
      <c r="I1491" s="6" t="str">
        <f>IF(B1491=0,VLOOKUP(A1491,Feuil2!$A$2:$M$1241,7,FALSE)," ")</f>
        <v xml:space="preserve"> </v>
      </c>
      <c r="J1491" s="1" t="str">
        <f>IF(B1491=0,VLOOKUP(A1491,Feuil2!$A$2:$M$1241,9,FALSE)," ")</f>
        <v xml:space="preserve"> </v>
      </c>
      <c r="K1491" s="1" t="str">
        <f>IF(B1491=0,VLOOKUP(A1491,Feuil2!$A$2:$M$1241,10,FALSE)," ")</f>
        <v xml:space="preserve"> </v>
      </c>
      <c r="L1491" s="1"/>
      <c r="M1491" s="1"/>
      <c r="N1491" s="1"/>
      <c r="O1491" s="8" t="str">
        <f>IF(B1494=0,VLOOKUP(A1494,Feuil2!$A$2:$M$1241,13,FALSE)," ")</f>
        <v xml:space="preserve"> </v>
      </c>
    </row>
    <row r="1492" spans="1:15" x14ac:dyDescent="0.3">
      <c r="A1492" s="1">
        <v>1887</v>
      </c>
      <c r="B1492" s="1">
        <v>2</v>
      </c>
      <c r="C1492" s="1" t="s">
        <v>1826</v>
      </c>
      <c r="D1492" s="1" t="s">
        <v>125</v>
      </c>
      <c r="E1492" s="5">
        <v>41816</v>
      </c>
      <c r="F1492" s="1" t="s">
        <v>506</v>
      </c>
      <c r="G1492" s="1" t="str">
        <f>IF(B1492=0,VLOOKUP(A1492,Feuil2!$A$2:$M$1241,11,FALSE)," ")</f>
        <v xml:space="preserve"> </v>
      </c>
      <c r="H1492" s="1" t="s">
        <v>16</v>
      </c>
      <c r="I1492" s="6" t="str">
        <f>IF(B1492=0,VLOOKUP(A1492,Feuil2!$A$2:$M$1241,7,FALSE)," ")</f>
        <v xml:space="preserve"> </v>
      </c>
      <c r="J1492" s="1" t="str">
        <f>IF(B1492=0,VLOOKUP(A1492,Feuil2!$A$2:$M$1241,9,FALSE)," ")</f>
        <v xml:space="preserve"> </v>
      </c>
      <c r="K1492" s="1" t="str">
        <f>IF(B1492=0,VLOOKUP(A1492,Feuil2!$A$2:$M$1241,10,FALSE)," ")</f>
        <v xml:space="preserve"> </v>
      </c>
      <c r="L1492" s="1"/>
      <c r="M1492" s="1"/>
      <c r="N1492" s="1"/>
      <c r="O1492" s="8" t="str">
        <f>IF(B1495=0,VLOOKUP(A1495,Feuil2!$A$2:$M$1241,13,FALSE)," ")</f>
        <v>12033000000209881779</v>
      </c>
    </row>
    <row r="1493" spans="1:15" x14ac:dyDescent="0.3">
      <c r="A1493" s="1">
        <v>1887</v>
      </c>
      <c r="B1493" s="1">
        <v>3</v>
      </c>
      <c r="C1493" s="1" t="s">
        <v>1826</v>
      </c>
      <c r="D1493" s="1" t="s">
        <v>2732</v>
      </c>
      <c r="E1493" s="5">
        <v>43429</v>
      </c>
      <c r="F1493" s="1" t="s">
        <v>17</v>
      </c>
      <c r="G1493" s="1" t="str">
        <f>IF(B1493=0,VLOOKUP(A1493,Feuil2!$A$2:$M$1241,11,FALSE)," ")</f>
        <v xml:space="preserve"> </v>
      </c>
      <c r="H1493" s="1" t="s">
        <v>16</v>
      </c>
      <c r="I1493" s="6" t="str">
        <f>IF(B1493=0,VLOOKUP(A1493,Feuil2!$A$2:$M$1241,7,FALSE)," ")</f>
        <v xml:space="preserve"> </v>
      </c>
      <c r="J1493" s="1" t="str">
        <f>IF(B1493=0,VLOOKUP(A1493,Feuil2!$A$2:$M$1241,9,FALSE)," ")</f>
        <v xml:space="preserve"> </v>
      </c>
      <c r="K1493" s="1" t="str">
        <f>IF(B1493=0,VLOOKUP(A1493,Feuil2!$A$2:$M$1241,10,FALSE)," ")</f>
        <v xml:space="preserve"> </v>
      </c>
      <c r="L1493" s="1"/>
      <c r="M1493" s="1"/>
      <c r="N1493" s="1"/>
      <c r="O1493" s="8" t="str">
        <f>IF(B1496=0,VLOOKUP(A1496,Feuil2!$A$2:$M$1241,13,FALSE)," ")</f>
        <v xml:space="preserve"> </v>
      </c>
    </row>
    <row r="1494" spans="1:15" x14ac:dyDescent="0.3">
      <c r="A1494" s="1">
        <v>1887</v>
      </c>
      <c r="B1494" s="1">
        <v>4</v>
      </c>
      <c r="C1494" s="1" t="s">
        <v>1826</v>
      </c>
      <c r="D1494" s="1" t="s">
        <v>149</v>
      </c>
      <c r="E1494" s="5">
        <v>44053</v>
      </c>
      <c r="F1494" s="1" t="s">
        <v>506</v>
      </c>
      <c r="G1494" s="1" t="str">
        <f>IF(B1494=0,VLOOKUP(A1494,Feuil2!$A$2:$M$1241,11,FALSE)," ")</f>
        <v xml:space="preserve"> </v>
      </c>
      <c r="H1494" s="1" t="s">
        <v>16</v>
      </c>
      <c r="I1494" s="6" t="str">
        <f>IF(B1494=0,VLOOKUP(A1494,Feuil2!$A$2:$M$1241,7,FALSE)," ")</f>
        <v xml:space="preserve"> </v>
      </c>
      <c r="J1494" s="1" t="str">
        <f>IF(B1494=0,VLOOKUP(A1494,Feuil2!$A$2:$M$1241,9,FALSE)," ")</f>
        <v xml:space="preserve"> </v>
      </c>
      <c r="K1494" s="1" t="str">
        <f>IF(B1494=0,VLOOKUP(A1494,Feuil2!$A$2:$M$1241,10,FALSE)," ")</f>
        <v xml:space="preserve"> </v>
      </c>
      <c r="L1494" s="1"/>
      <c r="M1494" s="1"/>
      <c r="N1494" s="1"/>
      <c r="O1494" s="8" t="str">
        <f>IF(B1497=0,VLOOKUP(A1497,Feuil2!$A$2:$M$1241,13,FALSE)," ")</f>
        <v xml:space="preserve"> </v>
      </c>
    </row>
    <row r="1495" spans="1:15" x14ac:dyDescent="0.3">
      <c r="A1495" s="1">
        <v>1896</v>
      </c>
      <c r="B1495" s="1">
        <v>0</v>
      </c>
      <c r="C1495" s="1" t="str">
        <f>IF(B1495=0,VLOOKUP(A1495,Feuil2!$A$2:$M$1241,2,FALSE)," ")</f>
        <v>LAJIMI</v>
      </c>
      <c r="D1495" s="1" t="str">
        <f>IF(B1495=0,VLOOKUP(A1495,Feuil2!$A$2:$M$1241,3,FALSE)," ")</f>
        <v>ABDELKADER</v>
      </c>
      <c r="E1495" s="5">
        <f>IF(B1495=0,VLOOKUP(A1495,Feuil2!$A$2:$M$1241,6,FALSE)," ")</f>
        <v>28375</v>
      </c>
      <c r="F1495" s="1" t="str">
        <f>IF(B1495=0,VLOOKUP(A1495,Feuil2!$A$2:$M$1241,12,FALSE)," ")</f>
        <v>H</v>
      </c>
      <c r="G1495" s="1" t="str">
        <f>IF(B1495=0,VLOOKUP(A1495,Feuil2!$A$2:$M$1241,11,FALSE)," ")</f>
        <v>M</v>
      </c>
      <c r="H1495" s="1" t="s">
        <v>16</v>
      </c>
      <c r="I1495" s="6">
        <f>IF(B1495=0,VLOOKUP(A1495,Feuil2!$A$2:$M$1241,7,FALSE)," ")</f>
        <v>5562668</v>
      </c>
      <c r="J1495" s="1" t="str">
        <f>IF(B1495=0,VLOOKUP(A1495,Feuil2!$A$2:$M$1241,9,FALSE)," ")</f>
        <v>8,R Kaab Ibn Zouhaier</v>
      </c>
      <c r="K1495" s="1" t="str">
        <f>IF(B1495=0,VLOOKUP(A1495,Feuil2!$A$2:$M$1241,10,FALSE)," ")</f>
        <v>CitÃ© Erriadh</v>
      </c>
      <c r="L1495" s="1"/>
      <c r="M1495" s="1">
        <v>97259386</v>
      </c>
      <c r="N1495" s="1"/>
      <c r="O1495" s="8" t="str">
        <f>IF(B1498=0,VLOOKUP(A1498,Feuil2!$A$2:$M$1241,13,FALSE)," ")</f>
        <v xml:space="preserve"> </v>
      </c>
    </row>
    <row r="1496" spans="1:15" x14ac:dyDescent="0.3">
      <c r="A1496" s="1">
        <v>1896</v>
      </c>
      <c r="B1496" s="1">
        <v>1</v>
      </c>
      <c r="C1496" s="1" t="s">
        <v>2733</v>
      </c>
      <c r="D1496" s="1" t="s">
        <v>2552</v>
      </c>
      <c r="E1496" s="5">
        <v>30808</v>
      </c>
      <c r="F1496" s="1" t="s">
        <v>17</v>
      </c>
      <c r="G1496" s="1" t="s">
        <v>15</v>
      </c>
      <c r="H1496" s="1" t="s">
        <v>16</v>
      </c>
      <c r="I1496" s="6" t="str">
        <f>IF(B1496=0,VLOOKUP(A1496,Feuil2!$A$2:$M$1241,7,FALSE)," ")</f>
        <v xml:space="preserve"> </v>
      </c>
      <c r="J1496" s="1" t="str">
        <f>IF(B1496=0,VLOOKUP(A1496,Feuil2!$A$2:$M$1241,9,FALSE)," ")</f>
        <v xml:space="preserve"> </v>
      </c>
      <c r="K1496" s="1" t="str">
        <f>IF(B1496=0,VLOOKUP(A1496,Feuil2!$A$2:$M$1241,10,FALSE)," ")</f>
        <v xml:space="preserve"> </v>
      </c>
      <c r="L1496" s="1"/>
      <c r="M1496" s="1"/>
      <c r="N1496" s="1"/>
      <c r="O1496" s="8" t="str">
        <f>IF(B1499=0,VLOOKUP(A1499,Feuil2!$A$2:$M$1241,13,FALSE)," ")</f>
        <v>10506040207118978833</v>
      </c>
    </row>
    <row r="1497" spans="1:15" x14ac:dyDescent="0.3">
      <c r="A1497" s="1">
        <v>1896</v>
      </c>
      <c r="B1497" s="1">
        <v>2</v>
      </c>
      <c r="C1497" s="1" t="s">
        <v>295</v>
      </c>
      <c r="D1497" s="1" t="s">
        <v>2288</v>
      </c>
      <c r="E1497" s="5">
        <v>39977</v>
      </c>
      <c r="F1497" s="1" t="s">
        <v>506</v>
      </c>
      <c r="G1497" s="1" t="str">
        <f>IF(B1497=0,VLOOKUP(A1497,Feuil2!$A$2:$M$1241,11,FALSE)," ")</f>
        <v xml:space="preserve"> </v>
      </c>
      <c r="H1497" s="1" t="s">
        <v>16</v>
      </c>
      <c r="I1497" s="6" t="str">
        <f>IF(B1497=0,VLOOKUP(A1497,Feuil2!$A$2:$M$1241,7,FALSE)," ")</f>
        <v xml:space="preserve"> </v>
      </c>
      <c r="J1497" s="1" t="str">
        <f>IF(B1497=0,VLOOKUP(A1497,Feuil2!$A$2:$M$1241,9,FALSE)," ")</f>
        <v xml:space="preserve"> </v>
      </c>
      <c r="K1497" s="1" t="str">
        <f>IF(B1497=0,VLOOKUP(A1497,Feuil2!$A$2:$M$1241,10,FALSE)," ")</f>
        <v xml:space="preserve"> </v>
      </c>
      <c r="L1497" s="1"/>
      <c r="M1497" s="1"/>
      <c r="N1497" s="1"/>
      <c r="O1497" s="8" t="str">
        <f>IF(B1500=0,VLOOKUP(A1500,Feuil2!$A$2:$M$1241,13,FALSE)," ")</f>
        <v xml:space="preserve"> </v>
      </c>
    </row>
    <row r="1498" spans="1:15" x14ac:dyDescent="0.3">
      <c r="A1498" s="1">
        <v>1896</v>
      </c>
      <c r="B1498" s="1">
        <v>3</v>
      </c>
      <c r="C1498" s="1" t="s">
        <v>295</v>
      </c>
      <c r="D1498" s="1" t="s">
        <v>2500</v>
      </c>
      <c r="E1498" s="5">
        <v>41940</v>
      </c>
      <c r="F1498" s="1" t="s">
        <v>17</v>
      </c>
      <c r="G1498" s="1" t="str">
        <f>IF(B1498=0,VLOOKUP(A1498,Feuil2!$A$2:$M$1241,11,FALSE)," ")</f>
        <v xml:space="preserve"> </v>
      </c>
      <c r="H1498" s="1" t="s">
        <v>16</v>
      </c>
      <c r="I1498" s="6" t="str">
        <f>IF(B1498=0,VLOOKUP(A1498,Feuil2!$A$2:$M$1241,7,FALSE)," ")</f>
        <v xml:space="preserve"> </v>
      </c>
      <c r="J1498" s="1" t="str">
        <f>IF(B1498=0,VLOOKUP(A1498,Feuil2!$A$2:$M$1241,9,FALSE)," ")</f>
        <v xml:space="preserve"> </v>
      </c>
      <c r="K1498" s="1" t="str">
        <f>IF(B1498=0,VLOOKUP(A1498,Feuil2!$A$2:$M$1241,10,FALSE)," ")</f>
        <v xml:space="preserve"> </v>
      </c>
      <c r="L1498" s="1"/>
      <c r="M1498" s="1"/>
      <c r="N1498" s="1"/>
      <c r="O1498" s="8" t="str">
        <f>IF(B1501=0,VLOOKUP(A1501,Feuil2!$A$2:$M$1241,13,FALSE)," ")</f>
        <v xml:space="preserve"> </v>
      </c>
    </row>
    <row r="1499" spans="1:15" x14ac:dyDescent="0.3">
      <c r="A1499" s="17">
        <v>1900</v>
      </c>
      <c r="B1499" s="17">
        <v>0</v>
      </c>
      <c r="C1499" s="17" t="str">
        <f>IF(B1499=0,VLOOKUP(A1499,Feuil2!$A$2:$M$1241,2,FALSE)," ")</f>
        <v>BOUAZZA</v>
      </c>
      <c r="D1499" s="17" t="str">
        <f>IF(B1499=0,VLOOKUP(A1499,Feuil2!$A$2:$M$1241,3,FALSE)," ")</f>
        <v>SALAH</v>
      </c>
      <c r="E1499" s="18">
        <f>IF(B1499=0,VLOOKUP(A1499,Feuil2!$A$2:$M$1241,6,FALSE)," ")</f>
        <v>28661</v>
      </c>
      <c r="F1499" s="17" t="str">
        <f>IF(B1499=0,VLOOKUP(A1499,Feuil2!$A$2:$M$1241,12,FALSE)," ")</f>
        <v>H</v>
      </c>
      <c r="G1499" s="17" t="str">
        <f>IF(B1499=0,VLOOKUP(A1499,Feuil2!$A$2:$M$1241,11,FALSE)," ")</f>
        <v>M</v>
      </c>
      <c r="H1499" s="17" t="s">
        <v>16</v>
      </c>
      <c r="I1499" s="19">
        <f>IF(B1499=0,VLOOKUP(A1499,Feuil2!$A$2:$M$1241,7,FALSE)," ")</f>
        <v>5558425</v>
      </c>
      <c r="J1499" s="17" t="str">
        <f>IF(B1499=0,VLOOKUP(A1499,Feuil2!$A$2:$M$1241,9,FALSE)," ")</f>
        <v>69, Rue 20 Mars</v>
      </c>
      <c r="K1499" s="17" t="str">
        <f>IF(B1499=0,VLOOKUP(A1499,Feuil2!$A$2:$M$1241,10,FALSE)," ")</f>
        <v>Msaken 4070</v>
      </c>
      <c r="L1499" s="17">
        <v>4070</v>
      </c>
      <c r="M1499" s="17">
        <v>23261749</v>
      </c>
      <c r="N1499" s="17"/>
      <c r="O1499" s="20" t="str">
        <f>IF(B1502=0,VLOOKUP(A1502,Feuil2!$A$2:$M$1241,13,FALSE)," ")</f>
        <v xml:space="preserve"> </v>
      </c>
    </row>
    <row r="1500" spans="1:15" x14ac:dyDescent="0.3">
      <c r="A1500" s="1">
        <v>1900</v>
      </c>
      <c r="B1500" s="1">
        <v>1</v>
      </c>
      <c r="C1500" s="1" t="s">
        <v>236</v>
      </c>
      <c r="D1500" s="1" t="s">
        <v>2348</v>
      </c>
      <c r="E1500" s="5">
        <v>31658</v>
      </c>
      <c r="F1500" s="1" t="s">
        <v>17</v>
      </c>
      <c r="G1500" s="1" t="s">
        <v>15</v>
      </c>
      <c r="H1500" s="1" t="s">
        <v>16</v>
      </c>
      <c r="I1500" s="6" t="str">
        <f>IF(B1500=0,VLOOKUP(A1500,Feuil2!$A$2:$M$1241,7,FALSE)," ")</f>
        <v xml:space="preserve"> </v>
      </c>
      <c r="J1500" s="1" t="str">
        <f>IF(B1500=0,VLOOKUP(A1500,Feuil2!$A$2:$M$1241,9,FALSE)," ")</f>
        <v xml:space="preserve"> </v>
      </c>
      <c r="K1500" s="1" t="str">
        <f>IF(B1500=0,VLOOKUP(A1500,Feuil2!$A$2:$M$1241,10,FALSE)," ")</f>
        <v xml:space="preserve"> </v>
      </c>
      <c r="L1500" s="1"/>
      <c r="M1500" s="1"/>
      <c r="N1500" s="1"/>
      <c r="O1500" s="8" t="str">
        <f>IF(B1503=0,VLOOKUP(A1503,Feuil2!$A$2:$M$1241,13,FALSE)," ")</f>
        <v>10506040207744978809</v>
      </c>
    </row>
    <row r="1501" spans="1:15" x14ac:dyDescent="0.3">
      <c r="A1501" s="1">
        <v>1900</v>
      </c>
      <c r="B1501" s="1">
        <v>2</v>
      </c>
      <c r="C1501" s="1" t="s">
        <v>297</v>
      </c>
      <c r="D1501" s="1" t="s">
        <v>122</v>
      </c>
      <c r="E1501" s="5">
        <v>41395</v>
      </c>
      <c r="F1501" s="1" t="s">
        <v>506</v>
      </c>
      <c r="G1501" s="1" t="str">
        <f>IF(B1501=0,VLOOKUP(A1501,Feuil2!$A$2:$M$1241,11,FALSE)," ")</f>
        <v xml:space="preserve"> </v>
      </c>
      <c r="H1501" s="1" t="s">
        <v>16</v>
      </c>
      <c r="I1501" s="6" t="str">
        <f>IF(B1501=0,VLOOKUP(A1501,Feuil2!$A$2:$M$1241,7,FALSE)," ")</f>
        <v xml:space="preserve"> </v>
      </c>
      <c r="J1501" s="1" t="str">
        <f>IF(B1501=0,VLOOKUP(A1501,Feuil2!$A$2:$M$1241,9,FALSE)," ")</f>
        <v xml:space="preserve"> </v>
      </c>
      <c r="K1501" s="1" t="str">
        <f>IF(B1501=0,VLOOKUP(A1501,Feuil2!$A$2:$M$1241,10,FALSE)," ")</f>
        <v xml:space="preserve"> </v>
      </c>
      <c r="L1501" s="1"/>
      <c r="M1501" s="1"/>
      <c r="N1501" s="1"/>
      <c r="O1501" s="8" t="str">
        <f>IF(B1504=0,VLOOKUP(A1504,Feuil2!$A$2:$M$1241,13,FALSE)," ")</f>
        <v xml:space="preserve"> </v>
      </c>
    </row>
    <row r="1502" spans="1:15" x14ac:dyDescent="0.3">
      <c r="A1502" s="1">
        <v>1900</v>
      </c>
      <c r="B1502" s="1">
        <v>3</v>
      </c>
      <c r="C1502" s="1" t="s">
        <v>297</v>
      </c>
      <c r="D1502" s="1" t="s">
        <v>2613</v>
      </c>
      <c r="E1502" s="5">
        <v>42559</v>
      </c>
      <c r="F1502" s="1" t="s">
        <v>17</v>
      </c>
      <c r="G1502" s="1" t="str">
        <f>IF(B1502=0,VLOOKUP(A1502,Feuil2!$A$2:$M$1241,11,FALSE)," ")</f>
        <v xml:space="preserve"> </v>
      </c>
      <c r="H1502" s="1" t="s">
        <v>16</v>
      </c>
      <c r="I1502" s="6" t="str">
        <f>IF(B1502=0,VLOOKUP(A1502,Feuil2!$A$2:$M$1241,7,FALSE)," ")</f>
        <v xml:space="preserve"> </v>
      </c>
      <c r="J1502" s="1" t="str">
        <f>IF(B1502=0,VLOOKUP(A1502,Feuil2!$A$2:$M$1241,9,FALSE)," ")</f>
        <v xml:space="preserve"> </v>
      </c>
      <c r="K1502" s="1" t="str">
        <f>IF(B1502=0,VLOOKUP(A1502,Feuil2!$A$2:$M$1241,10,FALSE)," ")</f>
        <v xml:space="preserve"> </v>
      </c>
      <c r="L1502" s="1"/>
      <c r="M1502" s="1"/>
      <c r="N1502" s="1"/>
      <c r="O1502" s="8" t="str">
        <f>IF(B1505=0,VLOOKUP(A1505,Feuil2!$A$2:$M$1241,13,FALSE)," ")</f>
        <v xml:space="preserve"> </v>
      </c>
    </row>
    <row r="1503" spans="1:15" x14ac:dyDescent="0.3">
      <c r="A1503" s="1">
        <v>1901</v>
      </c>
      <c r="B1503" s="1">
        <v>0</v>
      </c>
      <c r="C1503" s="1" t="str">
        <f>IF(B1503=0,VLOOKUP(A1503,Feuil2!$A$2:$M$1241,2,FALSE)," ")</f>
        <v>BACH</v>
      </c>
      <c r="D1503" s="1" t="str">
        <f>IF(B1503=0,VLOOKUP(A1503,Feuil2!$A$2:$M$1241,3,FALSE)," ")</f>
        <v>ZOUHAIER</v>
      </c>
      <c r="E1503" s="5">
        <f>IF(B1503=0,VLOOKUP(A1503,Feuil2!$A$2:$M$1241,6,FALSE)," ")</f>
        <v>26774</v>
      </c>
      <c r="F1503" s="1" t="str">
        <f>IF(B1503=0,VLOOKUP(A1503,Feuil2!$A$2:$M$1241,12,FALSE)," ")</f>
        <v>H</v>
      </c>
      <c r="G1503" s="1" t="str">
        <f>IF(B1503=0,VLOOKUP(A1503,Feuil2!$A$2:$M$1241,11,FALSE)," ")</f>
        <v>M</v>
      </c>
      <c r="H1503" s="1" t="s">
        <v>16</v>
      </c>
      <c r="I1503" s="6">
        <f>IF(B1503=0,VLOOKUP(A1503,Feuil2!$A$2:$M$1241,7,FALSE)," ")</f>
        <v>5553616</v>
      </c>
      <c r="J1503" s="1" t="str">
        <f>IF(B1503=0,VLOOKUP(A1503,Feuil2!$A$2:$M$1241,9,FALSE)," ")</f>
        <v>54, rue de la mosquÃ©e</v>
      </c>
      <c r="K1503" s="1" t="str">
        <f>IF(B1503=0,VLOOKUP(A1503,Feuil2!$A$2:$M$1241,10,FALSE)," ")</f>
        <v>Msaken 4070</v>
      </c>
      <c r="L1503" s="1">
        <v>4070</v>
      </c>
      <c r="M1503" s="1">
        <v>20986327</v>
      </c>
      <c r="N1503" s="1"/>
      <c r="O1503" s="8"/>
    </row>
    <row r="1504" spans="1:15" x14ac:dyDescent="0.3">
      <c r="A1504" s="1">
        <v>1901</v>
      </c>
      <c r="B1504" s="1">
        <v>1</v>
      </c>
      <c r="C1504" s="1" t="s">
        <v>703</v>
      </c>
      <c r="D1504" s="1" t="s">
        <v>2544</v>
      </c>
      <c r="E1504" s="5">
        <v>28758</v>
      </c>
      <c r="F1504" s="1" t="s">
        <v>17</v>
      </c>
      <c r="G1504" s="1" t="s">
        <v>15</v>
      </c>
      <c r="H1504" s="1" t="s">
        <v>16</v>
      </c>
      <c r="I1504" s="6" t="str">
        <f>IF(B1504=0,VLOOKUP(A1504,Feuil2!$A$2:$M$1241,7,FALSE)," ")</f>
        <v xml:space="preserve"> </v>
      </c>
      <c r="J1504" s="1" t="str">
        <f>IF(B1504=0,VLOOKUP(A1504,Feuil2!$A$2:$M$1241,9,FALSE)," ")</f>
        <v xml:space="preserve"> </v>
      </c>
      <c r="K1504" s="1" t="str">
        <f>IF(B1504=0,VLOOKUP(A1504,Feuil2!$A$2:$M$1241,10,FALSE)," ")</f>
        <v xml:space="preserve"> </v>
      </c>
      <c r="L1504" s="1"/>
      <c r="M1504" s="1"/>
      <c r="N1504" s="1"/>
      <c r="O1504" s="8" t="str">
        <f>IF(B1507=0,VLOOKUP(A1507,Feuil2!$A$2:$M$1241,13,FALSE)," ")</f>
        <v>10317123100981078885</v>
      </c>
    </row>
    <row r="1505" spans="1:15" x14ac:dyDescent="0.3">
      <c r="A1505" s="1">
        <v>1901</v>
      </c>
      <c r="B1505" s="1">
        <v>2</v>
      </c>
      <c r="C1505" s="1" t="s">
        <v>1837</v>
      </c>
      <c r="D1505" s="1" t="s">
        <v>2367</v>
      </c>
      <c r="E1505" s="5">
        <v>42011</v>
      </c>
      <c r="F1505" s="1" t="s">
        <v>17</v>
      </c>
      <c r="G1505" s="1" t="str">
        <f>IF(B1505=0,VLOOKUP(A1505,Feuil2!$A$2:$M$1241,11,FALSE)," ")</f>
        <v xml:space="preserve"> </v>
      </c>
      <c r="H1505" s="1" t="s">
        <v>16</v>
      </c>
      <c r="I1505" s="6" t="str">
        <f>IF(B1505=0,VLOOKUP(A1505,Feuil2!$A$2:$M$1241,7,FALSE)," ")</f>
        <v xml:space="preserve"> </v>
      </c>
      <c r="J1505" s="1" t="str">
        <f>IF(B1505=0,VLOOKUP(A1505,Feuil2!$A$2:$M$1241,9,FALSE)," ")</f>
        <v xml:space="preserve"> </v>
      </c>
      <c r="K1505" s="1" t="str">
        <f>IF(B1505=0,VLOOKUP(A1505,Feuil2!$A$2:$M$1241,10,FALSE)," ")</f>
        <v xml:space="preserve"> </v>
      </c>
      <c r="L1505" s="1"/>
      <c r="M1505" s="1"/>
      <c r="N1505" s="1"/>
      <c r="O1505" s="8" t="str">
        <f>IF(B1508=0,VLOOKUP(A1508,Feuil2!$A$2:$M$1241,13,FALSE)," ")</f>
        <v xml:space="preserve"> </v>
      </c>
    </row>
    <row r="1506" spans="1:15" x14ac:dyDescent="0.3">
      <c r="A1506" s="1">
        <v>1901</v>
      </c>
      <c r="B1506" s="1">
        <v>3</v>
      </c>
      <c r="C1506" s="1" t="s">
        <v>1837</v>
      </c>
      <c r="D1506" s="1" t="s">
        <v>1203</v>
      </c>
      <c r="E1506" s="5">
        <v>44324</v>
      </c>
      <c r="F1506" s="1" t="s">
        <v>506</v>
      </c>
      <c r="G1506" s="1"/>
      <c r="H1506" s="1"/>
      <c r="I1506" s="6"/>
      <c r="J1506" s="1"/>
      <c r="K1506" s="1"/>
      <c r="L1506" s="1"/>
      <c r="M1506" s="1"/>
      <c r="N1506" s="1"/>
      <c r="O1506" s="8" t="str">
        <f>IF(B1509=0,VLOOKUP(A1509,Feuil2!$A$2:$M$1241,13,FALSE)," ")</f>
        <v xml:space="preserve"> </v>
      </c>
    </row>
    <row r="1507" spans="1:15" x14ac:dyDescent="0.3">
      <c r="A1507" s="1">
        <v>1902</v>
      </c>
      <c r="B1507" s="1">
        <v>0</v>
      </c>
      <c r="C1507" s="1" t="str">
        <f>IF(B1507=0,VLOOKUP(A1507,Feuil2!$A$2:$M$1241,2,FALSE)," ")</f>
        <v>BEN ABDALLAH</v>
      </c>
      <c r="D1507" s="1" t="str">
        <f>IF(B1507=0,VLOOKUP(A1507,Feuil2!$A$2:$M$1241,3,FALSE)," ")</f>
        <v>HATEM</v>
      </c>
      <c r="E1507" s="5">
        <f>IF(B1507=0,VLOOKUP(A1507,Feuil2!$A$2:$M$1241,6,FALSE)," ")</f>
        <v>28595</v>
      </c>
      <c r="F1507" s="1" t="str">
        <f>IF(B1507=0,VLOOKUP(A1507,Feuil2!$A$2:$M$1241,12,FALSE)," ")</f>
        <v>H</v>
      </c>
      <c r="G1507" s="1" t="str">
        <f>IF(B1507=0,VLOOKUP(A1507,Feuil2!$A$2:$M$1241,11,FALSE)," ")</f>
        <v>M</v>
      </c>
      <c r="H1507" s="1" t="s">
        <v>16</v>
      </c>
      <c r="I1507" s="6">
        <f>IF(B1507=0,VLOOKUP(A1507,Feuil2!$A$2:$M$1241,7,FALSE)," ")</f>
        <v>5573807</v>
      </c>
      <c r="J1507" s="1" t="str">
        <f>IF(B1507=0,VLOOKUP(A1507,Feuil2!$A$2:$M$1241,9,FALSE)," ")</f>
        <v>Rue Landalous CitÃ© Ibn Khouldoun</v>
      </c>
      <c r="K1507" s="1" t="str">
        <f>IF(B1507=0,VLOOKUP(A1507,Feuil2!$A$2:$M$1241,10,FALSE)," ")</f>
        <v>Msaken 4070</v>
      </c>
      <c r="L1507" s="1">
        <v>4070</v>
      </c>
      <c r="M1507" s="1">
        <v>98783223</v>
      </c>
      <c r="N1507" s="1"/>
      <c r="O1507" s="8" t="str">
        <f>IF(B1510=0,VLOOKUP(A1510,Feuil2!$A$2:$M$1241,13,FALSE)," ")</f>
        <v xml:space="preserve"> </v>
      </c>
    </row>
    <row r="1508" spans="1:15" x14ac:dyDescent="0.3">
      <c r="A1508" s="1">
        <v>1902</v>
      </c>
      <c r="B1508" s="1">
        <v>1</v>
      </c>
      <c r="C1508" s="1" t="s">
        <v>1029</v>
      </c>
      <c r="D1508" s="1" t="s">
        <v>2734</v>
      </c>
      <c r="E1508" s="5">
        <v>30628</v>
      </c>
      <c r="F1508" s="1" t="s">
        <v>17</v>
      </c>
      <c r="G1508" s="1" t="s">
        <v>15</v>
      </c>
      <c r="H1508" s="1" t="s">
        <v>16</v>
      </c>
      <c r="I1508" s="6" t="str">
        <f>IF(B1508=0,VLOOKUP(A1508,Feuil2!$A$2:$M$1241,7,FALSE)," ")</f>
        <v xml:space="preserve"> </v>
      </c>
      <c r="J1508" s="1" t="str">
        <f>IF(B1508=0,VLOOKUP(A1508,Feuil2!$A$2:$M$1241,9,FALSE)," ")</f>
        <v xml:space="preserve"> </v>
      </c>
      <c r="K1508" s="1" t="str">
        <f>IF(B1508=0,VLOOKUP(A1508,Feuil2!$A$2:$M$1241,10,FALSE)," ")</f>
        <v xml:space="preserve"> </v>
      </c>
      <c r="L1508" s="1"/>
      <c r="M1508" s="1"/>
      <c r="N1508" s="1"/>
      <c r="O1508" s="8" t="str">
        <f>IF(B1512=0,VLOOKUP(A1512,Feuil2!$A$2:$M$1241,13,FALSE)," ")</f>
        <v>25066000000025239055</v>
      </c>
    </row>
    <row r="1509" spans="1:15" x14ac:dyDescent="0.3">
      <c r="A1509" s="1">
        <v>1902</v>
      </c>
      <c r="B1509" s="1">
        <v>2</v>
      </c>
      <c r="C1509" s="1" t="s">
        <v>582</v>
      </c>
      <c r="D1509" s="1" t="s">
        <v>402</v>
      </c>
      <c r="E1509" s="5">
        <v>40923</v>
      </c>
      <c r="F1509" s="1" t="s">
        <v>17</v>
      </c>
      <c r="G1509" s="1" t="str">
        <f>IF(B1509=0,VLOOKUP(A1509,Feuil2!$A$2:$M$1241,11,FALSE)," ")</f>
        <v xml:space="preserve"> </v>
      </c>
      <c r="H1509" s="1" t="s">
        <v>16</v>
      </c>
      <c r="I1509" s="6" t="str">
        <f>IF(B1509=0,VLOOKUP(A1509,Feuil2!$A$2:$M$1241,7,FALSE)," ")</f>
        <v xml:space="preserve"> </v>
      </c>
      <c r="J1509" s="1" t="str">
        <f>IF(B1509=0,VLOOKUP(A1509,Feuil2!$A$2:$M$1241,9,FALSE)," ")</f>
        <v xml:space="preserve"> </v>
      </c>
      <c r="K1509" s="1" t="str">
        <f>IF(B1509=0,VLOOKUP(A1509,Feuil2!$A$2:$M$1241,10,FALSE)," ")</f>
        <v xml:space="preserve"> </v>
      </c>
      <c r="L1509" s="1"/>
      <c r="M1509" s="1"/>
      <c r="N1509" s="1"/>
      <c r="O1509" s="8" t="str">
        <f>IF(B1513=0,VLOOKUP(A1513,Feuil2!$A$2:$M$1241,13,FALSE)," ")</f>
        <v xml:space="preserve"> </v>
      </c>
    </row>
    <row r="1510" spans="1:15" x14ac:dyDescent="0.3">
      <c r="A1510" s="1">
        <v>1902</v>
      </c>
      <c r="B1510" s="1">
        <v>3</v>
      </c>
      <c r="C1510" s="1" t="s">
        <v>582</v>
      </c>
      <c r="D1510" s="1" t="s">
        <v>2735</v>
      </c>
      <c r="E1510" s="5">
        <v>42023</v>
      </c>
      <c r="F1510" s="1" t="s">
        <v>506</v>
      </c>
      <c r="G1510" s="1" t="str">
        <f>IF(B1510=0,VLOOKUP(A1510,Feuil2!$A$2:$M$1241,11,FALSE)," ")</f>
        <v xml:space="preserve"> </v>
      </c>
      <c r="H1510" s="1" t="s">
        <v>16</v>
      </c>
      <c r="I1510" s="6" t="str">
        <f>IF(B1510=0,VLOOKUP(A1510,Feuil2!$A$2:$M$1241,7,FALSE)," ")</f>
        <v xml:space="preserve"> </v>
      </c>
      <c r="J1510" s="1" t="str">
        <f>IF(B1510=0,VLOOKUP(A1510,Feuil2!$A$2:$M$1241,9,FALSE)," ")</f>
        <v xml:space="preserve"> </v>
      </c>
      <c r="K1510" s="1" t="str">
        <f>IF(B1510=0,VLOOKUP(A1510,Feuil2!$A$2:$M$1241,10,FALSE)," ")</f>
        <v xml:space="preserve"> </v>
      </c>
      <c r="L1510" s="1"/>
      <c r="M1510" s="1"/>
      <c r="N1510" s="1"/>
      <c r="O1510" s="8" t="str">
        <f>IF(B1514=0,VLOOKUP(A1514,Feuil2!$A$2:$M$1241,13,FALSE)," ")</f>
        <v xml:space="preserve"> </v>
      </c>
    </row>
    <row r="1511" spans="1:15" x14ac:dyDescent="0.3">
      <c r="A1511" s="1">
        <v>1902</v>
      </c>
      <c r="B1511" s="1">
        <v>4</v>
      </c>
      <c r="C1511" s="1" t="s">
        <v>582</v>
      </c>
      <c r="D1511" s="1" t="s">
        <v>2852</v>
      </c>
      <c r="E1511" s="5">
        <v>44768</v>
      </c>
      <c r="F1511" s="1" t="s">
        <v>17</v>
      </c>
      <c r="G1511" s="1"/>
      <c r="H1511" s="1" t="s">
        <v>16</v>
      </c>
      <c r="I1511" s="6"/>
      <c r="J1511" s="1"/>
      <c r="K1511" s="1"/>
      <c r="L1511" s="1"/>
      <c r="M1511" s="1"/>
      <c r="N1511" s="1"/>
      <c r="O1511" s="8" t="str">
        <f>IF(B1515=0,VLOOKUP(A1515,Feuil2!$A$2:$M$1241,13,FALSE)," ")</f>
        <v xml:space="preserve"> </v>
      </c>
    </row>
    <row r="1512" spans="1:15" x14ac:dyDescent="0.3">
      <c r="A1512" s="1">
        <v>1911</v>
      </c>
      <c r="B1512" s="1">
        <v>0</v>
      </c>
      <c r="C1512" s="1" t="str">
        <f>IF(B1512=0,VLOOKUP(A1512,Feuil2!$A$2:$M$1241,2,FALSE)," ")</f>
        <v>MEJRI</v>
      </c>
      <c r="D1512" s="1" t="str">
        <f>IF(B1512=0,VLOOKUP(A1512,Feuil2!$A$2:$M$1241,3,FALSE)," ")</f>
        <v>KHELIL</v>
      </c>
      <c r="E1512" s="5">
        <f>IF(B1512=0,VLOOKUP(A1512,Feuil2!$A$2:$M$1241,6,FALSE)," ")</f>
        <v>26859</v>
      </c>
      <c r="F1512" s="1" t="str">
        <f>IF(B1512=0,VLOOKUP(A1512,Feuil2!$A$2:$M$1241,12,FALSE)," ")</f>
        <v>H</v>
      </c>
      <c r="G1512" s="1" t="str">
        <f>IF(B1512=0,VLOOKUP(A1512,Feuil2!$A$2:$M$1241,11,FALSE)," ")</f>
        <v>M</v>
      </c>
      <c r="H1512" s="1" t="s">
        <v>16</v>
      </c>
      <c r="I1512" s="6">
        <f>IF(B1512=0,VLOOKUP(A1512,Feuil2!$A$2:$M$1241,7,FALSE)," ")</f>
        <v>5511703</v>
      </c>
      <c r="J1512" s="1" t="str">
        <f>IF(B1512=0,VLOOKUP(A1512,Feuil2!$A$2:$M$1241,9,FALSE)," ")</f>
        <v>Rue Sayar</v>
      </c>
      <c r="K1512" s="1" t="str">
        <f>IF(B1512=0,VLOOKUP(A1512,Feuil2!$A$2:$M$1241,10,FALSE)," ")</f>
        <v>Msaken 4070</v>
      </c>
      <c r="L1512" s="1">
        <v>4070</v>
      </c>
      <c r="M1512" s="1">
        <v>98793651</v>
      </c>
      <c r="N1512" s="1"/>
      <c r="O1512" s="8" t="str">
        <f>IF(B1516=0,VLOOKUP(A1516,Feuil2!$A$2:$M$1241,13,FALSE)," ")</f>
        <v xml:space="preserve"> </v>
      </c>
    </row>
    <row r="1513" spans="1:15" x14ac:dyDescent="0.3">
      <c r="A1513" s="1">
        <v>1911</v>
      </c>
      <c r="B1513" s="1">
        <v>1</v>
      </c>
      <c r="C1513" s="1" t="s">
        <v>2736</v>
      </c>
      <c r="D1513" s="1" t="s">
        <v>749</v>
      </c>
      <c r="E1513" s="5">
        <v>27208</v>
      </c>
      <c r="F1513" s="1" t="s">
        <v>17</v>
      </c>
      <c r="G1513" s="1" t="s">
        <v>15</v>
      </c>
      <c r="H1513" s="1" t="s">
        <v>16</v>
      </c>
      <c r="I1513" s="6" t="str">
        <f>IF(B1513=0,VLOOKUP(A1513,Feuil2!$A$2:$M$1241,7,FALSE)," ")</f>
        <v xml:space="preserve"> </v>
      </c>
      <c r="J1513" s="1" t="str">
        <f>IF(B1513=0,VLOOKUP(A1513,Feuil2!$A$2:$M$1241,9,FALSE)," ")</f>
        <v xml:space="preserve"> </v>
      </c>
      <c r="K1513" s="1" t="str">
        <f>IF(B1513=0,VLOOKUP(A1513,Feuil2!$A$2:$M$1241,10,FALSE)," ")</f>
        <v xml:space="preserve"> </v>
      </c>
      <c r="L1513" s="1"/>
      <c r="M1513" s="1"/>
      <c r="N1513" s="1"/>
      <c r="O1513" s="8" t="str">
        <f>IF(B1517=0,VLOOKUP(A1517,Feuil2!$A$2:$M$1241,13,FALSE)," ")</f>
        <v xml:space="preserve"> </v>
      </c>
    </row>
    <row r="1514" spans="1:15" x14ac:dyDescent="0.3">
      <c r="A1514" s="1">
        <v>1911</v>
      </c>
      <c r="B1514" s="1">
        <v>2</v>
      </c>
      <c r="C1514" s="1" t="s">
        <v>65</v>
      </c>
      <c r="D1514" s="1" t="s">
        <v>2408</v>
      </c>
      <c r="E1514" s="5">
        <v>37184</v>
      </c>
      <c r="F1514" s="1" t="s">
        <v>17</v>
      </c>
      <c r="G1514" s="1" t="str">
        <f>IF(B1514=0,VLOOKUP(A1514,Feuil2!$A$2:$M$1241,11,FALSE)," ")</f>
        <v xml:space="preserve"> </v>
      </c>
      <c r="H1514" s="1" t="s">
        <v>16</v>
      </c>
      <c r="I1514" s="6" t="str">
        <f>IF(B1514=0,VLOOKUP(A1514,Feuil2!$A$2:$M$1241,7,FALSE)," ")</f>
        <v xml:space="preserve"> </v>
      </c>
      <c r="J1514" s="1" t="str">
        <f>IF(B1514=0,VLOOKUP(A1514,Feuil2!$A$2:$M$1241,9,FALSE)," ")</f>
        <v xml:space="preserve"> </v>
      </c>
      <c r="K1514" s="1" t="str">
        <f>IF(B1514=0,VLOOKUP(A1514,Feuil2!$A$2:$M$1241,10,FALSE)," ")</f>
        <v xml:space="preserve"> </v>
      </c>
      <c r="L1514" s="1"/>
      <c r="M1514" s="1"/>
      <c r="N1514" s="1"/>
      <c r="O1514" s="8" t="str">
        <f>IF(B1518=0,VLOOKUP(A1518,Feuil2!$A$2:$M$1241,13,FALSE)," ")</f>
        <v>05048000116500454669</v>
      </c>
    </row>
    <row r="1515" spans="1:15" x14ac:dyDescent="0.3">
      <c r="A1515" s="1">
        <v>1911</v>
      </c>
      <c r="B1515" s="1">
        <v>3</v>
      </c>
      <c r="C1515" s="1" t="s">
        <v>65</v>
      </c>
      <c r="D1515" s="1" t="s">
        <v>235</v>
      </c>
      <c r="E1515" s="5">
        <v>37963</v>
      </c>
      <c r="F1515" s="1" t="s">
        <v>506</v>
      </c>
      <c r="G1515" s="1" t="str">
        <f>IF(B1515=0,VLOOKUP(A1515,Feuil2!$A$2:$M$1241,11,FALSE)," ")</f>
        <v xml:space="preserve"> </v>
      </c>
      <c r="H1515" s="1" t="s">
        <v>16</v>
      </c>
      <c r="I1515" s="6" t="str">
        <f>IF(B1515=0,VLOOKUP(A1515,Feuil2!$A$2:$M$1241,7,FALSE)," ")</f>
        <v xml:space="preserve"> </v>
      </c>
      <c r="J1515" s="1" t="str">
        <f>IF(B1515=0,VLOOKUP(A1515,Feuil2!$A$2:$M$1241,9,FALSE)," ")</f>
        <v xml:space="preserve"> </v>
      </c>
      <c r="K1515" s="1" t="str">
        <f>IF(B1515=0,VLOOKUP(A1515,Feuil2!$A$2:$M$1241,10,FALSE)," ")</f>
        <v xml:space="preserve"> </v>
      </c>
      <c r="L1515" s="1"/>
      <c r="M1515" s="1"/>
      <c r="N1515" s="1"/>
      <c r="O1515" s="8" t="str">
        <f>IF(B1519=0,VLOOKUP(A1519,Feuil2!$A$2:$M$1241,13,FALSE)," ")</f>
        <v>03508056010110189207</v>
      </c>
    </row>
    <row r="1516" spans="1:15" x14ac:dyDescent="0.3">
      <c r="A1516" s="1">
        <v>1911</v>
      </c>
      <c r="B1516" s="1">
        <v>4</v>
      </c>
      <c r="C1516" s="1" t="s">
        <v>65</v>
      </c>
      <c r="D1516" s="1" t="s">
        <v>2737</v>
      </c>
      <c r="E1516" s="5">
        <v>38992</v>
      </c>
      <c r="F1516" s="1" t="s">
        <v>506</v>
      </c>
      <c r="G1516" s="1" t="str">
        <f>IF(B1516=0,VLOOKUP(A1516,Feuil2!$A$2:$M$1241,11,FALSE)," ")</f>
        <v xml:space="preserve"> </v>
      </c>
      <c r="H1516" s="1" t="s">
        <v>16</v>
      </c>
      <c r="I1516" s="6" t="str">
        <f>IF(B1516=0,VLOOKUP(A1516,Feuil2!$A$2:$M$1241,7,FALSE)," ")</f>
        <v xml:space="preserve"> </v>
      </c>
      <c r="J1516" s="1" t="str">
        <f>IF(B1516=0,VLOOKUP(A1516,Feuil2!$A$2:$M$1241,9,FALSE)," ")</f>
        <v xml:space="preserve"> </v>
      </c>
      <c r="K1516" s="1" t="str">
        <f>IF(B1516=0,VLOOKUP(A1516,Feuil2!$A$2:$M$1241,10,FALSE)," ")</f>
        <v xml:space="preserve"> </v>
      </c>
      <c r="L1516" s="1"/>
      <c r="M1516" s="1"/>
      <c r="N1516" s="1"/>
      <c r="O1516" s="8" t="str">
        <f>IF(B1520=0,VLOOKUP(A1520,Feuil2!$A$2:$M$1241,13,FALSE)," ")</f>
        <v xml:space="preserve"> </v>
      </c>
    </row>
    <row r="1517" spans="1:15" x14ac:dyDescent="0.3">
      <c r="A1517" s="1">
        <v>1911</v>
      </c>
      <c r="B1517" s="1">
        <v>5</v>
      </c>
      <c r="C1517" s="1" t="s">
        <v>65</v>
      </c>
      <c r="D1517" s="1" t="s">
        <v>291</v>
      </c>
      <c r="E1517" s="5">
        <v>40841</v>
      </c>
      <c r="F1517" s="1" t="s">
        <v>506</v>
      </c>
      <c r="G1517" s="1" t="str">
        <f>IF(B1517=0,VLOOKUP(A1517,Feuil2!$A$2:$M$1241,11,FALSE)," ")</f>
        <v xml:space="preserve"> </v>
      </c>
      <c r="H1517" s="1" t="s">
        <v>16</v>
      </c>
      <c r="I1517" s="6" t="str">
        <f>IF(B1517=0,VLOOKUP(A1517,Feuil2!$A$2:$M$1241,7,FALSE)," ")</f>
        <v xml:space="preserve"> </v>
      </c>
      <c r="J1517" s="1" t="str">
        <f>IF(B1517=0,VLOOKUP(A1517,Feuil2!$A$2:$M$1241,9,FALSE)," ")</f>
        <v xml:space="preserve"> </v>
      </c>
      <c r="K1517" s="1" t="str">
        <f>IF(B1517=0,VLOOKUP(A1517,Feuil2!$A$2:$M$1241,10,FALSE)," ")</f>
        <v xml:space="preserve"> </v>
      </c>
      <c r="L1517" s="1"/>
      <c r="M1517" s="1"/>
      <c r="N1517" s="1"/>
      <c r="O1517" s="8" t="str">
        <f>IF(B1521=0,VLOOKUP(A1521,Feuil2!$A$2:$M$1241,13,FALSE)," ")</f>
        <v xml:space="preserve"> </v>
      </c>
    </row>
    <row r="1518" spans="1:15" x14ac:dyDescent="0.3">
      <c r="A1518" s="1">
        <v>1913</v>
      </c>
      <c r="B1518" s="1">
        <v>0</v>
      </c>
      <c r="C1518" s="1" t="str">
        <f>IF(B1518=0,VLOOKUP(A1518,Feuil2!$A$2:$M$1241,2,FALSE)," ")</f>
        <v>SRIDI</v>
      </c>
      <c r="D1518" s="1" t="str">
        <f>IF(B1518=0,VLOOKUP(A1518,Feuil2!$A$2:$M$1241,3,FALSE)," ")</f>
        <v>MOHAMED</v>
      </c>
      <c r="E1518" s="5">
        <f>IF(B1518=0,VLOOKUP(A1518,Feuil2!$A$2:$M$1241,6,FALSE)," ")</f>
        <v>28744</v>
      </c>
      <c r="F1518" s="1" t="str">
        <f>IF(B1518=0,VLOOKUP(A1518,Feuil2!$A$2:$M$1241,12,FALSE)," ")</f>
        <v>H</v>
      </c>
      <c r="G1518" s="1" t="str">
        <f>IF(B1518=0,VLOOKUP(A1518,Feuil2!$A$2:$M$1241,11,FALSE)," ")</f>
        <v>C</v>
      </c>
      <c r="H1518" s="1" t="s">
        <v>16</v>
      </c>
      <c r="I1518" s="6">
        <f>IF(B1518=0,VLOOKUP(A1518,Feuil2!$A$2:$M$1241,7,FALSE)," ")</f>
        <v>5589628</v>
      </c>
      <c r="J1518" s="1" t="str">
        <f>IF(B1518=0,VLOOKUP(A1518,Feuil2!$A$2:$M$1241,9,FALSE)," ")</f>
        <v>485 Rue 1er juin</v>
      </c>
      <c r="K1518" s="1" t="str">
        <f>IF(B1518=0,VLOOKUP(A1518,Feuil2!$A$2:$M$1241,10,FALSE)," ")</f>
        <v>Msaken 4070</v>
      </c>
      <c r="L1518" s="1">
        <v>4070</v>
      </c>
      <c r="M1518" s="1">
        <v>27546114</v>
      </c>
      <c r="N1518" s="1"/>
      <c r="O1518" s="8" t="str">
        <f>IF(B1522=0,VLOOKUP(A1522,Feuil2!$A$2:$M$1241,13,FALSE)," ")</f>
        <v xml:space="preserve"> </v>
      </c>
    </row>
    <row r="1519" spans="1:15" x14ac:dyDescent="0.3">
      <c r="A1519" s="1">
        <v>1914</v>
      </c>
      <c r="B1519" s="1">
        <v>0</v>
      </c>
      <c r="C1519" s="1" t="str">
        <f>IF(B1519=0,VLOOKUP(A1519,Feuil2!$A$2:$M$1241,2,FALSE)," ")</f>
        <v>EL FKIH</v>
      </c>
      <c r="D1519" s="1" t="str">
        <f>IF(B1519=0,VLOOKUP(A1519,Feuil2!$A$2:$M$1241,3,FALSE)," ")</f>
        <v>LAMJED</v>
      </c>
      <c r="E1519" s="5">
        <f>IF(B1519=0,VLOOKUP(A1519,Feuil2!$A$2:$M$1241,6,FALSE)," ")</f>
        <v>28502</v>
      </c>
      <c r="F1519" s="1" t="str">
        <f>IF(B1519=0,VLOOKUP(A1519,Feuil2!$A$2:$M$1241,12,FALSE)," ")</f>
        <v>H</v>
      </c>
      <c r="G1519" s="1" t="str">
        <f>IF(B1519=0,VLOOKUP(A1519,Feuil2!$A$2:$M$1241,11,FALSE)," ")</f>
        <v>M</v>
      </c>
      <c r="H1519" s="1" t="s">
        <v>16</v>
      </c>
      <c r="I1519" s="6">
        <f>IF(B1519=0,VLOOKUP(A1519,Feuil2!$A$2:$M$1241,7,FALSE)," ")</f>
        <v>5588458</v>
      </c>
      <c r="J1519" s="1" t="str">
        <f>IF(B1519=0,VLOOKUP(A1519,Feuil2!$A$2:$M$1241,9,FALSE)," ")</f>
        <v>NULL</v>
      </c>
      <c r="K1519" s="1" t="str">
        <f>IF(B1519=0,VLOOKUP(A1519,Feuil2!$A$2:$M$1241,10,FALSE)," ")</f>
        <v>Moureddine</v>
      </c>
      <c r="L1519" s="1"/>
      <c r="M1519" s="1">
        <v>27465827</v>
      </c>
      <c r="N1519" s="1"/>
      <c r="O1519" s="8" t="str">
        <f>IF(B1523=0,VLOOKUP(A1523,Feuil2!$A$2:$M$1241,13,FALSE)," ")</f>
        <v xml:space="preserve"> </v>
      </c>
    </row>
    <row r="1520" spans="1:15" x14ac:dyDescent="0.3">
      <c r="A1520" s="1">
        <v>1914</v>
      </c>
      <c r="B1520" s="1">
        <v>1</v>
      </c>
      <c r="C1520" s="1" t="s">
        <v>2738</v>
      </c>
      <c r="D1520" s="1" t="s">
        <v>2642</v>
      </c>
      <c r="E1520" s="5">
        <v>29746</v>
      </c>
      <c r="F1520" s="1" t="s">
        <v>17</v>
      </c>
      <c r="G1520" s="1" t="s">
        <v>15</v>
      </c>
      <c r="H1520" s="1" t="s">
        <v>16</v>
      </c>
      <c r="I1520" s="6" t="str">
        <f>IF(B1520=0,VLOOKUP(A1520,Feuil2!$A$2:$M$1241,7,FALSE)," ")</f>
        <v xml:space="preserve"> </v>
      </c>
      <c r="J1520" s="1" t="str">
        <f>IF(B1520=0,VLOOKUP(A1520,Feuil2!$A$2:$M$1241,9,FALSE)," ")</f>
        <v xml:space="preserve"> </v>
      </c>
      <c r="K1520" s="1" t="str">
        <f>IF(B1520=0,VLOOKUP(A1520,Feuil2!$A$2:$M$1241,10,FALSE)," ")</f>
        <v xml:space="preserve"> </v>
      </c>
      <c r="L1520" s="1"/>
      <c r="M1520" s="1"/>
      <c r="N1520" s="1"/>
      <c r="O1520" s="8" t="str">
        <f>IF(B1524=0,VLOOKUP(A1524,Feuil2!$A$2:$M$1241,13,FALSE)," ")</f>
        <v>12505000000211619925</v>
      </c>
    </row>
    <row r="1521" spans="1:15" x14ac:dyDescent="0.3">
      <c r="A1521" s="1">
        <v>1914</v>
      </c>
      <c r="B1521" s="1">
        <v>2</v>
      </c>
      <c r="C1521" s="1" t="s">
        <v>486</v>
      </c>
      <c r="D1521" s="1" t="s">
        <v>2331</v>
      </c>
      <c r="E1521" s="5">
        <v>38278</v>
      </c>
      <c r="F1521" s="1" t="s">
        <v>17</v>
      </c>
      <c r="G1521" s="1" t="str">
        <f>IF(B1521=0,VLOOKUP(A1521,Feuil2!$A$2:$M$1241,11,FALSE)," ")</f>
        <v xml:space="preserve"> </v>
      </c>
      <c r="H1521" s="1" t="s">
        <v>16</v>
      </c>
      <c r="I1521" s="6" t="str">
        <f>IF(B1521=0,VLOOKUP(A1521,Feuil2!$A$2:$M$1241,7,FALSE)," ")</f>
        <v xml:space="preserve"> </v>
      </c>
      <c r="J1521" s="1" t="str">
        <f>IF(B1521=0,VLOOKUP(A1521,Feuil2!$A$2:$M$1241,9,FALSE)," ")</f>
        <v xml:space="preserve"> </v>
      </c>
      <c r="K1521" s="1" t="str">
        <f>IF(B1521=0,VLOOKUP(A1521,Feuil2!$A$2:$M$1241,10,FALSE)," ")</f>
        <v xml:space="preserve"> </v>
      </c>
      <c r="L1521" s="1"/>
      <c r="M1521" s="1"/>
      <c r="N1521" s="1"/>
      <c r="O1521" s="8" t="str">
        <f>IF(B1525=0,VLOOKUP(A1525,Feuil2!$A$2:$M$1241,13,FALSE)," ")</f>
        <v xml:space="preserve"> </v>
      </c>
    </row>
    <row r="1522" spans="1:15" x14ac:dyDescent="0.3">
      <c r="A1522" s="1">
        <v>1914</v>
      </c>
      <c r="B1522" s="1">
        <v>3</v>
      </c>
      <c r="C1522" s="1" t="s">
        <v>486</v>
      </c>
      <c r="D1522" s="1" t="s">
        <v>326</v>
      </c>
      <c r="E1522" s="5">
        <v>39176</v>
      </c>
      <c r="F1522" s="1" t="s">
        <v>506</v>
      </c>
      <c r="G1522" s="1" t="str">
        <f>IF(B1522=0,VLOOKUP(A1522,Feuil2!$A$2:$M$1241,11,FALSE)," ")</f>
        <v xml:space="preserve"> </v>
      </c>
      <c r="H1522" s="1" t="s">
        <v>16</v>
      </c>
      <c r="I1522" s="6" t="str">
        <f>IF(B1522=0,VLOOKUP(A1522,Feuil2!$A$2:$M$1241,7,FALSE)," ")</f>
        <v xml:space="preserve"> </v>
      </c>
      <c r="J1522" s="1" t="str">
        <f>IF(B1522=0,VLOOKUP(A1522,Feuil2!$A$2:$M$1241,9,FALSE)," ")</f>
        <v xml:space="preserve"> </v>
      </c>
      <c r="K1522" s="1" t="str">
        <f>IF(B1522=0,VLOOKUP(A1522,Feuil2!$A$2:$M$1241,10,FALSE)," ")</f>
        <v xml:space="preserve"> </v>
      </c>
      <c r="L1522" s="1"/>
      <c r="M1522" s="1"/>
      <c r="N1522" s="1"/>
      <c r="O1522" s="8" t="str">
        <f>IF(B1526=0,VLOOKUP(A1526,Feuil2!$A$2:$M$1241,13,FALSE)," ")</f>
        <v xml:space="preserve"> </v>
      </c>
    </row>
    <row r="1523" spans="1:15" x14ac:dyDescent="0.3">
      <c r="A1523" s="1">
        <v>1914</v>
      </c>
      <c r="B1523" s="1">
        <v>4</v>
      </c>
      <c r="C1523" s="1" t="s">
        <v>486</v>
      </c>
      <c r="D1523" s="1" t="s">
        <v>2739</v>
      </c>
      <c r="E1523" s="5">
        <v>42500</v>
      </c>
      <c r="F1523" s="1" t="s">
        <v>17</v>
      </c>
      <c r="G1523" s="1" t="str">
        <f>IF(B1523=0,VLOOKUP(A1523,Feuil2!$A$2:$M$1241,11,FALSE)," ")</f>
        <v xml:space="preserve"> </v>
      </c>
      <c r="H1523" s="1" t="s">
        <v>16</v>
      </c>
      <c r="I1523" s="6" t="str">
        <f>IF(B1523=0,VLOOKUP(A1523,Feuil2!$A$2:$M$1241,7,FALSE)," ")</f>
        <v xml:space="preserve"> </v>
      </c>
      <c r="J1523" s="1" t="str">
        <f>IF(B1523=0,VLOOKUP(A1523,Feuil2!$A$2:$M$1241,9,FALSE)," ")</f>
        <v xml:space="preserve"> </v>
      </c>
      <c r="K1523" s="1" t="str">
        <f>IF(B1523=0,VLOOKUP(A1523,Feuil2!$A$2:$M$1241,10,FALSE)," ")</f>
        <v xml:space="preserve"> </v>
      </c>
      <c r="L1523" s="1"/>
      <c r="M1523" s="1"/>
      <c r="N1523" s="1"/>
      <c r="O1523" s="8" t="str">
        <f>IF(B1527=0,VLOOKUP(A1527,Feuil2!$A$2:$M$1241,13,FALSE)," ")</f>
        <v xml:space="preserve"> </v>
      </c>
    </row>
    <row r="1524" spans="1:15" x14ac:dyDescent="0.3">
      <c r="A1524" s="1">
        <v>1915</v>
      </c>
      <c r="B1524" s="1">
        <v>0</v>
      </c>
      <c r="C1524" s="1" t="s">
        <v>582</v>
      </c>
      <c r="D1524" s="1" t="str">
        <f>IF(B1524=0,VLOOKUP(A1524,Feuil2!$A$2:$M$1241,3,FALSE)," ")</f>
        <v>MOHAMED SALAH</v>
      </c>
      <c r="E1524" s="5">
        <f>IF(B1524=0,VLOOKUP(A1524,Feuil2!$A$2:$M$1241,6,FALSE)," ")</f>
        <v>28528</v>
      </c>
      <c r="F1524" s="1" t="str">
        <f>IF(B1524=0,VLOOKUP(A1524,Feuil2!$A$2:$M$1241,12,FALSE)," ")</f>
        <v>H</v>
      </c>
      <c r="G1524" s="1" t="str">
        <f>IF(B1524=0,VLOOKUP(A1524,Feuil2!$A$2:$M$1241,11,FALSE)," ")</f>
        <v>M</v>
      </c>
      <c r="H1524" s="1" t="s">
        <v>16</v>
      </c>
      <c r="I1524" s="6">
        <f>IF(B1524=0,VLOOKUP(A1524,Feuil2!$A$2:$M$1241,7,FALSE)," ")</f>
        <v>5570372</v>
      </c>
      <c r="J1524" s="1" t="str">
        <f>IF(B1524=0,VLOOKUP(A1524,Feuil2!$A$2:$M$1241,9,FALSE)," ")</f>
        <v>10, Rue Farhat Hached</v>
      </c>
      <c r="K1524" s="1" t="str">
        <f>IF(B1524=0,VLOOKUP(A1524,Feuil2!$A$2:$M$1241,10,FALSE)," ")</f>
        <v>Msaken 4070</v>
      </c>
      <c r="L1524" s="1">
        <v>4070</v>
      </c>
      <c r="M1524" s="1">
        <v>98793764</v>
      </c>
      <c r="N1524" s="1"/>
      <c r="O1524" s="8" t="str">
        <f>IF(B1528=0,VLOOKUP(A1528,Feuil2!$A$2:$M$1241,13,FALSE)," ")</f>
        <v xml:space="preserve"> </v>
      </c>
    </row>
    <row r="1525" spans="1:15" x14ac:dyDescent="0.3">
      <c r="A1525" s="1">
        <v>1915</v>
      </c>
      <c r="B1525" s="1">
        <v>1</v>
      </c>
      <c r="C1525" s="1" t="s">
        <v>19</v>
      </c>
      <c r="D1525" s="1" t="s">
        <v>413</v>
      </c>
      <c r="E1525" s="5">
        <v>33048</v>
      </c>
      <c r="F1525" s="1" t="s">
        <v>17</v>
      </c>
      <c r="G1525" s="1" t="s">
        <v>15</v>
      </c>
      <c r="H1525" s="1" t="s">
        <v>16</v>
      </c>
      <c r="I1525" s="6" t="str">
        <f>IF(B1525=0,VLOOKUP(A1525,Feuil2!$A$2:$M$1241,7,FALSE)," ")</f>
        <v xml:space="preserve"> </v>
      </c>
      <c r="J1525" s="1" t="str">
        <f>IF(B1525=0,VLOOKUP(A1525,Feuil2!$A$2:$M$1241,9,FALSE)," ")</f>
        <v xml:space="preserve"> </v>
      </c>
      <c r="K1525" s="1" t="str">
        <f>IF(B1525=0,VLOOKUP(A1525,Feuil2!$A$2:$M$1241,10,FALSE)," ")</f>
        <v xml:space="preserve"> </v>
      </c>
      <c r="L1525" s="1"/>
      <c r="M1525" s="1"/>
      <c r="N1525" s="1"/>
      <c r="O1525" s="8"/>
    </row>
    <row r="1526" spans="1:15" x14ac:dyDescent="0.3">
      <c r="A1526" s="1">
        <v>1915</v>
      </c>
      <c r="B1526" s="1">
        <v>2</v>
      </c>
      <c r="C1526" s="1" t="s">
        <v>582</v>
      </c>
      <c r="D1526" s="1" t="s">
        <v>2500</v>
      </c>
      <c r="E1526" s="5">
        <v>41513</v>
      </c>
      <c r="F1526" s="1" t="s">
        <v>17</v>
      </c>
      <c r="G1526" s="1" t="str">
        <f>IF(B1526=0,VLOOKUP(A1526,Feuil2!$A$2:$M$1241,11,FALSE)," ")</f>
        <v xml:space="preserve"> </v>
      </c>
      <c r="H1526" s="1" t="s">
        <v>16</v>
      </c>
      <c r="I1526" s="6" t="str">
        <f>IF(B1526=0,VLOOKUP(A1526,Feuil2!$A$2:$M$1241,7,FALSE)," ")</f>
        <v xml:space="preserve"> </v>
      </c>
      <c r="J1526" s="1" t="str">
        <f>IF(B1526=0,VLOOKUP(A1526,Feuil2!$A$2:$M$1241,9,FALSE)," ")</f>
        <v xml:space="preserve"> </v>
      </c>
      <c r="K1526" s="1" t="str">
        <f>IF(B1526=0,VLOOKUP(A1526,Feuil2!$A$2:$M$1241,10,FALSE)," ")</f>
        <v xml:space="preserve"> </v>
      </c>
      <c r="L1526" s="1"/>
      <c r="M1526" s="1"/>
      <c r="N1526" s="1"/>
      <c r="O1526" s="8" t="str">
        <f>IF(B1531=0,VLOOKUP(A1531,Feuil2!$A$2:$M$1241,13,FALSE)," ")</f>
        <v>12505000000211620604</v>
      </c>
    </row>
    <row r="1527" spans="1:15" x14ac:dyDescent="0.3">
      <c r="A1527" s="1">
        <v>1915</v>
      </c>
      <c r="B1527" s="1">
        <v>3</v>
      </c>
      <c r="C1527" s="1" t="s">
        <v>582</v>
      </c>
      <c r="D1527" s="1" t="s">
        <v>2740</v>
      </c>
      <c r="E1527" s="5">
        <v>42307</v>
      </c>
      <c r="F1527" s="1" t="s">
        <v>17</v>
      </c>
      <c r="G1527" s="1" t="str">
        <f>IF(B1527=0,VLOOKUP(A1527,Feuil2!$A$2:$M$1241,11,FALSE)," ")</f>
        <v xml:space="preserve"> </v>
      </c>
      <c r="H1527" s="1" t="s">
        <v>16</v>
      </c>
      <c r="I1527" s="6" t="str">
        <f>IF(B1527=0,VLOOKUP(A1527,Feuil2!$A$2:$M$1241,7,FALSE)," ")</f>
        <v xml:space="preserve"> </v>
      </c>
      <c r="J1527" s="1" t="str">
        <f>IF(B1527=0,VLOOKUP(A1527,Feuil2!$A$2:$M$1241,9,FALSE)," ")</f>
        <v xml:space="preserve"> </v>
      </c>
      <c r="K1527" s="1" t="str">
        <f>IF(B1527=0,VLOOKUP(A1527,Feuil2!$A$2:$M$1241,10,FALSE)," ")</f>
        <v xml:space="preserve"> </v>
      </c>
      <c r="L1527" s="1"/>
      <c r="M1527" s="1"/>
      <c r="N1527" s="1"/>
      <c r="O1527" s="8" t="str">
        <f>IF(B1532=0,VLOOKUP(A1532,Feuil2!$A$2:$M$1241,13,FALSE)," ")</f>
        <v xml:space="preserve"> </v>
      </c>
    </row>
    <row r="1528" spans="1:15" x14ac:dyDescent="0.3">
      <c r="A1528" s="1">
        <v>1915</v>
      </c>
      <c r="B1528" s="1">
        <v>4</v>
      </c>
      <c r="C1528" s="1" t="s">
        <v>582</v>
      </c>
      <c r="D1528" s="1" t="s">
        <v>2099</v>
      </c>
      <c r="E1528" s="5">
        <v>43711</v>
      </c>
      <c r="F1528" s="1" t="s">
        <v>17</v>
      </c>
      <c r="G1528" s="1" t="str">
        <f>IF(B1528=0,VLOOKUP(A1528,Feuil2!$A$2:$M$1241,11,FALSE)," ")</f>
        <v xml:space="preserve"> </v>
      </c>
      <c r="H1528" s="1" t="s">
        <v>16</v>
      </c>
      <c r="I1528" s="6" t="str">
        <f>IF(B1528=0,VLOOKUP(A1528,Feuil2!$A$2:$M$1241,7,FALSE)," ")</f>
        <v xml:space="preserve"> </v>
      </c>
      <c r="J1528" s="1" t="str">
        <f>IF(B1528=0,VLOOKUP(A1528,Feuil2!$A$2:$M$1241,9,FALSE)," ")</f>
        <v xml:space="preserve"> </v>
      </c>
      <c r="K1528" s="1" t="str">
        <f>IF(B1528=0,VLOOKUP(A1528,Feuil2!$A$2:$M$1241,10,FALSE)," ")</f>
        <v xml:space="preserve"> </v>
      </c>
      <c r="L1528" s="1"/>
      <c r="M1528" s="1"/>
      <c r="N1528" s="1"/>
      <c r="O1528" s="8" t="str">
        <f>IF(B1533=0,VLOOKUP(A1533,Feuil2!$A$2:$M$1241,13,FALSE)," ")</f>
        <v xml:space="preserve"> </v>
      </c>
    </row>
    <row r="1529" spans="1:15" x14ac:dyDescent="0.3">
      <c r="A1529" s="1">
        <v>1915</v>
      </c>
      <c r="B1529" s="1">
        <v>5</v>
      </c>
      <c r="C1529" s="1" t="s">
        <v>582</v>
      </c>
      <c r="D1529" s="1" t="s">
        <v>2866</v>
      </c>
      <c r="E1529" s="5">
        <v>44623</v>
      </c>
      <c r="F1529" s="1" t="s">
        <v>17</v>
      </c>
      <c r="G1529" s="1"/>
      <c r="H1529" s="1" t="s">
        <v>16</v>
      </c>
      <c r="I1529" s="6"/>
      <c r="J1529" s="1"/>
      <c r="K1529" s="1"/>
      <c r="L1529" s="1"/>
      <c r="M1529" s="1"/>
      <c r="N1529" s="1"/>
      <c r="O1529" s="8" t="str">
        <f>IF(B1534=0,VLOOKUP(A1534,Feuil2!$A$2:$M$1241,13,FALSE)," ")</f>
        <v xml:space="preserve"> </v>
      </c>
    </row>
    <row r="1530" spans="1:15" x14ac:dyDescent="0.3">
      <c r="A1530" s="1">
        <v>1915</v>
      </c>
      <c r="B1530" s="1">
        <v>6</v>
      </c>
      <c r="C1530" s="1" t="s">
        <v>582</v>
      </c>
      <c r="D1530" s="1" t="s">
        <v>402</v>
      </c>
      <c r="E1530" s="5">
        <v>45668</v>
      </c>
      <c r="F1530" s="1" t="s">
        <v>17</v>
      </c>
      <c r="G1530" s="1"/>
      <c r="H1530" s="1"/>
      <c r="I1530" s="6"/>
      <c r="J1530" s="1"/>
      <c r="K1530" s="1"/>
      <c r="L1530" s="1"/>
      <c r="M1530" s="1"/>
      <c r="N1530" s="1"/>
      <c r="O1530" s="8"/>
    </row>
    <row r="1531" spans="1:15" x14ac:dyDescent="0.3">
      <c r="A1531" s="1">
        <v>1916</v>
      </c>
      <c r="B1531" s="1">
        <v>0</v>
      </c>
      <c r="C1531" s="1" t="str">
        <f>IF(B1531=0,VLOOKUP(A1531,Feuil2!$A$2:$M$1241,2,FALSE)," ")</f>
        <v>MANSOUR</v>
      </c>
      <c r="D1531" s="1" t="str">
        <f>IF(B1531=0,VLOOKUP(A1531,Feuil2!$A$2:$M$1241,3,FALSE)," ")</f>
        <v>NEJI</v>
      </c>
      <c r="E1531" s="5">
        <f>IF(B1531=0,VLOOKUP(A1531,Feuil2!$A$2:$M$1241,6,FALSE)," ")</f>
        <v>27148</v>
      </c>
      <c r="F1531" s="1" t="str">
        <f>IF(B1531=0,VLOOKUP(A1531,Feuil2!$A$2:$M$1241,12,FALSE)," ")</f>
        <v>H</v>
      </c>
      <c r="G1531" s="1" t="str">
        <f>IF(B1531=0,VLOOKUP(A1531,Feuil2!$A$2:$M$1241,11,FALSE)," ")</f>
        <v>M</v>
      </c>
      <c r="H1531" s="1" t="s">
        <v>16</v>
      </c>
      <c r="I1531" s="6">
        <f>IF(B1531=0,VLOOKUP(A1531,Feuil2!$A$2:$M$1241,7,FALSE)," ")</f>
        <v>5558738</v>
      </c>
      <c r="J1531" s="1" t="str">
        <f>IF(B1531=0,VLOOKUP(A1531,Feuil2!$A$2:$M$1241,9,FALSE)," ")</f>
        <v>NULL</v>
      </c>
      <c r="K1531" s="1" t="str">
        <f>IF(B1531=0,VLOOKUP(A1531,Feuil2!$A$2:$M$1241,10,FALSE)," ")</f>
        <v>BÃ©ni Rabiaa 4015</v>
      </c>
      <c r="L1531" s="1"/>
      <c r="M1531" s="1"/>
      <c r="N1531" s="1"/>
      <c r="O1531" s="8" t="str">
        <f>IF(B1535=0,VLOOKUP(A1535,Feuil2!$A$2:$M$1241,13,FALSE)," ")</f>
        <v xml:space="preserve"> </v>
      </c>
    </row>
    <row r="1532" spans="1:15" x14ac:dyDescent="0.3">
      <c r="A1532" s="1">
        <v>1916</v>
      </c>
      <c r="B1532" s="1">
        <v>1</v>
      </c>
      <c r="C1532" s="1" t="s">
        <v>369</v>
      </c>
      <c r="D1532" s="1" t="s">
        <v>2348</v>
      </c>
      <c r="E1532" s="5">
        <v>32814</v>
      </c>
      <c r="F1532" s="1" t="s">
        <v>17</v>
      </c>
      <c r="G1532" s="1" t="s">
        <v>15</v>
      </c>
      <c r="H1532" s="1" t="s">
        <v>16</v>
      </c>
      <c r="I1532" s="6" t="str">
        <f>IF(B1532=0,VLOOKUP(A1532,Feuil2!$A$2:$M$1241,7,FALSE)," ")</f>
        <v xml:space="preserve"> </v>
      </c>
      <c r="J1532" s="1" t="str">
        <f>IF(B1532=0,VLOOKUP(A1532,Feuil2!$A$2:$M$1241,9,FALSE)," ")</f>
        <v xml:space="preserve"> </v>
      </c>
      <c r="K1532" s="1" t="str">
        <f>IF(B1532=0,VLOOKUP(A1532,Feuil2!$A$2:$M$1241,10,FALSE)," ")</f>
        <v xml:space="preserve"> </v>
      </c>
      <c r="L1532" s="1"/>
      <c r="M1532" s="1"/>
      <c r="N1532" s="1"/>
      <c r="O1532" s="8" t="str">
        <f>IF(B1536=0,VLOOKUP(A1536,Feuil2!$A$2:$M$1241,13,FALSE)," ")</f>
        <v>14014014100703346262</v>
      </c>
    </row>
    <row r="1533" spans="1:15" x14ac:dyDescent="0.3">
      <c r="A1533" s="1">
        <v>1916</v>
      </c>
      <c r="B1533" s="1">
        <v>2</v>
      </c>
      <c r="C1533" s="1" t="s">
        <v>197</v>
      </c>
      <c r="D1533" s="1" t="s">
        <v>2741</v>
      </c>
      <c r="E1533" s="5">
        <v>39230</v>
      </c>
      <c r="F1533" s="1" t="s">
        <v>506</v>
      </c>
      <c r="G1533" s="1" t="str">
        <f>IF(B1533=0,VLOOKUP(A1533,Feuil2!$A$2:$M$1241,11,FALSE)," ")</f>
        <v xml:space="preserve"> </v>
      </c>
      <c r="H1533" s="1" t="s">
        <v>16</v>
      </c>
      <c r="I1533" s="6" t="str">
        <f>IF(B1533=0,VLOOKUP(A1533,Feuil2!$A$2:$M$1241,7,FALSE)," ")</f>
        <v xml:space="preserve"> </v>
      </c>
      <c r="J1533" s="1" t="str">
        <f>IF(B1533=0,VLOOKUP(A1533,Feuil2!$A$2:$M$1241,9,FALSE)," ")</f>
        <v xml:space="preserve"> </v>
      </c>
      <c r="K1533" s="1" t="str">
        <f>IF(B1533=0,VLOOKUP(A1533,Feuil2!$A$2:$M$1241,10,FALSE)," ")</f>
        <v xml:space="preserve"> </v>
      </c>
      <c r="L1533" s="1"/>
      <c r="M1533" s="1"/>
      <c r="N1533" s="1"/>
      <c r="O1533" s="8" t="str">
        <f>IF(B1537=0,VLOOKUP(A1537,Feuil2!$A$2:$M$1241,13,FALSE)," ")</f>
        <v xml:space="preserve"> </v>
      </c>
    </row>
    <row r="1534" spans="1:15" x14ac:dyDescent="0.3">
      <c r="A1534" s="1">
        <v>1916</v>
      </c>
      <c r="B1534" s="1">
        <v>3</v>
      </c>
      <c r="C1534" s="1" t="s">
        <v>197</v>
      </c>
      <c r="D1534" s="1" t="s">
        <v>1782</v>
      </c>
      <c r="E1534" s="5">
        <v>40212</v>
      </c>
      <c r="F1534" s="1" t="s">
        <v>506</v>
      </c>
      <c r="G1534" s="1" t="str">
        <f>IF(B1534=0,VLOOKUP(A1534,Feuil2!$A$2:$M$1241,11,FALSE)," ")</f>
        <v xml:space="preserve"> </v>
      </c>
      <c r="H1534" s="1" t="s">
        <v>16</v>
      </c>
      <c r="I1534" s="6" t="str">
        <f>IF(B1534=0,VLOOKUP(A1534,Feuil2!$A$2:$M$1241,7,FALSE)," ")</f>
        <v xml:space="preserve"> </v>
      </c>
      <c r="J1534" s="1" t="str">
        <f>IF(B1534=0,VLOOKUP(A1534,Feuil2!$A$2:$M$1241,9,FALSE)," ")</f>
        <v xml:space="preserve"> </v>
      </c>
      <c r="K1534" s="1" t="str">
        <f>IF(B1534=0,VLOOKUP(A1534,Feuil2!$A$2:$M$1241,10,FALSE)," ")</f>
        <v xml:space="preserve"> </v>
      </c>
      <c r="L1534" s="1"/>
      <c r="M1534" s="1"/>
      <c r="N1534" s="1"/>
      <c r="O1534" s="8" t="str">
        <f>IF(B1538=0,VLOOKUP(A1538,Feuil2!$A$2:$M$1241,13,FALSE)," ")</f>
        <v xml:space="preserve"> </v>
      </c>
    </row>
    <row r="1535" spans="1:15" x14ac:dyDescent="0.3">
      <c r="A1535" s="1">
        <v>1916</v>
      </c>
      <c r="B1535" s="1">
        <v>4</v>
      </c>
      <c r="C1535" s="1" t="s">
        <v>197</v>
      </c>
      <c r="D1535" s="1" t="s">
        <v>2340</v>
      </c>
      <c r="E1535" s="5">
        <v>41366</v>
      </c>
      <c r="F1535" s="1" t="s">
        <v>17</v>
      </c>
      <c r="G1535" s="1" t="str">
        <f>IF(B1535=0,VLOOKUP(A1535,Feuil2!$A$2:$M$1241,11,FALSE)," ")</f>
        <v xml:space="preserve"> </v>
      </c>
      <c r="H1535" s="1" t="s">
        <v>16</v>
      </c>
      <c r="I1535" s="6" t="str">
        <f>IF(B1535=0,VLOOKUP(A1535,Feuil2!$A$2:$M$1241,7,FALSE)," ")</f>
        <v xml:space="preserve"> </v>
      </c>
      <c r="J1535" s="1" t="str">
        <f>IF(B1535=0,VLOOKUP(A1535,Feuil2!$A$2:$M$1241,9,FALSE)," ")</f>
        <v xml:space="preserve"> </v>
      </c>
      <c r="K1535" s="1" t="str">
        <f>IF(B1535=0,VLOOKUP(A1535,Feuil2!$A$2:$M$1241,10,FALSE)," ")</f>
        <v xml:space="preserve"> </v>
      </c>
      <c r="L1535" s="1"/>
      <c r="M1535" s="1"/>
      <c r="N1535" s="1"/>
      <c r="O1535" s="8" t="str">
        <f>IF(B1539=0,VLOOKUP(A1539,Feuil2!$A$2:$M$1241,13,FALSE)," ")</f>
        <v xml:space="preserve"> </v>
      </c>
    </row>
    <row r="1536" spans="1:15" x14ac:dyDescent="0.3">
      <c r="A1536" s="1">
        <v>1921</v>
      </c>
      <c r="B1536" s="1">
        <v>0</v>
      </c>
      <c r="C1536" s="1" t="str">
        <f>IF(B1536=0,VLOOKUP(A1536,Feuil2!$A$2:$M$1241,2,FALSE)," ")</f>
        <v>HNIA</v>
      </c>
      <c r="D1536" s="1" t="str">
        <f>IF(B1536=0,VLOOKUP(A1536,Feuil2!$A$2:$M$1241,3,FALSE)," ")</f>
        <v>SAHNOUN</v>
      </c>
      <c r="E1536" s="5">
        <f>IF(B1536=0,VLOOKUP(A1536,Feuil2!$A$2:$M$1241,6,FALSE)," ")</f>
        <v>27122</v>
      </c>
      <c r="F1536" s="1" t="str">
        <f>IF(B1536=0,VLOOKUP(A1536,Feuil2!$A$2:$M$1241,12,FALSE)," ")</f>
        <v>H</v>
      </c>
      <c r="G1536" s="1" t="str">
        <f>IF(B1536=0,VLOOKUP(A1536,Feuil2!$A$2:$M$1241,11,FALSE)," ")</f>
        <v>M</v>
      </c>
      <c r="H1536" s="1" t="s">
        <v>16</v>
      </c>
      <c r="I1536" s="6">
        <f>IF(B1536=0,VLOOKUP(A1536,Feuil2!$A$2:$M$1241,7,FALSE)," ")</f>
        <v>5505016</v>
      </c>
      <c r="J1536" s="1" t="str">
        <f>IF(B1536=0,VLOOKUP(A1536,Feuil2!$A$2:$M$1241,9,FALSE)," ")</f>
        <v>NULL</v>
      </c>
      <c r="K1536" s="1" t="str">
        <f>IF(B1536=0,VLOOKUP(A1536,Feuil2!$A$2:$M$1241,10,FALSE)," ")</f>
        <v>Knaies 4014</v>
      </c>
      <c r="L1536" s="1">
        <v>4014</v>
      </c>
      <c r="M1536" s="1">
        <v>97122781</v>
      </c>
      <c r="N1536" s="1"/>
      <c r="O1536" s="8" t="str">
        <f>IF(B1540=0,VLOOKUP(A1540,Feuil2!$A$2:$M$1241,13,FALSE)," ")</f>
        <v xml:space="preserve"> </v>
      </c>
    </row>
    <row r="1537" spans="1:15" x14ac:dyDescent="0.3">
      <c r="A1537" s="1">
        <v>1921</v>
      </c>
      <c r="B1537" s="1">
        <v>1</v>
      </c>
      <c r="C1537" s="1" t="s">
        <v>223</v>
      </c>
      <c r="D1537" s="1" t="s">
        <v>2689</v>
      </c>
      <c r="E1537" s="5">
        <v>31325</v>
      </c>
      <c r="F1537" s="1" t="s">
        <v>17</v>
      </c>
      <c r="G1537" s="1" t="s">
        <v>15</v>
      </c>
      <c r="H1537" s="1" t="s">
        <v>16</v>
      </c>
      <c r="I1537" s="6" t="str">
        <f>IF(B1537=0,VLOOKUP(A1537,Feuil2!$A$2:$M$1241,7,FALSE)," ")</f>
        <v xml:space="preserve"> </v>
      </c>
      <c r="J1537" s="1" t="str">
        <f>IF(B1537=0,VLOOKUP(A1537,Feuil2!$A$2:$M$1241,9,FALSE)," ")</f>
        <v xml:space="preserve"> </v>
      </c>
      <c r="K1537" s="1" t="str">
        <f>IF(B1537=0,VLOOKUP(A1537,Feuil2!$A$2:$M$1241,10,FALSE)," ")</f>
        <v xml:space="preserve"> </v>
      </c>
      <c r="L1537" s="1"/>
      <c r="M1537" s="1"/>
      <c r="N1537" s="1"/>
      <c r="O1537" s="8" t="str">
        <f>IF(B1541=0,VLOOKUP(A1541,Feuil2!$A$2:$M$1241,13,FALSE)," ")</f>
        <v>12505000000225277622</v>
      </c>
    </row>
    <row r="1538" spans="1:15" x14ac:dyDescent="0.3">
      <c r="A1538" s="1">
        <v>1921</v>
      </c>
      <c r="B1538" s="1">
        <v>2</v>
      </c>
      <c r="C1538" s="1" t="s">
        <v>223</v>
      </c>
      <c r="D1538" s="1" t="s">
        <v>2389</v>
      </c>
      <c r="E1538" s="5">
        <v>39282</v>
      </c>
      <c r="F1538" s="1" t="s">
        <v>17</v>
      </c>
      <c r="G1538" s="1" t="str">
        <f>IF(B1538=0,VLOOKUP(A1538,Feuil2!$A$2:$M$1241,11,FALSE)," ")</f>
        <v xml:space="preserve"> </v>
      </c>
      <c r="H1538" s="1" t="s">
        <v>16</v>
      </c>
      <c r="I1538" s="6" t="str">
        <f>IF(B1538=0,VLOOKUP(A1538,Feuil2!$A$2:$M$1241,7,FALSE)," ")</f>
        <v xml:space="preserve"> </v>
      </c>
      <c r="J1538" s="1" t="str">
        <f>IF(B1538=0,VLOOKUP(A1538,Feuil2!$A$2:$M$1241,9,FALSE)," ")</f>
        <v xml:space="preserve"> </v>
      </c>
      <c r="K1538" s="1" t="str">
        <f>IF(B1538=0,VLOOKUP(A1538,Feuil2!$A$2:$M$1241,10,FALSE)," ")</f>
        <v xml:space="preserve"> </v>
      </c>
      <c r="L1538" s="1"/>
      <c r="M1538" s="1"/>
      <c r="N1538" s="1"/>
      <c r="O1538" s="8" t="str">
        <f>IF(B1542=0,VLOOKUP(A1542,Feuil2!$A$2:$M$1241,13,FALSE)," ")</f>
        <v xml:space="preserve"> </v>
      </c>
    </row>
    <row r="1539" spans="1:15" x14ac:dyDescent="0.3">
      <c r="A1539" s="1">
        <v>1921</v>
      </c>
      <c r="B1539" s="1">
        <v>3</v>
      </c>
      <c r="C1539" s="1" t="s">
        <v>223</v>
      </c>
      <c r="D1539" s="1" t="s">
        <v>122</v>
      </c>
      <c r="E1539" s="5">
        <v>39998</v>
      </c>
      <c r="F1539" s="1" t="s">
        <v>506</v>
      </c>
      <c r="G1539" s="1" t="str">
        <f>IF(B1539=0,VLOOKUP(A1539,Feuil2!$A$2:$M$1241,11,FALSE)," ")</f>
        <v xml:space="preserve"> </v>
      </c>
      <c r="H1539" s="1" t="s">
        <v>16</v>
      </c>
      <c r="I1539" s="6" t="str">
        <f>IF(B1539=0,VLOOKUP(A1539,Feuil2!$A$2:$M$1241,7,FALSE)," ")</f>
        <v xml:space="preserve"> </v>
      </c>
      <c r="J1539" s="1" t="str">
        <f>IF(B1539=0,VLOOKUP(A1539,Feuil2!$A$2:$M$1241,9,FALSE)," ")</f>
        <v xml:space="preserve"> </v>
      </c>
      <c r="K1539" s="1" t="str">
        <f>IF(B1539=0,VLOOKUP(A1539,Feuil2!$A$2:$M$1241,10,FALSE)," ")</f>
        <v xml:space="preserve"> </v>
      </c>
      <c r="L1539" s="1"/>
      <c r="M1539" s="1"/>
      <c r="N1539" s="1"/>
      <c r="O1539" s="8" t="str">
        <f>IF(B1543=0,VLOOKUP(A1543,Feuil2!$A$2:$M$1241,13,FALSE)," ")</f>
        <v xml:space="preserve"> </v>
      </c>
    </row>
    <row r="1540" spans="1:15" x14ac:dyDescent="0.3">
      <c r="A1540" s="1">
        <v>1921</v>
      </c>
      <c r="B1540" s="1">
        <v>4</v>
      </c>
      <c r="C1540" s="1" t="s">
        <v>223</v>
      </c>
      <c r="D1540" s="1" t="s">
        <v>2742</v>
      </c>
      <c r="E1540" s="5">
        <v>43074</v>
      </c>
      <c r="F1540" s="1" t="s">
        <v>17</v>
      </c>
      <c r="G1540" s="1" t="str">
        <f>IF(B1540=0,VLOOKUP(A1540,Feuil2!$A$2:$M$1241,11,FALSE)," ")</f>
        <v xml:space="preserve"> </v>
      </c>
      <c r="H1540" s="1" t="s">
        <v>16</v>
      </c>
      <c r="I1540" s="6" t="str">
        <f>IF(B1540=0,VLOOKUP(A1540,Feuil2!$A$2:$M$1241,7,FALSE)," ")</f>
        <v xml:space="preserve"> </v>
      </c>
      <c r="J1540" s="1" t="str">
        <f>IF(B1540=0,VLOOKUP(A1540,Feuil2!$A$2:$M$1241,9,FALSE)," ")</f>
        <v xml:space="preserve"> </v>
      </c>
      <c r="K1540" s="1" t="str">
        <f>IF(B1540=0,VLOOKUP(A1540,Feuil2!$A$2:$M$1241,10,FALSE)," ")</f>
        <v xml:space="preserve"> </v>
      </c>
      <c r="L1540" s="1"/>
      <c r="M1540" s="1"/>
      <c r="N1540" s="1"/>
      <c r="O1540" s="8" t="str">
        <f>IF(B1544=0,VLOOKUP(A1544,Feuil2!$A$2:$M$1241,13,FALSE)," ")</f>
        <v xml:space="preserve"> </v>
      </c>
    </row>
    <row r="1541" spans="1:15" x14ac:dyDescent="0.3">
      <c r="A1541" s="1">
        <v>1922</v>
      </c>
      <c r="B1541" s="1">
        <v>0</v>
      </c>
      <c r="C1541" s="1" t="str">
        <f>IF(B1541=0,VLOOKUP(A1541,Feuil2!$A$2:$M$1241,2,FALSE)," ")</f>
        <v>MAHJOUB</v>
      </c>
      <c r="D1541" s="1" t="str">
        <f>IF(B1541=0,VLOOKUP(A1541,Feuil2!$A$2:$M$1241,3,FALSE)," ")</f>
        <v>FAKER</v>
      </c>
      <c r="E1541" s="5">
        <f>IF(B1541=0,VLOOKUP(A1541,Feuil2!$A$2:$M$1241,6,FALSE)," ")</f>
        <v>26642</v>
      </c>
      <c r="F1541" s="1" t="str">
        <f>IF(B1541=0,VLOOKUP(A1541,Feuil2!$A$2:$M$1241,12,FALSE)," ")</f>
        <v>H</v>
      </c>
      <c r="G1541" s="1" t="str">
        <f>IF(B1541=0,VLOOKUP(A1541,Feuil2!$A$2:$M$1241,11,FALSE)," ")</f>
        <v>M</v>
      </c>
      <c r="H1541" s="1" t="s">
        <v>16</v>
      </c>
      <c r="I1541" s="6">
        <f>IF(B1541=0,VLOOKUP(A1541,Feuil2!$A$2:$M$1241,7,FALSE)," ")</f>
        <v>5551184</v>
      </c>
      <c r="J1541" s="1" t="str">
        <f>IF(B1541=0,VLOOKUP(A1541,Feuil2!$A$2:$M$1241,9,FALSE)," ")</f>
        <v>52 Rue Rekeb</v>
      </c>
      <c r="K1541" s="1" t="str">
        <f>IF(B1541=0,VLOOKUP(A1541,Feuil2!$A$2:$M$1241,10,FALSE)," ")</f>
        <v>Msaken 4070</v>
      </c>
      <c r="L1541" s="1">
        <v>4070</v>
      </c>
      <c r="M1541" s="1">
        <v>93449381</v>
      </c>
      <c r="N1541" s="1"/>
      <c r="O1541" s="8"/>
    </row>
    <row r="1542" spans="1:15" x14ac:dyDescent="0.3">
      <c r="A1542" s="1">
        <v>1922</v>
      </c>
      <c r="B1542" s="1">
        <v>1</v>
      </c>
      <c r="C1542" s="1" t="s">
        <v>2709</v>
      </c>
      <c r="D1542" s="1" t="s">
        <v>439</v>
      </c>
      <c r="E1542" s="5">
        <v>32270</v>
      </c>
      <c r="F1542" s="1" t="s">
        <v>17</v>
      </c>
      <c r="G1542" s="1" t="s">
        <v>15</v>
      </c>
      <c r="H1542" s="1" t="s">
        <v>16</v>
      </c>
      <c r="I1542" s="6" t="str">
        <f>IF(B1542=0,VLOOKUP(A1542,Feuil2!$A$2:$M$1241,7,FALSE)," ")</f>
        <v xml:space="preserve"> </v>
      </c>
      <c r="J1542" s="1" t="str">
        <f>IF(B1542=0,VLOOKUP(A1542,Feuil2!$A$2:$M$1241,9,FALSE)," ")</f>
        <v xml:space="preserve"> </v>
      </c>
      <c r="K1542" s="1" t="str">
        <f>IF(B1542=0,VLOOKUP(A1542,Feuil2!$A$2:$M$1241,10,FALSE)," ")</f>
        <v xml:space="preserve"> </v>
      </c>
      <c r="L1542" s="1"/>
      <c r="M1542" s="1"/>
      <c r="N1542" s="1"/>
      <c r="O1542" s="8" t="str">
        <f>IF(B1547=0,VLOOKUP(A1547,Feuil2!$A$2:$M$1241,13,FALSE)," ")</f>
        <v>12058000000224419790</v>
      </c>
    </row>
    <row r="1543" spans="1:15" x14ac:dyDescent="0.3">
      <c r="A1543" s="1">
        <v>1922</v>
      </c>
      <c r="B1543" s="1">
        <v>2</v>
      </c>
      <c r="C1543" s="1" t="s">
        <v>19</v>
      </c>
      <c r="D1543" s="1" t="s">
        <v>2099</v>
      </c>
      <c r="E1543" s="5">
        <v>42524</v>
      </c>
      <c r="F1543" s="1" t="s">
        <v>17</v>
      </c>
      <c r="G1543" s="1" t="str">
        <f>IF(B1543=0,VLOOKUP(A1543,Feuil2!$A$2:$M$1241,11,FALSE)," ")</f>
        <v xml:space="preserve"> </v>
      </c>
      <c r="H1543" s="1" t="s">
        <v>16</v>
      </c>
      <c r="I1543" s="6" t="str">
        <f>IF(B1543=0,VLOOKUP(A1543,Feuil2!$A$2:$M$1241,7,FALSE)," ")</f>
        <v xml:space="preserve"> </v>
      </c>
      <c r="J1543" s="1" t="str">
        <f>IF(B1543=0,VLOOKUP(A1543,Feuil2!$A$2:$M$1241,9,FALSE)," ")</f>
        <v xml:space="preserve"> </v>
      </c>
      <c r="K1543" s="1" t="str">
        <f>IF(B1543=0,VLOOKUP(A1543,Feuil2!$A$2:$M$1241,10,FALSE)," ")</f>
        <v xml:space="preserve"> </v>
      </c>
      <c r="L1543" s="1"/>
      <c r="M1543" s="1"/>
      <c r="N1543" s="1"/>
      <c r="O1543" s="8" t="str">
        <f>IF(B1548=0,VLOOKUP(A1548,Feuil2!$A$2:$M$1241,13,FALSE)," ")</f>
        <v xml:space="preserve"> </v>
      </c>
    </row>
    <row r="1544" spans="1:15" x14ac:dyDescent="0.3">
      <c r="A1544" s="1">
        <v>1922</v>
      </c>
      <c r="B1544" s="1">
        <v>3</v>
      </c>
      <c r="C1544" s="1" t="s">
        <v>19</v>
      </c>
      <c r="D1544" s="1" t="s">
        <v>2677</v>
      </c>
      <c r="E1544" s="5">
        <v>42982</v>
      </c>
      <c r="F1544" s="1" t="s">
        <v>17</v>
      </c>
      <c r="G1544" s="1" t="str">
        <f>IF(B1544=0,VLOOKUP(A1544,Feuil2!$A$2:$M$1241,11,FALSE)," ")</f>
        <v xml:space="preserve"> </v>
      </c>
      <c r="H1544" s="1" t="s">
        <v>16</v>
      </c>
      <c r="I1544" s="6" t="str">
        <f>IF(B1544=0,VLOOKUP(A1544,Feuil2!$A$2:$M$1241,7,FALSE)," ")</f>
        <v xml:space="preserve"> </v>
      </c>
      <c r="J1544" s="1" t="str">
        <f>IF(B1544=0,VLOOKUP(A1544,Feuil2!$A$2:$M$1241,9,FALSE)," ")</f>
        <v xml:space="preserve"> </v>
      </c>
      <c r="K1544" s="1" t="str">
        <f>IF(B1544=0,VLOOKUP(A1544,Feuil2!$A$2:$M$1241,10,FALSE)," ")</f>
        <v xml:space="preserve"> </v>
      </c>
      <c r="L1544" s="1"/>
      <c r="M1544" s="1"/>
      <c r="N1544" s="1"/>
      <c r="O1544" s="8" t="str">
        <f>IF(B1549=0,VLOOKUP(A1549,Feuil2!$A$2:$M$1241,13,FALSE)," ")</f>
        <v xml:space="preserve"> </v>
      </c>
    </row>
    <row r="1545" spans="1:15" x14ac:dyDescent="0.3">
      <c r="A1545" s="1">
        <v>1922</v>
      </c>
      <c r="B1545" s="1">
        <v>4</v>
      </c>
      <c r="C1545" s="1" t="s">
        <v>19</v>
      </c>
      <c r="D1545" s="1" t="s">
        <v>2500</v>
      </c>
      <c r="E1545" s="5">
        <v>44230</v>
      </c>
      <c r="F1545" s="1" t="s">
        <v>17</v>
      </c>
      <c r="G1545" s="1"/>
      <c r="H1545" s="1"/>
      <c r="I1545" s="6"/>
      <c r="J1545" s="1"/>
      <c r="K1545" s="1"/>
      <c r="L1545" s="1"/>
      <c r="M1545" s="1"/>
      <c r="N1545" s="1"/>
      <c r="O1545" s="8" t="str">
        <f>IF(B1550=0,VLOOKUP(A1550,Feuil2!$A$2:$M$1241,13,FALSE)," ")</f>
        <v xml:space="preserve"> </v>
      </c>
    </row>
    <row r="1546" spans="1:15" x14ac:dyDescent="0.3">
      <c r="A1546" s="1">
        <v>1922</v>
      </c>
      <c r="B1546" s="1">
        <v>5</v>
      </c>
      <c r="C1546" s="1" t="s">
        <v>19</v>
      </c>
      <c r="D1546" s="1" t="s">
        <v>34</v>
      </c>
      <c r="E1546" s="5">
        <v>45970</v>
      </c>
      <c r="F1546" s="1" t="s">
        <v>506</v>
      </c>
      <c r="G1546" s="1"/>
      <c r="H1546" s="1"/>
      <c r="I1546" s="6"/>
      <c r="J1546" s="1"/>
      <c r="K1546" s="1"/>
      <c r="L1546" s="1"/>
      <c r="M1546" s="1"/>
      <c r="N1546" s="1"/>
      <c r="O1546" s="8"/>
    </row>
    <row r="1547" spans="1:15" x14ac:dyDescent="0.3">
      <c r="A1547" s="1">
        <v>1923</v>
      </c>
      <c r="B1547" s="1">
        <v>0</v>
      </c>
      <c r="C1547" s="1" t="str">
        <f>IF(B1547=0,VLOOKUP(A1547,Feuil2!$A$2:$M$1241,2,FALSE)," ")</f>
        <v>BOUAZZA</v>
      </c>
      <c r="D1547" s="1" t="str">
        <f>IF(B1547=0,VLOOKUP(A1547,Feuil2!$A$2:$M$1241,3,FALSE)," ")</f>
        <v>WALID</v>
      </c>
      <c r="E1547" s="5">
        <f>IF(B1547=0,VLOOKUP(A1547,Feuil2!$A$2:$M$1241,6,FALSE)," ")</f>
        <v>30852</v>
      </c>
      <c r="F1547" s="1" t="str">
        <f>IF(B1547=0,VLOOKUP(A1547,Feuil2!$A$2:$M$1241,12,FALSE)," ")</f>
        <v>H</v>
      </c>
      <c r="G1547" s="1" t="str">
        <f>IF(B1547=0,VLOOKUP(A1547,Feuil2!$A$2:$M$1241,11,FALSE)," ")</f>
        <v>M</v>
      </c>
      <c r="H1547" s="1" t="s">
        <v>16</v>
      </c>
      <c r="I1547" s="6">
        <f>IF(B1547=0,VLOOKUP(A1547,Feuil2!$A$2:$M$1241,7,FALSE)," ")</f>
        <v>8461696</v>
      </c>
      <c r="J1547" s="1" t="str">
        <f>IF(B1547=0,VLOOKUP(A1547,Feuil2!$A$2:$M$1241,9,FALSE)," ")</f>
        <v>19 rue 20 mars</v>
      </c>
      <c r="K1547" s="1" t="str">
        <f>IF(B1547=0,VLOOKUP(A1547,Feuil2!$A$2:$M$1241,10,FALSE)," ")</f>
        <v>Msaken 4070</v>
      </c>
      <c r="L1547" s="1">
        <v>4070</v>
      </c>
      <c r="M1547" s="1">
        <v>22327608</v>
      </c>
      <c r="N1547" s="1"/>
      <c r="O1547" s="8" t="str">
        <f>IF(B1551=0,VLOOKUP(A1551,Feuil2!$A$2:$M$1241,13,FALSE)," ")</f>
        <v>24010036033251110129</v>
      </c>
    </row>
    <row r="1548" spans="1:15" x14ac:dyDescent="0.3">
      <c r="A1548" s="1">
        <v>1923</v>
      </c>
      <c r="B1548" s="1">
        <v>1</v>
      </c>
      <c r="C1548" s="1" t="s">
        <v>676</v>
      </c>
      <c r="D1548" s="1" t="s">
        <v>1007</v>
      </c>
      <c r="E1548" s="5">
        <v>32225</v>
      </c>
      <c r="F1548" s="1" t="s">
        <v>17</v>
      </c>
      <c r="G1548" s="1" t="s">
        <v>15</v>
      </c>
      <c r="H1548" s="1" t="s">
        <v>16</v>
      </c>
      <c r="I1548" s="6" t="str">
        <f>IF(B1548=0,VLOOKUP(A1548,Feuil2!$A$2:$M$1241,7,FALSE)," ")</f>
        <v xml:space="preserve"> </v>
      </c>
      <c r="J1548" s="1" t="str">
        <f>IF(B1548=0,VLOOKUP(A1548,Feuil2!$A$2:$M$1241,9,FALSE)," ")</f>
        <v xml:space="preserve"> </v>
      </c>
      <c r="K1548" s="1" t="str">
        <f>IF(B1548=0,VLOOKUP(A1548,Feuil2!$A$2:$M$1241,10,FALSE)," ")</f>
        <v xml:space="preserve"> </v>
      </c>
      <c r="L1548" s="1"/>
      <c r="M1548" s="1"/>
      <c r="N1548" s="1"/>
      <c r="O1548" s="8" t="str">
        <f>IF(B1552=0,VLOOKUP(A1552,Feuil2!$A$2:$M$1241,13,FALSE)," ")</f>
        <v xml:space="preserve"> </v>
      </c>
    </row>
    <row r="1549" spans="1:15" x14ac:dyDescent="0.3">
      <c r="A1549" s="1">
        <v>1923</v>
      </c>
      <c r="B1549" s="1">
        <v>2</v>
      </c>
      <c r="C1549" s="1" t="s">
        <v>297</v>
      </c>
      <c r="D1549" s="1" t="s">
        <v>2383</v>
      </c>
      <c r="E1549" s="5">
        <v>41822</v>
      </c>
      <c r="F1549" s="1" t="s">
        <v>17</v>
      </c>
      <c r="G1549" s="1" t="str">
        <f>IF(B1549=0,VLOOKUP(A1549,Feuil2!$A$2:$M$1241,11,FALSE)," ")</f>
        <v xml:space="preserve"> </v>
      </c>
      <c r="H1549" s="1" t="s">
        <v>16</v>
      </c>
      <c r="I1549" s="6" t="str">
        <f>IF(B1549=0,VLOOKUP(A1549,Feuil2!$A$2:$M$1241,7,FALSE)," ")</f>
        <v xml:space="preserve"> </v>
      </c>
      <c r="J1549" s="1" t="str">
        <f>IF(B1549=0,VLOOKUP(A1549,Feuil2!$A$2:$M$1241,9,FALSE)," ")</f>
        <v xml:space="preserve"> </v>
      </c>
      <c r="K1549" s="1" t="str">
        <f>IF(B1549=0,VLOOKUP(A1549,Feuil2!$A$2:$M$1241,10,FALSE)," ")</f>
        <v xml:space="preserve"> </v>
      </c>
      <c r="L1549" s="1"/>
      <c r="M1549" s="1"/>
      <c r="N1549" s="1"/>
      <c r="O1549" s="8" t="str">
        <f>IF(B1553=0,VLOOKUP(A1553,Feuil2!$A$2:$M$1241,13,FALSE)," ")</f>
        <v xml:space="preserve"> </v>
      </c>
    </row>
    <row r="1550" spans="1:15" x14ac:dyDescent="0.3">
      <c r="A1550" s="1">
        <v>1923</v>
      </c>
      <c r="B1550" s="1">
        <v>3</v>
      </c>
      <c r="C1550" s="1" t="s">
        <v>297</v>
      </c>
      <c r="D1550" s="1" t="s">
        <v>29</v>
      </c>
      <c r="E1550" s="5">
        <v>43807</v>
      </c>
      <c r="F1550" s="1" t="s">
        <v>17</v>
      </c>
      <c r="G1550" s="1" t="str">
        <f>IF(B1550=0,VLOOKUP(A1550,Feuil2!$A$2:$M$1241,11,FALSE)," ")</f>
        <v xml:space="preserve"> </v>
      </c>
      <c r="H1550" s="1" t="s">
        <v>16</v>
      </c>
      <c r="I1550" s="6" t="str">
        <f>IF(B1550=0,VLOOKUP(A1550,Feuil2!$A$2:$M$1241,7,FALSE)," ")</f>
        <v xml:space="preserve"> </v>
      </c>
      <c r="J1550" s="1" t="str">
        <f>IF(B1550=0,VLOOKUP(A1550,Feuil2!$A$2:$M$1241,9,FALSE)," ")</f>
        <v xml:space="preserve"> </v>
      </c>
      <c r="K1550" s="1" t="str">
        <f>IF(B1550=0,VLOOKUP(A1550,Feuil2!$A$2:$M$1241,10,FALSE)," ")</f>
        <v xml:space="preserve"> </v>
      </c>
      <c r="L1550" s="1"/>
      <c r="M1550" s="1"/>
      <c r="N1550" s="1"/>
      <c r="O1550" s="8" t="str">
        <f>IF(B1554=0,VLOOKUP(A1554,Feuil2!$A$2:$M$1241,13,FALSE)," ")</f>
        <v xml:space="preserve"> </v>
      </c>
    </row>
    <row r="1551" spans="1:15" x14ac:dyDescent="0.3">
      <c r="A1551" s="1">
        <v>1927</v>
      </c>
      <c r="B1551" s="1">
        <v>0</v>
      </c>
      <c r="C1551" s="1" t="str">
        <f>IF(B1551=0,VLOOKUP(A1551,Feuil2!$A$2:$M$1241,2,FALSE)," ")</f>
        <v>BEN HAMMOUDA</v>
      </c>
      <c r="D1551" s="1" t="str">
        <f>IF(B1551=0,VLOOKUP(A1551,Feuil2!$A$2:$M$1241,3,FALSE)," ")</f>
        <v>AYMEN</v>
      </c>
      <c r="E1551" s="5">
        <f>IF(B1551=0,VLOOKUP(A1551,Feuil2!$A$2:$M$1241,6,FALSE)," ")</f>
        <v>30137</v>
      </c>
      <c r="F1551" s="1" t="str">
        <f>IF(B1551=0,VLOOKUP(A1551,Feuil2!$A$2:$M$1241,12,FALSE)," ")</f>
        <v>H</v>
      </c>
      <c r="G1551" s="1" t="str">
        <f>IF(B1551=0,VLOOKUP(A1551,Feuil2!$A$2:$M$1241,11,FALSE)," ")</f>
        <v>M</v>
      </c>
      <c r="H1551" s="1" t="s">
        <v>16</v>
      </c>
      <c r="I1551" s="6">
        <f>IF(B1551=0,VLOOKUP(A1551,Feuil2!$A$2:$M$1241,7,FALSE)," ")</f>
        <v>8463435</v>
      </c>
      <c r="J1551" s="1" t="str">
        <f>IF(B1551=0,VLOOKUP(A1551,Feuil2!$A$2:$M$1241,9,FALSE)," ")</f>
        <v>Aouled Kbaier</v>
      </c>
      <c r="K1551" s="1" t="str">
        <f>IF(B1551=0,VLOOKUP(A1551,Feuil2!$A$2:$M$1241,10,FALSE)," ")</f>
        <v>Sidi El HÃ©ni 4025</v>
      </c>
      <c r="L1551" s="1"/>
      <c r="M1551" s="1">
        <v>29283319</v>
      </c>
      <c r="N1551" s="1"/>
      <c r="O1551" s="8" t="str">
        <f>IF(B1556=0,VLOOKUP(A1556,Feuil2!$A$2:$M$1241,13,FALSE)," ")</f>
        <v>11020002270500878896</v>
      </c>
    </row>
    <row r="1552" spans="1:15" x14ac:dyDescent="0.3">
      <c r="A1552" s="1">
        <v>1927</v>
      </c>
      <c r="B1552" s="1">
        <v>1</v>
      </c>
      <c r="C1552" s="1" t="s">
        <v>2743</v>
      </c>
      <c r="D1552" s="1" t="s">
        <v>2418</v>
      </c>
      <c r="E1552" s="5">
        <v>33269</v>
      </c>
      <c r="F1552" s="1" t="s">
        <v>17</v>
      </c>
      <c r="G1552" s="1" t="s">
        <v>15</v>
      </c>
      <c r="H1552" s="1" t="s">
        <v>16</v>
      </c>
      <c r="I1552" s="6" t="str">
        <f>IF(B1552=0,VLOOKUP(A1552,Feuil2!$A$2:$M$1241,7,FALSE)," ")</f>
        <v xml:space="preserve"> </v>
      </c>
      <c r="J1552" s="1" t="str">
        <f>IF(B1552=0,VLOOKUP(A1552,Feuil2!$A$2:$M$1241,9,FALSE)," ")</f>
        <v xml:space="preserve"> </v>
      </c>
      <c r="K1552" s="1" t="str">
        <f>IF(B1552=0,VLOOKUP(A1552,Feuil2!$A$2:$M$1241,10,FALSE)," ")</f>
        <v xml:space="preserve"> </v>
      </c>
      <c r="L1552" s="1"/>
      <c r="M1552" s="1"/>
      <c r="N1552" s="1"/>
      <c r="O1552" s="8" t="str">
        <f>IF(B1557=0,VLOOKUP(A1557,Feuil2!$A$2:$M$1241,13,FALSE)," ")</f>
        <v xml:space="preserve"> </v>
      </c>
    </row>
    <row r="1553" spans="1:15" x14ac:dyDescent="0.3">
      <c r="A1553" s="1">
        <v>1927</v>
      </c>
      <c r="B1553" s="1">
        <v>2</v>
      </c>
      <c r="C1553" s="1" t="s">
        <v>666</v>
      </c>
      <c r="D1553" s="1" t="s">
        <v>2744</v>
      </c>
      <c r="E1553" s="5">
        <v>42577</v>
      </c>
      <c r="F1553" s="1" t="s">
        <v>506</v>
      </c>
      <c r="G1553" s="1" t="str">
        <f>IF(B1553=0,VLOOKUP(A1553,Feuil2!$A$2:$M$1241,11,FALSE)," ")</f>
        <v xml:space="preserve"> </v>
      </c>
      <c r="H1553" s="1" t="s">
        <v>16</v>
      </c>
      <c r="I1553" s="6" t="str">
        <f>IF(B1553=0,VLOOKUP(A1553,Feuil2!$A$2:$M$1241,7,FALSE)," ")</f>
        <v xml:space="preserve"> </v>
      </c>
      <c r="J1553" s="1" t="str">
        <f>IF(B1553=0,VLOOKUP(A1553,Feuil2!$A$2:$M$1241,9,FALSE)," ")</f>
        <v xml:space="preserve"> </v>
      </c>
      <c r="K1553" s="1" t="str">
        <f>IF(B1553=0,VLOOKUP(A1553,Feuil2!$A$2:$M$1241,10,FALSE)," ")</f>
        <v xml:space="preserve"> </v>
      </c>
      <c r="L1553" s="1"/>
      <c r="M1553" s="1"/>
      <c r="N1553" s="1"/>
      <c r="O1553" s="8" t="str">
        <f>IF(B1558=0,VLOOKUP(A1558,Feuil2!$A$2:$M$1241,13,FALSE)," ")</f>
        <v xml:space="preserve"> </v>
      </c>
    </row>
    <row r="1554" spans="1:15" x14ac:dyDescent="0.3">
      <c r="A1554" s="1">
        <v>1927</v>
      </c>
      <c r="B1554" s="1">
        <v>3</v>
      </c>
      <c r="C1554" s="1" t="s">
        <v>666</v>
      </c>
      <c r="D1554" s="1" t="s">
        <v>2745</v>
      </c>
      <c r="E1554" s="5">
        <v>43049</v>
      </c>
      <c r="F1554" s="1" t="s">
        <v>506</v>
      </c>
      <c r="G1554" s="1" t="str">
        <f>IF(B1554=0,VLOOKUP(A1554,Feuil2!$A$2:$M$1241,11,FALSE)," ")</f>
        <v xml:space="preserve"> </v>
      </c>
      <c r="H1554" s="1" t="s">
        <v>16</v>
      </c>
      <c r="I1554" s="6" t="str">
        <f>IF(B1554=0,VLOOKUP(A1554,Feuil2!$A$2:$M$1241,7,FALSE)," ")</f>
        <v xml:space="preserve"> </v>
      </c>
      <c r="J1554" s="1" t="str">
        <f>IF(B1554=0,VLOOKUP(A1554,Feuil2!$A$2:$M$1241,9,FALSE)," ")</f>
        <v xml:space="preserve"> </v>
      </c>
      <c r="K1554" s="1" t="str">
        <f>IF(B1554=0,VLOOKUP(A1554,Feuil2!$A$2:$M$1241,10,FALSE)," ")</f>
        <v xml:space="preserve"> </v>
      </c>
      <c r="L1554" s="1"/>
      <c r="M1554" s="1"/>
      <c r="N1554" s="1"/>
      <c r="O1554" s="8" t="str">
        <f>IF(B1559=0,VLOOKUP(A1559,Feuil2!$A$2:$M$1241,13,FALSE)," ")</f>
        <v xml:space="preserve"> </v>
      </c>
    </row>
    <row r="1555" spans="1:15" x14ac:dyDescent="0.3">
      <c r="A1555" s="1">
        <v>1927</v>
      </c>
      <c r="B1555" s="1">
        <v>4</v>
      </c>
      <c r="C1555" s="1" t="s">
        <v>666</v>
      </c>
      <c r="D1555" s="1" t="s">
        <v>3027</v>
      </c>
      <c r="E1555" s="5">
        <v>45210</v>
      </c>
      <c r="F1555" s="1" t="s">
        <v>506</v>
      </c>
      <c r="G1555" s="1"/>
      <c r="H1555" s="1"/>
      <c r="I1555" s="6"/>
      <c r="J1555" s="1"/>
      <c r="K1555" s="1"/>
      <c r="L1555" s="1"/>
      <c r="M1555" s="1"/>
      <c r="N1555" s="1"/>
      <c r="O1555" s="8"/>
    </row>
    <row r="1556" spans="1:15" x14ac:dyDescent="0.3">
      <c r="A1556" s="1">
        <v>1928</v>
      </c>
      <c r="B1556" s="1">
        <v>0</v>
      </c>
      <c r="C1556" s="1" t="str">
        <f>IF(B1556=0,VLOOKUP(A1556,Feuil2!$A$2:$M$1241,2,FALSE)," ")</f>
        <v>ZAGGAR</v>
      </c>
      <c r="D1556" s="1" t="str">
        <f>IF(B1556=0,VLOOKUP(A1556,Feuil2!$A$2:$M$1241,3,FALSE)," ")</f>
        <v>JAMEL</v>
      </c>
      <c r="E1556" s="5">
        <f>IF(B1556=0,VLOOKUP(A1556,Feuil2!$A$2:$M$1241,6,FALSE)," ")</f>
        <v>27960</v>
      </c>
      <c r="F1556" s="1" t="str">
        <f>IF(B1556=0,VLOOKUP(A1556,Feuil2!$A$2:$M$1241,12,FALSE)," ")</f>
        <v>H</v>
      </c>
      <c r="G1556" s="1" t="str">
        <f>IF(B1556=0,VLOOKUP(A1556,Feuil2!$A$2:$M$1241,11,FALSE)," ")</f>
        <v>M</v>
      </c>
      <c r="H1556" s="1" t="s">
        <v>16</v>
      </c>
      <c r="I1556" s="6">
        <f>IF(B1556=0,VLOOKUP(A1556,Feuil2!$A$2:$M$1241,7,FALSE)," ")</f>
        <v>5562829</v>
      </c>
      <c r="J1556" s="1" t="str">
        <f>IF(B1556=0,VLOOKUP(A1556,Feuil2!$A$2:$M$1241,9,FALSE)," ")</f>
        <v>Rue El Kods</v>
      </c>
      <c r="K1556" s="1" t="str">
        <f>IF(B1556=0,VLOOKUP(A1556,Feuil2!$A$2:$M$1241,10,FALSE)," ")</f>
        <v>Msaken 4070</v>
      </c>
      <c r="L1556" s="1">
        <v>4070</v>
      </c>
      <c r="M1556" s="1">
        <v>27828506</v>
      </c>
      <c r="N1556" s="1"/>
      <c r="O1556" s="8" t="str">
        <f>IF(B1560=0,VLOOKUP(A1560,Feuil2!$A$2:$M$1241,13,FALSE)," ")</f>
        <v xml:space="preserve"> </v>
      </c>
    </row>
    <row r="1557" spans="1:15" x14ac:dyDescent="0.3">
      <c r="A1557" s="1">
        <v>1928</v>
      </c>
      <c r="B1557" s="1">
        <v>1</v>
      </c>
      <c r="C1557" s="1" t="s">
        <v>451</v>
      </c>
      <c r="D1557" s="1" t="s">
        <v>2746</v>
      </c>
      <c r="E1557" s="5">
        <v>28860</v>
      </c>
      <c r="F1557" s="1" t="s">
        <v>17</v>
      </c>
      <c r="G1557" s="1" t="s">
        <v>15</v>
      </c>
      <c r="H1557" s="1" t="s">
        <v>16</v>
      </c>
      <c r="I1557" s="6" t="str">
        <f>IF(B1557=0,VLOOKUP(A1557,Feuil2!$A$2:$M$1241,7,FALSE)," ")</f>
        <v xml:space="preserve"> </v>
      </c>
      <c r="J1557" s="1" t="str">
        <f>IF(B1557=0,VLOOKUP(A1557,Feuil2!$A$2:$M$1241,9,FALSE)," ")</f>
        <v xml:space="preserve"> </v>
      </c>
      <c r="K1557" s="1" t="str">
        <f>IF(B1557=0,VLOOKUP(A1557,Feuil2!$A$2:$M$1241,10,FALSE)," ")</f>
        <v xml:space="preserve"> </v>
      </c>
      <c r="L1557" s="1"/>
      <c r="M1557" s="1"/>
      <c r="N1557" s="1"/>
      <c r="O1557" s="8" t="str">
        <f>IF(B1561=0,VLOOKUP(A1561,Feuil2!$A$2:$M$1241,13,FALSE)," ")</f>
        <v>08507000262004279215</v>
      </c>
    </row>
    <row r="1558" spans="1:15" x14ac:dyDescent="0.3">
      <c r="A1558" s="1">
        <v>1928</v>
      </c>
      <c r="B1558" s="1">
        <v>2</v>
      </c>
      <c r="C1558" s="1" t="s">
        <v>451</v>
      </c>
      <c r="D1558" s="1" t="s">
        <v>149</v>
      </c>
      <c r="E1558" s="5">
        <v>39296</v>
      </c>
      <c r="F1558" s="1" t="s">
        <v>506</v>
      </c>
      <c r="G1558" s="1" t="str">
        <f>IF(B1558=0,VLOOKUP(A1558,Feuil2!$A$2:$M$1241,11,FALSE)," ")</f>
        <v xml:space="preserve"> </v>
      </c>
      <c r="H1558" s="1" t="s">
        <v>16</v>
      </c>
      <c r="I1558" s="6" t="str">
        <f>IF(B1558=0,VLOOKUP(A1558,Feuil2!$A$2:$M$1241,7,FALSE)," ")</f>
        <v xml:space="preserve"> </v>
      </c>
      <c r="J1558" s="1" t="str">
        <f>IF(B1558=0,VLOOKUP(A1558,Feuil2!$A$2:$M$1241,9,FALSE)," ")</f>
        <v xml:space="preserve"> </v>
      </c>
      <c r="K1558" s="1" t="str">
        <f>IF(B1558=0,VLOOKUP(A1558,Feuil2!$A$2:$M$1241,10,FALSE)," ")</f>
        <v xml:space="preserve"> </v>
      </c>
      <c r="L1558" s="1"/>
      <c r="M1558" s="1"/>
      <c r="N1558" s="1"/>
      <c r="O1558" s="8" t="str">
        <f>IF(B1562=0,VLOOKUP(A1562,Feuil2!$A$2:$M$1241,13,FALSE)," ")</f>
        <v>08050020052001121701</v>
      </c>
    </row>
    <row r="1559" spans="1:15" x14ac:dyDescent="0.3">
      <c r="A1559" s="1">
        <v>1928</v>
      </c>
      <c r="B1559" s="1">
        <v>3</v>
      </c>
      <c r="C1559" s="1" t="s">
        <v>451</v>
      </c>
      <c r="D1559" s="1" t="s">
        <v>2747</v>
      </c>
      <c r="E1559" s="5">
        <v>39935</v>
      </c>
      <c r="F1559" s="1" t="s">
        <v>17</v>
      </c>
      <c r="G1559" s="1" t="str">
        <f>IF(B1559=0,VLOOKUP(A1559,Feuil2!$A$2:$M$1241,11,FALSE)," ")</f>
        <v xml:space="preserve"> </v>
      </c>
      <c r="H1559" s="1" t="s">
        <v>16</v>
      </c>
      <c r="I1559" s="6" t="str">
        <f>IF(B1559=0,VLOOKUP(A1559,Feuil2!$A$2:$M$1241,7,FALSE)," ")</f>
        <v xml:space="preserve"> </v>
      </c>
      <c r="J1559" s="1" t="str">
        <f>IF(B1559=0,VLOOKUP(A1559,Feuil2!$A$2:$M$1241,9,FALSE)," ")</f>
        <v xml:space="preserve"> </v>
      </c>
      <c r="K1559" s="1" t="str">
        <f>IF(B1559=0,VLOOKUP(A1559,Feuil2!$A$2:$M$1241,10,FALSE)," ")</f>
        <v xml:space="preserve"> </v>
      </c>
      <c r="L1559" s="1"/>
      <c r="M1559" s="1"/>
      <c r="N1559" s="1"/>
      <c r="O1559" s="8" t="str">
        <f>IF(B1563=0,VLOOKUP(A1563,Feuil2!$A$2:$M$1241,13,FALSE)," ")</f>
        <v xml:space="preserve"> </v>
      </c>
    </row>
    <row r="1560" spans="1:15" x14ac:dyDescent="0.3">
      <c r="A1560" s="1">
        <v>1928</v>
      </c>
      <c r="B1560" s="1">
        <v>4</v>
      </c>
      <c r="C1560" s="1" t="s">
        <v>451</v>
      </c>
      <c r="D1560" s="1" t="s">
        <v>2748</v>
      </c>
      <c r="E1560" s="5">
        <v>42082</v>
      </c>
      <c r="F1560" s="1" t="s">
        <v>506</v>
      </c>
      <c r="G1560" s="1" t="str">
        <f>IF(B1560=0,VLOOKUP(A1560,Feuil2!$A$2:$M$1241,11,FALSE)," ")</f>
        <v xml:space="preserve"> </v>
      </c>
      <c r="H1560" s="1" t="s">
        <v>16</v>
      </c>
      <c r="I1560" s="6" t="str">
        <f>IF(B1560=0,VLOOKUP(A1560,Feuil2!$A$2:$M$1241,7,FALSE)," ")</f>
        <v xml:space="preserve"> </v>
      </c>
      <c r="J1560" s="1" t="str">
        <f>IF(B1560=0,VLOOKUP(A1560,Feuil2!$A$2:$M$1241,9,FALSE)," ")</f>
        <v xml:space="preserve"> </v>
      </c>
      <c r="K1560" s="1" t="str">
        <f>IF(B1560=0,VLOOKUP(A1560,Feuil2!$A$2:$M$1241,10,FALSE)," ")</f>
        <v xml:space="preserve"> </v>
      </c>
      <c r="L1560" s="1"/>
      <c r="M1560" s="1"/>
      <c r="N1560" s="1"/>
      <c r="O1560" s="8" t="str">
        <f>IF(B1564=0,VLOOKUP(A1564,Feuil2!$A$2:$M$1241,13,FALSE)," ")</f>
        <v xml:space="preserve"> </v>
      </c>
    </row>
    <row r="1561" spans="1:15" x14ac:dyDescent="0.3">
      <c r="A1561" s="1">
        <v>1929</v>
      </c>
      <c r="B1561" s="1">
        <v>0</v>
      </c>
      <c r="C1561" s="1" t="str">
        <f>IF(B1561=0,VLOOKUP(A1561,Feuil2!$A$2:$M$1241,2,FALSE)," ")</f>
        <v>DAHMANI</v>
      </c>
      <c r="D1561" s="1" t="str">
        <f>IF(B1561=0,VLOOKUP(A1561,Feuil2!$A$2:$M$1241,3,FALSE)," ")</f>
        <v>HAMDI</v>
      </c>
      <c r="E1561" s="5">
        <f>IF(B1561=0,VLOOKUP(A1561,Feuil2!$A$2:$M$1241,6,FALSE)," ")</f>
        <v>33917</v>
      </c>
      <c r="F1561" s="1" t="str">
        <f>IF(B1561=0,VLOOKUP(A1561,Feuil2!$A$2:$M$1241,12,FALSE)," ")</f>
        <v>H</v>
      </c>
      <c r="G1561" s="1" t="str">
        <f>IF(B1561=0,VLOOKUP(A1561,Feuil2!$A$2:$M$1241,11,FALSE)," ")</f>
        <v>C</v>
      </c>
      <c r="H1561" s="1" t="s">
        <v>16</v>
      </c>
      <c r="I1561" s="6">
        <f>IF(B1561=0,VLOOKUP(A1561,Feuil2!$A$2:$M$1241,7,FALSE)," ")</f>
        <v>9323574</v>
      </c>
      <c r="J1561" s="1" t="str">
        <f>IF(B1561=0,VLOOKUP(A1561,Feuil2!$A$2:$M$1241,9,FALSE)," ")</f>
        <v>Rue Dahmani Bougi</v>
      </c>
      <c r="K1561" s="1" t="str">
        <f>IF(B1561=0,VLOOKUP(A1561,Feuil2!$A$2:$M$1241,10,FALSE)," ")</f>
        <v>Msaken 4070</v>
      </c>
      <c r="L1561" s="1">
        <v>4070</v>
      </c>
      <c r="M1561" s="1">
        <v>25655217</v>
      </c>
      <c r="N1561" s="1"/>
      <c r="O1561" s="8" t="str">
        <f>IF(B1565=0,VLOOKUP(A1565,Feuil2!$A$2:$M$1241,13,FALSE)," ")</f>
        <v xml:space="preserve"> </v>
      </c>
    </row>
    <row r="1562" spans="1:15" x14ac:dyDescent="0.3">
      <c r="A1562" s="1">
        <v>1936</v>
      </c>
      <c r="B1562" s="1">
        <v>0</v>
      </c>
      <c r="C1562" s="1" t="str">
        <f>IF(B1562=0,VLOOKUP(A1562,Feuil2!$A$2:$M$1241,2,FALSE)," ")</f>
        <v>JLASSI</v>
      </c>
      <c r="D1562" s="1" t="str">
        <f>IF(B1562=0,VLOOKUP(A1562,Feuil2!$A$2:$M$1241,3,FALSE)," ")</f>
        <v>KHALED</v>
      </c>
      <c r="E1562" s="5">
        <f>IF(B1562=0,VLOOKUP(A1562,Feuil2!$A$2:$M$1241,6,FALSE)," ")</f>
        <v>30394</v>
      </c>
      <c r="F1562" s="1" t="str">
        <f>IF(B1562=0,VLOOKUP(A1562,Feuil2!$A$2:$M$1241,12,FALSE)," ")</f>
        <v>H</v>
      </c>
      <c r="G1562" s="1" t="str">
        <f>IF(B1562=0,VLOOKUP(A1562,Feuil2!$A$2:$M$1241,11,FALSE)," ")</f>
        <v>M</v>
      </c>
      <c r="H1562" s="1" t="s">
        <v>16</v>
      </c>
      <c r="I1562" s="6">
        <f>IF(B1562=0,VLOOKUP(A1562,Feuil2!$A$2:$M$1241,7,FALSE)," ")</f>
        <v>8449696</v>
      </c>
      <c r="J1562" s="1" t="str">
        <f>IF(B1562=0,VLOOKUP(A1562,Feuil2!$A$2:$M$1241,9,FALSE)," ")</f>
        <v>Rue El Khir</v>
      </c>
      <c r="K1562" s="1" t="str">
        <f>IF(B1562=0,VLOOKUP(A1562,Feuil2!$A$2:$M$1241,10,FALSE)," ")</f>
        <v>Msaken 4070</v>
      </c>
      <c r="L1562" s="1">
        <v>4070</v>
      </c>
      <c r="M1562" s="1">
        <v>97455904</v>
      </c>
      <c r="N1562" s="1"/>
      <c r="O1562" s="8" t="str">
        <f>IF(B1567=0,VLOOKUP(A1567,Feuil2!$A$2:$M$1241,13,FALSE)," ")</f>
        <v>12024000000204645251</v>
      </c>
    </row>
    <row r="1563" spans="1:15" x14ac:dyDescent="0.3">
      <c r="A1563" s="1">
        <v>1936</v>
      </c>
      <c r="B1563" s="1">
        <v>1</v>
      </c>
      <c r="C1563" s="1" t="s">
        <v>426</v>
      </c>
      <c r="D1563" s="1" t="s">
        <v>2348</v>
      </c>
      <c r="E1563" s="5">
        <v>31944</v>
      </c>
      <c r="F1563" s="1" t="s">
        <v>17</v>
      </c>
      <c r="G1563" s="1" t="s">
        <v>15</v>
      </c>
      <c r="H1563" s="1" t="s">
        <v>16</v>
      </c>
      <c r="I1563" s="6" t="str">
        <f>IF(B1563=0,VLOOKUP(A1563,Feuil2!$A$2:$M$1241,7,FALSE)," ")</f>
        <v xml:space="preserve"> </v>
      </c>
      <c r="J1563" s="1" t="str">
        <f>IF(B1563=0,VLOOKUP(A1563,Feuil2!$A$2:$M$1241,9,FALSE)," ")</f>
        <v xml:space="preserve"> </v>
      </c>
      <c r="K1563" s="1" t="str">
        <f>IF(B1563=0,VLOOKUP(A1563,Feuil2!$A$2:$M$1241,10,FALSE)," ")</f>
        <v xml:space="preserve"> </v>
      </c>
      <c r="L1563" s="1"/>
      <c r="M1563" s="1"/>
      <c r="N1563" s="1"/>
      <c r="O1563" s="8" t="str">
        <f>IF(B1568=0,VLOOKUP(A1568,Feuil2!$A$2:$M$1241,13,FALSE)," ")</f>
        <v xml:space="preserve"> </v>
      </c>
    </row>
    <row r="1564" spans="1:15" x14ac:dyDescent="0.3">
      <c r="A1564" s="1">
        <v>1936</v>
      </c>
      <c r="B1564" s="1">
        <v>2</v>
      </c>
      <c r="C1564" s="1" t="s">
        <v>191</v>
      </c>
      <c r="D1564" s="1" t="s">
        <v>392</v>
      </c>
      <c r="E1564" s="5">
        <v>42146</v>
      </c>
      <c r="F1564" s="1" t="s">
        <v>506</v>
      </c>
      <c r="G1564" s="1" t="str">
        <f>IF(B1564=0,VLOOKUP(A1564,Feuil2!$A$2:$M$1241,11,FALSE)," ")</f>
        <v xml:space="preserve"> </v>
      </c>
      <c r="H1564" s="1" t="s">
        <v>16</v>
      </c>
      <c r="I1564" s="6" t="str">
        <f>IF(B1564=0,VLOOKUP(A1564,Feuil2!$A$2:$M$1241,7,FALSE)," ")</f>
        <v xml:space="preserve"> </v>
      </c>
      <c r="J1564" s="1" t="str">
        <f>IF(B1564=0,VLOOKUP(A1564,Feuil2!$A$2:$M$1241,9,FALSE)," ")</f>
        <v xml:space="preserve"> </v>
      </c>
      <c r="K1564" s="1" t="str">
        <f>IF(B1564=0,VLOOKUP(A1564,Feuil2!$A$2:$M$1241,10,FALSE)," ")</f>
        <v xml:space="preserve"> </v>
      </c>
      <c r="L1564" s="1"/>
      <c r="M1564" s="1"/>
      <c r="N1564" s="1"/>
      <c r="O1564" s="8" t="str">
        <f>IF(B1569=0,VLOOKUP(A1569,Feuil2!$A$2:$M$1241,13,FALSE)," ")</f>
        <v xml:space="preserve"> </v>
      </c>
    </row>
    <row r="1565" spans="1:15" x14ac:dyDescent="0.3">
      <c r="A1565" s="1">
        <v>1936</v>
      </c>
      <c r="B1565" s="1">
        <v>3</v>
      </c>
      <c r="C1565" s="1" t="s">
        <v>191</v>
      </c>
      <c r="D1565" s="1" t="s">
        <v>2749</v>
      </c>
      <c r="E1565" s="5">
        <v>42797</v>
      </c>
      <c r="F1565" s="1" t="s">
        <v>506</v>
      </c>
      <c r="G1565" s="1" t="str">
        <f>IF(B1565=0,VLOOKUP(A1565,Feuil2!$A$2:$M$1241,11,FALSE)," ")</f>
        <v xml:space="preserve"> </v>
      </c>
      <c r="H1565" s="1" t="s">
        <v>16</v>
      </c>
      <c r="I1565" s="6" t="str">
        <f>IF(B1565=0,VLOOKUP(A1565,Feuil2!$A$2:$M$1241,7,FALSE)," ")</f>
        <v xml:space="preserve"> </v>
      </c>
      <c r="J1565" s="1" t="str">
        <f>IF(B1565=0,VLOOKUP(A1565,Feuil2!$A$2:$M$1241,9,FALSE)," ")</f>
        <v xml:space="preserve"> </v>
      </c>
      <c r="K1565" s="1" t="str">
        <f>IF(B1565=0,VLOOKUP(A1565,Feuil2!$A$2:$M$1241,10,FALSE)," ")</f>
        <v xml:space="preserve"> </v>
      </c>
      <c r="L1565" s="1"/>
      <c r="M1565" s="1"/>
      <c r="N1565" s="1"/>
      <c r="O1565" s="8" t="str">
        <f>IF(B1571=0,VLOOKUP(A1571,Feuil2!$A$2:$M$1241,13,FALSE)," ")</f>
        <v>08507000262006891037</v>
      </c>
    </row>
    <row r="1566" spans="1:15" x14ac:dyDescent="0.3">
      <c r="A1566" s="1">
        <v>1936</v>
      </c>
      <c r="B1566" s="1">
        <v>4</v>
      </c>
      <c r="C1566" s="1" t="s">
        <v>191</v>
      </c>
      <c r="D1566" s="1" t="s">
        <v>3260</v>
      </c>
      <c r="E1566" s="5">
        <v>45912</v>
      </c>
      <c r="F1566" s="1" t="s">
        <v>506</v>
      </c>
      <c r="G1566" s="1"/>
      <c r="H1566" s="1"/>
      <c r="I1566" s="6"/>
      <c r="J1566" s="1"/>
      <c r="K1566" s="1"/>
      <c r="L1566" s="1"/>
      <c r="M1566" s="1"/>
      <c r="N1566" s="1"/>
      <c r="O1566" s="8"/>
    </row>
    <row r="1567" spans="1:15" x14ac:dyDescent="0.3">
      <c r="A1567" s="1">
        <v>1953</v>
      </c>
      <c r="B1567" s="1">
        <v>0</v>
      </c>
      <c r="C1567" s="1" t="str">
        <f>IF(B1567=0,VLOOKUP(A1567,Feuil2!$A$2:$M$1241,2,FALSE)," ")</f>
        <v>SGHAIER</v>
      </c>
      <c r="D1567" s="1" t="str">
        <f>IF(B1567=0,VLOOKUP(A1567,Feuil2!$A$2:$M$1241,3,FALSE)," ")</f>
        <v>SAMI</v>
      </c>
      <c r="E1567" s="5">
        <f>IF(B1567=0,VLOOKUP(A1567,Feuil2!$A$2:$M$1241,6,FALSE)," ")</f>
        <v>29789</v>
      </c>
      <c r="F1567" s="1" t="str">
        <f>IF(B1567=0,VLOOKUP(A1567,Feuil2!$A$2:$M$1241,12,FALSE)," ")</f>
        <v>H</v>
      </c>
      <c r="G1567" s="1" t="str">
        <f>IF(B1567=0,VLOOKUP(A1567,Feuil2!$A$2:$M$1241,11,FALSE)," ")</f>
        <v>M</v>
      </c>
      <c r="H1567" s="1" t="s">
        <v>16</v>
      </c>
      <c r="I1567" s="6">
        <f>IF(B1567=0,VLOOKUP(A1567,Feuil2!$A$2:$M$1241,7,FALSE)," ")</f>
        <v>8434759</v>
      </c>
      <c r="J1567" s="1" t="str">
        <f>IF(B1567=0,VLOOKUP(A1567,Feuil2!$A$2:$M$1241,9,FALSE)," ")</f>
        <v>52, Rue Imam Baydhaoui Khezama</v>
      </c>
      <c r="K1567" s="1" t="str">
        <f>IF(B1567=0,VLOOKUP(A1567,Feuil2!$A$2:$M$1241,10,FALSE)," ")</f>
        <v>Sousse</v>
      </c>
      <c r="L1567" s="1"/>
      <c r="M1567" s="1">
        <v>98793627</v>
      </c>
      <c r="N1567" s="1"/>
      <c r="O1567" s="20" t="str">
        <f>IF(B1572=0,VLOOKUP(A1572,Feuil2!$A$2:$M$1241,13,FALSE)," ")</f>
        <v>17503000000123973280</v>
      </c>
    </row>
    <row r="1568" spans="1:15" x14ac:dyDescent="0.3">
      <c r="A1568" s="1">
        <v>1953</v>
      </c>
      <c r="B1568" s="1">
        <v>1</v>
      </c>
      <c r="C1568" s="1" t="s">
        <v>2750</v>
      </c>
      <c r="D1568" s="1" t="s">
        <v>2370</v>
      </c>
      <c r="E1568" s="5">
        <v>30890</v>
      </c>
      <c r="F1568" s="1" t="s">
        <v>17</v>
      </c>
      <c r="G1568" s="1" t="s">
        <v>15</v>
      </c>
      <c r="H1568" s="1" t="s">
        <v>16</v>
      </c>
      <c r="I1568" s="6" t="str">
        <f>IF(B1568=0,VLOOKUP(A1568,Feuil2!$A$2:$M$1241,7,FALSE)," ")</f>
        <v xml:space="preserve"> </v>
      </c>
      <c r="J1568" s="1" t="str">
        <f>IF(B1568=0,VLOOKUP(A1568,Feuil2!$A$2:$M$1241,9,FALSE)," ")</f>
        <v xml:space="preserve"> </v>
      </c>
      <c r="K1568" s="1" t="str">
        <f>IF(B1568=0,VLOOKUP(A1568,Feuil2!$A$2:$M$1241,10,FALSE)," ")</f>
        <v xml:space="preserve"> </v>
      </c>
      <c r="L1568" s="1"/>
      <c r="M1568" s="1"/>
      <c r="N1568" s="1"/>
      <c r="O1568" s="8" t="str">
        <f>IF(B1573=0,VLOOKUP(A1573,Feuil2!$A$2:$M$1241,13,FALSE)," ")</f>
        <v xml:space="preserve"> </v>
      </c>
    </row>
    <row r="1569" spans="1:16" x14ac:dyDescent="0.3">
      <c r="A1569" s="1">
        <v>1953</v>
      </c>
      <c r="B1569" s="1">
        <v>2</v>
      </c>
      <c r="C1569" s="1" t="s">
        <v>318</v>
      </c>
      <c r="D1569" s="1" t="s">
        <v>2345</v>
      </c>
      <c r="E1569" s="5">
        <v>40699</v>
      </c>
      <c r="F1569" s="1" t="s">
        <v>17</v>
      </c>
      <c r="G1569" s="1" t="str">
        <f>IF(B1569=0,VLOOKUP(A1569,Feuil2!$A$2:$M$1241,11,FALSE)," ")</f>
        <v xml:space="preserve"> </v>
      </c>
      <c r="H1569" s="1" t="s">
        <v>16</v>
      </c>
      <c r="I1569" s="6" t="str">
        <f>IF(B1569=0,VLOOKUP(A1569,Feuil2!$A$2:$M$1241,7,FALSE)," ")</f>
        <v xml:space="preserve"> </v>
      </c>
      <c r="J1569" s="1" t="str">
        <f>IF(B1569=0,VLOOKUP(A1569,Feuil2!$A$2:$M$1241,9,FALSE)," ")</f>
        <v xml:space="preserve"> </v>
      </c>
      <c r="K1569" s="1" t="str">
        <f>IF(B1569=0,VLOOKUP(A1569,Feuil2!$A$2:$M$1241,10,FALSE)," ")</f>
        <v xml:space="preserve"> </v>
      </c>
      <c r="L1569" s="1"/>
      <c r="M1569" s="1"/>
      <c r="N1569" s="1"/>
      <c r="O1569" s="8" t="str">
        <f>IF(B1574=0,VLOOKUP(A1574,Feuil2!$A$2:$M$1241,13,FALSE)," ")</f>
        <v xml:space="preserve"> </v>
      </c>
    </row>
    <row r="1570" spans="1:16" x14ac:dyDescent="0.3">
      <c r="A1570" s="1">
        <v>1953</v>
      </c>
      <c r="B1570" s="1">
        <v>3</v>
      </c>
      <c r="C1570" s="1" t="s">
        <v>318</v>
      </c>
      <c r="D1570" s="1" t="s">
        <v>218</v>
      </c>
      <c r="E1570" s="5">
        <v>44754</v>
      </c>
      <c r="F1570" s="1" t="s">
        <v>506</v>
      </c>
      <c r="G1570" s="1"/>
      <c r="H1570" s="1" t="s">
        <v>16</v>
      </c>
      <c r="I1570" s="6"/>
      <c r="J1570" s="1"/>
      <c r="K1570" s="1"/>
      <c r="L1570" s="1"/>
      <c r="M1570" s="1"/>
      <c r="N1570" s="1"/>
      <c r="O1570" s="8" t="str">
        <f>IF(B1575=0,VLOOKUP(A1575,Feuil2!$A$2:$M$1241,13,FALSE)," ")</f>
        <v xml:space="preserve"> </v>
      </c>
    </row>
    <row r="1571" spans="1:16" x14ac:dyDescent="0.3">
      <c r="A1571" s="1">
        <v>1955</v>
      </c>
      <c r="B1571" s="1">
        <v>0</v>
      </c>
      <c r="C1571" s="1" t="str">
        <f>IF(B1571=0,VLOOKUP(A1571,Feuil2!$A$2:$M$1241,2,FALSE)," ")</f>
        <v>OMRAMNE</v>
      </c>
      <c r="D1571" s="1" t="str">
        <f>IF(B1571=0,VLOOKUP(A1571,Feuil2!$A$2:$M$1241,3,FALSE)," ")</f>
        <v>HAMMOUDA</v>
      </c>
      <c r="E1571" s="5">
        <f>IF(B1571=0,VLOOKUP(A1571,Feuil2!$A$2:$M$1241,6,FALSE)," ")</f>
        <v>34309</v>
      </c>
      <c r="F1571" s="1" t="str">
        <f>IF(B1571=0,VLOOKUP(A1571,Feuil2!$A$2:$M$1241,12,FALSE)," ")</f>
        <v>H</v>
      </c>
      <c r="G1571" s="1" t="str">
        <f>IF(B1571=0,VLOOKUP(A1571,Feuil2!$A$2:$M$1241,11,FALSE)," ")</f>
        <v>C</v>
      </c>
      <c r="H1571" s="1" t="s">
        <v>16</v>
      </c>
      <c r="I1571" s="6">
        <f>IF(B1571=0,VLOOKUP(A1571,Feuil2!$A$2:$M$1241,7,FALSE)," ")</f>
        <v>9321312</v>
      </c>
      <c r="J1571" s="1" t="str">
        <f>IF(B1571=0,VLOOKUP(A1571,Feuil2!$A$2:$M$1241,9,FALSE)," ")</f>
        <v>20, Rue Jinene Sidi Tahar</v>
      </c>
      <c r="K1571" s="1" t="str">
        <f>IF(B1571=0,VLOOKUP(A1571,Feuil2!$A$2:$M$1241,10,FALSE)," ")</f>
        <v>Ksour Essef</v>
      </c>
      <c r="L1571" s="1"/>
      <c r="M1571" s="1">
        <v>98783244</v>
      </c>
      <c r="N1571" s="1"/>
      <c r="O1571" s="8" t="str">
        <f>IF(B1576=0,VLOOKUP(A1576,Feuil2!$A$2:$M$1241,13,FALSE)," ")</f>
        <v xml:space="preserve"> </v>
      </c>
    </row>
    <row r="1572" spans="1:16" x14ac:dyDescent="0.3">
      <c r="A1572" s="1">
        <v>1957</v>
      </c>
      <c r="B1572" s="17">
        <v>0</v>
      </c>
      <c r="C1572" s="17" t="str">
        <f>IF(B1572=0,VLOOKUP(A1572,Feuil2!$A$2:$M$1241,2,FALSE)," ")</f>
        <v>ZID</v>
      </c>
      <c r="D1572" s="17" t="str">
        <f>IF(B1572=0,VLOOKUP(A1572,Feuil2!$A$2:$M$1241,3,FALSE)," ")</f>
        <v>AHMED</v>
      </c>
      <c r="E1572" s="18">
        <f>IF(B1572=0,VLOOKUP(A1572,Feuil2!$A$2:$M$1241,6,FALSE)," ")</f>
        <v>22778</v>
      </c>
      <c r="F1572" s="17" t="str">
        <f>IF(B1572=0,VLOOKUP(A1572,Feuil2!$A$2:$M$1241,12,FALSE)," ")</f>
        <v>H</v>
      </c>
      <c r="G1572" s="17" t="str">
        <f>IF(B1572=0,VLOOKUP(A1572,Feuil2!$A$2:$M$1241,11,FALSE)," ")</f>
        <v>M</v>
      </c>
      <c r="H1572" s="17" t="s">
        <v>16</v>
      </c>
      <c r="I1572" s="19">
        <f>IF(B1572=0,VLOOKUP(A1572,Feuil2!$A$2:$M$1241,7,FALSE)," ")</f>
        <v>2947278</v>
      </c>
      <c r="J1572" s="17" t="str">
        <f>IF(B1572=0,VLOOKUP(A1572,Feuil2!$A$2:$M$1241,9,FALSE)," ")</f>
        <v>Aouled Ali El HÃ©ni</v>
      </c>
      <c r="K1572" s="17" t="str">
        <f>IF(B1572=0,VLOOKUP(A1572,Feuil2!$A$2:$M$1241,10,FALSE)," ")</f>
        <v>Sidi El HÃ©ni 4025</v>
      </c>
      <c r="L1572" s="17"/>
      <c r="M1572" s="17">
        <v>21449038</v>
      </c>
      <c r="N1572" s="17"/>
      <c r="O1572" s="8" t="str">
        <f>IF(B1577=0,VLOOKUP(A1577,Feuil2!$A$2:$M$1241,13,FALSE)," ")</f>
        <v>05048000116500460004</v>
      </c>
    </row>
    <row r="1573" spans="1:16" x14ac:dyDescent="0.3">
      <c r="A1573" s="1">
        <v>1957</v>
      </c>
      <c r="B1573" s="1">
        <v>1</v>
      </c>
      <c r="C1573" s="1" t="s">
        <v>1547</v>
      </c>
      <c r="D1573" s="1" t="s">
        <v>2309</v>
      </c>
      <c r="E1573" s="5">
        <v>24567</v>
      </c>
      <c r="F1573" s="1" t="s">
        <v>17</v>
      </c>
      <c r="G1573" s="1" t="s">
        <v>15</v>
      </c>
      <c r="H1573" s="1" t="s">
        <v>16</v>
      </c>
      <c r="I1573" s="6" t="str">
        <f>IF(B1573=0,VLOOKUP(A1573,Feuil2!$A$2:$M$1241,7,FALSE)," ")</f>
        <v xml:space="preserve"> </v>
      </c>
      <c r="J1573" s="1" t="str">
        <f>IF(B1573=0,VLOOKUP(A1573,Feuil2!$A$2:$M$1241,9,FALSE)," ")</f>
        <v xml:space="preserve"> </v>
      </c>
      <c r="K1573" s="1" t="str">
        <f>IF(B1573=0,VLOOKUP(A1573,Feuil2!$A$2:$M$1241,10,FALSE)," ")</f>
        <v xml:space="preserve"> </v>
      </c>
      <c r="L1573" s="1"/>
      <c r="M1573" s="1"/>
      <c r="N1573" s="1"/>
      <c r="O1573" s="8" t="str">
        <f>IF(B1578=0,VLOOKUP(A1578,Feuil2!$A$2:$M$1241,13,FALSE)," ")</f>
        <v xml:space="preserve"> </v>
      </c>
    </row>
    <row r="1574" spans="1:16" x14ac:dyDescent="0.3">
      <c r="A1574" s="1">
        <v>1957</v>
      </c>
      <c r="B1574" s="1">
        <v>2</v>
      </c>
      <c r="C1574" s="1" t="s">
        <v>91</v>
      </c>
      <c r="D1574" s="1" t="s">
        <v>2480</v>
      </c>
      <c r="E1574" s="5">
        <v>33790</v>
      </c>
      <c r="F1574" s="1" t="s">
        <v>17</v>
      </c>
      <c r="G1574" s="1" t="str">
        <f>IF(B1574=0,VLOOKUP(A1574,Feuil2!$A$2:$M$1241,11,FALSE)," ")</f>
        <v xml:space="preserve"> </v>
      </c>
      <c r="H1574" s="1" t="s">
        <v>16</v>
      </c>
      <c r="I1574" s="6" t="str">
        <f>IF(B1574=0,VLOOKUP(A1574,Feuil2!$A$2:$M$1241,7,FALSE)," ")</f>
        <v xml:space="preserve"> </v>
      </c>
      <c r="J1574" s="1" t="str">
        <f>IF(B1574=0,VLOOKUP(A1574,Feuil2!$A$2:$M$1241,9,FALSE)," ")</f>
        <v xml:space="preserve"> </v>
      </c>
      <c r="K1574" s="1" t="str">
        <f>IF(B1574=0,VLOOKUP(A1574,Feuil2!$A$2:$M$1241,10,FALSE)," ")</f>
        <v xml:space="preserve"> </v>
      </c>
      <c r="L1574" s="1"/>
      <c r="M1574" s="1"/>
      <c r="N1574" s="1"/>
      <c r="O1574" s="8" t="str">
        <f>IF(B1579=0,VLOOKUP(A1579,Feuil2!$A$2:$M$1241,13,FALSE)," ")</f>
        <v xml:space="preserve"> </v>
      </c>
    </row>
    <row r="1575" spans="1:16" x14ac:dyDescent="0.3">
      <c r="A1575" s="1">
        <v>1957</v>
      </c>
      <c r="B1575" s="1">
        <v>3</v>
      </c>
      <c r="C1575" s="1" t="s">
        <v>91</v>
      </c>
      <c r="D1575" s="1" t="s">
        <v>34</v>
      </c>
      <c r="E1575" s="5">
        <v>34835</v>
      </c>
      <c r="F1575" s="1" t="s">
        <v>506</v>
      </c>
      <c r="G1575" s="1" t="str">
        <f>IF(B1575=0,VLOOKUP(A1575,Feuil2!$A$2:$M$1241,11,FALSE)," ")</f>
        <v xml:space="preserve"> </v>
      </c>
      <c r="H1575" s="1" t="s">
        <v>16</v>
      </c>
      <c r="I1575" s="6" t="str">
        <f>IF(B1575=0,VLOOKUP(A1575,Feuil2!$A$2:$M$1241,7,FALSE)," ")</f>
        <v xml:space="preserve"> </v>
      </c>
      <c r="J1575" s="1" t="str">
        <f>IF(B1575=0,VLOOKUP(A1575,Feuil2!$A$2:$M$1241,9,FALSE)," ")</f>
        <v xml:space="preserve"> </v>
      </c>
      <c r="K1575" s="1" t="str">
        <f>IF(B1575=0,VLOOKUP(A1575,Feuil2!$A$2:$M$1241,10,FALSE)," ")</f>
        <v xml:space="preserve"> </v>
      </c>
      <c r="L1575" s="1"/>
      <c r="M1575" s="1"/>
      <c r="N1575" s="1"/>
      <c r="O1575" s="8" t="str">
        <f>IF(B1580=0,VLOOKUP(A1580,Feuil2!$A$2:$M$1241,13,FALSE)," ")</f>
        <v xml:space="preserve"> </v>
      </c>
    </row>
    <row r="1576" spans="1:16" x14ac:dyDescent="0.3">
      <c r="A1576" s="1">
        <v>1957</v>
      </c>
      <c r="B1576" s="1">
        <v>4</v>
      </c>
      <c r="C1576" s="1" t="s">
        <v>91</v>
      </c>
      <c r="D1576" s="1" t="s">
        <v>384</v>
      </c>
      <c r="E1576" s="5">
        <v>36595</v>
      </c>
      <c r="F1576" s="1" t="s">
        <v>506</v>
      </c>
      <c r="G1576" s="1" t="str">
        <f>IF(B1576=0,VLOOKUP(A1576,Feuil2!$A$2:$M$1241,11,FALSE)," ")</f>
        <v xml:space="preserve"> </v>
      </c>
      <c r="H1576" s="1" t="s">
        <v>16</v>
      </c>
      <c r="I1576" s="6" t="str">
        <f>IF(B1576=0,VLOOKUP(A1576,Feuil2!$A$2:$M$1241,7,FALSE)," ")</f>
        <v xml:space="preserve"> </v>
      </c>
      <c r="J1576" s="1" t="str">
        <f>IF(B1576=0,VLOOKUP(A1576,Feuil2!$A$2:$M$1241,9,FALSE)," ")</f>
        <v xml:space="preserve"> </v>
      </c>
      <c r="K1576" s="1" t="str">
        <f>IF(B1576=0,VLOOKUP(A1576,Feuil2!$A$2:$M$1241,10,FALSE)," ")</f>
        <v xml:space="preserve"> </v>
      </c>
      <c r="L1576" s="1"/>
      <c r="M1576" s="1"/>
      <c r="N1576" s="1"/>
      <c r="O1576" s="8" t="str">
        <f>IF(B1581=0,VLOOKUP(A1581,Feuil2!$A$2:$M$1241,13,FALSE)," ")</f>
        <v>17503000000153658287</v>
      </c>
    </row>
    <row r="1577" spans="1:16" x14ac:dyDescent="0.3">
      <c r="A1577" s="1">
        <v>1961</v>
      </c>
      <c r="B1577" s="1">
        <v>0</v>
      </c>
      <c r="C1577" s="1" t="str">
        <f>IF(B1577=0,VLOOKUP(A1577,Feuil2!$A$2:$M$1241,2,FALSE)," ")</f>
        <v>HEDFI</v>
      </c>
      <c r="D1577" s="1" t="str">
        <f>IF(B1577=0,VLOOKUP(A1577,Feuil2!$A$2:$M$1241,3,FALSE)," ")</f>
        <v>ANIS</v>
      </c>
      <c r="E1577" s="5">
        <f>IF(B1577=0,VLOOKUP(A1577,Feuil2!$A$2:$M$1241,6,FALSE)," ")</f>
        <v>29992</v>
      </c>
      <c r="F1577" s="1" t="str">
        <f>IF(B1577=0,VLOOKUP(A1577,Feuil2!$A$2:$M$1241,12,FALSE)," ")</f>
        <v>H</v>
      </c>
      <c r="G1577" s="1" t="s">
        <v>15</v>
      </c>
      <c r="H1577" s="1" t="s">
        <v>16</v>
      </c>
      <c r="I1577" s="6">
        <f>IF(B1577=0,VLOOKUP(A1577,Feuil2!$A$2:$M$1241,7,FALSE)," ")</f>
        <v>7614433</v>
      </c>
      <c r="J1577" s="1" t="str">
        <f>IF(B1577=0,VLOOKUP(A1577,Feuil2!$A$2:$M$1241,9,FALSE)," ")</f>
        <v>El Hdaya Hajeb Layoun</v>
      </c>
      <c r="K1577" s="1" t="str">
        <f>IF(B1577=0,VLOOKUP(A1577,Feuil2!$A$2:$M$1241,10,FALSE)," ")</f>
        <v>Kairouan</v>
      </c>
      <c r="L1577" s="1"/>
      <c r="M1577" s="1">
        <v>98793661</v>
      </c>
      <c r="N1577" s="1"/>
      <c r="O1577" s="8" t="str">
        <f>IF(B1582=0,VLOOKUP(A1582,Feuil2!$A$2:$M$1241,13,FALSE)," ")</f>
        <v xml:space="preserve"> </v>
      </c>
    </row>
    <row r="1578" spans="1:16" x14ac:dyDescent="0.3">
      <c r="A1578" s="1">
        <v>1961</v>
      </c>
      <c r="B1578" s="1">
        <v>1</v>
      </c>
      <c r="C1578" s="1" t="s">
        <v>93</v>
      </c>
      <c r="D1578" s="1" t="s">
        <v>1441</v>
      </c>
      <c r="E1578" s="5">
        <v>30513</v>
      </c>
      <c r="F1578" s="1" t="s">
        <v>17</v>
      </c>
      <c r="G1578" s="1" t="s">
        <v>15</v>
      </c>
      <c r="H1578" s="1" t="s">
        <v>16</v>
      </c>
      <c r="I1578" s="6" t="str">
        <f>IF(B1578=0,VLOOKUP(A1578,Feuil2!$A$2:$M$1241,7,FALSE)," ")</f>
        <v xml:space="preserve"> </v>
      </c>
      <c r="J1578" s="1" t="str">
        <f>IF(B1578=0,VLOOKUP(A1578,Feuil2!$A$2:$M$1241,9,FALSE)," ")</f>
        <v xml:space="preserve"> </v>
      </c>
      <c r="K1578" s="1" t="str">
        <f>IF(B1578=0,VLOOKUP(A1578,Feuil2!$A$2:$M$1241,10,FALSE)," ")</f>
        <v xml:space="preserve"> </v>
      </c>
      <c r="L1578" s="1"/>
      <c r="M1578" s="1"/>
      <c r="N1578" s="1"/>
      <c r="O1578" s="8" t="str">
        <f>IF(B1583=0,VLOOKUP(A1583,Feuil2!$A$2:$M$1241,13,FALSE)," ")</f>
        <v xml:space="preserve"> </v>
      </c>
    </row>
    <row r="1579" spans="1:16" x14ac:dyDescent="0.3">
      <c r="A1579" s="1">
        <v>1961</v>
      </c>
      <c r="B1579" s="1">
        <v>2</v>
      </c>
      <c r="C1579" s="1" t="s">
        <v>93</v>
      </c>
      <c r="D1579" s="1" t="s">
        <v>2347</v>
      </c>
      <c r="E1579" s="5">
        <v>41775</v>
      </c>
      <c r="F1579" s="1" t="s">
        <v>506</v>
      </c>
      <c r="G1579" s="1" t="str">
        <f>IF(B1579=0,VLOOKUP(A1579,Feuil2!$A$2:$M$1241,11,FALSE)," ")</f>
        <v xml:space="preserve"> </v>
      </c>
      <c r="H1579" s="1" t="s">
        <v>16</v>
      </c>
      <c r="I1579" s="6" t="str">
        <f>IF(B1579=0,VLOOKUP(A1579,Feuil2!$A$2:$M$1241,7,FALSE)," ")</f>
        <v xml:space="preserve"> </v>
      </c>
      <c r="J1579" s="1" t="str">
        <f>IF(B1579=0,VLOOKUP(A1579,Feuil2!$A$2:$M$1241,9,FALSE)," ")</f>
        <v xml:space="preserve"> </v>
      </c>
      <c r="K1579" s="1" t="str">
        <f>IF(B1579=0,VLOOKUP(A1579,Feuil2!$A$2:$M$1241,10,FALSE)," ")</f>
        <v xml:space="preserve"> </v>
      </c>
      <c r="L1579" s="1"/>
      <c r="M1579" s="1"/>
      <c r="N1579" s="1"/>
      <c r="O1579" s="8" t="str">
        <f>IF(B1584=0,VLOOKUP(A1584,Feuil2!$A$2:$M$1241,13,FALSE)," ")</f>
        <v xml:space="preserve"> </v>
      </c>
    </row>
    <row r="1580" spans="1:16" x14ac:dyDescent="0.3">
      <c r="A1580" s="1">
        <v>1961</v>
      </c>
      <c r="B1580" s="1">
        <v>3</v>
      </c>
      <c r="C1580" s="1" t="s">
        <v>93</v>
      </c>
      <c r="D1580" s="1" t="s">
        <v>2751</v>
      </c>
      <c r="E1580" s="5">
        <v>42675</v>
      </c>
      <c r="F1580" s="1" t="s">
        <v>17</v>
      </c>
      <c r="G1580" s="1" t="str">
        <f>IF(B1580=0,VLOOKUP(A1580,Feuil2!$A$2:$M$1241,11,FALSE)," ")</f>
        <v xml:space="preserve"> </v>
      </c>
      <c r="H1580" s="1" t="s">
        <v>16</v>
      </c>
      <c r="I1580" s="6" t="str">
        <f>IF(B1580=0,VLOOKUP(A1580,Feuil2!$A$2:$M$1241,7,FALSE)," ")</f>
        <v xml:space="preserve"> </v>
      </c>
      <c r="J1580" s="1" t="str">
        <f>IF(B1580=0,VLOOKUP(A1580,Feuil2!$A$2:$M$1241,9,FALSE)," ")</f>
        <v xml:space="preserve"> </v>
      </c>
      <c r="K1580" s="1" t="str">
        <f>IF(B1580=0,VLOOKUP(A1580,Feuil2!$A$2:$M$1241,10,FALSE)," ")</f>
        <v xml:space="preserve"> </v>
      </c>
      <c r="L1580" s="1"/>
      <c r="M1580" s="1"/>
      <c r="N1580" s="1"/>
      <c r="O1580" s="8"/>
      <c r="P1580" t="s">
        <v>2805</v>
      </c>
    </row>
    <row r="1581" spans="1:16" x14ac:dyDescent="0.3">
      <c r="A1581" s="1">
        <v>1969</v>
      </c>
      <c r="B1581" s="1">
        <v>0</v>
      </c>
      <c r="C1581" s="1" t="str">
        <f>IF(B1581=0,VLOOKUP(A1581,Feuil2!$A$2:$M$1241,2,FALSE)," ")</f>
        <v>BOUKADDIDA</v>
      </c>
      <c r="D1581" s="1" t="str">
        <f>IF(B1581=0,VLOOKUP(A1581,Feuil2!$A$2:$M$1241,3,FALSE)," ")</f>
        <v>MEHREZ</v>
      </c>
      <c r="E1581" s="5">
        <f>IF(B1581=0,VLOOKUP(A1581,Feuil2!$A$2:$M$1241,6,FALSE)," ")</f>
        <v>31253</v>
      </c>
      <c r="F1581" s="1" t="str">
        <f>IF(B1581=0,VLOOKUP(A1581,Feuil2!$A$2:$M$1241,12,FALSE)," ")</f>
        <v>H</v>
      </c>
      <c r="G1581" s="1" t="str">
        <f>IF(B1581=0,VLOOKUP(A1581,Feuil2!$A$2:$M$1241,11,FALSE)," ")</f>
        <v>M</v>
      </c>
      <c r="H1581" s="1" t="s">
        <v>16</v>
      </c>
      <c r="I1581" s="6">
        <f>IF(B1581=0,VLOOKUP(A1581,Feuil2!$A$2:$M$1241,7,FALSE)," ")</f>
        <v>8491416</v>
      </c>
      <c r="J1581" s="1" t="str">
        <f>IF(B1581=0,VLOOKUP(A1581,Feuil2!$A$2:$M$1241,9,FALSE)," ")</f>
        <v>Rue Taieb Hachicha</v>
      </c>
      <c r="K1581" s="1" t="str">
        <f>IF(B1581=0,VLOOKUP(A1581,Feuil2!$A$2:$M$1241,10,FALSE)," ")</f>
        <v>Msaken 4070</v>
      </c>
      <c r="L1581" s="1">
        <v>4070</v>
      </c>
      <c r="M1581" s="1">
        <v>98793567</v>
      </c>
      <c r="N1581" s="1"/>
      <c r="O1581" s="8" t="str">
        <f>IF(B1586=0,VLOOKUP(A1586,Feuil2!$A$2:$M$1241,13,FALSE)," ")</f>
        <v>08507000262003635038</v>
      </c>
    </row>
    <row r="1582" spans="1:16" x14ac:dyDescent="0.3">
      <c r="A1582" s="1">
        <v>1969</v>
      </c>
      <c r="B1582" s="1">
        <v>1</v>
      </c>
      <c r="C1582" s="1" t="s">
        <v>123</v>
      </c>
      <c r="D1582" s="1" t="s">
        <v>2464</v>
      </c>
      <c r="E1582" s="5">
        <v>31504</v>
      </c>
      <c r="F1582" s="1" t="s">
        <v>17</v>
      </c>
      <c r="G1582" s="1" t="s">
        <v>15</v>
      </c>
      <c r="H1582" s="1" t="s">
        <v>16</v>
      </c>
      <c r="I1582" s="6" t="str">
        <f>IF(B1582=0,VLOOKUP(A1582,Feuil2!$A$2:$M$1241,7,FALSE)," ")</f>
        <v xml:space="preserve"> </v>
      </c>
      <c r="J1582" s="1" t="str">
        <f>IF(B1582=0,VLOOKUP(A1582,Feuil2!$A$2:$M$1241,9,FALSE)," ")</f>
        <v xml:space="preserve"> </v>
      </c>
      <c r="K1582" s="1" t="str">
        <f>IF(B1582=0,VLOOKUP(A1582,Feuil2!$A$2:$M$1241,10,FALSE)," ")</f>
        <v xml:space="preserve"> </v>
      </c>
      <c r="L1582" s="1"/>
      <c r="M1582" s="1"/>
      <c r="N1582" s="1"/>
      <c r="O1582" s="8" t="str">
        <f>IF(B1587=0,VLOOKUP(A1587,Feuil2!$A$2:$M$1241,13,FALSE)," ")</f>
        <v xml:space="preserve"> </v>
      </c>
    </row>
    <row r="1583" spans="1:16" x14ac:dyDescent="0.3">
      <c r="A1583" s="1">
        <v>1969</v>
      </c>
      <c r="B1583" s="1">
        <v>2</v>
      </c>
      <c r="C1583" s="1" t="s">
        <v>631</v>
      </c>
      <c r="D1583" s="1" t="s">
        <v>89</v>
      </c>
      <c r="E1583" s="5">
        <v>42194</v>
      </c>
      <c r="F1583" s="1" t="s">
        <v>506</v>
      </c>
      <c r="G1583" s="1" t="str">
        <f>IF(B1583=0,VLOOKUP(A1583,Feuil2!$A$2:$M$1241,11,FALSE)," ")</f>
        <v xml:space="preserve"> </v>
      </c>
      <c r="H1583" s="1" t="s">
        <v>16</v>
      </c>
      <c r="I1583" s="6" t="str">
        <f>IF(B1583=0,VLOOKUP(A1583,Feuil2!$A$2:$M$1241,7,FALSE)," ")</f>
        <v xml:space="preserve"> </v>
      </c>
      <c r="J1583" s="1" t="str">
        <f>IF(B1583=0,VLOOKUP(A1583,Feuil2!$A$2:$M$1241,9,FALSE)," ")</f>
        <v xml:space="preserve"> </v>
      </c>
      <c r="K1583" s="1" t="str">
        <f>IF(B1583=0,VLOOKUP(A1583,Feuil2!$A$2:$M$1241,10,FALSE)," ")</f>
        <v xml:space="preserve"> </v>
      </c>
      <c r="L1583" s="1"/>
      <c r="M1583" s="1"/>
      <c r="N1583" s="1"/>
      <c r="O1583" s="8" t="str">
        <f>IF(B1588=0,VLOOKUP(A1588,Feuil2!$A$2:$M$1241,13,FALSE)," ")</f>
        <v xml:space="preserve"> </v>
      </c>
    </row>
    <row r="1584" spans="1:16" x14ac:dyDescent="0.3">
      <c r="A1584" s="1">
        <v>1969</v>
      </c>
      <c r="B1584" s="1">
        <v>3</v>
      </c>
      <c r="C1584" s="1" t="s">
        <v>631</v>
      </c>
      <c r="D1584" s="1" t="s">
        <v>2533</v>
      </c>
      <c r="E1584" s="5">
        <v>43190</v>
      </c>
      <c r="F1584" s="1" t="s">
        <v>506</v>
      </c>
      <c r="G1584" s="1" t="str">
        <f>IF(B1584=0,VLOOKUP(A1584,Feuil2!$A$2:$M$1241,11,FALSE)," ")</f>
        <v xml:space="preserve"> </v>
      </c>
      <c r="H1584" s="1" t="s">
        <v>16</v>
      </c>
      <c r="I1584" s="6" t="str">
        <f>IF(B1584=0,VLOOKUP(A1584,Feuil2!$A$2:$M$1241,7,FALSE)," ")</f>
        <v xml:space="preserve"> </v>
      </c>
      <c r="J1584" s="1" t="str">
        <f>IF(B1584=0,VLOOKUP(A1584,Feuil2!$A$2:$M$1241,9,FALSE)," ")</f>
        <v xml:space="preserve"> </v>
      </c>
      <c r="K1584" s="1" t="str">
        <f>IF(B1584=0,VLOOKUP(A1584,Feuil2!$A$2:$M$1241,10,FALSE)," ")</f>
        <v xml:space="preserve"> </v>
      </c>
      <c r="L1584" s="1"/>
      <c r="M1584" s="1"/>
      <c r="N1584" s="1"/>
      <c r="O1584" s="8" t="str">
        <f>IF(B1589=0,VLOOKUP(A1589,Feuil2!$A$2:$M$1241,13,FALSE)," ")</f>
        <v xml:space="preserve"> </v>
      </c>
    </row>
    <row r="1585" spans="1:15" x14ac:dyDescent="0.3">
      <c r="A1585" s="1">
        <v>1969</v>
      </c>
      <c r="B1585" s="1">
        <v>4</v>
      </c>
      <c r="C1585" s="1" t="s">
        <v>631</v>
      </c>
      <c r="D1585" s="1" t="s">
        <v>2864</v>
      </c>
      <c r="E1585" s="5">
        <v>44609</v>
      </c>
      <c r="F1585" s="1" t="s">
        <v>17</v>
      </c>
      <c r="G1585" s="1"/>
      <c r="H1585" s="1"/>
      <c r="I1585" s="6"/>
      <c r="J1585" s="1"/>
      <c r="K1585" s="1"/>
      <c r="L1585" s="1"/>
      <c r="M1585" s="1"/>
      <c r="N1585" s="1"/>
      <c r="O1585" s="8" t="str">
        <f>IF(B1590=0,VLOOKUP(A1590,Feuil2!$A$2:$M$1241,13,FALSE)," ")</f>
        <v>25018000000014103772</v>
      </c>
    </row>
    <row r="1586" spans="1:15" x14ac:dyDescent="0.3">
      <c r="A1586" s="1">
        <v>1973</v>
      </c>
      <c r="B1586" s="1">
        <v>0</v>
      </c>
      <c r="C1586" s="1" t="str">
        <f>IF(B1586=0,VLOOKUP(A1586,Feuil2!$A$2:$M$1241,2,FALSE)," ")</f>
        <v>EL ABED</v>
      </c>
      <c r="D1586" s="1" t="str">
        <f>IF(B1586=0,VLOOKUP(A1586,Feuil2!$A$2:$M$1241,3,FALSE)," ")</f>
        <v>AMIRA</v>
      </c>
      <c r="E1586" s="5">
        <f>IF(B1586=0,VLOOKUP(A1586,Feuil2!$A$2:$M$1241,6,FALSE)," ")</f>
        <v>31983</v>
      </c>
      <c r="F1586" s="1" t="str">
        <f>IF(B1586=0,VLOOKUP(A1586,Feuil2!$A$2:$M$1241,12,FALSE)," ")</f>
        <v>F</v>
      </c>
      <c r="G1586" s="1" t="str">
        <f>IF(B1586=0,VLOOKUP(A1586,Feuil2!$A$2:$M$1241,11,FALSE)," ")</f>
        <v>M</v>
      </c>
      <c r="H1586" s="1" t="s">
        <v>16</v>
      </c>
      <c r="I1586" s="6">
        <f>IF(B1586=0,VLOOKUP(A1586,Feuil2!$A$2:$M$1241,7,FALSE)," ")</f>
        <v>9266899</v>
      </c>
      <c r="J1586" s="1" t="str">
        <f>IF(B1586=0,VLOOKUP(A1586,Feuil2!$A$2:$M$1241,9,FALSE)," ")</f>
        <v>Rue Mongi Bali</v>
      </c>
      <c r="K1586" s="1" t="str">
        <f>IF(B1586=0,VLOOKUP(A1586,Feuil2!$A$2:$M$1241,10,FALSE)," ")</f>
        <v>Msaken 4070</v>
      </c>
      <c r="L1586" s="1">
        <v>4070</v>
      </c>
      <c r="M1586" s="1">
        <v>98793570</v>
      </c>
      <c r="N1586" s="1"/>
      <c r="O1586" s="8" t="str">
        <f>IF(B1591=0,VLOOKUP(A1591,Feuil2!$A$2:$M$1241,13,FALSE)," ")</f>
        <v xml:space="preserve"> </v>
      </c>
    </row>
    <row r="1587" spans="1:15" x14ac:dyDescent="0.3">
      <c r="A1587" s="1">
        <v>1973</v>
      </c>
      <c r="B1587" s="1">
        <v>1</v>
      </c>
      <c r="C1587" s="1" t="s">
        <v>1269</v>
      </c>
      <c r="D1587" s="1" t="s">
        <v>2752</v>
      </c>
      <c r="E1587" s="5">
        <v>31934</v>
      </c>
      <c r="F1587" s="1" t="s">
        <v>506</v>
      </c>
      <c r="G1587" s="1" t="s">
        <v>15</v>
      </c>
      <c r="H1587" s="1" t="s">
        <v>16</v>
      </c>
      <c r="I1587" s="6" t="str">
        <f>IF(B1587=0,VLOOKUP(A1587,Feuil2!$A$2:$M$1241,7,FALSE)," ")</f>
        <v xml:space="preserve"> </v>
      </c>
      <c r="J1587" s="1" t="str">
        <f>IF(B1587=0,VLOOKUP(A1587,Feuil2!$A$2:$M$1241,9,FALSE)," ")</f>
        <v xml:space="preserve"> </v>
      </c>
      <c r="K1587" s="1" t="str">
        <f>IF(B1587=0,VLOOKUP(A1587,Feuil2!$A$2:$M$1241,10,FALSE)," ")</f>
        <v xml:space="preserve"> </v>
      </c>
      <c r="L1587" s="1"/>
      <c r="M1587" s="1"/>
      <c r="N1587" s="1"/>
      <c r="O1587" s="8" t="str">
        <f>IF(B1592=0,VLOOKUP(A1592,Feuil2!$A$2:$M$1241,13,FALSE)," ")</f>
        <v xml:space="preserve"> </v>
      </c>
    </row>
    <row r="1588" spans="1:15" x14ac:dyDescent="0.3">
      <c r="A1588" s="1">
        <v>1973</v>
      </c>
      <c r="B1588" s="1">
        <v>2</v>
      </c>
      <c r="C1588" s="1" t="s">
        <v>161</v>
      </c>
      <c r="D1588" s="1" t="s">
        <v>287</v>
      </c>
      <c r="E1588" s="5">
        <v>42354</v>
      </c>
      <c r="F1588" s="1" t="s">
        <v>506</v>
      </c>
      <c r="G1588" s="1" t="str">
        <f>IF(B1588=0,VLOOKUP(A1588,Feuil2!$A$2:$M$1241,11,FALSE)," ")</f>
        <v xml:space="preserve"> </v>
      </c>
      <c r="H1588" s="1" t="s">
        <v>16</v>
      </c>
      <c r="I1588" s="6" t="str">
        <f>IF(B1588=0,VLOOKUP(A1588,Feuil2!$A$2:$M$1241,7,FALSE)," ")</f>
        <v xml:space="preserve"> </v>
      </c>
      <c r="J1588" s="1" t="str">
        <f>IF(B1588=0,VLOOKUP(A1588,Feuil2!$A$2:$M$1241,9,FALSE)," ")</f>
        <v xml:space="preserve"> </v>
      </c>
      <c r="K1588" s="1" t="str">
        <f>IF(B1588=0,VLOOKUP(A1588,Feuil2!$A$2:$M$1241,10,FALSE)," ")</f>
        <v xml:space="preserve"> </v>
      </c>
      <c r="L1588" s="1"/>
      <c r="M1588" s="1"/>
      <c r="N1588" s="1"/>
      <c r="O1588" s="8" t="str">
        <f>IF(B1593=0,VLOOKUP(A1593,Feuil2!$A$2:$M$1241,13,FALSE)," ")</f>
        <v>01018058111001166030</v>
      </c>
    </row>
    <row r="1589" spans="1:15" x14ac:dyDescent="0.3">
      <c r="A1589" s="1">
        <v>1973</v>
      </c>
      <c r="B1589" s="1">
        <v>3</v>
      </c>
      <c r="C1589" s="1" t="s">
        <v>161</v>
      </c>
      <c r="D1589" s="1" t="s">
        <v>2753</v>
      </c>
      <c r="E1589" s="5">
        <v>43692</v>
      </c>
      <c r="F1589" s="1" t="s">
        <v>17</v>
      </c>
      <c r="G1589" s="1" t="str">
        <f>IF(B1589=0,VLOOKUP(A1589,Feuil2!$A$2:$M$1241,11,FALSE)," ")</f>
        <v xml:space="preserve"> </v>
      </c>
      <c r="H1589" s="1" t="s">
        <v>16</v>
      </c>
      <c r="I1589" s="6" t="str">
        <f>IF(B1589=0,VLOOKUP(A1589,Feuil2!$A$2:$M$1241,7,FALSE)," ")</f>
        <v xml:space="preserve"> </v>
      </c>
      <c r="J1589" s="1" t="str">
        <f>IF(B1589=0,VLOOKUP(A1589,Feuil2!$A$2:$M$1241,9,FALSE)," ")</f>
        <v xml:space="preserve"> </v>
      </c>
      <c r="K1589" s="1" t="str">
        <f>IF(B1589=0,VLOOKUP(A1589,Feuil2!$A$2:$M$1241,10,FALSE)," ")</f>
        <v xml:space="preserve"> </v>
      </c>
      <c r="L1589" s="1"/>
      <c r="M1589" s="1"/>
      <c r="N1589" s="1"/>
      <c r="O1589" s="8" t="str">
        <f>IF(B1594=0,VLOOKUP(A1594,Feuil2!$A$2:$M$1241,13,FALSE)," ")</f>
        <v xml:space="preserve"> </v>
      </c>
    </row>
    <row r="1590" spans="1:15" x14ac:dyDescent="0.3">
      <c r="A1590" s="1">
        <v>1974</v>
      </c>
      <c r="B1590" s="1">
        <v>0</v>
      </c>
      <c r="C1590" s="1" t="str">
        <f>IF(B1590=0,VLOOKUP(A1590,Feuil2!$A$2:$M$1241,2,FALSE)," ")</f>
        <v>GUELLIME</v>
      </c>
      <c r="D1590" s="1" t="str">
        <f>IF(B1590=0,VLOOKUP(A1590,Feuil2!$A$2:$M$1241,3,FALSE)," ")</f>
        <v>MONDHER</v>
      </c>
      <c r="E1590" s="5">
        <f>IF(B1590=0,VLOOKUP(A1590,Feuil2!$A$2:$M$1241,6,FALSE)," ")</f>
        <v>31252</v>
      </c>
      <c r="F1590" s="1" t="str">
        <f>IF(B1590=0,VLOOKUP(A1590,Feuil2!$A$2:$M$1241,12,FALSE)," ")</f>
        <v>H</v>
      </c>
      <c r="G1590" s="1" t="str">
        <f>IF(B1590=0,VLOOKUP(A1590,Feuil2!$A$2:$M$1241,11,FALSE)," ")</f>
        <v>M</v>
      </c>
      <c r="H1590" s="1" t="s">
        <v>16</v>
      </c>
      <c r="I1590" s="6">
        <f>IF(B1590=0,VLOOKUP(A1590,Feuil2!$A$2:$M$1241,7,FALSE)," ")</f>
        <v>8493187</v>
      </c>
      <c r="J1590" s="1" t="str">
        <f>IF(B1590=0,VLOOKUP(A1590,Feuil2!$A$2:$M$1241,9,FALSE)," ")</f>
        <v>Rue Arafet</v>
      </c>
      <c r="K1590" s="1" t="str">
        <f>IF(B1590=0,VLOOKUP(A1590,Feuil2!$A$2:$M$1241,10,FALSE)," ")</f>
        <v>Msaken 4070</v>
      </c>
      <c r="L1590" s="1">
        <v>4070</v>
      </c>
      <c r="M1590" s="1">
        <v>98793571</v>
      </c>
      <c r="N1590" s="1"/>
      <c r="O1590" s="8" t="str">
        <f>IF(B1595=0,VLOOKUP(A1595,Feuil2!$A$2:$M$1241,13,FALSE)," ")</f>
        <v xml:space="preserve"> </v>
      </c>
    </row>
    <row r="1591" spans="1:15" x14ac:dyDescent="0.3">
      <c r="A1591" s="1">
        <v>1974</v>
      </c>
      <c r="B1591" s="1">
        <v>1</v>
      </c>
      <c r="C1591" s="1" t="s">
        <v>342</v>
      </c>
      <c r="D1591" s="1" t="s">
        <v>2682</v>
      </c>
      <c r="E1591" s="5">
        <v>31360</v>
      </c>
      <c r="F1591" s="1" t="s">
        <v>17</v>
      </c>
      <c r="G1591" s="1" t="s">
        <v>15</v>
      </c>
      <c r="H1591" s="1" t="s">
        <v>16</v>
      </c>
      <c r="I1591" s="6" t="str">
        <f>IF(B1591=0,VLOOKUP(A1591,Feuil2!$A$2:$M$1241,7,FALSE)," ")</f>
        <v xml:space="preserve"> </v>
      </c>
      <c r="J1591" s="1" t="str">
        <f>IF(B1591=0,VLOOKUP(A1591,Feuil2!$A$2:$M$1241,9,FALSE)," ")</f>
        <v xml:space="preserve"> </v>
      </c>
      <c r="K1591" s="1" t="str">
        <f>IF(B1591=0,VLOOKUP(A1591,Feuil2!$A$2:$M$1241,10,FALSE)," ")</f>
        <v xml:space="preserve"> </v>
      </c>
      <c r="L1591" s="1"/>
      <c r="M1591" s="1"/>
      <c r="N1591" s="1"/>
      <c r="O1591" s="8" t="str">
        <f>IF(B1596=0,VLOOKUP(A1596,Feuil2!$A$2:$M$1241,13,FALSE)," ")</f>
        <v xml:space="preserve"> </v>
      </c>
    </row>
    <row r="1592" spans="1:15" x14ac:dyDescent="0.3">
      <c r="A1592" s="1">
        <v>1974</v>
      </c>
      <c r="B1592" s="1">
        <v>2</v>
      </c>
      <c r="C1592" s="1" t="s">
        <v>1921</v>
      </c>
      <c r="D1592" s="1" t="s">
        <v>149</v>
      </c>
      <c r="E1592" s="5">
        <v>42716</v>
      </c>
      <c r="F1592" s="1" t="s">
        <v>506</v>
      </c>
      <c r="G1592" s="1" t="str">
        <f>IF(B1592=0,VLOOKUP(A1592,Feuil2!$A$2:$M$1241,11,FALSE)," ")</f>
        <v xml:space="preserve"> </v>
      </c>
      <c r="H1592" s="1" t="s">
        <v>16</v>
      </c>
      <c r="I1592" s="6" t="str">
        <f>IF(B1592=0,VLOOKUP(A1592,Feuil2!$A$2:$M$1241,7,FALSE)," ")</f>
        <v xml:space="preserve"> </v>
      </c>
      <c r="J1592" s="1" t="str">
        <f>IF(B1592=0,VLOOKUP(A1592,Feuil2!$A$2:$M$1241,9,FALSE)," ")</f>
        <v xml:space="preserve"> </v>
      </c>
      <c r="K1592" s="1" t="str">
        <f>IF(B1592=0,VLOOKUP(A1592,Feuil2!$A$2:$M$1241,10,FALSE)," ")</f>
        <v xml:space="preserve"> </v>
      </c>
      <c r="L1592" s="1"/>
      <c r="M1592" s="1"/>
      <c r="N1592" s="1"/>
      <c r="O1592" s="8" t="str">
        <f>IF(B1597=0,VLOOKUP(A1597,Feuil2!$A$2:$M$1241,13,FALSE)," ")</f>
        <v xml:space="preserve"> </v>
      </c>
    </row>
    <row r="1593" spans="1:15" x14ac:dyDescent="0.3">
      <c r="A1593" s="1">
        <v>1978</v>
      </c>
      <c r="B1593" s="1">
        <v>0</v>
      </c>
      <c r="C1593" s="1" t="str">
        <f>IF(B1593=0,VLOOKUP(A1593,Feuil2!$A$2:$M$1241,2,FALSE)," ")</f>
        <v>MAHJOUB</v>
      </c>
      <c r="D1593" s="1" t="str">
        <f>IF(B1593=0,VLOOKUP(A1593,Feuil2!$A$2:$M$1241,3,FALSE)," ")</f>
        <v>AHMED</v>
      </c>
      <c r="E1593" s="5">
        <f>IF(B1593=0,VLOOKUP(A1593,Feuil2!$A$2:$M$1241,6,FALSE)," ")</f>
        <v>31650</v>
      </c>
      <c r="F1593" s="1" t="str">
        <f>IF(B1593=0,VLOOKUP(A1593,Feuil2!$A$2:$M$1241,12,FALSE)," ")</f>
        <v>H</v>
      </c>
      <c r="G1593" s="1" t="str">
        <f>IF(B1593=0,VLOOKUP(A1593,Feuil2!$A$2:$M$1241,11,FALSE)," ")</f>
        <v>M</v>
      </c>
      <c r="H1593" s="1" t="s">
        <v>16</v>
      </c>
      <c r="I1593" s="6">
        <f>IF(B1593=0,VLOOKUP(A1593,Feuil2!$A$2:$M$1241,7,FALSE)," ")</f>
        <v>9254563</v>
      </c>
      <c r="J1593" s="1" t="str">
        <f>IF(B1593=0,VLOOKUP(A1593,Feuil2!$A$2:$M$1241,9,FALSE)," ")</f>
        <v>29, Rue de la mosquÃ©e</v>
      </c>
      <c r="K1593" s="1" t="str">
        <f>IF(B1593=0,VLOOKUP(A1593,Feuil2!$A$2:$M$1241,10,FALSE)," ")</f>
        <v>Msaken 4070</v>
      </c>
      <c r="L1593" s="1">
        <v>4070</v>
      </c>
      <c r="M1593" s="1">
        <v>98793573</v>
      </c>
      <c r="N1593" s="1"/>
      <c r="O1593" s="8"/>
    </row>
    <row r="1594" spans="1:15" x14ac:dyDescent="0.3">
      <c r="A1594" s="1">
        <v>1978</v>
      </c>
      <c r="B1594" s="1">
        <v>1</v>
      </c>
      <c r="C1594" s="1" t="s">
        <v>121</v>
      </c>
      <c r="D1594" s="1" t="s">
        <v>2322</v>
      </c>
      <c r="E1594" s="5">
        <v>32590</v>
      </c>
      <c r="F1594" s="1" t="s">
        <v>17</v>
      </c>
      <c r="G1594" s="1" t="s">
        <v>15</v>
      </c>
      <c r="H1594" s="1" t="s">
        <v>16</v>
      </c>
      <c r="I1594" s="6" t="str">
        <f>IF(B1594=0,VLOOKUP(A1594,Feuil2!$A$2:$M$1241,7,FALSE)," ")</f>
        <v xml:space="preserve"> </v>
      </c>
      <c r="J1594" s="1" t="str">
        <f>IF(B1594=0,VLOOKUP(A1594,Feuil2!$A$2:$M$1241,9,FALSE)," ")</f>
        <v xml:space="preserve"> </v>
      </c>
      <c r="K1594" s="1" t="str">
        <f>IF(B1594=0,VLOOKUP(A1594,Feuil2!$A$2:$M$1241,10,FALSE)," ")</f>
        <v xml:space="preserve"> </v>
      </c>
      <c r="L1594" s="1"/>
      <c r="M1594" s="1"/>
      <c r="N1594" s="1"/>
      <c r="O1594" s="8" t="str">
        <f>IF(B1599=0,VLOOKUP(A1599,Feuil2!$A$2:$M$1241,13,FALSE)," ")</f>
        <v>24010026346251110172</v>
      </c>
    </row>
    <row r="1595" spans="1:15" x14ac:dyDescent="0.3">
      <c r="A1595" s="1">
        <v>1978</v>
      </c>
      <c r="B1595" s="1">
        <v>2</v>
      </c>
      <c r="C1595" s="1" t="s">
        <v>19</v>
      </c>
      <c r="D1595" s="1" t="s">
        <v>2754</v>
      </c>
      <c r="E1595" s="5">
        <v>42537</v>
      </c>
      <c r="F1595" s="1" t="s">
        <v>506</v>
      </c>
      <c r="G1595" s="1" t="str">
        <f>IF(B1595=0,VLOOKUP(A1595,Feuil2!$A$2:$M$1241,11,FALSE)," ")</f>
        <v xml:space="preserve"> </v>
      </c>
      <c r="H1595" s="1" t="s">
        <v>16</v>
      </c>
      <c r="I1595" s="6" t="str">
        <f>IF(B1595=0,VLOOKUP(A1595,Feuil2!$A$2:$M$1241,7,FALSE)," ")</f>
        <v xml:space="preserve"> </v>
      </c>
      <c r="J1595" s="1" t="str">
        <f>IF(B1595=0,VLOOKUP(A1595,Feuil2!$A$2:$M$1241,9,FALSE)," ")</f>
        <v xml:space="preserve"> </v>
      </c>
      <c r="K1595" s="1" t="str">
        <f>IF(B1595=0,VLOOKUP(A1595,Feuil2!$A$2:$M$1241,10,FALSE)," ")</f>
        <v xml:space="preserve"> </v>
      </c>
      <c r="L1595" s="1"/>
      <c r="M1595" s="1"/>
      <c r="N1595" s="1"/>
      <c r="O1595" s="8" t="str">
        <f>IF(B1600=0,VLOOKUP(A1600,Feuil2!$A$2:$M$1241,13,FALSE)," ")</f>
        <v xml:space="preserve"> </v>
      </c>
    </row>
    <row r="1596" spans="1:15" x14ac:dyDescent="0.3">
      <c r="A1596" s="1">
        <v>1978</v>
      </c>
      <c r="B1596" s="1">
        <v>3</v>
      </c>
      <c r="C1596" s="1" t="s">
        <v>19</v>
      </c>
      <c r="D1596" s="1" t="s">
        <v>2530</v>
      </c>
      <c r="E1596" s="5">
        <v>42537</v>
      </c>
      <c r="F1596" s="1" t="s">
        <v>506</v>
      </c>
      <c r="G1596" s="1" t="str">
        <f>IF(B1596=0,VLOOKUP(A1596,Feuil2!$A$2:$M$1241,11,FALSE)," ")</f>
        <v xml:space="preserve"> </v>
      </c>
      <c r="H1596" s="1" t="s">
        <v>16</v>
      </c>
      <c r="I1596" s="6" t="str">
        <f>IF(B1596=0,VLOOKUP(A1596,Feuil2!$A$2:$M$1241,7,FALSE)," ")</f>
        <v xml:space="preserve"> </v>
      </c>
      <c r="J1596" s="1" t="str">
        <f>IF(B1596=0,VLOOKUP(A1596,Feuil2!$A$2:$M$1241,9,FALSE)," ")</f>
        <v xml:space="preserve"> </v>
      </c>
      <c r="K1596" s="1" t="str">
        <f>IF(B1596=0,VLOOKUP(A1596,Feuil2!$A$2:$M$1241,10,FALSE)," ")</f>
        <v xml:space="preserve"> </v>
      </c>
      <c r="L1596" s="1"/>
      <c r="M1596" s="1"/>
      <c r="N1596" s="1"/>
      <c r="O1596" s="8" t="str">
        <f>IF(B1601=0,VLOOKUP(A1601,Feuil2!$A$2:$M$1241,13,FALSE)," ")</f>
        <v xml:space="preserve"> </v>
      </c>
    </row>
    <row r="1597" spans="1:15" x14ac:dyDescent="0.3">
      <c r="A1597" s="1">
        <v>1978</v>
      </c>
      <c r="B1597" s="1">
        <v>4</v>
      </c>
      <c r="C1597" s="1" t="s">
        <v>19</v>
      </c>
      <c r="D1597" s="1" t="s">
        <v>2737</v>
      </c>
      <c r="E1597" s="5">
        <v>43085</v>
      </c>
      <c r="F1597" s="1" t="s">
        <v>506</v>
      </c>
      <c r="G1597" s="1" t="str">
        <f>IF(B1597=0,VLOOKUP(A1597,Feuil2!$A$2:$M$1241,11,FALSE)," ")</f>
        <v xml:space="preserve"> </v>
      </c>
      <c r="H1597" s="1" t="s">
        <v>16</v>
      </c>
      <c r="I1597" s="6" t="str">
        <f>IF(B1597=0,VLOOKUP(A1597,Feuil2!$A$2:$M$1241,7,FALSE)," ")</f>
        <v xml:space="preserve"> </v>
      </c>
      <c r="J1597" s="1" t="str">
        <f>IF(B1597=0,VLOOKUP(A1597,Feuil2!$A$2:$M$1241,9,FALSE)," ")</f>
        <v xml:space="preserve"> </v>
      </c>
      <c r="K1597" s="1" t="str">
        <f>IF(B1597=0,VLOOKUP(A1597,Feuil2!$A$2:$M$1241,10,FALSE)," ")</f>
        <v xml:space="preserve"> </v>
      </c>
      <c r="L1597" s="1"/>
      <c r="M1597" s="1"/>
      <c r="N1597" s="1"/>
      <c r="O1597" s="8"/>
    </row>
    <row r="1598" spans="1:15" x14ac:dyDescent="0.3">
      <c r="A1598" s="1">
        <v>1978</v>
      </c>
      <c r="B1598" s="1">
        <v>5</v>
      </c>
      <c r="C1598" s="1" t="s">
        <v>19</v>
      </c>
      <c r="D1598" s="1" t="s">
        <v>2842</v>
      </c>
      <c r="E1598" s="5">
        <v>44531</v>
      </c>
      <c r="F1598" s="1" t="s">
        <v>506</v>
      </c>
      <c r="G1598" s="1"/>
      <c r="H1598" s="1" t="s">
        <v>16</v>
      </c>
      <c r="I1598" s="6"/>
      <c r="J1598" s="1"/>
      <c r="K1598" s="1"/>
      <c r="L1598" s="1"/>
      <c r="M1598" s="1"/>
      <c r="N1598" s="1"/>
      <c r="O1598" s="8" t="str">
        <f>IF(B1603=0,VLOOKUP(A1603,Feuil2!$A$2:$M$1241,13,FALSE)," ")</f>
        <v>12064000000234476868</v>
      </c>
    </row>
    <row r="1599" spans="1:15" x14ac:dyDescent="0.3">
      <c r="A1599" s="1">
        <v>1979</v>
      </c>
      <c r="B1599" s="1">
        <v>0</v>
      </c>
      <c r="C1599" s="1" t="str">
        <f>IF(B1599=0,VLOOKUP(A1599,Feuil2!$A$2:$M$1241,2,FALSE)," ")</f>
        <v>LANDOULSI</v>
      </c>
      <c r="D1599" s="1" t="str">
        <f>IF(B1599=0,VLOOKUP(A1599,Feuil2!$A$2:$M$1241,3,FALSE)," ")</f>
        <v>MOHAMED SAHBI</v>
      </c>
      <c r="E1599" s="5">
        <f>IF(B1599=0,VLOOKUP(A1599,Feuil2!$A$2:$M$1241,6,FALSE)," ")</f>
        <v>33443</v>
      </c>
      <c r="F1599" s="1" t="str">
        <f>IF(B1599=0,VLOOKUP(A1599,Feuil2!$A$2:$M$1241,12,FALSE)," ")</f>
        <v>H</v>
      </c>
      <c r="G1599" s="1" t="str">
        <f>IF(B1599=0,VLOOKUP(A1599,Feuil2!$A$2:$M$1241,11,FALSE)," ")</f>
        <v>M</v>
      </c>
      <c r="H1599" s="1" t="s">
        <v>16</v>
      </c>
      <c r="I1599" s="6">
        <f>IF(B1599=0,VLOOKUP(A1599,Feuil2!$A$2:$M$1241,7,FALSE)," ")</f>
        <v>9293955</v>
      </c>
      <c r="J1599" s="1" t="str">
        <f>IF(B1599=0,VLOOKUP(A1599,Feuil2!$A$2:$M$1241,9,FALSE)," ")</f>
        <v>Rue Dar Essalem Route de Knaies</v>
      </c>
      <c r="K1599" s="1" t="str">
        <f>IF(B1599=0,VLOOKUP(A1599,Feuil2!$A$2:$M$1241,10,FALSE)," ")</f>
        <v>Msaken 4070</v>
      </c>
      <c r="L1599" s="1">
        <v>4070</v>
      </c>
      <c r="M1599" s="1">
        <v>24137844</v>
      </c>
      <c r="N1599" s="1"/>
      <c r="O1599" s="8" t="str">
        <f>IF(B1604=0,VLOOKUP(A1604,Feuil2!$A$2:$M$1241,13,FALSE)," ")</f>
        <v>24010029745251110133</v>
      </c>
    </row>
    <row r="1600" spans="1:15" x14ac:dyDescent="0.3">
      <c r="A1600" s="1">
        <v>1979</v>
      </c>
      <c r="B1600" s="1">
        <v>1</v>
      </c>
      <c r="C1600" s="1" t="s">
        <v>29</v>
      </c>
      <c r="D1600" s="1" t="s">
        <v>2660</v>
      </c>
      <c r="E1600" s="5">
        <v>34823</v>
      </c>
      <c r="F1600" s="1" t="s">
        <v>17</v>
      </c>
      <c r="G1600" s="1" t="s">
        <v>15</v>
      </c>
      <c r="H1600" s="1" t="s">
        <v>16</v>
      </c>
      <c r="I1600" s="6" t="str">
        <f>IF(B1600=0,VLOOKUP(A1600,Feuil2!$A$2:$M$1241,7,FALSE)," ")</f>
        <v xml:space="preserve"> </v>
      </c>
      <c r="J1600" s="1" t="str">
        <f>IF(B1600=0,VLOOKUP(A1600,Feuil2!$A$2:$M$1241,9,FALSE)," ")</f>
        <v xml:space="preserve"> </v>
      </c>
      <c r="K1600" s="1" t="str">
        <f>IF(B1600=0,VLOOKUP(A1600,Feuil2!$A$2:$M$1241,10,FALSE)," ")</f>
        <v xml:space="preserve"> </v>
      </c>
      <c r="L1600" s="1"/>
      <c r="M1600" s="1"/>
      <c r="N1600" s="1"/>
      <c r="O1600" s="8"/>
    </row>
    <row r="1601" spans="1:16" x14ac:dyDescent="0.3">
      <c r="A1601" s="1">
        <v>1979</v>
      </c>
      <c r="B1601" s="1">
        <v>2</v>
      </c>
      <c r="C1601" s="1" t="s">
        <v>549</v>
      </c>
      <c r="D1601" s="1" t="s">
        <v>2755</v>
      </c>
      <c r="E1601" s="5">
        <v>42542</v>
      </c>
      <c r="F1601" s="1" t="s">
        <v>17</v>
      </c>
      <c r="G1601" s="1" t="str">
        <f>IF(B1601=0,VLOOKUP(A1601,Feuil2!$A$2:$M$1241,11,FALSE)," ")</f>
        <v xml:space="preserve"> </v>
      </c>
      <c r="H1601" s="1" t="s">
        <v>16</v>
      </c>
      <c r="I1601" s="6" t="str">
        <f>IF(B1601=0,VLOOKUP(A1601,Feuil2!$A$2:$M$1241,7,FALSE)," ")</f>
        <v xml:space="preserve"> </v>
      </c>
      <c r="J1601" s="1" t="str">
        <f>IF(B1601=0,VLOOKUP(A1601,Feuil2!$A$2:$M$1241,9,FALSE)," ")</f>
        <v xml:space="preserve"> </v>
      </c>
      <c r="K1601" s="1" t="str">
        <f>IF(B1601=0,VLOOKUP(A1601,Feuil2!$A$2:$M$1241,10,FALSE)," ")</f>
        <v xml:space="preserve"> </v>
      </c>
      <c r="L1601" s="1"/>
      <c r="M1601" s="1"/>
      <c r="N1601" s="1"/>
      <c r="O1601" s="8" t="str">
        <f>IF(B1607=0,VLOOKUP(A1607,Feuil2!$A$2:$M$1241,13,FALSE)," ")</f>
        <v>08507000262004027791</v>
      </c>
    </row>
    <row r="1602" spans="1:16" x14ac:dyDescent="0.3">
      <c r="A1602" s="1">
        <v>1979</v>
      </c>
      <c r="B1602" s="1">
        <v>3</v>
      </c>
      <c r="C1602" s="1" t="s">
        <v>549</v>
      </c>
      <c r="D1602" s="1" t="s">
        <v>2811</v>
      </c>
      <c r="E1602" s="5">
        <v>44341</v>
      </c>
      <c r="F1602" s="1" t="s">
        <v>17</v>
      </c>
      <c r="G1602" s="1"/>
      <c r="H1602" s="1"/>
      <c r="I1602" s="6"/>
      <c r="J1602" s="1"/>
      <c r="K1602" s="1"/>
      <c r="L1602" s="1"/>
      <c r="M1602" s="1"/>
      <c r="N1602" s="1"/>
      <c r="O1602" s="8"/>
    </row>
    <row r="1603" spans="1:16" x14ac:dyDescent="0.3">
      <c r="A1603" s="1">
        <v>1981</v>
      </c>
      <c r="B1603" s="1">
        <v>0</v>
      </c>
      <c r="C1603" s="1" t="str">
        <f>IF(B1603=0,VLOOKUP(A1603,Feuil2!$A$2:$M$1241,2,FALSE)," ")</f>
        <v>GAALOUL</v>
      </c>
      <c r="D1603" s="1" t="str">
        <f>IF(B1603=0,VLOOKUP(A1603,Feuil2!$A$2:$M$1241,3,FALSE)," ")</f>
        <v>MAROUAN</v>
      </c>
      <c r="E1603" s="5">
        <f>IF(B1603=0,VLOOKUP(A1603,Feuil2!$A$2:$M$1241,6,FALSE)," ")</f>
        <v>33162</v>
      </c>
      <c r="F1603" s="1" t="str">
        <f>IF(B1603=0,VLOOKUP(A1603,Feuil2!$A$2:$M$1241,12,FALSE)," ")</f>
        <v>H</v>
      </c>
      <c r="G1603" s="1" t="str">
        <f>IF(B1603=0,VLOOKUP(A1603,Feuil2!$A$2:$M$1241,11,FALSE)," ")</f>
        <v>C</v>
      </c>
      <c r="H1603" s="1" t="s">
        <v>16</v>
      </c>
      <c r="I1603" s="6">
        <f>IF(B1603=0,VLOOKUP(A1603,Feuil2!$A$2:$M$1241,7,FALSE)," ")</f>
        <v>9304859</v>
      </c>
      <c r="J1603" s="1" t="str">
        <f>IF(B1603=0,VLOOKUP(A1603,Feuil2!$A$2:$M$1241,9,FALSE)," ")</f>
        <v>NULL</v>
      </c>
      <c r="K1603" s="1" t="str">
        <f>IF(B1603=0,VLOOKUP(A1603,Feuil2!$A$2:$M$1241,10,FALSE)," ")</f>
        <v>Moureddine</v>
      </c>
      <c r="L1603" s="1"/>
      <c r="M1603" s="1">
        <v>27291047</v>
      </c>
      <c r="N1603" s="1"/>
      <c r="O1603" s="8" t="str">
        <f>IF(B1608=0,VLOOKUP(A1608,Feuil2!$A$2:$M$1241,13,FALSE)," ")</f>
        <v xml:space="preserve"> </v>
      </c>
      <c r="P1603" t="s">
        <v>2805</v>
      </c>
    </row>
    <row r="1604" spans="1:16" x14ac:dyDescent="0.3">
      <c r="A1604" s="1">
        <v>1987</v>
      </c>
      <c r="B1604" s="1">
        <v>0</v>
      </c>
      <c r="C1604" s="1" t="str">
        <f>IF(B1604=0,VLOOKUP(A1604,Feuil2!$A$2:$M$1241,2,FALSE)," ")</f>
        <v>BAYA</v>
      </c>
      <c r="D1604" s="1" t="str">
        <f>IF(B1604=0,VLOOKUP(A1604,Feuil2!$A$2:$M$1241,3,FALSE)," ")</f>
        <v>SAIFEDDINE</v>
      </c>
      <c r="E1604" s="5">
        <f>IF(B1604=0,VLOOKUP(A1604,Feuil2!$A$2:$M$1241,6,FALSE)," ")</f>
        <v>32686</v>
      </c>
      <c r="F1604" s="1" t="str">
        <f>IF(B1604=0,VLOOKUP(A1604,Feuil2!$A$2:$M$1241,12,FALSE)," ")</f>
        <v>H</v>
      </c>
      <c r="G1604" s="1" t="s">
        <v>15</v>
      </c>
      <c r="H1604" s="1" t="s">
        <v>16</v>
      </c>
      <c r="I1604" s="6">
        <f>IF(B1604=0,VLOOKUP(A1604,Feuil2!$A$2:$M$1241,7,FALSE)," ")</f>
        <v>9260794</v>
      </c>
      <c r="J1604" s="1" t="str">
        <f>IF(B1604=0,VLOOKUP(A1604,Feuil2!$A$2:$M$1241,9,FALSE)," ")</f>
        <v>467, Rue 1Juin</v>
      </c>
      <c r="K1604" s="1" t="str">
        <f>IF(B1604=0,VLOOKUP(A1604,Feuil2!$A$2:$M$1241,10,FALSE)," ")</f>
        <v>Msaken 4070</v>
      </c>
      <c r="L1604" s="1">
        <v>4070</v>
      </c>
      <c r="M1604" s="1">
        <v>52222644</v>
      </c>
      <c r="N1604" s="1"/>
      <c r="O1604" s="8" t="str">
        <f>IF(B1609=0,VLOOKUP(A1609,Feuil2!$A$2:$M$1241,13,FALSE)," ")</f>
        <v xml:space="preserve"> </v>
      </c>
    </row>
    <row r="1605" spans="1:16" x14ac:dyDescent="0.3">
      <c r="A1605" s="1">
        <v>1987</v>
      </c>
      <c r="B1605" s="1">
        <v>1</v>
      </c>
      <c r="C1605" s="1" t="s">
        <v>112</v>
      </c>
      <c r="D1605" s="1" t="s">
        <v>2367</v>
      </c>
      <c r="E1605" s="5">
        <v>31775</v>
      </c>
      <c r="F1605" s="1" t="s">
        <v>17</v>
      </c>
      <c r="G1605" s="1" t="s">
        <v>15</v>
      </c>
      <c r="H1605" s="1"/>
      <c r="I1605" s="6"/>
      <c r="J1605" s="1"/>
      <c r="K1605" s="1"/>
      <c r="L1605" s="1"/>
      <c r="M1605" s="1"/>
      <c r="N1605" s="1"/>
      <c r="O1605" s="8" t="str">
        <f>IF(B1610=0,VLOOKUP(A1610,Feuil2!$A$2:$M$1241,13,FALSE)," ")</f>
        <v xml:space="preserve"> </v>
      </c>
    </row>
    <row r="1606" spans="1:16" x14ac:dyDescent="0.3">
      <c r="A1606" s="1">
        <v>1987</v>
      </c>
      <c r="B1606" s="1">
        <v>2</v>
      </c>
      <c r="C1606" s="1" t="s">
        <v>29</v>
      </c>
      <c r="D1606" s="1" t="s">
        <v>2915</v>
      </c>
      <c r="E1606" s="5">
        <v>44788</v>
      </c>
      <c r="F1606" s="1" t="s">
        <v>17</v>
      </c>
      <c r="G1606" s="1"/>
      <c r="H1606" s="1"/>
      <c r="I1606" s="6"/>
      <c r="J1606" s="1"/>
      <c r="K1606" s="1"/>
      <c r="L1606" s="1"/>
      <c r="M1606" s="1"/>
      <c r="N1606" s="1"/>
      <c r="O1606" s="8" t="str">
        <f>IF(B1611=0,VLOOKUP(A1611,Feuil2!$A$2:$M$1241,13,FALSE)," ")</f>
        <v>12505000000215223766</v>
      </c>
    </row>
    <row r="1607" spans="1:16" x14ac:dyDescent="0.3">
      <c r="A1607" s="1">
        <v>1989</v>
      </c>
      <c r="B1607" s="1">
        <v>0</v>
      </c>
      <c r="C1607" s="1" t="str">
        <f>IF(B1607=0,VLOOKUP(A1607,Feuil2!$A$2:$M$1241,2,FALSE)," ")</f>
        <v>MZOUGHI</v>
      </c>
      <c r="D1607" s="1" t="str">
        <f>IF(B1607=0,VLOOKUP(A1607,Feuil2!$A$2:$M$1241,3,FALSE)," ")</f>
        <v>MOHAMED</v>
      </c>
      <c r="E1607" s="5">
        <f>IF(B1607=0,VLOOKUP(A1607,Feuil2!$A$2:$M$1241,6,FALSE)," ")</f>
        <v>32196</v>
      </c>
      <c r="F1607" s="1" t="str">
        <f>IF(B1607=0,VLOOKUP(A1607,Feuil2!$A$2:$M$1241,12,FALSE)," ")</f>
        <v>H</v>
      </c>
      <c r="G1607" s="1" t="str">
        <f>IF(B1607=0,VLOOKUP(A1607,Feuil2!$A$2:$M$1241,11,FALSE)," ")</f>
        <v>M</v>
      </c>
      <c r="H1607" s="1" t="s">
        <v>16</v>
      </c>
      <c r="I1607" s="6">
        <f>IF(B1607=0,VLOOKUP(A1607,Feuil2!$A$2:$M$1241,7,FALSE)," ")</f>
        <v>9273173</v>
      </c>
      <c r="J1607" s="1" t="str">
        <f>IF(B1607=0,VLOOKUP(A1607,Feuil2!$A$2:$M$1241,9,FALSE)," ")</f>
        <v>Rue Imam Hambali</v>
      </c>
      <c r="K1607" s="1" t="str">
        <f>IF(B1607=0,VLOOKUP(A1607,Feuil2!$A$2:$M$1241,10,FALSE)," ")</f>
        <v>Messadine 4013</v>
      </c>
      <c r="L1607" s="1"/>
      <c r="M1607" s="1">
        <v>20592558</v>
      </c>
      <c r="N1607" s="1"/>
      <c r="O1607" s="8" t="str">
        <f>IF(B1612=0,VLOOKUP(A1612,Feuil2!$A$2:$M$1241,13,FALSE)," ")</f>
        <v xml:space="preserve"> </v>
      </c>
    </row>
    <row r="1608" spans="1:16" x14ac:dyDescent="0.3">
      <c r="A1608" s="1">
        <v>1989</v>
      </c>
      <c r="B1608" s="1">
        <v>1</v>
      </c>
      <c r="C1608" s="1" t="s">
        <v>2756</v>
      </c>
      <c r="D1608" s="1" t="s">
        <v>2757</v>
      </c>
      <c r="E1608" s="5">
        <v>33556</v>
      </c>
      <c r="F1608" s="1" t="s">
        <v>17</v>
      </c>
      <c r="G1608" s="1" t="s">
        <v>15</v>
      </c>
      <c r="H1608" s="1" t="s">
        <v>16</v>
      </c>
      <c r="I1608" s="6" t="str">
        <f>IF(B1608=0,VLOOKUP(A1608,Feuil2!$A$2:$M$1241,7,FALSE)," ")</f>
        <v xml:space="preserve"> </v>
      </c>
      <c r="J1608" s="1" t="str">
        <f>IF(B1608=0,VLOOKUP(A1608,Feuil2!$A$2:$M$1241,9,FALSE)," ")</f>
        <v xml:space="preserve"> </v>
      </c>
      <c r="K1608" s="1" t="str">
        <f>IF(B1608=0,VLOOKUP(A1608,Feuil2!$A$2:$M$1241,10,FALSE)," ")</f>
        <v xml:space="preserve"> </v>
      </c>
      <c r="L1608" s="1"/>
      <c r="M1608" s="1"/>
      <c r="N1608" s="1"/>
      <c r="O1608" s="8" t="str">
        <f>IF(B1613=0,VLOOKUP(A1613,Feuil2!$A$2:$M$1241,13,FALSE)," ")</f>
        <v xml:space="preserve"> </v>
      </c>
    </row>
    <row r="1609" spans="1:16" x14ac:dyDescent="0.3">
      <c r="A1609" s="1">
        <v>1989</v>
      </c>
      <c r="B1609" s="1">
        <v>2</v>
      </c>
      <c r="C1609" s="1" t="s">
        <v>265</v>
      </c>
      <c r="D1609" s="1" t="s">
        <v>26</v>
      </c>
      <c r="E1609" s="5">
        <v>41873</v>
      </c>
      <c r="F1609" s="1" t="s">
        <v>506</v>
      </c>
      <c r="G1609" s="1" t="str">
        <f>IF(B1609=0,VLOOKUP(A1609,Feuil2!$A$2:$M$1241,11,FALSE)," ")</f>
        <v xml:space="preserve"> </v>
      </c>
      <c r="H1609" s="1" t="s">
        <v>16</v>
      </c>
      <c r="I1609" s="6" t="str">
        <f>IF(B1609=0,VLOOKUP(A1609,Feuil2!$A$2:$M$1241,7,FALSE)," ")</f>
        <v xml:space="preserve"> </v>
      </c>
      <c r="J1609" s="1" t="str">
        <f>IF(B1609=0,VLOOKUP(A1609,Feuil2!$A$2:$M$1241,9,FALSE)," ")</f>
        <v xml:space="preserve"> </v>
      </c>
      <c r="K1609" s="1" t="str">
        <f>IF(B1609=0,VLOOKUP(A1609,Feuil2!$A$2:$M$1241,10,FALSE)," ")</f>
        <v xml:space="preserve"> </v>
      </c>
      <c r="L1609" s="1"/>
      <c r="M1609" s="1"/>
      <c r="N1609" s="1"/>
      <c r="O1609" s="8" t="str">
        <f>IF(B1614=0,VLOOKUP(A1614,Feuil2!$A$2:$M$1241,13,FALSE)," ")</f>
        <v xml:space="preserve"> </v>
      </c>
    </row>
    <row r="1610" spans="1:16" x14ac:dyDescent="0.3">
      <c r="A1610" s="1">
        <v>1989</v>
      </c>
      <c r="B1610" s="1">
        <v>3</v>
      </c>
      <c r="C1610" s="1" t="s">
        <v>265</v>
      </c>
      <c r="D1610" s="1" t="s">
        <v>61</v>
      </c>
      <c r="E1610" s="5">
        <v>42847</v>
      </c>
      <c r="F1610" s="1" t="s">
        <v>506</v>
      </c>
      <c r="G1610" s="1" t="str">
        <f>IF(B1610=0,VLOOKUP(A1610,Feuil2!$A$2:$M$1241,11,FALSE)," ")</f>
        <v xml:space="preserve"> </v>
      </c>
      <c r="H1610" s="1" t="s">
        <v>16</v>
      </c>
      <c r="I1610" s="6" t="str">
        <f>IF(B1610=0,VLOOKUP(A1610,Feuil2!$A$2:$M$1241,7,FALSE)," ")</f>
        <v xml:space="preserve"> </v>
      </c>
      <c r="J1610" s="1" t="str">
        <f>IF(B1610=0,VLOOKUP(A1610,Feuil2!$A$2:$M$1241,9,FALSE)," ")</f>
        <v xml:space="preserve"> </v>
      </c>
      <c r="K1610" s="1" t="str">
        <f>IF(B1610=0,VLOOKUP(A1610,Feuil2!$A$2:$M$1241,10,FALSE)," ")</f>
        <v xml:space="preserve"> </v>
      </c>
      <c r="L1610" s="1"/>
      <c r="M1610" s="1"/>
      <c r="N1610" s="1"/>
      <c r="O1610" s="8" t="str">
        <f>IF(B1615=0,VLOOKUP(A1615,Feuil2!$A$2:$M$1241,13,FALSE)," ")</f>
        <v>04500043002065485137</v>
      </c>
    </row>
    <row r="1611" spans="1:16" x14ac:dyDescent="0.3">
      <c r="A1611" s="1">
        <v>1992</v>
      </c>
      <c r="B1611" s="1">
        <v>0</v>
      </c>
      <c r="C1611" s="1" t="str">
        <f>IF(B1611=0,VLOOKUP(A1611,Feuil2!$A$2:$M$1241,2,FALSE)," ")</f>
        <v>EL ABED</v>
      </c>
      <c r="D1611" s="1" t="str">
        <f>IF(B1611=0,VLOOKUP(A1611,Feuil2!$A$2:$M$1241,3,FALSE)," ")</f>
        <v>WALID</v>
      </c>
      <c r="E1611" s="5">
        <f>IF(B1611=0,VLOOKUP(A1611,Feuil2!$A$2:$M$1241,6,FALSE)," ")</f>
        <v>29355</v>
      </c>
      <c r="F1611" s="1" t="str">
        <f>IF(B1611=0,VLOOKUP(A1611,Feuil2!$A$2:$M$1241,12,FALSE)," ")</f>
        <v>H</v>
      </c>
      <c r="G1611" s="1" t="str">
        <f>IF(B1611=0,VLOOKUP(A1611,Feuil2!$A$2:$M$1241,11,FALSE)," ")</f>
        <v>M</v>
      </c>
      <c r="H1611" s="1" t="s">
        <v>16</v>
      </c>
      <c r="I1611" s="6">
        <f>IF(B1611=0,VLOOKUP(A1611,Feuil2!$A$2:$M$1241,7,FALSE)," ")</f>
        <v>5590275</v>
      </c>
      <c r="J1611" s="1" t="str">
        <f>IF(B1611=0,VLOOKUP(A1611,Feuil2!$A$2:$M$1241,9,FALSE)," ")</f>
        <v>22, Rue 20 Mars</v>
      </c>
      <c r="K1611" s="1" t="str">
        <f>IF(B1611=0,VLOOKUP(A1611,Feuil2!$A$2:$M$1241,10,FALSE)," ")</f>
        <v>Msaken 4070</v>
      </c>
      <c r="L1611" s="1">
        <v>4070</v>
      </c>
      <c r="M1611" s="1">
        <v>26832821</v>
      </c>
      <c r="N1611" s="1"/>
      <c r="O1611" s="8" t="str">
        <f>IF(B1618=0,VLOOKUP(A1618,Feuil2!$A$2:$M$1241,13,FALSE)," ")</f>
        <v>11020002280500878847</v>
      </c>
    </row>
    <row r="1612" spans="1:16" x14ac:dyDescent="0.3">
      <c r="A1612" s="1">
        <v>1992</v>
      </c>
      <c r="B1612" s="1">
        <v>1</v>
      </c>
      <c r="C1612" s="1" t="s">
        <v>2758</v>
      </c>
      <c r="D1612" s="1" t="s">
        <v>2714</v>
      </c>
      <c r="E1612" s="5">
        <v>31977</v>
      </c>
      <c r="F1612" s="1" t="s">
        <v>17</v>
      </c>
      <c r="G1612" s="1" t="s">
        <v>15</v>
      </c>
      <c r="H1612" s="1" t="s">
        <v>16</v>
      </c>
      <c r="I1612" s="6" t="str">
        <f>IF(B1612=0,VLOOKUP(A1612,Feuil2!$A$2:$M$1241,7,FALSE)," ")</f>
        <v xml:space="preserve"> </v>
      </c>
      <c r="J1612" s="1" t="str">
        <f>IF(B1612=0,VLOOKUP(A1612,Feuil2!$A$2:$M$1241,9,FALSE)," ")</f>
        <v xml:space="preserve"> </v>
      </c>
      <c r="K1612" s="1" t="str">
        <f>IF(B1612=0,VLOOKUP(A1612,Feuil2!$A$2:$M$1241,10,FALSE)," ")</f>
        <v xml:space="preserve"> </v>
      </c>
      <c r="L1612" s="1"/>
      <c r="M1612" s="1"/>
      <c r="N1612" s="1"/>
      <c r="O1612" s="8" t="str">
        <f>IF(B1619=0,VLOOKUP(A1619,Feuil2!$A$2:$M$1241,13,FALSE)," ")</f>
        <v>12505000000221937039</v>
      </c>
    </row>
    <row r="1613" spans="1:16" x14ac:dyDescent="0.3">
      <c r="A1613" s="1">
        <v>1992</v>
      </c>
      <c r="B1613" s="1">
        <v>2</v>
      </c>
      <c r="C1613" s="1" t="s">
        <v>161</v>
      </c>
      <c r="D1613" s="1" t="s">
        <v>441</v>
      </c>
      <c r="E1613" s="5">
        <v>41525</v>
      </c>
      <c r="F1613" s="1" t="s">
        <v>506</v>
      </c>
      <c r="G1613" s="1" t="str">
        <f>IF(B1613=0,VLOOKUP(A1613,Feuil2!$A$2:$M$1241,11,FALSE)," ")</f>
        <v xml:space="preserve"> </v>
      </c>
      <c r="H1613" s="1" t="s">
        <v>16</v>
      </c>
      <c r="I1613" s="6" t="str">
        <f>IF(B1613=0,VLOOKUP(A1613,Feuil2!$A$2:$M$1241,7,FALSE)," ")</f>
        <v xml:space="preserve"> </v>
      </c>
      <c r="J1613" s="1" t="str">
        <f>IF(B1613=0,VLOOKUP(A1613,Feuil2!$A$2:$M$1241,9,FALSE)," ")</f>
        <v xml:space="preserve"> </v>
      </c>
      <c r="K1613" s="1" t="str">
        <f>IF(B1613=0,VLOOKUP(A1613,Feuil2!$A$2:$M$1241,10,FALSE)," ")</f>
        <v xml:space="preserve"> </v>
      </c>
      <c r="L1613" s="1"/>
      <c r="M1613" s="1"/>
      <c r="N1613" s="1"/>
      <c r="O1613" s="8" t="str">
        <f>IF(B1620=0,VLOOKUP(A1620,Feuil2!$A$2:$M$1241,13,FALSE)," ")</f>
        <v>12058000000222041641</v>
      </c>
    </row>
    <row r="1614" spans="1:16" x14ac:dyDescent="0.3">
      <c r="A1614" s="1">
        <v>1992</v>
      </c>
      <c r="B1614" s="1">
        <v>3</v>
      </c>
      <c r="C1614" s="1" t="s">
        <v>161</v>
      </c>
      <c r="D1614" s="1" t="s">
        <v>2759</v>
      </c>
      <c r="E1614" s="5">
        <v>43868</v>
      </c>
      <c r="F1614" s="1" t="s">
        <v>17</v>
      </c>
      <c r="G1614" s="1" t="str">
        <f>IF(B1614=0,VLOOKUP(A1614,Feuil2!$A$2:$M$1241,11,FALSE)," ")</f>
        <v xml:space="preserve"> </v>
      </c>
      <c r="H1614" s="1" t="s">
        <v>16</v>
      </c>
      <c r="I1614" s="6" t="str">
        <f>IF(B1614=0,VLOOKUP(A1614,Feuil2!$A$2:$M$1241,7,FALSE)," ")</f>
        <v xml:space="preserve"> </v>
      </c>
      <c r="J1614" s="1" t="str">
        <f>IF(B1614=0,VLOOKUP(A1614,Feuil2!$A$2:$M$1241,9,FALSE)," ")</f>
        <v xml:space="preserve"> </v>
      </c>
      <c r="K1614" s="1" t="str">
        <f>IF(B1614=0,VLOOKUP(A1614,Feuil2!$A$2:$M$1241,10,FALSE)," ")</f>
        <v xml:space="preserve"> </v>
      </c>
      <c r="L1614" s="1"/>
      <c r="M1614" s="1"/>
      <c r="N1614" s="1"/>
      <c r="O1614" s="8" t="str">
        <f>IF(B1621=0,VLOOKUP(A1621,Feuil2!$A$2:$M$1241,13,FALSE)," ")</f>
        <v>08507000262005174040</v>
      </c>
    </row>
    <row r="1615" spans="1:16" x14ac:dyDescent="0.3">
      <c r="A1615" s="1">
        <v>1993</v>
      </c>
      <c r="B1615" s="1">
        <v>0</v>
      </c>
      <c r="C1615" s="1" t="str">
        <f>IF(B1615=0,VLOOKUP(A1615,Feuil2!$A$2:$M$1241,2,FALSE)," ")</f>
        <v>OUNI</v>
      </c>
      <c r="D1615" s="1" t="str">
        <f>IF(B1615=0,VLOOKUP(A1615,Feuil2!$A$2:$M$1241,3,FALSE)," ")</f>
        <v>MEHDI</v>
      </c>
      <c r="E1615" s="5">
        <f>IF(B1615=0,VLOOKUP(A1615,Feuil2!$A$2:$M$1241,6,FALSE)," ")</f>
        <v>31953</v>
      </c>
      <c r="F1615" s="1" t="str">
        <f>IF(B1615=0,VLOOKUP(A1615,Feuil2!$A$2:$M$1241,12,FALSE)," ")</f>
        <v>H</v>
      </c>
      <c r="G1615" s="1" t="s">
        <v>15</v>
      </c>
      <c r="H1615" s="1" t="s">
        <v>16</v>
      </c>
      <c r="I1615" s="6">
        <f>IF(B1615=0,VLOOKUP(A1615,Feuil2!$A$2:$M$1241,7,FALSE)," ")</f>
        <v>9250324</v>
      </c>
      <c r="J1615" s="1" t="str">
        <f>IF(B1615=0,VLOOKUP(A1615,Feuil2!$A$2:$M$1241,9,FALSE)," ")</f>
        <v>Rue 3033 Tfala CitÃ© Laouina</v>
      </c>
      <c r="K1615" s="1" t="str">
        <f>IF(B1615=0,VLOOKUP(A1615,Feuil2!$A$2:$M$1241,10,FALSE)," ")</f>
        <v>Sousse</v>
      </c>
      <c r="L1615" s="1"/>
      <c r="M1615" s="1">
        <v>24961409</v>
      </c>
      <c r="N1615" s="1"/>
      <c r="O1615" s="8" t="str">
        <f>IF(B1622=0,VLOOKUP(A1622,Feuil2!$A$2:$M$1241,13,FALSE)," ")</f>
        <v xml:space="preserve"> </v>
      </c>
    </row>
    <row r="1616" spans="1:16" x14ac:dyDescent="0.3">
      <c r="A1616" s="1">
        <v>1993</v>
      </c>
      <c r="B1616" s="1">
        <v>1</v>
      </c>
      <c r="C1616" s="1" t="s">
        <v>144</v>
      </c>
      <c r="D1616" s="1" t="s">
        <v>3026</v>
      </c>
      <c r="E1616" s="5"/>
      <c r="F1616" s="1" t="s">
        <v>17</v>
      </c>
      <c r="G1616" s="1" t="s">
        <v>15</v>
      </c>
      <c r="H1616" s="1"/>
      <c r="I1616" s="6"/>
      <c r="J1616" s="1"/>
      <c r="K1616" s="1"/>
      <c r="L1616" s="1"/>
      <c r="M1616" s="1"/>
      <c r="N1616" s="1"/>
      <c r="O1616" s="8"/>
    </row>
    <row r="1617" spans="1:15" x14ac:dyDescent="0.3">
      <c r="A1617" s="1">
        <v>1993</v>
      </c>
      <c r="B1617" s="1">
        <v>2</v>
      </c>
      <c r="C1617" s="1" t="s">
        <v>144</v>
      </c>
      <c r="D1617" s="1" t="s">
        <v>3027</v>
      </c>
      <c r="E1617" s="5">
        <v>45131</v>
      </c>
      <c r="F1617" s="1" t="s">
        <v>506</v>
      </c>
      <c r="G1617" s="1"/>
      <c r="H1617" s="1"/>
      <c r="I1617" s="6"/>
      <c r="J1617" s="1"/>
      <c r="K1617" s="1"/>
      <c r="L1617" s="1"/>
      <c r="M1617" s="1"/>
      <c r="N1617" s="1"/>
      <c r="O1617" s="8"/>
    </row>
    <row r="1618" spans="1:15" x14ac:dyDescent="0.3">
      <c r="A1618" s="1">
        <v>1995</v>
      </c>
      <c r="B1618" s="1">
        <v>0</v>
      </c>
      <c r="C1618" s="1" t="str">
        <f>IF(B1618=0,VLOOKUP(A1618,Feuil2!$A$2:$M$1241,2,FALSE)," ")</f>
        <v>ACHECHE</v>
      </c>
      <c r="D1618" s="1" t="str">
        <f>IF(B1618=0,VLOOKUP(A1618,Feuil2!$A$2:$M$1241,3,FALSE)," ")</f>
        <v>HAMDA NACEUR</v>
      </c>
      <c r="E1618" s="5">
        <f>IF(B1618=0,VLOOKUP(A1618,Feuil2!$A$2:$M$1241,6,FALSE)," ")</f>
        <v>33537</v>
      </c>
      <c r="F1618" s="1" t="str">
        <f>IF(B1618=0,VLOOKUP(A1618,Feuil2!$A$2:$M$1241,12,FALSE)," ")</f>
        <v>H</v>
      </c>
      <c r="G1618" s="1" t="str">
        <f>IF(B1618=0,VLOOKUP(A1618,Feuil2!$A$2:$M$1241,11,FALSE)," ")</f>
        <v>C</v>
      </c>
      <c r="H1618" s="1" t="s">
        <v>16</v>
      </c>
      <c r="I1618" s="6">
        <f>IF(B1618=0,VLOOKUP(A1618,Feuil2!$A$2:$M$1241,7,FALSE)," ")</f>
        <v>9322668</v>
      </c>
      <c r="J1618" s="1" t="str">
        <f>IF(B1618=0,VLOOKUP(A1618,Feuil2!$A$2:$M$1241,9,FALSE)," ")</f>
        <v>Rue Imam Malek</v>
      </c>
      <c r="K1618" s="1" t="str">
        <f>IF(B1618=0,VLOOKUP(A1618,Feuil2!$A$2:$M$1241,10,FALSE)," ")</f>
        <v>Msaken 4070</v>
      </c>
      <c r="L1618" s="1">
        <v>4070</v>
      </c>
      <c r="M1618" s="1">
        <v>27548866</v>
      </c>
      <c r="N1618" s="1"/>
      <c r="O1618" s="8" t="str">
        <f>IF(B1623=0,VLOOKUP(A1623,Feuil2!$A$2:$M$1241,13,FALSE)," ")</f>
        <v xml:space="preserve"> </v>
      </c>
    </row>
    <row r="1619" spans="1:15" x14ac:dyDescent="0.3">
      <c r="A1619" s="1">
        <v>2005</v>
      </c>
      <c r="B1619" s="1">
        <v>0</v>
      </c>
      <c r="C1619" s="1" t="str">
        <f>IF(B1619=0,VLOOKUP(A1619,Feuil2!$A$2:$M$1241,2,FALSE)," ")</f>
        <v>ESSAFI</v>
      </c>
      <c r="D1619" s="1" t="str">
        <f>IF(B1619=0,VLOOKUP(A1619,Feuil2!$A$2:$M$1241,3,FALSE)," ")</f>
        <v>FEHMI</v>
      </c>
      <c r="E1619" s="5">
        <f>IF(B1619=0,VLOOKUP(A1619,Feuil2!$A$2:$M$1241,6,FALSE)," ")</f>
        <v>34275</v>
      </c>
      <c r="F1619" s="1" t="str">
        <f>IF(B1619=0,VLOOKUP(A1619,Feuil2!$A$2:$M$1241,12,FALSE)," ")</f>
        <v>H</v>
      </c>
      <c r="G1619" s="1" t="str">
        <f>IF(B1619=0,VLOOKUP(A1619,Feuil2!$A$2:$M$1241,11,FALSE)," ")</f>
        <v>C</v>
      </c>
      <c r="H1619" s="1" t="s">
        <v>16</v>
      </c>
      <c r="I1619" s="6">
        <f>IF(B1619=0,VLOOKUP(A1619,Feuil2!$A$2:$M$1241,7,FALSE)," ")</f>
        <v>9332948</v>
      </c>
      <c r="J1619" s="1" t="str">
        <f>IF(B1619=0,VLOOKUP(A1619,Feuil2!$A$2:$M$1241,9,FALSE)," ")</f>
        <v>Boujriwel</v>
      </c>
      <c r="K1619" s="1" t="str">
        <f>IF(B1619=0,VLOOKUP(A1619,Feuil2!$A$2:$M$1241,10,FALSE)," ")</f>
        <v>Msaken 4070</v>
      </c>
      <c r="L1619" s="1">
        <v>4070</v>
      </c>
      <c r="M1619" s="1">
        <v>20286892</v>
      </c>
      <c r="N1619" s="1"/>
      <c r="O1619" s="8" t="str">
        <f>IF(B1625=0,VLOOKUP(A1625,Feuil2!$A$2:$M$1241,13,FALSE)," ")</f>
        <v>24010064971251110108</v>
      </c>
    </row>
    <row r="1620" spans="1:15" x14ac:dyDescent="0.3">
      <c r="A1620" s="1">
        <v>2008</v>
      </c>
      <c r="B1620" s="1">
        <v>0</v>
      </c>
      <c r="C1620" s="1" t="str">
        <f>IF(B1620=0,VLOOKUP(A1620,Feuil2!$A$2:$M$1241,2,FALSE)," ")</f>
        <v>HAFSIA</v>
      </c>
      <c r="D1620" s="1" t="str">
        <f>IF(B1620=0,VLOOKUP(A1620,Feuil2!$A$2:$M$1241,3,FALSE)," ")</f>
        <v>ANIS</v>
      </c>
      <c r="E1620" s="5">
        <f>IF(B1620=0,VLOOKUP(A1620,Feuil2!$A$2:$M$1241,6,FALSE)," ")</f>
        <v>34185</v>
      </c>
      <c r="F1620" s="1" t="str">
        <f>IF(B1620=0,VLOOKUP(A1620,Feuil2!$A$2:$M$1241,12,FALSE)," ")</f>
        <v>H</v>
      </c>
      <c r="G1620" s="1" t="str">
        <f>IF(B1620=0,VLOOKUP(A1620,Feuil2!$A$2:$M$1241,11,FALSE)," ")</f>
        <v>C</v>
      </c>
      <c r="H1620" s="1" t="s">
        <v>16</v>
      </c>
      <c r="I1620" s="6">
        <f>IF(B1620=0,VLOOKUP(A1620,Feuil2!$A$2:$M$1241,7,FALSE)," ")</f>
        <v>9303047</v>
      </c>
      <c r="J1620" s="1" t="str">
        <f>IF(B1620=0,VLOOKUP(A1620,Feuil2!$A$2:$M$1241,9,FALSE)," ")</f>
        <v>NULL</v>
      </c>
      <c r="K1620" s="1" t="str">
        <f>IF(B1620=0,VLOOKUP(A1620,Feuil2!$A$2:$M$1241,10,FALSE)," ")</f>
        <v>Msaken 4070</v>
      </c>
      <c r="L1620" s="1">
        <v>4070</v>
      </c>
      <c r="M1620" s="1">
        <v>54841698</v>
      </c>
      <c r="N1620" s="1"/>
      <c r="O1620" s="8" t="str">
        <f>IF(B1626=0,VLOOKUP(A1626,Feuil2!$A$2:$M$1241,13,FALSE)," ")</f>
        <v xml:space="preserve"> </v>
      </c>
    </row>
    <row r="1621" spans="1:15" x14ac:dyDescent="0.3">
      <c r="A1621" s="1">
        <v>2013</v>
      </c>
      <c r="B1621" s="1">
        <v>0</v>
      </c>
      <c r="C1621" s="1" t="str">
        <f>IF(B1621=0,VLOOKUP(A1621,Feuil2!$A$2:$M$1241,2,FALSE)," ")</f>
        <v>BEL HADJ ALI</v>
      </c>
      <c r="D1621" s="1" t="str">
        <f>IF(B1621=0,VLOOKUP(A1621,Feuil2!$A$2:$M$1241,3,FALSE)," ")</f>
        <v>MOHAMED ALI</v>
      </c>
      <c r="E1621" s="5">
        <f>IF(B1621=0,VLOOKUP(A1621,Feuil2!$A$2:$M$1241,6,FALSE)," ")</f>
        <v>32063</v>
      </c>
      <c r="F1621" s="1" t="str">
        <f>IF(B1621=0,VLOOKUP(A1621,Feuil2!$A$2:$M$1241,12,FALSE)," ")</f>
        <v>H</v>
      </c>
      <c r="G1621" s="1" t="str">
        <f>IF(B1621=0,VLOOKUP(A1621,Feuil2!$A$2:$M$1241,11,FALSE)," ")</f>
        <v>M</v>
      </c>
      <c r="H1621" s="1" t="s">
        <v>16</v>
      </c>
      <c r="I1621" s="6">
        <f>IF(B1621=0,VLOOKUP(A1621,Feuil2!$A$2:$M$1241,7,FALSE)," ")</f>
        <v>8496106</v>
      </c>
      <c r="J1621" s="1" t="str">
        <f>IF(B1621=0,VLOOKUP(A1621,Feuil2!$A$2:$M$1241,9,FALSE)," ")</f>
        <v>Rue Makka</v>
      </c>
      <c r="K1621" s="1" t="str">
        <f>IF(B1621=0,VLOOKUP(A1621,Feuil2!$A$2:$M$1241,10,FALSE)," ")</f>
        <v>Messadine 4013</v>
      </c>
      <c r="L1621" s="1"/>
      <c r="M1621" s="1">
        <v>98793780</v>
      </c>
      <c r="N1621" s="1"/>
      <c r="O1621" s="8"/>
    </row>
    <row r="1622" spans="1:15" x14ac:dyDescent="0.3">
      <c r="A1622" s="1">
        <v>2013</v>
      </c>
      <c r="B1622" s="1">
        <v>1</v>
      </c>
      <c r="C1622" s="1" t="s">
        <v>2760</v>
      </c>
      <c r="D1622" s="1" t="s">
        <v>2761</v>
      </c>
      <c r="E1622" s="5">
        <v>32918</v>
      </c>
      <c r="F1622" s="1" t="s">
        <v>17</v>
      </c>
      <c r="G1622" s="1" t="s">
        <v>15</v>
      </c>
      <c r="H1622" s="1" t="s">
        <v>16</v>
      </c>
      <c r="I1622" s="6" t="str">
        <f>IF(B1622=0,VLOOKUP(A1622,Feuil2!$A$2:$M$1241,7,FALSE)," ")</f>
        <v xml:space="preserve"> </v>
      </c>
      <c r="J1622" s="1" t="str">
        <f>IF(B1622=0,VLOOKUP(A1622,Feuil2!$A$2:$M$1241,9,FALSE)," ")</f>
        <v xml:space="preserve"> </v>
      </c>
      <c r="K1622" s="1" t="str">
        <f>IF(B1622=0,VLOOKUP(A1622,Feuil2!$A$2:$M$1241,10,FALSE)," ")</f>
        <v xml:space="preserve"> </v>
      </c>
      <c r="L1622" s="1"/>
      <c r="M1622" s="1"/>
      <c r="N1622" s="1"/>
      <c r="O1622" s="8" t="str">
        <f>IF(B1628=0,VLOOKUP(A1628,Feuil2!$A$2:$M$1241,13,FALSE)," ")</f>
        <v>08507000264004969690</v>
      </c>
    </row>
    <row r="1623" spans="1:15" x14ac:dyDescent="0.3">
      <c r="A1623" s="1">
        <v>2013</v>
      </c>
      <c r="B1623" s="1">
        <v>2</v>
      </c>
      <c r="C1623" s="1" t="s">
        <v>799</v>
      </c>
      <c r="D1623" s="1" t="s">
        <v>2099</v>
      </c>
      <c r="E1623" s="5">
        <v>42552</v>
      </c>
      <c r="F1623" s="1" t="s">
        <v>17</v>
      </c>
      <c r="G1623" s="1" t="str">
        <f>IF(B1623=0,VLOOKUP(A1623,Feuil2!$A$2:$M$1241,11,FALSE)," ")</f>
        <v xml:space="preserve"> </v>
      </c>
      <c r="H1623" s="1" t="s">
        <v>16</v>
      </c>
      <c r="I1623" s="6" t="str">
        <f>IF(B1623=0,VLOOKUP(A1623,Feuil2!$A$2:$M$1241,7,FALSE)," ")</f>
        <v xml:space="preserve"> </v>
      </c>
      <c r="J1623" s="1" t="str">
        <f>IF(B1623=0,VLOOKUP(A1623,Feuil2!$A$2:$M$1241,9,FALSE)," ")</f>
        <v xml:space="preserve"> </v>
      </c>
      <c r="K1623" s="1" t="str">
        <f>IF(B1623=0,VLOOKUP(A1623,Feuil2!$A$2:$M$1241,10,FALSE)," ")</f>
        <v xml:space="preserve"> </v>
      </c>
      <c r="L1623" s="1"/>
      <c r="M1623" s="1"/>
      <c r="N1623" s="1"/>
      <c r="O1623" s="8"/>
    </row>
    <row r="1624" spans="1:15" x14ac:dyDescent="0.3">
      <c r="A1624" s="1">
        <v>2013</v>
      </c>
      <c r="B1624" s="1">
        <v>3</v>
      </c>
      <c r="C1624" s="1" t="s">
        <v>799</v>
      </c>
      <c r="D1624" s="1" t="s">
        <v>89</v>
      </c>
      <c r="E1624" s="5">
        <v>44880</v>
      </c>
      <c r="F1624" s="1" t="s">
        <v>506</v>
      </c>
      <c r="G1624" s="1"/>
      <c r="H1624" s="1"/>
      <c r="I1624" s="6"/>
      <c r="J1624" s="1"/>
      <c r="K1624" s="1"/>
      <c r="L1624" s="1"/>
      <c r="M1624" s="1"/>
      <c r="N1624" s="1"/>
      <c r="O1624" s="8" t="str">
        <f>IF(B1629=0,VLOOKUP(A1629,Feuil2!$A$2:$M$1241,13,FALSE)," ")</f>
        <v>10506040207888078835</v>
      </c>
    </row>
    <row r="1625" spans="1:15" x14ac:dyDescent="0.3">
      <c r="A1625" s="1">
        <v>2014</v>
      </c>
      <c r="B1625" s="1">
        <v>0</v>
      </c>
      <c r="C1625" s="1" t="str">
        <f>IF(B1625=0,VLOOKUP(A1625,Feuil2!$A$2:$M$1241,2,FALSE)," ")</f>
        <v>JARRAR</v>
      </c>
      <c r="D1625" s="1" t="str">
        <f>IF(B1625=0,VLOOKUP(A1625,Feuil2!$A$2:$M$1241,3,FALSE)," ")</f>
        <v>MEHDI</v>
      </c>
      <c r="E1625" s="5">
        <f>IF(B1625=0,VLOOKUP(A1625,Feuil2!$A$2:$M$1241,6,FALSE)," ")</f>
        <v>33756</v>
      </c>
      <c r="F1625" s="1" t="str">
        <f>IF(B1625=0,VLOOKUP(A1625,Feuil2!$A$2:$M$1241,12,FALSE)," ")</f>
        <v>H</v>
      </c>
      <c r="G1625" s="1" t="s">
        <v>15</v>
      </c>
      <c r="H1625" s="1" t="s">
        <v>16</v>
      </c>
      <c r="I1625" s="6">
        <f>IF(B1625=0,VLOOKUP(A1625,Feuil2!$A$2:$M$1241,7,FALSE)," ")</f>
        <v>9308295</v>
      </c>
      <c r="J1625" s="1" t="str">
        <f>IF(B1625=0,VLOOKUP(A1625,Feuil2!$A$2:$M$1241,9,FALSE)," ")</f>
        <v>Rue Bel Hassen</v>
      </c>
      <c r="K1625" s="1" t="str">
        <f>IF(B1625=0,VLOOKUP(A1625,Feuil2!$A$2:$M$1241,10,FALSE)," ")</f>
        <v>Msaken 4070</v>
      </c>
      <c r="L1625" s="1">
        <v>4070</v>
      </c>
      <c r="M1625" s="1">
        <v>29575475</v>
      </c>
      <c r="N1625" s="1"/>
      <c r="O1625" s="20" t="str">
        <f>IF(B1630=0,VLOOKUP(A1630,Feuil2!$A$2:$M$1241,13,FALSE)," ")</f>
        <v>07408005310559836767</v>
      </c>
    </row>
    <row r="1626" spans="1:15" x14ac:dyDescent="0.3">
      <c r="A1626" s="1">
        <v>2014</v>
      </c>
      <c r="B1626" s="1">
        <v>1</v>
      </c>
      <c r="C1626" s="1" t="s">
        <v>318</v>
      </c>
      <c r="D1626" s="1" t="s">
        <v>449</v>
      </c>
      <c r="E1626" s="5">
        <v>34337</v>
      </c>
      <c r="F1626" s="1" t="s">
        <v>17</v>
      </c>
      <c r="G1626" s="1" t="s">
        <v>15</v>
      </c>
      <c r="H1626" s="1" t="s">
        <v>16</v>
      </c>
      <c r="I1626" s="6" t="str">
        <f>IF(B1626=0,VLOOKUP(A1626,Feuil2!$A$2:$M$1241,7,FALSE)," ")</f>
        <v xml:space="preserve"> </v>
      </c>
      <c r="J1626" s="1" t="str">
        <f>IF(B1626=0,VLOOKUP(A1626,Feuil2!$A$2:$M$1241,9,FALSE)," ")</f>
        <v xml:space="preserve"> </v>
      </c>
      <c r="K1626" s="1" t="str">
        <f>IF(B1626=0,VLOOKUP(A1626,Feuil2!$A$2:$M$1241,10,FALSE)," ")</f>
        <v xml:space="preserve"> </v>
      </c>
      <c r="L1626" s="1"/>
      <c r="M1626" s="1"/>
      <c r="N1626" s="1"/>
      <c r="O1626" s="8" t="str">
        <f>IF(B1631=0,VLOOKUP(A1631,Feuil2!$A$2:$M$1241,13,FALSE)," ")</f>
        <v xml:space="preserve"> </v>
      </c>
    </row>
    <row r="1627" spans="1:15" x14ac:dyDescent="0.3">
      <c r="A1627" s="1">
        <v>2014</v>
      </c>
      <c r="B1627" s="1">
        <v>2</v>
      </c>
      <c r="C1627" s="1" t="s">
        <v>33</v>
      </c>
      <c r="D1627" s="1" t="s">
        <v>2851</v>
      </c>
      <c r="E1627" s="5">
        <v>44558</v>
      </c>
      <c r="F1627" s="1" t="s">
        <v>17</v>
      </c>
      <c r="G1627" s="1"/>
      <c r="H1627" s="1"/>
      <c r="I1627" s="6"/>
      <c r="J1627" s="1"/>
      <c r="K1627" s="1"/>
      <c r="L1627" s="1"/>
      <c r="M1627" s="1"/>
      <c r="N1627" s="1"/>
      <c r="O1627" s="8" t="str">
        <f>IF(B1632=0,VLOOKUP(A1632,Feuil2!$A$2:$M$1241,13,FALSE)," ")</f>
        <v xml:space="preserve"> </v>
      </c>
    </row>
    <row r="1628" spans="1:15" x14ac:dyDescent="0.3">
      <c r="A1628" s="1">
        <v>2022</v>
      </c>
      <c r="B1628" s="1">
        <v>0</v>
      </c>
      <c r="C1628" s="1" t="str">
        <f>IF(B1628=0,VLOOKUP(A1628,Feuil2!$A$2:$M$1241,2,FALSE)," ")</f>
        <v>BOUHLEL</v>
      </c>
      <c r="D1628" s="1" t="str">
        <f>IF(B1628=0,VLOOKUP(A1628,Feuil2!$A$2:$M$1241,3,FALSE)," ")</f>
        <v>YOUSSEF</v>
      </c>
      <c r="E1628" s="5">
        <f>IF(B1628=0,VLOOKUP(A1628,Feuil2!$A$2:$M$1241,6,FALSE)," ")</f>
        <v>34780</v>
      </c>
      <c r="F1628" s="1" t="str">
        <f>IF(B1628=0,VLOOKUP(A1628,Feuil2!$A$2:$M$1241,12,FALSE)," ")</f>
        <v>H</v>
      </c>
      <c r="G1628" s="1" t="str">
        <f>IF(B1628=0,VLOOKUP(A1628,Feuil2!$A$2:$M$1241,11,FALSE)," ")</f>
        <v>C</v>
      </c>
      <c r="H1628" s="1" t="s">
        <v>16</v>
      </c>
      <c r="I1628" s="6">
        <f>IF(B1628=0,VLOOKUP(A1628,Feuil2!$A$2:$M$1241,7,FALSE)," ")</f>
        <v>9322478</v>
      </c>
      <c r="J1628" s="1" t="str">
        <f>IF(B1628=0,VLOOKUP(A1628,Feuil2!$A$2:$M$1241,9,FALSE)," ")</f>
        <v>17, Rue des Oranges</v>
      </c>
      <c r="K1628" s="1" t="str">
        <f>IF(B1628=0,VLOOKUP(A1628,Feuil2!$A$2:$M$1241,10,FALSE)," ")</f>
        <v>Msaken 4070</v>
      </c>
      <c r="L1628" s="1">
        <v>4070</v>
      </c>
      <c r="M1628" s="1"/>
      <c r="N1628" s="1"/>
      <c r="O1628" s="20" t="str">
        <f>IF(B1633=0,VLOOKUP(A1633,Feuil2!$A$2:$M$1241,13,FALSE)," ")</f>
        <v>08905000092005403052</v>
      </c>
    </row>
    <row r="1629" spans="1:15" x14ac:dyDescent="0.3">
      <c r="A1629" s="1">
        <v>2024</v>
      </c>
      <c r="B1629" s="1">
        <v>0</v>
      </c>
      <c r="C1629" s="1" t="str">
        <f>IF(B1629=0,VLOOKUP(A1629,Feuil2!$A$2:$M$1241,2,FALSE)," ")</f>
        <v>GUEZGUEZ</v>
      </c>
      <c r="D1629" s="1" t="str">
        <f>IF(B1629=0,VLOOKUP(A1629,Feuil2!$A$2:$M$1241,3,FALSE)," ")</f>
        <v>MOHAMED</v>
      </c>
      <c r="E1629" s="5">
        <f>IF(B1629=0,VLOOKUP(A1629,Feuil2!$A$2:$M$1241,6,FALSE)," ")</f>
        <v>34472</v>
      </c>
      <c r="F1629" s="1" t="str">
        <f>IF(B1629=0,VLOOKUP(A1629,Feuil2!$A$2:$M$1241,12,FALSE)," ")</f>
        <v>H</v>
      </c>
      <c r="G1629" s="1" t="str">
        <f>IF(B1629=0,VLOOKUP(A1629,Feuil2!$A$2:$M$1241,11,FALSE)," ")</f>
        <v>C</v>
      </c>
      <c r="H1629" s="1" t="s">
        <v>16</v>
      </c>
      <c r="I1629" s="6">
        <f>IF(B1629=0,VLOOKUP(A1629,Feuil2!$A$2:$M$1241,7,FALSE)," ")</f>
        <v>9322165</v>
      </c>
      <c r="J1629" s="1" t="str">
        <f>IF(B1629=0,VLOOKUP(A1629,Feuil2!$A$2:$M$1241,9,FALSE)," ")</f>
        <v>Rue Salah Hafsa</v>
      </c>
      <c r="K1629" s="1" t="str">
        <f>IF(B1629=0,VLOOKUP(A1629,Feuil2!$A$2:$M$1241,10,FALSE)," ")</f>
        <v>Msaken 4070</v>
      </c>
      <c r="L1629" s="1">
        <v>4070</v>
      </c>
      <c r="M1629" s="1"/>
      <c r="N1629" s="1"/>
      <c r="O1629" s="8" t="str">
        <f>IF(B1634=0,VLOOKUP(A1634,Feuil2!$A$2:$M$1241,13,FALSE)," ")</f>
        <v>08507000262006017067</v>
      </c>
    </row>
    <row r="1630" spans="1:15" x14ac:dyDescent="0.3">
      <c r="A1630" s="17">
        <v>2027</v>
      </c>
      <c r="B1630" s="17">
        <v>0</v>
      </c>
      <c r="C1630" s="17" t="str">
        <f>IF(B1630=0,VLOOKUP(A1630,Feuil2!$A$2:$M$1241,2,FALSE)," ")</f>
        <v>KHELIFA</v>
      </c>
      <c r="D1630" s="17" t="str">
        <f>IF(B1630=0,VLOOKUP(A1630,Feuil2!$A$2:$M$1241,3,FALSE)," ")</f>
        <v>ABDELLATIF</v>
      </c>
      <c r="E1630" s="18">
        <f>IF(B1630=0,VLOOKUP(A1630,Feuil2!$A$2:$M$1241,6,FALSE)," ")</f>
        <v>32426</v>
      </c>
      <c r="F1630" s="17" t="str">
        <f>IF(B1630=0,VLOOKUP(A1630,Feuil2!$A$2:$M$1241,12,FALSE)," ")</f>
        <v>H</v>
      </c>
      <c r="G1630" s="17" t="s">
        <v>15</v>
      </c>
      <c r="H1630" s="17" t="s">
        <v>16</v>
      </c>
      <c r="I1630" s="19">
        <f>IF(B1630=0,VLOOKUP(A1630,Feuil2!$A$2:$M$1241,7,FALSE)," ")</f>
        <v>9263504</v>
      </c>
      <c r="J1630" s="17" t="str">
        <f>IF(B1630=0,VLOOKUP(A1630,Feuil2!$A$2:$M$1241,9,FALSE)," ")</f>
        <v>77, Rue Ettakwa</v>
      </c>
      <c r="K1630" s="17" t="str">
        <f>IF(B1630=0,VLOOKUP(A1630,Feuil2!$A$2:$M$1241,10,FALSE)," ")</f>
        <v>Msaken 4070</v>
      </c>
      <c r="L1630" s="17">
        <v>4070</v>
      </c>
      <c r="M1630" s="17">
        <v>98793781</v>
      </c>
      <c r="N1630" s="17"/>
      <c r="O1630" s="8" t="str">
        <f>IF(B1635=0,VLOOKUP(A1635,Feuil2!$A$2:$M$1241,13,FALSE)," ")</f>
        <v xml:space="preserve"> </v>
      </c>
    </row>
    <row r="1631" spans="1:15" x14ac:dyDescent="0.3">
      <c r="A1631" s="1">
        <v>2027</v>
      </c>
      <c r="B1631" s="1">
        <v>1</v>
      </c>
      <c r="C1631" s="1" t="s">
        <v>776</v>
      </c>
      <c r="D1631" s="1" t="s">
        <v>2517</v>
      </c>
      <c r="E1631" s="5">
        <v>33038</v>
      </c>
      <c r="F1631" s="1" t="s">
        <v>17</v>
      </c>
      <c r="G1631" s="1" t="s">
        <v>15</v>
      </c>
      <c r="H1631" s="1" t="s">
        <v>16</v>
      </c>
      <c r="I1631" s="6" t="str">
        <f>IF(B1631=0,VLOOKUP(A1631,Feuil2!$A$2:$M$1241,7,FALSE)," ")</f>
        <v xml:space="preserve"> </v>
      </c>
      <c r="J1631" s="1" t="str">
        <f>IF(B1631=0,VLOOKUP(A1631,Feuil2!$A$2:$M$1241,9,FALSE)," ")</f>
        <v xml:space="preserve"> </v>
      </c>
      <c r="K1631" s="1" t="str">
        <f>IF(B1631=0,VLOOKUP(A1631,Feuil2!$A$2:$M$1241,10,FALSE)," ")</f>
        <v xml:space="preserve"> </v>
      </c>
      <c r="L1631" s="1"/>
      <c r="M1631" s="1"/>
      <c r="N1631" s="1"/>
      <c r="O1631" s="8" t="str">
        <f>IF(B1636=0,VLOOKUP(A1636,Feuil2!$A$2:$M$1241,13,FALSE)," ")</f>
        <v xml:space="preserve"> </v>
      </c>
    </row>
    <row r="1632" spans="1:15" x14ac:dyDescent="0.3">
      <c r="A1632" s="1">
        <v>2027</v>
      </c>
      <c r="B1632" s="1">
        <v>2</v>
      </c>
      <c r="C1632" s="1" t="s">
        <v>339</v>
      </c>
      <c r="D1632" s="1" t="s">
        <v>287</v>
      </c>
      <c r="E1632" s="5">
        <v>43649</v>
      </c>
      <c r="F1632" s="1" t="s">
        <v>506</v>
      </c>
      <c r="G1632" s="1" t="str">
        <f>IF(B1632=0,VLOOKUP(A1632,Feuil2!$A$2:$M$1241,11,FALSE)," ")</f>
        <v xml:space="preserve"> </v>
      </c>
      <c r="H1632" s="1" t="s">
        <v>16</v>
      </c>
      <c r="I1632" s="6" t="str">
        <f>IF(B1632=0,VLOOKUP(A1632,Feuil2!$A$2:$M$1241,7,FALSE)," ")</f>
        <v xml:space="preserve"> </v>
      </c>
      <c r="J1632" s="1" t="str">
        <f>IF(B1632=0,VLOOKUP(A1632,Feuil2!$A$2:$M$1241,9,FALSE)," ")</f>
        <v xml:space="preserve"> </v>
      </c>
      <c r="K1632" s="1" t="str">
        <f>IF(B1632=0,VLOOKUP(A1632,Feuil2!$A$2:$M$1241,10,FALSE)," ")</f>
        <v xml:space="preserve"> </v>
      </c>
      <c r="L1632" s="1"/>
      <c r="M1632" s="1"/>
      <c r="N1632" s="1"/>
      <c r="O1632" s="8" t="str">
        <f>IF(B1637=0,VLOOKUP(A1637,Feuil2!$A$2:$M$1241,13,FALSE)," ")</f>
        <v>05048000116500463593</v>
      </c>
    </row>
    <row r="1633" spans="1:15" x14ac:dyDescent="0.3">
      <c r="A1633" s="17">
        <v>2038</v>
      </c>
      <c r="B1633" s="17">
        <v>0</v>
      </c>
      <c r="C1633" s="17" t="str">
        <f>IF(B1633=0,VLOOKUP(A1633,Feuil2!$A$2:$M$1241,2,FALSE)," ")</f>
        <v>ZID</v>
      </c>
      <c r="D1633" s="17" t="str">
        <f>IF(B1633=0,VLOOKUP(A1633,Feuil2!$A$2:$M$1241,3,FALSE)," ")</f>
        <v>MOHAMED</v>
      </c>
      <c r="E1633" s="18">
        <f>IF(B1633=0,VLOOKUP(A1633,Feuil2!$A$2:$M$1241,6,FALSE)," ")</f>
        <v>32512</v>
      </c>
      <c r="F1633" s="17" t="str">
        <f>IF(B1633=0,VLOOKUP(A1633,Feuil2!$A$2:$M$1241,12,FALSE)," ")</f>
        <v>H</v>
      </c>
      <c r="G1633" s="17" t="str">
        <f>IF(B1633=0,VLOOKUP(A1633,Feuil2!$A$2:$M$1241,11,FALSE)," ")</f>
        <v>C</v>
      </c>
      <c r="H1633" s="17" t="s">
        <v>16</v>
      </c>
      <c r="I1633" s="19">
        <f>IF(B1633=0,VLOOKUP(A1633,Feuil2!$A$2:$M$1241,7,FALSE)," ")</f>
        <v>9285452</v>
      </c>
      <c r="J1633" s="17" t="str">
        <f>IF(B1633=0,VLOOKUP(A1633,Feuil2!$A$2:$M$1241,9,FALSE)," ")</f>
        <v>El Bchachma Kondar</v>
      </c>
      <c r="K1633" s="17" t="str">
        <f>IF(B1633=0,VLOOKUP(A1633,Feuil2!$A$2:$M$1241,10,FALSE)," ")</f>
        <v>Sousse</v>
      </c>
      <c r="L1633" s="17"/>
      <c r="M1633" s="17">
        <v>98793789</v>
      </c>
      <c r="N1633" s="17"/>
      <c r="O1633" s="8" t="str">
        <f>IF(B1638=0,VLOOKUP(A1638,Feuil2!$A$2:$M$1241,13,FALSE)," ")</f>
        <v>08507000262004886338</v>
      </c>
    </row>
    <row r="1634" spans="1:15" x14ac:dyDescent="0.3">
      <c r="A1634" s="1">
        <v>2040</v>
      </c>
      <c r="B1634" s="1">
        <v>0</v>
      </c>
      <c r="C1634" s="1" t="str">
        <f>IF(B1634=0,VLOOKUP(A1634,Feuil2!$A$2:$M$1241,2,FALSE)," ")</f>
        <v>GHEZAL</v>
      </c>
      <c r="D1634" s="1" t="str">
        <f>IF(B1634=0,VLOOKUP(A1634,Feuil2!$A$2:$M$1241,3,FALSE)," ")</f>
        <v>YOUSSEF</v>
      </c>
      <c r="E1634" s="5">
        <f>IF(B1634=0,VLOOKUP(A1634,Feuil2!$A$2:$M$1241,6,FALSE)," ")</f>
        <v>32478</v>
      </c>
      <c r="F1634" s="1" t="str">
        <f>IF(B1634=0,VLOOKUP(A1634,Feuil2!$A$2:$M$1241,12,FALSE)," ")</f>
        <v>H</v>
      </c>
      <c r="G1634" s="1" t="s">
        <v>15</v>
      </c>
      <c r="H1634" s="1" t="s">
        <v>16</v>
      </c>
      <c r="I1634" s="6">
        <f>IF(B1634=0,VLOOKUP(A1634,Feuil2!$A$2:$M$1241,7,FALSE)," ")</f>
        <v>9280892</v>
      </c>
      <c r="J1634" s="1" t="str">
        <f>IF(B1634=0,VLOOKUP(A1634,Feuil2!$A$2:$M$1241,9,FALSE)," ")</f>
        <v>53, Rue Aziza Othmana</v>
      </c>
      <c r="K1634" s="1" t="str">
        <f>IF(B1634=0,VLOOKUP(A1634,Feuil2!$A$2:$M$1241,10,FALSE)," ")</f>
        <v>Msaken 4070</v>
      </c>
      <c r="L1634" s="1">
        <v>4070</v>
      </c>
      <c r="M1634" s="1">
        <v>98793789</v>
      </c>
      <c r="N1634" s="1"/>
      <c r="O1634" s="8" t="str">
        <f>IF(B1639=0,VLOOKUP(A1639,Feuil2!$A$2:$M$1241,13,FALSE)," ")</f>
        <v>07408005310559870911</v>
      </c>
    </row>
    <row r="1635" spans="1:15" x14ac:dyDescent="0.3">
      <c r="A1635" s="1">
        <v>2040</v>
      </c>
      <c r="B1635" s="1">
        <v>1</v>
      </c>
      <c r="C1635" s="1" t="s">
        <v>776</v>
      </c>
      <c r="D1635" s="1" t="s">
        <v>2407</v>
      </c>
      <c r="E1635" s="5">
        <v>33464</v>
      </c>
      <c r="F1635" s="1" t="s">
        <v>17</v>
      </c>
      <c r="G1635" s="1" t="s">
        <v>15</v>
      </c>
      <c r="H1635" s="1" t="s">
        <v>16</v>
      </c>
      <c r="I1635" s="6" t="str">
        <f>IF(B1635=0,VLOOKUP(A1635,Feuil2!$A$2:$M$1241,7,FALSE)," ")</f>
        <v xml:space="preserve"> </v>
      </c>
      <c r="J1635" s="1" t="str">
        <f>IF(B1635=0,VLOOKUP(A1635,Feuil2!$A$2:$M$1241,9,FALSE)," ")</f>
        <v xml:space="preserve"> </v>
      </c>
      <c r="K1635" s="1" t="str">
        <f>IF(B1635=0,VLOOKUP(A1635,Feuil2!$A$2:$M$1241,10,FALSE)," ")</f>
        <v xml:space="preserve"> </v>
      </c>
      <c r="L1635" s="1"/>
      <c r="M1635" s="1"/>
      <c r="N1635" s="1"/>
      <c r="O1635" s="8" t="str">
        <f>IF(B1640=0,VLOOKUP(A1640,Feuil2!$A$2:$M$1241,13,FALSE)," ")</f>
        <v xml:space="preserve"> </v>
      </c>
    </row>
    <row r="1636" spans="1:15" x14ac:dyDescent="0.3">
      <c r="A1636" s="1">
        <v>2040</v>
      </c>
      <c r="B1636" s="1">
        <v>2</v>
      </c>
      <c r="C1636" s="1" t="s">
        <v>112</v>
      </c>
      <c r="D1636" s="1" t="s">
        <v>107</v>
      </c>
      <c r="E1636" s="5">
        <v>43920</v>
      </c>
      <c r="F1636" s="1" t="s">
        <v>506</v>
      </c>
      <c r="G1636" s="1" t="str">
        <f>IF(B1636=0,VLOOKUP(A1636,Feuil2!$A$2:$M$1241,11,FALSE)," ")</f>
        <v xml:space="preserve"> </v>
      </c>
      <c r="H1636" s="1" t="s">
        <v>16</v>
      </c>
      <c r="I1636" s="6" t="str">
        <f>IF(B1636=0,VLOOKUP(A1636,Feuil2!$A$2:$M$1241,7,FALSE)," ")</f>
        <v xml:space="preserve"> </v>
      </c>
      <c r="J1636" s="1" t="str">
        <f>IF(B1636=0,VLOOKUP(A1636,Feuil2!$A$2:$M$1241,9,FALSE)," ")</f>
        <v xml:space="preserve"> </v>
      </c>
      <c r="K1636" s="1" t="str">
        <f>IF(B1636=0,VLOOKUP(A1636,Feuil2!$A$2:$M$1241,10,FALSE)," ")</f>
        <v xml:space="preserve"> </v>
      </c>
      <c r="L1636" s="1"/>
      <c r="M1636" s="1"/>
      <c r="N1636" s="1"/>
      <c r="O1636" s="8" t="str">
        <f>IF(B1641=0,VLOOKUP(A1641,Feuil2!$A$2:$M$1241,13,FALSE)," ")</f>
        <v xml:space="preserve"> </v>
      </c>
    </row>
    <row r="1637" spans="1:15" x14ac:dyDescent="0.3">
      <c r="A1637" s="1">
        <v>1619</v>
      </c>
      <c r="B1637" s="1">
        <v>0</v>
      </c>
      <c r="C1637" s="1" t="str">
        <f>IF(B1637=0,VLOOKUP(A1637,Feuil2!$A$2:$M$1241,2,FALSE)," ")</f>
        <v>CHTIOUI</v>
      </c>
      <c r="D1637" s="1" t="str">
        <f>IF(B1637=0,VLOOKUP(A1637,Feuil2!$A$2:$M$1241,3,FALSE)," ")</f>
        <v>FETHI</v>
      </c>
      <c r="E1637" s="5">
        <f>IF(B1637=0,VLOOKUP(A1637,Feuil2!$A$2:$M$1241,6,FALSE)," ")</f>
        <v>25762</v>
      </c>
      <c r="F1637" s="1" t="str">
        <f>IF(B1637=0,VLOOKUP(A1637,Feuil2!$A$2:$M$1241,12,FALSE)," ")</f>
        <v>H</v>
      </c>
      <c r="G1637" s="1" t="str">
        <f>IF(B1637=0,VLOOKUP(A1637,Feuil2!$A$2:$M$1241,11,FALSE)," ")</f>
        <v>M</v>
      </c>
      <c r="H1637" s="1" t="s">
        <v>16</v>
      </c>
      <c r="I1637" s="6">
        <f>IF(B1637=0,VLOOKUP(A1637,Feuil2!$A$2:$M$1241,7,FALSE)," ")</f>
        <v>5514585</v>
      </c>
      <c r="J1637" s="1" t="str">
        <f>IF(B1637=0,VLOOKUP(A1637,Feuil2!$A$2:$M$1241,9,FALSE)," ")</f>
        <v>22,Rue des Aghlabites</v>
      </c>
      <c r="K1637" s="1" t="str">
        <f>IF(B1637=0,VLOOKUP(A1637,Feuil2!$A$2:$M$1241,10,FALSE)," ")</f>
        <v>Msaken 4070</v>
      </c>
      <c r="L1637" s="1">
        <v>4014</v>
      </c>
      <c r="M1637" s="1">
        <v>22257571</v>
      </c>
      <c r="N1637" s="1"/>
      <c r="O1637" s="8" t="str">
        <f>IF(B1642=0,VLOOKUP(A1642,Feuil2!$A$2:$M$1241,13,FALSE)," ")</f>
        <v xml:space="preserve"> </v>
      </c>
    </row>
    <row r="1638" spans="1:15" x14ac:dyDescent="0.3">
      <c r="A1638" s="1">
        <v>2050</v>
      </c>
      <c r="B1638" s="1">
        <v>0</v>
      </c>
      <c r="C1638" s="1" t="str">
        <f>IF(B1638=0,VLOOKUP(A1638,Feuil2!$A$2:$M$1241,2,FALSE)," ")</f>
        <v>ATTIA</v>
      </c>
      <c r="D1638" s="1" t="str">
        <f>IF(B1638=0,VLOOKUP(A1638,Feuil2!$A$2:$M$1241,3,FALSE)," ")</f>
        <v>WISSEM</v>
      </c>
      <c r="E1638" s="5">
        <f>IF(B1638=0,VLOOKUP(A1638,Feuil2!$A$2:$M$1241,6,FALSE)," ")</f>
        <v>34031</v>
      </c>
      <c r="F1638" s="1" t="str">
        <f>IF(B1638=0,VLOOKUP(A1638,Feuil2!$A$2:$M$1241,12,FALSE)," ")</f>
        <v>H</v>
      </c>
      <c r="G1638" s="1" t="str">
        <f>IF(B1638=0,VLOOKUP(A1638,Feuil2!$A$2:$M$1241,11,FALSE)," ")</f>
        <v>C</v>
      </c>
      <c r="H1638" s="1" t="s">
        <v>16</v>
      </c>
      <c r="I1638" s="6">
        <f>IF(B1638=0,VLOOKUP(A1638,Feuil2!$A$2:$M$1241,7,FALSE)," ")</f>
        <v>9307931</v>
      </c>
      <c r="J1638" s="1" t="str">
        <f>IF(B1638=0,VLOOKUP(A1638,Feuil2!$A$2:$M$1241,9,FALSE)," ")</f>
        <v>Rue Taieb Hachicha</v>
      </c>
      <c r="K1638" s="1" t="str">
        <f>IF(B1638=0,VLOOKUP(A1638,Feuil2!$A$2:$M$1241,10,FALSE)," ")</f>
        <v>Msaken 4070</v>
      </c>
      <c r="L1638" s="1">
        <v>4070</v>
      </c>
      <c r="M1638" s="1">
        <v>52751445</v>
      </c>
      <c r="N1638" s="1"/>
      <c r="O1638" s="8" t="str">
        <f>IF(B1643=0,VLOOKUP(A1643,Feuil2!$A$2:$M$1241,13,FALSE)," ")</f>
        <v>14802802100707291179</v>
      </c>
    </row>
    <row r="1639" spans="1:15" x14ac:dyDescent="0.3">
      <c r="A1639" s="1">
        <v>2051</v>
      </c>
      <c r="B1639" s="1">
        <v>0</v>
      </c>
      <c r="C1639" s="1" t="str">
        <f>IF(B1639=0,VLOOKUP(A1639,Feuil2!$A$2:$M$1241,2,FALSE)," ")</f>
        <v>SLIMENE</v>
      </c>
      <c r="D1639" s="1" t="str">
        <f>IF(B1639=0,VLOOKUP(A1639,Feuil2!$A$2:$M$1241,3,FALSE)," ")</f>
        <v>ANIS</v>
      </c>
      <c r="E1639" s="5">
        <f>IF(B1639=0,VLOOKUP(A1639,Feuil2!$A$2:$M$1241,6,FALSE)," ")</f>
        <v>32392</v>
      </c>
      <c r="F1639" s="1" t="str">
        <f>IF(B1639=0,VLOOKUP(A1639,Feuil2!$A$2:$M$1241,12,FALSE)," ")</f>
        <v>H</v>
      </c>
      <c r="G1639" s="1" t="str">
        <f>IF(B1639=0,VLOOKUP(A1639,Feuil2!$A$2:$M$1241,11,FALSE)," ")</f>
        <v>M</v>
      </c>
      <c r="H1639" s="1" t="s">
        <v>16</v>
      </c>
      <c r="I1639" s="6">
        <f>IF(B1639=0,VLOOKUP(A1639,Feuil2!$A$2:$M$1241,7,FALSE)," ")</f>
        <v>9266919</v>
      </c>
      <c r="J1639" s="1" t="str">
        <f>IF(B1639=0,VLOOKUP(A1639,Feuil2!$A$2:$M$1241,9,FALSE)," ")</f>
        <v>Beni rabiaa</v>
      </c>
      <c r="K1639" s="1" t="str">
        <f>IF(B1639=0,VLOOKUP(A1639,Feuil2!$A$2:$M$1241,10,FALSE)," ")</f>
        <v>BÃ©ni Rabiaa 4015</v>
      </c>
      <c r="L1639" s="1"/>
      <c r="M1639" s="1"/>
      <c r="N1639" s="1"/>
      <c r="O1639" s="8" t="str">
        <f>IF(B1644=0,VLOOKUP(A1644,Feuil2!$A$2:$M$1241,13,FALSE)," ")</f>
        <v>01018058111022445405</v>
      </c>
    </row>
    <row r="1640" spans="1:15" x14ac:dyDescent="0.3">
      <c r="A1640" s="1">
        <v>2051</v>
      </c>
      <c r="B1640" s="1">
        <v>1</v>
      </c>
      <c r="C1640" s="1" t="str">
        <f>IF(B1640=0,VLOOKUP(A1640,Feuil2!$A$2:$M$1241,2,FALSE)," ")</f>
        <v xml:space="preserve"> </v>
      </c>
      <c r="D1640" s="1" t="s">
        <v>2327</v>
      </c>
      <c r="E1640" s="5">
        <v>30069</v>
      </c>
      <c r="F1640" s="1" t="s">
        <v>17</v>
      </c>
      <c r="G1640" s="1" t="s">
        <v>15</v>
      </c>
      <c r="H1640" s="1" t="s">
        <v>16</v>
      </c>
      <c r="I1640" s="6" t="str">
        <f>IF(B1640=0,VLOOKUP(A1640,Feuil2!$A$2:$M$1241,7,FALSE)," ")</f>
        <v xml:space="preserve"> </v>
      </c>
      <c r="J1640" s="1" t="str">
        <f>IF(B1640=0,VLOOKUP(A1640,Feuil2!$A$2:$M$1241,9,FALSE)," ")</f>
        <v xml:space="preserve"> </v>
      </c>
      <c r="K1640" s="1" t="str">
        <f>IF(B1640=0,VLOOKUP(A1640,Feuil2!$A$2:$M$1241,10,FALSE)," ")</f>
        <v xml:space="preserve"> </v>
      </c>
      <c r="L1640" s="1"/>
      <c r="M1640" s="1"/>
      <c r="N1640" s="1"/>
      <c r="O1640" s="8" t="str">
        <f>IF(B1645=0,VLOOKUP(A1645,Feuil2!$A$2:$M$1241,13,FALSE)," ")</f>
        <v>12058000013307118056</v>
      </c>
    </row>
    <row r="1641" spans="1:15" x14ac:dyDescent="0.3">
      <c r="A1641" s="1">
        <v>2051</v>
      </c>
      <c r="B1641" s="1">
        <v>2</v>
      </c>
      <c r="C1641" s="1" t="s">
        <v>329</v>
      </c>
      <c r="D1641" s="1" t="s">
        <v>2695</v>
      </c>
      <c r="E1641" s="5">
        <v>42127</v>
      </c>
      <c r="F1641" s="1" t="s">
        <v>17</v>
      </c>
      <c r="G1641" s="1" t="str">
        <f>IF(B1641=0,VLOOKUP(A1641,Feuil2!$A$2:$M$1241,11,FALSE)," ")</f>
        <v xml:space="preserve"> </v>
      </c>
      <c r="H1641" s="1" t="s">
        <v>16</v>
      </c>
      <c r="I1641" s="6" t="str">
        <f>IF(B1641=0,VLOOKUP(A1641,Feuil2!$A$2:$M$1241,7,FALSE)," ")</f>
        <v xml:space="preserve"> </v>
      </c>
      <c r="J1641" s="1" t="str">
        <f>IF(B1641=0,VLOOKUP(A1641,Feuil2!$A$2:$M$1241,9,FALSE)," ")</f>
        <v xml:space="preserve"> </v>
      </c>
      <c r="K1641" s="1" t="str">
        <f>IF(B1641=0,VLOOKUP(A1641,Feuil2!$A$2:$M$1241,10,FALSE)," ")</f>
        <v xml:space="preserve"> </v>
      </c>
      <c r="L1641" s="1"/>
      <c r="M1641" s="1"/>
      <c r="N1641" s="1"/>
      <c r="O1641" s="8" t="str">
        <f>IF(B1646=0,VLOOKUP(A1646,Feuil2!$A$2:$M$1241,13,FALSE)," ")</f>
        <v>10506040208339278894</v>
      </c>
    </row>
    <row r="1642" spans="1:15" x14ac:dyDescent="0.3">
      <c r="A1642" s="1">
        <v>2051</v>
      </c>
      <c r="B1642" s="1">
        <v>3</v>
      </c>
      <c r="C1642" s="1" t="s">
        <v>329</v>
      </c>
      <c r="D1642" s="1" t="s">
        <v>447</v>
      </c>
      <c r="E1642" s="5">
        <v>43599</v>
      </c>
      <c r="F1642" s="1" t="s">
        <v>506</v>
      </c>
      <c r="G1642" s="1" t="str">
        <f>IF(B1642=0,VLOOKUP(A1642,Feuil2!$A$2:$M$1241,11,FALSE)," ")</f>
        <v xml:space="preserve"> </v>
      </c>
      <c r="H1642" s="1" t="s">
        <v>16</v>
      </c>
      <c r="I1642" s="6" t="str">
        <f>IF(B1642=0,VLOOKUP(A1642,Feuil2!$A$2:$M$1241,7,FALSE)," ")</f>
        <v xml:space="preserve"> </v>
      </c>
      <c r="J1642" s="1" t="str">
        <f>IF(B1642=0,VLOOKUP(A1642,Feuil2!$A$2:$M$1241,9,FALSE)," ")</f>
        <v xml:space="preserve"> </v>
      </c>
      <c r="K1642" s="1" t="str">
        <f>IF(B1642=0,VLOOKUP(A1642,Feuil2!$A$2:$M$1241,10,FALSE)," ")</f>
        <v xml:space="preserve"> </v>
      </c>
      <c r="L1642" s="1"/>
      <c r="M1642" s="1"/>
      <c r="N1642" s="1"/>
      <c r="O1642" s="8" t="str">
        <f>IF(B1647=0,VLOOKUP(A1647,Feuil2!$A$2:$M$1241,13,FALSE)," ")</f>
        <v>08507000262006685397</v>
      </c>
    </row>
    <row r="1643" spans="1:15" x14ac:dyDescent="0.3">
      <c r="A1643" s="1">
        <v>2053</v>
      </c>
      <c r="B1643" s="1">
        <v>0</v>
      </c>
      <c r="C1643" s="1" t="str">
        <f>IF(B1643=0,VLOOKUP(A1643,Feuil2!$A$2:$M$1241,2,FALSE)," ")</f>
        <v>SAID</v>
      </c>
      <c r="D1643" s="1" t="str">
        <f>IF(B1643=0,VLOOKUP(A1643,Feuil2!$A$2:$M$1241,3,FALSE)," ")</f>
        <v>YASSINE</v>
      </c>
      <c r="E1643" s="5">
        <f>IF(B1643=0,VLOOKUP(A1643,Feuil2!$A$2:$M$1241,6,FALSE)," ")</f>
        <v>35317</v>
      </c>
      <c r="F1643" s="1" t="str">
        <f>IF(B1643=0,VLOOKUP(A1643,Feuil2!$A$2:$M$1241,12,FALSE)," ")</f>
        <v>H</v>
      </c>
      <c r="G1643" s="1" t="str">
        <f>IF(B1643=0,VLOOKUP(A1643,Feuil2!$A$2:$M$1241,11,FALSE)," ")</f>
        <v>C</v>
      </c>
      <c r="H1643" s="1" t="s">
        <v>16</v>
      </c>
      <c r="I1643" s="6">
        <f>IF(B1643=0,VLOOKUP(A1643,Feuil2!$A$2:$M$1241,7,FALSE)," ")</f>
        <v>12806995</v>
      </c>
      <c r="J1643" s="1" t="str">
        <f>IF(B1643=0,VLOOKUP(A1643,Feuil2!$A$2:$M$1241,9,FALSE)," ")</f>
        <v>34 Route de Tunis</v>
      </c>
      <c r="K1643" s="1" t="str">
        <f>IF(B1643=0,VLOOKUP(A1643,Feuil2!$A$2:$M$1241,10,FALSE)," ")</f>
        <v>Hammam Sousse</v>
      </c>
      <c r="L1643" s="1"/>
      <c r="M1643" s="1">
        <v>26205778</v>
      </c>
      <c r="N1643" s="1"/>
      <c r="O1643" s="8" t="str">
        <f>IF(B1648=0,VLOOKUP(A1648,Feuil2!$A$2:$M$1241,13,FALSE)," ")</f>
        <v xml:space="preserve"> </v>
      </c>
    </row>
    <row r="1644" spans="1:15" x14ac:dyDescent="0.3">
      <c r="A1644" s="1">
        <v>2054</v>
      </c>
      <c r="B1644" s="1">
        <v>0</v>
      </c>
      <c r="C1644" s="1" t="str">
        <f>IF(B1644=0,VLOOKUP(A1644,Feuil2!$A$2:$M$1241,2,FALSE)," ")</f>
        <v>BAYA</v>
      </c>
      <c r="D1644" s="1" t="str">
        <f>IF(B1644=0,VLOOKUP(A1644,Feuil2!$A$2:$M$1241,3,FALSE)," ")</f>
        <v>HASSINE</v>
      </c>
      <c r="E1644" s="5">
        <f>IF(B1644=0,VLOOKUP(A1644,Feuil2!$A$2:$M$1241,6,FALSE)," ")</f>
        <v>33760</v>
      </c>
      <c r="F1644" s="1" t="str">
        <f>IF(B1644=0,VLOOKUP(A1644,Feuil2!$A$2:$M$1241,12,FALSE)," ")</f>
        <v>H</v>
      </c>
      <c r="G1644" s="1" t="str">
        <f>IF(B1644=0,VLOOKUP(A1644,Feuil2!$A$2:$M$1241,11,FALSE)," ")</f>
        <v>C</v>
      </c>
      <c r="H1644" s="1" t="s">
        <v>16</v>
      </c>
      <c r="I1644" s="6">
        <f>IF(B1644=0,VLOOKUP(A1644,Feuil2!$A$2:$M$1241,7,FALSE)," ")</f>
        <v>9315710</v>
      </c>
      <c r="J1644" s="1" t="str">
        <f>IF(B1644=0,VLOOKUP(A1644,Feuil2!$A$2:$M$1241,9,FALSE)," ")</f>
        <v>Rue Sidi Bel Hassen</v>
      </c>
      <c r="K1644" s="1" t="str">
        <f>IF(B1644=0,VLOOKUP(A1644,Feuil2!$A$2:$M$1241,10,FALSE)," ")</f>
        <v>Msaken 4070</v>
      </c>
      <c r="L1644" s="1">
        <v>4070</v>
      </c>
      <c r="M1644" s="1">
        <v>27088836</v>
      </c>
      <c r="N1644" s="1"/>
      <c r="O1644" s="20" t="str">
        <f>IF(B1649=0,VLOOKUP(A1649,Feuil2!$A$2:$M$1241,13,FALSE)," ")</f>
        <v>14014014100704177843</v>
      </c>
    </row>
    <row r="1645" spans="1:15" x14ac:dyDescent="0.3">
      <c r="A1645" s="1">
        <v>2059</v>
      </c>
      <c r="B1645" s="1">
        <v>0</v>
      </c>
      <c r="C1645" s="1" t="str">
        <f>IF(B1645=0,VLOOKUP(A1645,Feuil2!$A$2:$M$1241,2,FALSE)," ")</f>
        <v>LAHDHIRI</v>
      </c>
      <c r="D1645" s="1" t="str">
        <f>IF(B1645=0,VLOOKUP(A1645,Feuil2!$A$2:$M$1241,3,FALSE)," ")</f>
        <v>KACEM</v>
      </c>
      <c r="E1645" s="5">
        <f>IF(B1645=0,VLOOKUP(A1645,Feuil2!$A$2:$M$1241,6,FALSE)," ")</f>
        <v>34437</v>
      </c>
      <c r="F1645" s="1" t="str">
        <f>IF(B1645=0,VLOOKUP(A1645,Feuil2!$A$2:$M$1241,12,FALSE)," ")</f>
        <v>H</v>
      </c>
      <c r="G1645" s="1" t="str">
        <f>IF(B1645=0,VLOOKUP(A1645,Feuil2!$A$2:$M$1241,11,FALSE)," ")</f>
        <v>C</v>
      </c>
      <c r="H1645" s="1" t="s">
        <v>16</v>
      </c>
      <c r="I1645" s="6">
        <f>IF(B1645=0,VLOOKUP(A1645,Feuil2!$A$2:$M$1241,7,FALSE)," ")</f>
        <v>9344393</v>
      </c>
      <c r="J1645" s="1" t="str">
        <f>IF(B1645=0,VLOOKUP(A1645,Feuil2!$A$2:$M$1241,9,FALSE)," ")</f>
        <v>Rue Chikh Ladheri</v>
      </c>
      <c r="K1645" s="1" t="str">
        <f>IF(B1645=0,VLOOKUP(A1645,Feuil2!$A$2:$M$1241,10,FALSE)," ")</f>
        <v>Msaken 4070</v>
      </c>
      <c r="L1645" s="1">
        <v>4070</v>
      </c>
      <c r="M1645" s="1">
        <v>21394652</v>
      </c>
      <c r="N1645" s="1"/>
      <c r="O1645" s="20" t="str">
        <f>IF(B1650=0,VLOOKUP(A1650,Feuil2!$A$2:$M$1241,13,FALSE)," ")</f>
        <v>04605033003998982785</v>
      </c>
    </row>
    <row r="1646" spans="1:15" x14ac:dyDescent="0.3">
      <c r="A1646" s="1">
        <v>2065</v>
      </c>
      <c r="B1646" s="1">
        <v>0</v>
      </c>
      <c r="C1646" s="1" t="str">
        <f>IF(B1646=0,VLOOKUP(A1646,Feuil2!$A$2:$M$1241,2,FALSE)," ")</f>
        <v>CHIHAOUI</v>
      </c>
      <c r="D1646" s="1" t="str">
        <f>IF(B1646=0,VLOOKUP(A1646,Feuil2!$A$2:$M$1241,3,FALSE)," ")</f>
        <v>ALAAEDDINE</v>
      </c>
      <c r="E1646" s="5">
        <f>IF(B1646=0,VLOOKUP(A1646,Feuil2!$A$2:$M$1241,6,FALSE)," ")</f>
        <v>34574</v>
      </c>
      <c r="F1646" s="1" t="str">
        <f>IF(B1646=0,VLOOKUP(A1646,Feuil2!$A$2:$M$1241,12,FALSE)," ")</f>
        <v>H</v>
      </c>
      <c r="G1646" s="1" t="str">
        <f>IF(B1646=0,VLOOKUP(A1646,Feuil2!$A$2:$M$1241,11,FALSE)," ")</f>
        <v>C</v>
      </c>
      <c r="H1646" s="1" t="s">
        <v>16</v>
      </c>
      <c r="I1646" s="6">
        <f>IF(B1646=0,VLOOKUP(A1646,Feuil2!$A$2:$M$1241,7,FALSE)," ")</f>
        <v>12804261</v>
      </c>
      <c r="J1646" s="1" t="str">
        <f>IF(B1646=0,VLOOKUP(A1646,Feuil2!$A$2:$M$1241,9,FALSE)," ")</f>
        <v>11, Rue Essada</v>
      </c>
      <c r="K1646" s="1" t="str">
        <f>IF(B1646=0,VLOOKUP(A1646,Feuil2!$A$2:$M$1241,10,FALSE)," ")</f>
        <v>CitÃ© Ezzouhour</v>
      </c>
      <c r="L1646" s="1"/>
      <c r="M1646" s="1">
        <v>21659365</v>
      </c>
      <c r="N1646" s="1"/>
      <c r="O1646" s="8" t="str">
        <f>IF(B1651=0,VLOOKUP(A1651,Feuil2!$A$2:$M$1241,13,FALSE)," ")</f>
        <v>12505000013309243484</v>
      </c>
    </row>
    <row r="1647" spans="1:15" x14ac:dyDescent="0.3">
      <c r="A1647" s="1">
        <v>2071</v>
      </c>
      <c r="B1647" s="1">
        <v>0</v>
      </c>
      <c r="C1647" s="1" t="str">
        <f>IF(B1647=0,VLOOKUP(A1647,Feuil2!$A$2:$M$1241,2,FALSE)," ")</f>
        <v>TRIAA</v>
      </c>
      <c r="D1647" s="1" t="str">
        <f>IF(B1647=0,VLOOKUP(A1647,Feuil2!$A$2:$M$1241,3,FALSE)," ")</f>
        <v>FARES</v>
      </c>
      <c r="E1647" s="5">
        <f>IF(B1647=0,VLOOKUP(A1647,Feuil2!$A$2:$M$1241,6,FALSE)," ")</f>
        <v>33773</v>
      </c>
      <c r="F1647" s="1" t="str">
        <f>IF(B1647=0,VLOOKUP(A1647,Feuil2!$A$2:$M$1241,12,FALSE)," ")</f>
        <v>H</v>
      </c>
      <c r="G1647" s="1" t="s">
        <v>15</v>
      </c>
      <c r="H1647" s="1" t="s">
        <v>16</v>
      </c>
      <c r="I1647" s="6">
        <f>IF(B1647=0,VLOOKUP(A1647,Feuil2!$A$2:$M$1241,7,FALSE)," ")</f>
        <v>9321840</v>
      </c>
      <c r="J1647" s="1" t="str">
        <f>IF(B1647=0,VLOOKUP(A1647,Feuil2!$A$2:$M$1241,9,FALSE)," ")</f>
        <v>Rue Iran Saryach</v>
      </c>
      <c r="K1647" s="1" t="str">
        <f>IF(B1647=0,VLOOKUP(A1647,Feuil2!$A$2:$M$1241,10,FALSE)," ")</f>
        <v>Msaken 4070</v>
      </c>
      <c r="L1647" s="1">
        <v>4070</v>
      </c>
      <c r="M1647" s="1"/>
      <c r="N1647" s="1"/>
      <c r="O1647" s="20" t="str">
        <f>IF(B1652=0,VLOOKUP(A1652,Feuil2!$A$2:$M$1241,13,FALSE)," ")</f>
        <v>17801000000125885611</v>
      </c>
    </row>
    <row r="1648" spans="1:15" x14ac:dyDescent="0.3">
      <c r="A1648" s="1">
        <v>2071</v>
      </c>
      <c r="B1648" s="1">
        <v>1</v>
      </c>
      <c r="C1648" s="1" t="s">
        <v>121</v>
      </c>
      <c r="D1648" s="1" t="s">
        <v>749</v>
      </c>
      <c r="E1648" s="5">
        <v>35935</v>
      </c>
      <c r="F1648" s="1" t="s">
        <v>17</v>
      </c>
      <c r="G1648" s="1" t="s">
        <v>15</v>
      </c>
      <c r="H1648" s="1" t="s">
        <v>16</v>
      </c>
      <c r="I1648" s="6" t="str">
        <f>IF(B1648=0,VLOOKUP(A1648,Feuil2!$A$2:$M$1241,7,FALSE)," ")</f>
        <v xml:space="preserve"> </v>
      </c>
      <c r="J1648" s="1" t="str">
        <f>IF(B1648=0,VLOOKUP(A1648,Feuil2!$A$2:$M$1241,9,FALSE)," ")</f>
        <v xml:space="preserve"> </v>
      </c>
      <c r="K1648" s="1" t="str">
        <f>IF(B1648=0,VLOOKUP(A1648,Feuil2!$A$2:$M$1241,10,FALSE)," ")</f>
        <v xml:space="preserve"> </v>
      </c>
      <c r="L1648" s="1"/>
      <c r="M1648" s="1"/>
      <c r="N1648" s="1"/>
      <c r="O1648" s="8" t="str">
        <f>IF(B1653=0,VLOOKUP(A1653,Feuil2!$A$2:$M$1241,13,FALSE)," ")</f>
        <v>08500000204008757858</v>
      </c>
    </row>
    <row r="1649" spans="1:15" x14ac:dyDescent="0.3">
      <c r="A1649" s="1">
        <v>2073</v>
      </c>
      <c r="B1649" s="17">
        <v>0</v>
      </c>
      <c r="C1649" s="17" t="str">
        <f>IF(B1649=0,VLOOKUP(A1649,Feuil2!$A$2:$M$1241,2,FALSE)," ")</f>
        <v>LANDOLSI</v>
      </c>
      <c r="D1649" s="17" t="str">
        <f>IF(B1649=0,VLOOKUP(A1649,Feuil2!$A$2:$M$1241,3,FALSE)," ")</f>
        <v>AFEF</v>
      </c>
      <c r="E1649" s="18">
        <f>IF(B1649=0,VLOOKUP(A1649,Feuil2!$A$2:$M$1241,6,FALSE)," ")</f>
        <v>32637</v>
      </c>
      <c r="F1649" s="17" t="str">
        <f>IF(B1649=0,VLOOKUP(A1649,Feuil2!$A$2:$M$1241,12,FALSE)," ")</f>
        <v>F</v>
      </c>
      <c r="G1649" s="17" t="str">
        <f>IF(B1649=0,VLOOKUP(A1649,Feuil2!$A$2:$M$1241,11,FALSE)," ")</f>
        <v>C</v>
      </c>
      <c r="H1649" s="17" t="s">
        <v>16</v>
      </c>
      <c r="I1649" s="19">
        <f>IF(B1649=0,VLOOKUP(A1649,Feuil2!$A$2:$M$1241,7,FALSE)," ")</f>
        <v>9291772</v>
      </c>
      <c r="J1649" s="17" t="str">
        <f>IF(B1649=0,VLOOKUP(A1649,Feuil2!$A$2:$M$1241,9,FALSE)," ")</f>
        <v>Rue des Oranges</v>
      </c>
      <c r="K1649" s="17" t="str">
        <f>IF(B1649=0,VLOOKUP(A1649,Feuil2!$A$2:$M$1241,10,FALSE)," ")</f>
        <v>Msaken 4070</v>
      </c>
      <c r="L1649" s="17">
        <v>4070</v>
      </c>
      <c r="M1649" s="17">
        <v>98793813</v>
      </c>
      <c r="N1649" s="17"/>
      <c r="O1649" s="8" t="str">
        <f>IF(B1654=0,VLOOKUP(A1654,Feuil2!$A$2:$M$1241,13,FALSE)," ")</f>
        <v>32026788101086969132</v>
      </c>
    </row>
    <row r="1650" spans="1:15" x14ac:dyDescent="0.3">
      <c r="A1650" s="1">
        <v>2074</v>
      </c>
      <c r="B1650" s="17">
        <v>0</v>
      </c>
      <c r="C1650" s="17" t="str">
        <f>IF(B1650=0,VLOOKUP(A1650,Feuil2!$A$2:$M$1241,2,FALSE)," ")</f>
        <v>CHEHAIBI</v>
      </c>
      <c r="D1650" s="17" t="str">
        <f>IF(B1650=0,VLOOKUP(A1650,Feuil2!$A$2:$M$1241,3,FALSE)," ")</f>
        <v>MOHAMED</v>
      </c>
      <c r="E1650" s="18">
        <f>IF(B1650=0,VLOOKUP(A1650,Feuil2!$A$2:$M$1241,6,FALSE)," ")</f>
        <v>33248</v>
      </c>
      <c r="F1650" s="17" t="str">
        <f>IF(B1650=0,VLOOKUP(A1650,Feuil2!$A$2:$M$1241,12,FALSE)," ")</f>
        <v>H</v>
      </c>
      <c r="G1650" s="17" t="str">
        <f>IF(B1650=0,VLOOKUP(A1650,Feuil2!$A$2:$M$1241,11,FALSE)," ")</f>
        <v>C</v>
      </c>
      <c r="H1650" s="17" t="s">
        <v>16</v>
      </c>
      <c r="I1650" s="19">
        <f>IF(B1650=0,VLOOKUP(A1650,Feuil2!$A$2:$M$1241,7,FALSE)," ")</f>
        <v>7747324</v>
      </c>
      <c r="J1650" s="17" t="str">
        <f>IF(B1650=0,VLOOKUP(A1650,Feuil2!$A$2:$M$1241,9,FALSE)," ")</f>
        <v>02, Rue Oghanda</v>
      </c>
      <c r="K1650" s="17" t="str">
        <f>IF(B1650=0,VLOOKUP(A1650,Feuil2!$A$2:$M$1241,10,FALSE)," ")</f>
        <v>Kairouan</v>
      </c>
      <c r="L1650" s="17"/>
      <c r="M1650" s="17">
        <v>98793814</v>
      </c>
      <c r="N1650" s="17"/>
      <c r="O1650" s="8" t="str">
        <f>IF(B1657=0,VLOOKUP(A1657,Feuil2!$A$2:$M$1241,13,FALSE)," ")</f>
        <v>04079164005448577605</v>
      </c>
    </row>
    <row r="1651" spans="1:15" x14ac:dyDescent="0.3">
      <c r="A1651" s="1">
        <v>2084</v>
      </c>
      <c r="B1651" s="1">
        <v>0</v>
      </c>
      <c r="C1651" s="1" t="str">
        <f>IF(B1651=0,VLOOKUP(A1651,Feuil2!$A$2:$M$1241,2,FALSE)," ")</f>
        <v>HELALI</v>
      </c>
      <c r="D1651" s="1" t="str">
        <f>IF(B1651=0,VLOOKUP(A1651,Feuil2!$A$2:$M$1241,3,FALSE)," ")</f>
        <v>Emna</v>
      </c>
      <c r="E1651" s="5">
        <f>IF(B1651=0,VLOOKUP(A1651,Feuil2!$A$2:$M$1241,6,FALSE)," ")</f>
        <v>32286</v>
      </c>
      <c r="F1651" s="1" t="str">
        <f>IF(B1651=0,VLOOKUP(A1651,Feuil2!$A$2:$M$1241,12,FALSE)," ")</f>
        <v>F</v>
      </c>
      <c r="G1651" s="1" t="str">
        <f>IF(B1651=0,VLOOKUP(A1651,Feuil2!$A$2:$M$1241,11,FALSE)," ")</f>
        <v>C</v>
      </c>
      <c r="H1651" s="1" t="s">
        <v>16</v>
      </c>
      <c r="I1651" s="6">
        <f>IF(B1651=0,VLOOKUP(A1651,Feuil2!$A$2:$M$1241,7,FALSE)," ")</f>
        <v>9276085</v>
      </c>
      <c r="J1651" s="1" t="str">
        <f>IF(B1651=0,VLOOKUP(A1651,Feuil2!$A$2:$M$1241,9,FALSE)," ")</f>
        <v>Rue sidi bel Hasan</v>
      </c>
      <c r="K1651" s="1" t="str">
        <f>IF(B1651=0,VLOOKUP(A1651,Feuil2!$A$2:$M$1241,10,FALSE)," ")</f>
        <v>Msaken 4070</v>
      </c>
      <c r="L1651" s="1">
        <v>4070</v>
      </c>
      <c r="M1651" s="1">
        <v>98793839</v>
      </c>
      <c r="N1651" s="1"/>
      <c r="O1651" s="8" t="str">
        <f>IF(B1658=0,VLOOKUP(A1658,Feuil2!$A$2:$M$1241,13,FALSE)," ")</f>
        <v>25066000000054778950</v>
      </c>
    </row>
    <row r="1652" spans="1:15" x14ac:dyDescent="0.3">
      <c r="A1652" s="1">
        <v>2086</v>
      </c>
      <c r="B1652" s="17">
        <v>0</v>
      </c>
      <c r="C1652" s="17" t="str">
        <f>IF(B1652=0,VLOOKUP(A1652,Feuil2!$A$2:$M$1241,2,FALSE)," ")</f>
        <v>YASSINE</v>
      </c>
      <c r="D1652" s="17" t="str">
        <f>IF(B1652=0,VLOOKUP(A1652,Feuil2!$A$2:$M$1241,3,FALSE)," ")</f>
        <v>JADLAOUI</v>
      </c>
      <c r="E1652" s="18">
        <f>IF(B1652=0,VLOOKUP(A1652,Feuil2!$A$2:$M$1241,6,FALSE)," ")</f>
        <v>33070</v>
      </c>
      <c r="F1652" s="17" t="str">
        <f>IF(B1652=0,VLOOKUP(A1652,Feuil2!$A$2:$M$1241,12,FALSE)," ")</f>
        <v>H</v>
      </c>
      <c r="G1652" s="17" t="str">
        <f>IF(B1652=0,VLOOKUP(A1652,Feuil2!$A$2:$M$1241,11,FALSE)," ")</f>
        <v>C</v>
      </c>
      <c r="H1652" s="17" t="s">
        <v>16</v>
      </c>
      <c r="I1652" s="19">
        <f>IF(B1652=0,VLOOKUP(A1652,Feuil2!$A$2:$M$1241,7,FALSE)," ")</f>
        <v>9957604</v>
      </c>
      <c r="J1652" s="17" t="str">
        <f>IF(B1652=0,VLOOKUP(A1652,Feuil2!$A$2:$M$1241,9,FALSE)," ")</f>
        <v>RUE NOUHOUDH ALMITLAOUI</v>
      </c>
      <c r="K1652" s="17" t="str">
        <f>IF(B1652=0,VLOOKUP(A1652,Feuil2!$A$2:$M$1241,10,FALSE)," ")</f>
        <v>Gafsa</v>
      </c>
      <c r="L1652" s="17"/>
      <c r="M1652" s="17">
        <v>98793841</v>
      </c>
      <c r="N1652" s="17"/>
      <c r="O1652" s="8" t="str">
        <f>IF(B1659=0,VLOOKUP(A1659,Feuil2!$A$2:$M$1241,13,FALSE)," ")</f>
        <v xml:space="preserve"> </v>
      </c>
    </row>
    <row r="1653" spans="1:15" x14ac:dyDescent="0.3">
      <c r="A1653" s="1">
        <v>2090</v>
      </c>
      <c r="B1653" s="1">
        <v>0</v>
      </c>
      <c r="C1653" s="1" t="str">
        <f>IF(B1653=0,VLOOKUP(A1653,Feuil2!$A$2:$M$1241,2,FALSE)," ")</f>
        <v>WAJDI</v>
      </c>
      <c r="D1653" s="1" t="str">
        <f>IF(B1653=0,VLOOKUP(A1653,Feuil2!$A$2:$M$1241,3,FALSE)," ")</f>
        <v>HMIDA</v>
      </c>
      <c r="E1653" s="5">
        <f>IF(B1653=0,VLOOKUP(A1653,Feuil2!$A$2:$M$1241,6,FALSE)," ")</f>
        <v>34254</v>
      </c>
      <c r="F1653" s="1" t="str">
        <f>IF(B1653=0,VLOOKUP(A1653,Feuil2!$A$2:$M$1241,12,FALSE)," ")</f>
        <v>H</v>
      </c>
      <c r="G1653" s="1" t="str">
        <f>IF(B1653=0,VLOOKUP(A1653,Feuil2!$A$2:$M$1241,11,FALSE)," ")</f>
        <v>C</v>
      </c>
      <c r="H1653" s="1" t="s">
        <v>16</v>
      </c>
      <c r="I1653" s="6">
        <f>IF(B1653=0,VLOOKUP(A1653,Feuil2!$A$2:$M$1241,7,FALSE)," ")</f>
        <v>13231230</v>
      </c>
      <c r="J1653" s="1" t="str">
        <f>IF(B1653=0,VLOOKUP(A1653,Feuil2!$A$2:$M$1241,9,FALSE)," ")</f>
        <v>RUE EZDIHAR</v>
      </c>
      <c r="K1653" s="1" t="str">
        <f>IF(B1653=0,VLOOKUP(A1653,Feuil2!$A$2:$M$1241,10,FALSE)," ")</f>
        <v>NULL</v>
      </c>
      <c r="L1653" s="1"/>
      <c r="M1653" s="1">
        <v>98793844</v>
      </c>
      <c r="N1653" s="1"/>
      <c r="O1653" s="8" t="str">
        <f>IF(B1660=0,VLOOKUP(A1660,Feuil2!$A$2:$M$1241,13,FALSE)," ")</f>
        <v xml:space="preserve"> </v>
      </c>
    </row>
    <row r="1654" spans="1:15" x14ac:dyDescent="0.3">
      <c r="A1654" s="1">
        <v>2092</v>
      </c>
      <c r="B1654" s="1">
        <v>0</v>
      </c>
      <c r="C1654" s="1" t="s">
        <v>442</v>
      </c>
      <c r="D1654" s="1" t="s">
        <v>441</v>
      </c>
      <c r="E1654" s="5">
        <f>IF(B1654=0,VLOOKUP(A1654,Feuil2!$A$2:$M$1241,6,FALSE)," ")</f>
        <v>34337</v>
      </c>
      <c r="F1654" s="1" t="str">
        <f>IF(B1654=0,VLOOKUP(A1654,Feuil2!$A$2:$M$1241,12,FALSE)," ")</f>
        <v>H</v>
      </c>
      <c r="G1654" s="1" t="s">
        <v>15</v>
      </c>
      <c r="H1654" s="1" t="s">
        <v>16</v>
      </c>
      <c r="I1654" s="6">
        <f>IF(B1654=0,VLOOKUP(A1654,Feuil2!$A$2:$M$1241,7,FALSE)," ")</f>
        <v>9345189</v>
      </c>
      <c r="J1654" s="1" t="str">
        <f>IF(B1654=0,VLOOKUP(A1654,Feuil2!$A$2:$M$1241,9,FALSE)," ")</f>
        <v>RUE RIBAT MSAKEN</v>
      </c>
      <c r="K1654" s="1" t="str">
        <f>IF(B1654=0,VLOOKUP(A1654,Feuil2!$A$2:$M$1241,10,FALSE)," ")</f>
        <v>Sousse</v>
      </c>
      <c r="L1654" s="1"/>
      <c r="M1654" s="1">
        <v>98793846</v>
      </c>
      <c r="N1654" s="1"/>
      <c r="O1654" s="8" t="str">
        <f>IF(B1661=0,VLOOKUP(A1661,Feuil2!$A$2:$M$1241,13,FALSE)," ")</f>
        <v xml:space="preserve"> </v>
      </c>
    </row>
    <row r="1655" spans="1:15" x14ac:dyDescent="0.3">
      <c r="A1655" s="1">
        <v>2092</v>
      </c>
      <c r="B1655" s="1">
        <v>1</v>
      </c>
      <c r="C1655" s="1" t="s">
        <v>19</v>
      </c>
      <c r="D1655" s="1" t="s">
        <v>2517</v>
      </c>
      <c r="E1655" s="5">
        <v>34451</v>
      </c>
      <c r="F1655" s="1" t="s">
        <v>17</v>
      </c>
      <c r="G1655" s="1" t="s">
        <v>15</v>
      </c>
      <c r="H1655" s="1"/>
      <c r="I1655" s="6"/>
      <c r="J1655" s="1"/>
      <c r="K1655" s="1"/>
      <c r="L1655" s="1"/>
      <c r="M1655" s="1"/>
      <c r="N1655" s="1"/>
      <c r="O1655" s="8"/>
    </row>
    <row r="1656" spans="1:15" x14ac:dyDescent="0.3">
      <c r="A1656" s="1">
        <v>2092</v>
      </c>
      <c r="B1656" s="1">
        <v>2</v>
      </c>
      <c r="C1656" s="1" t="s">
        <v>442</v>
      </c>
      <c r="D1656" s="1" t="s">
        <v>61</v>
      </c>
      <c r="E1656" s="5">
        <v>45315</v>
      </c>
      <c r="F1656" s="1" t="s">
        <v>506</v>
      </c>
      <c r="G1656" s="1"/>
      <c r="H1656" s="1"/>
      <c r="I1656" s="6"/>
      <c r="J1656" s="1"/>
      <c r="K1656" s="1"/>
      <c r="L1656" s="1"/>
      <c r="M1656" s="1"/>
      <c r="N1656" s="1"/>
      <c r="O1656" s="8"/>
    </row>
    <row r="1657" spans="1:15" x14ac:dyDescent="0.3">
      <c r="A1657" s="1">
        <v>2096</v>
      </c>
      <c r="B1657" s="1">
        <v>0</v>
      </c>
      <c r="C1657" s="1" t="str">
        <f>IF(B1657=0,VLOOKUP(A1657,Feuil2!$A$2:$M$1241,2,FALSE)," ")</f>
        <v>GHASSEN</v>
      </c>
      <c r="D1657" s="1" t="str">
        <f>IF(B1657=0,VLOOKUP(A1657,Feuil2!$A$2:$M$1241,3,FALSE)," ")</f>
        <v>TLILI</v>
      </c>
      <c r="E1657" s="5">
        <f>IF(B1657=0,VLOOKUP(A1657,Feuil2!$A$2:$M$1241,6,FALSE)," ")</f>
        <v>34114</v>
      </c>
      <c r="F1657" s="1" t="str">
        <f>IF(B1657=0,VLOOKUP(A1657,Feuil2!$A$2:$M$1241,12,FALSE)," ")</f>
        <v>H</v>
      </c>
      <c r="G1657" s="1" t="str">
        <f>IF(B1657=0,VLOOKUP(A1657,Feuil2!$A$2:$M$1241,11,FALSE)," ")</f>
        <v>C</v>
      </c>
      <c r="H1657" s="1" t="s">
        <v>16</v>
      </c>
      <c r="I1657" s="6">
        <f>IF(B1657=0,VLOOKUP(A1657,Feuil2!$A$2:$M$1241,7,FALSE)," ")</f>
        <v>9983828</v>
      </c>
      <c r="J1657" s="1" t="str">
        <f>IF(B1657=0,VLOOKUP(A1657,Feuil2!$A$2:$M$1241,9,FALSE)," ")</f>
        <v>RUE 04-12-52 KSAR</v>
      </c>
      <c r="K1657" s="1" t="str">
        <f>IF(B1657=0,VLOOKUP(A1657,Feuil2!$A$2:$M$1241,10,FALSE)," ")</f>
        <v>Gafsa</v>
      </c>
      <c r="L1657" s="1"/>
      <c r="M1657" s="1">
        <v>98793850</v>
      </c>
      <c r="N1657" s="1"/>
      <c r="O1657" s="8" t="str">
        <f>IF(B1662=0,VLOOKUP(A1662,Feuil2!$A$2:$M$1241,13,FALSE)," ")</f>
        <v xml:space="preserve"> </v>
      </c>
    </row>
    <row r="1658" spans="1:15" x14ac:dyDescent="0.3">
      <c r="A1658" s="1">
        <v>2100</v>
      </c>
      <c r="B1658" s="1">
        <v>0</v>
      </c>
      <c r="C1658" s="1" t="str">
        <f>IF(B1658=0,VLOOKUP(A1658,Feuil2!$A$2:$M$1241,2,FALSE)," ")</f>
        <v>MLAYEH</v>
      </c>
      <c r="D1658" s="1" t="str">
        <f>IF(B1658=0,VLOOKUP(A1658,Feuil2!$A$2:$M$1241,3,FALSE)," ")</f>
        <v>NEZIHA</v>
      </c>
      <c r="E1658" s="5">
        <f>IF(B1658=0,VLOOKUP(A1658,Feuil2!$A$2:$M$1241,6,FALSE)," ")</f>
        <v>27289</v>
      </c>
      <c r="F1658" s="1" t="str">
        <f>IF(B1658=0,VLOOKUP(A1658,Feuil2!$A$2:$M$1241,12,FALSE)," ")</f>
        <v>F</v>
      </c>
      <c r="G1658" s="1" t="str">
        <f>IF(B1658=0,VLOOKUP(A1658,Feuil2!$A$2:$M$1241,11,FALSE)," ")</f>
        <v>M</v>
      </c>
      <c r="H1658" s="1" t="s">
        <v>16</v>
      </c>
      <c r="I1658" s="6">
        <f>IF(B1658=0,VLOOKUP(A1658,Feuil2!$A$2:$M$1241,7,FALSE)," ")</f>
        <v>5554723</v>
      </c>
      <c r="J1658" s="1" t="str">
        <f>IF(B1658=0,VLOOKUP(A1658,Feuil2!$A$2:$M$1241,9,FALSE)," ")</f>
        <v>79 RUE ELWIFAK</v>
      </c>
      <c r="K1658" s="1" t="str">
        <f>IF(B1658=0,VLOOKUP(A1658,Feuil2!$A$2:$M$1241,10,FALSE)," ")</f>
        <v>Msaken 4070</v>
      </c>
      <c r="L1658" s="1">
        <v>4070</v>
      </c>
      <c r="M1658" s="1">
        <v>93076553</v>
      </c>
      <c r="N1658" s="1"/>
      <c r="O1658" s="20" t="str">
        <f>IF(B1663=0,VLOOKUP(A1663,Feuil2!$A$2:$M$1241,13,FALSE)," ")</f>
        <v>17503000000238933606</v>
      </c>
    </row>
    <row r="1659" spans="1:15" x14ac:dyDescent="0.3">
      <c r="A1659" s="1">
        <v>2100</v>
      </c>
      <c r="B1659" s="1">
        <v>1</v>
      </c>
      <c r="C1659" s="1" t="s">
        <v>703</v>
      </c>
      <c r="D1659" s="1" t="s">
        <v>478</v>
      </c>
      <c r="E1659" s="5">
        <v>26142</v>
      </c>
      <c r="F1659" s="1" t="s">
        <v>506</v>
      </c>
      <c r="G1659" s="1" t="s">
        <v>15</v>
      </c>
      <c r="H1659" s="1" t="s">
        <v>16</v>
      </c>
      <c r="I1659" s="6" t="str">
        <f>IF(B1659=0,VLOOKUP(A1659,Feuil2!$A$2:$M$1241,7,FALSE)," ")</f>
        <v xml:space="preserve"> </v>
      </c>
      <c r="J1659" s="1" t="str">
        <f>IF(B1659=0,VLOOKUP(A1659,Feuil2!$A$2:$M$1241,9,FALSE)," ")</f>
        <v xml:space="preserve"> </v>
      </c>
      <c r="K1659" s="1" t="str">
        <f>IF(B1659=0,VLOOKUP(A1659,Feuil2!$A$2:$M$1241,10,FALSE)," ")</f>
        <v xml:space="preserve"> </v>
      </c>
      <c r="L1659" s="1"/>
      <c r="M1659" s="1"/>
      <c r="N1659" s="1"/>
      <c r="O1659" s="8" t="str">
        <f>IF(B1664=0,VLOOKUP(A1664,Feuil2!$A$2:$M$1241,13,FALSE)," ")</f>
        <v>17206000000127743358</v>
      </c>
    </row>
    <row r="1660" spans="1:15" x14ac:dyDescent="0.3">
      <c r="A1660" s="1">
        <v>2100</v>
      </c>
      <c r="B1660" s="1">
        <v>2</v>
      </c>
      <c r="C1660" s="1" t="s">
        <v>317</v>
      </c>
      <c r="D1660" s="1" t="s">
        <v>2383</v>
      </c>
      <c r="E1660" s="5">
        <v>37135</v>
      </c>
      <c r="F1660" s="1" t="s">
        <v>17</v>
      </c>
      <c r="G1660" s="1" t="str">
        <f>IF(B1660=0,VLOOKUP(A1660,Feuil2!$A$2:$M$1241,11,FALSE)," ")</f>
        <v xml:space="preserve"> </v>
      </c>
      <c r="H1660" s="1" t="s">
        <v>16</v>
      </c>
      <c r="I1660" s="6" t="str">
        <f>IF(B1660=0,VLOOKUP(A1660,Feuil2!$A$2:$M$1241,7,FALSE)," ")</f>
        <v xml:space="preserve"> </v>
      </c>
      <c r="J1660" s="1" t="str">
        <f>IF(B1660=0,VLOOKUP(A1660,Feuil2!$A$2:$M$1241,9,FALSE)," ")</f>
        <v xml:space="preserve"> </v>
      </c>
      <c r="K1660" s="1" t="str">
        <f>IF(B1660=0,VLOOKUP(A1660,Feuil2!$A$2:$M$1241,10,FALSE)," ")</f>
        <v xml:space="preserve"> </v>
      </c>
      <c r="L1660" s="1"/>
      <c r="M1660" s="1"/>
      <c r="N1660" s="1"/>
      <c r="O1660" s="8" t="str">
        <f>IF(B1665=0,VLOOKUP(A1665,Feuil2!$A$2:$M$1241,13,FALSE)," ")</f>
        <v xml:space="preserve"> </v>
      </c>
    </row>
    <row r="1661" spans="1:15" x14ac:dyDescent="0.3">
      <c r="A1661" s="1">
        <v>2100</v>
      </c>
      <c r="B1661" s="1">
        <v>3</v>
      </c>
      <c r="C1661" s="1" t="s">
        <v>317</v>
      </c>
      <c r="D1661" s="5" t="s">
        <v>441</v>
      </c>
      <c r="E1661" s="5">
        <v>37829</v>
      </c>
      <c r="F1661" s="1" t="s">
        <v>506</v>
      </c>
      <c r="G1661" s="1" t="str">
        <f>IF(B1661=0,VLOOKUP(A1661,Feuil2!$A$2:$M$1241,11,FALSE)," ")</f>
        <v xml:space="preserve"> </v>
      </c>
      <c r="H1661" s="1" t="s">
        <v>16</v>
      </c>
      <c r="I1661" s="6" t="str">
        <f>IF(B1661=0,VLOOKUP(A1661,Feuil2!$A$2:$M$1241,7,FALSE)," ")</f>
        <v xml:space="preserve"> </v>
      </c>
      <c r="J1661" s="1" t="str">
        <f>IF(B1661=0,VLOOKUP(A1661,Feuil2!$A$2:$M$1241,9,FALSE)," ")</f>
        <v xml:space="preserve"> </v>
      </c>
      <c r="K1661" s="1" t="str">
        <f>IF(B1661=0,VLOOKUP(A1661,Feuil2!$A$2:$M$1241,10,FALSE)," ")</f>
        <v xml:space="preserve"> </v>
      </c>
      <c r="L1661" s="1"/>
      <c r="M1661" s="1"/>
      <c r="N1661" s="1"/>
      <c r="O1661" s="8"/>
    </row>
    <row r="1662" spans="1:15" x14ac:dyDescent="0.3">
      <c r="A1662" s="1">
        <v>2100</v>
      </c>
      <c r="B1662" s="1">
        <v>4</v>
      </c>
      <c r="C1662" s="1" t="s">
        <v>317</v>
      </c>
      <c r="D1662" s="1" t="s">
        <v>2641</v>
      </c>
      <c r="E1662" s="5">
        <v>39338</v>
      </c>
      <c r="F1662" s="1" t="s">
        <v>17</v>
      </c>
      <c r="G1662" s="1" t="str">
        <f>IF(B1662=0,VLOOKUP(A1662,Feuil2!$A$2:$M$1241,11,FALSE)," ")</f>
        <v xml:space="preserve"> </v>
      </c>
      <c r="H1662" s="1" t="s">
        <v>16</v>
      </c>
      <c r="I1662" s="6" t="str">
        <f>IF(B1662=0,VLOOKUP(A1662,Feuil2!$A$2:$M$1241,7,FALSE)," ")</f>
        <v xml:space="preserve"> </v>
      </c>
      <c r="J1662" s="1" t="str">
        <f>IF(B1662=0,VLOOKUP(A1662,Feuil2!$A$2:$M$1241,9,FALSE)," ")</f>
        <v xml:space="preserve"> </v>
      </c>
      <c r="K1662" s="1" t="str">
        <f>IF(B1662=0,VLOOKUP(A1662,Feuil2!$A$2:$M$1241,10,FALSE)," ")</f>
        <v xml:space="preserve"> </v>
      </c>
      <c r="L1662" s="1"/>
      <c r="M1662" s="1"/>
      <c r="N1662" s="1"/>
      <c r="O1662" s="8" t="str">
        <f>IF(B1668=0,VLOOKUP(A1668,Feuil2!$A$2:$M$1241,13,FALSE)," ")</f>
        <v>17503000000174702728</v>
      </c>
    </row>
    <row r="1663" spans="1:15" x14ac:dyDescent="0.3">
      <c r="A1663" s="1">
        <v>2101</v>
      </c>
      <c r="B1663" s="17">
        <v>0</v>
      </c>
      <c r="C1663" s="17" t="str">
        <f>IF(B1663=0,VLOOKUP(A1663,Feuil2!$A$2:$M$1241,2,FALSE)," ")</f>
        <v>KORTAS</v>
      </c>
      <c r="D1663" s="17" t="str">
        <f>IF(B1663=0,VLOOKUP(A1663,Feuil2!$A$2:$M$1241,3,FALSE)," ")</f>
        <v>SAWSSEN</v>
      </c>
      <c r="E1663" s="18">
        <f>IF(B1663=0,VLOOKUP(A1663,Feuil2!$A$2:$M$1241,6,FALSE)," ")</f>
        <v>34104</v>
      </c>
      <c r="F1663" s="17" t="str">
        <f>IF(B1663=0,VLOOKUP(A1663,Feuil2!$A$2:$M$1241,12,FALSE)," ")</f>
        <v>F</v>
      </c>
      <c r="G1663" s="17" t="str">
        <f>IF(B1663=0,VLOOKUP(A1663,Feuil2!$A$2:$M$1241,11,FALSE)," ")</f>
        <v>C</v>
      </c>
      <c r="H1663" s="17" t="s">
        <v>16</v>
      </c>
      <c r="I1663" s="19">
        <f>IF(B1663=0,VLOOKUP(A1663,Feuil2!$A$2:$M$1241,7,FALSE)," ")</f>
        <v>9335387</v>
      </c>
      <c r="J1663" s="17" t="str">
        <f>IF(B1663=0,VLOOKUP(A1663,Feuil2!$A$2:$M$1241,9,FALSE)," ")</f>
        <v>RUE ELMANDRA</v>
      </c>
      <c r="K1663" s="17" t="str">
        <f>IF(B1663=0,VLOOKUP(A1663,Feuil2!$A$2:$M$1241,10,FALSE)," ")</f>
        <v>Akouda</v>
      </c>
      <c r="L1663" s="17"/>
      <c r="M1663" s="17">
        <v>98793854</v>
      </c>
      <c r="N1663" s="17"/>
      <c r="O1663" s="8" t="str">
        <f>IF(B1669=0,VLOOKUP(A1669,Feuil2!$A$2:$M$1241,13,FALSE)," ")</f>
        <v>08705000412012882006</v>
      </c>
    </row>
    <row r="1664" spans="1:15" x14ac:dyDescent="0.3">
      <c r="A1664" s="1">
        <v>2102</v>
      </c>
      <c r="B1664" s="1">
        <v>0</v>
      </c>
      <c r="C1664" s="1" t="str">
        <f>IF(B1664=0,VLOOKUP(A1664,Feuil2!$A$2:$M$1241,2,FALSE)," ")</f>
        <v>BENAMER</v>
      </c>
      <c r="D1664" s="1" t="str">
        <f>IF(B1664=0,VLOOKUP(A1664,Feuil2!$A$2:$M$1241,3,FALSE)," ")</f>
        <v>MARWA</v>
      </c>
      <c r="E1664" s="5">
        <f>IF(B1664=0,VLOOKUP(A1664,Feuil2!$A$2:$M$1241,6,FALSE)," ")</f>
        <v>33241</v>
      </c>
      <c r="F1664" s="1" t="str">
        <f>IF(B1664=0,VLOOKUP(A1664,Feuil2!$A$2:$M$1241,12,FALSE)," ")</f>
        <v>F</v>
      </c>
      <c r="G1664" s="1" t="s">
        <v>15</v>
      </c>
      <c r="H1664" s="1" t="s">
        <v>16</v>
      </c>
      <c r="I1664" s="6">
        <f>IF(B1664=0,VLOOKUP(A1664,Feuil2!$A$2:$M$1241,7,FALSE)," ")</f>
        <v>9906502</v>
      </c>
      <c r="J1664" s="1" t="str">
        <f>IF(B1664=0,VLOOKUP(A1664,Feuil2!$A$2:$M$1241,9,FALSE)," ")</f>
        <v>03 RUE AL ONS</v>
      </c>
      <c r="K1664" s="1" t="str">
        <f>IF(B1664=0,VLOOKUP(A1664,Feuil2!$A$2:$M$1241,10,FALSE)," ")</f>
        <v>NULL</v>
      </c>
      <c r="L1664" s="1"/>
      <c r="M1664" s="1">
        <v>98793827</v>
      </c>
      <c r="N1664" s="1"/>
      <c r="O1664" s="20" t="str">
        <f>IF(B1670=0,VLOOKUP(A1670,Feuil2!$A$2:$M$1241,13,FALSE)," ")</f>
        <v>05048000116500453893</v>
      </c>
    </row>
    <row r="1665" spans="1:15" x14ac:dyDescent="0.3">
      <c r="A1665" s="1">
        <v>2102</v>
      </c>
      <c r="B1665" s="1">
        <v>1</v>
      </c>
      <c r="C1665" s="1" t="s">
        <v>2798</v>
      </c>
      <c r="D1665" s="1" t="s">
        <v>435</v>
      </c>
      <c r="E1665" s="5">
        <v>31949</v>
      </c>
      <c r="F1665" s="1" t="s">
        <v>506</v>
      </c>
      <c r="G1665" s="1" t="s">
        <v>15</v>
      </c>
      <c r="H1665" s="1" t="s">
        <v>16</v>
      </c>
      <c r="I1665" s="6" t="str">
        <f>IF(B1665=0,VLOOKUP(A1665,Feuil2!$A$2:$M$1241,7,FALSE)," ")</f>
        <v xml:space="preserve"> </v>
      </c>
      <c r="J1665" s="1" t="str">
        <f>IF(B1665=0,VLOOKUP(A1665,Feuil2!$A$2:$M$1241,9,FALSE)," ")</f>
        <v xml:space="preserve"> </v>
      </c>
      <c r="K1665" s="1" t="str">
        <f>IF(B1665=0,VLOOKUP(A1665,Feuil2!$A$2:$M$1241,10,FALSE)," ")</f>
        <v xml:space="preserve"> </v>
      </c>
      <c r="L1665" s="1"/>
      <c r="M1665" s="1"/>
      <c r="N1665" s="1"/>
      <c r="O1665" s="8" t="str">
        <f>IF(B1671=0,VLOOKUP(A1671,Feuil2!$A$2:$M$1241,13,FALSE)," ")</f>
        <v>04505037005612605559</v>
      </c>
    </row>
    <row r="1666" spans="1:15" x14ac:dyDescent="0.3">
      <c r="A1666" s="1">
        <v>2102</v>
      </c>
      <c r="B1666" s="1">
        <v>2</v>
      </c>
      <c r="C1666" s="1" t="s">
        <v>2798</v>
      </c>
      <c r="D1666" s="1" t="s">
        <v>2799</v>
      </c>
      <c r="E1666" s="5">
        <v>44113</v>
      </c>
      <c r="F1666" s="1" t="s">
        <v>17</v>
      </c>
      <c r="G1666" s="1"/>
      <c r="H1666" s="1"/>
      <c r="I1666" s="6"/>
      <c r="J1666" s="1"/>
      <c r="K1666" s="1"/>
      <c r="L1666" s="1"/>
      <c r="M1666" s="1"/>
      <c r="N1666" s="1"/>
      <c r="O1666" s="20" t="str">
        <f>IF(B1672=0,VLOOKUP(A1672,Feuil2!$A$2:$M$1241,13,FALSE)," ")</f>
        <v>12058000013308673063</v>
      </c>
    </row>
    <row r="1667" spans="1:15" x14ac:dyDescent="0.3">
      <c r="A1667" s="1">
        <v>2102</v>
      </c>
      <c r="B1667" s="1">
        <v>3</v>
      </c>
      <c r="C1667" s="1" t="s">
        <v>2798</v>
      </c>
      <c r="D1667" s="1" t="s">
        <v>2864</v>
      </c>
      <c r="E1667" s="5">
        <v>45203</v>
      </c>
      <c r="F1667" s="1" t="s">
        <v>17</v>
      </c>
      <c r="G1667" s="1"/>
      <c r="H1667" s="1"/>
      <c r="I1667" s="6"/>
      <c r="J1667" s="1"/>
      <c r="K1667" s="1"/>
      <c r="L1667" s="1"/>
      <c r="M1667" s="1"/>
      <c r="N1667" s="1"/>
      <c r="O1667" s="20"/>
    </row>
    <row r="1668" spans="1:15" x14ac:dyDescent="0.3">
      <c r="A1668" s="1">
        <v>2109</v>
      </c>
      <c r="B1668" s="17">
        <v>0</v>
      </c>
      <c r="C1668" s="17" t="str">
        <f>IF(B1668=0,VLOOKUP(A1668,Feuil2!$A$2:$M$1241,2,FALSE)," ")</f>
        <v>MANSOURI</v>
      </c>
      <c r="D1668" s="17" t="str">
        <f>IF(B1668=0,VLOOKUP(A1668,Feuil2!$A$2:$M$1241,3,FALSE)," ")</f>
        <v>TAKOUA</v>
      </c>
      <c r="E1668" s="18">
        <f>IF(B1668=0,VLOOKUP(A1668,Feuil2!$A$2:$M$1241,6,FALSE)," ")</f>
        <v>33829</v>
      </c>
      <c r="F1668" s="17" t="str">
        <f>IF(B1668=0,VLOOKUP(A1668,Feuil2!$A$2:$M$1241,12,FALSE)," ")</f>
        <v>F</v>
      </c>
      <c r="G1668" s="17" t="str">
        <f>IF(B1668=0,VLOOKUP(A1668,Feuil2!$A$2:$M$1241,11,FALSE)," ")</f>
        <v>C</v>
      </c>
      <c r="H1668" s="17" t="s">
        <v>16</v>
      </c>
      <c r="I1668" s="19">
        <f>IF(B1668=0,VLOOKUP(A1668,Feuil2!$A$2:$M$1241,7,FALSE)," ")</f>
        <v>9315355</v>
      </c>
      <c r="J1668" s="17" t="str">
        <f>IF(B1668=0,VLOOKUP(A1668,Feuil2!$A$2:$M$1241,9,FALSE)," ")</f>
        <v>279 Rue 5112 citÃ© Erriadh</v>
      </c>
      <c r="K1668" s="17" t="str">
        <f>IF(B1668=0,VLOOKUP(A1668,Feuil2!$A$2:$M$1241,10,FALSE)," ")</f>
        <v>Sousse</v>
      </c>
      <c r="L1668" s="17"/>
      <c r="M1668" s="17">
        <v>98793830</v>
      </c>
      <c r="N1668" s="17"/>
      <c r="O1668" s="20" t="str">
        <f>IF(B1673=0,VLOOKUP(A1673,Feuil2!$A$2:$M$1241,13,FALSE)," ")</f>
        <v>04204067003573024115</v>
      </c>
    </row>
    <row r="1669" spans="1:15" x14ac:dyDescent="0.3">
      <c r="A1669" s="1">
        <v>2115</v>
      </c>
      <c r="B1669" s="17">
        <v>0</v>
      </c>
      <c r="C1669" s="17" t="str">
        <f>IF(B1669=0,VLOOKUP(A1669,Feuil2!$A$2:$M$1241,2,FALSE)," ")</f>
        <v>BAATI</v>
      </c>
      <c r="D1669" s="17" t="str">
        <f>IF(B1669=0,VLOOKUP(A1669,Feuil2!$A$2:$M$1241,3,FALSE)," ")</f>
        <v>OTHMAN</v>
      </c>
      <c r="E1669" s="18">
        <f>IF(B1669=0,VLOOKUP(A1669,Feuil2!$A$2:$M$1241,6,FALSE)," ")</f>
        <v>33823</v>
      </c>
      <c r="F1669" s="17" t="str">
        <f>IF(B1669=0,VLOOKUP(A1669,Feuil2!$A$2:$M$1241,12,FALSE)," ")</f>
        <v>H</v>
      </c>
      <c r="G1669" s="17" t="str">
        <f>IF(B1669=0,VLOOKUP(A1669,Feuil2!$A$2:$M$1241,11,FALSE)," ")</f>
        <v>C</v>
      </c>
      <c r="H1669" s="17" t="s">
        <v>16</v>
      </c>
      <c r="I1669" s="19">
        <f>IF(B1669=0,VLOOKUP(A1669,Feuil2!$A$2:$M$1241,7,FALSE)," ")</f>
        <v>11018279</v>
      </c>
      <c r="J1669" s="17" t="str">
        <f>IF(B1669=0,VLOOKUP(A1669,Feuil2!$A$2:$M$1241,9,FALSE)," ")</f>
        <v>Route  Al Ain km 1, Sfax</v>
      </c>
      <c r="K1669" s="17" t="str">
        <f>IF(B1669=0,VLOOKUP(A1669,Feuil2!$A$2:$M$1241,10,FALSE)," ")</f>
        <v>NULL</v>
      </c>
      <c r="L1669" s="17"/>
      <c r="M1669" s="17">
        <v>98793836</v>
      </c>
      <c r="N1669" s="17"/>
      <c r="O1669" s="8"/>
    </row>
    <row r="1670" spans="1:15" x14ac:dyDescent="0.3">
      <c r="A1670" s="1">
        <v>2118</v>
      </c>
      <c r="B1670" s="17">
        <v>0</v>
      </c>
      <c r="C1670" s="17" t="str">
        <f>IF(B1670=0,VLOOKUP(A1670,Feuil2!$A$2:$M$1241,2,FALSE)," ")</f>
        <v>HAMZA</v>
      </c>
      <c r="D1670" s="17" t="str">
        <f>IF(B1670=0,VLOOKUP(A1670,Feuil2!$A$2:$M$1241,3,FALSE)," ")</f>
        <v>HAMILA</v>
      </c>
      <c r="E1670" s="18">
        <f>IF(B1670=0,VLOOKUP(A1670,Feuil2!$A$2:$M$1241,6,FALSE)," ")</f>
        <v>34370</v>
      </c>
      <c r="F1670" s="17" t="str">
        <f>IF(B1670=0,VLOOKUP(A1670,Feuil2!$A$2:$M$1241,12,FALSE)," ")</f>
        <v>H</v>
      </c>
      <c r="G1670" s="17" t="str">
        <f>IF(B1670=0,VLOOKUP(A1670,Feuil2!$A$2:$M$1241,11,FALSE)," ")</f>
        <v>C</v>
      </c>
      <c r="H1670" s="17" t="s">
        <v>16</v>
      </c>
      <c r="I1670" s="19">
        <f>IF(B1670=0,VLOOKUP(A1670,Feuil2!$A$2:$M$1241,7,FALSE)," ")</f>
        <v>9315895</v>
      </c>
      <c r="J1670" s="17" t="str">
        <f>IF(B1670=0,VLOOKUP(A1670,Feuil2!$A$2:$M$1241,9,FALSE)," ")</f>
        <v>54 rue alwaha</v>
      </c>
      <c r="K1670" s="17" t="str">
        <f>IF(B1670=0,VLOOKUP(A1670,Feuil2!$A$2:$M$1241,10,FALSE)," ")</f>
        <v>Msaken 4070</v>
      </c>
      <c r="L1670" s="17">
        <v>4070</v>
      </c>
      <c r="M1670" s="17">
        <v>28009745</v>
      </c>
      <c r="N1670" s="17"/>
      <c r="O1670" s="8" t="str">
        <f>IF(B1676=0,VLOOKUP(A1676,Feuil2!$A$2:$M$1241,13,FALSE)," ")</f>
        <v>01500023111077521174</v>
      </c>
    </row>
    <row r="1671" spans="1:15" x14ac:dyDescent="0.3">
      <c r="A1671" s="1">
        <v>2120</v>
      </c>
      <c r="B1671" s="1">
        <v>0</v>
      </c>
      <c r="C1671" s="1" t="str">
        <f>IF(B1671=0,VLOOKUP(A1671,Feuil2!$A$2:$M$1241,2,FALSE)," ")</f>
        <v>OMOR</v>
      </c>
      <c r="D1671" s="1" t="str">
        <f>IF(B1671=0,VLOOKUP(A1671,Feuil2!$A$2:$M$1241,3,FALSE)," ")</f>
        <v>BEN AHMED</v>
      </c>
      <c r="E1671" s="5">
        <f>IF(B1671=0,VLOOKUP(A1671,Feuil2!$A$2:$M$1241,6,FALSE)," ")</f>
        <v>35427</v>
      </c>
      <c r="F1671" s="1" t="s">
        <v>506</v>
      </c>
      <c r="G1671" s="1" t="s">
        <v>16</v>
      </c>
      <c r="H1671" s="1" t="s">
        <v>16</v>
      </c>
      <c r="I1671" s="6">
        <f>IF(B1671=0,VLOOKUP(A1671,Feuil2!$A$2:$M$1241,7,FALSE)," ")</f>
        <v>6988354</v>
      </c>
      <c r="J1671" s="1" t="str">
        <f>IF(B1671=0,VLOOKUP(A1671,Feuil2!$A$2:$M$1241,9,FALSE)," ")</f>
        <v>NULL</v>
      </c>
      <c r="K1671" s="1" t="str">
        <f>IF(B1671=0,VLOOKUP(A1671,Feuil2!$A$2:$M$1241,10,FALSE)," ")</f>
        <v>NULL</v>
      </c>
      <c r="L1671" s="1"/>
      <c r="M1671" s="1">
        <v>52019638</v>
      </c>
      <c r="N1671" s="1"/>
      <c r="O1671" s="8" t="str">
        <f>IF(B1678=0,VLOOKUP(A1678,Feuil2!$A$2:$M$1241,13,FALSE)," ")</f>
        <v>01018058113027677808</v>
      </c>
    </row>
    <row r="1672" spans="1:15" x14ac:dyDescent="0.3">
      <c r="A1672" s="1">
        <v>2123</v>
      </c>
      <c r="B1672" s="1">
        <v>0</v>
      </c>
      <c r="C1672" s="1" t="str">
        <f>IF(B1672=0,VLOOKUP(A1672,Feuil2!$A$2:$M$1241,2,FALSE)," ")</f>
        <v>HICHEM</v>
      </c>
      <c r="D1672" s="1" t="str">
        <f>IF(B1672=0,VLOOKUP(A1672,Feuil2!$A$2:$M$1241,3,FALSE)," ")</f>
        <v>AFRIT</v>
      </c>
      <c r="E1672" s="5">
        <f>IF(B1672=0,VLOOKUP(A1672,Feuil2!$A$2:$M$1241,6,FALSE)," ")</f>
        <v>35005</v>
      </c>
      <c r="F1672" s="1" t="str">
        <f>IF(B1672=0,VLOOKUP(A1672,Feuil2!$A$2:$M$1241,12,FALSE)," ")</f>
        <v>H</v>
      </c>
      <c r="G1672" s="1" t="str">
        <f>IF(B1672=0,VLOOKUP(A1672,Feuil2!$A$2:$M$1241,11,FALSE)," ")</f>
        <v>C</v>
      </c>
      <c r="H1672" s="1" t="s">
        <v>16</v>
      </c>
      <c r="I1672" s="6">
        <f>IF(B1672=0,VLOOKUP(A1672,Feuil2!$A$2:$M$1241,7,FALSE)," ")</f>
        <v>12809673</v>
      </c>
      <c r="J1672" s="1" t="str">
        <f>IF(B1672=0,VLOOKUP(A1672,Feuil2!$A$2:$M$1241,9,FALSE)," ")</f>
        <v>RUE SIDI AABAR</v>
      </c>
      <c r="K1672" s="1" t="str">
        <f>IF(B1672=0,VLOOKUP(A1672,Feuil2!$A$2:$M$1241,10,FALSE)," ")</f>
        <v>Msaken 4070</v>
      </c>
      <c r="L1672" s="1">
        <v>4070</v>
      </c>
      <c r="M1672" s="1">
        <v>29007637</v>
      </c>
      <c r="N1672" s="1"/>
      <c r="O1672" s="8" t="str">
        <f>IF(B1679=0,VLOOKUP(A1679,Feuil2!$A$2:$M$1241,13,FALSE)," ")</f>
        <v>17503000000231019182</v>
      </c>
    </row>
    <row r="1673" spans="1:15" x14ac:dyDescent="0.3">
      <c r="A1673" s="1">
        <v>2125</v>
      </c>
      <c r="B1673" s="1">
        <v>0</v>
      </c>
      <c r="C1673" s="1" t="s">
        <v>235</v>
      </c>
      <c r="D1673" s="1" t="str">
        <f>IF(B1673=0,VLOOKUP(A1673,Feuil2!$A$2:$M$1241,3,FALSE)," ")</f>
        <v>HASSEN</v>
      </c>
      <c r="E1673" s="5">
        <f>IF(B1673=0,VLOOKUP(A1673,Feuil2!$A$2:$M$1241,6,FALSE)," ")</f>
        <v>34470</v>
      </c>
      <c r="F1673" s="1" t="str">
        <f>IF(B1673=0,VLOOKUP(A1673,Feuil2!$A$2:$M$1241,12,FALSE)," ")</f>
        <v>H</v>
      </c>
      <c r="G1673" s="1" t="s">
        <v>15</v>
      </c>
      <c r="H1673" s="1" t="s">
        <v>16</v>
      </c>
      <c r="I1673" s="6">
        <f>IF(B1673=0,VLOOKUP(A1673,Feuil2!$A$2:$M$1241,7,FALSE)," ")</f>
        <v>9342686</v>
      </c>
      <c r="J1673" s="1" t="str">
        <f>IF(B1673=0,VLOOKUP(A1673,Feuil2!$A$2:$M$1241,9,FALSE)," ")</f>
        <v>BEN RABIA</v>
      </c>
      <c r="K1673" s="1" t="str">
        <f>IF(B1673=0,VLOOKUP(A1673,Feuil2!$A$2:$M$1241,10,FALSE)," ")</f>
        <v>Msaken 4070</v>
      </c>
      <c r="L1673" s="1">
        <v>4070</v>
      </c>
      <c r="M1673" s="1">
        <v>53157431</v>
      </c>
      <c r="N1673" s="1"/>
      <c r="O1673" s="8" t="str">
        <f>IF(B1680=0,VLOOKUP(A1680,Feuil2!$A$2:$M$1241,13,FALSE)," ")</f>
        <v>12064000013126694003</v>
      </c>
    </row>
    <row r="1674" spans="1:15" x14ac:dyDescent="0.3">
      <c r="A1674" s="1">
        <v>2125</v>
      </c>
      <c r="B1674" s="1">
        <v>1</v>
      </c>
      <c r="C1674" s="1" t="s">
        <v>1286</v>
      </c>
      <c r="D1674" s="1" t="s">
        <v>2569</v>
      </c>
      <c r="E1674" s="5">
        <v>36553</v>
      </c>
      <c r="F1674" s="1" t="s">
        <v>17</v>
      </c>
      <c r="G1674" s="1" t="s">
        <v>15</v>
      </c>
      <c r="H1674" s="1"/>
      <c r="I1674" s="6"/>
      <c r="J1674" s="1"/>
      <c r="K1674" s="1"/>
      <c r="L1674" s="1"/>
      <c r="M1674" s="1"/>
      <c r="N1674" s="1"/>
      <c r="O1674" s="8" t="str">
        <f>IF(B1681=0,VLOOKUP(A1681,Feuil2!$A$2:$M$1241,13,FALSE)," ")</f>
        <v>25018000000059071420</v>
      </c>
    </row>
    <row r="1675" spans="1:15" x14ac:dyDescent="0.3">
      <c r="A1675" s="1">
        <v>2125</v>
      </c>
      <c r="B1675" s="1">
        <v>2</v>
      </c>
      <c r="C1675" s="1" t="s">
        <v>109</v>
      </c>
      <c r="D1675" s="1" t="s">
        <v>2910</v>
      </c>
      <c r="E1675" s="5">
        <v>44737</v>
      </c>
      <c r="F1675" s="1" t="s">
        <v>506</v>
      </c>
      <c r="G1675" s="1"/>
      <c r="H1675" s="1"/>
      <c r="I1675" s="6"/>
      <c r="J1675" s="1"/>
      <c r="K1675" s="1"/>
      <c r="L1675" s="1"/>
      <c r="M1675" s="1"/>
      <c r="N1675" s="1"/>
      <c r="O1675" s="8" t="str">
        <f>IF(B1682=0,VLOOKUP(A1682,Feuil2!$A$2:$M$1241,13,FALSE)," ")</f>
        <v>32026788101099022158</v>
      </c>
    </row>
    <row r="1676" spans="1:15" x14ac:dyDescent="0.3">
      <c r="A1676" s="1">
        <v>2128</v>
      </c>
      <c r="B1676" s="1">
        <v>0</v>
      </c>
      <c r="C1676" s="1" t="str">
        <f>IF(B1676=0,VLOOKUP(A1676,Feuil2!$A$2:$M$1241,2,FALSE)," ")</f>
        <v>ILYES</v>
      </c>
      <c r="D1676" s="1" t="str">
        <f>IF(B1676=0,VLOOKUP(A1676,Feuil2!$A$2:$M$1241,3,FALSE)," ")</f>
        <v>DHIFALLAH</v>
      </c>
      <c r="E1676" s="5">
        <f>IF(B1676=0,VLOOKUP(A1676,Feuil2!$A$2:$M$1241,6,FALSE)," ")</f>
        <v>31286</v>
      </c>
      <c r="F1676" s="1" t="str">
        <f>IF(B1676=0,VLOOKUP(A1676,Feuil2!$A$2:$M$1241,12,FALSE)," ")</f>
        <v>H</v>
      </c>
      <c r="G1676" s="1" t="s">
        <v>15</v>
      </c>
      <c r="H1676" s="1" t="s">
        <v>16</v>
      </c>
      <c r="I1676" s="6">
        <f>IF(B1676=0,VLOOKUP(A1676,Feuil2!$A$2:$M$1241,7,FALSE)," ")</f>
        <v>8482588</v>
      </c>
      <c r="J1676" s="1" t="str">
        <f>IF(B1676=0,VLOOKUP(A1676,Feuil2!$A$2:$M$1241,9,FALSE)," ")</f>
        <v>Rue CHIKH ALI BEN AMEUR Kalaa Kebira</v>
      </c>
      <c r="K1676" s="1" t="str">
        <f>IF(B1676=0,VLOOKUP(A1676,Feuil2!$A$2:$M$1241,10,FALSE)," ")</f>
        <v>Sousse</v>
      </c>
      <c r="L1676" s="1"/>
      <c r="M1676" s="1">
        <v>97178385</v>
      </c>
      <c r="N1676" s="1"/>
      <c r="O1676" s="8" t="str">
        <f>IF(B1683=0,VLOOKUP(A1683,Feuil2!$A$2:$M$1241,13,FALSE)," ")</f>
        <v xml:space="preserve"> </v>
      </c>
    </row>
    <row r="1677" spans="1:15" x14ac:dyDescent="0.3">
      <c r="A1677" s="1">
        <v>2128</v>
      </c>
      <c r="B1677" s="1">
        <v>1</v>
      </c>
      <c r="C1677" s="1" t="s">
        <v>3010</v>
      </c>
      <c r="D1677" s="1" t="s">
        <v>24</v>
      </c>
      <c r="E1677" s="5">
        <v>30352</v>
      </c>
      <c r="F1677" s="1" t="s">
        <v>17</v>
      </c>
      <c r="G1677" s="1" t="s">
        <v>15</v>
      </c>
      <c r="H1677" s="1"/>
      <c r="I1677" s="6"/>
      <c r="J1677" s="1"/>
      <c r="K1677" s="1"/>
      <c r="L1677" s="1"/>
      <c r="M1677" s="1"/>
      <c r="N1677" s="1"/>
      <c r="O1677" s="8"/>
    </row>
    <row r="1678" spans="1:15" x14ac:dyDescent="0.3">
      <c r="A1678" s="1">
        <v>2131</v>
      </c>
      <c r="B1678" s="1">
        <v>0</v>
      </c>
      <c r="C1678" s="1" t="str">
        <f>IF(B1678=0,VLOOKUP(A1678,Feuil2!$A$2:$M$1241,2,FALSE)," ")</f>
        <v>HASSEN</v>
      </c>
      <c r="D1678" s="1" t="str">
        <f>IF(B1678=0,VLOOKUP(A1678,Feuil2!$A$2:$M$1241,3,FALSE)," ")</f>
        <v>BAYA</v>
      </c>
      <c r="E1678" s="5">
        <f>IF(B1678=0,VLOOKUP(A1678,Feuil2!$A$2:$M$1241,6,FALSE)," ")</f>
        <v>33760</v>
      </c>
      <c r="F1678" s="1" t="str">
        <f>IF(B1678=0,VLOOKUP(A1678,Feuil2!$A$2:$M$1241,12,FALSE)," ")</f>
        <v>H</v>
      </c>
      <c r="G1678" s="1" t="str">
        <f>IF(B1678=0,VLOOKUP(A1678,Feuil2!$A$2:$M$1241,11,FALSE)," ")</f>
        <v>C</v>
      </c>
      <c r="H1678" s="1" t="s">
        <v>16</v>
      </c>
      <c r="I1678" s="6">
        <f>IF(B1678=0,VLOOKUP(A1678,Feuil2!$A$2:$M$1241,7,FALSE)," ")</f>
        <v>9315711</v>
      </c>
      <c r="J1678" s="1" t="str">
        <f>IF(B1678=0,VLOOKUP(A1678,Feuil2!$A$2:$M$1241,9,FALSE)," ")</f>
        <v>RUE SIDI BEL HESSAN</v>
      </c>
      <c r="K1678" s="1" t="str">
        <f>IF(B1678=0,VLOOKUP(A1678,Feuil2!$A$2:$M$1241,10,FALSE)," ")</f>
        <v>Msaken 4070</v>
      </c>
      <c r="L1678" s="1">
        <v>4070</v>
      </c>
      <c r="M1678" s="1">
        <v>25432630</v>
      </c>
      <c r="N1678" s="1"/>
      <c r="O1678" s="20" t="str">
        <f>IF(B1684=0,VLOOKUP(A1684,Feuil2!$A$2:$M$1241,13,FALSE)," ")</f>
        <v xml:space="preserve"> </v>
      </c>
    </row>
    <row r="1679" spans="1:15" x14ac:dyDescent="0.3">
      <c r="A1679" s="1">
        <v>2136</v>
      </c>
      <c r="B1679" s="17">
        <v>0</v>
      </c>
      <c r="C1679" s="17" t="str">
        <f>IF(B1679=0,VLOOKUP(A1679,Feuil2!$A$2:$M$1241,2,FALSE)," ")</f>
        <v>LOTFI</v>
      </c>
      <c r="D1679" s="17" t="str">
        <f>IF(B1679=0,VLOOKUP(A1679,Feuil2!$A$2:$M$1241,3,FALSE)," ")</f>
        <v>NOURI</v>
      </c>
      <c r="E1679" s="18">
        <f>IF(B1679=0,VLOOKUP(A1679,Feuil2!$A$2:$M$1241,6,FALSE)," ")</f>
        <v>35323</v>
      </c>
      <c r="F1679" s="17" t="str">
        <f>IF(B1679=0,VLOOKUP(A1679,Feuil2!$A$2:$M$1241,12,FALSE)," ")</f>
        <v>H</v>
      </c>
      <c r="G1679" s="17" t="str">
        <f>IF(B1679=0,VLOOKUP(A1679,Feuil2!$A$2:$M$1241,11,FALSE)," ")</f>
        <v>C</v>
      </c>
      <c r="H1679" s="17" t="s">
        <v>16</v>
      </c>
      <c r="I1679" s="19">
        <f>IF(B1679=0,VLOOKUP(A1679,Feuil2!$A$2:$M$1241,7,FALSE)," ")</f>
        <v>12829176</v>
      </c>
      <c r="J1679" s="17" t="str">
        <f>IF(B1679=0,VLOOKUP(A1679,Feuil2!$A$2:$M$1241,9,FALSE)," ")</f>
        <v>AOULED AMMAR SIDI EL HENI</v>
      </c>
      <c r="K1679" s="17" t="str">
        <f>IF(B1679=0,VLOOKUP(A1679,Feuil2!$A$2:$M$1241,10,FALSE)," ")</f>
        <v>Sousse</v>
      </c>
      <c r="L1679" s="17"/>
      <c r="M1679" s="17">
        <v>56041657</v>
      </c>
      <c r="N1679" s="17"/>
      <c r="O1679" s="8"/>
    </row>
    <row r="1680" spans="1:15" x14ac:dyDescent="0.3">
      <c r="A1680" s="1">
        <v>2137</v>
      </c>
      <c r="B1680" s="1">
        <v>0</v>
      </c>
      <c r="C1680" s="1" t="str">
        <f>IF(B1680=0,VLOOKUP(A1680,Feuil2!$A$2:$M$1241,2,FALSE)," ")</f>
        <v>MOHAMED</v>
      </c>
      <c r="D1680" s="1" t="str">
        <f>IF(B1680=0,VLOOKUP(A1680,Feuil2!$A$2:$M$1241,3,FALSE)," ")</f>
        <v>BOUZAMOUCHA</v>
      </c>
      <c r="E1680" s="5">
        <f>IF(B1680=0,VLOOKUP(A1680,Feuil2!$A$2:$M$1241,6,FALSE)," ")</f>
        <v>34198</v>
      </c>
      <c r="F1680" s="1" t="str">
        <f>IF(B1680=0,VLOOKUP(A1680,Feuil2!$A$2:$M$1241,12,FALSE)," ")</f>
        <v>H</v>
      </c>
      <c r="G1680" s="1" t="str">
        <f>IF(B1680=0,VLOOKUP(A1680,Feuil2!$A$2:$M$1241,11,FALSE)," ")</f>
        <v>C</v>
      </c>
      <c r="H1680" s="1" t="s">
        <v>16</v>
      </c>
      <c r="I1680" s="6">
        <f>IF(B1680=0,VLOOKUP(A1680,Feuil2!$A$2:$M$1241,7,FALSE)," ")</f>
        <v>9334982</v>
      </c>
      <c r="J1680" s="1" t="str">
        <f>IF(B1680=0,VLOOKUP(A1680,Feuil2!$A$2:$M$1241,9,FALSE)," ")</f>
        <v>RUE HANIBAL MSAKEN</v>
      </c>
      <c r="K1680" s="1" t="str">
        <f>IF(B1680=0,VLOOKUP(A1680,Feuil2!$A$2:$M$1241,10,FALSE)," ")</f>
        <v>Msaken 4070</v>
      </c>
      <c r="L1680" s="1">
        <v>4070</v>
      </c>
      <c r="M1680" s="1">
        <v>21680908</v>
      </c>
      <c r="N1680" s="1"/>
      <c r="O1680" s="8" t="str">
        <f>IF(B1686=0,VLOOKUP(A1686,Feuil2!$A$2:$M$1241,13,FALSE)," ")</f>
        <v>14007007100713145479</v>
      </c>
    </row>
    <row r="1681" spans="1:15" x14ac:dyDescent="0.3">
      <c r="A1681" s="1">
        <v>2139</v>
      </c>
      <c r="B1681" s="1">
        <v>0</v>
      </c>
      <c r="C1681" s="1" t="str">
        <f>IF(B1681=0,VLOOKUP(A1681,Feuil2!$A$2:$M$1241,2,FALSE)," ")</f>
        <v>HATEM</v>
      </c>
      <c r="D1681" s="1" t="str">
        <f>IF(B1681=0,VLOOKUP(A1681,Feuil2!$A$2:$M$1241,3,FALSE)," ")</f>
        <v>NAMOUCHI</v>
      </c>
      <c r="E1681" s="5">
        <f>IF(B1681=0,VLOOKUP(A1681,Feuil2!$A$2:$M$1241,6,FALSE)," ")</f>
        <v>35111</v>
      </c>
      <c r="F1681" s="1" t="str">
        <f>IF(B1681=0,VLOOKUP(A1681,Feuil2!$A$2:$M$1241,12,FALSE)," ")</f>
        <v>H</v>
      </c>
      <c r="G1681" s="1" t="str">
        <f>IF(B1681=0,VLOOKUP(A1681,Feuil2!$A$2:$M$1241,11,FALSE)," ")</f>
        <v>C</v>
      </c>
      <c r="H1681" s="1" t="s">
        <v>16</v>
      </c>
      <c r="I1681" s="6">
        <f>IF(B1681=0,VLOOKUP(A1681,Feuil2!$A$2:$M$1241,7,FALSE)," ")</f>
        <v>9348544</v>
      </c>
      <c r="J1681" s="1" t="str">
        <f>IF(B1681=0,VLOOKUP(A1681,Feuil2!$A$2:$M$1241,9,FALSE)," ")</f>
        <v>TAKROUNA NFIDHA</v>
      </c>
      <c r="K1681" s="1" t="str">
        <f>IF(B1681=0,VLOOKUP(A1681,Feuil2!$A$2:$M$1241,10,FALSE)," ")</f>
        <v>Sousse</v>
      </c>
      <c r="L1681" s="1"/>
      <c r="M1681" s="1">
        <v>53902308</v>
      </c>
      <c r="N1681" s="1"/>
      <c r="O1681" s="8" t="str">
        <f>IF(B1687=0,VLOOKUP(A1687,Feuil2!$A$2:$M$1241,13,FALSE)," ")</f>
        <v>10506040516825878816</v>
      </c>
    </row>
    <row r="1682" spans="1:15" x14ac:dyDescent="0.3">
      <c r="A1682" s="1">
        <v>2141</v>
      </c>
      <c r="B1682" s="1">
        <v>0</v>
      </c>
      <c r="C1682" s="1" t="str">
        <f>IF(B1682=0,VLOOKUP(A1682,Feuil2!$A$2:$M$1241,2,FALSE)," ")</f>
        <v>HAITHEM</v>
      </c>
      <c r="D1682" s="1" t="str">
        <f>IF(B1682=0,VLOOKUP(A1682,Feuil2!$A$2:$M$1241,3,FALSE)," ")</f>
        <v>SRIDI</v>
      </c>
      <c r="E1682" s="5">
        <f>IF(B1682=0,VLOOKUP(A1682,Feuil2!$A$2:$M$1241,6,FALSE)," ")</f>
        <v>32120</v>
      </c>
      <c r="F1682" s="1" t="str">
        <f>IF(B1682=0,VLOOKUP(A1682,Feuil2!$A$2:$M$1241,12,FALSE)," ")</f>
        <v>H</v>
      </c>
      <c r="G1682" s="1" t="str">
        <f>IF(B1682=0,VLOOKUP(A1682,Feuil2!$A$2:$M$1241,11,FALSE)," ")</f>
        <v>M</v>
      </c>
      <c r="H1682" s="1" t="s">
        <v>16</v>
      </c>
      <c r="I1682" s="6">
        <f>IF(B1682=0,VLOOKUP(A1682,Feuil2!$A$2:$M$1241,7,FALSE)," ")</f>
        <v>9274057</v>
      </c>
      <c r="J1682" s="1" t="str">
        <f>IF(B1682=0,VLOOKUP(A1682,Feuil2!$A$2:$M$1241,9,FALSE)," ")</f>
        <v>12 Rue GHORET JUIN MSAKEN</v>
      </c>
      <c r="K1682" s="1" t="str">
        <f>IF(B1682=0,VLOOKUP(A1682,Feuil2!$A$2:$M$1241,10,FALSE)," ")</f>
        <v>Msaken 4070</v>
      </c>
      <c r="L1682" s="1">
        <v>4070</v>
      </c>
      <c r="M1682" s="1">
        <v>24987874</v>
      </c>
      <c r="N1682" s="1"/>
      <c r="O1682" s="8" t="str">
        <f>IF(B1690=0,VLOOKUP(A1690,Feuil2!$A$2:$M$1241,13,FALSE)," ")</f>
        <v>12505000013309456496</v>
      </c>
    </row>
    <row r="1683" spans="1:15" x14ac:dyDescent="0.3">
      <c r="A1683" s="1">
        <v>2141</v>
      </c>
      <c r="B1683" s="1">
        <v>1</v>
      </c>
      <c r="C1683" s="1" t="s">
        <v>2792</v>
      </c>
      <c r="D1683" s="1" t="s">
        <v>2714</v>
      </c>
      <c r="E1683" s="5">
        <v>32211</v>
      </c>
      <c r="F1683" s="1" t="s">
        <v>17</v>
      </c>
      <c r="G1683" s="1" t="s">
        <v>15</v>
      </c>
      <c r="H1683" s="1" t="s">
        <v>16</v>
      </c>
      <c r="I1683" s="6" t="str">
        <f>IF(B1683=0,VLOOKUP(A1683,Feuil2!$A$2:$M$1241,7,FALSE)," ")</f>
        <v xml:space="preserve"> </v>
      </c>
      <c r="J1683" s="1" t="str">
        <f>IF(B1683=0,VLOOKUP(A1683,Feuil2!$A$2:$M$1241,9,FALSE)," ")</f>
        <v xml:space="preserve"> </v>
      </c>
      <c r="K1683" s="1" t="str">
        <f>IF(B1683=0,VLOOKUP(A1683,Feuil2!$A$2:$M$1241,10,FALSE)," ")</f>
        <v xml:space="preserve"> </v>
      </c>
      <c r="L1683" s="1"/>
      <c r="M1683" s="1"/>
      <c r="N1683" s="1"/>
      <c r="O1683" s="8" t="str">
        <f>IF(B1693=0,VLOOKUP(A1693,Feuil2!$A$2:$M$1241,13,FALSE)," ")</f>
        <v>17503000000269285682</v>
      </c>
    </row>
    <row r="1684" spans="1:15" x14ac:dyDescent="0.3">
      <c r="A1684" s="1">
        <v>2141</v>
      </c>
      <c r="B1684" s="1">
        <v>2</v>
      </c>
      <c r="C1684" s="1" t="s">
        <v>268</v>
      </c>
      <c r="D1684" s="1" t="s">
        <v>107</v>
      </c>
      <c r="E1684" s="5">
        <v>42750</v>
      </c>
      <c r="F1684" s="1" t="s">
        <v>506</v>
      </c>
      <c r="G1684" s="1" t="str">
        <f>IF(B1684=0,VLOOKUP(A1684,Feuil2!$A$2:$M$1241,11,FALSE)," ")</f>
        <v xml:space="preserve"> </v>
      </c>
      <c r="H1684" s="1" t="s">
        <v>16</v>
      </c>
      <c r="I1684" s="6" t="str">
        <f>IF(B1684=0,VLOOKUP(A1684,Feuil2!$A$2:$M$1241,7,FALSE)," ")</f>
        <v xml:space="preserve"> </v>
      </c>
      <c r="J1684" s="1" t="str">
        <f>IF(B1684=0,VLOOKUP(A1684,Feuil2!$A$2:$M$1241,9,FALSE)," ")</f>
        <v xml:space="preserve"> </v>
      </c>
      <c r="K1684" s="1" t="str">
        <f>IF(B1684=0,VLOOKUP(A1684,Feuil2!$A$2:$M$1241,10,FALSE)," ")</f>
        <v xml:space="preserve"> </v>
      </c>
      <c r="L1684" s="1"/>
      <c r="M1684" s="1"/>
      <c r="N1684" s="1"/>
      <c r="O1684" s="8" t="str">
        <f>IF(B1694=0,VLOOKUP(A1694,Feuil2!$A$2:$M$1241,13,FALSE)," ")</f>
        <v>47013000000006515669</v>
      </c>
    </row>
    <row r="1685" spans="1:15" x14ac:dyDescent="0.3">
      <c r="A1685" s="1">
        <v>2141</v>
      </c>
      <c r="B1685" s="1">
        <v>3</v>
      </c>
      <c r="C1685" s="1" t="s">
        <v>268</v>
      </c>
      <c r="D1685" s="1" t="s">
        <v>2791</v>
      </c>
      <c r="E1685" s="5">
        <v>44082</v>
      </c>
      <c r="F1685" s="1" t="s">
        <v>17</v>
      </c>
      <c r="G1685" s="1"/>
      <c r="H1685" s="1"/>
      <c r="I1685" s="6"/>
      <c r="J1685" s="1"/>
      <c r="K1685" s="1"/>
      <c r="L1685" s="1"/>
      <c r="M1685" s="1"/>
      <c r="N1685" s="1"/>
      <c r="O1685" s="8" t="str">
        <f>IF(B1695=0,VLOOKUP(A1695,Feuil2!$A$2:$M$1241,13,FALSE)," ")</f>
        <v>04204067005653247606</v>
      </c>
    </row>
    <row r="1686" spans="1:15" x14ac:dyDescent="0.3">
      <c r="A1686" s="1">
        <v>2144</v>
      </c>
      <c r="B1686" s="1">
        <v>0</v>
      </c>
      <c r="C1686" s="1" t="str">
        <f>IF(B1686=0,VLOOKUP(A1686,Feuil2!$A$2:$M$1241,2,FALSE)," ")</f>
        <v>OMRANE</v>
      </c>
      <c r="D1686" s="1" t="str">
        <f>IF(B1686=0,VLOOKUP(A1686,Feuil2!$A$2:$M$1241,3,FALSE)," ")</f>
        <v>WAEL</v>
      </c>
      <c r="E1686" s="5">
        <f>IF(B1686=0,VLOOKUP(A1686,Feuil2!$A$2:$M$1241,6,FALSE)," ")</f>
        <v>34176</v>
      </c>
      <c r="F1686" s="1" t="str">
        <f>IF(B1686=0,VLOOKUP(A1686,Feuil2!$A$2:$M$1241,12,FALSE)," ")</f>
        <v>H</v>
      </c>
      <c r="G1686" s="1" t="str">
        <f>IF(B1686=0,VLOOKUP(A1686,Feuil2!$A$2:$M$1241,11,FALSE)," ")</f>
        <v>C</v>
      </c>
      <c r="H1686" s="1" t="s">
        <v>16</v>
      </c>
      <c r="I1686" s="6">
        <f>IF(B1686=0,VLOOKUP(A1686,Feuil2!$A$2:$M$1241,7,FALSE)," ")</f>
        <v>9438601</v>
      </c>
      <c r="J1686" s="1" t="str">
        <f>IF(B1686=0,VLOOKUP(A1686,Feuil2!$A$2:$M$1241,9,FALSE)," ")</f>
        <v>RUE JINEN SIDI TAHER KSSOUR SEF</v>
      </c>
      <c r="K1686" s="1" t="str">
        <f>IF(B1686=0,VLOOKUP(A1686,Feuil2!$A$2:$M$1241,10,FALSE)," ")</f>
        <v>Mahdia 5100</v>
      </c>
      <c r="L1686" s="1">
        <v>5100</v>
      </c>
      <c r="M1686" s="1">
        <v>54673346</v>
      </c>
      <c r="N1686" s="1"/>
      <c r="O1686" s="8" t="str">
        <f>IF(B1696=0,VLOOKUP(A1696,Feuil2!$A$2:$M$1241,13,FALSE)," ")</f>
        <v>12505000013306837884</v>
      </c>
    </row>
    <row r="1687" spans="1:15" x14ac:dyDescent="0.3">
      <c r="A1687" s="1">
        <v>2146</v>
      </c>
      <c r="B1687" s="17">
        <v>0</v>
      </c>
      <c r="C1687" s="17" t="str">
        <f>IF(B1687=0,VLOOKUP(A1687,Feuil2!$A$2:$M$1241,2,FALSE)," ")</f>
        <v>SGHAIR</v>
      </c>
      <c r="D1687" s="17" t="str">
        <f>IF(B1687=0,VLOOKUP(A1687,Feuil2!$A$2:$M$1241,3,FALSE)," ")</f>
        <v>AHMED</v>
      </c>
      <c r="E1687" s="18">
        <f>IF(B1687=0,VLOOKUP(A1687,Feuil2!$A$2:$M$1241,6,FALSE)," ")</f>
        <v>35150</v>
      </c>
      <c r="F1687" s="17" t="str">
        <f>IF(B1687=0,VLOOKUP(A1687,Feuil2!$A$2:$M$1241,12,FALSE)," ")</f>
        <v>H</v>
      </c>
      <c r="G1687" s="17" t="s">
        <v>15</v>
      </c>
      <c r="H1687" s="17" t="s">
        <v>16</v>
      </c>
      <c r="I1687" s="19">
        <f>IF(B1687=0,VLOOKUP(A1687,Feuil2!$A$2:$M$1241,7,FALSE)," ")</f>
        <v>12821770</v>
      </c>
      <c r="J1687" s="17" t="str">
        <f>IF(B1687=0,VLOOKUP(A1687,Feuil2!$A$2:$M$1241,9,FALSE)," ")</f>
        <v>RUE HEDI CHAKER</v>
      </c>
      <c r="K1687" s="17" t="str">
        <f>IF(B1687=0,VLOOKUP(A1687,Feuil2!$A$2:$M$1241,10,FALSE)," ")</f>
        <v>Msaken 4070</v>
      </c>
      <c r="L1687" s="17">
        <v>4070</v>
      </c>
      <c r="M1687" s="17">
        <v>21229098</v>
      </c>
      <c r="N1687" s="17"/>
      <c r="O1687" s="20" t="str">
        <f>IF(B1697=0,VLOOKUP(A1697,Feuil2!$A$2:$M$1241,13,FALSE)," ")</f>
        <v>17503000000235800797</v>
      </c>
    </row>
    <row r="1688" spans="1:15" x14ac:dyDescent="0.3">
      <c r="A1688" s="1">
        <v>2146</v>
      </c>
      <c r="B1688" s="1">
        <v>1</v>
      </c>
      <c r="C1688" s="1" t="s">
        <v>71</v>
      </c>
      <c r="D1688" s="1" t="s">
        <v>2581</v>
      </c>
      <c r="E1688" s="5"/>
      <c r="F1688" s="1" t="s">
        <v>17</v>
      </c>
      <c r="G1688" s="1" t="s">
        <v>15</v>
      </c>
      <c r="H1688" s="1"/>
      <c r="I1688" s="6"/>
      <c r="J1688" s="1"/>
      <c r="K1688" s="1"/>
      <c r="L1688" s="1"/>
      <c r="M1688" s="1"/>
      <c r="N1688" s="1"/>
      <c r="O1688" s="8"/>
    </row>
    <row r="1689" spans="1:15" x14ac:dyDescent="0.3">
      <c r="A1689" s="1">
        <v>2146</v>
      </c>
      <c r="B1689" s="1">
        <v>2</v>
      </c>
      <c r="C1689" s="1" t="s">
        <v>2181</v>
      </c>
      <c r="D1689" s="1" t="s">
        <v>61</v>
      </c>
      <c r="E1689" s="5">
        <v>45131</v>
      </c>
      <c r="F1689" s="1" t="s">
        <v>506</v>
      </c>
      <c r="G1689" s="1"/>
      <c r="H1689" s="1"/>
      <c r="I1689" s="6"/>
      <c r="J1689" s="1"/>
      <c r="K1689" s="1"/>
      <c r="L1689" s="1"/>
      <c r="M1689" s="1"/>
      <c r="N1689" s="1"/>
      <c r="O1689" s="8"/>
    </row>
    <row r="1690" spans="1:15" x14ac:dyDescent="0.3">
      <c r="A1690" s="1">
        <v>2148</v>
      </c>
      <c r="B1690" s="1">
        <v>0</v>
      </c>
      <c r="C1690" s="1" t="str">
        <f>IF(B1690=0,VLOOKUP(A1690,Feuil2!$A$2:$M$1241,2,FALSE)," ")</f>
        <v>CHIHI</v>
      </c>
      <c r="D1690" s="1" t="str">
        <f>IF(B1690=0,VLOOKUP(A1690,Feuil2!$A$2:$M$1241,3,FALSE)," ")</f>
        <v>HOUSSEM</v>
      </c>
      <c r="E1690" s="5">
        <f>IF(B1690=0,VLOOKUP(A1690,Feuil2!$A$2:$M$1241,6,FALSE)," ")</f>
        <v>34599</v>
      </c>
      <c r="F1690" s="1" t="str">
        <f>IF(B1690=0,VLOOKUP(A1690,Feuil2!$A$2:$M$1241,12,FALSE)," ")</f>
        <v>H</v>
      </c>
      <c r="G1690" s="1" t="s">
        <v>15</v>
      </c>
      <c r="H1690" s="1" t="s">
        <v>16</v>
      </c>
      <c r="I1690" s="6">
        <f>IF(B1690=0,VLOOKUP(A1690,Feuil2!$A$2:$M$1241,7,FALSE)," ")</f>
        <v>12816941</v>
      </c>
      <c r="J1690" s="1" t="str">
        <f>IF(B1690=0,VLOOKUP(A1690,Feuil2!$A$2:$M$1241,9,FALSE)," ")</f>
        <v>CITE ALJADID NIB KALTHOUM</v>
      </c>
      <c r="K1690" s="1" t="str">
        <f>IF(B1690=0,VLOOKUP(A1690,Feuil2!$A$2:$M$1241,10,FALSE)," ")</f>
        <v>Msaken 4070</v>
      </c>
      <c r="L1690" s="1">
        <v>4070</v>
      </c>
      <c r="M1690" s="1">
        <v>53929401</v>
      </c>
      <c r="N1690" s="1"/>
      <c r="O1690" s="8" t="str">
        <f>IF(B1698=0,VLOOKUP(A1698,Feuil2!$A$2:$M$1241,13,FALSE)," ")</f>
        <v>17503000000259599650</v>
      </c>
    </row>
    <row r="1691" spans="1:15" x14ac:dyDescent="0.3">
      <c r="A1691" s="1">
        <v>2148</v>
      </c>
      <c r="B1691" s="1">
        <v>1</v>
      </c>
      <c r="C1691" s="1" t="s">
        <v>3177</v>
      </c>
      <c r="D1691" s="1" t="s">
        <v>2764</v>
      </c>
      <c r="E1691" s="5">
        <v>37293</v>
      </c>
      <c r="F1691" s="1" t="s">
        <v>17</v>
      </c>
      <c r="G1691" s="1"/>
      <c r="H1691" s="1"/>
      <c r="I1691" s="6"/>
      <c r="J1691" s="1"/>
      <c r="K1691" s="1"/>
      <c r="L1691" s="1"/>
      <c r="M1691" s="1"/>
      <c r="N1691" s="1"/>
      <c r="O1691" s="8"/>
    </row>
    <row r="1692" spans="1:15" x14ac:dyDescent="0.3">
      <c r="A1692" s="1">
        <v>2148</v>
      </c>
      <c r="B1692" s="1">
        <v>2</v>
      </c>
      <c r="C1692" s="1" t="s">
        <v>238</v>
      </c>
      <c r="D1692" s="1" t="s">
        <v>2184</v>
      </c>
      <c r="E1692" s="5">
        <v>46084</v>
      </c>
      <c r="F1692" s="1" t="s">
        <v>506</v>
      </c>
      <c r="G1692" s="1"/>
      <c r="H1692" s="1"/>
      <c r="I1692" s="6"/>
      <c r="J1692" s="1"/>
      <c r="K1692" s="1"/>
      <c r="L1692" s="1"/>
      <c r="M1692" s="1"/>
      <c r="N1692" s="1"/>
      <c r="O1692" s="8"/>
    </row>
    <row r="1693" spans="1:15" x14ac:dyDescent="0.3">
      <c r="A1693" s="1">
        <v>2149</v>
      </c>
      <c r="B1693" s="1">
        <v>0</v>
      </c>
      <c r="C1693" s="1" t="str">
        <f>IF(B1693=0,VLOOKUP(A1693,Feuil2!$A$2:$M$1241,2,FALSE)," ")</f>
        <v>BERRIRI</v>
      </c>
      <c r="D1693" s="1" t="str">
        <f>IF(B1693=0,VLOOKUP(A1693,Feuil2!$A$2:$M$1241,3,FALSE)," ")</f>
        <v>HOUSSEM</v>
      </c>
      <c r="E1693" s="5">
        <f>IF(B1693=0,VLOOKUP(A1693,Feuil2!$A$2:$M$1241,6,FALSE)," ")</f>
        <v>34089</v>
      </c>
      <c r="F1693" s="1" t="str">
        <f>IF(B1693=0,VLOOKUP(A1693,Feuil2!$A$2:$M$1241,12,FALSE)," ")</f>
        <v>H</v>
      </c>
      <c r="G1693" s="1" t="str">
        <f>IF(B1693=0,VLOOKUP(A1693,Feuil2!$A$2:$M$1241,11,FALSE)," ")</f>
        <v>C</v>
      </c>
      <c r="H1693" s="1" t="s">
        <v>16</v>
      </c>
      <c r="I1693" s="6">
        <f>IF(B1693=0,VLOOKUP(A1693,Feuil2!$A$2:$M$1241,7,FALSE)," ")</f>
        <v>9333488</v>
      </c>
      <c r="J1693" s="1" t="str">
        <f>IF(B1693=0,VLOOKUP(A1693,Feuil2!$A$2:$M$1241,9,FALSE)," ")</f>
        <v>16 RUE MOSQUEE</v>
      </c>
      <c r="K1693" s="1" t="str">
        <f>IF(B1693=0,VLOOKUP(A1693,Feuil2!$A$2:$M$1241,10,FALSE)," ")</f>
        <v>Msaken 4070</v>
      </c>
      <c r="L1693" s="1">
        <v>4070</v>
      </c>
      <c r="M1693" s="1">
        <v>24135644</v>
      </c>
      <c r="N1693" s="1"/>
      <c r="O1693" s="8" t="str">
        <f>IF(B1699=0,VLOOKUP(A1699,Feuil2!$A$2:$M$1241,13,FALSE)," ")</f>
        <v>14014014100703436084</v>
      </c>
    </row>
    <row r="1694" spans="1:15" x14ac:dyDescent="0.3">
      <c r="A1694" s="1">
        <v>2151</v>
      </c>
      <c r="B1694" s="17">
        <v>0</v>
      </c>
      <c r="C1694" s="17" t="str">
        <f>IF(B1694=0,VLOOKUP(A1694,Feuil2!$A$2:$M$1241,2,FALSE)," ")</f>
        <v>JELLITI</v>
      </c>
      <c r="D1694" s="17" t="str">
        <f>IF(B1694=0,VLOOKUP(A1694,Feuil2!$A$2:$M$1241,3,FALSE)," ")</f>
        <v>MOHAMED</v>
      </c>
      <c r="E1694" s="18">
        <f>IF(B1694=0,VLOOKUP(A1694,Feuil2!$A$2:$M$1241,6,FALSE)," ")</f>
        <v>33997</v>
      </c>
      <c r="F1694" s="17" t="str">
        <f>IF(B1694=0,VLOOKUP(A1694,Feuil2!$A$2:$M$1241,12,FALSE)," ")</f>
        <v>H</v>
      </c>
      <c r="G1694" s="17" t="str">
        <f>IF(B1694=0,VLOOKUP(A1694,Feuil2!$A$2:$M$1241,11,FALSE)," ")</f>
        <v>C</v>
      </c>
      <c r="H1694" s="17" t="s">
        <v>16</v>
      </c>
      <c r="I1694" s="19">
        <f>IF(B1694=0,VLOOKUP(A1694,Feuil2!$A$2:$M$1241,7,FALSE)," ")</f>
        <v>12808571</v>
      </c>
      <c r="J1694" s="17" t="str">
        <f>IF(B1694=0,VLOOKUP(A1694,Feuil2!$A$2:$M$1241,9,FALSE)," ")</f>
        <v>CHRACHIR KROUSSIYA SIDI EL HENI</v>
      </c>
      <c r="K1694" s="17" t="str">
        <f>IF(B1694=0,VLOOKUP(A1694,Feuil2!$A$2:$M$1241,10,FALSE)," ")</f>
        <v>Sousse</v>
      </c>
      <c r="L1694" s="17"/>
      <c r="M1694" s="17">
        <v>96238975</v>
      </c>
      <c r="N1694" s="17"/>
      <c r="O1694" s="20" t="str">
        <f>IF(B1700=0,VLOOKUP(A1700,Feuil2!$A$2:$M$1241,13,FALSE)," ")</f>
        <v>17503000000252910918</v>
      </c>
    </row>
    <row r="1695" spans="1:15" x14ac:dyDescent="0.3">
      <c r="A1695" s="1">
        <v>2154</v>
      </c>
      <c r="B1695" s="1">
        <v>0</v>
      </c>
      <c r="C1695" s="1" t="str">
        <f>IF(B1695=0,VLOOKUP(A1695,Feuil2!$A$2:$M$1241,2,FALSE)," ")</f>
        <v>BEN AZIZA</v>
      </c>
      <c r="D1695" s="1" t="str">
        <f>IF(B1695=0,VLOOKUP(A1695,Feuil2!$A$2:$M$1241,3,FALSE)," ")</f>
        <v>AYMEN</v>
      </c>
      <c r="E1695" s="5">
        <f>IF(B1695=0,VLOOKUP(A1695,Feuil2!$A$2:$M$1241,6,FALSE)," ")</f>
        <v>34404</v>
      </c>
      <c r="F1695" s="1" t="str">
        <f>IF(B1695=0,VLOOKUP(A1695,Feuil2!$A$2:$M$1241,12,FALSE)," ")</f>
        <v>H</v>
      </c>
      <c r="G1695" s="1" t="str">
        <f>IF(B1695=0,VLOOKUP(A1695,Feuil2!$A$2:$M$1241,11,FALSE)," ")</f>
        <v>C</v>
      </c>
      <c r="H1695" s="1" t="s">
        <v>16</v>
      </c>
      <c r="I1695" s="6">
        <f>IF(B1695=0,VLOOKUP(A1695,Feuil2!$A$2:$M$1241,7,FALSE)," ")</f>
        <v>9315813</v>
      </c>
      <c r="J1695" s="1" t="str">
        <f>IF(B1695=0,VLOOKUP(A1695,Feuil2!$A$2:$M$1241,9,FALSE)," ")</f>
        <v>BENI RABIA MSAKEN</v>
      </c>
      <c r="K1695" s="1" t="str">
        <f>IF(B1695=0,VLOOKUP(A1695,Feuil2!$A$2:$M$1241,10,FALSE)," ")</f>
        <v>Msaken 4070</v>
      </c>
      <c r="L1695" s="1">
        <v>4070</v>
      </c>
      <c r="M1695" s="1">
        <v>97818784</v>
      </c>
      <c r="N1695" s="1"/>
      <c r="O1695" s="8" t="str">
        <f>IF(B1703=0,VLOOKUP(A1703,Feuil2!$A$2:$M$1241,13,FALSE)," ")</f>
        <v>17503000000273638945</v>
      </c>
    </row>
    <row r="1696" spans="1:15" x14ac:dyDescent="0.3">
      <c r="A1696" s="1">
        <v>2159</v>
      </c>
      <c r="B1696" s="17">
        <v>0</v>
      </c>
      <c r="C1696" s="17" t="str">
        <f>IF(B1696=0,VLOOKUP(A1696,Feuil2!$A$2:$M$1241,2,FALSE)," ")</f>
        <v>HADDAJI</v>
      </c>
      <c r="D1696" s="17" t="str">
        <f>IF(B1696=0,VLOOKUP(A1696,Feuil2!$A$2:$M$1241,3,FALSE)," ")</f>
        <v>SAMEH</v>
      </c>
      <c r="E1696" s="18">
        <f>IF(B1696=0,VLOOKUP(A1696,Feuil2!$A$2:$M$1241,6,FALSE)," ")</f>
        <v>34911</v>
      </c>
      <c r="F1696" s="17" t="str">
        <f>IF(B1696=0,VLOOKUP(A1696,Feuil2!$A$2:$M$1241,12,FALSE)," ")</f>
        <v>H</v>
      </c>
      <c r="G1696" s="17" t="str">
        <f>IF(B1696=0,VLOOKUP(A1696,Feuil2!$A$2:$M$1241,11,FALSE)," ")</f>
        <v>C</v>
      </c>
      <c r="H1696" s="17" t="s">
        <v>16</v>
      </c>
      <c r="I1696" s="19">
        <f>IF(B1696=0,VLOOKUP(A1696,Feuil2!$A$2:$M$1241,7,FALSE)," ")</f>
        <v>11918696</v>
      </c>
      <c r="J1696" s="17" t="str">
        <f>IF(B1696=0,VLOOKUP(A1696,Feuil2!$A$2:$M$1241,9,FALSE)," ")</f>
        <v>Sidi El HÃ©ni</v>
      </c>
      <c r="K1696" s="17" t="str">
        <f>IF(B1696=0,VLOOKUP(A1696,Feuil2!$A$2:$M$1241,10,FALSE)," ")</f>
        <v>Sidi El HÃ©ni 4025</v>
      </c>
      <c r="L1696" s="17"/>
      <c r="M1696" s="17"/>
      <c r="N1696" s="17"/>
      <c r="O1696" s="20" t="str">
        <f>IF(B1704=0,VLOOKUP(A1704,Feuil2!$A$2:$M$1241,13,FALSE)," ")</f>
        <v>10506040522582778861</v>
      </c>
    </row>
    <row r="1697" spans="1:19" x14ac:dyDescent="0.3">
      <c r="A1697" s="1">
        <v>2160</v>
      </c>
      <c r="B1697" s="1">
        <v>0</v>
      </c>
      <c r="C1697" s="1" t="str">
        <f>IF(B1697=0,VLOOKUP(A1697,Feuil2!$A$2:$M$1241,2,FALSE)," ")</f>
        <v>BEN HASSAN</v>
      </c>
      <c r="D1697" s="1" t="str">
        <f>IF(B1697=0,VLOOKUP(A1697,Feuil2!$A$2:$M$1241,3,FALSE)," ")</f>
        <v>MAROUANE</v>
      </c>
      <c r="E1697" s="5">
        <f>IF(B1697=0,VLOOKUP(A1697,Feuil2!$A$2:$M$1241,6,FALSE)," ")</f>
        <v>32645</v>
      </c>
      <c r="F1697" s="1" t="str">
        <f>IF(B1697=0,VLOOKUP(A1697,Feuil2!$A$2:$M$1241,12,FALSE)," ")</f>
        <v>H</v>
      </c>
      <c r="G1697" s="1" t="str">
        <f>IF(B1697=0,VLOOKUP(A1697,Feuil2!$A$2:$M$1241,11,FALSE)," ")</f>
        <v>C</v>
      </c>
      <c r="H1697" s="1" t="s">
        <v>16</v>
      </c>
      <c r="I1697" s="6">
        <f>IF(B1697=0,VLOOKUP(A1697,Feuil2!$A$2:$M$1241,7,FALSE)," ")</f>
        <v>9317580</v>
      </c>
      <c r="J1697" s="1" t="str">
        <f>IF(B1697=0,VLOOKUP(A1697,Feuil2!$A$2:$M$1241,9,FALSE)," ")</f>
        <v>Aouled Brahim</v>
      </c>
      <c r="K1697" s="1" t="str">
        <f>IF(B1697=0,VLOOKUP(A1697,Feuil2!$A$2:$M$1241,10,FALSE)," ")</f>
        <v>Sidi El HÃ©ni 4025</v>
      </c>
      <c r="L1697" s="1"/>
      <c r="M1697" s="1">
        <v>29383070</v>
      </c>
      <c r="N1697" s="1"/>
      <c r="O1697" s="8" t="str">
        <f>IF(B1706=0,VLOOKUP(A1706,Feuil2!$A$2:$M$1241,13,FALSE)," ")</f>
        <v>04128195004748310286</v>
      </c>
    </row>
    <row r="1698" spans="1:19" x14ac:dyDescent="0.3">
      <c r="A1698" s="1">
        <v>2162</v>
      </c>
      <c r="B1698" s="1">
        <v>0</v>
      </c>
      <c r="C1698" s="1" t="str">
        <f>IF(B1698=0,VLOOKUP(A1698,Feuil2!$A$2:$M$1241,2,FALSE)," ")</f>
        <v>BEN ATTIA</v>
      </c>
      <c r="D1698" s="1" t="str">
        <f>IF(B1698=0,VLOOKUP(A1698,Feuil2!$A$2:$M$1241,3,FALSE)," ")</f>
        <v>HAMZA</v>
      </c>
      <c r="E1698" s="5">
        <f>IF(B1698=0,VLOOKUP(A1698,Feuil2!$A$2:$M$1241,6,FALSE)," ")</f>
        <v>33973</v>
      </c>
      <c r="F1698" s="1" t="str">
        <f>IF(B1698=0,VLOOKUP(A1698,Feuil2!$A$2:$M$1241,12,FALSE)," ")</f>
        <v>H</v>
      </c>
      <c r="G1698" s="1" t="str">
        <f>IF(B1698=0,VLOOKUP(A1698,Feuil2!$A$2:$M$1241,11,FALSE)," ")</f>
        <v>C</v>
      </c>
      <c r="H1698" s="1" t="s">
        <v>16</v>
      </c>
      <c r="I1698" s="6">
        <f>IF(B1698=0,VLOOKUP(A1698,Feuil2!$A$2:$M$1241,7,FALSE)," ")</f>
        <v>12808344</v>
      </c>
      <c r="J1698" s="1" t="str">
        <f>IF(B1698=0,VLOOKUP(A1698,Feuil2!$A$2:$M$1241,9,FALSE)," ")</f>
        <v>Sidi El Heni</v>
      </c>
      <c r="K1698" s="1" t="str">
        <f>IF(B1698=0,VLOOKUP(A1698,Feuil2!$A$2:$M$1241,10,FALSE)," ")</f>
        <v>Sidi El HÃ©ni 4025</v>
      </c>
      <c r="L1698" s="1"/>
      <c r="M1698" s="1">
        <v>50406127</v>
      </c>
      <c r="N1698" s="1"/>
      <c r="O1698" s="8" t="str">
        <f>IF(B1707=0,VLOOKUP(A1707,Feuil2!$A$2:$M$1241,13,FALSE)," ")</f>
        <v xml:space="preserve"> </v>
      </c>
    </row>
    <row r="1699" spans="1:19" x14ac:dyDescent="0.3">
      <c r="A1699" s="1">
        <v>2167</v>
      </c>
      <c r="B1699" s="1">
        <v>0</v>
      </c>
      <c r="C1699" s="1" t="str">
        <f>IF(B1699=0,VLOOKUP(A1699,Feuil2!$A$2:$M$1241,2,FALSE)," ")</f>
        <v>BEN HASSINE</v>
      </c>
      <c r="D1699" s="1" t="str">
        <f>IF(B1699=0,VLOOKUP(A1699,Feuil2!$A$2:$M$1241,3,FALSE)," ")</f>
        <v>JIHED</v>
      </c>
      <c r="E1699" s="5">
        <f>IF(B1699=0,VLOOKUP(A1699,Feuil2!$A$2:$M$1241,6,FALSE)," ")</f>
        <v>33926</v>
      </c>
      <c r="F1699" s="1" t="str">
        <f>IF(B1699=0,VLOOKUP(A1699,Feuil2!$A$2:$M$1241,12,FALSE)," ")</f>
        <v>H</v>
      </c>
      <c r="G1699" s="1" t="str">
        <f>IF(B1699=0,VLOOKUP(A1699,Feuil2!$A$2:$M$1241,11,FALSE)," ")</f>
        <v>C</v>
      </c>
      <c r="H1699" s="1" t="s">
        <v>16</v>
      </c>
      <c r="I1699" s="6">
        <f>IF(B1699=0,VLOOKUP(A1699,Feuil2!$A$2:$M$1241,7,FALSE)," ")</f>
        <v>9320963</v>
      </c>
      <c r="J1699" s="1" t="str">
        <f>IF(B1699=0,VLOOKUP(A1699,Feuil2!$A$2:$M$1241,9,FALSE)," ")</f>
        <v>Rue Khaled Ibn Walid</v>
      </c>
      <c r="K1699" s="1" t="str">
        <f>IF(B1699=0,VLOOKUP(A1699,Feuil2!$A$2:$M$1241,10,FALSE)," ")</f>
        <v>Messadine 4013</v>
      </c>
      <c r="L1699" s="1"/>
      <c r="M1699" s="1">
        <v>51063597</v>
      </c>
      <c r="N1699" s="1"/>
      <c r="O1699" s="8" t="str">
        <f>IF(B1708=0,VLOOKUP(A1708,Feuil2!$A$2:$M$1241,13,FALSE)," ")</f>
        <v xml:space="preserve"> </v>
      </c>
    </row>
    <row r="1700" spans="1:19" x14ac:dyDescent="0.3">
      <c r="A1700" s="1">
        <v>2170</v>
      </c>
      <c r="B1700" s="1">
        <v>0</v>
      </c>
      <c r="C1700" s="1" t="str">
        <f>IF(B1700=0,VLOOKUP(A1700,Feuil2!$A$2:$M$1241,2,FALSE)," ")</f>
        <v>BEN AHMED</v>
      </c>
      <c r="D1700" s="1" t="str">
        <f>IF(B1700=0,VLOOKUP(A1700,Feuil2!$A$2:$M$1241,3,FALSE)," ")</f>
        <v>ANOUAR</v>
      </c>
      <c r="E1700" s="5">
        <f>IF(B1700=0,VLOOKUP(A1700,Feuil2!$A$2:$M$1241,6,FALSE)," ")</f>
        <v>33371</v>
      </c>
      <c r="F1700" s="1" t="str">
        <f>IF(B1700=0,VLOOKUP(A1700,Feuil2!$A$2:$M$1241,12,FALSE)," ")</f>
        <v>H</v>
      </c>
      <c r="G1700" s="1" t="s">
        <v>15</v>
      </c>
      <c r="H1700" s="1" t="s">
        <v>16</v>
      </c>
      <c r="I1700" s="6">
        <f>IF(B1700=0,VLOOKUP(A1700,Feuil2!$A$2:$M$1241,7,FALSE)," ")</f>
        <v>9289636</v>
      </c>
      <c r="J1700" s="1" t="str">
        <f>IF(B1700=0,VLOOKUP(A1700,Feuil2!$A$2:$M$1241,9,FALSE)," ")</f>
        <v>Aouled Brahim</v>
      </c>
      <c r="K1700" s="1" t="str">
        <f>IF(B1700=0,VLOOKUP(A1700,Feuil2!$A$2:$M$1241,10,FALSE)," ")</f>
        <v>Sidi El HÃ©ni 4025</v>
      </c>
      <c r="L1700" s="1"/>
      <c r="M1700" s="1">
        <v>27886430</v>
      </c>
      <c r="N1700" s="1"/>
      <c r="O1700" s="8" t="str">
        <f>IF(B1709=0,VLOOKUP(A1709,Feuil2!$A$2:$M$1241,13,FALSE)," ")</f>
        <v xml:space="preserve"> </v>
      </c>
    </row>
    <row r="1701" spans="1:19" x14ac:dyDescent="0.3">
      <c r="A1701" s="1">
        <v>2170</v>
      </c>
      <c r="B1701" s="1">
        <v>1</v>
      </c>
      <c r="C1701" s="1" t="s">
        <v>251</v>
      </c>
      <c r="D1701" s="1" t="s">
        <v>2764</v>
      </c>
      <c r="E1701" s="5">
        <v>35981</v>
      </c>
      <c r="F1701" s="1" t="s">
        <v>17</v>
      </c>
      <c r="G1701" s="1"/>
      <c r="H1701" s="1"/>
      <c r="I1701" s="6"/>
      <c r="J1701" s="1"/>
      <c r="K1701" s="1"/>
      <c r="L1701" s="1"/>
      <c r="M1701" s="1"/>
      <c r="N1701" s="1"/>
      <c r="O1701" s="8"/>
    </row>
    <row r="1702" spans="1:19" x14ac:dyDescent="0.3">
      <c r="A1702" s="1">
        <v>2170</v>
      </c>
      <c r="B1702" s="1">
        <v>2</v>
      </c>
      <c r="C1702" s="1" t="s">
        <v>148</v>
      </c>
      <c r="D1702" s="1" t="s">
        <v>3220</v>
      </c>
      <c r="E1702" s="5">
        <v>45913</v>
      </c>
      <c r="F1702" s="1" t="s">
        <v>17</v>
      </c>
      <c r="G1702" s="1"/>
      <c r="H1702" s="1"/>
      <c r="I1702" s="6"/>
      <c r="J1702" s="1"/>
      <c r="K1702" s="1"/>
      <c r="L1702" s="1"/>
      <c r="M1702" s="1"/>
      <c r="N1702" s="1"/>
      <c r="O1702" s="8"/>
    </row>
    <row r="1703" spans="1:19" x14ac:dyDescent="0.3">
      <c r="A1703" s="1">
        <v>2171</v>
      </c>
      <c r="B1703" s="17">
        <v>0</v>
      </c>
      <c r="C1703" s="17" t="str">
        <f>IF(B1703=0,VLOOKUP(A1703,Feuil2!$A$2:$M$1241,2,FALSE)," ")</f>
        <v>BEN ELBAKRI</v>
      </c>
      <c r="D1703" s="17" t="str">
        <f>IF(B1703=0,VLOOKUP(A1703,Feuil2!$A$2:$M$1241,3,FALSE)," ")</f>
        <v>HENI</v>
      </c>
      <c r="E1703" s="18">
        <f>IF(B1703=0,VLOOKUP(A1703,Feuil2!$A$2:$M$1241,6,FALSE)," ")</f>
        <v>33946</v>
      </c>
      <c r="F1703" s="17" t="str">
        <f>IF(B1703=0,VLOOKUP(A1703,Feuil2!$A$2:$M$1241,12,FALSE)," ")</f>
        <v>H</v>
      </c>
      <c r="G1703" s="17" t="str">
        <f>IF(B1703=0,VLOOKUP(A1703,Feuil2!$A$2:$M$1241,11,FALSE)," ")</f>
        <v>C</v>
      </c>
      <c r="H1703" s="17" t="s">
        <v>16</v>
      </c>
      <c r="I1703" s="19">
        <f>IF(B1703=0,VLOOKUP(A1703,Feuil2!$A$2:$M$1241,7,FALSE)," ")</f>
        <v>9337441</v>
      </c>
      <c r="J1703" s="17" t="str">
        <f>IF(B1703=0,VLOOKUP(A1703,Feuil2!$A$2:$M$1241,9,FALSE)," ")</f>
        <v>Aouled Abdallah</v>
      </c>
      <c r="K1703" s="17" t="str">
        <f>IF(B1703=0,VLOOKUP(A1703,Feuil2!$A$2:$M$1241,10,FALSE)," ")</f>
        <v>Sidi El HÃ©ni 4025</v>
      </c>
      <c r="L1703" s="17"/>
      <c r="M1703" s="17">
        <v>54419487</v>
      </c>
      <c r="N1703" s="17"/>
      <c r="O1703" s="20" t="str">
        <f>IF(B1710=0,VLOOKUP(A1710,Feuil2!$A$2:$M$1241,13,FALSE)," ")</f>
        <v>14014014100704904179</v>
      </c>
    </row>
    <row r="1704" spans="1:19" x14ac:dyDescent="0.3">
      <c r="A1704" s="1">
        <v>2172</v>
      </c>
      <c r="B1704" s="1">
        <v>0</v>
      </c>
      <c r="C1704" s="1" t="str">
        <f>IF(B1704=0,VLOOKUP(A1704,Feuil2!$A$2:$M$1241,2,FALSE)," ")</f>
        <v>ACHECHE</v>
      </c>
      <c r="D1704" s="1" t="str">
        <f>IF(B1704=0,VLOOKUP(A1704,Feuil2!$A$2:$M$1241,3,FALSE)," ")</f>
        <v>HABIB</v>
      </c>
      <c r="E1704" s="5">
        <f>IF(B1704=0,VLOOKUP(A1704,Feuil2!$A$2:$M$1241,6,FALSE)," ")</f>
        <v>34070</v>
      </c>
      <c r="F1704" s="1" t="str">
        <f>IF(B1704=0,VLOOKUP(A1704,Feuil2!$A$2:$M$1241,12,FALSE)," ")</f>
        <v>H</v>
      </c>
      <c r="G1704" s="1" t="s">
        <v>15</v>
      </c>
      <c r="H1704" s="1" t="s">
        <v>16</v>
      </c>
      <c r="I1704" s="6">
        <f>IF(B1704=0,VLOOKUP(A1704,Feuil2!$A$2:$M$1241,7,FALSE)," ")</f>
        <v>9333678</v>
      </c>
      <c r="J1704" s="1" t="str">
        <f>IF(B1704=0,VLOOKUP(A1704,Feuil2!$A$2:$M$1241,9,FALSE)," ")</f>
        <v>Rue Imem Malek</v>
      </c>
      <c r="K1704" s="1" t="str">
        <f>IF(B1704=0,VLOOKUP(A1704,Feuil2!$A$2:$M$1241,10,FALSE)," ")</f>
        <v>Msaken 4070</v>
      </c>
      <c r="L1704" s="1">
        <v>4070</v>
      </c>
      <c r="M1704" s="1">
        <v>23622276</v>
      </c>
      <c r="N1704" s="1"/>
      <c r="O1704" s="20" t="str">
        <f>IF(B1711=0,VLOOKUP(A1711,Feuil2!$A$2:$M$1241,13,FALSE)," ")</f>
        <v>08507000262004787592</v>
      </c>
    </row>
    <row r="1705" spans="1:19" x14ac:dyDescent="0.3">
      <c r="A1705" s="1">
        <v>2172</v>
      </c>
      <c r="B1705" s="1">
        <v>1</v>
      </c>
      <c r="C1705" s="1" t="s">
        <v>104</v>
      </c>
      <c r="D1705" s="1" t="s">
        <v>439</v>
      </c>
      <c r="E1705" s="5">
        <v>34633</v>
      </c>
      <c r="F1705" s="1" t="s">
        <v>17</v>
      </c>
      <c r="G1705" s="1"/>
      <c r="H1705" s="1"/>
      <c r="I1705" s="6"/>
      <c r="J1705" s="1"/>
      <c r="K1705" s="1"/>
      <c r="L1705" s="1"/>
      <c r="M1705" s="1"/>
      <c r="N1705" s="1"/>
      <c r="O1705" s="20"/>
    </row>
    <row r="1706" spans="1:19" x14ac:dyDescent="0.3">
      <c r="A1706" s="1">
        <v>2177</v>
      </c>
      <c r="B1706" s="1">
        <v>0</v>
      </c>
      <c r="C1706" s="1" t="str">
        <f>IF(B1706=0,VLOOKUP(A1706,Feuil2!$A$2:$M$1241,2,FALSE)," ")</f>
        <v>KAHLOUN</v>
      </c>
      <c r="D1706" s="1" t="str">
        <f>IF(B1706=0,VLOOKUP(A1706,Feuil2!$A$2:$M$1241,3,FALSE)," ")</f>
        <v>FREDJ</v>
      </c>
      <c r="E1706" s="5">
        <f>IF(B1706=0,VLOOKUP(A1706,Feuil2!$A$2:$M$1241,6,FALSE)," ")</f>
        <v>31052</v>
      </c>
      <c r="F1706" s="1" t="str">
        <f>IF(B1706=0,VLOOKUP(A1706,Feuil2!$A$2:$M$1241,12,FALSE)," ")</f>
        <v>H</v>
      </c>
      <c r="G1706" s="1" t="str">
        <f>IF(B1706=0,VLOOKUP(A1706,Feuil2!$A$2:$M$1241,11,FALSE)," ")</f>
        <v>M</v>
      </c>
      <c r="H1706" s="1" t="s">
        <v>16</v>
      </c>
      <c r="I1706" s="6">
        <f>IF(B1706=0,VLOOKUP(A1706,Feuil2!$A$2:$M$1241,7,FALSE)," ")</f>
        <v>8485080</v>
      </c>
      <c r="J1706" s="1" t="str">
        <f>IF(B1706=0,VLOOKUP(A1706,Feuil2!$A$2:$M$1241,9,FALSE)," ")</f>
        <v>Rue Omar Ibn Abdelaziz</v>
      </c>
      <c r="K1706" s="1" t="str">
        <f>IF(B1706=0,VLOOKUP(A1706,Feuil2!$A$2:$M$1241,10,FALSE)," ")</f>
        <v>Messadine 4013</v>
      </c>
      <c r="L1706" s="1"/>
      <c r="M1706" s="1">
        <v>52629312</v>
      </c>
      <c r="N1706" s="1"/>
      <c r="O1706" s="20" t="str">
        <f>IF(B1714=0,VLOOKUP(A1714,Feuil2!$A$2:$M$1241,13,FALSE)," ")</f>
        <v>17503000000224506117</v>
      </c>
    </row>
    <row r="1707" spans="1:19" x14ac:dyDescent="0.3">
      <c r="A1707" s="1">
        <v>2177</v>
      </c>
      <c r="B1707" s="1">
        <v>1</v>
      </c>
      <c r="C1707" s="1" t="s">
        <v>2762</v>
      </c>
      <c r="D1707" s="1" t="s">
        <v>2371</v>
      </c>
      <c r="E1707" s="5">
        <v>32865</v>
      </c>
      <c r="F1707" s="1" t="s">
        <v>17</v>
      </c>
      <c r="G1707" s="1" t="s">
        <v>15</v>
      </c>
      <c r="H1707" s="1" t="s">
        <v>16</v>
      </c>
      <c r="I1707" s="6" t="str">
        <f>IF(B1707=0,VLOOKUP(A1707,Feuil2!$A$2:$M$1241,7,FALSE)," ")</f>
        <v xml:space="preserve"> </v>
      </c>
      <c r="J1707" s="1" t="str">
        <f>IF(B1707=0,VLOOKUP(A1707,Feuil2!$A$2:$M$1241,9,FALSE)," ")</f>
        <v xml:space="preserve"> </v>
      </c>
      <c r="K1707" s="1" t="str">
        <f>IF(B1707=0,VLOOKUP(A1707,Feuil2!$A$2:$M$1241,10,FALSE)," ")</f>
        <v xml:space="preserve"> </v>
      </c>
      <c r="L1707" s="1"/>
      <c r="M1707" s="1"/>
      <c r="N1707" s="1"/>
      <c r="O1707" s="8" t="str">
        <f>IF(B1715=0,VLOOKUP(A1715,Feuil2!$A$2:$M$1241,13,FALSE)," ")</f>
        <v>04204067005957019208</v>
      </c>
    </row>
    <row r="1708" spans="1:19" x14ac:dyDescent="0.3">
      <c r="A1708" s="1">
        <v>2177</v>
      </c>
      <c r="B1708" s="1">
        <v>2</v>
      </c>
      <c r="C1708" s="1" t="s">
        <v>453</v>
      </c>
      <c r="D1708" s="1" t="s">
        <v>2763</v>
      </c>
      <c r="E1708" s="5">
        <v>42218</v>
      </c>
      <c r="F1708" s="1" t="s">
        <v>17</v>
      </c>
      <c r="G1708" s="1" t="str">
        <f>IF(B1708=0,VLOOKUP(A1708,Feuil2!$A$2:$M$1241,11,FALSE)," ")</f>
        <v xml:space="preserve"> </v>
      </c>
      <c r="H1708" s="1" t="s">
        <v>16</v>
      </c>
      <c r="I1708" s="6" t="str">
        <f>IF(B1708=0,VLOOKUP(A1708,Feuil2!$A$2:$M$1241,7,FALSE)," ")</f>
        <v xml:space="preserve"> </v>
      </c>
      <c r="J1708" s="1" t="str">
        <f>IF(B1708=0,VLOOKUP(A1708,Feuil2!$A$2:$M$1241,9,FALSE)," ")</f>
        <v xml:space="preserve"> </v>
      </c>
      <c r="K1708" s="1" t="str">
        <f>IF(B1708=0,VLOOKUP(A1708,Feuil2!$A$2:$M$1241,10,FALSE)," ")</f>
        <v xml:space="preserve"> </v>
      </c>
      <c r="L1708" s="1"/>
      <c r="M1708" s="1"/>
      <c r="N1708" s="1"/>
      <c r="O1708" s="20" t="str">
        <f>IF(B1716=0,VLOOKUP(A1716,Feuil2!$A$2:$M$1241,13,FALSE)," ")</f>
        <v>12505000000235694064</v>
      </c>
    </row>
    <row r="1709" spans="1:19" x14ac:dyDescent="0.3">
      <c r="A1709" s="1">
        <v>2177</v>
      </c>
      <c r="B1709" s="1">
        <v>3</v>
      </c>
      <c r="C1709" s="1" t="s">
        <v>453</v>
      </c>
      <c r="D1709" s="1" t="s">
        <v>2747</v>
      </c>
      <c r="E1709" s="5">
        <v>43076</v>
      </c>
      <c r="F1709" s="1" t="s">
        <v>17</v>
      </c>
      <c r="G1709" s="1" t="str">
        <f>IF(B1709=0,VLOOKUP(A1709,Feuil2!$A$2:$M$1241,11,FALSE)," ")</f>
        <v xml:space="preserve"> </v>
      </c>
      <c r="H1709" s="1" t="s">
        <v>16</v>
      </c>
      <c r="I1709" s="6" t="str">
        <f>IF(B1709=0,VLOOKUP(A1709,Feuil2!$A$2:$M$1241,7,FALSE)," ")</f>
        <v xml:space="preserve"> </v>
      </c>
      <c r="J1709" s="1" t="str">
        <f>IF(B1709=0,VLOOKUP(A1709,Feuil2!$A$2:$M$1241,9,FALSE)," ")</f>
        <v xml:space="preserve"> </v>
      </c>
      <c r="K1709" s="1" t="str">
        <f>IF(B1709=0,VLOOKUP(A1709,Feuil2!$A$2:$M$1241,10,FALSE)," ")</f>
        <v xml:space="preserve"> </v>
      </c>
      <c r="L1709" s="1"/>
      <c r="M1709" s="1"/>
      <c r="N1709" s="1"/>
      <c r="O1709" s="8" t="str">
        <f>IF(B1717=0,VLOOKUP(A1717,Feuil2!$A$2:$M$1241,13,FALSE)," ")</f>
        <v xml:space="preserve"> </v>
      </c>
    </row>
    <row r="1710" spans="1:19" x14ac:dyDescent="0.3">
      <c r="A1710" s="1">
        <v>2178</v>
      </c>
      <c r="B1710" s="17">
        <v>0</v>
      </c>
      <c r="C1710" s="17" t="str">
        <f>IF(B1710=0,VLOOKUP(A1710,Feuil2!$A$2:$M$1241,2,FALSE)," ")</f>
        <v>DHAOUADI</v>
      </c>
      <c r="D1710" s="17" t="str">
        <f>IF(B1710=0,VLOOKUP(A1710,Feuil2!$A$2:$M$1241,3,FALSE)," ")</f>
        <v>MOHAMED HOSNI</v>
      </c>
      <c r="E1710" s="18">
        <f>IF(B1710=0,VLOOKUP(A1710,Feuil2!$A$2:$M$1241,6,FALSE)," ")</f>
        <v>34982</v>
      </c>
      <c r="F1710" s="17" t="str">
        <f>IF(B1710=0,VLOOKUP(A1710,Feuil2!$A$2:$M$1241,12,FALSE)," ")</f>
        <v>H</v>
      </c>
      <c r="G1710" s="17" t="str">
        <f>IF(B1710=0,VLOOKUP(A1710,Feuil2!$A$2:$M$1241,11,FALSE)," ")</f>
        <v>C</v>
      </c>
      <c r="H1710" s="17" t="s">
        <v>16</v>
      </c>
      <c r="I1710" s="19">
        <f>IF(B1710=0,VLOOKUP(A1710,Feuil2!$A$2:$M$1241,7,FALSE)," ")</f>
        <v>12808126</v>
      </c>
      <c r="J1710" s="17" t="str">
        <f>IF(B1710=0,VLOOKUP(A1710,Feuil2!$A$2:$M$1241,9,FALSE)," ")</f>
        <v>52 Route de Sfax</v>
      </c>
      <c r="K1710" s="17" t="str">
        <f>IF(B1710=0,VLOOKUP(A1710,Feuil2!$A$2:$M$1241,10,FALSE)," ")</f>
        <v>Msaken 4070</v>
      </c>
      <c r="L1710" s="17">
        <v>4070</v>
      </c>
      <c r="M1710" s="17">
        <v>53593895</v>
      </c>
      <c r="N1710" s="17"/>
      <c r="O1710" s="20" t="str">
        <f>IF(B1718=0,VLOOKUP(A1718,Feuil2!$A$2:$M$1241,13,FALSE)," ")</f>
        <v xml:space="preserve"> </v>
      </c>
    </row>
    <row r="1711" spans="1:19" s="16" customFormat="1" x14ac:dyDescent="0.3">
      <c r="A1711" s="1">
        <v>2179</v>
      </c>
      <c r="B1711" s="17">
        <v>0</v>
      </c>
      <c r="C1711" s="17" t="str">
        <f>IF(B1711=0,VLOOKUP(A1711,Feuil2!$A$2:$M$1241,2,FALSE)," ")</f>
        <v>BOUHLEL</v>
      </c>
      <c r="D1711" s="17" t="str">
        <f>IF(B1711=0,VLOOKUP(A1711,Feuil2!$A$2:$M$1241,3,FALSE)," ")</f>
        <v>AHMED</v>
      </c>
      <c r="E1711" s="18">
        <f>IF(B1711=0,VLOOKUP(A1711,Feuil2!$A$2:$M$1241,6,FALSE)," ")</f>
        <v>31565</v>
      </c>
      <c r="F1711" s="17" t="str">
        <f>IF(B1711=0,VLOOKUP(A1711,Feuil2!$A$2:$M$1241,12,FALSE)," ")</f>
        <v>H</v>
      </c>
      <c r="G1711" s="17" t="s">
        <v>15</v>
      </c>
      <c r="H1711" s="17" t="s">
        <v>16</v>
      </c>
      <c r="I1711" s="19">
        <f>IF(B1711=0,VLOOKUP(A1711,Feuil2!$A$2:$M$1241,7,FALSE)," ")</f>
        <v>9264856</v>
      </c>
      <c r="J1711" s="17" t="str">
        <f>IF(B1711=0,VLOOKUP(A1711,Feuil2!$A$2:$M$1241,9,FALSE)," ")</f>
        <v>Rue Ariana</v>
      </c>
      <c r="K1711" s="17" t="str">
        <f>IF(B1711=0,VLOOKUP(A1711,Feuil2!$A$2:$M$1241,10,FALSE)," ")</f>
        <v>Msaken 4070</v>
      </c>
      <c r="L1711" s="17">
        <v>4070</v>
      </c>
      <c r="M1711" s="17">
        <v>26496934</v>
      </c>
      <c r="N1711" s="17"/>
      <c r="O1711" s="20" t="str">
        <f>IF(B1719=0,VLOOKUP(A1719,Feuil2!$A$2:$M$1241,13,FALSE)," ")</f>
        <v xml:space="preserve"> </v>
      </c>
      <c r="P1711"/>
      <c r="Q1711"/>
      <c r="R1711"/>
      <c r="S1711"/>
    </row>
    <row r="1712" spans="1:19" x14ac:dyDescent="0.3">
      <c r="A1712" s="1">
        <v>2179</v>
      </c>
      <c r="B1712" s="1">
        <v>1</v>
      </c>
      <c r="C1712" s="1" t="s">
        <v>2209</v>
      </c>
      <c r="D1712" s="1" t="s">
        <v>2841</v>
      </c>
      <c r="E1712" s="5"/>
      <c r="F1712" s="1" t="s">
        <v>17</v>
      </c>
      <c r="G1712" s="1" t="s">
        <v>15</v>
      </c>
      <c r="H1712" s="1"/>
      <c r="I1712" s="6"/>
      <c r="J1712" s="1"/>
      <c r="K1712" s="1"/>
      <c r="L1712" s="1"/>
      <c r="M1712" s="1"/>
      <c r="N1712" s="1"/>
      <c r="O1712" s="8"/>
      <c r="S1712" s="16"/>
    </row>
    <row r="1713" spans="1:18" x14ac:dyDescent="0.3">
      <c r="A1713" s="1">
        <v>2179</v>
      </c>
      <c r="B1713" s="1">
        <v>2</v>
      </c>
      <c r="C1713" s="1" t="s">
        <v>83</v>
      </c>
      <c r="D1713" s="1" t="s">
        <v>2953</v>
      </c>
      <c r="E1713" s="5">
        <v>44914</v>
      </c>
      <c r="F1713" s="1" t="s">
        <v>17</v>
      </c>
      <c r="G1713" s="1"/>
      <c r="H1713" s="1"/>
      <c r="I1713" s="6"/>
      <c r="J1713" s="1"/>
      <c r="K1713" s="1"/>
      <c r="L1713" s="1"/>
      <c r="M1713" s="1"/>
      <c r="N1713" s="1"/>
      <c r="O1713" s="8"/>
    </row>
    <row r="1714" spans="1:18" x14ac:dyDescent="0.3">
      <c r="A1714" s="1">
        <v>2183</v>
      </c>
      <c r="B1714" s="17">
        <v>0</v>
      </c>
      <c r="C1714" s="17" t="str">
        <f>IF(B1714=0,VLOOKUP(A1714,Feuil2!$A$2:$M$1241,2,FALSE)," ")</f>
        <v>ISSAOUI</v>
      </c>
      <c r="D1714" s="17" t="str">
        <f>IF(B1714=0,VLOOKUP(A1714,Feuil2!$A$2:$M$1241,3,FALSE)," ")</f>
        <v>RACHED</v>
      </c>
      <c r="E1714" s="18">
        <f>IF(B1714=0,VLOOKUP(A1714,Feuil2!$A$2:$M$1241,6,FALSE)," ")</f>
        <v>35156</v>
      </c>
      <c r="F1714" s="17" t="str">
        <f>IF(B1714=0,VLOOKUP(A1714,Feuil2!$A$2:$M$1241,12,FALSE)," ")</f>
        <v>H</v>
      </c>
      <c r="G1714" s="17" t="str">
        <f>IF(B1714=0,VLOOKUP(A1714,Feuil2!$A$2:$M$1241,11,FALSE)," ")</f>
        <v>C</v>
      </c>
      <c r="H1714" s="17" t="s">
        <v>16</v>
      </c>
      <c r="I1714" s="19">
        <f>IF(B1714=0,VLOOKUP(A1714,Feuil2!$A$2:$M$1241,7,FALSE)," ")</f>
        <v>12819378</v>
      </c>
      <c r="J1714" s="17" t="str">
        <f>IF(B1714=0,VLOOKUP(A1714,Feuil2!$A$2:$M$1241,9,FALSE)," ")</f>
        <v>Rue Al Imem Ibn Hannibal</v>
      </c>
      <c r="K1714" s="17" t="str">
        <f>IF(B1714=0,VLOOKUP(A1714,Feuil2!$A$2:$M$1241,10,FALSE)," ")</f>
        <v>CitÃ© Erriadh</v>
      </c>
      <c r="L1714" s="17"/>
      <c r="M1714" s="17">
        <v>27918916</v>
      </c>
      <c r="N1714" s="17"/>
      <c r="O1714" s="8" t="str">
        <f>IF(B1720=0,VLOOKUP(A1720,Feuil2!$A$2:$M$1241,13,FALSE)," ")</f>
        <v xml:space="preserve"> </v>
      </c>
    </row>
    <row r="1715" spans="1:18" x14ac:dyDescent="0.3">
      <c r="A1715" s="1">
        <v>2185</v>
      </c>
      <c r="B1715" s="1">
        <v>0</v>
      </c>
      <c r="C1715" s="1" t="str">
        <f>IF(B1715=0,VLOOKUP(A1715,Feuil2!$A$2:$M$1241,2,FALSE)," ")</f>
        <v>BENYOUSSEF</v>
      </c>
      <c r="D1715" s="1" t="str">
        <f>IF(B1715=0,VLOOKUP(A1715,Feuil2!$A$2:$M$1241,3,FALSE)," ")</f>
        <v>MOHAMED</v>
      </c>
      <c r="E1715" s="5">
        <f>IF(B1715=0,VLOOKUP(A1715,Feuil2!$A$2:$M$1241,6,FALSE)," ")</f>
        <v>34197</v>
      </c>
      <c r="F1715" s="1" t="str">
        <f>IF(B1715=0,VLOOKUP(A1715,Feuil2!$A$2:$M$1241,12,FALSE)," ")</f>
        <v>H</v>
      </c>
      <c r="G1715" s="1" t="str">
        <f>IF(B1715=0,VLOOKUP(A1715,Feuil2!$A$2:$M$1241,11,FALSE)," ")</f>
        <v>C</v>
      </c>
      <c r="H1715" s="1" t="s">
        <v>16</v>
      </c>
      <c r="I1715" s="6">
        <f>IF(B1715=0,VLOOKUP(A1715,Feuil2!$A$2:$M$1241,7,FALSE)," ")</f>
        <v>9342414</v>
      </c>
      <c r="J1715" s="1" t="str">
        <f>IF(B1715=0,VLOOKUP(A1715,Feuil2!$A$2:$M$1241,9,FALSE)," ")</f>
        <v>Boudhebane</v>
      </c>
      <c r="K1715" s="1" t="str">
        <f>IF(B1715=0,VLOOKUP(A1715,Feuil2!$A$2:$M$1241,10,FALSE)," ")</f>
        <v>Msaken 4070</v>
      </c>
      <c r="L1715" s="1">
        <v>4070</v>
      </c>
      <c r="M1715" s="1">
        <v>95621075</v>
      </c>
      <c r="N1715" s="1"/>
      <c r="O1715" s="8" t="str">
        <f>IF(B1721=0,VLOOKUP(A1721,Feuil2!$A$2:$M$1241,13,FALSE)," ")</f>
        <v>12505000000232863992</v>
      </c>
    </row>
    <row r="1716" spans="1:18" x14ac:dyDescent="0.3">
      <c r="A1716" s="1">
        <v>2187</v>
      </c>
      <c r="B1716" s="17">
        <v>0</v>
      </c>
      <c r="C1716" s="17" t="str">
        <f>IF(B1716=0,VLOOKUP(A1716,Feuil2!$A$2:$M$1241,2,FALSE)," ")</f>
        <v>CHATTI</v>
      </c>
      <c r="D1716" s="17" t="str">
        <f>IF(B1716=0,VLOOKUP(A1716,Feuil2!$A$2:$M$1241,3,FALSE)," ")</f>
        <v>ZIED</v>
      </c>
      <c r="E1716" s="18">
        <f>IF(B1716=0,VLOOKUP(A1716,Feuil2!$A$2:$M$1241,6,FALSE)," ")</f>
        <v>30042</v>
      </c>
      <c r="F1716" s="17" t="str">
        <f>IF(B1716=0,VLOOKUP(A1716,Feuil2!$A$2:$M$1241,12,FALSE)," ")</f>
        <v>H</v>
      </c>
      <c r="G1716" s="17" t="str">
        <f>IF(B1716=0,VLOOKUP(A1716,Feuil2!$A$2:$M$1241,11,FALSE)," ")</f>
        <v>M</v>
      </c>
      <c r="H1716" s="17" t="s">
        <v>16</v>
      </c>
      <c r="I1716" s="19">
        <f>IF(B1716=0,VLOOKUP(A1716,Feuil2!$A$2:$M$1241,7,FALSE)," ")</f>
        <v>8463414</v>
      </c>
      <c r="J1716" s="17" t="str">
        <f>IF(B1716=0,VLOOKUP(A1716,Feuil2!$A$2:$M$1241,9,FALSE)," ")</f>
        <v>Aouled Ibrahim</v>
      </c>
      <c r="K1716" s="17" t="str">
        <f>IF(B1716=0,VLOOKUP(A1716,Feuil2!$A$2:$M$1241,10,FALSE)," ")</f>
        <v>Sidi El HÃ©ni 4025</v>
      </c>
      <c r="L1716" s="17"/>
      <c r="M1716" s="17">
        <v>55037566</v>
      </c>
      <c r="N1716" s="17"/>
      <c r="O1716" s="8" t="e">
        <f>IF(B1722=0,VLOOKUP(A1722,Feuil2!$A$2:$M$1241,13,FALSE)," ")</f>
        <v>#N/A</v>
      </c>
      <c r="R1716" s="16"/>
    </row>
    <row r="1717" spans="1:18" x14ac:dyDescent="0.3">
      <c r="A1717" s="1">
        <v>2187</v>
      </c>
      <c r="B1717" s="1">
        <v>1</v>
      </c>
      <c r="C1717" s="1" t="s">
        <v>2235</v>
      </c>
      <c r="D1717" s="1" t="s">
        <v>2764</v>
      </c>
      <c r="E1717" s="5">
        <v>33634</v>
      </c>
      <c r="F1717" s="1" t="s">
        <v>17</v>
      </c>
      <c r="G1717" s="1" t="s">
        <v>15</v>
      </c>
      <c r="H1717" s="1" t="s">
        <v>16</v>
      </c>
      <c r="I1717" s="6" t="str">
        <f>IF(B1717=0,VLOOKUP(A1717,Feuil2!$A$2:$M$1241,7,FALSE)," ")</f>
        <v xml:space="preserve"> </v>
      </c>
      <c r="J1717" s="1" t="str">
        <f>IF(B1717=0,VLOOKUP(A1717,Feuil2!$A$2:$M$1241,9,FALSE)," ")</f>
        <v xml:space="preserve"> </v>
      </c>
      <c r="K1717" s="1" t="str">
        <f>IF(B1717=0,VLOOKUP(A1717,Feuil2!$A$2:$M$1241,10,FALSE)," ")</f>
        <v xml:space="preserve"> </v>
      </c>
      <c r="L1717" s="1"/>
      <c r="M1717" s="1"/>
      <c r="N1717" s="1"/>
      <c r="O1717" s="20" t="e">
        <f>IF(B1723=0,VLOOKUP(A1723,Feuil2!$A$2:$M$1241,13,FALSE)," ")</f>
        <v>#N/A</v>
      </c>
      <c r="Q1717" s="16"/>
    </row>
    <row r="1718" spans="1:18" x14ac:dyDescent="0.3">
      <c r="A1718" s="1">
        <v>2187</v>
      </c>
      <c r="B1718" s="1">
        <v>2</v>
      </c>
      <c r="C1718" s="1" t="s">
        <v>71</v>
      </c>
      <c r="D1718" s="1" t="s">
        <v>2765</v>
      </c>
      <c r="E1718" s="5">
        <v>41371</v>
      </c>
      <c r="F1718" s="1" t="s">
        <v>506</v>
      </c>
      <c r="G1718" s="1" t="str">
        <f>IF(B1718=0,VLOOKUP(A1718,Feuil2!$A$2:$M$1241,11,FALSE)," ")</f>
        <v xml:space="preserve"> </v>
      </c>
      <c r="H1718" s="1" t="s">
        <v>16</v>
      </c>
      <c r="I1718" s="6" t="str">
        <f>IF(B1718=0,VLOOKUP(A1718,Feuil2!$A$2:$M$1241,7,FALSE)," ")</f>
        <v xml:space="preserve"> </v>
      </c>
      <c r="J1718" s="1" t="str">
        <f>IF(B1718=0,VLOOKUP(A1718,Feuil2!$A$2:$M$1241,9,FALSE)," ")</f>
        <v xml:space="preserve"> </v>
      </c>
      <c r="K1718" s="1" t="str">
        <f>IF(B1718=0,VLOOKUP(A1718,Feuil2!$A$2:$M$1241,10,FALSE)," ")</f>
        <v xml:space="preserve"> </v>
      </c>
      <c r="L1718" s="1"/>
      <c r="M1718" s="1"/>
      <c r="N1718" s="1"/>
      <c r="O1718" s="8" t="str">
        <f>IF(B1724=0,VLOOKUP(A1724,Feuil2!$A$2:$M$1241,13,FALSE)," ")</f>
        <v xml:space="preserve"> </v>
      </c>
    </row>
    <row r="1719" spans="1:18" x14ac:dyDescent="0.3">
      <c r="A1719" s="1">
        <v>2187</v>
      </c>
      <c r="B1719" s="1">
        <v>3</v>
      </c>
      <c r="C1719" s="1" t="s">
        <v>71</v>
      </c>
      <c r="D1719" s="1" t="s">
        <v>2627</v>
      </c>
      <c r="E1719" s="5">
        <v>41962</v>
      </c>
      <c r="F1719" s="1" t="s">
        <v>506</v>
      </c>
      <c r="G1719" s="1" t="str">
        <f>IF(B1719=0,VLOOKUP(A1719,Feuil2!$A$2:$M$1241,11,FALSE)," ")</f>
        <v xml:space="preserve"> </v>
      </c>
      <c r="H1719" s="1" t="s">
        <v>16</v>
      </c>
      <c r="I1719" s="6" t="str">
        <f>IF(B1719=0,VLOOKUP(A1719,Feuil2!$A$2:$M$1241,7,FALSE)," ")</f>
        <v xml:space="preserve"> </v>
      </c>
      <c r="J1719" s="1" t="str">
        <f>IF(B1719=0,VLOOKUP(A1719,Feuil2!$A$2:$M$1241,9,FALSE)," ")</f>
        <v xml:space="preserve"> </v>
      </c>
      <c r="K1719" s="1" t="str">
        <f>IF(B1719=0,VLOOKUP(A1719,Feuil2!$A$2:$M$1241,10,FALSE)," ")</f>
        <v xml:space="preserve"> </v>
      </c>
      <c r="L1719" s="1"/>
      <c r="M1719" s="1"/>
      <c r="N1719" s="1"/>
      <c r="O1719" s="8" t="str">
        <f>IF(B1725=0,VLOOKUP(A1725,Feuil2!$A$2:$M$1241,13,FALSE)," ")</f>
        <v xml:space="preserve"> </v>
      </c>
    </row>
    <row r="1720" spans="1:18" x14ac:dyDescent="0.3">
      <c r="A1720" s="1">
        <v>2187</v>
      </c>
      <c r="B1720" s="1">
        <v>4</v>
      </c>
      <c r="C1720" s="1" t="s">
        <v>71</v>
      </c>
      <c r="D1720" s="1" t="s">
        <v>2501</v>
      </c>
      <c r="E1720" s="5">
        <v>43482</v>
      </c>
      <c r="F1720" s="1" t="s">
        <v>17</v>
      </c>
      <c r="G1720" s="1" t="str">
        <f>IF(B1720=0,VLOOKUP(A1720,Feuil2!$A$2:$M$1241,11,FALSE)," ")</f>
        <v xml:space="preserve"> </v>
      </c>
      <c r="H1720" s="1" t="s">
        <v>16</v>
      </c>
      <c r="I1720" s="6" t="str">
        <f>IF(B1720=0,VLOOKUP(A1720,Feuil2!$A$2:$M$1241,7,FALSE)," ")</f>
        <v xml:space="preserve"> </v>
      </c>
      <c r="J1720" s="1" t="str">
        <f>IF(B1720=0,VLOOKUP(A1720,Feuil2!$A$2:$M$1241,9,FALSE)," ")</f>
        <v xml:space="preserve"> </v>
      </c>
      <c r="K1720" s="1" t="str">
        <f>IF(B1720=0,VLOOKUP(A1720,Feuil2!$A$2:$M$1241,10,FALSE)," ")</f>
        <v xml:space="preserve"> </v>
      </c>
      <c r="L1720" s="1"/>
      <c r="M1720" s="1"/>
      <c r="N1720" s="1"/>
      <c r="O1720" s="8" t="str">
        <f>IF(B1726=0,VLOOKUP(A1726,Feuil2!$A$2:$M$1241,13,FALSE)," ")</f>
        <v xml:space="preserve"> </v>
      </c>
    </row>
    <row r="1721" spans="1:18" x14ac:dyDescent="0.3">
      <c r="A1721" s="1">
        <v>2206</v>
      </c>
      <c r="B1721" s="1">
        <v>0</v>
      </c>
      <c r="C1721" s="1" t="str">
        <f>IF(B1721=0,VLOOKUP(A1721,Feuil2!$A$2:$M$1241,2,FALSE)," ")</f>
        <v>TOUMI</v>
      </c>
      <c r="D1721" s="1" t="str">
        <f>IF(B1721=0,VLOOKUP(A1721,Feuil2!$A$2:$M$1241,3,FALSE)," ")</f>
        <v>MOHAMED ISMAIL</v>
      </c>
      <c r="E1721" s="5">
        <f>IF(B1721=0,VLOOKUP(A1721,Feuil2!$A$2:$M$1241,6,FALSE)," ")</f>
        <v>33264</v>
      </c>
      <c r="F1721" s="1" t="s">
        <v>506</v>
      </c>
      <c r="G1721" s="1" t="s">
        <v>16</v>
      </c>
      <c r="H1721" s="1" t="s">
        <v>16</v>
      </c>
      <c r="I1721" s="6">
        <f>IF(B1721=0,VLOOKUP(A1721,Feuil2!$A$2:$M$1241,7,FALSE)," ")</f>
        <v>9306311</v>
      </c>
      <c r="J1721" s="1" t="str">
        <f>IF(B1721=0,VLOOKUP(A1721,Feuil2!$A$2:$M$1241,9,FALSE)," ")</f>
        <v>Rue de la Garre</v>
      </c>
      <c r="K1721" s="1" t="str">
        <f>IF(B1721=0,VLOOKUP(A1721,Feuil2!$A$2:$M$1241,10,FALSE)," ")</f>
        <v>Msaken</v>
      </c>
      <c r="L1721" s="1">
        <v>4070</v>
      </c>
      <c r="M1721" s="1">
        <v>25227510</v>
      </c>
      <c r="N1721" s="1"/>
      <c r="O1721" s="8" t="str">
        <f>IF(B1727=0,VLOOKUP(A1727,Feuil2!$A$2:$M$1241,13,FALSE)," ")</f>
        <v xml:space="preserve"> </v>
      </c>
    </row>
    <row r="1722" spans="1:18" x14ac:dyDescent="0.3">
      <c r="A1722" s="1">
        <v>2237</v>
      </c>
      <c r="B1722" s="1">
        <v>0</v>
      </c>
      <c r="C1722" s="1" t="s">
        <v>776</v>
      </c>
      <c r="D1722" s="1" t="s">
        <v>2766</v>
      </c>
      <c r="E1722" s="5">
        <v>31913</v>
      </c>
      <c r="F1722" s="1" t="s">
        <v>506</v>
      </c>
      <c r="G1722" s="1" t="s">
        <v>16</v>
      </c>
      <c r="H1722" s="1" t="s">
        <v>16</v>
      </c>
      <c r="I1722" s="6" t="e">
        <f>IF(B1722=0,VLOOKUP(A1722,Feuil2!$A$2:$M$1241,7,FALSE)," ")</f>
        <v>#N/A</v>
      </c>
      <c r="J1722" s="1" t="s">
        <v>2770</v>
      </c>
      <c r="K1722" s="1" t="s">
        <v>2256</v>
      </c>
      <c r="L1722" s="1">
        <v>4070</v>
      </c>
      <c r="M1722" s="1">
        <v>26489648</v>
      </c>
      <c r="N1722" s="1"/>
      <c r="O1722" s="8" t="str">
        <f>IF(B1728=0,VLOOKUP(A1728,Feuil2!$A$2:$M$1241,13,FALSE)," ")</f>
        <v xml:space="preserve"> </v>
      </c>
    </row>
    <row r="1723" spans="1:18" x14ac:dyDescent="0.3">
      <c r="A1723" s="17">
        <v>2238</v>
      </c>
      <c r="B1723" s="17">
        <v>0</v>
      </c>
      <c r="C1723" s="17" t="s">
        <v>2767</v>
      </c>
      <c r="D1723" s="17" t="s">
        <v>2768</v>
      </c>
      <c r="E1723" s="18">
        <v>31704</v>
      </c>
      <c r="F1723" s="17" t="s">
        <v>506</v>
      </c>
      <c r="G1723" s="17" t="s">
        <v>15</v>
      </c>
      <c r="H1723" s="17" t="s">
        <v>16</v>
      </c>
      <c r="I1723" s="19" t="e">
        <f>IF(B1723=0,VLOOKUP(A1723,Feuil2!$A$2:$M$1241,7,FALSE)," ")</f>
        <v>#N/A</v>
      </c>
      <c r="J1723" s="17" t="s">
        <v>2769</v>
      </c>
      <c r="K1723" s="17" t="s">
        <v>2256</v>
      </c>
      <c r="L1723" s="17">
        <v>4070</v>
      </c>
      <c r="M1723" s="17">
        <v>92118916</v>
      </c>
      <c r="N1723" s="17"/>
      <c r="O1723" s="8" t="str">
        <f>IF(B1729=0,VLOOKUP(A1729,Feuil2!$A$2:$M$1241,13,FALSE)," ")</f>
        <v>10506040205671778894</v>
      </c>
      <c r="P1723" s="16"/>
    </row>
    <row r="1724" spans="1:18" x14ac:dyDescent="0.3">
      <c r="A1724" s="1">
        <v>2238</v>
      </c>
      <c r="B1724" s="1">
        <v>1</v>
      </c>
      <c r="C1724" s="1" t="str">
        <f>IF(B1724=0,VLOOKUP(A1724,Feuil2!$A$2:$M$1241,2,FALSE)," ")</f>
        <v xml:space="preserve"> </v>
      </c>
      <c r="D1724" s="1" t="s">
        <v>2682</v>
      </c>
      <c r="E1724" s="5">
        <v>31770</v>
      </c>
      <c r="F1724" s="1" t="s">
        <v>17</v>
      </c>
      <c r="G1724" s="1" t="s">
        <v>15</v>
      </c>
      <c r="H1724" s="1" t="s">
        <v>16</v>
      </c>
      <c r="I1724" s="6" t="str">
        <f>IF(B1724=0,VLOOKUP(A1724,Feuil2!$A$2:$M$1241,7,FALSE)," ")</f>
        <v xml:space="preserve"> </v>
      </c>
      <c r="J1724" s="1" t="str">
        <f>IF(B1724=0,VLOOKUP(A1724,Feuil2!$A$2:$M$1241,9,FALSE)," ")</f>
        <v xml:space="preserve"> </v>
      </c>
      <c r="K1724" s="1" t="str">
        <f>IF(B1724=0,VLOOKUP(A1724,Feuil2!$A$2:$M$1241,10,FALSE)," ")</f>
        <v xml:space="preserve"> </v>
      </c>
      <c r="L1724" s="1"/>
      <c r="M1724" s="1"/>
      <c r="N1724" s="1"/>
      <c r="O1724" s="8" t="str">
        <f>IF(B1730=0,VLOOKUP(A1730,Feuil2!$A$2:$M$1241,13,FALSE)," ")</f>
        <v xml:space="preserve"> </v>
      </c>
    </row>
    <row r="1725" spans="1:18" x14ac:dyDescent="0.3">
      <c r="A1725" s="1">
        <v>2238</v>
      </c>
      <c r="B1725" s="1">
        <v>2</v>
      </c>
      <c r="C1725" s="1" t="s">
        <v>2767</v>
      </c>
      <c r="D1725" s="1" t="s">
        <v>2701</v>
      </c>
      <c r="E1725" s="5">
        <v>41810</v>
      </c>
      <c r="F1725" s="1" t="s">
        <v>17</v>
      </c>
      <c r="G1725" s="1" t="str">
        <f>IF(B1725=0,VLOOKUP(A1725,Feuil2!$A$2:$M$1241,11,FALSE)," ")</f>
        <v xml:space="preserve"> </v>
      </c>
      <c r="H1725" s="1" t="s">
        <v>16</v>
      </c>
      <c r="I1725" s="6" t="str">
        <f>IF(B1725=0,VLOOKUP(A1725,Feuil2!$A$2:$M$1241,7,FALSE)," ")</f>
        <v xml:space="preserve"> </v>
      </c>
      <c r="J1725" s="1" t="str">
        <f>IF(B1725=0,VLOOKUP(A1725,Feuil2!$A$2:$M$1241,9,FALSE)," ")</f>
        <v xml:space="preserve"> </v>
      </c>
      <c r="K1725" s="1" t="str">
        <f>IF(B1725=0,VLOOKUP(A1725,Feuil2!$A$2:$M$1241,10,FALSE)," ")</f>
        <v xml:space="preserve"> </v>
      </c>
      <c r="L1725" s="1"/>
      <c r="M1725" s="1"/>
      <c r="N1725" s="1"/>
      <c r="O1725" s="8" t="str">
        <f>IF(B1731=0,VLOOKUP(A1731,Feuil2!$A$2:$M$1241,13,FALSE)," ")</f>
        <v xml:space="preserve"> </v>
      </c>
    </row>
    <row r="1726" spans="1:18" x14ac:dyDescent="0.3">
      <c r="A1726" s="1">
        <v>2238</v>
      </c>
      <c r="B1726" s="1">
        <v>3</v>
      </c>
      <c r="C1726" s="1" t="s">
        <v>2767</v>
      </c>
      <c r="D1726" s="1" t="s">
        <v>2663</v>
      </c>
      <c r="E1726" s="5">
        <v>42574</v>
      </c>
      <c r="F1726" s="1" t="s">
        <v>17</v>
      </c>
      <c r="G1726" s="1" t="str">
        <f>IF(B1726=0,VLOOKUP(A1726,Feuil2!$A$2:$M$1241,11,FALSE)," ")</f>
        <v xml:space="preserve"> </v>
      </c>
      <c r="H1726" s="1" t="s">
        <v>16</v>
      </c>
      <c r="I1726" s="6" t="str">
        <f>IF(B1726=0,VLOOKUP(A1726,Feuil2!$A$2:$M$1241,7,FALSE)," ")</f>
        <v xml:space="preserve"> </v>
      </c>
      <c r="J1726" s="1" t="str">
        <f>IF(B1726=0,VLOOKUP(A1726,Feuil2!$A$2:$M$1241,9,FALSE)," ")</f>
        <v xml:space="preserve"> </v>
      </c>
      <c r="K1726" s="1" t="str">
        <f>IF(B1726=0,VLOOKUP(A1726,Feuil2!$A$2:$M$1241,10,FALSE)," ")</f>
        <v xml:space="preserve"> </v>
      </c>
      <c r="L1726" s="1"/>
      <c r="M1726" s="1"/>
      <c r="N1726" s="1"/>
      <c r="O1726" s="8" t="str">
        <f>IF(B1732=0,VLOOKUP(A1732,Feuil2!$A$2:$M$1241,13,FALSE)," ")</f>
        <v xml:space="preserve"> </v>
      </c>
    </row>
    <row r="1727" spans="1:18" x14ac:dyDescent="0.3">
      <c r="A1727" s="1">
        <v>2238</v>
      </c>
      <c r="B1727" s="1">
        <v>4</v>
      </c>
      <c r="C1727" s="1" t="s">
        <v>2767</v>
      </c>
      <c r="D1727" s="1" t="s">
        <v>2347</v>
      </c>
      <c r="E1727" s="5">
        <v>43319</v>
      </c>
      <c r="F1727" s="1" t="s">
        <v>506</v>
      </c>
      <c r="G1727" s="1" t="str">
        <f>IF(B1727=0,VLOOKUP(A1727,Feuil2!$A$2:$M$1241,11,FALSE)," ")</f>
        <v xml:space="preserve"> </v>
      </c>
      <c r="H1727" s="1" t="s">
        <v>16</v>
      </c>
      <c r="I1727" s="6" t="str">
        <f>IF(B1727=0,VLOOKUP(A1727,Feuil2!$A$2:$M$1241,7,FALSE)," ")</f>
        <v xml:space="preserve"> </v>
      </c>
      <c r="J1727" s="1" t="str">
        <f>IF(B1727=0,VLOOKUP(A1727,Feuil2!$A$2:$M$1241,9,FALSE)," ")</f>
        <v xml:space="preserve"> </v>
      </c>
      <c r="K1727" s="1" t="str">
        <f>IF(B1727=0,VLOOKUP(A1727,Feuil2!$A$2:$M$1241,10,FALSE)," ")</f>
        <v xml:space="preserve"> </v>
      </c>
      <c r="L1727" s="1"/>
      <c r="M1727" s="1"/>
      <c r="N1727" s="1"/>
      <c r="O1727" s="8" t="str">
        <f>IF(B1733=0,VLOOKUP(A1733,Feuil2!$A$2:$M$1241,13,FALSE)," ")</f>
        <v xml:space="preserve"> </v>
      </c>
    </row>
    <row r="1728" spans="1:18" x14ac:dyDescent="0.3">
      <c r="A1728" s="1">
        <v>2238</v>
      </c>
      <c r="B1728" s="1">
        <v>5</v>
      </c>
      <c r="C1728" s="1" t="s">
        <v>2767</v>
      </c>
      <c r="D1728" s="1" t="s">
        <v>2345</v>
      </c>
      <c r="E1728" s="5">
        <v>43855</v>
      </c>
      <c r="F1728" s="1" t="s">
        <v>17</v>
      </c>
      <c r="G1728" s="1" t="str">
        <f>IF(B1728=0,VLOOKUP(A1728,Feuil2!$A$2:$M$1241,11,FALSE)," ")</f>
        <v xml:space="preserve"> </v>
      </c>
      <c r="H1728" s="1" t="s">
        <v>16</v>
      </c>
      <c r="I1728" s="6" t="str">
        <f>IF(B1728=0,VLOOKUP(A1728,Feuil2!$A$2:$M$1241,7,FALSE)," ")</f>
        <v xml:space="preserve"> </v>
      </c>
      <c r="J1728" s="1" t="str">
        <f>IF(B1728=0,VLOOKUP(A1728,Feuil2!$A$2:$M$1241,9,FALSE)," ")</f>
        <v xml:space="preserve"> </v>
      </c>
      <c r="K1728" s="1" t="str">
        <f>IF(B1728=0,VLOOKUP(A1728,Feuil2!$A$2:$M$1241,10,FALSE)," ")</f>
        <v xml:space="preserve"> </v>
      </c>
      <c r="L1728" s="1"/>
      <c r="M1728" s="1"/>
      <c r="N1728" s="1"/>
      <c r="O1728" s="8" t="str">
        <f>IF(B1734=0,VLOOKUP(A1734,Feuil2!$A$2:$M$1241,13,FALSE)," ")</f>
        <v xml:space="preserve"> </v>
      </c>
    </row>
    <row r="1729" spans="1:16" x14ac:dyDescent="0.3">
      <c r="A1729" s="1">
        <v>1706</v>
      </c>
      <c r="B1729" s="1">
        <v>0</v>
      </c>
      <c r="C1729" s="1" t="str">
        <f>IF(B1729=0,VLOOKUP(A1729,Feuil2!$A$2:$M$1241,2,FALSE)," ")</f>
        <v>GRIRA LOKHDHIRI</v>
      </c>
      <c r="D1729" s="1" t="str">
        <f>IF(B1729=0,VLOOKUP(A1729,Feuil2!$A$2:$M$1241,3,FALSE)," ")</f>
        <v>FREDJ</v>
      </c>
      <c r="E1729" s="5">
        <f>IF(B1729=0,VLOOKUP(A1729,Feuil2!$A$2:$M$1241,6,FALSE)," ")</f>
        <v>26722</v>
      </c>
      <c r="F1729" s="1" t="str">
        <f>IF(B1729=0,VLOOKUP(A1729,Feuil2!$A$2:$M$1241,12,FALSE)," ")</f>
        <v>H</v>
      </c>
      <c r="G1729" s="1" t="str">
        <f>IF(B1729=0,VLOOKUP(A1729,Feuil2!$A$2:$M$1241,11,FALSE)," ")</f>
        <v>M</v>
      </c>
      <c r="H1729" s="1" t="s">
        <v>16</v>
      </c>
      <c r="I1729" s="6">
        <f>IF(B1729=0,VLOOKUP(A1729,Feuil2!$A$2:$M$1241,7,FALSE)," ")</f>
        <v>5536013</v>
      </c>
      <c r="J1729" s="1" t="str">
        <f>IF(B1729=0,VLOOKUP(A1729,Feuil2!$A$2:$M$1241,9,FALSE)," ")</f>
        <v>Route de Sfax</v>
      </c>
      <c r="K1729" s="1" t="str">
        <f>IF(B1729=0,VLOOKUP(A1729,Feuil2!$A$2:$M$1241,10,FALSE)," ")</f>
        <v>Msaken 4070</v>
      </c>
      <c r="L1729" s="1">
        <v>4070</v>
      </c>
      <c r="M1729" s="1">
        <v>96542181</v>
      </c>
      <c r="N1729" s="1"/>
      <c r="O1729" s="10" t="s">
        <v>2786</v>
      </c>
    </row>
    <row r="1730" spans="1:16" x14ac:dyDescent="0.3">
      <c r="A1730" s="1">
        <v>1706</v>
      </c>
      <c r="B1730" s="1">
        <v>1</v>
      </c>
      <c r="C1730" s="1" t="s">
        <v>354</v>
      </c>
      <c r="D1730" s="1" t="s">
        <v>402</v>
      </c>
      <c r="E1730" s="5">
        <v>31314</v>
      </c>
      <c r="F1730" s="1" t="s">
        <v>17</v>
      </c>
      <c r="G1730" s="1" t="s">
        <v>15</v>
      </c>
      <c r="H1730" s="1" t="s">
        <v>16</v>
      </c>
      <c r="I1730" s="6" t="str">
        <f>IF(B1730=0,VLOOKUP(A1730,Feuil2!$A$2:$M$1241,7,FALSE)," ")</f>
        <v xml:space="preserve"> </v>
      </c>
      <c r="J1730" s="1" t="str">
        <f>IF(B1730=0,VLOOKUP(A1730,Feuil2!$A$2:$M$1241,9,FALSE)," ")</f>
        <v xml:space="preserve"> </v>
      </c>
      <c r="K1730" s="1" t="str">
        <f>IF(B1730=0,VLOOKUP(A1730,Feuil2!$A$2:$M$1241,10,FALSE)," ")</f>
        <v xml:space="preserve"> </v>
      </c>
      <c r="L1730" s="1"/>
      <c r="M1730" s="1"/>
      <c r="N1730" s="1"/>
      <c r="O1730" s="8" t="str">
        <f>IF(B1736=0,VLOOKUP(A1736,Feuil2!$A$2:$M$1241,13,FALSE)," ")</f>
        <v xml:space="preserve"> </v>
      </c>
    </row>
    <row r="1731" spans="1:16" x14ac:dyDescent="0.3">
      <c r="A1731" s="1">
        <v>1706</v>
      </c>
      <c r="B1731" s="1">
        <v>2</v>
      </c>
      <c r="C1731" s="1" t="s">
        <v>1602</v>
      </c>
      <c r="D1731" s="1" t="s">
        <v>230</v>
      </c>
      <c r="E1731" s="5">
        <v>39720</v>
      </c>
      <c r="F1731" s="1" t="s">
        <v>506</v>
      </c>
      <c r="G1731" s="1" t="str">
        <f>IF(B1731=0,VLOOKUP(A1731,Feuil2!$A$2:$M$1241,11,FALSE)," ")</f>
        <v xml:space="preserve"> </v>
      </c>
      <c r="H1731" s="1" t="s">
        <v>16</v>
      </c>
      <c r="I1731" s="6" t="str">
        <f>IF(B1731=0,VLOOKUP(A1731,Feuil2!$A$2:$M$1241,7,FALSE)," ")</f>
        <v xml:space="preserve"> </v>
      </c>
      <c r="J1731" s="1" t="str">
        <f>IF(B1731=0,VLOOKUP(A1731,Feuil2!$A$2:$M$1241,9,FALSE)," ")</f>
        <v xml:space="preserve"> </v>
      </c>
      <c r="K1731" s="1" t="str">
        <f>IF(B1731=0,VLOOKUP(A1731,Feuil2!$A$2:$M$1241,10,FALSE)," ")</f>
        <v xml:space="preserve"> </v>
      </c>
      <c r="L1731" s="1"/>
      <c r="M1731" s="1"/>
      <c r="N1731" s="1"/>
      <c r="O1731" s="8" t="str">
        <f>IF(B1737=0,VLOOKUP(A1737,Feuil2!$A$2:$M$1241,13,FALSE)," ")</f>
        <v xml:space="preserve"> </v>
      </c>
    </row>
    <row r="1732" spans="1:16" x14ac:dyDescent="0.3">
      <c r="A1732" s="1">
        <v>1706</v>
      </c>
      <c r="B1732" s="1">
        <v>3</v>
      </c>
      <c r="C1732" s="1" t="s">
        <v>1602</v>
      </c>
      <c r="D1732" s="1" t="s">
        <v>2447</v>
      </c>
      <c r="E1732" s="5">
        <v>40593</v>
      </c>
      <c r="F1732" s="1" t="s">
        <v>17</v>
      </c>
      <c r="G1732" s="1" t="str">
        <f>IF(B1732=0,VLOOKUP(A1732,Feuil2!$A$2:$M$1241,11,FALSE)," ")</f>
        <v xml:space="preserve"> </v>
      </c>
      <c r="H1732" s="1" t="s">
        <v>16</v>
      </c>
      <c r="I1732" s="6" t="str">
        <f>IF(B1732=0,VLOOKUP(A1732,Feuil2!$A$2:$M$1241,7,FALSE)," ")</f>
        <v xml:space="preserve"> </v>
      </c>
      <c r="J1732" s="1" t="str">
        <f>IF(B1732=0,VLOOKUP(A1732,Feuil2!$A$2:$M$1241,9,FALSE)," ")</f>
        <v xml:space="preserve"> </v>
      </c>
      <c r="K1732" s="1" t="str">
        <f>IF(B1732=0,VLOOKUP(A1732,Feuil2!$A$2:$M$1241,10,FALSE)," ")</f>
        <v xml:space="preserve"> </v>
      </c>
      <c r="L1732" s="1"/>
      <c r="M1732" s="1"/>
      <c r="N1732" s="1"/>
      <c r="O1732" s="8" t="str">
        <f>IF(B1738=0,VLOOKUP(A1738,Feuil2!$A$2:$M$1241,13,FALSE)," ")</f>
        <v xml:space="preserve"> </v>
      </c>
    </row>
    <row r="1733" spans="1:16" x14ac:dyDescent="0.3">
      <c r="A1733" s="1">
        <v>1706</v>
      </c>
      <c r="B1733" s="1">
        <v>4</v>
      </c>
      <c r="C1733" s="1" t="s">
        <v>1602</v>
      </c>
      <c r="D1733" s="1" t="s">
        <v>89</v>
      </c>
      <c r="E1733" s="5">
        <v>41250</v>
      </c>
      <c r="F1733" s="1" t="s">
        <v>506</v>
      </c>
      <c r="G1733" s="1" t="str">
        <f>IF(B1733=0,VLOOKUP(A1733,Feuil2!$A$2:$M$1241,11,FALSE)," ")</f>
        <v xml:space="preserve"> </v>
      </c>
      <c r="H1733" s="1" t="s">
        <v>16</v>
      </c>
      <c r="I1733" s="6" t="str">
        <f>IF(B1733=0,VLOOKUP(A1733,Feuil2!$A$2:$M$1241,7,FALSE)," ")</f>
        <v xml:space="preserve"> </v>
      </c>
      <c r="J1733" s="1" t="str">
        <f>IF(B1733=0,VLOOKUP(A1733,Feuil2!$A$2:$M$1241,9,FALSE)," ")</f>
        <v xml:space="preserve"> </v>
      </c>
      <c r="K1733" s="1" t="str">
        <f>IF(B1733=0,VLOOKUP(A1733,Feuil2!$A$2:$M$1241,10,FALSE)," ")</f>
        <v xml:space="preserve"> </v>
      </c>
      <c r="L1733" s="1"/>
      <c r="M1733" s="1"/>
      <c r="N1733" s="1"/>
      <c r="O1733" s="8" t="str">
        <f>IF(B1739=0,VLOOKUP(A1739,Feuil2!$A$2:$M$1241,13,FALSE)," ")</f>
        <v xml:space="preserve"> </v>
      </c>
    </row>
    <row r="1734" spans="1:16" x14ac:dyDescent="0.3">
      <c r="A1734" s="1">
        <v>1706</v>
      </c>
      <c r="B1734" s="1">
        <v>5</v>
      </c>
      <c r="C1734" s="1" t="s">
        <v>1602</v>
      </c>
      <c r="D1734" s="1" t="s">
        <v>2613</v>
      </c>
      <c r="E1734" s="5">
        <v>43393</v>
      </c>
      <c r="F1734" s="1" t="s">
        <v>17</v>
      </c>
      <c r="G1734" s="1" t="str">
        <f>IF(B1734=0,VLOOKUP(A1734,Feuil2!$A$2:$M$1241,11,FALSE)," ")</f>
        <v xml:space="preserve"> </v>
      </c>
      <c r="H1734" s="1" t="s">
        <v>16</v>
      </c>
      <c r="I1734" s="6" t="str">
        <f>IF(B1734=0,VLOOKUP(A1734,Feuil2!$A$2:$M$1241,7,FALSE)," ")</f>
        <v xml:space="preserve"> </v>
      </c>
      <c r="J1734" s="1" t="str">
        <f>IF(B1734=0,VLOOKUP(A1734,Feuil2!$A$2:$M$1241,9,FALSE)," ")</f>
        <v xml:space="preserve"> </v>
      </c>
      <c r="K1734" s="1" t="str">
        <f>IF(B1734=0,VLOOKUP(A1734,Feuil2!$A$2:$M$1241,10,FALSE)," ")</f>
        <v xml:space="preserve"> </v>
      </c>
      <c r="L1734" s="1"/>
      <c r="M1734" s="1"/>
      <c r="N1734" s="1"/>
      <c r="O1734" s="8" t="str">
        <f>IF(B1740=0,VLOOKUP(A1740,Feuil2!$A$2:$M$1241,13,FALSE)," ")</f>
        <v>25066000000051739067</v>
      </c>
    </row>
    <row r="1735" spans="1:16" x14ac:dyDescent="0.3">
      <c r="A1735" s="1">
        <v>1590</v>
      </c>
      <c r="B1735" s="1">
        <v>0</v>
      </c>
      <c r="C1735" s="1" t="str">
        <f>IF(B1735=0,VLOOKUP(A1735,Feuil2!$A$2:$M$1241,2,FALSE)," ")</f>
        <v>ABDELLAH</v>
      </c>
      <c r="D1735" s="1" t="str">
        <f>IF(B1735=0,VLOOKUP(A1735,Feuil2!$A$2:$M$1241,3,FALSE)," ")</f>
        <v>HASSINE</v>
      </c>
      <c r="E1735" s="5">
        <f>IF(B1735=0,VLOOKUP(A1735,Feuil2!$A$2:$M$1241,6,FALSE)," ")</f>
        <v>28246</v>
      </c>
      <c r="F1735" s="1" t="str">
        <f>IF(B1735=0,VLOOKUP(A1735,Feuil2!$A$2:$M$1241,12,FALSE)," ")</f>
        <v>H</v>
      </c>
      <c r="G1735" s="1" t="str">
        <f>IF(B1735=0,VLOOKUP(A1735,Feuil2!$A$2:$M$1241,11,FALSE)," ")</f>
        <v>M</v>
      </c>
      <c r="H1735" s="1" t="s">
        <v>16</v>
      </c>
      <c r="I1735" s="6">
        <f>IF(B1735=0,VLOOKUP(A1735,Feuil2!$A$2:$M$1241,7,FALSE)," ")</f>
        <v>5569066</v>
      </c>
      <c r="J1735" s="1" t="str">
        <f>IF(B1735=0,VLOOKUP(A1735,Feuil2!$A$2:$M$1241,9,FALSE)," ")</f>
        <v>142 Rue Khaireddine Bacha</v>
      </c>
      <c r="K1735" s="1" t="str">
        <f>IF(B1735=0,VLOOKUP(A1735,Feuil2!$A$2:$M$1241,10,FALSE)," ")</f>
        <v>Msaken 4070</v>
      </c>
      <c r="L1735" s="1">
        <v>4070</v>
      </c>
      <c r="M1735" s="1">
        <v>26190271</v>
      </c>
      <c r="N1735" s="1"/>
      <c r="O1735" s="8" t="str">
        <f>IF(B1741=0,VLOOKUP(A1741,Feuil2!$A$2:$M$1241,13,FALSE)," ")</f>
        <v xml:space="preserve"> </v>
      </c>
    </row>
    <row r="1736" spans="1:16" x14ac:dyDescent="0.3">
      <c r="A1736" s="1">
        <v>1590</v>
      </c>
      <c r="B1736" s="1">
        <v>1</v>
      </c>
      <c r="C1736" s="1" t="s">
        <v>2784</v>
      </c>
      <c r="D1736" s="1" t="s">
        <v>2785</v>
      </c>
      <c r="E1736" s="5">
        <v>31897</v>
      </c>
      <c r="F1736" s="1" t="s">
        <v>17</v>
      </c>
      <c r="G1736" s="1" t="s">
        <v>15</v>
      </c>
      <c r="H1736" s="1" t="s">
        <v>16</v>
      </c>
      <c r="I1736" s="6" t="str">
        <f>IF(B1736=0,VLOOKUP(A1736,Feuil2!$A$2:$M$1241,7,FALSE)," ")</f>
        <v xml:space="preserve"> </v>
      </c>
      <c r="J1736" s="1" t="str">
        <f>IF(B1736=0,VLOOKUP(A1736,Feuil2!$A$2:$M$1241,9,FALSE)," ")</f>
        <v xml:space="preserve"> </v>
      </c>
      <c r="K1736" s="1" t="str">
        <f>IF(B1736=0,VLOOKUP(A1736,Feuil2!$A$2:$M$1241,10,FALSE)," ")</f>
        <v xml:space="preserve"> </v>
      </c>
      <c r="L1736" s="1"/>
      <c r="M1736" s="1"/>
      <c r="N1736" s="1"/>
      <c r="O1736" s="8" t="str">
        <f>IF(B1742=0,VLOOKUP(A1742,Feuil2!$A$2:$M$1241,13,FALSE)," ")</f>
        <v xml:space="preserve"> </v>
      </c>
    </row>
    <row r="1737" spans="1:16" x14ac:dyDescent="0.3">
      <c r="A1737" s="1">
        <v>1590</v>
      </c>
      <c r="B1737" s="1">
        <v>2</v>
      </c>
      <c r="C1737" s="1" t="s">
        <v>177</v>
      </c>
      <c r="D1737" s="1" t="s">
        <v>441</v>
      </c>
      <c r="E1737" s="5">
        <v>38815</v>
      </c>
      <c r="F1737" s="1" t="s">
        <v>506</v>
      </c>
      <c r="G1737" s="1" t="str">
        <f>IF(B1737=0,VLOOKUP(A1737,Feuil2!$A$2:$M$1241,11,FALSE)," ")</f>
        <v xml:space="preserve"> </v>
      </c>
      <c r="H1737" s="1" t="s">
        <v>16</v>
      </c>
      <c r="I1737" s="6" t="str">
        <f>IF(B1737=0,VLOOKUP(A1737,Feuil2!$A$2:$M$1241,7,FALSE)," ")</f>
        <v xml:space="preserve"> </v>
      </c>
      <c r="J1737" s="1" t="str">
        <f>IF(B1737=0,VLOOKUP(A1737,Feuil2!$A$2:$M$1241,9,FALSE)," ")</f>
        <v xml:space="preserve"> </v>
      </c>
      <c r="K1737" s="1" t="str">
        <f>IF(B1737=0,VLOOKUP(A1737,Feuil2!$A$2:$M$1241,10,FALSE)," ")</f>
        <v xml:space="preserve"> </v>
      </c>
      <c r="L1737" s="1"/>
      <c r="M1737" s="1"/>
      <c r="N1737" s="1"/>
      <c r="O1737" s="8" t="str">
        <f>IF(B1743=0,VLOOKUP(A1743,Feuil2!$A$2:$M$1241,13,FALSE)," ")</f>
        <v xml:space="preserve"> </v>
      </c>
    </row>
    <row r="1738" spans="1:16" x14ac:dyDescent="0.3">
      <c r="A1738" s="1">
        <v>1590</v>
      </c>
      <c r="B1738" s="1">
        <v>3</v>
      </c>
      <c r="C1738" s="1" t="s">
        <v>177</v>
      </c>
      <c r="D1738" s="1" t="s">
        <v>61</v>
      </c>
      <c r="E1738" s="5">
        <v>40216</v>
      </c>
      <c r="F1738" s="1" t="s">
        <v>506</v>
      </c>
      <c r="G1738" s="1" t="str">
        <f>IF(B1738=0,VLOOKUP(A1738,Feuil2!$A$2:$M$1241,11,FALSE)," ")</f>
        <v xml:space="preserve"> </v>
      </c>
      <c r="H1738" s="1" t="s">
        <v>16</v>
      </c>
      <c r="I1738" s="6" t="str">
        <f>IF(B1738=0,VLOOKUP(A1738,Feuil2!$A$2:$M$1241,7,FALSE)," ")</f>
        <v xml:space="preserve"> </v>
      </c>
      <c r="J1738" s="1" t="str">
        <f>IF(B1738=0,VLOOKUP(A1738,Feuil2!$A$2:$M$1241,9,FALSE)," ")</f>
        <v xml:space="preserve"> </v>
      </c>
      <c r="K1738" s="1" t="str">
        <f>IF(B1738=0,VLOOKUP(A1738,Feuil2!$A$2:$M$1241,10,FALSE)," ")</f>
        <v xml:space="preserve"> </v>
      </c>
      <c r="L1738" s="1"/>
      <c r="M1738" s="1"/>
      <c r="N1738" s="1"/>
      <c r="O1738" s="8" t="str">
        <f>IF(B1744=0,VLOOKUP(A1744,Feuil2!$A$2:$M$1241,13,FALSE)," ")</f>
        <v xml:space="preserve"> </v>
      </c>
    </row>
    <row r="1739" spans="1:16" x14ac:dyDescent="0.3">
      <c r="A1739" s="1">
        <v>1590</v>
      </c>
      <c r="B1739" s="1">
        <v>4</v>
      </c>
      <c r="C1739" s="1" t="s">
        <v>177</v>
      </c>
      <c r="D1739" s="1" t="s">
        <v>2552</v>
      </c>
      <c r="E1739" s="5">
        <v>41050</v>
      </c>
      <c r="F1739" s="1" t="s">
        <v>17</v>
      </c>
      <c r="G1739" s="1" t="str">
        <f>IF(B1739=0,VLOOKUP(A1739,Feuil2!$A$2:$M$1241,11,FALSE)," ")</f>
        <v xml:space="preserve"> </v>
      </c>
      <c r="H1739" s="1" t="s">
        <v>16</v>
      </c>
      <c r="I1739" s="6" t="str">
        <f>IF(B1739=0,VLOOKUP(A1739,Feuil2!$A$2:$M$1241,7,FALSE)," ")</f>
        <v xml:space="preserve"> </v>
      </c>
      <c r="J1739" s="1" t="str">
        <f>IF(B1739=0,VLOOKUP(A1739,Feuil2!$A$2:$M$1241,9,FALSE)," ")</f>
        <v xml:space="preserve"> </v>
      </c>
      <c r="K1739" s="1" t="str">
        <f>IF(B1739=0,VLOOKUP(A1739,Feuil2!$A$2:$M$1241,10,FALSE)," ")</f>
        <v xml:space="preserve"> </v>
      </c>
      <c r="L1739" s="1"/>
      <c r="M1739" s="1"/>
      <c r="N1739" s="1"/>
      <c r="O1739" s="20" t="str">
        <f>IF(B1745=0,VLOOKUP(A1745,Feuil2!$A$2:$M$1241,13,FALSE)," ")</f>
        <v>12505000580102270923</v>
      </c>
      <c r="P1739" s="22"/>
    </row>
    <row r="1740" spans="1:16" x14ac:dyDescent="0.3">
      <c r="A1740" s="1">
        <v>1510</v>
      </c>
      <c r="B1740" s="1">
        <v>0</v>
      </c>
      <c r="C1740" s="1" t="str">
        <f>IF(B1740=0,VLOOKUP(A1740,Feuil2!$A$2:$M$1241,2,FALSE)," ")</f>
        <v>GAALOUL</v>
      </c>
      <c r="D1740" s="1" t="str">
        <f>IF(B1740=0,VLOOKUP(A1740,Feuil2!$A$2:$M$1241,3,FALSE)," ")</f>
        <v>FETHI</v>
      </c>
      <c r="E1740" s="5">
        <f>IF(B1740=0,VLOOKUP(A1740,Feuil2!$A$2:$M$1241,6,FALSE)," ")</f>
        <v>25667</v>
      </c>
      <c r="F1740" s="1" t="str">
        <f>IF(B1740=0,VLOOKUP(A1740,Feuil2!$A$2:$M$1241,12,FALSE)," ")</f>
        <v>H</v>
      </c>
      <c r="G1740" s="1" t="str">
        <f>IF(B1740=0,VLOOKUP(A1740,Feuil2!$A$2:$M$1241,11,FALSE)," ")</f>
        <v>M</v>
      </c>
      <c r="H1740" s="1" t="s">
        <v>16</v>
      </c>
      <c r="I1740" s="6">
        <f>IF(B1740=0,VLOOKUP(A1740,Feuil2!$A$2:$M$1241,7,FALSE)," ")</f>
        <v>5528946</v>
      </c>
      <c r="J1740" s="1" t="str">
        <f>IF(B1740=0,VLOOKUP(A1740,Feuil2!$A$2:$M$1241,9,FALSE)," ")</f>
        <v>94 Rue Sidi Abar</v>
      </c>
      <c r="K1740" s="1" t="str">
        <f>IF(B1740=0,VLOOKUP(A1740,Feuil2!$A$2:$M$1241,10,FALSE)," ")</f>
        <v>Msaken 4070</v>
      </c>
      <c r="L1740" s="1">
        <v>4070</v>
      </c>
      <c r="M1740" s="1">
        <v>28344899</v>
      </c>
      <c r="N1740" s="1"/>
      <c r="O1740" s="8" t="str">
        <f>IF(B1746=0,VLOOKUP(A1746,Feuil2!$A$2:$M$1241,13,FALSE)," ")</f>
        <v>12064000000226234584</v>
      </c>
    </row>
    <row r="1741" spans="1:16" x14ac:dyDescent="0.3">
      <c r="A1741" s="1">
        <v>1510</v>
      </c>
      <c r="B1741" s="1">
        <v>1</v>
      </c>
      <c r="C1741" s="1" t="s">
        <v>2787</v>
      </c>
      <c r="D1741" s="1" t="s">
        <v>2541</v>
      </c>
      <c r="E1741" s="5">
        <v>27773</v>
      </c>
      <c r="F1741" s="1" t="s">
        <v>17</v>
      </c>
      <c r="G1741" s="1" t="s">
        <v>15</v>
      </c>
      <c r="H1741" s="1" t="s">
        <v>16</v>
      </c>
      <c r="I1741" s="6" t="str">
        <f>IF(B1741=0,VLOOKUP(A1741,Feuil2!$A$2:$M$1241,7,FALSE)," ")</f>
        <v xml:space="preserve"> </v>
      </c>
      <c r="J1741" s="1" t="str">
        <f>IF(B1741=0,VLOOKUP(A1741,Feuil2!$A$2:$M$1241,9,FALSE)," ")</f>
        <v xml:space="preserve"> </v>
      </c>
      <c r="K1741" s="1" t="str">
        <f>IF(B1741=0,VLOOKUP(A1741,Feuil2!$A$2:$M$1241,10,FALSE)," ")</f>
        <v xml:space="preserve"> </v>
      </c>
      <c r="L1741" s="1"/>
      <c r="M1741" s="1"/>
      <c r="N1741" s="1"/>
      <c r="O1741" s="8"/>
    </row>
    <row r="1742" spans="1:16" x14ac:dyDescent="0.3">
      <c r="A1742" s="1">
        <v>1510</v>
      </c>
      <c r="B1742" s="1">
        <v>2</v>
      </c>
      <c r="C1742" s="1" t="s">
        <v>41</v>
      </c>
      <c r="D1742" s="1" t="s">
        <v>89</v>
      </c>
      <c r="E1742" s="5">
        <v>36710</v>
      </c>
      <c r="F1742" s="1" t="s">
        <v>506</v>
      </c>
      <c r="G1742" s="1" t="str">
        <f>IF(B1742=0,VLOOKUP(A1742,Feuil2!$A$2:$M$1241,11,FALSE)," ")</f>
        <v xml:space="preserve"> </v>
      </c>
      <c r="H1742" s="1" t="s">
        <v>16</v>
      </c>
      <c r="I1742" s="6" t="str">
        <f>IF(B1742=0,VLOOKUP(A1742,Feuil2!$A$2:$M$1241,7,FALSE)," ")</f>
        <v xml:space="preserve"> </v>
      </c>
      <c r="J1742" s="1" t="str">
        <f>IF(B1742=0,VLOOKUP(A1742,Feuil2!$A$2:$M$1241,9,FALSE)," ")</f>
        <v xml:space="preserve"> </v>
      </c>
      <c r="K1742" s="1" t="str">
        <f>IF(B1742=0,VLOOKUP(A1742,Feuil2!$A$2:$M$1241,10,FALSE)," ")</f>
        <v xml:space="preserve"> </v>
      </c>
      <c r="L1742" s="1"/>
      <c r="M1742" s="1"/>
      <c r="N1742" s="1"/>
      <c r="O1742" s="8" t="str">
        <f>IF(B1749=0,VLOOKUP(A1749,Feuil2!$A$2:$M$1241,13,FALSE)," ")</f>
        <v>05048000116500183069</v>
      </c>
    </row>
    <row r="1743" spans="1:16" x14ac:dyDescent="0.3">
      <c r="A1743" s="1">
        <v>1510</v>
      </c>
      <c r="B1743" s="1">
        <v>3</v>
      </c>
      <c r="C1743" s="1" t="s">
        <v>41</v>
      </c>
      <c r="D1743" s="1" t="s">
        <v>287</v>
      </c>
      <c r="E1743" s="5">
        <v>37622</v>
      </c>
      <c r="F1743" s="1" t="s">
        <v>506</v>
      </c>
      <c r="G1743" s="1" t="str">
        <f>IF(B1743=0,VLOOKUP(A1743,Feuil2!$A$2:$M$1241,11,FALSE)," ")</f>
        <v xml:space="preserve"> </v>
      </c>
      <c r="H1743" s="1" t="s">
        <v>16</v>
      </c>
      <c r="I1743" s="6" t="str">
        <f>IF(B1743=0,VLOOKUP(A1743,Feuil2!$A$2:$M$1241,7,FALSE)," ")</f>
        <v xml:space="preserve"> </v>
      </c>
      <c r="J1743" s="1" t="str">
        <f>IF(B1743=0,VLOOKUP(A1743,Feuil2!$A$2:$M$1241,9,FALSE)," ")</f>
        <v xml:space="preserve"> </v>
      </c>
      <c r="K1743" s="1" t="str">
        <f>IF(B1743=0,VLOOKUP(A1743,Feuil2!$A$2:$M$1241,10,FALSE)," ")</f>
        <v xml:space="preserve"> </v>
      </c>
      <c r="L1743" s="1"/>
      <c r="M1743" s="1"/>
      <c r="N1743" s="1"/>
      <c r="O1743" s="8" t="str">
        <f>IF(B1750=0,VLOOKUP(A1750,Feuil2!$A$2:$M$1241,13,FALSE)," ")</f>
        <v xml:space="preserve"> </v>
      </c>
    </row>
    <row r="1744" spans="1:16" x14ac:dyDescent="0.3">
      <c r="A1744" s="1">
        <v>1510</v>
      </c>
      <c r="B1744" s="1">
        <v>4</v>
      </c>
      <c r="C1744" s="1" t="s">
        <v>41</v>
      </c>
      <c r="D1744" s="1" t="s">
        <v>2357</v>
      </c>
      <c r="E1744" s="5">
        <v>38052</v>
      </c>
      <c r="F1744" s="1" t="s">
        <v>17</v>
      </c>
      <c r="G1744" s="1" t="str">
        <f>IF(B1744=0,VLOOKUP(A1744,Feuil2!$A$2:$M$1241,11,FALSE)," ")</f>
        <v xml:space="preserve"> </v>
      </c>
      <c r="H1744" s="1" t="s">
        <v>16</v>
      </c>
      <c r="I1744" s="6" t="str">
        <f>IF(B1744=0,VLOOKUP(A1744,Feuil2!$A$2:$M$1241,7,FALSE)," ")</f>
        <v xml:space="preserve"> </v>
      </c>
      <c r="J1744" s="1" t="str">
        <f>IF(B1744=0,VLOOKUP(A1744,Feuil2!$A$2:$M$1241,9,FALSE)," ")</f>
        <v xml:space="preserve"> </v>
      </c>
      <c r="K1744" s="1" t="str">
        <f>IF(B1744=0,VLOOKUP(A1744,Feuil2!$A$2:$M$1241,10,FALSE)," ")</f>
        <v xml:space="preserve"> </v>
      </c>
      <c r="L1744" s="1"/>
      <c r="M1744" s="1"/>
      <c r="N1744" s="1"/>
      <c r="O1744" s="8" t="str">
        <f>IF(B1751=0,VLOOKUP(A1751,Feuil2!$A$2:$M$1241,13,FALSE)," ")</f>
        <v xml:space="preserve"> </v>
      </c>
    </row>
    <row r="1745" spans="1:16" x14ac:dyDescent="0.3">
      <c r="A1745" s="1">
        <v>1589</v>
      </c>
      <c r="B1745" s="17">
        <v>0</v>
      </c>
      <c r="C1745" s="17" t="str">
        <f>IF(B1745=0,VLOOKUP(A1745,Feuil2!$A$2:$M$1241,2,FALSE)," ")</f>
        <v>BAYA</v>
      </c>
      <c r="D1745" s="17" t="str">
        <f>IF(B1745=0,VLOOKUP(A1745,Feuil2!$A$2:$M$1241,3,FALSE)," ")</f>
        <v>ADEL</v>
      </c>
      <c r="E1745" s="18">
        <f>IF(B1745=0,VLOOKUP(A1745,Feuil2!$A$2:$M$1241,6,FALSE)," ")</f>
        <v>22669</v>
      </c>
      <c r="F1745" s="17" t="str">
        <f>IF(B1745=0,VLOOKUP(A1745,Feuil2!$A$2:$M$1241,12,FALSE)," ")</f>
        <v>H</v>
      </c>
      <c r="G1745" s="17" t="str">
        <f>IF(B1745=0,VLOOKUP(A1745,Feuil2!$A$2:$M$1241,11,FALSE)," ")</f>
        <v>C</v>
      </c>
      <c r="H1745" s="17" t="s">
        <v>16</v>
      </c>
      <c r="I1745" s="19">
        <f>IF(B1745=0,VLOOKUP(A1745,Feuil2!$A$2:$M$1241,7,FALSE)," ")</f>
        <v>2951442</v>
      </c>
      <c r="J1745" s="17" t="str">
        <f>IF(B1745=0,VLOOKUP(A1745,Feuil2!$A$2:$M$1241,9,FALSE)," ")</f>
        <v>15 Rue Habib Thameur</v>
      </c>
      <c r="K1745" s="17" t="str">
        <f>IF(B1745=0,VLOOKUP(A1745,Feuil2!$A$2:$M$1241,10,FALSE)," ")</f>
        <v>Msaken 4070</v>
      </c>
      <c r="L1745" s="17">
        <v>4070</v>
      </c>
      <c r="M1745" s="17">
        <v>99631285</v>
      </c>
      <c r="N1745" s="17"/>
      <c r="O1745" s="8" t="str">
        <f>IF(B1752=0,VLOOKUP(A1752,Feuil2!$A$2:$M$1241,13,FALSE)," ")</f>
        <v xml:space="preserve"> </v>
      </c>
    </row>
    <row r="1746" spans="1:16" x14ac:dyDescent="0.3">
      <c r="A1746" s="1">
        <v>1954</v>
      </c>
      <c r="B1746" s="1">
        <v>0</v>
      </c>
      <c r="C1746" s="1" t="str">
        <f>IF(B1746=0,VLOOKUP(A1746,Feuil2!$A$2:$M$1241,2,FALSE)," ")</f>
        <v>REGAIEG</v>
      </c>
      <c r="D1746" s="1" t="str">
        <f>IF(B1746=0,VLOOKUP(A1746,Feuil2!$A$2:$M$1241,3,FALSE)," ")</f>
        <v>NADER</v>
      </c>
      <c r="E1746" s="5">
        <f>IF(B1746=0,VLOOKUP(A1746,Feuil2!$A$2:$M$1241,6,FALSE)," ")</f>
        <v>31591</v>
      </c>
      <c r="F1746" s="1" t="str">
        <f>IF(B1746=0,VLOOKUP(A1746,Feuil2!$A$2:$M$1241,12,FALSE)," ")</f>
        <v>H</v>
      </c>
      <c r="G1746" s="1" t="str">
        <f>IF(B1746=0,VLOOKUP(A1746,Feuil2!$A$2:$M$1241,11,FALSE)," ")</f>
        <v>C</v>
      </c>
      <c r="H1746" s="1" t="s">
        <v>16</v>
      </c>
      <c r="I1746" s="6">
        <f>IF(B1746=0,VLOOKUP(A1746,Feuil2!$A$2:$M$1241,7,FALSE)," ")</f>
        <v>8486819</v>
      </c>
      <c r="J1746" s="1" t="str">
        <f>IF(B1746=0,VLOOKUP(A1746,Feuil2!$A$2:$M$1241,9,FALSE)," ")</f>
        <v>35, Rue Ahmed Regaieg</v>
      </c>
      <c r="K1746" s="1" t="str">
        <f>IF(B1746=0,VLOOKUP(A1746,Feuil2!$A$2:$M$1241,10,FALSE)," ")</f>
        <v>Msaken 4070</v>
      </c>
      <c r="L1746" s="1">
        <v>4070</v>
      </c>
      <c r="M1746" s="1">
        <v>22598810</v>
      </c>
      <c r="N1746" s="1"/>
      <c r="O1746" s="8" t="str">
        <f>IF(B1753=0,VLOOKUP(A1753,Feuil2!$A$2:$M$1241,13,FALSE)," ")</f>
        <v xml:space="preserve"> </v>
      </c>
    </row>
    <row r="1747" spans="1:16" x14ac:dyDescent="0.3">
      <c r="A1747" s="1">
        <v>1954</v>
      </c>
      <c r="B1747" s="1">
        <v>1</v>
      </c>
      <c r="C1747" s="1" t="s">
        <v>644</v>
      </c>
      <c r="D1747" s="1" t="s">
        <v>2852</v>
      </c>
      <c r="E1747" s="5">
        <v>35588</v>
      </c>
      <c r="F1747" s="1" t="s">
        <v>17</v>
      </c>
      <c r="G1747" s="1"/>
      <c r="H1747" s="1"/>
      <c r="I1747" s="6"/>
      <c r="J1747" s="1"/>
      <c r="K1747" s="1"/>
      <c r="L1747" s="1"/>
      <c r="M1747" s="1"/>
      <c r="N1747" s="1"/>
      <c r="O1747" s="8"/>
    </row>
    <row r="1748" spans="1:16" x14ac:dyDescent="0.3">
      <c r="A1748" s="1">
        <v>1954</v>
      </c>
      <c r="B1748" s="1">
        <v>2</v>
      </c>
      <c r="C1748" s="1" t="s">
        <v>316</v>
      </c>
      <c r="D1748" s="1" t="s">
        <v>2406</v>
      </c>
      <c r="E1748" s="5">
        <v>44760</v>
      </c>
      <c r="F1748" s="1" t="s">
        <v>17</v>
      </c>
      <c r="G1748" s="1"/>
      <c r="H1748" s="1"/>
      <c r="I1748" s="6"/>
      <c r="J1748" s="1"/>
      <c r="K1748" s="1"/>
      <c r="L1748" s="1"/>
      <c r="M1748" s="1"/>
      <c r="N1748" s="1"/>
      <c r="O1748" s="8" t="str">
        <f>IF(B1754=0,VLOOKUP(A1754,Feuil2!$A$2:$M$1241,13,FALSE)," ")</f>
        <v>10506040202842478820</v>
      </c>
    </row>
    <row r="1749" spans="1:16" x14ac:dyDescent="0.3">
      <c r="A1749" s="1">
        <v>931</v>
      </c>
      <c r="B1749" s="17">
        <v>0</v>
      </c>
      <c r="C1749" s="17" t="str">
        <f>IF(B1749=0,VLOOKUP(A1749,Feuil2!$A$2:$M$1241,2,FALSE)," ")</f>
        <v>KRIFA</v>
      </c>
      <c r="D1749" s="17" t="str">
        <f>IF(B1749=0,VLOOKUP(A1749,Feuil2!$A$2:$M$1241,3,FALSE)," ")</f>
        <v>MOHAMED</v>
      </c>
      <c r="E1749" s="18">
        <f>IF(B1749=0,VLOOKUP(A1749,Feuil2!$A$2:$M$1241,6,FALSE)," ")</f>
        <v>25043</v>
      </c>
      <c r="F1749" s="17" t="str">
        <f>IF(B1749=0,VLOOKUP(A1749,Feuil2!$A$2:$M$1241,12,FALSE)," ")</f>
        <v>H</v>
      </c>
      <c r="G1749" s="17" t="str">
        <f>IF(B1749=0,VLOOKUP(A1749,Feuil2!$A$2:$M$1241,11,FALSE)," ")</f>
        <v>M</v>
      </c>
      <c r="H1749" s="17" t="s">
        <v>16</v>
      </c>
      <c r="I1749" s="19">
        <f>IF(B1749=0,VLOOKUP(A1749,Feuil2!$A$2:$M$1241,7,FALSE)," ")</f>
        <v>2993656</v>
      </c>
      <c r="J1749" s="17" t="str">
        <f>IF(B1749=0,VLOOKUP(A1749,Feuil2!$A$2:$M$1241,9,FALSE)," ")</f>
        <v>42 Rue limam Ben Arfa</v>
      </c>
      <c r="K1749" s="17" t="str">
        <f>IF(B1749=0,VLOOKUP(A1749,Feuil2!$A$2:$M$1241,10,FALSE)," ")</f>
        <v>Msaken 4070</v>
      </c>
      <c r="L1749" s="17">
        <v>4070</v>
      </c>
      <c r="M1749" s="17">
        <v>92921000</v>
      </c>
      <c r="N1749" s="17"/>
      <c r="O1749" s="20" t="str">
        <f>IF(B1755=0,VLOOKUP(A1755,Feuil2!$A$2:$M$1241,13,FALSE)," ")</f>
        <v xml:space="preserve"> </v>
      </c>
    </row>
    <row r="1750" spans="1:16" x14ac:dyDescent="0.3">
      <c r="A1750" s="1">
        <v>931</v>
      </c>
      <c r="B1750" s="1">
        <v>1</v>
      </c>
      <c r="C1750" s="1" t="s">
        <v>62</v>
      </c>
      <c r="D1750" s="1" t="s">
        <v>2788</v>
      </c>
      <c r="E1750" s="5">
        <v>27722</v>
      </c>
      <c r="F1750" s="1" t="s">
        <v>17</v>
      </c>
      <c r="G1750" s="1" t="s">
        <v>15</v>
      </c>
      <c r="H1750" s="1" t="s">
        <v>16</v>
      </c>
      <c r="I1750" s="6" t="str">
        <f>IF(B1750=0,VLOOKUP(A1750,Feuil2!$A$2:$M$1241,7,FALSE)," ")</f>
        <v xml:space="preserve"> </v>
      </c>
      <c r="J1750" s="1" t="str">
        <f>IF(B1750=0,VLOOKUP(A1750,Feuil2!$A$2:$M$1241,9,FALSE)," ")</f>
        <v xml:space="preserve"> </v>
      </c>
      <c r="K1750" s="1" t="str">
        <f>IF(B1750=0,VLOOKUP(A1750,Feuil2!$A$2:$M$1241,10,FALSE)," ")</f>
        <v xml:space="preserve"> </v>
      </c>
      <c r="L1750" s="1"/>
      <c r="M1750" s="1"/>
      <c r="N1750" s="1"/>
      <c r="O1750" s="8" t="str">
        <f>IF(B1756=0,VLOOKUP(A1756,Feuil2!$A$2:$M$1241,13,FALSE)," ")</f>
        <v xml:space="preserve"> </v>
      </c>
    </row>
    <row r="1751" spans="1:16" x14ac:dyDescent="0.3">
      <c r="A1751" s="1">
        <v>931</v>
      </c>
      <c r="B1751" s="1">
        <v>2</v>
      </c>
      <c r="C1751" s="1" t="s">
        <v>227</v>
      </c>
      <c r="D1751" s="1" t="s">
        <v>2482</v>
      </c>
      <c r="E1751" s="5">
        <v>35942</v>
      </c>
      <c r="F1751" s="1" t="s">
        <v>17</v>
      </c>
      <c r="G1751" s="1" t="str">
        <f>IF(B1751=0,VLOOKUP(A1751,Feuil2!$A$2:$M$1241,11,FALSE)," ")</f>
        <v xml:space="preserve"> </v>
      </c>
      <c r="H1751" s="1" t="s">
        <v>16</v>
      </c>
      <c r="I1751" s="6" t="str">
        <f>IF(B1751=0,VLOOKUP(A1751,Feuil2!$A$2:$M$1241,7,FALSE)," ")</f>
        <v xml:space="preserve"> </v>
      </c>
      <c r="J1751" s="1" t="str">
        <f>IF(B1751=0,VLOOKUP(A1751,Feuil2!$A$2:$M$1241,9,FALSE)," ")</f>
        <v xml:space="preserve"> </v>
      </c>
      <c r="K1751" s="1" t="str">
        <f>IF(B1751=0,VLOOKUP(A1751,Feuil2!$A$2:$M$1241,10,FALSE)," ")</f>
        <v xml:space="preserve"> </v>
      </c>
      <c r="L1751" s="1"/>
      <c r="M1751" s="1"/>
      <c r="N1751" s="1"/>
      <c r="O1751" s="8" t="str">
        <f>IF(B1757=0,VLOOKUP(A1757,Feuil2!$A$2:$M$1241,13,FALSE)," ")</f>
        <v xml:space="preserve"> </v>
      </c>
    </row>
    <row r="1752" spans="1:16" x14ac:dyDescent="0.3">
      <c r="A1752" s="1">
        <v>931</v>
      </c>
      <c r="B1752" s="1">
        <v>3</v>
      </c>
      <c r="C1752" s="1" t="s">
        <v>227</v>
      </c>
      <c r="D1752" s="1" t="s">
        <v>2357</v>
      </c>
      <c r="E1752" s="5">
        <v>36401</v>
      </c>
      <c r="F1752" s="1" t="s">
        <v>17</v>
      </c>
      <c r="G1752" s="1" t="str">
        <f>IF(B1752=0,VLOOKUP(A1752,Feuil2!$A$2:$M$1241,11,FALSE)," ")</f>
        <v xml:space="preserve"> </v>
      </c>
      <c r="H1752" s="1" t="s">
        <v>16</v>
      </c>
      <c r="I1752" s="6" t="str">
        <f>IF(B1752=0,VLOOKUP(A1752,Feuil2!$A$2:$M$1241,7,FALSE)," ")</f>
        <v xml:space="preserve"> </v>
      </c>
      <c r="J1752" s="1" t="str">
        <f>IF(B1752=0,VLOOKUP(A1752,Feuil2!$A$2:$M$1241,9,FALSE)," ")</f>
        <v xml:space="preserve"> </v>
      </c>
      <c r="K1752" s="1" t="str">
        <f>IF(B1752=0,VLOOKUP(A1752,Feuil2!$A$2:$M$1241,10,FALSE)," ")</f>
        <v xml:space="preserve"> </v>
      </c>
      <c r="L1752" s="1"/>
      <c r="M1752" s="1"/>
      <c r="N1752" s="1"/>
      <c r="O1752" s="8" t="str">
        <f>IF(B1758=0,VLOOKUP(A1758,Feuil2!$A$2:$M$1241,13,FALSE)," ")</f>
        <v xml:space="preserve"> </v>
      </c>
      <c r="P1752" s="24" t="s">
        <v>2810</v>
      </c>
    </row>
    <row r="1753" spans="1:16" x14ac:dyDescent="0.3">
      <c r="A1753" s="1">
        <v>931</v>
      </c>
      <c r="B1753" s="1">
        <v>4</v>
      </c>
      <c r="C1753" s="1" t="s">
        <v>227</v>
      </c>
      <c r="D1753" s="1" t="s">
        <v>2789</v>
      </c>
      <c r="E1753" s="5">
        <v>38730</v>
      </c>
      <c r="F1753" s="1" t="s">
        <v>506</v>
      </c>
      <c r="G1753" s="1" t="str">
        <f>IF(B1753=0,VLOOKUP(A1753,Feuil2!$A$2:$M$1241,11,FALSE)," ")</f>
        <v xml:space="preserve"> </v>
      </c>
      <c r="H1753" s="1" t="s">
        <v>16</v>
      </c>
      <c r="I1753" s="6" t="str">
        <f>IF(B1753=0,VLOOKUP(A1753,Feuil2!$A$2:$M$1241,7,FALSE)," ")</f>
        <v xml:space="preserve"> </v>
      </c>
      <c r="J1753" s="1" t="str">
        <f>IF(B1753=0,VLOOKUP(A1753,Feuil2!$A$2:$M$1241,9,FALSE)," ")</f>
        <v xml:space="preserve"> </v>
      </c>
      <c r="K1753" s="1" t="str">
        <f>IF(B1753=0,VLOOKUP(A1753,Feuil2!$A$2:$M$1241,10,FALSE)," ")</f>
        <v xml:space="preserve"> </v>
      </c>
      <c r="L1753" s="1"/>
      <c r="M1753" s="1"/>
      <c r="N1753" s="1"/>
      <c r="O1753" s="8" t="str">
        <f>IF(B1759=0,VLOOKUP(A1759,Feuil2!$A$2:$M$1241,13,FALSE)," ")</f>
        <v>10506040202801378853</v>
      </c>
    </row>
    <row r="1754" spans="1:16" x14ac:dyDescent="0.3">
      <c r="A1754" s="1">
        <v>166</v>
      </c>
      <c r="B1754" s="17">
        <v>0</v>
      </c>
      <c r="C1754" s="17" t="str">
        <f>IF(B1754=0,VLOOKUP(A1754,Feuil2!$A$2:$M$1241,2,FALSE)," ")</f>
        <v>GRASSA</v>
      </c>
      <c r="D1754" s="17" t="str">
        <f>IF(B1754=0,VLOOKUP(A1754,Feuil2!$A$2:$M$1241,3,FALSE)," ")</f>
        <v>ABDELHAMID</v>
      </c>
      <c r="E1754" s="18">
        <f>IF(B1754=0,VLOOKUP(A1754,Feuil2!$A$2:$M$1241,6,FALSE)," ")</f>
        <v>23076</v>
      </c>
      <c r="F1754" s="17" t="str">
        <f>IF(B1754=0,VLOOKUP(A1754,Feuil2!$A$2:$M$1241,12,FALSE)," ")</f>
        <v>H</v>
      </c>
      <c r="G1754" s="17" t="str">
        <f>IF(B1754=0,VLOOKUP(A1754,Feuil2!$A$2:$M$1241,11,FALSE)," ")</f>
        <v>M</v>
      </c>
      <c r="H1754" s="17" t="s">
        <v>16</v>
      </c>
      <c r="I1754" s="19">
        <f>IF(B1754=0,VLOOKUP(A1754,Feuil2!$A$2:$M$1241,7,FALSE)," ")</f>
        <v>2949536</v>
      </c>
      <c r="J1754" s="17" t="str">
        <f>IF(B1754=0,VLOOKUP(A1754,Feuil2!$A$2:$M$1241,9,FALSE)," ")</f>
        <v>67 Rue Tazerka</v>
      </c>
      <c r="K1754" s="17" t="str">
        <f>IF(B1754=0,VLOOKUP(A1754,Feuil2!$A$2:$M$1241,10,FALSE)," ")</f>
        <v>Msaken 4070</v>
      </c>
      <c r="L1754" s="17">
        <v>4070</v>
      </c>
      <c r="M1754" s="17">
        <v>98793617</v>
      </c>
      <c r="N1754" s="17"/>
      <c r="O1754" s="8" t="str">
        <f>IF(B1760=0,VLOOKUP(A1760,Feuil2!$A$2:$M$1241,13,FALSE)," ")</f>
        <v xml:space="preserve"> </v>
      </c>
    </row>
    <row r="1755" spans="1:16" x14ac:dyDescent="0.3">
      <c r="A1755" s="1">
        <v>166</v>
      </c>
      <c r="B1755" s="1">
        <v>1</v>
      </c>
      <c r="C1755" s="1" t="s">
        <v>1602</v>
      </c>
      <c r="D1755" s="1" t="s">
        <v>1094</v>
      </c>
      <c r="E1755" s="5">
        <v>25687</v>
      </c>
      <c r="F1755" s="1" t="s">
        <v>17</v>
      </c>
      <c r="G1755" s="1" t="s">
        <v>15</v>
      </c>
      <c r="H1755" s="1" t="s">
        <v>16</v>
      </c>
      <c r="I1755" s="6" t="str">
        <f>IF(B1755=0,VLOOKUP(A1755,Feuil2!$A$2:$M$1241,7,FALSE)," ")</f>
        <v xml:space="preserve"> </v>
      </c>
      <c r="J1755" s="1" t="str">
        <f>IF(B1755=0,VLOOKUP(A1755,Feuil2!$A$2:$M$1241,9,FALSE)," ")</f>
        <v xml:space="preserve"> </v>
      </c>
      <c r="K1755" s="1" t="str">
        <f>IF(B1755=0,VLOOKUP(A1755,Feuil2!$A$2:$M$1241,10,FALSE)," ")</f>
        <v xml:space="preserve"> </v>
      </c>
      <c r="L1755" s="1"/>
      <c r="M1755" s="1"/>
      <c r="N1755" s="1"/>
      <c r="O1755" s="8" t="str">
        <f>IF(B1761=0,VLOOKUP(A1761,Feuil2!$A$2:$M$1241,13,FALSE)," ")</f>
        <v xml:space="preserve"> </v>
      </c>
    </row>
    <row r="1756" spans="1:16" x14ac:dyDescent="0.3">
      <c r="A1756" s="1">
        <v>166</v>
      </c>
      <c r="B1756" s="1">
        <v>2</v>
      </c>
      <c r="C1756" s="1" t="s">
        <v>386</v>
      </c>
      <c r="D1756" s="1" t="s">
        <v>2581</v>
      </c>
      <c r="E1756" s="5">
        <v>34785</v>
      </c>
      <c r="F1756" s="1" t="s">
        <v>17</v>
      </c>
      <c r="G1756" s="1" t="str">
        <f>IF(B1756=0,VLOOKUP(A1756,Feuil2!$A$2:$M$1241,11,FALSE)," ")</f>
        <v xml:space="preserve"> </v>
      </c>
      <c r="H1756" s="1" t="s">
        <v>16</v>
      </c>
      <c r="I1756" s="6" t="str">
        <f>IF(B1756=0,VLOOKUP(A1756,Feuil2!$A$2:$M$1241,7,FALSE)," ")</f>
        <v xml:space="preserve"> </v>
      </c>
      <c r="J1756" s="1" t="str">
        <f>IF(B1756=0,VLOOKUP(A1756,Feuil2!$A$2:$M$1241,9,FALSE)," ")</f>
        <v xml:space="preserve"> </v>
      </c>
      <c r="K1756" s="1" t="str">
        <f>IF(B1756=0,VLOOKUP(A1756,Feuil2!$A$2:$M$1241,10,FALSE)," ")</f>
        <v xml:space="preserve"> </v>
      </c>
      <c r="L1756" s="1"/>
      <c r="M1756" s="1"/>
      <c r="N1756" s="1"/>
      <c r="O1756" s="8" t="str">
        <f>IF(B1762=0,VLOOKUP(A1762,Feuil2!$A$2:$M$1241,13,FALSE)," ")</f>
        <v xml:space="preserve"> </v>
      </c>
    </row>
    <row r="1757" spans="1:16" x14ac:dyDescent="0.3">
      <c r="A1757" s="1">
        <v>166</v>
      </c>
      <c r="B1757" s="1">
        <v>3</v>
      </c>
      <c r="C1757" s="1" t="s">
        <v>386</v>
      </c>
      <c r="D1757" s="1" t="s">
        <v>2790</v>
      </c>
      <c r="E1757" s="5">
        <v>36555</v>
      </c>
      <c r="F1757" s="1" t="s">
        <v>17</v>
      </c>
      <c r="G1757" s="1" t="str">
        <f>IF(B1757=0,VLOOKUP(A1757,Feuil2!$A$2:$M$1241,11,FALSE)," ")</f>
        <v xml:space="preserve"> </v>
      </c>
      <c r="H1757" s="1" t="s">
        <v>16</v>
      </c>
      <c r="I1757" s="6" t="str">
        <f>IF(B1757=0,VLOOKUP(A1757,Feuil2!$A$2:$M$1241,7,FALSE)," ")</f>
        <v xml:space="preserve"> </v>
      </c>
      <c r="J1757" s="1" t="str">
        <f>IF(B1757=0,VLOOKUP(A1757,Feuil2!$A$2:$M$1241,9,FALSE)," ")</f>
        <v xml:space="preserve"> </v>
      </c>
      <c r="K1757" s="1" t="str">
        <f>IF(B1757=0,VLOOKUP(A1757,Feuil2!$A$2:$M$1241,10,FALSE)," ")</f>
        <v xml:space="preserve"> </v>
      </c>
      <c r="L1757" s="1"/>
      <c r="M1757" s="1"/>
      <c r="N1757" s="1"/>
      <c r="O1757" s="8" t="str">
        <f>IF(B1763=0,VLOOKUP(A1763,Feuil2!$A$2:$M$1241,13,FALSE)," ")</f>
        <v>03220130010100199416</v>
      </c>
    </row>
    <row r="1758" spans="1:16" x14ac:dyDescent="0.3">
      <c r="A1758" s="1">
        <v>166</v>
      </c>
      <c r="B1758" s="1">
        <v>4</v>
      </c>
      <c r="C1758" s="1" t="s">
        <v>386</v>
      </c>
      <c r="D1758" s="1" t="s">
        <v>2667</v>
      </c>
      <c r="E1758" s="5">
        <v>38617</v>
      </c>
      <c r="F1758" s="1" t="s">
        <v>17</v>
      </c>
      <c r="G1758" s="1" t="str">
        <f>IF(B1758=0,VLOOKUP(A1758,Feuil2!$A$2:$M$1241,11,FALSE)," ")</f>
        <v xml:space="preserve"> </v>
      </c>
      <c r="H1758" s="1" t="s">
        <v>16</v>
      </c>
      <c r="I1758" s="6" t="str">
        <f>IF(B1758=0,VLOOKUP(A1758,Feuil2!$A$2:$M$1241,7,FALSE)," ")</f>
        <v xml:space="preserve"> </v>
      </c>
      <c r="J1758" s="1" t="str">
        <f>IF(B1758=0,VLOOKUP(A1758,Feuil2!$A$2:$M$1241,9,FALSE)," ")</f>
        <v xml:space="preserve"> </v>
      </c>
      <c r="K1758" s="1" t="str">
        <f>IF(B1758=0,VLOOKUP(A1758,Feuil2!$A$2:$M$1241,10,FALSE)," ")</f>
        <v xml:space="preserve"> </v>
      </c>
      <c r="L1758" s="1"/>
      <c r="M1758" s="1"/>
      <c r="N1758" s="1"/>
      <c r="O1758" s="8" t="str">
        <f>IF(B1764=0,VLOOKUP(A1764,Feuil2!$A$2:$M$1241,13,FALSE)," ")</f>
        <v xml:space="preserve"> </v>
      </c>
    </row>
    <row r="1759" spans="1:16" x14ac:dyDescent="0.3">
      <c r="A1759" s="1">
        <v>145</v>
      </c>
      <c r="B1759" s="17">
        <v>0</v>
      </c>
      <c r="C1759" s="17" t="str">
        <f>IF(B1759=0,VLOOKUP(A1759,Feuil2!$A$2:$M$1241,2,FALSE)," ")</f>
        <v>GAZZAH</v>
      </c>
      <c r="D1759" s="17" t="str">
        <f>IF(B1759=0,VLOOKUP(A1759,Feuil2!$A$2:$M$1241,3,FALSE)," ")</f>
        <v>MAHMOUD</v>
      </c>
      <c r="E1759" s="18">
        <f>IF(B1759=0,VLOOKUP(A1759,Feuil2!$A$2:$M$1241,6,FALSE)," ")</f>
        <v>23476</v>
      </c>
      <c r="F1759" s="17" t="str">
        <f>IF(B1759=0,VLOOKUP(A1759,Feuil2!$A$2:$M$1241,12,FALSE)," ")</f>
        <v>H</v>
      </c>
      <c r="G1759" s="17" t="str">
        <f>IF(B1759=0,VLOOKUP(A1759,Feuil2!$A$2:$M$1241,11,FALSE)," ")</f>
        <v>M</v>
      </c>
      <c r="H1759" s="17" t="s">
        <v>16</v>
      </c>
      <c r="I1759" s="19">
        <f>IF(B1759=0,VLOOKUP(A1759,Feuil2!$A$2:$M$1241,7,FALSE)," ")</f>
        <v>2951833</v>
      </c>
      <c r="J1759" s="17" t="str">
        <f>IF(B1759=0,VLOOKUP(A1759,Feuil2!$A$2:$M$1241,9,FALSE)," ")</f>
        <v>17 Rue Sidi Bel Hassen</v>
      </c>
      <c r="K1759" s="17" t="str">
        <f>IF(B1759=0,VLOOKUP(A1759,Feuil2!$A$2:$M$1241,10,FALSE)," ")</f>
        <v>Msaken 4070</v>
      </c>
      <c r="L1759" s="17">
        <v>4070</v>
      </c>
      <c r="M1759" s="17">
        <v>97523215</v>
      </c>
      <c r="N1759" s="17"/>
      <c r="O1759" s="20" t="str">
        <f>IF(B1765=0,VLOOKUP(A1765,Feuil2!$A$2:$M$1241,13,FALSE)," ")</f>
        <v xml:space="preserve"> </v>
      </c>
    </row>
    <row r="1760" spans="1:16" x14ac:dyDescent="0.3">
      <c r="A1760" s="1">
        <v>145</v>
      </c>
      <c r="B1760" s="1">
        <v>1</v>
      </c>
      <c r="C1760" s="1" t="s">
        <v>193</v>
      </c>
      <c r="D1760" s="1" t="s">
        <v>2793</v>
      </c>
      <c r="E1760" s="5">
        <v>27902</v>
      </c>
      <c r="F1760" s="1" t="s">
        <v>17</v>
      </c>
      <c r="G1760" s="1" t="s">
        <v>15</v>
      </c>
      <c r="H1760" s="1" t="s">
        <v>16</v>
      </c>
      <c r="I1760" s="6" t="str">
        <f>IF(B1760=0,VLOOKUP(A1760,Feuil2!$A$2:$M$1241,7,FALSE)," ")</f>
        <v xml:space="preserve"> </v>
      </c>
      <c r="J1760" s="1" t="str">
        <f>IF(B1760=0,VLOOKUP(A1760,Feuil2!$A$2:$M$1241,9,FALSE)," ")</f>
        <v xml:space="preserve"> </v>
      </c>
      <c r="K1760" s="1" t="str">
        <f>IF(B1760=0,VLOOKUP(A1760,Feuil2!$A$2:$M$1241,10,FALSE)," ")</f>
        <v xml:space="preserve"> </v>
      </c>
      <c r="L1760" s="1"/>
      <c r="M1760" s="1"/>
      <c r="N1760" s="1"/>
      <c r="O1760" s="8" t="str">
        <f>IF(B1766=0,VLOOKUP(A1766,Feuil2!$A$2:$M$1241,13,FALSE)," ")</f>
        <v xml:space="preserve"> </v>
      </c>
    </row>
    <row r="1761" spans="1:15" x14ac:dyDescent="0.3">
      <c r="A1761" s="1">
        <v>145</v>
      </c>
      <c r="B1761" s="1">
        <v>2</v>
      </c>
      <c r="C1761" s="1" t="s">
        <v>121</v>
      </c>
      <c r="D1761" s="1" t="s">
        <v>34</v>
      </c>
      <c r="E1761" s="5">
        <v>37378</v>
      </c>
      <c r="F1761" s="1" t="s">
        <v>506</v>
      </c>
      <c r="G1761" s="1" t="str">
        <f>IF(B1761=0,VLOOKUP(A1761,Feuil2!$A$2:$M$1241,11,FALSE)," ")</f>
        <v xml:space="preserve"> </v>
      </c>
      <c r="H1761" s="1" t="s">
        <v>16</v>
      </c>
      <c r="I1761" s="6" t="str">
        <f>IF(B1761=0,VLOOKUP(A1761,Feuil2!$A$2:$M$1241,7,FALSE)," ")</f>
        <v xml:space="preserve"> </v>
      </c>
      <c r="J1761" s="1" t="str">
        <f>IF(B1761=0,VLOOKUP(A1761,Feuil2!$A$2:$M$1241,9,FALSE)," ")</f>
        <v xml:space="preserve"> </v>
      </c>
      <c r="K1761" s="1" t="str">
        <f>IF(B1761=0,VLOOKUP(A1761,Feuil2!$A$2:$M$1241,10,FALSE)," ")</f>
        <v xml:space="preserve"> </v>
      </c>
      <c r="L1761" s="1"/>
      <c r="M1761" s="1"/>
      <c r="N1761" s="1"/>
      <c r="O1761" s="8" t="str">
        <f>IF(B1767=0,VLOOKUP(A1767,Feuil2!$A$2:$M$1241,13,FALSE)," ")</f>
        <v>10506040206911278844</v>
      </c>
    </row>
    <row r="1762" spans="1:15" x14ac:dyDescent="0.3">
      <c r="A1762" s="1">
        <v>145</v>
      </c>
      <c r="B1762" s="1">
        <v>3</v>
      </c>
      <c r="C1762" s="1" t="s">
        <v>121</v>
      </c>
      <c r="D1762" s="1" t="s">
        <v>402</v>
      </c>
      <c r="E1762" s="5">
        <v>40522</v>
      </c>
      <c r="F1762" s="1" t="s">
        <v>17</v>
      </c>
      <c r="G1762" s="1" t="str">
        <f>IF(B1762=0,VLOOKUP(A1762,Feuil2!$A$2:$M$1241,11,FALSE)," ")</f>
        <v xml:space="preserve"> </v>
      </c>
      <c r="H1762" s="1" t="s">
        <v>16</v>
      </c>
      <c r="I1762" s="6" t="str">
        <f>IF(B1762=0,VLOOKUP(A1762,Feuil2!$A$2:$M$1241,7,FALSE)," ")</f>
        <v xml:space="preserve"> </v>
      </c>
      <c r="J1762" s="1" t="str">
        <f>IF(B1762=0,VLOOKUP(A1762,Feuil2!$A$2:$M$1241,9,FALSE)," ")</f>
        <v xml:space="preserve"> </v>
      </c>
      <c r="K1762" s="1" t="str">
        <f>IF(B1762=0,VLOOKUP(A1762,Feuil2!$A$2:$M$1241,10,FALSE)," ")</f>
        <v xml:space="preserve"> </v>
      </c>
      <c r="L1762" s="1"/>
      <c r="M1762" s="1"/>
      <c r="N1762" s="1"/>
      <c r="O1762" s="8" t="str">
        <f>IF(B1768=0,VLOOKUP(A1768,Feuil2!$A$2:$M$1241,13,FALSE)," ")</f>
        <v xml:space="preserve"> </v>
      </c>
    </row>
    <row r="1763" spans="1:15" x14ac:dyDescent="0.3">
      <c r="A1763" s="1">
        <v>1650</v>
      </c>
      <c r="B1763" s="1">
        <v>0</v>
      </c>
      <c r="C1763" s="1" t="str">
        <f>IF(B1763=0,VLOOKUP(A1763,Feuil2!$A$2:$M$1241,2,FALSE)," ")</f>
        <v>OUAJA</v>
      </c>
      <c r="D1763" s="1" t="str">
        <f>IF(B1763=0,VLOOKUP(A1763,Feuil2!$A$2:$M$1241,3,FALSE)," ")</f>
        <v>RAOUF</v>
      </c>
      <c r="E1763" s="5">
        <f>IF(B1763=0,VLOOKUP(A1763,Feuil2!$A$2:$M$1241,6,FALSE)," ")</f>
        <v>26863</v>
      </c>
      <c r="F1763" s="1" t="str">
        <f>IF(B1763=0,VLOOKUP(A1763,Feuil2!$A$2:$M$1241,12,FALSE)," ")</f>
        <v>H</v>
      </c>
      <c r="G1763" s="1" t="str">
        <f>IF(B1763=0,VLOOKUP(A1763,Feuil2!$A$2:$M$1241,11,FALSE)," ")</f>
        <v>M</v>
      </c>
      <c r="H1763" s="1" t="s">
        <v>16</v>
      </c>
      <c r="I1763" s="6">
        <f>IF(B1763=0,VLOOKUP(A1763,Feuil2!$A$2:$M$1241,7,FALSE)," ")</f>
        <v>5542721</v>
      </c>
      <c r="J1763" s="1" t="str">
        <f>IF(B1763=0,VLOOKUP(A1763,Feuil2!$A$2:$M$1241,9,FALSE)," ")</f>
        <v>17, Rue Jabrane Khalil Jabrane</v>
      </c>
      <c r="K1763" s="1" t="str">
        <f>IF(B1763=0,VLOOKUP(A1763,Feuil2!$A$2:$M$1241,10,FALSE)," ")</f>
        <v>CitÃ© Erriadh</v>
      </c>
      <c r="L1763" s="1"/>
      <c r="M1763" s="1">
        <v>96321421</v>
      </c>
      <c r="N1763" s="1"/>
      <c r="O1763" s="8" t="str">
        <f>IF(B1769=0,VLOOKUP(A1769,Feuil2!$A$2:$M$1241,13,FALSE)," ")</f>
        <v xml:space="preserve"> </v>
      </c>
    </row>
    <row r="1764" spans="1:15" x14ac:dyDescent="0.3">
      <c r="A1764" s="1">
        <v>1650</v>
      </c>
      <c r="B1764" s="1">
        <v>1</v>
      </c>
      <c r="C1764" s="1" t="s">
        <v>2794</v>
      </c>
      <c r="D1764" s="1" t="s">
        <v>2327</v>
      </c>
      <c r="E1764" s="5">
        <v>28224</v>
      </c>
      <c r="F1764" s="1" t="s">
        <v>17</v>
      </c>
      <c r="G1764" s="1" t="s">
        <v>15</v>
      </c>
      <c r="H1764" s="1" t="s">
        <v>16</v>
      </c>
      <c r="I1764" s="6" t="str">
        <f>IF(B1764=0,VLOOKUP(A1764,Feuil2!$A$2:$M$1241,7,FALSE)," ")</f>
        <v xml:space="preserve"> </v>
      </c>
      <c r="J1764" s="1" t="str">
        <f>IF(B1764=0,VLOOKUP(A1764,Feuil2!$A$2:$M$1241,9,FALSE)," ")</f>
        <v xml:space="preserve"> </v>
      </c>
      <c r="K1764" s="1" t="str">
        <f>IF(B1764=0,VLOOKUP(A1764,Feuil2!$A$2:$M$1241,10,FALSE)," ")</f>
        <v xml:space="preserve"> </v>
      </c>
      <c r="L1764" s="1"/>
      <c r="M1764" s="1"/>
      <c r="N1764" s="1"/>
      <c r="O1764" s="8" t="str">
        <f>IF(B1770=0,VLOOKUP(A1770,Feuil2!$A$2:$M$1241,13,FALSE)," ")</f>
        <v xml:space="preserve"> </v>
      </c>
    </row>
    <row r="1765" spans="1:15" x14ac:dyDescent="0.3">
      <c r="A1765" s="1">
        <v>1650</v>
      </c>
      <c r="B1765" s="1">
        <v>2</v>
      </c>
      <c r="C1765" s="1" t="s">
        <v>292</v>
      </c>
      <c r="D1765" s="1" t="s">
        <v>2579</v>
      </c>
      <c r="E1765" s="5">
        <v>38007</v>
      </c>
      <c r="F1765" s="1" t="s">
        <v>17</v>
      </c>
      <c r="G1765" s="1" t="str">
        <f>IF(B1765=0,VLOOKUP(A1765,Feuil2!$A$2:$M$1241,11,FALSE)," ")</f>
        <v xml:space="preserve"> </v>
      </c>
      <c r="H1765" s="1" t="s">
        <v>16</v>
      </c>
      <c r="I1765" s="6" t="str">
        <f>IF(B1765=0,VLOOKUP(A1765,Feuil2!$A$2:$M$1241,7,FALSE)," ")</f>
        <v xml:space="preserve"> </v>
      </c>
      <c r="J1765" s="1" t="str">
        <f>IF(B1765=0,VLOOKUP(A1765,Feuil2!$A$2:$M$1241,9,FALSE)," ")</f>
        <v xml:space="preserve"> </v>
      </c>
      <c r="K1765" s="1" t="str">
        <f>IF(B1765=0,VLOOKUP(A1765,Feuil2!$A$2:$M$1241,10,FALSE)," ")</f>
        <v xml:space="preserve"> </v>
      </c>
      <c r="L1765" s="1"/>
      <c r="M1765" s="1"/>
      <c r="N1765" s="1"/>
      <c r="O1765" s="8" t="str">
        <f>IF(B1771=0,VLOOKUP(A1771,Feuil2!$A$2:$M$1241,13,FALSE)," ")</f>
        <v>03508056010100347296</v>
      </c>
    </row>
    <row r="1766" spans="1:15" x14ac:dyDescent="0.3">
      <c r="A1766" s="1">
        <v>1650</v>
      </c>
      <c r="B1766" s="1">
        <v>3</v>
      </c>
      <c r="C1766" s="1" t="s">
        <v>292</v>
      </c>
      <c r="D1766" s="1" t="s">
        <v>107</v>
      </c>
      <c r="E1766" s="5">
        <v>40158</v>
      </c>
      <c r="F1766" s="1" t="s">
        <v>506</v>
      </c>
      <c r="G1766" s="1" t="str">
        <f>IF(B1766=0,VLOOKUP(A1766,Feuil2!$A$2:$M$1241,11,FALSE)," ")</f>
        <v xml:space="preserve"> </v>
      </c>
      <c r="H1766" s="1" t="s">
        <v>16</v>
      </c>
      <c r="I1766" s="6" t="str">
        <f>IF(B1766=0,VLOOKUP(A1766,Feuil2!$A$2:$M$1241,7,FALSE)," ")</f>
        <v xml:space="preserve"> </v>
      </c>
      <c r="J1766" s="1" t="str">
        <f>IF(B1766=0,VLOOKUP(A1766,Feuil2!$A$2:$M$1241,9,FALSE)," ")</f>
        <v xml:space="preserve"> </v>
      </c>
      <c r="K1766" s="1" t="str">
        <f>IF(B1766=0,VLOOKUP(A1766,Feuil2!$A$2:$M$1241,10,FALSE)," ")</f>
        <v xml:space="preserve"> </v>
      </c>
      <c r="L1766" s="1"/>
      <c r="M1766" s="1"/>
      <c r="N1766" s="1"/>
      <c r="O1766" s="8" t="str">
        <f>IF(B1772=0,VLOOKUP(A1772,Feuil2!$A$2:$M$1241,13,FALSE)," ")</f>
        <v xml:space="preserve"> </v>
      </c>
    </row>
    <row r="1767" spans="1:15" x14ac:dyDescent="0.3">
      <c r="A1767" s="1">
        <v>1702</v>
      </c>
      <c r="B1767" s="1">
        <v>0</v>
      </c>
      <c r="C1767" s="1" t="str">
        <f>IF(B1767=0,VLOOKUP(A1767,Feuil2!$A$2:$M$1241,2,FALSE)," ")</f>
        <v>JAIET</v>
      </c>
      <c r="D1767" s="1" t="str">
        <f>IF(B1767=0,VLOOKUP(A1767,Feuil2!$A$2:$M$1241,3,FALSE)," ")</f>
        <v>WALID</v>
      </c>
      <c r="E1767" s="5">
        <f>IF(B1767=0,VLOOKUP(A1767,Feuil2!$A$2:$M$1241,6,FALSE)," ")</f>
        <v>27979</v>
      </c>
      <c r="F1767" s="1" t="str">
        <f>IF(B1767=0,VLOOKUP(A1767,Feuil2!$A$2:$M$1241,12,FALSE)," ")</f>
        <v>H</v>
      </c>
      <c r="G1767" s="1" t="str">
        <f>IF(B1767=0,VLOOKUP(A1767,Feuil2!$A$2:$M$1241,11,FALSE)," ")</f>
        <v>M</v>
      </c>
      <c r="H1767" s="1" t="s">
        <v>16</v>
      </c>
      <c r="I1767" s="6">
        <f>IF(B1767=0,VLOOKUP(A1767,Feuil2!$A$2:$M$1241,7,FALSE)," ")</f>
        <v>5581997</v>
      </c>
      <c r="J1767" s="1" t="str">
        <f>IF(B1767=0,VLOOKUP(A1767,Feuil2!$A$2:$M$1241,9,FALSE)," ")</f>
        <v>Rue Ibn Khouldoun nÂ°623</v>
      </c>
      <c r="K1767" s="1" t="str">
        <f>IF(B1767=0,VLOOKUP(A1767,Feuil2!$A$2:$M$1241,10,FALSE)," ")</f>
        <v>Sousse</v>
      </c>
      <c r="L1767" s="1"/>
      <c r="M1767" s="1">
        <v>27650880</v>
      </c>
      <c r="N1767" s="1"/>
      <c r="O1767" s="8" t="str">
        <f>IF(B1773=0,VLOOKUP(A1773,Feuil2!$A$2:$M$1241,13,FALSE)," ")</f>
        <v xml:space="preserve"> </v>
      </c>
    </row>
    <row r="1768" spans="1:15" x14ac:dyDescent="0.3">
      <c r="A1768" s="1">
        <v>1702</v>
      </c>
      <c r="B1768" s="1">
        <v>1</v>
      </c>
      <c r="C1768" s="1" t="s">
        <v>256</v>
      </c>
      <c r="D1768" s="1" t="s">
        <v>2552</v>
      </c>
      <c r="E1768" s="5">
        <v>28787</v>
      </c>
      <c r="F1768" s="1" t="s">
        <v>17</v>
      </c>
      <c r="G1768" s="1" t="s">
        <v>15</v>
      </c>
      <c r="H1768" s="1" t="s">
        <v>16</v>
      </c>
      <c r="I1768" s="6" t="str">
        <f>IF(B1768=0,VLOOKUP(A1768,Feuil2!$A$2:$M$1241,7,FALSE)," ")</f>
        <v xml:space="preserve"> </v>
      </c>
      <c r="J1768" s="1" t="str">
        <f>IF(B1768=0,VLOOKUP(A1768,Feuil2!$A$2:$M$1241,9,FALSE)," ")</f>
        <v xml:space="preserve"> </v>
      </c>
      <c r="K1768" s="1" t="str">
        <f>IF(B1768=0,VLOOKUP(A1768,Feuil2!$A$2:$M$1241,10,FALSE)," ")</f>
        <v xml:space="preserve"> </v>
      </c>
      <c r="L1768" s="1"/>
      <c r="M1768" s="1"/>
      <c r="N1768" s="1"/>
      <c r="O1768" s="8" t="str">
        <f>IF(B1774=0,VLOOKUP(A1774,Feuil2!$A$2:$M$1241,13,FALSE)," ")</f>
        <v xml:space="preserve"> </v>
      </c>
    </row>
    <row r="1769" spans="1:15" x14ac:dyDescent="0.3">
      <c r="A1769" s="1">
        <v>1702</v>
      </c>
      <c r="B1769" s="1">
        <v>2</v>
      </c>
      <c r="C1769" s="1" t="s">
        <v>471</v>
      </c>
      <c r="D1769" s="1" t="s">
        <v>2500</v>
      </c>
      <c r="E1769" s="5">
        <v>40305</v>
      </c>
      <c r="F1769" s="1" t="s">
        <v>17</v>
      </c>
      <c r="G1769" s="1" t="str">
        <f>IF(B1769=0,VLOOKUP(A1769,Feuil2!$A$2:$M$1241,11,FALSE)," ")</f>
        <v xml:space="preserve"> </v>
      </c>
      <c r="H1769" s="1" t="s">
        <v>16</v>
      </c>
      <c r="I1769" s="6" t="str">
        <f>IF(B1769=0,VLOOKUP(A1769,Feuil2!$A$2:$M$1241,7,FALSE)," ")</f>
        <v xml:space="preserve"> </v>
      </c>
      <c r="J1769" s="1" t="str">
        <f>IF(B1769=0,VLOOKUP(A1769,Feuil2!$A$2:$M$1241,9,FALSE)," ")</f>
        <v xml:space="preserve"> </v>
      </c>
      <c r="K1769" s="1" t="str">
        <f>IF(B1769=0,VLOOKUP(A1769,Feuil2!$A$2:$M$1241,10,FALSE)," ")</f>
        <v xml:space="preserve"> </v>
      </c>
      <c r="L1769" s="1"/>
      <c r="M1769" s="1"/>
      <c r="N1769" s="1"/>
      <c r="O1769" s="8" t="str">
        <f>IF(B1775=0,VLOOKUP(A1775,Feuil2!$A$2:$M$1241,13,FALSE)," ")</f>
        <v>10506040204105678877</v>
      </c>
    </row>
    <row r="1770" spans="1:15" x14ac:dyDescent="0.3">
      <c r="A1770" s="1">
        <v>1702</v>
      </c>
      <c r="B1770" s="1">
        <v>3</v>
      </c>
      <c r="C1770" s="1" t="s">
        <v>471</v>
      </c>
      <c r="D1770" s="1" t="s">
        <v>404</v>
      </c>
      <c r="E1770" s="5">
        <v>40781</v>
      </c>
      <c r="F1770" s="1" t="s">
        <v>17</v>
      </c>
      <c r="G1770" s="1" t="str">
        <f>IF(B1770=0,VLOOKUP(A1770,Feuil2!$A$2:$M$1241,11,FALSE)," ")</f>
        <v xml:space="preserve"> </v>
      </c>
      <c r="H1770" s="1" t="s">
        <v>16</v>
      </c>
      <c r="I1770" s="6" t="str">
        <f>IF(B1770=0,VLOOKUP(A1770,Feuil2!$A$2:$M$1241,7,FALSE)," ")</f>
        <v xml:space="preserve"> </v>
      </c>
      <c r="J1770" s="1" t="str">
        <f>IF(B1770=0,VLOOKUP(A1770,Feuil2!$A$2:$M$1241,9,FALSE)," ")</f>
        <v xml:space="preserve"> </v>
      </c>
      <c r="K1770" s="1" t="str">
        <f>IF(B1770=0,VLOOKUP(A1770,Feuil2!$A$2:$M$1241,10,FALSE)," ")</f>
        <v xml:space="preserve"> </v>
      </c>
      <c r="L1770" s="1"/>
      <c r="M1770" s="1"/>
      <c r="N1770" s="1"/>
      <c r="O1770" s="8" t="str">
        <f>IF(B1776=0,VLOOKUP(A1776,Feuil2!$A$2:$M$1241,13,FALSE)," ")</f>
        <v xml:space="preserve"> </v>
      </c>
    </row>
    <row r="1771" spans="1:15" x14ac:dyDescent="0.3">
      <c r="A1771" s="1">
        <v>1737</v>
      </c>
      <c r="B1771" s="17">
        <v>0</v>
      </c>
      <c r="C1771" s="17" t="str">
        <f>IF(B1771=0,VLOOKUP(A1771,Feuil2!$A$2:$M$1241,2,FALSE)," ")</f>
        <v>ALOUANE</v>
      </c>
      <c r="D1771" s="17" t="str">
        <f>IF(B1771=0,VLOOKUP(A1771,Feuil2!$A$2:$M$1241,3,FALSE)," ")</f>
        <v>ABDELKERIM</v>
      </c>
      <c r="E1771" s="18">
        <f>IF(B1771=0,VLOOKUP(A1771,Feuil2!$A$2:$M$1241,6,FALSE)," ")</f>
        <v>28133</v>
      </c>
      <c r="F1771" s="17" t="str">
        <f>IF(B1771=0,VLOOKUP(A1771,Feuil2!$A$2:$M$1241,12,FALSE)," ")</f>
        <v>H</v>
      </c>
      <c r="G1771" s="17" t="str">
        <f>IF(B1771=0,VLOOKUP(A1771,Feuil2!$A$2:$M$1241,11,FALSE)," ")</f>
        <v>M</v>
      </c>
      <c r="H1771" s="17" t="s">
        <v>16</v>
      </c>
      <c r="I1771" s="19">
        <f>IF(B1771=0,VLOOKUP(A1771,Feuil2!$A$2:$M$1241,7,FALSE)," ")</f>
        <v>5590005</v>
      </c>
      <c r="J1771" s="17" t="str">
        <f>IF(B1771=0,VLOOKUP(A1771,Feuil2!$A$2:$M$1241,9,FALSE)," ")</f>
        <v>10 Rue El Amal</v>
      </c>
      <c r="K1771" s="17" t="str">
        <f>IF(B1771=0,VLOOKUP(A1771,Feuil2!$A$2:$M$1241,10,FALSE)," ")</f>
        <v>Msaken 4070</v>
      </c>
      <c r="L1771" s="17">
        <v>4070</v>
      </c>
      <c r="M1771" s="17">
        <v>55403539</v>
      </c>
      <c r="N1771" s="17"/>
      <c r="O1771" s="20" t="str">
        <f>IF(B1777=0,VLOOKUP(A1777,Feuil2!$A$2:$M$1241,13,FALSE)," ")</f>
        <v xml:space="preserve"> </v>
      </c>
    </row>
    <row r="1772" spans="1:15" x14ac:dyDescent="0.3">
      <c r="A1772" s="1">
        <v>1737</v>
      </c>
      <c r="B1772" s="1">
        <v>1</v>
      </c>
      <c r="C1772" s="1" t="s">
        <v>2795</v>
      </c>
      <c r="D1772" s="1" t="s">
        <v>2367</v>
      </c>
      <c r="E1772" s="5">
        <v>31966</v>
      </c>
      <c r="F1772" s="1" t="s">
        <v>17</v>
      </c>
      <c r="G1772" s="1" t="s">
        <v>15</v>
      </c>
      <c r="H1772" s="1" t="s">
        <v>16</v>
      </c>
      <c r="I1772" s="6" t="str">
        <f>IF(B1772=0,VLOOKUP(A1772,Feuil2!$A$2:$M$1241,7,FALSE)," ")</f>
        <v xml:space="preserve"> </v>
      </c>
      <c r="J1772" s="1" t="str">
        <f>IF(B1772=0,VLOOKUP(A1772,Feuil2!$A$2:$M$1241,9,FALSE)," ")</f>
        <v xml:space="preserve"> </v>
      </c>
      <c r="K1772" s="1" t="str">
        <f>IF(B1772=0,VLOOKUP(A1772,Feuil2!$A$2:$M$1241,10,FALSE)," ")</f>
        <v xml:space="preserve"> </v>
      </c>
      <c r="L1772" s="1"/>
      <c r="M1772" s="1"/>
      <c r="N1772" s="1"/>
      <c r="O1772" s="8" t="str">
        <f>IF(B1778=0,VLOOKUP(A1778,Feuil2!$A$2:$M$1241,13,FALSE)," ")</f>
        <v xml:space="preserve"> </v>
      </c>
    </row>
    <row r="1773" spans="1:15" x14ac:dyDescent="0.3">
      <c r="A1773" s="1">
        <v>1737</v>
      </c>
      <c r="B1773" s="1">
        <v>2</v>
      </c>
      <c r="C1773" s="1" t="s">
        <v>348</v>
      </c>
      <c r="D1773" s="1" t="s">
        <v>125</v>
      </c>
      <c r="E1773" s="5">
        <v>41122</v>
      </c>
      <c r="F1773" s="1" t="s">
        <v>506</v>
      </c>
      <c r="G1773" s="1" t="str">
        <f>IF(B1773=0,VLOOKUP(A1773,Feuil2!$A$2:$M$1241,11,FALSE)," ")</f>
        <v xml:space="preserve"> </v>
      </c>
      <c r="H1773" s="1" t="s">
        <v>16</v>
      </c>
      <c r="I1773" s="6" t="str">
        <f>IF(B1773=0,VLOOKUP(A1773,Feuil2!$A$2:$M$1241,7,FALSE)," ")</f>
        <v xml:space="preserve"> </v>
      </c>
      <c r="J1773" s="1" t="str">
        <f>IF(B1773=0,VLOOKUP(A1773,Feuil2!$A$2:$M$1241,9,FALSE)," ")</f>
        <v xml:space="preserve"> </v>
      </c>
      <c r="K1773" s="1" t="str">
        <f>IF(B1773=0,VLOOKUP(A1773,Feuil2!$A$2:$M$1241,10,FALSE)," ")</f>
        <v xml:space="preserve"> </v>
      </c>
      <c r="L1773" s="1"/>
      <c r="M1773" s="1"/>
      <c r="N1773" s="1"/>
      <c r="O1773" s="8" t="str">
        <f>IF(B1779=0,VLOOKUP(A1779,Feuil2!$A$2:$M$1241,13,FALSE)," ")</f>
        <v>14114114100705252512</v>
      </c>
    </row>
    <row r="1774" spans="1:15" x14ac:dyDescent="0.3">
      <c r="A1774" s="1">
        <v>1737</v>
      </c>
      <c r="B1774" s="1">
        <v>3</v>
      </c>
      <c r="C1774" s="1" t="s">
        <v>348</v>
      </c>
      <c r="D1774" s="1" t="s">
        <v>2572</v>
      </c>
      <c r="E1774" s="5">
        <v>42094</v>
      </c>
      <c r="F1774" s="1" t="s">
        <v>506</v>
      </c>
      <c r="G1774" s="1" t="str">
        <f>IF(B1774=0,VLOOKUP(A1774,Feuil2!$A$2:$M$1241,11,FALSE)," ")</f>
        <v xml:space="preserve"> </v>
      </c>
      <c r="H1774" s="1" t="s">
        <v>16</v>
      </c>
      <c r="I1774" s="6" t="str">
        <f>IF(B1774=0,VLOOKUP(A1774,Feuil2!$A$2:$M$1241,7,FALSE)," ")</f>
        <v xml:space="preserve"> </v>
      </c>
      <c r="J1774" s="1" t="str">
        <f>IF(B1774=0,VLOOKUP(A1774,Feuil2!$A$2:$M$1241,9,FALSE)," ")</f>
        <v xml:space="preserve"> </v>
      </c>
      <c r="K1774" s="1" t="str">
        <f>IF(B1774=0,VLOOKUP(A1774,Feuil2!$A$2:$M$1241,10,FALSE)," ")</f>
        <v xml:space="preserve"> </v>
      </c>
      <c r="L1774" s="1"/>
      <c r="M1774" s="1"/>
      <c r="N1774" s="1"/>
      <c r="O1774" s="8" t="str">
        <f>IF(B1780=0,VLOOKUP(A1780,Feuil2!$A$2:$M$1241,13,FALSE)," ")</f>
        <v xml:space="preserve"> </v>
      </c>
    </row>
    <row r="1775" spans="1:15" x14ac:dyDescent="0.3">
      <c r="A1775" s="1">
        <v>919</v>
      </c>
      <c r="B1775" s="1">
        <v>0</v>
      </c>
      <c r="C1775" s="1" t="str">
        <f>IF(B1775=0,VLOOKUP(A1775,Feuil2!$A$2:$M$1241,2,FALSE)," ")</f>
        <v>KARMOUS</v>
      </c>
      <c r="D1775" s="1" t="str">
        <f>IF(B1775=0,VLOOKUP(A1775,Feuil2!$A$2:$M$1241,3,FALSE)," ")</f>
        <v>TAREK</v>
      </c>
      <c r="E1775" s="5">
        <f>IF(B1775=0,VLOOKUP(A1775,Feuil2!$A$2:$M$1241,6,FALSE)," ")</f>
        <v>25512</v>
      </c>
      <c r="F1775" s="1" t="str">
        <f>IF(B1775=0,VLOOKUP(A1775,Feuil2!$A$2:$M$1241,12,FALSE)," ")</f>
        <v>H</v>
      </c>
      <c r="G1775" s="1" t="str">
        <f>IF(B1775=0,VLOOKUP(A1775,Feuil2!$A$2:$M$1241,11,FALSE)," ")</f>
        <v>M</v>
      </c>
      <c r="H1775" s="1" t="s">
        <v>16</v>
      </c>
      <c r="I1775" s="6">
        <f>IF(B1775=0,VLOOKUP(A1775,Feuil2!$A$2:$M$1241,7,FALSE)," ")</f>
        <v>5511335</v>
      </c>
      <c r="J1775" s="1" t="str">
        <f>IF(B1775=0,VLOOKUP(A1775,Feuil2!$A$2:$M$1241,9,FALSE)," ")</f>
        <v>2 Rue El Hana</v>
      </c>
      <c r="K1775" s="1" t="str">
        <f>IF(B1775=0,VLOOKUP(A1775,Feuil2!$A$2:$M$1241,10,FALSE)," ")</f>
        <v>Msaken 4070</v>
      </c>
      <c r="L1775" s="1">
        <v>4070</v>
      </c>
      <c r="M1775" s="1">
        <v>26113713</v>
      </c>
      <c r="N1775" s="1"/>
      <c r="O1775" s="8" t="str">
        <f>IF(B1781=0,VLOOKUP(A1781,Feuil2!$A$2:$M$1241,13,FALSE)," ")</f>
        <v xml:space="preserve"> </v>
      </c>
    </row>
    <row r="1776" spans="1:15" x14ac:dyDescent="0.3">
      <c r="A1776" s="1">
        <v>919</v>
      </c>
      <c r="B1776" s="1">
        <v>1</v>
      </c>
      <c r="C1776" s="1" t="s">
        <v>644</v>
      </c>
      <c r="D1776" s="1" t="s">
        <v>1008</v>
      </c>
      <c r="E1776" s="5">
        <v>27686</v>
      </c>
      <c r="F1776" s="1" t="s">
        <v>17</v>
      </c>
      <c r="G1776" s="1" t="s">
        <v>15</v>
      </c>
      <c r="H1776" s="1" t="s">
        <v>16</v>
      </c>
      <c r="I1776" s="6" t="str">
        <f>IF(B1776=0,VLOOKUP(A1776,Feuil2!$A$2:$M$1241,7,FALSE)," ")</f>
        <v xml:space="preserve"> </v>
      </c>
      <c r="J1776" s="1" t="str">
        <f>IF(B1776=0,VLOOKUP(A1776,Feuil2!$A$2:$M$1241,9,FALSE)," ")</f>
        <v xml:space="preserve"> </v>
      </c>
      <c r="K1776" s="1" t="str">
        <f>IF(B1776=0,VLOOKUP(A1776,Feuil2!$A$2:$M$1241,10,FALSE)," ")</f>
        <v xml:space="preserve"> </v>
      </c>
      <c r="L1776" s="1"/>
      <c r="M1776" s="1"/>
      <c r="N1776" s="1"/>
      <c r="O1776" s="8" t="str">
        <f>IF(B1782=0,VLOOKUP(A1782,Feuil2!$A$2:$M$1241,13,FALSE)," ")</f>
        <v xml:space="preserve"> </v>
      </c>
    </row>
    <row r="1777" spans="1:15" x14ac:dyDescent="0.3">
      <c r="A1777" s="1">
        <v>919</v>
      </c>
      <c r="B1777" s="1">
        <v>2</v>
      </c>
      <c r="C1777" s="1" t="s">
        <v>203</v>
      </c>
      <c r="D1777" s="1" t="s">
        <v>2499</v>
      </c>
      <c r="E1777" s="5">
        <v>39561</v>
      </c>
      <c r="F1777" s="1" t="s">
        <v>506</v>
      </c>
      <c r="G1777" s="1" t="str">
        <f>IF(B1777=0,VLOOKUP(A1777,Feuil2!$A$2:$M$1241,11,FALSE)," ")</f>
        <v xml:space="preserve"> </v>
      </c>
      <c r="H1777" s="1" t="s">
        <v>16</v>
      </c>
      <c r="I1777" s="6" t="str">
        <f>IF(B1777=0,VLOOKUP(A1777,Feuil2!$A$2:$M$1241,7,FALSE)," ")</f>
        <v xml:space="preserve"> </v>
      </c>
      <c r="J1777" s="1" t="str">
        <f>IF(B1777=0,VLOOKUP(A1777,Feuil2!$A$2:$M$1241,9,FALSE)," ")</f>
        <v xml:space="preserve"> </v>
      </c>
      <c r="K1777" s="1" t="str">
        <f>IF(B1777=0,VLOOKUP(A1777,Feuil2!$A$2:$M$1241,10,FALSE)," ")</f>
        <v xml:space="preserve"> </v>
      </c>
      <c r="L1777" s="1"/>
      <c r="M1777" s="1"/>
      <c r="N1777" s="1"/>
      <c r="O1777" s="8" t="str">
        <f>IF(B1783=0,VLOOKUP(A1783,Feuil2!$A$2:$M$1241,13,FALSE)," ")</f>
        <v>10506040204842278835</v>
      </c>
    </row>
    <row r="1778" spans="1:15" x14ac:dyDescent="0.3">
      <c r="A1778" s="1">
        <v>919</v>
      </c>
      <c r="B1778" s="1">
        <v>3</v>
      </c>
      <c r="C1778" s="1" t="s">
        <v>203</v>
      </c>
      <c r="D1778" s="1" t="s">
        <v>61</v>
      </c>
      <c r="E1778" s="5">
        <v>41554</v>
      </c>
      <c r="F1778" s="1" t="s">
        <v>506</v>
      </c>
      <c r="G1778" s="1" t="str">
        <f>IF(B1778=0,VLOOKUP(A1778,Feuil2!$A$2:$M$1241,11,FALSE)," ")</f>
        <v xml:space="preserve"> </v>
      </c>
      <c r="H1778" s="1" t="s">
        <v>16</v>
      </c>
      <c r="I1778" s="6" t="str">
        <f>IF(B1778=0,VLOOKUP(A1778,Feuil2!$A$2:$M$1241,7,FALSE)," ")</f>
        <v xml:space="preserve"> </v>
      </c>
      <c r="J1778" s="1" t="str">
        <f>IF(B1778=0,VLOOKUP(A1778,Feuil2!$A$2:$M$1241,9,FALSE)," ")</f>
        <v xml:space="preserve"> </v>
      </c>
      <c r="K1778" s="1" t="str">
        <f>IF(B1778=0,VLOOKUP(A1778,Feuil2!$A$2:$M$1241,10,FALSE)," ")</f>
        <v xml:space="preserve"> </v>
      </c>
      <c r="L1778" s="1"/>
      <c r="M1778" s="1"/>
      <c r="N1778" s="1"/>
      <c r="O1778" s="8" t="str">
        <f>IF(B1784=0,VLOOKUP(A1784,Feuil2!$A$2:$M$1241,13,FALSE)," ")</f>
        <v xml:space="preserve"> </v>
      </c>
    </row>
    <row r="1779" spans="1:15" x14ac:dyDescent="0.3">
      <c r="A1779" s="1">
        <v>194</v>
      </c>
      <c r="B1779" s="17">
        <v>0</v>
      </c>
      <c r="C1779" s="17" t="s">
        <v>227</v>
      </c>
      <c r="D1779" s="17" t="str">
        <f>IF(B1779=0,VLOOKUP(A1779,Feuil2!$A$2:$M$1241,3,FALSE)," ")</f>
        <v>KAMEL</v>
      </c>
      <c r="E1779" s="18">
        <f>IF(B1779=0,VLOOKUP(A1779,Feuil2!$A$2:$M$1241,6,FALSE)," ")</f>
        <v>23074</v>
      </c>
      <c r="F1779" s="17" t="str">
        <f>IF(B1779=0,VLOOKUP(A1779,Feuil2!$A$2:$M$1241,12,FALSE)," ")</f>
        <v>H</v>
      </c>
      <c r="G1779" s="17" t="str">
        <f>IF(B1779=0,VLOOKUP(A1779,Feuil2!$A$2:$M$1241,11,FALSE)," ")</f>
        <v>M</v>
      </c>
      <c r="H1779" s="17" t="s">
        <v>16</v>
      </c>
      <c r="I1779" s="19">
        <f>IF(B1779=0,VLOOKUP(A1779,Feuil2!$A$2:$M$1241,7,FALSE)," ")</f>
        <v>2950673</v>
      </c>
      <c r="J1779" s="17" t="str">
        <f>IF(B1779=0,VLOOKUP(A1779,Feuil2!$A$2:$M$1241,9,FALSE)," ")</f>
        <v>Rue Imam Ben Arfa</v>
      </c>
      <c r="K1779" s="17" t="str">
        <f>IF(B1779=0,VLOOKUP(A1779,Feuil2!$A$2:$M$1241,10,FALSE)," ")</f>
        <v>Msaken 4070</v>
      </c>
      <c r="L1779" s="17">
        <v>4070</v>
      </c>
      <c r="M1779" s="17">
        <v>98793618</v>
      </c>
      <c r="N1779" s="17"/>
      <c r="O1779" s="8" t="str">
        <f>IF(B1785=0,VLOOKUP(A1785,Feuil2!$A$2:$M$1241,13,FALSE)," ")</f>
        <v xml:space="preserve"> </v>
      </c>
    </row>
    <row r="1780" spans="1:15" x14ac:dyDescent="0.3">
      <c r="A1780" s="1">
        <v>194</v>
      </c>
      <c r="B1780" s="1">
        <v>1</v>
      </c>
      <c r="C1780" s="1" t="s">
        <v>2489</v>
      </c>
      <c r="D1780" s="1" t="s">
        <v>1094</v>
      </c>
      <c r="E1780" s="5">
        <v>26000</v>
      </c>
      <c r="F1780" s="1" t="s">
        <v>17</v>
      </c>
      <c r="G1780" s="1" t="s">
        <v>15</v>
      </c>
      <c r="H1780" s="1" t="s">
        <v>16</v>
      </c>
      <c r="I1780" s="6" t="str">
        <f>IF(B1780=0,VLOOKUP(A1780,Feuil2!$A$2:$M$1241,7,FALSE)," ")</f>
        <v xml:space="preserve"> </v>
      </c>
      <c r="J1780" s="1" t="str">
        <f>IF(B1780=0,VLOOKUP(A1780,Feuil2!$A$2:$M$1241,9,FALSE)," ")</f>
        <v xml:space="preserve"> </v>
      </c>
      <c r="K1780" s="1" t="str">
        <f>IF(B1780=0,VLOOKUP(A1780,Feuil2!$A$2:$M$1241,10,FALSE)," ")</f>
        <v xml:space="preserve"> </v>
      </c>
      <c r="L1780" s="1"/>
      <c r="M1780" s="1"/>
      <c r="N1780" s="1"/>
      <c r="O1780" s="8" t="str">
        <f>IF(B1786=0,VLOOKUP(A1786,Feuil2!$A$2:$M$1241,13,FALSE)," ")</f>
        <v xml:space="preserve"> </v>
      </c>
    </row>
    <row r="1781" spans="1:15" x14ac:dyDescent="0.3">
      <c r="A1781" s="1">
        <v>194</v>
      </c>
      <c r="B1781" s="1">
        <v>2</v>
      </c>
      <c r="C1781" s="1" t="s">
        <v>227</v>
      </c>
      <c r="D1781" s="1" t="s">
        <v>2577</v>
      </c>
      <c r="E1781" s="5">
        <v>34705</v>
      </c>
      <c r="F1781" s="1" t="s">
        <v>506</v>
      </c>
      <c r="G1781" s="1" t="str">
        <f>IF(B1781=0,VLOOKUP(A1781,Feuil2!$A$2:$M$1241,11,FALSE)," ")</f>
        <v xml:space="preserve"> </v>
      </c>
      <c r="H1781" s="1" t="s">
        <v>16</v>
      </c>
      <c r="I1781" s="6" t="str">
        <f>IF(B1781=0,VLOOKUP(A1781,Feuil2!$A$2:$M$1241,7,FALSE)," ")</f>
        <v xml:space="preserve"> </v>
      </c>
      <c r="J1781" s="1" t="str">
        <f>IF(B1781=0,VLOOKUP(A1781,Feuil2!$A$2:$M$1241,9,FALSE)," ")</f>
        <v xml:space="preserve"> </v>
      </c>
      <c r="K1781" s="1" t="str">
        <f>IF(B1781=0,VLOOKUP(A1781,Feuil2!$A$2:$M$1241,10,FALSE)," ")</f>
        <v xml:space="preserve"> </v>
      </c>
      <c r="L1781" s="1"/>
      <c r="M1781" s="1"/>
      <c r="N1781" s="1"/>
      <c r="O1781" s="8" t="str">
        <f>IF(B1787=0,VLOOKUP(A1787,Feuil2!$A$2:$M$1241,13,FALSE)," ")</f>
        <v xml:space="preserve"> </v>
      </c>
    </row>
    <row r="1782" spans="1:15" x14ac:dyDescent="0.3">
      <c r="A1782" s="1">
        <v>194</v>
      </c>
      <c r="B1782" s="1">
        <v>3</v>
      </c>
      <c r="C1782" s="1" t="s">
        <v>227</v>
      </c>
      <c r="D1782" s="1" t="s">
        <v>2380</v>
      </c>
      <c r="E1782" s="5">
        <v>37876</v>
      </c>
      <c r="F1782" s="1" t="s">
        <v>17</v>
      </c>
      <c r="G1782" s="1" t="str">
        <f>IF(B1782=0,VLOOKUP(A1782,Feuil2!$A$2:$M$1241,11,FALSE)," ")</f>
        <v xml:space="preserve"> </v>
      </c>
      <c r="H1782" s="1" t="s">
        <v>16</v>
      </c>
      <c r="I1782" s="6" t="str">
        <f>IF(B1782=0,VLOOKUP(A1782,Feuil2!$A$2:$M$1241,7,FALSE)," ")</f>
        <v xml:space="preserve"> </v>
      </c>
      <c r="J1782" s="1" t="str">
        <f>IF(B1782=0,VLOOKUP(A1782,Feuil2!$A$2:$M$1241,9,FALSE)," ")</f>
        <v xml:space="preserve"> </v>
      </c>
      <c r="K1782" s="1" t="str">
        <f>IF(B1782=0,VLOOKUP(A1782,Feuil2!$A$2:$M$1241,10,FALSE)," ")</f>
        <v xml:space="preserve"> </v>
      </c>
      <c r="L1782" s="1"/>
      <c r="M1782" s="1"/>
      <c r="N1782" s="1"/>
      <c r="O1782" s="15" t="str">
        <f>IF(B1788=0,VLOOKUP(A1788,Feuil2!$A$2:$M$1241,13,FALSE)," ")</f>
        <v>08507000262004868587</v>
      </c>
    </row>
    <row r="1783" spans="1:15" x14ac:dyDescent="0.3">
      <c r="A1783" s="1">
        <v>1780</v>
      </c>
      <c r="B1783" s="1">
        <v>0</v>
      </c>
      <c r="C1783" s="1" t="str">
        <f>IF(B1783=0,VLOOKUP(A1783,Feuil2!$A$2:$M$1241,2,FALSE)," ")</f>
        <v>SASSI</v>
      </c>
      <c r="D1783" s="1" t="str">
        <f>IF(B1783=0,VLOOKUP(A1783,Feuil2!$A$2:$M$1241,3,FALSE)," ")</f>
        <v>SAIFELLAH</v>
      </c>
      <c r="E1783" s="5">
        <f>IF(B1783=0,VLOOKUP(A1783,Feuil2!$A$2:$M$1241,6,FALSE)," ")</f>
        <v>25986</v>
      </c>
      <c r="F1783" s="1" t="str">
        <f>IF(B1783=0,VLOOKUP(A1783,Feuil2!$A$2:$M$1241,12,FALSE)," ")</f>
        <v>H</v>
      </c>
      <c r="G1783" s="1" t="str">
        <f>IF(B1783=0,VLOOKUP(A1783,Feuil2!$A$2:$M$1241,11,FALSE)," ")</f>
        <v>M</v>
      </c>
      <c r="H1783" s="1" t="s">
        <v>16</v>
      </c>
      <c r="I1783" s="6">
        <f>IF(B1783=0,VLOOKUP(A1783,Feuil2!$A$2:$M$1241,7,FALSE)," ")</f>
        <v>5529485</v>
      </c>
      <c r="J1783" s="1" t="str">
        <f>IF(B1783=0,VLOOKUP(A1783,Feuil2!$A$2:$M$1241,9,FALSE)," ")</f>
        <v>7 Rue de Mouritani</v>
      </c>
      <c r="K1783" s="1" t="str">
        <f>IF(B1783=0,VLOOKUP(A1783,Feuil2!$A$2:$M$1241,10,FALSE)," ")</f>
        <v>Msaken 4070</v>
      </c>
      <c r="L1783" s="1">
        <v>4070</v>
      </c>
      <c r="M1783" s="1">
        <v>22621860</v>
      </c>
      <c r="N1783" s="1"/>
      <c r="O1783" s="15" t="str">
        <f>IF(B1790=0,VLOOKUP(A1790,Feuil2!$A$2:$M$1241,13,FALSE)," ")</f>
        <v>10506040203833978870</v>
      </c>
    </row>
    <row r="1784" spans="1:15" x14ac:dyDescent="0.3">
      <c r="A1784" s="1">
        <v>1780</v>
      </c>
      <c r="B1784" s="1">
        <v>1</v>
      </c>
      <c r="C1784" s="1" t="s">
        <v>2736</v>
      </c>
      <c r="D1784" s="1" t="s">
        <v>2175</v>
      </c>
      <c r="E1784" s="5">
        <v>27340</v>
      </c>
      <c r="F1784" s="1" t="s">
        <v>17</v>
      </c>
      <c r="G1784" s="1" t="s">
        <v>15</v>
      </c>
      <c r="H1784" s="1" t="s">
        <v>16</v>
      </c>
      <c r="I1784" s="6" t="str">
        <f>IF(B1784=0,VLOOKUP(A1784,Feuil2!$A$2:$M$1241,7,FALSE)," ")</f>
        <v xml:space="preserve"> </v>
      </c>
      <c r="J1784" s="1" t="str">
        <f>IF(B1784=0,VLOOKUP(A1784,Feuil2!$A$2:$M$1241,9,FALSE)," ")</f>
        <v xml:space="preserve"> </v>
      </c>
      <c r="K1784" s="1" t="str">
        <f>IF(B1784=0,VLOOKUP(A1784,Feuil2!$A$2:$M$1241,10,FALSE)," ")</f>
        <v xml:space="preserve"> </v>
      </c>
      <c r="L1784" s="1"/>
      <c r="M1784" s="1"/>
      <c r="N1784" s="1"/>
      <c r="O1784" s="8" t="str">
        <f>IF(B1791=0,VLOOKUP(A1791,Feuil2!$A$2:$M$1241,13,FALSE)," ")</f>
        <v xml:space="preserve"> </v>
      </c>
    </row>
    <row r="1785" spans="1:15" x14ac:dyDescent="0.3">
      <c r="A1785" s="1">
        <v>1780</v>
      </c>
      <c r="B1785" s="1">
        <v>2</v>
      </c>
      <c r="C1785" s="1" t="s">
        <v>104</v>
      </c>
      <c r="D1785" s="1" t="s">
        <v>287</v>
      </c>
      <c r="E1785" s="5">
        <v>39210</v>
      </c>
      <c r="F1785" s="1" t="s">
        <v>506</v>
      </c>
      <c r="G1785" s="1" t="str">
        <f>IF(B1785=0,VLOOKUP(A1785,Feuil2!$A$2:$M$1241,11,FALSE)," ")</f>
        <v xml:space="preserve"> </v>
      </c>
      <c r="H1785" s="1" t="s">
        <v>16</v>
      </c>
      <c r="I1785" s="6" t="str">
        <f>IF(B1785=0,VLOOKUP(A1785,Feuil2!$A$2:$M$1241,7,FALSE)," ")</f>
        <v xml:space="preserve"> </v>
      </c>
      <c r="J1785" s="1" t="str">
        <f>IF(B1785=0,VLOOKUP(A1785,Feuil2!$A$2:$M$1241,9,FALSE)," ")</f>
        <v xml:space="preserve"> </v>
      </c>
      <c r="K1785" s="1" t="str">
        <f>IF(B1785=0,VLOOKUP(A1785,Feuil2!$A$2:$M$1241,10,FALSE)," ")</f>
        <v xml:space="preserve"> </v>
      </c>
      <c r="L1785" s="1"/>
      <c r="M1785" s="1"/>
      <c r="N1785" s="1"/>
      <c r="O1785" s="8" t="str">
        <f>IF(B1792=0,VLOOKUP(A1792,Feuil2!$A$2:$M$1241,13,FALSE)," ")</f>
        <v xml:space="preserve"> </v>
      </c>
    </row>
    <row r="1786" spans="1:15" x14ac:dyDescent="0.3">
      <c r="A1786" s="1">
        <v>1780</v>
      </c>
      <c r="B1786" s="1">
        <v>3</v>
      </c>
      <c r="C1786" s="1" t="s">
        <v>104</v>
      </c>
      <c r="D1786" s="1" t="s">
        <v>2367</v>
      </c>
      <c r="E1786" s="5">
        <v>39861</v>
      </c>
      <c r="F1786" s="1" t="s">
        <v>17</v>
      </c>
      <c r="G1786" s="1" t="str">
        <f>IF(B1786=0,VLOOKUP(A1786,Feuil2!$A$2:$M$1241,11,FALSE)," ")</f>
        <v xml:space="preserve"> </v>
      </c>
      <c r="H1786" s="1" t="s">
        <v>16</v>
      </c>
      <c r="I1786" s="6" t="str">
        <f>IF(B1786=0,VLOOKUP(A1786,Feuil2!$A$2:$M$1241,7,FALSE)," ")</f>
        <v xml:space="preserve"> </v>
      </c>
      <c r="J1786" s="1" t="str">
        <f>IF(B1786=0,VLOOKUP(A1786,Feuil2!$A$2:$M$1241,9,FALSE)," ")</f>
        <v xml:space="preserve"> </v>
      </c>
      <c r="K1786" s="1" t="str">
        <f>IF(B1786=0,VLOOKUP(A1786,Feuil2!$A$2:$M$1241,10,FALSE)," ")</f>
        <v xml:space="preserve"> </v>
      </c>
      <c r="L1786" s="1"/>
      <c r="M1786" s="1"/>
      <c r="N1786" s="1"/>
      <c r="O1786" s="8" t="str">
        <f>IF(B1793=0,VLOOKUP(A1793,Feuil2!$A$2:$M$1241,13,FALSE)," ")</f>
        <v xml:space="preserve"> </v>
      </c>
    </row>
    <row r="1787" spans="1:15" x14ac:dyDescent="0.3">
      <c r="A1787" s="1">
        <v>1780</v>
      </c>
      <c r="B1787" s="1">
        <v>4</v>
      </c>
      <c r="C1787" s="1" t="s">
        <v>104</v>
      </c>
      <c r="D1787" s="1" t="s">
        <v>89</v>
      </c>
      <c r="E1787" s="5">
        <v>40682</v>
      </c>
      <c r="F1787" s="1" t="s">
        <v>506</v>
      </c>
      <c r="G1787" s="1" t="str">
        <f>IF(B1787=0,VLOOKUP(A1787,Feuil2!$A$2:$M$1241,11,FALSE)," ")</f>
        <v xml:space="preserve"> </v>
      </c>
      <c r="H1787" s="1" t="s">
        <v>16</v>
      </c>
      <c r="I1787" s="6" t="str">
        <f>IF(B1787=0,VLOOKUP(A1787,Feuil2!$A$2:$M$1241,7,FALSE)," ")</f>
        <v xml:space="preserve"> </v>
      </c>
      <c r="J1787" s="1" t="str">
        <f>IF(B1787=0,VLOOKUP(A1787,Feuil2!$A$2:$M$1241,9,FALSE)," ")</f>
        <v xml:space="preserve"> </v>
      </c>
      <c r="K1787" s="1" t="str">
        <f>IF(B1787=0,VLOOKUP(A1787,Feuil2!$A$2:$M$1241,10,FALSE)," ")</f>
        <v xml:space="preserve"> </v>
      </c>
      <c r="L1787" s="1"/>
      <c r="M1787" s="1"/>
      <c r="N1787" s="1"/>
      <c r="O1787" s="8" t="str">
        <f>IF(B1794=0,VLOOKUP(A1794,Feuil2!$A$2:$M$1241,13,FALSE)," ")</f>
        <v xml:space="preserve"> </v>
      </c>
    </row>
    <row r="1788" spans="1:15" x14ac:dyDescent="0.3">
      <c r="A1788" s="1">
        <v>1754</v>
      </c>
      <c r="B1788" s="12">
        <v>0</v>
      </c>
      <c r="C1788" s="12" t="str">
        <f>IF(B1788=0,VLOOKUP(A1788,Feuil2!$A$2:$M$1241,2,FALSE)," ")</f>
        <v>MAHJOUB</v>
      </c>
      <c r="D1788" s="12" t="str">
        <f>IF(B1788=0,VLOOKUP(A1788,Feuil2!$A$2:$M$1241,3,FALSE)," ")</f>
        <v>RADHOUANE</v>
      </c>
      <c r="E1788" s="13">
        <f>IF(B1788=0,VLOOKUP(A1788,Feuil2!$A$2:$M$1241,6,FALSE)," ")</f>
        <v>29522</v>
      </c>
      <c r="F1788" s="12" t="str">
        <f>IF(B1788=0,VLOOKUP(A1788,Feuil2!$A$2:$M$1241,12,FALSE)," ")</f>
        <v>H</v>
      </c>
      <c r="G1788" s="12" t="str">
        <f>IF(B1788=0,VLOOKUP(A1788,Feuil2!$A$2:$M$1241,11,FALSE)," ")</f>
        <v>C</v>
      </c>
      <c r="H1788" s="12" t="s">
        <v>16</v>
      </c>
      <c r="I1788" s="14">
        <f>IF(B1788=0,VLOOKUP(A1788,Feuil2!$A$2:$M$1241,7,FALSE)," ")</f>
        <v>8425098</v>
      </c>
      <c r="J1788" s="12" t="str">
        <f>IF(B1788=0,VLOOKUP(A1788,Feuil2!$A$2:$M$1241,9,FALSE)," ")</f>
        <v>NULL</v>
      </c>
      <c r="K1788" s="12" t="str">
        <f>IF(B1788=0,VLOOKUP(A1788,Feuil2!$A$2:$M$1241,10,FALSE)," ")</f>
        <v>CitÃ© Erriadh</v>
      </c>
      <c r="L1788" s="12"/>
      <c r="M1788" s="12">
        <v>97347013</v>
      </c>
      <c r="N1788" s="12"/>
      <c r="O1788" s="15" t="str">
        <f>IF(B1795=0,VLOOKUP(A1795,Feuil2!$A$2:$M$1241,13,FALSE)," ")</f>
        <v>17503000000133558820</v>
      </c>
    </row>
    <row r="1789" spans="1:15" x14ac:dyDescent="0.3">
      <c r="A1789" s="1">
        <v>1754</v>
      </c>
      <c r="B1789" s="1">
        <v>1</v>
      </c>
      <c r="C1789" s="1" t="s">
        <v>2367</v>
      </c>
      <c r="D1789" s="1" t="s">
        <v>2336</v>
      </c>
      <c r="E1789" s="5">
        <v>33080</v>
      </c>
      <c r="F1789" s="1" t="s">
        <v>17</v>
      </c>
      <c r="G1789" s="1"/>
      <c r="H1789" s="1"/>
      <c r="I1789" s="6"/>
      <c r="J1789" s="1"/>
      <c r="K1789" s="1"/>
      <c r="L1789" s="1"/>
      <c r="M1789" s="1"/>
      <c r="N1789" s="1"/>
      <c r="O1789" s="8"/>
    </row>
    <row r="1790" spans="1:15" x14ac:dyDescent="0.3">
      <c r="A1790" s="1">
        <v>809</v>
      </c>
      <c r="B1790" s="12">
        <v>0</v>
      </c>
      <c r="C1790" s="12" t="str">
        <f>IF(B1790=0,VLOOKUP(A1790,Feuil2!$A$2:$M$1241,2,FALSE)," ")</f>
        <v>HADJ AMMAR</v>
      </c>
      <c r="D1790" s="12" t="str">
        <f>IF(B1790=0,VLOOKUP(A1790,Feuil2!$A$2:$M$1241,3,FALSE)," ")</f>
        <v>KAMEL</v>
      </c>
      <c r="E1790" s="13">
        <f>IF(B1790=0,VLOOKUP(A1790,Feuil2!$A$2:$M$1241,6,FALSE)," ")</f>
        <v>23613</v>
      </c>
      <c r="F1790" s="12" t="str">
        <f>IF(B1790=0,VLOOKUP(A1790,Feuil2!$A$2:$M$1241,12,FALSE)," ")</f>
        <v>H</v>
      </c>
      <c r="G1790" s="12" t="str">
        <f>IF(B1790=0,VLOOKUP(A1790,Feuil2!$A$2:$M$1241,11,FALSE)," ")</f>
        <v>M</v>
      </c>
      <c r="H1790" s="12" t="s">
        <v>16</v>
      </c>
      <c r="I1790" s="14">
        <f>IF(B1790=0,VLOOKUP(A1790,Feuil2!$A$2:$M$1241,7,FALSE)," ")</f>
        <v>2978228</v>
      </c>
      <c r="J1790" s="12" t="str">
        <f>IF(B1790=0,VLOOKUP(A1790,Feuil2!$A$2:$M$1241,9,FALSE)," ")</f>
        <v>4025 Sidi El Hani</v>
      </c>
      <c r="K1790" s="12" t="str">
        <f>IF(B1790=0,VLOOKUP(A1790,Feuil2!$A$2:$M$1241,10,FALSE)," ")</f>
        <v>Sidi El HÃ©ni 4025</v>
      </c>
      <c r="L1790" s="12"/>
      <c r="M1790" s="12">
        <v>96542859</v>
      </c>
      <c r="N1790" s="12"/>
      <c r="O1790" s="8" t="str">
        <f>IF(B1796=0,VLOOKUP(A1796,Feuil2!$A$2:$M$1241,13,FALSE)," ")</f>
        <v xml:space="preserve"> </v>
      </c>
    </row>
    <row r="1791" spans="1:15" x14ac:dyDescent="0.3">
      <c r="A1791" s="1">
        <v>809</v>
      </c>
      <c r="B1791" s="1">
        <v>1</v>
      </c>
      <c r="C1791" s="1" t="s">
        <v>965</v>
      </c>
      <c r="D1791" s="1" t="s">
        <v>2348</v>
      </c>
      <c r="E1791" s="5">
        <v>29285</v>
      </c>
      <c r="F1791" s="1" t="s">
        <v>17</v>
      </c>
      <c r="G1791" s="1" t="s">
        <v>15</v>
      </c>
      <c r="H1791" s="1" t="s">
        <v>16</v>
      </c>
      <c r="I1791" s="6" t="str">
        <f>IF(B1791=0,VLOOKUP(A1791,Feuil2!$A$2:$M$1241,7,FALSE)," ")</f>
        <v xml:space="preserve"> </v>
      </c>
      <c r="J1791" s="1" t="str">
        <f>IF(B1791=0,VLOOKUP(A1791,Feuil2!$A$2:$M$1241,9,FALSE)," ")</f>
        <v xml:space="preserve"> </v>
      </c>
      <c r="K1791" s="1" t="str">
        <f>IF(B1791=0,VLOOKUP(A1791,Feuil2!$A$2:$M$1241,10,FALSE)," ")</f>
        <v xml:space="preserve"> </v>
      </c>
      <c r="L1791" s="1"/>
      <c r="M1791" s="1"/>
      <c r="N1791" s="1"/>
      <c r="O1791" s="8" t="str">
        <f>IF(B1797=0,VLOOKUP(A1797,Feuil2!$A$2:$M$1241,13,FALSE)," ")</f>
        <v xml:space="preserve"> </v>
      </c>
    </row>
    <row r="1792" spans="1:15" x14ac:dyDescent="0.3">
      <c r="A1792" s="1">
        <v>809</v>
      </c>
      <c r="B1792" s="1">
        <v>2</v>
      </c>
      <c r="C1792" s="1" t="s">
        <v>1258</v>
      </c>
      <c r="D1792" s="1" t="s">
        <v>39</v>
      </c>
      <c r="E1792" s="5">
        <v>37428</v>
      </c>
      <c r="F1792" s="1" t="s">
        <v>506</v>
      </c>
      <c r="G1792" s="1" t="str">
        <f>IF(B1792=0,VLOOKUP(A1792,Feuil2!$A$2:$M$1241,11,FALSE)," ")</f>
        <v xml:space="preserve"> </v>
      </c>
      <c r="H1792" s="1" t="s">
        <v>16</v>
      </c>
      <c r="I1792" s="6" t="str">
        <f>IF(B1792=0,VLOOKUP(A1792,Feuil2!$A$2:$M$1241,7,FALSE)," ")</f>
        <v xml:space="preserve"> </v>
      </c>
      <c r="J1792" s="1" t="str">
        <f>IF(B1792=0,VLOOKUP(A1792,Feuil2!$A$2:$M$1241,9,FALSE)," ")</f>
        <v xml:space="preserve"> </v>
      </c>
      <c r="K1792" s="1" t="str">
        <f>IF(B1792=0,VLOOKUP(A1792,Feuil2!$A$2:$M$1241,10,FALSE)," ")</f>
        <v xml:space="preserve"> </v>
      </c>
      <c r="L1792" s="1"/>
      <c r="M1792" s="1"/>
      <c r="N1792" s="1"/>
      <c r="O1792" s="23" t="s">
        <v>2803</v>
      </c>
    </row>
    <row r="1793" spans="1:15" x14ac:dyDescent="0.3">
      <c r="A1793" s="1">
        <v>809</v>
      </c>
      <c r="B1793" s="1">
        <v>3</v>
      </c>
      <c r="C1793" s="1" t="s">
        <v>1258</v>
      </c>
      <c r="D1793" s="1" t="s">
        <v>172</v>
      </c>
      <c r="E1793" s="5">
        <v>38489</v>
      </c>
      <c r="F1793" s="1" t="s">
        <v>506</v>
      </c>
      <c r="G1793" s="1" t="str">
        <f>IF(B1793=0,VLOOKUP(A1793,Feuil2!$A$2:$M$1241,11,FALSE)," ")</f>
        <v xml:space="preserve"> </v>
      </c>
      <c r="H1793" s="1" t="s">
        <v>16</v>
      </c>
      <c r="I1793" s="6" t="str">
        <f>IF(B1793=0,VLOOKUP(A1793,Feuil2!$A$2:$M$1241,7,FALSE)," ")</f>
        <v xml:space="preserve"> </v>
      </c>
      <c r="J1793" s="1" t="str">
        <f>IF(B1793=0,VLOOKUP(A1793,Feuil2!$A$2:$M$1241,9,FALSE)," ")</f>
        <v xml:space="preserve"> </v>
      </c>
      <c r="K1793" s="1" t="str">
        <f>IF(B1793=0,VLOOKUP(A1793,Feuil2!$A$2:$M$1241,10,FALSE)," ")</f>
        <v xml:space="preserve"> </v>
      </c>
      <c r="L1793" s="1"/>
      <c r="M1793" s="1"/>
      <c r="N1793" s="1"/>
      <c r="O1793" s="8" t="str">
        <f>IF(B1800=0,VLOOKUP(A1800,Feuil2!$A$2:$M$1241,13,FALSE)," ")</f>
        <v xml:space="preserve"> </v>
      </c>
    </row>
    <row r="1794" spans="1:15" x14ac:dyDescent="0.3">
      <c r="A1794" s="1">
        <v>809</v>
      </c>
      <c r="B1794" s="1">
        <v>4</v>
      </c>
      <c r="C1794" s="1" t="s">
        <v>1258</v>
      </c>
      <c r="D1794" s="1" t="s">
        <v>2332</v>
      </c>
      <c r="E1794" s="5">
        <v>41653</v>
      </c>
      <c r="F1794" s="1" t="s">
        <v>17</v>
      </c>
      <c r="G1794" s="1" t="str">
        <f>IF(B1794=0,VLOOKUP(A1794,Feuil2!$A$2:$M$1241,11,FALSE)," ")</f>
        <v xml:space="preserve"> </v>
      </c>
      <c r="H1794" s="1" t="s">
        <v>16</v>
      </c>
      <c r="I1794" s="6" t="str">
        <f>IF(B1794=0,VLOOKUP(A1794,Feuil2!$A$2:$M$1241,7,FALSE)," ")</f>
        <v xml:space="preserve"> </v>
      </c>
      <c r="J1794" s="1" t="str">
        <f>IF(B1794=0,VLOOKUP(A1794,Feuil2!$A$2:$M$1241,9,FALSE)," ")</f>
        <v xml:space="preserve"> </v>
      </c>
      <c r="K1794" s="1" t="str">
        <f>IF(B1794=0,VLOOKUP(A1794,Feuil2!$A$2:$M$1241,10,FALSE)," ")</f>
        <v xml:space="preserve"> </v>
      </c>
      <c r="L1794" s="1"/>
      <c r="M1794" s="1"/>
      <c r="N1794" s="1"/>
      <c r="O1794" s="8" t="str">
        <f>IF(B1801=0,VLOOKUP(A1801,Feuil2!$A$2:$M$1241,13,FALSE)," ")</f>
        <v xml:space="preserve"> </v>
      </c>
    </row>
    <row r="1795" spans="1:15" x14ac:dyDescent="0.3">
      <c r="A1795" s="1">
        <v>2200</v>
      </c>
      <c r="B1795" s="12">
        <v>0</v>
      </c>
      <c r="C1795" s="12" t="str">
        <f>IF(B1795=0,VLOOKUP(A1795,Feuil2!$A$2:$M$1241,2,FALSE)," ")</f>
        <v>MOHAMED</v>
      </c>
      <c r="D1795" s="12" t="str">
        <f>IF(B1795=0,VLOOKUP(A1795,Feuil2!$A$2:$M$1241,3,FALSE)," ")</f>
        <v>HANI</v>
      </c>
      <c r="E1795" s="13">
        <f>IF(B1795=0,VLOOKUP(A1795,Feuil2!$A$2:$M$1241,6,FALSE)," ")</f>
        <v>32085</v>
      </c>
      <c r="F1795" s="12" t="str">
        <f>IF(B1795=0,VLOOKUP(A1795,Feuil2!$A$2:$M$1241,12,FALSE)," ")</f>
        <v>H</v>
      </c>
      <c r="G1795" s="12" t="str">
        <f>IF(B1795=0,VLOOKUP(A1795,Feuil2!$A$2:$M$1241,11,FALSE)," ")</f>
        <v>M</v>
      </c>
      <c r="H1795" s="12" t="s">
        <v>16</v>
      </c>
      <c r="I1795" s="14">
        <f>IF(B1795=0,VLOOKUP(A1795,Feuil2!$A$2:$M$1241,7,FALSE)," ")</f>
        <v>9279896</v>
      </c>
      <c r="J1795" s="12" t="str">
        <f>IF(B1795=0,VLOOKUP(A1795,Feuil2!$A$2:$M$1241,9,FALSE)," ")</f>
        <v>Aouled kbair</v>
      </c>
      <c r="K1795" s="12" t="str">
        <f>IF(B1795=0,VLOOKUP(A1795,Feuil2!$A$2:$M$1241,10,FALSE)," ")</f>
        <v>Sidi El HÃ©ni 4025</v>
      </c>
      <c r="L1795" s="12"/>
      <c r="M1795" s="12">
        <v>28118302</v>
      </c>
      <c r="N1795" s="12"/>
      <c r="O1795" s="8"/>
    </row>
    <row r="1796" spans="1:15" x14ac:dyDescent="0.3">
      <c r="A1796" s="1">
        <v>2200</v>
      </c>
      <c r="B1796" s="1">
        <v>1</v>
      </c>
      <c r="C1796" s="1" t="s">
        <v>2800</v>
      </c>
      <c r="D1796" s="1" t="s">
        <v>2219</v>
      </c>
      <c r="E1796" s="5">
        <v>33912</v>
      </c>
      <c r="F1796" s="1" t="s">
        <v>17</v>
      </c>
      <c r="G1796" s="1" t="s">
        <v>15</v>
      </c>
      <c r="H1796" s="1" t="s">
        <v>16</v>
      </c>
      <c r="I1796" s="6" t="str">
        <f>IF(B1796=0,VLOOKUP(A1796,Feuil2!$A$2:$M$1241,7,FALSE)," ")</f>
        <v xml:space="preserve"> </v>
      </c>
      <c r="J1796" s="1" t="str">
        <f>IF(B1796=0,VLOOKUP(A1796,Feuil2!$A$2:$M$1241,9,FALSE)," ")</f>
        <v xml:space="preserve"> </v>
      </c>
      <c r="K1796" s="1" t="str">
        <f>IF(B1796=0,VLOOKUP(A1796,Feuil2!$A$2:$M$1241,10,FALSE)," ")</f>
        <v xml:space="preserve"> </v>
      </c>
      <c r="L1796" s="1"/>
      <c r="M1796" s="1"/>
      <c r="N1796" s="1"/>
      <c r="O1796" s="15" t="str">
        <f>IF(B1803=0,VLOOKUP(A1803,Feuil2!$A$2:$M$1241,13,FALSE)," ")</f>
        <v>25018000000016719668</v>
      </c>
    </row>
    <row r="1797" spans="1:15" x14ac:dyDescent="0.3">
      <c r="A1797" s="1">
        <v>2200</v>
      </c>
      <c r="B1797" s="1">
        <v>2</v>
      </c>
      <c r="C1797" s="1" t="s">
        <v>34</v>
      </c>
      <c r="D1797" s="1" t="s">
        <v>2533</v>
      </c>
      <c r="E1797" s="5">
        <v>43923</v>
      </c>
      <c r="F1797" s="1" t="s">
        <v>506</v>
      </c>
      <c r="G1797" s="1" t="str">
        <f>IF(B1797=0,VLOOKUP(A1797,Feuil2!$A$2:$M$1241,11,FALSE)," ")</f>
        <v xml:space="preserve"> </v>
      </c>
      <c r="H1797" s="1" t="s">
        <v>16</v>
      </c>
      <c r="I1797" s="6" t="str">
        <f>IF(B1797=0,VLOOKUP(A1797,Feuil2!$A$2:$M$1241,7,FALSE)," ")</f>
        <v xml:space="preserve"> </v>
      </c>
      <c r="J1797" s="1" t="str">
        <f>IF(B1797=0,VLOOKUP(A1797,Feuil2!$A$2:$M$1241,9,FALSE)," ")</f>
        <v xml:space="preserve"> </v>
      </c>
      <c r="K1797" s="1" t="str">
        <f>IF(B1797=0,VLOOKUP(A1797,Feuil2!$A$2:$M$1241,10,FALSE)," ")</f>
        <v xml:space="preserve"> </v>
      </c>
      <c r="L1797" s="1"/>
      <c r="M1797" s="1"/>
      <c r="N1797" s="1"/>
      <c r="O1797" s="8" t="str">
        <f>IF(B1804=0,VLOOKUP(A1804,Feuil2!$A$2:$M$1241,13,FALSE)," ")</f>
        <v xml:space="preserve"> </v>
      </c>
    </row>
    <row r="1798" spans="1:15" x14ac:dyDescent="0.3">
      <c r="A1798" s="1">
        <v>2200</v>
      </c>
      <c r="B1798" s="1">
        <v>3</v>
      </c>
      <c r="C1798" s="1" t="s">
        <v>34</v>
      </c>
      <c r="D1798" s="1" t="s">
        <v>77</v>
      </c>
      <c r="E1798" s="5">
        <v>45130</v>
      </c>
      <c r="F1798" s="1" t="s">
        <v>506</v>
      </c>
      <c r="G1798" s="1"/>
      <c r="H1798" s="1"/>
      <c r="I1798" s="6"/>
      <c r="J1798" s="1"/>
      <c r="K1798" s="1"/>
      <c r="L1798" s="1"/>
      <c r="M1798" s="1"/>
      <c r="N1798" s="1"/>
      <c r="O1798" s="8"/>
    </row>
    <row r="1799" spans="1:15" x14ac:dyDescent="0.3">
      <c r="A1799" s="1">
        <v>2036</v>
      </c>
      <c r="B1799" s="12">
        <v>0</v>
      </c>
      <c r="C1799" s="12" t="str">
        <f>IF(B1799=0,VLOOKUP(A1799,Feuil2!$A$2:$M$1241,2,FALSE)," ")</f>
        <v>BOUARGOUB</v>
      </c>
      <c r="D1799" s="12" t="str">
        <f>IF(B1799=0,VLOOKUP(A1799,Feuil2!$A$2:$M$1241,3,FALSE)," ")</f>
        <v>IMEDEDDINE</v>
      </c>
      <c r="E1799" s="13">
        <f>IF(B1799=0,VLOOKUP(A1799,Feuil2!$A$2:$M$1241,6,FALSE)," ")</f>
        <v>31442</v>
      </c>
      <c r="F1799" s="12" t="str">
        <f>IF(B1799=0,VLOOKUP(A1799,Feuil2!$A$2:$M$1241,12,FALSE)," ")</f>
        <v>H</v>
      </c>
      <c r="G1799" s="12" t="s">
        <v>15</v>
      </c>
      <c r="H1799" s="12" t="s">
        <v>16</v>
      </c>
      <c r="I1799" s="14">
        <f>IF(B1799=0,VLOOKUP(A1799,Feuil2!$A$2:$M$1241,7,FALSE)," ")</f>
        <v>8471520</v>
      </c>
      <c r="J1799" s="12" t="str">
        <f>IF(B1799=0,VLOOKUP(A1799,Feuil2!$A$2:$M$1241,9,FALSE)," ")</f>
        <v>Rue Jedda</v>
      </c>
      <c r="K1799" s="12" t="str">
        <f>IF(B1799=0,VLOOKUP(A1799,Feuil2!$A$2:$M$1241,10,FALSE)," ")</f>
        <v>Msaken 4070</v>
      </c>
      <c r="L1799" s="12">
        <v>4070</v>
      </c>
      <c r="M1799" s="12">
        <v>22833533</v>
      </c>
      <c r="N1799" s="12"/>
      <c r="O1799" s="8" t="str">
        <f>IF(B1805=0,VLOOKUP(A1805,Feuil2!$A$2:$M$1241,13,FALSE)," ")</f>
        <v xml:space="preserve"> </v>
      </c>
    </row>
    <row r="1800" spans="1:15" x14ac:dyDescent="0.3">
      <c r="A1800" s="1">
        <v>2036</v>
      </c>
      <c r="B1800" s="1">
        <v>1</v>
      </c>
      <c r="C1800" s="1" t="s">
        <v>2471</v>
      </c>
      <c r="D1800" s="1" t="s">
        <v>2551</v>
      </c>
      <c r="E1800" s="5">
        <v>33218</v>
      </c>
      <c r="F1800" s="1" t="s">
        <v>17</v>
      </c>
      <c r="G1800" s="1" t="s">
        <v>15</v>
      </c>
      <c r="H1800" s="1" t="s">
        <v>16</v>
      </c>
      <c r="I1800" s="6" t="str">
        <f>IF(B1800=0,VLOOKUP(A1800,Feuil2!$A$2:$M$1241,7,FALSE)," ")</f>
        <v xml:space="preserve"> </v>
      </c>
      <c r="J1800" s="1" t="str">
        <f>IF(B1800=0,VLOOKUP(A1800,Feuil2!$A$2:$M$1241,9,FALSE)," ")</f>
        <v xml:space="preserve"> </v>
      </c>
      <c r="K1800" s="1" t="str">
        <f>IF(B1800=0,VLOOKUP(A1800,Feuil2!$A$2:$M$1241,10,FALSE)," ")</f>
        <v xml:space="preserve"> </v>
      </c>
      <c r="L1800" s="1"/>
      <c r="M1800" s="1"/>
      <c r="N1800" s="1"/>
      <c r="O1800" s="8" t="str">
        <f>IF(B1806=0,VLOOKUP(A1806,Feuil2!$A$2:$M$1241,13,FALSE)," ")</f>
        <v xml:space="preserve"> </v>
      </c>
    </row>
    <row r="1801" spans="1:15" x14ac:dyDescent="0.3">
      <c r="A1801" s="1">
        <v>2036</v>
      </c>
      <c r="B1801" s="1">
        <v>2</v>
      </c>
      <c r="C1801" s="1" t="s">
        <v>446</v>
      </c>
      <c r="D1801" s="1" t="s">
        <v>2802</v>
      </c>
      <c r="E1801" s="5">
        <v>43607</v>
      </c>
      <c r="F1801" s="1" t="s">
        <v>17</v>
      </c>
      <c r="G1801" s="1" t="str">
        <f>IF(B1801=0,VLOOKUP(A1801,Feuil2!$A$2:$M$1241,11,FALSE)," ")</f>
        <v xml:space="preserve"> </v>
      </c>
      <c r="H1801" s="1" t="s">
        <v>16</v>
      </c>
      <c r="I1801" s="6" t="str">
        <f>IF(B1801=0,VLOOKUP(A1801,Feuil2!$A$2:$M$1241,7,FALSE)," ")</f>
        <v xml:space="preserve"> </v>
      </c>
      <c r="J1801" s="1" t="str">
        <f>IF(B1801=0,VLOOKUP(A1801,Feuil2!$A$2:$M$1241,9,FALSE)," ")</f>
        <v xml:space="preserve"> </v>
      </c>
      <c r="K1801" s="1" t="str">
        <f>IF(B1801=0,VLOOKUP(A1801,Feuil2!$A$2:$M$1241,10,FALSE)," ")</f>
        <v xml:space="preserve"> </v>
      </c>
      <c r="L1801" s="1"/>
      <c r="M1801" s="1"/>
      <c r="N1801" s="1"/>
      <c r="O1801" s="8" t="str">
        <f>IF(B1807=0,VLOOKUP(A1807,Feuil2!$A$2:$M$1241,13,FALSE)," ")</f>
        <v xml:space="preserve"> </v>
      </c>
    </row>
    <row r="1802" spans="1:15" x14ac:dyDescent="0.3">
      <c r="A1802" s="1">
        <v>2036</v>
      </c>
      <c r="B1802" s="1">
        <v>3</v>
      </c>
      <c r="C1802" s="1" t="s">
        <v>446</v>
      </c>
      <c r="D1802" s="1" t="s">
        <v>2817</v>
      </c>
      <c r="E1802" s="5">
        <v>44425</v>
      </c>
      <c r="F1802" s="1" t="s">
        <v>17</v>
      </c>
      <c r="G1802" s="1"/>
      <c r="H1802" s="1"/>
      <c r="I1802" s="6"/>
      <c r="J1802" s="1"/>
      <c r="K1802" s="1"/>
      <c r="L1802" s="1"/>
      <c r="M1802" s="1"/>
      <c r="N1802" s="1"/>
      <c r="O1802" s="8" t="str">
        <f>IF(B1808=0,VLOOKUP(A1808,Feuil2!$A$2:$M$1241,13,FALSE)," ")</f>
        <v xml:space="preserve"> </v>
      </c>
    </row>
    <row r="1803" spans="1:15" x14ac:dyDescent="0.3">
      <c r="A1803" s="1">
        <v>1576</v>
      </c>
      <c r="B1803" s="12">
        <v>0</v>
      </c>
      <c r="C1803" s="12" t="str">
        <f>IF(B1803=0,VLOOKUP(A1803,Feuil2!$A$2:$M$1241,2,FALSE)," ")</f>
        <v>MNED</v>
      </c>
      <c r="D1803" s="12" t="str">
        <f>IF(B1803=0,VLOOKUP(A1803,Feuil2!$A$2:$M$1241,3,FALSE)," ")</f>
        <v>MOHAMED BEN AHMED</v>
      </c>
      <c r="E1803" s="13">
        <f>IF(B1803=0,VLOOKUP(A1803,Feuil2!$A$2:$M$1241,6,FALSE)," ")</f>
        <v>26301</v>
      </c>
      <c r="F1803" s="12" t="str">
        <f>IF(B1803=0,VLOOKUP(A1803,Feuil2!$A$2:$M$1241,12,FALSE)," ")</f>
        <v>H</v>
      </c>
      <c r="G1803" s="12" t="str">
        <f>IF(B1803=0,VLOOKUP(A1803,Feuil2!$A$2:$M$1241,11,FALSE)," ")</f>
        <v>M</v>
      </c>
      <c r="H1803" s="12" t="s">
        <v>16</v>
      </c>
      <c r="I1803" s="14">
        <f>IF(B1803=0,VLOOKUP(A1803,Feuil2!$A$2:$M$1241,7,FALSE)," ")</f>
        <v>5520953</v>
      </c>
      <c r="J1803" s="12" t="str">
        <f>IF(B1803=0,VLOOKUP(A1803,Feuil2!$A$2:$M$1241,9,FALSE)," ")</f>
        <v>14 Rue du Caire</v>
      </c>
      <c r="K1803" s="12" t="str">
        <f>IF(B1803=0,VLOOKUP(A1803,Feuil2!$A$2:$M$1241,10,FALSE)," ")</f>
        <v>Msaken 4070</v>
      </c>
      <c r="L1803" s="12">
        <v>4070</v>
      </c>
      <c r="M1803" s="12">
        <v>27465550</v>
      </c>
      <c r="N1803" s="12"/>
      <c r="O1803" s="15" t="str">
        <f>IF(B1809=0,VLOOKUP(A1809,Feuil2!$A$2:$M$1241,13,FALSE)," ")</f>
        <v>03508056010902451936</v>
      </c>
    </row>
    <row r="1804" spans="1:15" x14ac:dyDescent="0.3">
      <c r="A1804" s="1">
        <v>1576</v>
      </c>
      <c r="B1804" s="1">
        <v>1</v>
      </c>
      <c r="C1804" s="1" t="s">
        <v>2804</v>
      </c>
      <c r="D1804" s="1" t="s">
        <v>2480</v>
      </c>
      <c r="E1804" s="5">
        <v>27888</v>
      </c>
      <c r="F1804" s="1" t="s">
        <v>17</v>
      </c>
      <c r="G1804" s="1" t="s">
        <v>15</v>
      </c>
      <c r="H1804" s="1" t="s">
        <v>16</v>
      </c>
      <c r="I1804" s="6" t="str">
        <f>IF(B1804=0,VLOOKUP(A1804,Feuil2!$A$2:$M$1241,7,FALSE)," ")</f>
        <v xml:space="preserve"> </v>
      </c>
      <c r="J1804" s="1" t="str">
        <f>IF(B1804=0,VLOOKUP(A1804,Feuil2!$A$2:$M$1241,9,FALSE)," ")</f>
        <v xml:space="preserve"> </v>
      </c>
      <c r="K1804" s="1" t="str">
        <f>IF(B1804=0,VLOOKUP(A1804,Feuil2!$A$2:$M$1241,10,FALSE)," ")</f>
        <v xml:space="preserve"> </v>
      </c>
      <c r="L1804" s="1"/>
      <c r="M1804" s="1"/>
      <c r="N1804" s="1"/>
      <c r="O1804" s="15" t="str">
        <f>IF(B1810=0,VLOOKUP(A1810,Feuil2!$A$2:$M$1241,13,FALSE)," ")</f>
        <v>05048000116500488037</v>
      </c>
    </row>
    <row r="1805" spans="1:15" x14ac:dyDescent="0.3">
      <c r="A1805" s="1">
        <v>1576</v>
      </c>
      <c r="B1805" s="1">
        <v>2</v>
      </c>
      <c r="C1805" s="1" t="s">
        <v>470</v>
      </c>
      <c r="D1805" s="1" t="s">
        <v>2627</v>
      </c>
      <c r="E1805" s="5">
        <v>37475</v>
      </c>
      <c r="F1805" s="1" t="s">
        <v>506</v>
      </c>
      <c r="G1805" s="1" t="str">
        <f>IF(B1805=0,VLOOKUP(A1805,Feuil2!$A$2:$M$1241,11,FALSE)," ")</f>
        <v xml:space="preserve"> </v>
      </c>
      <c r="H1805" s="1" t="s">
        <v>16</v>
      </c>
      <c r="I1805" s="6" t="str">
        <f>IF(B1805=0,VLOOKUP(A1805,Feuil2!$A$2:$M$1241,7,FALSE)," ")</f>
        <v xml:space="preserve"> </v>
      </c>
      <c r="J1805" s="1" t="str">
        <f>IF(B1805=0,VLOOKUP(A1805,Feuil2!$A$2:$M$1241,9,FALSE)," ")</f>
        <v xml:space="preserve"> </v>
      </c>
      <c r="K1805" s="1" t="str">
        <f>IF(B1805=0,VLOOKUP(A1805,Feuil2!$A$2:$M$1241,10,FALSE)," ")</f>
        <v xml:space="preserve"> </v>
      </c>
      <c r="L1805" s="1"/>
      <c r="M1805" s="1"/>
      <c r="N1805" s="1"/>
      <c r="O1805" s="8" t="str">
        <f>IF(B1811=0,VLOOKUP(A1811,Feuil2!$A$2:$M$1241,13,FALSE)," ")</f>
        <v xml:space="preserve"> </v>
      </c>
    </row>
    <row r="1806" spans="1:15" x14ac:dyDescent="0.3">
      <c r="A1806" s="1">
        <v>1576</v>
      </c>
      <c r="B1806" s="1">
        <v>3</v>
      </c>
      <c r="C1806" s="1" t="s">
        <v>470</v>
      </c>
      <c r="D1806" s="1" t="s">
        <v>2362</v>
      </c>
      <c r="E1806" s="5">
        <v>38344</v>
      </c>
      <c r="F1806" s="1" t="s">
        <v>17</v>
      </c>
      <c r="G1806" s="1" t="str">
        <f>IF(B1806=0,VLOOKUP(A1806,Feuil2!$A$2:$M$1241,11,FALSE)," ")</f>
        <v xml:space="preserve"> </v>
      </c>
      <c r="H1806" s="1" t="s">
        <v>16</v>
      </c>
      <c r="I1806" s="6" t="str">
        <f>IF(B1806=0,VLOOKUP(A1806,Feuil2!$A$2:$M$1241,7,FALSE)," ")</f>
        <v xml:space="preserve"> </v>
      </c>
      <c r="J1806" s="1" t="str">
        <f>IF(B1806=0,VLOOKUP(A1806,Feuil2!$A$2:$M$1241,9,FALSE)," ")</f>
        <v xml:space="preserve"> </v>
      </c>
      <c r="K1806" s="1" t="str">
        <f>IF(B1806=0,VLOOKUP(A1806,Feuil2!$A$2:$M$1241,10,FALSE)," ")</f>
        <v xml:space="preserve"> </v>
      </c>
      <c r="L1806" s="1"/>
      <c r="M1806" s="1"/>
      <c r="N1806" s="1"/>
      <c r="O1806" s="8" t="str">
        <f>IF(B1812=0,VLOOKUP(A1812,Feuil2!$A$2:$M$1241,13,FALSE)," ")</f>
        <v xml:space="preserve"> </v>
      </c>
    </row>
    <row r="1807" spans="1:15" x14ac:dyDescent="0.3">
      <c r="A1807" s="1">
        <v>1576</v>
      </c>
      <c r="B1807" s="1">
        <v>4</v>
      </c>
      <c r="C1807" s="1" t="s">
        <v>470</v>
      </c>
      <c r="D1807" s="1" t="s">
        <v>280</v>
      </c>
      <c r="E1807" s="5">
        <v>39051</v>
      </c>
      <c r="F1807" s="1" t="s">
        <v>506</v>
      </c>
      <c r="G1807" s="1" t="str">
        <f>IF(B1807=0,VLOOKUP(A1807,Feuil2!$A$2:$M$1241,11,FALSE)," ")</f>
        <v xml:space="preserve"> </v>
      </c>
      <c r="H1807" s="1" t="s">
        <v>16</v>
      </c>
      <c r="I1807" s="6" t="str">
        <f>IF(B1807=0,VLOOKUP(A1807,Feuil2!$A$2:$M$1241,7,FALSE)," ")</f>
        <v xml:space="preserve"> </v>
      </c>
      <c r="J1807" s="1" t="str">
        <f>IF(B1807=0,VLOOKUP(A1807,Feuil2!$A$2:$M$1241,9,FALSE)," ")</f>
        <v xml:space="preserve"> </v>
      </c>
      <c r="K1807" s="1" t="str">
        <f>IF(B1807=0,VLOOKUP(A1807,Feuil2!$A$2:$M$1241,10,FALSE)," ")</f>
        <v xml:space="preserve"> </v>
      </c>
      <c r="L1807" s="1"/>
      <c r="M1807" s="1"/>
      <c r="N1807" s="1"/>
      <c r="O1807" s="8" t="str">
        <f>IF(B1813=0,VLOOKUP(A1813,Feuil2!$A$2:$M$1241,13,FALSE)," ")</f>
        <v xml:space="preserve"> </v>
      </c>
    </row>
    <row r="1808" spans="1:15" x14ac:dyDescent="0.3">
      <c r="A1808" s="1">
        <v>1576</v>
      </c>
      <c r="B1808" s="1">
        <v>5</v>
      </c>
      <c r="C1808" s="1" t="s">
        <v>470</v>
      </c>
      <c r="D1808" s="1" t="s">
        <v>1925</v>
      </c>
      <c r="E1808" s="5">
        <v>41306</v>
      </c>
      <c r="F1808" s="1" t="s">
        <v>17</v>
      </c>
      <c r="G1808" s="1" t="str">
        <f>IF(B1808=0,VLOOKUP(A1808,Feuil2!$A$2:$M$1241,11,FALSE)," ")</f>
        <v xml:space="preserve"> </v>
      </c>
      <c r="H1808" s="1" t="s">
        <v>16</v>
      </c>
      <c r="I1808" s="6" t="str">
        <f>IF(B1808=0,VLOOKUP(A1808,Feuil2!$A$2:$M$1241,7,FALSE)," ")</f>
        <v xml:space="preserve"> </v>
      </c>
      <c r="J1808" s="1" t="str">
        <f>IF(B1808=0,VLOOKUP(A1808,Feuil2!$A$2:$M$1241,9,FALSE)," ")</f>
        <v xml:space="preserve"> </v>
      </c>
      <c r="K1808" s="1" t="str">
        <f>IF(B1808=0,VLOOKUP(A1808,Feuil2!$A$2:$M$1241,10,FALSE)," ")</f>
        <v xml:space="preserve"> </v>
      </c>
      <c r="L1808" s="1"/>
      <c r="M1808" s="1"/>
      <c r="N1808" s="1"/>
      <c r="O1808" s="8" t="str">
        <f>IF(B1814=0,VLOOKUP(A1814,Feuil2!$A$2:$M$1241,13,FALSE)," ")</f>
        <v xml:space="preserve"> </v>
      </c>
    </row>
    <row r="1809" spans="1:15" x14ac:dyDescent="0.3">
      <c r="A1809" s="1">
        <v>2205</v>
      </c>
      <c r="B1809" s="12">
        <v>0</v>
      </c>
      <c r="C1809" s="12" t="str">
        <f>IF(B1809=0,VLOOKUP(A1809,Feuil2!$A$2:$M$1241,2,FALSE)," ")</f>
        <v>GHEZAL</v>
      </c>
      <c r="D1809" s="12" t="str">
        <f>IF(B1809=0,VLOOKUP(A1809,Feuil2!$A$2:$M$1241,3,FALSE)," ")</f>
        <v>AHMED</v>
      </c>
      <c r="E1809" s="13">
        <f>IF(B1809=0,VLOOKUP(A1809,Feuil2!$A$2:$M$1241,6,FALSE)," ")</f>
        <v>33428</v>
      </c>
      <c r="F1809" s="12" t="str">
        <f>IF(B1809=0,VLOOKUP(A1809,Feuil2!$A$2:$M$1241,12,FALSE)," ")</f>
        <v>Homme</v>
      </c>
      <c r="G1809" s="12" t="str">
        <f>IF(B1809=0,VLOOKUP(A1809,Feuil2!$A$2:$M$1241,11,FALSE)," ")</f>
        <v>Celibataire</v>
      </c>
      <c r="H1809" s="12" t="s">
        <v>16</v>
      </c>
      <c r="I1809" s="14">
        <f>IF(B1809=0,VLOOKUP(A1809,Feuil2!$A$2:$M$1241,7,FALSE)," ")</f>
        <v>9310482</v>
      </c>
      <c r="J1809" s="12" t="str">
        <f>IF(B1809=0,VLOOKUP(A1809,Feuil2!$A$2:$M$1241,9,FALSE)," ")</f>
        <v>22 rue Salah Hafsa</v>
      </c>
      <c r="K1809" s="12" t="str">
        <f>IF(B1809=0,VLOOKUP(A1809,Feuil2!$A$2:$M$1241,10,FALSE)," ")</f>
        <v>Msaken</v>
      </c>
      <c r="L1809" s="12"/>
      <c r="M1809" s="12">
        <v>21828841</v>
      </c>
      <c r="N1809" s="12"/>
      <c r="O1809" s="23" t="s">
        <v>2809</v>
      </c>
    </row>
    <row r="1810" spans="1:15" x14ac:dyDescent="0.3">
      <c r="A1810" s="1">
        <v>1613</v>
      </c>
      <c r="B1810" s="12">
        <v>0</v>
      </c>
      <c r="C1810" s="12" t="str">
        <f>IF(B1810=0,VLOOKUP(A1810,Feuil2!$A$2:$M$1241,2,FALSE)," ")</f>
        <v>BOUKADIDA</v>
      </c>
      <c r="D1810" s="12" t="str">
        <f>IF(B1810=0,VLOOKUP(A1810,Feuil2!$A$2:$M$1241,3,FALSE)," ")</f>
        <v>MOHAMED LAMINE</v>
      </c>
      <c r="E1810" s="13">
        <f>IF(B1810=0,VLOOKUP(A1810,Feuil2!$A$2:$M$1241,6,FALSE)," ")</f>
        <v>28918</v>
      </c>
      <c r="F1810" s="12" t="str">
        <f>IF(B1810=0,VLOOKUP(A1810,Feuil2!$A$2:$M$1241,12,FALSE)," ")</f>
        <v>H</v>
      </c>
      <c r="G1810" s="12" t="str">
        <f>IF(B1810=0,VLOOKUP(A1810,Feuil2!$A$2:$M$1241,11,FALSE)," ")</f>
        <v>M</v>
      </c>
      <c r="H1810" s="12" t="s">
        <v>16</v>
      </c>
      <c r="I1810" s="14">
        <f>IF(B1810=0,VLOOKUP(A1810,Feuil2!$A$2:$M$1241,7,FALSE)," ")</f>
        <v>5549798</v>
      </c>
      <c r="J1810" s="12" t="str">
        <f>IF(B1810=0,VLOOKUP(A1810,Feuil2!$A$2:$M$1241,9,FALSE)," ")</f>
        <v>209, Rue Ali Belhwane</v>
      </c>
      <c r="K1810" s="12" t="str">
        <f>IF(B1810=0,VLOOKUP(A1810,Feuil2!$A$2:$M$1241,10,FALSE)," ")</f>
        <v>Msaken 4070</v>
      </c>
      <c r="L1810" s="12"/>
      <c r="M1810" s="12">
        <v>27369484</v>
      </c>
      <c r="N1810" s="12"/>
      <c r="O1810" s="15" t="str">
        <f>IF(B1816=0,VLOOKUP(A1816,Feuil2!$A$2:$M$1241,13,FALSE)," ")</f>
        <v>32026788601120499194</v>
      </c>
    </row>
    <row r="1811" spans="1:15" x14ac:dyDescent="0.3">
      <c r="A1811" s="1">
        <v>1613</v>
      </c>
      <c r="B1811" s="1">
        <v>1</v>
      </c>
      <c r="C1811" s="1" t="s">
        <v>312</v>
      </c>
      <c r="D1811" s="1" t="s">
        <v>2371</v>
      </c>
      <c r="E1811" s="5">
        <v>31715</v>
      </c>
      <c r="F1811" s="1" t="s">
        <v>17</v>
      </c>
      <c r="G1811" s="1" t="s">
        <v>15</v>
      </c>
      <c r="H1811" s="1" t="s">
        <v>16</v>
      </c>
      <c r="I1811" s="6" t="str">
        <f>IF(B1811=0,VLOOKUP(A1811,Feuil2!$A$2:$M$1241,7,FALSE)," ")</f>
        <v xml:space="preserve"> </v>
      </c>
      <c r="J1811" s="1" t="str">
        <f>IF(B1811=0,VLOOKUP(A1811,Feuil2!$A$2:$M$1241,9,FALSE)," ")</f>
        <v xml:space="preserve"> </v>
      </c>
      <c r="K1811" s="1" t="str">
        <f>IF(B1811=0,VLOOKUP(A1811,Feuil2!$A$2:$M$1241,10,FALSE)," ")</f>
        <v xml:space="preserve"> </v>
      </c>
      <c r="L1811" s="1"/>
      <c r="M1811" s="1"/>
      <c r="N1811" s="1"/>
      <c r="O1811" s="15" t="str">
        <f>IF(B1818=0,VLOOKUP(A1818,Feuil2!$A$2:$M$1241,13,FALSE)," ")</f>
        <v>04204067001764950032</v>
      </c>
    </row>
    <row r="1812" spans="1:15" x14ac:dyDescent="0.3">
      <c r="A1812" s="1">
        <v>1613</v>
      </c>
      <c r="B1812" s="1">
        <v>2</v>
      </c>
      <c r="C1812" s="1" t="s">
        <v>1486</v>
      </c>
      <c r="D1812" s="1" t="s">
        <v>2806</v>
      </c>
      <c r="E1812" s="5">
        <v>39279</v>
      </c>
      <c r="F1812" s="1" t="s">
        <v>506</v>
      </c>
      <c r="G1812" s="1" t="str">
        <f>IF(B1812=0,VLOOKUP(A1812,Feuil2!$A$2:$M$1241,11,FALSE)," ")</f>
        <v xml:space="preserve"> </v>
      </c>
      <c r="H1812" s="1" t="s">
        <v>16</v>
      </c>
      <c r="I1812" s="6" t="str">
        <f>IF(B1812=0,VLOOKUP(A1812,Feuil2!$A$2:$M$1241,7,FALSE)," ")</f>
        <v xml:space="preserve"> </v>
      </c>
      <c r="J1812" s="1" t="str">
        <f>IF(B1812=0,VLOOKUP(A1812,Feuil2!$A$2:$M$1241,9,FALSE)," ")</f>
        <v xml:space="preserve"> </v>
      </c>
      <c r="K1812" s="1" t="str">
        <f>IF(B1812=0,VLOOKUP(A1812,Feuil2!$A$2:$M$1241,10,FALSE)," ")</f>
        <v xml:space="preserve"> </v>
      </c>
      <c r="L1812" s="1"/>
      <c r="M1812" s="1"/>
      <c r="N1812" s="1"/>
      <c r="O1812" s="8"/>
    </row>
    <row r="1813" spans="1:15" x14ac:dyDescent="0.3">
      <c r="A1813" s="1">
        <v>1613</v>
      </c>
      <c r="B1813" s="1">
        <v>3</v>
      </c>
      <c r="C1813" s="1" t="s">
        <v>1486</v>
      </c>
      <c r="D1813" s="1" t="s">
        <v>2807</v>
      </c>
      <c r="E1813" s="5">
        <v>39873</v>
      </c>
      <c r="F1813" s="1" t="s">
        <v>506</v>
      </c>
      <c r="G1813" s="1" t="str">
        <f>IF(B1813=0,VLOOKUP(A1813,Feuil2!$A$2:$M$1241,11,FALSE)," ")</f>
        <v xml:space="preserve"> </v>
      </c>
      <c r="H1813" s="1" t="s">
        <v>16</v>
      </c>
      <c r="I1813" s="6" t="str">
        <f>IF(B1813=0,VLOOKUP(A1813,Feuil2!$A$2:$M$1241,7,FALSE)," ")</f>
        <v xml:space="preserve"> </v>
      </c>
      <c r="J1813" s="1" t="str">
        <f>IF(B1813=0,VLOOKUP(A1813,Feuil2!$A$2:$M$1241,9,FALSE)," ")</f>
        <v xml:space="preserve"> </v>
      </c>
      <c r="K1813" s="1" t="str">
        <f>IF(B1813=0,VLOOKUP(A1813,Feuil2!$A$2:$M$1241,10,FALSE)," ")</f>
        <v xml:space="preserve"> </v>
      </c>
      <c r="L1813" s="1"/>
      <c r="M1813" s="1"/>
      <c r="N1813" s="1"/>
      <c r="O1813" s="15" t="str">
        <f>IF(B1821=0,VLOOKUP(A1821,Feuil2!$A$2:$M$1241,13,FALSE)," ")</f>
        <v>17503000000192171846</v>
      </c>
    </row>
    <row r="1814" spans="1:15" x14ac:dyDescent="0.3">
      <c r="A1814" s="1">
        <v>1613</v>
      </c>
      <c r="B1814" s="1">
        <v>4</v>
      </c>
      <c r="C1814" s="1" t="s">
        <v>1486</v>
      </c>
      <c r="D1814" s="1" t="s">
        <v>2641</v>
      </c>
      <c r="E1814" s="5">
        <v>41133</v>
      </c>
      <c r="F1814" s="1" t="s">
        <v>17</v>
      </c>
      <c r="G1814" s="1" t="str">
        <f>IF(B1814=0,VLOOKUP(A1814,Feuil2!$A$2:$M$1241,11,FALSE)," ")</f>
        <v xml:space="preserve"> </v>
      </c>
      <c r="H1814" s="1" t="s">
        <v>16</v>
      </c>
      <c r="I1814" s="6" t="str">
        <f>IF(B1814=0,VLOOKUP(A1814,Feuil2!$A$2:$M$1241,7,FALSE)," ")</f>
        <v xml:space="preserve"> </v>
      </c>
      <c r="J1814" s="1" t="str">
        <f>IF(B1814=0,VLOOKUP(A1814,Feuil2!$A$2:$M$1241,9,FALSE)," ")</f>
        <v xml:space="preserve"> </v>
      </c>
      <c r="K1814" s="1" t="str">
        <f>IF(B1814=0,VLOOKUP(A1814,Feuil2!$A$2:$M$1241,10,FALSE)," ")</f>
        <v xml:space="preserve"> </v>
      </c>
      <c r="L1814" s="1"/>
      <c r="M1814" s="1"/>
      <c r="N1814" s="1"/>
      <c r="O1814" s="8" t="str">
        <f>IF(B1822=0,VLOOKUP(A1822,Feuil2!$A$2:$M$1241,13,FALSE)," ")</f>
        <v xml:space="preserve"> </v>
      </c>
    </row>
    <row r="1815" spans="1:15" x14ac:dyDescent="0.3">
      <c r="A1815" s="1">
        <v>2319</v>
      </c>
      <c r="B1815" s="12">
        <v>0</v>
      </c>
      <c r="C1815" s="12" t="s">
        <v>394</v>
      </c>
      <c r="D1815" s="12" t="s">
        <v>284</v>
      </c>
      <c r="E1815" s="13">
        <v>34196</v>
      </c>
      <c r="F1815" s="12" t="s">
        <v>506</v>
      </c>
      <c r="G1815" s="12" t="s">
        <v>2257</v>
      </c>
      <c r="H1815" s="12" t="s">
        <v>16</v>
      </c>
      <c r="I1815" s="14">
        <v>9332095</v>
      </c>
      <c r="J1815" s="12" t="s">
        <v>2808</v>
      </c>
      <c r="K1815" s="12" t="s">
        <v>513</v>
      </c>
      <c r="L1815" s="12">
        <v>4070</v>
      </c>
      <c r="M1815" s="12">
        <v>54095882</v>
      </c>
      <c r="N1815" s="12"/>
      <c r="O1815" s="8" t="str">
        <f>IF(B1823=0,VLOOKUP(A1823,Feuil2!$A$2:$M$1241,13,FALSE)," ")</f>
        <v xml:space="preserve"> </v>
      </c>
    </row>
    <row r="1816" spans="1:15" x14ac:dyDescent="0.3">
      <c r="A1816" s="1">
        <v>2210</v>
      </c>
      <c r="B1816" s="12">
        <v>0</v>
      </c>
      <c r="C1816" s="12" t="str">
        <f>IF(B1816=0,VLOOKUP(A1816,Feuil2!$A$2:$M$1241,2,FALSE)," ")</f>
        <v>CHEBIL</v>
      </c>
      <c r="D1816" s="12" t="s">
        <v>2674</v>
      </c>
      <c r="E1816" s="13">
        <f>IF(B1816=0,VLOOKUP(A1816,Feuil2!$A$2:$M$1241,6,FALSE)," ")</f>
        <v>34196</v>
      </c>
      <c r="F1816" s="12" t="s">
        <v>506</v>
      </c>
      <c r="G1816" s="12" t="s">
        <v>15</v>
      </c>
      <c r="H1816" s="12" t="s">
        <v>16</v>
      </c>
      <c r="I1816" s="14">
        <f>IF(B1816=0,VLOOKUP(A1816,Feuil2!$A$2:$M$1241,7,FALSE)," ")</f>
        <v>9332093</v>
      </c>
      <c r="J1816" s="12" t="str">
        <f>IF(B1816=0,VLOOKUP(A1816,Feuil2!$A$2:$M$1241,9,FALSE)," ")</f>
        <v>51, Rue Saida Khadija</v>
      </c>
      <c r="K1816" s="12" t="str">
        <f>IF(B1816=0,VLOOKUP(A1816,Feuil2!$A$2:$M$1241,10,FALSE)," ")</f>
        <v>Msaken</v>
      </c>
      <c r="L1816" s="12">
        <v>4070</v>
      </c>
      <c r="M1816" s="12">
        <v>98793865</v>
      </c>
      <c r="N1816" s="12"/>
      <c r="O1816" s="8" t="str">
        <f>IF(B1824=0,VLOOKUP(A1824,Feuil2!$A$2:$M$1241,13,FALSE)," ")</f>
        <v xml:space="preserve"> </v>
      </c>
    </row>
    <row r="1817" spans="1:15" x14ac:dyDescent="0.3">
      <c r="A1817" s="1">
        <v>2210</v>
      </c>
      <c r="B1817" s="1">
        <v>1</v>
      </c>
      <c r="C1817" s="1" t="s">
        <v>3226</v>
      </c>
      <c r="D1817" s="1" t="s">
        <v>2979</v>
      </c>
      <c r="E1817" s="5">
        <v>35306</v>
      </c>
      <c r="F1817" s="1" t="s">
        <v>17</v>
      </c>
      <c r="G1817" s="1" t="s">
        <v>15</v>
      </c>
      <c r="H1817" s="1"/>
      <c r="I1817" s="6"/>
      <c r="J1817" s="1"/>
      <c r="K1817" s="1"/>
      <c r="L1817" s="1"/>
      <c r="M1817" s="1"/>
      <c r="N1817" s="1"/>
      <c r="O1817" s="8"/>
    </row>
    <row r="1818" spans="1:15" x14ac:dyDescent="0.3">
      <c r="A1818" s="1">
        <v>1990</v>
      </c>
      <c r="B1818" s="12">
        <v>0</v>
      </c>
      <c r="C1818" s="12" t="str">
        <f>IF(B1818=0,VLOOKUP(A1818,Feuil2!$A$2:$M$1241,2,FALSE)," ")</f>
        <v>HEDHILI</v>
      </c>
      <c r="D1818" s="12" t="str">
        <f>IF(B1818=0,VLOOKUP(A1818,Feuil2!$A$2:$M$1241,3,FALSE)," ")</f>
        <v>ZIED</v>
      </c>
      <c r="E1818" s="13">
        <f>IF(B1818=0,VLOOKUP(A1818,Feuil2!$A$2:$M$1241,6,FALSE)," ")</f>
        <v>32084</v>
      </c>
      <c r="F1818" s="12" t="str">
        <f>IF(B1818=0,VLOOKUP(A1818,Feuil2!$A$2:$M$1241,12,FALSE)," ")</f>
        <v>H</v>
      </c>
      <c r="G1818" s="12" t="str">
        <f>IF(B1818=0,VLOOKUP(A1818,Feuil2!$A$2:$M$1241,11,FALSE)," ")</f>
        <v>C</v>
      </c>
      <c r="H1818" s="12" t="s">
        <v>16</v>
      </c>
      <c r="I1818" s="14">
        <f>IF(B1818=0,VLOOKUP(A1818,Feuil2!$A$2:$M$1241,7,FALSE)," ")</f>
        <v>9277250</v>
      </c>
      <c r="J1818" s="12" t="str">
        <f>IF(B1818=0,VLOOKUP(A1818,Feuil2!$A$2:$M$1241,9,FALSE)," ")</f>
        <v>Rue Chikh Ladheri</v>
      </c>
      <c r="K1818" s="12" t="str">
        <f>IF(B1818=0,VLOOKUP(A1818,Feuil2!$A$2:$M$1241,10,FALSE)," ")</f>
        <v>Msaken 4070</v>
      </c>
      <c r="L1818" s="12"/>
      <c r="M1818" s="12">
        <v>98793761</v>
      </c>
      <c r="N1818" s="12"/>
      <c r="O1818" s="15" t="str">
        <f>IF(B1825=0,VLOOKUP(A1825,Feuil2!$A$2:$M$1241,13,FALSE)," ")</f>
        <v>32026788101114722190</v>
      </c>
    </row>
    <row r="1819" spans="1:15" x14ac:dyDescent="0.3">
      <c r="A1819" s="1">
        <v>1990</v>
      </c>
      <c r="B1819" s="1">
        <v>1</v>
      </c>
      <c r="C1819" s="1" t="s">
        <v>2834</v>
      </c>
      <c r="D1819" s="1" t="s">
        <v>2835</v>
      </c>
      <c r="E1819" s="5">
        <v>35099</v>
      </c>
      <c r="F1819" s="1" t="s">
        <v>17</v>
      </c>
      <c r="G1819" s="1"/>
      <c r="H1819" s="1"/>
      <c r="I1819" s="6"/>
      <c r="J1819" s="1"/>
      <c r="K1819" s="1"/>
      <c r="L1819" s="1"/>
      <c r="M1819" s="1"/>
      <c r="N1819" s="1"/>
      <c r="O1819" s="8" t="str">
        <f>IF(B1826=0,VLOOKUP(A1826,Feuil2!$A$2:$M$1241,13,FALSE)," ")</f>
        <v xml:space="preserve"> </v>
      </c>
    </row>
    <row r="1820" spans="1:15" x14ac:dyDescent="0.3">
      <c r="A1820" s="1">
        <v>1990</v>
      </c>
      <c r="B1820" s="1">
        <v>2</v>
      </c>
      <c r="C1820" s="1" t="s">
        <v>78</v>
      </c>
      <c r="D1820" s="1" t="s">
        <v>89</v>
      </c>
      <c r="E1820" s="5">
        <v>45656</v>
      </c>
      <c r="F1820" s="1" t="s">
        <v>506</v>
      </c>
      <c r="G1820" s="1"/>
      <c r="H1820" s="1"/>
      <c r="I1820" s="6"/>
      <c r="J1820" s="1"/>
      <c r="K1820" s="1"/>
      <c r="L1820" s="1"/>
      <c r="M1820" s="1"/>
      <c r="N1820" s="1"/>
      <c r="O1820" s="8"/>
    </row>
    <row r="1821" spans="1:15" x14ac:dyDescent="0.3">
      <c r="A1821" s="1">
        <v>2211</v>
      </c>
      <c r="B1821" s="17">
        <v>0</v>
      </c>
      <c r="C1821" s="17" t="str">
        <f>IF(B1821=0,VLOOKUP(A1821,Feuil2!$A$2:$M$1241,2,FALSE)," ")</f>
        <v>BEN SGHAIR</v>
      </c>
      <c r="D1821" s="17" t="str">
        <f>IF(B1821=0,VLOOKUP(A1821,Feuil2!$A$2:$M$1241,3,FALSE)," ")</f>
        <v>Chokri</v>
      </c>
      <c r="E1821" s="18">
        <f>IF(B1821=0,VLOOKUP(A1821,Feuil2!$A$2:$M$1241,6,FALSE)," ")</f>
        <v>32051</v>
      </c>
      <c r="F1821" s="17" t="str">
        <f>IF(B1821=0,VLOOKUP(A1821,Feuil2!$A$2:$M$1241,12,FALSE)," ")</f>
        <v>Homme</v>
      </c>
      <c r="G1821" s="17" t="str">
        <f>IF(B1821=0,VLOOKUP(A1821,Feuil2!$A$2:$M$1241,11,FALSE)," ")</f>
        <v>Marie</v>
      </c>
      <c r="H1821" s="17" t="s">
        <v>16</v>
      </c>
      <c r="I1821" s="19">
        <f>IF(B1821=0,VLOOKUP(A1821,Feuil2!$A$2:$M$1241,7,FALSE)," ")</f>
        <v>8484444</v>
      </c>
      <c r="J1821" s="17" t="str">
        <f>IF(B1821=0,VLOOKUP(A1821,Feuil2!$A$2:$M$1241,9,FALSE)," ")</f>
        <v>Ouled Boubaker</v>
      </c>
      <c r="K1821" s="17" t="str">
        <f>IF(B1821=0,VLOOKUP(A1821,Feuil2!$A$2:$M$1241,10,FALSE)," ")</f>
        <v>Sidi El Heni</v>
      </c>
      <c r="L1821" s="17"/>
      <c r="M1821" s="17">
        <v>23164315</v>
      </c>
      <c r="N1821" s="17"/>
      <c r="O1821" s="20" t="str">
        <f>IF(B1827=0,VLOOKUP(A1827,Feuil2!$A$2:$M$1241,13,FALSE)," ")</f>
        <v xml:space="preserve"> </v>
      </c>
    </row>
    <row r="1822" spans="1:15" x14ac:dyDescent="0.3">
      <c r="A1822" s="1">
        <v>2211</v>
      </c>
      <c r="B1822" s="1">
        <v>1</v>
      </c>
      <c r="C1822" s="1" t="s">
        <v>1317</v>
      </c>
      <c r="D1822" s="1" t="s">
        <v>1787</v>
      </c>
      <c r="E1822" s="5">
        <v>32125</v>
      </c>
      <c r="F1822" s="1" t="s">
        <v>17</v>
      </c>
      <c r="G1822" s="1" t="str">
        <f>IF(B1822=0,VLOOKUP(A1822,Feuil2!$A$2:$M$1241,11,FALSE)," ")</f>
        <v xml:space="preserve"> </v>
      </c>
      <c r="H1822" s="1" t="s">
        <v>16</v>
      </c>
      <c r="I1822" s="6" t="str">
        <f>IF(B1822=0,VLOOKUP(A1822,Feuil2!$A$2:$M$1241,7,FALSE)," ")</f>
        <v xml:space="preserve"> </v>
      </c>
      <c r="J1822" s="1" t="str">
        <f>IF(B1822=0,VLOOKUP(A1822,Feuil2!$A$2:$M$1241,9,FALSE)," ")</f>
        <v xml:space="preserve"> </v>
      </c>
      <c r="K1822" s="1" t="str">
        <f>IF(B1822=0,VLOOKUP(A1822,Feuil2!$A$2:$M$1241,10,FALSE)," ")</f>
        <v xml:space="preserve"> </v>
      </c>
      <c r="L1822" s="1"/>
      <c r="M1822" s="1"/>
      <c r="N1822" s="1"/>
      <c r="O1822" s="23" t="s">
        <v>2816</v>
      </c>
    </row>
    <row r="1823" spans="1:15" x14ac:dyDescent="0.3">
      <c r="A1823" s="1">
        <v>2211</v>
      </c>
      <c r="B1823" s="1">
        <v>2</v>
      </c>
      <c r="C1823" s="1" t="s">
        <v>2268</v>
      </c>
      <c r="D1823" s="1" t="s">
        <v>2812</v>
      </c>
      <c r="E1823" s="5">
        <v>42874</v>
      </c>
      <c r="F1823" s="1" t="s">
        <v>506</v>
      </c>
      <c r="G1823" s="1" t="str">
        <f>IF(B1823=0,VLOOKUP(A1823,Feuil2!$A$2:$M$1241,11,FALSE)," ")</f>
        <v xml:space="preserve"> </v>
      </c>
      <c r="H1823" s="1" t="s">
        <v>16</v>
      </c>
      <c r="I1823" s="6" t="str">
        <f>IF(B1823=0,VLOOKUP(A1823,Feuil2!$A$2:$M$1241,7,FALSE)," ")</f>
        <v xml:space="preserve"> </v>
      </c>
      <c r="J1823" s="1" t="str">
        <f>IF(B1823=0,VLOOKUP(A1823,Feuil2!$A$2:$M$1241,9,FALSE)," ")</f>
        <v xml:space="preserve"> </v>
      </c>
      <c r="K1823" s="1" t="str">
        <f>IF(B1823=0,VLOOKUP(A1823,Feuil2!$A$2:$M$1241,10,FALSE)," ")</f>
        <v xml:space="preserve"> </v>
      </c>
      <c r="L1823" s="1"/>
      <c r="M1823" s="1"/>
      <c r="N1823" s="1"/>
      <c r="O1823" s="8" t="str">
        <f>IF(B1830=0,VLOOKUP(A1830,Feuil2!$A$2:$M$1241,13,FALSE)," ")</f>
        <v xml:space="preserve"> </v>
      </c>
    </row>
    <row r="1824" spans="1:15" x14ac:dyDescent="0.3">
      <c r="A1824" s="1">
        <v>2211</v>
      </c>
      <c r="B1824" s="1">
        <v>3</v>
      </c>
      <c r="C1824" s="1" t="s">
        <v>2268</v>
      </c>
      <c r="D1824" s="1" t="s">
        <v>2501</v>
      </c>
      <c r="E1824" s="5">
        <v>44037</v>
      </c>
      <c r="F1824" s="1" t="s">
        <v>17</v>
      </c>
      <c r="G1824" s="1" t="str">
        <f>IF(B1824=0,VLOOKUP(A1824,Feuil2!$A$2:$M$1241,11,FALSE)," ")</f>
        <v xml:space="preserve"> </v>
      </c>
      <c r="H1824" s="1" t="s">
        <v>16</v>
      </c>
      <c r="I1824" s="6" t="str">
        <f>IF(B1824=0,VLOOKUP(A1824,Feuil2!$A$2:$M$1241,7,FALSE)," ")</f>
        <v xml:space="preserve"> </v>
      </c>
      <c r="J1824" s="1" t="str">
        <f>IF(B1824=0,VLOOKUP(A1824,Feuil2!$A$2:$M$1241,9,FALSE)," ")</f>
        <v xml:space="preserve"> </v>
      </c>
      <c r="K1824" s="1" t="str">
        <f>IF(B1824=0,VLOOKUP(A1824,Feuil2!$A$2:$M$1241,10,FALSE)," ")</f>
        <v xml:space="preserve"> </v>
      </c>
      <c r="L1824" s="1"/>
      <c r="M1824" s="1"/>
      <c r="N1824" s="1"/>
      <c r="O1824" s="8"/>
    </row>
    <row r="1825" spans="1:19" x14ac:dyDescent="0.3">
      <c r="A1825" s="1">
        <v>2198</v>
      </c>
      <c r="B1825" s="12">
        <v>0</v>
      </c>
      <c r="C1825" s="12" t="str">
        <f>IF(B1825=0,VLOOKUP(A1825,Feuil2!$A$2:$M$1241,2,FALSE)," ")</f>
        <v>HAMIDA</v>
      </c>
      <c r="D1825" s="12" t="str">
        <f>IF(B1825=0,VLOOKUP(A1825,Feuil2!$A$2:$M$1241,3,FALSE)," ")</f>
        <v>FEHMI</v>
      </c>
      <c r="E1825" s="13">
        <f>IF(B1825=0,VLOOKUP(A1825,Feuil2!$A$2:$M$1241,6,FALSE)," ")</f>
        <v>32410</v>
      </c>
      <c r="F1825" s="12" t="str">
        <f>IF(B1825=0,VLOOKUP(A1825,Feuil2!$A$2:$M$1241,12,FALSE)," ")</f>
        <v>H</v>
      </c>
      <c r="G1825" s="12" t="str">
        <f>IF(B1825=0,VLOOKUP(A1825,Feuil2!$A$2:$M$1241,11,FALSE)," ")</f>
        <v>M</v>
      </c>
      <c r="H1825" s="12" t="s">
        <v>16</v>
      </c>
      <c r="I1825" s="14">
        <f>IF(B1825=0,VLOOKUP(A1825,Feuil2!$A$2:$M$1241,7,FALSE)," ")</f>
        <v>8495681</v>
      </c>
      <c r="J1825" s="12" t="str">
        <f>IF(B1825=0,VLOOKUP(A1825,Feuil2!$A$2:$M$1241,9,FALSE)," ")</f>
        <v>Beni Rabiaa</v>
      </c>
      <c r="K1825" s="12" t="str">
        <f>IF(B1825=0,VLOOKUP(A1825,Feuil2!$A$2:$M$1241,10,FALSE)," ")</f>
        <v>BÃ©ni Rabiaa 4015</v>
      </c>
      <c r="L1825" s="12"/>
      <c r="M1825" s="12">
        <v>50485983</v>
      </c>
      <c r="N1825" s="12"/>
      <c r="O1825" s="15" t="str">
        <f>IF(B1832=0,VLOOKUP(A1832,Feuil2!$A$2:$M$1241,13,FALSE)," ")</f>
        <v>12505000000235178315</v>
      </c>
    </row>
    <row r="1826" spans="1:19" x14ac:dyDescent="0.3">
      <c r="A1826" s="1">
        <v>2198</v>
      </c>
      <c r="B1826" s="1">
        <v>1</v>
      </c>
      <c r="C1826" s="1" t="s">
        <v>2813</v>
      </c>
      <c r="D1826" s="1" t="s">
        <v>2457</v>
      </c>
      <c r="E1826" s="5">
        <v>35167</v>
      </c>
      <c r="F1826" s="1" t="s">
        <v>17</v>
      </c>
      <c r="G1826" s="1" t="str">
        <f>IF(B1826=0,VLOOKUP(A1826,Feuil2!$A$2:$M$1241,11,FALSE)," ")</f>
        <v xml:space="preserve"> </v>
      </c>
      <c r="H1826" s="1" t="s">
        <v>16</v>
      </c>
      <c r="I1826" s="6" t="str">
        <f>IF(B1826=0,VLOOKUP(A1826,Feuil2!$A$2:$M$1241,7,FALSE)," ")</f>
        <v xml:space="preserve"> </v>
      </c>
      <c r="J1826" s="1" t="str">
        <f>IF(B1826=0,VLOOKUP(A1826,Feuil2!$A$2:$M$1241,9,FALSE)," ")</f>
        <v xml:space="preserve"> </v>
      </c>
      <c r="K1826" s="1" t="str">
        <f>IF(B1826=0,VLOOKUP(A1826,Feuil2!$A$2:$M$1241,10,FALSE)," ")</f>
        <v xml:space="preserve"> </v>
      </c>
      <c r="L1826" s="1"/>
      <c r="M1826" s="1"/>
      <c r="N1826" s="1"/>
      <c r="O1826" s="23" t="s">
        <v>2818</v>
      </c>
    </row>
    <row r="1827" spans="1:19" x14ac:dyDescent="0.3">
      <c r="A1827" s="1">
        <v>2198</v>
      </c>
      <c r="B1827" s="1">
        <v>2</v>
      </c>
      <c r="C1827" s="1" t="s">
        <v>1286</v>
      </c>
      <c r="D1827" s="1" t="s">
        <v>77</v>
      </c>
      <c r="E1827" s="5">
        <v>43320</v>
      </c>
      <c r="F1827" s="1" t="s">
        <v>506</v>
      </c>
      <c r="G1827" s="1" t="str">
        <f>IF(B1827=0,VLOOKUP(A1827,Feuil2!$A$2:$M$1241,11,FALSE)," ")</f>
        <v xml:space="preserve"> </v>
      </c>
      <c r="H1827" s="1" t="s">
        <v>16</v>
      </c>
      <c r="I1827" s="6" t="str">
        <f>IF(B1827=0,VLOOKUP(A1827,Feuil2!$A$2:$M$1241,7,FALSE)," ")</f>
        <v xml:space="preserve"> </v>
      </c>
      <c r="J1827" s="1" t="str">
        <f>IF(B1827=0,VLOOKUP(A1827,Feuil2!$A$2:$M$1241,9,FALSE)," ")</f>
        <v xml:space="preserve"> </v>
      </c>
      <c r="K1827" s="1" t="str">
        <f>IF(B1827=0,VLOOKUP(A1827,Feuil2!$A$2:$M$1241,10,FALSE)," ")</f>
        <v xml:space="preserve"> </v>
      </c>
      <c r="L1827" s="1"/>
      <c r="M1827" s="1"/>
      <c r="N1827" s="1"/>
      <c r="O1827" s="23" t="s">
        <v>2819</v>
      </c>
    </row>
    <row r="1828" spans="1:19" x14ac:dyDescent="0.3">
      <c r="A1828" s="1">
        <v>2198</v>
      </c>
      <c r="B1828" s="1">
        <v>3</v>
      </c>
      <c r="C1828" s="1" t="s">
        <v>1286</v>
      </c>
      <c r="D1828" s="1" t="s">
        <v>2680</v>
      </c>
      <c r="E1828" s="5">
        <v>44781</v>
      </c>
      <c r="F1828" s="1" t="s">
        <v>506</v>
      </c>
      <c r="G1828" s="1"/>
      <c r="H1828" s="1" t="s">
        <v>16</v>
      </c>
      <c r="I1828" s="6"/>
      <c r="J1828" s="1"/>
      <c r="K1828" s="1"/>
      <c r="L1828" s="1"/>
      <c r="M1828" s="1"/>
      <c r="N1828" s="1"/>
      <c r="O1828" s="23" t="s">
        <v>2820</v>
      </c>
    </row>
    <row r="1829" spans="1:19" x14ac:dyDescent="0.3">
      <c r="A1829" s="1">
        <v>2271</v>
      </c>
      <c r="B1829" s="12">
        <v>0</v>
      </c>
      <c r="C1829" s="12" t="s">
        <v>2814</v>
      </c>
      <c r="D1829" s="12" t="s">
        <v>1347</v>
      </c>
      <c r="E1829" s="13">
        <v>33084</v>
      </c>
      <c r="F1829" s="12" t="s">
        <v>506</v>
      </c>
      <c r="G1829" s="12" t="s">
        <v>15</v>
      </c>
      <c r="H1829" s="12" t="s">
        <v>16</v>
      </c>
      <c r="I1829" s="14">
        <v>9299218</v>
      </c>
      <c r="J1829" s="12" t="s">
        <v>2815</v>
      </c>
      <c r="K1829" s="12" t="s">
        <v>511</v>
      </c>
      <c r="L1829" s="12"/>
      <c r="M1829" s="12">
        <v>54319494</v>
      </c>
      <c r="N1829" s="12"/>
      <c r="O1829" s="23" t="s">
        <v>2821</v>
      </c>
      <c r="Q1829" s="22"/>
      <c r="R1829" s="22"/>
      <c r="S1829" s="22"/>
    </row>
    <row r="1830" spans="1:19" x14ac:dyDescent="0.3">
      <c r="A1830" s="1">
        <v>2271</v>
      </c>
      <c r="B1830" s="1">
        <v>1</v>
      </c>
      <c r="C1830" s="1" t="s">
        <v>467</v>
      </c>
      <c r="D1830" s="1" t="s">
        <v>2672</v>
      </c>
      <c r="E1830" s="5">
        <v>34523</v>
      </c>
      <c r="F1830" s="1" t="s">
        <v>17</v>
      </c>
      <c r="G1830" s="1" t="str">
        <f>IF(B1830=0,VLOOKUP(A1830,Feuil2!$A$2:$M$1241,11,FALSE)," ")</f>
        <v xml:space="preserve"> </v>
      </c>
      <c r="H1830" s="1" t="s">
        <v>16</v>
      </c>
      <c r="I1830" s="6"/>
      <c r="J1830" s="1" t="str">
        <f>IF(B1830=0,VLOOKUP(A1830,Feuil2!$A$2:$M$1241,9,FALSE)," ")</f>
        <v xml:space="preserve"> </v>
      </c>
      <c r="K1830" s="1" t="str">
        <f>IF(B1830=0,VLOOKUP(A1830,Feuil2!$A$2:$M$1241,10,FALSE)," ")</f>
        <v xml:space="preserve"> </v>
      </c>
      <c r="L1830" s="1"/>
      <c r="M1830" s="1"/>
      <c r="N1830" s="1"/>
      <c r="O1830" s="8" t="str">
        <f>IF(B1843=0,VLOOKUP(A1843,Feuil2!$A$2:$M$1241,13,FALSE)," ")</f>
        <v xml:space="preserve"> </v>
      </c>
    </row>
    <row r="1831" spans="1:19" x14ac:dyDescent="0.3">
      <c r="A1831" s="1">
        <v>2271</v>
      </c>
      <c r="B1831" s="1">
        <v>2</v>
      </c>
      <c r="C1831" s="1" t="s">
        <v>2814</v>
      </c>
      <c r="D1831" s="1" t="s">
        <v>2572</v>
      </c>
      <c r="E1831" s="5">
        <v>44704</v>
      </c>
      <c r="F1831" s="1" t="s">
        <v>506</v>
      </c>
      <c r="G1831" s="1"/>
      <c r="H1831" s="1" t="s">
        <v>16</v>
      </c>
      <c r="I1831" s="6"/>
      <c r="J1831" s="1"/>
      <c r="K1831" s="1"/>
      <c r="L1831" s="1"/>
      <c r="M1831" s="1"/>
      <c r="N1831" s="1"/>
      <c r="O1831" s="8" t="str">
        <f>IF(B1844=0,VLOOKUP(A1844,Feuil2!$A$2:$M$1241,13,FALSE)," ")</f>
        <v xml:space="preserve"> </v>
      </c>
      <c r="P1831" s="22"/>
    </row>
    <row r="1832" spans="1:19" x14ac:dyDescent="0.3">
      <c r="A1832" s="1">
        <v>2195</v>
      </c>
      <c r="B1832" s="12">
        <v>0</v>
      </c>
      <c r="C1832" s="12" t="str">
        <f>IF(B1832=0,VLOOKUP(A1832,Feuil2!$A$2:$M$1241,2,FALSE)," ")</f>
        <v>BOUHLEL</v>
      </c>
      <c r="D1832" s="12" t="str">
        <f>IF(B1832=0,VLOOKUP(A1832,Feuil2!$A$2:$M$1241,3,FALSE)," ")</f>
        <v>MOHAMED</v>
      </c>
      <c r="E1832" s="13">
        <f>IF(B1832=0,VLOOKUP(A1832,Feuil2!$A$2:$M$1241,6,FALSE)," ")</f>
        <v>35986</v>
      </c>
      <c r="F1832" s="12" t="str">
        <f>IF(B1832=0,VLOOKUP(A1832,Feuil2!$A$2:$M$1241,12,FALSE)," ")</f>
        <v>H</v>
      </c>
      <c r="G1832" s="12" t="s">
        <v>15</v>
      </c>
      <c r="H1832" s="12" t="s">
        <v>16</v>
      </c>
      <c r="I1832" s="14">
        <f>IF(B1832=0,VLOOKUP(A1832,Feuil2!$A$2:$M$1241,7,FALSE)," ")</f>
        <v>12829755</v>
      </c>
      <c r="J1832" s="12" t="str">
        <f>IF(B1832=0,VLOOKUP(A1832,Feuil2!$A$2:$M$1241,9,FALSE)," ")</f>
        <v>30 Rue les Oranges</v>
      </c>
      <c r="K1832" s="12" t="str">
        <f>IF(B1832=0,VLOOKUP(A1832,Feuil2!$A$2:$M$1241,10,FALSE)," ")</f>
        <v>Msaken 4070</v>
      </c>
      <c r="L1832" s="12"/>
      <c r="M1832" s="12">
        <v>24340299</v>
      </c>
      <c r="N1832" s="12"/>
      <c r="O1832" s="15" t="str">
        <f>IF(B1846=0,VLOOKUP(A1846,Feuil2!$A$2:$M$1241,13,FALSE)," ")</f>
        <v>10506040524136378876</v>
      </c>
    </row>
    <row r="1833" spans="1:19" x14ac:dyDescent="0.3">
      <c r="A1833" s="1">
        <v>2195</v>
      </c>
      <c r="B1833" s="1">
        <v>1</v>
      </c>
      <c r="C1833" s="1" t="s">
        <v>2876</v>
      </c>
      <c r="D1833" s="1" t="s">
        <v>2367</v>
      </c>
      <c r="E1833" s="5">
        <v>38226</v>
      </c>
      <c r="F1833" s="1" t="s">
        <v>17</v>
      </c>
      <c r="G1833" s="1" t="s">
        <v>15</v>
      </c>
      <c r="H1833" s="1"/>
      <c r="I1833" s="6"/>
      <c r="J1833" s="1"/>
      <c r="K1833" s="1"/>
      <c r="L1833" s="1"/>
      <c r="M1833" s="1"/>
      <c r="N1833" s="1"/>
      <c r="O1833" s="8" t="str">
        <f>IF(B1847=0,VLOOKUP(A1847,Feuil2!$A$2:$M$1241,13,FALSE)," ")</f>
        <v xml:space="preserve"> </v>
      </c>
    </row>
    <row r="1834" spans="1:19" x14ac:dyDescent="0.3">
      <c r="A1834" s="1">
        <v>2195</v>
      </c>
      <c r="B1834" s="1">
        <v>2</v>
      </c>
      <c r="C1834" s="1" t="s">
        <v>83</v>
      </c>
      <c r="D1834" s="1" t="s">
        <v>149</v>
      </c>
      <c r="E1834" s="5">
        <v>45213</v>
      </c>
      <c r="F1834" s="1" t="s">
        <v>506</v>
      </c>
      <c r="G1834" s="1"/>
      <c r="H1834" s="1"/>
      <c r="I1834" s="6"/>
      <c r="J1834" s="1"/>
      <c r="K1834" s="1"/>
      <c r="L1834" s="1"/>
      <c r="M1834" s="1"/>
      <c r="N1834" s="1"/>
      <c r="O1834" s="8"/>
    </row>
    <row r="1835" spans="1:19" x14ac:dyDescent="0.3">
      <c r="A1835" s="1">
        <v>2219</v>
      </c>
      <c r="B1835" s="12">
        <v>0</v>
      </c>
      <c r="C1835" s="12" t="str">
        <f>IF(B1835=0,VLOOKUP(A1835,Feuil2!$A$2:$M$1241,2,FALSE)," ")</f>
        <v>JARRAR</v>
      </c>
      <c r="D1835" s="12" t="str">
        <f>IF(B1835=0,VLOOKUP(A1835,Feuil2!$A$2:$M$1241,3,FALSE)," ")</f>
        <v>MOHAMED MAHDI</v>
      </c>
      <c r="E1835" s="13">
        <f>IF(B1835=0,VLOOKUP(A1835,Feuil2!$A$2:$M$1241,6,FALSE)," ")</f>
        <v>35102</v>
      </c>
      <c r="F1835" s="12" t="str">
        <f>IF(B1835=0,VLOOKUP(A1835,Feuil2!$A$2:$M$1241,12,FALSE)," ")</f>
        <v>Homme</v>
      </c>
      <c r="G1835" s="12" t="s">
        <v>15</v>
      </c>
      <c r="H1835" s="12" t="s">
        <v>16</v>
      </c>
      <c r="I1835" s="14">
        <f>IF(B1835=0,VLOOKUP(A1835,Feuil2!$A$2:$M$1241,7,FALSE)," ")</f>
        <v>9341975</v>
      </c>
      <c r="J1835" s="12" t="str">
        <f>IF(B1835=0,VLOOKUP(A1835,Feuil2!$A$2:$M$1241,9,FALSE)," ")</f>
        <v xml:space="preserve">55 ROUTE DE SFAX </v>
      </c>
      <c r="K1835" s="12" t="str">
        <f>IF(B1835=0,VLOOKUP(A1835,Feuil2!$A$2:$M$1241,10,FALSE)," ")</f>
        <v>SOUSSE</v>
      </c>
      <c r="L1835" s="12"/>
      <c r="M1835" s="12">
        <v>21230302</v>
      </c>
      <c r="N1835" s="12"/>
      <c r="O1835" s="8"/>
    </row>
    <row r="1836" spans="1:19" x14ac:dyDescent="0.3">
      <c r="A1836" s="1">
        <v>2219</v>
      </c>
      <c r="B1836" s="1">
        <v>1</v>
      </c>
      <c r="C1836" s="1" t="s">
        <v>3182</v>
      </c>
      <c r="D1836" s="5" t="s">
        <v>1787</v>
      </c>
      <c r="E1836" s="5">
        <v>37920</v>
      </c>
      <c r="F1836" s="1" t="s">
        <v>17</v>
      </c>
      <c r="G1836" s="1"/>
      <c r="H1836" s="1"/>
      <c r="I1836" s="6"/>
      <c r="J1836" s="1"/>
      <c r="K1836" s="1"/>
      <c r="L1836" s="1"/>
      <c r="M1836" s="1"/>
      <c r="N1836" s="1"/>
      <c r="O1836" s="8"/>
    </row>
    <row r="1837" spans="1:19" x14ac:dyDescent="0.3">
      <c r="A1837" s="1">
        <v>2219</v>
      </c>
      <c r="B1837" s="1">
        <v>2</v>
      </c>
      <c r="C1837" s="1" t="s">
        <v>33</v>
      </c>
      <c r="D1837" s="5" t="s">
        <v>2979</v>
      </c>
      <c r="E1837" s="5">
        <v>45678</v>
      </c>
      <c r="F1837" s="1" t="s">
        <v>17</v>
      </c>
      <c r="G1837" s="1"/>
      <c r="H1837" s="1"/>
      <c r="I1837" s="6"/>
      <c r="J1837" s="1"/>
      <c r="K1837" s="1"/>
      <c r="L1837" s="1"/>
      <c r="M1837" s="1"/>
      <c r="N1837" s="1"/>
      <c r="O1837" s="8"/>
    </row>
    <row r="1838" spans="1:19" x14ac:dyDescent="0.3">
      <c r="A1838" s="1">
        <v>2219</v>
      </c>
      <c r="B1838" s="1">
        <v>3</v>
      </c>
      <c r="C1838" s="1" t="s">
        <v>33</v>
      </c>
      <c r="D1838" s="5" t="s">
        <v>3277</v>
      </c>
      <c r="E1838" s="5">
        <v>46176</v>
      </c>
      <c r="F1838" s="1" t="s">
        <v>17</v>
      </c>
      <c r="G1838" s="1"/>
      <c r="H1838" s="1"/>
      <c r="I1838" s="6"/>
      <c r="J1838" s="1"/>
      <c r="K1838" s="1"/>
      <c r="L1838" s="1"/>
      <c r="M1838" s="1"/>
      <c r="N1838" s="1"/>
      <c r="O1838" s="8"/>
    </row>
    <row r="1839" spans="1:19" x14ac:dyDescent="0.3">
      <c r="A1839" s="1">
        <v>2229</v>
      </c>
      <c r="B1839" s="12">
        <v>0</v>
      </c>
      <c r="C1839" s="12" t="str">
        <f>IF(B1839=0,VLOOKUP(A1839,Feuil2!$A$2:$M$1241,2,FALSE)," ")</f>
        <v>MKHININI</v>
      </c>
      <c r="D1839" s="12" t="str">
        <f>IF(B1839=0,VLOOKUP(A1839,Feuil2!$A$2:$M$1241,3,FALSE)," ")</f>
        <v>BECHIR</v>
      </c>
      <c r="E1839" s="13">
        <f>IF(B1839=0,VLOOKUP(A1839,Feuil2!$A$2:$M$1241,6,FALSE)," ")</f>
        <v>36814</v>
      </c>
      <c r="F1839" s="12" t="str">
        <f>IF(B1839=0,VLOOKUP(A1839,Feuil2!$A$2:$M$1241,12,FALSE)," ")</f>
        <v>Homme</v>
      </c>
      <c r="G1839" s="12" t="s">
        <v>15</v>
      </c>
      <c r="H1839" s="12" t="s">
        <v>16</v>
      </c>
      <c r="I1839" s="14">
        <f>IF(B1839=0,VLOOKUP(A1839,Feuil2!$A$2:$M$1241,7,FALSE)," ")</f>
        <v>12841871</v>
      </c>
      <c r="J1839" s="12" t="str">
        <f>IF(B1839=0,VLOOKUP(A1839,Feuil2!$A$2:$M$1241,9,FALSE)," ")</f>
        <v>RUE EL HADIBIA BIR JDID MSAKEN SOUSSE</v>
      </c>
      <c r="K1839" s="12" t="str">
        <f>IF(B1839=0,VLOOKUP(A1839,Feuil2!$A$2:$M$1241,10,FALSE)," ")</f>
        <v>MSAKEN</v>
      </c>
      <c r="L1839" s="12"/>
      <c r="M1839" s="12">
        <v>20043324</v>
      </c>
      <c r="N1839" s="12"/>
      <c r="O1839" s="23" t="s">
        <v>2826</v>
      </c>
    </row>
    <row r="1840" spans="1:19" x14ac:dyDescent="0.3">
      <c r="A1840" s="1">
        <v>2229</v>
      </c>
      <c r="B1840" s="1">
        <v>1</v>
      </c>
      <c r="C1840" s="1" t="s">
        <v>63</v>
      </c>
      <c r="D1840" s="1" t="s">
        <v>2381</v>
      </c>
      <c r="E1840" s="5">
        <v>36945</v>
      </c>
      <c r="F1840" s="1" t="s">
        <v>17</v>
      </c>
      <c r="G1840" s="1"/>
      <c r="H1840" s="1"/>
      <c r="I1840" s="6"/>
      <c r="J1840" s="1"/>
      <c r="K1840" s="1"/>
      <c r="L1840" s="1"/>
      <c r="M1840" s="1"/>
      <c r="N1840" s="1"/>
      <c r="O1840" s="10"/>
    </row>
    <row r="1841" spans="1:15" x14ac:dyDescent="0.3">
      <c r="A1841" s="1">
        <v>2227</v>
      </c>
      <c r="B1841" s="12">
        <v>0</v>
      </c>
      <c r="C1841" s="12" t="str">
        <f>IF(B1841=0,VLOOKUP(A1841,Feuil2!$A$2:$M$1241,2,FALSE)," ")</f>
        <v>BEN KALIA</v>
      </c>
      <c r="D1841" s="12" t="str">
        <f>IF(B1841=0,VLOOKUP(A1841,Feuil2!$A$2:$M$1241,3,FALSE)," ")</f>
        <v>HAMZA</v>
      </c>
      <c r="E1841" s="13">
        <f>IF(B1841=0,VLOOKUP(A1841,Feuil2!$A$2:$M$1241,6,FALSE)," ")</f>
        <v>36279</v>
      </c>
      <c r="F1841" s="12" t="str">
        <f>IF(B1841=0,VLOOKUP(A1841,Feuil2!$A$2:$M$1241,12,FALSE)," ")</f>
        <v>Homme</v>
      </c>
      <c r="G1841" s="12" t="str">
        <f>IF(B1841=0,VLOOKUP(A1841,Feuil2!$A$2:$M$1241,11,FALSE)," ")</f>
        <v>Celibataire</v>
      </c>
      <c r="H1841" s="12" t="s">
        <v>16</v>
      </c>
      <c r="I1841" s="14">
        <f>IF(B1841=0,VLOOKUP(A1841,Feuil2!$A$2:$M$1241,7,FALSE)," ")</f>
        <v>12854321</v>
      </c>
      <c r="J1841" s="12" t="str">
        <f>IF(B1841=0,VLOOKUP(A1841,Feuil2!$A$2:$M$1241,9,FALSE)," ")</f>
        <v xml:space="preserve">RUE AMOR EL MOKHTAR MSAKEN SOUSSE </v>
      </c>
      <c r="K1841" s="12" t="str">
        <f>IF(B1841=0,VLOOKUP(A1841,Feuil2!$A$2:$M$1241,10,FALSE)," ")</f>
        <v>MSAKEN</v>
      </c>
      <c r="L1841" s="12"/>
      <c r="M1841" s="12">
        <v>26051730</v>
      </c>
      <c r="N1841" s="12"/>
      <c r="O1841" s="8" t="str">
        <f>IF(B1851=0,VLOOKUP(A1851,Feuil2!$A$2:$M$1241,13,FALSE)," ")</f>
        <v xml:space="preserve"> </v>
      </c>
    </row>
    <row r="1842" spans="1:15" x14ac:dyDescent="0.3">
      <c r="A1842" s="1">
        <v>2228</v>
      </c>
      <c r="B1842" s="12">
        <v>0</v>
      </c>
      <c r="C1842" s="12" t="str">
        <f>IF(B1842=0,VLOOKUP(A1842,Feuil2!$A$2:$M$1241,2,FALSE)," ")</f>
        <v>BELKHIRIA</v>
      </c>
      <c r="D1842" s="12" t="str">
        <f>IF(B1842=0,VLOOKUP(A1842,Feuil2!$A$2:$M$1241,3,FALSE)," ")</f>
        <v>SOLYMEN</v>
      </c>
      <c r="E1842" s="13">
        <f>IF(B1842=0,VLOOKUP(A1842,Feuil2!$A$2:$M$1241,6,FALSE)," ")</f>
        <v>35055</v>
      </c>
      <c r="F1842" s="12" t="str">
        <f>IF(B1842=0,VLOOKUP(A1842,Feuil2!$A$2:$M$1241,12,FALSE)," ")</f>
        <v>Homme</v>
      </c>
      <c r="G1842" s="12" t="s">
        <v>15</v>
      </c>
      <c r="H1842" s="12" t="s">
        <v>16</v>
      </c>
      <c r="I1842" s="14">
        <f>IF(B1842=0,VLOOKUP(A1842,Feuil2!$A$2:$M$1241,7,FALSE)," ")</f>
        <v>9341275</v>
      </c>
      <c r="J1842" s="12" t="str">
        <f>IF(B1842=0,VLOOKUP(A1842,Feuil2!$A$2:$M$1241,9,FALSE)," ")</f>
        <v>46 RUE 15 OCTOBER HAY SAADA ZOHOUR SOUSSE</v>
      </c>
      <c r="K1842" s="12" t="str">
        <f>IF(B1842=0,VLOOKUP(A1842,Feuil2!$A$2:$M$1241,10,FALSE)," ")</f>
        <v>SOUSSE</v>
      </c>
      <c r="L1842" s="12"/>
      <c r="M1842" s="12">
        <v>25025406</v>
      </c>
      <c r="N1842" s="12"/>
      <c r="O1842" s="8" t="str">
        <f>IF(B1852=0,VLOOKUP(A1852,Feuil2!$A$2:$M$1241,13,FALSE)," ")</f>
        <v xml:space="preserve"> </v>
      </c>
    </row>
    <row r="1843" spans="1:15" x14ac:dyDescent="0.3">
      <c r="A1843" s="1">
        <v>2228</v>
      </c>
      <c r="B1843" s="1">
        <v>1</v>
      </c>
      <c r="C1843" s="1" t="s">
        <v>2822</v>
      </c>
      <c r="D1843" s="1" t="s">
        <v>2060</v>
      </c>
      <c r="E1843" s="5">
        <v>35862</v>
      </c>
      <c r="F1843" s="1" t="s">
        <v>17</v>
      </c>
      <c r="G1843" s="1" t="str">
        <f>IF(B1843=0,VLOOKUP(A1843,Feuil2!$A$2:$M$1241,11,FALSE)," ")</f>
        <v xml:space="preserve"> </v>
      </c>
      <c r="H1843" s="1" t="s">
        <v>16</v>
      </c>
      <c r="I1843" s="6" t="str">
        <f>IF(B1843=0,VLOOKUP(A1843,Feuil2!$A$2:$M$1241,7,FALSE)," ")</f>
        <v xml:space="preserve"> </v>
      </c>
      <c r="J1843" s="1" t="str">
        <f>IF(B1843=0,VLOOKUP(A1843,Feuil2!$A$2:$M$1241,9,FALSE)," ")</f>
        <v xml:space="preserve"> </v>
      </c>
      <c r="K1843" s="1" t="str">
        <f>IF(B1843=0,VLOOKUP(A1843,Feuil2!$A$2:$M$1241,10,FALSE)," ")</f>
        <v xml:space="preserve"> </v>
      </c>
      <c r="L1843" s="1"/>
      <c r="M1843" s="1"/>
      <c r="N1843" s="1"/>
      <c r="O1843" s="8" t="str">
        <f>IF(B1853=0,VLOOKUP(A1853,Feuil2!$A$2:$M$1241,13,FALSE)," ")</f>
        <v xml:space="preserve"> </v>
      </c>
    </row>
    <row r="1844" spans="1:15" x14ac:dyDescent="0.3">
      <c r="A1844" s="1">
        <v>2228</v>
      </c>
      <c r="B1844" s="1">
        <v>2</v>
      </c>
      <c r="C1844" s="1" t="s">
        <v>1821</v>
      </c>
      <c r="D1844" s="1" t="s">
        <v>2585</v>
      </c>
      <c r="E1844" s="5">
        <v>44037</v>
      </c>
      <c r="F1844" s="1" t="s">
        <v>17</v>
      </c>
      <c r="G1844" s="1" t="str">
        <f>IF(B1844=0,VLOOKUP(A1844,Feuil2!$A$2:$M$1241,11,FALSE)," ")</f>
        <v xml:space="preserve"> </v>
      </c>
      <c r="H1844" s="1" t="s">
        <v>16</v>
      </c>
      <c r="I1844" s="6" t="str">
        <f>IF(B1844=0,VLOOKUP(A1844,Feuil2!$A$2:$M$1241,7,FALSE)," ")</f>
        <v xml:space="preserve"> </v>
      </c>
      <c r="J1844" s="1" t="str">
        <f>IF(B1844=0,VLOOKUP(A1844,Feuil2!$A$2:$M$1241,9,FALSE)," ")</f>
        <v xml:space="preserve"> </v>
      </c>
      <c r="K1844" s="1" t="str">
        <f>IF(B1844=0,VLOOKUP(A1844,Feuil2!$A$2:$M$1241,10,FALSE)," ")</f>
        <v xml:space="preserve"> </v>
      </c>
      <c r="L1844" s="1"/>
      <c r="M1844" s="1"/>
      <c r="N1844" s="1"/>
      <c r="O1844" s="8"/>
    </row>
    <row r="1845" spans="1:15" x14ac:dyDescent="0.3">
      <c r="A1845" s="1">
        <v>2228</v>
      </c>
      <c r="B1845" s="1">
        <v>3</v>
      </c>
      <c r="C1845" s="1" t="s">
        <v>1821</v>
      </c>
      <c r="D1845" s="1" t="s">
        <v>3009</v>
      </c>
      <c r="E1845" s="5">
        <v>45028</v>
      </c>
      <c r="F1845" s="1" t="s">
        <v>17</v>
      </c>
      <c r="G1845" s="1"/>
      <c r="H1845" s="1" t="s">
        <v>16</v>
      </c>
      <c r="I1845" s="6"/>
      <c r="J1845" s="1"/>
      <c r="K1845" s="1"/>
      <c r="L1845" s="1"/>
      <c r="M1845" s="1"/>
      <c r="N1845" s="1"/>
      <c r="O1845" s="23" t="s">
        <v>2829</v>
      </c>
    </row>
    <row r="1846" spans="1:15" x14ac:dyDescent="0.3">
      <c r="A1846" s="1">
        <v>2213</v>
      </c>
      <c r="B1846" s="12">
        <v>0</v>
      </c>
      <c r="C1846" s="12" t="str">
        <f>IF(B1846=0,VLOOKUP(A1846,Feuil2!$A$2:$M$1241,2,FALSE)," ")</f>
        <v>BERRIRI</v>
      </c>
      <c r="D1846" s="12" t="str">
        <f>IF(B1846=0,VLOOKUP(A1846,Feuil2!$A$2:$M$1241,3,FALSE)," ")</f>
        <v>Mohamed Fredj</v>
      </c>
      <c r="E1846" s="13">
        <f>IF(B1846=0,VLOOKUP(A1846,Feuil2!$A$2:$M$1241,6,FALSE)," ")</f>
        <v>34491</v>
      </c>
      <c r="F1846" s="12" t="str">
        <f>IF(B1846=0,VLOOKUP(A1846,Feuil2!$A$2:$M$1241,12,FALSE)," ")</f>
        <v>Homme</v>
      </c>
      <c r="G1846" s="12" t="s">
        <v>15</v>
      </c>
      <c r="H1846" s="12" t="s">
        <v>16</v>
      </c>
      <c r="I1846" s="14">
        <f>IF(B1846=0,VLOOKUP(A1846,Feuil2!$A$2:$M$1241,7,FALSE)," ")</f>
        <v>9340270</v>
      </c>
      <c r="J1846" s="12" t="str">
        <f>IF(B1846=0,VLOOKUP(A1846,Feuil2!$A$2:$M$1241,9,FALSE)," ")</f>
        <v>Rue El Wafa</v>
      </c>
      <c r="K1846" s="12" t="str">
        <f>IF(B1846=0,VLOOKUP(A1846,Feuil2!$A$2:$M$1241,10,FALSE)," ")</f>
        <v>Msaken</v>
      </c>
      <c r="L1846" s="12"/>
      <c r="M1846" s="12">
        <v>98793688</v>
      </c>
      <c r="N1846" s="12"/>
      <c r="O1846" s="23" t="s">
        <v>2832</v>
      </c>
    </row>
    <row r="1847" spans="1:15" x14ac:dyDescent="0.3">
      <c r="A1847" s="1">
        <v>2213</v>
      </c>
      <c r="B1847" s="1">
        <v>1</v>
      </c>
      <c r="C1847" s="1" t="s">
        <v>2823</v>
      </c>
      <c r="D1847" s="1" t="s">
        <v>2613</v>
      </c>
      <c r="E1847" s="5">
        <v>36645</v>
      </c>
      <c r="F1847" s="1" t="s">
        <v>17</v>
      </c>
      <c r="G1847" s="1" t="str">
        <f>IF(B1847=0,VLOOKUP(A1847,Feuil2!$A$2:$M$1241,11,FALSE)," ")</f>
        <v xml:space="preserve"> </v>
      </c>
      <c r="H1847" s="1" t="s">
        <v>16</v>
      </c>
      <c r="I1847" s="6" t="str">
        <f>IF(B1847=0,VLOOKUP(A1847,Feuil2!$A$2:$M$1241,7,FALSE)," ")</f>
        <v xml:space="preserve"> </v>
      </c>
      <c r="J1847" s="1" t="str">
        <f>IF(B1847=0,VLOOKUP(A1847,Feuil2!$A$2:$M$1241,9,FALSE)," ")</f>
        <v xml:space="preserve"> </v>
      </c>
      <c r="K1847" s="1" t="str">
        <f>IF(B1847=0,VLOOKUP(A1847,Feuil2!$A$2:$M$1241,10,FALSE)," ")</f>
        <v xml:space="preserve"> </v>
      </c>
      <c r="L1847" s="1"/>
      <c r="M1847" s="1"/>
      <c r="N1847" s="1"/>
      <c r="O1847" s="23" t="s">
        <v>2839</v>
      </c>
    </row>
    <row r="1848" spans="1:15" x14ac:dyDescent="0.3">
      <c r="A1848" s="1">
        <v>2213</v>
      </c>
      <c r="B1848" s="1">
        <v>2</v>
      </c>
      <c r="C1848" s="1" t="s">
        <v>236</v>
      </c>
      <c r="D1848" s="1" t="s">
        <v>2799</v>
      </c>
      <c r="E1848" s="5">
        <v>44734</v>
      </c>
      <c r="F1848" s="1" t="s">
        <v>17</v>
      </c>
      <c r="G1848" s="1"/>
      <c r="H1848" s="1"/>
      <c r="I1848" s="6"/>
      <c r="J1848" s="1"/>
      <c r="K1848" s="1"/>
      <c r="L1848" s="1"/>
      <c r="M1848" s="1"/>
      <c r="N1848" s="1"/>
      <c r="O1848" s="8" t="str">
        <f>IF(B1857=0,VLOOKUP(A1857,Feuil2!$A$2:$M$1241,13,FALSE)," ")</f>
        <v xml:space="preserve"> </v>
      </c>
    </row>
    <row r="1849" spans="1:15" x14ac:dyDescent="0.3">
      <c r="A1849" s="1">
        <v>2213</v>
      </c>
      <c r="B1849" s="1">
        <v>3</v>
      </c>
      <c r="C1849" s="1" t="s">
        <v>236</v>
      </c>
      <c r="D1849" s="1" t="s">
        <v>2850</v>
      </c>
      <c r="E1849" s="5">
        <v>46034</v>
      </c>
      <c r="F1849" s="1" t="s">
        <v>17</v>
      </c>
      <c r="G1849" s="1"/>
      <c r="H1849" s="1"/>
      <c r="I1849" s="6"/>
      <c r="J1849" s="1"/>
      <c r="K1849" s="1"/>
      <c r="L1849" s="1"/>
      <c r="M1849" s="1"/>
      <c r="N1849" s="1"/>
      <c r="O1849" s="8"/>
    </row>
    <row r="1850" spans="1:15" x14ac:dyDescent="0.3">
      <c r="A1850" s="1">
        <v>2243</v>
      </c>
      <c r="B1850" s="12">
        <v>0</v>
      </c>
      <c r="C1850" s="12" t="s">
        <v>2235</v>
      </c>
      <c r="D1850" s="12" t="s">
        <v>280</v>
      </c>
      <c r="E1850" s="13">
        <v>30897</v>
      </c>
      <c r="F1850" s="12" t="s">
        <v>506</v>
      </c>
      <c r="G1850" s="12" t="s">
        <v>15</v>
      </c>
      <c r="H1850" s="12" t="s">
        <v>16</v>
      </c>
      <c r="I1850" s="14">
        <v>8448925</v>
      </c>
      <c r="J1850" s="12" t="s">
        <v>2824</v>
      </c>
      <c r="K1850" s="12" t="s">
        <v>2825</v>
      </c>
      <c r="L1850" s="12"/>
      <c r="M1850" s="12">
        <v>97140542</v>
      </c>
      <c r="N1850" s="12"/>
      <c r="O1850" s="8"/>
    </row>
    <row r="1851" spans="1:15" x14ac:dyDescent="0.3">
      <c r="A1851" s="1">
        <v>2243</v>
      </c>
      <c r="B1851" s="1">
        <v>1</v>
      </c>
      <c r="C1851" s="1" t="s">
        <v>2543</v>
      </c>
      <c r="D1851" s="1" t="s">
        <v>2547</v>
      </c>
      <c r="E1851" s="5">
        <v>33436</v>
      </c>
      <c r="F1851" s="1" t="s">
        <v>17</v>
      </c>
      <c r="G1851" s="1" t="str">
        <f>IF(B1851=0,VLOOKUP(A1851,Feuil2!$A$2:$M$1241,11,FALSE)," ")</f>
        <v xml:space="preserve"> </v>
      </c>
      <c r="H1851" s="1" t="s">
        <v>16</v>
      </c>
      <c r="I1851" s="6" t="str">
        <f>IF(B1851=0,VLOOKUP(A1851,Feuil2!$A$2:$M$1241,7,FALSE)," ")</f>
        <v xml:space="preserve"> </v>
      </c>
      <c r="J1851" s="1" t="str">
        <f>IF(B1851=0,VLOOKUP(A1851,Feuil2!$A$2:$M$1241,9,FALSE)," ")</f>
        <v xml:space="preserve"> </v>
      </c>
      <c r="K1851" s="1" t="str">
        <f>IF(B1851=0,VLOOKUP(A1851,Feuil2!$A$2:$M$1241,10,FALSE)," ")</f>
        <v xml:space="preserve"> </v>
      </c>
      <c r="L1851" s="1"/>
      <c r="M1851" s="1"/>
      <c r="N1851" s="1"/>
      <c r="O1851" s="21" t="s">
        <v>2843</v>
      </c>
    </row>
    <row r="1852" spans="1:15" x14ac:dyDescent="0.3">
      <c r="A1852" s="1">
        <v>2243</v>
      </c>
      <c r="B1852" s="1">
        <v>2</v>
      </c>
      <c r="C1852" s="1" t="s">
        <v>2235</v>
      </c>
      <c r="D1852" s="1" t="s">
        <v>2827</v>
      </c>
      <c r="E1852" s="5">
        <v>41824</v>
      </c>
      <c r="F1852" s="1" t="s">
        <v>506</v>
      </c>
      <c r="G1852" s="1" t="str">
        <f>IF(B1852=0,VLOOKUP(A1852,Feuil2!$A$2:$M$1241,11,FALSE)," ")</f>
        <v xml:space="preserve"> </v>
      </c>
      <c r="H1852" s="1" t="s">
        <v>16</v>
      </c>
      <c r="I1852" s="6" t="str">
        <f>IF(B1852=0,VLOOKUP(A1852,Feuil2!$A$2:$M$1241,7,FALSE)," ")</f>
        <v xml:space="preserve"> </v>
      </c>
      <c r="J1852" s="1" t="str">
        <f>IF(B1852=0,VLOOKUP(A1852,Feuil2!$A$2:$M$1241,9,FALSE)," ")</f>
        <v xml:space="preserve"> </v>
      </c>
      <c r="K1852" s="1" t="str">
        <f>IF(B1852=0,VLOOKUP(A1852,Feuil2!$A$2:$M$1241,10,FALSE)," ")</f>
        <v xml:space="preserve"> </v>
      </c>
      <c r="L1852" s="1"/>
      <c r="M1852" s="1"/>
      <c r="N1852" s="1"/>
      <c r="O1852" s="23" t="s">
        <v>2845</v>
      </c>
    </row>
    <row r="1853" spans="1:15" x14ac:dyDescent="0.3">
      <c r="A1853" s="1">
        <v>2243</v>
      </c>
      <c r="B1853" s="1">
        <v>3</v>
      </c>
      <c r="C1853" s="1" t="s">
        <v>2235</v>
      </c>
      <c r="D1853" s="1" t="s">
        <v>2657</v>
      </c>
      <c r="E1853" s="5">
        <v>42665</v>
      </c>
      <c r="F1853" s="1" t="s">
        <v>506</v>
      </c>
      <c r="G1853" s="1" t="str">
        <f>IF(B1853=0,VLOOKUP(A1853,Feuil2!$A$2:$M$1241,11,FALSE)," ")</f>
        <v xml:space="preserve"> </v>
      </c>
      <c r="H1853" s="1" t="s">
        <v>16</v>
      </c>
      <c r="I1853" s="6" t="str">
        <f>IF(B1853=0,VLOOKUP(A1853,Feuil2!$A$2:$M$1241,7,FALSE)," ")</f>
        <v xml:space="preserve"> </v>
      </c>
      <c r="J1853" s="1" t="str">
        <f>IF(B1853=0,VLOOKUP(A1853,Feuil2!$A$2:$M$1241,9,FALSE)," ")</f>
        <v xml:space="preserve"> </v>
      </c>
      <c r="K1853" s="1" t="str">
        <f>IF(B1853=0,VLOOKUP(A1853,Feuil2!$A$2:$M$1241,10,FALSE)," ")</f>
        <v xml:space="preserve"> </v>
      </c>
      <c r="L1853" s="1"/>
      <c r="M1853" s="1"/>
      <c r="N1853" s="1"/>
      <c r="O1853" s="23" t="s">
        <v>2847</v>
      </c>
    </row>
    <row r="1854" spans="1:15" x14ac:dyDescent="0.3">
      <c r="A1854" s="1">
        <v>2240</v>
      </c>
      <c r="B1854" s="17">
        <v>0</v>
      </c>
      <c r="C1854" s="17" t="s">
        <v>19</v>
      </c>
      <c r="D1854" s="17" t="s">
        <v>2567</v>
      </c>
      <c r="E1854" s="18">
        <v>30904</v>
      </c>
      <c r="F1854" s="17" t="s">
        <v>506</v>
      </c>
      <c r="G1854" s="17" t="s">
        <v>2257</v>
      </c>
      <c r="H1854" s="17" t="s">
        <v>16</v>
      </c>
      <c r="I1854" s="19">
        <v>8445220</v>
      </c>
      <c r="J1854" s="17" t="s">
        <v>2828</v>
      </c>
      <c r="K1854" s="17" t="s">
        <v>2285</v>
      </c>
      <c r="L1854" s="17"/>
      <c r="M1854" s="17">
        <v>24027700</v>
      </c>
      <c r="N1854" s="17"/>
      <c r="O1854" s="21"/>
    </row>
    <row r="1855" spans="1:15" x14ac:dyDescent="0.3">
      <c r="A1855" s="1">
        <v>2365</v>
      </c>
      <c r="B1855" s="17">
        <v>0</v>
      </c>
      <c r="C1855" s="17" t="s">
        <v>2830</v>
      </c>
      <c r="D1855" s="17" t="s">
        <v>34</v>
      </c>
      <c r="E1855" s="18">
        <v>33613</v>
      </c>
      <c r="F1855" s="17" t="s">
        <v>506</v>
      </c>
      <c r="G1855" s="17" t="s">
        <v>2257</v>
      </c>
      <c r="H1855" s="17" t="s">
        <v>16</v>
      </c>
      <c r="I1855" s="19">
        <v>6914314</v>
      </c>
      <c r="J1855" s="17" t="s">
        <v>2831</v>
      </c>
      <c r="K1855" s="17" t="s">
        <v>2311</v>
      </c>
      <c r="L1855" s="17"/>
      <c r="M1855" s="17">
        <v>94862878</v>
      </c>
      <c r="N1855" s="17"/>
      <c r="O1855" s="21"/>
    </row>
    <row r="1856" spans="1:15" x14ac:dyDescent="0.3">
      <c r="A1856" s="1">
        <v>2272</v>
      </c>
      <c r="B1856" s="17">
        <v>0</v>
      </c>
      <c r="C1856" s="17" t="s">
        <v>2837</v>
      </c>
      <c r="D1856" s="17" t="s">
        <v>2409</v>
      </c>
      <c r="E1856" s="18">
        <v>33543</v>
      </c>
      <c r="F1856" s="17" t="s">
        <v>506</v>
      </c>
      <c r="G1856" s="17" t="s">
        <v>15</v>
      </c>
      <c r="H1856" s="17" t="s">
        <v>16</v>
      </c>
      <c r="I1856" s="19">
        <v>9304489</v>
      </c>
      <c r="J1856" s="17" t="s">
        <v>2838</v>
      </c>
      <c r="K1856" s="17" t="s">
        <v>2291</v>
      </c>
      <c r="L1856" s="17"/>
      <c r="M1856" s="17">
        <v>54880863</v>
      </c>
      <c r="N1856" s="17"/>
      <c r="O1856" s="15" t="str">
        <f>IF(B1864=0,VLOOKUP(A1864,Feuil2!$A$2:$M$1241,13,FALSE)," ")</f>
        <v>08507000262004787592</v>
      </c>
    </row>
    <row r="1857" spans="1:15" x14ac:dyDescent="0.3">
      <c r="A1857" s="1">
        <v>2272</v>
      </c>
      <c r="B1857" s="1">
        <v>1</v>
      </c>
      <c r="C1857" s="1" t="s">
        <v>283</v>
      </c>
      <c r="D1857" s="1" t="s">
        <v>2331</v>
      </c>
      <c r="E1857" s="5">
        <v>35711</v>
      </c>
      <c r="F1857" s="1" t="s">
        <v>17</v>
      </c>
      <c r="G1857" s="1" t="str">
        <f>IF(B1857=0,VLOOKUP(A1857,Feuil2!$A$2:$M$1241,11,FALSE)," ")</f>
        <v xml:space="preserve"> </v>
      </c>
      <c r="H1857" s="1" t="s">
        <v>16</v>
      </c>
      <c r="I1857" s="6" t="str">
        <f>IF(B1857=0,VLOOKUP(A1857,Feuil2!$A$2:$M$1241,7,FALSE)," ")</f>
        <v xml:space="preserve"> </v>
      </c>
      <c r="J1857" s="1" t="str">
        <f>IF(B1857=0,VLOOKUP(A1857,Feuil2!$A$2:$M$1241,9,FALSE)," ")</f>
        <v xml:space="preserve"> </v>
      </c>
      <c r="K1857" s="1" t="str">
        <f>IF(B1857=0,VLOOKUP(A1857,Feuil2!$A$2:$M$1241,10,FALSE)," ")</f>
        <v xml:space="preserve"> </v>
      </c>
      <c r="L1857" s="1"/>
      <c r="M1857" s="1"/>
      <c r="N1857" s="1"/>
      <c r="O1857" s="15" t="str">
        <f>IF(B1865=0,VLOOKUP(A1865,Feuil2!$A$2:$M$1241,13,FALSE)," ")</f>
        <v>04204067404000975776</v>
      </c>
    </row>
    <row r="1858" spans="1:15" x14ac:dyDescent="0.3">
      <c r="A1858" s="1">
        <v>2272</v>
      </c>
      <c r="B1858" s="1">
        <v>2</v>
      </c>
      <c r="C1858" s="1" t="s">
        <v>2837</v>
      </c>
      <c r="D1858" s="1" t="s">
        <v>441</v>
      </c>
      <c r="E1858" s="5">
        <v>44560</v>
      </c>
      <c r="F1858" s="1" t="s">
        <v>506</v>
      </c>
      <c r="G1858" s="1"/>
      <c r="H1858" s="1" t="s">
        <v>16</v>
      </c>
      <c r="I1858" s="6"/>
      <c r="J1858" s="1"/>
      <c r="K1858" s="1"/>
      <c r="L1858" s="1"/>
      <c r="M1858" s="1"/>
      <c r="N1858" s="1"/>
      <c r="O1858" s="8" t="str">
        <f>IF(B1866=0,VLOOKUP(A1866,Feuil2!$A$2:$M$1241,13,FALSE)," ")</f>
        <v xml:space="preserve"> </v>
      </c>
    </row>
    <row r="1859" spans="1:15" x14ac:dyDescent="0.3">
      <c r="A1859" s="1">
        <v>2218</v>
      </c>
      <c r="B1859" s="17">
        <v>0</v>
      </c>
      <c r="C1859" s="17" t="str">
        <f>IF(B1859=0,VLOOKUP(A1859,Feuil2!$A$2:$M$1241,2,FALSE)," ")</f>
        <v>BAAZOUG</v>
      </c>
      <c r="D1859" s="17" t="str">
        <f>IF(B1859=0,VLOOKUP(A1859,Feuil2!$A$2:$M$1241,3,FALSE)," ")</f>
        <v>SOFIENE</v>
      </c>
      <c r="E1859" s="18">
        <f>IF(B1859=0,VLOOKUP(A1859,Feuil2!$A$2:$M$1241,6,FALSE)," ")</f>
        <v>34252</v>
      </c>
      <c r="F1859" s="17" t="str">
        <f>IF(B1859=0,VLOOKUP(A1859,Feuil2!$A$2:$M$1241,12,FALSE)," ")</f>
        <v>Homme</v>
      </c>
      <c r="G1859" s="17" t="str">
        <f>IF(B1859=0,VLOOKUP(A1859,Feuil2!$A$2:$M$1241,11,FALSE)," ")</f>
        <v>Celibataire</v>
      </c>
      <c r="H1859" s="17" t="s">
        <v>16</v>
      </c>
      <c r="I1859" s="19">
        <f>IF(B1859=0,VLOOKUP(A1859,Feuil2!$A$2:$M$1241,7,FALSE)," ")</f>
        <v>9342492</v>
      </c>
      <c r="J1859" s="17" t="str">
        <f>IF(B1859=0,VLOOKUP(A1859,Feuil2!$A$2:$M$1241,9,FALSE)," ")</f>
        <v>RUE ZAHRA HAY NOUR</v>
      </c>
      <c r="K1859" s="17" t="str">
        <f>IF(B1859=0,VLOOKUP(A1859,Feuil2!$A$2:$M$1241,10,FALSE)," ")</f>
        <v>MSAKEN</v>
      </c>
      <c r="L1859" s="17"/>
      <c r="M1859" s="17">
        <v>99868383</v>
      </c>
      <c r="N1859" s="17"/>
      <c r="O1859" s="8" t="str">
        <f>IF(B1867=0,VLOOKUP(A1867,Feuil2!$A$2:$M$1241,13,FALSE)," ")</f>
        <v xml:space="preserve"> </v>
      </c>
    </row>
    <row r="1860" spans="1:15" x14ac:dyDescent="0.3">
      <c r="A1860" s="1">
        <v>2258</v>
      </c>
      <c r="B1860" s="12">
        <v>0</v>
      </c>
      <c r="C1860" s="12" t="s">
        <v>372</v>
      </c>
      <c r="D1860" s="12" t="s">
        <v>34</v>
      </c>
      <c r="E1860" s="13">
        <v>36417</v>
      </c>
      <c r="F1860" s="12" t="s">
        <v>2258</v>
      </c>
      <c r="G1860" s="12" t="s">
        <v>2257</v>
      </c>
      <c r="H1860" s="12" t="s">
        <v>16</v>
      </c>
      <c r="I1860" s="14">
        <v>12854216</v>
      </c>
      <c r="J1860" s="12" t="s">
        <v>2844</v>
      </c>
      <c r="K1860" s="12" t="s">
        <v>2285</v>
      </c>
      <c r="L1860" s="12"/>
      <c r="M1860" s="12">
        <v>50437060</v>
      </c>
      <c r="N1860" s="12"/>
      <c r="O1860" s="8" t="str">
        <f>IF(B1868=0,VLOOKUP(A1868,Feuil2!$A$2:$M$1241,13,FALSE)," ")</f>
        <v xml:space="preserve"> </v>
      </c>
    </row>
    <row r="1861" spans="1:15" x14ac:dyDescent="0.3">
      <c r="A1861" s="1">
        <v>2297</v>
      </c>
      <c r="B1861" s="17">
        <v>0</v>
      </c>
      <c r="C1861" s="17" t="s">
        <v>451</v>
      </c>
      <c r="D1861" s="17" t="s">
        <v>89</v>
      </c>
      <c r="E1861" s="18">
        <v>33655</v>
      </c>
      <c r="F1861" s="17" t="s">
        <v>2258</v>
      </c>
      <c r="G1861" s="17" t="s">
        <v>15</v>
      </c>
      <c r="H1861" s="17" t="s">
        <v>16</v>
      </c>
      <c r="I1861" s="19">
        <v>9323139</v>
      </c>
      <c r="J1861" s="17" t="s">
        <v>2846</v>
      </c>
      <c r="K1861" s="17" t="s">
        <v>2285</v>
      </c>
      <c r="L1861" s="17"/>
      <c r="M1861" s="17">
        <v>20830570</v>
      </c>
      <c r="N1861" s="17"/>
      <c r="O1861" s="20" t="str">
        <f>IF(B1869=0,VLOOKUP(A1869,Feuil2!$A$2:$M$1241,13,FALSE)," ")</f>
        <v xml:space="preserve"> </v>
      </c>
    </row>
    <row r="1862" spans="1:15" x14ac:dyDescent="0.3">
      <c r="A1862" s="1">
        <v>2297</v>
      </c>
      <c r="B1862" s="1">
        <v>1</v>
      </c>
      <c r="C1862" s="1" t="s">
        <v>1029</v>
      </c>
      <c r="D1862" s="1" t="s">
        <v>2370</v>
      </c>
      <c r="E1862" s="5">
        <v>35001</v>
      </c>
      <c r="F1862" s="1" t="s">
        <v>17</v>
      </c>
      <c r="G1862" s="1"/>
      <c r="H1862" s="1"/>
      <c r="I1862" s="6"/>
      <c r="J1862" s="1"/>
      <c r="K1862" s="1"/>
      <c r="L1862" s="1"/>
      <c r="M1862" s="1"/>
      <c r="N1862" s="1"/>
      <c r="O1862" s="23" t="s">
        <v>2869</v>
      </c>
    </row>
    <row r="1863" spans="1:15" x14ac:dyDescent="0.3">
      <c r="A1863" s="1">
        <v>2297</v>
      </c>
      <c r="B1863" s="1">
        <v>2</v>
      </c>
      <c r="C1863" s="1" t="s">
        <v>451</v>
      </c>
      <c r="D1863" s="1" t="s">
        <v>2850</v>
      </c>
      <c r="E1863" s="5">
        <v>43579</v>
      </c>
      <c r="F1863" s="1" t="s">
        <v>17</v>
      </c>
      <c r="G1863" s="1"/>
      <c r="H1863" s="1"/>
      <c r="I1863" s="6"/>
      <c r="J1863" s="1"/>
      <c r="K1863" s="1"/>
      <c r="L1863" s="1"/>
      <c r="M1863" s="1"/>
      <c r="N1863" s="1"/>
      <c r="O1863" s="15" t="str">
        <f>IF(B1871=0,VLOOKUP(A1871,Feuil2!$A$2:$M$1241,13,FALSE)," ")</f>
        <v>17503000000283914446</v>
      </c>
    </row>
    <row r="1864" spans="1:15" x14ac:dyDescent="0.3">
      <c r="A1864" s="1">
        <v>2179</v>
      </c>
      <c r="B1864" s="12">
        <v>0</v>
      </c>
      <c r="C1864" s="12" t="str">
        <f>IF(B1864=0,VLOOKUP(A1864,Feuil2!$A$2:$M$1241,2,FALSE)," ")</f>
        <v>BOUHLEL</v>
      </c>
      <c r="D1864" s="12" t="str">
        <f>IF(B1864=0,VLOOKUP(A1864,Feuil2!$A$2:$M$1241,3,FALSE)," ")</f>
        <v>AHMED</v>
      </c>
      <c r="E1864" s="13">
        <f>IF(B1864=0,VLOOKUP(A1864,Feuil2!$A$2:$M$1241,6,FALSE)," ")</f>
        <v>31565</v>
      </c>
      <c r="F1864" s="12" t="s">
        <v>2258</v>
      </c>
      <c r="G1864" s="12" t="s">
        <v>2257</v>
      </c>
      <c r="H1864" s="12" t="s">
        <v>16</v>
      </c>
      <c r="I1864" s="14">
        <f>IF(B1864=0,VLOOKUP(A1864,Feuil2!$A$2:$M$1241,7,FALSE)," ")</f>
        <v>9264856</v>
      </c>
      <c r="J1864" s="12" t="str">
        <f>IF(B1864=0,VLOOKUP(A1864,Feuil2!$A$2:$M$1241,9,FALSE)," ")</f>
        <v>Rue Ariana</v>
      </c>
      <c r="K1864" s="12" t="str">
        <f>IF(B1864=0,VLOOKUP(A1864,Feuil2!$A$2:$M$1241,10,FALSE)," ")</f>
        <v>Msaken 4070</v>
      </c>
      <c r="L1864" s="12"/>
      <c r="M1864" s="12">
        <v>25658185</v>
      </c>
      <c r="N1864" s="12"/>
      <c r="O1864" s="8" t="str">
        <f>IF(B1872=0,VLOOKUP(A1872,Feuil2!$A$2:$M$1241,13,FALSE)," ")</f>
        <v xml:space="preserve"> </v>
      </c>
    </row>
    <row r="1865" spans="1:15" x14ac:dyDescent="0.3">
      <c r="A1865" s="1">
        <v>1785</v>
      </c>
      <c r="B1865" s="12">
        <v>0</v>
      </c>
      <c r="C1865" s="12" t="str">
        <f>IF(B1865=0,VLOOKUP(A1865,Feuil2!$A$2:$M$1241,2,FALSE)," ")</f>
        <v>HMIDI</v>
      </c>
      <c r="D1865" s="12" t="str">
        <f>IF(B1865=0,VLOOKUP(A1865,Feuil2!$A$2:$M$1241,3,FALSE)," ")</f>
        <v>SALEM</v>
      </c>
      <c r="E1865" s="13">
        <f>IF(B1865=0,VLOOKUP(A1865,Feuil2!$A$2:$M$1241,6,FALSE)," ")</f>
        <v>26724</v>
      </c>
      <c r="F1865" s="12" t="str">
        <f>IF(B1865=0,VLOOKUP(A1865,Feuil2!$A$2:$M$1241,12,FALSE)," ")</f>
        <v>H</v>
      </c>
      <c r="G1865" s="12" t="str">
        <f>IF(B1865=0,VLOOKUP(A1865,Feuil2!$A$2:$M$1241,11,FALSE)," ")</f>
        <v>M</v>
      </c>
      <c r="H1865" s="12" t="s">
        <v>16</v>
      </c>
      <c r="I1865" s="14">
        <f>IF(B1865=0,VLOOKUP(A1865,Feuil2!$A$2:$M$1241,7,FALSE)," ")</f>
        <v>5538168</v>
      </c>
      <c r="J1865" s="12" t="s">
        <v>2848</v>
      </c>
      <c r="K1865" s="12" t="str">
        <f>IF(B1865=0,VLOOKUP(A1865,Feuil2!$A$2:$M$1241,10,FALSE)," ")</f>
        <v>Knaies 4014</v>
      </c>
      <c r="L1865" s="12"/>
      <c r="M1865" s="12">
        <v>55905517</v>
      </c>
      <c r="N1865" s="12"/>
      <c r="O1865" s="23" t="s">
        <v>2872</v>
      </c>
    </row>
    <row r="1866" spans="1:15" x14ac:dyDescent="0.3">
      <c r="A1866" s="1">
        <v>1785</v>
      </c>
      <c r="B1866" s="1">
        <v>1</v>
      </c>
      <c r="C1866" s="1" t="s">
        <v>333</v>
      </c>
      <c r="D1866" s="1" t="s">
        <v>2614</v>
      </c>
      <c r="E1866" s="5">
        <v>30077</v>
      </c>
      <c r="F1866" s="1" t="s">
        <v>17</v>
      </c>
      <c r="G1866" s="1" t="str">
        <f>IF(B1866=0,VLOOKUP(A1866,Feuil2!$A$2:$M$1241,11,FALSE)," ")</f>
        <v xml:space="preserve"> </v>
      </c>
      <c r="H1866" s="1" t="s">
        <v>16</v>
      </c>
      <c r="I1866" s="6" t="str">
        <f>IF(B1866=0,VLOOKUP(A1866,Feuil2!$A$2:$M$1241,7,FALSE)," ")</f>
        <v xml:space="preserve"> </v>
      </c>
      <c r="J1866" s="1" t="str">
        <f>IF(B1866=0,VLOOKUP(A1866,Feuil2!$A$2:$M$1241,9,FALSE)," ")</f>
        <v xml:space="preserve"> </v>
      </c>
      <c r="K1866" s="1" t="str">
        <f>IF(B1866=0,VLOOKUP(A1866,Feuil2!$A$2:$M$1241,10,FALSE)," ")</f>
        <v xml:space="preserve"> </v>
      </c>
      <c r="L1866" s="1"/>
      <c r="M1866" s="1"/>
      <c r="N1866" s="1"/>
      <c r="O1866" s="23" t="s">
        <v>2874</v>
      </c>
    </row>
    <row r="1867" spans="1:15" x14ac:dyDescent="0.3">
      <c r="A1867" s="1">
        <v>1785</v>
      </c>
      <c r="B1867" s="1">
        <v>2</v>
      </c>
      <c r="C1867" s="1" t="s">
        <v>349</v>
      </c>
      <c r="D1867" s="1" t="s">
        <v>2351</v>
      </c>
      <c r="E1867" s="5">
        <v>37396</v>
      </c>
      <c r="F1867" s="1" t="s">
        <v>506</v>
      </c>
      <c r="G1867" s="1" t="str">
        <f>IF(B1867=0,VLOOKUP(A1867,Feuil2!$A$2:$M$1241,11,FALSE)," ")</f>
        <v xml:space="preserve"> </v>
      </c>
      <c r="H1867" s="1" t="s">
        <v>16</v>
      </c>
      <c r="I1867" s="6" t="str">
        <f>IF(B1867=0,VLOOKUP(A1867,Feuil2!$A$2:$M$1241,7,FALSE)," ")</f>
        <v xml:space="preserve"> </v>
      </c>
      <c r="J1867" s="1" t="str">
        <f>IF(B1867=0,VLOOKUP(A1867,Feuil2!$A$2:$M$1241,9,FALSE)," ")</f>
        <v xml:space="preserve"> </v>
      </c>
      <c r="K1867" s="1" t="str">
        <f>IF(B1867=0,VLOOKUP(A1867,Feuil2!$A$2:$M$1241,10,FALSE)," ")</f>
        <v xml:space="preserve"> </v>
      </c>
      <c r="L1867" s="1"/>
      <c r="M1867" s="1"/>
      <c r="N1867" s="1"/>
      <c r="O1867" s="23" t="s">
        <v>2875</v>
      </c>
    </row>
    <row r="1868" spans="1:15" x14ac:dyDescent="0.3">
      <c r="A1868" s="1">
        <v>1785</v>
      </c>
      <c r="B1868" s="1">
        <v>3</v>
      </c>
      <c r="C1868" s="1" t="s">
        <v>349</v>
      </c>
      <c r="D1868" s="1" t="s">
        <v>2849</v>
      </c>
      <c r="E1868" s="5">
        <v>38189</v>
      </c>
      <c r="F1868" s="1" t="s">
        <v>506</v>
      </c>
      <c r="G1868" s="1" t="str">
        <f>IF(B1868=0,VLOOKUP(A1868,Feuil2!$A$2:$M$1241,11,FALSE)," ")</f>
        <v xml:space="preserve"> </v>
      </c>
      <c r="H1868" s="1" t="s">
        <v>16</v>
      </c>
      <c r="I1868" s="6" t="str">
        <f>IF(B1868=0,VLOOKUP(A1868,Feuil2!$A$2:$M$1241,7,FALSE)," ")</f>
        <v xml:space="preserve"> </v>
      </c>
      <c r="J1868" s="1" t="str">
        <f>IF(B1868=0,VLOOKUP(A1868,Feuil2!$A$2:$M$1241,9,FALSE)," ")</f>
        <v xml:space="preserve"> </v>
      </c>
      <c r="K1868" s="1" t="str">
        <f>IF(B1868=0,VLOOKUP(A1868,Feuil2!$A$2:$M$1241,10,FALSE)," ")</f>
        <v xml:space="preserve"> </v>
      </c>
      <c r="L1868" s="1"/>
      <c r="M1868" s="1"/>
      <c r="N1868" s="1"/>
      <c r="O1868" s="23" t="s">
        <v>2878</v>
      </c>
    </row>
    <row r="1869" spans="1:15" x14ac:dyDescent="0.3">
      <c r="A1869" s="1">
        <v>1785</v>
      </c>
      <c r="B1869" s="1">
        <v>4</v>
      </c>
      <c r="C1869" s="1" t="s">
        <v>349</v>
      </c>
      <c r="D1869" s="1" t="s">
        <v>287</v>
      </c>
      <c r="E1869" s="5">
        <v>40949</v>
      </c>
      <c r="F1869" s="1" t="s">
        <v>506</v>
      </c>
      <c r="G1869" s="1" t="str">
        <f>IF(B1869=0,VLOOKUP(A1869,Feuil2!$A$2:$M$1241,11,FALSE)," ")</f>
        <v xml:space="preserve"> </v>
      </c>
      <c r="H1869" s="1" t="s">
        <v>16</v>
      </c>
      <c r="I1869" s="6" t="str">
        <f>IF(B1869=0,VLOOKUP(A1869,Feuil2!$A$2:$M$1241,7,FALSE)," ")</f>
        <v xml:space="preserve"> </v>
      </c>
      <c r="J1869" s="1" t="str">
        <f>IF(B1869=0,VLOOKUP(A1869,Feuil2!$A$2:$M$1241,9,FALSE)," ")</f>
        <v xml:space="preserve"> </v>
      </c>
      <c r="K1869" s="1" t="str">
        <f>IF(B1869=0,VLOOKUP(A1869,Feuil2!$A$2:$M$1241,10,FALSE)," ")</f>
        <v xml:space="preserve"> </v>
      </c>
      <c r="L1869" s="1"/>
      <c r="M1869" s="1"/>
      <c r="N1869" s="1"/>
      <c r="O1869" s="15" t="str">
        <f>IF(B1878=0,VLOOKUP(A1878,Feuil2!$A$2:$M$1241,13,FALSE)," ")</f>
        <v>08507000264004322118</v>
      </c>
    </row>
    <row r="1870" spans="1:15" x14ac:dyDescent="0.3">
      <c r="A1870" s="1">
        <v>2285</v>
      </c>
      <c r="B1870" s="17">
        <v>0</v>
      </c>
      <c r="C1870" s="17" t="s">
        <v>2867</v>
      </c>
      <c r="D1870" s="17" t="s">
        <v>1444</v>
      </c>
      <c r="E1870" s="18">
        <v>35707</v>
      </c>
      <c r="F1870" s="17" t="s">
        <v>506</v>
      </c>
      <c r="G1870" s="17" t="s">
        <v>2257</v>
      </c>
      <c r="H1870" s="17" t="s">
        <v>16</v>
      </c>
      <c r="I1870" s="19">
        <v>12844204</v>
      </c>
      <c r="J1870" s="17" t="s">
        <v>2868</v>
      </c>
      <c r="K1870" s="17" t="s">
        <v>513</v>
      </c>
      <c r="L1870" s="17"/>
      <c r="M1870" s="17">
        <v>52528330</v>
      </c>
      <c r="N1870" s="17"/>
      <c r="O1870" s="21" t="s">
        <v>2882</v>
      </c>
    </row>
    <row r="1871" spans="1:15" x14ac:dyDescent="0.3">
      <c r="A1871" s="1">
        <v>2184</v>
      </c>
      <c r="B1871" s="12">
        <v>0</v>
      </c>
      <c r="C1871" s="12" t="str">
        <f>IF(B1871=0,VLOOKUP(A1871,Feuil2!$A$2:$M$1241,2,FALSE)," ")</f>
        <v>BEN HADJ HASSINE</v>
      </c>
      <c r="D1871" s="12" t="str">
        <f>IF(B1871=0,VLOOKUP(A1871,Feuil2!$A$2:$M$1241,3,FALSE)," ")</f>
        <v>KHALED</v>
      </c>
      <c r="E1871" s="13">
        <f>IF(B1871=0,VLOOKUP(A1871,Feuil2!$A$2:$M$1241,6,FALSE)," ")</f>
        <v>32933</v>
      </c>
      <c r="F1871" s="12" t="str">
        <f>IF(B1871=0,VLOOKUP(A1871,Feuil2!$A$2:$M$1241,12,FALSE)," ")</f>
        <v>H</v>
      </c>
      <c r="G1871" s="12" t="s">
        <v>15</v>
      </c>
      <c r="H1871" s="12" t="s">
        <v>16</v>
      </c>
      <c r="I1871" s="14">
        <f>IF(B1871=0,VLOOKUP(A1871,Feuil2!$A$2:$M$1241,7,FALSE)," ")</f>
        <v>9323011</v>
      </c>
      <c r="J1871" s="12" t="str">
        <f>IF(B1871=0,VLOOKUP(A1871,Feuil2!$A$2:$M$1241,9,FALSE)," ")</f>
        <v>Aouled Boubaker</v>
      </c>
      <c r="K1871" s="12" t="str">
        <f>IF(B1871=0,VLOOKUP(A1871,Feuil2!$A$2:$M$1241,10,FALSE)," ")</f>
        <v>Sidi El HÃ©ni 4025</v>
      </c>
      <c r="L1871" s="12"/>
      <c r="M1871" s="12">
        <v>55914772</v>
      </c>
      <c r="N1871" s="12"/>
      <c r="O1871" s="8" t="str">
        <f>IF(B1880=0,VLOOKUP(A1880,Feuil2!$A$2:$M$1241,13,FALSE)," ")</f>
        <v xml:space="preserve"> </v>
      </c>
    </row>
    <row r="1872" spans="1:15" x14ac:dyDescent="0.3">
      <c r="A1872" s="1">
        <v>2184</v>
      </c>
      <c r="B1872" s="1">
        <v>1</v>
      </c>
      <c r="C1872" s="1" t="s">
        <v>2870</v>
      </c>
      <c r="D1872" s="1" t="s">
        <v>2373</v>
      </c>
      <c r="E1872" s="5">
        <v>33751</v>
      </c>
      <c r="F1872" s="1" t="s">
        <v>17</v>
      </c>
      <c r="G1872" s="1" t="s">
        <v>15</v>
      </c>
      <c r="H1872" s="1" t="s">
        <v>16</v>
      </c>
      <c r="I1872" s="6" t="str">
        <f>IF(B1872=0,VLOOKUP(A1872,Feuil2!$A$2:$M$1241,7,FALSE)," ")</f>
        <v xml:space="preserve"> </v>
      </c>
      <c r="J1872" s="1" t="str">
        <f>IF(B1872=0,VLOOKUP(A1872,Feuil2!$A$2:$M$1241,9,FALSE)," ")</f>
        <v xml:space="preserve"> </v>
      </c>
      <c r="K1872" s="1" t="str">
        <f>IF(B1872=0,VLOOKUP(A1872,Feuil2!$A$2:$M$1241,10,FALSE)," ")</f>
        <v xml:space="preserve"> </v>
      </c>
      <c r="L1872" s="1"/>
      <c r="M1872" s="1"/>
      <c r="N1872" s="1"/>
      <c r="O1872" s="8" t="str">
        <f>IF(B1881=0,VLOOKUP(A1881,Feuil2!$A$2:$M$1241,13,FALSE)," ")</f>
        <v xml:space="preserve"> </v>
      </c>
    </row>
    <row r="1873" spans="1:15" x14ac:dyDescent="0.3">
      <c r="A1873" s="1">
        <v>2184</v>
      </c>
      <c r="B1873" s="1">
        <v>2</v>
      </c>
      <c r="C1873" s="1" t="s">
        <v>2235</v>
      </c>
      <c r="D1873" s="1" t="s">
        <v>61</v>
      </c>
      <c r="E1873" s="5">
        <v>45934</v>
      </c>
      <c r="F1873" s="1" t="s">
        <v>506</v>
      </c>
      <c r="G1873" s="1"/>
      <c r="H1873" s="1"/>
      <c r="I1873" s="6"/>
      <c r="J1873" s="1"/>
      <c r="K1873" s="1"/>
      <c r="L1873" s="1"/>
      <c r="M1873" s="1"/>
      <c r="N1873" s="1"/>
      <c r="O1873" s="8"/>
    </row>
    <row r="1874" spans="1:15" x14ac:dyDescent="0.3">
      <c r="A1874" s="1">
        <v>2236</v>
      </c>
      <c r="B1874" s="12">
        <v>0</v>
      </c>
      <c r="C1874" s="12" t="s">
        <v>78</v>
      </c>
      <c r="D1874" s="12" t="s">
        <v>274</v>
      </c>
      <c r="E1874" s="13">
        <v>33515</v>
      </c>
      <c r="F1874" s="12" t="s">
        <v>506</v>
      </c>
      <c r="G1874" s="12" t="s">
        <v>2257</v>
      </c>
      <c r="H1874" s="12" t="s">
        <v>16</v>
      </c>
      <c r="I1874" s="14">
        <v>9315032</v>
      </c>
      <c r="J1874" s="12" t="s">
        <v>2871</v>
      </c>
      <c r="K1874" s="12" t="s">
        <v>513</v>
      </c>
      <c r="L1874" s="12"/>
      <c r="M1874" s="12">
        <v>98793896</v>
      </c>
      <c r="N1874" s="12"/>
      <c r="O1874" s="23" t="s">
        <v>2883</v>
      </c>
    </row>
    <row r="1875" spans="1:15" x14ac:dyDescent="0.3">
      <c r="A1875" s="1">
        <v>2254</v>
      </c>
      <c r="B1875" s="12">
        <v>0</v>
      </c>
      <c r="C1875" s="12" t="s">
        <v>180</v>
      </c>
      <c r="D1875" s="12" t="s">
        <v>110</v>
      </c>
      <c r="E1875" s="13">
        <v>35972</v>
      </c>
      <c r="F1875" s="12" t="s">
        <v>506</v>
      </c>
      <c r="G1875" s="12" t="s">
        <v>2257</v>
      </c>
      <c r="H1875" s="12" t="s">
        <v>16</v>
      </c>
      <c r="I1875" s="14">
        <v>12847640</v>
      </c>
      <c r="J1875" s="12" t="s">
        <v>2873</v>
      </c>
      <c r="K1875" s="12" t="s">
        <v>513</v>
      </c>
      <c r="L1875" s="12"/>
      <c r="M1875" s="12">
        <v>24345821</v>
      </c>
      <c r="N1875" s="12"/>
      <c r="O1875" s="8" t="str">
        <f>IF(B1884=0,VLOOKUP(A1884,Feuil2!$A$2:$M$1241,13,FALSE)," ")</f>
        <v xml:space="preserve"> </v>
      </c>
    </row>
    <row r="1876" spans="1:15" x14ac:dyDescent="0.3">
      <c r="A1876" s="1">
        <v>1713</v>
      </c>
      <c r="B1876" s="12">
        <v>0</v>
      </c>
      <c r="C1876" s="12" t="str">
        <f>IF(B1876=0,VLOOKUP(A1876,Feuil2!$A$2:$M$1241,2,FALSE)," ")</f>
        <v>SAKKA ROUIS</v>
      </c>
      <c r="D1876" s="12" t="str">
        <f>IF(B1876=0,VLOOKUP(A1876,Feuil2!$A$2:$M$1241,3,FALSE)," ")</f>
        <v>MOHAMED MAHER</v>
      </c>
      <c r="E1876" s="13">
        <f>IF(B1876=0,VLOOKUP(A1876,Feuil2!$A$2:$M$1241,6,FALSE)," ")</f>
        <v>28463</v>
      </c>
      <c r="F1876" s="12" t="str">
        <f>IF(B1876=0,VLOOKUP(A1876,Feuil2!$A$2:$M$1241,12,FALSE)," ")</f>
        <v>H</v>
      </c>
      <c r="G1876" s="12" t="s">
        <v>2257</v>
      </c>
      <c r="H1876" s="12" t="s">
        <v>16</v>
      </c>
      <c r="I1876" s="14">
        <f>IF(B1876=0,VLOOKUP(A1876,Feuil2!$A$2:$M$1241,7,FALSE)," ")</f>
        <v>5564944</v>
      </c>
      <c r="J1876" s="12" t="str">
        <f>IF(B1876=0,VLOOKUP(A1876,Feuil2!$A$2:$M$1241,9,FALSE)," ")</f>
        <v>10 Rue Amman</v>
      </c>
      <c r="K1876" s="12" t="str">
        <f>IF(B1876=0,VLOOKUP(A1876,Feuil2!$A$2:$M$1241,10,FALSE)," ")</f>
        <v>Msaken 4070</v>
      </c>
      <c r="L1876" s="12"/>
      <c r="M1876" s="12">
        <v>24526655</v>
      </c>
      <c r="N1876" s="12"/>
      <c r="O1876" s="8" t="str">
        <f>IF(B1885=0,VLOOKUP(A1885,Feuil2!$A$2:$M$1241,13,FALSE)," ")</f>
        <v xml:space="preserve"> </v>
      </c>
    </row>
    <row r="1877" spans="1:15" x14ac:dyDescent="0.3">
      <c r="A1877" s="1">
        <v>2252</v>
      </c>
      <c r="B1877" s="12">
        <v>0</v>
      </c>
      <c r="C1877" s="12" t="s">
        <v>2876</v>
      </c>
      <c r="D1877" s="12" t="s">
        <v>56</v>
      </c>
      <c r="E1877" s="13">
        <v>35113</v>
      </c>
      <c r="F1877" s="12" t="s">
        <v>506</v>
      </c>
      <c r="G1877" s="12" t="s">
        <v>2257</v>
      </c>
      <c r="H1877" s="12" t="s">
        <v>16</v>
      </c>
      <c r="I1877" s="14">
        <v>12805412</v>
      </c>
      <c r="J1877" s="12" t="s">
        <v>2877</v>
      </c>
      <c r="K1877" s="12" t="s">
        <v>513</v>
      </c>
      <c r="L1877" s="12"/>
      <c r="M1877" s="12">
        <v>98793690</v>
      </c>
      <c r="N1877" s="12"/>
      <c r="O1877" s="8" t="str">
        <f>IF(B1886=0,VLOOKUP(A1886,Feuil2!$A$2:$M$1241,13,FALSE)," ")</f>
        <v xml:space="preserve"> </v>
      </c>
    </row>
    <row r="1878" spans="1:15" x14ac:dyDescent="0.3">
      <c r="A1878" s="1">
        <v>2010</v>
      </c>
      <c r="B1878" s="12">
        <v>0</v>
      </c>
      <c r="C1878" s="12" t="str">
        <f>IF(B1878=0,VLOOKUP(A1878,Feuil2!$A$2:$M$1241,2,FALSE)," ")</f>
        <v>BEN ABDELJELIL</v>
      </c>
      <c r="D1878" s="12" t="str">
        <f>IF(B1878=0,VLOOKUP(A1878,Feuil2!$A$2:$M$1241,3,FALSE)," ")</f>
        <v>HOUCEM</v>
      </c>
      <c r="E1878" s="13">
        <f>IF(B1878=0,VLOOKUP(A1878,Feuil2!$A$2:$M$1241,6,FALSE)," ")</f>
        <v>33046</v>
      </c>
      <c r="F1878" s="12" t="str">
        <f>IF(B1878=0,VLOOKUP(A1878,Feuil2!$A$2:$M$1241,12,FALSE)," ")</f>
        <v>H</v>
      </c>
      <c r="G1878" s="12" t="s">
        <v>2257</v>
      </c>
      <c r="H1878" s="12" t="s">
        <v>16</v>
      </c>
      <c r="I1878" s="14">
        <f>IF(B1878=0,VLOOKUP(A1878,Feuil2!$A$2:$M$1241,7,FALSE)," ")</f>
        <v>9284482</v>
      </c>
      <c r="J1878" s="12" t="str">
        <f>IF(B1878=0,VLOOKUP(A1878,Feuil2!$A$2:$M$1241,9,FALSE)," ")</f>
        <v>41, Rue Ali Belhouane</v>
      </c>
      <c r="K1878" s="12" t="str">
        <f>IF(B1878=0,VLOOKUP(A1878,Feuil2!$A$2:$M$1241,10,FALSE)," ")</f>
        <v>Msaken 4070</v>
      </c>
      <c r="L1878" s="12"/>
      <c r="M1878" s="12">
        <v>20040781</v>
      </c>
      <c r="N1878" s="12"/>
      <c r="O1878" s="8" t="str">
        <f>IF(B1887=0,VLOOKUP(A1887,Feuil2!$A$2:$M$1241,13,FALSE)," ")</f>
        <v xml:space="preserve"> </v>
      </c>
    </row>
    <row r="1879" spans="1:15" x14ac:dyDescent="0.3">
      <c r="A1879" s="1">
        <v>2270</v>
      </c>
      <c r="B1879" s="12">
        <v>0</v>
      </c>
      <c r="C1879" s="12" t="s">
        <v>2880</v>
      </c>
      <c r="D1879" s="12" t="s">
        <v>34</v>
      </c>
      <c r="E1879" s="13">
        <v>34433</v>
      </c>
      <c r="F1879" s="12" t="s">
        <v>506</v>
      </c>
      <c r="G1879" s="12" t="s">
        <v>15</v>
      </c>
      <c r="H1879" s="12" t="s">
        <v>16</v>
      </c>
      <c r="I1879" s="14">
        <v>12802949</v>
      </c>
      <c r="J1879" s="12" t="s">
        <v>2881</v>
      </c>
      <c r="K1879" s="12" t="s">
        <v>513</v>
      </c>
      <c r="L1879" s="12"/>
      <c r="M1879" s="12">
        <v>24254848</v>
      </c>
      <c r="N1879" s="12"/>
      <c r="O1879" s="23" t="s">
        <v>2886</v>
      </c>
    </row>
    <row r="1880" spans="1:15" x14ac:dyDescent="0.3">
      <c r="A1880" s="1">
        <v>2270</v>
      </c>
      <c r="B1880" s="1">
        <v>1</v>
      </c>
      <c r="C1880" s="1" t="s">
        <v>71</v>
      </c>
      <c r="D1880" s="1" t="s">
        <v>2332</v>
      </c>
      <c r="E1880" s="5">
        <v>34377</v>
      </c>
      <c r="F1880" s="1" t="s">
        <v>17</v>
      </c>
      <c r="G1880" s="1" t="s">
        <v>15</v>
      </c>
      <c r="H1880" s="1" t="s">
        <v>16</v>
      </c>
      <c r="I1880" s="6" t="str">
        <f>IF(B1880=0,VLOOKUP(A1880,Feuil2!$A$2:$M$1241,7,FALSE)," ")</f>
        <v xml:space="preserve"> </v>
      </c>
      <c r="J1880" s="1" t="str">
        <f>IF(B1880=0,VLOOKUP(A1880,Feuil2!$A$2:$M$1241,9,FALSE)," ")</f>
        <v xml:space="preserve"> </v>
      </c>
      <c r="K1880" s="1" t="str">
        <f>IF(B1880=0,VLOOKUP(A1880,Feuil2!$A$2:$M$1241,10,FALSE)," ")</f>
        <v xml:space="preserve"> </v>
      </c>
      <c r="L1880" s="1"/>
      <c r="M1880" s="1"/>
      <c r="N1880" s="1"/>
      <c r="O1880" s="8" t="str">
        <f>IF(B1889=0,VLOOKUP(A1889,Feuil2!$A$2:$M$1241,13,FALSE)," ")</f>
        <v xml:space="preserve"> </v>
      </c>
    </row>
    <row r="1881" spans="1:15" x14ac:dyDescent="0.3">
      <c r="A1881" s="1">
        <v>2270</v>
      </c>
      <c r="B1881" s="1">
        <v>2</v>
      </c>
      <c r="C1881" s="1" t="s">
        <v>2880</v>
      </c>
      <c r="D1881" s="1" t="s">
        <v>2807</v>
      </c>
      <c r="E1881" s="5">
        <v>44050</v>
      </c>
      <c r="F1881" s="1" t="s">
        <v>506</v>
      </c>
      <c r="G1881" s="1" t="str">
        <f>IF(B1881=0,VLOOKUP(A1881,Feuil2!$A$2:$M$1241,11,FALSE)," ")</f>
        <v xml:space="preserve"> </v>
      </c>
      <c r="H1881" s="1" t="s">
        <v>16</v>
      </c>
      <c r="I1881" s="6" t="str">
        <f>IF(B1881=0,VLOOKUP(A1881,Feuil2!$A$2:$M$1241,7,FALSE)," ")</f>
        <v xml:space="preserve"> </v>
      </c>
      <c r="J1881" s="1" t="str">
        <f>IF(B1881=0,VLOOKUP(A1881,Feuil2!$A$2:$M$1241,9,FALSE)," ")</f>
        <v xml:space="preserve"> </v>
      </c>
      <c r="K1881" s="1" t="str">
        <f>IF(B1881=0,VLOOKUP(A1881,Feuil2!$A$2:$M$1241,10,FALSE)," ")</f>
        <v xml:space="preserve"> </v>
      </c>
      <c r="L1881" s="1"/>
      <c r="M1881" s="1"/>
      <c r="N1881" s="1"/>
      <c r="O1881" s="8" t="str">
        <f>IF(B1890=0,VLOOKUP(A1890,Feuil2!$A$2:$M$1241,13,FALSE)," ")</f>
        <v xml:space="preserve"> </v>
      </c>
    </row>
    <row r="1882" spans="1:15" x14ac:dyDescent="0.3">
      <c r="A1882" s="1">
        <v>2270</v>
      </c>
      <c r="B1882" s="1">
        <v>3</v>
      </c>
      <c r="C1882" s="1" t="s">
        <v>2880</v>
      </c>
      <c r="D1882" s="1" t="s">
        <v>2952</v>
      </c>
      <c r="E1882" s="5">
        <v>44867</v>
      </c>
      <c r="F1882" s="1" t="s">
        <v>17</v>
      </c>
      <c r="G1882" s="1"/>
      <c r="H1882" s="1"/>
      <c r="I1882" s="6"/>
      <c r="J1882" s="1"/>
      <c r="K1882" s="1"/>
      <c r="L1882" s="1"/>
      <c r="M1882" s="1"/>
      <c r="N1882" s="1"/>
      <c r="O1882" s="23" t="s">
        <v>2890</v>
      </c>
    </row>
    <row r="1883" spans="1:15" x14ac:dyDescent="0.3">
      <c r="A1883" s="1">
        <v>837</v>
      </c>
      <c r="B1883" s="17">
        <v>0</v>
      </c>
      <c r="C1883" s="17" t="str">
        <f>IF(B1883=0,VLOOKUP(A1883,Feuil2!$A$2:$M$1241,2,FALSE)," ")</f>
        <v>BEL HADJ HASSEN</v>
      </c>
      <c r="D1883" s="17" t="str">
        <f>IF(B1883=0,VLOOKUP(A1883,Feuil2!$A$2:$M$1241,3,FALSE)," ")</f>
        <v>ABDELAZIZ</v>
      </c>
      <c r="E1883" s="18">
        <f>IF(B1883=0,VLOOKUP(A1883,Feuil2!$A$2:$M$1241,6,FALSE)," ")</f>
        <v>24223</v>
      </c>
      <c r="F1883" s="17" t="str">
        <f>IF(B1883=0,VLOOKUP(A1883,Feuil2!$A$2:$M$1241,12,FALSE)," ")</f>
        <v>H</v>
      </c>
      <c r="G1883" s="17" t="str">
        <f>IF(B1883=0,VLOOKUP(A1883,Feuil2!$A$2:$M$1241,11,FALSE)," ")</f>
        <v>M</v>
      </c>
      <c r="H1883" s="17" t="s">
        <v>16</v>
      </c>
      <c r="I1883" s="19">
        <f>IF(B1883=0,VLOOKUP(A1883,Feuil2!$A$2:$M$1241,7,FALSE)," ")</f>
        <v>2981355</v>
      </c>
      <c r="J1883" s="17" t="str">
        <f>IF(B1883=0,VLOOKUP(A1883,Feuil2!$A$2:$M$1241,9,FALSE)," ")</f>
        <v>4029 Kroussia</v>
      </c>
      <c r="K1883" s="17" t="str">
        <f>IF(B1883=0,VLOOKUP(A1883,Feuil2!$A$2:$M$1241,10,FALSE)," ")</f>
        <v>Msaken 4070</v>
      </c>
      <c r="L1883" s="17"/>
      <c r="M1883" s="17">
        <v>50007335</v>
      </c>
      <c r="N1883" s="17"/>
      <c r="O1883" s="21" t="s">
        <v>2894</v>
      </c>
    </row>
    <row r="1884" spans="1:15" x14ac:dyDescent="0.3">
      <c r="A1884" s="1">
        <v>837</v>
      </c>
      <c r="B1884" s="1">
        <v>1</v>
      </c>
      <c r="C1884" s="1" t="s">
        <v>2884</v>
      </c>
      <c r="D1884" s="1" t="s">
        <v>2552</v>
      </c>
      <c r="E1884" s="5">
        <v>26665</v>
      </c>
      <c r="F1884" s="1" t="s">
        <v>17</v>
      </c>
      <c r="G1884" s="1" t="s">
        <v>15</v>
      </c>
      <c r="H1884" s="1" t="s">
        <v>16</v>
      </c>
      <c r="I1884" s="6" t="str">
        <f>IF(B1884=0,VLOOKUP(A1884,Feuil2!$A$2:$M$1241,7,FALSE)," ")</f>
        <v xml:space="preserve"> </v>
      </c>
      <c r="J1884" s="1" t="str">
        <f>IF(B1884=0,VLOOKUP(A1884,Feuil2!$A$2:$M$1241,9,FALSE)," ")</f>
        <v xml:space="preserve"> </v>
      </c>
      <c r="K1884" s="1" t="str">
        <f>IF(B1884=0,VLOOKUP(A1884,Feuil2!$A$2:$M$1241,10,FALSE)," ")</f>
        <v xml:space="preserve"> </v>
      </c>
      <c r="L1884" s="1"/>
      <c r="M1884" s="1"/>
      <c r="N1884" s="1"/>
      <c r="O1884" s="23" t="s">
        <v>2897</v>
      </c>
    </row>
    <row r="1885" spans="1:15" x14ac:dyDescent="0.3">
      <c r="A1885" s="1">
        <v>837</v>
      </c>
      <c r="B1885" s="1">
        <v>2</v>
      </c>
      <c r="C1885" s="1" t="s">
        <v>1271</v>
      </c>
      <c r="D1885" s="1" t="s">
        <v>2523</v>
      </c>
      <c r="E1885" s="5">
        <v>35351</v>
      </c>
      <c r="F1885" s="1" t="s">
        <v>17</v>
      </c>
      <c r="G1885" s="1" t="str">
        <f>IF(B1885=0,VLOOKUP(A1885,Feuil2!$A$2:$M$1241,11,FALSE)," ")</f>
        <v xml:space="preserve"> </v>
      </c>
      <c r="H1885" s="1" t="s">
        <v>16</v>
      </c>
      <c r="I1885" s="6" t="str">
        <f>IF(B1885=0,VLOOKUP(A1885,Feuil2!$A$2:$M$1241,7,FALSE)," ")</f>
        <v xml:space="preserve"> </v>
      </c>
      <c r="J1885" s="1" t="str">
        <f>IF(B1885=0,VLOOKUP(A1885,Feuil2!$A$2:$M$1241,9,FALSE)," ")</f>
        <v xml:space="preserve"> </v>
      </c>
      <c r="K1885" s="1" t="str">
        <f>IF(B1885=0,VLOOKUP(A1885,Feuil2!$A$2:$M$1241,10,FALSE)," ")</f>
        <v xml:space="preserve"> </v>
      </c>
      <c r="L1885" s="1"/>
      <c r="M1885" s="1"/>
      <c r="N1885" s="1"/>
      <c r="O1885" s="23" t="s">
        <v>2899</v>
      </c>
    </row>
    <row r="1886" spans="1:15" x14ac:dyDescent="0.3">
      <c r="A1886" s="1">
        <v>837</v>
      </c>
      <c r="B1886" s="1">
        <v>3</v>
      </c>
      <c r="C1886" s="1" t="s">
        <v>1271</v>
      </c>
      <c r="D1886" s="1" t="s">
        <v>230</v>
      </c>
      <c r="E1886" s="5">
        <v>37122</v>
      </c>
      <c r="F1886" s="1" t="s">
        <v>506</v>
      </c>
      <c r="G1886" s="1" t="str">
        <f>IF(B1886=0,VLOOKUP(A1886,Feuil2!$A$2:$M$1241,11,FALSE)," ")</f>
        <v xml:space="preserve"> </v>
      </c>
      <c r="H1886" s="1" t="s">
        <v>16</v>
      </c>
      <c r="I1886" s="6" t="str">
        <f>IF(B1886=0,VLOOKUP(A1886,Feuil2!$A$2:$M$1241,7,FALSE)," ")</f>
        <v xml:space="preserve"> </v>
      </c>
      <c r="J1886" s="1" t="str">
        <f>IF(B1886=0,VLOOKUP(A1886,Feuil2!$A$2:$M$1241,9,FALSE)," ")</f>
        <v xml:space="preserve"> </v>
      </c>
      <c r="K1886" s="1" t="str">
        <f>IF(B1886=0,VLOOKUP(A1886,Feuil2!$A$2:$M$1241,10,FALSE)," ")</f>
        <v xml:space="preserve"> </v>
      </c>
      <c r="L1886" s="1"/>
      <c r="M1886" s="1"/>
      <c r="N1886" s="1"/>
      <c r="O1886" s="8" t="str">
        <f>IF(B1895=0,VLOOKUP(A1895,Feuil2!$A$2:$M$1241,13,FALSE)," ")</f>
        <v xml:space="preserve"> </v>
      </c>
    </row>
    <row r="1887" spans="1:15" x14ac:dyDescent="0.3">
      <c r="A1887" s="1">
        <v>837</v>
      </c>
      <c r="B1887" s="1">
        <v>4</v>
      </c>
      <c r="C1887" s="1" t="s">
        <v>1271</v>
      </c>
      <c r="D1887" s="1" t="s">
        <v>291</v>
      </c>
      <c r="E1887" s="5">
        <v>38830</v>
      </c>
      <c r="F1887" s="1" t="s">
        <v>506</v>
      </c>
      <c r="G1887" s="1" t="str">
        <f>IF(B1887=0,VLOOKUP(A1887,Feuil2!$A$2:$M$1241,11,FALSE)," ")</f>
        <v xml:space="preserve"> </v>
      </c>
      <c r="H1887" s="1" t="s">
        <v>16</v>
      </c>
      <c r="I1887" s="6" t="str">
        <f>IF(B1887=0,VLOOKUP(A1887,Feuil2!$A$2:$M$1241,7,FALSE)," ")</f>
        <v xml:space="preserve"> </v>
      </c>
      <c r="J1887" s="1" t="str">
        <f>IF(B1887=0,VLOOKUP(A1887,Feuil2!$A$2:$M$1241,9,FALSE)," ")</f>
        <v xml:space="preserve"> </v>
      </c>
      <c r="K1887" s="1" t="str">
        <f>IF(B1887=0,VLOOKUP(A1887,Feuil2!$A$2:$M$1241,10,FALSE)," ")</f>
        <v xml:space="preserve"> </v>
      </c>
      <c r="L1887" s="1"/>
      <c r="M1887" s="1"/>
      <c r="N1887" s="1"/>
      <c r="O1887" s="8" t="str">
        <f>IF(B1896=0,VLOOKUP(A1896,Feuil2!$A$2:$M$1241,13,FALSE)," ")</f>
        <v xml:space="preserve"> </v>
      </c>
    </row>
    <row r="1888" spans="1:15" x14ac:dyDescent="0.3">
      <c r="A1888" s="1">
        <v>2312</v>
      </c>
      <c r="B1888" s="12">
        <v>0</v>
      </c>
      <c r="C1888" s="12" t="s">
        <v>446</v>
      </c>
      <c r="D1888" s="12" t="s">
        <v>235</v>
      </c>
      <c r="E1888" s="13">
        <v>33571</v>
      </c>
      <c r="F1888" s="12" t="s">
        <v>506</v>
      </c>
      <c r="G1888" s="12" t="s">
        <v>15</v>
      </c>
      <c r="H1888" s="12" t="s">
        <v>16</v>
      </c>
      <c r="I1888" s="14">
        <v>9343239</v>
      </c>
      <c r="J1888" s="12" t="s">
        <v>2885</v>
      </c>
      <c r="K1888" s="12" t="s">
        <v>513</v>
      </c>
      <c r="L1888" s="12"/>
      <c r="M1888" s="12">
        <v>28159596</v>
      </c>
      <c r="N1888" s="12"/>
      <c r="O1888" s="23" t="s">
        <v>2901</v>
      </c>
    </row>
    <row r="1889" spans="1:15" x14ac:dyDescent="0.3">
      <c r="A1889" s="1">
        <v>2312</v>
      </c>
      <c r="B1889" s="1">
        <v>1</v>
      </c>
      <c r="C1889" s="1" t="s">
        <v>312</v>
      </c>
      <c r="D1889" s="1" t="s">
        <v>2764</v>
      </c>
      <c r="E1889" s="5">
        <v>35915</v>
      </c>
      <c r="F1889" s="1" t="s">
        <v>17</v>
      </c>
      <c r="G1889" s="1" t="s">
        <v>15</v>
      </c>
      <c r="H1889" s="1" t="s">
        <v>16</v>
      </c>
      <c r="I1889" s="6" t="str">
        <f>IF(B1889=0,VLOOKUP(A1889,Feuil2!$A$2:$M$1241,7,FALSE)," ")</f>
        <v xml:space="preserve"> </v>
      </c>
      <c r="J1889" s="1" t="str">
        <f>IF(B1889=0,VLOOKUP(A1889,Feuil2!$A$2:$M$1241,9,FALSE)," ")</f>
        <v xml:space="preserve"> </v>
      </c>
      <c r="K1889" s="1" t="str">
        <f>IF(B1889=0,VLOOKUP(A1889,Feuil2!$A$2:$M$1241,10,FALSE)," ")</f>
        <v xml:space="preserve"> </v>
      </c>
      <c r="L1889" s="1"/>
      <c r="M1889" s="1"/>
      <c r="N1889" s="1"/>
      <c r="O1889" s="23" t="s">
        <v>2903</v>
      </c>
    </row>
    <row r="1890" spans="1:15" x14ac:dyDescent="0.3">
      <c r="A1890" s="1">
        <v>2312</v>
      </c>
      <c r="B1890" s="1">
        <v>2</v>
      </c>
      <c r="C1890" s="1" t="s">
        <v>446</v>
      </c>
      <c r="D1890" s="1" t="s">
        <v>2887</v>
      </c>
      <c r="E1890" s="5">
        <v>44557</v>
      </c>
      <c r="F1890" s="1" t="s">
        <v>506</v>
      </c>
      <c r="G1890" s="1" t="str">
        <f>IF(B1890=0,VLOOKUP(A1890,Feuil2!$A$2:$M$1241,11,FALSE)," ")</f>
        <v xml:space="preserve"> </v>
      </c>
      <c r="H1890" s="1" t="s">
        <v>16</v>
      </c>
      <c r="I1890" s="6" t="str">
        <f>IF(B1890=0,VLOOKUP(A1890,Feuil2!$A$2:$M$1241,7,FALSE)," ")</f>
        <v xml:space="preserve"> </v>
      </c>
      <c r="J1890" s="1" t="str">
        <f>IF(B1890=0,VLOOKUP(A1890,Feuil2!$A$2:$M$1241,9,FALSE)," ")</f>
        <v xml:space="preserve"> </v>
      </c>
      <c r="K1890" s="1" t="str">
        <f>IF(B1890=0,VLOOKUP(A1890,Feuil2!$A$2:$M$1241,10,FALSE)," ")</f>
        <v xml:space="preserve"> </v>
      </c>
      <c r="L1890" s="1"/>
      <c r="M1890" s="1"/>
      <c r="N1890" s="1"/>
      <c r="O1890" s="23" t="s">
        <v>2905</v>
      </c>
    </row>
    <row r="1891" spans="1:15" x14ac:dyDescent="0.3">
      <c r="A1891" s="1">
        <v>2276</v>
      </c>
      <c r="B1891" s="12">
        <v>0</v>
      </c>
      <c r="C1891" s="12" t="s">
        <v>426</v>
      </c>
      <c r="D1891" s="12" t="s">
        <v>2094</v>
      </c>
      <c r="E1891" s="13">
        <v>33287</v>
      </c>
      <c r="F1891" s="12" t="s">
        <v>506</v>
      </c>
      <c r="G1891" s="12" t="s">
        <v>2257</v>
      </c>
      <c r="H1891" s="12" t="s">
        <v>16</v>
      </c>
      <c r="I1891" s="14">
        <v>9309648</v>
      </c>
      <c r="J1891" s="12" t="s">
        <v>2241</v>
      </c>
      <c r="K1891" s="12" t="s">
        <v>513</v>
      </c>
      <c r="L1891" s="12"/>
      <c r="M1891" s="12">
        <v>22086893</v>
      </c>
      <c r="N1891" s="12"/>
      <c r="O1891" s="21" t="s">
        <v>2908</v>
      </c>
    </row>
    <row r="1892" spans="1:15" x14ac:dyDescent="0.3">
      <c r="A1892" s="1">
        <v>2343</v>
      </c>
      <c r="B1892" s="12">
        <v>0</v>
      </c>
      <c r="C1892" s="12" t="s">
        <v>2891</v>
      </c>
      <c r="D1892" s="12" t="s">
        <v>34</v>
      </c>
      <c r="E1892" s="13">
        <v>35479</v>
      </c>
      <c r="F1892" s="12" t="s">
        <v>506</v>
      </c>
      <c r="G1892" s="12" t="s">
        <v>2257</v>
      </c>
      <c r="H1892" s="12" t="s">
        <v>16</v>
      </c>
      <c r="I1892" s="14">
        <v>12833024</v>
      </c>
      <c r="J1892" s="12" t="s">
        <v>2893</v>
      </c>
      <c r="K1892" s="12" t="s">
        <v>2892</v>
      </c>
      <c r="L1892" s="12"/>
      <c r="M1892" s="12">
        <v>29353816</v>
      </c>
      <c r="N1892" s="12"/>
      <c r="O1892" s="15" t="str">
        <f>IF(B1904=0,VLOOKUP(A1904,Feuil2!$A$2:$M$1241,13,FALSE)," ")</f>
        <v>08507000262001028939</v>
      </c>
    </row>
    <row r="1893" spans="1:15" x14ac:dyDescent="0.3">
      <c r="A1893" s="1">
        <v>2318</v>
      </c>
      <c r="B1893" s="17">
        <v>0</v>
      </c>
      <c r="C1893" s="17" t="s">
        <v>268</v>
      </c>
      <c r="D1893" s="17" t="s">
        <v>122</v>
      </c>
      <c r="E1893" s="18">
        <v>34332</v>
      </c>
      <c r="F1893" s="17" t="s">
        <v>506</v>
      </c>
      <c r="G1893" s="17" t="s">
        <v>2257</v>
      </c>
      <c r="H1893" s="17" t="s">
        <v>16</v>
      </c>
      <c r="I1893" s="19">
        <v>9343324</v>
      </c>
      <c r="J1893" s="17" t="s">
        <v>2895</v>
      </c>
      <c r="K1893" s="17" t="s">
        <v>2896</v>
      </c>
      <c r="L1893" s="17"/>
      <c r="M1893" s="17">
        <v>92111160</v>
      </c>
      <c r="N1893" s="17"/>
      <c r="O1893" s="8" t="str">
        <f>IF(B1905=0,VLOOKUP(A1905,Feuil2!$A$2:$M$1241,13,FALSE)," ")</f>
        <v xml:space="preserve"> </v>
      </c>
    </row>
    <row r="1894" spans="1:15" x14ac:dyDescent="0.3">
      <c r="A1894" s="1">
        <v>2448</v>
      </c>
      <c r="B1894" s="12">
        <v>0</v>
      </c>
      <c r="C1894" s="12" t="s">
        <v>33</v>
      </c>
      <c r="D1894" s="12" t="s">
        <v>34</v>
      </c>
      <c r="E1894" s="13">
        <v>34099</v>
      </c>
      <c r="F1894" s="12" t="s">
        <v>506</v>
      </c>
      <c r="G1894" s="12" t="s">
        <v>15</v>
      </c>
      <c r="H1894" s="12" t="s">
        <v>16</v>
      </c>
      <c r="I1894" s="14">
        <v>9343156</v>
      </c>
      <c r="J1894" s="12" t="s">
        <v>2898</v>
      </c>
      <c r="K1894" s="12" t="s">
        <v>513</v>
      </c>
      <c r="L1894" s="12"/>
      <c r="M1894" s="12">
        <v>55242058</v>
      </c>
      <c r="N1894" s="12"/>
      <c r="O1894" s="8" t="str">
        <f>IF(B1906=0,VLOOKUP(A1906,Feuil2!$A$2:$M$1241,13,FALSE)," ")</f>
        <v xml:space="preserve"> </v>
      </c>
    </row>
    <row r="1895" spans="1:15" x14ac:dyDescent="0.3">
      <c r="A1895" s="1">
        <v>2448</v>
      </c>
      <c r="B1895" s="1">
        <v>1</v>
      </c>
      <c r="C1895" s="1" t="s">
        <v>283</v>
      </c>
      <c r="D1895" s="1" t="s">
        <v>2407</v>
      </c>
      <c r="E1895" s="5">
        <v>34301</v>
      </c>
      <c r="F1895" s="1" t="s">
        <v>17</v>
      </c>
      <c r="G1895" s="1" t="s">
        <v>15</v>
      </c>
      <c r="H1895" s="1" t="s">
        <v>16</v>
      </c>
      <c r="I1895" s="6" t="str">
        <f>IF(B1895=0,VLOOKUP(A1895,Feuil2!$A$2:$M$1241,7,FALSE)," ")</f>
        <v xml:space="preserve"> </v>
      </c>
      <c r="J1895" s="1" t="str">
        <f>IF(B1895=0,VLOOKUP(A1895,Feuil2!$A$2:$M$1241,9,FALSE)," ")</f>
        <v xml:space="preserve"> </v>
      </c>
      <c r="K1895" s="1" t="str">
        <f>IF(B1895=0,VLOOKUP(A1895,Feuil2!$A$2:$M$1241,10,FALSE)," ")</f>
        <v xml:space="preserve"> </v>
      </c>
      <c r="L1895" s="1"/>
      <c r="M1895" s="1"/>
      <c r="N1895" s="1"/>
      <c r="O1895" s="20" t="str">
        <f>IF(B1907=0,VLOOKUP(A1907,Feuil2!$A$2:$M$1241,13,FALSE)," ")</f>
        <v xml:space="preserve"> </v>
      </c>
    </row>
    <row r="1896" spans="1:15" x14ac:dyDescent="0.3">
      <c r="A1896" s="1">
        <v>2448</v>
      </c>
      <c r="B1896" s="1">
        <v>2</v>
      </c>
      <c r="C1896" s="1" t="s">
        <v>33</v>
      </c>
      <c r="D1896" s="1" t="s">
        <v>1618</v>
      </c>
      <c r="E1896" s="5">
        <v>44694</v>
      </c>
      <c r="F1896" s="1" t="s">
        <v>506</v>
      </c>
      <c r="G1896" s="1" t="str">
        <f>IF(B1896=0,VLOOKUP(A1896,Feuil2!$A$2:$M$1241,11,FALSE)," ")</f>
        <v xml:space="preserve"> </v>
      </c>
      <c r="H1896" s="1" t="s">
        <v>16</v>
      </c>
      <c r="I1896" s="6" t="str">
        <f>IF(B1896=0,VLOOKUP(A1896,Feuil2!$A$2:$M$1241,7,FALSE)," ")</f>
        <v xml:space="preserve"> </v>
      </c>
      <c r="J1896" s="1" t="str">
        <f>IF(B1896=0,VLOOKUP(A1896,Feuil2!$A$2:$M$1241,9,FALSE)," ")</f>
        <v xml:space="preserve"> </v>
      </c>
      <c r="K1896" s="1" t="str">
        <f>IF(B1896=0,VLOOKUP(A1896,Feuil2!$A$2:$M$1241,10,FALSE)," ")</f>
        <v xml:space="preserve"> </v>
      </c>
      <c r="L1896" s="1"/>
      <c r="M1896" s="1"/>
      <c r="N1896" s="1"/>
      <c r="O1896" s="8" t="str">
        <f>IF(B1908=0,VLOOKUP(A1908,Feuil2!$A$2:$M$1241,13,FALSE)," ")</f>
        <v xml:space="preserve"> </v>
      </c>
    </row>
    <row r="1897" spans="1:15" x14ac:dyDescent="0.3">
      <c r="A1897" s="1">
        <v>2448</v>
      </c>
      <c r="B1897" s="1">
        <v>3</v>
      </c>
      <c r="C1897" s="1" t="s">
        <v>33</v>
      </c>
      <c r="D1897" s="1" t="s">
        <v>3261</v>
      </c>
      <c r="E1897" s="5">
        <v>46088</v>
      </c>
      <c r="F1897" s="1" t="s">
        <v>506</v>
      </c>
      <c r="G1897" s="1"/>
      <c r="H1897" s="1"/>
      <c r="I1897" s="6"/>
      <c r="J1897" s="1"/>
      <c r="K1897" s="1"/>
      <c r="L1897" s="1"/>
      <c r="M1897" s="1"/>
      <c r="N1897" s="1"/>
      <c r="O1897" s="8"/>
    </row>
    <row r="1898" spans="1:15" x14ac:dyDescent="0.3">
      <c r="A1898" s="1">
        <v>2327</v>
      </c>
      <c r="B1898" s="17">
        <v>0</v>
      </c>
      <c r="C1898" s="17" t="s">
        <v>354</v>
      </c>
      <c r="D1898" s="17" t="s">
        <v>89</v>
      </c>
      <c r="E1898" s="18">
        <v>35370</v>
      </c>
      <c r="F1898" s="17" t="s">
        <v>506</v>
      </c>
      <c r="G1898" s="17" t="s">
        <v>2257</v>
      </c>
      <c r="H1898" s="17" t="s">
        <v>16</v>
      </c>
      <c r="I1898" s="19">
        <v>12829982</v>
      </c>
      <c r="J1898" s="17" t="s">
        <v>2900</v>
      </c>
      <c r="K1898" s="17" t="s">
        <v>513</v>
      </c>
      <c r="L1898" s="17"/>
      <c r="M1898" s="17">
        <v>26839373</v>
      </c>
      <c r="N1898" s="17"/>
      <c r="O1898" s="8" t="str">
        <f>IF(B1909=0,VLOOKUP(A1909,Feuil2!$A$2:$M$1241,13,FALSE)," ")</f>
        <v>17503000000134700025</v>
      </c>
    </row>
    <row r="1899" spans="1:15" x14ac:dyDescent="0.3">
      <c r="A1899" s="1">
        <v>2275</v>
      </c>
      <c r="B1899" s="12">
        <v>0</v>
      </c>
      <c r="C1899" s="12" t="s">
        <v>148</v>
      </c>
      <c r="D1899" s="12" t="s">
        <v>365</v>
      </c>
      <c r="E1899" s="13">
        <v>34956</v>
      </c>
      <c r="F1899" s="12" t="s">
        <v>506</v>
      </c>
      <c r="G1899" s="12" t="s">
        <v>15</v>
      </c>
      <c r="H1899" s="12" t="s">
        <v>16</v>
      </c>
      <c r="I1899" s="14">
        <v>6960117</v>
      </c>
      <c r="J1899" s="12" t="s">
        <v>2902</v>
      </c>
      <c r="K1899" s="12" t="s">
        <v>2311</v>
      </c>
      <c r="L1899" s="12"/>
      <c r="M1899" s="12">
        <v>98793686</v>
      </c>
      <c r="N1899" s="12"/>
      <c r="O1899" s="8" t="str">
        <f>IF(B1910=0,VLOOKUP(A1910,Feuil2!$A$2:$M$1241,13,FALSE)," ")</f>
        <v xml:space="preserve"> </v>
      </c>
    </row>
    <row r="1900" spans="1:15" x14ac:dyDescent="0.3">
      <c r="A1900" s="1">
        <v>2275</v>
      </c>
      <c r="B1900" s="1">
        <v>1</v>
      </c>
      <c r="C1900" s="1" t="s">
        <v>3179</v>
      </c>
      <c r="D1900" s="1" t="s">
        <v>3180</v>
      </c>
      <c r="E1900" s="5">
        <v>36719</v>
      </c>
      <c r="F1900" s="1" t="s">
        <v>17</v>
      </c>
      <c r="G1900" s="1"/>
      <c r="H1900" s="1"/>
      <c r="I1900" s="6"/>
      <c r="J1900" s="1"/>
      <c r="K1900" s="1"/>
      <c r="L1900" s="1"/>
      <c r="M1900" s="1"/>
      <c r="N1900" s="1"/>
      <c r="O1900" s="8"/>
    </row>
    <row r="1901" spans="1:15" x14ac:dyDescent="0.3">
      <c r="A1901" s="1">
        <v>2275</v>
      </c>
      <c r="B1901" s="1">
        <v>2</v>
      </c>
      <c r="C1901" s="1" t="s">
        <v>148</v>
      </c>
      <c r="D1901" s="1" t="s">
        <v>34</v>
      </c>
      <c r="E1901" s="5">
        <v>45808</v>
      </c>
      <c r="F1901" s="1" t="s">
        <v>506</v>
      </c>
      <c r="G1901" s="1"/>
      <c r="H1901" s="1"/>
      <c r="I1901" s="6"/>
      <c r="J1901" s="1"/>
      <c r="K1901" s="1"/>
      <c r="L1901" s="1"/>
      <c r="M1901" s="1"/>
      <c r="N1901" s="1"/>
      <c r="O1901" s="8"/>
    </row>
    <row r="1902" spans="1:15" x14ac:dyDescent="0.3">
      <c r="A1902" s="1">
        <v>2313</v>
      </c>
      <c r="B1902" s="12">
        <v>0</v>
      </c>
      <c r="C1902" s="12" t="s">
        <v>104</v>
      </c>
      <c r="D1902" s="12" t="s">
        <v>110</v>
      </c>
      <c r="E1902" s="13">
        <v>37514</v>
      </c>
      <c r="F1902" s="12" t="s">
        <v>506</v>
      </c>
      <c r="G1902" s="12" t="s">
        <v>2257</v>
      </c>
      <c r="H1902" s="12" t="s">
        <v>16</v>
      </c>
      <c r="I1902" s="14">
        <v>12872305</v>
      </c>
      <c r="J1902" s="12" t="s">
        <v>2904</v>
      </c>
      <c r="K1902" s="12" t="s">
        <v>513</v>
      </c>
      <c r="L1902" s="12"/>
      <c r="M1902" s="12">
        <v>56032490</v>
      </c>
      <c r="N1902" s="12"/>
      <c r="O1902" s="8" t="str">
        <f>IF(B1911=0,VLOOKUP(A1911,Feuil2!$A$2:$M$1241,13,FALSE)," ")</f>
        <v xml:space="preserve"> </v>
      </c>
    </row>
    <row r="1903" spans="1:15" x14ac:dyDescent="0.3">
      <c r="A1903" s="1">
        <v>2360</v>
      </c>
      <c r="B1903" s="17">
        <v>0</v>
      </c>
      <c r="C1903" s="17" t="s">
        <v>46</v>
      </c>
      <c r="D1903" s="17" t="s">
        <v>1596</v>
      </c>
      <c r="E1903" s="18">
        <v>37179</v>
      </c>
      <c r="F1903" s="17" t="s">
        <v>506</v>
      </c>
      <c r="G1903" s="17" t="s">
        <v>2257</v>
      </c>
      <c r="H1903" s="17" t="s">
        <v>16</v>
      </c>
      <c r="I1903" s="19">
        <v>12870025</v>
      </c>
      <c r="J1903" s="17" t="s">
        <v>1868</v>
      </c>
      <c r="K1903" s="17" t="s">
        <v>513</v>
      </c>
      <c r="L1903" s="17"/>
      <c r="M1903" s="17">
        <v>94874960</v>
      </c>
      <c r="N1903" s="17"/>
      <c r="O1903" s="8" t="str">
        <f>IF(B1912=0,VLOOKUP(A1912,Feuil2!$A$2:$M$1241,13,FALSE)," ")</f>
        <v xml:space="preserve"> </v>
      </c>
    </row>
    <row r="1904" spans="1:15" x14ac:dyDescent="0.3">
      <c r="A1904" s="1">
        <v>192</v>
      </c>
      <c r="B1904" s="12">
        <v>0</v>
      </c>
      <c r="C1904" s="12" t="str">
        <f>IF(B1904=0,VLOOKUP(A1904,Feuil2!$A$2:$M$1241,2,FALSE)," ")</f>
        <v>BEN ABDELJELIL</v>
      </c>
      <c r="D1904" s="12" t="str">
        <f>IF(B1904=0,VLOOKUP(A1904,Feuil2!$A$2:$M$1241,3,FALSE)," ")</f>
        <v>ABDELJELIL</v>
      </c>
      <c r="E1904" s="13">
        <f>IF(B1904=0,VLOOKUP(A1904,Feuil2!$A$2:$M$1241,6,FALSE)," ")</f>
        <v>23974</v>
      </c>
      <c r="F1904" s="12" t="str">
        <f>IF(B1904=0,VLOOKUP(A1904,Feuil2!$A$2:$M$1241,12,FALSE)," ")</f>
        <v>H</v>
      </c>
      <c r="G1904" s="12" t="str">
        <f>IF(B1904=0,VLOOKUP(A1904,Feuil2!$A$2:$M$1241,11,FALSE)," ")</f>
        <v>M</v>
      </c>
      <c r="H1904" s="12" t="s">
        <v>16</v>
      </c>
      <c r="I1904" s="14">
        <f>IF(B1904=0,VLOOKUP(A1904,Feuil2!$A$2:$M$1241,7,FALSE)," ")</f>
        <v>2955305</v>
      </c>
      <c r="J1904" s="12" t="str">
        <f>IF(B1904=0,VLOOKUP(A1904,Feuil2!$A$2:$M$1241,9,FALSE)," ")</f>
        <v>41 R Ali Belhouan</v>
      </c>
      <c r="K1904" s="12" t="str">
        <f>IF(B1904=0,VLOOKUP(A1904,Feuil2!$A$2:$M$1241,10,FALSE)," ")</f>
        <v>Msaken 4070</v>
      </c>
      <c r="L1904" s="12"/>
      <c r="M1904" s="12">
        <v>98793550</v>
      </c>
      <c r="N1904" s="12"/>
      <c r="O1904" s="8" t="str">
        <f>IF(B1913=0,VLOOKUP(A1913,Feuil2!$A$2:$M$1241,13,FALSE)," ")</f>
        <v xml:space="preserve"> </v>
      </c>
    </row>
    <row r="1905" spans="1:15" x14ac:dyDescent="0.3">
      <c r="A1905" s="1">
        <v>192</v>
      </c>
      <c r="B1905" s="1">
        <v>1</v>
      </c>
      <c r="C1905" s="1" t="s">
        <v>703</v>
      </c>
      <c r="D1905" s="1" t="s">
        <v>1387</v>
      </c>
      <c r="E1905" s="5">
        <v>25247</v>
      </c>
      <c r="F1905" s="1" t="s">
        <v>17</v>
      </c>
      <c r="G1905" s="1" t="s">
        <v>15</v>
      </c>
      <c r="H1905" s="1" t="s">
        <v>16</v>
      </c>
      <c r="I1905" s="6" t="str">
        <f>IF(B1905=0,VLOOKUP(A1905,Feuil2!$A$2:$M$1241,7,FALSE)," ")</f>
        <v xml:space="preserve"> </v>
      </c>
      <c r="J1905" s="1" t="str">
        <f>IF(B1905=0,VLOOKUP(A1905,Feuil2!$A$2:$M$1241,9,FALSE)," ")</f>
        <v xml:space="preserve"> </v>
      </c>
      <c r="K1905" s="1" t="str">
        <f>IF(B1905=0,VLOOKUP(A1905,Feuil2!$A$2:$M$1241,10,FALSE)," ")</f>
        <v xml:space="preserve"> </v>
      </c>
      <c r="L1905" s="1"/>
      <c r="M1905" s="1"/>
      <c r="N1905" s="1"/>
      <c r="O1905" s="8" t="e">
        <f>IF(B1914=0,VLOOKUP(A1914,Feuil2!$A$2:$M$1241,13,FALSE)," ")</f>
        <v>#N/A</v>
      </c>
    </row>
    <row r="1906" spans="1:15" x14ac:dyDescent="0.3">
      <c r="A1906" s="1">
        <v>192</v>
      </c>
      <c r="B1906" s="1">
        <v>2</v>
      </c>
      <c r="C1906" s="1" t="s">
        <v>703</v>
      </c>
      <c r="D1906" s="1" t="s">
        <v>1925</v>
      </c>
      <c r="E1906" s="5">
        <v>39087</v>
      </c>
      <c r="F1906" s="1" t="s">
        <v>17</v>
      </c>
      <c r="G1906" s="1" t="str">
        <f>IF(B1906=0,VLOOKUP(A1906,Feuil2!$A$2:$M$1241,11,FALSE)," ")</f>
        <v xml:space="preserve"> </v>
      </c>
      <c r="H1906" s="1" t="s">
        <v>16</v>
      </c>
      <c r="I1906" s="6" t="str">
        <f>IF(B1906=0,VLOOKUP(A1906,Feuil2!$A$2:$M$1241,7,FALSE)," ")</f>
        <v xml:space="preserve"> </v>
      </c>
      <c r="J1906" s="1" t="str">
        <f>IF(B1906=0,VLOOKUP(A1906,Feuil2!$A$2:$M$1241,9,FALSE)," ")</f>
        <v xml:space="preserve"> </v>
      </c>
      <c r="K1906" s="1" t="str">
        <f>IF(B1906=0,VLOOKUP(A1906,Feuil2!$A$2:$M$1241,10,FALSE)," ")</f>
        <v xml:space="preserve"> </v>
      </c>
      <c r="L1906" s="1"/>
      <c r="M1906" s="1"/>
      <c r="N1906" s="1"/>
      <c r="O1906" s="23" t="s">
        <v>2913</v>
      </c>
    </row>
    <row r="1907" spans="1:15" x14ac:dyDescent="0.3">
      <c r="A1907" s="1">
        <v>192</v>
      </c>
      <c r="B1907" s="1">
        <v>3</v>
      </c>
      <c r="C1907" s="1" t="s">
        <v>703</v>
      </c>
      <c r="D1907" s="1" t="s">
        <v>2086</v>
      </c>
      <c r="E1907" s="5">
        <v>35477</v>
      </c>
      <c r="F1907" s="1" t="s">
        <v>17</v>
      </c>
      <c r="G1907" s="1" t="str">
        <f>IF(B1907=0,VLOOKUP(A1907,Feuil2!$A$2:$M$1241,11,FALSE)," ")</f>
        <v xml:space="preserve"> </v>
      </c>
      <c r="H1907" s="1" t="s">
        <v>16</v>
      </c>
      <c r="I1907" s="6" t="str">
        <f>IF(B1907=0,VLOOKUP(A1907,Feuil2!$A$2:$M$1241,7,FALSE)," ")</f>
        <v xml:space="preserve"> </v>
      </c>
      <c r="J1907" s="1" t="str">
        <f>IF(B1907=0,VLOOKUP(A1907,Feuil2!$A$2:$M$1241,9,FALSE)," ")</f>
        <v xml:space="preserve"> </v>
      </c>
      <c r="K1907" s="1" t="str">
        <f>IF(B1907=0,VLOOKUP(A1907,Feuil2!$A$2:$M$1241,10,FALSE)," ")</f>
        <v xml:space="preserve"> </v>
      </c>
      <c r="L1907" s="1"/>
      <c r="M1907" s="1"/>
      <c r="N1907" s="1"/>
      <c r="O1907" s="8" t="str">
        <f>IF(B1916=0,VLOOKUP(A1916,Feuil2!$A$2:$M$1241,13,FALSE)," ")</f>
        <v xml:space="preserve"> </v>
      </c>
    </row>
    <row r="1908" spans="1:15" x14ac:dyDescent="0.3">
      <c r="A1908" s="1">
        <v>192</v>
      </c>
      <c r="B1908" s="1">
        <v>4</v>
      </c>
      <c r="C1908" s="1" t="s">
        <v>703</v>
      </c>
      <c r="D1908" s="1" t="s">
        <v>2336</v>
      </c>
      <c r="E1908" s="5">
        <v>35904</v>
      </c>
      <c r="F1908" s="1" t="s">
        <v>17</v>
      </c>
      <c r="G1908" s="1" t="str">
        <f>IF(B1908=0,VLOOKUP(A1908,Feuil2!$A$2:$M$1241,11,FALSE)," ")</f>
        <v xml:space="preserve"> </v>
      </c>
      <c r="H1908" s="1" t="s">
        <v>16</v>
      </c>
      <c r="I1908" s="6" t="str">
        <f>IF(B1908=0,VLOOKUP(A1908,Feuil2!$A$2:$M$1241,7,FALSE)," ")</f>
        <v xml:space="preserve"> </v>
      </c>
      <c r="J1908" s="1" t="str">
        <f>IF(B1908=0,VLOOKUP(A1908,Feuil2!$A$2:$M$1241,9,FALSE)," ")</f>
        <v xml:space="preserve"> </v>
      </c>
      <c r="K1908" s="1" t="str">
        <f>IF(B1908=0,VLOOKUP(A1908,Feuil2!$A$2:$M$1241,10,FALSE)," ")</f>
        <v xml:space="preserve"> </v>
      </c>
      <c r="L1908" s="1"/>
      <c r="M1908" s="1"/>
      <c r="N1908" s="1"/>
      <c r="O1908" s="8" t="e">
        <f>IF(B1917=0,VLOOKUP(A1917,Feuil2!$A$2:$M$1241,13,FALSE)," ")</f>
        <v>#N/A</v>
      </c>
    </row>
    <row r="1909" spans="1:15" x14ac:dyDescent="0.3">
      <c r="A1909" s="1">
        <v>1716</v>
      </c>
      <c r="B1909" s="12">
        <v>0</v>
      </c>
      <c r="C1909" s="12" t="str">
        <f>IF(B1909=0,VLOOKUP(A1909,Feuil2!$A$2:$M$1241,2,FALSE)," ")</f>
        <v>HADJ ABDALLAH</v>
      </c>
      <c r="D1909" s="12" t="str">
        <f>IF(B1909=0,VLOOKUP(A1909,Feuil2!$A$2:$M$1241,3,FALSE)," ")</f>
        <v>NACEUR</v>
      </c>
      <c r="E1909" s="13">
        <f>IF(B1909=0,VLOOKUP(A1909,Feuil2!$A$2:$M$1241,6,FALSE)," ")</f>
        <v>27491</v>
      </c>
      <c r="F1909" s="12" t="str">
        <f>IF(B1909=0,VLOOKUP(A1909,Feuil2!$A$2:$M$1241,12,FALSE)," ")</f>
        <v>H</v>
      </c>
      <c r="G1909" s="12" t="str">
        <f>IF(B1909=0,VLOOKUP(A1909,Feuil2!$A$2:$M$1241,11,FALSE)," ")</f>
        <v>M</v>
      </c>
      <c r="H1909" s="12" t="s">
        <v>16</v>
      </c>
      <c r="I1909" s="14">
        <f>IF(B1909=0,VLOOKUP(A1909,Feuil2!$A$2:$M$1241,7,FALSE)," ")</f>
        <v>5543141</v>
      </c>
      <c r="J1909" s="12" t="str">
        <f>IF(B1909=0,VLOOKUP(A1909,Feuil2!$A$2:$M$1241,9,FALSE)," ")</f>
        <v>2 Rue Abdelhamid Gadhi</v>
      </c>
      <c r="K1909" s="12" t="str">
        <f>IF(B1909=0,VLOOKUP(A1909,Feuil2!$A$2:$M$1241,10,FALSE)," ")</f>
        <v>Msaken 4070</v>
      </c>
      <c r="L1909" s="12"/>
      <c r="M1909" s="12">
        <v>28125437</v>
      </c>
      <c r="N1909" s="12"/>
      <c r="O1909" s="8" t="str">
        <f>IF(B1918=0,VLOOKUP(A1918,Feuil2!$A$2:$M$1241,13,FALSE)," ")</f>
        <v>21020020404000405512</v>
      </c>
    </row>
    <row r="1910" spans="1:15" x14ac:dyDescent="0.3">
      <c r="A1910" s="1">
        <v>1716</v>
      </c>
      <c r="B1910" s="1">
        <v>1</v>
      </c>
      <c r="C1910" s="1" t="s">
        <v>2909</v>
      </c>
      <c r="D1910" s="1" t="s">
        <v>2580</v>
      </c>
      <c r="E1910" s="5">
        <v>29758</v>
      </c>
      <c r="F1910" s="1" t="s">
        <v>17</v>
      </c>
      <c r="G1910" s="1" t="str">
        <f>IF(B1910=0,VLOOKUP(A1910,Feuil2!$A$2:$M$1241,11,FALSE)," ")</f>
        <v xml:space="preserve"> </v>
      </c>
      <c r="H1910" s="1" t="s">
        <v>16</v>
      </c>
      <c r="I1910" s="6" t="str">
        <f>IF(B1910=0,VLOOKUP(A1910,Feuil2!$A$2:$M$1241,7,FALSE)," ")</f>
        <v xml:space="preserve"> </v>
      </c>
      <c r="J1910" s="1" t="str">
        <f>IF(B1910=0,VLOOKUP(A1910,Feuil2!$A$2:$M$1241,9,FALSE)," ")</f>
        <v xml:space="preserve"> </v>
      </c>
      <c r="K1910" s="1" t="str">
        <f>IF(B1910=0,VLOOKUP(A1910,Feuil2!$A$2:$M$1241,10,FALSE)," ")</f>
        <v xml:space="preserve"> </v>
      </c>
      <c r="L1910" s="1"/>
      <c r="M1910" s="1"/>
      <c r="N1910" s="1"/>
      <c r="O1910" s="8" t="str">
        <f>IF(B1919=0,VLOOKUP(A1919,Feuil2!$A$2:$M$1241,13,FALSE)," ")</f>
        <v xml:space="preserve"> </v>
      </c>
    </row>
    <row r="1911" spans="1:15" x14ac:dyDescent="0.3">
      <c r="A1911" s="1">
        <v>1716</v>
      </c>
      <c r="B1911" s="1">
        <v>2</v>
      </c>
      <c r="C1911" s="1" t="s">
        <v>1613</v>
      </c>
      <c r="D1911" s="1" t="s">
        <v>89</v>
      </c>
      <c r="E1911" s="5">
        <v>40043</v>
      </c>
      <c r="F1911" s="1" t="s">
        <v>506</v>
      </c>
      <c r="G1911" s="1" t="str">
        <f>IF(B1911=0,VLOOKUP(A1911,Feuil2!$A$2:$M$1241,11,FALSE)," ")</f>
        <v xml:space="preserve"> </v>
      </c>
      <c r="H1911" s="1" t="s">
        <v>16</v>
      </c>
      <c r="I1911" s="6" t="str">
        <f>IF(B1911=0,VLOOKUP(A1911,Feuil2!$A$2:$M$1241,7,FALSE)," ")</f>
        <v xml:space="preserve"> </v>
      </c>
      <c r="J1911" s="1" t="str">
        <f>IF(B1911=0,VLOOKUP(A1911,Feuil2!$A$2:$M$1241,9,FALSE)," ")</f>
        <v xml:space="preserve"> </v>
      </c>
      <c r="K1911" s="1" t="str">
        <f>IF(B1911=0,VLOOKUP(A1911,Feuil2!$A$2:$M$1241,10,FALSE)," ")</f>
        <v xml:space="preserve"> </v>
      </c>
      <c r="L1911" s="1"/>
      <c r="M1911" s="1"/>
      <c r="N1911" s="1"/>
      <c r="O1911" s="8" t="str">
        <f>IF(B1920=0,VLOOKUP(A1920,Feuil2!$A$2:$M$1241,13,FALSE)," ")</f>
        <v xml:space="preserve"> </v>
      </c>
    </row>
    <row r="1912" spans="1:15" x14ac:dyDescent="0.3">
      <c r="A1912" s="1">
        <v>1716</v>
      </c>
      <c r="B1912" s="1">
        <v>3</v>
      </c>
      <c r="C1912" s="1" t="s">
        <v>1613</v>
      </c>
      <c r="D1912" s="1" t="s">
        <v>2373</v>
      </c>
      <c r="E1912" s="5">
        <v>40967</v>
      </c>
      <c r="F1912" s="1" t="s">
        <v>17</v>
      </c>
      <c r="G1912" s="1" t="str">
        <f>IF(B1912=0,VLOOKUP(A1912,Feuil2!$A$2:$M$1241,11,FALSE)," ")</f>
        <v xml:space="preserve"> </v>
      </c>
      <c r="H1912" s="1" t="s">
        <v>16</v>
      </c>
      <c r="I1912" s="6" t="str">
        <f>IF(B1912=0,VLOOKUP(A1912,Feuil2!$A$2:$M$1241,7,FALSE)," ")</f>
        <v xml:space="preserve"> </v>
      </c>
      <c r="J1912" s="1" t="str">
        <f>IF(B1912=0,VLOOKUP(A1912,Feuil2!$A$2:$M$1241,9,FALSE)," ")</f>
        <v xml:space="preserve"> </v>
      </c>
      <c r="K1912" s="1" t="str">
        <f>IF(B1912=0,VLOOKUP(A1912,Feuil2!$A$2:$M$1241,10,FALSE)," ")</f>
        <v xml:space="preserve"> </v>
      </c>
      <c r="L1912" s="1"/>
      <c r="M1912" s="1"/>
      <c r="N1912" s="1"/>
      <c r="O1912" s="8" t="str">
        <f>IF(B1921=0,VLOOKUP(A1921,Feuil2!$A$2:$M$1241,13,FALSE)," ")</f>
        <v xml:space="preserve"> </v>
      </c>
    </row>
    <row r="1913" spans="1:15" x14ac:dyDescent="0.3">
      <c r="A1913" s="1">
        <v>1716</v>
      </c>
      <c r="B1913" s="1">
        <v>4</v>
      </c>
      <c r="C1913" s="1" t="s">
        <v>1613</v>
      </c>
      <c r="D1913" s="1" t="s">
        <v>2807</v>
      </c>
      <c r="E1913" s="5">
        <v>42436</v>
      </c>
      <c r="F1913" s="1" t="s">
        <v>506</v>
      </c>
      <c r="G1913" s="1" t="str">
        <f>IF(B1913=0,VLOOKUP(A1913,Feuil2!$A$2:$M$1241,11,FALSE)," ")</f>
        <v xml:space="preserve"> </v>
      </c>
      <c r="H1913" s="1" t="s">
        <v>16</v>
      </c>
      <c r="I1913" s="6" t="str">
        <f>IF(B1913=0,VLOOKUP(A1913,Feuil2!$A$2:$M$1241,7,FALSE)," ")</f>
        <v xml:space="preserve"> </v>
      </c>
      <c r="J1913" s="1" t="str">
        <f>IF(B1913=0,VLOOKUP(A1913,Feuil2!$A$2:$M$1241,9,FALSE)," ")</f>
        <v xml:space="preserve"> </v>
      </c>
      <c r="K1913" s="1" t="str">
        <f>IF(B1913=0,VLOOKUP(A1913,Feuil2!$A$2:$M$1241,10,FALSE)," ")</f>
        <v xml:space="preserve"> </v>
      </c>
      <c r="L1913" s="1"/>
      <c r="M1913" s="1"/>
      <c r="N1913" s="1"/>
      <c r="O1913" s="8" t="e">
        <f>IF(B1923=0,VLOOKUP(A1923,Feuil2!$A$2:$M$1241,13,FALSE)," ")</f>
        <v>#N/A</v>
      </c>
    </row>
    <row r="1914" spans="1:15" x14ac:dyDescent="0.3">
      <c r="A1914" s="1">
        <v>2367</v>
      </c>
      <c r="B1914" s="17">
        <v>0</v>
      </c>
      <c r="C1914" s="17" t="s">
        <v>2911</v>
      </c>
      <c r="D1914" s="17" t="s">
        <v>2613</v>
      </c>
      <c r="E1914" s="18">
        <v>34064</v>
      </c>
      <c r="F1914" s="17" t="s">
        <v>17</v>
      </c>
      <c r="G1914" s="17" t="s">
        <v>15</v>
      </c>
      <c r="H1914" s="17" t="s">
        <v>16</v>
      </c>
      <c r="I1914" s="19">
        <v>9336219</v>
      </c>
      <c r="J1914" s="17" t="s">
        <v>2912</v>
      </c>
      <c r="K1914" s="17" t="s">
        <v>2291</v>
      </c>
      <c r="L1914" s="17"/>
      <c r="M1914" s="17">
        <v>98793271</v>
      </c>
      <c r="N1914" s="17"/>
      <c r="O1914" s="21" t="s">
        <v>2919</v>
      </c>
    </row>
    <row r="1915" spans="1:15" x14ac:dyDescent="0.3">
      <c r="A1915" s="1">
        <v>2367</v>
      </c>
      <c r="B1915" s="1">
        <v>1</v>
      </c>
      <c r="C1915" s="1" t="s">
        <v>2914</v>
      </c>
      <c r="D1915" s="1" t="s">
        <v>26</v>
      </c>
      <c r="E1915" s="5">
        <v>33124</v>
      </c>
      <c r="F1915" s="1" t="s">
        <v>506</v>
      </c>
      <c r="G1915" s="1" t="s">
        <v>15</v>
      </c>
      <c r="H1915" s="1" t="s">
        <v>16</v>
      </c>
      <c r="I1915" s="6" t="str">
        <f>IF(B1915=0,VLOOKUP(A1915,Feuil2!$A$2:$M$1241,7,FALSE)," ")</f>
        <v xml:space="preserve"> </v>
      </c>
      <c r="J1915" s="1" t="str">
        <f>IF(B1915=0,VLOOKUP(A1915,Feuil2!$A$2:$M$1241,9,FALSE)," ")</f>
        <v xml:space="preserve"> </v>
      </c>
      <c r="K1915" s="1" t="str">
        <f>IF(B1915=0,VLOOKUP(A1915,Feuil2!$A$2:$M$1241,10,FALSE)," ")</f>
        <v xml:space="preserve"> </v>
      </c>
      <c r="L1915" s="1"/>
      <c r="M1915" s="1"/>
      <c r="N1915" s="1"/>
      <c r="O1915" s="23" t="s">
        <v>2920</v>
      </c>
    </row>
    <row r="1916" spans="1:15" x14ac:dyDescent="0.3">
      <c r="A1916" s="1">
        <v>2367</v>
      </c>
      <c r="B1916" s="1">
        <v>2</v>
      </c>
      <c r="C1916" s="1" t="s">
        <v>2914</v>
      </c>
      <c r="D1916" s="1" t="s">
        <v>2753</v>
      </c>
      <c r="E1916" s="5">
        <v>43987</v>
      </c>
      <c r="F1916" s="1" t="s">
        <v>17</v>
      </c>
      <c r="G1916" s="1" t="str">
        <f>IF(B1916=0,VLOOKUP(A1916,Feuil2!$A$2:$M$1241,11,FALSE)," ")</f>
        <v xml:space="preserve"> </v>
      </c>
      <c r="H1916" s="1" t="s">
        <v>16</v>
      </c>
      <c r="I1916" s="6" t="str">
        <f>IF(B1916=0,VLOOKUP(A1916,Feuil2!$A$2:$M$1241,7,FALSE)," ")</f>
        <v xml:space="preserve"> </v>
      </c>
      <c r="J1916" s="1" t="str">
        <f>IF(B1916=0,VLOOKUP(A1916,Feuil2!$A$2:$M$1241,9,FALSE)," ")</f>
        <v xml:space="preserve"> </v>
      </c>
      <c r="K1916" s="1" t="str">
        <f>IF(B1916=0,VLOOKUP(A1916,Feuil2!$A$2:$M$1241,10,FALSE)," ")</f>
        <v xml:space="preserve"> </v>
      </c>
      <c r="L1916" s="1"/>
      <c r="M1916" s="1"/>
      <c r="N1916" s="1"/>
      <c r="O1916" s="8" t="e">
        <f>IF(B1928=0,VLOOKUP(A1928,Feuil2!$A$2:$M$1241,13,FALSE)," ")</f>
        <v>#N/A</v>
      </c>
    </row>
    <row r="1917" spans="1:15" x14ac:dyDescent="0.3">
      <c r="A1917" s="1">
        <v>2354</v>
      </c>
      <c r="B1917" s="17">
        <v>0</v>
      </c>
      <c r="C1917" s="17" t="s">
        <v>103</v>
      </c>
      <c r="D1917" s="17" t="s">
        <v>296</v>
      </c>
      <c r="E1917" s="18">
        <v>37315</v>
      </c>
      <c r="F1917" s="17" t="s">
        <v>506</v>
      </c>
      <c r="G1917" s="17" t="s">
        <v>2257</v>
      </c>
      <c r="H1917" s="17" t="s">
        <v>16</v>
      </c>
      <c r="I1917" s="19">
        <v>12865665</v>
      </c>
      <c r="J1917" s="17" t="s">
        <v>2918</v>
      </c>
      <c r="K1917" s="17" t="s">
        <v>513</v>
      </c>
      <c r="L1917" s="17"/>
      <c r="M1917" s="17">
        <v>25381767</v>
      </c>
      <c r="N1917" s="17"/>
      <c r="O1917" s="20" t="e">
        <f>IF(B1929=0,VLOOKUP(A1929,Feuil2!$A$2:$M$1241,13,FALSE)," ")</f>
        <v>#N/A</v>
      </c>
    </row>
    <row r="1918" spans="1:15" x14ac:dyDescent="0.3">
      <c r="A1918" s="1">
        <v>1866</v>
      </c>
      <c r="B1918" s="12">
        <v>0</v>
      </c>
      <c r="C1918" s="12" t="str">
        <f>IF(B1918=0,VLOOKUP(A1918,Feuil2!$A$2:$M$1241,2,FALSE)," ")</f>
        <v>JEBALI</v>
      </c>
      <c r="D1918" s="12" t="str">
        <f>IF(B1918=0,VLOOKUP(A1918,Feuil2!$A$2:$M$1241,3,FALSE)," ")</f>
        <v>MOHAMED</v>
      </c>
      <c r="E1918" s="13">
        <f>IF(B1918=0,VLOOKUP(A1918,Feuil2!$A$2:$M$1241,6,FALSE)," ")</f>
        <v>28931</v>
      </c>
      <c r="F1918" s="12" t="str">
        <f>IF(B1918=0,VLOOKUP(A1918,Feuil2!$A$2:$M$1241,12,FALSE)," ")</f>
        <v>H</v>
      </c>
      <c r="G1918" s="12" t="str">
        <f>IF(B1918=0,VLOOKUP(A1918,Feuil2!$A$2:$M$1241,11,FALSE)," ")</f>
        <v>M</v>
      </c>
      <c r="H1918" s="12" t="s">
        <v>16</v>
      </c>
      <c r="I1918" s="14">
        <f>IF(B1918=0,VLOOKUP(A1918,Feuil2!$A$2:$M$1241,7,FALSE)," ")</f>
        <v>6789967</v>
      </c>
      <c r="J1918" s="12" t="str">
        <f>IF(B1918=0,VLOOKUP(A1918,Feuil2!$A$2:$M$1241,9,FALSE)," ")</f>
        <v>22, Rue Kassara</v>
      </c>
      <c r="K1918" s="12" t="str">
        <f>IF(B1918=0,VLOOKUP(A1918,Feuil2!$A$2:$M$1241,10,FALSE)," ")</f>
        <v>Teboulba</v>
      </c>
      <c r="L1918" s="12"/>
      <c r="M1918" s="12">
        <v>94975177</v>
      </c>
      <c r="N1918" s="12"/>
      <c r="O1918" s="8" t="e">
        <f>IF(B1930=0,VLOOKUP(A1930,Feuil2!$A$2:$M$1241,13,FALSE)," ")</f>
        <v>#N/A</v>
      </c>
    </row>
    <row r="1919" spans="1:15" x14ac:dyDescent="0.3">
      <c r="A1919" s="1">
        <v>1866</v>
      </c>
      <c r="B1919" s="1">
        <v>1</v>
      </c>
      <c r="C1919" s="1" t="s">
        <v>352</v>
      </c>
      <c r="D1919" s="1" t="s">
        <v>2921</v>
      </c>
      <c r="E1919" s="5">
        <v>32504</v>
      </c>
      <c r="F1919" s="1" t="s">
        <v>17</v>
      </c>
      <c r="G1919" s="1" t="s">
        <v>15</v>
      </c>
      <c r="H1919" s="1" t="s">
        <v>16</v>
      </c>
      <c r="I1919" s="6" t="str">
        <f>IF(B1919=0,VLOOKUP(A1919,Feuil2!$A$2:$M$1241,7,FALSE)," ")</f>
        <v xml:space="preserve"> </v>
      </c>
      <c r="J1919" s="1" t="str">
        <f>IF(B1919=0,VLOOKUP(A1919,Feuil2!$A$2:$M$1241,9,FALSE)," ")</f>
        <v xml:space="preserve"> </v>
      </c>
      <c r="K1919" s="1" t="str">
        <f>IF(B1919=0,VLOOKUP(A1919,Feuil2!$A$2:$M$1241,10,FALSE)," ")</f>
        <v xml:space="preserve"> </v>
      </c>
      <c r="L1919" s="1"/>
      <c r="M1919" s="1"/>
      <c r="N1919" s="1"/>
      <c r="O1919" s="23" t="s">
        <v>2924</v>
      </c>
    </row>
    <row r="1920" spans="1:15" x14ac:dyDescent="0.3">
      <c r="A1920" s="1">
        <v>1866</v>
      </c>
      <c r="B1920" s="1">
        <v>2</v>
      </c>
      <c r="C1920" s="1" t="s">
        <v>312</v>
      </c>
      <c r="D1920" s="1" t="s">
        <v>2367</v>
      </c>
      <c r="E1920" s="5">
        <v>41570</v>
      </c>
      <c r="F1920" s="1" t="s">
        <v>17</v>
      </c>
      <c r="G1920" s="1" t="str">
        <f>IF(B1920=0,VLOOKUP(A1920,Feuil2!$A$2:$M$1241,11,FALSE)," ")</f>
        <v xml:space="preserve"> </v>
      </c>
      <c r="H1920" s="1" t="s">
        <v>16</v>
      </c>
      <c r="I1920" s="6" t="str">
        <f>IF(B1920=0,VLOOKUP(A1920,Feuil2!$A$2:$M$1241,7,FALSE)," ")</f>
        <v xml:space="preserve"> </v>
      </c>
      <c r="J1920" s="1" t="str">
        <f>IF(B1920=0,VLOOKUP(A1920,Feuil2!$A$2:$M$1241,9,FALSE)," ")</f>
        <v xml:space="preserve"> </v>
      </c>
      <c r="K1920" s="1" t="str">
        <f>IF(B1920=0,VLOOKUP(A1920,Feuil2!$A$2:$M$1241,10,FALSE)," ")</f>
        <v xml:space="preserve"> </v>
      </c>
      <c r="L1920" s="1"/>
      <c r="M1920" s="1"/>
      <c r="N1920" s="1"/>
      <c r="O1920" s="23" t="s">
        <v>2926</v>
      </c>
    </row>
    <row r="1921" spans="1:15" x14ac:dyDescent="0.3">
      <c r="A1921" s="1">
        <v>1866</v>
      </c>
      <c r="B1921" s="1">
        <v>3</v>
      </c>
      <c r="C1921" s="1" t="s">
        <v>312</v>
      </c>
      <c r="D1921" s="1" t="s">
        <v>2377</v>
      </c>
      <c r="E1921" s="5">
        <v>42215</v>
      </c>
      <c r="F1921" s="1" t="s">
        <v>17</v>
      </c>
      <c r="G1921" s="1" t="str">
        <f>IF(B1921=0,VLOOKUP(A1921,Feuil2!$A$2:$M$1241,11,FALSE)," ")</f>
        <v xml:space="preserve"> </v>
      </c>
      <c r="H1921" s="1" t="s">
        <v>16</v>
      </c>
      <c r="I1921" s="6" t="str">
        <f>IF(B1921=0,VLOOKUP(A1921,Feuil2!$A$2:$M$1241,7,FALSE)," ")</f>
        <v xml:space="preserve"> </v>
      </c>
      <c r="J1921" s="1" t="str">
        <f>IF(B1921=0,VLOOKUP(A1921,Feuil2!$A$2:$M$1241,9,FALSE)," ")</f>
        <v xml:space="preserve"> </v>
      </c>
      <c r="K1921" s="1" t="str">
        <f>IF(B1921=0,VLOOKUP(A1921,Feuil2!$A$2:$M$1241,10,FALSE)," ")</f>
        <v xml:space="preserve"> </v>
      </c>
      <c r="L1921" s="1"/>
      <c r="M1921" s="1"/>
      <c r="N1921" s="1"/>
      <c r="O1921" s="23"/>
    </row>
    <row r="1922" spans="1:15" x14ac:dyDescent="0.3">
      <c r="A1922" s="1">
        <v>1866</v>
      </c>
      <c r="B1922" s="1">
        <v>4</v>
      </c>
      <c r="C1922" s="1" t="s">
        <v>312</v>
      </c>
      <c r="D1922" s="1" t="s">
        <v>89</v>
      </c>
      <c r="E1922" s="5">
        <v>44930</v>
      </c>
      <c r="F1922" s="1" t="s">
        <v>506</v>
      </c>
      <c r="G1922" s="1"/>
      <c r="H1922" s="1" t="s">
        <v>16</v>
      </c>
      <c r="I1922" s="6"/>
      <c r="J1922" s="1"/>
      <c r="K1922" s="1"/>
      <c r="L1922" s="1"/>
      <c r="M1922" s="1"/>
      <c r="N1922" s="1"/>
      <c r="O1922" s="23" t="s">
        <v>2931</v>
      </c>
    </row>
    <row r="1923" spans="1:15" x14ac:dyDescent="0.3">
      <c r="A1923" s="1">
        <v>2368</v>
      </c>
      <c r="B1923" s="12">
        <v>0</v>
      </c>
      <c r="C1923" s="12" t="s">
        <v>2922</v>
      </c>
      <c r="D1923" s="12" t="s">
        <v>218</v>
      </c>
      <c r="E1923" s="13">
        <v>37747</v>
      </c>
      <c r="F1923" s="12" t="s">
        <v>506</v>
      </c>
      <c r="G1923" s="12" t="s">
        <v>2257</v>
      </c>
      <c r="H1923" s="12" t="s">
        <v>16</v>
      </c>
      <c r="I1923" s="14">
        <v>12868760</v>
      </c>
      <c r="J1923" s="12" t="s">
        <v>2923</v>
      </c>
      <c r="K1923" s="12" t="s">
        <v>2291</v>
      </c>
      <c r="L1923" s="12"/>
      <c r="M1923" s="12">
        <v>93666947</v>
      </c>
      <c r="N1923" s="12"/>
      <c r="O1923" s="23" t="s">
        <v>2935</v>
      </c>
    </row>
    <row r="1924" spans="1:15" x14ac:dyDescent="0.3">
      <c r="A1924" s="1">
        <v>2372</v>
      </c>
      <c r="B1924" s="12">
        <v>0</v>
      </c>
      <c r="C1924" s="12" t="s">
        <v>266</v>
      </c>
      <c r="D1924" s="12" t="s">
        <v>130</v>
      </c>
      <c r="E1924" s="13">
        <v>33350</v>
      </c>
      <c r="F1924" s="12" t="s">
        <v>506</v>
      </c>
      <c r="G1924" s="12" t="s">
        <v>2257</v>
      </c>
      <c r="H1924" s="12" t="s">
        <v>16</v>
      </c>
      <c r="I1924" s="14">
        <v>9287631</v>
      </c>
      <c r="J1924" s="12" t="s">
        <v>2925</v>
      </c>
      <c r="K1924" s="12" t="s">
        <v>513</v>
      </c>
      <c r="L1924" s="12"/>
      <c r="M1924" s="12">
        <v>24341282</v>
      </c>
      <c r="N1924" s="12"/>
      <c r="O1924" s="23" t="s">
        <v>2938</v>
      </c>
    </row>
    <row r="1925" spans="1:15" x14ac:dyDescent="0.3">
      <c r="A1925" s="1">
        <v>2246</v>
      </c>
      <c r="B1925" s="12">
        <v>0</v>
      </c>
      <c r="C1925" s="12" t="s">
        <v>2927</v>
      </c>
      <c r="D1925" s="12" t="s">
        <v>2928</v>
      </c>
      <c r="E1925" s="13">
        <v>34173</v>
      </c>
      <c r="F1925" s="12" t="s">
        <v>506</v>
      </c>
      <c r="G1925" s="12" t="s">
        <v>15</v>
      </c>
      <c r="H1925" s="12" t="s">
        <v>16</v>
      </c>
      <c r="I1925" s="14">
        <v>11030567</v>
      </c>
      <c r="J1925" s="12" t="s">
        <v>2929</v>
      </c>
      <c r="K1925" s="12" t="s">
        <v>2930</v>
      </c>
      <c r="L1925" s="12"/>
      <c r="M1925" s="12">
        <v>98793899</v>
      </c>
      <c r="N1925" s="12"/>
      <c r="O1925" s="23" t="s">
        <v>2941</v>
      </c>
    </row>
    <row r="1926" spans="1:15" x14ac:dyDescent="0.3">
      <c r="A1926" s="1">
        <v>2246</v>
      </c>
      <c r="B1926" s="1">
        <v>1</v>
      </c>
      <c r="C1926" s="1" t="s">
        <v>438</v>
      </c>
      <c r="D1926" s="1" t="s">
        <v>3053</v>
      </c>
      <c r="E1926" s="5">
        <v>36061</v>
      </c>
      <c r="F1926" s="1" t="s">
        <v>17</v>
      </c>
      <c r="G1926" s="1" t="s">
        <v>15</v>
      </c>
      <c r="H1926" s="1"/>
      <c r="I1926" s="6"/>
      <c r="J1926" s="1"/>
      <c r="K1926" s="1"/>
      <c r="L1926" s="1"/>
      <c r="M1926" s="1"/>
      <c r="N1926" s="1"/>
      <c r="O1926" s="10"/>
    </row>
    <row r="1927" spans="1:15" x14ac:dyDescent="0.3">
      <c r="A1927" s="1">
        <v>2246</v>
      </c>
      <c r="B1927" s="1">
        <v>2</v>
      </c>
      <c r="C1927" s="1" t="s">
        <v>2927</v>
      </c>
      <c r="D1927" s="1" t="s">
        <v>3201</v>
      </c>
      <c r="E1927" s="5">
        <v>45578</v>
      </c>
      <c r="F1927" s="1" t="s">
        <v>17</v>
      </c>
      <c r="G1927" s="1"/>
      <c r="H1927" s="1"/>
      <c r="I1927" s="6"/>
      <c r="J1927" s="1"/>
      <c r="K1927" s="1"/>
      <c r="L1927" s="1"/>
      <c r="M1927" s="1"/>
      <c r="N1927" s="1"/>
      <c r="O1927" s="10"/>
    </row>
    <row r="1928" spans="1:15" x14ac:dyDescent="0.3">
      <c r="A1928" s="1">
        <v>2282</v>
      </c>
      <c r="B1928" s="12">
        <v>0</v>
      </c>
      <c r="C1928" s="12" t="s">
        <v>2932</v>
      </c>
      <c r="D1928" s="12" t="s">
        <v>107</v>
      </c>
      <c r="E1928" s="13">
        <v>33556</v>
      </c>
      <c r="F1928" s="12" t="s">
        <v>506</v>
      </c>
      <c r="G1928" s="12" t="s">
        <v>2257</v>
      </c>
      <c r="H1928" s="12" t="s">
        <v>16</v>
      </c>
      <c r="I1928" s="14">
        <v>7740817</v>
      </c>
      <c r="J1928" s="12" t="s">
        <v>2933</v>
      </c>
      <c r="K1928" s="12" t="s">
        <v>2934</v>
      </c>
      <c r="L1928" s="12"/>
      <c r="M1928" s="12">
        <v>92101398</v>
      </c>
      <c r="N1928" s="12"/>
      <c r="O1928" s="23" t="s">
        <v>2944</v>
      </c>
    </row>
    <row r="1929" spans="1:15" x14ac:dyDescent="0.3">
      <c r="A1929" s="1">
        <v>2308</v>
      </c>
      <c r="B1929" s="12">
        <v>0</v>
      </c>
      <c r="C1929" s="12" t="s">
        <v>2936</v>
      </c>
      <c r="D1929" s="12" t="s">
        <v>30</v>
      </c>
      <c r="E1929" s="13">
        <v>35447</v>
      </c>
      <c r="F1929" s="12" t="s">
        <v>506</v>
      </c>
      <c r="G1929" s="12" t="s">
        <v>2257</v>
      </c>
      <c r="H1929" s="12" t="s">
        <v>16</v>
      </c>
      <c r="I1929" s="14">
        <v>12822583</v>
      </c>
      <c r="J1929" s="12" t="s">
        <v>2937</v>
      </c>
      <c r="K1929" s="12" t="s">
        <v>513</v>
      </c>
      <c r="L1929" s="12"/>
      <c r="M1929" s="12">
        <v>24132155</v>
      </c>
      <c r="N1929" s="12"/>
      <c r="O1929" s="15" t="e">
        <f>IF(B1939=0,VLOOKUP(A1939,Feuil2!$A$2:$M$1241,13,FALSE)," ")</f>
        <v>#N/A</v>
      </c>
    </row>
    <row r="1930" spans="1:15" x14ac:dyDescent="0.3">
      <c r="A1930" s="1">
        <v>2294</v>
      </c>
      <c r="B1930" s="17">
        <v>0</v>
      </c>
      <c r="C1930" s="17" t="s">
        <v>29</v>
      </c>
      <c r="D1930" s="17" t="s">
        <v>758</v>
      </c>
      <c r="E1930" s="18">
        <v>34180</v>
      </c>
      <c r="F1930" s="17" t="s">
        <v>506</v>
      </c>
      <c r="G1930" s="17" t="s">
        <v>2257</v>
      </c>
      <c r="H1930" s="17" t="s">
        <v>16</v>
      </c>
      <c r="I1930" s="19">
        <v>9331991</v>
      </c>
      <c r="J1930" s="17" t="s">
        <v>2939</v>
      </c>
      <c r="K1930" s="17" t="s">
        <v>2940</v>
      </c>
      <c r="L1930" s="17"/>
      <c r="M1930" s="17">
        <v>50888705</v>
      </c>
      <c r="N1930" s="17"/>
      <c r="O1930" s="21" t="s">
        <v>2949</v>
      </c>
    </row>
    <row r="1931" spans="1:15" x14ac:dyDescent="0.3">
      <c r="A1931" s="1">
        <v>2363</v>
      </c>
      <c r="B1931" s="12">
        <v>0</v>
      </c>
      <c r="C1931" s="12" t="s">
        <v>2942</v>
      </c>
      <c r="D1931" s="12" t="s">
        <v>68</v>
      </c>
      <c r="E1931" s="13">
        <v>31353</v>
      </c>
      <c r="F1931" s="12" t="s">
        <v>506</v>
      </c>
      <c r="G1931" s="12" t="s">
        <v>15</v>
      </c>
      <c r="H1931" s="12" t="s">
        <v>16</v>
      </c>
      <c r="I1931" s="14">
        <v>7698792</v>
      </c>
      <c r="J1931" s="12" t="s">
        <v>2943</v>
      </c>
      <c r="K1931" s="12" t="s">
        <v>2934</v>
      </c>
      <c r="L1931" s="12"/>
      <c r="M1931" s="12">
        <v>93293700</v>
      </c>
      <c r="N1931" s="12"/>
      <c r="O1931" s="23"/>
    </row>
    <row r="1932" spans="1:15" x14ac:dyDescent="0.3">
      <c r="A1932" s="1">
        <v>2363</v>
      </c>
      <c r="B1932" s="1">
        <v>1</v>
      </c>
      <c r="C1932" s="1" t="s">
        <v>2945</v>
      </c>
      <c r="D1932" s="1" t="s">
        <v>2946</v>
      </c>
      <c r="E1932" s="5">
        <v>36818</v>
      </c>
      <c r="F1932" s="1" t="s">
        <v>17</v>
      </c>
      <c r="G1932" s="1" t="s">
        <v>15</v>
      </c>
      <c r="H1932" s="1" t="s">
        <v>16</v>
      </c>
      <c r="I1932" s="6" t="str">
        <f>IF(B1932=0,VLOOKUP(A1932,Feuil2!$A$2:$M$1241,7,FALSE)," ")</f>
        <v xml:space="preserve"> </v>
      </c>
      <c r="J1932" s="1" t="str">
        <f>IF(B1932=0,VLOOKUP(A1932,Feuil2!$A$2:$M$1241,9,FALSE)," ")</f>
        <v xml:space="preserve"> </v>
      </c>
      <c r="K1932" s="1" t="str">
        <f>IF(B1932=0,VLOOKUP(A1932,Feuil2!$A$2:$M$1241,10,FALSE)," ")</f>
        <v xml:space="preserve"> </v>
      </c>
      <c r="L1932" s="1"/>
      <c r="M1932" s="1"/>
      <c r="N1932" s="1"/>
      <c r="O1932" s="23" t="s">
        <v>2951</v>
      </c>
    </row>
    <row r="1933" spans="1:15" x14ac:dyDescent="0.3">
      <c r="A1933" s="1">
        <v>2307</v>
      </c>
      <c r="B1933" s="12">
        <v>0</v>
      </c>
      <c r="C1933" s="12" t="s">
        <v>451</v>
      </c>
      <c r="D1933" s="12" t="s">
        <v>2947</v>
      </c>
      <c r="E1933" s="13">
        <v>34262</v>
      </c>
      <c r="F1933" s="12" t="s">
        <v>506</v>
      </c>
      <c r="G1933" s="12" t="s">
        <v>2257</v>
      </c>
      <c r="H1933" s="12" t="s">
        <v>16</v>
      </c>
      <c r="I1933" s="14">
        <v>9345940</v>
      </c>
      <c r="J1933" s="12" t="s">
        <v>2948</v>
      </c>
      <c r="K1933" s="12" t="s">
        <v>513</v>
      </c>
      <c r="L1933" s="12"/>
      <c r="M1933" s="12">
        <v>24089114</v>
      </c>
      <c r="N1933" s="12"/>
      <c r="O1933" s="15" t="e">
        <f>IF(B1945=0,VLOOKUP(A1945,Feuil2!$A$2:$M$1241,13,FALSE)," ")</f>
        <v>#N/A</v>
      </c>
    </row>
    <row r="1934" spans="1:15" x14ac:dyDescent="0.3">
      <c r="A1934" s="1">
        <v>2262</v>
      </c>
      <c r="B1934" s="12">
        <v>0</v>
      </c>
      <c r="C1934" s="12" t="s">
        <v>866</v>
      </c>
      <c r="D1934" s="12" t="s">
        <v>105</v>
      </c>
      <c r="E1934" s="13">
        <v>35186</v>
      </c>
      <c r="F1934" s="12" t="s">
        <v>506</v>
      </c>
      <c r="G1934" s="12" t="s">
        <v>2257</v>
      </c>
      <c r="H1934" s="12" t="s">
        <v>16</v>
      </c>
      <c r="I1934" s="14">
        <v>12822322</v>
      </c>
      <c r="J1934" s="12" t="s">
        <v>2950</v>
      </c>
      <c r="K1934" s="12" t="e">
        <f>IF(B1934=0,VLOOKUP(A1934,Feuil2!$A$2:$M$1241,10,FALSE)," ")</f>
        <v>#N/A</v>
      </c>
      <c r="L1934" s="12"/>
      <c r="M1934" s="12">
        <v>22047022</v>
      </c>
      <c r="N1934" s="12"/>
      <c r="O1934" s="23" t="s">
        <v>2955</v>
      </c>
    </row>
    <row r="1935" spans="1:15" x14ac:dyDescent="0.3">
      <c r="A1935" s="1">
        <v>2305</v>
      </c>
      <c r="B1935" s="12">
        <v>0</v>
      </c>
      <c r="C1935" s="12" t="s">
        <v>2954</v>
      </c>
      <c r="D1935" s="12" t="s">
        <v>371</v>
      </c>
      <c r="E1935" s="13">
        <v>32153</v>
      </c>
      <c r="F1935" s="12" t="s">
        <v>506</v>
      </c>
      <c r="G1935" s="12" t="s">
        <v>15</v>
      </c>
      <c r="H1935" s="12" t="s">
        <v>16</v>
      </c>
      <c r="I1935" s="14">
        <v>9280692</v>
      </c>
      <c r="J1935" s="12" t="s">
        <v>2136</v>
      </c>
      <c r="K1935" s="12" t="s">
        <v>513</v>
      </c>
      <c r="L1935" s="12"/>
      <c r="M1935" s="12">
        <v>22478177</v>
      </c>
      <c r="N1935" s="12"/>
      <c r="O1935" s="8" t="e">
        <f>IF(B1947=0,VLOOKUP(A1947,Feuil2!$A$2:$M$1241,13,FALSE)," ")</f>
        <v>#N/A</v>
      </c>
    </row>
    <row r="1936" spans="1:15" x14ac:dyDescent="0.3">
      <c r="A1936" s="1">
        <v>2305</v>
      </c>
      <c r="B1936" s="1">
        <v>1</v>
      </c>
      <c r="C1936" s="1" t="s">
        <v>1794</v>
      </c>
      <c r="D1936" s="1" t="s">
        <v>2383</v>
      </c>
      <c r="E1936" s="5">
        <v>34032</v>
      </c>
      <c r="F1936" s="1" t="s">
        <v>17</v>
      </c>
      <c r="G1936" s="1" t="s">
        <v>15</v>
      </c>
      <c r="H1936" s="1" t="s">
        <v>16</v>
      </c>
      <c r="I1936" s="6" t="str">
        <f>IF(B1936=0,VLOOKUP(A1936,Feuil2!$A$2:$M$1241,7,FALSE)," ")</f>
        <v xml:space="preserve"> </v>
      </c>
      <c r="J1936" s="1" t="str">
        <f>IF(B1936=0,VLOOKUP(A1936,Feuil2!$A$2:$M$1241,9,FALSE)," ")</f>
        <v xml:space="preserve"> </v>
      </c>
      <c r="K1936" s="1" t="str">
        <f>IF(B1936=0,VLOOKUP(A1936,Feuil2!$A$2:$M$1241,10,FALSE)," ")</f>
        <v xml:space="preserve"> </v>
      </c>
      <c r="L1936" s="1"/>
      <c r="M1936" s="1"/>
      <c r="N1936" s="1"/>
      <c r="O1936" s="8" t="str">
        <f>IF(B1948=0,VLOOKUP(A1948,Feuil2!$A$2:$M$1241,13,FALSE)," ")</f>
        <v xml:space="preserve"> </v>
      </c>
    </row>
    <row r="1937" spans="1:15" x14ac:dyDescent="0.3">
      <c r="A1937" s="1">
        <v>2305</v>
      </c>
      <c r="B1937" s="1">
        <v>2</v>
      </c>
      <c r="C1937" s="1" t="s">
        <v>2954</v>
      </c>
      <c r="D1937" s="1" t="s">
        <v>2956</v>
      </c>
      <c r="E1937" s="5">
        <v>43637</v>
      </c>
      <c r="F1937" s="1" t="s">
        <v>17</v>
      </c>
      <c r="G1937" s="1" t="str">
        <f>IF(B1937=0,VLOOKUP(A1937,Feuil2!$A$2:$M$1241,11,FALSE)," ")</f>
        <v xml:space="preserve"> </v>
      </c>
      <c r="H1937" s="1" t="s">
        <v>16</v>
      </c>
      <c r="I1937" s="6" t="str">
        <f>IF(B1937=0,VLOOKUP(A1937,Feuil2!$A$2:$M$1241,7,FALSE)," ")</f>
        <v xml:space="preserve"> </v>
      </c>
      <c r="J1937" s="1" t="str">
        <f>IF(B1937=0,VLOOKUP(A1937,Feuil2!$A$2:$M$1241,9,FALSE)," ")</f>
        <v xml:space="preserve"> </v>
      </c>
      <c r="K1937" s="1" t="str">
        <f>IF(B1937=0,VLOOKUP(A1937,Feuil2!$A$2:$M$1241,10,FALSE)," ")</f>
        <v xml:space="preserve"> </v>
      </c>
      <c r="L1937" s="1"/>
      <c r="M1937" s="1"/>
      <c r="N1937" s="1"/>
      <c r="O1937" s="8"/>
    </row>
    <row r="1938" spans="1:15" x14ac:dyDescent="0.3">
      <c r="A1938" s="1">
        <v>2305</v>
      </c>
      <c r="B1938" s="1">
        <v>3</v>
      </c>
      <c r="C1938" s="1" t="s">
        <v>2954</v>
      </c>
      <c r="D1938" s="1" t="s">
        <v>2993</v>
      </c>
      <c r="E1938" s="5">
        <v>44957</v>
      </c>
      <c r="F1938" s="1" t="s">
        <v>17</v>
      </c>
      <c r="G1938" s="1"/>
      <c r="H1938" s="1"/>
      <c r="I1938" s="6"/>
      <c r="J1938" s="1"/>
      <c r="K1938" s="1"/>
      <c r="L1938" s="1"/>
      <c r="M1938" s="1"/>
      <c r="N1938" s="1"/>
      <c r="O1938" s="23" t="s">
        <v>2957</v>
      </c>
    </row>
    <row r="1939" spans="1:15" x14ac:dyDescent="0.3">
      <c r="A1939" s="1">
        <v>2234</v>
      </c>
      <c r="B1939" s="12">
        <v>0</v>
      </c>
      <c r="C1939" s="12" t="str">
        <f>IF(B1939=0,VLOOKUP(A1939,Feuil2!$A$2:$M$1241,2,FALSE)," ")</f>
        <v xml:space="preserve">BEN ZID </v>
      </c>
      <c r="D1939" s="12" t="str">
        <f>IF(B1939=0,VLOOKUP(A1939,Feuil2!$A$2:$M$1241,3,FALSE)," ")</f>
        <v>MOHAMED</v>
      </c>
      <c r="E1939" s="13">
        <f>IF(B1939=0,VLOOKUP(A1939,Feuil2!$A$2:$M$1241,6,FALSE)," ")</f>
        <v>34835</v>
      </c>
      <c r="F1939" s="12" t="str">
        <f>IF(B1939=0,VLOOKUP(A1939,Feuil2!$A$2:$M$1241,12,FALSE)," ")</f>
        <v>Homme</v>
      </c>
      <c r="G1939" s="12" t="str">
        <f>IF(B1939=0,VLOOKUP(A1939,Feuil2!$A$2:$M$1241,11,FALSE)," ")</f>
        <v>Celibataire</v>
      </c>
      <c r="H1939" s="12" t="s">
        <v>16</v>
      </c>
      <c r="I1939" s="14">
        <f>IF(B1939=0,VLOOKUP(A1939,Feuil2!$A$2:$M$1241,7,FALSE)," ")</f>
        <v>12809609</v>
      </c>
      <c r="J1939" s="12" t="str">
        <f>IF(B1939=0,VLOOKUP(A1939,Feuil2!$A$2:$M$1241,9,FALSE)," ")</f>
        <v>AWLED ALI BEL HENI SIDI LHENI SOUSSE</v>
      </c>
      <c r="K1939" s="12" t="str">
        <f>IF(B1939=0,VLOOKUP(A1939,Feuil2!$A$2:$M$1241,10,FALSE)," ")</f>
        <v>SIDI LHENI</v>
      </c>
      <c r="L1939" s="12"/>
      <c r="M1939" s="12"/>
      <c r="N1939" s="12"/>
      <c r="O1939" s="23" t="s">
        <v>2959</v>
      </c>
    </row>
    <row r="1940" spans="1:15" x14ac:dyDescent="0.3">
      <c r="A1940" s="1">
        <v>2535</v>
      </c>
      <c r="B1940" s="12">
        <v>0</v>
      </c>
      <c r="C1940" s="12" t="s">
        <v>266</v>
      </c>
      <c r="D1940" s="12" t="s">
        <v>749</v>
      </c>
      <c r="E1940" s="13">
        <v>35301</v>
      </c>
      <c r="F1940" s="12" t="s">
        <v>17</v>
      </c>
      <c r="G1940" s="12" t="s">
        <v>15</v>
      </c>
      <c r="H1940" s="12" t="s">
        <v>16</v>
      </c>
      <c r="I1940" s="14">
        <v>12826205</v>
      </c>
      <c r="J1940" s="12" t="s">
        <v>2958</v>
      </c>
      <c r="K1940" s="12" t="s">
        <v>513</v>
      </c>
      <c r="L1940" s="12"/>
      <c r="M1940" s="12">
        <v>24994978</v>
      </c>
      <c r="N1940" s="12"/>
      <c r="O1940" s="8" t="str">
        <f>IF(B1952=0,VLOOKUP(A1952,Feuil2!$A$2:$M$1241,13,FALSE)," ")</f>
        <v xml:space="preserve"> </v>
      </c>
    </row>
    <row r="1941" spans="1:15" x14ac:dyDescent="0.3">
      <c r="A1941" s="1">
        <v>2535</v>
      </c>
      <c r="B1941" s="1">
        <v>1</v>
      </c>
      <c r="C1941" s="1" t="s">
        <v>344</v>
      </c>
      <c r="D1941" s="1" t="s">
        <v>385</v>
      </c>
      <c r="E1941" s="5">
        <v>33262</v>
      </c>
      <c r="F1941" s="1" t="s">
        <v>506</v>
      </c>
      <c r="G1941" s="1" t="s">
        <v>15</v>
      </c>
      <c r="H1941" s="1" t="s">
        <v>16</v>
      </c>
      <c r="I1941" s="6" t="str">
        <f>IF(B1941=0,VLOOKUP(A1941,Feuil2!$A$2:$M$1241,7,FALSE)," ")</f>
        <v xml:space="preserve"> </v>
      </c>
      <c r="J1941" s="1" t="str">
        <f>IF(B1941=0,VLOOKUP(A1941,Feuil2!$A$2:$M$1241,9,FALSE)," ")</f>
        <v xml:space="preserve"> </v>
      </c>
      <c r="K1941" s="1" t="str">
        <f>IF(B1941=0,VLOOKUP(A1941,Feuil2!$A$2:$M$1241,10,FALSE)," ")</f>
        <v xml:space="preserve"> </v>
      </c>
      <c r="L1941" s="1"/>
      <c r="M1941" s="1"/>
      <c r="N1941" s="1"/>
      <c r="O1941" s="23" t="s">
        <v>2962</v>
      </c>
    </row>
    <row r="1942" spans="1:15" x14ac:dyDescent="0.3">
      <c r="A1942" s="1">
        <v>2535</v>
      </c>
      <c r="B1942" s="1">
        <v>2</v>
      </c>
      <c r="C1942" s="1" t="s">
        <v>344</v>
      </c>
      <c r="D1942" s="1" t="s">
        <v>2347</v>
      </c>
      <c r="E1942" s="5">
        <v>45017</v>
      </c>
      <c r="F1942" s="1" t="s">
        <v>506</v>
      </c>
      <c r="G1942" s="1"/>
      <c r="H1942" s="1"/>
      <c r="I1942" s="6"/>
      <c r="J1942" s="1"/>
      <c r="K1942" s="1"/>
      <c r="L1942" s="1"/>
      <c r="M1942" s="1"/>
      <c r="N1942" s="1"/>
      <c r="O1942" s="23" t="s">
        <v>2964</v>
      </c>
    </row>
    <row r="1943" spans="1:15" x14ac:dyDescent="0.3">
      <c r="A1943" s="1">
        <v>2535</v>
      </c>
      <c r="B1943" s="1">
        <v>3</v>
      </c>
      <c r="C1943" s="1" t="s">
        <v>344</v>
      </c>
      <c r="D1943" s="1" t="s">
        <v>2533</v>
      </c>
      <c r="E1943" s="5">
        <v>45891</v>
      </c>
      <c r="F1943" s="1" t="s">
        <v>506</v>
      </c>
      <c r="G1943" s="1"/>
      <c r="H1943" s="1"/>
      <c r="I1943" s="6"/>
      <c r="J1943" s="1"/>
      <c r="K1943" s="1"/>
      <c r="L1943" s="1"/>
      <c r="M1943" s="1"/>
      <c r="N1943" s="1"/>
      <c r="O1943" s="23"/>
    </row>
    <row r="1944" spans="1:15" x14ac:dyDescent="0.3">
      <c r="A1944" s="1">
        <v>2390</v>
      </c>
      <c r="B1944" s="12">
        <v>0</v>
      </c>
      <c r="C1944" s="12" t="s">
        <v>2469</v>
      </c>
      <c r="D1944" s="12" t="s">
        <v>2960</v>
      </c>
      <c r="E1944" s="13">
        <v>35824</v>
      </c>
      <c r="F1944" s="12" t="s">
        <v>506</v>
      </c>
      <c r="G1944" s="12" t="s">
        <v>2257</v>
      </c>
      <c r="H1944" s="12" t="s">
        <v>16</v>
      </c>
      <c r="I1944" s="14">
        <v>12842575</v>
      </c>
      <c r="J1944" s="12" t="s">
        <v>2961</v>
      </c>
      <c r="K1944" s="12" t="s">
        <v>513</v>
      </c>
      <c r="L1944" s="12"/>
      <c r="M1944" s="12">
        <v>55760397</v>
      </c>
      <c r="N1944" s="12"/>
      <c r="O1944" s="23" t="s">
        <v>2967</v>
      </c>
    </row>
    <row r="1945" spans="1:15" x14ac:dyDescent="0.3">
      <c r="A1945" s="1">
        <v>2351</v>
      </c>
      <c r="B1945" s="12">
        <v>0</v>
      </c>
      <c r="C1945" s="12" t="s">
        <v>477</v>
      </c>
      <c r="D1945" s="12" t="s">
        <v>2448</v>
      </c>
      <c r="E1945" s="13">
        <v>36117</v>
      </c>
      <c r="F1945" s="12" t="s">
        <v>506</v>
      </c>
      <c r="G1945" s="12" t="s">
        <v>2257</v>
      </c>
      <c r="H1945" s="12" t="s">
        <v>16</v>
      </c>
      <c r="I1945" s="14">
        <v>12843490</v>
      </c>
      <c r="J1945" s="12" t="s">
        <v>2963</v>
      </c>
      <c r="K1945" s="12" t="s">
        <v>513</v>
      </c>
      <c r="L1945" s="12"/>
      <c r="M1945" s="12">
        <v>58669115</v>
      </c>
      <c r="N1945" s="12"/>
      <c r="O1945" s="23" t="s">
        <v>2970</v>
      </c>
    </row>
    <row r="1946" spans="1:15" x14ac:dyDescent="0.3">
      <c r="A1946" s="1">
        <v>2259</v>
      </c>
      <c r="B1946" s="12">
        <v>0</v>
      </c>
      <c r="C1946" s="12" t="s">
        <v>2965</v>
      </c>
      <c r="D1946" s="12" t="s">
        <v>235</v>
      </c>
      <c r="E1946" s="13">
        <v>35478</v>
      </c>
      <c r="F1946" s="12" t="s">
        <v>506</v>
      </c>
      <c r="G1946" s="12" t="s">
        <v>2257</v>
      </c>
      <c r="H1946" s="12" t="s">
        <v>16</v>
      </c>
      <c r="I1946" s="14">
        <v>12832844</v>
      </c>
      <c r="J1946" s="12" t="s">
        <v>2966</v>
      </c>
      <c r="K1946" s="12" t="s">
        <v>513</v>
      </c>
      <c r="L1946" s="12"/>
      <c r="M1946" s="12">
        <v>20602232</v>
      </c>
      <c r="N1946" s="12"/>
      <c r="O1946" s="8" t="e">
        <f>IF(B1957=0,VLOOKUP(A1957,Feuil2!$A$2:$M$1241,13,FALSE)," ")</f>
        <v>#N/A</v>
      </c>
    </row>
    <row r="1947" spans="1:15" x14ac:dyDescent="0.3">
      <c r="A1947" s="1">
        <v>2326</v>
      </c>
      <c r="B1947" s="12">
        <v>0</v>
      </c>
      <c r="C1947" s="12" t="s">
        <v>2968</v>
      </c>
      <c r="D1947" s="12" t="s">
        <v>2160</v>
      </c>
      <c r="E1947" s="13">
        <v>36011</v>
      </c>
      <c r="F1947" s="12" t="s">
        <v>506</v>
      </c>
      <c r="G1947" s="12" t="s">
        <v>15</v>
      </c>
      <c r="H1947" s="12" t="s">
        <v>16</v>
      </c>
      <c r="I1947" s="14">
        <v>12832299</v>
      </c>
      <c r="J1947" s="12" t="s">
        <v>2969</v>
      </c>
      <c r="K1947" s="12" t="s">
        <v>513</v>
      </c>
      <c r="L1947" s="12"/>
      <c r="M1947" s="12">
        <v>54311077</v>
      </c>
      <c r="N1947" s="12"/>
      <c r="O1947" s="23" t="s">
        <v>2973</v>
      </c>
    </row>
    <row r="1948" spans="1:15" x14ac:dyDescent="0.3">
      <c r="A1948" s="1">
        <v>2326</v>
      </c>
      <c r="B1948" s="1">
        <v>1</v>
      </c>
      <c r="C1948" s="1" t="s">
        <v>2971</v>
      </c>
      <c r="D1948" s="1" t="s">
        <v>1541</v>
      </c>
      <c r="E1948" s="5">
        <v>35535</v>
      </c>
      <c r="F1948" s="1" t="s">
        <v>17</v>
      </c>
      <c r="G1948" s="1" t="s">
        <v>15</v>
      </c>
      <c r="H1948" s="1" t="s">
        <v>16</v>
      </c>
      <c r="I1948" s="6" t="str">
        <f>IF(B1948=0,VLOOKUP(A1948,Feuil2!$A$2:$M$1241,7,FALSE)," ")</f>
        <v xml:space="preserve"> </v>
      </c>
      <c r="J1948" s="1" t="str">
        <f>IF(B1948=0,VLOOKUP(A1948,Feuil2!$A$2:$M$1241,9,FALSE)," ")</f>
        <v xml:space="preserve"> </v>
      </c>
      <c r="K1948" s="1" t="str">
        <f>IF(B1948=0,VLOOKUP(A1948,Feuil2!$A$2:$M$1241,10,FALSE)," ")</f>
        <v xml:space="preserve"> </v>
      </c>
      <c r="L1948" s="1"/>
      <c r="M1948" s="1"/>
      <c r="N1948" s="1"/>
      <c r="O1948" s="23" t="s">
        <v>2975</v>
      </c>
    </row>
    <row r="1949" spans="1:15" x14ac:dyDescent="0.3">
      <c r="A1949" s="1">
        <v>2326</v>
      </c>
      <c r="B1949" s="1">
        <v>2</v>
      </c>
      <c r="C1949" s="1" t="s">
        <v>2968</v>
      </c>
      <c r="D1949" s="1" t="s">
        <v>3025</v>
      </c>
      <c r="E1949" s="5">
        <v>45122</v>
      </c>
      <c r="F1949" s="1" t="s">
        <v>506</v>
      </c>
      <c r="G1949" s="1"/>
      <c r="H1949" s="1"/>
      <c r="I1949" s="6"/>
      <c r="J1949" s="1"/>
      <c r="K1949" s="1"/>
      <c r="L1949" s="1"/>
      <c r="M1949" s="1"/>
      <c r="N1949" s="1"/>
      <c r="O1949" s="23"/>
    </row>
    <row r="1950" spans="1:15" x14ac:dyDescent="0.3">
      <c r="A1950" s="1">
        <v>2266</v>
      </c>
      <c r="B1950" s="12">
        <v>0</v>
      </c>
      <c r="C1950" s="12" t="s">
        <v>356</v>
      </c>
      <c r="D1950" s="12" t="s">
        <v>61</v>
      </c>
      <c r="E1950" s="13">
        <v>34709</v>
      </c>
      <c r="F1950" s="12" t="s">
        <v>506</v>
      </c>
      <c r="G1950" s="12" t="s">
        <v>2257</v>
      </c>
      <c r="H1950" s="12" t="s">
        <v>16</v>
      </c>
      <c r="I1950" s="14">
        <v>9345326</v>
      </c>
      <c r="J1950" s="12" t="s">
        <v>2972</v>
      </c>
      <c r="K1950" s="12" t="s">
        <v>513</v>
      </c>
      <c r="L1950" s="12"/>
      <c r="M1950" s="12">
        <v>52740330</v>
      </c>
      <c r="N1950" s="12"/>
      <c r="O1950" s="8" t="str">
        <f>IF(B1961=0,VLOOKUP(A1960,Feuil2!$A$2:$M$1241,13,FALSE)," ")</f>
        <v xml:space="preserve"> </v>
      </c>
    </row>
    <row r="1951" spans="1:15" x14ac:dyDescent="0.3">
      <c r="A1951" s="1">
        <v>2442</v>
      </c>
      <c r="B1951" s="12">
        <v>0</v>
      </c>
      <c r="C1951" s="12" t="s">
        <v>582</v>
      </c>
      <c r="D1951" s="12" t="s">
        <v>478</v>
      </c>
      <c r="E1951" s="13">
        <v>25204</v>
      </c>
      <c r="F1951" s="12" t="s">
        <v>506</v>
      </c>
      <c r="G1951" s="12" t="s">
        <v>15</v>
      </c>
      <c r="H1951" s="12" t="s">
        <v>16</v>
      </c>
      <c r="I1951" s="14">
        <v>5511224</v>
      </c>
      <c r="J1951" s="12" t="s">
        <v>2974</v>
      </c>
      <c r="K1951" s="12" t="s">
        <v>2825</v>
      </c>
      <c r="L1951" s="12"/>
      <c r="M1951" s="12">
        <v>22794454</v>
      </c>
      <c r="N1951" s="12"/>
      <c r="O1951" s="8" t="str">
        <f>IF(B1962=0,VLOOKUP(A1961,Feuil2!$A$2:$M$1241,13,FALSE)," ")</f>
        <v xml:space="preserve"> </v>
      </c>
    </row>
    <row r="1952" spans="1:15" x14ac:dyDescent="0.3">
      <c r="A1952" s="1">
        <v>2442</v>
      </c>
      <c r="B1952" s="1">
        <v>1</v>
      </c>
      <c r="C1952" s="1" t="s">
        <v>2976</v>
      </c>
      <c r="D1952" s="1" t="s">
        <v>2977</v>
      </c>
      <c r="E1952" s="5">
        <v>29975</v>
      </c>
      <c r="F1952" s="1" t="s">
        <v>17</v>
      </c>
      <c r="G1952" s="1" t="s">
        <v>15</v>
      </c>
      <c r="H1952" s="1" t="s">
        <v>16</v>
      </c>
      <c r="I1952" s="6" t="str">
        <f>IF(B1952=0,VLOOKUP(A1952,Feuil2!$A$2:$M$1241,7,FALSE)," ")</f>
        <v xml:space="preserve"> </v>
      </c>
      <c r="J1952" s="1" t="str">
        <f>IF(B1952=0,VLOOKUP(A1952,Feuil2!$A$2:$M$1241,9,FALSE)," ")</f>
        <v xml:space="preserve"> </v>
      </c>
      <c r="K1952" s="1" t="str">
        <f>IF(B1952=0,VLOOKUP(A1952,Feuil2!$A$2:$M$1241,10,FALSE)," ")</f>
        <v xml:space="preserve"> </v>
      </c>
      <c r="L1952" s="1"/>
      <c r="M1952" s="1"/>
      <c r="N1952" s="1"/>
      <c r="O1952" s="8" t="str">
        <f>IF(B1963=0,VLOOKUP(A1962,Feuil2!$A$2:$M$1241,13,FALSE)," ")</f>
        <v xml:space="preserve"> </v>
      </c>
    </row>
    <row r="1953" spans="1:15" x14ac:dyDescent="0.3">
      <c r="A1953" s="1">
        <v>2442</v>
      </c>
      <c r="B1953" s="1">
        <v>2</v>
      </c>
      <c r="C1953" s="1" t="s">
        <v>582</v>
      </c>
      <c r="D1953" s="1" t="s">
        <v>2978</v>
      </c>
      <c r="E1953" s="5">
        <v>40737</v>
      </c>
      <c r="F1953" s="1" t="s">
        <v>17</v>
      </c>
      <c r="G1953" s="1" t="str">
        <f>IF(B1953=0,VLOOKUP(A1953,Feuil2!$A$2:$M$1241,11,FALSE)," ")</f>
        <v xml:space="preserve"> </v>
      </c>
      <c r="H1953" s="1" t="s">
        <v>16</v>
      </c>
      <c r="I1953" s="6" t="str">
        <f>IF(B1953=0,VLOOKUP(A1953,Feuil2!$A$2:$M$1241,7,FALSE)," ")</f>
        <v xml:space="preserve"> </v>
      </c>
      <c r="J1953" s="1" t="str">
        <f>IF(B1953=0,VLOOKUP(A1953,Feuil2!$A$2:$M$1241,9,FALSE)," ")</f>
        <v xml:space="preserve"> </v>
      </c>
      <c r="K1953" s="1" t="str">
        <f>IF(B1953=0,VLOOKUP(A1953,Feuil2!$A$2:$M$1241,10,FALSE)," ")</f>
        <v xml:space="preserve"> </v>
      </c>
      <c r="L1953" s="1"/>
      <c r="M1953" s="1"/>
      <c r="N1953" s="1"/>
      <c r="O1953" s="8" t="e">
        <f>IF(B1964=0,VLOOKUP(A1963,Feuil2!$A$2:$M$1241,13,FALSE)," ")</f>
        <v>#N/A</v>
      </c>
    </row>
    <row r="1954" spans="1:15" x14ac:dyDescent="0.3">
      <c r="A1954" s="1">
        <v>2442</v>
      </c>
      <c r="B1954" s="1">
        <v>3</v>
      </c>
      <c r="C1954" s="1" t="s">
        <v>582</v>
      </c>
      <c r="D1954" s="1" t="s">
        <v>34</v>
      </c>
      <c r="E1954" s="5">
        <v>41950</v>
      </c>
      <c r="F1954" s="1" t="s">
        <v>506</v>
      </c>
      <c r="G1954" s="1" t="str">
        <f>IF(B1954=0,VLOOKUP(A1954,Feuil2!$A$2:$M$1241,11,FALSE)," ")</f>
        <v xml:space="preserve"> </v>
      </c>
      <c r="H1954" s="1" t="s">
        <v>16</v>
      </c>
      <c r="I1954" s="6" t="str">
        <f>IF(B1954=0,VLOOKUP(A1954,Feuil2!$A$2:$M$1241,7,FALSE)," ")</f>
        <v xml:space="preserve"> </v>
      </c>
      <c r="J1954" s="1" t="str">
        <f>IF(B1954=0,VLOOKUP(A1954,Feuil2!$A$2:$M$1241,9,FALSE)," ")</f>
        <v xml:space="preserve"> </v>
      </c>
      <c r="K1954" s="1" t="str">
        <f>IF(B1954=0,VLOOKUP(A1954,Feuil2!$A$2:$M$1241,10,FALSE)," ")</f>
        <v xml:space="preserve"> </v>
      </c>
      <c r="L1954" s="1"/>
      <c r="M1954" s="1"/>
      <c r="N1954" s="1"/>
      <c r="O1954" s="8" t="e">
        <f>IF(B1965=0,VLOOKUP(A1964,Feuil2!$A$2:$M$1241,13,FALSE)," ")</f>
        <v>#N/A</v>
      </c>
    </row>
    <row r="1955" spans="1:15" x14ac:dyDescent="0.3">
      <c r="A1955" s="1">
        <v>2442</v>
      </c>
      <c r="B1955" s="1">
        <v>4</v>
      </c>
      <c r="C1955" s="1" t="s">
        <v>582</v>
      </c>
      <c r="D1955" s="1" t="s">
        <v>2979</v>
      </c>
      <c r="E1955" s="5">
        <v>43105</v>
      </c>
      <c r="F1955" s="1" t="s">
        <v>17</v>
      </c>
      <c r="G1955" s="1" t="str">
        <f>IF(B1955=0,VLOOKUP(A1955,Feuil2!$A$2:$M$1241,11,FALSE)," ")</f>
        <v xml:space="preserve"> </v>
      </c>
      <c r="H1955" s="1" t="s">
        <v>16</v>
      </c>
      <c r="I1955" s="6" t="str">
        <f>IF(B1955=0,VLOOKUP(A1955,Feuil2!$A$2:$M$1241,7,FALSE)," ")</f>
        <v xml:space="preserve"> </v>
      </c>
      <c r="J1955" s="1" t="str">
        <f>IF(B1955=0,VLOOKUP(A1955,Feuil2!$A$2:$M$1241,9,FALSE)," ")</f>
        <v xml:space="preserve"> </v>
      </c>
      <c r="K1955" s="1" t="str">
        <f>IF(B1955=0,VLOOKUP(A1955,Feuil2!$A$2:$M$1241,10,FALSE)," ")</f>
        <v xml:space="preserve"> </v>
      </c>
      <c r="L1955" s="1"/>
      <c r="M1955" s="1"/>
      <c r="N1955" s="1"/>
      <c r="O1955" s="23" t="s">
        <v>2982</v>
      </c>
    </row>
    <row r="1956" spans="1:15" x14ac:dyDescent="0.3">
      <c r="A1956" s="1">
        <v>2442</v>
      </c>
      <c r="B1956" s="1">
        <v>5</v>
      </c>
      <c r="C1956" s="1" t="s">
        <v>582</v>
      </c>
      <c r="D1956" s="1" t="s">
        <v>2980</v>
      </c>
      <c r="E1956" s="5">
        <v>43592</v>
      </c>
      <c r="F1956" s="1" t="s">
        <v>17</v>
      </c>
      <c r="G1956" s="1" t="str">
        <f>IF(B1956=0,VLOOKUP(A1956,Feuil2!$A$2:$M$1241,11,FALSE)," ")</f>
        <v xml:space="preserve"> </v>
      </c>
      <c r="H1956" s="1" t="s">
        <v>16</v>
      </c>
      <c r="I1956" s="6" t="str">
        <f>IF(B1956=0,VLOOKUP(A1956,Feuil2!$A$2:$M$1241,7,FALSE)," ")</f>
        <v xml:space="preserve"> </v>
      </c>
      <c r="J1956" s="1" t="str">
        <f>IF(B1956=0,VLOOKUP(A1956,Feuil2!$A$2:$M$1241,9,FALSE)," ")</f>
        <v xml:space="preserve"> </v>
      </c>
      <c r="K1956" s="1" t="str">
        <f>IF(B1956=0,VLOOKUP(A1956,Feuil2!$A$2:$M$1241,10,FALSE)," ")</f>
        <v xml:space="preserve"> </v>
      </c>
      <c r="L1956" s="1"/>
      <c r="M1956" s="1"/>
      <c r="N1956" s="1"/>
      <c r="O1956" s="8" t="str">
        <f>IF(B1967=0,VLOOKUP(A1966,Feuil2!$A$2:$M$1241,13,FALSE)," ")</f>
        <v xml:space="preserve"> </v>
      </c>
    </row>
    <row r="1957" spans="1:15" x14ac:dyDescent="0.3">
      <c r="A1957" s="1">
        <v>2397</v>
      </c>
      <c r="B1957" s="12">
        <v>0</v>
      </c>
      <c r="C1957" s="12" t="s">
        <v>2981</v>
      </c>
      <c r="D1957" s="12" t="s">
        <v>34</v>
      </c>
      <c r="E1957" s="13">
        <v>32184</v>
      </c>
      <c r="F1957" s="12" t="s">
        <v>506</v>
      </c>
      <c r="G1957" s="12" t="s">
        <v>15</v>
      </c>
      <c r="H1957" s="12" t="s">
        <v>16</v>
      </c>
      <c r="I1957" s="14">
        <v>9258864</v>
      </c>
      <c r="J1957" s="12" t="s">
        <v>2136</v>
      </c>
      <c r="K1957" s="12" t="s">
        <v>513</v>
      </c>
      <c r="L1957" s="12"/>
      <c r="M1957" s="12">
        <v>27702202</v>
      </c>
      <c r="N1957" s="12"/>
      <c r="O1957" s="23" t="s">
        <v>2984</v>
      </c>
    </row>
    <row r="1958" spans="1:15" x14ac:dyDescent="0.3">
      <c r="A1958" s="1">
        <v>2397</v>
      </c>
      <c r="B1958" s="1">
        <v>1</v>
      </c>
      <c r="C1958" s="1" t="s">
        <v>2343</v>
      </c>
      <c r="D1958" s="1" t="s">
        <v>2340</v>
      </c>
      <c r="E1958" s="5">
        <v>34159</v>
      </c>
      <c r="F1958" s="1" t="s">
        <v>17</v>
      </c>
      <c r="G1958" s="1" t="s">
        <v>15</v>
      </c>
      <c r="H1958" s="1" t="s">
        <v>16</v>
      </c>
      <c r="I1958" s="6" t="str">
        <f>IF(B1958=0,VLOOKUP(A1958,Feuil2!$A$2:$M$1241,7,FALSE)," ")</f>
        <v xml:space="preserve"> </v>
      </c>
      <c r="J1958" s="1" t="str">
        <f>IF(B1958=0,VLOOKUP(A1958,Feuil2!$A$2:$M$1241,9,FALSE)," ")</f>
        <v xml:space="preserve"> </v>
      </c>
      <c r="K1958" s="1" t="str">
        <f>IF(B1958=0,VLOOKUP(A1958,Feuil2!$A$2:$M$1241,10,FALSE)," ")</f>
        <v xml:space="preserve"> </v>
      </c>
      <c r="L1958" s="1"/>
      <c r="M1958" s="1"/>
      <c r="N1958" s="1"/>
      <c r="O1958" s="8" t="str">
        <f>IF(B1969=0,VLOOKUP(A1968,Feuil2!$A$2:$M$1241,13,FALSE)," ")</f>
        <v xml:space="preserve"> </v>
      </c>
    </row>
    <row r="1959" spans="1:15" x14ac:dyDescent="0.3">
      <c r="A1959" s="1">
        <v>2397</v>
      </c>
      <c r="B1959" s="1">
        <v>2</v>
      </c>
      <c r="C1959" s="1" t="s">
        <v>2981</v>
      </c>
      <c r="D1959" s="1" t="s">
        <v>3054</v>
      </c>
      <c r="E1959" s="5">
        <v>45275</v>
      </c>
      <c r="F1959" s="1" t="s">
        <v>506</v>
      </c>
      <c r="G1959" s="1"/>
      <c r="H1959" s="1"/>
      <c r="I1959" s="6"/>
      <c r="J1959" s="1"/>
      <c r="K1959" s="1"/>
      <c r="L1959" s="1"/>
      <c r="M1959" s="1"/>
      <c r="N1959" s="1"/>
      <c r="O1959" s="8"/>
    </row>
    <row r="1960" spans="1:15" x14ac:dyDescent="0.3">
      <c r="A1960" s="1">
        <v>2547</v>
      </c>
      <c r="B1960" s="17">
        <v>0</v>
      </c>
      <c r="C1960" s="17" t="s">
        <v>251</v>
      </c>
      <c r="D1960" s="17" t="s">
        <v>2350</v>
      </c>
      <c r="E1960" s="18">
        <v>31976</v>
      </c>
      <c r="F1960" s="17" t="s">
        <v>506</v>
      </c>
      <c r="G1960" s="17" t="s">
        <v>15</v>
      </c>
      <c r="H1960" s="17" t="s">
        <v>16</v>
      </c>
      <c r="I1960" s="19">
        <v>9285430</v>
      </c>
      <c r="J1960" s="17" t="s">
        <v>2983</v>
      </c>
      <c r="K1960" s="17" t="s">
        <v>513</v>
      </c>
      <c r="L1960" s="17"/>
      <c r="M1960" s="17">
        <v>99211351</v>
      </c>
      <c r="N1960" s="17"/>
      <c r="O1960" s="20" t="str">
        <f>IF(B1970=0,VLOOKUP(A1969,Feuil2!$A$2:$M$1241,13,FALSE)," ")</f>
        <v xml:space="preserve"> </v>
      </c>
    </row>
    <row r="1961" spans="1:15" x14ac:dyDescent="0.3">
      <c r="A1961" s="1">
        <v>2547</v>
      </c>
      <c r="B1961" s="1">
        <v>1</v>
      </c>
      <c r="C1961" s="1" t="s">
        <v>1821</v>
      </c>
      <c r="D1961" s="1" t="s">
        <v>404</v>
      </c>
      <c r="E1961" s="5">
        <v>32148</v>
      </c>
      <c r="F1961" s="1" t="s">
        <v>17</v>
      </c>
      <c r="G1961" s="1" t="s">
        <v>15</v>
      </c>
      <c r="H1961" s="1" t="s">
        <v>16</v>
      </c>
      <c r="I1961" s="6" t="str">
        <f>IF(B1961=0,VLOOKUP(A1960,Feuil2!$A$2:$M$1241,7,FALSE)," ")</f>
        <v xml:space="preserve"> </v>
      </c>
      <c r="J1961" s="1" t="str">
        <f>IF(B1961=0,VLOOKUP(A1960,Feuil2!$A$2:$M$1241,9,FALSE)," ")</f>
        <v xml:space="preserve"> </v>
      </c>
      <c r="K1961" s="1" t="str">
        <f>IF(B1961=0,VLOOKUP(A1960,Feuil2!$A$2:$M$1241,10,FALSE)," ")</f>
        <v xml:space="preserve"> </v>
      </c>
      <c r="L1961" s="1"/>
      <c r="M1961" s="1"/>
      <c r="N1961" s="1"/>
      <c r="O1961" s="8" t="e">
        <f>IF(B1971=0,VLOOKUP(A1970,Feuil2!$A$2:$M$1241,13,FALSE)," ")</f>
        <v>#N/A</v>
      </c>
    </row>
    <row r="1962" spans="1:15" x14ac:dyDescent="0.3">
      <c r="A1962" s="1">
        <v>2547</v>
      </c>
      <c r="B1962" s="1">
        <v>2</v>
      </c>
      <c r="C1962" s="1" t="s">
        <v>251</v>
      </c>
      <c r="D1962" s="1" t="s">
        <v>92</v>
      </c>
      <c r="E1962" s="5">
        <v>43486</v>
      </c>
      <c r="F1962" s="1" t="s">
        <v>506</v>
      </c>
      <c r="G1962" s="1" t="str">
        <f>IF(B1962=0,VLOOKUP(A1961,Feuil2!$A$2:$M$1241,11,FALSE)," ")</f>
        <v xml:space="preserve"> </v>
      </c>
      <c r="H1962" s="1" t="s">
        <v>16</v>
      </c>
      <c r="I1962" s="6" t="str">
        <f>IF(B1962=0,VLOOKUP(A1961,Feuil2!$A$2:$M$1241,7,FALSE)," ")</f>
        <v xml:space="preserve"> </v>
      </c>
      <c r="J1962" s="1" t="str">
        <f>IF(B1962=0,VLOOKUP(A1961,Feuil2!$A$2:$M$1241,9,FALSE)," ")</f>
        <v xml:space="preserve"> </v>
      </c>
      <c r="K1962" s="1" t="str">
        <f>IF(B1962=0,VLOOKUP(A1961,Feuil2!$A$2:$M$1241,10,FALSE)," ")</f>
        <v xml:space="preserve"> </v>
      </c>
      <c r="L1962" s="1"/>
      <c r="M1962" s="1"/>
      <c r="N1962" s="1"/>
      <c r="O1962" s="23" t="s">
        <v>2987</v>
      </c>
    </row>
    <row r="1963" spans="1:15" x14ac:dyDescent="0.3">
      <c r="A1963" s="1">
        <v>2547</v>
      </c>
      <c r="B1963" s="1">
        <v>3</v>
      </c>
      <c r="C1963" s="1" t="s">
        <v>251</v>
      </c>
      <c r="D1963" s="1" t="s">
        <v>29</v>
      </c>
      <c r="E1963" s="5">
        <v>42992</v>
      </c>
      <c r="F1963" s="1" t="s">
        <v>17</v>
      </c>
      <c r="G1963" s="1" t="str">
        <f>IF(B1963=0,VLOOKUP(A1962,Feuil2!$A$2:$M$1241,11,FALSE)," ")</f>
        <v xml:space="preserve"> </v>
      </c>
      <c r="H1963" s="1" t="s">
        <v>16</v>
      </c>
      <c r="I1963" s="6" t="str">
        <f>IF(B1963=0,VLOOKUP(A1962,Feuil2!$A$2:$M$1241,7,FALSE)," ")</f>
        <v xml:space="preserve"> </v>
      </c>
      <c r="J1963" s="1" t="str">
        <f>IF(B1963=0,VLOOKUP(A1962,Feuil2!$A$2:$M$1241,9,FALSE)," ")</f>
        <v xml:space="preserve"> </v>
      </c>
      <c r="K1963" s="1" t="str">
        <f>IF(B1963=0,VLOOKUP(A1962,Feuil2!$A$2:$M$1241,10,FALSE)," ")</f>
        <v xml:space="preserve"> </v>
      </c>
      <c r="L1963" s="1"/>
      <c r="M1963" s="1"/>
      <c r="N1963" s="1"/>
      <c r="O1963" s="23" t="s">
        <v>2989</v>
      </c>
    </row>
    <row r="1964" spans="1:15" x14ac:dyDescent="0.3">
      <c r="A1964" s="1">
        <v>2548</v>
      </c>
      <c r="B1964" s="17">
        <v>0</v>
      </c>
      <c r="C1964" s="17" t="s">
        <v>2985</v>
      </c>
      <c r="D1964" s="17" t="s">
        <v>107</v>
      </c>
      <c r="E1964" s="18">
        <v>34070</v>
      </c>
      <c r="F1964" s="17" t="s">
        <v>506</v>
      </c>
      <c r="G1964" s="17" t="s">
        <v>2257</v>
      </c>
      <c r="H1964" s="17" t="s">
        <v>16</v>
      </c>
      <c r="I1964" s="19">
        <v>11884614</v>
      </c>
      <c r="J1964" s="17" t="s">
        <v>2986</v>
      </c>
      <c r="K1964" s="17" t="s">
        <v>2934</v>
      </c>
      <c r="L1964" s="17"/>
      <c r="M1964" s="17">
        <v>26126026</v>
      </c>
      <c r="N1964" s="17"/>
      <c r="O1964" s="21" t="s">
        <v>2991</v>
      </c>
    </row>
    <row r="1965" spans="1:15" x14ac:dyDescent="0.3">
      <c r="A1965" s="1">
        <v>2380</v>
      </c>
      <c r="B1965" s="12">
        <v>0</v>
      </c>
      <c r="C1965" s="12" t="s">
        <v>199</v>
      </c>
      <c r="D1965" s="12" t="s">
        <v>235</v>
      </c>
      <c r="E1965" s="13">
        <v>35274</v>
      </c>
      <c r="F1965" s="12" t="s">
        <v>506</v>
      </c>
      <c r="G1965" s="12" t="s">
        <v>2257</v>
      </c>
      <c r="H1965" s="12" t="s">
        <v>16</v>
      </c>
      <c r="I1965" s="14">
        <v>12818073</v>
      </c>
      <c r="J1965" s="12" t="s">
        <v>2988</v>
      </c>
      <c r="K1965" s="12" t="s">
        <v>513</v>
      </c>
      <c r="L1965" s="12"/>
      <c r="M1965" s="12">
        <v>52461958</v>
      </c>
      <c r="N1965" s="12"/>
      <c r="O1965" s="8" t="e">
        <f>IF(#REF!=0,VLOOKUP(A1974,Feuil2!$A$2:$M$1241,13,FALSE)," ")</f>
        <v>#REF!</v>
      </c>
    </row>
    <row r="1966" spans="1:15" x14ac:dyDescent="0.3">
      <c r="A1966" s="1">
        <v>2402</v>
      </c>
      <c r="B1966" s="12">
        <v>0</v>
      </c>
      <c r="C1966" s="12" t="s">
        <v>410</v>
      </c>
      <c r="D1966" s="12" t="s">
        <v>2692</v>
      </c>
      <c r="E1966" s="13">
        <v>30810</v>
      </c>
      <c r="F1966" s="12" t="s">
        <v>17</v>
      </c>
      <c r="G1966" s="12" t="s">
        <v>15</v>
      </c>
      <c r="H1966" s="12" t="s">
        <v>16</v>
      </c>
      <c r="I1966" s="14">
        <v>9256632</v>
      </c>
      <c r="J1966" s="12" t="s">
        <v>2990</v>
      </c>
      <c r="K1966" s="12" t="s">
        <v>513</v>
      </c>
      <c r="L1966" s="12"/>
      <c r="M1966" s="12">
        <v>98793797</v>
      </c>
      <c r="N1966" s="12"/>
      <c r="O1966" s="8" t="e">
        <f>IF(B1976=0,VLOOKUP(#REF!,Feuil2!$A$2:$M$1241,13,FALSE)," ")</f>
        <v>#REF!</v>
      </c>
    </row>
    <row r="1967" spans="1:15" x14ac:dyDescent="0.3">
      <c r="A1967" s="1">
        <v>2402</v>
      </c>
      <c r="B1967" s="1">
        <v>1</v>
      </c>
      <c r="C1967" s="1" t="s">
        <v>266</v>
      </c>
      <c r="D1967" s="1" t="s">
        <v>89</v>
      </c>
      <c r="E1967" s="5">
        <v>30779</v>
      </c>
      <c r="F1967" s="1" t="s">
        <v>506</v>
      </c>
      <c r="G1967" s="1" t="str">
        <f>IF(B1967=0,VLOOKUP(A1966,Feuil2!$A$2:$M$1241,11,FALSE)," ")</f>
        <v xml:space="preserve"> </v>
      </c>
      <c r="H1967" s="1" t="s">
        <v>16</v>
      </c>
      <c r="I1967" s="6" t="str">
        <f>IF(B1967=0,VLOOKUP(A1966,Feuil2!$A$2:$M$1241,7,FALSE)," ")</f>
        <v xml:space="preserve"> </v>
      </c>
      <c r="J1967" s="1" t="str">
        <f>IF(B1967=0,VLOOKUP(A1966,Feuil2!$A$2:$M$1241,9,FALSE)," ")</f>
        <v xml:space="preserve"> </v>
      </c>
      <c r="K1967" s="1" t="str">
        <f>IF(B1967=0,VLOOKUP(A1966,Feuil2!$A$2:$M$1241,10,FALSE)," ")</f>
        <v xml:space="preserve"> </v>
      </c>
      <c r="L1967" s="1"/>
      <c r="M1967" s="1"/>
      <c r="N1967" s="1"/>
      <c r="O1967" s="8" t="e">
        <f>IF(B1977=0,VLOOKUP(A1976,Feuil2!$A$2:$M$1241,13,FALSE)," ")</f>
        <v>#N/A</v>
      </c>
    </row>
    <row r="1968" spans="1:15" x14ac:dyDescent="0.3">
      <c r="A1968" s="1">
        <v>2402</v>
      </c>
      <c r="B1968" s="1">
        <v>2</v>
      </c>
      <c r="C1968" s="1" t="s">
        <v>266</v>
      </c>
      <c r="D1968" s="1" t="s">
        <v>2367</v>
      </c>
      <c r="E1968" s="5">
        <v>42086</v>
      </c>
      <c r="F1968" s="1" t="s">
        <v>17</v>
      </c>
      <c r="G1968" s="1" t="str">
        <f>IF(B1968=0,VLOOKUP(A1967,Feuil2!$A$2:$M$1241,11,FALSE)," ")</f>
        <v xml:space="preserve"> </v>
      </c>
      <c r="H1968" s="1" t="s">
        <v>16</v>
      </c>
      <c r="I1968" s="6" t="str">
        <f>IF(B1968=0,VLOOKUP(A1967,Feuil2!$A$2:$M$1241,7,FALSE)," ")</f>
        <v xml:space="preserve"> </v>
      </c>
      <c r="J1968" s="1" t="str">
        <f>IF(B1968=0,VLOOKUP(A1967,Feuil2!$A$2:$M$1241,9,FALSE)," ")</f>
        <v xml:space="preserve"> </v>
      </c>
      <c r="K1968" s="1" t="str">
        <f>IF(B1968=0,VLOOKUP(A1967,Feuil2!$A$2:$M$1241,10,FALSE)," ")</f>
        <v xml:space="preserve"> </v>
      </c>
      <c r="L1968" s="1"/>
      <c r="M1968" s="1"/>
      <c r="N1968" s="1"/>
      <c r="O1968" s="8" t="str">
        <f>IF(B1978=0,VLOOKUP(A1977,Feuil2!$A$2:$M$1241,13,FALSE)," ")</f>
        <v xml:space="preserve"> </v>
      </c>
    </row>
    <row r="1969" spans="1:15" x14ac:dyDescent="0.3">
      <c r="A1969" s="1">
        <v>2402</v>
      </c>
      <c r="B1969" s="1">
        <v>3</v>
      </c>
      <c r="C1969" s="1" t="s">
        <v>266</v>
      </c>
      <c r="D1969" s="1" t="s">
        <v>2604</v>
      </c>
      <c r="E1969" s="5">
        <v>43858</v>
      </c>
      <c r="F1969" s="1" t="s">
        <v>17</v>
      </c>
      <c r="G1969" s="1" t="str">
        <f>IF(B1969=0,VLOOKUP(A1968,Feuil2!$A$2:$M$1241,11,FALSE)," ")</f>
        <v xml:space="preserve"> </v>
      </c>
      <c r="H1969" s="1" t="s">
        <v>16</v>
      </c>
      <c r="I1969" s="6" t="str">
        <f>IF(B1969=0,VLOOKUP(A1968,Feuil2!$A$2:$M$1241,7,FALSE)," ")</f>
        <v xml:space="preserve"> </v>
      </c>
      <c r="J1969" s="1" t="str">
        <f>IF(B1969=0,VLOOKUP(A1968,Feuil2!$A$2:$M$1241,9,FALSE)," ")</f>
        <v xml:space="preserve"> </v>
      </c>
      <c r="K1969" s="1" t="str">
        <f>IF(B1969=0,VLOOKUP(A1968,Feuil2!$A$2:$M$1241,10,FALSE)," ")</f>
        <v xml:space="preserve"> </v>
      </c>
      <c r="L1969" s="1"/>
      <c r="M1969" s="1"/>
      <c r="N1969" s="1"/>
      <c r="O1969" s="23" t="s">
        <v>2997</v>
      </c>
    </row>
    <row r="1970" spans="1:15" x14ac:dyDescent="0.3">
      <c r="A1970" s="1">
        <v>2402</v>
      </c>
      <c r="B1970" s="1">
        <v>4</v>
      </c>
      <c r="C1970" s="1" t="s">
        <v>266</v>
      </c>
      <c r="D1970" s="1" t="s">
        <v>2992</v>
      </c>
      <c r="E1970" s="5">
        <v>44875</v>
      </c>
      <c r="F1970" s="1" t="s">
        <v>17</v>
      </c>
      <c r="G1970" s="1" t="str">
        <f>IF(B1970=0,VLOOKUP(A1969,Feuil2!$A$2:$M$1241,11,FALSE)," ")</f>
        <v xml:space="preserve"> </v>
      </c>
      <c r="H1970" s="1" t="s">
        <v>16</v>
      </c>
      <c r="I1970" s="6" t="str">
        <f>IF(B1970=0,VLOOKUP(A1969,Feuil2!$A$2:$M$1241,7,FALSE)," ")</f>
        <v xml:space="preserve"> </v>
      </c>
      <c r="J1970" s="1" t="str">
        <f>IF(B1970=0,VLOOKUP(A1969,Feuil2!$A$2:$M$1241,9,FALSE)," ")</f>
        <v xml:space="preserve"> </v>
      </c>
      <c r="K1970" s="1" t="str">
        <f>IF(B1970=0,VLOOKUP(A1969,Feuil2!$A$2:$M$1241,10,FALSE)," ")</f>
        <v xml:space="preserve"> </v>
      </c>
      <c r="L1970" s="1"/>
      <c r="M1970" s="1"/>
      <c r="N1970" s="1"/>
      <c r="O1970" s="8" t="str">
        <f>IF(B1981=0,VLOOKUP(A1980,Feuil2!$A$2:$M$1241,13,FALSE)," ")</f>
        <v xml:space="preserve"> </v>
      </c>
    </row>
    <row r="1971" spans="1:15" x14ac:dyDescent="0.3">
      <c r="A1971" s="1">
        <v>2592</v>
      </c>
      <c r="B1971" s="12">
        <v>0</v>
      </c>
      <c r="C1971" s="12" t="s">
        <v>2994</v>
      </c>
      <c r="D1971" s="12" t="s">
        <v>2371</v>
      </c>
      <c r="E1971" s="13">
        <v>29535</v>
      </c>
      <c r="F1971" s="12" t="s">
        <v>17</v>
      </c>
      <c r="G1971" s="12" t="s">
        <v>15</v>
      </c>
      <c r="H1971" s="12" t="s">
        <v>16</v>
      </c>
      <c r="I1971" s="14">
        <v>5594223</v>
      </c>
      <c r="J1971" s="12" t="s">
        <v>2995</v>
      </c>
      <c r="K1971" s="12" t="s">
        <v>2996</v>
      </c>
      <c r="L1971" s="12"/>
      <c r="M1971" s="12">
        <v>94035098</v>
      </c>
      <c r="N1971" s="12"/>
      <c r="O1971" s="8" t="str">
        <f>IF(B1982=0,VLOOKUP(A1981,Feuil2!$A$2:$M$1241,13,FALSE)," ")</f>
        <v xml:space="preserve"> </v>
      </c>
    </row>
    <row r="1972" spans="1:15" x14ac:dyDescent="0.3">
      <c r="A1972" s="1">
        <v>2592</v>
      </c>
      <c r="B1972" s="1">
        <v>1</v>
      </c>
      <c r="C1972" s="1" t="s">
        <v>2998</v>
      </c>
      <c r="D1972" s="1" t="s">
        <v>156</v>
      </c>
      <c r="E1972" s="5">
        <v>28826</v>
      </c>
      <c r="F1972" s="1" t="s">
        <v>506</v>
      </c>
      <c r="G1972" s="1" t="s">
        <v>15</v>
      </c>
      <c r="H1972" s="1" t="s">
        <v>16</v>
      </c>
      <c r="I1972" s="6" t="str">
        <f>IF(B1972=0,VLOOKUP(A1971,Feuil2!$A$2:$M$1241,7,FALSE)," ")</f>
        <v xml:space="preserve"> </v>
      </c>
      <c r="J1972" s="1" t="str">
        <f>IF(B1972=0,VLOOKUP(A1971,Feuil2!$A$2:$M$1241,9,FALSE)," ")</f>
        <v xml:space="preserve"> </v>
      </c>
      <c r="K1972" s="1" t="str">
        <f>IF(B1972=0,VLOOKUP(A1971,Feuil2!$A$2:$M$1241,10,FALSE)," ")</f>
        <v xml:space="preserve"> </v>
      </c>
      <c r="L1972" s="1"/>
      <c r="M1972" s="1"/>
      <c r="N1972" s="1"/>
      <c r="O1972" s="8" t="str">
        <f>IF(B1983=0,VLOOKUP(A1982,Feuil2!$A$2:$M$1241,13,FALSE)," ")</f>
        <v xml:space="preserve"> </v>
      </c>
    </row>
    <row r="1973" spans="1:15" x14ac:dyDescent="0.3">
      <c r="A1973" s="1">
        <v>2592</v>
      </c>
      <c r="B1973" s="1">
        <v>2</v>
      </c>
      <c r="C1973" s="1" t="s">
        <v>2998</v>
      </c>
      <c r="D1973" s="1" t="s">
        <v>61</v>
      </c>
      <c r="E1973" s="5">
        <v>41957</v>
      </c>
      <c r="F1973" s="1" t="s">
        <v>506</v>
      </c>
      <c r="G1973" s="1" t="str">
        <f>IF(B1973=0,VLOOKUP(A1972,Feuil2!$A$2:$M$1241,11,FALSE)," ")</f>
        <v xml:space="preserve"> </v>
      </c>
      <c r="H1973" s="1" t="s">
        <v>16</v>
      </c>
      <c r="I1973" s="6" t="str">
        <f>IF(B1973=0,VLOOKUP(A1972,Feuil2!$A$2:$M$1241,7,FALSE)," ")</f>
        <v xml:space="preserve"> </v>
      </c>
      <c r="J1973" s="1" t="str">
        <f>IF(B1973=0,VLOOKUP(A1972,Feuil2!$A$2:$M$1241,9,FALSE)," ")</f>
        <v xml:space="preserve"> </v>
      </c>
      <c r="K1973" s="1" t="str">
        <f>IF(B1973=0,VLOOKUP(A1972,Feuil2!$A$2:$M$1241,10,FALSE)," ")</f>
        <v xml:space="preserve"> </v>
      </c>
      <c r="L1973" s="1"/>
      <c r="M1973" s="1"/>
      <c r="N1973" s="1"/>
      <c r="O1973" s="23" t="s">
        <v>3001</v>
      </c>
    </row>
    <row r="1974" spans="1:15" x14ac:dyDescent="0.3">
      <c r="A1974" s="1">
        <v>2592</v>
      </c>
      <c r="B1974" s="1">
        <v>3</v>
      </c>
      <c r="C1974" s="1" t="s">
        <v>2998</v>
      </c>
      <c r="D1974" s="1" t="s">
        <v>2999</v>
      </c>
      <c r="E1974" s="5">
        <v>42654</v>
      </c>
      <c r="F1974" s="1" t="s">
        <v>17</v>
      </c>
      <c r="G1974" s="1" t="str">
        <f>IF(B1974=0,VLOOKUP(A1973,Feuil2!$A$2:$M$1241,11,FALSE)," ")</f>
        <v xml:space="preserve"> </v>
      </c>
      <c r="H1974" s="1" t="s">
        <v>16</v>
      </c>
      <c r="I1974" s="6" t="str">
        <f>IF(B1974=0,VLOOKUP(A1973,Feuil2!$A$2:$M$1241,7,FALSE)," ")</f>
        <v xml:space="preserve"> </v>
      </c>
      <c r="J1974" s="1" t="str">
        <f>IF(B1974=0,VLOOKUP(A1973,Feuil2!$A$2:$M$1241,9,FALSE)," ")</f>
        <v xml:space="preserve"> </v>
      </c>
      <c r="K1974" s="1" t="str">
        <f>IF(B1974=0,VLOOKUP(A1973,Feuil2!$A$2:$M$1241,10,FALSE)," ")</f>
        <v xml:space="preserve"> </v>
      </c>
      <c r="L1974" s="1"/>
      <c r="M1974" s="1"/>
      <c r="N1974" s="1"/>
      <c r="O1974" s="23" t="s">
        <v>3004</v>
      </c>
    </row>
    <row r="1975" spans="1:15" x14ac:dyDescent="0.3">
      <c r="A1975" s="1">
        <v>2283</v>
      </c>
      <c r="B1975" s="12">
        <v>0</v>
      </c>
      <c r="C1975" s="12" t="s">
        <v>83</v>
      </c>
      <c r="D1975" s="12" t="s">
        <v>122</v>
      </c>
      <c r="E1975" s="13">
        <v>35501</v>
      </c>
      <c r="F1975" s="12" t="s">
        <v>506</v>
      </c>
      <c r="G1975" s="12" t="s">
        <v>2257</v>
      </c>
      <c r="H1975" s="12" t="s">
        <v>16</v>
      </c>
      <c r="I1975" s="14">
        <v>12815368</v>
      </c>
      <c r="J1975" s="12" t="s">
        <v>3000</v>
      </c>
      <c r="K1975" s="12" t="s">
        <v>513</v>
      </c>
      <c r="L1975" s="12"/>
      <c r="M1975" s="12">
        <v>24376115</v>
      </c>
      <c r="N1975" s="12"/>
      <c r="O1975" s="23" t="s">
        <v>3005</v>
      </c>
    </row>
    <row r="1976" spans="1:15" x14ac:dyDescent="0.3">
      <c r="A1976" s="1">
        <v>2325</v>
      </c>
      <c r="B1976" s="12">
        <v>0</v>
      </c>
      <c r="C1976" s="12" t="s">
        <v>3002</v>
      </c>
      <c r="D1976" s="12" t="s">
        <v>346</v>
      </c>
      <c r="E1976" s="13">
        <v>35646</v>
      </c>
      <c r="F1976" s="12" t="s">
        <v>506</v>
      </c>
      <c r="G1976" s="12" t="s">
        <v>2257</v>
      </c>
      <c r="H1976" s="12" t="s">
        <v>16</v>
      </c>
      <c r="I1976" s="14">
        <v>12841115</v>
      </c>
      <c r="J1976" s="12" t="s">
        <v>3003</v>
      </c>
      <c r="K1976" s="12" t="s">
        <v>2892</v>
      </c>
      <c r="L1976" s="12"/>
      <c r="M1976" s="12">
        <v>50888053</v>
      </c>
      <c r="N1976" s="12"/>
      <c r="O1976" s="8" t="str">
        <f>IF(B1987=0,VLOOKUP(A1986,Feuil2!$A$2:$M$1241,13,FALSE)," ")</f>
        <v xml:space="preserve"> </v>
      </c>
    </row>
    <row r="1977" spans="1:15" x14ac:dyDescent="0.3">
      <c r="A1977" s="1">
        <v>2180</v>
      </c>
      <c r="B1977" s="12">
        <v>0</v>
      </c>
      <c r="C1977" s="12" t="str">
        <f>IF(B1977=0,VLOOKUP(A1977,Feuil2!$A$2:$M$1241,2,FALSE)," ")</f>
        <v>BABAY</v>
      </c>
      <c r="D1977" s="12" t="str">
        <f>IF(B1977=0,VLOOKUP(A1977,Feuil2!$A$2:$M$1241,3,FALSE)," ")</f>
        <v>MOHAMED</v>
      </c>
      <c r="E1977" s="13">
        <f>IF(B1977=0,VLOOKUP(A1977,Feuil2!$A$2:$M$1241,6,FALSE)," ")</f>
        <v>34109</v>
      </c>
      <c r="F1977" s="12" t="str">
        <f>IF(B1977=0,VLOOKUP(A1977,Feuil2!$A$2:$M$1241,12,FALSE)," ")</f>
        <v>H</v>
      </c>
      <c r="G1977" s="12" t="s">
        <v>15</v>
      </c>
      <c r="H1977" s="12" t="s">
        <v>16</v>
      </c>
      <c r="I1977" s="14">
        <f>IF(B1977=0,VLOOKUP(A1977,Feuil2!$A$2:$M$1241,7,FALSE)," ")</f>
        <v>9322164</v>
      </c>
      <c r="J1977" s="12" t="str">
        <f>IF(B1977=0,VLOOKUP(A1977,Feuil2!$A$2:$M$1241,9,FALSE)," ")</f>
        <v>153 Rue Farhat Hached</v>
      </c>
      <c r="K1977" s="12" t="str">
        <f>IF(B1977=0,VLOOKUP(A1977,Feuil2!$A$2:$M$1241,10,FALSE)," ")</f>
        <v>Msaken 4070</v>
      </c>
      <c r="L1977" s="12"/>
      <c r="M1977" s="12">
        <v>23317820</v>
      </c>
      <c r="N1977" s="12"/>
      <c r="O1977" s="23" t="s">
        <v>3006</v>
      </c>
    </row>
    <row r="1978" spans="1:15" x14ac:dyDescent="0.3">
      <c r="A1978" s="1">
        <v>2180</v>
      </c>
      <c r="B1978" s="1">
        <v>1</v>
      </c>
      <c r="C1978" s="1" t="s">
        <v>1610</v>
      </c>
      <c r="D1978" s="1" t="s">
        <v>2677</v>
      </c>
      <c r="E1978" s="5">
        <v>34959</v>
      </c>
      <c r="F1978" s="1" t="s">
        <v>17</v>
      </c>
      <c r="G1978" s="1" t="s">
        <v>15</v>
      </c>
      <c r="H1978" s="1" t="s">
        <v>16</v>
      </c>
      <c r="I1978" s="6" t="str">
        <f>IF(B1978=0,VLOOKUP(A1977,Feuil2!$A$2:$M$1241,7,FALSE)," ")</f>
        <v xml:space="preserve"> </v>
      </c>
      <c r="J1978" s="1" t="str">
        <f>IF(B1978=0,VLOOKUP(A1977,Feuil2!$A$2:$M$1241,9,FALSE)," ")</f>
        <v xml:space="preserve"> </v>
      </c>
      <c r="K1978" s="1" t="str">
        <f>IF(B1978=0,VLOOKUP(A1977,Feuil2!$A$2:$M$1241,10,FALSE)," ")</f>
        <v xml:space="preserve"> </v>
      </c>
      <c r="L1978" s="1"/>
      <c r="M1978" s="1"/>
      <c r="N1978" s="1"/>
      <c r="O1978" s="8" t="e">
        <f>IF(B1990=0,VLOOKUP(A1989,Feuil2!$A$2:$M$1241,13,FALSE)," ")</f>
        <v>#N/A</v>
      </c>
    </row>
    <row r="1979" spans="1:15" x14ac:dyDescent="0.3">
      <c r="A1979" s="1">
        <v>2180</v>
      </c>
      <c r="B1979" s="1">
        <v>2</v>
      </c>
      <c r="C1979" s="1" t="s">
        <v>341</v>
      </c>
      <c r="D1979" s="1" t="s">
        <v>149</v>
      </c>
      <c r="E1979" s="5">
        <v>45176</v>
      </c>
      <c r="F1979" s="1" t="s">
        <v>506</v>
      </c>
      <c r="G1979" s="1"/>
      <c r="H1979" s="1"/>
      <c r="I1979" s="6"/>
      <c r="J1979" s="1"/>
      <c r="K1979" s="1"/>
      <c r="L1979" s="1"/>
      <c r="M1979" s="1"/>
      <c r="N1979" s="1"/>
      <c r="O1979" s="8"/>
    </row>
    <row r="1980" spans="1:15" x14ac:dyDescent="0.3">
      <c r="A1980" s="1">
        <v>2181</v>
      </c>
      <c r="B1980" s="12">
        <v>0</v>
      </c>
      <c r="C1980" s="12" t="s">
        <v>67</v>
      </c>
      <c r="D1980" s="12" t="s">
        <v>244</v>
      </c>
      <c r="E1980" s="13"/>
      <c r="F1980" s="12" t="str">
        <f>IF(B1980=0,VLOOKUP(A1979,Feuil2!$A$2:$M$1241,12,FALSE)," ")</f>
        <v>H</v>
      </c>
      <c r="G1980" s="12" t="s">
        <v>15</v>
      </c>
      <c r="H1980" s="12" t="s">
        <v>16</v>
      </c>
      <c r="I1980" s="14">
        <f>IF(B1980=0,VLOOKUP(A1979,Feuil2!$A$2:$M$1241,7,FALSE)," ")</f>
        <v>9322164</v>
      </c>
      <c r="J1980" s="12" t="str">
        <f>IF(B1980=0,VLOOKUP(A1979,Feuil2!$A$2:$M$1241,9,FALSE)," ")</f>
        <v>153 Rue Farhat Hached</v>
      </c>
      <c r="K1980" s="12" t="str">
        <f>IF(B1980=0,VLOOKUP(A1979,Feuil2!$A$2:$M$1241,10,FALSE)," ")</f>
        <v>Msaken 4070</v>
      </c>
      <c r="L1980" s="12"/>
      <c r="M1980" s="12">
        <v>21536945</v>
      </c>
      <c r="N1980" s="12"/>
      <c r="O1980" s="8" t="e">
        <f>IF(B1991=0,VLOOKUP(A1990,Feuil2!$A$2:$M$1241,13,FALSE)," ")</f>
        <v>#N/A</v>
      </c>
    </row>
    <row r="1981" spans="1:15" x14ac:dyDescent="0.3">
      <c r="A1981" s="1">
        <v>2181</v>
      </c>
      <c r="B1981" s="1">
        <v>1</v>
      </c>
      <c r="C1981" s="1" t="s">
        <v>83</v>
      </c>
      <c r="D1981" s="1" t="s">
        <v>2336</v>
      </c>
      <c r="E1981" s="5">
        <v>34281</v>
      </c>
      <c r="F1981" s="1" t="s">
        <v>17</v>
      </c>
      <c r="G1981" s="1" t="s">
        <v>15</v>
      </c>
      <c r="H1981" s="1" t="s">
        <v>16</v>
      </c>
      <c r="I1981" s="6" t="str">
        <f>IF(B1981=0,VLOOKUP(A1980,Feuil2!$A$2:$M$1241,7,FALSE)," ")</f>
        <v xml:space="preserve"> </v>
      </c>
      <c r="J1981" s="1" t="str">
        <f>IF(B1981=0,VLOOKUP(A1980,Feuil2!$A$2:$M$1241,9,FALSE)," ")</f>
        <v xml:space="preserve"> </v>
      </c>
      <c r="K1981" s="1" t="str">
        <f>IF(B1981=0,VLOOKUP(A1980,Feuil2!$A$2:$M$1241,10,FALSE)," ")</f>
        <v xml:space="preserve"> </v>
      </c>
      <c r="L1981" s="1"/>
      <c r="M1981" s="1"/>
      <c r="N1981" s="1"/>
      <c r="O1981" s="8" t="e">
        <f>IF(B1994=0,VLOOKUP(A1992,Feuil2!$A$2:$M$1241,13,FALSE)," ")</f>
        <v>#N/A</v>
      </c>
    </row>
    <row r="1982" spans="1:15" x14ac:dyDescent="0.3">
      <c r="A1982" s="1">
        <v>2181</v>
      </c>
      <c r="B1982" s="1">
        <v>2</v>
      </c>
      <c r="C1982" s="1" t="s">
        <v>67</v>
      </c>
      <c r="D1982" s="1" t="s">
        <v>2806</v>
      </c>
      <c r="E1982" s="5">
        <v>42013</v>
      </c>
      <c r="F1982" s="1" t="s">
        <v>506</v>
      </c>
      <c r="G1982" s="1" t="str">
        <f>IF(B1982=0,VLOOKUP(A1981,Feuil2!$A$2:$M$1241,11,FALSE)," ")</f>
        <v xml:space="preserve"> </v>
      </c>
      <c r="H1982" s="1" t="s">
        <v>16</v>
      </c>
      <c r="I1982" s="6" t="str">
        <f>IF(B1982=0,VLOOKUP(A1981,Feuil2!$A$2:$M$1241,7,FALSE)," ")</f>
        <v xml:space="preserve"> </v>
      </c>
      <c r="J1982" s="1" t="str">
        <f>IF(B1982=0,VLOOKUP(A1981,Feuil2!$A$2:$M$1241,9,FALSE)," ")</f>
        <v xml:space="preserve"> </v>
      </c>
      <c r="K1982" s="1" t="str">
        <f>IF(B1982=0,VLOOKUP(A1981,Feuil2!$A$2:$M$1241,10,FALSE)," ")</f>
        <v xml:space="preserve"> </v>
      </c>
      <c r="L1982" s="1"/>
      <c r="M1982" s="1"/>
      <c r="N1982" s="1"/>
      <c r="O1982" s="8" t="e">
        <f>IF(B1998=0,VLOOKUP(A1996,Feuil2!$A$2:$M$1241,13,FALSE)," ")</f>
        <v>#N/A</v>
      </c>
    </row>
    <row r="1983" spans="1:15" x14ac:dyDescent="0.3">
      <c r="A1983" s="1">
        <v>2181</v>
      </c>
      <c r="B1983" s="1">
        <v>3</v>
      </c>
      <c r="C1983" s="1" t="s">
        <v>67</v>
      </c>
      <c r="D1983" s="1" t="s">
        <v>2807</v>
      </c>
      <c r="E1983" s="5">
        <v>42349</v>
      </c>
      <c r="F1983" s="1" t="s">
        <v>506</v>
      </c>
      <c r="G1983" s="1" t="str">
        <f>IF(B1983=0,VLOOKUP(A1982,Feuil2!$A$2:$M$1241,11,FALSE)," ")</f>
        <v xml:space="preserve"> </v>
      </c>
      <c r="H1983" s="1" t="s">
        <v>16</v>
      </c>
      <c r="I1983" s="6" t="str">
        <f>IF(B1983=0,VLOOKUP(A1982,Feuil2!$A$2:$M$1241,7,FALSE)," ")</f>
        <v xml:space="preserve"> </v>
      </c>
      <c r="J1983" s="1" t="str">
        <f>IF(B1983=0,VLOOKUP(A1982,Feuil2!$A$2:$M$1241,9,FALSE)," ")</f>
        <v xml:space="preserve"> </v>
      </c>
      <c r="K1983" s="1" t="str">
        <f>IF(B1983=0,VLOOKUP(A1982,Feuil2!$A$2:$M$1241,10,FALSE)," ")</f>
        <v xml:space="preserve"> </v>
      </c>
      <c r="L1983" s="1"/>
      <c r="M1983" s="1"/>
      <c r="N1983" s="1"/>
      <c r="O1983" s="8" t="str">
        <f>IF(B1999=0,VLOOKUP(A1998,Feuil2!$A$2:$M$1241,13,FALSE)," ")</f>
        <v xml:space="preserve"> </v>
      </c>
    </row>
    <row r="1984" spans="1:15" x14ac:dyDescent="0.3">
      <c r="A1984" s="1">
        <v>2181</v>
      </c>
      <c r="B1984" s="1">
        <v>4</v>
      </c>
      <c r="C1984" s="1" t="s">
        <v>67</v>
      </c>
      <c r="D1984" s="1" t="s">
        <v>519</v>
      </c>
      <c r="E1984" s="5">
        <v>44668</v>
      </c>
      <c r="F1984" s="1" t="s">
        <v>506</v>
      </c>
      <c r="G1984" s="1" t="str">
        <f>IF(B1984=0,VLOOKUP(A1983,Feuil2!$A$2:$M$1241,11,FALSE)," ")</f>
        <v xml:space="preserve"> </v>
      </c>
      <c r="H1984" s="1" t="s">
        <v>16</v>
      </c>
      <c r="I1984" s="6" t="str">
        <f>IF(B1984=0,VLOOKUP(A1983,Feuil2!$A$2:$M$1241,7,FALSE)," ")</f>
        <v xml:space="preserve"> </v>
      </c>
      <c r="J1984" s="1" t="str">
        <f>IF(B1984=0,VLOOKUP(A1983,Feuil2!$A$2:$M$1241,9,FALSE)," ")</f>
        <v xml:space="preserve"> </v>
      </c>
      <c r="K1984" s="1" t="str">
        <f>IF(B1984=0,VLOOKUP(A1983,Feuil2!$A$2:$M$1241,10,FALSE)," ")</f>
        <v xml:space="preserve"> </v>
      </c>
      <c r="L1984" s="1"/>
      <c r="M1984" s="1"/>
      <c r="N1984" s="1"/>
      <c r="O1984" s="8" t="str">
        <f>IF(B2000=0,VLOOKUP(A1999,Feuil2!$A$2:$M$1241,13,FALSE)," ")</f>
        <v xml:space="preserve"> </v>
      </c>
    </row>
    <row r="1985" spans="1:15" x14ac:dyDescent="0.3">
      <c r="A1985" s="1">
        <v>2408</v>
      </c>
      <c r="B1985" s="12">
        <v>0</v>
      </c>
      <c r="C1985" s="12" t="s">
        <v>1269</v>
      </c>
      <c r="D1985" s="12" t="s">
        <v>88</v>
      </c>
      <c r="E1985" s="13">
        <v>33037</v>
      </c>
      <c r="F1985" s="12" t="s">
        <v>506</v>
      </c>
      <c r="G1985" s="12" t="s">
        <v>15</v>
      </c>
      <c r="H1985" s="12" t="s">
        <v>16</v>
      </c>
      <c r="I1985" s="14">
        <v>9298000</v>
      </c>
      <c r="J1985" s="12" t="s">
        <v>3007</v>
      </c>
      <c r="K1985" s="12" t="s">
        <v>2940</v>
      </c>
      <c r="L1985" s="12"/>
      <c r="M1985" s="12">
        <v>96541043</v>
      </c>
      <c r="N1985" s="12"/>
      <c r="O1985" s="23" t="s">
        <v>3008</v>
      </c>
    </row>
    <row r="1986" spans="1:15" x14ac:dyDescent="0.3">
      <c r="A1986" s="1">
        <v>2408</v>
      </c>
      <c r="B1986" s="1">
        <v>1</v>
      </c>
      <c r="C1986" s="1" t="s">
        <v>83</v>
      </c>
      <c r="D1986" s="1" t="s">
        <v>2327</v>
      </c>
      <c r="E1986" s="5">
        <v>35354</v>
      </c>
      <c r="F1986" s="1" t="s">
        <v>17</v>
      </c>
      <c r="G1986" s="1" t="s">
        <v>15</v>
      </c>
      <c r="H1986" s="1" t="s">
        <v>16</v>
      </c>
      <c r="I1986" s="6" t="str">
        <f>IF(B1986=0,VLOOKUP(A1985,Feuil2!$A$2:$M$1241,7,FALSE)," ")</f>
        <v xml:space="preserve"> </v>
      </c>
      <c r="J1986" s="1" t="str">
        <f>IF(B1986=0,VLOOKUP(A1985,Feuil2!$A$2:$M$1241,9,FALSE)," ")</f>
        <v xml:space="preserve"> </v>
      </c>
      <c r="K1986" s="1" t="str">
        <f>IF(B1986=0,VLOOKUP(A1985,Feuil2!$A$2:$M$1241,10,FALSE)," ")</f>
        <v xml:space="preserve"> </v>
      </c>
      <c r="L1986" s="1"/>
      <c r="M1986" s="1"/>
      <c r="N1986" s="1"/>
      <c r="O1986" s="8" t="e">
        <f>IF(B2002=0,VLOOKUP(A2001,Feuil2!$A$2:$M$1241,13,FALSE)," ")</f>
        <v>#N/A</v>
      </c>
    </row>
    <row r="1987" spans="1:15" x14ac:dyDescent="0.3">
      <c r="A1987" s="1">
        <v>2408</v>
      </c>
      <c r="B1987" s="1">
        <v>2</v>
      </c>
      <c r="C1987" s="1" t="s">
        <v>1269</v>
      </c>
      <c r="D1987" s="1" t="s">
        <v>2807</v>
      </c>
      <c r="E1987" s="5">
        <v>42759</v>
      </c>
      <c r="F1987" s="1" t="s">
        <v>506</v>
      </c>
      <c r="G1987" s="1" t="str">
        <f>IF(B1987=0,VLOOKUP(A1986,Feuil2!$A$2:$M$1241,11,FALSE)," ")</f>
        <v xml:space="preserve"> </v>
      </c>
      <c r="H1987" s="1" t="s">
        <v>16</v>
      </c>
      <c r="I1987" s="6" t="str">
        <f>IF(B1987=0,VLOOKUP(A1986,Feuil2!$A$2:$M$1241,7,FALSE)," ")</f>
        <v xml:space="preserve"> </v>
      </c>
      <c r="J1987" s="1" t="str">
        <f>IF(B1987=0,VLOOKUP(A1986,Feuil2!$A$2:$M$1241,9,FALSE)," ")</f>
        <v xml:space="preserve"> </v>
      </c>
      <c r="K1987" s="1" t="str">
        <f>IF(B1987=0,VLOOKUP(A1986,Feuil2!$A$2:$M$1241,10,FALSE)," ")</f>
        <v xml:space="preserve"> </v>
      </c>
      <c r="L1987" s="1"/>
      <c r="M1987" s="1"/>
      <c r="N1987" s="1"/>
      <c r="O1987" s="8" t="str">
        <f>IF(B2003=0,VLOOKUP(A2002,Feuil2!$A$2:$M$1241,13,FALSE)," ")</f>
        <v xml:space="preserve"> </v>
      </c>
    </row>
    <row r="1988" spans="1:15" x14ac:dyDescent="0.3">
      <c r="A1988" s="1">
        <v>2408</v>
      </c>
      <c r="B1988" s="1">
        <v>3</v>
      </c>
      <c r="C1988" s="1" t="s">
        <v>1269</v>
      </c>
      <c r="D1988" s="1" t="s">
        <v>2800</v>
      </c>
      <c r="E1988" s="5">
        <v>44376</v>
      </c>
      <c r="F1988" s="1" t="s">
        <v>506</v>
      </c>
      <c r="G1988" s="1" t="str">
        <f>IF(B1988=0,VLOOKUP(A1987,Feuil2!$A$2:$M$1241,11,FALSE)," ")</f>
        <v xml:space="preserve"> </v>
      </c>
      <c r="H1988" s="1" t="s">
        <v>16</v>
      </c>
      <c r="I1988" s="6" t="str">
        <f>IF(B1988=0,VLOOKUP(A1987,Feuil2!$A$2:$M$1241,7,FALSE)," ")</f>
        <v xml:space="preserve"> </v>
      </c>
      <c r="J1988" s="1" t="str">
        <f>IF(B1988=0,VLOOKUP(A1987,Feuil2!$A$2:$M$1241,9,FALSE)," ")</f>
        <v xml:space="preserve"> </v>
      </c>
      <c r="K1988" s="1" t="str">
        <f>IF(B1988=0,VLOOKUP(A1987,Feuil2!$A$2:$M$1241,10,FALSE)," ")</f>
        <v xml:space="preserve"> </v>
      </c>
      <c r="L1988" s="1"/>
      <c r="M1988" s="1"/>
      <c r="N1988" s="1"/>
      <c r="O1988" s="8" t="str">
        <f>IF(B2004=0,VLOOKUP(A2003,Feuil2!$A$2:$M$1241,13,FALSE)," ")</f>
        <v xml:space="preserve"> </v>
      </c>
    </row>
    <row r="1989" spans="1:15" x14ac:dyDescent="0.3">
      <c r="A1989" s="1">
        <v>2408</v>
      </c>
      <c r="B1989" s="1">
        <v>4</v>
      </c>
      <c r="C1989" s="1" t="s">
        <v>1269</v>
      </c>
      <c r="D1989" s="1" t="s">
        <v>2419</v>
      </c>
      <c r="E1989" s="5">
        <v>45214</v>
      </c>
      <c r="F1989" s="1" t="s">
        <v>506</v>
      </c>
      <c r="G1989" s="1"/>
      <c r="H1989" s="1"/>
      <c r="I1989" s="6"/>
      <c r="J1989" s="1"/>
      <c r="K1989" s="1"/>
      <c r="L1989" s="1"/>
      <c r="M1989" s="1"/>
      <c r="N1989" s="1"/>
      <c r="O1989" s="8"/>
    </row>
    <row r="1990" spans="1:15" x14ac:dyDescent="0.3">
      <c r="A1990" s="1">
        <v>2456</v>
      </c>
      <c r="B1990" s="12">
        <v>0</v>
      </c>
      <c r="C1990" s="12" t="s">
        <v>84</v>
      </c>
      <c r="D1990" s="12" t="s">
        <v>306</v>
      </c>
      <c r="E1990" s="13">
        <v>33199</v>
      </c>
      <c r="F1990" s="12" t="s">
        <v>506</v>
      </c>
      <c r="G1990" s="12" t="s">
        <v>2257</v>
      </c>
      <c r="H1990" s="12" t="s">
        <v>16</v>
      </c>
      <c r="I1990" s="14">
        <v>9301527</v>
      </c>
      <c r="J1990" s="12" t="s">
        <v>3012</v>
      </c>
      <c r="K1990" s="12" t="s">
        <v>513</v>
      </c>
      <c r="L1990" s="12"/>
      <c r="M1990" s="12">
        <v>27172820</v>
      </c>
      <c r="N1990" s="12"/>
      <c r="O1990" s="23" t="s">
        <v>3013</v>
      </c>
    </row>
    <row r="1991" spans="1:15" x14ac:dyDescent="0.3">
      <c r="A1991" s="1">
        <v>2497</v>
      </c>
      <c r="B1991" s="12">
        <v>0</v>
      </c>
      <c r="C1991" s="12" t="s">
        <v>703</v>
      </c>
      <c r="D1991" s="12" t="s">
        <v>232</v>
      </c>
      <c r="E1991" s="13">
        <v>34036</v>
      </c>
      <c r="F1991" s="12" t="s">
        <v>506</v>
      </c>
      <c r="G1991" s="12" t="s">
        <v>15</v>
      </c>
      <c r="H1991" s="12" t="s">
        <v>16</v>
      </c>
      <c r="I1991" s="14">
        <v>9316568</v>
      </c>
      <c r="J1991" s="12" t="s">
        <v>3014</v>
      </c>
      <c r="K1991" s="12" t="s">
        <v>513</v>
      </c>
      <c r="L1991" s="12"/>
      <c r="M1991" s="12">
        <v>53930803</v>
      </c>
      <c r="N1991" s="12"/>
      <c r="O1991" s="23" t="s">
        <v>3015</v>
      </c>
    </row>
    <row r="1992" spans="1:15" x14ac:dyDescent="0.3">
      <c r="A1992" s="1">
        <v>2497</v>
      </c>
      <c r="B1992" s="1">
        <v>1</v>
      </c>
      <c r="C1992" s="1" t="s">
        <v>41</v>
      </c>
      <c r="D1992" s="1" t="s">
        <v>2517</v>
      </c>
      <c r="E1992" s="5">
        <v>33880</v>
      </c>
      <c r="F1992" s="1" t="s">
        <v>17</v>
      </c>
      <c r="G1992" s="1"/>
      <c r="H1992" s="1"/>
      <c r="I1992" s="6"/>
      <c r="J1992" s="1"/>
      <c r="K1992" s="1"/>
      <c r="L1992" s="1"/>
      <c r="M1992" s="1"/>
      <c r="N1992" s="1"/>
      <c r="O1992" s="10"/>
    </row>
    <row r="1993" spans="1:15" x14ac:dyDescent="0.3">
      <c r="A1993" s="1">
        <v>2497</v>
      </c>
      <c r="B1993" s="1">
        <v>2</v>
      </c>
      <c r="C1993" s="1" t="s">
        <v>703</v>
      </c>
      <c r="D1993" s="1" t="s">
        <v>2851</v>
      </c>
      <c r="E1993" s="5">
        <v>46073</v>
      </c>
      <c r="F1993" s="1" t="s">
        <v>17</v>
      </c>
      <c r="G1993" s="1"/>
      <c r="H1993" s="1"/>
      <c r="I1993" s="6"/>
      <c r="J1993" s="1"/>
      <c r="K1993" s="1"/>
      <c r="L1993" s="1"/>
      <c r="M1993" s="1"/>
      <c r="N1993" s="1"/>
      <c r="O1993" s="10"/>
    </row>
    <row r="1994" spans="1:15" x14ac:dyDescent="0.3">
      <c r="A1994" s="1">
        <v>2572</v>
      </c>
      <c r="B1994" s="12">
        <v>0</v>
      </c>
      <c r="C1994" s="12" t="s">
        <v>3016</v>
      </c>
      <c r="D1994" s="12" t="s">
        <v>110</v>
      </c>
      <c r="E1994" s="13">
        <v>34845</v>
      </c>
      <c r="F1994" s="12" t="s">
        <v>506</v>
      </c>
      <c r="G1994" s="12" t="s">
        <v>15</v>
      </c>
      <c r="H1994" s="12" t="s">
        <v>16</v>
      </c>
      <c r="I1994" s="14">
        <v>12810268</v>
      </c>
      <c r="J1994" s="12" t="s">
        <v>3017</v>
      </c>
      <c r="K1994" s="12" t="s">
        <v>513</v>
      </c>
      <c r="L1994" s="12"/>
      <c r="M1994" s="12">
        <v>21011663</v>
      </c>
      <c r="N1994" s="12"/>
      <c r="O1994" s="23" t="s">
        <v>3018</v>
      </c>
    </row>
    <row r="1995" spans="1:15" x14ac:dyDescent="0.3">
      <c r="A1995" s="1">
        <v>2572</v>
      </c>
      <c r="B1995" s="1">
        <v>1</v>
      </c>
      <c r="C1995" s="1" t="s">
        <v>268</v>
      </c>
      <c r="D1995" s="1" t="s">
        <v>3020</v>
      </c>
      <c r="E1995" s="5">
        <v>37456</v>
      </c>
      <c r="F1995" s="1" t="s">
        <v>17</v>
      </c>
      <c r="G1995" s="1"/>
      <c r="H1995" s="1"/>
      <c r="I1995" s="6"/>
      <c r="J1995" s="1"/>
      <c r="K1995" s="1"/>
      <c r="L1995" s="1"/>
      <c r="M1995" s="1"/>
      <c r="N1995" s="1"/>
      <c r="O1995" s="10"/>
    </row>
    <row r="1996" spans="1:15" x14ac:dyDescent="0.3">
      <c r="A1996" s="1">
        <v>2572</v>
      </c>
      <c r="B1996" s="1">
        <v>2</v>
      </c>
      <c r="C1996" s="1" t="s">
        <v>3016</v>
      </c>
      <c r="D1996" s="1" t="s">
        <v>3028</v>
      </c>
      <c r="E1996" s="5">
        <v>45142</v>
      </c>
      <c r="F1996" s="1" t="s">
        <v>506</v>
      </c>
      <c r="G1996" s="1"/>
      <c r="H1996" s="1"/>
      <c r="I1996" s="6"/>
      <c r="J1996" s="1"/>
      <c r="K1996" s="1"/>
      <c r="L1996" s="1"/>
      <c r="M1996" s="1"/>
      <c r="N1996" s="1"/>
      <c r="O1996" s="10"/>
    </row>
    <row r="1997" spans="1:15" x14ac:dyDescent="0.3">
      <c r="A1997" s="1">
        <v>2572</v>
      </c>
      <c r="B1997" s="1">
        <v>3</v>
      </c>
      <c r="C1997" s="1" t="s">
        <v>3016</v>
      </c>
      <c r="D1997" s="1" t="s">
        <v>3209</v>
      </c>
      <c r="E1997" s="5">
        <v>45826</v>
      </c>
      <c r="F1997" s="1" t="s">
        <v>17</v>
      </c>
      <c r="G1997" s="1"/>
      <c r="H1997" s="1"/>
      <c r="I1997" s="6"/>
      <c r="J1997" s="1"/>
      <c r="K1997" s="1"/>
      <c r="L1997" s="1"/>
      <c r="M1997" s="1"/>
      <c r="N1997" s="1"/>
      <c r="O1997" s="10"/>
    </row>
    <row r="1998" spans="1:15" x14ac:dyDescent="0.3">
      <c r="A1998" s="1">
        <v>2579</v>
      </c>
      <c r="B1998" s="12">
        <v>0</v>
      </c>
      <c r="C1998" s="12" t="s">
        <v>666</v>
      </c>
      <c r="D1998" s="12" t="s">
        <v>3019</v>
      </c>
      <c r="E1998" s="13">
        <v>33083</v>
      </c>
      <c r="F1998" s="12" t="s">
        <v>506</v>
      </c>
      <c r="G1998" s="12" t="s">
        <v>15</v>
      </c>
      <c r="H1998" s="12" t="s">
        <v>16</v>
      </c>
      <c r="I1998" s="14">
        <v>9296518</v>
      </c>
      <c r="J1998" s="12" t="s">
        <v>3021</v>
      </c>
      <c r="K1998" s="12" t="s">
        <v>513</v>
      </c>
      <c r="L1998" s="12"/>
      <c r="M1998" s="12">
        <v>21563438</v>
      </c>
      <c r="N1998" s="12"/>
      <c r="O1998" s="23" t="s">
        <v>3022</v>
      </c>
    </row>
    <row r="1999" spans="1:15" x14ac:dyDescent="0.3">
      <c r="A1999" s="1">
        <v>2579</v>
      </c>
      <c r="B1999" s="1">
        <v>1</v>
      </c>
      <c r="C1999" s="1" t="s">
        <v>103</v>
      </c>
      <c r="D1999" s="1" t="s">
        <v>3023</v>
      </c>
      <c r="E1999" s="5">
        <v>34598</v>
      </c>
      <c r="F1999" s="1" t="s">
        <v>17</v>
      </c>
      <c r="G1999" s="1" t="str">
        <f>IF(B1999=0,VLOOKUP(A1998,Feuil2!$A$2:$M$1241,11,FALSE)," ")</f>
        <v xml:space="preserve"> </v>
      </c>
      <c r="H1999" s="1" t="s">
        <v>16</v>
      </c>
      <c r="I1999" s="6" t="str">
        <f>IF(B1999=0,VLOOKUP(A1998,Feuil2!$A$2:$M$1241,7,FALSE)," ")</f>
        <v xml:space="preserve"> </v>
      </c>
      <c r="J1999" s="1" t="str">
        <f>IF(B1999=0,VLOOKUP(A1998,Feuil2!$A$2:$M$1241,9,FALSE)," ")</f>
        <v xml:space="preserve"> </v>
      </c>
      <c r="K1999" s="1" t="str">
        <f>IF(B1999=0,VLOOKUP(A1998,Feuil2!$A$2:$M$1241,10,FALSE)," ")</f>
        <v xml:space="preserve"> </v>
      </c>
      <c r="L1999" s="1"/>
      <c r="M1999" s="1"/>
      <c r="N1999" s="1"/>
      <c r="O1999" s="8" t="e">
        <f>IF(B2012=0,VLOOKUP(A2009,Feuil2!$A$2:$M$1241,13,FALSE)," ")</f>
        <v>#N/A</v>
      </c>
    </row>
    <row r="2000" spans="1:15" x14ac:dyDescent="0.3">
      <c r="A2000" s="1">
        <v>2579</v>
      </c>
      <c r="B2000" s="1">
        <v>2</v>
      </c>
      <c r="C2000" s="1" t="s">
        <v>666</v>
      </c>
      <c r="D2000" s="1" t="s">
        <v>3024</v>
      </c>
      <c r="E2000" s="5">
        <v>43496</v>
      </c>
      <c r="F2000" s="1" t="s">
        <v>506</v>
      </c>
      <c r="G2000" s="1" t="str">
        <f>IF(B2000=0,VLOOKUP(A1999,Feuil2!$A$2:$M$1241,11,FALSE)," ")</f>
        <v xml:space="preserve"> </v>
      </c>
      <c r="H2000" s="1" t="s">
        <v>16</v>
      </c>
      <c r="I2000" s="6" t="str">
        <f>IF(B2000=0,VLOOKUP(A1999,Feuil2!$A$2:$M$1241,7,FALSE)," ")</f>
        <v xml:space="preserve"> </v>
      </c>
      <c r="J2000" s="1" t="str">
        <f>IF(B2000=0,VLOOKUP(A1999,Feuil2!$A$2:$M$1241,9,FALSE)," ")</f>
        <v xml:space="preserve"> </v>
      </c>
      <c r="K2000" s="1" t="str">
        <f>IF(B2000=0,VLOOKUP(A1999,Feuil2!$A$2:$M$1241,10,FALSE)," ")</f>
        <v xml:space="preserve"> </v>
      </c>
      <c r="L2000" s="1"/>
      <c r="M2000" s="1"/>
      <c r="N2000" s="1"/>
      <c r="O2000" s="8" t="e">
        <f>IF(B2013=0,VLOOKUP(A2012,Feuil2!$A$2:$M$1241,13,FALSE)," ")</f>
        <v>#N/A</v>
      </c>
    </row>
    <row r="2001" spans="1:15" x14ac:dyDescent="0.3">
      <c r="A2001" s="1">
        <v>2579</v>
      </c>
      <c r="B2001" s="1">
        <v>3</v>
      </c>
      <c r="C2001" s="1" t="s">
        <v>666</v>
      </c>
      <c r="D2001" s="1" t="s">
        <v>2383</v>
      </c>
      <c r="E2001" s="5">
        <v>44298</v>
      </c>
      <c r="F2001" s="1" t="s">
        <v>17</v>
      </c>
      <c r="G2001" s="1" t="str">
        <f>IF(B2001=0,VLOOKUP(A2000,Feuil2!$A$2:$M$1241,11,FALSE)," ")</f>
        <v xml:space="preserve"> </v>
      </c>
      <c r="H2001" s="1" t="s">
        <v>16</v>
      </c>
      <c r="I2001" s="6" t="str">
        <f>IF(B2001=0,VLOOKUP(A2000,Feuil2!$A$2:$M$1241,7,FALSE)," ")</f>
        <v xml:space="preserve"> </v>
      </c>
      <c r="J2001" s="1" t="str">
        <f>IF(B2001=0,VLOOKUP(A2000,Feuil2!$A$2:$M$1241,9,FALSE)," ")</f>
        <v xml:space="preserve"> </v>
      </c>
      <c r="K2001" s="1" t="str">
        <f>IF(B2001=0,VLOOKUP(A2000,Feuil2!$A$2:$M$1241,10,FALSE)," ")</f>
        <v xml:space="preserve"> </v>
      </c>
      <c r="L2001" s="1"/>
      <c r="M2001" s="1"/>
      <c r="N2001" s="1"/>
      <c r="O2001" s="8" t="e">
        <f>IF(B2014=0,VLOOKUP(A2013,Feuil2!$A$2:$M$1241,13,FALSE)," ")</f>
        <v>#N/A</v>
      </c>
    </row>
    <row r="2002" spans="1:15" x14ac:dyDescent="0.3">
      <c r="A2002" s="1">
        <v>2623</v>
      </c>
      <c r="B2002" s="17">
        <v>0</v>
      </c>
      <c r="C2002" s="17" t="s">
        <v>342</v>
      </c>
      <c r="D2002" s="17" t="s">
        <v>110</v>
      </c>
      <c r="E2002" s="18">
        <v>35482</v>
      </c>
      <c r="F2002" s="17" t="s">
        <v>506</v>
      </c>
      <c r="G2002" s="17" t="s">
        <v>15</v>
      </c>
      <c r="H2002" s="17" t="s">
        <v>16</v>
      </c>
      <c r="I2002" s="19">
        <v>12811863</v>
      </c>
      <c r="J2002" s="17" t="s">
        <v>3029</v>
      </c>
      <c r="K2002" s="17" t="s">
        <v>513</v>
      </c>
      <c r="L2002" s="17"/>
      <c r="M2002" s="17">
        <v>55454027</v>
      </c>
      <c r="N2002" s="17"/>
      <c r="O2002" s="21" t="s">
        <v>3030</v>
      </c>
    </row>
    <row r="2003" spans="1:15" x14ac:dyDescent="0.3">
      <c r="A2003" s="1">
        <v>2623</v>
      </c>
      <c r="B2003" s="1">
        <v>1</v>
      </c>
      <c r="C2003" s="1" t="s">
        <v>1148</v>
      </c>
      <c r="D2003" s="1" t="s">
        <v>2517</v>
      </c>
      <c r="E2003" s="5">
        <v>35674</v>
      </c>
      <c r="F2003" s="1" t="s">
        <v>17</v>
      </c>
      <c r="G2003" s="1" t="s">
        <v>15</v>
      </c>
      <c r="H2003" s="1" t="s">
        <v>16</v>
      </c>
      <c r="I2003" s="6" t="str">
        <f>IF(B2003=0,VLOOKUP(A2002,Feuil2!$A$2:$M$1241,7,FALSE)," ")</f>
        <v xml:space="preserve"> </v>
      </c>
      <c r="J2003" s="1" t="str">
        <f>IF(B2003=0,VLOOKUP(A2002,Feuil2!$A$2:$M$1241,9,FALSE)," ")</f>
        <v xml:space="preserve"> </v>
      </c>
      <c r="K2003" s="1" t="str">
        <f>IF(B2003=0,VLOOKUP(A2002,Feuil2!$A$2:$M$1241,10,FALSE)," ")</f>
        <v xml:space="preserve"> </v>
      </c>
      <c r="L2003" s="1"/>
      <c r="M2003" s="1"/>
      <c r="N2003" s="1"/>
      <c r="O2003" s="8" t="str">
        <f>IF(B2016=0,VLOOKUP(A2015,Feuil2!$A$2:$M$1241,13,FALSE)," ")</f>
        <v>04204067003453458617</v>
      </c>
    </row>
    <row r="2004" spans="1:15" x14ac:dyDescent="0.3">
      <c r="A2004" s="1">
        <v>2623</v>
      </c>
      <c r="B2004" s="1">
        <v>2</v>
      </c>
      <c r="C2004" s="1" t="s">
        <v>342</v>
      </c>
      <c r="D2004" s="1" t="s">
        <v>77</v>
      </c>
      <c r="E2004" s="5">
        <v>45169</v>
      </c>
      <c r="F2004" s="1" t="s">
        <v>506</v>
      </c>
      <c r="G2004" s="1" t="str">
        <f>IF(B2004=0,VLOOKUP(A2003,Feuil2!$A$2:$M$1241,11,FALSE)," ")</f>
        <v xml:space="preserve"> </v>
      </c>
      <c r="H2004" s="1" t="s">
        <v>16</v>
      </c>
      <c r="I2004" s="6" t="str">
        <f>IF(B2004=0,VLOOKUP(A2003,Feuil2!$A$2:$M$1241,7,FALSE)," ")</f>
        <v xml:space="preserve"> </v>
      </c>
      <c r="J2004" s="1" t="str">
        <f>IF(B2004=0,VLOOKUP(A2003,Feuil2!$A$2:$M$1241,9,FALSE)," ")</f>
        <v xml:space="preserve"> </v>
      </c>
      <c r="K2004" s="1" t="str">
        <f>IF(B2004=0,VLOOKUP(A2003,Feuil2!$A$2:$M$1241,10,FALSE)," ")</f>
        <v xml:space="preserve"> </v>
      </c>
      <c r="L2004" s="1"/>
      <c r="M2004" s="1"/>
      <c r="N2004" s="1"/>
      <c r="O2004" s="8" t="e">
        <f>IF(B2017=0,VLOOKUP(A2016,Feuil2!$A$2:$M$1241,13,FALSE)," ")</f>
        <v>#N/A</v>
      </c>
    </row>
    <row r="2005" spans="1:15" x14ac:dyDescent="0.3">
      <c r="A2005" s="1">
        <v>2419</v>
      </c>
      <c r="B2005" s="17">
        <v>0</v>
      </c>
      <c r="C2005" s="17" t="s">
        <v>1155</v>
      </c>
      <c r="D2005" s="17" t="s">
        <v>61</v>
      </c>
      <c r="E2005" s="18">
        <v>35800</v>
      </c>
      <c r="F2005" s="17" t="s">
        <v>506</v>
      </c>
      <c r="G2005" s="17" t="s">
        <v>2257</v>
      </c>
      <c r="H2005" s="17" t="s">
        <v>16</v>
      </c>
      <c r="I2005" s="19">
        <v>12835815</v>
      </c>
      <c r="J2005" s="17" t="s">
        <v>3031</v>
      </c>
      <c r="K2005" s="17" t="s">
        <v>574</v>
      </c>
      <c r="L2005" s="17"/>
      <c r="M2005" s="17">
        <v>56450903</v>
      </c>
      <c r="N2005" s="17"/>
      <c r="O2005" s="21" t="s">
        <v>3032</v>
      </c>
    </row>
    <row r="2006" spans="1:15" x14ac:dyDescent="0.3">
      <c r="A2006" s="1">
        <v>2569</v>
      </c>
      <c r="B2006" s="12">
        <v>0</v>
      </c>
      <c r="C2006" s="12" t="s">
        <v>182</v>
      </c>
      <c r="D2006" s="12" t="s">
        <v>1596</v>
      </c>
      <c r="E2006" s="13">
        <v>34195</v>
      </c>
      <c r="F2006" s="12" t="s">
        <v>506</v>
      </c>
      <c r="G2006" s="12" t="s">
        <v>15</v>
      </c>
      <c r="H2006" s="12" t="s">
        <v>16</v>
      </c>
      <c r="I2006" s="14">
        <v>9321405</v>
      </c>
      <c r="J2006" s="12" t="s">
        <v>3033</v>
      </c>
      <c r="K2006" s="12" t="s">
        <v>513</v>
      </c>
      <c r="L2006" s="12"/>
      <c r="M2006" s="12">
        <v>21797903</v>
      </c>
      <c r="N2006" s="12"/>
      <c r="O2006" s="23" t="s">
        <v>3034</v>
      </c>
    </row>
    <row r="2007" spans="1:15" x14ac:dyDescent="0.3">
      <c r="A2007" s="1">
        <v>2569</v>
      </c>
      <c r="B2007" s="1">
        <v>1</v>
      </c>
      <c r="C2007" s="1" t="s">
        <v>3035</v>
      </c>
      <c r="D2007" s="1" t="s">
        <v>2336</v>
      </c>
      <c r="E2007" s="5">
        <v>36106</v>
      </c>
      <c r="F2007" s="1" t="s">
        <v>17</v>
      </c>
      <c r="G2007" s="1" t="s">
        <v>15</v>
      </c>
      <c r="H2007" s="1" t="s">
        <v>16</v>
      </c>
      <c r="I2007" s="6" t="str">
        <f>IF(B2007=0,VLOOKUP(A2006,Feuil2!$A$2:$M$1241,7,FALSE)," ")</f>
        <v xml:space="preserve"> </v>
      </c>
      <c r="J2007" s="1" t="str">
        <f>IF(B2007=0,VLOOKUP(A2006,Feuil2!$A$2:$M$1241,9,FALSE)," ")</f>
        <v xml:space="preserve"> </v>
      </c>
      <c r="K2007" s="1" t="str">
        <f>IF(B2007=0,VLOOKUP(A2006,Feuil2!$A$2:$M$1241,10,FALSE)," ")</f>
        <v xml:space="preserve"> </v>
      </c>
      <c r="L2007" s="1"/>
      <c r="M2007" s="1"/>
      <c r="N2007" s="1"/>
      <c r="O2007" s="8" t="e">
        <f>IF(#REF!=0,VLOOKUP(A2021,Feuil2!$A$2:$M$1241,13,FALSE)," ")</f>
        <v>#REF!</v>
      </c>
    </row>
    <row r="2008" spans="1:15" x14ac:dyDescent="0.3">
      <c r="A2008" s="1">
        <v>2569</v>
      </c>
      <c r="B2008" s="1">
        <v>2</v>
      </c>
      <c r="C2008" s="1" t="s">
        <v>182</v>
      </c>
      <c r="D2008" s="1" t="s">
        <v>3183</v>
      </c>
      <c r="E2008" s="5">
        <v>45592</v>
      </c>
      <c r="F2008" s="1" t="s">
        <v>506</v>
      </c>
      <c r="G2008" s="1"/>
      <c r="H2008" s="1"/>
      <c r="I2008" s="6"/>
      <c r="J2008" s="1"/>
      <c r="K2008" s="1"/>
      <c r="L2008" s="1"/>
      <c r="M2008" s="1"/>
      <c r="N2008" s="1"/>
      <c r="O2008" s="8"/>
    </row>
    <row r="2009" spans="1:15" x14ac:dyDescent="0.3">
      <c r="A2009" s="1">
        <v>2631</v>
      </c>
      <c r="B2009" s="12">
        <v>0</v>
      </c>
      <c r="C2009" s="12" t="s">
        <v>3036</v>
      </c>
      <c r="D2009" s="12" t="s">
        <v>2552</v>
      </c>
      <c r="E2009" s="13">
        <v>35312</v>
      </c>
      <c r="F2009" s="12" t="s">
        <v>17</v>
      </c>
      <c r="G2009" s="12" t="s">
        <v>15</v>
      </c>
      <c r="H2009" s="12" t="s">
        <v>16</v>
      </c>
      <c r="I2009" s="14">
        <v>12825639</v>
      </c>
      <c r="J2009" s="12" t="s">
        <v>3037</v>
      </c>
      <c r="K2009" s="12" t="s">
        <v>1482</v>
      </c>
      <c r="L2009" s="12"/>
      <c r="M2009" s="12">
        <v>53785704</v>
      </c>
      <c r="N2009" s="12"/>
      <c r="O2009" s="23" t="s">
        <v>3038</v>
      </c>
    </row>
    <row r="2010" spans="1:15" x14ac:dyDescent="0.3">
      <c r="A2010" s="1">
        <v>2631</v>
      </c>
      <c r="B2010" s="1">
        <v>1</v>
      </c>
      <c r="C2010" s="1" t="s">
        <v>3178</v>
      </c>
      <c r="D2010" s="1" t="s">
        <v>60</v>
      </c>
      <c r="E2010" s="5">
        <v>33657</v>
      </c>
      <c r="F2010" s="1" t="s">
        <v>506</v>
      </c>
      <c r="G2010" s="1"/>
      <c r="H2010" s="1"/>
      <c r="I2010" s="6"/>
      <c r="J2010" s="1"/>
      <c r="K2010" s="1"/>
      <c r="L2010" s="1"/>
      <c r="M2010" s="1"/>
      <c r="N2010" s="1"/>
      <c r="O2010" s="10"/>
    </row>
    <row r="2011" spans="1:15" x14ac:dyDescent="0.3">
      <c r="A2011" s="1">
        <v>2631</v>
      </c>
      <c r="B2011" s="1">
        <v>2</v>
      </c>
      <c r="C2011" s="1" t="s">
        <v>3178</v>
      </c>
      <c r="D2011" s="1" t="s">
        <v>3202</v>
      </c>
      <c r="E2011" s="5">
        <v>45723</v>
      </c>
      <c r="F2011" s="1" t="s">
        <v>506</v>
      </c>
      <c r="G2011" s="1"/>
      <c r="H2011" s="1"/>
      <c r="I2011" s="6"/>
      <c r="J2011" s="1"/>
      <c r="K2011" s="1"/>
      <c r="L2011" s="1"/>
      <c r="M2011" s="1"/>
      <c r="N2011" s="1"/>
      <c r="O2011" s="10"/>
    </row>
    <row r="2012" spans="1:15" x14ac:dyDescent="0.3">
      <c r="A2012" s="1">
        <v>2330</v>
      </c>
      <c r="B2012" s="12">
        <v>0</v>
      </c>
      <c r="C2012" s="12" t="s">
        <v>2469</v>
      </c>
      <c r="D2012" s="12" t="s">
        <v>88</v>
      </c>
      <c r="E2012" s="13">
        <v>34985</v>
      </c>
      <c r="F2012" s="12" t="s">
        <v>506</v>
      </c>
      <c r="G2012" s="12" t="s">
        <v>2257</v>
      </c>
      <c r="H2012" s="12" t="s">
        <v>16</v>
      </c>
      <c r="I2012" s="14">
        <v>12808458</v>
      </c>
      <c r="J2012" s="12" t="s">
        <v>3039</v>
      </c>
      <c r="K2012" s="12" t="s">
        <v>513</v>
      </c>
      <c r="L2012" s="12"/>
      <c r="M2012" s="12">
        <v>27352301</v>
      </c>
      <c r="N2012" s="12"/>
      <c r="O2012" s="23" t="s">
        <v>3040</v>
      </c>
    </row>
    <row r="2013" spans="1:15" x14ac:dyDescent="0.3">
      <c r="A2013" s="1">
        <v>2516</v>
      </c>
      <c r="B2013" s="12">
        <v>0</v>
      </c>
      <c r="C2013" s="12" t="s">
        <v>103</v>
      </c>
      <c r="D2013" s="12" t="s">
        <v>2269</v>
      </c>
      <c r="E2013" s="13">
        <v>34459</v>
      </c>
      <c r="F2013" s="12" t="s">
        <v>506</v>
      </c>
      <c r="G2013" s="12" t="s">
        <v>2257</v>
      </c>
      <c r="H2013" s="12" t="s">
        <v>16</v>
      </c>
      <c r="I2013" s="14">
        <v>9331918</v>
      </c>
      <c r="J2013" s="12" t="s">
        <v>2966</v>
      </c>
      <c r="K2013" s="12" t="s">
        <v>513</v>
      </c>
      <c r="L2013" s="12"/>
      <c r="M2013" s="12">
        <v>54095617</v>
      </c>
      <c r="N2013" s="12"/>
      <c r="O2013" s="23" t="s">
        <v>3041</v>
      </c>
    </row>
    <row r="2014" spans="1:15" x14ac:dyDescent="0.3">
      <c r="A2014" s="1">
        <v>2017</v>
      </c>
      <c r="B2014" s="12">
        <v>0</v>
      </c>
      <c r="C2014" s="12" t="str">
        <f>IF(B2014=0,VLOOKUP(A2014,Feuil2!$A$2:$M$1241,2,FALSE)," ")</f>
        <v>LAHDHIRI</v>
      </c>
      <c r="D2014" s="12" t="str">
        <f>IF(B2014=0,VLOOKUP(A2014,Feuil2!$A$2:$M$1241,3,FALSE)," ")</f>
        <v>ALI</v>
      </c>
      <c r="E2014" s="13">
        <f>IF(B2014=0,VLOOKUP(A2014,Feuil2!$A$2:$M$1241,6,FALSE)," ")</f>
        <v>34151</v>
      </c>
      <c r="F2014" s="12" t="str">
        <f>IF(B2014=0,VLOOKUP(A2014,Feuil2!$A$2:$M$1241,12,FALSE)," ")</f>
        <v>H</v>
      </c>
      <c r="G2014" s="12" t="s">
        <v>15</v>
      </c>
      <c r="H2014" s="12" t="s">
        <v>16</v>
      </c>
      <c r="I2014" s="14">
        <f>IF(B2014=0,VLOOKUP(A2014,Feuil2!$A$2:$M$1241,7,FALSE)," ")</f>
        <v>9343792</v>
      </c>
      <c r="J2014" s="12" t="str">
        <f>IF(B2014=0,VLOOKUP(A2014,Feuil2!$A$2:$M$1241,9,FALSE)," ")</f>
        <v>Rue Chikh Ladheri</v>
      </c>
      <c r="K2014" s="12" t="str">
        <f>IF(B2014=0,VLOOKUP(A2014,Feuil2!$A$2:$M$1241,10,FALSE)," ")</f>
        <v>Msaken 4070</v>
      </c>
      <c r="L2014" s="12"/>
      <c r="M2014" s="12">
        <v>21795157</v>
      </c>
      <c r="N2014" s="12"/>
      <c r="O2014" s="23" t="s">
        <v>3042</v>
      </c>
    </row>
    <row r="2015" spans="1:15" x14ac:dyDescent="0.3">
      <c r="A2015" s="1">
        <v>2017</v>
      </c>
      <c r="B2015" s="1">
        <v>1</v>
      </c>
      <c r="C2015" s="1" t="s">
        <v>3043</v>
      </c>
      <c r="D2015" s="1" t="s">
        <v>3044</v>
      </c>
      <c r="E2015" s="5">
        <v>33195</v>
      </c>
      <c r="F2015" s="1" t="s">
        <v>17</v>
      </c>
      <c r="G2015" s="1" t="s">
        <v>15</v>
      </c>
      <c r="H2015" s="1" t="s">
        <v>16</v>
      </c>
      <c r="I2015" s="6" t="str">
        <f>IF(B2015=0,VLOOKUP(A2014,Feuil2!$A$2:$M$1241,7,FALSE)," ")</f>
        <v xml:space="preserve"> </v>
      </c>
      <c r="J2015" s="1" t="str">
        <f>IF(B2015=0,VLOOKUP(A2014,Feuil2!$A$2:$M$1241,9,FALSE)," ")</f>
        <v xml:space="preserve"> </v>
      </c>
      <c r="K2015" s="1" t="str">
        <f>IF(B2015=0,VLOOKUP(A2014,Feuil2!$A$2:$M$1241,10,FALSE)," ")</f>
        <v xml:space="preserve"> </v>
      </c>
      <c r="L2015" s="1"/>
      <c r="M2015" s="1"/>
      <c r="N2015" s="1"/>
      <c r="O2015" s="8"/>
    </row>
    <row r="2016" spans="1:15" x14ac:dyDescent="0.3">
      <c r="A2016" s="1">
        <v>2235</v>
      </c>
      <c r="B2016" s="17">
        <v>0</v>
      </c>
      <c r="C2016" s="17" t="s">
        <v>703</v>
      </c>
      <c r="D2016" s="17" t="s">
        <v>81</v>
      </c>
      <c r="E2016" s="18">
        <v>32235</v>
      </c>
      <c r="F2016" s="17" t="s">
        <v>506</v>
      </c>
      <c r="G2016" s="17" t="s">
        <v>2257</v>
      </c>
      <c r="H2016" s="17" t="s">
        <v>16</v>
      </c>
      <c r="I2016" s="19">
        <v>9272774</v>
      </c>
      <c r="J2016" s="17" t="s">
        <v>3045</v>
      </c>
      <c r="K2016" s="17" t="s">
        <v>513</v>
      </c>
      <c r="L2016" s="17"/>
      <c r="M2016" s="17">
        <v>53375527</v>
      </c>
      <c r="N2016" s="17"/>
      <c r="O2016" s="21" t="s">
        <v>3046</v>
      </c>
    </row>
    <row r="2017" spans="1:15" x14ac:dyDescent="0.3">
      <c r="A2017" s="1">
        <v>2521</v>
      </c>
      <c r="B2017" s="12">
        <v>0</v>
      </c>
      <c r="C2017" s="12" t="s">
        <v>266</v>
      </c>
      <c r="D2017" s="12" t="s">
        <v>3047</v>
      </c>
      <c r="E2017" s="13">
        <v>32964</v>
      </c>
      <c r="F2017" s="12" t="s">
        <v>506</v>
      </c>
      <c r="G2017" s="12" t="s">
        <v>15</v>
      </c>
      <c r="H2017" s="12" t="s">
        <v>16</v>
      </c>
      <c r="I2017" s="14">
        <v>9285597</v>
      </c>
      <c r="J2017" s="12" t="s">
        <v>3048</v>
      </c>
      <c r="K2017" s="12" t="s">
        <v>513</v>
      </c>
      <c r="L2017" s="12"/>
      <c r="M2017" s="12">
        <v>55990864</v>
      </c>
      <c r="N2017" s="12"/>
      <c r="O2017" s="23" t="s">
        <v>3049</v>
      </c>
    </row>
    <row r="2018" spans="1:15" x14ac:dyDescent="0.3">
      <c r="A2018" s="1">
        <v>2521</v>
      </c>
      <c r="B2018" s="1">
        <v>1</v>
      </c>
      <c r="C2018" s="1" t="s">
        <v>3050</v>
      </c>
      <c r="D2018" s="1" t="s">
        <v>3023</v>
      </c>
      <c r="E2018" s="5">
        <v>36781</v>
      </c>
      <c r="F2018" s="1" t="s">
        <v>17</v>
      </c>
      <c r="G2018" s="1" t="s">
        <v>15</v>
      </c>
      <c r="H2018" s="1" t="s">
        <v>16</v>
      </c>
      <c r="I2018" s="6" t="str">
        <f>IF(B2018=0,VLOOKUP(A2017,Feuil2!$A$2:$M$1241,7,FALSE)," ")</f>
        <v xml:space="preserve"> </v>
      </c>
      <c r="J2018" s="1" t="str">
        <f>IF(B2018=0,VLOOKUP(A2017,Feuil2!$A$2:$M$1241,9,FALSE)," ")</f>
        <v xml:space="preserve"> </v>
      </c>
      <c r="K2018" s="1" t="str">
        <f>IF(B2018=0,VLOOKUP(A2017,Feuil2!$A$2:$M$1241,10,FALSE)," ")</f>
        <v xml:space="preserve"> </v>
      </c>
      <c r="L2018" s="1"/>
      <c r="M2018" s="1"/>
      <c r="N2018" s="1"/>
      <c r="O2018" s="8" t="str">
        <f>IF(B2030=0,VLOOKUP(A2029,Feuil2!$A$2:$M$1241,13,FALSE)," ")</f>
        <v xml:space="preserve"> </v>
      </c>
    </row>
    <row r="2019" spans="1:15" x14ac:dyDescent="0.3">
      <c r="A2019" s="1">
        <v>2521</v>
      </c>
      <c r="B2019" s="1">
        <v>2</v>
      </c>
      <c r="C2019" s="1" t="s">
        <v>266</v>
      </c>
      <c r="D2019" s="1" t="s">
        <v>2753</v>
      </c>
      <c r="E2019" s="5">
        <v>45220</v>
      </c>
      <c r="F2019" s="1" t="s">
        <v>17</v>
      </c>
      <c r="G2019" s="1"/>
      <c r="H2019" s="1"/>
      <c r="I2019" s="6"/>
      <c r="J2019" s="1"/>
      <c r="K2019" s="1"/>
      <c r="L2019" s="1"/>
      <c r="M2019" s="1"/>
      <c r="N2019" s="1"/>
      <c r="O2019" s="8"/>
    </row>
    <row r="2020" spans="1:15" x14ac:dyDescent="0.3">
      <c r="A2020" s="1">
        <v>2521</v>
      </c>
      <c r="B2020" s="1">
        <v>3</v>
      </c>
      <c r="C2020" s="1" t="s">
        <v>266</v>
      </c>
      <c r="D2020" s="1" t="s">
        <v>2755</v>
      </c>
      <c r="E2020" s="5">
        <v>45937</v>
      </c>
      <c r="F2020" s="1" t="s">
        <v>17</v>
      </c>
      <c r="G2020" s="1"/>
      <c r="H2020" s="1"/>
      <c r="I2020" s="6"/>
      <c r="J2020" s="1"/>
      <c r="K2020" s="1"/>
      <c r="L2020" s="1"/>
      <c r="M2020" s="1"/>
      <c r="N2020" s="1"/>
      <c r="O2020" s="8"/>
    </row>
    <row r="2021" spans="1:15" x14ac:dyDescent="0.3">
      <c r="A2021" s="1">
        <v>2414</v>
      </c>
      <c r="B2021" s="12">
        <v>0</v>
      </c>
      <c r="C2021" s="12" t="s">
        <v>19</v>
      </c>
      <c r="D2021" s="12" t="s">
        <v>390</v>
      </c>
      <c r="E2021" s="13">
        <v>36652</v>
      </c>
      <c r="F2021" s="12" t="s">
        <v>506</v>
      </c>
      <c r="G2021" s="12" t="s">
        <v>2257</v>
      </c>
      <c r="H2021" s="12" t="s">
        <v>16</v>
      </c>
      <c r="I2021" s="14">
        <v>12865562</v>
      </c>
      <c r="J2021" s="12" t="s">
        <v>1943</v>
      </c>
      <c r="K2021" s="12" t="s">
        <v>513</v>
      </c>
      <c r="L2021" s="12"/>
      <c r="M2021" s="12">
        <v>22076899</v>
      </c>
      <c r="N2021" s="12"/>
      <c r="O2021" s="23" t="s">
        <v>3051</v>
      </c>
    </row>
    <row r="2022" spans="1:15" x14ac:dyDescent="0.3">
      <c r="A2022" s="1">
        <v>2203</v>
      </c>
      <c r="B2022" s="12">
        <v>0</v>
      </c>
      <c r="C2022" s="12" t="s">
        <v>241</v>
      </c>
      <c r="D2022" s="12" t="s">
        <v>240</v>
      </c>
      <c r="E2022" s="13">
        <v>35230</v>
      </c>
      <c r="F2022" s="12" t="s">
        <v>506</v>
      </c>
      <c r="G2022" s="12" t="s">
        <v>15</v>
      </c>
      <c r="H2022" s="12" t="s">
        <v>16</v>
      </c>
      <c r="I2022" s="14">
        <v>12806399</v>
      </c>
      <c r="J2022" s="12" t="s">
        <v>3055</v>
      </c>
      <c r="K2022" s="12" t="s">
        <v>513</v>
      </c>
      <c r="L2022" s="12"/>
      <c r="M2022" s="12">
        <v>28113239</v>
      </c>
      <c r="N2022" s="12"/>
      <c r="O2022" s="23" t="s">
        <v>3056</v>
      </c>
    </row>
    <row r="2023" spans="1:15" x14ac:dyDescent="0.3">
      <c r="A2023" s="1">
        <v>2203</v>
      </c>
      <c r="B2023" s="1">
        <v>1</v>
      </c>
      <c r="C2023" s="1" t="s">
        <v>188</v>
      </c>
      <c r="D2023" s="1" t="s">
        <v>2373</v>
      </c>
      <c r="E2023" s="5">
        <v>35538</v>
      </c>
      <c r="F2023" s="1" t="s">
        <v>17</v>
      </c>
      <c r="G2023" s="1" t="s">
        <v>15</v>
      </c>
      <c r="H2023" s="1" t="s">
        <v>16</v>
      </c>
      <c r="I2023" s="6" t="str">
        <f>IF(B2023=0,VLOOKUP(A2022,Feuil2!$A$2:$M$1241,7,FALSE)," ")</f>
        <v xml:space="preserve"> </v>
      </c>
      <c r="J2023" s="1" t="str">
        <f>IF(B2023=0,VLOOKUP(A2022,Feuil2!$A$2:$M$1241,9,FALSE)," ")</f>
        <v xml:space="preserve"> </v>
      </c>
      <c r="K2023" s="1" t="str">
        <f>IF(B2023=0,VLOOKUP(A2022,Feuil2!$A$2:$M$1241,10,FALSE)," ")</f>
        <v xml:space="preserve"> </v>
      </c>
      <c r="L2023" s="1"/>
      <c r="M2023" s="1"/>
      <c r="N2023" s="1"/>
      <c r="O2023" s="8" t="str">
        <f>IF(B2034=0,VLOOKUP(A2033,Feuil2!$A$2:$M$1241,13,FALSE)," ")</f>
        <v xml:space="preserve"> </v>
      </c>
    </row>
    <row r="2024" spans="1:15" x14ac:dyDescent="0.3">
      <c r="A2024" s="1">
        <v>2203</v>
      </c>
      <c r="B2024" s="1">
        <v>2</v>
      </c>
      <c r="C2024" s="1" t="s">
        <v>241</v>
      </c>
      <c r="D2024" s="1" t="s">
        <v>2817</v>
      </c>
      <c r="E2024" s="5">
        <v>45431</v>
      </c>
      <c r="F2024" s="1" t="s">
        <v>17</v>
      </c>
      <c r="G2024" s="1"/>
      <c r="H2024" s="1"/>
      <c r="I2024" s="6"/>
      <c r="J2024" s="1"/>
      <c r="K2024" s="1"/>
      <c r="L2024" s="1"/>
      <c r="M2024" s="1"/>
      <c r="N2024" s="1"/>
      <c r="O2024" s="8"/>
    </row>
    <row r="2025" spans="1:15" x14ac:dyDescent="0.3">
      <c r="A2025" s="1">
        <v>2374</v>
      </c>
      <c r="B2025" s="17">
        <v>0</v>
      </c>
      <c r="C2025" s="17" t="s">
        <v>3057</v>
      </c>
      <c r="D2025" s="17" t="s">
        <v>3058</v>
      </c>
      <c r="E2025" s="18">
        <v>32814</v>
      </c>
      <c r="F2025" s="17" t="str">
        <f>IF(B2025=0,VLOOKUP(A2023,Feuil2!$A$2:$M$1241,12,FALSE)," ")</f>
        <v>H</v>
      </c>
      <c r="G2025" s="17" t="s">
        <v>2257</v>
      </c>
      <c r="H2025" s="17" t="s">
        <v>16</v>
      </c>
      <c r="I2025" s="19">
        <v>9292631</v>
      </c>
      <c r="J2025" s="17" t="s">
        <v>3059</v>
      </c>
      <c r="K2025" s="17" t="s">
        <v>568</v>
      </c>
      <c r="L2025" s="17"/>
      <c r="M2025" s="17">
        <v>21651987</v>
      </c>
      <c r="N2025" s="17"/>
      <c r="O2025" s="21" t="s">
        <v>3060</v>
      </c>
    </row>
    <row r="2026" spans="1:15" x14ac:dyDescent="0.3">
      <c r="A2026" s="1">
        <v>2392</v>
      </c>
      <c r="B2026" s="12">
        <v>0</v>
      </c>
      <c r="C2026" s="12" t="s">
        <v>3061</v>
      </c>
      <c r="D2026" s="12" t="s">
        <v>39</v>
      </c>
      <c r="E2026" s="13">
        <v>35636</v>
      </c>
      <c r="F2026" s="12" t="s">
        <v>506</v>
      </c>
      <c r="G2026" s="12" t="s">
        <v>2257</v>
      </c>
      <c r="H2026" s="12" t="s">
        <v>16</v>
      </c>
      <c r="I2026" s="14">
        <v>12838923</v>
      </c>
      <c r="J2026" s="12" t="s">
        <v>3062</v>
      </c>
      <c r="K2026" s="12" t="s">
        <v>2291</v>
      </c>
      <c r="L2026" s="12"/>
      <c r="M2026" s="12">
        <v>55266495</v>
      </c>
      <c r="N2026" s="12"/>
      <c r="O2026" s="23" t="s">
        <v>3063</v>
      </c>
    </row>
    <row r="2027" spans="1:15" x14ac:dyDescent="0.3">
      <c r="A2027" s="1">
        <v>2483</v>
      </c>
      <c r="B2027" s="12">
        <v>0</v>
      </c>
      <c r="C2027" s="12" t="s">
        <v>268</v>
      </c>
      <c r="D2027" s="12" t="s">
        <v>2628</v>
      </c>
      <c r="E2027" s="13">
        <v>35462</v>
      </c>
      <c r="F2027" s="12" t="s">
        <v>506</v>
      </c>
      <c r="G2027" s="12" t="s">
        <v>2257</v>
      </c>
      <c r="H2027" s="12" t="s">
        <v>16</v>
      </c>
      <c r="I2027" s="14">
        <v>12821361</v>
      </c>
      <c r="J2027" s="12" t="s">
        <v>3064</v>
      </c>
      <c r="K2027" s="12" t="s">
        <v>513</v>
      </c>
      <c r="L2027" s="12"/>
      <c r="M2027" s="12">
        <v>52554755</v>
      </c>
      <c r="N2027" s="12"/>
      <c r="O2027" s="23" t="s">
        <v>3065</v>
      </c>
    </row>
    <row r="2028" spans="1:15" x14ac:dyDescent="0.3">
      <c r="A2028" s="1">
        <v>2511</v>
      </c>
      <c r="B2028" s="12">
        <v>0</v>
      </c>
      <c r="C2028" s="12" t="s">
        <v>3066</v>
      </c>
      <c r="D2028" s="12" t="s">
        <v>89</v>
      </c>
      <c r="E2028" s="13">
        <v>35622</v>
      </c>
      <c r="F2028" s="12" t="s">
        <v>506</v>
      </c>
      <c r="G2028" s="12" t="s">
        <v>2257</v>
      </c>
      <c r="H2028" s="12" t="s">
        <v>16</v>
      </c>
      <c r="I2028" s="14">
        <v>12845042</v>
      </c>
      <c r="J2028" s="12" t="s">
        <v>2223</v>
      </c>
      <c r="K2028" s="12" t="s">
        <v>574</v>
      </c>
      <c r="L2028" s="12"/>
      <c r="M2028" s="12">
        <v>27860527</v>
      </c>
      <c r="N2028" s="12"/>
      <c r="O2028" s="23" t="s">
        <v>3067</v>
      </c>
    </row>
    <row r="2029" spans="1:15" x14ac:dyDescent="0.3">
      <c r="A2029" s="1">
        <v>2515</v>
      </c>
      <c r="B2029" s="12">
        <v>0</v>
      </c>
      <c r="C2029" s="12" t="s">
        <v>2216</v>
      </c>
      <c r="D2029" s="12" t="s">
        <v>48</v>
      </c>
      <c r="E2029" s="13">
        <v>33857</v>
      </c>
      <c r="F2029" s="12" t="s">
        <v>506</v>
      </c>
      <c r="G2029" s="12" t="s">
        <v>15</v>
      </c>
      <c r="H2029" s="12" t="s">
        <v>16</v>
      </c>
      <c r="I2029" s="14">
        <v>9303038</v>
      </c>
      <c r="J2029" s="12" t="s">
        <v>3068</v>
      </c>
      <c r="K2029" s="12" t="s">
        <v>513</v>
      </c>
      <c r="L2029" s="12"/>
      <c r="M2029" s="12">
        <v>20948193</v>
      </c>
      <c r="N2029" s="12"/>
      <c r="O2029" s="23" t="s">
        <v>3069</v>
      </c>
    </row>
    <row r="2030" spans="1:15" x14ac:dyDescent="0.3">
      <c r="A2030" s="1">
        <v>2515</v>
      </c>
      <c r="B2030" s="1">
        <v>1</v>
      </c>
      <c r="C2030" s="1" t="s">
        <v>2013</v>
      </c>
      <c r="D2030" s="1" t="s">
        <v>3070</v>
      </c>
      <c r="E2030" s="5">
        <v>34301</v>
      </c>
      <c r="F2030" s="1" t="s">
        <v>17</v>
      </c>
      <c r="G2030" s="1" t="s">
        <v>15</v>
      </c>
      <c r="H2030" s="1" t="s">
        <v>16</v>
      </c>
      <c r="I2030" s="6" t="str">
        <f>IF(B2030=0,VLOOKUP(A2029,Feuil2!$A$2:$M$1241,7,FALSE)," ")</f>
        <v xml:space="preserve"> </v>
      </c>
      <c r="J2030" s="1" t="str">
        <f>IF(B2030=0,VLOOKUP(A2029,Feuil2!$A$2:$M$1241,9,FALSE)," ")</f>
        <v xml:space="preserve"> </v>
      </c>
      <c r="K2030" s="1" t="str">
        <f>IF(B2030=0,VLOOKUP(A2029,Feuil2!$A$2:$M$1241,10,FALSE)," ")</f>
        <v xml:space="preserve"> </v>
      </c>
      <c r="L2030" s="1"/>
      <c r="M2030" s="1"/>
      <c r="N2030" s="1"/>
      <c r="O2030" s="8" t="e">
        <f>IF(B2042=0,VLOOKUP(A2040,Feuil2!$A$2:$M$1241,13,FALSE)," ")</f>
        <v>#N/A</v>
      </c>
    </row>
    <row r="2031" spans="1:15" x14ac:dyDescent="0.3">
      <c r="A2031" s="1">
        <v>2515</v>
      </c>
      <c r="B2031" s="1">
        <v>2</v>
      </c>
      <c r="C2031" s="1" t="s">
        <v>2216</v>
      </c>
      <c r="D2031" s="1" t="s">
        <v>2851</v>
      </c>
      <c r="E2031" s="5">
        <v>43502</v>
      </c>
      <c r="F2031" s="1" t="s">
        <v>17</v>
      </c>
      <c r="G2031" s="1" t="str">
        <f>IF(B2031=0,VLOOKUP(A2030,Feuil2!$A$2:$M$1241,11,FALSE)," ")</f>
        <v xml:space="preserve"> </v>
      </c>
      <c r="H2031" s="1" t="s">
        <v>16</v>
      </c>
      <c r="I2031" s="6" t="str">
        <f>IF(B2031=0,VLOOKUP(A2030,Feuil2!$A$2:$M$1241,7,FALSE)," ")</f>
        <v xml:space="preserve"> </v>
      </c>
      <c r="J2031" s="1" t="str">
        <f>IF(B2031=0,VLOOKUP(A2030,Feuil2!$A$2:$M$1241,9,FALSE)," ")</f>
        <v xml:space="preserve"> </v>
      </c>
      <c r="K2031" s="1" t="str">
        <f>IF(B2031=0,VLOOKUP(A2030,Feuil2!$A$2:$M$1241,10,FALSE)," ")</f>
        <v xml:space="preserve"> </v>
      </c>
      <c r="L2031" s="1"/>
      <c r="M2031" s="1"/>
      <c r="N2031" s="1"/>
      <c r="O2031" s="8" t="str">
        <f>IF(B2043=0,VLOOKUP(A2042,Feuil2!$A$2:$M$1241,13,FALSE)," ")</f>
        <v xml:space="preserve"> </v>
      </c>
    </row>
    <row r="2032" spans="1:15" x14ac:dyDescent="0.3">
      <c r="A2032" s="1">
        <v>2515</v>
      </c>
      <c r="B2032" s="1">
        <v>3</v>
      </c>
      <c r="C2032" s="1" t="s">
        <v>2216</v>
      </c>
      <c r="D2032" s="1" t="s">
        <v>3071</v>
      </c>
      <c r="E2032" s="5">
        <v>44048</v>
      </c>
      <c r="F2032" s="1" t="s">
        <v>506</v>
      </c>
      <c r="G2032" s="1" t="str">
        <f>IF(B2032=0,VLOOKUP(A2031,Feuil2!$A$2:$M$1241,11,FALSE)," ")</f>
        <v xml:space="preserve"> </v>
      </c>
      <c r="H2032" s="1" t="s">
        <v>16</v>
      </c>
      <c r="I2032" s="6" t="str">
        <f>IF(B2032=0,VLOOKUP(A2031,Feuil2!$A$2:$M$1241,7,FALSE)," ")</f>
        <v xml:space="preserve"> </v>
      </c>
      <c r="J2032" s="1" t="str">
        <f>IF(B2032=0,VLOOKUP(A2031,Feuil2!$A$2:$M$1241,9,FALSE)," ")</f>
        <v xml:space="preserve"> </v>
      </c>
      <c r="K2032" s="1" t="str">
        <f>IF(B2032=0,VLOOKUP(A2031,Feuil2!$A$2:$M$1241,10,FALSE)," ")</f>
        <v xml:space="preserve"> </v>
      </c>
      <c r="L2032" s="1"/>
      <c r="M2032" s="1"/>
      <c r="N2032" s="1"/>
      <c r="O2032" s="8" t="str">
        <f>IF(B2045=0,VLOOKUP(A2043,Feuil2!$A$2:$M$1241,13,FALSE)," ")</f>
        <v xml:space="preserve"> </v>
      </c>
    </row>
    <row r="2033" spans="1:15" x14ac:dyDescent="0.3">
      <c r="A2033" s="1">
        <v>2517</v>
      </c>
      <c r="B2033" s="12">
        <v>0</v>
      </c>
      <c r="C2033" s="12" t="s">
        <v>2216</v>
      </c>
      <c r="D2033" s="12" t="s">
        <v>353</v>
      </c>
      <c r="E2033" s="13">
        <v>32448</v>
      </c>
      <c r="F2033" s="12" t="s">
        <v>506</v>
      </c>
      <c r="G2033" s="12" t="s">
        <v>15</v>
      </c>
      <c r="H2033" s="12" t="s">
        <v>16</v>
      </c>
      <c r="I2033" s="14">
        <v>9282172</v>
      </c>
      <c r="J2033" s="12" t="s">
        <v>3072</v>
      </c>
      <c r="K2033" s="12" t="s">
        <v>513</v>
      </c>
      <c r="L2033" s="12"/>
      <c r="M2033" s="12">
        <v>27448230</v>
      </c>
      <c r="N2033" s="12"/>
      <c r="O2033" s="23" t="s">
        <v>3073</v>
      </c>
    </row>
    <row r="2034" spans="1:15" x14ac:dyDescent="0.3">
      <c r="A2034" s="1">
        <v>2517</v>
      </c>
      <c r="B2034" s="1">
        <v>1</v>
      </c>
      <c r="C2034" s="1" t="s">
        <v>3074</v>
      </c>
      <c r="D2034" s="1" t="s">
        <v>2484</v>
      </c>
      <c r="E2034" s="5">
        <v>34617</v>
      </c>
      <c r="F2034" s="1" t="s">
        <v>17</v>
      </c>
      <c r="G2034" s="1" t="s">
        <v>15</v>
      </c>
      <c r="H2034" s="1" t="s">
        <v>16</v>
      </c>
      <c r="I2034" s="6" t="str">
        <f>IF(B2034=0,VLOOKUP(A2033,Feuil2!$A$2:$M$1241,7,FALSE)," ")</f>
        <v xml:space="preserve"> </v>
      </c>
      <c r="J2034" s="1" t="str">
        <f>IF(B2034=0,VLOOKUP(A2033,Feuil2!$A$2:$M$1241,9,FALSE)," ")</f>
        <v xml:space="preserve"> </v>
      </c>
      <c r="K2034" s="1" t="str">
        <f>IF(B2034=0,VLOOKUP(A2033,Feuil2!$A$2:$M$1241,10,FALSE)," ")</f>
        <v xml:space="preserve"> </v>
      </c>
      <c r="L2034" s="1"/>
      <c r="M2034" s="1"/>
      <c r="N2034" s="1"/>
      <c r="O2034" s="8" t="e">
        <f>IF(#REF!=0,VLOOKUP(A2046,Feuil2!$A$2:$M$1241,13,FALSE)," ")</f>
        <v>#REF!</v>
      </c>
    </row>
    <row r="2035" spans="1:15" x14ac:dyDescent="0.3">
      <c r="A2035" s="1">
        <v>2517</v>
      </c>
      <c r="B2035" s="1">
        <v>2</v>
      </c>
      <c r="C2035" s="1" t="s">
        <v>2216</v>
      </c>
      <c r="D2035" s="1" t="s">
        <v>3075</v>
      </c>
      <c r="E2035" s="5">
        <v>43368</v>
      </c>
      <c r="F2035" s="1" t="s">
        <v>17</v>
      </c>
      <c r="G2035" s="1" t="str">
        <f>IF(B2035=0,VLOOKUP(A2034,Feuil2!$A$2:$M$1241,11,FALSE)," ")</f>
        <v xml:space="preserve"> </v>
      </c>
      <c r="H2035" s="1" t="s">
        <v>16</v>
      </c>
      <c r="I2035" s="6" t="str">
        <f>IF(B2035=0,VLOOKUP(A2034,Feuil2!$A$2:$M$1241,7,FALSE)," ")</f>
        <v xml:space="preserve"> </v>
      </c>
      <c r="J2035" s="1" t="str">
        <f>IF(B2035=0,VLOOKUP(A2034,Feuil2!$A$2:$M$1241,9,FALSE)," ")</f>
        <v xml:space="preserve"> </v>
      </c>
      <c r="K2035" s="1" t="str">
        <f>IF(B2035=0,VLOOKUP(A2034,Feuil2!$A$2:$M$1241,10,FALSE)," ")</f>
        <v xml:space="preserve"> </v>
      </c>
      <c r="L2035" s="1"/>
      <c r="M2035" s="1"/>
      <c r="N2035" s="1"/>
      <c r="O2035" s="8" t="e">
        <f>IF(B2047=0,VLOOKUP(#REF!,Feuil2!$A$2:$M$1241,13,FALSE)," ")</f>
        <v>#REF!</v>
      </c>
    </row>
    <row r="2036" spans="1:15" x14ac:dyDescent="0.3">
      <c r="A2036" s="1">
        <v>2517</v>
      </c>
      <c r="B2036" s="1">
        <v>3</v>
      </c>
      <c r="C2036" s="1" t="s">
        <v>2216</v>
      </c>
      <c r="D2036" s="1" t="s">
        <v>61</v>
      </c>
      <c r="E2036" s="5">
        <v>43786</v>
      </c>
      <c r="F2036" s="1" t="s">
        <v>506</v>
      </c>
      <c r="G2036" s="1" t="str">
        <f>IF(B2036=0,VLOOKUP(A2035,Feuil2!$A$2:$M$1241,11,FALSE)," ")</f>
        <v xml:space="preserve"> </v>
      </c>
      <c r="H2036" s="1" t="s">
        <v>16</v>
      </c>
      <c r="I2036" s="6" t="str">
        <f>IF(B2036=0,VLOOKUP(A2035,Feuil2!$A$2:$M$1241,7,FALSE)," ")</f>
        <v xml:space="preserve"> </v>
      </c>
      <c r="J2036" s="1" t="str">
        <f>IF(B2036=0,VLOOKUP(A2035,Feuil2!$A$2:$M$1241,9,FALSE)," ")</f>
        <v xml:space="preserve"> </v>
      </c>
      <c r="K2036" s="1" t="str">
        <f>IF(B2036=0,VLOOKUP(A2035,Feuil2!$A$2:$M$1241,10,FALSE)," ")</f>
        <v xml:space="preserve"> </v>
      </c>
      <c r="L2036" s="1"/>
      <c r="M2036" s="1"/>
      <c r="N2036" s="1"/>
      <c r="O2036" s="8" t="str">
        <f>IF(B2048=0,VLOOKUP(A2047,Feuil2!$A$2:$M$1241,13,FALSE)," ")</f>
        <v xml:space="preserve"> </v>
      </c>
    </row>
    <row r="2037" spans="1:15" x14ac:dyDescent="0.3">
      <c r="A2037" s="1">
        <v>2525</v>
      </c>
      <c r="B2037" s="12">
        <v>0</v>
      </c>
      <c r="C2037" s="12" t="s">
        <v>182</v>
      </c>
      <c r="D2037" s="12" t="s">
        <v>2673</v>
      </c>
      <c r="E2037" s="13">
        <v>35892</v>
      </c>
      <c r="F2037" s="12" t="s">
        <v>506</v>
      </c>
      <c r="G2037" s="12" t="s">
        <v>15</v>
      </c>
      <c r="H2037" s="12" t="s">
        <v>16</v>
      </c>
      <c r="I2037" s="14">
        <v>12841757</v>
      </c>
      <c r="J2037" s="12" t="s">
        <v>3076</v>
      </c>
      <c r="K2037" s="12" t="s">
        <v>513</v>
      </c>
      <c r="L2037" s="12"/>
      <c r="M2037" s="12">
        <v>56700132</v>
      </c>
      <c r="N2037" s="12"/>
      <c r="O2037" s="23" t="s">
        <v>3077</v>
      </c>
    </row>
    <row r="2038" spans="1:15" x14ac:dyDescent="0.3">
      <c r="A2038" s="1">
        <v>2525</v>
      </c>
      <c r="B2038" s="1">
        <v>1</v>
      </c>
      <c r="C2038" s="1" t="s">
        <v>3078</v>
      </c>
      <c r="D2038" s="1" t="s">
        <v>2363</v>
      </c>
      <c r="E2038" s="5">
        <v>36489</v>
      </c>
      <c r="F2038" s="1" t="s">
        <v>17</v>
      </c>
      <c r="G2038" s="1" t="s">
        <v>15</v>
      </c>
      <c r="H2038" s="1" t="s">
        <v>16</v>
      </c>
      <c r="I2038" s="6" t="str">
        <f>IF(B2038=0,VLOOKUP(A2037,Feuil2!$A$2:$M$1241,7,FALSE)," ")</f>
        <v xml:space="preserve"> </v>
      </c>
      <c r="J2038" s="1" t="str">
        <f>IF(B2038=0,VLOOKUP(A2037,Feuil2!$A$2:$M$1241,9,FALSE)," ")</f>
        <v xml:space="preserve"> </v>
      </c>
      <c r="K2038" s="1" t="str">
        <f>IF(B2038=0,VLOOKUP(A2037,Feuil2!$A$2:$M$1241,10,FALSE)," ")</f>
        <v xml:space="preserve"> </v>
      </c>
      <c r="L2038" s="1"/>
      <c r="M2038" s="1"/>
      <c r="N2038" s="1"/>
      <c r="O2038" s="8" t="e">
        <f>IF(#REF!=0,VLOOKUP(#REF!,Feuil2!$A$2:$M$1241,13,FALSE)," ")</f>
        <v>#REF!</v>
      </c>
    </row>
    <row r="2039" spans="1:15" x14ac:dyDescent="0.3">
      <c r="A2039" s="1">
        <v>2525</v>
      </c>
      <c r="B2039" s="1">
        <v>2</v>
      </c>
      <c r="C2039" s="1" t="s">
        <v>182</v>
      </c>
      <c r="D2039" s="1" t="s">
        <v>2799</v>
      </c>
      <c r="E2039" s="5">
        <v>45676</v>
      </c>
      <c r="F2039" s="1" t="s">
        <v>17</v>
      </c>
      <c r="G2039" s="1"/>
      <c r="H2039" s="1"/>
      <c r="I2039" s="6"/>
      <c r="J2039" s="1"/>
      <c r="K2039" s="1"/>
      <c r="L2039" s="1"/>
      <c r="M2039" s="1"/>
      <c r="N2039" s="1"/>
      <c r="O2039" s="8"/>
    </row>
    <row r="2040" spans="1:15" x14ac:dyDescent="0.3">
      <c r="A2040" s="1">
        <v>2526</v>
      </c>
      <c r="B2040" s="12">
        <v>0</v>
      </c>
      <c r="C2040" s="12" t="s">
        <v>676</v>
      </c>
      <c r="D2040" s="12" t="s">
        <v>110</v>
      </c>
      <c r="E2040" s="13">
        <v>35331</v>
      </c>
      <c r="F2040" s="12" t="s">
        <v>506</v>
      </c>
      <c r="G2040" s="12" t="s">
        <v>15</v>
      </c>
      <c r="H2040" s="12" t="s">
        <v>16</v>
      </c>
      <c r="I2040" s="14">
        <v>12808954</v>
      </c>
      <c r="J2040" s="12" t="s">
        <v>3079</v>
      </c>
      <c r="K2040" s="12" t="s">
        <v>2940</v>
      </c>
      <c r="L2040" s="12"/>
      <c r="M2040" s="12">
        <v>98783204</v>
      </c>
      <c r="N2040" s="12"/>
      <c r="O2040" s="23" t="s">
        <v>3080</v>
      </c>
    </row>
    <row r="2041" spans="1:15" x14ac:dyDescent="0.3">
      <c r="A2041" s="1">
        <v>2526</v>
      </c>
      <c r="B2041" s="1">
        <v>1</v>
      </c>
      <c r="C2041" s="1" t="s">
        <v>660</v>
      </c>
      <c r="D2041" s="1" t="s">
        <v>2345</v>
      </c>
      <c r="E2041" s="5">
        <v>36617</v>
      </c>
      <c r="F2041" s="1" t="s">
        <v>17</v>
      </c>
      <c r="G2041" s="1" t="s">
        <v>15</v>
      </c>
      <c r="H2041" s="1"/>
      <c r="I2041" s="6"/>
      <c r="J2041" s="1"/>
      <c r="K2041" s="1"/>
      <c r="L2041" s="1"/>
      <c r="M2041" s="1"/>
      <c r="N2041" s="1"/>
      <c r="O2041" s="10"/>
    </row>
    <row r="2042" spans="1:15" x14ac:dyDescent="0.3">
      <c r="A2042" s="1">
        <v>2536</v>
      </c>
      <c r="B2042" s="12">
        <v>0</v>
      </c>
      <c r="C2042" s="12" t="s">
        <v>182</v>
      </c>
      <c r="D2042" s="12" t="s">
        <v>3024</v>
      </c>
      <c r="E2042" s="13">
        <v>34738</v>
      </c>
      <c r="F2042" s="12" t="s">
        <v>506</v>
      </c>
      <c r="G2042" s="12" t="s">
        <v>15</v>
      </c>
      <c r="H2042" s="12" t="s">
        <v>16</v>
      </c>
      <c r="I2042" s="14">
        <v>12805411</v>
      </c>
      <c r="J2042" s="12" t="s">
        <v>3081</v>
      </c>
      <c r="K2042" s="12" t="s">
        <v>2940</v>
      </c>
      <c r="L2042" s="12"/>
      <c r="M2042" s="12">
        <v>98793843</v>
      </c>
      <c r="N2042" s="12"/>
      <c r="O2042" s="23" t="s">
        <v>3082</v>
      </c>
    </row>
    <row r="2043" spans="1:15" x14ac:dyDescent="0.3">
      <c r="A2043" s="1">
        <v>2536</v>
      </c>
      <c r="B2043" s="1">
        <v>1</v>
      </c>
      <c r="C2043" s="1" t="s">
        <v>1199</v>
      </c>
      <c r="D2043" s="1" t="s">
        <v>1925</v>
      </c>
      <c r="E2043" s="5">
        <v>35994</v>
      </c>
      <c r="F2043" s="1" t="s">
        <v>17</v>
      </c>
      <c r="G2043" s="1" t="s">
        <v>15</v>
      </c>
      <c r="H2043" s="1" t="s">
        <v>16</v>
      </c>
      <c r="I2043" s="6" t="str">
        <f>IF(B2043=0,VLOOKUP(A2042,Feuil2!$A$2:$M$1241,7,FALSE)," ")</f>
        <v xml:space="preserve"> </v>
      </c>
      <c r="J2043" s="1" t="str">
        <f>IF(B2043=0,VLOOKUP(A2042,Feuil2!$A$2:$M$1241,9,FALSE)," ")</f>
        <v xml:space="preserve"> </v>
      </c>
      <c r="K2043" s="1" t="str">
        <f>IF(B2043=0,VLOOKUP(A2042,Feuil2!$A$2:$M$1241,10,FALSE)," ")</f>
        <v xml:space="preserve"> </v>
      </c>
      <c r="L2043" s="1"/>
      <c r="M2043" s="1"/>
      <c r="N2043" s="1"/>
      <c r="O2043" s="8" t="e">
        <f>IF(B2053=0,VLOOKUP(A2052,Feuil2!$A$2:$M$1241,13,FALSE)," ")</f>
        <v>#N/A</v>
      </c>
    </row>
    <row r="2044" spans="1:15" x14ac:dyDescent="0.3">
      <c r="A2044" s="1">
        <v>2536</v>
      </c>
      <c r="B2044" s="1">
        <v>2</v>
      </c>
      <c r="C2044" s="1" t="s">
        <v>182</v>
      </c>
      <c r="D2044" s="1" t="s">
        <v>3207</v>
      </c>
      <c r="E2044" s="5">
        <v>45436</v>
      </c>
      <c r="F2044" s="1" t="s">
        <v>17</v>
      </c>
      <c r="G2044" s="1"/>
      <c r="H2044" s="1"/>
      <c r="I2044" s="6"/>
      <c r="J2044" s="1"/>
      <c r="K2044" s="1"/>
      <c r="L2044" s="1"/>
      <c r="M2044" s="1"/>
      <c r="N2044" s="1"/>
      <c r="O2044" s="8"/>
    </row>
    <row r="2045" spans="1:15" x14ac:dyDescent="0.3">
      <c r="A2045" s="1">
        <v>2627</v>
      </c>
      <c r="B2045" s="17">
        <v>2</v>
      </c>
      <c r="C2045" s="17" t="s">
        <v>582</v>
      </c>
      <c r="D2045" s="17" t="s">
        <v>61</v>
      </c>
      <c r="E2045" s="18">
        <v>33181</v>
      </c>
      <c r="F2045" s="17" t="s">
        <v>506</v>
      </c>
      <c r="G2045" s="17" t="s">
        <v>2257</v>
      </c>
      <c r="H2045" s="17" t="s">
        <v>16</v>
      </c>
      <c r="I2045" s="19">
        <v>9275140</v>
      </c>
      <c r="J2045" s="17" t="s">
        <v>3083</v>
      </c>
      <c r="K2045" s="17" t="s">
        <v>2940</v>
      </c>
      <c r="L2045" s="17"/>
      <c r="M2045" s="17">
        <v>23214351</v>
      </c>
      <c r="N2045" s="17"/>
      <c r="O2045" s="21" t="s">
        <v>3084</v>
      </c>
    </row>
    <row r="2046" spans="1:15" x14ac:dyDescent="0.3">
      <c r="A2046" s="1">
        <v>2306</v>
      </c>
      <c r="B2046" s="12">
        <v>0</v>
      </c>
      <c r="C2046" s="12" t="s">
        <v>936</v>
      </c>
      <c r="D2046" s="12" t="s">
        <v>3085</v>
      </c>
      <c r="E2046" s="13">
        <v>36451</v>
      </c>
      <c r="F2046" s="12" t="s">
        <v>506</v>
      </c>
      <c r="G2046" s="12" t="s">
        <v>2257</v>
      </c>
      <c r="H2046" s="12" t="s">
        <v>16</v>
      </c>
      <c r="I2046" s="14">
        <v>12851621</v>
      </c>
      <c r="J2046" s="12" t="s">
        <v>3086</v>
      </c>
      <c r="K2046" s="12" t="s">
        <v>513</v>
      </c>
      <c r="L2046" s="12"/>
      <c r="M2046" s="12">
        <v>29207380</v>
      </c>
      <c r="N2046" s="12"/>
      <c r="O2046" s="23" t="s">
        <v>3087</v>
      </c>
    </row>
    <row r="2047" spans="1:15" x14ac:dyDescent="0.3">
      <c r="A2047" s="1">
        <v>2212</v>
      </c>
      <c r="B2047" s="12">
        <v>0</v>
      </c>
      <c r="C2047" s="12" t="s">
        <v>182</v>
      </c>
      <c r="D2047" s="12" t="s">
        <v>2273</v>
      </c>
      <c r="E2047" s="13">
        <v>35568</v>
      </c>
      <c r="F2047" s="12" t="s">
        <v>506</v>
      </c>
      <c r="G2047" s="12" t="s">
        <v>15</v>
      </c>
      <c r="H2047" s="12" t="s">
        <v>16</v>
      </c>
      <c r="I2047" s="14">
        <v>12817909</v>
      </c>
      <c r="J2047" s="12" t="s">
        <v>2276</v>
      </c>
      <c r="K2047" s="12" t="s">
        <v>513</v>
      </c>
      <c r="L2047" s="12"/>
      <c r="M2047" s="12"/>
      <c r="N2047" s="12"/>
      <c r="O2047" s="23" t="s">
        <v>3088</v>
      </c>
    </row>
    <row r="2048" spans="1:15" x14ac:dyDescent="0.3">
      <c r="A2048" s="1">
        <v>2212</v>
      </c>
      <c r="B2048" s="1">
        <v>1</v>
      </c>
      <c r="C2048" s="1" t="s">
        <v>3089</v>
      </c>
      <c r="D2048" s="1" t="s">
        <v>2367</v>
      </c>
      <c r="E2048" s="5">
        <v>35341</v>
      </c>
      <c r="F2048" s="1" t="s">
        <v>17</v>
      </c>
      <c r="G2048" s="1" t="s">
        <v>15</v>
      </c>
      <c r="H2048" s="1" t="s">
        <v>16</v>
      </c>
      <c r="I2048" s="6" t="str">
        <f>IF(B2048=0,VLOOKUP(A2047,Feuil2!$A$2:$M$1241,7,FALSE)," ")</f>
        <v xml:space="preserve"> </v>
      </c>
      <c r="J2048" s="1" t="str">
        <f>IF(B2048=0,VLOOKUP(A2047,Feuil2!$A$2:$M$1241,9,FALSE)," ")</f>
        <v xml:space="preserve"> </v>
      </c>
      <c r="K2048" s="1" t="str">
        <f>IF(B2048=0,VLOOKUP(A2047,Feuil2!$A$2:$M$1241,10,FALSE)," ")</f>
        <v xml:space="preserve"> </v>
      </c>
      <c r="L2048" s="1"/>
      <c r="M2048" s="1"/>
      <c r="N2048" s="1"/>
      <c r="O2048" s="8" t="e">
        <f>IF(B2060=0,VLOOKUP(A2059,Feuil2!$A$2:$M$1241,13,FALSE)," ")</f>
        <v>#N/A</v>
      </c>
    </row>
    <row r="2049" spans="1:15" x14ac:dyDescent="0.3">
      <c r="A2049" s="1">
        <v>2212</v>
      </c>
      <c r="B2049" s="1">
        <v>2</v>
      </c>
      <c r="C2049" s="1" t="s">
        <v>182</v>
      </c>
      <c r="D2049" s="1" t="s">
        <v>3228</v>
      </c>
      <c r="E2049" s="5"/>
      <c r="F2049" s="1" t="s">
        <v>17</v>
      </c>
      <c r="G2049" s="1"/>
      <c r="H2049" s="1"/>
      <c r="I2049" s="6"/>
      <c r="J2049" s="1"/>
      <c r="K2049" s="1"/>
      <c r="L2049" s="1"/>
      <c r="M2049" s="1"/>
      <c r="N2049" s="1"/>
      <c r="O2049" s="8"/>
    </row>
    <row r="2050" spans="1:15" x14ac:dyDescent="0.3">
      <c r="A2050" s="1">
        <v>2212</v>
      </c>
      <c r="B2050" s="1">
        <v>3</v>
      </c>
      <c r="C2050" s="1" t="s">
        <v>182</v>
      </c>
      <c r="D2050" s="1" t="s">
        <v>2746</v>
      </c>
      <c r="E2050" s="5">
        <v>45972</v>
      </c>
      <c r="F2050" s="1" t="s">
        <v>17</v>
      </c>
      <c r="G2050" s="1"/>
      <c r="H2050" s="1"/>
      <c r="I2050" s="6"/>
      <c r="J2050" s="1"/>
      <c r="K2050" s="1"/>
      <c r="L2050" s="1"/>
      <c r="M2050" s="1"/>
      <c r="N2050" s="1"/>
      <c r="O2050" s="8"/>
    </row>
    <row r="2051" spans="1:15" x14ac:dyDescent="0.3">
      <c r="A2051" s="1">
        <v>2615</v>
      </c>
      <c r="B2051" s="17">
        <v>0</v>
      </c>
      <c r="C2051" s="17" t="s">
        <v>3092</v>
      </c>
      <c r="D2051" s="17" t="s">
        <v>122</v>
      </c>
      <c r="E2051" s="18">
        <v>36662</v>
      </c>
      <c r="F2051" s="17" t="s">
        <v>506</v>
      </c>
      <c r="G2051" s="17" t="s">
        <v>2257</v>
      </c>
      <c r="H2051" s="17" t="s">
        <v>16</v>
      </c>
      <c r="I2051" s="19">
        <v>12856188</v>
      </c>
      <c r="J2051" s="17" t="s">
        <v>3093</v>
      </c>
      <c r="K2051" s="17" t="s">
        <v>513</v>
      </c>
      <c r="L2051" s="17"/>
      <c r="M2051" s="17">
        <v>56414800</v>
      </c>
      <c r="N2051" s="17"/>
      <c r="O2051" s="21" t="s">
        <v>3094</v>
      </c>
    </row>
    <row r="2052" spans="1:15" x14ac:dyDescent="0.3">
      <c r="A2052" s="1">
        <v>2286</v>
      </c>
      <c r="B2052" s="12">
        <v>0</v>
      </c>
      <c r="C2052" s="12" t="s">
        <v>3095</v>
      </c>
      <c r="D2052" s="12" t="s">
        <v>3096</v>
      </c>
      <c r="E2052" s="13">
        <v>35267</v>
      </c>
      <c r="F2052" s="12" t="s">
        <v>506</v>
      </c>
      <c r="G2052" s="12" t="s">
        <v>2257</v>
      </c>
      <c r="H2052" s="12" t="s">
        <v>16</v>
      </c>
      <c r="I2052" s="14">
        <v>12831869</v>
      </c>
      <c r="J2052" s="12" t="s">
        <v>2892</v>
      </c>
      <c r="K2052" s="12" t="s">
        <v>513</v>
      </c>
      <c r="L2052" s="12"/>
      <c r="M2052" s="12">
        <v>29019007</v>
      </c>
      <c r="N2052" s="12"/>
      <c r="O2052" s="23" t="s">
        <v>3097</v>
      </c>
    </row>
    <row r="2053" spans="1:15" x14ac:dyDescent="0.3">
      <c r="A2053" s="1">
        <v>2404</v>
      </c>
      <c r="B2053" s="12">
        <v>0</v>
      </c>
      <c r="C2053" s="12" t="s">
        <v>2813</v>
      </c>
      <c r="D2053" s="12" t="s">
        <v>2383</v>
      </c>
      <c r="E2053" s="13">
        <v>36135</v>
      </c>
      <c r="F2053" s="12" t="s">
        <v>17</v>
      </c>
      <c r="G2053" s="12" t="s">
        <v>2257</v>
      </c>
      <c r="H2053" s="12" t="s">
        <v>16</v>
      </c>
      <c r="I2053" s="14">
        <v>12837514</v>
      </c>
      <c r="J2053" s="12" t="s">
        <v>3098</v>
      </c>
      <c r="K2053" s="12" t="s">
        <v>2291</v>
      </c>
      <c r="L2053" s="12"/>
      <c r="M2053" s="12">
        <v>98793776</v>
      </c>
      <c r="N2053" s="12"/>
      <c r="O2053" s="23" t="s">
        <v>3099</v>
      </c>
    </row>
    <row r="2054" spans="1:15" x14ac:dyDescent="0.3">
      <c r="A2054" s="1">
        <v>2427</v>
      </c>
      <c r="B2054" s="12">
        <v>0</v>
      </c>
      <c r="C2054" s="12" t="s">
        <v>3100</v>
      </c>
      <c r="D2054" s="12" t="s">
        <v>89</v>
      </c>
      <c r="E2054" s="13">
        <v>36689</v>
      </c>
      <c r="F2054" s="12" t="s">
        <v>506</v>
      </c>
      <c r="G2054" s="12" t="s">
        <v>2257</v>
      </c>
      <c r="H2054" s="12" t="s">
        <v>16</v>
      </c>
      <c r="I2054" s="14">
        <v>12865433</v>
      </c>
      <c r="J2054" s="12" t="s">
        <v>3101</v>
      </c>
      <c r="K2054" s="12" t="s">
        <v>3102</v>
      </c>
      <c r="L2054" s="12"/>
      <c r="M2054" s="12">
        <v>99112657</v>
      </c>
      <c r="N2054" s="12"/>
      <c r="O2054" s="23" t="s">
        <v>3103</v>
      </c>
    </row>
    <row r="2055" spans="1:15" x14ac:dyDescent="0.3">
      <c r="A2055" s="1">
        <v>2444</v>
      </c>
      <c r="B2055" s="12">
        <v>0</v>
      </c>
      <c r="C2055" s="12" t="s">
        <v>75</v>
      </c>
      <c r="D2055" s="12" t="s">
        <v>81</v>
      </c>
      <c r="E2055" s="13">
        <v>33474</v>
      </c>
      <c r="F2055" s="12" t="s">
        <v>506</v>
      </c>
      <c r="G2055" s="12" t="s">
        <v>15</v>
      </c>
      <c r="H2055" s="12" t="s">
        <v>16</v>
      </c>
      <c r="I2055" s="14">
        <v>9322625</v>
      </c>
      <c r="J2055" s="12" t="s">
        <v>3104</v>
      </c>
      <c r="K2055" s="12" t="s">
        <v>513</v>
      </c>
      <c r="L2055" s="12"/>
      <c r="M2055" s="12">
        <v>98793594</v>
      </c>
      <c r="N2055" s="12"/>
      <c r="O2055" s="23" t="s">
        <v>3105</v>
      </c>
    </row>
    <row r="2056" spans="1:15" x14ac:dyDescent="0.3">
      <c r="A2056" s="1">
        <v>2444</v>
      </c>
      <c r="B2056" s="1">
        <v>1</v>
      </c>
      <c r="C2056" s="1" t="s">
        <v>190</v>
      </c>
      <c r="D2056" s="1" t="s">
        <v>3181</v>
      </c>
      <c r="E2056" s="5">
        <v>32826</v>
      </c>
      <c r="F2056" s="1" t="s">
        <v>17</v>
      </c>
      <c r="G2056" s="1" t="s">
        <v>15</v>
      </c>
      <c r="H2056" s="1"/>
      <c r="I2056" s="6"/>
      <c r="J2056" s="1"/>
      <c r="K2056" s="1"/>
      <c r="L2056" s="1"/>
      <c r="M2056" s="1"/>
      <c r="N2056" s="1"/>
      <c r="O2056" s="10"/>
    </row>
    <row r="2057" spans="1:15" x14ac:dyDescent="0.3">
      <c r="A2057" s="1">
        <v>2444</v>
      </c>
      <c r="B2057" s="1">
        <v>2</v>
      </c>
      <c r="C2057" s="1" t="s">
        <v>75</v>
      </c>
      <c r="D2057" s="1" t="s">
        <v>2657</v>
      </c>
      <c r="E2057" s="5">
        <v>45805</v>
      </c>
      <c r="F2057" s="1" t="s">
        <v>506</v>
      </c>
      <c r="G2057" s="1"/>
      <c r="H2057" s="1"/>
      <c r="I2057" s="6"/>
      <c r="J2057" s="1"/>
      <c r="K2057" s="1"/>
      <c r="L2057" s="1"/>
      <c r="M2057" s="1"/>
      <c r="N2057" s="1"/>
      <c r="O2057" s="10"/>
    </row>
    <row r="2058" spans="1:15" x14ac:dyDescent="0.3">
      <c r="A2058" s="1">
        <v>2480</v>
      </c>
      <c r="B2058" s="17">
        <v>0</v>
      </c>
      <c r="C2058" s="17" t="s">
        <v>83</v>
      </c>
      <c r="D2058" s="17" t="s">
        <v>89</v>
      </c>
      <c r="E2058" s="18">
        <v>32386</v>
      </c>
      <c r="F2058" s="17" t="s">
        <v>506</v>
      </c>
      <c r="G2058" s="17" t="s">
        <v>2257</v>
      </c>
      <c r="H2058" s="17" t="s">
        <v>16</v>
      </c>
      <c r="I2058" s="19">
        <v>9290101</v>
      </c>
      <c r="J2058" s="17" t="s">
        <v>3106</v>
      </c>
      <c r="K2058" s="17" t="s">
        <v>513</v>
      </c>
      <c r="L2058" s="17"/>
      <c r="M2058" s="17">
        <v>28404615</v>
      </c>
      <c r="N2058" s="17"/>
      <c r="O2058" s="21" t="s">
        <v>3107</v>
      </c>
    </row>
    <row r="2059" spans="1:15" x14ac:dyDescent="0.3">
      <c r="A2059" s="1">
        <v>2565</v>
      </c>
      <c r="B2059" s="12">
        <v>0</v>
      </c>
      <c r="C2059" s="12" t="s">
        <v>37</v>
      </c>
      <c r="D2059" s="12" t="s">
        <v>118</v>
      </c>
      <c r="E2059" s="13">
        <v>36877</v>
      </c>
      <c r="F2059" s="12" t="s">
        <v>506</v>
      </c>
      <c r="G2059" s="12" t="s">
        <v>2257</v>
      </c>
      <c r="H2059" s="12" t="s">
        <v>16</v>
      </c>
      <c r="I2059" s="14">
        <v>12855151</v>
      </c>
      <c r="J2059" s="12" t="s">
        <v>3108</v>
      </c>
      <c r="K2059" s="12" t="s">
        <v>513</v>
      </c>
      <c r="L2059" s="12"/>
      <c r="M2059" s="12">
        <v>2718977</v>
      </c>
      <c r="N2059" s="12"/>
      <c r="O2059" s="23" t="s">
        <v>3109</v>
      </c>
    </row>
    <row r="2060" spans="1:15" x14ac:dyDescent="0.3">
      <c r="A2060" s="1">
        <v>2595</v>
      </c>
      <c r="B2060" s="12">
        <v>0</v>
      </c>
      <c r="C2060" s="12" t="s">
        <v>1655</v>
      </c>
      <c r="D2060" s="12" t="s">
        <v>1596</v>
      </c>
      <c r="E2060" s="13">
        <v>36137</v>
      </c>
      <c r="F2060" s="12" t="s">
        <v>506</v>
      </c>
      <c r="G2060" s="12" t="s">
        <v>2257</v>
      </c>
      <c r="H2060" s="12" t="s">
        <v>16</v>
      </c>
      <c r="I2060" s="14">
        <v>12808652</v>
      </c>
      <c r="J2060" s="12" t="s">
        <v>2136</v>
      </c>
      <c r="K2060" s="12" t="s">
        <v>513</v>
      </c>
      <c r="L2060" s="12"/>
      <c r="M2060" s="12">
        <v>28622537</v>
      </c>
      <c r="N2060" s="12"/>
      <c r="O2060" s="23" t="s">
        <v>3110</v>
      </c>
    </row>
    <row r="2061" spans="1:15" x14ac:dyDescent="0.3">
      <c r="A2061" s="1">
        <v>2640</v>
      </c>
      <c r="B2061" s="12">
        <v>0</v>
      </c>
      <c r="C2061" s="12" t="s">
        <v>3111</v>
      </c>
      <c r="D2061" s="12" t="s">
        <v>2567</v>
      </c>
      <c r="E2061" s="13">
        <v>33363</v>
      </c>
      <c r="F2061" s="12" t="s">
        <v>506</v>
      </c>
      <c r="G2061" s="12" t="s">
        <v>2257</v>
      </c>
      <c r="H2061" s="12" t="s">
        <v>16</v>
      </c>
      <c r="I2061" s="14">
        <v>9291514</v>
      </c>
      <c r="J2061" s="12" t="s">
        <v>3112</v>
      </c>
      <c r="K2061" s="12" t="s">
        <v>513</v>
      </c>
      <c r="L2061" s="12"/>
      <c r="M2061" s="12">
        <v>21858688</v>
      </c>
      <c r="N2061" s="12"/>
      <c r="O2061" s="23" t="s">
        <v>3113</v>
      </c>
    </row>
    <row r="2062" spans="1:15" x14ac:dyDescent="0.3">
      <c r="A2062" s="1">
        <v>2648</v>
      </c>
      <c r="B2062" s="17">
        <v>0</v>
      </c>
      <c r="C2062" s="17" t="s">
        <v>3114</v>
      </c>
      <c r="D2062" s="17" t="s">
        <v>1596</v>
      </c>
      <c r="E2062" s="18">
        <v>33114</v>
      </c>
      <c r="F2062" s="17" t="s">
        <v>506</v>
      </c>
      <c r="G2062" s="17" t="s">
        <v>15</v>
      </c>
      <c r="H2062" s="17" t="s">
        <v>16</v>
      </c>
      <c r="I2062" s="19">
        <v>9311113</v>
      </c>
      <c r="J2062" s="17" t="s">
        <v>3115</v>
      </c>
      <c r="K2062" s="17" t="s">
        <v>513</v>
      </c>
      <c r="L2062" s="17"/>
      <c r="M2062" s="17">
        <v>58958182</v>
      </c>
      <c r="N2062" s="17"/>
      <c r="O2062" s="21" t="s">
        <v>3116</v>
      </c>
    </row>
    <row r="2063" spans="1:15" x14ac:dyDescent="0.3">
      <c r="A2063" s="1">
        <v>2648</v>
      </c>
      <c r="B2063" s="1">
        <v>1</v>
      </c>
      <c r="C2063" s="1" t="s">
        <v>318</v>
      </c>
      <c r="D2063" s="1" t="s">
        <v>2371</v>
      </c>
      <c r="E2063" s="5">
        <v>33324</v>
      </c>
      <c r="F2063" s="1" t="s">
        <v>17</v>
      </c>
      <c r="G2063" s="1" t="s">
        <v>15</v>
      </c>
      <c r="H2063" s="1" t="s">
        <v>16</v>
      </c>
      <c r="I2063" s="6" t="str">
        <f>IF(B2063=0,VLOOKUP(A2062,Feuil2!$A$2:$M$1241,7,FALSE)," ")</f>
        <v xml:space="preserve"> </v>
      </c>
      <c r="J2063" s="1" t="str">
        <f>IF(B2063=0,VLOOKUP(A2062,Feuil2!$A$2:$M$1241,9,FALSE)," ")</f>
        <v xml:space="preserve"> </v>
      </c>
      <c r="K2063" s="1" t="str">
        <f>IF(B2063=0,VLOOKUP(A2062,Feuil2!$A$2:$M$1241,10,FALSE)," ")</f>
        <v xml:space="preserve"> </v>
      </c>
      <c r="L2063" s="1"/>
      <c r="M2063" s="1"/>
      <c r="N2063" s="1"/>
      <c r="O2063" s="8" t="e">
        <f>IF(B2075=0,VLOOKUP(A2074,Feuil2!$A$2:$M$1241,13,FALSE)," ")</f>
        <v>#N/A</v>
      </c>
    </row>
    <row r="2064" spans="1:15" x14ac:dyDescent="0.3">
      <c r="A2064" s="1">
        <v>2648</v>
      </c>
      <c r="B2064" s="1">
        <v>2</v>
      </c>
      <c r="C2064" s="1" t="s">
        <v>3114</v>
      </c>
      <c r="D2064" s="1" t="s">
        <v>172</v>
      </c>
      <c r="E2064" s="5">
        <v>44390</v>
      </c>
      <c r="F2064" s="1" t="s">
        <v>506</v>
      </c>
      <c r="G2064" s="1" t="str">
        <f>IF(B2064=0,VLOOKUP(A2063,Feuil2!$A$2:$M$1241,11,FALSE)," ")</f>
        <v xml:space="preserve"> </v>
      </c>
      <c r="H2064" s="1" t="s">
        <v>16</v>
      </c>
      <c r="I2064" s="6" t="str">
        <f>IF(B2064=0,VLOOKUP(A2063,Feuil2!$A$2:$M$1241,7,FALSE)," ")</f>
        <v xml:space="preserve"> </v>
      </c>
      <c r="J2064" s="1" t="str">
        <f>IF(B2064=0,VLOOKUP(A2063,Feuil2!$A$2:$M$1241,9,FALSE)," ")</f>
        <v xml:space="preserve"> </v>
      </c>
      <c r="K2064" s="1" t="str">
        <f>IF(B2064=0,VLOOKUP(A2063,Feuil2!$A$2:$M$1241,10,FALSE)," ")</f>
        <v xml:space="preserve"> </v>
      </c>
      <c r="L2064" s="1"/>
      <c r="M2064" s="1"/>
      <c r="N2064" s="1"/>
      <c r="O2064" s="8" t="e">
        <f>IF(B2076=0,VLOOKUP(A2075,Feuil2!$A$2:$M$1241,13,FALSE)," ")</f>
        <v>#N/A</v>
      </c>
    </row>
    <row r="2065" spans="1:15" x14ac:dyDescent="0.3">
      <c r="A2065" s="1">
        <v>2366</v>
      </c>
      <c r="B2065" s="12">
        <v>0</v>
      </c>
      <c r="C2065" s="12" t="s">
        <v>3117</v>
      </c>
      <c r="D2065" s="12" t="s">
        <v>3118</v>
      </c>
      <c r="E2065" s="13">
        <v>31978</v>
      </c>
      <c r="F2065" s="12" t="s">
        <v>17</v>
      </c>
      <c r="G2065" s="12" t="s">
        <v>2257</v>
      </c>
      <c r="H2065" s="12" t="s">
        <v>16</v>
      </c>
      <c r="I2065" s="14">
        <v>9289244</v>
      </c>
      <c r="J2065" s="12" t="s">
        <v>3119</v>
      </c>
      <c r="K2065" s="12" t="s">
        <v>3120</v>
      </c>
      <c r="L2065" s="12"/>
      <c r="M2065" s="12">
        <v>98793580</v>
      </c>
      <c r="N2065" s="12"/>
      <c r="O2065" s="23" t="s">
        <v>3121</v>
      </c>
    </row>
    <row r="2066" spans="1:15" x14ac:dyDescent="0.3">
      <c r="A2066" s="1">
        <v>2422</v>
      </c>
      <c r="B2066" s="12">
        <v>0</v>
      </c>
      <c r="C2066" s="12" t="s">
        <v>3122</v>
      </c>
      <c r="D2066" s="12" t="s">
        <v>408</v>
      </c>
      <c r="E2066" s="13">
        <v>35422</v>
      </c>
      <c r="F2066" s="12" t="s">
        <v>506</v>
      </c>
      <c r="G2066" s="12" t="s">
        <v>2257</v>
      </c>
      <c r="H2066" s="12" t="s">
        <v>16</v>
      </c>
      <c r="I2066" s="14">
        <v>12833211</v>
      </c>
      <c r="J2066" s="12" t="s">
        <v>3123</v>
      </c>
      <c r="K2066" s="12" t="s">
        <v>3124</v>
      </c>
      <c r="L2066" s="12"/>
      <c r="M2066" s="12">
        <v>22330761</v>
      </c>
      <c r="N2066" s="12"/>
      <c r="O2066" s="23" t="s">
        <v>3125</v>
      </c>
    </row>
    <row r="2067" spans="1:15" x14ac:dyDescent="0.3">
      <c r="A2067" s="1">
        <v>2486</v>
      </c>
      <c r="B2067" s="12">
        <v>0</v>
      </c>
      <c r="C2067" s="12" t="s">
        <v>451</v>
      </c>
      <c r="D2067" s="12" t="s">
        <v>107</v>
      </c>
      <c r="E2067" s="13">
        <v>36336</v>
      </c>
      <c r="F2067" s="12" t="s">
        <v>506</v>
      </c>
      <c r="G2067" s="12" t="s">
        <v>2257</v>
      </c>
      <c r="H2067" s="12" t="s">
        <v>16</v>
      </c>
      <c r="I2067" s="14">
        <v>12865833</v>
      </c>
      <c r="J2067" s="12" t="s">
        <v>3126</v>
      </c>
      <c r="K2067" s="12" t="s">
        <v>513</v>
      </c>
      <c r="L2067" s="12"/>
      <c r="M2067" s="12">
        <v>56666582</v>
      </c>
      <c r="N2067" s="12"/>
      <c r="O2067" s="23" t="s">
        <v>3127</v>
      </c>
    </row>
    <row r="2068" spans="1:15" x14ac:dyDescent="0.3">
      <c r="A2068" s="1">
        <v>2593</v>
      </c>
      <c r="B2068" s="12">
        <v>0</v>
      </c>
      <c r="C2068" s="12" t="s">
        <v>19</v>
      </c>
      <c r="D2068" s="12" t="s">
        <v>149</v>
      </c>
      <c r="E2068" s="13">
        <v>35355</v>
      </c>
      <c r="F2068" s="12" t="s">
        <v>506</v>
      </c>
      <c r="G2068" s="12" t="s">
        <v>2257</v>
      </c>
      <c r="H2068" s="12" t="s">
        <v>16</v>
      </c>
      <c r="I2068" s="14">
        <v>12830947</v>
      </c>
      <c r="J2068" s="12" t="s">
        <v>3128</v>
      </c>
      <c r="K2068" s="12" t="s">
        <v>513</v>
      </c>
      <c r="L2068" s="12"/>
      <c r="M2068" s="12">
        <v>93427297</v>
      </c>
      <c r="N2068" s="12"/>
      <c r="O2068" s="23" t="s">
        <v>3129</v>
      </c>
    </row>
    <row r="2069" spans="1:15" x14ac:dyDescent="0.3">
      <c r="A2069" s="1">
        <v>2633</v>
      </c>
      <c r="B2069" s="12">
        <v>0</v>
      </c>
      <c r="C2069" s="12" t="s">
        <v>605</v>
      </c>
      <c r="D2069" s="12" t="s">
        <v>2499</v>
      </c>
      <c r="E2069" s="13">
        <v>35610</v>
      </c>
      <c r="F2069" s="12" t="s">
        <v>506</v>
      </c>
      <c r="G2069" s="12" t="s">
        <v>15</v>
      </c>
      <c r="H2069" s="12" t="s">
        <v>16</v>
      </c>
      <c r="I2069" s="14">
        <v>12811447</v>
      </c>
      <c r="J2069" s="12" t="s">
        <v>3130</v>
      </c>
      <c r="K2069" s="12" t="s">
        <v>513</v>
      </c>
      <c r="L2069" s="12"/>
      <c r="M2069" s="12">
        <v>29290960</v>
      </c>
      <c r="N2069" s="12"/>
      <c r="O2069" s="23" t="s">
        <v>3131</v>
      </c>
    </row>
    <row r="2070" spans="1:15" x14ac:dyDescent="0.3">
      <c r="A2070" s="1">
        <v>2633</v>
      </c>
      <c r="B2070" s="1">
        <v>1</v>
      </c>
      <c r="C2070" s="1" t="s">
        <v>3176</v>
      </c>
      <c r="D2070" s="1" t="s">
        <v>2383</v>
      </c>
      <c r="E2070" s="5">
        <v>35764</v>
      </c>
      <c r="F2070" s="1" t="s">
        <v>17</v>
      </c>
      <c r="G2070" s="1"/>
      <c r="H2070" s="1"/>
      <c r="I2070" s="6"/>
      <c r="J2070" s="1"/>
      <c r="K2070" s="1"/>
      <c r="L2070" s="1"/>
      <c r="M2070" s="1"/>
      <c r="N2070" s="1"/>
      <c r="O2070" s="10"/>
    </row>
    <row r="2071" spans="1:15" x14ac:dyDescent="0.3">
      <c r="A2071" s="1">
        <v>2633</v>
      </c>
      <c r="B2071" s="1">
        <v>2</v>
      </c>
      <c r="C2071" s="1" t="s">
        <v>605</v>
      </c>
      <c r="D2071" s="1" t="s">
        <v>3219</v>
      </c>
      <c r="E2071" s="5">
        <v>45896</v>
      </c>
      <c r="F2071" s="1" t="s">
        <v>506</v>
      </c>
      <c r="G2071" s="1"/>
      <c r="H2071" s="1"/>
      <c r="I2071" s="6"/>
      <c r="J2071" s="1"/>
      <c r="K2071" s="1"/>
      <c r="L2071" s="1"/>
      <c r="M2071" s="1"/>
      <c r="N2071" s="1"/>
      <c r="O2071" s="10"/>
    </row>
    <row r="2072" spans="1:15" x14ac:dyDescent="0.3">
      <c r="A2072" s="1">
        <v>2504</v>
      </c>
      <c r="B2072" s="12">
        <v>0</v>
      </c>
      <c r="C2072" s="12" t="s">
        <v>342</v>
      </c>
      <c r="D2072" s="12" t="s">
        <v>2475</v>
      </c>
      <c r="E2072" s="13">
        <v>36596</v>
      </c>
      <c r="F2072" s="12" t="s">
        <v>506</v>
      </c>
      <c r="G2072" s="12" t="s">
        <v>2257</v>
      </c>
      <c r="H2072" s="12" t="s">
        <v>16</v>
      </c>
      <c r="I2072" s="14">
        <v>12860431</v>
      </c>
      <c r="J2072" s="12" t="s">
        <v>3132</v>
      </c>
      <c r="K2072" s="12" t="s">
        <v>568</v>
      </c>
      <c r="L2072" s="12"/>
      <c r="M2072" s="12">
        <v>93871988</v>
      </c>
      <c r="N2072" s="12"/>
      <c r="O2072" s="23" t="s">
        <v>3133</v>
      </c>
    </row>
    <row r="2073" spans="1:15" x14ac:dyDescent="0.3">
      <c r="A2073" s="1">
        <v>2537</v>
      </c>
      <c r="B2073" s="12">
        <v>0</v>
      </c>
      <c r="C2073" s="12" t="s">
        <v>61</v>
      </c>
      <c r="D2073" s="12" t="s">
        <v>2370</v>
      </c>
      <c r="E2073" s="13">
        <v>35326</v>
      </c>
      <c r="F2073" s="12" t="s">
        <v>17</v>
      </c>
      <c r="G2073" s="12" t="s">
        <v>2257</v>
      </c>
      <c r="H2073" s="12" t="s">
        <v>16</v>
      </c>
      <c r="I2073" s="14">
        <v>12824456</v>
      </c>
      <c r="J2073" s="12" t="s">
        <v>3134</v>
      </c>
      <c r="K2073" s="12" t="s">
        <v>2291</v>
      </c>
      <c r="L2073" s="12"/>
      <c r="M2073" s="12">
        <v>96689057</v>
      </c>
      <c r="N2073" s="12"/>
      <c r="O2073" s="23" t="s">
        <v>3135</v>
      </c>
    </row>
    <row r="2074" spans="1:15" x14ac:dyDescent="0.3">
      <c r="A2074" s="1">
        <v>2539</v>
      </c>
      <c r="B2074" s="12">
        <v>0</v>
      </c>
      <c r="C2074" s="12" t="s">
        <v>428</v>
      </c>
      <c r="D2074" s="12" t="s">
        <v>2577</v>
      </c>
      <c r="E2074" s="13">
        <v>35249</v>
      </c>
      <c r="F2074" s="12" t="s">
        <v>506</v>
      </c>
      <c r="G2074" s="12" t="s">
        <v>2257</v>
      </c>
      <c r="H2074" s="12" t="s">
        <v>16</v>
      </c>
      <c r="I2074" s="14">
        <v>12824227</v>
      </c>
      <c r="J2074" s="12" t="s">
        <v>3136</v>
      </c>
      <c r="K2074" s="12" t="s">
        <v>513</v>
      </c>
      <c r="L2074" s="12"/>
      <c r="M2074" s="12">
        <v>98793786</v>
      </c>
      <c r="N2074" s="12"/>
      <c r="O2074" s="23" t="s">
        <v>3137</v>
      </c>
    </row>
    <row r="2075" spans="1:15" x14ac:dyDescent="0.3">
      <c r="A2075" s="1">
        <v>2544</v>
      </c>
      <c r="B2075" s="12">
        <v>0</v>
      </c>
      <c r="C2075" s="12" t="s">
        <v>62</v>
      </c>
      <c r="D2075" s="12" t="s">
        <v>3138</v>
      </c>
      <c r="E2075" s="13">
        <v>35327</v>
      </c>
      <c r="F2075" s="12" t="s">
        <v>506</v>
      </c>
      <c r="G2075" s="12" t="s">
        <v>2257</v>
      </c>
      <c r="H2075" s="12" t="s">
        <v>16</v>
      </c>
      <c r="I2075" s="14">
        <v>12827375</v>
      </c>
      <c r="J2075" s="12" t="s">
        <v>3139</v>
      </c>
      <c r="K2075" s="12" t="s">
        <v>513</v>
      </c>
      <c r="L2075" s="12"/>
      <c r="M2075" s="12">
        <v>29018771</v>
      </c>
      <c r="N2075" s="12"/>
      <c r="O2075" s="23" t="s">
        <v>3140</v>
      </c>
    </row>
    <row r="2076" spans="1:15" x14ac:dyDescent="0.3">
      <c r="A2076" s="1">
        <v>2582</v>
      </c>
      <c r="B2076" s="12">
        <v>0</v>
      </c>
      <c r="C2076" s="12" t="s">
        <v>582</v>
      </c>
      <c r="D2076" s="12" t="s">
        <v>2677</v>
      </c>
      <c r="E2076" s="13">
        <v>37069</v>
      </c>
      <c r="F2076" s="12" t="s">
        <v>506</v>
      </c>
      <c r="G2076" s="12" t="s">
        <v>2257</v>
      </c>
      <c r="H2076" s="12" t="s">
        <v>16</v>
      </c>
      <c r="I2076" s="14">
        <v>12872621</v>
      </c>
      <c r="J2076" s="12" t="s">
        <v>3141</v>
      </c>
      <c r="K2076" s="12" t="s">
        <v>513</v>
      </c>
      <c r="L2076" s="12"/>
      <c r="M2076" s="12">
        <v>25722677</v>
      </c>
      <c r="N2076" s="12"/>
      <c r="O2076" s="23" t="s">
        <v>3142</v>
      </c>
    </row>
    <row r="2077" spans="1:15" x14ac:dyDescent="0.3">
      <c r="A2077" s="1">
        <v>2596</v>
      </c>
      <c r="B2077" s="12">
        <v>0</v>
      </c>
      <c r="C2077" s="12" t="s">
        <v>3143</v>
      </c>
      <c r="D2077" s="12" t="s">
        <v>107</v>
      </c>
      <c r="E2077" s="13">
        <v>34911</v>
      </c>
      <c r="F2077" s="12" t="s">
        <v>506</v>
      </c>
      <c r="G2077" s="12" t="s">
        <v>2257</v>
      </c>
      <c r="H2077" s="12" t="s">
        <v>16</v>
      </c>
      <c r="I2077" s="14">
        <v>9344638</v>
      </c>
      <c r="J2077" s="12" t="s">
        <v>3144</v>
      </c>
      <c r="K2077" s="12" t="s">
        <v>513</v>
      </c>
      <c r="L2077" s="12"/>
      <c r="M2077" s="12">
        <v>98793706</v>
      </c>
      <c r="N2077" s="12"/>
      <c r="O2077" s="23" t="s">
        <v>3145</v>
      </c>
    </row>
    <row r="2078" spans="1:15" x14ac:dyDescent="0.3">
      <c r="A2078" s="1">
        <v>2637</v>
      </c>
      <c r="B2078" s="12">
        <v>0</v>
      </c>
      <c r="C2078" s="12" t="s">
        <v>3050</v>
      </c>
      <c r="D2078" s="12" t="s">
        <v>90</v>
      </c>
      <c r="E2078" s="13">
        <v>34940</v>
      </c>
      <c r="F2078" s="12" t="s">
        <v>506</v>
      </c>
      <c r="G2078" s="12" t="s">
        <v>15</v>
      </c>
      <c r="H2078" s="12" t="s">
        <v>16</v>
      </c>
      <c r="I2078" s="14">
        <v>9346084</v>
      </c>
      <c r="J2078" s="12" t="s">
        <v>3146</v>
      </c>
      <c r="K2078" s="12" t="s">
        <v>513</v>
      </c>
      <c r="L2078" s="12"/>
      <c r="M2078" s="12">
        <v>96310010</v>
      </c>
      <c r="N2078" s="12"/>
      <c r="O2078" s="23" t="s">
        <v>3147</v>
      </c>
    </row>
    <row r="2079" spans="1:15" x14ac:dyDescent="0.3">
      <c r="A2079" s="1">
        <v>2637</v>
      </c>
      <c r="B2079" s="1">
        <v>1</v>
      </c>
      <c r="C2079" s="1" t="s">
        <v>3150</v>
      </c>
      <c r="D2079" s="1" t="s">
        <v>2372</v>
      </c>
      <c r="E2079" s="5">
        <v>36342</v>
      </c>
      <c r="F2079" s="1" t="s">
        <v>17</v>
      </c>
      <c r="G2079" s="1" t="s">
        <v>15</v>
      </c>
      <c r="H2079" s="1"/>
      <c r="I2079" s="6"/>
      <c r="J2079" s="1"/>
      <c r="K2079" s="1"/>
      <c r="L2079" s="1"/>
      <c r="M2079" s="1"/>
      <c r="N2079" s="1"/>
      <c r="O2079" s="10"/>
    </row>
    <row r="2080" spans="1:15" x14ac:dyDescent="0.3">
      <c r="A2080" s="1">
        <v>2637</v>
      </c>
      <c r="B2080" s="1">
        <v>2</v>
      </c>
      <c r="C2080" s="1" t="s">
        <v>3050</v>
      </c>
      <c r="D2080" s="1" t="s">
        <v>2748</v>
      </c>
      <c r="E2080" s="5">
        <v>45666</v>
      </c>
      <c r="F2080" s="1" t="s">
        <v>506</v>
      </c>
      <c r="G2080" s="1"/>
      <c r="H2080" s="1"/>
      <c r="I2080" s="6"/>
      <c r="J2080" s="1"/>
      <c r="K2080" s="1"/>
      <c r="L2080" s="1"/>
      <c r="M2080" s="1"/>
      <c r="N2080" s="1"/>
      <c r="O2080" s="10"/>
    </row>
    <row r="2081" spans="1:15" x14ac:dyDescent="0.3">
      <c r="A2081" s="1">
        <v>2659</v>
      </c>
      <c r="B2081" s="12">
        <v>0</v>
      </c>
      <c r="C2081" s="12" t="s">
        <v>475</v>
      </c>
      <c r="D2081" s="12" t="s">
        <v>60</v>
      </c>
      <c r="E2081" s="13">
        <v>34428</v>
      </c>
      <c r="F2081" s="12" t="s">
        <v>506</v>
      </c>
      <c r="G2081" s="12" t="s">
        <v>2257</v>
      </c>
      <c r="H2081" s="12" t="s">
        <v>16</v>
      </c>
      <c r="I2081" s="14">
        <v>9339714</v>
      </c>
      <c r="J2081" s="12" t="s">
        <v>3148</v>
      </c>
      <c r="K2081" s="12" t="s">
        <v>513</v>
      </c>
      <c r="L2081" s="12"/>
      <c r="M2081" s="12">
        <v>29054966</v>
      </c>
      <c r="N2081" s="12"/>
      <c r="O2081" s="23" t="s">
        <v>3149</v>
      </c>
    </row>
    <row r="2082" spans="1:15" x14ac:dyDescent="0.3">
      <c r="A2082" s="1">
        <v>2659</v>
      </c>
      <c r="B2082" s="1">
        <v>1</v>
      </c>
      <c r="C2082" s="1" t="s">
        <v>71</v>
      </c>
      <c r="D2082" s="1" t="s">
        <v>2383</v>
      </c>
      <c r="E2082" s="5"/>
      <c r="F2082" s="1" t="s">
        <v>17</v>
      </c>
      <c r="G2082" s="1"/>
      <c r="H2082" s="1"/>
      <c r="I2082" s="6"/>
      <c r="J2082" s="1"/>
      <c r="K2082" s="1"/>
      <c r="L2082" s="1"/>
      <c r="M2082" s="1"/>
      <c r="N2082" s="1"/>
      <c r="O2082" s="10"/>
    </row>
    <row r="2083" spans="1:15" x14ac:dyDescent="0.3">
      <c r="A2083" s="1">
        <v>2659</v>
      </c>
      <c r="B2083" s="1">
        <v>2</v>
      </c>
      <c r="C2083" s="1" t="s">
        <v>475</v>
      </c>
      <c r="D2083" s="1" t="s">
        <v>3276</v>
      </c>
      <c r="E2083" s="5">
        <v>46153</v>
      </c>
      <c r="F2083" s="1" t="s">
        <v>506</v>
      </c>
      <c r="G2083" s="1"/>
      <c r="H2083" s="1"/>
      <c r="I2083" s="6"/>
      <c r="J2083" s="1"/>
      <c r="K2083" s="1"/>
      <c r="L2083" s="1"/>
      <c r="M2083" s="1"/>
      <c r="N2083" s="1"/>
      <c r="O2083" s="10"/>
    </row>
    <row r="2084" spans="1:15" x14ac:dyDescent="0.3">
      <c r="A2084" s="1">
        <v>2337</v>
      </c>
      <c r="B2084" s="12">
        <v>0</v>
      </c>
      <c r="C2084" s="12" t="s">
        <v>475</v>
      </c>
      <c r="D2084" s="12" t="s">
        <v>34</v>
      </c>
      <c r="E2084" s="13">
        <v>34227</v>
      </c>
      <c r="F2084" s="12" t="s">
        <v>506</v>
      </c>
      <c r="G2084" s="12" t="s">
        <v>15</v>
      </c>
      <c r="H2084" s="12" t="s">
        <v>16</v>
      </c>
      <c r="I2084" s="14">
        <v>9341284</v>
      </c>
      <c r="J2084" s="12" t="s">
        <v>3151</v>
      </c>
      <c r="K2084" s="12" t="s">
        <v>513</v>
      </c>
      <c r="L2084" s="12"/>
      <c r="M2084" s="12">
        <v>53293770</v>
      </c>
      <c r="N2084" s="12"/>
      <c r="O2084" s="15" t="s">
        <v>3152</v>
      </c>
    </row>
    <row r="2085" spans="1:15" x14ac:dyDescent="0.3">
      <c r="A2085" s="1">
        <v>2337</v>
      </c>
      <c r="B2085" s="1">
        <v>1</v>
      </c>
      <c r="C2085" s="1" t="s">
        <v>61</v>
      </c>
      <c r="D2085" s="1" t="s">
        <v>2337</v>
      </c>
      <c r="E2085" s="5">
        <v>35909</v>
      </c>
      <c r="F2085" s="1" t="s">
        <v>17</v>
      </c>
      <c r="G2085" s="1" t="s">
        <v>15</v>
      </c>
      <c r="H2085" s="1" t="s">
        <v>16</v>
      </c>
      <c r="I2085" s="6" t="str">
        <f>IF(B2085=0,VLOOKUP(A2084,Feuil2!$A$2:$M$1241,7,FALSE)," ")</f>
        <v xml:space="preserve"> </v>
      </c>
      <c r="J2085" s="1" t="str">
        <f>IF(B2085=0,VLOOKUP(A2084,Feuil2!$A$2:$M$1241,9,FALSE)," ")</f>
        <v xml:space="preserve"> </v>
      </c>
      <c r="K2085" s="1" t="str">
        <f>IF(B2085=0,VLOOKUP(A2084,Feuil2!$A$2:$M$1241,10,FALSE)," ")</f>
        <v xml:space="preserve"> </v>
      </c>
      <c r="L2085" s="1" t="s">
        <v>513</v>
      </c>
      <c r="M2085" s="1"/>
      <c r="O2085" s="8" t="str">
        <f>IF(B2096=0,VLOOKUP(A2095,Feuil2!$A$2:$M$1241,13,FALSE)," ")</f>
        <v xml:space="preserve"> </v>
      </c>
    </row>
    <row r="2086" spans="1:15" x14ac:dyDescent="0.3">
      <c r="A2086" s="1">
        <v>2337</v>
      </c>
      <c r="B2086" s="1">
        <v>2</v>
      </c>
      <c r="C2086" s="1" t="s">
        <v>475</v>
      </c>
      <c r="D2086" s="1" t="s">
        <v>2807</v>
      </c>
      <c r="E2086" s="5">
        <v>45571</v>
      </c>
      <c r="F2086" s="1" t="s">
        <v>506</v>
      </c>
      <c r="G2086" s="1"/>
      <c r="H2086" s="1"/>
      <c r="I2086" s="6"/>
      <c r="J2086" s="1"/>
      <c r="M2086" s="1"/>
      <c r="O2086" s="8"/>
    </row>
    <row r="2087" spans="1:15" x14ac:dyDescent="0.3">
      <c r="A2087" s="1">
        <v>2339</v>
      </c>
      <c r="B2087" s="12">
        <v>0</v>
      </c>
      <c r="C2087" s="12" t="s">
        <v>2160</v>
      </c>
      <c r="D2087" s="12" t="s">
        <v>122</v>
      </c>
      <c r="E2087" s="13">
        <v>34880</v>
      </c>
      <c r="F2087" s="12" t="s">
        <v>506</v>
      </c>
      <c r="G2087" s="12" t="s">
        <v>2257</v>
      </c>
      <c r="H2087" s="12" t="s">
        <v>16</v>
      </c>
      <c r="I2087" s="14">
        <v>12811295</v>
      </c>
      <c r="J2087" s="12" t="s">
        <v>3153</v>
      </c>
      <c r="K2087" s="16"/>
      <c r="L2087" s="16"/>
      <c r="M2087" s="12">
        <v>27341391</v>
      </c>
      <c r="N2087" s="12"/>
      <c r="O2087" s="15" t="s">
        <v>3154</v>
      </c>
    </row>
    <row r="2088" spans="1:15" x14ac:dyDescent="0.3">
      <c r="A2088" s="1">
        <v>2350</v>
      </c>
      <c r="B2088" s="12">
        <v>0</v>
      </c>
      <c r="C2088" s="12" t="s">
        <v>199</v>
      </c>
      <c r="D2088" s="12" t="s">
        <v>291</v>
      </c>
      <c r="E2088" s="13">
        <v>35798</v>
      </c>
      <c r="F2088" s="12" t="s">
        <v>506</v>
      </c>
      <c r="G2088" s="12" t="s">
        <v>2257</v>
      </c>
      <c r="H2088" s="12" t="s">
        <v>16</v>
      </c>
      <c r="I2088" s="14">
        <v>12819440</v>
      </c>
      <c r="J2088" s="12" t="s">
        <v>3155</v>
      </c>
      <c r="K2088" s="12" t="s">
        <v>513</v>
      </c>
      <c r="L2088" s="12"/>
      <c r="M2088" s="12">
        <v>21259254</v>
      </c>
      <c r="N2088" s="12"/>
      <c r="O2088" s="15" t="s">
        <v>3156</v>
      </c>
    </row>
    <row r="2089" spans="1:15" x14ac:dyDescent="0.3">
      <c r="A2089" s="1">
        <v>2519</v>
      </c>
      <c r="B2089" s="12">
        <v>0</v>
      </c>
      <c r="C2089" s="12" t="s">
        <v>3157</v>
      </c>
      <c r="D2089" s="12" t="s">
        <v>3158</v>
      </c>
      <c r="E2089" s="13">
        <v>31439</v>
      </c>
      <c r="F2089" s="12" t="s">
        <v>506</v>
      </c>
      <c r="G2089" s="12" t="s">
        <v>15</v>
      </c>
      <c r="H2089" s="12" t="s">
        <v>16</v>
      </c>
      <c r="I2089" s="14">
        <v>9268494</v>
      </c>
      <c r="J2089" s="12" t="s">
        <v>3173</v>
      </c>
      <c r="K2089" s="12" t="s">
        <v>2291</v>
      </c>
      <c r="L2089" s="12"/>
      <c r="M2089" s="12">
        <v>52220931</v>
      </c>
      <c r="N2089" s="12"/>
      <c r="O2089" s="15" t="s">
        <v>3159</v>
      </c>
    </row>
    <row r="2090" spans="1:15" x14ac:dyDescent="0.3">
      <c r="A2090" s="1">
        <v>2519</v>
      </c>
      <c r="B2090" s="1">
        <v>1</v>
      </c>
      <c r="C2090" s="1" t="s">
        <v>3160</v>
      </c>
      <c r="D2090" s="1" t="s">
        <v>2552</v>
      </c>
      <c r="E2090" s="5">
        <v>34416</v>
      </c>
      <c r="F2090" s="1" t="s">
        <v>17</v>
      </c>
      <c r="G2090" s="1" t="str">
        <f>IF(B2090=0,VLOOKUP(A2089,Feuil2!$A$2:$M$1241,11,FALSE)," ")</f>
        <v xml:space="preserve"> </v>
      </c>
      <c r="H2090" s="1" t="s">
        <v>16</v>
      </c>
      <c r="I2090" s="6" t="str">
        <f>IF(B2090=0,VLOOKUP(A2089,Feuil2!$A$2:$M$1241,7,FALSE)," ")</f>
        <v xml:space="preserve"> </v>
      </c>
      <c r="J2090" s="1" t="str">
        <f>IF(B2090=0,VLOOKUP(A2089,Feuil2!$A$2:$M$1241,9,FALSE)," ")</f>
        <v xml:space="preserve"> </v>
      </c>
      <c r="K2090" s="1" t="str">
        <f>IF(B2090=0,VLOOKUP(A2089,Feuil2!$A$2:$M$1241,10,FALSE)," ")</f>
        <v xml:space="preserve"> </v>
      </c>
      <c r="L2090" s="1"/>
      <c r="M2090" s="1"/>
      <c r="N2090" s="1"/>
      <c r="O2090" s="8" t="e">
        <f>IF(B2101=0,VLOOKUP(A2100,Feuil2!$A$2:$M$1241,13,FALSE)," ")</f>
        <v>#N/A</v>
      </c>
    </row>
    <row r="2091" spans="1:15" x14ac:dyDescent="0.3">
      <c r="A2091" s="1">
        <v>2519</v>
      </c>
      <c r="B2091" s="1">
        <v>2</v>
      </c>
      <c r="C2091" s="1" t="s">
        <v>3157</v>
      </c>
      <c r="D2091" s="1" t="s">
        <v>2060</v>
      </c>
      <c r="E2091" s="5">
        <v>42949</v>
      </c>
      <c r="F2091" s="1" t="s">
        <v>17</v>
      </c>
      <c r="G2091" s="1" t="str">
        <f>IF(B2091=0,VLOOKUP(A2090,Feuil2!$A$2:$M$1241,11,FALSE)," ")</f>
        <v xml:space="preserve"> </v>
      </c>
      <c r="H2091" s="1" t="s">
        <v>16</v>
      </c>
      <c r="I2091" s="6" t="str">
        <f>IF(B2091=0,VLOOKUP(A2090,Feuil2!$A$2:$M$1241,7,FALSE)," ")</f>
        <v xml:space="preserve"> </v>
      </c>
      <c r="J2091" s="1" t="str">
        <f>IF(B2091=0,VLOOKUP(A2090,Feuil2!$A$2:$M$1241,9,FALSE)," ")</f>
        <v xml:space="preserve"> </v>
      </c>
      <c r="K2091" s="1" t="str">
        <f>IF(B2091=0,VLOOKUP(A2090,Feuil2!$A$2:$M$1241,10,FALSE)," ")</f>
        <v xml:space="preserve"> </v>
      </c>
      <c r="L2091" s="1"/>
      <c r="M2091" s="1"/>
      <c r="N2091" s="1"/>
      <c r="O2091" s="8" t="e">
        <f>IF(B2104=0,VLOOKUP(A2101,Feuil2!$A$2:$M$1241,13,FALSE)," ")</f>
        <v>#N/A</v>
      </c>
    </row>
    <row r="2092" spans="1:15" x14ac:dyDescent="0.3">
      <c r="A2092" s="1">
        <v>2519</v>
      </c>
      <c r="B2092" s="1">
        <v>3</v>
      </c>
      <c r="C2092" s="1" t="s">
        <v>3157</v>
      </c>
      <c r="D2092" s="1" t="s">
        <v>3161</v>
      </c>
      <c r="E2092" s="5">
        <v>44741</v>
      </c>
      <c r="F2092" s="1" t="s">
        <v>506</v>
      </c>
      <c r="G2092" s="1" t="str">
        <f>IF(B2092=0,VLOOKUP(A2091,Feuil2!$A$2:$M$1241,11,FALSE)," ")</f>
        <v xml:space="preserve"> </v>
      </c>
      <c r="H2092" s="1" t="s">
        <v>16</v>
      </c>
      <c r="I2092" s="6" t="str">
        <f>IF(B2092=0,VLOOKUP(A2091,Feuil2!$A$2:$M$1241,7,FALSE)," ")</f>
        <v xml:space="preserve"> </v>
      </c>
      <c r="J2092" s="1" t="str">
        <f>IF(B2092=0,VLOOKUP(A2091,Feuil2!$A$2:$M$1241,9,FALSE)," ")</f>
        <v xml:space="preserve"> </v>
      </c>
      <c r="K2092" s="1" t="str">
        <f>IF(B2092=0,VLOOKUP(A2091,Feuil2!$A$2:$M$1241,10,FALSE)," ")</f>
        <v xml:space="preserve"> </v>
      </c>
      <c r="L2092" s="1"/>
      <c r="M2092" s="1"/>
      <c r="N2092" s="1"/>
      <c r="O2092" s="8" t="e">
        <f>IF(B2105=0,VLOOKUP(A2104,Feuil2!$A$2:$M$1241,13,FALSE)," ")</f>
        <v>#N/A</v>
      </c>
    </row>
    <row r="2093" spans="1:15" x14ac:dyDescent="0.3">
      <c r="A2093" s="1">
        <v>2542</v>
      </c>
      <c r="B2093" s="12">
        <v>0</v>
      </c>
      <c r="C2093" s="12" t="s">
        <v>344</v>
      </c>
      <c r="D2093" s="12" t="s">
        <v>2499</v>
      </c>
      <c r="E2093" s="13">
        <v>35725</v>
      </c>
      <c r="F2093" s="12" t="s">
        <v>506</v>
      </c>
      <c r="G2093" s="12" t="s">
        <v>2257</v>
      </c>
      <c r="H2093" s="12" t="s">
        <v>16</v>
      </c>
      <c r="I2093" s="14">
        <v>7487482</v>
      </c>
      <c r="J2093" s="12" t="s">
        <v>3162</v>
      </c>
      <c r="K2093" s="12" t="s">
        <v>2291</v>
      </c>
      <c r="L2093" s="12"/>
      <c r="M2093" s="12">
        <v>98793507</v>
      </c>
      <c r="N2093" s="12"/>
      <c r="O2093" s="15" t="s">
        <v>3163</v>
      </c>
    </row>
    <row r="2094" spans="1:15" x14ac:dyDescent="0.3">
      <c r="A2094" s="1">
        <v>2630</v>
      </c>
      <c r="B2094" s="12">
        <v>0</v>
      </c>
      <c r="C2094" s="12" t="s">
        <v>3164</v>
      </c>
      <c r="D2094" s="12" t="s">
        <v>3165</v>
      </c>
      <c r="E2094" s="13">
        <v>35399</v>
      </c>
      <c r="F2094" s="12" t="s">
        <v>506</v>
      </c>
      <c r="G2094" s="12" t="s">
        <v>2257</v>
      </c>
      <c r="H2094" s="12" t="s">
        <v>16</v>
      </c>
      <c r="I2094" s="14">
        <v>6979491</v>
      </c>
      <c r="J2094" s="12" t="s">
        <v>3166</v>
      </c>
      <c r="K2094" s="12" t="s">
        <v>2311</v>
      </c>
      <c r="L2094" s="12"/>
      <c r="M2094" s="12">
        <v>56384044</v>
      </c>
      <c r="N2094" s="12"/>
      <c r="O2094" s="15" t="s">
        <v>3167</v>
      </c>
    </row>
    <row r="2095" spans="1:15" x14ac:dyDescent="0.3">
      <c r="A2095" s="1">
        <v>2658</v>
      </c>
      <c r="B2095" s="12">
        <v>0</v>
      </c>
      <c r="C2095" s="12" t="s">
        <v>197</v>
      </c>
      <c r="D2095" s="12" t="s">
        <v>894</v>
      </c>
      <c r="E2095" s="13">
        <v>32211</v>
      </c>
      <c r="F2095" s="12" t="s">
        <v>506</v>
      </c>
      <c r="G2095" s="12" t="s">
        <v>15</v>
      </c>
      <c r="H2095" s="12" t="s">
        <v>16</v>
      </c>
      <c r="I2095" s="14">
        <v>9270476</v>
      </c>
      <c r="J2095" s="12" t="s">
        <v>3168</v>
      </c>
      <c r="K2095" s="12" t="s">
        <v>513</v>
      </c>
      <c r="L2095" s="12"/>
      <c r="M2095" s="12">
        <v>98793741</v>
      </c>
      <c r="N2095" s="12"/>
      <c r="O2095" s="15" t="s">
        <v>3169</v>
      </c>
    </row>
    <row r="2096" spans="1:15" x14ac:dyDescent="0.3">
      <c r="A2096" s="1">
        <v>2658</v>
      </c>
      <c r="B2096" s="1">
        <v>1</v>
      </c>
      <c r="C2096" s="1" t="s">
        <v>3170</v>
      </c>
      <c r="D2096" s="1" t="s">
        <v>3171</v>
      </c>
      <c r="E2096" s="5">
        <v>32969</v>
      </c>
      <c r="F2096" s="1" t="s">
        <v>17</v>
      </c>
      <c r="G2096" s="1" t="s">
        <v>15</v>
      </c>
      <c r="H2096" s="1" t="s">
        <v>16</v>
      </c>
      <c r="I2096" s="6" t="str">
        <f>IF(B2096=0,VLOOKUP(A2095,Feuil2!$A$2:$M$1241,7,FALSE)," ")</f>
        <v xml:space="preserve"> </v>
      </c>
      <c r="J2096" s="1" t="str">
        <f>IF(B2096=0,VLOOKUP(A2095,Feuil2!$A$2:$M$1241,9,FALSE)," ")</f>
        <v xml:space="preserve"> </v>
      </c>
      <c r="K2096" s="1" t="str">
        <f>IF(B2096=0,VLOOKUP(A2095,Feuil2!$A$2:$M$1241,10,FALSE)," ")</f>
        <v xml:space="preserve"> </v>
      </c>
      <c r="L2096" s="1"/>
      <c r="M2096" s="1"/>
      <c r="N2096" s="1"/>
      <c r="O2096" s="8" t="str">
        <f>IF(B2110=0,VLOOKUP(A2109,Feuil2!$A$2:$M$1241,13,FALSE)," ")</f>
        <v xml:space="preserve"> </v>
      </c>
    </row>
    <row r="2097" spans="1:15" x14ac:dyDescent="0.3">
      <c r="A2097" s="1">
        <v>2658</v>
      </c>
      <c r="B2097" s="1">
        <v>2</v>
      </c>
      <c r="C2097" s="1" t="s">
        <v>197</v>
      </c>
      <c r="D2097" s="1" t="s">
        <v>107</v>
      </c>
      <c r="E2097" s="5">
        <v>45877</v>
      </c>
      <c r="F2097" s="1" t="s">
        <v>506</v>
      </c>
      <c r="G2097" s="1"/>
      <c r="H2097" s="1"/>
      <c r="I2097" s="6"/>
      <c r="J2097" s="1"/>
      <c r="K2097" s="1"/>
      <c r="L2097" s="1"/>
      <c r="M2097" s="1"/>
      <c r="N2097" s="1"/>
      <c r="O2097" s="8"/>
    </row>
    <row r="2098" spans="1:15" x14ac:dyDescent="0.3">
      <c r="A2098" s="1">
        <v>2538</v>
      </c>
      <c r="B2098" s="12">
        <v>0</v>
      </c>
      <c r="C2098" s="12" t="s">
        <v>1269</v>
      </c>
      <c r="D2098" s="12" t="s">
        <v>3172</v>
      </c>
      <c r="E2098" s="13">
        <v>35237</v>
      </c>
      <c r="F2098" s="12" t="s">
        <v>506</v>
      </c>
      <c r="G2098" s="12" t="s">
        <v>2257</v>
      </c>
      <c r="H2098" s="12" t="s">
        <v>16</v>
      </c>
      <c r="I2098" s="14">
        <v>12827179</v>
      </c>
      <c r="J2098" s="12" t="s">
        <v>3174</v>
      </c>
      <c r="K2098" s="12" t="s">
        <v>513</v>
      </c>
      <c r="L2098" s="12"/>
      <c r="M2098" s="12">
        <v>98793849</v>
      </c>
      <c r="N2098" s="12"/>
      <c r="O2098" s="15" t="s">
        <v>3175</v>
      </c>
    </row>
    <row r="2099" spans="1:15" x14ac:dyDescent="0.3">
      <c r="A2099" s="1">
        <v>2300</v>
      </c>
      <c r="B2099" s="12">
        <v>0</v>
      </c>
      <c r="C2099" s="12" t="s">
        <v>3184</v>
      </c>
      <c r="D2099" s="12" t="s">
        <v>1906</v>
      </c>
      <c r="E2099" s="13">
        <v>31684</v>
      </c>
      <c r="F2099" s="12" t="s">
        <v>506</v>
      </c>
      <c r="G2099" s="12" t="s">
        <v>2257</v>
      </c>
      <c r="H2099" s="12" t="s">
        <v>16</v>
      </c>
      <c r="I2099" s="14">
        <v>9306666</v>
      </c>
      <c r="J2099" s="12" t="s">
        <v>2220</v>
      </c>
      <c r="K2099" s="12" t="s">
        <v>2940</v>
      </c>
      <c r="L2099" s="12"/>
      <c r="M2099" s="12">
        <v>54143127</v>
      </c>
      <c r="N2099" s="12"/>
      <c r="O2099" s="15" t="s">
        <v>3185</v>
      </c>
    </row>
    <row r="2100" spans="1:15" x14ac:dyDescent="0.3">
      <c r="A2100" s="1">
        <v>2465</v>
      </c>
      <c r="B2100" s="12">
        <v>0</v>
      </c>
      <c r="C2100" s="12" t="s">
        <v>446</v>
      </c>
      <c r="D2100" s="12" t="s">
        <v>172</v>
      </c>
      <c r="E2100" s="13">
        <v>37994</v>
      </c>
      <c r="F2100" s="12" t="s">
        <v>506</v>
      </c>
      <c r="G2100" s="12" t="s">
        <v>2257</v>
      </c>
      <c r="H2100" s="12" t="s">
        <v>16</v>
      </c>
      <c r="I2100" s="14">
        <v>12892804</v>
      </c>
      <c r="J2100" s="12" t="s">
        <v>3186</v>
      </c>
      <c r="K2100" s="12" t="s">
        <v>2940</v>
      </c>
      <c r="L2100" s="12"/>
      <c r="M2100" s="12">
        <v>27022184</v>
      </c>
      <c r="N2100" s="12"/>
      <c r="O2100" s="15" t="s">
        <v>3187</v>
      </c>
    </row>
    <row r="2101" spans="1:15" x14ac:dyDescent="0.3">
      <c r="A2101" s="1">
        <v>2473</v>
      </c>
      <c r="B2101" s="12">
        <v>0</v>
      </c>
      <c r="C2101" s="12" t="s">
        <v>1655</v>
      </c>
      <c r="D2101" s="12" t="s">
        <v>34</v>
      </c>
      <c r="E2101" s="13">
        <v>31708</v>
      </c>
      <c r="F2101" s="12" t="s">
        <v>506</v>
      </c>
      <c r="G2101" s="12" t="s">
        <v>15</v>
      </c>
      <c r="H2101" s="12" t="s">
        <v>16</v>
      </c>
      <c r="I2101" s="14">
        <v>9257073</v>
      </c>
      <c r="J2101" s="12" t="s">
        <v>3188</v>
      </c>
      <c r="K2101" s="12" t="s">
        <v>2940</v>
      </c>
      <c r="L2101" s="12"/>
      <c r="M2101" s="12">
        <v>21800308</v>
      </c>
      <c r="N2101" s="12"/>
      <c r="O2101" s="15" t="s">
        <v>3189</v>
      </c>
    </row>
    <row r="2102" spans="1:15" x14ac:dyDescent="0.3">
      <c r="A2102" s="1">
        <v>2473</v>
      </c>
      <c r="B2102" s="1">
        <v>1</v>
      </c>
      <c r="C2102" s="1" t="s">
        <v>3206</v>
      </c>
      <c r="D2102" s="1" t="s">
        <v>2362</v>
      </c>
      <c r="E2102" s="5">
        <v>38745</v>
      </c>
      <c r="F2102" s="1" t="s">
        <v>17</v>
      </c>
      <c r="G2102" s="1" t="s">
        <v>15</v>
      </c>
      <c r="H2102" s="1"/>
      <c r="I2102" s="6"/>
      <c r="J2102" s="1"/>
      <c r="K2102" s="1"/>
      <c r="L2102" s="1"/>
      <c r="M2102" s="1"/>
      <c r="N2102" s="1"/>
      <c r="O2102" s="8"/>
    </row>
    <row r="2103" spans="1:15" x14ac:dyDescent="0.3">
      <c r="A2103" s="1">
        <v>2473</v>
      </c>
      <c r="B2103" s="1">
        <v>2</v>
      </c>
      <c r="C2103" s="1" t="s">
        <v>1655</v>
      </c>
      <c r="D2103" s="1" t="s">
        <v>129</v>
      </c>
      <c r="E2103" s="5">
        <v>46014</v>
      </c>
      <c r="F2103" s="1" t="s">
        <v>506</v>
      </c>
      <c r="G2103" s="1"/>
      <c r="H2103" s="1"/>
      <c r="I2103" s="6"/>
      <c r="J2103" s="1"/>
      <c r="K2103" s="1"/>
      <c r="L2103" s="1"/>
      <c r="M2103" s="1"/>
      <c r="N2103" s="1"/>
      <c r="O2103" s="8"/>
    </row>
    <row r="2104" spans="1:15" x14ac:dyDescent="0.3">
      <c r="A2104" s="1">
        <v>2478</v>
      </c>
      <c r="B2104" s="17">
        <v>0</v>
      </c>
      <c r="C2104" s="17" t="s">
        <v>3190</v>
      </c>
      <c r="D2104" s="17" t="s">
        <v>2431</v>
      </c>
      <c r="E2104" s="18">
        <v>36722</v>
      </c>
      <c r="F2104" s="17" t="s">
        <v>506</v>
      </c>
      <c r="G2104" s="17" t="s">
        <v>2257</v>
      </c>
      <c r="H2104" s="17" t="s">
        <v>16</v>
      </c>
      <c r="I2104" s="19">
        <v>12863749</v>
      </c>
      <c r="J2104" s="17" t="s">
        <v>3191</v>
      </c>
      <c r="K2104" s="17" t="s">
        <v>574</v>
      </c>
      <c r="L2104" s="17"/>
      <c r="M2104" s="17">
        <v>55142756</v>
      </c>
      <c r="N2104" s="17"/>
      <c r="O2104" s="20" t="s">
        <v>3192</v>
      </c>
    </row>
    <row r="2105" spans="1:15" x14ac:dyDescent="0.3">
      <c r="A2105" s="1">
        <v>2479</v>
      </c>
      <c r="B2105" s="12">
        <v>0</v>
      </c>
      <c r="C2105" s="12" t="s">
        <v>582</v>
      </c>
      <c r="D2105" s="12" t="s">
        <v>145</v>
      </c>
      <c r="E2105" s="13">
        <v>35229</v>
      </c>
      <c r="F2105" s="12" t="s">
        <v>506</v>
      </c>
      <c r="G2105" s="12" t="s">
        <v>15</v>
      </c>
      <c r="H2105" s="12" t="s">
        <v>16</v>
      </c>
      <c r="I2105" s="14">
        <v>12829092</v>
      </c>
      <c r="J2105" s="12" t="s">
        <v>3193</v>
      </c>
      <c r="K2105" s="12" t="s">
        <v>2940</v>
      </c>
      <c r="L2105" s="12"/>
      <c r="M2105" s="12">
        <v>92369116</v>
      </c>
      <c r="N2105" s="12"/>
      <c r="O2105" s="15" t="s">
        <v>3194</v>
      </c>
    </row>
    <row r="2106" spans="1:15" x14ac:dyDescent="0.3">
      <c r="A2106" s="1">
        <v>2479</v>
      </c>
      <c r="B2106" s="1">
        <v>1</v>
      </c>
      <c r="C2106" s="1" t="s">
        <v>63</v>
      </c>
      <c r="D2106" s="1" t="s">
        <v>2581</v>
      </c>
      <c r="E2106" s="5">
        <v>37462</v>
      </c>
      <c r="F2106" s="1" t="s">
        <v>17</v>
      </c>
      <c r="G2106" s="1" t="s">
        <v>15</v>
      </c>
      <c r="H2106" s="1" t="s">
        <v>16</v>
      </c>
      <c r="I2106" s="6" t="str">
        <f>IF(B2106=0,VLOOKUP(A2105,Feuil2!$A$2:$M$1241,7,FALSE)," ")</f>
        <v xml:space="preserve"> </v>
      </c>
      <c r="J2106" s="1" t="str">
        <f>IF(B2106=0,VLOOKUP(A2105,Feuil2!$A$2:$M$1241,9,FALSE)," ")</f>
        <v xml:space="preserve"> </v>
      </c>
      <c r="K2106" s="1"/>
      <c r="L2106" s="1"/>
      <c r="M2106" s="1"/>
      <c r="N2106" s="1"/>
      <c r="O2106" s="8" t="e">
        <f>IF(B2117=0,VLOOKUP(A2116,Feuil2!$A$2:$M$1241,13,FALSE)," ")</f>
        <v>#N/A</v>
      </c>
    </row>
    <row r="2107" spans="1:15" x14ac:dyDescent="0.3">
      <c r="A2107" s="1">
        <v>2479</v>
      </c>
      <c r="B2107" s="1">
        <v>2</v>
      </c>
      <c r="C2107" s="1" t="s">
        <v>63</v>
      </c>
      <c r="D2107" s="1" t="s">
        <v>3219</v>
      </c>
      <c r="E2107" s="5">
        <v>45908</v>
      </c>
      <c r="F2107" s="1" t="s">
        <v>506</v>
      </c>
      <c r="G2107" s="1"/>
      <c r="H2107" s="1"/>
      <c r="I2107" s="6"/>
      <c r="J2107" s="1"/>
      <c r="K2107" s="1"/>
      <c r="L2107" s="1"/>
      <c r="M2107" s="1"/>
      <c r="N2107" s="1"/>
      <c r="O2107" s="8"/>
    </row>
    <row r="2108" spans="1:15" x14ac:dyDescent="0.3">
      <c r="A2108" s="1">
        <v>2512</v>
      </c>
      <c r="B2108" s="17">
        <v>0</v>
      </c>
      <c r="C2108" s="17" t="s">
        <v>3195</v>
      </c>
      <c r="D2108" s="17" t="s">
        <v>88</v>
      </c>
      <c r="E2108" s="18">
        <v>32688</v>
      </c>
      <c r="F2108" s="17" t="s">
        <v>506</v>
      </c>
      <c r="G2108" s="17" t="s">
        <v>2257</v>
      </c>
      <c r="H2108" s="17" t="s">
        <v>16</v>
      </c>
      <c r="I2108" s="19">
        <v>9329672</v>
      </c>
      <c r="J2108" s="17" t="s">
        <v>3196</v>
      </c>
      <c r="K2108" s="17" t="s">
        <v>513</v>
      </c>
      <c r="L2108" s="17"/>
      <c r="M2108" s="17">
        <v>25513466</v>
      </c>
      <c r="N2108" s="17"/>
      <c r="O2108" s="20" t="s">
        <v>3197</v>
      </c>
    </row>
    <row r="2109" spans="1:15" x14ac:dyDescent="0.3">
      <c r="A2109" s="1">
        <v>2520</v>
      </c>
      <c r="B2109" s="12">
        <v>0</v>
      </c>
      <c r="C2109" s="12" t="s">
        <v>958</v>
      </c>
      <c r="D2109" s="12" t="s">
        <v>2347</v>
      </c>
      <c r="E2109" s="13">
        <v>32153</v>
      </c>
      <c r="F2109" s="12" t="s">
        <v>506</v>
      </c>
      <c r="G2109" s="12" t="s">
        <v>15</v>
      </c>
      <c r="H2109" s="12" t="s">
        <v>16</v>
      </c>
      <c r="I2109" s="14">
        <v>9262375</v>
      </c>
      <c r="J2109" s="12" t="s">
        <v>2136</v>
      </c>
      <c r="K2109" s="12" t="s">
        <v>513</v>
      </c>
      <c r="L2109" s="12"/>
      <c r="M2109" s="12">
        <v>27322277</v>
      </c>
      <c r="N2109" s="12"/>
      <c r="O2109" s="15" t="s">
        <v>3198</v>
      </c>
    </row>
    <row r="2110" spans="1:15" x14ac:dyDescent="0.3">
      <c r="A2110" s="1">
        <v>2520</v>
      </c>
      <c r="B2110" s="1">
        <v>1</v>
      </c>
      <c r="C2110" s="1" t="s">
        <v>839</v>
      </c>
      <c r="D2110" s="1" t="s">
        <v>2421</v>
      </c>
      <c r="E2110" s="5">
        <v>31964</v>
      </c>
      <c r="F2110" s="1" t="s">
        <v>17</v>
      </c>
      <c r="G2110" s="1" t="s">
        <v>15</v>
      </c>
      <c r="H2110" s="1" t="s">
        <v>16</v>
      </c>
      <c r="I2110" s="6" t="str">
        <f>IF(B2110=0,VLOOKUP(A2109,Feuil2!$A$2:$M$1241,7,FALSE)," ")</f>
        <v xml:space="preserve"> </v>
      </c>
      <c r="J2110" s="1" t="str">
        <f>IF(B2110=0,VLOOKUP(A2109,Feuil2!$A$2:$M$1241,9,FALSE)," ")</f>
        <v xml:space="preserve"> </v>
      </c>
      <c r="K2110" s="1" t="str">
        <f>IF(B2110=0,VLOOKUP(A2109,Feuil2!$A$2:$M$1241,10,FALSE)," ")</f>
        <v xml:space="preserve"> </v>
      </c>
      <c r="L2110" s="1"/>
      <c r="M2110" s="1"/>
      <c r="N2110" s="1"/>
      <c r="O2110" s="8" t="e">
        <f>IF(B2121=0,VLOOKUP(A2119,Feuil2!$A$2:$M$1241,13,FALSE)," ")</f>
        <v>#N/A</v>
      </c>
    </row>
    <row r="2111" spans="1:15" x14ac:dyDescent="0.3">
      <c r="A2111" s="1">
        <v>2557</v>
      </c>
      <c r="B2111" s="12">
        <v>0</v>
      </c>
      <c r="C2111" s="12" t="s">
        <v>111</v>
      </c>
      <c r="D2111" s="12" t="s">
        <v>143</v>
      </c>
      <c r="E2111" s="13">
        <v>36253</v>
      </c>
      <c r="F2111" s="12" t="s">
        <v>506</v>
      </c>
      <c r="G2111" s="12" t="s">
        <v>2257</v>
      </c>
      <c r="H2111" s="12" t="s">
        <v>16</v>
      </c>
      <c r="I2111" s="14">
        <v>12842687</v>
      </c>
      <c r="J2111" s="12" t="s">
        <v>3199</v>
      </c>
      <c r="K2111" s="12" t="s">
        <v>513</v>
      </c>
      <c r="L2111" s="12"/>
      <c r="M2111" s="12">
        <v>99788830</v>
      </c>
      <c r="N2111" s="12"/>
      <c r="O2111" s="15" t="s">
        <v>3200</v>
      </c>
    </row>
    <row r="2112" spans="1:15" x14ac:dyDescent="0.3">
      <c r="A2112" s="1">
        <v>2621</v>
      </c>
      <c r="B2112" s="12">
        <v>0</v>
      </c>
      <c r="C2112" s="12" t="s">
        <v>3203</v>
      </c>
      <c r="D2112" s="12" t="s">
        <v>323</v>
      </c>
      <c r="E2112" s="13">
        <v>36234</v>
      </c>
      <c r="F2112" s="12" t="s">
        <v>506</v>
      </c>
      <c r="G2112" s="12" t="s">
        <v>2257</v>
      </c>
      <c r="H2112" s="12" t="s">
        <v>16</v>
      </c>
      <c r="I2112" s="14">
        <v>11971675</v>
      </c>
      <c r="J2112" s="12" t="s">
        <v>3204</v>
      </c>
      <c r="K2112" s="12" t="s">
        <v>2934</v>
      </c>
      <c r="L2112" s="12"/>
      <c r="M2112" s="12">
        <v>98140252</v>
      </c>
      <c r="N2112" s="12"/>
      <c r="O2112" s="15" t="s">
        <v>3205</v>
      </c>
    </row>
    <row r="2113" spans="1:15" x14ac:dyDescent="0.3">
      <c r="A2113" s="1">
        <v>2466</v>
      </c>
      <c r="B2113" s="12">
        <v>0</v>
      </c>
      <c r="C2113" s="12" t="s">
        <v>324</v>
      </c>
      <c r="D2113" s="12" t="s">
        <v>89</v>
      </c>
      <c r="E2113" s="13">
        <v>37275</v>
      </c>
      <c r="F2113" s="12" t="s">
        <v>506</v>
      </c>
      <c r="G2113" s="12" t="s">
        <v>2257</v>
      </c>
      <c r="H2113" s="12" t="s">
        <v>16</v>
      </c>
      <c r="I2113" s="14">
        <v>12886545</v>
      </c>
      <c r="J2113" s="12" t="s">
        <v>3210</v>
      </c>
      <c r="K2113" s="12" t="s">
        <v>513</v>
      </c>
      <c r="L2113" s="12"/>
      <c r="M2113" s="12">
        <v>29851495</v>
      </c>
      <c r="N2113" s="12"/>
      <c r="O2113" s="15" t="s">
        <v>3211</v>
      </c>
    </row>
    <row r="2114" spans="1:15" x14ac:dyDescent="0.3">
      <c r="A2114" s="1">
        <v>2509</v>
      </c>
      <c r="B2114" s="12">
        <v>0</v>
      </c>
      <c r="C2114" s="12" t="s">
        <v>1876</v>
      </c>
      <c r="D2114" s="12" t="s">
        <v>34</v>
      </c>
      <c r="E2114" s="13">
        <v>12055</v>
      </c>
      <c r="F2114" s="12" t="s">
        <v>506</v>
      </c>
      <c r="G2114" s="12" t="s">
        <v>2257</v>
      </c>
      <c r="H2114" s="12" t="s">
        <v>16</v>
      </c>
      <c r="I2114" s="14">
        <v>9324428</v>
      </c>
      <c r="J2114" s="12" t="s">
        <v>3079</v>
      </c>
      <c r="K2114" s="12" t="s">
        <v>513</v>
      </c>
      <c r="L2114" s="12"/>
      <c r="M2114" s="12">
        <v>52524549</v>
      </c>
      <c r="N2114" s="12"/>
      <c r="O2114" s="15" t="s">
        <v>3212</v>
      </c>
    </row>
    <row r="2115" spans="1:15" x14ac:dyDescent="0.3">
      <c r="A2115" s="1">
        <v>2549</v>
      </c>
      <c r="B2115" s="12">
        <v>0</v>
      </c>
      <c r="C2115" s="12" t="s">
        <v>3213</v>
      </c>
      <c r="D2115" s="12" t="s">
        <v>2499</v>
      </c>
      <c r="E2115" s="13">
        <v>36620</v>
      </c>
      <c r="F2115" s="12" t="s">
        <v>506</v>
      </c>
      <c r="G2115" s="12" t="s">
        <v>2257</v>
      </c>
      <c r="H2115" s="12" t="s">
        <v>16</v>
      </c>
      <c r="I2115" s="14">
        <v>12861756</v>
      </c>
      <c r="J2115" s="12" t="s">
        <v>2871</v>
      </c>
      <c r="K2115" s="12" t="s">
        <v>513</v>
      </c>
      <c r="L2115" s="12"/>
      <c r="M2115" s="12">
        <v>28504207</v>
      </c>
      <c r="N2115" s="12"/>
      <c r="O2115" s="15" t="s">
        <v>3214</v>
      </c>
    </row>
    <row r="2116" spans="1:15" x14ac:dyDescent="0.3">
      <c r="A2116" s="1">
        <v>2589</v>
      </c>
      <c r="B2116" s="12">
        <v>0</v>
      </c>
      <c r="C2116" s="12" t="s">
        <v>620</v>
      </c>
      <c r="D2116" s="12" t="s">
        <v>2499</v>
      </c>
      <c r="E2116" s="13">
        <v>34989</v>
      </c>
      <c r="F2116" s="12" t="s">
        <v>506</v>
      </c>
      <c r="G2116" s="12" t="s">
        <v>2257</v>
      </c>
      <c r="H2116" s="12" t="s">
        <v>16</v>
      </c>
      <c r="I2116" s="14">
        <v>12841006</v>
      </c>
      <c r="J2116" s="12" t="s">
        <v>3215</v>
      </c>
      <c r="K2116" s="12" t="s">
        <v>513</v>
      </c>
      <c r="L2116" s="12"/>
      <c r="M2116" s="12">
        <v>50371488</v>
      </c>
      <c r="N2116" s="12"/>
      <c r="O2116" s="15" t="s">
        <v>3216</v>
      </c>
    </row>
    <row r="2117" spans="1:15" x14ac:dyDescent="0.3">
      <c r="A2117" s="1">
        <v>2714</v>
      </c>
      <c r="B2117" s="12">
        <v>0</v>
      </c>
      <c r="C2117" s="12" t="s">
        <v>3217</v>
      </c>
      <c r="D2117" s="12" t="s">
        <v>2567</v>
      </c>
      <c r="E2117" s="13">
        <v>30904</v>
      </c>
      <c r="F2117" s="12" t="s">
        <v>506</v>
      </c>
      <c r="G2117" s="12" t="s">
        <v>2257</v>
      </c>
      <c r="H2117" s="12" t="s">
        <v>16</v>
      </c>
      <c r="I2117" s="14">
        <v>8445220</v>
      </c>
      <c r="J2117" s="12" t="s">
        <v>3218</v>
      </c>
      <c r="K2117" s="12" t="s">
        <v>513</v>
      </c>
      <c r="L2117" s="12"/>
      <c r="M2117" s="12">
        <v>24027700</v>
      </c>
      <c r="N2117" s="12"/>
      <c r="O2117" s="15" t="s">
        <v>2829</v>
      </c>
    </row>
    <row r="2118" spans="1:15" x14ac:dyDescent="0.3">
      <c r="A2118" s="1">
        <v>2376</v>
      </c>
      <c r="B2118" s="12">
        <v>0</v>
      </c>
      <c r="C2118" s="12" t="s">
        <v>33</v>
      </c>
      <c r="D2118" s="12" t="s">
        <v>145</v>
      </c>
      <c r="E2118" s="13">
        <v>36006</v>
      </c>
      <c r="F2118" s="12" t="s">
        <v>506</v>
      </c>
      <c r="G2118" s="12" t="s">
        <v>15</v>
      </c>
      <c r="H2118" s="12" t="s">
        <v>16</v>
      </c>
      <c r="I2118" s="14">
        <v>12848660</v>
      </c>
      <c r="J2118" s="12" t="s">
        <v>2182</v>
      </c>
      <c r="K2118" s="12" t="s">
        <v>513</v>
      </c>
      <c r="L2118" s="12"/>
      <c r="M2118" s="12">
        <v>98793636</v>
      </c>
      <c r="N2118" s="12"/>
      <c r="O2118" s="15" t="s">
        <v>3221</v>
      </c>
    </row>
    <row r="2119" spans="1:15" x14ac:dyDescent="0.3">
      <c r="A2119" s="1">
        <v>2376</v>
      </c>
      <c r="B2119" s="1">
        <v>1</v>
      </c>
      <c r="C2119" s="1" t="s">
        <v>3222</v>
      </c>
      <c r="D2119" s="1" t="s">
        <v>2337</v>
      </c>
      <c r="E2119" s="5">
        <v>38412</v>
      </c>
      <c r="F2119" s="1" t="s">
        <v>17</v>
      </c>
      <c r="G2119" s="1" t="s">
        <v>15</v>
      </c>
      <c r="H2119" s="1" t="s">
        <v>16</v>
      </c>
      <c r="I2119" s="6" t="str">
        <f>IF(B2119=0,VLOOKUP(A2119,Feuil2!$A$2:$M$1241,7,FALSE)," ")</f>
        <v xml:space="preserve"> </v>
      </c>
      <c r="J2119" s="1" t="str">
        <f>IF(B2119=0,VLOOKUP(A2119,Feuil2!$A$2:$M$1241,9,FALSE)," ")</f>
        <v xml:space="preserve"> </v>
      </c>
      <c r="K2119" s="1" t="str">
        <f>IF(B2119=0,VLOOKUP(A2119,Feuil2!$A$2:$M$1241,10,FALSE)," ")</f>
        <v xml:space="preserve"> </v>
      </c>
      <c r="L2119" s="1"/>
      <c r="M2119" s="1"/>
      <c r="N2119" s="1"/>
      <c r="O2119" s="8"/>
    </row>
    <row r="2120" spans="1:15" x14ac:dyDescent="0.3">
      <c r="A2120" s="1">
        <v>2376</v>
      </c>
      <c r="B2120" s="1">
        <v>2</v>
      </c>
      <c r="C2120" s="1" t="s">
        <v>33</v>
      </c>
      <c r="D2120" s="1" t="s">
        <v>29</v>
      </c>
      <c r="E2120" s="5">
        <v>46172</v>
      </c>
      <c r="F2120" s="1" t="s">
        <v>17</v>
      </c>
      <c r="G2120" s="1"/>
      <c r="H2120" s="1"/>
      <c r="I2120" s="6"/>
      <c r="J2120" s="1"/>
      <c r="K2120" s="1"/>
      <c r="L2120" s="1"/>
      <c r="M2120" s="1"/>
      <c r="N2120" s="1"/>
      <c r="O2120" s="8"/>
    </row>
    <row r="2121" spans="1:15" x14ac:dyDescent="0.3">
      <c r="A2121" s="1">
        <v>2482</v>
      </c>
      <c r="B2121" s="12">
        <v>0</v>
      </c>
      <c r="C2121" s="12" t="s">
        <v>994</v>
      </c>
      <c r="D2121" s="12" t="s">
        <v>434</v>
      </c>
      <c r="E2121" s="13">
        <v>35156</v>
      </c>
      <c r="F2121" s="12" t="s">
        <v>506</v>
      </c>
      <c r="G2121" s="12" t="s">
        <v>15</v>
      </c>
      <c r="H2121" s="12" t="s">
        <v>16</v>
      </c>
      <c r="I2121" s="14">
        <v>12818464</v>
      </c>
      <c r="J2121" s="12" t="s">
        <v>3223</v>
      </c>
      <c r="K2121" s="12" t="s">
        <v>513</v>
      </c>
      <c r="L2121" s="12"/>
      <c r="M2121" s="12">
        <v>25508230</v>
      </c>
      <c r="N2121" s="12"/>
      <c r="O2121" s="15" t="s">
        <v>3224</v>
      </c>
    </row>
    <row r="2122" spans="1:15" x14ac:dyDescent="0.3">
      <c r="A2122" s="1">
        <v>2482</v>
      </c>
      <c r="B2122" s="1">
        <v>1</v>
      </c>
      <c r="C2122" s="1" t="s">
        <v>123</v>
      </c>
      <c r="D2122" s="1" t="s">
        <v>3225</v>
      </c>
      <c r="E2122" s="5">
        <v>35269</v>
      </c>
      <c r="F2122" s="1" t="s">
        <v>17</v>
      </c>
      <c r="G2122" s="1" t="s">
        <v>15</v>
      </c>
      <c r="H2122" s="1" t="s">
        <v>16</v>
      </c>
      <c r="I2122" s="6" t="str">
        <f>IF(B2122=0,VLOOKUP(A2122,Feuil2!$A$2:$M$1241,7,FALSE)," ")</f>
        <v xml:space="preserve"> </v>
      </c>
      <c r="J2122" s="1" t="str">
        <f>IF(B2122=0,VLOOKUP(A2122,Feuil2!$A$2:$M$1241,9,FALSE)," ")</f>
        <v xml:space="preserve"> </v>
      </c>
      <c r="K2122" s="1" t="str">
        <f>IF(B2122=0,VLOOKUP(A2122,Feuil2!$A$2:$M$1241,10,FALSE)," ")</f>
        <v xml:space="preserve"> </v>
      </c>
      <c r="L2122" s="1"/>
      <c r="M2122" s="1"/>
      <c r="N2122" s="1"/>
      <c r="O2122" s="8"/>
    </row>
    <row r="2123" spans="1:15" x14ac:dyDescent="0.3">
      <c r="A2123" s="1">
        <v>2406</v>
      </c>
      <c r="B2123" s="12">
        <v>0</v>
      </c>
      <c r="C2123" s="12" t="s">
        <v>61</v>
      </c>
      <c r="D2123" s="12" t="s">
        <v>390</v>
      </c>
      <c r="E2123" s="13">
        <v>32426</v>
      </c>
      <c r="F2123" s="12" t="s">
        <v>506</v>
      </c>
      <c r="G2123" s="12" t="s">
        <v>2257</v>
      </c>
      <c r="H2123" s="12" t="s">
        <v>16</v>
      </c>
      <c r="I2123" s="14">
        <v>9257625</v>
      </c>
      <c r="J2123" s="12" t="s">
        <v>3231</v>
      </c>
      <c r="K2123" s="12" t="s">
        <v>513</v>
      </c>
      <c r="L2123" s="12"/>
      <c r="M2123" s="12">
        <v>98793880</v>
      </c>
      <c r="N2123" s="12"/>
      <c r="O2123" s="15" t="s">
        <v>3232</v>
      </c>
    </row>
    <row r="2124" spans="1:15" x14ac:dyDescent="0.3">
      <c r="A2124" s="1">
        <v>2527</v>
      </c>
      <c r="B2124" s="12">
        <v>0</v>
      </c>
      <c r="C2124" s="12" t="s">
        <v>3233</v>
      </c>
      <c r="D2124" s="12" t="s">
        <v>365</v>
      </c>
      <c r="E2124" s="13">
        <v>34494</v>
      </c>
      <c r="F2124" s="12" t="s">
        <v>506</v>
      </c>
      <c r="G2124" s="12" t="s">
        <v>15</v>
      </c>
      <c r="H2124" s="12" t="s">
        <v>16</v>
      </c>
      <c r="I2124" s="14">
        <v>12807926</v>
      </c>
      <c r="J2124" s="12" t="s">
        <v>3234</v>
      </c>
      <c r="K2124" s="12" t="s">
        <v>513</v>
      </c>
      <c r="L2124" s="12"/>
      <c r="M2124" s="12">
        <v>98180562</v>
      </c>
      <c r="N2124" s="12"/>
      <c r="O2124" s="15" t="s">
        <v>3235</v>
      </c>
    </row>
    <row r="2125" spans="1:15" x14ac:dyDescent="0.3">
      <c r="A2125" s="1">
        <v>2527</v>
      </c>
      <c r="B2125" s="1">
        <v>1</v>
      </c>
      <c r="C2125" s="1" t="s">
        <v>29</v>
      </c>
      <c r="D2125" s="1" t="s">
        <v>2667</v>
      </c>
      <c r="E2125" s="5">
        <v>35973</v>
      </c>
      <c r="F2125" s="1" t="s">
        <v>17</v>
      </c>
      <c r="G2125" s="1" t="s">
        <v>15</v>
      </c>
      <c r="H2125" s="1" t="s">
        <v>16</v>
      </c>
      <c r="I2125" s="6" t="str">
        <f>IF(B2125=0,VLOOKUP(A2125,Feuil2!$A$2:$M$1241,7,FALSE)," ")</f>
        <v xml:space="preserve"> </v>
      </c>
      <c r="J2125" s="1" t="str">
        <f>IF(B2125=0,VLOOKUP(A2125,Feuil2!$A$2:$M$1241,9,FALSE)," ")</f>
        <v xml:space="preserve"> </v>
      </c>
      <c r="K2125" s="1" t="str">
        <f>IF(B2125=0,VLOOKUP(A2125,Feuil2!$A$2:$M$1241,10,FALSE)," ")</f>
        <v xml:space="preserve"> </v>
      </c>
      <c r="L2125" s="1"/>
      <c r="M2125" s="1"/>
      <c r="N2125" s="1"/>
      <c r="O2125" s="8"/>
    </row>
    <row r="2126" spans="1:15" x14ac:dyDescent="0.3">
      <c r="A2126" s="1">
        <v>2575</v>
      </c>
      <c r="B2126" s="12">
        <v>0</v>
      </c>
      <c r="C2126" s="12" t="s">
        <v>203</v>
      </c>
      <c r="D2126" s="12" t="s">
        <v>107</v>
      </c>
      <c r="E2126" s="13">
        <v>36978</v>
      </c>
      <c r="F2126" s="12" t="s">
        <v>506</v>
      </c>
      <c r="G2126" s="12" t="s">
        <v>2257</v>
      </c>
      <c r="H2126" s="12" t="s">
        <v>16</v>
      </c>
      <c r="I2126" s="14">
        <v>12876418</v>
      </c>
      <c r="J2126" s="12" t="s">
        <v>3236</v>
      </c>
      <c r="K2126" s="12" t="s">
        <v>513</v>
      </c>
      <c r="L2126" s="12"/>
      <c r="M2126" s="12">
        <v>21355718</v>
      </c>
      <c r="N2126" s="12"/>
      <c r="O2126" s="15" t="s">
        <v>3237</v>
      </c>
    </row>
    <row r="2127" spans="1:15" x14ac:dyDescent="0.3">
      <c r="A2127" s="1">
        <v>2632</v>
      </c>
      <c r="B2127" s="12">
        <v>0</v>
      </c>
      <c r="C2127" s="12" t="s">
        <v>193</v>
      </c>
      <c r="D2127" s="12" t="s">
        <v>298</v>
      </c>
      <c r="E2127" s="13">
        <v>32834</v>
      </c>
      <c r="F2127" s="12" t="s">
        <v>506</v>
      </c>
      <c r="G2127" s="12" t="s">
        <v>2257</v>
      </c>
      <c r="H2127" s="12" t="s">
        <v>16</v>
      </c>
      <c r="I2127" s="14">
        <v>9282876</v>
      </c>
      <c r="J2127" s="12" t="s">
        <v>3238</v>
      </c>
      <c r="K2127" s="12" t="s">
        <v>513</v>
      </c>
      <c r="L2127" s="12"/>
      <c r="M2127" s="12">
        <v>98793748</v>
      </c>
      <c r="N2127" s="12"/>
      <c r="O2127" s="15" t="s">
        <v>3239</v>
      </c>
    </row>
    <row r="2128" spans="1:15" x14ac:dyDescent="0.3">
      <c r="A2128" s="1">
        <v>2671</v>
      </c>
      <c r="B2128" s="12">
        <v>0</v>
      </c>
      <c r="C2128" s="12" t="s">
        <v>417</v>
      </c>
      <c r="D2128" s="12" t="s">
        <v>34</v>
      </c>
      <c r="E2128" s="13">
        <v>33354</v>
      </c>
      <c r="F2128" s="12" t="s">
        <v>506</v>
      </c>
      <c r="G2128" s="12" t="s">
        <v>15</v>
      </c>
      <c r="H2128" s="12" t="s">
        <v>16</v>
      </c>
      <c r="I2128" s="14">
        <v>9309277</v>
      </c>
      <c r="J2128" s="12" t="s">
        <v>3240</v>
      </c>
      <c r="K2128" s="12" t="s">
        <v>513</v>
      </c>
      <c r="L2128" s="12"/>
      <c r="M2128" s="12">
        <v>55052225</v>
      </c>
      <c r="N2128" s="12"/>
      <c r="O2128" s="15" t="s">
        <v>3241</v>
      </c>
    </row>
    <row r="2129" spans="1:15" x14ac:dyDescent="0.3">
      <c r="A2129" s="1">
        <v>2671</v>
      </c>
      <c r="B2129" s="1">
        <v>1</v>
      </c>
      <c r="C2129" s="1" t="s">
        <v>176</v>
      </c>
      <c r="D2129" s="1" t="s">
        <v>2774</v>
      </c>
      <c r="E2129" s="5">
        <v>33997</v>
      </c>
      <c r="F2129" s="1" t="s">
        <v>17</v>
      </c>
      <c r="G2129" s="1" t="s">
        <v>15</v>
      </c>
      <c r="H2129" s="1" t="s">
        <v>16</v>
      </c>
      <c r="I2129" s="6" t="str">
        <f>IF(B2129=0,VLOOKUP(A2129,Feuil2!$A$2:$M$1241,7,FALSE)," ")</f>
        <v xml:space="preserve"> </v>
      </c>
      <c r="J2129" s="1" t="str">
        <f>IF(B2129=0,VLOOKUP(A2129,Feuil2!$A$2:$M$1241,9,FALSE)," ")</f>
        <v xml:space="preserve"> </v>
      </c>
      <c r="K2129" s="1" t="str">
        <f>IF(B2129=0,VLOOKUP(A2129,Feuil2!$A$2:$M$1241,10,FALSE)," ")</f>
        <v xml:space="preserve"> </v>
      </c>
      <c r="L2129" s="1"/>
      <c r="M2129" s="1"/>
      <c r="N2129" s="1"/>
      <c r="O2129" s="8"/>
    </row>
    <row r="2130" spans="1:15" x14ac:dyDescent="0.3">
      <c r="A2130" s="1">
        <v>2671</v>
      </c>
      <c r="B2130" s="1">
        <v>2</v>
      </c>
      <c r="C2130" s="1" t="s">
        <v>417</v>
      </c>
      <c r="D2130" s="1" t="s">
        <v>61</v>
      </c>
      <c r="E2130" s="5">
        <v>44378</v>
      </c>
      <c r="F2130" s="1" t="s">
        <v>506</v>
      </c>
      <c r="G2130" s="1" t="str">
        <f>IF(B2130=0,VLOOKUP(A2130,Feuil2!$A$2:$M$1241,11,FALSE)," ")</f>
        <v xml:space="preserve"> </v>
      </c>
      <c r="H2130" s="1" t="s">
        <v>16</v>
      </c>
      <c r="I2130" s="6" t="str">
        <f>IF(B2130=0,VLOOKUP(A2130,Feuil2!$A$2:$M$1241,7,FALSE)," ")</f>
        <v xml:space="preserve"> </v>
      </c>
      <c r="J2130" s="1" t="str">
        <f>IF(B2130=0,VLOOKUP(A2130,Feuil2!$A$2:$M$1241,9,FALSE)," ")</f>
        <v xml:space="preserve"> </v>
      </c>
      <c r="K2130" s="1" t="str">
        <f>IF(B2130=0,VLOOKUP(A2130,Feuil2!$A$2:$M$1241,10,FALSE)," ")</f>
        <v xml:space="preserve"> </v>
      </c>
      <c r="L2130" s="1"/>
      <c r="M2130" s="1"/>
      <c r="N2130" s="1"/>
      <c r="O2130" s="8"/>
    </row>
    <row r="2131" spans="1:15" x14ac:dyDescent="0.3">
      <c r="A2131" s="1">
        <v>2671</v>
      </c>
      <c r="B2131" s="1">
        <v>3</v>
      </c>
      <c r="C2131" s="1" t="s">
        <v>417</v>
      </c>
      <c r="D2131" s="1" t="s">
        <v>346</v>
      </c>
      <c r="E2131" s="5">
        <v>46147</v>
      </c>
      <c r="F2131" s="1" t="s">
        <v>506</v>
      </c>
      <c r="G2131" s="1"/>
      <c r="H2131" s="1"/>
      <c r="I2131" s="6"/>
      <c r="J2131" s="1"/>
      <c r="K2131" s="1"/>
      <c r="L2131" s="1"/>
      <c r="M2131" s="1"/>
      <c r="N2131" s="1"/>
      <c r="O2131" s="8"/>
    </row>
    <row r="2132" spans="1:15" x14ac:dyDescent="0.3">
      <c r="A2132" s="1">
        <v>2767</v>
      </c>
      <c r="B2132" s="12">
        <v>0</v>
      </c>
      <c r="C2132" s="12" t="s">
        <v>3242</v>
      </c>
      <c r="D2132" s="12" t="s">
        <v>2332</v>
      </c>
      <c r="E2132" s="13">
        <v>35058</v>
      </c>
      <c r="F2132" s="12" t="s">
        <v>17</v>
      </c>
      <c r="G2132" s="12" t="s">
        <v>15</v>
      </c>
      <c r="H2132" s="12" t="s">
        <v>16</v>
      </c>
      <c r="I2132" s="14">
        <v>6974634</v>
      </c>
      <c r="J2132" s="12" t="s">
        <v>3243</v>
      </c>
      <c r="K2132" s="12" t="s">
        <v>3120</v>
      </c>
      <c r="L2132" s="12"/>
      <c r="M2132" s="12">
        <v>50754093</v>
      </c>
      <c r="N2132" s="12"/>
      <c r="O2132" s="15" t="s">
        <v>3244</v>
      </c>
    </row>
    <row r="2133" spans="1:15" x14ac:dyDescent="0.3">
      <c r="A2133" s="1">
        <v>2767</v>
      </c>
      <c r="B2133" s="1">
        <v>1</v>
      </c>
      <c r="C2133" s="1" t="s">
        <v>450</v>
      </c>
      <c r="D2133" s="1" t="s">
        <v>107</v>
      </c>
      <c r="E2133" s="5">
        <v>33702</v>
      </c>
      <c r="F2133" s="1" t="s">
        <v>506</v>
      </c>
      <c r="G2133" s="1" t="s">
        <v>15</v>
      </c>
      <c r="H2133" s="1" t="s">
        <v>16</v>
      </c>
      <c r="I2133" s="6" t="str">
        <f>IF(B2133=0,VLOOKUP(A2133,Feuil2!$A$2:$M$1241,7,FALSE)," ")</f>
        <v xml:space="preserve"> </v>
      </c>
      <c r="J2133" s="1" t="str">
        <f>IF(B2133=0,VLOOKUP(A2133,Feuil2!$A$2:$M$1241,9,FALSE)," ")</f>
        <v xml:space="preserve"> </v>
      </c>
      <c r="K2133" s="1" t="str">
        <f>IF(B2133=0,VLOOKUP(A2133,Feuil2!$A$2:$M$1241,10,FALSE)," ")</f>
        <v xml:space="preserve"> </v>
      </c>
      <c r="L2133" s="1"/>
      <c r="M2133" s="1"/>
      <c r="N2133" s="1"/>
      <c r="O2133" s="8"/>
    </row>
    <row r="2134" spans="1:15" x14ac:dyDescent="0.3">
      <c r="A2134" s="1">
        <v>2767</v>
      </c>
      <c r="B2134" s="1">
        <v>2</v>
      </c>
      <c r="C2134" s="1" t="s">
        <v>450</v>
      </c>
      <c r="D2134" s="1" t="s">
        <v>2089</v>
      </c>
      <c r="E2134" s="5">
        <v>45759</v>
      </c>
      <c r="F2134" s="1" t="s">
        <v>17</v>
      </c>
      <c r="G2134" s="1" t="str">
        <f>IF(B2134=0,VLOOKUP(A2134,Feuil2!$A$2:$M$1241,11,FALSE)," ")</f>
        <v xml:space="preserve"> </v>
      </c>
      <c r="H2134" s="1" t="s">
        <v>16</v>
      </c>
      <c r="I2134" s="6" t="str">
        <f>IF(B2134=0,VLOOKUP(A2134,Feuil2!$A$2:$M$1241,7,FALSE)," ")</f>
        <v xml:space="preserve"> </v>
      </c>
      <c r="J2134" s="1" t="str">
        <f>IF(B2134=0,VLOOKUP(A2134,Feuil2!$A$2:$M$1241,9,FALSE)," ")</f>
        <v xml:space="preserve"> </v>
      </c>
      <c r="K2134" s="1" t="str">
        <f>IF(B2134=0,VLOOKUP(A2134,Feuil2!$A$2:$M$1241,10,FALSE)," ")</f>
        <v xml:space="preserve"> </v>
      </c>
      <c r="L2134" s="1"/>
      <c r="M2134" s="1"/>
      <c r="N2134" s="1"/>
      <c r="O2134" s="8"/>
    </row>
    <row r="2135" spans="1:15" x14ac:dyDescent="0.3">
      <c r="A2135" s="1">
        <v>2324</v>
      </c>
      <c r="B2135" s="12">
        <v>0</v>
      </c>
      <c r="C2135" s="12" t="s">
        <v>42</v>
      </c>
      <c r="D2135" s="12" t="s">
        <v>519</v>
      </c>
      <c r="E2135" s="13">
        <v>32429</v>
      </c>
      <c r="F2135" s="12" t="s">
        <v>506</v>
      </c>
      <c r="G2135" s="12" t="s">
        <v>2257</v>
      </c>
      <c r="H2135" s="12" t="s">
        <v>16</v>
      </c>
      <c r="I2135" s="14">
        <v>9287175</v>
      </c>
      <c r="J2135" s="12" t="s">
        <v>3243</v>
      </c>
      <c r="K2135" s="12" t="s">
        <v>513</v>
      </c>
      <c r="L2135" s="12"/>
      <c r="M2135" s="12">
        <v>53218485</v>
      </c>
      <c r="N2135" s="12"/>
      <c r="O2135" s="15" t="s">
        <v>3245</v>
      </c>
    </row>
    <row r="2136" spans="1:15" x14ac:dyDescent="0.3">
      <c r="A2136" s="1">
        <v>2468</v>
      </c>
      <c r="B2136" s="12">
        <v>0</v>
      </c>
      <c r="C2136" s="12" t="s">
        <v>3016</v>
      </c>
      <c r="D2136" s="12" t="s">
        <v>77</v>
      </c>
      <c r="E2136" s="13">
        <v>35953</v>
      </c>
      <c r="F2136" s="12" t="s">
        <v>506</v>
      </c>
      <c r="G2136" s="12" t="s">
        <v>15</v>
      </c>
      <c r="H2136" s="12" t="s">
        <v>16</v>
      </c>
      <c r="I2136" s="14">
        <v>12842530</v>
      </c>
      <c r="J2136" s="12" t="s">
        <v>3246</v>
      </c>
      <c r="K2136" s="12" t="s">
        <v>513</v>
      </c>
      <c r="L2136" s="12"/>
      <c r="M2136" s="12">
        <v>98123541</v>
      </c>
      <c r="N2136" s="12"/>
      <c r="O2136" s="15" t="s">
        <v>3247</v>
      </c>
    </row>
    <row r="2137" spans="1:15" x14ac:dyDescent="0.3">
      <c r="A2137" s="1">
        <v>2468</v>
      </c>
      <c r="B2137" s="1">
        <v>1</v>
      </c>
      <c r="C2137" s="1" t="s">
        <v>3248</v>
      </c>
      <c r="D2137" s="1" t="s">
        <v>2552</v>
      </c>
      <c r="E2137" s="5">
        <v>37914</v>
      </c>
      <c r="F2137" s="1" t="s">
        <v>17</v>
      </c>
      <c r="G2137" s="1" t="s">
        <v>15</v>
      </c>
      <c r="H2137" s="1" t="s">
        <v>16</v>
      </c>
      <c r="I2137" s="6"/>
      <c r="J2137" s="1" t="str">
        <f>IF(B2137=0,VLOOKUP(A2137,Feuil2!$A$2:$M$1241,9,FALSE)," ")</f>
        <v xml:space="preserve"> </v>
      </c>
      <c r="K2137" s="1" t="str">
        <f>IF(B2137=0,VLOOKUP(A2137,Feuil2!$A$2:$M$1241,10,FALSE)," ")</f>
        <v xml:space="preserve"> </v>
      </c>
      <c r="L2137" s="1"/>
      <c r="M2137" s="1"/>
      <c r="N2137" s="1"/>
      <c r="O2137" s="8"/>
    </row>
    <row r="2138" spans="1:15" x14ac:dyDescent="0.3">
      <c r="A2138" s="1">
        <v>2503</v>
      </c>
      <c r="B2138" s="12">
        <v>0</v>
      </c>
      <c r="C2138" s="12" t="s">
        <v>41</v>
      </c>
      <c r="D2138" s="12" t="s">
        <v>2482</v>
      </c>
      <c r="E2138" s="13">
        <v>36293</v>
      </c>
      <c r="F2138" s="12" t="s">
        <v>17</v>
      </c>
      <c r="G2138" s="12" t="s">
        <v>2257</v>
      </c>
      <c r="H2138" s="12" t="s">
        <v>16</v>
      </c>
      <c r="I2138" s="14">
        <v>12856831</v>
      </c>
      <c r="J2138" s="12" t="s">
        <v>3249</v>
      </c>
      <c r="K2138" s="12" t="s">
        <v>513</v>
      </c>
      <c r="L2138" s="12"/>
      <c r="M2138" s="12">
        <v>53274307</v>
      </c>
      <c r="N2138" s="12"/>
      <c r="O2138" s="15" t="s">
        <v>3250</v>
      </c>
    </row>
    <row r="2139" spans="1:15" x14ac:dyDescent="0.3">
      <c r="A2139" s="1">
        <v>2505</v>
      </c>
      <c r="B2139" s="12">
        <v>0</v>
      </c>
      <c r="C2139" s="12" t="s">
        <v>1234</v>
      </c>
      <c r="D2139" s="12" t="s">
        <v>434</v>
      </c>
      <c r="E2139" s="13">
        <v>35453</v>
      </c>
      <c r="F2139" s="12" t="s">
        <v>506</v>
      </c>
      <c r="G2139" s="12" t="s">
        <v>2257</v>
      </c>
      <c r="H2139" s="12" t="s">
        <v>16</v>
      </c>
      <c r="I2139" s="14">
        <v>12824031</v>
      </c>
      <c r="J2139" s="12" t="s">
        <v>3251</v>
      </c>
      <c r="K2139" s="12" t="s">
        <v>513</v>
      </c>
      <c r="L2139" s="12"/>
      <c r="M2139" s="12">
        <v>21106745</v>
      </c>
      <c r="N2139" s="12"/>
      <c r="O2139" s="15" t="s">
        <v>3252</v>
      </c>
    </row>
    <row r="2140" spans="1:15" x14ac:dyDescent="0.3">
      <c r="A2140" s="1">
        <v>2568</v>
      </c>
      <c r="B2140" s="12">
        <v>0</v>
      </c>
      <c r="C2140" s="12" t="s">
        <v>3253</v>
      </c>
      <c r="D2140" s="12" t="s">
        <v>230</v>
      </c>
      <c r="E2140" s="13">
        <v>33402</v>
      </c>
      <c r="F2140" s="12" t="s">
        <v>506</v>
      </c>
      <c r="G2140" s="12" t="s">
        <v>15</v>
      </c>
      <c r="H2140" s="12" t="s">
        <v>16</v>
      </c>
      <c r="I2140" s="14">
        <v>9289323</v>
      </c>
      <c r="J2140" s="12" t="s">
        <v>3254</v>
      </c>
      <c r="K2140" s="12" t="s">
        <v>513</v>
      </c>
      <c r="L2140" s="12"/>
      <c r="M2140" s="12">
        <v>23400985</v>
      </c>
      <c r="N2140" s="12"/>
      <c r="O2140" s="15" t="s">
        <v>3255</v>
      </c>
    </row>
    <row r="2141" spans="1:15" x14ac:dyDescent="0.3">
      <c r="A2141" s="1">
        <v>2568</v>
      </c>
      <c r="B2141" s="1">
        <v>1</v>
      </c>
      <c r="C2141" s="1" t="s">
        <v>582</v>
      </c>
      <c r="D2141" s="1" t="s">
        <v>2411</v>
      </c>
      <c r="E2141" s="5">
        <v>34742</v>
      </c>
      <c r="F2141" s="1" t="s">
        <v>17</v>
      </c>
      <c r="G2141" s="1" t="s">
        <v>15</v>
      </c>
      <c r="H2141" s="1" t="s">
        <v>16</v>
      </c>
      <c r="I2141" s="6" t="str">
        <f>IF(B2141=0,VLOOKUP(A2141,Feuil2!$A$2:$M$1241,7,FALSE)," ")</f>
        <v xml:space="preserve"> </v>
      </c>
      <c r="J2141" s="1" t="str">
        <f>IF(B2141=0,VLOOKUP(A2141,Feuil2!$A$2:$M$1241,9,FALSE)," ")</f>
        <v xml:space="preserve"> </v>
      </c>
      <c r="K2141" s="1" t="str">
        <f>IF(B2141=0,VLOOKUP(A2141,Feuil2!$A$2:$M$1241,10,FALSE)," ")</f>
        <v xml:space="preserve"> </v>
      </c>
      <c r="L2141" s="1"/>
      <c r="M2141" s="1"/>
      <c r="N2141" s="1"/>
      <c r="O2141" s="8"/>
    </row>
    <row r="2142" spans="1:15" x14ac:dyDescent="0.3">
      <c r="A2142" s="1">
        <v>2568</v>
      </c>
      <c r="B2142" s="1">
        <v>2</v>
      </c>
      <c r="C2142" s="1" t="s">
        <v>3253</v>
      </c>
      <c r="D2142" s="1" t="s">
        <v>287</v>
      </c>
      <c r="E2142" s="5">
        <v>43243</v>
      </c>
      <c r="F2142" s="1" t="s">
        <v>506</v>
      </c>
      <c r="G2142" s="1" t="str">
        <f>IF(B2142=0,VLOOKUP(A2142,Feuil2!$A$2:$M$1241,11,FALSE)," ")</f>
        <v xml:space="preserve"> </v>
      </c>
      <c r="H2142" s="1" t="s">
        <v>16</v>
      </c>
      <c r="I2142" s="6" t="str">
        <f>IF(B2142=0,VLOOKUP(A2142,Feuil2!$A$2:$M$1241,7,FALSE)," ")</f>
        <v xml:space="preserve"> </v>
      </c>
      <c r="J2142" s="1" t="str">
        <f>IF(B2142=0,VLOOKUP(A2142,Feuil2!$A$2:$M$1241,9,FALSE)," ")</f>
        <v xml:space="preserve"> </v>
      </c>
      <c r="K2142" s="1" t="str">
        <f>IF(B2142=0,VLOOKUP(A2142,Feuil2!$A$2:$M$1241,10,FALSE)," ")</f>
        <v xml:space="preserve"> </v>
      </c>
      <c r="L2142" s="1"/>
      <c r="M2142" s="1"/>
      <c r="N2142" s="1"/>
      <c r="O2142" s="8"/>
    </row>
    <row r="2143" spans="1:15" x14ac:dyDescent="0.3">
      <c r="A2143" s="1">
        <v>2568</v>
      </c>
      <c r="B2143" s="1">
        <v>3</v>
      </c>
      <c r="C2143" s="1" t="s">
        <v>3253</v>
      </c>
      <c r="D2143" s="1" t="s">
        <v>2338</v>
      </c>
      <c r="E2143" s="5">
        <v>44773</v>
      </c>
      <c r="F2143" s="1" t="s">
        <v>17</v>
      </c>
      <c r="G2143" s="1" t="str">
        <f>IF(B2143=0,VLOOKUP(A2143,Feuil2!$A$2:$M$1241,11,FALSE)," ")</f>
        <v xml:space="preserve"> </v>
      </c>
      <c r="H2143" s="1" t="s">
        <v>16</v>
      </c>
      <c r="I2143" s="6" t="str">
        <f>IF(B2143=0,VLOOKUP(A2143,Feuil2!$A$2:$M$1241,7,FALSE)," ")</f>
        <v xml:space="preserve"> </v>
      </c>
      <c r="J2143" s="1" t="str">
        <f>IF(B2143=0,VLOOKUP(A2143,Feuil2!$A$2:$M$1241,9,FALSE)," ")</f>
        <v xml:space="preserve"> </v>
      </c>
      <c r="K2143" s="1" t="str">
        <f>IF(B2143=0,VLOOKUP(A2143,Feuil2!$A$2:$M$1241,10,FALSE)," ")</f>
        <v xml:space="preserve"> </v>
      </c>
      <c r="L2143" s="1"/>
      <c r="M2143" s="1"/>
      <c r="N2143" s="1"/>
      <c r="O2143" s="8"/>
    </row>
    <row r="2144" spans="1:15" x14ac:dyDescent="0.3">
      <c r="A2144" s="1">
        <v>2464</v>
      </c>
      <c r="B2144" s="12">
        <v>0</v>
      </c>
      <c r="C2144" s="12" t="s">
        <v>335</v>
      </c>
      <c r="D2144" s="12" t="s">
        <v>230</v>
      </c>
      <c r="E2144" s="13">
        <v>36483</v>
      </c>
      <c r="F2144" s="12" t="s">
        <v>506</v>
      </c>
      <c r="G2144" s="12" t="s">
        <v>15</v>
      </c>
      <c r="H2144" s="12" t="s">
        <v>16</v>
      </c>
      <c r="I2144" s="14">
        <v>12864268</v>
      </c>
      <c r="J2144" s="12" t="s">
        <v>2223</v>
      </c>
      <c r="K2144" s="12" t="s">
        <v>513</v>
      </c>
      <c r="L2144" s="12"/>
      <c r="M2144" s="12">
        <v>27216389</v>
      </c>
      <c r="N2144" s="12"/>
      <c r="O2144" s="15" t="s">
        <v>3256</v>
      </c>
    </row>
    <row r="2145" spans="1:15" x14ac:dyDescent="0.3">
      <c r="A2145" s="1">
        <v>2464</v>
      </c>
      <c r="B2145" s="1">
        <v>1</v>
      </c>
      <c r="C2145" s="1" t="s">
        <v>487</v>
      </c>
      <c r="D2145" s="1" t="s">
        <v>2678</v>
      </c>
      <c r="E2145" s="5">
        <v>37000</v>
      </c>
      <c r="F2145" s="1" t="s">
        <v>17</v>
      </c>
      <c r="G2145" s="1" t="s">
        <v>15</v>
      </c>
      <c r="H2145" s="1" t="s">
        <v>16</v>
      </c>
      <c r="I2145" s="6" t="str">
        <f>IF(B2145=0,VLOOKUP(A2145,Feuil2!$A$2:$M$1241,7,FALSE)," ")</f>
        <v xml:space="preserve"> </v>
      </c>
      <c r="J2145" s="1" t="str">
        <f>IF(B2145=0,VLOOKUP(A2145,Feuil2!$A$2:$M$1241,9,FALSE)," ")</f>
        <v xml:space="preserve"> </v>
      </c>
      <c r="K2145" s="1" t="str">
        <f>IF(B2145=0,VLOOKUP(A2145,Feuil2!$A$2:$M$1241,10,FALSE)," ")</f>
        <v xml:space="preserve"> </v>
      </c>
      <c r="L2145" s="1"/>
      <c r="M2145" s="1"/>
      <c r="N2145" s="1"/>
      <c r="O2145" s="8"/>
    </row>
    <row r="2146" spans="1:15" x14ac:dyDescent="0.3">
      <c r="A2146" s="1">
        <v>2530</v>
      </c>
      <c r="B2146" s="12">
        <v>0</v>
      </c>
      <c r="C2146" s="12" t="s">
        <v>324</v>
      </c>
      <c r="D2146" s="12" t="s">
        <v>89</v>
      </c>
      <c r="E2146" s="13">
        <v>34028</v>
      </c>
      <c r="F2146" s="12" t="s">
        <v>506</v>
      </c>
      <c r="G2146" s="12" t="s">
        <v>2257</v>
      </c>
      <c r="H2146" s="12" t="s">
        <v>16</v>
      </c>
      <c r="I2146" s="14">
        <v>9321059</v>
      </c>
      <c r="J2146" s="12" t="s">
        <v>3257</v>
      </c>
      <c r="K2146" s="12" t="s">
        <v>513</v>
      </c>
      <c r="L2146" s="12"/>
      <c r="M2146" s="12">
        <v>55308722</v>
      </c>
      <c r="N2146" s="12"/>
      <c r="O2146" s="15" t="s">
        <v>3258</v>
      </c>
    </row>
    <row r="2147" spans="1:15" x14ac:dyDescent="0.3">
      <c r="A2147" s="1">
        <v>1939</v>
      </c>
      <c r="B2147" s="12">
        <v>0</v>
      </c>
      <c r="C2147" s="12" t="str">
        <f>IF(B2147=0,VLOOKUP(A2147,Feuil2!$A$2:$M$1241,2,FALSE)," ")</f>
        <v>EL YAZIDI</v>
      </c>
      <c r="D2147" s="12" t="str">
        <f>IF(B2147=0,VLOOKUP(A2147,Feuil2!$A$2:$M$1241,3,FALSE)," ")</f>
        <v>DRISS</v>
      </c>
      <c r="E2147" s="13">
        <f>IF(B2147=0,VLOOKUP(A2147,Feuil2!$A$2:$M$1241,6,FALSE)," ")</f>
        <v>25473</v>
      </c>
      <c r="F2147" s="12" t="str">
        <f>IF(B2147=0,VLOOKUP(A2147,Feuil2!$A$2:$M$1241,12,FALSE)," ")</f>
        <v>H</v>
      </c>
      <c r="G2147" s="12" t="str">
        <f>IF(B2147=0,VLOOKUP(A2147,Feuil2!$A$2:$M$1241,11,FALSE)," ")</f>
        <v>M</v>
      </c>
      <c r="H2147" s="12" t="s">
        <v>16</v>
      </c>
      <c r="I2147" s="14">
        <f>IF(B2147=0,VLOOKUP(A2147,Feuil2!$A$2:$M$1241,7,FALSE)," ")</f>
        <v>5528407</v>
      </c>
      <c r="J2147" s="12" t="str">
        <f>IF(B2147=0,VLOOKUP(A2147,Feuil2!$A$2:$M$1241,9,FALSE)," ")</f>
        <v>92 Knaies</v>
      </c>
      <c r="K2147" s="12" t="str">
        <f>IF(B2147=0,VLOOKUP(A2147,Feuil2!$A$2:$M$1241,10,FALSE)," ")</f>
        <v>Knaies 4014</v>
      </c>
      <c r="L2147" s="12"/>
      <c r="M2147" s="12"/>
      <c r="N2147" s="12"/>
      <c r="O2147" s="15" t="s">
        <v>3262</v>
      </c>
    </row>
    <row r="2148" spans="1:15" x14ac:dyDescent="0.3">
      <c r="A2148" s="1">
        <v>1939</v>
      </c>
      <c r="B2148" s="1">
        <v>1</v>
      </c>
      <c r="C2148" s="1" t="s">
        <v>2439</v>
      </c>
      <c r="D2148" s="1" t="s">
        <v>2643</v>
      </c>
      <c r="E2148" s="5">
        <v>28280</v>
      </c>
      <c r="F2148" s="1" t="s">
        <v>17</v>
      </c>
      <c r="G2148" s="1" t="s">
        <v>15</v>
      </c>
      <c r="H2148" s="1" t="s">
        <v>16</v>
      </c>
      <c r="I2148" s="6" t="str">
        <f>IF(B2148=0,VLOOKUP(A2148,Feuil2!$A$2:$M$1241,7,FALSE)," ")</f>
        <v xml:space="preserve"> </v>
      </c>
      <c r="J2148" s="1" t="str">
        <f>IF(B2148=0,VLOOKUP(A2148,Feuil2!$A$2:$M$1241,9,FALSE)," ")</f>
        <v xml:space="preserve"> </v>
      </c>
      <c r="K2148" s="1" t="str">
        <f>IF(B2148=0,VLOOKUP(A2148,Feuil2!$A$2:$M$1241,10,FALSE)," ")</f>
        <v xml:space="preserve"> </v>
      </c>
      <c r="L2148" s="1"/>
      <c r="M2148" s="1"/>
      <c r="N2148" s="1"/>
      <c r="O2148" s="8"/>
    </row>
    <row r="2149" spans="1:15" x14ac:dyDescent="0.3">
      <c r="A2149" s="1">
        <v>1939</v>
      </c>
      <c r="B2149" s="1">
        <v>2</v>
      </c>
      <c r="C2149" s="1" t="s">
        <v>1881</v>
      </c>
      <c r="D2149" s="1" t="s">
        <v>2345</v>
      </c>
      <c r="E2149" s="5">
        <v>40546</v>
      </c>
      <c r="F2149" s="1" t="s">
        <v>17</v>
      </c>
      <c r="G2149" s="1" t="str">
        <f>IF(B2149=0,VLOOKUP(A2149,Feuil2!$A$2:$M$1241,11,FALSE)," ")</f>
        <v xml:space="preserve"> </v>
      </c>
      <c r="H2149" s="1" t="s">
        <v>16</v>
      </c>
      <c r="I2149" s="6" t="str">
        <f>IF(B2149=0,VLOOKUP(A2149,Feuil2!$A$2:$M$1241,7,FALSE)," ")</f>
        <v xml:space="preserve"> </v>
      </c>
      <c r="J2149" s="1" t="str">
        <f>IF(B2149=0,VLOOKUP(A2149,Feuil2!$A$2:$M$1241,9,FALSE)," ")</f>
        <v xml:space="preserve"> </v>
      </c>
      <c r="K2149" s="1" t="str">
        <f>IF(B2149=0,VLOOKUP(A2149,Feuil2!$A$2:$M$1241,10,FALSE)," ")</f>
        <v xml:space="preserve"> </v>
      </c>
      <c r="L2149" s="1"/>
      <c r="M2149" s="1"/>
      <c r="N2149" s="1"/>
      <c r="O2149" s="8"/>
    </row>
    <row r="2150" spans="1:15" x14ac:dyDescent="0.3">
      <c r="A2150" s="1">
        <v>1939</v>
      </c>
      <c r="B2150" s="1">
        <v>3</v>
      </c>
      <c r="C2150" s="1" t="s">
        <v>1881</v>
      </c>
      <c r="D2150" s="1" t="s">
        <v>3263</v>
      </c>
      <c r="E2150" s="5">
        <v>41346</v>
      </c>
      <c r="F2150" s="1" t="s">
        <v>506</v>
      </c>
      <c r="G2150" s="1" t="str">
        <f>IF(B2150=0,VLOOKUP(A2150,Feuil2!$A$2:$M$1241,11,FALSE)," ")</f>
        <v xml:space="preserve"> </v>
      </c>
      <c r="H2150" s="1" t="s">
        <v>16</v>
      </c>
      <c r="I2150" s="6" t="str">
        <f>IF(B2150=0,VLOOKUP(A2150,Feuil2!$A$2:$M$1241,7,FALSE)," ")</f>
        <v xml:space="preserve"> </v>
      </c>
      <c r="J2150" s="1" t="str">
        <f>IF(B2150=0,VLOOKUP(A2150,Feuil2!$A$2:$M$1241,9,FALSE)," ")</f>
        <v xml:space="preserve"> </v>
      </c>
      <c r="K2150" s="1" t="str">
        <f>IF(B2150=0,VLOOKUP(A2150,Feuil2!$A$2:$M$1241,10,FALSE)," ")</f>
        <v xml:space="preserve"> </v>
      </c>
      <c r="L2150" s="1"/>
      <c r="M2150" s="1"/>
      <c r="N2150" s="1"/>
      <c r="O2150" s="8"/>
    </row>
    <row r="2151" spans="1:15" x14ac:dyDescent="0.3">
      <c r="A2151" s="1">
        <v>2453</v>
      </c>
      <c r="B2151" s="12">
        <v>0</v>
      </c>
      <c r="C2151" s="12" t="s">
        <v>3264</v>
      </c>
      <c r="D2151" s="12" t="s">
        <v>2499</v>
      </c>
      <c r="E2151" s="13">
        <v>35620</v>
      </c>
      <c r="F2151" s="12" t="s">
        <v>506</v>
      </c>
      <c r="G2151" s="12" t="s">
        <v>15</v>
      </c>
      <c r="H2151" s="12" t="s">
        <v>16</v>
      </c>
      <c r="I2151" s="14">
        <v>12829076</v>
      </c>
      <c r="J2151" s="12" t="s">
        <v>3265</v>
      </c>
      <c r="K2151" s="12" t="s">
        <v>2940</v>
      </c>
      <c r="L2151" s="12"/>
      <c r="M2151" s="12">
        <v>55042870</v>
      </c>
      <c r="N2151" s="12"/>
      <c r="O2151" s="15" t="s">
        <v>3266</v>
      </c>
    </row>
    <row r="2152" spans="1:15" x14ac:dyDescent="0.3">
      <c r="A2152" s="1">
        <v>2453</v>
      </c>
      <c r="B2152" s="1">
        <v>1</v>
      </c>
      <c r="C2152" s="1" t="s">
        <v>2135</v>
      </c>
      <c r="D2152" s="1" t="s">
        <v>2464</v>
      </c>
      <c r="E2152" s="5">
        <v>36333</v>
      </c>
      <c r="F2152" s="1" t="s">
        <v>17</v>
      </c>
      <c r="G2152" s="1" t="s">
        <v>15</v>
      </c>
      <c r="H2152" s="1" t="s">
        <v>16</v>
      </c>
      <c r="I2152" s="6" t="str">
        <f>IF(B2152=0,VLOOKUP(A2152,Feuil2!$A$2:$M$1241,7,FALSE)," ")</f>
        <v xml:space="preserve"> </v>
      </c>
      <c r="J2152" s="1" t="str">
        <f>IF(B2152=0,VLOOKUP(A2152,Feuil2!$A$2:$M$1241,9,FALSE)," ")</f>
        <v xml:space="preserve"> </v>
      </c>
      <c r="K2152" s="1" t="str">
        <f>IF(B2152=0,VLOOKUP(A2152,Feuil2!$A$2:$M$1241,10,FALSE)," ")</f>
        <v xml:space="preserve"> </v>
      </c>
      <c r="L2152" s="1"/>
      <c r="M2152" s="1"/>
      <c r="N2152" s="1"/>
      <c r="O2152" s="8"/>
    </row>
    <row r="2153" spans="1:15" x14ac:dyDescent="0.3">
      <c r="A2153" s="1">
        <v>2713</v>
      </c>
      <c r="B2153" s="12">
        <v>0</v>
      </c>
      <c r="C2153" s="12" t="s">
        <v>71</v>
      </c>
      <c r="D2153" s="12" t="s">
        <v>129</v>
      </c>
      <c r="E2153" s="13">
        <v>34388</v>
      </c>
      <c r="F2153" s="12" t="s">
        <v>506</v>
      </c>
      <c r="G2153" s="12" t="s">
        <v>2257</v>
      </c>
      <c r="H2153" s="12" t="s">
        <v>16</v>
      </c>
      <c r="I2153" s="14">
        <v>9347705</v>
      </c>
      <c r="J2153" s="12" t="s">
        <v>2966</v>
      </c>
      <c r="K2153" s="12" t="s">
        <v>2940</v>
      </c>
      <c r="L2153" s="12"/>
      <c r="M2153" s="12">
        <v>92893800</v>
      </c>
      <c r="N2153" s="12"/>
      <c r="O2153" s="15" t="s">
        <v>3267</v>
      </c>
    </row>
    <row r="2154" spans="1:15" x14ac:dyDescent="0.3">
      <c r="A2154" s="1">
        <v>2774</v>
      </c>
      <c r="B2154" s="12">
        <v>0</v>
      </c>
      <c r="C2154" s="12" t="s">
        <v>3268</v>
      </c>
      <c r="D2154" s="12" t="s">
        <v>2999</v>
      </c>
      <c r="E2154" s="13">
        <v>34736</v>
      </c>
      <c r="F2154" s="12" t="s">
        <v>506</v>
      </c>
      <c r="G2154" s="12" t="s">
        <v>15</v>
      </c>
      <c r="H2154" s="12" t="s">
        <v>16</v>
      </c>
      <c r="I2154" s="14">
        <v>12808858</v>
      </c>
      <c r="J2154" s="12" t="s">
        <v>3269</v>
      </c>
      <c r="K2154" s="12" t="s">
        <v>2291</v>
      </c>
      <c r="L2154" s="12"/>
      <c r="M2154" s="12">
        <v>28702615</v>
      </c>
      <c r="N2154" s="12"/>
      <c r="O2154" s="15" t="s">
        <v>3270</v>
      </c>
    </row>
    <row r="2155" spans="1:15" x14ac:dyDescent="0.3">
      <c r="A2155" s="1">
        <v>2774</v>
      </c>
      <c r="B2155" s="1">
        <v>1</v>
      </c>
      <c r="C2155" s="1" t="s">
        <v>316</v>
      </c>
      <c r="D2155" s="1" t="s">
        <v>2370</v>
      </c>
      <c r="E2155" s="5">
        <v>36193</v>
      </c>
      <c r="F2155" s="1" t="s">
        <v>17</v>
      </c>
      <c r="G2155" s="1" t="s">
        <v>15</v>
      </c>
      <c r="H2155" s="1" t="s">
        <v>16</v>
      </c>
      <c r="I2155" s="6" t="str">
        <f>IF(B2155=0,VLOOKUP(A2155,Feuil2!$A$2:$M$1241,7,FALSE)," ")</f>
        <v xml:space="preserve"> </v>
      </c>
      <c r="J2155" s="1" t="str">
        <f>IF(B2155=0,VLOOKUP(A2155,Feuil2!$A$2:$M$1241,9,FALSE)," ")</f>
        <v xml:space="preserve"> </v>
      </c>
      <c r="K2155" s="1" t="str">
        <f>IF(B2155=0,VLOOKUP(A2155,Feuil2!$A$2:$M$1241,10,FALSE)," ")</f>
        <v xml:space="preserve"> </v>
      </c>
      <c r="L2155" s="1"/>
      <c r="M2155" s="1"/>
      <c r="N2155" s="1"/>
      <c r="O2155" s="8"/>
    </row>
    <row r="2156" spans="1:15" x14ac:dyDescent="0.3">
      <c r="A2156" s="1">
        <v>2774</v>
      </c>
      <c r="B2156" s="1">
        <v>2</v>
      </c>
      <c r="C2156" s="1" t="s">
        <v>3268</v>
      </c>
      <c r="D2156" s="1" t="s">
        <v>3275</v>
      </c>
      <c r="E2156" s="5">
        <v>45996</v>
      </c>
      <c r="F2156" s="1" t="s">
        <v>506</v>
      </c>
      <c r="G2156" s="1"/>
      <c r="H2156" s="1"/>
      <c r="I2156" s="6"/>
      <c r="J2156" s="1"/>
      <c r="K2156" s="1"/>
      <c r="L2156" s="1"/>
      <c r="M2156" s="1"/>
      <c r="N2156" s="1"/>
      <c r="O2156" s="8"/>
    </row>
    <row r="2157" spans="1:15" x14ac:dyDescent="0.3">
      <c r="A2157" s="1">
        <v>2773</v>
      </c>
      <c r="B2157" s="12">
        <v>0</v>
      </c>
      <c r="C2157" s="12" t="s">
        <v>3271</v>
      </c>
      <c r="D2157" s="12" t="s">
        <v>107</v>
      </c>
      <c r="E2157" s="13">
        <v>33002</v>
      </c>
      <c r="F2157" s="12" t="s">
        <v>506</v>
      </c>
      <c r="G2157" s="12" t="s">
        <v>15</v>
      </c>
      <c r="H2157" s="12" t="s">
        <v>16</v>
      </c>
      <c r="I2157" s="14">
        <v>9294963</v>
      </c>
      <c r="J2157" s="12" t="s">
        <v>3272</v>
      </c>
      <c r="K2157" s="12" t="s">
        <v>2825</v>
      </c>
      <c r="L2157" s="12"/>
      <c r="M2157" s="12">
        <v>47141950</v>
      </c>
      <c r="N2157" s="12"/>
      <c r="O2157" s="15" t="s">
        <v>3273</v>
      </c>
    </row>
    <row r="2158" spans="1:15" x14ac:dyDescent="0.3">
      <c r="A2158" s="1">
        <v>2773</v>
      </c>
      <c r="B2158" s="1">
        <v>1</v>
      </c>
      <c r="C2158" s="1" t="s">
        <v>3274</v>
      </c>
      <c r="D2158" s="1" t="s">
        <v>2639</v>
      </c>
      <c r="E2158" s="5">
        <v>35240</v>
      </c>
      <c r="F2158" s="1" t="s">
        <v>17</v>
      </c>
      <c r="G2158" s="1" t="s">
        <v>15</v>
      </c>
      <c r="H2158" s="1" t="s">
        <v>16</v>
      </c>
      <c r="I2158" s="6" t="str">
        <f>IF(B2158=0,VLOOKUP(A2158,Feuil2!$A$2:$M$1241,7,FALSE)," ")</f>
        <v xml:space="preserve"> </v>
      </c>
      <c r="J2158" s="1" t="str">
        <f>IF(B2158=0,VLOOKUP(A2158,Feuil2!$A$2:$M$1241,9,FALSE)," ")</f>
        <v xml:space="preserve"> </v>
      </c>
      <c r="K2158" s="1" t="str">
        <f>IF(B2158=0,VLOOKUP(A2158,Feuil2!$A$2:$M$1241,10,FALSE)," ")</f>
        <v xml:space="preserve"> </v>
      </c>
      <c r="L2158" s="1"/>
      <c r="M2158" s="1"/>
      <c r="N2158" s="1"/>
      <c r="O2158" s="8"/>
    </row>
    <row r="2159" spans="1:15" x14ac:dyDescent="0.3">
      <c r="A2159" s="1">
        <v>2773</v>
      </c>
      <c r="B2159" s="1">
        <v>2</v>
      </c>
      <c r="C2159" s="1" t="s">
        <v>3271</v>
      </c>
      <c r="D2159" s="1" t="s">
        <v>2500</v>
      </c>
      <c r="E2159" s="5">
        <v>45154</v>
      </c>
      <c r="F2159" s="1" t="s">
        <v>17</v>
      </c>
      <c r="G2159" s="1" t="str">
        <f>IF(B2159=0,VLOOKUP(A2159,Feuil2!$A$2:$M$1241,11,FALSE)," ")</f>
        <v xml:space="preserve"> </v>
      </c>
      <c r="H2159" s="1" t="s">
        <v>16</v>
      </c>
      <c r="I2159" s="6" t="str">
        <f>IF(B2159=0,VLOOKUP(A2159,Feuil2!$A$2:$M$1241,7,FALSE)," ")</f>
        <v xml:space="preserve"> </v>
      </c>
      <c r="J2159" s="1" t="str">
        <f>IF(B2159=0,VLOOKUP(A2159,Feuil2!$A$2:$M$1241,9,FALSE)," ")</f>
        <v xml:space="preserve"> </v>
      </c>
      <c r="K2159" s="1" t="str">
        <f>IF(B2159=0,VLOOKUP(A2159,Feuil2!$A$2:$M$1241,10,FALSE)," ")</f>
        <v xml:space="preserve"> </v>
      </c>
      <c r="L2159" s="1"/>
      <c r="M2159" s="1"/>
      <c r="N2159" s="1"/>
      <c r="O2159" s="8"/>
    </row>
    <row r="2160" spans="1:15" x14ac:dyDescent="0.3">
      <c r="A2160" s="1"/>
      <c r="B2160" s="1"/>
      <c r="C2160" s="1" t="e">
        <f>IF(B2160=0,VLOOKUP(A2160,Feuil2!$A$2:$M$1241,2,FALSE)," ")</f>
        <v>#N/A</v>
      </c>
      <c r="D2160" s="1" t="e">
        <f>IF(B2160=0,VLOOKUP(A2160,Feuil2!$A$2:$M$1241,3,FALSE)," ")</f>
        <v>#N/A</v>
      </c>
      <c r="E2160" s="5" t="e">
        <f>IF(B2160=0,VLOOKUP(A2160,Feuil2!$A$2:$M$1241,6,FALSE)," ")</f>
        <v>#N/A</v>
      </c>
      <c r="F2160" s="1" t="e">
        <f>IF(B2160=0,VLOOKUP(A2160,Feuil2!$A$2:$M$1241,12,FALSE)," ")</f>
        <v>#N/A</v>
      </c>
      <c r="G2160" s="1" t="e">
        <f>IF(B2160=0,VLOOKUP(A2160,Feuil2!$A$2:$M$1241,11,FALSE)," ")</f>
        <v>#N/A</v>
      </c>
      <c r="H2160" s="1" t="s">
        <v>16</v>
      </c>
      <c r="I2160" s="6" t="e">
        <f>IF(B2160=0,VLOOKUP(A2160,Feuil2!$A$2:$M$1241,7,FALSE)," ")</f>
        <v>#N/A</v>
      </c>
      <c r="J2160" s="1" t="e">
        <f>IF(B2160=0,VLOOKUP(A2160,Feuil2!$A$2:$M$1241,9,FALSE)," ")</f>
        <v>#N/A</v>
      </c>
      <c r="K2160" s="1" t="e">
        <f>IF(B2160=0,VLOOKUP(A2160,Feuil2!$A$2:$M$1241,10,FALSE)," ")</f>
        <v>#N/A</v>
      </c>
      <c r="L2160" s="1"/>
      <c r="M2160" s="1"/>
      <c r="N2160" s="1"/>
      <c r="O2160" s="8"/>
    </row>
    <row r="2161" spans="1:15" x14ac:dyDescent="0.3">
      <c r="A2161" s="1"/>
      <c r="B2161" s="1"/>
      <c r="C2161" s="1" t="e">
        <f>IF(B2161=0,VLOOKUP(A2161,Feuil2!$A$2:$M$1241,2,FALSE)," ")</f>
        <v>#N/A</v>
      </c>
      <c r="D2161" s="1" t="e">
        <f>IF(B2161=0,VLOOKUP(A2161,Feuil2!$A$2:$M$1241,3,FALSE)," ")</f>
        <v>#N/A</v>
      </c>
      <c r="E2161" s="5" t="e">
        <f>IF(B2161=0,VLOOKUP(A2161,Feuil2!$A$2:$M$1241,6,FALSE)," ")</f>
        <v>#N/A</v>
      </c>
      <c r="F2161" s="1" t="e">
        <f>IF(B2161=0,VLOOKUP(A2161,Feuil2!$A$2:$M$1241,12,FALSE)," ")</f>
        <v>#N/A</v>
      </c>
      <c r="G2161" s="1" t="e">
        <f>IF(B2161=0,VLOOKUP(A2161,Feuil2!$A$2:$M$1241,11,FALSE)," ")</f>
        <v>#N/A</v>
      </c>
      <c r="H2161" s="1" t="s">
        <v>16</v>
      </c>
      <c r="I2161" s="6" t="e">
        <f>IF(B2161=0,VLOOKUP(A2161,Feuil2!$A$2:$M$1241,7,FALSE)," ")</f>
        <v>#N/A</v>
      </c>
      <c r="J2161" s="1" t="e">
        <f>IF(B2161=0,VLOOKUP(A2161,Feuil2!$A$2:$M$1241,9,FALSE)," ")</f>
        <v>#N/A</v>
      </c>
      <c r="K2161" s="1" t="e">
        <f>IF(B2161=0,VLOOKUP(A2161,Feuil2!$A$2:$M$1241,10,FALSE)," ")</f>
        <v>#N/A</v>
      </c>
      <c r="L2161" s="1"/>
      <c r="M2161" s="1"/>
      <c r="N2161" s="1"/>
      <c r="O2161" s="8"/>
    </row>
    <row r="2162" spans="1:15" x14ac:dyDescent="0.3">
      <c r="A2162" s="1"/>
      <c r="B2162" s="1"/>
      <c r="C2162" s="1" t="e">
        <f>IF(B2162=0,VLOOKUP(A2162,Feuil2!$A$2:$M$1241,2,FALSE)," ")</f>
        <v>#N/A</v>
      </c>
      <c r="D2162" s="1" t="e">
        <f>IF(B2162=0,VLOOKUP(A2162,Feuil2!$A$2:$M$1241,3,FALSE)," ")</f>
        <v>#N/A</v>
      </c>
      <c r="E2162" s="5" t="e">
        <f>IF(B2162=0,VLOOKUP(A2162,Feuil2!$A$2:$M$1241,6,FALSE)," ")</f>
        <v>#N/A</v>
      </c>
      <c r="F2162" s="1" t="e">
        <f>IF(B2162=0,VLOOKUP(A2162,Feuil2!$A$2:$M$1241,12,FALSE)," ")</f>
        <v>#N/A</v>
      </c>
      <c r="G2162" s="1" t="e">
        <f>IF(B2162=0,VLOOKUP(A2162,Feuil2!$A$2:$M$1241,11,FALSE)," ")</f>
        <v>#N/A</v>
      </c>
      <c r="H2162" s="1" t="s">
        <v>16</v>
      </c>
      <c r="I2162" s="6" t="e">
        <f>IF(B2162=0,VLOOKUP(A2162,Feuil2!$A$2:$M$1241,7,FALSE)," ")</f>
        <v>#N/A</v>
      </c>
      <c r="J2162" s="1" t="e">
        <f>IF(B2162=0,VLOOKUP(A2162,Feuil2!$A$2:$M$1241,9,FALSE)," ")</f>
        <v>#N/A</v>
      </c>
      <c r="K2162" s="1" t="e">
        <f>IF(B2162=0,VLOOKUP(A2162,Feuil2!$A$2:$M$1241,10,FALSE)," ")</f>
        <v>#N/A</v>
      </c>
      <c r="L2162" s="1"/>
      <c r="M2162" s="1"/>
      <c r="N2162" s="1"/>
      <c r="O2162" s="8"/>
    </row>
    <row r="2163" spans="1:15" x14ac:dyDescent="0.3">
      <c r="A2163" s="1"/>
      <c r="B2163" s="1"/>
      <c r="C2163" s="1" t="e">
        <f>IF(B2163=0,VLOOKUP(A2163,Feuil2!$A$2:$M$1241,2,FALSE)," ")</f>
        <v>#N/A</v>
      </c>
      <c r="D2163" s="1" t="e">
        <f>IF(B2163=0,VLOOKUP(A2163,Feuil2!$A$2:$M$1241,3,FALSE)," ")</f>
        <v>#N/A</v>
      </c>
      <c r="E2163" s="5" t="e">
        <f>IF(B2163=0,VLOOKUP(A2163,Feuil2!$A$2:$M$1241,6,FALSE)," ")</f>
        <v>#N/A</v>
      </c>
      <c r="F2163" s="1" t="e">
        <f>IF(B2163=0,VLOOKUP(A2163,Feuil2!$A$2:$M$1241,12,FALSE)," ")</f>
        <v>#N/A</v>
      </c>
      <c r="G2163" s="1" t="e">
        <f>IF(B2163=0,VLOOKUP(A2163,Feuil2!$A$2:$M$1241,11,FALSE)," ")</f>
        <v>#N/A</v>
      </c>
      <c r="H2163" s="1" t="s">
        <v>16</v>
      </c>
      <c r="I2163" s="6" t="e">
        <f>IF(B2163=0,VLOOKUP(A2163,Feuil2!$A$2:$M$1241,7,FALSE)," ")</f>
        <v>#N/A</v>
      </c>
      <c r="J2163" s="1" t="e">
        <f>IF(B2163=0,VLOOKUP(A2163,Feuil2!$A$2:$M$1241,9,FALSE)," ")</f>
        <v>#N/A</v>
      </c>
      <c r="K2163" s="1" t="e">
        <f>IF(B2163=0,VLOOKUP(A2163,Feuil2!$A$2:$M$1241,10,FALSE)," ")</f>
        <v>#N/A</v>
      </c>
      <c r="L2163" s="1"/>
      <c r="M2163" s="1"/>
      <c r="N2163" s="1"/>
      <c r="O2163" s="8"/>
    </row>
    <row r="2164" spans="1:15" x14ac:dyDescent="0.3">
      <c r="A2164" s="1"/>
      <c r="B2164" s="1"/>
      <c r="C2164" s="1" t="e">
        <f>IF(B2164=0,VLOOKUP(A2164,Feuil2!$A$2:$M$1241,2,FALSE)," ")</f>
        <v>#N/A</v>
      </c>
      <c r="D2164" s="1" t="e">
        <f>IF(B2164=0,VLOOKUP(A2164,Feuil2!$A$2:$M$1241,3,FALSE)," ")</f>
        <v>#N/A</v>
      </c>
      <c r="E2164" s="5" t="e">
        <f>IF(B2164=0,VLOOKUP(A2164,Feuil2!$A$2:$M$1241,6,FALSE)," ")</f>
        <v>#N/A</v>
      </c>
      <c r="F2164" s="1" t="e">
        <f>IF(B2164=0,VLOOKUP(A2164,Feuil2!$A$2:$M$1241,12,FALSE)," ")</f>
        <v>#N/A</v>
      </c>
      <c r="G2164" s="1" t="e">
        <f>IF(B2164=0,VLOOKUP(A2164,Feuil2!$A$2:$M$1241,11,FALSE)," ")</f>
        <v>#N/A</v>
      </c>
      <c r="H2164" s="1" t="s">
        <v>16</v>
      </c>
      <c r="I2164" s="6" t="e">
        <f>IF(B2164=0,VLOOKUP(A2164,Feuil2!$A$2:$M$1241,7,FALSE)," ")</f>
        <v>#N/A</v>
      </c>
      <c r="J2164" s="1" t="e">
        <f>IF(B2164=0,VLOOKUP(A2164,Feuil2!$A$2:$M$1241,9,FALSE)," ")</f>
        <v>#N/A</v>
      </c>
      <c r="K2164" s="1" t="e">
        <f>IF(B2164=0,VLOOKUP(A2164,Feuil2!$A$2:$M$1241,10,FALSE)," ")</f>
        <v>#N/A</v>
      </c>
      <c r="L2164" s="1"/>
      <c r="M2164" s="1"/>
      <c r="N2164" s="1"/>
      <c r="O2164" s="8"/>
    </row>
    <row r="2165" spans="1:15" x14ac:dyDescent="0.3">
      <c r="A2165" s="1"/>
      <c r="B2165" s="1"/>
      <c r="C2165" s="1" t="e">
        <f>IF(B2165=0,VLOOKUP(A2165,Feuil2!$A$2:$M$1241,2,FALSE)," ")</f>
        <v>#N/A</v>
      </c>
      <c r="D2165" s="1" t="e">
        <f>IF(B2165=0,VLOOKUP(A2165,Feuil2!$A$2:$M$1241,3,FALSE)," ")</f>
        <v>#N/A</v>
      </c>
      <c r="E2165" s="5" t="e">
        <f>IF(B2165=0,VLOOKUP(A2165,Feuil2!$A$2:$M$1241,6,FALSE)," ")</f>
        <v>#N/A</v>
      </c>
      <c r="F2165" s="1" t="e">
        <f>IF(B2165=0,VLOOKUP(A2165,Feuil2!$A$2:$M$1241,12,FALSE)," ")</f>
        <v>#N/A</v>
      </c>
      <c r="G2165" s="1" t="e">
        <f>IF(B2165=0,VLOOKUP(A2165,Feuil2!$A$2:$M$1241,11,FALSE)," ")</f>
        <v>#N/A</v>
      </c>
      <c r="H2165" s="1" t="s">
        <v>16</v>
      </c>
      <c r="I2165" s="6" t="e">
        <f>IF(B2165=0,VLOOKUP(A2165,Feuil2!$A$2:$M$1241,7,FALSE)," ")</f>
        <v>#N/A</v>
      </c>
      <c r="J2165" s="1" t="e">
        <f>IF(B2165=0,VLOOKUP(A2165,Feuil2!$A$2:$M$1241,9,FALSE)," ")</f>
        <v>#N/A</v>
      </c>
      <c r="K2165" s="1" t="e">
        <f>IF(B2165=0,VLOOKUP(A2165,Feuil2!$A$2:$M$1241,10,FALSE)," ")</f>
        <v>#N/A</v>
      </c>
      <c r="L2165" s="1"/>
      <c r="M2165" s="1"/>
      <c r="N2165" s="1"/>
      <c r="O2165" s="8"/>
    </row>
    <row r="2166" spans="1:15" x14ac:dyDescent="0.3">
      <c r="A2166" s="1"/>
      <c r="B2166" s="1"/>
      <c r="C2166" s="1" t="e">
        <f>IF(B2166=0,VLOOKUP(A2166,Feuil2!$A$2:$M$1241,2,FALSE)," ")</f>
        <v>#N/A</v>
      </c>
      <c r="D2166" s="1" t="e">
        <f>IF(B2166=0,VLOOKUP(A2166,Feuil2!$A$2:$M$1241,3,FALSE)," ")</f>
        <v>#N/A</v>
      </c>
      <c r="E2166" s="5" t="e">
        <f>IF(B2166=0,VLOOKUP(A2166,Feuil2!$A$2:$M$1241,6,FALSE)," ")</f>
        <v>#N/A</v>
      </c>
      <c r="F2166" s="1" t="e">
        <f>IF(B2166=0,VLOOKUP(A2166,Feuil2!$A$2:$M$1241,12,FALSE)," ")</f>
        <v>#N/A</v>
      </c>
      <c r="G2166" s="1" t="e">
        <f>IF(B2166=0,VLOOKUP(A2166,Feuil2!$A$2:$M$1241,11,FALSE)," ")</f>
        <v>#N/A</v>
      </c>
      <c r="H2166" s="1" t="s">
        <v>16</v>
      </c>
      <c r="I2166" s="6" t="e">
        <f>IF(B2166=0,VLOOKUP(A2166,Feuil2!$A$2:$M$1241,7,FALSE)," ")</f>
        <v>#N/A</v>
      </c>
      <c r="J2166" s="1" t="e">
        <f>IF(B2166=0,VLOOKUP(A2166,Feuil2!$A$2:$M$1241,9,FALSE)," ")</f>
        <v>#N/A</v>
      </c>
      <c r="K2166" s="1" t="e">
        <f>IF(B2166=0,VLOOKUP(A2166,Feuil2!$A$2:$M$1241,10,FALSE)," ")</f>
        <v>#N/A</v>
      </c>
      <c r="L2166" s="1"/>
      <c r="M2166" s="1"/>
      <c r="N2166" s="1"/>
      <c r="O2166" s="8"/>
    </row>
    <row r="2167" spans="1:15" x14ac:dyDescent="0.3">
      <c r="A2167" s="1"/>
      <c r="B2167" s="1"/>
      <c r="C2167" s="1" t="e">
        <f>IF(B2167=0,VLOOKUP(A2167,Feuil2!$A$2:$M$1241,2,FALSE)," ")</f>
        <v>#N/A</v>
      </c>
      <c r="D2167" s="1" t="e">
        <f>IF(B2167=0,VLOOKUP(A2167,Feuil2!$A$2:$M$1241,3,FALSE)," ")</f>
        <v>#N/A</v>
      </c>
      <c r="E2167" s="5" t="e">
        <f>IF(B2167=0,VLOOKUP(A2167,Feuil2!$A$2:$M$1241,6,FALSE)," ")</f>
        <v>#N/A</v>
      </c>
      <c r="F2167" s="1" t="e">
        <f>IF(B2167=0,VLOOKUP(A2167,Feuil2!$A$2:$M$1241,12,FALSE)," ")</f>
        <v>#N/A</v>
      </c>
      <c r="G2167" s="1" t="e">
        <f>IF(B2167=0,VLOOKUP(A2167,Feuil2!$A$2:$M$1241,11,FALSE)," ")</f>
        <v>#N/A</v>
      </c>
      <c r="H2167" s="1" t="s">
        <v>16</v>
      </c>
      <c r="I2167" s="6" t="e">
        <f>IF(B2167=0,VLOOKUP(A2167,Feuil2!$A$2:$M$1241,7,FALSE)," ")</f>
        <v>#N/A</v>
      </c>
      <c r="J2167" s="1" t="e">
        <f>IF(B2167=0,VLOOKUP(A2167,Feuil2!$A$2:$M$1241,9,FALSE)," ")</f>
        <v>#N/A</v>
      </c>
      <c r="K2167" s="1" t="e">
        <f>IF(B2167=0,VLOOKUP(A2167,Feuil2!$A$2:$M$1241,10,FALSE)," ")</f>
        <v>#N/A</v>
      </c>
      <c r="L2167" s="1"/>
      <c r="M2167" s="1"/>
      <c r="N2167" s="1"/>
      <c r="O2167" s="8"/>
    </row>
    <row r="2168" spans="1:15" x14ac:dyDescent="0.3">
      <c r="A2168" s="1"/>
      <c r="B2168" s="1"/>
      <c r="C2168" s="1" t="e">
        <f>IF(B2168=0,VLOOKUP(A2168,Feuil2!$A$2:$M$1241,2,FALSE)," ")</f>
        <v>#N/A</v>
      </c>
      <c r="D2168" s="1" t="e">
        <f>IF(B2168=0,VLOOKUP(A2168,Feuil2!$A$2:$M$1241,3,FALSE)," ")</f>
        <v>#N/A</v>
      </c>
      <c r="E2168" s="5" t="e">
        <f>IF(B2168=0,VLOOKUP(A2168,Feuil2!$A$2:$M$1241,6,FALSE)," ")</f>
        <v>#N/A</v>
      </c>
      <c r="F2168" s="1" t="e">
        <f>IF(B2168=0,VLOOKUP(A2168,Feuil2!$A$2:$M$1241,12,FALSE)," ")</f>
        <v>#N/A</v>
      </c>
      <c r="G2168" s="1" t="e">
        <f>IF(B2168=0,VLOOKUP(A2168,Feuil2!$A$2:$M$1241,11,FALSE)," ")</f>
        <v>#N/A</v>
      </c>
      <c r="H2168" s="1" t="s">
        <v>16</v>
      </c>
      <c r="I2168" s="6" t="e">
        <f>IF(B2168=0,VLOOKUP(A2168,Feuil2!$A$2:$M$1241,7,FALSE)," ")</f>
        <v>#N/A</v>
      </c>
      <c r="J2168" s="1" t="e">
        <f>IF(B2168=0,VLOOKUP(A2168,Feuil2!$A$2:$M$1241,9,FALSE)," ")</f>
        <v>#N/A</v>
      </c>
      <c r="K2168" s="1" t="e">
        <f>IF(B2168=0,VLOOKUP(A2168,Feuil2!$A$2:$M$1241,10,FALSE)," ")</f>
        <v>#N/A</v>
      </c>
      <c r="L2168" s="1"/>
      <c r="M2168" s="1"/>
      <c r="N2168" s="1"/>
      <c r="O2168" s="8"/>
    </row>
    <row r="2169" spans="1:15" x14ac:dyDescent="0.3">
      <c r="A2169" s="1"/>
      <c r="B2169" s="1"/>
      <c r="C2169" s="1" t="e">
        <f>IF(B2169=0,VLOOKUP(A2169,Feuil2!$A$2:$M$1241,2,FALSE)," ")</f>
        <v>#N/A</v>
      </c>
      <c r="D2169" s="1" t="e">
        <f>IF(B2169=0,VLOOKUP(A2169,Feuil2!$A$2:$M$1241,3,FALSE)," ")</f>
        <v>#N/A</v>
      </c>
      <c r="E2169" s="5" t="e">
        <f>IF(B2169=0,VLOOKUP(A2169,Feuil2!$A$2:$M$1241,6,FALSE)," ")</f>
        <v>#N/A</v>
      </c>
      <c r="F2169" s="1" t="e">
        <f>IF(B2169=0,VLOOKUP(A2169,Feuil2!$A$2:$M$1241,12,FALSE)," ")</f>
        <v>#N/A</v>
      </c>
      <c r="G2169" s="1" t="e">
        <f>IF(B2169=0,VLOOKUP(A2169,Feuil2!$A$2:$M$1241,11,FALSE)," ")</f>
        <v>#N/A</v>
      </c>
      <c r="H2169" s="1" t="s">
        <v>16</v>
      </c>
      <c r="I2169" s="6" t="e">
        <f>IF(B2169=0,VLOOKUP(A2169,Feuil2!$A$2:$M$1241,7,FALSE)," ")</f>
        <v>#N/A</v>
      </c>
      <c r="J2169" s="1" t="e">
        <f>IF(B2169=0,VLOOKUP(A2169,Feuil2!$A$2:$M$1241,9,FALSE)," ")</f>
        <v>#N/A</v>
      </c>
      <c r="K2169" s="1" t="e">
        <f>IF(B2169=0,VLOOKUP(A2169,Feuil2!$A$2:$M$1241,10,FALSE)," ")</f>
        <v>#N/A</v>
      </c>
      <c r="L2169" s="1"/>
      <c r="M2169" s="1"/>
      <c r="N2169" s="1"/>
      <c r="O2169" s="8"/>
    </row>
    <row r="2170" spans="1:15" x14ac:dyDescent="0.3">
      <c r="A2170" s="1"/>
      <c r="B2170" s="1"/>
      <c r="C2170" s="1" t="e">
        <f>IF(B2170=0,VLOOKUP(A2170,Feuil2!$A$2:$M$1241,2,FALSE)," ")</f>
        <v>#N/A</v>
      </c>
      <c r="D2170" s="1" t="e">
        <f>IF(B2170=0,VLOOKUP(A2170,Feuil2!$A$2:$M$1241,3,FALSE)," ")</f>
        <v>#N/A</v>
      </c>
      <c r="E2170" s="5" t="e">
        <f>IF(B2170=0,VLOOKUP(A2170,Feuil2!$A$2:$M$1241,6,FALSE)," ")</f>
        <v>#N/A</v>
      </c>
      <c r="F2170" s="1" t="e">
        <f>IF(B2170=0,VLOOKUP(A2170,Feuil2!$A$2:$M$1241,12,FALSE)," ")</f>
        <v>#N/A</v>
      </c>
      <c r="G2170" s="1" t="e">
        <f>IF(B2170=0,VLOOKUP(A2170,Feuil2!$A$2:$M$1241,11,FALSE)," ")</f>
        <v>#N/A</v>
      </c>
      <c r="H2170" s="1" t="s">
        <v>16</v>
      </c>
      <c r="I2170" s="6" t="e">
        <f>IF(B2170=0,VLOOKUP(A2170,Feuil2!$A$2:$M$1241,7,FALSE)," ")</f>
        <v>#N/A</v>
      </c>
      <c r="J2170" s="1" t="e">
        <f>IF(B2170=0,VLOOKUP(A2170,Feuil2!$A$2:$M$1241,9,FALSE)," ")</f>
        <v>#N/A</v>
      </c>
      <c r="K2170" s="1" t="e">
        <f>IF(B2170=0,VLOOKUP(A2170,Feuil2!$A$2:$M$1241,10,FALSE)," ")</f>
        <v>#N/A</v>
      </c>
      <c r="L2170" s="1"/>
      <c r="M2170" s="1"/>
      <c r="N2170" s="1"/>
      <c r="O2170" s="8"/>
    </row>
    <row r="2171" spans="1:15" x14ac:dyDescent="0.3">
      <c r="A2171" s="1"/>
      <c r="B2171" s="1"/>
      <c r="C2171" s="1" t="e">
        <f>IF(B2171=0,VLOOKUP(A2171,Feuil2!$A$2:$M$1241,2,FALSE)," ")</f>
        <v>#N/A</v>
      </c>
      <c r="D2171" s="1" t="e">
        <f>IF(B2171=0,VLOOKUP(A2171,Feuil2!$A$2:$M$1241,3,FALSE)," ")</f>
        <v>#N/A</v>
      </c>
      <c r="E2171" s="5" t="e">
        <f>IF(B2171=0,VLOOKUP(A2171,Feuil2!$A$2:$M$1241,6,FALSE)," ")</f>
        <v>#N/A</v>
      </c>
      <c r="F2171" s="1" t="e">
        <f>IF(B2171=0,VLOOKUP(A2171,Feuil2!$A$2:$M$1241,12,FALSE)," ")</f>
        <v>#N/A</v>
      </c>
      <c r="G2171" s="1" t="e">
        <f>IF(B2171=0,VLOOKUP(A2171,Feuil2!$A$2:$M$1241,11,FALSE)," ")</f>
        <v>#N/A</v>
      </c>
      <c r="H2171" s="1" t="s">
        <v>16</v>
      </c>
      <c r="I2171" s="6" t="e">
        <f>IF(B2171=0,VLOOKUP(A2171,Feuil2!$A$2:$M$1241,7,FALSE)," ")</f>
        <v>#N/A</v>
      </c>
      <c r="J2171" s="1" t="e">
        <f>IF(B2171=0,VLOOKUP(A2171,Feuil2!$A$2:$M$1241,9,FALSE)," ")</f>
        <v>#N/A</v>
      </c>
      <c r="K2171" s="1" t="e">
        <f>IF(B2171=0,VLOOKUP(A2171,Feuil2!$A$2:$M$1241,10,FALSE)," ")</f>
        <v>#N/A</v>
      </c>
      <c r="L2171" s="1"/>
      <c r="M2171" s="1"/>
      <c r="N2171" s="1"/>
      <c r="O2171" s="8"/>
    </row>
    <row r="2172" spans="1:15" x14ac:dyDescent="0.3">
      <c r="A2172" s="1"/>
      <c r="B2172" s="1"/>
      <c r="C2172" s="1" t="e">
        <f>IF(B2172=0,VLOOKUP(A2172,Feuil2!$A$2:$M$1241,2,FALSE)," ")</f>
        <v>#N/A</v>
      </c>
      <c r="D2172" s="1" t="e">
        <f>IF(B2172=0,VLOOKUP(A2172,Feuil2!$A$2:$M$1241,3,FALSE)," ")</f>
        <v>#N/A</v>
      </c>
      <c r="E2172" s="5" t="e">
        <f>IF(B2172=0,VLOOKUP(A2172,Feuil2!$A$2:$M$1241,6,FALSE)," ")</f>
        <v>#N/A</v>
      </c>
      <c r="F2172" s="1" t="e">
        <f>IF(B2172=0,VLOOKUP(A2172,Feuil2!$A$2:$M$1241,12,FALSE)," ")</f>
        <v>#N/A</v>
      </c>
      <c r="G2172" s="1" t="e">
        <f>IF(B2172=0,VLOOKUP(A2172,Feuil2!$A$2:$M$1241,11,FALSE)," ")</f>
        <v>#N/A</v>
      </c>
      <c r="H2172" s="1" t="s">
        <v>16</v>
      </c>
      <c r="I2172" s="6" t="e">
        <f>IF(B2172=0,VLOOKUP(A2172,Feuil2!$A$2:$M$1241,7,FALSE)," ")</f>
        <v>#N/A</v>
      </c>
      <c r="J2172" s="1" t="e">
        <f>IF(B2172=0,VLOOKUP(A2172,Feuil2!$A$2:$M$1241,9,FALSE)," ")</f>
        <v>#N/A</v>
      </c>
      <c r="K2172" s="1" t="e">
        <f>IF(B2172=0,VLOOKUP(A2172,Feuil2!$A$2:$M$1241,10,FALSE)," ")</f>
        <v>#N/A</v>
      </c>
      <c r="L2172" s="1"/>
      <c r="M2172" s="1"/>
      <c r="N2172" s="1"/>
      <c r="O2172" s="8"/>
    </row>
    <row r="2173" spans="1:15" x14ac:dyDescent="0.3">
      <c r="A2173" s="1"/>
      <c r="B2173" s="1"/>
      <c r="C2173" s="1" t="e">
        <f>IF(B2173=0,VLOOKUP(A2173,Feuil2!$A$2:$M$1241,2,FALSE)," ")</f>
        <v>#N/A</v>
      </c>
      <c r="D2173" s="1" t="e">
        <f>IF(B2173=0,VLOOKUP(A2173,Feuil2!$A$2:$M$1241,3,FALSE)," ")</f>
        <v>#N/A</v>
      </c>
      <c r="E2173" s="5" t="e">
        <f>IF(B2173=0,VLOOKUP(A2173,Feuil2!$A$2:$M$1241,6,FALSE)," ")</f>
        <v>#N/A</v>
      </c>
      <c r="F2173" s="1" t="e">
        <f>IF(B2173=0,VLOOKUP(A2173,Feuil2!$A$2:$M$1241,12,FALSE)," ")</f>
        <v>#N/A</v>
      </c>
      <c r="G2173" s="1" t="e">
        <f>IF(B2173=0,VLOOKUP(A2173,Feuil2!$A$2:$M$1241,11,FALSE)," ")</f>
        <v>#N/A</v>
      </c>
      <c r="H2173" s="1" t="s">
        <v>16</v>
      </c>
      <c r="I2173" s="6" t="e">
        <f>IF(B2173=0,VLOOKUP(A2173,Feuil2!$A$2:$M$1241,7,FALSE)," ")</f>
        <v>#N/A</v>
      </c>
      <c r="J2173" s="1" t="e">
        <f>IF(B2173=0,VLOOKUP(A2173,Feuil2!$A$2:$M$1241,9,FALSE)," ")</f>
        <v>#N/A</v>
      </c>
      <c r="K2173" s="1" t="e">
        <f>IF(B2173=0,VLOOKUP(A2173,Feuil2!$A$2:$M$1241,10,FALSE)," ")</f>
        <v>#N/A</v>
      </c>
      <c r="L2173" s="1"/>
      <c r="M2173" s="1"/>
      <c r="N2173" s="1"/>
      <c r="O2173" s="8"/>
    </row>
    <row r="2174" spans="1:15" x14ac:dyDescent="0.3">
      <c r="A2174" s="1"/>
      <c r="B2174" s="1"/>
      <c r="C2174" s="1" t="e">
        <f>IF(B2174=0,VLOOKUP(A2174,Feuil2!$A$2:$M$1241,2,FALSE)," ")</f>
        <v>#N/A</v>
      </c>
      <c r="D2174" s="1" t="e">
        <f>IF(B2174=0,VLOOKUP(A2174,Feuil2!$A$2:$M$1241,3,FALSE)," ")</f>
        <v>#N/A</v>
      </c>
      <c r="E2174" s="5" t="e">
        <f>IF(B2174=0,VLOOKUP(A2174,Feuil2!$A$2:$M$1241,6,FALSE)," ")</f>
        <v>#N/A</v>
      </c>
      <c r="F2174" s="1" t="e">
        <f>IF(B2174=0,VLOOKUP(A2174,Feuil2!$A$2:$M$1241,12,FALSE)," ")</f>
        <v>#N/A</v>
      </c>
      <c r="G2174" s="1" t="e">
        <f>IF(B2174=0,VLOOKUP(A2174,Feuil2!$A$2:$M$1241,11,FALSE)," ")</f>
        <v>#N/A</v>
      </c>
      <c r="H2174" s="1" t="s">
        <v>16</v>
      </c>
      <c r="I2174" s="6" t="e">
        <f>IF(B2174=0,VLOOKUP(A2174,Feuil2!$A$2:$M$1241,7,FALSE)," ")</f>
        <v>#N/A</v>
      </c>
      <c r="J2174" s="1" t="e">
        <f>IF(B2174=0,VLOOKUP(A2174,Feuil2!$A$2:$M$1241,9,FALSE)," ")</f>
        <v>#N/A</v>
      </c>
      <c r="K2174" s="1" t="e">
        <f>IF(B2174=0,VLOOKUP(A2174,Feuil2!$A$2:$M$1241,10,FALSE)," ")</f>
        <v>#N/A</v>
      </c>
      <c r="L2174" s="1"/>
      <c r="M2174" s="1"/>
      <c r="N2174" s="1"/>
      <c r="O2174" s="8"/>
    </row>
    <row r="2175" spans="1:15" x14ac:dyDescent="0.3">
      <c r="A2175" s="1"/>
      <c r="B2175" s="1"/>
      <c r="C2175" s="1" t="e">
        <f>IF(B2175=0,VLOOKUP(A2175,Feuil2!$A$2:$M$1241,2,FALSE)," ")</f>
        <v>#N/A</v>
      </c>
      <c r="D2175" s="1" t="e">
        <f>IF(B2175=0,VLOOKUP(A2175,Feuil2!$A$2:$M$1241,3,FALSE)," ")</f>
        <v>#N/A</v>
      </c>
      <c r="E2175" s="5" t="e">
        <f>IF(B2175=0,VLOOKUP(A2175,Feuil2!$A$2:$M$1241,6,FALSE)," ")</f>
        <v>#N/A</v>
      </c>
      <c r="F2175" s="1" t="e">
        <f>IF(B2175=0,VLOOKUP(A2175,Feuil2!$A$2:$M$1241,12,FALSE)," ")</f>
        <v>#N/A</v>
      </c>
      <c r="G2175" s="1" t="e">
        <f>IF(B2175=0,VLOOKUP(A2175,Feuil2!$A$2:$M$1241,11,FALSE)," ")</f>
        <v>#N/A</v>
      </c>
      <c r="H2175" s="1" t="s">
        <v>16</v>
      </c>
      <c r="I2175" s="6" t="e">
        <f>IF(B2175=0,VLOOKUP(A2175,Feuil2!$A$2:$M$1241,7,FALSE)," ")</f>
        <v>#N/A</v>
      </c>
      <c r="J2175" s="1" t="e">
        <f>IF(B2175=0,VLOOKUP(A2175,Feuil2!$A$2:$M$1241,9,FALSE)," ")</f>
        <v>#N/A</v>
      </c>
      <c r="K2175" s="1" t="e">
        <f>IF(B2175=0,VLOOKUP(A2175,Feuil2!$A$2:$M$1241,10,FALSE)," ")</f>
        <v>#N/A</v>
      </c>
      <c r="L2175" s="1"/>
      <c r="M2175" s="1"/>
      <c r="N2175" s="1"/>
      <c r="O2175" s="8"/>
    </row>
    <row r="2176" spans="1:15" x14ac:dyDescent="0.3">
      <c r="A2176" s="1"/>
      <c r="B2176" s="1"/>
      <c r="C2176" s="1" t="e">
        <f>IF(B2176=0,VLOOKUP(A2176,Feuil2!$A$2:$M$1241,2,FALSE)," ")</f>
        <v>#N/A</v>
      </c>
      <c r="D2176" s="1" t="e">
        <f>IF(B2176=0,VLOOKUP(A2176,Feuil2!$A$2:$M$1241,3,FALSE)," ")</f>
        <v>#N/A</v>
      </c>
      <c r="E2176" s="5" t="e">
        <f>IF(B2176=0,VLOOKUP(A2176,Feuil2!$A$2:$M$1241,6,FALSE)," ")</f>
        <v>#N/A</v>
      </c>
      <c r="F2176" s="1" t="e">
        <f>IF(B2176=0,VLOOKUP(A2176,Feuil2!$A$2:$M$1241,12,FALSE)," ")</f>
        <v>#N/A</v>
      </c>
      <c r="G2176" s="1" t="e">
        <f>IF(B2176=0,VLOOKUP(A2176,Feuil2!$A$2:$M$1241,11,FALSE)," ")</f>
        <v>#N/A</v>
      </c>
      <c r="H2176" s="1" t="s">
        <v>16</v>
      </c>
      <c r="I2176" s="6" t="e">
        <f>IF(B2176=0,VLOOKUP(A2176,Feuil2!$A$2:$M$1241,7,FALSE)," ")</f>
        <v>#N/A</v>
      </c>
      <c r="J2176" s="1" t="e">
        <f>IF(B2176=0,VLOOKUP(A2176,Feuil2!$A$2:$M$1241,9,FALSE)," ")</f>
        <v>#N/A</v>
      </c>
      <c r="K2176" s="1" t="e">
        <f>IF(B2176=0,VLOOKUP(A2176,Feuil2!$A$2:$M$1241,10,FALSE)," ")</f>
        <v>#N/A</v>
      </c>
      <c r="L2176" s="1"/>
      <c r="M2176" s="1"/>
      <c r="N2176" s="1"/>
      <c r="O2176" s="8"/>
    </row>
    <row r="2177" spans="1:15" x14ac:dyDescent="0.3">
      <c r="A2177" s="1"/>
      <c r="B2177" s="1"/>
      <c r="C2177" s="1" t="e">
        <f>IF(B2177=0,VLOOKUP(A2177,Feuil2!$A$2:$M$1241,2,FALSE)," ")</f>
        <v>#N/A</v>
      </c>
      <c r="D2177" s="1" t="e">
        <f>IF(B2177=0,VLOOKUP(A2177,Feuil2!$A$2:$M$1241,3,FALSE)," ")</f>
        <v>#N/A</v>
      </c>
      <c r="E2177" s="5" t="e">
        <f>IF(B2177=0,VLOOKUP(A2177,Feuil2!$A$2:$M$1241,6,FALSE)," ")</f>
        <v>#N/A</v>
      </c>
      <c r="F2177" s="1" t="e">
        <f>IF(B2177=0,VLOOKUP(A2177,Feuil2!$A$2:$M$1241,12,FALSE)," ")</f>
        <v>#N/A</v>
      </c>
      <c r="G2177" s="1" t="e">
        <f>IF(B2177=0,VLOOKUP(A2177,Feuil2!$A$2:$M$1241,11,FALSE)," ")</f>
        <v>#N/A</v>
      </c>
      <c r="H2177" s="1" t="s">
        <v>16</v>
      </c>
      <c r="I2177" s="6" t="e">
        <f>IF(B2177=0,VLOOKUP(A2177,Feuil2!$A$2:$M$1241,7,FALSE)," ")</f>
        <v>#N/A</v>
      </c>
      <c r="J2177" s="1" t="e">
        <f>IF(B2177=0,VLOOKUP(A2177,Feuil2!$A$2:$M$1241,9,FALSE)," ")</f>
        <v>#N/A</v>
      </c>
      <c r="K2177" s="1" t="e">
        <f>IF(B2177=0,VLOOKUP(A2177,Feuil2!$A$2:$M$1241,10,FALSE)," ")</f>
        <v>#N/A</v>
      </c>
      <c r="L2177" s="1"/>
      <c r="M2177" s="1"/>
      <c r="N2177" s="1"/>
      <c r="O2177" s="8"/>
    </row>
    <row r="2178" spans="1:15" x14ac:dyDescent="0.3">
      <c r="A2178" s="1"/>
      <c r="B2178" s="1"/>
      <c r="C2178" s="1" t="e">
        <f>IF(B2178=0,VLOOKUP(A2178,Feuil2!$A$2:$M$1241,2,FALSE)," ")</f>
        <v>#N/A</v>
      </c>
      <c r="D2178" s="1" t="e">
        <f>IF(B2178=0,VLOOKUP(A2178,Feuil2!$A$2:$M$1241,3,FALSE)," ")</f>
        <v>#N/A</v>
      </c>
      <c r="E2178" s="5" t="e">
        <f>IF(B2178=0,VLOOKUP(A2178,Feuil2!$A$2:$M$1241,6,FALSE)," ")</f>
        <v>#N/A</v>
      </c>
      <c r="F2178" s="1" t="e">
        <f>IF(B2178=0,VLOOKUP(A2178,Feuil2!$A$2:$M$1241,12,FALSE)," ")</f>
        <v>#N/A</v>
      </c>
      <c r="G2178" s="1" t="e">
        <f>IF(B2178=0,VLOOKUP(A2178,Feuil2!$A$2:$M$1241,11,FALSE)," ")</f>
        <v>#N/A</v>
      </c>
      <c r="H2178" s="1" t="s">
        <v>16</v>
      </c>
      <c r="I2178" s="6" t="e">
        <f>IF(B2178=0,VLOOKUP(A2178,Feuil2!$A$2:$M$1241,7,FALSE)," ")</f>
        <v>#N/A</v>
      </c>
      <c r="J2178" s="1" t="e">
        <f>IF(B2178=0,VLOOKUP(A2178,Feuil2!$A$2:$M$1241,9,FALSE)," ")</f>
        <v>#N/A</v>
      </c>
      <c r="K2178" s="1" t="e">
        <f>IF(B2178=0,VLOOKUP(A2178,Feuil2!$A$2:$M$1241,10,FALSE)," ")</f>
        <v>#N/A</v>
      </c>
      <c r="L2178" s="1"/>
      <c r="M2178" s="1"/>
      <c r="N2178" s="1"/>
      <c r="O2178" s="8"/>
    </row>
    <row r="2179" spans="1:15" x14ac:dyDescent="0.3">
      <c r="A2179" s="1"/>
      <c r="B2179" s="1"/>
      <c r="C2179" s="1" t="e">
        <f>IF(B2179=0,VLOOKUP(A2179,Feuil2!$A$2:$M$1241,2,FALSE)," ")</f>
        <v>#N/A</v>
      </c>
      <c r="D2179" s="1" t="e">
        <f>IF(B2179=0,VLOOKUP(A2179,Feuil2!$A$2:$M$1241,3,FALSE)," ")</f>
        <v>#N/A</v>
      </c>
      <c r="E2179" s="5" t="e">
        <f>IF(B2179=0,VLOOKUP(A2179,Feuil2!$A$2:$M$1241,6,FALSE)," ")</f>
        <v>#N/A</v>
      </c>
      <c r="F2179" s="1" t="e">
        <f>IF(B2179=0,VLOOKUP(A2179,Feuil2!$A$2:$M$1241,12,FALSE)," ")</f>
        <v>#N/A</v>
      </c>
      <c r="G2179" s="1" t="e">
        <f>IF(B2179=0,VLOOKUP(A2179,Feuil2!$A$2:$M$1241,11,FALSE)," ")</f>
        <v>#N/A</v>
      </c>
      <c r="H2179" s="1" t="s">
        <v>16</v>
      </c>
      <c r="I2179" s="6" t="e">
        <f>IF(B2179=0,VLOOKUP(A2179,Feuil2!$A$2:$M$1241,7,FALSE)," ")</f>
        <v>#N/A</v>
      </c>
      <c r="J2179" s="1" t="e">
        <f>IF(B2179=0,VLOOKUP(A2179,Feuil2!$A$2:$M$1241,9,FALSE)," ")</f>
        <v>#N/A</v>
      </c>
      <c r="K2179" s="1" t="e">
        <f>IF(B2179=0,VLOOKUP(A2179,Feuil2!$A$2:$M$1241,10,FALSE)," ")</f>
        <v>#N/A</v>
      </c>
      <c r="L2179" s="1"/>
      <c r="M2179" s="1"/>
      <c r="N2179" s="1"/>
      <c r="O2179" s="8"/>
    </row>
    <row r="2180" spans="1:15" x14ac:dyDescent="0.3">
      <c r="A2180" s="1"/>
      <c r="B2180" s="1"/>
      <c r="C2180" s="1" t="e">
        <f>IF(B2180=0,VLOOKUP(A2180,Feuil2!$A$2:$M$1241,2,FALSE)," ")</f>
        <v>#N/A</v>
      </c>
      <c r="D2180" s="1" t="e">
        <f>IF(B2180=0,VLOOKUP(A2180,Feuil2!$A$2:$M$1241,3,FALSE)," ")</f>
        <v>#N/A</v>
      </c>
      <c r="E2180" s="5" t="e">
        <f>IF(B2180=0,VLOOKUP(A2180,Feuil2!$A$2:$M$1241,6,FALSE)," ")</f>
        <v>#N/A</v>
      </c>
      <c r="F2180" s="1" t="e">
        <f>IF(B2180=0,VLOOKUP(A2180,Feuil2!$A$2:$M$1241,12,FALSE)," ")</f>
        <v>#N/A</v>
      </c>
      <c r="G2180" s="1" t="e">
        <f>IF(B2180=0,VLOOKUP(A2180,Feuil2!$A$2:$M$1241,11,FALSE)," ")</f>
        <v>#N/A</v>
      </c>
      <c r="H2180" s="1" t="s">
        <v>16</v>
      </c>
      <c r="I2180" s="6" t="e">
        <f>IF(B2180=0,VLOOKUP(A2180,Feuil2!$A$2:$M$1241,7,FALSE)," ")</f>
        <v>#N/A</v>
      </c>
      <c r="J2180" s="1" t="e">
        <f>IF(B2180=0,VLOOKUP(A2180,Feuil2!$A$2:$M$1241,9,FALSE)," ")</f>
        <v>#N/A</v>
      </c>
      <c r="K2180" s="1" t="e">
        <f>IF(B2180=0,VLOOKUP(A2180,Feuil2!$A$2:$M$1241,10,FALSE)," ")</f>
        <v>#N/A</v>
      </c>
      <c r="L2180" s="1"/>
      <c r="M2180" s="1"/>
      <c r="N2180" s="1"/>
      <c r="O2180" s="8"/>
    </row>
    <row r="2181" spans="1:15" x14ac:dyDescent="0.3">
      <c r="A2181" s="1"/>
      <c r="B2181" s="1"/>
      <c r="C2181" s="1" t="e">
        <f>IF(B2181=0,VLOOKUP(A2181,Feuil2!$A$2:$M$1241,2,FALSE)," ")</f>
        <v>#N/A</v>
      </c>
      <c r="D2181" s="1" t="e">
        <f>IF(B2181=0,VLOOKUP(A2181,Feuil2!$A$2:$M$1241,3,FALSE)," ")</f>
        <v>#N/A</v>
      </c>
      <c r="E2181" s="5" t="e">
        <f>IF(B2181=0,VLOOKUP(A2181,Feuil2!$A$2:$M$1241,6,FALSE)," ")</f>
        <v>#N/A</v>
      </c>
      <c r="F2181" s="1" t="e">
        <f>IF(B2181=0,VLOOKUP(A2181,Feuil2!$A$2:$M$1241,12,FALSE)," ")</f>
        <v>#N/A</v>
      </c>
      <c r="G2181" s="1" t="e">
        <f>IF(B2181=0,VLOOKUP(A2181,Feuil2!$A$2:$M$1241,11,FALSE)," ")</f>
        <v>#N/A</v>
      </c>
      <c r="H2181" s="1" t="s">
        <v>16</v>
      </c>
      <c r="I2181" s="6" t="e">
        <f>IF(B2181=0,VLOOKUP(A2181,Feuil2!$A$2:$M$1241,7,FALSE)," ")</f>
        <v>#N/A</v>
      </c>
      <c r="J2181" s="1" t="e">
        <f>IF(B2181=0,VLOOKUP(A2181,Feuil2!$A$2:$M$1241,9,FALSE)," ")</f>
        <v>#N/A</v>
      </c>
      <c r="K2181" s="1" t="e">
        <f>IF(B2181=0,VLOOKUP(A2181,Feuil2!$A$2:$M$1241,10,FALSE)," ")</f>
        <v>#N/A</v>
      </c>
      <c r="L2181" s="1"/>
      <c r="M2181" s="1"/>
      <c r="N2181" s="1"/>
      <c r="O2181" s="8"/>
    </row>
    <row r="2182" spans="1:15" x14ac:dyDescent="0.3">
      <c r="A2182" s="1"/>
      <c r="B2182" s="1"/>
      <c r="C2182" s="1" t="e">
        <f>IF(B2182=0,VLOOKUP(A2182,Feuil2!$A$2:$M$1241,2,FALSE)," ")</f>
        <v>#N/A</v>
      </c>
      <c r="D2182" s="1" t="e">
        <f>IF(B2182=0,VLOOKUP(A2182,Feuil2!$A$2:$M$1241,3,FALSE)," ")</f>
        <v>#N/A</v>
      </c>
      <c r="E2182" s="5" t="e">
        <f>IF(B2182=0,VLOOKUP(A2182,Feuil2!$A$2:$M$1241,6,FALSE)," ")</f>
        <v>#N/A</v>
      </c>
      <c r="F2182" s="1" t="e">
        <f>IF(B2182=0,VLOOKUP(A2182,Feuil2!$A$2:$M$1241,12,FALSE)," ")</f>
        <v>#N/A</v>
      </c>
      <c r="G2182" s="1" t="e">
        <f>IF(B2182=0,VLOOKUP(A2182,Feuil2!$A$2:$M$1241,11,FALSE)," ")</f>
        <v>#N/A</v>
      </c>
      <c r="H2182" s="1" t="s">
        <v>16</v>
      </c>
      <c r="I2182" s="6" t="e">
        <f>IF(B2182=0,VLOOKUP(A2182,Feuil2!$A$2:$M$1241,7,FALSE)," ")</f>
        <v>#N/A</v>
      </c>
      <c r="J2182" s="1" t="e">
        <f>IF(B2182=0,VLOOKUP(A2182,Feuil2!$A$2:$M$1241,9,FALSE)," ")</f>
        <v>#N/A</v>
      </c>
      <c r="K2182" s="1" t="e">
        <f>IF(B2182=0,VLOOKUP(A2182,Feuil2!$A$2:$M$1241,10,FALSE)," ")</f>
        <v>#N/A</v>
      </c>
      <c r="L2182" s="1"/>
      <c r="M2182" s="1"/>
      <c r="N2182" s="1"/>
      <c r="O2182" s="8"/>
    </row>
    <row r="2183" spans="1:15" x14ac:dyDescent="0.3">
      <c r="A2183" s="1"/>
      <c r="B2183" s="1"/>
      <c r="C2183" s="1" t="e">
        <f>IF(B2183=0,VLOOKUP(A2183,Feuil2!$A$2:$M$1241,2,FALSE)," ")</f>
        <v>#N/A</v>
      </c>
      <c r="D2183" s="1" t="e">
        <f>IF(B2183=0,VLOOKUP(A2183,Feuil2!$A$2:$M$1241,3,FALSE)," ")</f>
        <v>#N/A</v>
      </c>
      <c r="E2183" s="5" t="e">
        <f>IF(B2183=0,VLOOKUP(A2183,Feuil2!$A$2:$M$1241,6,FALSE)," ")</f>
        <v>#N/A</v>
      </c>
      <c r="F2183" s="1" t="e">
        <f>IF(B2183=0,VLOOKUP(A2183,Feuil2!$A$2:$M$1241,12,FALSE)," ")</f>
        <v>#N/A</v>
      </c>
      <c r="G2183" s="1" t="e">
        <f>IF(B2183=0,VLOOKUP(A2183,Feuil2!$A$2:$M$1241,11,FALSE)," ")</f>
        <v>#N/A</v>
      </c>
      <c r="H2183" s="1" t="s">
        <v>16</v>
      </c>
      <c r="I2183" s="6" t="e">
        <f>IF(B2183=0,VLOOKUP(A2183,Feuil2!$A$2:$M$1241,7,FALSE)," ")</f>
        <v>#N/A</v>
      </c>
      <c r="J2183" s="1" t="e">
        <f>IF(B2183=0,VLOOKUP(A2183,Feuil2!$A$2:$M$1241,9,FALSE)," ")</f>
        <v>#N/A</v>
      </c>
      <c r="K2183" s="1" t="e">
        <f>IF(B2183=0,VLOOKUP(A2183,Feuil2!$A$2:$M$1241,10,FALSE)," ")</f>
        <v>#N/A</v>
      </c>
      <c r="L2183" s="1"/>
      <c r="M2183" s="1"/>
      <c r="N2183" s="1"/>
      <c r="O2183" s="8"/>
    </row>
    <row r="2184" spans="1:15" x14ac:dyDescent="0.3">
      <c r="A2184" s="1"/>
      <c r="B2184" s="1"/>
      <c r="C2184" s="1" t="e">
        <f>IF(B2184=0,VLOOKUP(A2184,Feuil2!$A$2:$M$1241,2,FALSE)," ")</f>
        <v>#N/A</v>
      </c>
      <c r="D2184" s="1" t="e">
        <f>IF(B2184=0,VLOOKUP(A2184,Feuil2!$A$2:$M$1241,3,FALSE)," ")</f>
        <v>#N/A</v>
      </c>
      <c r="E2184" s="5" t="e">
        <f>IF(B2184=0,VLOOKUP(A2184,Feuil2!$A$2:$M$1241,6,FALSE)," ")</f>
        <v>#N/A</v>
      </c>
      <c r="F2184" s="1" t="e">
        <f>IF(B2184=0,VLOOKUP(A2184,Feuil2!$A$2:$M$1241,12,FALSE)," ")</f>
        <v>#N/A</v>
      </c>
      <c r="G2184" s="1" t="e">
        <f>IF(B2184=0,VLOOKUP(A2184,Feuil2!$A$2:$M$1241,11,FALSE)," ")</f>
        <v>#N/A</v>
      </c>
      <c r="H2184" s="1" t="s">
        <v>16</v>
      </c>
      <c r="I2184" s="6" t="e">
        <f>IF(B2184=0,VLOOKUP(A2184,Feuil2!$A$2:$M$1241,7,FALSE)," ")</f>
        <v>#N/A</v>
      </c>
      <c r="J2184" s="1" t="e">
        <f>IF(B2184=0,VLOOKUP(A2184,Feuil2!$A$2:$M$1241,9,FALSE)," ")</f>
        <v>#N/A</v>
      </c>
      <c r="K2184" s="1" t="e">
        <f>IF(B2184=0,VLOOKUP(A2184,Feuil2!$A$2:$M$1241,10,FALSE)," ")</f>
        <v>#N/A</v>
      </c>
      <c r="L2184" s="1"/>
      <c r="M2184" s="1"/>
      <c r="N2184" s="1"/>
      <c r="O2184" s="8"/>
    </row>
    <row r="2185" spans="1:15" x14ac:dyDescent="0.3">
      <c r="A2185" s="1"/>
      <c r="B2185" s="1"/>
      <c r="C2185" s="1" t="e">
        <f>IF(B2185=0,VLOOKUP(A2185,Feuil2!$A$2:$M$1241,2,FALSE)," ")</f>
        <v>#N/A</v>
      </c>
      <c r="D2185" s="1" t="e">
        <f>IF(B2185=0,VLOOKUP(A2185,Feuil2!$A$2:$M$1241,3,FALSE)," ")</f>
        <v>#N/A</v>
      </c>
      <c r="E2185" s="5" t="e">
        <f>IF(B2185=0,VLOOKUP(A2185,Feuil2!$A$2:$M$1241,6,FALSE)," ")</f>
        <v>#N/A</v>
      </c>
      <c r="F2185" s="1" t="e">
        <f>IF(B2185=0,VLOOKUP(A2185,Feuil2!$A$2:$M$1241,12,FALSE)," ")</f>
        <v>#N/A</v>
      </c>
      <c r="G2185" s="1" t="e">
        <f>IF(B2185=0,VLOOKUP(A2185,Feuil2!$A$2:$M$1241,11,FALSE)," ")</f>
        <v>#N/A</v>
      </c>
      <c r="H2185" s="1" t="s">
        <v>16</v>
      </c>
      <c r="I2185" s="6" t="e">
        <f>IF(B2185=0,VLOOKUP(A2185,Feuil2!$A$2:$M$1241,7,FALSE)," ")</f>
        <v>#N/A</v>
      </c>
      <c r="J2185" s="1" t="e">
        <f>IF(B2185=0,VLOOKUP(A2185,Feuil2!$A$2:$M$1241,9,FALSE)," ")</f>
        <v>#N/A</v>
      </c>
      <c r="K2185" s="1" t="e">
        <f>IF(B2185=0,VLOOKUP(A2185,Feuil2!$A$2:$M$1241,10,FALSE)," ")</f>
        <v>#N/A</v>
      </c>
      <c r="L2185" s="1"/>
      <c r="M2185" s="1"/>
      <c r="N2185" s="1"/>
      <c r="O2185" s="8"/>
    </row>
    <row r="2186" spans="1:15" x14ac:dyDescent="0.3">
      <c r="A2186" s="1"/>
      <c r="B2186" s="1"/>
      <c r="C2186" s="1" t="e">
        <f>IF(B2186=0,VLOOKUP(A2186,Feuil2!$A$2:$M$1241,2,FALSE)," ")</f>
        <v>#N/A</v>
      </c>
      <c r="D2186" s="1" t="e">
        <f>IF(B2186=0,VLOOKUP(A2186,Feuil2!$A$2:$M$1241,3,FALSE)," ")</f>
        <v>#N/A</v>
      </c>
      <c r="E2186" s="5" t="e">
        <f>IF(B2186=0,VLOOKUP(A2186,Feuil2!$A$2:$M$1241,6,FALSE)," ")</f>
        <v>#N/A</v>
      </c>
      <c r="F2186" s="1" t="e">
        <f>IF(B2186=0,VLOOKUP(A2186,Feuil2!$A$2:$M$1241,12,FALSE)," ")</f>
        <v>#N/A</v>
      </c>
      <c r="G2186" s="1" t="e">
        <f>IF(B2186=0,VLOOKUP(A2186,Feuil2!$A$2:$M$1241,11,FALSE)," ")</f>
        <v>#N/A</v>
      </c>
      <c r="H2186" s="1" t="s">
        <v>16</v>
      </c>
      <c r="I2186" s="6" t="e">
        <f>IF(B2186=0,VLOOKUP(A2186,Feuil2!$A$2:$M$1241,7,FALSE)," ")</f>
        <v>#N/A</v>
      </c>
      <c r="J2186" s="1" t="e">
        <f>IF(B2186=0,VLOOKUP(A2186,Feuil2!$A$2:$M$1241,9,FALSE)," ")</f>
        <v>#N/A</v>
      </c>
      <c r="K2186" s="1" t="e">
        <f>IF(B2186=0,VLOOKUP(A2186,Feuil2!$A$2:$M$1241,10,FALSE)," ")</f>
        <v>#N/A</v>
      </c>
      <c r="L2186" s="1"/>
      <c r="M2186" s="1"/>
      <c r="N2186" s="1"/>
      <c r="O2186" s="8"/>
    </row>
    <row r="2187" spans="1:15" x14ac:dyDescent="0.3">
      <c r="A2187" s="1"/>
      <c r="B2187" s="1"/>
      <c r="C2187" s="1" t="e">
        <f>IF(B2187=0,VLOOKUP(A2187,Feuil2!$A$2:$M$1241,2,FALSE)," ")</f>
        <v>#N/A</v>
      </c>
      <c r="D2187" s="1" t="e">
        <f>IF(B2187=0,VLOOKUP(A2187,Feuil2!$A$2:$M$1241,3,FALSE)," ")</f>
        <v>#N/A</v>
      </c>
      <c r="E2187" s="5" t="e">
        <f>IF(B2187=0,VLOOKUP(A2187,Feuil2!$A$2:$M$1241,6,FALSE)," ")</f>
        <v>#N/A</v>
      </c>
      <c r="F2187" s="1" t="e">
        <f>IF(B2187=0,VLOOKUP(A2187,Feuil2!$A$2:$M$1241,12,FALSE)," ")</f>
        <v>#N/A</v>
      </c>
      <c r="G2187" s="1" t="e">
        <f>IF(B2187=0,VLOOKUP(A2187,Feuil2!$A$2:$M$1241,11,FALSE)," ")</f>
        <v>#N/A</v>
      </c>
      <c r="H2187" s="1" t="s">
        <v>16</v>
      </c>
      <c r="I2187" s="6" t="e">
        <f>IF(B2187=0,VLOOKUP(A2187,Feuil2!$A$2:$M$1241,7,FALSE)," ")</f>
        <v>#N/A</v>
      </c>
      <c r="J2187" s="1" t="e">
        <f>IF(B2187=0,VLOOKUP(A2187,Feuil2!$A$2:$M$1241,9,FALSE)," ")</f>
        <v>#N/A</v>
      </c>
      <c r="K2187" s="1" t="e">
        <f>IF(B2187=0,VLOOKUP(A2187,Feuil2!$A$2:$M$1241,10,FALSE)," ")</f>
        <v>#N/A</v>
      </c>
      <c r="L2187" s="1"/>
      <c r="M2187" s="1"/>
      <c r="N2187" s="1"/>
      <c r="O2187" s="8"/>
    </row>
    <row r="2188" spans="1:15" x14ac:dyDescent="0.3">
      <c r="A2188" s="1"/>
      <c r="B2188" s="1"/>
      <c r="C2188" s="1" t="e">
        <f>IF(B2188=0,VLOOKUP(A2188,Feuil2!$A$2:$M$1241,2,FALSE)," ")</f>
        <v>#N/A</v>
      </c>
      <c r="D2188" s="1" t="e">
        <f>IF(B2188=0,VLOOKUP(A2188,Feuil2!$A$2:$M$1241,3,FALSE)," ")</f>
        <v>#N/A</v>
      </c>
      <c r="E2188" s="5" t="e">
        <f>IF(B2188=0,VLOOKUP(A2188,Feuil2!$A$2:$M$1241,6,FALSE)," ")</f>
        <v>#N/A</v>
      </c>
      <c r="F2188" s="1" t="e">
        <f>IF(B2188=0,VLOOKUP(A2188,Feuil2!$A$2:$M$1241,12,FALSE)," ")</f>
        <v>#N/A</v>
      </c>
      <c r="G2188" s="1" t="e">
        <f>IF(B2188=0,VLOOKUP(A2188,Feuil2!$A$2:$M$1241,11,FALSE)," ")</f>
        <v>#N/A</v>
      </c>
      <c r="H2188" s="1" t="s">
        <v>16</v>
      </c>
      <c r="I2188" s="6" t="e">
        <f>IF(B2188=0,VLOOKUP(A2188,Feuil2!$A$2:$M$1241,7,FALSE)," ")</f>
        <v>#N/A</v>
      </c>
      <c r="J2188" s="1" t="e">
        <f>IF(B2188=0,VLOOKUP(A2188,Feuil2!$A$2:$M$1241,9,FALSE)," ")</f>
        <v>#N/A</v>
      </c>
      <c r="K2188" s="1" t="e">
        <f>IF(B2188=0,VLOOKUP(A2188,Feuil2!$A$2:$M$1241,10,FALSE)," ")</f>
        <v>#N/A</v>
      </c>
      <c r="L2188" s="1"/>
      <c r="M2188" s="1"/>
      <c r="N2188" s="1"/>
      <c r="O2188" s="8"/>
    </row>
    <row r="2189" spans="1:15" x14ac:dyDescent="0.3">
      <c r="A2189" s="1"/>
      <c r="B2189" s="1"/>
      <c r="C2189" s="1" t="e">
        <f>IF(B2189=0,VLOOKUP(A2189,Feuil2!$A$2:$M$1241,2,FALSE)," ")</f>
        <v>#N/A</v>
      </c>
      <c r="D2189" s="1" t="e">
        <f>IF(B2189=0,VLOOKUP(A2189,Feuil2!$A$2:$M$1241,3,FALSE)," ")</f>
        <v>#N/A</v>
      </c>
      <c r="E2189" s="5" t="e">
        <f>IF(B2189=0,VLOOKUP(A2189,Feuil2!$A$2:$M$1241,6,FALSE)," ")</f>
        <v>#N/A</v>
      </c>
      <c r="F2189" s="1" t="e">
        <f>IF(B2189=0,VLOOKUP(A2189,Feuil2!$A$2:$M$1241,12,FALSE)," ")</f>
        <v>#N/A</v>
      </c>
      <c r="G2189" s="1" t="e">
        <f>IF(B2189=0,VLOOKUP(A2189,Feuil2!$A$2:$M$1241,11,FALSE)," ")</f>
        <v>#N/A</v>
      </c>
      <c r="H2189" s="1" t="s">
        <v>16</v>
      </c>
      <c r="I2189" s="6" t="e">
        <f>IF(B2189=0,VLOOKUP(A2189,Feuil2!$A$2:$M$1241,7,FALSE)," ")</f>
        <v>#N/A</v>
      </c>
      <c r="J2189" s="1" t="e">
        <f>IF(B2189=0,VLOOKUP(A2189,Feuil2!$A$2:$M$1241,9,FALSE)," ")</f>
        <v>#N/A</v>
      </c>
      <c r="K2189" s="1" t="e">
        <f>IF(B2189=0,VLOOKUP(A2189,Feuil2!$A$2:$M$1241,10,FALSE)," ")</f>
        <v>#N/A</v>
      </c>
      <c r="L2189" s="1"/>
      <c r="M2189" s="1"/>
      <c r="N2189" s="1"/>
      <c r="O2189" s="8"/>
    </row>
    <row r="2190" spans="1:15" x14ac:dyDescent="0.3">
      <c r="A2190" s="1"/>
      <c r="B2190" s="1"/>
      <c r="C2190" s="1" t="e">
        <f>IF(B2190=0,VLOOKUP(A2190,Feuil2!$A$2:$M$1241,2,FALSE)," ")</f>
        <v>#N/A</v>
      </c>
      <c r="D2190" s="1" t="e">
        <f>IF(B2190=0,VLOOKUP(A2190,Feuil2!$A$2:$M$1241,3,FALSE)," ")</f>
        <v>#N/A</v>
      </c>
      <c r="E2190" s="5" t="e">
        <f>IF(B2190=0,VLOOKUP(A2190,Feuil2!$A$2:$M$1241,6,FALSE)," ")</f>
        <v>#N/A</v>
      </c>
      <c r="F2190" s="1" t="e">
        <f>IF(B2190=0,VLOOKUP(A2190,Feuil2!$A$2:$M$1241,12,FALSE)," ")</f>
        <v>#N/A</v>
      </c>
      <c r="G2190" s="1" t="e">
        <f>IF(B2190=0,VLOOKUP(A2190,Feuil2!$A$2:$M$1241,11,FALSE)," ")</f>
        <v>#N/A</v>
      </c>
      <c r="H2190" s="1" t="s">
        <v>16</v>
      </c>
      <c r="I2190" s="6" t="e">
        <f>IF(B2190=0,VLOOKUP(A2190,Feuil2!$A$2:$M$1241,7,FALSE)," ")</f>
        <v>#N/A</v>
      </c>
      <c r="J2190" s="1" t="e">
        <f>IF(B2190=0,VLOOKUP(A2190,Feuil2!$A$2:$M$1241,9,FALSE)," ")</f>
        <v>#N/A</v>
      </c>
      <c r="K2190" s="1" t="e">
        <f>IF(B2190=0,VLOOKUP(A2190,Feuil2!$A$2:$M$1241,10,FALSE)," ")</f>
        <v>#N/A</v>
      </c>
      <c r="L2190" s="1"/>
      <c r="M2190" s="1"/>
      <c r="N2190" s="1"/>
      <c r="O2190" s="8"/>
    </row>
    <row r="2191" spans="1:15" x14ac:dyDescent="0.3">
      <c r="A2191" s="1"/>
      <c r="B2191" s="1"/>
      <c r="C2191" s="1" t="e">
        <f>IF(B2191=0,VLOOKUP(A2191,Feuil2!$A$2:$M$1241,2,FALSE)," ")</f>
        <v>#N/A</v>
      </c>
      <c r="D2191" s="1" t="e">
        <f>IF(B2191=0,VLOOKUP(A2191,Feuil2!$A$2:$M$1241,3,FALSE)," ")</f>
        <v>#N/A</v>
      </c>
      <c r="E2191" s="5" t="e">
        <f>IF(B2191=0,VLOOKUP(A2191,Feuil2!$A$2:$M$1241,6,FALSE)," ")</f>
        <v>#N/A</v>
      </c>
      <c r="F2191" s="1" t="e">
        <f>IF(B2191=0,VLOOKUP(A2191,Feuil2!$A$2:$M$1241,12,FALSE)," ")</f>
        <v>#N/A</v>
      </c>
      <c r="G2191" s="1" t="e">
        <f>IF(B2191=0,VLOOKUP(A2191,Feuil2!$A$2:$M$1241,11,FALSE)," ")</f>
        <v>#N/A</v>
      </c>
      <c r="H2191" s="1" t="s">
        <v>16</v>
      </c>
      <c r="I2191" s="6" t="e">
        <f>IF(B2191=0,VLOOKUP(A2191,Feuil2!$A$2:$M$1241,7,FALSE)," ")</f>
        <v>#N/A</v>
      </c>
      <c r="J2191" s="1" t="e">
        <f>IF(B2191=0,VLOOKUP(A2191,Feuil2!$A$2:$M$1241,9,FALSE)," ")</f>
        <v>#N/A</v>
      </c>
      <c r="K2191" s="1" t="e">
        <f>IF(B2191=0,VLOOKUP(A2191,Feuil2!$A$2:$M$1241,10,FALSE)," ")</f>
        <v>#N/A</v>
      </c>
      <c r="L2191" s="1"/>
      <c r="M2191" s="1"/>
      <c r="N2191" s="1"/>
      <c r="O2191" s="8"/>
    </row>
    <row r="2192" spans="1:15" x14ac:dyDescent="0.3">
      <c r="A2192" s="1"/>
      <c r="B2192" s="1"/>
      <c r="C2192" s="1" t="e">
        <f>IF(B2192=0,VLOOKUP(A2192,Feuil2!$A$2:$M$1241,2,FALSE)," ")</f>
        <v>#N/A</v>
      </c>
      <c r="D2192" s="1" t="e">
        <f>IF(B2192=0,VLOOKUP(A2192,Feuil2!$A$2:$M$1241,3,FALSE)," ")</f>
        <v>#N/A</v>
      </c>
      <c r="E2192" s="5" t="e">
        <f>IF(B2192=0,VLOOKUP(A2192,Feuil2!$A$2:$M$1241,6,FALSE)," ")</f>
        <v>#N/A</v>
      </c>
      <c r="F2192" s="1" t="e">
        <f>IF(B2192=0,VLOOKUP(A2192,Feuil2!$A$2:$M$1241,12,FALSE)," ")</f>
        <v>#N/A</v>
      </c>
      <c r="G2192" s="1" t="e">
        <f>IF(B2192=0,VLOOKUP(A2192,Feuil2!$A$2:$M$1241,11,FALSE)," ")</f>
        <v>#N/A</v>
      </c>
      <c r="H2192" s="1" t="s">
        <v>16</v>
      </c>
      <c r="I2192" s="6" t="e">
        <f>IF(B2192=0,VLOOKUP(A2192,Feuil2!$A$2:$M$1241,7,FALSE)," ")</f>
        <v>#N/A</v>
      </c>
      <c r="J2192" s="1" t="e">
        <f>IF(B2192=0,VLOOKUP(A2192,Feuil2!$A$2:$M$1241,9,FALSE)," ")</f>
        <v>#N/A</v>
      </c>
      <c r="K2192" s="1" t="e">
        <f>IF(B2192=0,VLOOKUP(A2192,Feuil2!$A$2:$M$1241,10,FALSE)," ")</f>
        <v>#N/A</v>
      </c>
      <c r="L2192" s="1"/>
      <c r="M2192" s="1"/>
      <c r="N2192" s="1"/>
      <c r="O2192" s="8"/>
    </row>
    <row r="2193" spans="1:15" x14ac:dyDescent="0.3">
      <c r="A2193" s="1"/>
      <c r="B2193" s="1"/>
      <c r="C2193" s="1" t="e">
        <f>IF(B2193=0,VLOOKUP(A2193,Feuil2!$A$2:$M$1241,2,FALSE)," ")</f>
        <v>#N/A</v>
      </c>
      <c r="D2193" s="1" t="e">
        <f>IF(B2193=0,VLOOKUP(A2193,Feuil2!$A$2:$M$1241,3,FALSE)," ")</f>
        <v>#N/A</v>
      </c>
      <c r="E2193" s="5" t="e">
        <f>IF(B2193=0,VLOOKUP(A2193,Feuil2!$A$2:$M$1241,6,FALSE)," ")</f>
        <v>#N/A</v>
      </c>
      <c r="F2193" s="1" t="e">
        <f>IF(B2193=0,VLOOKUP(A2193,Feuil2!$A$2:$M$1241,12,FALSE)," ")</f>
        <v>#N/A</v>
      </c>
      <c r="G2193" s="1" t="e">
        <f>IF(B2193=0,VLOOKUP(A2193,Feuil2!$A$2:$M$1241,11,FALSE)," ")</f>
        <v>#N/A</v>
      </c>
      <c r="H2193" s="1" t="s">
        <v>16</v>
      </c>
      <c r="I2193" s="6" t="e">
        <f>IF(B2193=0,VLOOKUP(A2193,Feuil2!$A$2:$M$1241,7,FALSE)," ")</f>
        <v>#N/A</v>
      </c>
      <c r="J2193" s="1" t="e">
        <f>IF(B2193=0,VLOOKUP(A2193,Feuil2!$A$2:$M$1241,9,FALSE)," ")</f>
        <v>#N/A</v>
      </c>
      <c r="K2193" s="1" t="e">
        <f>IF(B2193=0,VLOOKUP(A2193,Feuil2!$A$2:$M$1241,10,FALSE)," ")</f>
        <v>#N/A</v>
      </c>
      <c r="L2193" s="1"/>
      <c r="M2193" s="1"/>
      <c r="N2193" s="1"/>
      <c r="O2193" s="8"/>
    </row>
    <row r="2194" spans="1:15" x14ac:dyDescent="0.3">
      <c r="A2194" s="1"/>
      <c r="B2194" s="1"/>
      <c r="C2194" s="1" t="e">
        <f>IF(B2194=0,VLOOKUP(A2194,Feuil2!$A$2:$M$1241,2,FALSE)," ")</f>
        <v>#N/A</v>
      </c>
      <c r="D2194" s="1" t="e">
        <f>IF(B2194=0,VLOOKUP(A2194,Feuil2!$A$2:$M$1241,3,FALSE)," ")</f>
        <v>#N/A</v>
      </c>
      <c r="E2194" s="5" t="e">
        <f>IF(B2194=0,VLOOKUP(A2194,Feuil2!$A$2:$M$1241,6,FALSE)," ")</f>
        <v>#N/A</v>
      </c>
      <c r="F2194" s="1" t="e">
        <f>IF(B2194=0,VLOOKUP(A2194,Feuil2!$A$2:$M$1241,12,FALSE)," ")</f>
        <v>#N/A</v>
      </c>
      <c r="G2194" s="1" t="e">
        <f>IF(B2194=0,VLOOKUP(A2194,Feuil2!$A$2:$M$1241,11,FALSE)," ")</f>
        <v>#N/A</v>
      </c>
      <c r="H2194" s="1" t="s">
        <v>16</v>
      </c>
      <c r="I2194" s="6" t="e">
        <f>IF(B2194=0,VLOOKUP(A2194,Feuil2!$A$2:$M$1241,7,FALSE)," ")</f>
        <v>#N/A</v>
      </c>
      <c r="J2194" s="1" t="e">
        <f>IF(B2194=0,VLOOKUP(A2194,Feuil2!$A$2:$M$1241,9,FALSE)," ")</f>
        <v>#N/A</v>
      </c>
      <c r="K2194" s="1" t="e">
        <f>IF(B2194=0,VLOOKUP(A2194,Feuil2!$A$2:$M$1241,10,FALSE)," ")</f>
        <v>#N/A</v>
      </c>
      <c r="L2194" s="1"/>
      <c r="M2194" s="1"/>
      <c r="N2194" s="1"/>
      <c r="O2194" s="8"/>
    </row>
    <row r="2195" spans="1:15" x14ac:dyDescent="0.3">
      <c r="A2195" s="1"/>
      <c r="B2195" s="1"/>
      <c r="C2195" s="1" t="e">
        <f>IF(B2195=0,VLOOKUP(A2195,Feuil2!$A$2:$M$1241,2,FALSE)," ")</f>
        <v>#N/A</v>
      </c>
      <c r="D2195" s="1" t="e">
        <f>IF(B2195=0,VLOOKUP(A2195,Feuil2!$A$2:$M$1241,3,FALSE)," ")</f>
        <v>#N/A</v>
      </c>
      <c r="E2195" s="5" t="e">
        <f>IF(B2195=0,VLOOKUP(A2195,Feuil2!$A$2:$M$1241,6,FALSE)," ")</f>
        <v>#N/A</v>
      </c>
      <c r="F2195" s="1" t="e">
        <f>IF(B2195=0,VLOOKUP(A2195,Feuil2!$A$2:$M$1241,12,FALSE)," ")</f>
        <v>#N/A</v>
      </c>
      <c r="G2195" s="1" t="e">
        <f>IF(B2195=0,VLOOKUP(A2195,Feuil2!$A$2:$M$1241,11,FALSE)," ")</f>
        <v>#N/A</v>
      </c>
      <c r="H2195" s="1" t="s">
        <v>16</v>
      </c>
      <c r="I2195" s="6" t="e">
        <f>IF(B2195=0,VLOOKUP(A2195,Feuil2!$A$2:$M$1241,7,FALSE)," ")</f>
        <v>#N/A</v>
      </c>
      <c r="J2195" s="1" t="e">
        <f>IF(B2195=0,VLOOKUP(A2195,Feuil2!$A$2:$M$1241,9,FALSE)," ")</f>
        <v>#N/A</v>
      </c>
      <c r="K2195" s="1" t="e">
        <f>IF(B2195=0,VLOOKUP(A2195,Feuil2!$A$2:$M$1241,10,FALSE)," ")</f>
        <v>#N/A</v>
      </c>
      <c r="L2195" s="1"/>
      <c r="M2195" s="1"/>
      <c r="N2195" s="1"/>
      <c r="O2195" s="8"/>
    </row>
    <row r="2196" spans="1:15" x14ac:dyDescent="0.3">
      <c r="A2196" s="1"/>
      <c r="B2196" s="1"/>
      <c r="C2196" s="1" t="e">
        <f>IF(B2196=0,VLOOKUP(A2196,Feuil2!$A$2:$M$1241,2,FALSE)," ")</f>
        <v>#N/A</v>
      </c>
      <c r="D2196" s="1" t="e">
        <f>IF(B2196=0,VLOOKUP(A2196,Feuil2!$A$2:$M$1241,3,FALSE)," ")</f>
        <v>#N/A</v>
      </c>
      <c r="E2196" s="5" t="e">
        <f>IF(B2196=0,VLOOKUP(A2196,Feuil2!$A$2:$M$1241,6,FALSE)," ")</f>
        <v>#N/A</v>
      </c>
      <c r="F2196" s="1" t="e">
        <f>IF(B2196=0,VLOOKUP(A2196,Feuil2!$A$2:$M$1241,12,FALSE)," ")</f>
        <v>#N/A</v>
      </c>
      <c r="G2196" s="1" t="e">
        <f>IF(B2196=0,VLOOKUP(A2196,Feuil2!$A$2:$M$1241,11,FALSE)," ")</f>
        <v>#N/A</v>
      </c>
      <c r="H2196" s="1" t="s">
        <v>16</v>
      </c>
      <c r="I2196" s="6" t="e">
        <f>IF(B2196=0,VLOOKUP(A2196,Feuil2!$A$2:$M$1241,7,FALSE)," ")</f>
        <v>#N/A</v>
      </c>
      <c r="J2196" s="1" t="e">
        <f>IF(B2196=0,VLOOKUP(A2196,Feuil2!$A$2:$M$1241,9,FALSE)," ")</f>
        <v>#N/A</v>
      </c>
      <c r="K2196" s="1" t="e">
        <f>IF(B2196=0,VLOOKUP(A2196,Feuil2!$A$2:$M$1241,10,FALSE)," ")</f>
        <v>#N/A</v>
      </c>
      <c r="L2196" s="1"/>
      <c r="M2196" s="1"/>
      <c r="N2196" s="1"/>
      <c r="O2196" s="8"/>
    </row>
    <row r="2197" spans="1:15" x14ac:dyDescent="0.3">
      <c r="A2197" s="1"/>
      <c r="B2197" s="1"/>
      <c r="C2197" s="1" t="e">
        <f>IF(B2197=0,VLOOKUP(A2197,Feuil2!$A$2:$M$1241,2,FALSE)," ")</f>
        <v>#N/A</v>
      </c>
      <c r="D2197" s="1" t="e">
        <f>IF(B2197=0,VLOOKUP(A2197,Feuil2!$A$2:$M$1241,3,FALSE)," ")</f>
        <v>#N/A</v>
      </c>
      <c r="E2197" s="5" t="e">
        <f>IF(B2197=0,VLOOKUP(A2197,Feuil2!$A$2:$M$1241,6,FALSE)," ")</f>
        <v>#N/A</v>
      </c>
      <c r="F2197" s="1" t="e">
        <f>IF(B2197=0,VLOOKUP(A2197,Feuil2!$A$2:$M$1241,12,FALSE)," ")</f>
        <v>#N/A</v>
      </c>
      <c r="G2197" s="1" t="e">
        <f>IF(B2197=0,VLOOKUP(A2197,Feuil2!$A$2:$M$1241,11,FALSE)," ")</f>
        <v>#N/A</v>
      </c>
      <c r="H2197" s="1" t="s">
        <v>16</v>
      </c>
      <c r="I2197" s="6" t="e">
        <f>IF(B2197=0,VLOOKUP(A2197,Feuil2!$A$2:$M$1241,7,FALSE)," ")</f>
        <v>#N/A</v>
      </c>
      <c r="J2197" s="1" t="e">
        <f>IF(B2197=0,VLOOKUP(A2197,Feuil2!$A$2:$M$1241,9,FALSE)," ")</f>
        <v>#N/A</v>
      </c>
      <c r="K2197" s="1" t="e">
        <f>IF(B2197=0,VLOOKUP(A2197,Feuil2!$A$2:$M$1241,10,FALSE)," ")</f>
        <v>#N/A</v>
      </c>
      <c r="L2197" s="1"/>
      <c r="M2197" s="1"/>
      <c r="N2197" s="1"/>
      <c r="O2197" s="8"/>
    </row>
    <row r="2198" spans="1:15" x14ac:dyDescent="0.3">
      <c r="A2198" s="1"/>
      <c r="B2198" s="1"/>
      <c r="C2198" s="1" t="e">
        <f>IF(B2198=0,VLOOKUP(A2198,Feuil2!$A$2:$M$1241,2,FALSE)," ")</f>
        <v>#N/A</v>
      </c>
      <c r="D2198" s="1" t="e">
        <f>IF(B2198=0,VLOOKUP(A2198,Feuil2!$A$2:$M$1241,3,FALSE)," ")</f>
        <v>#N/A</v>
      </c>
      <c r="E2198" s="5" t="e">
        <f>IF(B2198=0,VLOOKUP(A2198,Feuil2!$A$2:$M$1241,6,FALSE)," ")</f>
        <v>#N/A</v>
      </c>
      <c r="F2198" s="1" t="e">
        <f>IF(B2198=0,VLOOKUP(A2198,Feuil2!$A$2:$M$1241,12,FALSE)," ")</f>
        <v>#N/A</v>
      </c>
      <c r="G2198" s="1" t="e">
        <f>IF(B2198=0,VLOOKUP(A2198,Feuil2!$A$2:$M$1241,11,FALSE)," ")</f>
        <v>#N/A</v>
      </c>
      <c r="H2198" s="1" t="s">
        <v>16</v>
      </c>
      <c r="I2198" s="6" t="e">
        <f>IF(B2198=0,VLOOKUP(A2198,Feuil2!$A$2:$M$1241,7,FALSE)," ")</f>
        <v>#N/A</v>
      </c>
      <c r="J2198" s="1" t="e">
        <f>IF(B2198=0,VLOOKUP(A2198,Feuil2!$A$2:$M$1241,9,FALSE)," ")</f>
        <v>#N/A</v>
      </c>
      <c r="K2198" s="1" t="e">
        <f>IF(B2198=0,VLOOKUP(A2198,Feuil2!$A$2:$M$1241,10,FALSE)," ")</f>
        <v>#N/A</v>
      </c>
      <c r="L2198" s="1"/>
      <c r="M2198" s="1"/>
      <c r="N2198" s="1"/>
      <c r="O2198" s="8"/>
    </row>
    <row r="2199" spans="1:15" x14ac:dyDescent="0.3">
      <c r="A2199" s="1"/>
      <c r="B2199" s="1"/>
      <c r="C2199" s="1" t="e">
        <f>IF(B2199=0,VLOOKUP(A2199,Feuil2!$A$2:$M$1241,2,FALSE)," ")</f>
        <v>#N/A</v>
      </c>
      <c r="D2199" s="1" t="e">
        <f>IF(B2199=0,VLOOKUP(A2199,Feuil2!$A$2:$M$1241,3,FALSE)," ")</f>
        <v>#N/A</v>
      </c>
      <c r="E2199" s="5" t="e">
        <f>IF(B2199=0,VLOOKUP(A2199,Feuil2!$A$2:$M$1241,6,FALSE)," ")</f>
        <v>#N/A</v>
      </c>
      <c r="F2199" s="1" t="e">
        <f>IF(B2199=0,VLOOKUP(A2199,Feuil2!$A$2:$M$1241,12,FALSE)," ")</f>
        <v>#N/A</v>
      </c>
      <c r="G2199" s="1" t="e">
        <f>IF(B2199=0,VLOOKUP(A2199,Feuil2!$A$2:$M$1241,11,FALSE)," ")</f>
        <v>#N/A</v>
      </c>
      <c r="H2199" s="1" t="s">
        <v>16</v>
      </c>
      <c r="I2199" s="6" t="e">
        <f>IF(B2199=0,VLOOKUP(A2199,Feuil2!$A$2:$M$1241,7,FALSE)," ")</f>
        <v>#N/A</v>
      </c>
      <c r="J2199" s="1" t="e">
        <f>IF(B2199=0,VLOOKUP(A2199,Feuil2!$A$2:$M$1241,9,FALSE)," ")</f>
        <v>#N/A</v>
      </c>
      <c r="K2199" s="1" t="e">
        <f>IF(B2199=0,VLOOKUP(A2199,Feuil2!$A$2:$M$1241,10,FALSE)," ")</f>
        <v>#N/A</v>
      </c>
      <c r="L2199" s="1"/>
      <c r="M2199" s="1"/>
      <c r="N2199" s="1"/>
      <c r="O2199" s="8"/>
    </row>
    <row r="2200" spans="1:15" x14ac:dyDescent="0.3">
      <c r="A2200" s="1"/>
      <c r="B2200" s="1"/>
      <c r="C2200" s="1" t="e">
        <f>IF(B2200=0,VLOOKUP(A2200,Feuil2!$A$2:$M$1241,2,FALSE)," ")</f>
        <v>#N/A</v>
      </c>
      <c r="D2200" s="1" t="e">
        <f>IF(B2200=0,VLOOKUP(A2200,Feuil2!$A$2:$M$1241,3,FALSE)," ")</f>
        <v>#N/A</v>
      </c>
      <c r="E2200" s="5" t="e">
        <f>IF(B2200=0,VLOOKUP(A2200,Feuil2!$A$2:$M$1241,6,FALSE)," ")</f>
        <v>#N/A</v>
      </c>
      <c r="F2200" s="1" t="e">
        <f>IF(B2200=0,VLOOKUP(A2200,Feuil2!$A$2:$M$1241,12,FALSE)," ")</f>
        <v>#N/A</v>
      </c>
      <c r="G2200" s="1" t="e">
        <f>IF(B2200=0,VLOOKUP(A2200,Feuil2!$A$2:$M$1241,11,FALSE)," ")</f>
        <v>#N/A</v>
      </c>
      <c r="H2200" s="1" t="s">
        <v>16</v>
      </c>
      <c r="I2200" s="6" t="e">
        <f>IF(B2200=0,VLOOKUP(A2200,Feuil2!$A$2:$M$1241,7,FALSE)," ")</f>
        <v>#N/A</v>
      </c>
      <c r="J2200" s="1" t="e">
        <f>IF(B2200=0,VLOOKUP(A2200,Feuil2!$A$2:$M$1241,9,FALSE)," ")</f>
        <v>#N/A</v>
      </c>
      <c r="K2200" s="1" t="e">
        <f>IF(B2200=0,VLOOKUP(A2200,Feuil2!$A$2:$M$1241,10,FALSE)," ")</f>
        <v>#N/A</v>
      </c>
      <c r="L2200" s="1"/>
      <c r="M2200" s="1"/>
      <c r="N2200" s="1"/>
      <c r="O2200" s="8"/>
    </row>
    <row r="2201" spans="1:15" x14ac:dyDescent="0.3">
      <c r="A2201" s="1"/>
      <c r="B2201" s="1"/>
      <c r="C2201" s="1" t="e">
        <f>IF(B2201=0,VLOOKUP(A2201,Feuil2!$A$2:$M$1241,2,FALSE)," ")</f>
        <v>#N/A</v>
      </c>
      <c r="D2201" s="1" t="e">
        <f>IF(B2201=0,VLOOKUP(A2201,Feuil2!$A$2:$M$1241,3,FALSE)," ")</f>
        <v>#N/A</v>
      </c>
      <c r="E2201" s="5" t="e">
        <f>IF(B2201=0,VLOOKUP(A2201,Feuil2!$A$2:$M$1241,6,FALSE)," ")</f>
        <v>#N/A</v>
      </c>
      <c r="F2201" s="1" t="e">
        <f>IF(B2201=0,VLOOKUP(A2201,Feuil2!$A$2:$M$1241,12,FALSE)," ")</f>
        <v>#N/A</v>
      </c>
      <c r="G2201" s="1" t="e">
        <f>IF(B2201=0,VLOOKUP(A2201,Feuil2!$A$2:$M$1241,11,FALSE)," ")</f>
        <v>#N/A</v>
      </c>
      <c r="H2201" s="1" t="s">
        <v>16</v>
      </c>
      <c r="I2201" s="6" t="e">
        <f>IF(B2201=0,VLOOKUP(A2201,Feuil2!$A$2:$M$1241,7,FALSE)," ")</f>
        <v>#N/A</v>
      </c>
      <c r="J2201" s="1" t="e">
        <f>IF(B2201=0,VLOOKUP(A2201,Feuil2!$A$2:$M$1241,9,FALSE)," ")</f>
        <v>#N/A</v>
      </c>
      <c r="K2201" s="1" t="e">
        <f>IF(B2201=0,VLOOKUP(A2201,Feuil2!$A$2:$M$1241,10,FALSE)," ")</f>
        <v>#N/A</v>
      </c>
      <c r="L2201" s="1"/>
      <c r="M2201" s="1"/>
      <c r="N2201" s="1"/>
      <c r="O2201" s="8"/>
    </row>
    <row r="2202" spans="1:15" x14ac:dyDescent="0.3">
      <c r="A2202" s="1"/>
      <c r="B2202" s="1"/>
      <c r="C2202" s="1" t="e">
        <f>IF(B2202=0,VLOOKUP(A2202,Feuil2!$A$2:$M$1241,2,FALSE)," ")</f>
        <v>#N/A</v>
      </c>
      <c r="D2202" s="1" t="e">
        <f>IF(B2202=0,VLOOKUP(A2202,Feuil2!$A$2:$M$1241,3,FALSE)," ")</f>
        <v>#N/A</v>
      </c>
      <c r="E2202" s="5" t="e">
        <f>IF(B2202=0,VLOOKUP(A2202,Feuil2!$A$2:$M$1241,6,FALSE)," ")</f>
        <v>#N/A</v>
      </c>
      <c r="F2202" s="1" t="e">
        <f>IF(B2202=0,VLOOKUP(A2202,Feuil2!$A$2:$M$1241,12,FALSE)," ")</f>
        <v>#N/A</v>
      </c>
      <c r="G2202" s="1" t="e">
        <f>IF(B2202=0,VLOOKUP(A2202,Feuil2!$A$2:$M$1241,11,FALSE)," ")</f>
        <v>#N/A</v>
      </c>
      <c r="H2202" s="1" t="s">
        <v>16</v>
      </c>
      <c r="I2202" s="6" t="e">
        <f>IF(B2202=0,VLOOKUP(A2202,Feuil2!$A$2:$M$1241,7,FALSE)," ")</f>
        <v>#N/A</v>
      </c>
      <c r="J2202" s="1" t="e">
        <f>IF(B2202=0,VLOOKUP(A2202,Feuil2!$A$2:$M$1241,9,FALSE)," ")</f>
        <v>#N/A</v>
      </c>
      <c r="K2202" s="1" t="e">
        <f>IF(B2202=0,VLOOKUP(A2202,Feuil2!$A$2:$M$1241,10,FALSE)," ")</f>
        <v>#N/A</v>
      </c>
      <c r="L2202" s="1"/>
      <c r="M2202" s="1"/>
      <c r="N2202" s="1"/>
      <c r="O2202" s="8"/>
    </row>
    <row r="2203" spans="1:15" x14ac:dyDescent="0.3">
      <c r="A2203" s="1"/>
      <c r="B2203" s="1"/>
      <c r="C2203" s="1" t="e">
        <f>IF(B2203=0,VLOOKUP(A2203,Feuil2!$A$2:$M$1241,2,FALSE)," ")</f>
        <v>#N/A</v>
      </c>
      <c r="D2203" s="1" t="e">
        <f>IF(B2203=0,VLOOKUP(A2203,Feuil2!$A$2:$M$1241,3,FALSE)," ")</f>
        <v>#N/A</v>
      </c>
      <c r="E2203" s="5" t="e">
        <f>IF(B2203=0,VLOOKUP(A2203,Feuil2!$A$2:$M$1241,6,FALSE)," ")</f>
        <v>#N/A</v>
      </c>
      <c r="F2203" s="1" t="e">
        <f>IF(B2203=0,VLOOKUP(A2203,Feuil2!$A$2:$M$1241,12,FALSE)," ")</f>
        <v>#N/A</v>
      </c>
      <c r="G2203" s="1" t="e">
        <f>IF(B2203=0,VLOOKUP(A2203,Feuil2!$A$2:$M$1241,11,FALSE)," ")</f>
        <v>#N/A</v>
      </c>
      <c r="H2203" s="1" t="s">
        <v>16</v>
      </c>
      <c r="I2203" s="6" t="e">
        <f>IF(B2203=0,VLOOKUP(A2203,Feuil2!$A$2:$M$1241,7,FALSE)," ")</f>
        <v>#N/A</v>
      </c>
      <c r="J2203" s="1" t="e">
        <f>IF(B2203=0,VLOOKUP(A2203,Feuil2!$A$2:$M$1241,9,FALSE)," ")</f>
        <v>#N/A</v>
      </c>
      <c r="K2203" s="1" t="e">
        <f>IF(B2203=0,VLOOKUP(A2203,Feuil2!$A$2:$M$1241,10,FALSE)," ")</f>
        <v>#N/A</v>
      </c>
      <c r="L2203" s="1"/>
      <c r="M2203" s="1"/>
      <c r="N2203" s="1"/>
      <c r="O2203" s="8"/>
    </row>
    <row r="2204" spans="1:15" x14ac:dyDescent="0.3">
      <c r="A2204" s="1"/>
      <c r="B2204" s="1"/>
      <c r="C2204" s="1" t="e">
        <f>IF(B2204=0,VLOOKUP(A2204,Feuil2!$A$2:$M$1241,2,FALSE)," ")</f>
        <v>#N/A</v>
      </c>
      <c r="D2204" s="1" t="e">
        <f>IF(B2204=0,VLOOKUP(A2204,Feuil2!$A$2:$M$1241,3,FALSE)," ")</f>
        <v>#N/A</v>
      </c>
      <c r="E2204" s="5" t="e">
        <f>IF(B2204=0,VLOOKUP(A2204,Feuil2!$A$2:$M$1241,6,FALSE)," ")</f>
        <v>#N/A</v>
      </c>
      <c r="F2204" s="1" t="e">
        <f>IF(B2204=0,VLOOKUP(A2204,Feuil2!$A$2:$M$1241,12,FALSE)," ")</f>
        <v>#N/A</v>
      </c>
      <c r="G2204" s="1" t="e">
        <f>IF(B2204=0,VLOOKUP(A2204,Feuil2!$A$2:$M$1241,11,FALSE)," ")</f>
        <v>#N/A</v>
      </c>
      <c r="H2204" s="1" t="s">
        <v>16</v>
      </c>
      <c r="I2204" s="6" t="e">
        <f>IF(B2204=0,VLOOKUP(A2204,Feuil2!$A$2:$M$1241,7,FALSE)," ")</f>
        <v>#N/A</v>
      </c>
      <c r="J2204" s="1" t="e">
        <f>IF(B2204=0,VLOOKUP(A2204,Feuil2!$A$2:$M$1241,9,FALSE)," ")</f>
        <v>#N/A</v>
      </c>
      <c r="K2204" s="1" t="e">
        <f>IF(B2204=0,VLOOKUP(A2204,Feuil2!$A$2:$M$1241,10,FALSE)," ")</f>
        <v>#N/A</v>
      </c>
      <c r="L2204" s="1"/>
      <c r="M2204" s="1"/>
      <c r="N2204" s="1"/>
      <c r="O2204" s="8"/>
    </row>
    <row r="2205" spans="1:15" x14ac:dyDescent="0.3">
      <c r="A2205" s="1"/>
      <c r="B2205" s="1"/>
      <c r="C2205" s="1" t="e">
        <f>IF(B2205=0,VLOOKUP(A2205,Feuil2!$A$2:$M$1241,2,FALSE)," ")</f>
        <v>#N/A</v>
      </c>
      <c r="D2205" s="1" t="e">
        <f>IF(B2205=0,VLOOKUP(A2205,Feuil2!$A$2:$M$1241,3,FALSE)," ")</f>
        <v>#N/A</v>
      </c>
      <c r="E2205" s="5" t="e">
        <f>IF(B2205=0,VLOOKUP(A2205,Feuil2!$A$2:$M$1241,6,FALSE)," ")</f>
        <v>#N/A</v>
      </c>
      <c r="F2205" s="1" t="e">
        <f>IF(B2205=0,VLOOKUP(A2205,Feuil2!$A$2:$M$1241,12,FALSE)," ")</f>
        <v>#N/A</v>
      </c>
      <c r="G2205" s="1" t="e">
        <f>IF(B2205=0,VLOOKUP(A2205,Feuil2!$A$2:$M$1241,11,FALSE)," ")</f>
        <v>#N/A</v>
      </c>
      <c r="H2205" s="1" t="s">
        <v>16</v>
      </c>
      <c r="I2205" s="6" t="e">
        <f>IF(B2205=0,VLOOKUP(A2205,Feuil2!$A$2:$M$1241,7,FALSE)," ")</f>
        <v>#N/A</v>
      </c>
      <c r="J2205" s="1" t="e">
        <f>IF(B2205=0,VLOOKUP(A2205,Feuil2!$A$2:$M$1241,9,FALSE)," ")</f>
        <v>#N/A</v>
      </c>
      <c r="K2205" s="1" t="e">
        <f>IF(B2205=0,VLOOKUP(A2205,Feuil2!$A$2:$M$1241,10,FALSE)," ")</f>
        <v>#N/A</v>
      </c>
      <c r="L2205" s="1"/>
      <c r="M2205" s="1"/>
      <c r="N2205" s="1"/>
      <c r="O2205" s="8"/>
    </row>
    <row r="2206" spans="1:15" x14ac:dyDescent="0.3">
      <c r="A2206" s="1"/>
      <c r="B2206" s="1"/>
      <c r="C2206" s="1" t="e">
        <f>IF(B2206=0,VLOOKUP(A2206,Feuil2!$A$2:$M$1241,2,FALSE)," ")</f>
        <v>#N/A</v>
      </c>
      <c r="D2206" s="1" t="e">
        <f>IF(B2206=0,VLOOKUP(A2206,Feuil2!$A$2:$M$1241,3,FALSE)," ")</f>
        <v>#N/A</v>
      </c>
      <c r="E2206" s="5" t="e">
        <f>IF(B2206=0,VLOOKUP(A2206,Feuil2!$A$2:$M$1241,6,FALSE)," ")</f>
        <v>#N/A</v>
      </c>
      <c r="F2206" s="1" t="e">
        <f>IF(B2206=0,VLOOKUP(A2206,Feuil2!$A$2:$M$1241,12,FALSE)," ")</f>
        <v>#N/A</v>
      </c>
      <c r="G2206" s="1" t="e">
        <f>IF(B2206=0,VLOOKUP(A2206,Feuil2!$A$2:$M$1241,11,FALSE)," ")</f>
        <v>#N/A</v>
      </c>
      <c r="H2206" s="1" t="s">
        <v>16</v>
      </c>
      <c r="I2206" s="6" t="e">
        <f>IF(B2206=0,VLOOKUP(A2206,Feuil2!$A$2:$M$1241,7,FALSE)," ")</f>
        <v>#N/A</v>
      </c>
      <c r="J2206" s="1" t="e">
        <f>IF(B2206=0,VLOOKUP(A2206,Feuil2!$A$2:$M$1241,9,FALSE)," ")</f>
        <v>#N/A</v>
      </c>
      <c r="K2206" s="1" t="e">
        <f>IF(B2206=0,VLOOKUP(A2206,Feuil2!$A$2:$M$1241,10,FALSE)," ")</f>
        <v>#N/A</v>
      </c>
      <c r="L2206" s="1"/>
      <c r="M2206" s="1"/>
      <c r="N2206" s="1"/>
      <c r="O2206" s="8"/>
    </row>
    <row r="2207" spans="1:15" x14ac:dyDescent="0.3">
      <c r="A2207" s="1"/>
      <c r="B2207" s="1"/>
      <c r="C2207" s="1" t="e">
        <f>IF(B2207=0,VLOOKUP(A2207,Feuil2!$A$2:$M$1241,2,FALSE)," ")</f>
        <v>#N/A</v>
      </c>
      <c r="D2207" s="1" t="e">
        <f>IF(B2207=0,VLOOKUP(A2207,Feuil2!$A$2:$M$1241,3,FALSE)," ")</f>
        <v>#N/A</v>
      </c>
      <c r="E2207" s="5" t="e">
        <f>IF(B2207=0,VLOOKUP(A2207,Feuil2!$A$2:$M$1241,6,FALSE)," ")</f>
        <v>#N/A</v>
      </c>
      <c r="F2207" s="1" t="e">
        <f>IF(B2207=0,VLOOKUP(A2207,Feuil2!$A$2:$M$1241,12,FALSE)," ")</f>
        <v>#N/A</v>
      </c>
      <c r="G2207" s="1" t="e">
        <f>IF(B2207=0,VLOOKUP(A2207,Feuil2!$A$2:$M$1241,11,FALSE)," ")</f>
        <v>#N/A</v>
      </c>
      <c r="H2207" s="1" t="s">
        <v>16</v>
      </c>
      <c r="I2207" s="6" t="e">
        <f>IF(B2207=0,VLOOKUP(A2207,Feuil2!$A$2:$M$1241,7,FALSE)," ")</f>
        <v>#N/A</v>
      </c>
      <c r="J2207" s="1" t="e">
        <f>IF(B2207=0,VLOOKUP(A2207,Feuil2!$A$2:$M$1241,9,FALSE)," ")</f>
        <v>#N/A</v>
      </c>
      <c r="K2207" s="1" t="e">
        <f>IF(B2207=0,VLOOKUP(A2207,Feuil2!$A$2:$M$1241,10,FALSE)," ")</f>
        <v>#N/A</v>
      </c>
      <c r="L2207" s="1"/>
      <c r="M2207" s="1"/>
      <c r="N2207" s="1"/>
      <c r="O2207" s="8"/>
    </row>
    <row r="2208" spans="1:15" x14ac:dyDescent="0.3">
      <c r="A2208" s="1"/>
      <c r="B2208" s="1"/>
      <c r="C2208" s="1" t="e">
        <f>IF(B2208=0,VLOOKUP(A2208,Feuil2!$A$2:$M$1241,2,FALSE)," ")</f>
        <v>#N/A</v>
      </c>
      <c r="D2208" s="1" t="e">
        <f>IF(B2208=0,VLOOKUP(A2208,Feuil2!$A$2:$M$1241,3,FALSE)," ")</f>
        <v>#N/A</v>
      </c>
      <c r="E2208" s="5" t="e">
        <f>IF(B2208=0,VLOOKUP(A2208,Feuil2!$A$2:$M$1241,6,FALSE)," ")</f>
        <v>#N/A</v>
      </c>
      <c r="F2208" s="1" t="e">
        <f>IF(B2208=0,VLOOKUP(A2208,Feuil2!$A$2:$M$1241,12,FALSE)," ")</f>
        <v>#N/A</v>
      </c>
      <c r="G2208" s="1" t="e">
        <f>IF(B2208=0,VLOOKUP(A2208,Feuil2!$A$2:$M$1241,11,FALSE)," ")</f>
        <v>#N/A</v>
      </c>
      <c r="H2208" s="1" t="s">
        <v>16</v>
      </c>
      <c r="I2208" s="6" t="e">
        <f>IF(B2208=0,VLOOKUP(A2208,Feuil2!$A$2:$M$1241,7,FALSE)," ")</f>
        <v>#N/A</v>
      </c>
      <c r="J2208" s="1" t="e">
        <f>IF(B2208=0,VLOOKUP(A2208,Feuil2!$A$2:$M$1241,9,FALSE)," ")</f>
        <v>#N/A</v>
      </c>
      <c r="K2208" s="1" t="e">
        <f>IF(B2208=0,VLOOKUP(A2208,Feuil2!$A$2:$M$1241,10,FALSE)," ")</f>
        <v>#N/A</v>
      </c>
      <c r="L2208" s="1"/>
      <c r="M2208" s="1"/>
      <c r="N2208" s="1"/>
      <c r="O2208" s="8"/>
    </row>
    <row r="2209" spans="1:15" x14ac:dyDescent="0.3">
      <c r="A2209" s="1"/>
      <c r="B2209" s="1"/>
      <c r="C2209" s="1" t="e">
        <f>IF(B2209=0,VLOOKUP(A2209,Feuil2!$A$2:$M$1241,2,FALSE)," ")</f>
        <v>#N/A</v>
      </c>
      <c r="D2209" s="1" t="e">
        <f>IF(B2209=0,VLOOKUP(A2209,Feuil2!$A$2:$M$1241,3,FALSE)," ")</f>
        <v>#N/A</v>
      </c>
      <c r="E2209" s="5" t="e">
        <f>IF(B2209=0,VLOOKUP(A2209,Feuil2!$A$2:$M$1241,6,FALSE)," ")</f>
        <v>#N/A</v>
      </c>
      <c r="F2209" s="1" t="e">
        <f>IF(B2209=0,VLOOKUP(A2209,Feuil2!$A$2:$M$1241,12,FALSE)," ")</f>
        <v>#N/A</v>
      </c>
      <c r="G2209" s="1" t="e">
        <f>IF(B2209=0,VLOOKUP(A2209,Feuil2!$A$2:$M$1241,11,FALSE)," ")</f>
        <v>#N/A</v>
      </c>
      <c r="H2209" s="1" t="s">
        <v>16</v>
      </c>
      <c r="I2209" s="6" t="e">
        <f>IF(B2209=0,VLOOKUP(A2209,Feuil2!$A$2:$M$1241,7,FALSE)," ")</f>
        <v>#N/A</v>
      </c>
      <c r="J2209" s="1" t="e">
        <f>IF(B2209=0,VLOOKUP(A2209,Feuil2!$A$2:$M$1241,9,FALSE)," ")</f>
        <v>#N/A</v>
      </c>
      <c r="K2209" s="1" t="e">
        <f>IF(B2209=0,VLOOKUP(A2209,Feuil2!$A$2:$M$1241,10,FALSE)," ")</f>
        <v>#N/A</v>
      </c>
      <c r="L2209" s="1"/>
      <c r="M2209" s="1"/>
      <c r="N2209" s="1"/>
      <c r="O2209" s="8"/>
    </row>
    <row r="2210" spans="1:15" x14ac:dyDescent="0.3">
      <c r="A2210" s="1"/>
      <c r="B2210" s="1"/>
      <c r="C2210" s="1" t="e">
        <f>IF(B2210=0,VLOOKUP(A2210,Feuil2!$A$2:$M$1241,2,FALSE)," ")</f>
        <v>#N/A</v>
      </c>
      <c r="D2210" s="1" t="e">
        <f>IF(B2210=0,VLOOKUP(A2210,Feuil2!$A$2:$M$1241,3,FALSE)," ")</f>
        <v>#N/A</v>
      </c>
      <c r="E2210" s="5" t="e">
        <f>IF(B2210=0,VLOOKUP(A2210,Feuil2!$A$2:$M$1241,6,FALSE)," ")</f>
        <v>#N/A</v>
      </c>
      <c r="F2210" s="1" t="e">
        <f>IF(B2210=0,VLOOKUP(A2210,Feuil2!$A$2:$M$1241,12,FALSE)," ")</f>
        <v>#N/A</v>
      </c>
      <c r="G2210" s="1" t="e">
        <f>IF(B2210=0,VLOOKUP(A2210,Feuil2!$A$2:$M$1241,11,FALSE)," ")</f>
        <v>#N/A</v>
      </c>
      <c r="H2210" s="1" t="s">
        <v>16</v>
      </c>
      <c r="I2210" s="6" t="e">
        <f>IF(B2210=0,VLOOKUP(A2210,Feuil2!$A$2:$M$1241,7,FALSE)," ")</f>
        <v>#N/A</v>
      </c>
      <c r="J2210" s="1" t="e">
        <f>IF(B2210=0,VLOOKUP(A2210,Feuil2!$A$2:$M$1241,9,FALSE)," ")</f>
        <v>#N/A</v>
      </c>
      <c r="K2210" s="1" t="e">
        <f>IF(B2210=0,VLOOKUP(A2210,Feuil2!$A$2:$M$1241,10,FALSE)," ")</f>
        <v>#N/A</v>
      </c>
      <c r="L2210" s="1"/>
      <c r="M2210" s="1"/>
      <c r="N2210" s="1"/>
      <c r="O2210" s="8"/>
    </row>
    <row r="2211" spans="1:15" x14ac:dyDescent="0.3">
      <c r="A2211" s="1"/>
      <c r="B2211" s="1"/>
      <c r="C2211" s="1" t="e">
        <f>IF(B2211=0,VLOOKUP(A2211,Feuil2!$A$2:$M$1241,2,FALSE)," ")</f>
        <v>#N/A</v>
      </c>
      <c r="D2211" s="1" t="e">
        <f>IF(B2211=0,VLOOKUP(A2211,Feuil2!$A$2:$M$1241,3,FALSE)," ")</f>
        <v>#N/A</v>
      </c>
      <c r="E2211" s="5" t="e">
        <f>IF(B2211=0,VLOOKUP(A2211,Feuil2!$A$2:$M$1241,6,FALSE)," ")</f>
        <v>#N/A</v>
      </c>
      <c r="F2211" s="1" t="e">
        <f>IF(B2211=0,VLOOKUP(A2211,Feuil2!$A$2:$M$1241,12,FALSE)," ")</f>
        <v>#N/A</v>
      </c>
      <c r="G2211" s="1" t="e">
        <f>IF(B2211=0,VLOOKUP(A2211,Feuil2!$A$2:$M$1241,11,FALSE)," ")</f>
        <v>#N/A</v>
      </c>
      <c r="H2211" s="1" t="s">
        <v>16</v>
      </c>
      <c r="I2211" s="6" t="e">
        <f>IF(B2211=0,VLOOKUP(A2211,Feuil2!$A$2:$M$1241,7,FALSE)," ")</f>
        <v>#N/A</v>
      </c>
      <c r="J2211" s="1" t="e">
        <f>IF(B2211=0,VLOOKUP(A2211,Feuil2!$A$2:$M$1241,9,FALSE)," ")</f>
        <v>#N/A</v>
      </c>
      <c r="K2211" s="1" t="e">
        <f>IF(B2211=0,VLOOKUP(A2211,Feuil2!$A$2:$M$1241,10,FALSE)," ")</f>
        <v>#N/A</v>
      </c>
      <c r="L2211" s="1"/>
      <c r="M2211" s="1"/>
      <c r="N2211" s="1"/>
      <c r="O2211" s="8"/>
    </row>
    <row r="2212" spans="1:15" x14ac:dyDescent="0.3">
      <c r="A2212" s="1"/>
      <c r="B2212" s="1"/>
      <c r="C2212" s="1" t="e">
        <f>IF(B2212=0,VLOOKUP(A2212,Feuil2!$A$2:$M$1241,2,FALSE)," ")</f>
        <v>#N/A</v>
      </c>
      <c r="D2212" s="1" t="e">
        <f>IF(B2212=0,VLOOKUP(A2212,Feuil2!$A$2:$M$1241,3,FALSE)," ")</f>
        <v>#N/A</v>
      </c>
      <c r="E2212" s="5" t="e">
        <f>IF(B2212=0,VLOOKUP(A2212,Feuil2!$A$2:$M$1241,6,FALSE)," ")</f>
        <v>#N/A</v>
      </c>
      <c r="F2212" s="1" t="e">
        <f>IF(B2212=0,VLOOKUP(A2212,Feuil2!$A$2:$M$1241,12,FALSE)," ")</f>
        <v>#N/A</v>
      </c>
      <c r="G2212" s="1" t="e">
        <f>IF(B2212=0,VLOOKUP(A2212,Feuil2!$A$2:$M$1241,11,FALSE)," ")</f>
        <v>#N/A</v>
      </c>
      <c r="H2212" s="1" t="s">
        <v>16</v>
      </c>
      <c r="I2212" s="6" t="e">
        <f>IF(B2212=0,VLOOKUP(A2212,Feuil2!$A$2:$M$1241,7,FALSE)," ")</f>
        <v>#N/A</v>
      </c>
      <c r="J2212" s="1" t="e">
        <f>IF(B2212=0,VLOOKUP(A2212,Feuil2!$A$2:$M$1241,9,FALSE)," ")</f>
        <v>#N/A</v>
      </c>
      <c r="K2212" s="1" t="e">
        <f>IF(B2212=0,VLOOKUP(A2212,Feuil2!$A$2:$M$1241,10,FALSE)," ")</f>
        <v>#N/A</v>
      </c>
      <c r="L2212" s="1"/>
      <c r="M2212" s="1"/>
      <c r="N2212" s="1"/>
      <c r="O2212" s="8"/>
    </row>
    <row r="2213" spans="1:15" x14ac:dyDescent="0.3">
      <c r="A2213" s="1"/>
      <c r="B2213" s="1"/>
      <c r="C2213" s="1" t="e">
        <f>IF(B2213=0,VLOOKUP(A2213,Feuil2!$A$2:$M$1241,2,FALSE)," ")</f>
        <v>#N/A</v>
      </c>
      <c r="D2213" s="1" t="e">
        <f>IF(B2213=0,VLOOKUP(A2213,Feuil2!$A$2:$M$1241,3,FALSE)," ")</f>
        <v>#N/A</v>
      </c>
      <c r="E2213" s="5" t="e">
        <f>IF(B2213=0,VLOOKUP(A2213,Feuil2!$A$2:$M$1241,6,FALSE)," ")</f>
        <v>#N/A</v>
      </c>
      <c r="F2213" s="1" t="e">
        <f>IF(B2213=0,VLOOKUP(A2213,Feuil2!$A$2:$M$1241,12,FALSE)," ")</f>
        <v>#N/A</v>
      </c>
      <c r="G2213" s="1" t="e">
        <f>IF(B2213=0,VLOOKUP(A2213,Feuil2!$A$2:$M$1241,11,FALSE)," ")</f>
        <v>#N/A</v>
      </c>
      <c r="H2213" s="1" t="s">
        <v>16</v>
      </c>
      <c r="I2213" s="6" t="e">
        <f>IF(B2213=0,VLOOKUP(A2213,Feuil2!$A$2:$M$1241,7,FALSE)," ")</f>
        <v>#N/A</v>
      </c>
      <c r="J2213" s="1" t="e">
        <f>IF(B2213=0,VLOOKUP(A2213,Feuil2!$A$2:$M$1241,9,FALSE)," ")</f>
        <v>#N/A</v>
      </c>
      <c r="K2213" s="1" t="e">
        <f>IF(B2213=0,VLOOKUP(A2213,Feuil2!$A$2:$M$1241,10,FALSE)," ")</f>
        <v>#N/A</v>
      </c>
      <c r="L2213" s="1"/>
      <c r="M2213" s="1"/>
      <c r="N2213" s="1"/>
      <c r="O2213" s="8"/>
    </row>
    <row r="2214" spans="1:15" x14ac:dyDescent="0.3">
      <c r="A2214" s="1"/>
      <c r="B2214" s="1"/>
      <c r="C2214" s="1" t="e">
        <f>IF(B2214=0,VLOOKUP(A2214,Feuil2!$A$2:$M$1241,2,FALSE)," ")</f>
        <v>#N/A</v>
      </c>
      <c r="D2214" s="1" t="e">
        <f>IF(B2214=0,VLOOKUP(A2214,Feuil2!$A$2:$M$1241,3,FALSE)," ")</f>
        <v>#N/A</v>
      </c>
      <c r="E2214" s="5" t="e">
        <f>IF(B2214=0,VLOOKUP(A2214,Feuil2!$A$2:$M$1241,6,FALSE)," ")</f>
        <v>#N/A</v>
      </c>
      <c r="F2214" s="1" t="e">
        <f>IF(B2214=0,VLOOKUP(A2214,Feuil2!$A$2:$M$1241,12,FALSE)," ")</f>
        <v>#N/A</v>
      </c>
      <c r="G2214" s="1" t="e">
        <f>IF(B2214=0,VLOOKUP(A2214,Feuil2!$A$2:$M$1241,11,FALSE)," ")</f>
        <v>#N/A</v>
      </c>
      <c r="H2214" s="1" t="s">
        <v>16</v>
      </c>
      <c r="I2214" s="6" t="e">
        <f>IF(B2214=0,VLOOKUP(A2214,Feuil2!$A$2:$M$1241,7,FALSE)," ")</f>
        <v>#N/A</v>
      </c>
      <c r="J2214" s="1" t="e">
        <f>IF(B2214=0,VLOOKUP(A2214,Feuil2!$A$2:$M$1241,9,FALSE)," ")</f>
        <v>#N/A</v>
      </c>
      <c r="K2214" s="1" t="e">
        <f>IF(B2214=0,VLOOKUP(A2214,Feuil2!$A$2:$M$1241,10,FALSE)," ")</f>
        <v>#N/A</v>
      </c>
      <c r="L2214" s="1"/>
      <c r="M2214" s="1"/>
      <c r="N2214" s="1"/>
      <c r="O2214" s="8"/>
    </row>
    <row r="2215" spans="1:15" x14ac:dyDescent="0.3">
      <c r="A2215" s="1"/>
      <c r="B2215" s="1"/>
      <c r="C2215" s="1" t="e">
        <f>IF(B2215=0,VLOOKUP(A2215,Feuil2!$A$2:$M$1241,2,FALSE)," ")</f>
        <v>#N/A</v>
      </c>
      <c r="D2215" s="1" t="e">
        <f>IF(B2215=0,VLOOKUP(A2215,Feuil2!$A$2:$M$1241,3,FALSE)," ")</f>
        <v>#N/A</v>
      </c>
      <c r="E2215" s="5" t="e">
        <f>IF(B2215=0,VLOOKUP(A2215,Feuil2!$A$2:$M$1241,6,FALSE)," ")</f>
        <v>#N/A</v>
      </c>
      <c r="F2215" s="1" t="e">
        <f>IF(B2215=0,VLOOKUP(A2215,Feuil2!$A$2:$M$1241,12,FALSE)," ")</f>
        <v>#N/A</v>
      </c>
      <c r="G2215" s="1" t="e">
        <f>IF(B2215=0,VLOOKUP(A2215,Feuil2!$A$2:$M$1241,11,FALSE)," ")</f>
        <v>#N/A</v>
      </c>
      <c r="H2215" s="1" t="s">
        <v>16</v>
      </c>
      <c r="I2215" s="6" t="e">
        <f>IF(B2215=0,VLOOKUP(A2215,Feuil2!$A$2:$M$1241,7,FALSE)," ")</f>
        <v>#N/A</v>
      </c>
      <c r="J2215" s="1" t="e">
        <f>IF(B2215=0,VLOOKUP(A2215,Feuil2!$A$2:$M$1241,9,FALSE)," ")</f>
        <v>#N/A</v>
      </c>
      <c r="K2215" s="1" t="e">
        <f>IF(B2215=0,VLOOKUP(A2215,Feuil2!$A$2:$M$1241,10,FALSE)," ")</f>
        <v>#N/A</v>
      </c>
      <c r="L2215" s="1"/>
      <c r="M2215" s="1"/>
      <c r="N2215" s="1"/>
      <c r="O2215" s="8"/>
    </row>
    <row r="2216" spans="1:15" x14ac:dyDescent="0.3">
      <c r="A2216" s="1"/>
      <c r="B2216" s="1"/>
      <c r="C2216" s="1" t="e">
        <f>IF(B2216=0,VLOOKUP(A2216,Feuil2!$A$2:$M$1241,2,FALSE)," ")</f>
        <v>#N/A</v>
      </c>
      <c r="D2216" s="1" t="e">
        <f>IF(B2216=0,VLOOKUP(A2216,Feuil2!$A$2:$M$1241,3,FALSE)," ")</f>
        <v>#N/A</v>
      </c>
      <c r="E2216" s="5" t="e">
        <f>IF(B2216=0,VLOOKUP(A2216,Feuil2!$A$2:$M$1241,6,FALSE)," ")</f>
        <v>#N/A</v>
      </c>
      <c r="F2216" s="1" t="e">
        <f>IF(B2216=0,VLOOKUP(A2216,Feuil2!$A$2:$M$1241,12,FALSE)," ")</f>
        <v>#N/A</v>
      </c>
      <c r="G2216" s="1" t="e">
        <f>IF(B2216=0,VLOOKUP(A2216,Feuil2!$A$2:$M$1241,11,FALSE)," ")</f>
        <v>#N/A</v>
      </c>
      <c r="H2216" s="1" t="s">
        <v>16</v>
      </c>
      <c r="I2216" s="6" t="e">
        <f>IF(B2216=0,VLOOKUP(A2216,Feuil2!$A$2:$M$1241,7,FALSE)," ")</f>
        <v>#N/A</v>
      </c>
      <c r="J2216" s="1" t="e">
        <f>IF(B2216=0,VLOOKUP(A2216,Feuil2!$A$2:$M$1241,9,FALSE)," ")</f>
        <v>#N/A</v>
      </c>
      <c r="K2216" s="1" t="e">
        <f>IF(B2216=0,VLOOKUP(A2216,Feuil2!$A$2:$M$1241,10,FALSE)," ")</f>
        <v>#N/A</v>
      </c>
      <c r="L2216" s="1"/>
      <c r="M2216" s="1"/>
      <c r="N2216" s="1"/>
      <c r="O2216" s="8"/>
    </row>
    <row r="2217" spans="1:15" x14ac:dyDescent="0.3">
      <c r="A2217" s="1"/>
      <c r="B2217" s="1"/>
      <c r="C2217" s="1" t="e">
        <f>IF(B2217=0,VLOOKUP(A2217,Feuil2!$A$2:$M$1241,2,FALSE)," ")</f>
        <v>#N/A</v>
      </c>
      <c r="D2217" s="1" t="e">
        <f>IF(B2217=0,VLOOKUP(A2217,Feuil2!$A$2:$M$1241,3,FALSE)," ")</f>
        <v>#N/A</v>
      </c>
      <c r="E2217" s="5" t="e">
        <f>IF(B2217=0,VLOOKUP(A2217,Feuil2!$A$2:$M$1241,6,FALSE)," ")</f>
        <v>#N/A</v>
      </c>
      <c r="F2217" s="1" t="e">
        <f>IF(B2217=0,VLOOKUP(A2217,Feuil2!$A$2:$M$1241,12,FALSE)," ")</f>
        <v>#N/A</v>
      </c>
      <c r="G2217" s="1" t="e">
        <f>IF(B2217=0,VLOOKUP(A2217,Feuil2!$A$2:$M$1241,11,FALSE)," ")</f>
        <v>#N/A</v>
      </c>
      <c r="H2217" s="1" t="s">
        <v>16</v>
      </c>
      <c r="I2217" s="6" t="e">
        <f>IF(B2217=0,VLOOKUP(A2217,Feuil2!$A$2:$M$1241,7,FALSE)," ")</f>
        <v>#N/A</v>
      </c>
      <c r="J2217" s="1" t="e">
        <f>IF(B2217=0,VLOOKUP(A2217,Feuil2!$A$2:$M$1241,9,FALSE)," ")</f>
        <v>#N/A</v>
      </c>
      <c r="K2217" s="1" t="e">
        <f>IF(B2217=0,VLOOKUP(A2217,Feuil2!$A$2:$M$1241,10,FALSE)," ")</f>
        <v>#N/A</v>
      </c>
      <c r="L2217" s="1"/>
      <c r="M2217" s="1"/>
      <c r="N2217" s="1"/>
      <c r="O2217" s="8"/>
    </row>
    <row r="2218" spans="1:15" x14ac:dyDescent="0.3">
      <c r="A2218" s="1"/>
      <c r="B2218" s="1"/>
      <c r="C2218" s="1" t="e">
        <f>IF(B2218=0,VLOOKUP(A2218,Feuil2!$A$2:$M$1241,2,FALSE)," ")</f>
        <v>#N/A</v>
      </c>
      <c r="D2218" s="1" t="e">
        <f>IF(B2218=0,VLOOKUP(A2218,Feuil2!$A$2:$M$1241,3,FALSE)," ")</f>
        <v>#N/A</v>
      </c>
      <c r="E2218" s="5" t="e">
        <f>IF(B2218=0,VLOOKUP(A2218,Feuil2!$A$2:$M$1241,6,FALSE)," ")</f>
        <v>#N/A</v>
      </c>
      <c r="F2218" s="1" t="e">
        <f>IF(B2218=0,VLOOKUP(A2218,Feuil2!$A$2:$M$1241,12,FALSE)," ")</f>
        <v>#N/A</v>
      </c>
      <c r="G2218" s="1" t="e">
        <f>IF(B2218=0,VLOOKUP(A2218,Feuil2!$A$2:$M$1241,11,FALSE)," ")</f>
        <v>#N/A</v>
      </c>
      <c r="H2218" s="1" t="s">
        <v>16</v>
      </c>
      <c r="I2218" s="6" t="e">
        <f>IF(B2218=0,VLOOKUP(A2218,Feuil2!$A$2:$M$1241,7,FALSE)," ")</f>
        <v>#N/A</v>
      </c>
      <c r="J2218" s="1" t="e">
        <f>IF(B2218=0,VLOOKUP(A2218,Feuil2!$A$2:$M$1241,9,FALSE)," ")</f>
        <v>#N/A</v>
      </c>
      <c r="K2218" s="1" t="e">
        <f>IF(B2218=0,VLOOKUP(A2218,Feuil2!$A$2:$M$1241,10,FALSE)," ")</f>
        <v>#N/A</v>
      </c>
      <c r="L2218" s="1"/>
      <c r="M2218" s="1"/>
      <c r="N2218" s="1"/>
      <c r="O2218" s="8"/>
    </row>
    <row r="2219" spans="1:15" x14ac:dyDescent="0.3">
      <c r="A2219" s="1"/>
      <c r="B2219" s="1"/>
      <c r="C2219" s="1" t="e">
        <f>IF(B2219=0,VLOOKUP(A2219,Feuil2!$A$2:$M$1241,2,FALSE)," ")</f>
        <v>#N/A</v>
      </c>
      <c r="D2219" s="1" t="e">
        <f>IF(B2219=0,VLOOKUP(A2219,Feuil2!$A$2:$M$1241,3,FALSE)," ")</f>
        <v>#N/A</v>
      </c>
      <c r="E2219" s="5" t="e">
        <f>IF(B2219=0,VLOOKUP(A2219,Feuil2!$A$2:$M$1241,6,FALSE)," ")</f>
        <v>#N/A</v>
      </c>
      <c r="F2219" s="1" t="e">
        <f>IF(B2219=0,VLOOKUP(A2219,Feuil2!$A$2:$M$1241,12,FALSE)," ")</f>
        <v>#N/A</v>
      </c>
      <c r="G2219" s="1" t="e">
        <f>IF(B2219=0,VLOOKUP(A2219,Feuil2!$A$2:$M$1241,11,FALSE)," ")</f>
        <v>#N/A</v>
      </c>
      <c r="H2219" s="1" t="s">
        <v>16</v>
      </c>
      <c r="I2219" s="6" t="e">
        <f>IF(B2219=0,VLOOKUP(A2219,Feuil2!$A$2:$M$1241,7,FALSE)," ")</f>
        <v>#N/A</v>
      </c>
      <c r="J2219" s="1" t="e">
        <f>IF(B2219=0,VLOOKUP(A2219,Feuil2!$A$2:$M$1241,9,FALSE)," ")</f>
        <v>#N/A</v>
      </c>
      <c r="K2219" s="1" t="e">
        <f>IF(B2219=0,VLOOKUP(A2219,Feuil2!$A$2:$M$1241,10,FALSE)," ")</f>
        <v>#N/A</v>
      </c>
      <c r="L2219" s="1"/>
      <c r="M2219" s="1"/>
      <c r="N2219" s="1"/>
      <c r="O2219" s="8"/>
    </row>
    <row r="2220" spans="1:15" x14ac:dyDescent="0.3">
      <c r="A2220" s="1"/>
      <c r="B2220" s="1"/>
      <c r="C2220" s="1" t="e">
        <f>IF(B2220=0,VLOOKUP(A2220,Feuil2!$A$2:$M$1241,2,FALSE)," ")</f>
        <v>#N/A</v>
      </c>
      <c r="D2220" s="1" t="e">
        <f>IF(B2220=0,VLOOKUP(A2220,Feuil2!$A$2:$M$1241,3,FALSE)," ")</f>
        <v>#N/A</v>
      </c>
      <c r="E2220" s="5" t="e">
        <f>IF(B2220=0,VLOOKUP(A2220,Feuil2!$A$2:$M$1241,6,FALSE)," ")</f>
        <v>#N/A</v>
      </c>
      <c r="F2220" s="1" t="e">
        <f>IF(B2220=0,VLOOKUP(A2220,Feuil2!$A$2:$M$1241,12,FALSE)," ")</f>
        <v>#N/A</v>
      </c>
      <c r="G2220" s="1" t="e">
        <f>IF(B2220=0,VLOOKUP(A2220,Feuil2!$A$2:$M$1241,11,FALSE)," ")</f>
        <v>#N/A</v>
      </c>
      <c r="H2220" s="1" t="s">
        <v>16</v>
      </c>
      <c r="I2220" s="6" t="e">
        <f>IF(B2220=0,VLOOKUP(A2220,Feuil2!$A$2:$M$1241,7,FALSE)," ")</f>
        <v>#N/A</v>
      </c>
      <c r="J2220" s="1" t="e">
        <f>IF(B2220=0,VLOOKUP(A2220,Feuil2!$A$2:$M$1241,9,FALSE)," ")</f>
        <v>#N/A</v>
      </c>
      <c r="K2220" s="1" t="e">
        <f>IF(B2220=0,VLOOKUP(A2220,Feuil2!$A$2:$M$1241,10,FALSE)," ")</f>
        <v>#N/A</v>
      </c>
      <c r="L2220" s="1"/>
      <c r="M2220" s="1"/>
      <c r="N2220" s="1"/>
      <c r="O2220" s="8"/>
    </row>
    <row r="2221" spans="1:15" x14ac:dyDescent="0.3">
      <c r="A2221" s="1"/>
      <c r="B2221" s="1"/>
      <c r="C2221" s="1" t="e">
        <f>IF(B2221=0,VLOOKUP(A2221,Feuil2!$A$2:$M$1241,2,FALSE)," ")</f>
        <v>#N/A</v>
      </c>
      <c r="D2221" s="1" t="e">
        <f>IF(B2221=0,VLOOKUP(A2221,Feuil2!$A$2:$M$1241,3,FALSE)," ")</f>
        <v>#N/A</v>
      </c>
      <c r="E2221" s="5" t="e">
        <f>IF(B2221=0,VLOOKUP(A2221,Feuil2!$A$2:$M$1241,6,FALSE)," ")</f>
        <v>#N/A</v>
      </c>
      <c r="F2221" s="1" t="e">
        <f>IF(B2221=0,VLOOKUP(A2221,Feuil2!$A$2:$M$1241,12,FALSE)," ")</f>
        <v>#N/A</v>
      </c>
      <c r="G2221" s="1" t="e">
        <f>IF(B2221=0,VLOOKUP(A2221,Feuil2!$A$2:$M$1241,11,FALSE)," ")</f>
        <v>#N/A</v>
      </c>
      <c r="H2221" s="1" t="s">
        <v>16</v>
      </c>
      <c r="I2221" s="6" t="e">
        <f>IF(B2221=0,VLOOKUP(A2221,Feuil2!$A$2:$M$1241,7,FALSE)," ")</f>
        <v>#N/A</v>
      </c>
      <c r="J2221" s="1" t="e">
        <f>IF(B2221=0,VLOOKUP(A2221,Feuil2!$A$2:$M$1241,9,FALSE)," ")</f>
        <v>#N/A</v>
      </c>
      <c r="K2221" s="1" t="e">
        <f>IF(B2221=0,VLOOKUP(A2221,Feuil2!$A$2:$M$1241,10,FALSE)," ")</f>
        <v>#N/A</v>
      </c>
      <c r="L2221" s="1"/>
      <c r="M2221" s="1"/>
      <c r="N2221" s="1"/>
      <c r="O2221" s="8"/>
    </row>
    <row r="2222" spans="1:15" x14ac:dyDescent="0.3">
      <c r="A2222" s="1"/>
      <c r="B2222" s="1"/>
      <c r="C2222" s="1" t="e">
        <f>IF(B2222=0,VLOOKUP(A2222,Feuil2!$A$2:$M$1241,2,FALSE)," ")</f>
        <v>#N/A</v>
      </c>
      <c r="D2222" s="1" t="e">
        <f>IF(B2222=0,VLOOKUP(A2222,Feuil2!$A$2:$M$1241,3,FALSE)," ")</f>
        <v>#N/A</v>
      </c>
      <c r="E2222" s="5" t="e">
        <f>IF(B2222=0,VLOOKUP(A2222,Feuil2!$A$2:$M$1241,6,FALSE)," ")</f>
        <v>#N/A</v>
      </c>
      <c r="F2222" s="1" t="e">
        <f>IF(B2222=0,VLOOKUP(A2222,Feuil2!$A$2:$M$1241,12,FALSE)," ")</f>
        <v>#N/A</v>
      </c>
      <c r="G2222" s="1" t="e">
        <f>IF(B2222=0,VLOOKUP(A2222,Feuil2!$A$2:$M$1241,11,FALSE)," ")</f>
        <v>#N/A</v>
      </c>
      <c r="H2222" s="1" t="s">
        <v>16</v>
      </c>
      <c r="I2222" s="6" t="e">
        <f>IF(B2222=0,VLOOKUP(A2222,Feuil2!$A$2:$M$1241,7,FALSE)," ")</f>
        <v>#N/A</v>
      </c>
      <c r="J2222" s="1" t="e">
        <f>IF(B2222=0,VLOOKUP(A2222,Feuil2!$A$2:$M$1241,9,FALSE)," ")</f>
        <v>#N/A</v>
      </c>
      <c r="K2222" s="1" t="e">
        <f>IF(B2222=0,VLOOKUP(A2222,Feuil2!$A$2:$M$1241,10,FALSE)," ")</f>
        <v>#N/A</v>
      </c>
      <c r="L2222" s="1"/>
      <c r="M2222" s="1"/>
      <c r="N2222" s="1"/>
      <c r="O2222" s="8"/>
    </row>
    <row r="2223" spans="1:15" x14ac:dyDescent="0.3">
      <c r="A2223" s="1"/>
      <c r="B2223" s="1"/>
      <c r="C2223" s="1" t="e">
        <f>IF(B2223=0,VLOOKUP(A2223,Feuil2!$A$2:$M$1241,2,FALSE)," ")</f>
        <v>#N/A</v>
      </c>
      <c r="D2223" s="1" t="e">
        <f>IF(B2223=0,VLOOKUP(A2223,Feuil2!$A$2:$M$1241,3,FALSE)," ")</f>
        <v>#N/A</v>
      </c>
      <c r="E2223" s="5" t="e">
        <f>IF(B2223=0,VLOOKUP(A2223,Feuil2!$A$2:$M$1241,6,FALSE)," ")</f>
        <v>#N/A</v>
      </c>
      <c r="F2223" s="1" t="e">
        <f>IF(B2223=0,VLOOKUP(A2223,Feuil2!$A$2:$M$1241,12,FALSE)," ")</f>
        <v>#N/A</v>
      </c>
      <c r="G2223" s="1" t="e">
        <f>IF(B2223=0,VLOOKUP(A2223,Feuil2!$A$2:$M$1241,11,FALSE)," ")</f>
        <v>#N/A</v>
      </c>
      <c r="H2223" s="1" t="s">
        <v>16</v>
      </c>
      <c r="I2223" s="6" t="e">
        <f>IF(B2223=0,VLOOKUP(A2223,Feuil2!$A$2:$M$1241,7,FALSE)," ")</f>
        <v>#N/A</v>
      </c>
      <c r="J2223" s="1" t="e">
        <f>IF(B2223=0,VLOOKUP(A2223,Feuil2!$A$2:$M$1241,9,FALSE)," ")</f>
        <v>#N/A</v>
      </c>
      <c r="K2223" s="1" t="e">
        <f>IF(B2223=0,VLOOKUP(A2223,Feuil2!$A$2:$M$1241,10,FALSE)," ")</f>
        <v>#N/A</v>
      </c>
      <c r="L2223" s="1"/>
      <c r="M2223" s="1"/>
      <c r="N2223" s="1"/>
      <c r="O2223" s="8"/>
    </row>
    <row r="2224" spans="1:15" x14ac:dyDescent="0.3">
      <c r="A2224" s="1"/>
      <c r="B2224" s="1"/>
      <c r="C2224" s="1" t="e">
        <f>IF(B2224=0,VLOOKUP(A2224,Feuil2!$A$2:$M$1241,2,FALSE)," ")</f>
        <v>#N/A</v>
      </c>
      <c r="D2224" s="1" t="e">
        <f>IF(B2224=0,VLOOKUP(A2224,Feuil2!$A$2:$M$1241,3,FALSE)," ")</f>
        <v>#N/A</v>
      </c>
      <c r="E2224" s="5" t="e">
        <f>IF(B2224=0,VLOOKUP(A2224,Feuil2!$A$2:$M$1241,6,FALSE)," ")</f>
        <v>#N/A</v>
      </c>
      <c r="F2224" s="1" t="e">
        <f>IF(B2224=0,VLOOKUP(A2224,Feuil2!$A$2:$M$1241,12,FALSE)," ")</f>
        <v>#N/A</v>
      </c>
      <c r="G2224" s="1" t="e">
        <f>IF(B2224=0,VLOOKUP(A2224,Feuil2!$A$2:$M$1241,11,FALSE)," ")</f>
        <v>#N/A</v>
      </c>
      <c r="H2224" s="1" t="s">
        <v>16</v>
      </c>
      <c r="I2224" s="6" t="e">
        <f>IF(B2224=0,VLOOKUP(A2224,Feuil2!$A$2:$M$1241,7,FALSE)," ")</f>
        <v>#N/A</v>
      </c>
      <c r="J2224" s="1" t="e">
        <f>IF(B2224=0,VLOOKUP(A2224,Feuil2!$A$2:$M$1241,9,FALSE)," ")</f>
        <v>#N/A</v>
      </c>
      <c r="K2224" s="1" t="e">
        <f>IF(B2224=0,VLOOKUP(A2224,Feuil2!$A$2:$M$1241,10,FALSE)," ")</f>
        <v>#N/A</v>
      </c>
      <c r="L2224" s="1"/>
      <c r="M2224" s="1"/>
      <c r="N2224" s="1"/>
      <c r="O2224" s="8"/>
    </row>
    <row r="2225" spans="1:15" x14ac:dyDescent="0.3">
      <c r="A2225" s="1"/>
      <c r="B2225" s="1"/>
      <c r="C2225" s="1" t="e">
        <f>IF(B2225=0,VLOOKUP(A2225,Feuil2!$A$2:$M$1241,2,FALSE)," ")</f>
        <v>#N/A</v>
      </c>
      <c r="D2225" s="1" t="e">
        <f>IF(B2225=0,VLOOKUP(A2225,Feuil2!$A$2:$M$1241,3,FALSE)," ")</f>
        <v>#N/A</v>
      </c>
      <c r="E2225" s="5" t="e">
        <f>IF(B2225=0,VLOOKUP(A2225,Feuil2!$A$2:$M$1241,6,FALSE)," ")</f>
        <v>#N/A</v>
      </c>
      <c r="F2225" s="1" t="e">
        <f>IF(B2225=0,VLOOKUP(A2225,Feuil2!$A$2:$M$1241,12,FALSE)," ")</f>
        <v>#N/A</v>
      </c>
      <c r="G2225" s="1" t="e">
        <f>IF(B2225=0,VLOOKUP(A2225,Feuil2!$A$2:$M$1241,11,FALSE)," ")</f>
        <v>#N/A</v>
      </c>
      <c r="H2225" s="1" t="s">
        <v>16</v>
      </c>
      <c r="I2225" s="6" t="e">
        <f>IF(B2225=0,VLOOKUP(A2225,Feuil2!$A$2:$M$1241,7,FALSE)," ")</f>
        <v>#N/A</v>
      </c>
      <c r="J2225" s="1" t="e">
        <f>IF(B2225=0,VLOOKUP(A2225,Feuil2!$A$2:$M$1241,9,FALSE)," ")</f>
        <v>#N/A</v>
      </c>
      <c r="K2225" s="1" t="e">
        <f>IF(B2225=0,VLOOKUP(A2225,Feuil2!$A$2:$M$1241,10,FALSE)," ")</f>
        <v>#N/A</v>
      </c>
      <c r="L2225" s="1"/>
      <c r="M2225" s="1"/>
      <c r="N2225" s="1"/>
      <c r="O2225" s="8"/>
    </row>
    <row r="2226" spans="1:15" x14ac:dyDescent="0.3">
      <c r="A2226" s="1"/>
      <c r="B2226" s="1"/>
      <c r="C2226" s="1" t="e">
        <f>IF(B2226=0,VLOOKUP(A2226,Feuil2!$A$2:$M$1241,2,FALSE)," ")</f>
        <v>#N/A</v>
      </c>
      <c r="D2226" s="1" t="e">
        <f>IF(B2226=0,VLOOKUP(A2226,Feuil2!$A$2:$M$1241,3,FALSE)," ")</f>
        <v>#N/A</v>
      </c>
      <c r="E2226" s="5" t="e">
        <f>IF(B2226=0,VLOOKUP(A2226,Feuil2!$A$2:$M$1241,6,FALSE)," ")</f>
        <v>#N/A</v>
      </c>
      <c r="F2226" s="1" t="e">
        <f>IF(B2226=0,VLOOKUP(A2226,Feuil2!$A$2:$M$1241,12,FALSE)," ")</f>
        <v>#N/A</v>
      </c>
      <c r="G2226" s="1" t="e">
        <f>IF(B2226=0,VLOOKUP(A2226,Feuil2!$A$2:$M$1241,11,FALSE)," ")</f>
        <v>#N/A</v>
      </c>
      <c r="H2226" s="1" t="s">
        <v>16</v>
      </c>
      <c r="I2226" s="6" t="e">
        <f>IF(B2226=0,VLOOKUP(A2226,Feuil2!$A$2:$M$1241,7,FALSE)," ")</f>
        <v>#N/A</v>
      </c>
      <c r="J2226" s="1" t="e">
        <f>IF(B2226=0,VLOOKUP(A2226,Feuil2!$A$2:$M$1241,9,FALSE)," ")</f>
        <v>#N/A</v>
      </c>
      <c r="K2226" s="1" t="e">
        <f>IF(B2226=0,VLOOKUP(A2226,Feuil2!$A$2:$M$1241,10,FALSE)," ")</f>
        <v>#N/A</v>
      </c>
      <c r="L2226" s="1"/>
      <c r="M2226" s="1"/>
      <c r="N2226" s="1"/>
      <c r="O2226" s="8"/>
    </row>
    <row r="2227" spans="1:15" x14ac:dyDescent="0.3">
      <c r="A2227" s="1"/>
      <c r="B2227" s="1"/>
      <c r="C2227" s="1" t="e">
        <f>IF(B2227=0,VLOOKUP(A2227,Feuil2!$A$2:$M$1241,2,FALSE)," ")</f>
        <v>#N/A</v>
      </c>
      <c r="D2227" s="1" t="e">
        <f>IF(B2227=0,VLOOKUP(A2227,Feuil2!$A$2:$M$1241,3,FALSE)," ")</f>
        <v>#N/A</v>
      </c>
      <c r="E2227" s="5" t="e">
        <f>IF(B2227=0,VLOOKUP(A2227,Feuil2!$A$2:$M$1241,6,FALSE)," ")</f>
        <v>#N/A</v>
      </c>
      <c r="F2227" s="1" t="e">
        <f>IF(B2227=0,VLOOKUP(A2227,Feuil2!$A$2:$M$1241,12,FALSE)," ")</f>
        <v>#N/A</v>
      </c>
      <c r="G2227" s="1" t="e">
        <f>IF(B2227=0,VLOOKUP(A2227,Feuil2!$A$2:$M$1241,11,FALSE)," ")</f>
        <v>#N/A</v>
      </c>
      <c r="H2227" s="1" t="s">
        <v>16</v>
      </c>
      <c r="I2227" s="6" t="e">
        <f>IF(B2227=0,VLOOKUP(A2227,Feuil2!$A$2:$M$1241,7,FALSE)," ")</f>
        <v>#N/A</v>
      </c>
      <c r="J2227" s="1" t="e">
        <f>IF(B2227=0,VLOOKUP(A2227,Feuil2!$A$2:$M$1241,9,FALSE)," ")</f>
        <v>#N/A</v>
      </c>
      <c r="K2227" s="1" t="e">
        <f>IF(B2227=0,VLOOKUP(A2227,Feuil2!$A$2:$M$1241,10,FALSE)," ")</f>
        <v>#N/A</v>
      </c>
      <c r="L2227" s="1"/>
      <c r="M2227" s="1"/>
      <c r="N2227" s="1"/>
      <c r="O2227" s="8"/>
    </row>
    <row r="2228" spans="1:15" x14ac:dyDescent="0.3">
      <c r="A2228" s="1"/>
      <c r="B2228" s="1"/>
      <c r="C2228" s="1" t="e">
        <f>IF(B2228=0,VLOOKUP(A2228,Feuil2!$A$2:$M$1241,2,FALSE)," ")</f>
        <v>#N/A</v>
      </c>
      <c r="D2228" s="1" t="e">
        <f>IF(B2228=0,VLOOKUP(A2228,Feuil2!$A$2:$M$1241,3,FALSE)," ")</f>
        <v>#N/A</v>
      </c>
      <c r="E2228" s="5" t="e">
        <f>IF(B2228=0,VLOOKUP(A2228,Feuil2!$A$2:$M$1241,6,FALSE)," ")</f>
        <v>#N/A</v>
      </c>
      <c r="F2228" s="1" t="e">
        <f>IF(B2228=0,VLOOKUP(A2228,Feuil2!$A$2:$M$1241,12,FALSE)," ")</f>
        <v>#N/A</v>
      </c>
      <c r="G2228" s="1" t="e">
        <f>IF(B2228=0,VLOOKUP(A2228,Feuil2!$A$2:$M$1241,11,FALSE)," ")</f>
        <v>#N/A</v>
      </c>
      <c r="H2228" s="1" t="s">
        <v>16</v>
      </c>
      <c r="I2228" s="6" t="e">
        <f>IF(B2228=0,VLOOKUP(A2228,Feuil2!$A$2:$M$1241,7,FALSE)," ")</f>
        <v>#N/A</v>
      </c>
      <c r="J2228" s="1" t="e">
        <f>IF(B2228=0,VLOOKUP(A2228,Feuil2!$A$2:$M$1241,9,FALSE)," ")</f>
        <v>#N/A</v>
      </c>
      <c r="K2228" s="1" t="e">
        <f>IF(B2228=0,VLOOKUP(A2228,Feuil2!$A$2:$M$1241,10,FALSE)," ")</f>
        <v>#N/A</v>
      </c>
      <c r="L2228" s="1"/>
      <c r="M2228" s="1"/>
      <c r="N2228" s="1"/>
      <c r="O2228" s="8"/>
    </row>
    <row r="2229" spans="1:15" x14ac:dyDescent="0.3">
      <c r="A2229" s="1"/>
      <c r="B2229" s="1"/>
      <c r="C2229" s="1" t="e">
        <f>IF(B2229=0,VLOOKUP(A2229,Feuil2!$A$2:$M$1241,2,FALSE)," ")</f>
        <v>#N/A</v>
      </c>
      <c r="D2229" s="1" t="e">
        <f>IF(B2229=0,VLOOKUP(A2229,Feuil2!$A$2:$M$1241,3,FALSE)," ")</f>
        <v>#N/A</v>
      </c>
      <c r="E2229" s="5" t="e">
        <f>IF(B2229=0,VLOOKUP(A2229,Feuil2!$A$2:$M$1241,6,FALSE)," ")</f>
        <v>#N/A</v>
      </c>
      <c r="F2229" s="1" t="e">
        <f>IF(B2229=0,VLOOKUP(A2229,Feuil2!$A$2:$M$1241,12,FALSE)," ")</f>
        <v>#N/A</v>
      </c>
      <c r="G2229" s="1" t="e">
        <f>IF(B2229=0,VLOOKUP(A2229,Feuil2!$A$2:$M$1241,11,FALSE)," ")</f>
        <v>#N/A</v>
      </c>
      <c r="H2229" s="1" t="s">
        <v>16</v>
      </c>
      <c r="I2229" s="6" t="e">
        <f>IF(B2229=0,VLOOKUP(A2229,Feuil2!$A$2:$M$1241,7,FALSE)," ")</f>
        <v>#N/A</v>
      </c>
      <c r="J2229" s="1" t="e">
        <f>IF(B2229=0,VLOOKUP(A2229,Feuil2!$A$2:$M$1241,9,FALSE)," ")</f>
        <v>#N/A</v>
      </c>
      <c r="K2229" s="1" t="e">
        <f>IF(B2229=0,VLOOKUP(A2229,Feuil2!$A$2:$M$1241,10,FALSE)," ")</f>
        <v>#N/A</v>
      </c>
      <c r="L2229" s="1"/>
      <c r="M2229" s="1"/>
      <c r="N2229" s="1"/>
      <c r="O2229" s="8"/>
    </row>
    <row r="2230" spans="1:15" x14ac:dyDescent="0.3">
      <c r="A2230" s="1"/>
      <c r="B2230" s="1"/>
      <c r="C2230" s="1" t="e">
        <f>IF(B2230=0,VLOOKUP(A2230,Feuil2!$A$2:$M$1241,2,FALSE)," ")</f>
        <v>#N/A</v>
      </c>
      <c r="D2230" s="1" t="e">
        <f>IF(B2230=0,VLOOKUP(A2230,Feuil2!$A$2:$M$1241,3,FALSE)," ")</f>
        <v>#N/A</v>
      </c>
      <c r="E2230" s="5" t="e">
        <f>IF(B2230=0,VLOOKUP(A2230,Feuil2!$A$2:$M$1241,6,FALSE)," ")</f>
        <v>#N/A</v>
      </c>
      <c r="F2230" s="1" t="e">
        <f>IF(B2230=0,VLOOKUP(A2230,Feuil2!$A$2:$M$1241,12,FALSE)," ")</f>
        <v>#N/A</v>
      </c>
      <c r="G2230" s="1" t="e">
        <f>IF(B2230=0,VLOOKUP(A2230,Feuil2!$A$2:$M$1241,11,FALSE)," ")</f>
        <v>#N/A</v>
      </c>
      <c r="H2230" s="1" t="s">
        <v>16</v>
      </c>
      <c r="I2230" s="6" t="e">
        <f>IF(B2230=0,VLOOKUP(A2230,Feuil2!$A$2:$M$1241,7,FALSE)," ")</f>
        <v>#N/A</v>
      </c>
      <c r="J2230" s="1" t="e">
        <f>IF(B2230=0,VLOOKUP(A2230,Feuil2!$A$2:$M$1241,9,FALSE)," ")</f>
        <v>#N/A</v>
      </c>
      <c r="K2230" s="1" t="e">
        <f>IF(B2230=0,VLOOKUP(A2230,Feuil2!$A$2:$M$1241,10,FALSE)," ")</f>
        <v>#N/A</v>
      </c>
      <c r="L2230" s="1"/>
      <c r="M2230" s="1"/>
      <c r="N2230" s="1"/>
      <c r="O2230" s="8"/>
    </row>
    <row r="2231" spans="1:15" x14ac:dyDescent="0.3">
      <c r="A2231" s="1"/>
      <c r="B2231" s="1"/>
      <c r="C2231" s="1" t="e">
        <f>IF(B2231=0,VLOOKUP(A2231,Feuil2!$A$2:$M$1241,2,FALSE)," ")</f>
        <v>#N/A</v>
      </c>
      <c r="D2231" s="1" t="e">
        <f>IF(B2231=0,VLOOKUP(A2231,Feuil2!$A$2:$M$1241,3,FALSE)," ")</f>
        <v>#N/A</v>
      </c>
      <c r="E2231" s="5" t="e">
        <f>IF(B2231=0,VLOOKUP(A2231,Feuil2!$A$2:$M$1241,6,FALSE)," ")</f>
        <v>#N/A</v>
      </c>
      <c r="F2231" s="1" t="e">
        <f>IF(B2231=0,VLOOKUP(A2231,Feuil2!$A$2:$M$1241,12,FALSE)," ")</f>
        <v>#N/A</v>
      </c>
      <c r="G2231" s="1" t="e">
        <f>IF(B2231=0,VLOOKUP(A2231,Feuil2!$A$2:$M$1241,11,FALSE)," ")</f>
        <v>#N/A</v>
      </c>
      <c r="H2231" s="1" t="s">
        <v>16</v>
      </c>
      <c r="I2231" s="6" t="e">
        <f>IF(B2231=0,VLOOKUP(A2231,Feuil2!$A$2:$M$1241,7,FALSE)," ")</f>
        <v>#N/A</v>
      </c>
      <c r="J2231" s="1" t="e">
        <f>IF(B2231=0,VLOOKUP(A2231,Feuil2!$A$2:$M$1241,9,FALSE)," ")</f>
        <v>#N/A</v>
      </c>
      <c r="K2231" s="1" t="e">
        <f>IF(B2231=0,VLOOKUP(A2231,Feuil2!$A$2:$M$1241,10,FALSE)," ")</f>
        <v>#N/A</v>
      </c>
      <c r="L2231" s="1"/>
      <c r="M2231" s="1"/>
      <c r="N2231" s="1"/>
      <c r="O2231" s="8"/>
    </row>
    <row r="2232" spans="1:15" x14ac:dyDescent="0.3">
      <c r="A2232" s="1"/>
      <c r="B2232" s="1"/>
      <c r="C2232" s="1" t="e">
        <f>IF(B2232=0,VLOOKUP(A2232,Feuil2!$A$2:$M$1241,2,FALSE)," ")</f>
        <v>#N/A</v>
      </c>
      <c r="D2232" s="1" t="e">
        <f>IF(B2232=0,VLOOKUP(A2232,Feuil2!$A$2:$M$1241,3,FALSE)," ")</f>
        <v>#N/A</v>
      </c>
      <c r="E2232" s="5" t="e">
        <f>IF(B2232=0,VLOOKUP(A2232,Feuil2!$A$2:$M$1241,6,FALSE)," ")</f>
        <v>#N/A</v>
      </c>
      <c r="F2232" s="1" t="e">
        <f>IF(B2232=0,VLOOKUP(A2232,Feuil2!$A$2:$M$1241,12,FALSE)," ")</f>
        <v>#N/A</v>
      </c>
      <c r="G2232" s="1" t="e">
        <f>IF(B2232=0,VLOOKUP(A2232,Feuil2!$A$2:$M$1241,11,FALSE)," ")</f>
        <v>#N/A</v>
      </c>
      <c r="H2232" s="1" t="s">
        <v>16</v>
      </c>
      <c r="I2232" s="6" t="e">
        <f>IF(B2232=0,VLOOKUP(A2232,Feuil2!$A$2:$M$1241,7,FALSE)," ")</f>
        <v>#N/A</v>
      </c>
      <c r="J2232" s="1" t="e">
        <f>IF(B2232=0,VLOOKUP(A2232,Feuil2!$A$2:$M$1241,9,FALSE)," ")</f>
        <v>#N/A</v>
      </c>
      <c r="K2232" s="1" t="e">
        <f>IF(B2232=0,VLOOKUP(A2232,Feuil2!$A$2:$M$1241,10,FALSE)," ")</f>
        <v>#N/A</v>
      </c>
      <c r="L2232" s="1"/>
      <c r="M2232" s="1"/>
      <c r="N2232" s="1"/>
      <c r="O2232" s="8"/>
    </row>
    <row r="2233" spans="1:15" x14ac:dyDescent="0.3">
      <c r="A2233" s="1"/>
      <c r="B2233" s="1"/>
      <c r="C2233" s="1" t="e">
        <f>IF(B2233=0,VLOOKUP(A2233,Feuil2!$A$2:$M$1241,2,FALSE)," ")</f>
        <v>#N/A</v>
      </c>
      <c r="D2233" s="1" t="e">
        <f>IF(B2233=0,VLOOKUP(A2233,Feuil2!$A$2:$M$1241,3,FALSE)," ")</f>
        <v>#N/A</v>
      </c>
      <c r="E2233" s="5" t="e">
        <f>IF(B2233=0,VLOOKUP(A2233,Feuil2!$A$2:$M$1241,6,FALSE)," ")</f>
        <v>#N/A</v>
      </c>
      <c r="F2233" s="1" t="e">
        <f>IF(B2233=0,VLOOKUP(A2233,Feuil2!$A$2:$M$1241,12,FALSE)," ")</f>
        <v>#N/A</v>
      </c>
      <c r="G2233" s="1" t="e">
        <f>IF(B2233=0,VLOOKUP(A2233,Feuil2!$A$2:$M$1241,11,FALSE)," ")</f>
        <v>#N/A</v>
      </c>
      <c r="H2233" s="1" t="s">
        <v>16</v>
      </c>
      <c r="I2233" s="6" t="e">
        <f>IF(B2233=0,VLOOKUP(A2233,Feuil2!$A$2:$M$1241,7,FALSE)," ")</f>
        <v>#N/A</v>
      </c>
      <c r="J2233" s="1" t="e">
        <f>IF(B2233=0,VLOOKUP(A2233,Feuil2!$A$2:$M$1241,9,FALSE)," ")</f>
        <v>#N/A</v>
      </c>
      <c r="K2233" s="1" t="e">
        <f>IF(B2233=0,VLOOKUP(A2233,Feuil2!$A$2:$M$1241,10,FALSE)," ")</f>
        <v>#N/A</v>
      </c>
      <c r="L2233" s="1"/>
      <c r="M2233" s="1"/>
      <c r="N2233" s="1"/>
      <c r="O2233" s="8"/>
    </row>
    <row r="2234" spans="1:15" x14ac:dyDescent="0.3">
      <c r="A2234" s="1"/>
      <c r="B2234" s="1"/>
      <c r="C2234" s="1" t="e">
        <f>IF(B2234=0,VLOOKUP(A2234,Feuil2!$A$2:$M$1241,2,FALSE)," ")</f>
        <v>#N/A</v>
      </c>
      <c r="D2234" s="1" t="e">
        <f>IF(B2234=0,VLOOKUP(A2234,Feuil2!$A$2:$M$1241,3,FALSE)," ")</f>
        <v>#N/A</v>
      </c>
      <c r="E2234" s="5" t="e">
        <f>IF(B2234=0,VLOOKUP(A2234,Feuil2!$A$2:$M$1241,6,FALSE)," ")</f>
        <v>#N/A</v>
      </c>
      <c r="F2234" s="1" t="e">
        <f>IF(B2234=0,VLOOKUP(A2234,Feuil2!$A$2:$M$1241,12,FALSE)," ")</f>
        <v>#N/A</v>
      </c>
      <c r="G2234" s="1" t="e">
        <f>IF(B2234=0,VLOOKUP(A2234,Feuil2!$A$2:$M$1241,11,FALSE)," ")</f>
        <v>#N/A</v>
      </c>
      <c r="H2234" s="1" t="s">
        <v>16</v>
      </c>
      <c r="I2234" s="6" t="e">
        <f>IF(B2234=0,VLOOKUP(A2234,Feuil2!$A$2:$M$1241,7,FALSE)," ")</f>
        <v>#N/A</v>
      </c>
      <c r="J2234" s="1" t="e">
        <f>IF(B2234=0,VLOOKUP(A2234,Feuil2!$A$2:$M$1241,9,FALSE)," ")</f>
        <v>#N/A</v>
      </c>
      <c r="K2234" s="1" t="e">
        <f>IF(B2234=0,VLOOKUP(A2234,Feuil2!$A$2:$M$1241,10,FALSE)," ")</f>
        <v>#N/A</v>
      </c>
      <c r="L2234" s="1"/>
      <c r="M2234" s="1"/>
      <c r="N2234" s="1"/>
      <c r="O2234" s="8"/>
    </row>
    <row r="2235" spans="1:15" x14ac:dyDescent="0.3">
      <c r="A2235" s="1"/>
      <c r="B2235" s="1"/>
      <c r="C2235" s="1" t="e">
        <f>IF(B2235=0,VLOOKUP(A2235,Feuil2!$A$2:$M$1241,2,FALSE)," ")</f>
        <v>#N/A</v>
      </c>
      <c r="D2235" s="1" t="e">
        <f>IF(B2235=0,VLOOKUP(A2235,Feuil2!$A$2:$M$1241,3,FALSE)," ")</f>
        <v>#N/A</v>
      </c>
      <c r="E2235" s="5" t="e">
        <f>IF(B2235=0,VLOOKUP(A2235,Feuil2!$A$2:$M$1241,6,FALSE)," ")</f>
        <v>#N/A</v>
      </c>
      <c r="F2235" s="1" t="e">
        <f>IF(B2235=0,VLOOKUP(A2235,Feuil2!$A$2:$M$1241,12,FALSE)," ")</f>
        <v>#N/A</v>
      </c>
      <c r="G2235" s="1" t="e">
        <f>IF(B2235=0,VLOOKUP(A2235,Feuil2!$A$2:$M$1241,11,FALSE)," ")</f>
        <v>#N/A</v>
      </c>
      <c r="H2235" s="1" t="s">
        <v>16</v>
      </c>
      <c r="I2235" s="6" t="e">
        <f>IF(B2235=0,VLOOKUP(A2235,Feuil2!$A$2:$M$1241,7,FALSE)," ")</f>
        <v>#N/A</v>
      </c>
      <c r="J2235" s="1" t="e">
        <f>IF(B2235=0,VLOOKUP(A2235,Feuil2!$A$2:$M$1241,9,FALSE)," ")</f>
        <v>#N/A</v>
      </c>
      <c r="K2235" s="1" t="e">
        <f>IF(B2235=0,VLOOKUP(A2235,Feuil2!$A$2:$M$1241,10,FALSE)," ")</f>
        <v>#N/A</v>
      </c>
      <c r="L2235" s="1"/>
      <c r="M2235" s="1"/>
      <c r="N2235" s="1"/>
      <c r="O2235" s="8"/>
    </row>
    <row r="2236" spans="1:15" x14ac:dyDescent="0.3">
      <c r="A2236" s="1"/>
      <c r="B2236" s="1"/>
      <c r="C2236" s="1" t="e">
        <f>IF(B2236=0,VLOOKUP(A2236,Feuil2!$A$2:$M$1241,2,FALSE)," ")</f>
        <v>#N/A</v>
      </c>
      <c r="D2236" s="1" t="e">
        <f>IF(B2236=0,VLOOKUP(A2236,Feuil2!$A$2:$M$1241,3,FALSE)," ")</f>
        <v>#N/A</v>
      </c>
      <c r="E2236" s="5" t="e">
        <f>IF(B2236=0,VLOOKUP(A2236,Feuil2!$A$2:$M$1241,6,FALSE)," ")</f>
        <v>#N/A</v>
      </c>
      <c r="F2236" s="1" t="e">
        <f>IF(B2236=0,VLOOKUP(A2236,Feuil2!$A$2:$M$1241,12,FALSE)," ")</f>
        <v>#N/A</v>
      </c>
      <c r="G2236" s="1" t="e">
        <f>IF(B2236=0,VLOOKUP(A2236,Feuil2!$A$2:$M$1241,11,FALSE)," ")</f>
        <v>#N/A</v>
      </c>
      <c r="H2236" s="1" t="s">
        <v>16</v>
      </c>
      <c r="I2236" s="6" t="e">
        <f>IF(B2236=0,VLOOKUP(A2236,Feuil2!$A$2:$M$1241,7,FALSE)," ")</f>
        <v>#N/A</v>
      </c>
      <c r="J2236" s="1" t="e">
        <f>IF(B2236=0,VLOOKUP(A2236,Feuil2!$A$2:$M$1241,9,FALSE)," ")</f>
        <v>#N/A</v>
      </c>
      <c r="K2236" s="1" t="e">
        <f>IF(B2236=0,VLOOKUP(A2236,Feuil2!$A$2:$M$1241,10,FALSE)," ")</f>
        <v>#N/A</v>
      </c>
      <c r="L2236" s="1"/>
      <c r="M2236" s="1"/>
      <c r="N2236" s="1"/>
      <c r="O2236" s="8"/>
    </row>
    <row r="2237" spans="1:15" x14ac:dyDescent="0.3">
      <c r="A2237" s="1"/>
      <c r="B2237" s="1"/>
      <c r="C2237" s="1" t="e">
        <f>IF(B2237=0,VLOOKUP(A2237,Feuil2!$A$2:$M$1241,2,FALSE)," ")</f>
        <v>#N/A</v>
      </c>
      <c r="D2237" s="1" t="e">
        <f>IF(B2237=0,VLOOKUP(A2237,Feuil2!$A$2:$M$1241,3,FALSE)," ")</f>
        <v>#N/A</v>
      </c>
      <c r="E2237" s="5" t="e">
        <f>IF(B2237=0,VLOOKUP(A2237,Feuil2!$A$2:$M$1241,6,FALSE)," ")</f>
        <v>#N/A</v>
      </c>
      <c r="F2237" s="1" t="e">
        <f>IF(B2237=0,VLOOKUP(A2237,Feuil2!$A$2:$M$1241,12,FALSE)," ")</f>
        <v>#N/A</v>
      </c>
      <c r="G2237" s="1" t="e">
        <f>IF(B2237=0,VLOOKUP(A2237,Feuil2!$A$2:$M$1241,11,FALSE)," ")</f>
        <v>#N/A</v>
      </c>
      <c r="H2237" s="1" t="s">
        <v>16</v>
      </c>
      <c r="I2237" s="6" t="e">
        <f>IF(B2237=0,VLOOKUP(A2237,Feuil2!$A$2:$M$1241,7,FALSE)," ")</f>
        <v>#N/A</v>
      </c>
      <c r="J2237" s="1" t="e">
        <f>IF(B2237=0,VLOOKUP(A2237,Feuil2!$A$2:$M$1241,9,FALSE)," ")</f>
        <v>#N/A</v>
      </c>
      <c r="K2237" s="1" t="e">
        <f>IF(B2237=0,VLOOKUP(A2237,Feuil2!$A$2:$M$1241,10,FALSE)," ")</f>
        <v>#N/A</v>
      </c>
      <c r="L2237" s="1"/>
      <c r="M2237" s="1"/>
      <c r="N2237" s="1"/>
      <c r="O2237" s="8"/>
    </row>
    <row r="2238" spans="1:15" x14ac:dyDescent="0.3">
      <c r="A2238" s="1"/>
      <c r="B2238" s="1"/>
      <c r="C2238" s="1" t="e">
        <f>IF(B2238=0,VLOOKUP(A2238,Feuil2!$A$2:$M$1241,2,FALSE)," ")</f>
        <v>#N/A</v>
      </c>
      <c r="D2238" s="1" t="e">
        <f>IF(B2238=0,VLOOKUP(A2238,Feuil2!$A$2:$M$1241,3,FALSE)," ")</f>
        <v>#N/A</v>
      </c>
      <c r="E2238" s="5" t="e">
        <f>IF(B2238=0,VLOOKUP(A2238,Feuil2!$A$2:$M$1241,6,FALSE)," ")</f>
        <v>#N/A</v>
      </c>
      <c r="F2238" s="1" t="e">
        <f>IF(B2238=0,VLOOKUP(A2238,Feuil2!$A$2:$M$1241,12,FALSE)," ")</f>
        <v>#N/A</v>
      </c>
      <c r="G2238" s="1" t="e">
        <f>IF(B2238=0,VLOOKUP(A2238,Feuil2!$A$2:$M$1241,11,FALSE)," ")</f>
        <v>#N/A</v>
      </c>
      <c r="H2238" s="1" t="s">
        <v>16</v>
      </c>
      <c r="I2238" s="6" t="e">
        <f>IF(B2238=0,VLOOKUP(A2238,Feuil2!$A$2:$M$1241,7,FALSE)," ")</f>
        <v>#N/A</v>
      </c>
      <c r="J2238" s="1" t="e">
        <f>IF(B2238=0,VLOOKUP(A2238,Feuil2!$A$2:$M$1241,9,FALSE)," ")</f>
        <v>#N/A</v>
      </c>
      <c r="K2238" s="1" t="e">
        <f>IF(B2238=0,VLOOKUP(A2238,Feuil2!$A$2:$M$1241,10,FALSE)," ")</f>
        <v>#N/A</v>
      </c>
      <c r="L2238" s="1"/>
      <c r="M2238" s="1"/>
      <c r="N2238" s="1"/>
      <c r="O2238" s="8"/>
    </row>
    <row r="2239" spans="1:15" x14ac:dyDescent="0.3">
      <c r="A2239" s="1"/>
      <c r="B2239" s="1"/>
      <c r="C2239" s="1" t="e">
        <f>IF(B2239=0,VLOOKUP(A2239,Feuil2!$A$2:$M$1241,2,FALSE)," ")</f>
        <v>#N/A</v>
      </c>
      <c r="D2239" s="1" t="e">
        <f>IF(B2239=0,VLOOKUP(A2239,Feuil2!$A$2:$M$1241,3,FALSE)," ")</f>
        <v>#N/A</v>
      </c>
      <c r="E2239" s="5" t="e">
        <f>IF(B2239=0,VLOOKUP(A2239,Feuil2!$A$2:$M$1241,6,FALSE)," ")</f>
        <v>#N/A</v>
      </c>
      <c r="F2239" s="1" t="e">
        <f>IF(B2239=0,VLOOKUP(A2239,Feuil2!$A$2:$M$1241,12,FALSE)," ")</f>
        <v>#N/A</v>
      </c>
      <c r="G2239" s="1" t="e">
        <f>IF(B2239=0,VLOOKUP(A2239,Feuil2!$A$2:$M$1241,11,FALSE)," ")</f>
        <v>#N/A</v>
      </c>
      <c r="H2239" s="1" t="s">
        <v>16</v>
      </c>
      <c r="I2239" s="6" t="e">
        <f>IF(B2239=0,VLOOKUP(A2239,Feuil2!$A$2:$M$1241,7,FALSE)," ")</f>
        <v>#N/A</v>
      </c>
      <c r="J2239" s="1" t="e">
        <f>IF(B2239=0,VLOOKUP(A2239,Feuil2!$A$2:$M$1241,9,FALSE)," ")</f>
        <v>#N/A</v>
      </c>
      <c r="K2239" s="1" t="e">
        <f>IF(B2239=0,VLOOKUP(A2239,Feuil2!$A$2:$M$1241,10,FALSE)," ")</f>
        <v>#N/A</v>
      </c>
      <c r="L2239" s="1"/>
      <c r="M2239" s="1"/>
      <c r="N2239" s="1"/>
      <c r="O2239" s="8"/>
    </row>
    <row r="2240" spans="1:15" x14ac:dyDescent="0.3">
      <c r="A2240" s="1"/>
      <c r="B2240" s="1"/>
      <c r="C2240" s="1" t="e">
        <f>IF(B2240=0,VLOOKUP(A2240,Feuil2!$A$2:$M$1241,2,FALSE)," ")</f>
        <v>#N/A</v>
      </c>
      <c r="D2240" s="1" t="e">
        <f>IF(B2240=0,VLOOKUP(A2240,Feuil2!$A$2:$M$1241,3,FALSE)," ")</f>
        <v>#N/A</v>
      </c>
      <c r="E2240" s="5" t="e">
        <f>IF(B2240=0,VLOOKUP(A2240,Feuil2!$A$2:$M$1241,6,FALSE)," ")</f>
        <v>#N/A</v>
      </c>
      <c r="F2240" s="1" t="e">
        <f>IF(B2240=0,VLOOKUP(A2240,Feuil2!$A$2:$M$1241,12,FALSE)," ")</f>
        <v>#N/A</v>
      </c>
      <c r="G2240" s="1" t="e">
        <f>IF(B2240=0,VLOOKUP(A2240,Feuil2!$A$2:$M$1241,11,FALSE)," ")</f>
        <v>#N/A</v>
      </c>
      <c r="H2240" s="1" t="s">
        <v>16</v>
      </c>
      <c r="I2240" s="6" t="e">
        <f>IF(B2240=0,VLOOKUP(A2240,Feuil2!$A$2:$M$1241,7,FALSE)," ")</f>
        <v>#N/A</v>
      </c>
      <c r="J2240" s="1" t="e">
        <f>IF(B2240=0,VLOOKUP(A2240,Feuil2!$A$2:$M$1241,9,FALSE)," ")</f>
        <v>#N/A</v>
      </c>
      <c r="K2240" s="1" t="e">
        <f>IF(B2240=0,VLOOKUP(A2240,Feuil2!$A$2:$M$1241,10,FALSE)," ")</f>
        <v>#N/A</v>
      </c>
      <c r="L2240" s="1"/>
      <c r="M2240" s="1"/>
      <c r="N2240" s="1"/>
      <c r="O2240" s="8"/>
    </row>
    <row r="2241" spans="1:15" x14ac:dyDescent="0.3">
      <c r="A2241" s="1"/>
      <c r="B2241" s="1"/>
      <c r="C2241" s="1" t="e">
        <f>IF(B2241=0,VLOOKUP(A2241,Feuil2!$A$2:$M$1241,2,FALSE)," ")</f>
        <v>#N/A</v>
      </c>
      <c r="D2241" s="1" t="e">
        <f>IF(B2241=0,VLOOKUP(A2241,Feuil2!$A$2:$M$1241,3,FALSE)," ")</f>
        <v>#N/A</v>
      </c>
      <c r="E2241" s="5" t="e">
        <f>IF(B2241=0,VLOOKUP(A2241,Feuil2!$A$2:$M$1241,6,FALSE)," ")</f>
        <v>#N/A</v>
      </c>
      <c r="F2241" s="1" t="e">
        <f>IF(B2241=0,VLOOKUP(A2241,Feuil2!$A$2:$M$1241,12,FALSE)," ")</f>
        <v>#N/A</v>
      </c>
      <c r="G2241" s="1" t="e">
        <f>IF(B2241=0,VLOOKUP(A2241,Feuil2!$A$2:$M$1241,11,FALSE)," ")</f>
        <v>#N/A</v>
      </c>
      <c r="H2241" s="1" t="s">
        <v>16</v>
      </c>
      <c r="I2241" s="6" t="e">
        <f>IF(B2241=0,VLOOKUP(A2241,Feuil2!$A$2:$M$1241,7,FALSE)," ")</f>
        <v>#N/A</v>
      </c>
      <c r="J2241" s="1" t="e">
        <f>IF(B2241=0,VLOOKUP(A2241,Feuil2!$A$2:$M$1241,9,FALSE)," ")</f>
        <v>#N/A</v>
      </c>
      <c r="K2241" s="1" t="e">
        <f>IF(B2241=0,VLOOKUP(A2241,Feuil2!$A$2:$M$1241,10,FALSE)," ")</f>
        <v>#N/A</v>
      </c>
      <c r="L2241" s="1"/>
      <c r="M2241" s="1"/>
      <c r="N2241" s="1"/>
      <c r="O2241" s="8"/>
    </row>
    <row r="2242" spans="1:15" x14ac:dyDescent="0.3">
      <c r="A2242" s="1"/>
      <c r="B2242" s="1"/>
      <c r="C2242" s="1" t="e">
        <f>IF(B2242=0,VLOOKUP(A2242,Feuil2!$A$2:$M$1241,2,FALSE)," ")</f>
        <v>#N/A</v>
      </c>
      <c r="D2242" s="1" t="e">
        <f>IF(B2242=0,VLOOKUP(A2242,Feuil2!$A$2:$M$1241,3,FALSE)," ")</f>
        <v>#N/A</v>
      </c>
      <c r="E2242" s="5" t="e">
        <f>IF(B2242=0,VLOOKUP(A2242,Feuil2!$A$2:$M$1241,6,FALSE)," ")</f>
        <v>#N/A</v>
      </c>
      <c r="F2242" s="1" t="e">
        <f>IF(B2242=0,VLOOKUP(A2242,Feuil2!$A$2:$M$1241,12,FALSE)," ")</f>
        <v>#N/A</v>
      </c>
      <c r="G2242" s="1" t="e">
        <f>IF(B2242=0,VLOOKUP(A2242,Feuil2!$A$2:$M$1241,11,FALSE)," ")</f>
        <v>#N/A</v>
      </c>
      <c r="H2242" s="1" t="s">
        <v>16</v>
      </c>
      <c r="I2242" s="6" t="e">
        <f>IF(B2242=0,VLOOKUP(A2242,Feuil2!$A$2:$M$1241,7,FALSE)," ")</f>
        <v>#N/A</v>
      </c>
      <c r="J2242" s="1" t="e">
        <f>IF(B2242=0,VLOOKUP(A2242,Feuil2!$A$2:$M$1241,9,FALSE)," ")</f>
        <v>#N/A</v>
      </c>
      <c r="K2242" s="1" t="e">
        <f>IF(B2242=0,VLOOKUP(A2242,Feuil2!$A$2:$M$1241,10,FALSE)," ")</f>
        <v>#N/A</v>
      </c>
      <c r="L2242" s="1"/>
      <c r="M2242" s="1"/>
      <c r="N2242" s="1"/>
      <c r="O2242" s="8"/>
    </row>
    <row r="2243" spans="1:15" x14ac:dyDescent="0.3">
      <c r="A2243" s="1"/>
      <c r="B2243" s="1"/>
      <c r="C2243" s="1" t="e">
        <f>IF(B2243=0,VLOOKUP(A2243,Feuil2!$A$2:$M$1241,2,FALSE)," ")</f>
        <v>#N/A</v>
      </c>
      <c r="D2243" s="1" t="e">
        <f>IF(B2243=0,VLOOKUP(A2243,Feuil2!$A$2:$M$1241,3,FALSE)," ")</f>
        <v>#N/A</v>
      </c>
      <c r="E2243" s="5" t="e">
        <f>IF(B2243=0,VLOOKUP(A2243,Feuil2!$A$2:$M$1241,6,FALSE)," ")</f>
        <v>#N/A</v>
      </c>
      <c r="F2243" s="1" t="e">
        <f>IF(B2243=0,VLOOKUP(A2243,Feuil2!$A$2:$M$1241,12,FALSE)," ")</f>
        <v>#N/A</v>
      </c>
      <c r="G2243" s="1" t="e">
        <f>IF(B2243=0,VLOOKUP(A2243,Feuil2!$A$2:$M$1241,11,FALSE)," ")</f>
        <v>#N/A</v>
      </c>
      <c r="H2243" s="1" t="s">
        <v>16</v>
      </c>
      <c r="I2243" s="6" t="e">
        <f>IF(B2243=0,VLOOKUP(A2243,Feuil2!$A$2:$M$1241,7,FALSE)," ")</f>
        <v>#N/A</v>
      </c>
      <c r="J2243" s="1" t="e">
        <f>IF(B2243=0,VLOOKUP(A2243,Feuil2!$A$2:$M$1241,9,FALSE)," ")</f>
        <v>#N/A</v>
      </c>
      <c r="K2243" s="1" t="e">
        <f>IF(B2243=0,VLOOKUP(A2243,Feuil2!$A$2:$M$1241,10,FALSE)," ")</f>
        <v>#N/A</v>
      </c>
      <c r="L2243" s="1"/>
      <c r="M2243" s="1"/>
      <c r="N2243" s="1"/>
      <c r="O2243" s="8"/>
    </row>
    <row r="2244" spans="1:15" x14ac:dyDescent="0.3">
      <c r="A2244" s="1"/>
      <c r="B2244" s="1"/>
      <c r="C2244" s="1" t="e">
        <f>IF(B2244=0,VLOOKUP(A2244,Feuil2!$A$2:$M$1241,2,FALSE)," ")</f>
        <v>#N/A</v>
      </c>
      <c r="D2244" s="1" t="e">
        <f>IF(B2244=0,VLOOKUP(A2244,Feuil2!$A$2:$M$1241,3,FALSE)," ")</f>
        <v>#N/A</v>
      </c>
      <c r="E2244" s="5" t="e">
        <f>IF(B2244=0,VLOOKUP(A2244,Feuil2!$A$2:$M$1241,6,FALSE)," ")</f>
        <v>#N/A</v>
      </c>
      <c r="F2244" s="1" t="e">
        <f>IF(B2244=0,VLOOKUP(A2244,Feuil2!$A$2:$M$1241,12,FALSE)," ")</f>
        <v>#N/A</v>
      </c>
      <c r="G2244" s="1" t="e">
        <f>IF(B2244=0,VLOOKUP(A2244,Feuil2!$A$2:$M$1241,11,FALSE)," ")</f>
        <v>#N/A</v>
      </c>
      <c r="H2244" s="1" t="s">
        <v>16</v>
      </c>
      <c r="I2244" s="6" t="e">
        <f>IF(B2244=0,VLOOKUP(A2244,Feuil2!$A$2:$M$1241,7,FALSE)," ")</f>
        <v>#N/A</v>
      </c>
      <c r="J2244" s="1" t="e">
        <f>IF(B2244=0,VLOOKUP(A2244,Feuil2!$A$2:$M$1241,9,FALSE)," ")</f>
        <v>#N/A</v>
      </c>
      <c r="K2244" s="1" t="e">
        <f>IF(B2244=0,VLOOKUP(A2244,Feuil2!$A$2:$M$1241,10,FALSE)," ")</f>
        <v>#N/A</v>
      </c>
      <c r="L2244" s="1"/>
      <c r="M2244" s="1"/>
      <c r="N2244" s="1"/>
      <c r="O2244" s="8"/>
    </row>
    <row r="2245" spans="1:15" x14ac:dyDescent="0.3">
      <c r="A2245" s="1"/>
      <c r="B2245" s="1"/>
      <c r="C2245" s="1" t="e">
        <f>IF(B2245=0,VLOOKUP(A2245,Feuil2!$A$2:$M$1241,2,FALSE)," ")</f>
        <v>#N/A</v>
      </c>
      <c r="D2245" s="1" t="e">
        <f>IF(B2245=0,VLOOKUP(A2245,Feuil2!$A$2:$M$1241,3,FALSE)," ")</f>
        <v>#N/A</v>
      </c>
      <c r="E2245" s="5" t="e">
        <f>IF(B2245=0,VLOOKUP(A2245,Feuil2!$A$2:$M$1241,6,FALSE)," ")</f>
        <v>#N/A</v>
      </c>
      <c r="F2245" s="1" t="e">
        <f>IF(B2245=0,VLOOKUP(A2245,Feuil2!$A$2:$M$1241,12,FALSE)," ")</f>
        <v>#N/A</v>
      </c>
      <c r="G2245" s="1" t="e">
        <f>IF(B2245=0,VLOOKUP(A2245,Feuil2!$A$2:$M$1241,11,FALSE)," ")</f>
        <v>#N/A</v>
      </c>
      <c r="H2245" s="1" t="s">
        <v>16</v>
      </c>
      <c r="I2245" s="6" t="e">
        <f>IF(B2245=0,VLOOKUP(A2245,Feuil2!$A$2:$M$1241,7,FALSE)," ")</f>
        <v>#N/A</v>
      </c>
      <c r="J2245" s="1" t="e">
        <f>IF(B2245=0,VLOOKUP(A2245,Feuil2!$A$2:$M$1241,9,FALSE)," ")</f>
        <v>#N/A</v>
      </c>
      <c r="K2245" s="1" t="e">
        <f>IF(B2245=0,VLOOKUP(A2245,Feuil2!$A$2:$M$1241,10,FALSE)," ")</f>
        <v>#N/A</v>
      </c>
      <c r="L2245" s="1"/>
      <c r="M2245" s="1"/>
      <c r="N2245" s="1"/>
      <c r="O2245" s="8"/>
    </row>
    <row r="2246" spans="1:15" x14ac:dyDescent="0.3">
      <c r="A2246" s="1"/>
      <c r="B2246" s="1"/>
      <c r="C2246" s="1" t="e">
        <f>IF(B2246=0,VLOOKUP(A2246,Feuil2!$A$2:$M$1241,2,FALSE)," ")</f>
        <v>#N/A</v>
      </c>
      <c r="D2246" s="1" t="e">
        <f>IF(B2246=0,VLOOKUP(A2246,Feuil2!$A$2:$M$1241,3,FALSE)," ")</f>
        <v>#N/A</v>
      </c>
      <c r="E2246" s="5" t="e">
        <f>IF(B2246=0,VLOOKUP(A2246,Feuil2!$A$2:$M$1241,6,FALSE)," ")</f>
        <v>#N/A</v>
      </c>
      <c r="F2246" s="1" t="e">
        <f>IF(B2246=0,VLOOKUP(A2246,Feuil2!$A$2:$M$1241,12,FALSE)," ")</f>
        <v>#N/A</v>
      </c>
      <c r="G2246" s="1" t="e">
        <f>IF(B2246=0,VLOOKUP(A2246,Feuil2!$A$2:$M$1241,11,FALSE)," ")</f>
        <v>#N/A</v>
      </c>
      <c r="H2246" s="1" t="s">
        <v>16</v>
      </c>
      <c r="I2246" s="6" t="e">
        <f>IF(B2246=0,VLOOKUP(A2246,Feuil2!$A$2:$M$1241,7,FALSE)," ")</f>
        <v>#N/A</v>
      </c>
      <c r="J2246" s="1" t="e">
        <f>IF(B2246=0,VLOOKUP(A2246,Feuil2!$A$2:$M$1241,9,FALSE)," ")</f>
        <v>#N/A</v>
      </c>
      <c r="K2246" s="1" t="e">
        <f>IF(B2246=0,VLOOKUP(A2246,Feuil2!$A$2:$M$1241,10,FALSE)," ")</f>
        <v>#N/A</v>
      </c>
      <c r="L2246" s="1"/>
      <c r="M2246" s="1"/>
      <c r="N2246" s="1"/>
      <c r="O2246" s="8"/>
    </row>
    <row r="2247" spans="1:15" x14ac:dyDescent="0.3">
      <c r="A2247" s="1"/>
      <c r="B2247" s="1"/>
      <c r="C2247" s="1" t="e">
        <f>IF(B2247=0,VLOOKUP(A2247,Feuil2!$A$2:$M$1241,2,FALSE)," ")</f>
        <v>#N/A</v>
      </c>
      <c r="D2247" s="1" t="e">
        <f>IF(B2247=0,VLOOKUP(A2247,Feuil2!$A$2:$M$1241,3,FALSE)," ")</f>
        <v>#N/A</v>
      </c>
      <c r="E2247" s="5" t="e">
        <f>IF(B2247=0,VLOOKUP(A2247,Feuil2!$A$2:$M$1241,6,FALSE)," ")</f>
        <v>#N/A</v>
      </c>
      <c r="F2247" s="1" t="e">
        <f>IF(B2247=0,VLOOKUP(A2247,Feuil2!$A$2:$M$1241,12,FALSE)," ")</f>
        <v>#N/A</v>
      </c>
      <c r="G2247" s="1" t="e">
        <f>IF(B2247=0,VLOOKUP(A2247,Feuil2!$A$2:$M$1241,11,FALSE)," ")</f>
        <v>#N/A</v>
      </c>
      <c r="H2247" s="1" t="s">
        <v>16</v>
      </c>
      <c r="I2247" s="6" t="e">
        <f>IF(B2247=0,VLOOKUP(A2247,Feuil2!$A$2:$M$1241,7,FALSE)," ")</f>
        <v>#N/A</v>
      </c>
      <c r="J2247" s="1" t="e">
        <f>IF(B2247=0,VLOOKUP(A2247,Feuil2!$A$2:$M$1241,9,FALSE)," ")</f>
        <v>#N/A</v>
      </c>
      <c r="K2247" s="1" t="e">
        <f>IF(B2247=0,VLOOKUP(A2247,Feuil2!$A$2:$M$1241,10,FALSE)," ")</f>
        <v>#N/A</v>
      </c>
      <c r="L2247" s="1"/>
      <c r="M2247" s="1"/>
      <c r="N2247" s="1"/>
      <c r="O2247" s="8"/>
    </row>
    <row r="2248" spans="1:15" x14ac:dyDescent="0.3">
      <c r="A2248" s="1"/>
      <c r="B2248" s="1"/>
      <c r="C2248" s="1" t="e">
        <f>IF(B2248=0,VLOOKUP(A2248,Feuil2!$A$2:$M$1241,2,FALSE)," ")</f>
        <v>#N/A</v>
      </c>
      <c r="D2248" s="1" t="e">
        <f>IF(B2248=0,VLOOKUP(A2248,Feuil2!$A$2:$M$1241,3,FALSE)," ")</f>
        <v>#N/A</v>
      </c>
      <c r="E2248" s="5" t="e">
        <f>IF(B2248=0,VLOOKUP(A2248,Feuil2!$A$2:$M$1241,6,FALSE)," ")</f>
        <v>#N/A</v>
      </c>
      <c r="F2248" s="1" t="e">
        <f>IF(B2248=0,VLOOKUP(A2248,Feuil2!$A$2:$M$1241,12,FALSE)," ")</f>
        <v>#N/A</v>
      </c>
      <c r="G2248" s="1" t="e">
        <f>IF(B2248=0,VLOOKUP(A2248,Feuil2!$A$2:$M$1241,11,FALSE)," ")</f>
        <v>#N/A</v>
      </c>
      <c r="H2248" s="1" t="s">
        <v>16</v>
      </c>
      <c r="I2248" s="6" t="e">
        <f>IF(B2248=0,VLOOKUP(A2248,Feuil2!$A$2:$M$1241,7,FALSE)," ")</f>
        <v>#N/A</v>
      </c>
      <c r="J2248" s="1" t="e">
        <f>IF(B2248=0,VLOOKUP(A2248,Feuil2!$A$2:$M$1241,9,FALSE)," ")</f>
        <v>#N/A</v>
      </c>
      <c r="K2248" s="1" t="e">
        <f>IF(B2248=0,VLOOKUP(A2248,Feuil2!$A$2:$M$1241,10,FALSE)," ")</f>
        <v>#N/A</v>
      </c>
      <c r="L2248" s="1"/>
      <c r="M2248" s="1"/>
      <c r="N2248" s="1"/>
      <c r="O2248" s="8"/>
    </row>
    <row r="2249" spans="1:15" x14ac:dyDescent="0.3">
      <c r="A2249" s="1"/>
      <c r="B2249" s="1"/>
      <c r="C2249" s="1" t="e">
        <f>IF(B2249=0,VLOOKUP(A2249,Feuil2!$A$2:$M$1241,2,FALSE)," ")</f>
        <v>#N/A</v>
      </c>
      <c r="D2249" s="1" t="e">
        <f>IF(B2249=0,VLOOKUP(A2249,Feuil2!$A$2:$M$1241,3,FALSE)," ")</f>
        <v>#N/A</v>
      </c>
      <c r="E2249" s="5" t="e">
        <f>IF(B2249=0,VLOOKUP(A2249,Feuil2!$A$2:$M$1241,6,FALSE)," ")</f>
        <v>#N/A</v>
      </c>
      <c r="F2249" s="1" t="e">
        <f>IF(B2249=0,VLOOKUP(A2249,Feuil2!$A$2:$M$1241,12,FALSE)," ")</f>
        <v>#N/A</v>
      </c>
      <c r="G2249" s="1" t="e">
        <f>IF(B2249=0,VLOOKUP(A2249,Feuil2!$A$2:$M$1241,11,FALSE)," ")</f>
        <v>#N/A</v>
      </c>
      <c r="H2249" s="1" t="s">
        <v>16</v>
      </c>
      <c r="I2249" s="6" t="e">
        <f>IF(B2249=0,VLOOKUP(A2249,Feuil2!$A$2:$M$1241,7,FALSE)," ")</f>
        <v>#N/A</v>
      </c>
      <c r="J2249" s="1" t="e">
        <f>IF(B2249=0,VLOOKUP(A2249,Feuil2!$A$2:$M$1241,9,FALSE)," ")</f>
        <v>#N/A</v>
      </c>
      <c r="K2249" s="1" t="e">
        <f>IF(B2249=0,VLOOKUP(A2249,Feuil2!$A$2:$M$1241,10,FALSE)," ")</f>
        <v>#N/A</v>
      </c>
      <c r="L2249" s="1"/>
      <c r="M2249" s="1"/>
      <c r="N2249" s="1"/>
      <c r="O2249" s="8"/>
    </row>
    <row r="2250" spans="1:15" x14ac:dyDescent="0.3">
      <c r="A2250" s="1"/>
      <c r="B2250" s="1"/>
      <c r="C2250" s="1" t="e">
        <f>IF(B2250=0,VLOOKUP(A2250,Feuil2!$A$2:$M$1241,2,FALSE)," ")</f>
        <v>#N/A</v>
      </c>
      <c r="D2250" s="1" t="e">
        <f>IF(B2250=0,VLOOKUP(A2250,Feuil2!$A$2:$M$1241,3,FALSE)," ")</f>
        <v>#N/A</v>
      </c>
      <c r="E2250" s="5" t="e">
        <f>IF(B2250=0,VLOOKUP(A2250,Feuil2!$A$2:$M$1241,6,FALSE)," ")</f>
        <v>#N/A</v>
      </c>
      <c r="F2250" s="1" t="e">
        <f>IF(B2250=0,VLOOKUP(A2250,Feuil2!$A$2:$M$1241,12,FALSE)," ")</f>
        <v>#N/A</v>
      </c>
      <c r="G2250" s="1" t="e">
        <f>IF(B2250=0,VLOOKUP(A2250,Feuil2!$A$2:$M$1241,11,FALSE)," ")</f>
        <v>#N/A</v>
      </c>
      <c r="H2250" s="1" t="s">
        <v>16</v>
      </c>
      <c r="I2250" s="6" t="e">
        <f>IF(B2250=0,VLOOKUP(A2250,Feuil2!$A$2:$M$1241,7,FALSE)," ")</f>
        <v>#N/A</v>
      </c>
      <c r="J2250" s="1" t="e">
        <f>IF(B2250=0,VLOOKUP(A2250,Feuil2!$A$2:$M$1241,9,FALSE)," ")</f>
        <v>#N/A</v>
      </c>
      <c r="K2250" s="1" t="e">
        <f>IF(B2250=0,VLOOKUP(A2250,Feuil2!$A$2:$M$1241,10,FALSE)," ")</f>
        <v>#N/A</v>
      </c>
      <c r="L2250" s="1"/>
      <c r="M2250" s="1"/>
      <c r="N2250" s="1"/>
      <c r="O2250" s="8"/>
    </row>
    <row r="2251" spans="1:15" x14ac:dyDescent="0.3">
      <c r="A2251" s="1"/>
      <c r="B2251" s="1"/>
      <c r="C2251" s="1" t="e">
        <f>IF(B2251=0,VLOOKUP(A2251,Feuil2!$A$2:$M$1241,2,FALSE)," ")</f>
        <v>#N/A</v>
      </c>
      <c r="D2251" s="1" t="e">
        <f>IF(B2251=0,VLOOKUP(A2251,Feuil2!$A$2:$M$1241,3,FALSE)," ")</f>
        <v>#N/A</v>
      </c>
      <c r="E2251" s="5" t="e">
        <f>IF(B2251=0,VLOOKUP(A2251,Feuil2!$A$2:$M$1241,6,FALSE)," ")</f>
        <v>#N/A</v>
      </c>
      <c r="F2251" s="1" t="e">
        <f>IF(B2251=0,VLOOKUP(A2251,Feuil2!$A$2:$M$1241,12,FALSE)," ")</f>
        <v>#N/A</v>
      </c>
      <c r="G2251" s="1" t="e">
        <f>IF(B2251=0,VLOOKUP(A2251,Feuil2!$A$2:$M$1241,11,FALSE)," ")</f>
        <v>#N/A</v>
      </c>
      <c r="H2251" s="1" t="s">
        <v>16</v>
      </c>
      <c r="I2251" s="6" t="e">
        <f>IF(B2251=0,VLOOKUP(A2251,Feuil2!$A$2:$M$1241,7,FALSE)," ")</f>
        <v>#N/A</v>
      </c>
      <c r="J2251" s="1" t="e">
        <f>IF(B2251=0,VLOOKUP(A2251,Feuil2!$A$2:$M$1241,9,FALSE)," ")</f>
        <v>#N/A</v>
      </c>
      <c r="K2251" s="1" t="e">
        <f>IF(B2251=0,VLOOKUP(A2251,Feuil2!$A$2:$M$1241,10,FALSE)," ")</f>
        <v>#N/A</v>
      </c>
      <c r="L2251" s="1"/>
      <c r="M2251" s="1"/>
      <c r="N2251" s="1"/>
      <c r="O2251" s="8"/>
    </row>
    <row r="2252" spans="1:15" x14ac:dyDescent="0.3">
      <c r="A2252" s="1"/>
      <c r="B2252" s="1"/>
      <c r="C2252" s="1" t="e">
        <f>IF(B2252=0,VLOOKUP(A2252,Feuil2!$A$2:$M$1241,2,FALSE)," ")</f>
        <v>#N/A</v>
      </c>
      <c r="D2252" s="1" t="e">
        <f>IF(B2252=0,VLOOKUP(A2252,Feuil2!$A$2:$M$1241,3,FALSE)," ")</f>
        <v>#N/A</v>
      </c>
      <c r="E2252" s="5" t="e">
        <f>IF(B2252=0,VLOOKUP(A2252,Feuil2!$A$2:$M$1241,6,FALSE)," ")</f>
        <v>#N/A</v>
      </c>
      <c r="F2252" s="1" t="e">
        <f>IF(B2252=0,VLOOKUP(A2252,Feuil2!$A$2:$M$1241,12,FALSE)," ")</f>
        <v>#N/A</v>
      </c>
      <c r="G2252" s="1" t="e">
        <f>IF(B2252=0,VLOOKUP(A2252,Feuil2!$A$2:$M$1241,11,FALSE)," ")</f>
        <v>#N/A</v>
      </c>
      <c r="H2252" s="1" t="s">
        <v>16</v>
      </c>
      <c r="I2252" s="6" t="e">
        <f>IF(B2252=0,VLOOKUP(A2252,Feuil2!$A$2:$M$1241,7,FALSE)," ")</f>
        <v>#N/A</v>
      </c>
      <c r="J2252" s="1" t="e">
        <f>IF(B2252=0,VLOOKUP(A2252,Feuil2!$A$2:$M$1241,9,FALSE)," ")</f>
        <v>#N/A</v>
      </c>
      <c r="K2252" s="1" t="e">
        <f>IF(B2252=0,VLOOKUP(A2252,Feuil2!$A$2:$M$1241,10,FALSE)," ")</f>
        <v>#N/A</v>
      </c>
      <c r="L2252" s="1"/>
      <c r="M2252" s="1"/>
      <c r="N2252" s="1"/>
      <c r="O2252" s="8"/>
    </row>
    <row r="2253" spans="1:15" x14ac:dyDescent="0.3">
      <c r="A2253" s="1"/>
      <c r="B2253" s="1"/>
      <c r="C2253" s="1" t="e">
        <f>IF(B2253=0,VLOOKUP(A2253,Feuil2!$A$2:$M$1241,2,FALSE)," ")</f>
        <v>#N/A</v>
      </c>
      <c r="D2253" s="1" t="e">
        <f>IF(B2253=0,VLOOKUP(A2253,Feuil2!$A$2:$M$1241,3,FALSE)," ")</f>
        <v>#N/A</v>
      </c>
      <c r="E2253" s="5" t="e">
        <f>IF(B2253=0,VLOOKUP(A2253,Feuil2!$A$2:$M$1241,6,FALSE)," ")</f>
        <v>#N/A</v>
      </c>
      <c r="F2253" s="1" t="e">
        <f>IF(B2253=0,VLOOKUP(A2253,Feuil2!$A$2:$M$1241,12,FALSE)," ")</f>
        <v>#N/A</v>
      </c>
      <c r="G2253" s="1" t="e">
        <f>IF(B2253=0,VLOOKUP(A2253,Feuil2!$A$2:$M$1241,11,FALSE)," ")</f>
        <v>#N/A</v>
      </c>
      <c r="H2253" s="1" t="s">
        <v>16</v>
      </c>
      <c r="I2253" s="6" t="e">
        <f>IF(B2253=0,VLOOKUP(A2253,Feuil2!$A$2:$M$1241,7,FALSE)," ")</f>
        <v>#N/A</v>
      </c>
      <c r="J2253" s="1" t="e">
        <f>IF(B2253=0,VLOOKUP(A2253,Feuil2!$A$2:$M$1241,9,FALSE)," ")</f>
        <v>#N/A</v>
      </c>
      <c r="K2253" s="1" t="e">
        <f>IF(B2253=0,VLOOKUP(A2253,Feuil2!$A$2:$M$1241,10,FALSE)," ")</f>
        <v>#N/A</v>
      </c>
      <c r="L2253" s="1"/>
      <c r="M2253" s="1"/>
      <c r="N2253" s="1"/>
      <c r="O2253" s="8"/>
    </row>
    <row r="2254" spans="1:15" x14ac:dyDescent="0.3">
      <c r="A2254" s="1"/>
      <c r="B2254" s="1"/>
      <c r="C2254" s="1" t="e">
        <f>IF(B2254=0,VLOOKUP(A2254,Feuil2!$A$2:$M$1241,2,FALSE)," ")</f>
        <v>#N/A</v>
      </c>
      <c r="D2254" s="1" t="e">
        <f>IF(B2254=0,VLOOKUP(A2254,Feuil2!$A$2:$M$1241,3,FALSE)," ")</f>
        <v>#N/A</v>
      </c>
      <c r="E2254" s="5" t="e">
        <f>IF(B2254=0,VLOOKUP(A2254,Feuil2!$A$2:$M$1241,6,FALSE)," ")</f>
        <v>#N/A</v>
      </c>
      <c r="F2254" s="1" t="e">
        <f>IF(B2254=0,VLOOKUP(A2254,Feuil2!$A$2:$M$1241,12,FALSE)," ")</f>
        <v>#N/A</v>
      </c>
      <c r="G2254" s="1" t="e">
        <f>IF(B2254=0,VLOOKUP(A2254,Feuil2!$A$2:$M$1241,11,FALSE)," ")</f>
        <v>#N/A</v>
      </c>
      <c r="H2254" s="1" t="s">
        <v>16</v>
      </c>
      <c r="I2254" s="6" t="e">
        <f>IF(B2254=0,VLOOKUP(A2254,Feuil2!$A$2:$M$1241,7,FALSE)," ")</f>
        <v>#N/A</v>
      </c>
      <c r="J2254" s="1" t="e">
        <f>IF(B2254=0,VLOOKUP(A2254,Feuil2!$A$2:$M$1241,9,FALSE)," ")</f>
        <v>#N/A</v>
      </c>
      <c r="K2254" s="1" t="e">
        <f>IF(B2254=0,VLOOKUP(A2254,Feuil2!$A$2:$M$1241,10,FALSE)," ")</f>
        <v>#N/A</v>
      </c>
      <c r="L2254" s="1"/>
      <c r="M2254" s="1"/>
      <c r="N2254" s="1"/>
      <c r="O2254" s="8"/>
    </row>
    <row r="2255" spans="1:15" x14ac:dyDescent="0.3">
      <c r="A2255" s="1"/>
      <c r="B2255" s="1"/>
      <c r="C2255" s="1" t="e">
        <f>IF(B2255=0,VLOOKUP(A2255,Feuil2!$A$2:$M$1241,2,FALSE)," ")</f>
        <v>#N/A</v>
      </c>
      <c r="D2255" s="1" t="e">
        <f>IF(B2255=0,VLOOKUP(A2255,Feuil2!$A$2:$M$1241,3,FALSE)," ")</f>
        <v>#N/A</v>
      </c>
      <c r="E2255" s="5" t="e">
        <f>IF(B2255=0,VLOOKUP(A2255,Feuil2!$A$2:$M$1241,6,FALSE)," ")</f>
        <v>#N/A</v>
      </c>
      <c r="F2255" s="1" t="e">
        <f>IF(B2255=0,VLOOKUP(A2255,Feuil2!$A$2:$M$1241,12,FALSE)," ")</f>
        <v>#N/A</v>
      </c>
      <c r="G2255" s="1" t="e">
        <f>IF(B2255=0,VLOOKUP(A2255,Feuil2!$A$2:$M$1241,11,FALSE)," ")</f>
        <v>#N/A</v>
      </c>
      <c r="H2255" s="1" t="s">
        <v>16</v>
      </c>
      <c r="I2255" s="6" t="e">
        <f>IF(B2255=0,VLOOKUP(A2255,Feuil2!$A$2:$M$1241,7,FALSE)," ")</f>
        <v>#N/A</v>
      </c>
      <c r="J2255" s="1" t="e">
        <f>IF(B2255=0,VLOOKUP(A2255,Feuil2!$A$2:$M$1241,9,FALSE)," ")</f>
        <v>#N/A</v>
      </c>
      <c r="K2255" s="1" t="e">
        <f>IF(B2255=0,VLOOKUP(A2255,Feuil2!$A$2:$M$1241,10,FALSE)," ")</f>
        <v>#N/A</v>
      </c>
      <c r="L2255" s="1"/>
      <c r="M2255" s="1"/>
      <c r="N2255" s="1"/>
      <c r="O2255" s="8"/>
    </row>
    <row r="2256" spans="1:15" x14ac:dyDescent="0.3">
      <c r="A2256" s="1"/>
      <c r="B2256" s="1"/>
      <c r="C2256" s="1" t="e">
        <f>IF(B2256=0,VLOOKUP(A2256,Feuil2!$A$2:$M$1241,2,FALSE)," ")</f>
        <v>#N/A</v>
      </c>
      <c r="D2256" s="1" t="e">
        <f>IF(B2256=0,VLOOKUP(A2256,Feuil2!$A$2:$M$1241,3,FALSE)," ")</f>
        <v>#N/A</v>
      </c>
      <c r="E2256" s="5" t="e">
        <f>IF(B2256=0,VLOOKUP(A2256,Feuil2!$A$2:$M$1241,6,FALSE)," ")</f>
        <v>#N/A</v>
      </c>
      <c r="F2256" s="1" t="e">
        <f>IF(B2256=0,VLOOKUP(A2256,Feuil2!$A$2:$M$1241,12,FALSE)," ")</f>
        <v>#N/A</v>
      </c>
      <c r="G2256" s="1" t="e">
        <f>IF(B2256=0,VLOOKUP(A2256,Feuil2!$A$2:$M$1241,11,FALSE)," ")</f>
        <v>#N/A</v>
      </c>
      <c r="H2256" s="1" t="s">
        <v>16</v>
      </c>
      <c r="I2256" s="6" t="e">
        <f>IF(B2256=0,VLOOKUP(A2256,Feuil2!$A$2:$M$1241,7,FALSE)," ")</f>
        <v>#N/A</v>
      </c>
      <c r="J2256" s="1" t="e">
        <f>IF(B2256=0,VLOOKUP(A2256,Feuil2!$A$2:$M$1241,9,FALSE)," ")</f>
        <v>#N/A</v>
      </c>
      <c r="K2256" s="1" t="e">
        <f>IF(B2256=0,VLOOKUP(A2256,Feuil2!$A$2:$M$1241,10,FALSE)," ")</f>
        <v>#N/A</v>
      </c>
      <c r="L2256" s="1"/>
      <c r="M2256" s="1"/>
      <c r="N2256" s="1"/>
      <c r="O2256" s="8"/>
    </row>
    <row r="2257" spans="1:15" x14ac:dyDescent="0.3">
      <c r="A2257" s="1"/>
      <c r="B2257" s="1"/>
      <c r="C2257" s="1" t="e">
        <f>IF(B2257=0,VLOOKUP(A2257,Feuil2!$A$2:$M$1241,2,FALSE)," ")</f>
        <v>#N/A</v>
      </c>
      <c r="D2257" s="1" t="e">
        <f>IF(B2257=0,VLOOKUP(A2257,Feuil2!$A$2:$M$1241,3,FALSE)," ")</f>
        <v>#N/A</v>
      </c>
      <c r="E2257" s="5" t="e">
        <f>IF(B2257=0,VLOOKUP(A2257,Feuil2!$A$2:$M$1241,6,FALSE)," ")</f>
        <v>#N/A</v>
      </c>
      <c r="F2257" s="1" t="e">
        <f>IF(B2257=0,VLOOKUP(A2257,Feuil2!$A$2:$M$1241,12,FALSE)," ")</f>
        <v>#N/A</v>
      </c>
      <c r="G2257" s="1" t="e">
        <f>IF(B2257=0,VLOOKUP(A2257,Feuil2!$A$2:$M$1241,11,FALSE)," ")</f>
        <v>#N/A</v>
      </c>
      <c r="H2257" s="1" t="s">
        <v>16</v>
      </c>
      <c r="I2257" s="6" t="e">
        <f>IF(B2257=0,VLOOKUP(A2257,Feuil2!$A$2:$M$1241,7,FALSE)," ")</f>
        <v>#N/A</v>
      </c>
      <c r="J2257" s="1" t="e">
        <f>IF(B2257=0,VLOOKUP(A2257,Feuil2!$A$2:$M$1241,9,FALSE)," ")</f>
        <v>#N/A</v>
      </c>
      <c r="K2257" s="1" t="e">
        <f>IF(B2257=0,VLOOKUP(A2257,Feuil2!$A$2:$M$1241,10,FALSE)," ")</f>
        <v>#N/A</v>
      </c>
      <c r="L2257" s="1"/>
      <c r="M2257" s="1"/>
      <c r="N2257" s="1"/>
      <c r="O2257" s="8"/>
    </row>
    <row r="2258" spans="1:15" x14ac:dyDescent="0.3">
      <c r="A2258" s="1"/>
      <c r="B2258" s="1"/>
      <c r="C2258" s="1" t="e">
        <f>IF(B2258=0,VLOOKUP(A2258,Feuil2!$A$2:$M$1241,2,FALSE)," ")</f>
        <v>#N/A</v>
      </c>
      <c r="D2258" s="1" t="e">
        <f>IF(B2258=0,VLOOKUP(A2258,Feuil2!$A$2:$M$1241,3,FALSE)," ")</f>
        <v>#N/A</v>
      </c>
      <c r="E2258" s="5" t="e">
        <f>IF(B2258=0,VLOOKUP(A2258,Feuil2!$A$2:$M$1241,6,FALSE)," ")</f>
        <v>#N/A</v>
      </c>
      <c r="F2258" s="1" t="e">
        <f>IF(B2258=0,VLOOKUP(A2258,Feuil2!$A$2:$M$1241,12,FALSE)," ")</f>
        <v>#N/A</v>
      </c>
      <c r="G2258" s="1" t="e">
        <f>IF(B2258=0,VLOOKUP(A2258,Feuil2!$A$2:$M$1241,11,FALSE)," ")</f>
        <v>#N/A</v>
      </c>
      <c r="H2258" s="1" t="s">
        <v>16</v>
      </c>
      <c r="I2258" s="6" t="e">
        <f>IF(B2258=0,VLOOKUP(A2258,Feuil2!$A$2:$M$1241,7,FALSE)," ")</f>
        <v>#N/A</v>
      </c>
      <c r="J2258" s="1" t="e">
        <f>IF(B2258=0,VLOOKUP(A2258,Feuil2!$A$2:$M$1241,9,FALSE)," ")</f>
        <v>#N/A</v>
      </c>
      <c r="K2258" s="1" t="e">
        <f>IF(B2258=0,VLOOKUP(A2258,Feuil2!$A$2:$M$1241,10,FALSE)," ")</f>
        <v>#N/A</v>
      </c>
      <c r="L2258" s="1"/>
      <c r="M2258" s="1"/>
      <c r="N2258" s="1"/>
      <c r="O2258" s="8"/>
    </row>
    <row r="2259" spans="1:15" x14ac:dyDescent="0.3">
      <c r="A2259" s="1"/>
      <c r="B2259" s="1"/>
      <c r="C2259" s="1" t="e">
        <f>IF(B2259=0,VLOOKUP(A2259,Feuil2!$A$2:$M$1241,2,FALSE)," ")</f>
        <v>#N/A</v>
      </c>
      <c r="D2259" s="1" t="e">
        <f>IF(B2259=0,VLOOKUP(A2259,Feuil2!$A$2:$M$1241,3,FALSE)," ")</f>
        <v>#N/A</v>
      </c>
      <c r="E2259" s="5" t="e">
        <f>IF(B2259=0,VLOOKUP(A2259,Feuil2!$A$2:$M$1241,6,FALSE)," ")</f>
        <v>#N/A</v>
      </c>
      <c r="F2259" s="1" t="e">
        <f>IF(B2259=0,VLOOKUP(A2259,Feuil2!$A$2:$M$1241,12,FALSE)," ")</f>
        <v>#N/A</v>
      </c>
      <c r="G2259" s="1" t="e">
        <f>IF(B2259=0,VLOOKUP(A2259,Feuil2!$A$2:$M$1241,11,FALSE)," ")</f>
        <v>#N/A</v>
      </c>
      <c r="H2259" s="1" t="s">
        <v>16</v>
      </c>
      <c r="I2259" s="6" t="e">
        <f>IF(B2259=0,VLOOKUP(A2259,Feuil2!$A$2:$M$1241,7,FALSE)," ")</f>
        <v>#N/A</v>
      </c>
      <c r="J2259" s="1" t="e">
        <f>IF(B2259=0,VLOOKUP(A2259,Feuil2!$A$2:$M$1241,9,FALSE)," ")</f>
        <v>#N/A</v>
      </c>
      <c r="K2259" s="1" t="e">
        <f>IF(B2259=0,VLOOKUP(A2259,Feuil2!$A$2:$M$1241,10,FALSE)," ")</f>
        <v>#N/A</v>
      </c>
      <c r="L2259" s="1"/>
      <c r="M2259" s="1"/>
      <c r="N2259" s="1"/>
      <c r="O2259" s="8"/>
    </row>
    <row r="2260" spans="1:15" x14ac:dyDescent="0.3">
      <c r="A2260" s="1"/>
      <c r="B2260" s="1"/>
      <c r="C2260" s="1" t="e">
        <f>IF(B2260=0,VLOOKUP(A2260,Feuil2!$A$2:$M$1241,2,FALSE)," ")</f>
        <v>#N/A</v>
      </c>
      <c r="D2260" s="1" t="e">
        <f>IF(B2260=0,VLOOKUP(A2260,Feuil2!$A$2:$M$1241,3,FALSE)," ")</f>
        <v>#N/A</v>
      </c>
      <c r="E2260" s="5" t="e">
        <f>IF(B2260=0,VLOOKUP(A2260,Feuil2!$A$2:$M$1241,6,FALSE)," ")</f>
        <v>#N/A</v>
      </c>
      <c r="F2260" s="1" t="e">
        <f>IF(B2260=0,VLOOKUP(A2260,Feuil2!$A$2:$M$1241,12,FALSE)," ")</f>
        <v>#N/A</v>
      </c>
      <c r="G2260" s="1" t="e">
        <f>IF(B2260=0,VLOOKUP(A2260,Feuil2!$A$2:$M$1241,11,FALSE)," ")</f>
        <v>#N/A</v>
      </c>
      <c r="H2260" s="1" t="s">
        <v>16</v>
      </c>
      <c r="I2260" s="6" t="e">
        <f>IF(B2260=0,VLOOKUP(A2260,Feuil2!$A$2:$M$1241,7,FALSE)," ")</f>
        <v>#N/A</v>
      </c>
      <c r="J2260" s="1" t="e">
        <f>IF(B2260=0,VLOOKUP(A2260,Feuil2!$A$2:$M$1241,9,FALSE)," ")</f>
        <v>#N/A</v>
      </c>
      <c r="K2260" s="1" t="e">
        <f>IF(B2260=0,VLOOKUP(A2260,Feuil2!$A$2:$M$1241,10,FALSE)," ")</f>
        <v>#N/A</v>
      </c>
      <c r="L2260" s="1"/>
      <c r="M2260" s="1"/>
      <c r="N2260" s="1"/>
      <c r="O2260" s="8"/>
    </row>
    <row r="2261" spans="1:15" x14ac:dyDescent="0.3">
      <c r="A2261" s="1"/>
      <c r="B2261" s="1"/>
      <c r="C2261" s="1" t="e">
        <f>IF(B2261=0,VLOOKUP(A2261,Feuil2!$A$2:$M$1241,2,FALSE)," ")</f>
        <v>#N/A</v>
      </c>
      <c r="D2261" s="1" t="e">
        <f>IF(B2261=0,VLOOKUP(A2261,Feuil2!$A$2:$M$1241,3,FALSE)," ")</f>
        <v>#N/A</v>
      </c>
      <c r="E2261" s="5" t="e">
        <f>IF(B2261=0,VLOOKUP(A2261,Feuil2!$A$2:$M$1241,6,FALSE)," ")</f>
        <v>#N/A</v>
      </c>
      <c r="F2261" s="1" t="e">
        <f>IF(B2261=0,VLOOKUP(A2261,Feuil2!$A$2:$M$1241,12,FALSE)," ")</f>
        <v>#N/A</v>
      </c>
      <c r="G2261" s="1" t="e">
        <f>IF(B2261=0,VLOOKUP(A2261,Feuil2!$A$2:$M$1241,11,FALSE)," ")</f>
        <v>#N/A</v>
      </c>
      <c r="H2261" s="1" t="s">
        <v>16</v>
      </c>
      <c r="I2261" s="6" t="e">
        <f>IF(B2261=0,VLOOKUP(A2261,Feuil2!$A$2:$M$1241,7,FALSE)," ")</f>
        <v>#N/A</v>
      </c>
      <c r="J2261" s="1" t="e">
        <f>IF(B2261=0,VLOOKUP(A2261,Feuil2!$A$2:$M$1241,9,FALSE)," ")</f>
        <v>#N/A</v>
      </c>
      <c r="K2261" s="1" t="e">
        <f>IF(B2261=0,VLOOKUP(A2261,Feuil2!$A$2:$M$1241,10,FALSE)," ")</f>
        <v>#N/A</v>
      </c>
      <c r="L2261" s="1"/>
      <c r="M2261" s="1"/>
      <c r="N2261" s="1"/>
      <c r="O2261" s="8"/>
    </row>
    <row r="2262" spans="1:15" x14ac:dyDescent="0.3">
      <c r="A2262" s="1"/>
      <c r="B2262" s="1"/>
      <c r="C2262" s="1" t="e">
        <f>IF(B2262=0,VLOOKUP(A2262,Feuil2!$A$2:$M$1241,2,FALSE)," ")</f>
        <v>#N/A</v>
      </c>
      <c r="D2262" s="1" t="e">
        <f>IF(B2262=0,VLOOKUP(A2262,Feuil2!$A$2:$M$1241,3,FALSE)," ")</f>
        <v>#N/A</v>
      </c>
      <c r="E2262" s="5" t="e">
        <f>IF(B2262=0,VLOOKUP(A2262,Feuil2!$A$2:$M$1241,6,FALSE)," ")</f>
        <v>#N/A</v>
      </c>
      <c r="F2262" s="1" t="e">
        <f>IF(B2262=0,VLOOKUP(A2262,Feuil2!$A$2:$M$1241,12,FALSE)," ")</f>
        <v>#N/A</v>
      </c>
      <c r="G2262" s="1" t="e">
        <f>IF(B2262=0,VLOOKUP(A2262,Feuil2!$A$2:$M$1241,11,FALSE)," ")</f>
        <v>#N/A</v>
      </c>
      <c r="H2262" s="1" t="s">
        <v>16</v>
      </c>
      <c r="I2262" s="6" t="e">
        <f>IF(B2262=0,VLOOKUP(A2262,Feuil2!$A$2:$M$1241,7,FALSE)," ")</f>
        <v>#N/A</v>
      </c>
      <c r="J2262" s="1" t="e">
        <f>IF(B2262=0,VLOOKUP(A2262,Feuil2!$A$2:$M$1241,9,FALSE)," ")</f>
        <v>#N/A</v>
      </c>
      <c r="K2262" s="1" t="e">
        <f>IF(B2262=0,VLOOKUP(A2262,Feuil2!$A$2:$M$1241,10,FALSE)," ")</f>
        <v>#N/A</v>
      </c>
      <c r="L2262" s="1"/>
      <c r="M2262" s="1"/>
      <c r="N2262" s="1"/>
      <c r="O2262" s="8"/>
    </row>
    <row r="2263" spans="1:15" x14ac:dyDescent="0.3">
      <c r="A2263" s="1"/>
      <c r="B2263" s="1"/>
      <c r="C2263" s="1" t="e">
        <f>IF(B2263=0,VLOOKUP(A2263,Feuil2!$A$2:$M$1241,2,FALSE)," ")</f>
        <v>#N/A</v>
      </c>
      <c r="D2263" s="1" t="e">
        <f>IF(B2263=0,VLOOKUP(A2263,Feuil2!$A$2:$M$1241,3,FALSE)," ")</f>
        <v>#N/A</v>
      </c>
      <c r="E2263" s="5" t="e">
        <f>IF(B2263=0,VLOOKUP(A2263,Feuil2!$A$2:$M$1241,6,FALSE)," ")</f>
        <v>#N/A</v>
      </c>
      <c r="F2263" s="1" t="e">
        <f>IF(B2263=0,VLOOKUP(A2263,Feuil2!$A$2:$M$1241,12,FALSE)," ")</f>
        <v>#N/A</v>
      </c>
      <c r="G2263" s="1" t="e">
        <f>IF(B2263=0,VLOOKUP(A2263,Feuil2!$A$2:$M$1241,11,FALSE)," ")</f>
        <v>#N/A</v>
      </c>
      <c r="H2263" s="1" t="s">
        <v>16</v>
      </c>
      <c r="I2263" s="6" t="e">
        <f>IF(B2263=0,VLOOKUP(A2263,Feuil2!$A$2:$M$1241,7,FALSE)," ")</f>
        <v>#N/A</v>
      </c>
      <c r="J2263" s="1" t="e">
        <f>IF(B2263=0,VLOOKUP(A2263,Feuil2!$A$2:$M$1241,9,FALSE)," ")</f>
        <v>#N/A</v>
      </c>
      <c r="K2263" s="1" t="e">
        <f>IF(B2263=0,VLOOKUP(A2263,Feuil2!$A$2:$M$1241,10,FALSE)," ")</f>
        <v>#N/A</v>
      </c>
      <c r="L2263" s="1"/>
      <c r="M2263" s="1"/>
      <c r="N2263" s="1"/>
      <c r="O2263" s="8"/>
    </row>
    <row r="2264" spans="1:15" x14ac:dyDescent="0.3">
      <c r="A2264" s="1"/>
      <c r="B2264" s="1"/>
      <c r="C2264" s="1" t="e">
        <f>IF(B2264=0,VLOOKUP(A2264,Feuil2!$A$2:$M$1241,2,FALSE)," ")</f>
        <v>#N/A</v>
      </c>
      <c r="D2264" s="1" t="e">
        <f>IF(B2264=0,VLOOKUP(A2264,Feuil2!$A$2:$M$1241,3,FALSE)," ")</f>
        <v>#N/A</v>
      </c>
      <c r="E2264" s="5" t="e">
        <f>IF(B2264=0,VLOOKUP(A2264,Feuil2!$A$2:$M$1241,6,FALSE)," ")</f>
        <v>#N/A</v>
      </c>
      <c r="F2264" s="1" t="e">
        <f>IF(B2264=0,VLOOKUP(A2264,Feuil2!$A$2:$M$1241,12,FALSE)," ")</f>
        <v>#N/A</v>
      </c>
      <c r="G2264" s="1" t="e">
        <f>IF(B2264=0,VLOOKUP(A2264,Feuil2!$A$2:$M$1241,11,FALSE)," ")</f>
        <v>#N/A</v>
      </c>
      <c r="H2264" s="1" t="s">
        <v>16</v>
      </c>
      <c r="I2264" s="6" t="e">
        <f>IF(B2264=0,VLOOKUP(A2264,Feuil2!$A$2:$M$1241,7,FALSE)," ")</f>
        <v>#N/A</v>
      </c>
      <c r="J2264" s="1" t="e">
        <f>IF(B2264=0,VLOOKUP(A2264,Feuil2!$A$2:$M$1241,9,FALSE)," ")</f>
        <v>#N/A</v>
      </c>
      <c r="K2264" s="1" t="e">
        <f>IF(B2264=0,VLOOKUP(A2264,Feuil2!$A$2:$M$1241,10,FALSE)," ")</f>
        <v>#N/A</v>
      </c>
      <c r="L2264" s="1"/>
      <c r="M2264" s="1"/>
      <c r="N2264" s="1"/>
      <c r="O2264" s="8"/>
    </row>
    <row r="2265" spans="1:15" x14ac:dyDescent="0.3">
      <c r="A2265" s="1"/>
      <c r="B2265" s="1"/>
      <c r="C2265" s="1" t="e">
        <f>IF(B2265=0,VLOOKUP(A2265,Feuil2!$A$2:$M$1241,2,FALSE)," ")</f>
        <v>#N/A</v>
      </c>
      <c r="D2265" s="1" t="e">
        <f>IF(B2265=0,VLOOKUP(A2265,Feuil2!$A$2:$M$1241,3,FALSE)," ")</f>
        <v>#N/A</v>
      </c>
      <c r="E2265" s="5" t="e">
        <f>IF(B2265=0,VLOOKUP(A2265,Feuil2!$A$2:$M$1241,6,FALSE)," ")</f>
        <v>#N/A</v>
      </c>
      <c r="F2265" s="1" t="e">
        <f>IF(B2265=0,VLOOKUP(A2265,Feuil2!$A$2:$M$1241,12,FALSE)," ")</f>
        <v>#N/A</v>
      </c>
      <c r="G2265" s="1" t="e">
        <f>IF(B2265=0,VLOOKUP(A2265,Feuil2!$A$2:$M$1241,11,FALSE)," ")</f>
        <v>#N/A</v>
      </c>
      <c r="H2265" s="1" t="s">
        <v>16</v>
      </c>
      <c r="I2265" s="6" t="e">
        <f>IF(B2265=0,VLOOKUP(A2265,Feuil2!$A$2:$M$1241,7,FALSE)," ")</f>
        <v>#N/A</v>
      </c>
      <c r="J2265" s="1" t="e">
        <f>IF(B2265=0,VLOOKUP(A2265,Feuil2!$A$2:$M$1241,9,FALSE)," ")</f>
        <v>#N/A</v>
      </c>
      <c r="K2265" s="1" t="e">
        <f>IF(B2265=0,VLOOKUP(A2265,Feuil2!$A$2:$M$1241,10,FALSE)," ")</f>
        <v>#N/A</v>
      </c>
      <c r="L2265" s="1"/>
      <c r="M2265" s="1"/>
      <c r="N2265" s="1"/>
      <c r="O2265" s="8"/>
    </row>
    <row r="2266" spans="1:15" x14ac:dyDescent="0.3">
      <c r="A2266" s="1"/>
      <c r="B2266" s="1"/>
      <c r="C2266" s="1" t="e">
        <f>IF(B2266=0,VLOOKUP(A2266,Feuil2!$A$2:$M$1241,2,FALSE)," ")</f>
        <v>#N/A</v>
      </c>
      <c r="D2266" s="1" t="e">
        <f>IF(B2266=0,VLOOKUP(A2266,Feuil2!$A$2:$M$1241,3,FALSE)," ")</f>
        <v>#N/A</v>
      </c>
      <c r="E2266" s="5" t="e">
        <f>IF(B2266=0,VLOOKUP(A2266,Feuil2!$A$2:$M$1241,6,FALSE)," ")</f>
        <v>#N/A</v>
      </c>
      <c r="F2266" s="1" t="e">
        <f>IF(B2266=0,VLOOKUP(A2266,Feuil2!$A$2:$M$1241,12,FALSE)," ")</f>
        <v>#N/A</v>
      </c>
      <c r="G2266" s="1" t="e">
        <f>IF(B2266=0,VLOOKUP(A2266,Feuil2!$A$2:$M$1241,11,FALSE)," ")</f>
        <v>#N/A</v>
      </c>
      <c r="H2266" s="1" t="s">
        <v>16</v>
      </c>
      <c r="I2266" s="6" t="e">
        <f>IF(B2266=0,VLOOKUP(A2266,Feuil2!$A$2:$M$1241,7,FALSE)," ")</f>
        <v>#N/A</v>
      </c>
      <c r="J2266" s="1" t="e">
        <f>IF(B2266=0,VLOOKUP(A2266,Feuil2!$A$2:$M$1241,9,FALSE)," ")</f>
        <v>#N/A</v>
      </c>
      <c r="K2266" s="1" t="e">
        <f>IF(B2266=0,VLOOKUP(A2266,Feuil2!$A$2:$M$1241,10,FALSE)," ")</f>
        <v>#N/A</v>
      </c>
      <c r="L2266" s="1"/>
      <c r="M2266" s="1"/>
      <c r="N2266" s="1"/>
      <c r="O2266" s="8"/>
    </row>
    <row r="2267" spans="1:15" x14ac:dyDescent="0.3">
      <c r="A2267" s="1"/>
      <c r="B2267" s="1"/>
      <c r="C2267" s="1" t="e">
        <f>IF(B2267=0,VLOOKUP(A2267,Feuil2!$A$2:$M$1241,2,FALSE)," ")</f>
        <v>#N/A</v>
      </c>
      <c r="D2267" s="1" t="e">
        <f>IF(B2267=0,VLOOKUP(A2267,Feuil2!$A$2:$M$1241,3,FALSE)," ")</f>
        <v>#N/A</v>
      </c>
      <c r="E2267" s="5" t="e">
        <f>IF(B2267=0,VLOOKUP(A2267,Feuil2!$A$2:$M$1241,6,FALSE)," ")</f>
        <v>#N/A</v>
      </c>
      <c r="F2267" s="1" t="e">
        <f>IF(B2267=0,VLOOKUP(A2267,Feuil2!$A$2:$M$1241,12,FALSE)," ")</f>
        <v>#N/A</v>
      </c>
      <c r="G2267" s="1" t="e">
        <f>IF(B2267=0,VLOOKUP(A2267,Feuil2!$A$2:$M$1241,11,FALSE)," ")</f>
        <v>#N/A</v>
      </c>
      <c r="H2267" s="1" t="s">
        <v>16</v>
      </c>
      <c r="I2267" s="6" t="e">
        <f>IF(B2267=0,VLOOKUP(A2267,Feuil2!$A$2:$M$1241,7,FALSE)," ")</f>
        <v>#N/A</v>
      </c>
      <c r="J2267" s="1" t="e">
        <f>IF(B2267=0,VLOOKUP(A2267,Feuil2!$A$2:$M$1241,9,FALSE)," ")</f>
        <v>#N/A</v>
      </c>
      <c r="K2267" s="1" t="e">
        <f>IF(B2267=0,VLOOKUP(A2267,Feuil2!$A$2:$M$1241,10,FALSE)," ")</f>
        <v>#N/A</v>
      </c>
      <c r="L2267" s="1"/>
      <c r="M2267" s="1"/>
      <c r="N2267" s="1"/>
      <c r="O2267" s="8"/>
    </row>
    <row r="2268" spans="1:15" x14ac:dyDescent="0.3">
      <c r="A2268" s="1"/>
      <c r="B2268" s="1"/>
      <c r="C2268" s="1" t="e">
        <f>IF(B2268=0,VLOOKUP(A2268,Feuil2!$A$2:$M$1241,2,FALSE)," ")</f>
        <v>#N/A</v>
      </c>
      <c r="D2268" s="1" t="e">
        <f>IF(B2268=0,VLOOKUP(A2268,Feuil2!$A$2:$M$1241,3,FALSE)," ")</f>
        <v>#N/A</v>
      </c>
      <c r="E2268" s="5" t="e">
        <f>IF(B2268=0,VLOOKUP(A2268,Feuil2!$A$2:$M$1241,6,FALSE)," ")</f>
        <v>#N/A</v>
      </c>
      <c r="F2268" s="1" t="e">
        <f>IF(B2268=0,VLOOKUP(A2268,Feuil2!$A$2:$M$1241,12,FALSE)," ")</f>
        <v>#N/A</v>
      </c>
      <c r="G2268" s="1" t="e">
        <f>IF(B2268=0,VLOOKUP(A2268,Feuil2!$A$2:$M$1241,11,FALSE)," ")</f>
        <v>#N/A</v>
      </c>
      <c r="H2268" s="1" t="s">
        <v>16</v>
      </c>
      <c r="I2268" s="6" t="e">
        <f>IF(B2268=0,VLOOKUP(A2268,Feuil2!$A$2:$M$1241,7,FALSE)," ")</f>
        <v>#N/A</v>
      </c>
      <c r="J2268" s="1" t="e">
        <f>IF(B2268=0,VLOOKUP(A2268,Feuil2!$A$2:$M$1241,9,FALSE)," ")</f>
        <v>#N/A</v>
      </c>
      <c r="K2268" s="1" t="e">
        <f>IF(B2268=0,VLOOKUP(A2268,Feuil2!$A$2:$M$1241,10,FALSE)," ")</f>
        <v>#N/A</v>
      </c>
      <c r="L2268" s="1"/>
      <c r="M2268" s="1"/>
      <c r="N2268" s="1"/>
      <c r="O2268" s="8"/>
    </row>
    <row r="2269" spans="1:15" x14ac:dyDescent="0.3">
      <c r="A2269" s="1"/>
      <c r="B2269" s="1"/>
      <c r="C2269" s="1" t="e">
        <f>IF(B2269=0,VLOOKUP(A2269,Feuil2!$A$2:$M$1241,2,FALSE)," ")</f>
        <v>#N/A</v>
      </c>
      <c r="D2269" s="1" t="e">
        <f>IF(B2269=0,VLOOKUP(A2269,Feuil2!$A$2:$M$1241,3,FALSE)," ")</f>
        <v>#N/A</v>
      </c>
      <c r="E2269" s="5" t="e">
        <f>IF(B2269=0,VLOOKUP(A2269,Feuil2!$A$2:$M$1241,6,FALSE)," ")</f>
        <v>#N/A</v>
      </c>
      <c r="F2269" s="1" t="e">
        <f>IF(B2269=0,VLOOKUP(A2269,Feuil2!$A$2:$M$1241,12,FALSE)," ")</f>
        <v>#N/A</v>
      </c>
      <c r="G2269" s="1" t="e">
        <f>IF(B2269=0,VLOOKUP(A2269,Feuil2!$A$2:$M$1241,11,FALSE)," ")</f>
        <v>#N/A</v>
      </c>
      <c r="H2269" s="1" t="s">
        <v>16</v>
      </c>
      <c r="I2269" s="6" t="e">
        <f>IF(B2269=0,VLOOKUP(A2269,Feuil2!$A$2:$M$1241,7,FALSE)," ")</f>
        <v>#N/A</v>
      </c>
      <c r="J2269" s="1" t="e">
        <f>IF(B2269=0,VLOOKUP(A2269,Feuil2!$A$2:$M$1241,9,FALSE)," ")</f>
        <v>#N/A</v>
      </c>
      <c r="K2269" s="1" t="e">
        <f>IF(B2269=0,VLOOKUP(A2269,Feuil2!$A$2:$M$1241,10,FALSE)," ")</f>
        <v>#N/A</v>
      </c>
      <c r="L2269" s="1"/>
      <c r="M2269" s="1"/>
      <c r="N2269" s="1"/>
      <c r="O2269" s="8"/>
    </row>
    <row r="2270" spans="1:15" x14ac:dyDescent="0.3">
      <c r="A2270" s="1"/>
      <c r="B2270" s="1"/>
      <c r="C2270" s="1" t="e">
        <f>IF(B2270=0,VLOOKUP(A2270,Feuil2!$A$2:$M$1241,2,FALSE)," ")</f>
        <v>#N/A</v>
      </c>
      <c r="D2270" s="1" t="e">
        <f>IF(B2270=0,VLOOKUP(A2270,Feuil2!$A$2:$M$1241,3,FALSE)," ")</f>
        <v>#N/A</v>
      </c>
      <c r="E2270" s="5" t="e">
        <f>IF(B2270=0,VLOOKUP(A2270,Feuil2!$A$2:$M$1241,6,FALSE)," ")</f>
        <v>#N/A</v>
      </c>
      <c r="F2270" s="1" t="e">
        <f>IF(B2270=0,VLOOKUP(A2270,Feuil2!$A$2:$M$1241,12,FALSE)," ")</f>
        <v>#N/A</v>
      </c>
      <c r="G2270" s="1" t="e">
        <f>IF(B2270=0,VLOOKUP(A2270,Feuil2!$A$2:$M$1241,11,FALSE)," ")</f>
        <v>#N/A</v>
      </c>
      <c r="H2270" s="1" t="s">
        <v>16</v>
      </c>
      <c r="I2270" s="6" t="e">
        <f>IF(B2270=0,VLOOKUP(A2270,Feuil2!$A$2:$M$1241,7,FALSE)," ")</f>
        <v>#N/A</v>
      </c>
      <c r="J2270" s="1" t="e">
        <f>IF(B2270=0,VLOOKUP(A2270,Feuil2!$A$2:$M$1241,9,FALSE)," ")</f>
        <v>#N/A</v>
      </c>
      <c r="K2270" s="1" t="e">
        <f>IF(B2270=0,VLOOKUP(A2270,Feuil2!$A$2:$M$1241,10,FALSE)," ")</f>
        <v>#N/A</v>
      </c>
      <c r="L2270" s="1"/>
      <c r="M2270" s="1"/>
      <c r="N2270" s="1"/>
      <c r="O2270" s="8"/>
    </row>
    <row r="2271" spans="1:15" x14ac:dyDescent="0.3">
      <c r="A2271" s="1"/>
      <c r="B2271" s="1"/>
      <c r="C2271" s="1" t="e">
        <f>IF(B2271=0,VLOOKUP(A2271,Feuil2!$A$2:$M$1241,2,FALSE)," ")</f>
        <v>#N/A</v>
      </c>
      <c r="D2271" s="1" t="e">
        <f>IF(B2271=0,VLOOKUP(A2271,Feuil2!$A$2:$M$1241,3,FALSE)," ")</f>
        <v>#N/A</v>
      </c>
      <c r="E2271" s="5" t="e">
        <f>IF(B2271=0,VLOOKUP(A2271,Feuil2!$A$2:$M$1241,6,FALSE)," ")</f>
        <v>#N/A</v>
      </c>
      <c r="F2271" s="1" t="e">
        <f>IF(B2271=0,VLOOKUP(A2271,Feuil2!$A$2:$M$1241,12,FALSE)," ")</f>
        <v>#N/A</v>
      </c>
      <c r="G2271" s="1" t="e">
        <f>IF(B2271=0,VLOOKUP(A2271,Feuil2!$A$2:$M$1241,11,FALSE)," ")</f>
        <v>#N/A</v>
      </c>
      <c r="H2271" s="1" t="s">
        <v>16</v>
      </c>
      <c r="I2271" s="6" t="e">
        <f>IF(B2271=0,VLOOKUP(A2271,Feuil2!$A$2:$M$1241,7,FALSE)," ")</f>
        <v>#N/A</v>
      </c>
      <c r="J2271" s="1" t="e">
        <f>IF(B2271=0,VLOOKUP(A2271,Feuil2!$A$2:$M$1241,9,FALSE)," ")</f>
        <v>#N/A</v>
      </c>
      <c r="K2271" s="1" t="e">
        <f>IF(B2271=0,VLOOKUP(A2271,Feuil2!$A$2:$M$1241,10,FALSE)," ")</f>
        <v>#N/A</v>
      </c>
      <c r="L2271" s="1"/>
      <c r="M2271" s="1"/>
      <c r="N2271" s="1"/>
      <c r="O2271" s="8"/>
    </row>
    <row r="2272" spans="1:15" x14ac:dyDescent="0.3">
      <c r="A2272" s="1"/>
      <c r="B2272" s="1"/>
      <c r="C2272" s="1" t="e">
        <f>IF(B2272=0,VLOOKUP(A2272,Feuil2!$A$2:$M$1241,2,FALSE)," ")</f>
        <v>#N/A</v>
      </c>
      <c r="D2272" s="1" t="e">
        <f>IF(B2272=0,VLOOKUP(A2272,Feuil2!$A$2:$M$1241,3,FALSE)," ")</f>
        <v>#N/A</v>
      </c>
      <c r="E2272" s="5" t="e">
        <f>IF(B2272=0,VLOOKUP(A2272,Feuil2!$A$2:$M$1241,6,FALSE)," ")</f>
        <v>#N/A</v>
      </c>
      <c r="F2272" s="1" t="e">
        <f>IF(B2272=0,VLOOKUP(A2272,Feuil2!$A$2:$M$1241,12,FALSE)," ")</f>
        <v>#N/A</v>
      </c>
      <c r="G2272" s="1" t="e">
        <f>IF(B2272=0,VLOOKUP(A2272,Feuil2!$A$2:$M$1241,11,FALSE)," ")</f>
        <v>#N/A</v>
      </c>
      <c r="H2272" s="1" t="s">
        <v>16</v>
      </c>
      <c r="I2272" s="6" t="e">
        <f>IF(B2272=0,VLOOKUP(A2272,Feuil2!$A$2:$M$1241,7,FALSE)," ")</f>
        <v>#N/A</v>
      </c>
      <c r="J2272" s="1" t="e">
        <f>IF(B2272=0,VLOOKUP(A2272,Feuil2!$A$2:$M$1241,9,FALSE)," ")</f>
        <v>#N/A</v>
      </c>
      <c r="K2272" s="1" t="e">
        <f>IF(B2272=0,VLOOKUP(A2272,Feuil2!$A$2:$M$1241,10,FALSE)," ")</f>
        <v>#N/A</v>
      </c>
      <c r="L2272" s="1"/>
      <c r="M2272" s="1"/>
      <c r="N2272" s="1"/>
      <c r="O2272" s="8"/>
    </row>
    <row r="2273" spans="1:15" x14ac:dyDescent="0.3">
      <c r="A2273" s="1"/>
      <c r="B2273" s="1"/>
      <c r="C2273" s="1" t="e">
        <f>IF(B2273=0,VLOOKUP(A2273,Feuil2!$A$2:$M$1241,2,FALSE)," ")</f>
        <v>#N/A</v>
      </c>
      <c r="D2273" s="1" t="e">
        <f>IF(B2273=0,VLOOKUP(A2273,Feuil2!$A$2:$M$1241,3,FALSE)," ")</f>
        <v>#N/A</v>
      </c>
      <c r="E2273" s="5" t="e">
        <f>IF(B2273=0,VLOOKUP(A2273,Feuil2!$A$2:$M$1241,6,FALSE)," ")</f>
        <v>#N/A</v>
      </c>
      <c r="F2273" s="1" t="e">
        <f>IF(B2273=0,VLOOKUP(A2273,Feuil2!$A$2:$M$1241,12,FALSE)," ")</f>
        <v>#N/A</v>
      </c>
      <c r="G2273" s="1" t="e">
        <f>IF(B2273=0,VLOOKUP(A2273,Feuil2!$A$2:$M$1241,11,FALSE)," ")</f>
        <v>#N/A</v>
      </c>
      <c r="H2273" s="1" t="s">
        <v>16</v>
      </c>
      <c r="I2273" s="6" t="e">
        <f>IF(B2273=0,VLOOKUP(A2273,Feuil2!$A$2:$M$1241,7,FALSE)," ")</f>
        <v>#N/A</v>
      </c>
      <c r="J2273" s="1" t="e">
        <f>IF(B2273=0,VLOOKUP(A2273,Feuil2!$A$2:$M$1241,9,FALSE)," ")</f>
        <v>#N/A</v>
      </c>
      <c r="K2273" s="1" t="e">
        <f>IF(B2273=0,VLOOKUP(A2273,Feuil2!$A$2:$M$1241,10,FALSE)," ")</f>
        <v>#N/A</v>
      </c>
      <c r="L2273" s="1"/>
      <c r="M2273" s="1"/>
      <c r="N2273" s="1"/>
      <c r="O2273" s="8"/>
    </row>
    <row r="2274" spans="1:15" x14ac:dyDescent="0.3">
      <c r="A2274" s="1"/>
      <c r="B2274" s="1"/>
      <c r="C2274" s="1" t="e">
        <f>IF(B2274=0,VLOOKUP(A2274,Feuil2!$A$2:$M$1241,2,FALSE)," ")</f>
        <v>#N/A</v>
      </c>
      <c r="D2274" s="1" t="e">
        <f>IF(B2274=0,VLOOKUP(A2274,Feuil2!$A$2:$M$1241,3,FALSE)," ")</f>
        <v>#N/A</v>
      </c>
      <c r="E2274" s="5" t="e">
        <f>IF(B2274=0,VLOOKUP(A2274,Feuil2!$A$2:$M$1241,6,FALSE)," ")</f>
        <v>#N/A</v>
      </c>
      <c r="F2274" s="1" t="e">
        <f>IF(B2274=0,VLOOKUP(A2274,Feuil2!$A$2:$M$1241,12,FALSE)," ")</f>
        <v>#N/A</v>
      </c>
      <c r="G2274" s="1" t="e">
        <f>IF(B2274=0,VLOOKUP(A2274,Feuil2!$A$2:$M$1241,11,FALSE)," ")</f>
        <v>#N/A</v>
      </c>
      <c r="H2274" s="1" t="s">
        <v>16</v>
      </c>
      <c r="I2274" s="6" t="e">
        <f>IF(B2274=0,VLOOKUP(A2274,Feuil2!$A$2:$M$1241,7,FALSE)," ")</f>
        <v>#N/A</v>
      </c>
      <c r="J2274" s="1" t="e">
        <f>IF(B2274=0,VLOOKUP(A2274,Feuil2!$A$2:$M$1241,9,FALSE)," ")</f>
        <v>#N/A</v>
      </c>
      <c r="K2274" s="1" t="e">
        <f>IF(B2274=0,VLOOKUP(A2274,Feuil2!$A$2:$M$1241,10,FALSE)," ")</f>
        <v>#N/A</v>
      </c>
      <c r="L2274" s="1"/>
      <c r="M2274" s="1"/>
      <c r="N2274" s="1"/>
      <c r="O2274" s="8"/>
    </row>
    <row r="2275" spans="1:15" x14ac:dyDescent="0.3">
      <c r="A2275" s="1"/>
      <c r="B2275" s="1"/>
      <c r="C2275" s="1" t="e">
        <f>IF(B2275=0,VLOOKUP(A2275,Feuil2!$A$2:$M$1241,2,FALSE)," ")</f>
        <v>#N/A</v>
      </c>
      <c r="D2275" s="1" t="e">
        <f>IF(B2275=0,VLOOKUP(A2275,Feuil2!$A$2:$M$1241,3,FALSE)," ")</f>
        <v>#N/A</v>
      </c>
      <c r="E2275" s="5" t="e">
        <f>IF(B2275=0,VLOOKUP(A2275,Feuil2!$A$2:$M$1241,6,FALSE)," ")</f>
        <v>#N/A</v>
      </c>
      <c r="F2275" s="1" t="e">
        <f>IF(B2275=0,VLOOKUP(A2275,Feuil2!$A$2:$M$1241,12,FALSE)," ")</f>
        <v>#N/A</v>
      </c>
      <c r="G2275" s="1" t="e">
        <f>IF(B2275=0,VLOOKUP(A2275,Feuil2!$A$2:$M$1241,11,FALSE)," ")</f>
        <v>#N/A</v>
      </c>
      <c r="H2275" s="1" t="s">
        <v>16</v>
      </c>
      <c r="I2275" s="6" t="e">
        <f>IF(B2275=0,VLOOKUP(A2275,Feuil2!$A$2:$M$1241,7,FALSE)," ")</f>
        <v>#N/A</v>
      </c>
      <c r="J2275" s="1" t="e">
        <f>IF(B2275=0,VLOOKUP(A2275,Feuil2!$A$2:$M$1241,9,FALSE)," ")</f>
        <v>#N/A</v>
      </c>
      <c r="K2275" s="1" t="e">
        <f>IF(B2275=0,VLOOKUP(A2275,Feuil2!$A$2:$M$1241,10,FALSE)," ")</f>
        <v>#N/A</v>
      </c>
      <c r="L2275" s="1"/>
      <c r="M2275" s="1"/>
      <c r="N2275" s="1"/>
      <c r="O2275" s="8"/>
    </row>
    <row r="2276" spans="1:15" x14ac:dyDescent="0.3">
      <c r="A2276" s="1"/>
      <c r="B2276" s="1"/>
      <c r="C2276" s="1" t="e">
        <f>IF(B2276=0,VLOOKUP(A2276,Feuil2!$A$2:$M$1241,2,FALSE)," ")</f>
        <v>#N/A</v>
      </c>
      <c r="D2276" s="1" t="e">
        <f>IF(B2276=0,VLOOKUP(A2276,Feuil2!$A$2:$M$1241,3,FALSE)," ")</f>
        <v>#N/A</v>
      </c>
      <c r="E2276" s="5" t="e">
        <f>IF(B2276=0,VLOOKUP(A2276,Feuil2!$A$2:$M$1241,6,FALSE)," ")</f>
        <v>#N/A</v>
      </c>
      <c r="F2276" s="1" t="e">
        <f>IF(B2276=0,VLOOKUP(A2276,Feuil2!$A$2:$M$1241,12,FALSE)," ")</f>
        <v>#N/A</v>
      </c>
      <c r="G2276" s="1" t="e">
        <f>IF(B2276=0,VLOOKUP(A2276,Feuil2!$A$2:$M$1241,11,FALSE)," ")</f>
        <v>#N/A</v>
      </c>
      <c r="H2276" s="1" t="s">
        <v>16</v>
      </c>
      <c r="I2276" s="6" t="e">
        <f>IF(B2276=0,VLOOKUP(A2276,Feuil2!$A$2:$M$1241,7,FALSE)," ")</f>
        <v>#N/A</v>
      </c>
      <c r="J2276" s="1" t="e">
        <f>IF(B2276=0,VLOOKUP(A2276,Feuil2!$A$2:$M$1241,9,FALSE)," ")</f>
        <v>#N/A</v>
      </c>
      <c r="K2276" s="1" t="e">
        <f>IF(B2276=0,VLOOKUP(A2276,Feuil2!$A$2:$M$1241,10,FALSE)," ")</f>
        <v>#N/A</v>
      </c>
      <c r="L2276" s="1"/>
      <c r="M2276" s="1"/>
      <c r="N2276" s="1"/>
      <c r="O2276" s="8"/>
    </row>
    <row r="2277" spans="1:15" x14ac:dyDescent="0.3">
      <c r="A2277" s="1"/>
      <c r="B2277" s="1"/>
      <c r="C2277" s="1" t="e">
        <f>IF(B2277=0,VLOOKUP(A2277,Feuil2!$A$2:$M$1241,2,FALSE)," ")</f>
        <v>#N/A</v>
      </c>
      <c r="D2277" s="1" t="e">
        <f>IF(B2277=0,VLOOKUP(A2277,Feuil2!$A$2:$M$1241,3,FALSE)," ")</f>
        <v>#N/A</v>
      </c>
      <c r="E2277" s="5" t="e">
        <f>IF(B2277=0,VLOOKUP(A2277,Feuil2!$A$2:$M$1241,6,FALSE)," ")</f>
        <v>#N/A</v>
      </c>
      <c r="F2277" s="1" t="e">
        <f>IF(B2277=0,VLOOKUP(A2277,Feuil2!$A$2:$M$1241,12,FALSE)," ")</f>
        <v>#N/A</v>
      </c>
      <c r="G2277" s="1" t="e">
        <f>IF(B2277=0,VLOOKUP(A2277,Feuil2!$A$2:$M$1241,11,FALSE)," ")</f>
        <v>#N/A</v>
      </c>
      <c r="H2277" s="1" t="s">
        <v>16</v>
      </c>
      <c r="I2277" s="6" t="e">
        <f>IF(B2277=0,VLOOKUP(A2277,Feuil2!$A$2:$M$1241,7,FALSE)," ")</f>
        <v>#N/A</v>
      </c>
      <c r="J2277" s="1" t="e">
        <f>IF(B2277=0,VLOOKUP(A2277,Feuil2!$A$2:$M$1241,9,FALSE)," ")</f>
        <v>#N/A</v>
      </c>
      <c r="K2277" s="1" t="e">
        <f>IF(B2277=0,VLOOKUP(A2277,Feuil2!$A$2:$M$1241,10,FALSE)," ")</f>
        <v>#N/A</v>
      </c>
      <c r="L2277" s="1"/>
      <c r="M2277" s="1"/>
      <c r="N2277" s="1"/>
      <c r="O2277" s="8"/>
    </row>
    <row r="2278" spans="1:15" x14ac:dyDescent="0.3">
      <c r="A2278" s="1"/>
      <c r="B2278" s="1"/>
      <c r="C2278" s="1" t="e">
        <f>IF(B2278=0,VLOOKUP(A2278,Feuil2!$A$2:$M$1241,2,FALSE)," ")</f>
        <v>#N/A</v>
      </c>
      <c r="D2278" s="1" t="e">
        <f>IF(B2278=0,VLOOKUP(A2278,Feuil2!$A$2:$M$1241,3,FALSE)," ")</f>
        <v>#N/A</v>
      </c>
      <c r="E2278" s="5" t="e">
        <f>IF(B2278=0,VLOOKUP(A2278,Feuil2!$A$2:$M$1241,6,FALSE)," ")</f>
        <v>#N/A</v>
      </c>
      <c r="F2278" s="1" t="e">
        <f>IF(B2278=0,VLOOKUP(A2278,Feuil2!$A$2:$M$1241,12,FALSE)," ")</f>
        <v>#N/A</v>
      </c>
      <c r="G2278" s="1" t="e">
        <f>IF(B2278=0,VLOOKUP(A2278,Feuil2!$A$2:$M$1241,11,FALSE)," ")</f>
        <v>#N/A</v>
      </c>
      <c r="H2278" s="1" t="s">
        <v>16</v>
      </c>
      <c r="I2278" s="6" t="e">
        <f>IF(B2278=0,VLOOKUP(A2278,Feuil2!$A$2:$M$1241,7,FALSE)," ")</f>
        <v>#N/A</v>
      </c>
      <c r="J2278" s="1" t="e">
        <f>IF(B2278=0,VLOOKUP(A2278,Feuil2!$A$2:$M$1241,9,FALSE)," ")</f>
        <v>#N/A</v>
      </c>
      <c r="K2278" s="1" t="e">
        <f>IF(B2278=0,VLOOKUP(A2278,Feuil2!$A$2:$M$1241,10,FALSE)," ")</f>
        <v>#N/A</v>
      </c>
      <c r="L2278" s="1"/>
      <c r="M2278" s="1"/>
      <c r="N2278" s="1"/>
      <c r="O2278" s="8"/>
    </row>
    <row r="2279" spans="1:15" x14ac:dyDescent="0.3">
      <c r="A2279" s="1"/>
      <c r="B2279" s="1"/>
      <c r="C2279" s="1" t="e">
        <f>IF(B2279=0,VLOOKUP(A2279,Feuil2!$A$2:$M$1241,2,FALSE)," ")</f>
        <v>#N/A</v>
      </c>
      <c r="D2279" s="1" t="e">
        <f>IF(B2279=0,VLOOKUP(A2279,Feuil2!$A$2:$M$1241,3,FALSE)," ")</f>
        <v>#N/A</v>
      </c>
      <c r="E2279" s="5" t="e">
        <f>IF(B2279=0,VLOOKUP(A2279,Feuil2!$A$2:$M$1241,6,FALSE)," ")</f>
        <v>#N/A</v>
      </c>
      <c r="F2279" s="1" t="e">
        <f>IF(B2279=0,VLOOKUP(A2279,Feuil2!$A$2:$M$1241,12,FALSE)," ")</f>
        <v>#N/A</v>
      </c>
      <c r="G2279" s="1" t="e">
        <f>IF(B2279=0,VLOOKUP(A2279,Feuil2!$A$2:$M$1241,11,FALSE)," ")</f>
        <v>#N/A</v>
      </c>
      <c r="H2279" s="1" t="s">
        <v>16</v>
      </c>
      <c r="I2279" s="6" t="e">
        <f>IF(B2279=0,VLOOKUP(A2279,Feuil2!$A$2:$M$1241,7,FALSE)," ")</f>
        <v>#N/A</v>
      </c>
      <c r="J2279" s="1" t="e">
        <f>IF(B2279=0,VLOOKUP(A2279,Feuil2!$A$2:$M$1241,9,FALSE)," ")</f>
        <v>#N/A</v>
      </c>
      <c r="K2279" s="1" t="e">
        <f>IF(B2279=0,VLOOKUP(A2279,Feuil2!$A$2:$M$1241,10,FALSE)," ")</f>
        <v>#N/A</v>
      </c>
      <c r="L2279" s="1"/>
      <c r="M2279" s="1"/>
      <c r="N2279" s="1"/>
      <c r="O2279" s="8"/>
    </row>
    <row r="2280" spans="1:15" x14ac:dyDescent="0.3">
      <c r="A2280" s="1"/>
      <c r="B2280" s="1"/>
      <c r="C2280" s="1" t="e">
        <f>IF(B2280=0,VLOOKUP(A2280,Feuil2!$A$2:$M$1241,2,FALSE)," ")</f>
        <v>#N/A</v>
      </c>
      <c r="D2280" s="1" t="e">
        <f>IF(B2280=0,VLOOKUP(A2280,Feuil2!$A$2:$M$1241,3,FALSE)," ")</f>
        <v>#N/A</v>
      </c>
      <c r="E2280" s="5" t="e">
        <f>IF(B2280=0,VLOOKUP(A2280,Feuil2!$A$2:$M$1241,6,FALSE)," ")</f>
        <v>#N/A</v>
      </c>
      <c r="F2280" s="1" t="e">
        <f>IF(B2280=0,VLOOKUP(A2280,Feuil2!$A$2:$M$1241,12,FALSE)," ")</f>
        <v>#N/A</v>
      </c>
      <c r="G2280" s="1" t="e">
        <f>IF(B2280=0,VLOOKUP(A2280,Feuil2!$A$2:$M$1241,11,FALSE)," ")</f>
        <v>#N/A</v>
      </c>
      <c r="H2280" s="1" t="s">
        <v>16</v>
      </c>
      <c r="I2280" s="6" t="e">
        <f>IF(B2280=0,VLOOKUP(A2280,Feuil2!$A$2:$M$1241,7,FALSE)," ")</f>
        <v>#N/A</v>
      </c>
      <c r="J2280" s="1" t="e">
        <f>IF(B2280=0,VLOOKUP(A2280,Feuil2!$A$2:$M$1241,9,FALSE)," ")</f>
        <v>#N/A</v>
      </c>
      <c r="K2280" s="1" t="e">
        <f>IF(B2280=0,VLOOKUP(A2280,Feuil2!$A$2:$M$1241,10,FALSE)," ")</f>
        <v>#N/A</v>
      </c>
      <c r="L2280" s="1"/>
      <c r="M2280" s="1"/>
      <c r="N2280" s="1"/>
      <c r="O2280" s="8"/>
    </row>
    <row r="2281" spans="1:15" x14ac:dyDescent="0.3">
      <c r="A2281" s="1"/>
      <c r="B2281" s="1"/>
      <c r="C2281" s="1" t="e">
        <f>IF(B2281=0,VLOOKUP(A2281,Feuil2!$A$2:$M$1241,2,FALSE)," ")</f>
        <v>#N/A</v>
      </c>
      <c r="D2281" s="1" t="e">
        <f>IF(B2281=0,VLOOKUP(A2281,Feuil2!$A$2:$M$1241,3,FALSE)," ")</f>
        <v>#N/A</v>
      </c>
      <c r="E2281" s="5" t="e">
        <f>IF(B2281=0,VLOOKUP(A2281,Feuil2!$A$2:$M$1241,6,FALSE)," ")</f>
        <v>#N/A</v>
      </c>
      <c r="F2281" s="1" t="e">
        <f>IF(B2281=0,VLOOKUP(A2281,Feuil2!$A$2:$M$1241,12,FALSE)," ")</f>
        <v>#N/A</v>
      </c>
      <c r="G2281" s="1" t="e">
        <f>IF(B2281=0,VLOOKUP(A2281,Feuil2!$A$2:$M$1241,11,FALSE)," ")</f>
        <v>#N/A</v>
      </c>
      <c r="H2281" s="1" t="s">
        <v>16</v>
      </c>
      <c r="I2281" s="6" t="e">
        <f>IF(B2281=0,VLOOKUP(A2281,Feuil2!$A$2:$M$1241,7,FALSE)," ")</f>
        <v>#N/A</v>
      </c>
      <c r="J2281" s="1" t="e">
        <f>IF(B2281=0,VLOOKUP(A2281,Feuil2!$A$2:$M$1241,9,FALSE)," ")</f>
        <v>#N/A</v>
      </c>
      <c r="K2281" s="1" t="e">
        <f>IF(B2281=0,VLOOKUP(A2281,Feuil2!$A$2:$M$1241,10,FALSE)," ")</f>
        <v>#N/A</v>
      </c>
      <c r="L2281" s="1"/>
      <c r="M2281" s="1"/>
      <c r="N2281" s="1"/>
      <c r="O2281" s="8"/>
    </row>
    <row r="2282" spans="1:15" x14ac:dyDescent="0.3">
      <c r="A2282" s="1"/>
      <c r="B2282" s="1"/>
      <c r="C2282" s="1" t="e">
        <f>IF(B2282=0,VLOOKUP(A2282,Feuil2!$A$2:$M$1241,2,FALSE)," ")</f>
        <v>#N/A</v>
      </c>
      <c r="D2282" s="1" t="e">
        <f>IF(B2282=0,VLOOKUP(A2282,Feuil2!$A$2:$M$1241,3,FALSE)," ")</f>
        <v>#N/A</v>
      </c>
      <c r="E2282" s="5" t="e">
        <f>IF(B2282=0,VLOOKUP(A2282,Feuil2!$A$2:$M$1241,6,FALSE)," ")</f>
        <v>#N/A</v>
      </c>
      <c r="F2282" s="1" t="e">
        <f>IF(B2282=0,VLOOKUP(A2282,Feuil2!$A$2:$M$1241,12,FALSE)," ")</f>
        <v>#N/A</v>
      </c>
      <c r="G2282" s="1" t="e">
        <f>IF(B2282=0,VLOOKUP(A2282,Feuil2!$A$2:$M$1241,11,FALSE)," ")</f>
        <v>#N/A</v>
      </c>
      <c r="H2282" s="1" t="s">
        <v>16</v>
      </c>
      <c r="I2282" s="6" t="e">
        <f>IF(B2282=0,VLOOKUP(A2282,Feuil2!$A$2:$M$1241,7,FALSE)," ")</f>
        <v>#N/A</v>
      </c>
      <c r="J2282" s="1" t="e">
        <f>IF(B2282=0,VLOOKUP(A2282,Feuil2!$A$2:$M$1241,9,FALSE)," ")</f>
        <v>#N/A</v>
      </c>
      <c r="K2282" s="1" t="e">
        <f>IF(B2282=0,VLOOKUP(A2282,Feuil2!$A$2:$M$1241,10,FALSE)," ")</f>
        <v>#N/A</v>
      </c>
      <c r="L2282" s="1"/>
      <c r="M2282" s="1"/>
      <c r="N2282" s="1"/>
      <c r="O2282" s="8"/>
    </row>
    <row r="2283" spans="1:15" x14ac:dyDescent="0.3">
      <c r="A2283" s="1"/>
      <c r="B2283" s="1"/>
      <c r="C2283" s="1" t="e">
        <f>IF(B2283=0,VLOOKUP(A2283,Feuil2!$A$2:$M$1241,2,FALSE)," ")</f>
        <v>#N/A</v>
      </c>
      <c r="D2283" s="1" t="e">
        <f>IF(B2283=0,VLOOKUP(A2283,Feuil2!$A$2:$M$1241,3,FALSE)," ")</f>
        <v>#N/A</v>
      </c>
      <c r="E2283" s="5" t="e">
        <f>IF(B2283=0,VLOOKUP(A2283,Feuil2!$A$2:$M$1241,6,FALSE)," ")</f>
        <v>#N/A</v>
      </c>
      <c r="F2283" s="1" t="e">
        <f>IF(B2283=0,VLOOKUP(A2283,Feuil2!$A$2:$M$1241,12,FALSE)," ")</f>
        <v>#N/A</v>
      </c>
      <c r="G2283" s="1" t="e">
        <f>IF(B2283=0,VLOOKUP(A2283,Feuil2!$A$2:$M$1241,11,FALSE)," ")</f>
        <v>#N/A</v>
      </c>
      <c r="H2283" s="1" t="s">
        <v>16</v>
      </c>
      <c r="I2283" s="6" t="e">
        <f>IF(B2283=0,VLOOKUP(A2283,Feuil2!$A$2:$M$1241,7,FALSE)," ")</f>
        <v>#N/A</v>
      </c>
      <c r="J2283" s="1" t="e">
        <f>IF(B2283=0,VLOOKUP(A2283,Feuil2!$A$2:$M$1241,9,FALSE)," ")</f>
        <v>#N/A</v>
      </c>
      <c r="K2283" s="1" t="e">
        <f>IF(B2283=0,VLOOKUP(A2283,Feuil2!$A$2:$M$1241,10,FALSE)," ")</f>
        <v>#N/A</v>
      </c>
      <c r="L2283" s="1"/>
      <c r="M2283" s="1"/>
      <c r="N2283" s="1"/>
      <c r="O2283" s="8"/>
    </row>
    <row r="2284" spans="1:15" x14ac:dyDescent="0.3">
      <c r="A2284" s="1"/>
      <c r="B2284" s="1"/>
      <c r="C2284" s="1" t="e">
        <f>IF(B2284=0,VLOOKUP(A2284,Feuil2!$A$2:$M$1241,2,FALSE)," ")</f>
        <v>#N/A</v>
      </c>
      <c r="D2284" s="1" t="e">
        <f>IF(B2284=0,VLOOKUP(A2284,Feuil2!$A$2:$M$1241,3,FALSE)," ")</f>
        <v>#N/A</v>
      </c>
      <c r="E2284" s="5" t="e">
        <f>IF(B2284=0,VLOOKUP(A2284,Feuil2!$A$2:$M$1241,6,FALSE)," ")</f>
        <v>#N/A</v>
      </c>
      <c r="F2284" s="1" t="e">
        <f>IF(B2284=0,VLOOKUP(A2284,Feuil2!$A$2:$M$1241,12,FALSE)," ")</f>
        <v>#N/A</v>
      </c>
      <c r="G2284" s="1" t="e">
        <f>IF(B2284=0,VLOOKUP(A2284,Feuil2!$A$2:$M$1241,11,FALSE)," ")</f>
        <v>#N/A</v>
      </c>
      <c r="H2284" s="1" t="s">
        <v>16</v>
      </c>
      <c r="I2284" s="6" t="e">
        <f>IF(B2284=0,VLOOKUP(A2284,Feuil2!$A$2:$M$1241,7,FALSE)," ")</f>
        <v>#N/A</v>
      </c>
      <c r="J2284" s="1" t="e">
        <f>IF(B2284=0,VLOOKUP(A2284,Feuil2!$A$2:$M$1241,9,FALSE)," ")</f>
        <v>#N/A</v>
      </c>
      <c r="K2284" s="1" t="e">
        <f>IF(B2284=0,VLOOKUP(A2284,Feuil2!$A$2:$M$1241,10,FALSE)," ")</f>
        <v>#N/A</v>
      </c>
      <c r="L2284" s="1"/>
      <c r="M2284" s="1"/>
      <c r="N2284" s="1"/>
      <c r="O2284" s="8"/>
    </row>
    <row r="2285" spans="1:15" x14ac:dyDescent="0.3">
      <c r="A2285" s="1"/>
      <c r="B2285" s="1"/>
      <c r="C2285" s="1" t="e">
        <f>IF(B2285=0,VLOOKUP(A2285,Feuil2!$A$2:$M$1241,2,FALSE)," ")</f>
        <v>#N/A</v>
      </c>
      <c r="D2285" s="1" t="e">
        <f>IF(B2285=0,VLOOKUP(A2285,Feuil2!$A$2:$M$1241,3,FALSE)," ")</f>
        <v>#N/A</v>
      </c>
      <c r="E2285" s="5" t="e">
        <f>IF(B2285=0,VLOOKUP(A2285,Feuil2!$A$2:$M$1241,6,FALSE)," ")</f>
        <v>#N/A</v>
      </c>
      <c r="F2285" s="1" t="e">
        <f>IF(B2285=0,VLOOKUP(A2285,Feuil2!$A$2:$M$1241,12,FALSE)," ")</f>
        <v>#N/A</v>
      </c>
      <c r="G2285" s="1" t="e">
        <f>IF(B2285=0,VLOOKUP(A2285,Feuil2!$A$2:$M$1241,11,FALSE)," ")</f>
        <v>#N/A</v>
      </c>
      <c r="H2285" s="1" t="s">
        <v>16</v>
      </c>
      <c r="I2285" s="6" t="e">
        <f>IF(B2285=0,VLOOKUP(A2285,Feuil2!$A$2:$M$1241,7,FALSE)," ")</f>
        <v>#N/A</v>
      </c>
      <c r="J2285" s="1" t="e">
        <f>IF(B2285=0,VLOOKUP(A2285,Feuil2!$A$2:$M$1241,9,FALSE)," ")</f>
        <v>#N/A</v>
      </c>
      <c r="K2285" s="1" t="e">
        <f>IF(B2285=0,VLOOKUP(A2285,Feuil2!$A$2:$M$1241,10,FALSE)," ")</f>
        <v>#N/A</v>
      </c>
      <c r="L2285" s="1"/>
      <c r="M2285" s="1"/>
      <c r="N2285" s="1"/>
      <c r="O2285" s="8"/>
    </row>
    <row r="2286" spans="1:15" x14ac:dyDescent="0.3">
      <c r="A2286" s="1"/>
      <c r="B2286" s="1"/>
      <c r="C2286" s="1" t="e">
        <f>IF(B2286=0,VLOOKUP(A2286,Feuil2!$A$2:$M$1241,2,FALSE)," ")</f>
        <v>#N/A</v>
      </c>
      <c r="D2286" s="1" t="e">
        <f>IF(B2286=0,VLOOKUP(A2286,Feuil2!$A$2:$M$1241,3,FALSE)," ")</f>
        <v>#N/A</v>
      </c>
      <c r="E2286" s="5" t="e">
        <f>IF(B2286=0,VLOOKUP(A2286,Feuil2!$A$2:$M$1241,6,FALSE)," ")</f>
        <v>#N/A</v>
      </c>
      <c r="F2286" s="1" t="e">
        <f>IF(B2286=0,VLOOKUP(A2286,Feuil2!$A$2:$M$1241,12,FALSE)," ")</f>
        <v>#N/A</v>
      </c>
      <c r="G2286" s="1" t="e">
        <f>IF(B2286=0,VLOOKUP(A2286,Feuil2!$A$2:$M$1241,11,FALSE)," ")</f>
        <v>#N/A</v>
      </c>
      <c r="H2286" s="1" t="s">
        <v>16</v>
      </c>
      <c r="I2286" s="6" t="e">
        <f>IF(B2286=0,VLOOKUP(A2286,Feuil2!$A$2:$M$1241,7,FALSE)," ")</f>
        <v>#N/A</v>
      </c>
      <c r="J2286" s="1" t="e">
        <f>IF(B2286=0,VLOOKUP(A2286,Feuil2!$A$2:$M$1241,9,FALSE)," ")</f>
        <v>#N/A</v>
      </c>
      <c r="K2286" s="1" t="e">
        <f>IF(B2286=0,VLOOKUP(A2286,Feuil2!$A$2:$M$1241,10,FALSE)," ")</f>
        <v>#N/A</v>
      </c>
      <c r="L2286" s="1"/>
      <c r="M2286" s="1"/>
      <c r="N2286" s="1"/>
      <c r="O2286" s="8"/>
    </row>
    <row r="2287" spans="1:15" x14ac:dyDescent="0.3">
      <c r="A2287" s="1"/>
      <c r="B2287" s="1"/>
      <c r="C2287" s="1" t="e">
        <f>IF(B2287=0,VLOOKUP(A2287,Feuil2!$A$2:$M$1241,2,FALSE)," ")</f>
        <v>#N/A</v>
      </c>
      <c r="D2287" s="1" t="e">
        <f>IF(B2287=0,VLOOKUP(A2287,Feuil2!$A$2:$M$1241,3,FALSE)," ")</f>
        <v>#N/A</v>
      </c>
      <c r="E2287" s="5" t="e">
        <f>IF(B2287=0,VLOOKUP(A2287,Feuil2!$A$2:$M$1241,6,FALSE)," ")</f>
        <v>#N/A</v>
      </c>
      <c r="F2287" s="1" t="e">
        <f>IF(B2287=0,VLOOKUP(A2287,Feuil2!$A$2:$M$1241,12,FALSE)," ")</f>
        <v>#N/A</v>
      </c>
      <c r="G2287" s="1" t="e">
        <f>IF(B2287=0,VLOOKUP(A2287,Feuil2!$A$2:$M$1241,11,FALSE)," ")</f>
        <v>#N/A</v>
      </c>
      <c r="H2287" s="1" t="s">
        <v>16</v>
      </c>
      <c r="I2287" s="6" t="e">
        <f>IF(B2287=0,VLOOKUP(A2287,Feuil2!$A$2:$M$1241,7,FALSE)," ")</f>
        <v>#N/A</v>
      </c>
      <c r="J2287" s="1" t="e">
        <f>IF(B2287=0,VLOOKUP(A2287,Feuil2!$A$2:$M$1241,9,FALSE)," ")</f>
        <v>#N/A</v>
      </c>
      <c r="K2287" s="1" t="e">
        <f>IF(B2287=0,VLOOKUP(A2287,Feuil2!$A$2:$M$1241,10,FALSE)," ")</f>
        <v>#N/A</v>
      </c>
      <c r="L2287" s="1"/>
      <c r="M2287" s="1"/>
      <c r="N2287" s="1"/>
      <c r="O2287" s="8"/>
    </row>
    <row r="2288" spans="1:15" x14ac:dyDescent="0.3">
      <c r="A2288" s="1"/>
      <c r="B2288" s="1"/>
      <c r="C2288" s="1" t="e">
        <f>IF(B2288=0,VLOOKUP(A2288,Feuil2!$A$2:$M$1241,2,FALSE)," ")</f>
        <v>#N/A</v>
      </c>
      <c r="D2288" s="1" t="e">
        <f>IF(B2288=0,VLOOKUP(A2288,Feuil2!$A$2:$M$1241,3,FALSE)," ")</f>
        <v>#N/A</v>
      </c>
      <c r="E2288" s="5" t="e">
        <f>IF(B2288=0,VLOOKUP(A2288,Feuil2!$A$2:$M$1241,6,FALSE)," ")</f>
        <v>#N/A</v>
      </c>
      <c r="F2288" s="1" t="e">
        <f>IF(B2288=0,VLOOKUP(A2288,Feuil2!$A$2:$M$1241,12,FALSE)," ")</f>
        <v>#N/A</v>
      </c>
      <c r="G2288" s="1" t="e">
        <f>IF(B2288=0,VLOOKUP(A2288,Feuil2!$A$2:$M$1241,11,FALSE)," ")</f>
        <v>#N/A</v>
      </c>
      <c r="H2288" s="1" t="s">
        <v>16</v>
      </c>
      <c r="I2288" s="6" t="e">
        <f>IF(B2288=0,VLOOKUP(A2288,Feuil2!$A$2:$M$1241,7,FALSE)," ")</f>
        <v>#N/A</v>
      </c>
      <c r="J2288" s="1" t="e">
        <f>IF(B2288=0,VLOOKUP(A2288,Feuil2!$A$2:$M$1241,9,FALSE)," ")</f>
        <v>#N/A</v>
      </c>
      <c r="K2288" s="1" t="e">
        <f>IF(B2288=0,VLOOKUP(A2288,Feuil2!$A$2:$M$1241,10,FALSE)," ")</f>
        <v>#N/A</v>
      </c>
      <c r="L2288" s="1"/>
      <c r="M2288" s="1"/>
      <c r="N2288" s="1"/>
      <c r="O2288" s="8"/>
    </row>
    <row r="2289" spans="1:15" x14ac:dyDescent="0.3">
      <c r="A2289" s="1"/>
      <c r="B2289" s="1"/>
      <c r="C2289" s="1" t="e">
        <f>IF(B2289=0,VLOOKUP(A2289,Feuil2!$A$2:$M$1241,2,FALSE)," ")</f>
        <v>#N/A</v>
      </c>
      <c r="D2289" s="1" t="e">
        <f>IF(B2289=0,VLOOKUP(A2289,Feuil2!$A$2:$M$1241,3,FALSE)," ")</f>
        <v>#N/A</v>
      </c>
      <c r="E2289" s="5" t="e">
        <f>IF(B2289=0,VLOOKUP(A2289,Feuil2!$A$2:$M$1241,6,FALSE)," ")</f>
        <v>#N/A</v>
      </c>
      <c r="F2289" s="1" t="e">
        <f>IF(B2289=0,VLOOKUP(A2289,Feuil2!$A$2:$M$1241,12,FALSE)," ")</f>
        <v>#N/A</v>
      </c>
      <c r="G2289" s="1" t="e">
        <f>IF(B2289=0,VLOOKUP(A2289,Feuil2!$A$2:$M$1241,11,FALSE)," ")</f>
        <v>#N/A</v>
      </c>
      <c r="H2289" s="1" t="s">
        <v>16</v>
      </c>
      <c r="I2289" s="6" t="e">
        <f>IF(B2289=0,VLOOKUP(A2289,Feuil2!$A$2:$M$1241,7,FALSE)," ")</f>
        <v>#N/A</v>
      </c>
      <c r="J2289" s="1" t="e">
        <f>IF(B2289=0,VLOOKUP(A2289,Feuil2!$A$2:$M$1241,9,FALSE)," ")</f>
        <v>#N/A</v>
      </c>
      <c r="K2289" s="1" t="e">
        <f>IF(B2289=0,VLOOKUP(A2289,Feuil2!$A$2:$M$1241,10,FALSE)," ")</f>
        <v>#N/A</v>
      </c>
      <c r="L2289" s="1"/>
      <c r="M2289" s="1"/>
      <c r="N2289" s="1"/>
      <c r="O2289" s="8"/>
    </row>
    <row r="2290" spans="1:15" x14ac:dyDescent="0.3">
      <c r="A2290" s="1"/>
      <c r="B2290" s="1"/>
      <c r="C2290" s="1" t="e">
        <f>IF(B2290=0,VLOOKUP(A2290,Feuil2!$A$2:$M$1241,2,FALSE)," ")</f>
        <v>#N/A</v>
      </c>
      <c r="D2290" s="1" t="e">
        <f>IF(B2290=0,VLOOKUP(A2290,Feuil2!$A$2:$M$1241,3,FALSE)," ")</f>
        <v>#N/A</v>
      </c>
      <c r="E2290" s="5" t="e">
        <f>IF(B2290=0,VLOOKUP(A2290,Feuil2!$A$2:$M$1241,6,FALSE)," ")</f>
        <v>#N/A</v>
      </c>
      <c r="F2290" s="1" t="e">
        <f>IF(B2290=0,VLOOKUP(A2290,Feuil2!$A$2:$M$1241,12,FALSE)," ")</f>
        <v>#N/A</v>
      </c>
      <c r="G2290" s="1" t="e">
        <f>IF(B2290=0,VLOOKUP(A2290,Feuil2!$A$2:$M$1241,11,FALSE)," ")</f>
        <v>#N/A</v>
      </c>
      <c r="H2290" s="1" t="s">
        <v>16</v>
      </c>
      <c r="I2290" s="6" t="e">
        <f>IF(B2290=0,VLOOKUP(A2290,Feuil2!$A$2:$M$1241,7,FALSE)," ")</f>
        <v>#N/A</v>
      </c>
      <c r="J2290" s="1" t="e">
        <f>IF(B2290=0,VLOOKUP(A2290,Feuil2!$A$2:$M$1241,9,FALSE)," ")</f>
        <v>#N/A</v>
      </c>
      <c r="K2290" s="1" t="e">
        <f>IF(B2290=0,VLOOKUP(A2290,Feuil2!$A$2:$M$1241,10,FALSE)," ")</f>
        <v>#N/A</v>
      </c>
      <c r="L2290" s="1"/>
      <c r="M2290" s="1"/>
      <c r="N2290" s="1"/>
      <c r="O2290" s="8"/>
    </row>
    <row r="2291" spans="1:15" x14ac:dyDescent="0.3">
      <c r="A2291" s="1"/>
      <c r="B2291" s="1"/>
      <c r="C2291" s="1" t="e">
        <f>IF(B2291=0,VLOOKUP(A2291,Feuil2!$A$2:$M$1241,2,FALSE)," ")</f>
        <v>#N/A</v>
      </c>
      <c r="D2291" s="1" t="e">
        <f>IF(B2291=0,VLOOKUP(A2291,Feuil2!$A$2:$M$1241,3,FALSE)," ")</f>
        <v>#N/A</v>
      </c>
      <c r="E2291" s="5" t="e">
        <f>IF(B2291=0,VLOOKUP(A2291,Feuil2!$A$2:$M$1241,6,FALSE)," ")</f>
        <v>#N/A</v>
      </c>
      <c r="F2291" s="1" t="e">
        <f>IF(B2291=0,VLOOKUP(A2291,Feuil2!$A$2:$M$1241,12,FALSE)," ")</f>
        <v>#N/A</v>
      </c>
      <c r="G2291" s="1" t="e">
        <f>IF(B2291=0,VLOOKUP(A2291,Feuil2!$A$2:$M$1241,11,FALSE)," ")</f>
        <v>#N/A</v>
      </c>
      <c r="H2291" s="1" t="s">
        <v>16</v>
      </c>
      <c r="I2291" s="6" t="e">
        <f>IF(B2291=0,VLOOKUP(A2291,Feuil2!$A$2:$M$1241,7,FALSE)," ")</f>
        <v>#N/A</v>
      </c>
      <c r="J2291" s="1" t="e">
        <f>IF(B2291=0,VLOOKUP(A2291,Feuil2!$A$2:$M$1241,9,FALSE)," ")</f>
        <v>#N/A</v>
      </c>
      <c r="K2291" s="1" t="e">
        <f>IF(B2291=0,VLOOKUP(A2291,Feuil2!$A$2:$M$1241,10,FALSE)," ")</f>
        <v>#N/A</v>
      </c>
      <c r="L2291" s="1"/>
      <c r="M2291" s="1"/>
      <c r="N2291" s="1"/>
      <c r="O2291" s="8"/>
    </row>
    <row r="2292" spans="1:15" x14ac:dyDescent="0.3">
      <c r="A2292" s="1"/>
      <c r="B2292" s="1"/>
      <c r="C2292" s="1" t="e">
        <f>IF(B2292=0,VLOOKUP(A2292,Feuil2!$A$2:$M$1241,2,FALSE)," ")</f>
        <v>#N/A</v>
      </c>
      <c r="D2292" s="1" t="e">
        <f>IF(B2292=0,VLOOKUP(A2292,Feuil2!$A$2:$M$1241,3,FALSE)," ")</f>
        <v>#N/A</v>
      </c>
      <c r="E2292" s="5" t="e">
        <f>IF(B2292=0,VLOOKUP(A2292,Feuil2!$A$2:$M$1241,6,FALSE)," ")</f>
        <v>#N/A</v>
      </c>
      <c r="F2292" s="1" t="e">
        <f>IF(B2292=0,VLOOKUP(A2292,Feuil2!$A$2:$M$1241,12,FALSE)," ")</f>
        <v>#N/A</v>
      </c>
      <c r="G2292" s="1" t="e">
        <f>IF(B2292=0,VLOOKUP(A2292,Feuil2!$A$2:$M$1241,11,FALSE)," ")</f>
        <v>#N/A</v>
      </c>
      <c r="H2292" s="1" t="s">
        <v>16</v>
      </c>
      <c r="I2292" s="6" t="e">
        <f>IF(B2292=0,VLOOKUP(A2292,Feuil2!$A$2:$M$1241,7,FALSE)," ")</f>
        <v>#N/A</v>
      </c>
      <c r="J2292" s="1" t="e">
        <f>IF(B2292=0,VLOOKUP(A2292,Feuil2!$A$2:$M$1241,9,FALSE)," ")</f>
        <v>#N/A</v>
      </c>
      <c r="K2292" s="1" t="e">
        <f>IF(B2292=0,VLOOKUP(A2292,Feuil2!$A$2:$M$1241,10,FALSE)," ")</f>
        <v>#N/A</v>
      </c>
      <c r="L2292" s="1"/>
      <c r="M2292" s="1"/>
      <c r="N2292" s="1"/>
      <c r="O2292" s="8"/>
    </row>
    <row r="2293" spans="1:15" x14ac:dyDescent="0.3">
      <c r="A2293" s="1"/>
      <c r="B2293" s="1"/>
      <c r="C2293" s="1" t="e">
        <f>IF(B2293=0,VLOOKUP(A2293,Feuil2!$A$2:$M$1241,2,FALSE)," ")</f>
        <v>#N/A</v>
      </c>
      <c r="D2293" s="1" t="e">
        <f>IF(B2293=0,VLOOKUP(A2293,Feuil2!$A$2:$M$1241,3,FALSE)," ")</f>
        <v>#N/A</v>
      </c>
      <c r="E2293" s="5" t="e">
        <f>IF(B2293=0,VLOOKUP(A2293,Feuil2!$A$2:$M$1241,6,FALSE)," ")</f>
        <v>#N/A</v>
      </c>
      <c r="F2293" s="1" t="e">
        <f>IF(B2293=0,VLOOKUP(A2293,Feuil2!$A$2:$M$1241,12,FALSE)," ")</f>
        <v>#N/A</v>
      </c>
      <c r="G2293" s="1" t="e">
        <f>IF(B2293=0,VLOOKUP(A2293,Feuil2!$A$2:$M$1241,11,FALSE)," ")</f>
        <v>#N/A</v>
      </c>
      <c r="H2293" s="1" t="s">
        <v>16</v>
      </c>
      <c r="I2293" s="6" t="e">
        <f>IF(B2293=0,VLOOKUP(A2293,Feuil2!$A$2:$M$1241,7,FALSE)," ")</f>
        <v>#N/A</v>
      </c>
      <c r="J2293" s="1" t="e">
        <f>IF(B2293=0,VLOOKUP(A2293,Feuil2!$A$2:$M$1241,9,FALSE)," ")</f>
        <v>#N/A</v>
      </c>
      <c r="K2293" s="1" t="e">
        <f>IF(B2293=0,VLOOKUP(A2293,Feuil2!$A$2:$M$1241,10,FALSE)," ")</f>
        <v>#N/A</v>
      </c>
      <c r="L2293" s="1"/>
      <c r="M2293" s="1"/>
      <c r="N2293" s="1"/>
      <c r="O2293" s="8"/>
    </row>
    <row r="2294" spans="1:15" x14ac:dyDescent="0.3">
      <c r="A2294" s="1"/>
      <c r="B2294" s="1"/>
      <c r="C2294" s="1" t="e">
        <f>IF(B2294=0,VLOOKUP(A2294,Feuil2!$A$2:$M$1241,2,FALSE)," ")</f>
        <v>#N/A</v>
      </c>
      <c r="D2294" s="1" t="e">
        <f>IF(B2294=0,VLOOKUP(A2294,Feuil2!$A$2:$M$1241,3,FALSE)," ")</f>
        <v>#N/A</v>
      </c>
      <c r="E2294" s="5" t="e">
        <f>IF(B2294=0,VLOOKUP(A2294,Feuil2!$A$2:$M$1241,6,FALSE)," ")</f>
        <v>#N/A</v>
      </c>
      <c r="F2294" s="1" t="e">
        <f>IF(B2294=0,VLOOKUP(A2294,Feuil2!$A$2:$M$1241,12,FALSE)," ")</f>
        <v>#N/A</v>
      </c>
      <c r="G2294" s="1" t="e">
        <f>IF(B2294=0,VLOOKUP(A2294,Feuil2!$A$2:$M$1241,11,FALSE)," ")</f>
        <v>#N/A</v>
      </c>
      <c r="H2294" s="1" t="s">
        <v>16</v>
      </c>
      <c r="I2294" s="6" t="e">
        <f>IF(B2294=0,VLOOKUP(A2294,Feuil2!$A$2:$M$1241,7,FALSE)," ")</f>
        <v>#N/A</v>
      </c>
      <c r="J2294" s="1" t="e">
        <f>IF(B2294=0,VLOOKUP(A2294,Feuil2!$A$2:$M$1241,9,FALSE)," ")</f>
        <v>#N/A</v>
      </c>
      <c r="K2294" s="1" t="e">
        <f>IF(B2294=0,VLOOKUP(A2294,Feuil2!$A$2:$M$1241,10,FALSE)," ")</f>
        <v>#N/A</v>
      </c>
      <c r="L2294" s="1"/>
      <c r="M2294" s="1"/>
      <c r="N2294" s="1"/>
      <c r="O2294" s="8"/>
    </row>
    <row r="2295" spans="1:15" x14ac:dyDescent="0.3">
      <c r="A2295" s="1"/>
      <c r="B2295" s="1"/>
      <c r="C2295" s="1" t="e">
        <f>IF(B2295=0,VLOOKUP(A2295,Feuil2!$A$2:$M$1241,2,FALSE)," ")</f>
        <v>#N/A</v>
      </c>
      <c r="D2295" s="1" t="e">
        <f>IF(B2295=0,VLOOKUP(A2295,Feuil2!$A$2:$M$1241,3,FALSE)," ")</f>
        <v>#N/A</v>
      </c>
      <c r="E2295" s="5" t="e">
        <f>IF(B2295=0,VLOOKUP(A2295,Feuil2!$A$2:$M$1241,6,FALSE)," ")</f>
        <v>#N/A</v>
      </c>
      <c r="F2295" s="1" t="e">
        <f>IF(B2295=0,VLOOKUP(A2295,Feuil2!$A$2:$M$1241,12,FALSE)," ")</f>
        <v>#N/A</v>
      </c>
      <c r="G2295" s="1" t="e">
        <f>IF(B2295=0,VLOOKUP(A2295,Feuil2!$A$2:$M$1241,11,FALSE)," ")</f>
        <v>#N/A</v>
      </c>
      <c r="H2295" s="1" t="s">
        <v>16</v>
      </c>
      <c r="I2295" s="6" t="e">
        <f>IF(B2295=0,VLOOKUP(A2295,Feuil2!$A$2:$M$1241,7,FALSE)," ")</f>
        <v>#N/A</v>
      </c>
      <c r="J2295" s="1" t="e">
        <f>IF(B2295=0,VLOOKUP(A2295,Feuil2!$A$2:$M$1241,9,FALSE)," ")</f>
        <v>#N/A</v>
      </c>
      <c r="K2295" s="1" t="e">
        <f>IF(B2295=0,VLOOKUP(A2295,Feuil2!$A$2:$M$1241,10,FALSE)," ")</f>
        <v>#N/A</v>
      </c>
      <c r="L2295" s="1"/>
      <c r="M2295" s="1"/>
      <c r="N2295" s="1"/>
      <c r="O2295" s="8"/>
    </row>
    <row r="2296" spans="1:15" x14ac:dyDescent="0.3">
      <c r="A2296" s="1"/>
      <c r="B2296" s="1"/>
      <c r="C2296" s="1" t="e">
        <f>IF(B2296=0,VLOOKUP(A2296,Feuil2!$A$2:$M$1241,2,FALSE)," ")</f>
        <v>#N/A</v>
      </c>
      <c r="D2296" s="1" t="e">
        <f>IF(B2296=0,VLOOKUP(A2296,Feuil2!$A$2:$M$1241,3,FALSE)," ")</f>
        <v>#N/A</v>
      </c>
      <c r="E2296" s="5" t="e">
        <f>IF(B2296=0,VLOOKUP(A2296,Feuil2!$A$2:$M$1241,6,FALSE)," ")</f>
        <v>#N/A</v>
      </c>
      <c r="F2296" s="1" t="e">
        <f>IF(B2296=0,VLOOKUP(A2296,Feuil2!$A$2:$M$1241,12,FALSE)," ")</f>
        <v>#N/A</v>
      </c>
      <c r="G2296" s="1" t="e">
        <f>IF(B2296=0,VLOOKUP(A2296,Feuil2!$A$2:$M$1241,11,FALSE)," ")</f>
        <v>#N/A</v>
      </c>
      <c r="H2296" s="1" t="s">
        <v>16</v>
      </c>
      <c r="I2296" s="6" t="e">
        <f>IF(B2296=0,VLOOKUP(A2296,Feuil2!$A$2:$M$1241,7,FALSE)," ")</f>
        <v>#N/A</v>
      </c>
      <c r="J2296" s="1" t="e">
        <f>IF(B2296=0,VLOOKUP(A2296,Feuil2!$A$2:$M$1241,9,FALSE)," ")</f>
        <v>#N/A</v>
      </c>
      <c r="K2296" s="1" t="e">
        <f>IF(B2296=0,VLOOKUP(A2296,Feuil2!$A$2:$M$1241,10,FALSE)," ")</f>
        <v>#N/A</v>
      </c>
      <c r="L2296" s="1"/>
      <c r="M2296" s="1"/>
      <c r="N2296" s="1"/>
      <c r="O2296" s="8"/>
    </row>
    <row r="2297" spans="1:15" x14ac:dyDescent="0.3">
      <c r="A2297" s="1"/>
      <c r="B2297" s="1"/>
      <c r="C2297" s="1" t="e">
        <f>IF(B2297=0,VLOOKUP(A2297,Feuil2!$A$2:$M$1241,2,FALSE)," ")</f>
        <v>#N/A</v>
      </c>
      <c r="D2297" s="1" t="e">
        <f>IF(B2297=0,VLOOKUP(A2297,Feuil2!$A$2:$M$1241,3,FALSE)," ")</f>
        <v>#N/A</v>
      </c>
      <c r="E2297" s="5" t="e">
        <f>IF(B2297=0,VLOOKUP(A2297,Feuil2!$A$2:$M$1241,6,FALSE)," ")</f>
        <v>#N/A</v>
      </c>
      <c r="F2297" s="1" t="e">
        <f>IF(B2297=0,VLOOKUP(A2297,Feuil2!$A$2:$M$1241,12,FALSE)," ")</f>
        <v>#N/A</v>
      </c>
      <c r="G2297" s="1" t="e">
        <f>IF(B2297=0,VLOOKUP(A2297,Feuil2!$A$2:$M$1241,11,FALSE)," ")</f>
        <v>#N/A</v>
      </c>
      <c r="H2297" s="1" t="s">
        <v>16</v>
      </c>
      <c r="I2297" s="6" t="e">
        <f>IF(B2297=0,VLOOKUP(A2297,Feuil2!$A$2:$M$1241,7,FALSE)," ")</f>
        <v>#N/A</v>
      </c>
      <c r="J2297" s="1" t="e">
        <f>IF(B2297=0,VLOOKUP(A2297,Feuil2!$A$2:$M$1241,9,FALSE)," ")</f>
        <v>#N/A</v>
      </c>
      <c r="K2297" s="1" t="e">
        <f>IF(B2297=0,VLOOKUP(A2297,Feuil2!$A$2:$M$1241,10,FALSE)," ")</f>
        <v>#N/A</v>
      </c>
      <c r="L2297" s="1"/>
      <c r="M2297" s="1"/>
      <c r="N2297" s="1"/>
      <c r="O2297" s="8"/>
    </row>
    <row r="2298" spans="1:15" x14ac:dyDescent="0.3">
      <c r="A2298" s="1"/>
      <c r="B2298" s="1"/>
      <c r="C2298" s="1" t="e">
        <f>IF(B2298=0,VLOOKUP(A2298,Feuil2!$A$2:$M$1241,2,FALSE)," ")</f>
        <v>#N/A</v>
      </c>
      <c r="D2298" s="1" t="e">
        <f>IF(B2298=0,VLOOKUP(A2298,Feuil2!$A$2:$M$1241,3,FALSE)," ")</f>
        <v>#N/A</v>
      </c>
      <c r="E2298" s="5" t="e">
        <f>IF(B2298=0,VLOOKUP(A2298,Feuil2!$A$2:$M$1241,6,FALSE)," ")</f>
        <v>#N/A</v>
      </c>
      <c r="F2298" s="1" t="e">
        <f>IF(B2298=0,VLOOKUP(A2298,Feuil2!$A$2:$M$1241,12,FALSE)," ")</f>
        <v>#N/A</v>
      </c>
      <c r="G2298" s="1" t="e">
        <f>IF(B2298=0,VLOOKUP(A2298,Feuil2!$A$2:$M$1241,11,FALSE)," ")</f>
        <v>#N/A</v>
      </c>
      <c r="H2298" s="1" t="s">
        <v>16</v>
      </c>
      <c r="I2298" s="6" t="e">
        <f>IF(B2298=0,VLOOKUP(A2298,Feuil2!$A$2:$M$1241,7,FALSE)," ")</f>
        <v>#N/A</v>
      </c>
      <c r="J2298" s="1" t="e">
        <f>IF(B2298=0,VLOOKUP(A2298,Feuil2!$A$2:$M$1241,9,FALSE)," ")</f>
        <v>#N/A</v>
      </c>
      <c r="K2298" s="1" t="e">
        <f>IF(B2298=0,VLOOKUP(A2298,Feuil2!$A$2:$M$1241,10,FALSE)," ")</f>
        <v>#N/A</v>
      </c>
      <c r="L2298" s="1"/>
      <c r="M2298" s="1"/>
      <c r="N2298" s="1"/>
      <c r="O2298" s="8"/>
    </row>
    <row r="2299" spans="1:15" x14ac:dyDescent="0.3">
      <c r="A2299" s="1"/>
      <c r="B2299" s="1"/>
      <c r="C2299" s="1" t="e">
        <f>IF(B2299=0,VLOOKUP(A2299,Feuil2!$A$2:$M$1241,2,FALSE)," ")</f>
        <v>#N/A</v>
      </c>
      <c r="D2299" s="1" t="e">
        <f>IF(B2299=0,VLOOKUP(A2299,Feuil2!$A$2:$M$1241,3,FALSE)," ")</f>
        <v>#N/A</v>
      </c>
      <c r="E2299" s="5" t="e">
        <f>IF(B2299=0,VLOOKUP(A2299,Feuil2!$A$2:$M$1241,6,FALSE)," ")</f>
        <v>#N/A</v>
      </c>
      <c r="F2299" s="1" t="e">
        <f>IF(B2299=0,VLOOKUP(A2299,Feuil2!$A$2:$M$1241,12,FALSE)," ")</f>
        <v>#N/A</v>
      </c>
      <c r="G2299" s="1" t="e">
        <f>IF(B2299=0,VLOOKUP(A2299,Feuil2!$A$2:$M$1241,11,FALSE)," ")</f>
        <v>#N/A</v>
      </c>
      <c r="H2299" s="1" t="s">
        <v>16</v>
      </c>
      <c r="I2299" s="6" t="e">
        <f>IF(B2299=0,VLOOKUP(A2299,Feuil2!$A$2:$M$1241,7,FALSE)," ")</f>
        <v>#N/A</v>
      </c>
      <c r="J2299" s="1" t="e">
        <f>IF(B2299=0,VLOOKUP(A2299,Feuil2!$A$2:$M$1241,9,FALSE)," ")</f>
        <v>#N/A</v>
      </c>
      <c r="K2299" s="1" t="e">
        <f>IF(B2299=0,VLOOKUP(A2299,Feuil2!$A$2:$M$1241,10,FALSE)," ")</f>
        <v>#N/A</v>
      </c>
      <c r="L2299" s="1"/>
      <c r="M2299" s="1"/>
      <c r="N2299" s="1"/>
      <c r="O2299" s="8"/>
    </row>
    <row r="2300" spans="1:15" x14ac:dyDescent="0.3">
      <c r="A2300" s="1"/>
      <c r="B2300" s="1"/>
      <c r="C2300" s="1" t="e">
        <f>IF(B2300=0,VLOOKUP(A2300,Feuil2!$A$2:$M$1241,2,FALSE)," ")</f>
        <v>#N/A</v>
      </c>
      <c r="D2300" s="1" t="e">
        <f>IF(B2300=0,VLOOKUP(A2300,Feuil2!$A$2:$M$1241,3,FALSE)," ")</f>
        <v>#N/A</v>
      </c>
      <c r="E2300" s="5" t="e">
        <f>IF(B2300=0,VLOOKUP(A2300,Feuil2!$A$2:$M$1241,6,FALSE)," ")</f>
        <v>#N/A</v>
      </c>
      <c r="F2300" s="1" t="e">
        <f>IF(B2300=0,VLOOKUP(A2300,Feuil2!$A$2:$M$1241,12,FALSE)," ")</f>
        <v>#N/A</v>
      </c>
      <c r="G2300" s="1" t="e">
        <f>IF(B2300=0,VLOOKUP(A2300,Feuil2!$A$2:$M$1241,11,FALSE)," ")</f>
        <v>#N/A</v>
      </c>
      <c r="H2300" s="1" t="s">
        <v>16</v>
      </c>
      <c r="I2300" s="6" t="e">
        <f>IF(B2300=0,VLOOKUP(A2300,Feuil2!$A$2:$M$1241,7,FALSE)," ")</f>
        <v>#N/A</v>
      </c>
      <c r="J2300" s="1" t="e">
        <f>IF(B2300=0,VLOOKUP(A2300,Feuil2!$A$2:$M$1241,9,FALSE)," ")</f>
        <v>#N/A</v>
      </c>
      <c r="K2300" s="1" t="e">
        <f>IF(B2300=0,VLOOKUP(A2300,Feuil2!$A$2:$M$1241,10,FALSE)," ")</f>
        <v>#N/A</v>
      </c>
      <c r="L2300" s="1"/>
      <c r="M2300" s="1"/>
      <c r="N2300" s="1"/>
      <c r="O2300" s="8"/>
    </row>
    <row r="2301" spans="1:15" x14ac:dyDescent="0.3">
      <c r="A2301" s="1"/>
      <c r="B2301" s="1"/>
      <c r="C2301" s="1" t="e">
        <f>IF(B2301=0,VLOOKUP(A2301,Feuil2!$A$2:$M$1241,2,FALSE)," ")</f>
        <v>#N/A</v>
      </c>
      <c r="D2301" s="1" t="e">
        <f>IF(B2301=0,VLOOKUP(A2301,Feuil2!$A$2:$M$1241,3,FALSE)," ")</f>
        <v>#N/A</v>
      </c>
      <c r="E2301" s="5" t="e">
        <f>IF(B2301=0,VLOOKUP(A2301,Feuil2!$A$2:$M$1241,6,FALSE)," ")</f>
        <v>#N/A</v>
      </c>
      <c r="F2301" s="1" t="e">
        <f>IF(B2301=0,VLOOKUP(A2301,Feuil2!$A$2:$M$1241,12,FALSE)," ")</f>
        <v>#N/A</v>
      </c>
      <c r="G2301" s="1" t="e">
        <f>IF(B2301=0,VLOOKUP(A2301,Feuil2!$A$2:$M$1241,11,FALSE)," ")</f>
        <v>#N/A</v>
      </c>
      <c r="H2301" s="1" t="s">
        <v>16</v>
      </c>
      <c r="I2301" s="6" t="e">
        <f>IF(B2301=0,VLOOKUP(A2301,Feuil2!$A$2:$M$1241,7,FALSE)," ")</f>
        <v>#N/A</v>
      </c>
      <c r="J2301" s="1" t="e">
        <f>IF(B2301=0,VLOOKUP(A2301,Feuil2!$A$2:$M$1241,9,FALSE)," ")</f>
        <v>#N/A</v>
      </c>
      <c r="K2301" s="1" t="e">
        <f>IF(B2301=0,VLOOKUP(A2301,Feuil2!$A$2:$M$1241,10,FALSE)," ")</f>
        <v>#N/A</v>
      </c>
      <c r="L2301" s="1"/>
      <c r="M2301" s="1"/>
      <c r="N2301" s="1"/>
      <c r="O2301" s="8"/>
    </row>
    <row r="2302" spans="1:15" x14ac:dyDescent="0.3">
      <c r="A2302" s="1"/>
      <c r="B2302" s="1"/>
      <c r="C2302" s="1" t="e">
        <f>IF(B2302=0,VLOOKUP(A2302,Feuil2!$A$2:$M$1241,2,FALSE)," ")</f>
        <v>#N/A</v>
      </c>
      <c r="D2302" s="1" t="e">
        <f>IF(B2302=0,VLOOKUP(A2302,Feuil2!$A$2:$M$1241,3,FALSE)," ")</f>
        <v>#N/A</v>
      </c>
      <c r="E2302" s="5" t="e">
        <f>IF(B2302=0,VLOOKUP(A2302,Feuil2!$A$2:$M$1241,6,FALSE)," ")</f>
        <v>#N/A</v>
      </c>
      <c r="F2302" s="1" t="e">
        <f>IF(B2302=0,VLOOKUP(A2302,Feuil2!$A$2:$M$1241,12,FALSE)," ")</f>
        <v>#N/A</v>
      </c>
      <c r="G2302" s="1" t="e">
        <f>IF(B2302=0,VLOOKUP(A2302,Feuil2!$A$2:$M$1241,11,FALSE)," ")</f>
        <v>#N/A</v>
      </c>
      <c r="H2302" s="1" t="s">
        <v>16</v>
      </c>
      <c r="I2302" s="6" t="e">
        <f>IF(B2302=0,VLOOKUP(A2302,Feuil2!$A$2:$M$1241,7,FALSE)," ")</f>
        <v>#N/A</v>
      </c>
      <c r="J2302" s="1" t="e">
        <f>IF(B2302=0,VLOOKUP(A2302,Feuil2!$A$2:$M$1241,9,FALSE)," ")</f>
        <v>#N/A</v>
      </c>
      <c r="K2302" s="1" t="e">
        <f>IF(B2302=0,VLOOKUP(A2302,Feuil2!$A$2:$M$1241,10,FALSE)," ")</f>
        <v>#N/A</v>
      </c>
      <c r="L2302" s="1"/>
      <c r="M2302" s="1"/>
      <c r="N2302" s="1"/>
      <c r="O2302" s="8"/>
    </row>
    <row r="2303" spans="1:15" x14ac:dyDescent="0.3">
      <c r="A2303" s="1"/>
      <c r="B2303" s="1"/>
      <c r="C2303" s="1" t="e">
        <f>IF(B2303=0,VLOOKUP(A2303,Feuil2!$A$2:$M$1241,2,FALSE)," ")</f>
        <v>#N/A</v>
      </c>
      <c r="D2303" s="1" t="e">
        <f>IF(B2303=0,VLOOKUP(A2303,Feuil2!$A$2:$M$1241,3,FALSE)," ")</f>
        <v>#N/A</v>
      </c>
      <c r="E2303" s="5" t="e">
        <f>IF(B2303=0,VLOOKUP(A2303,Feuil2!$A$2:$M$1241,6,FALSE)," ")</f>
        <v>#N/A</v>
      </c>
      <c r="F2303" s="1" t="e">
        <f>IF(B2303=0,VLOOKUP(A2303,Feuil2!$A$2:$M$1241,12,FALSE)," ")</f>
        <v>#N/A</v>
      </c>
      <c r="G2303" s="1" t="e">
        <f>IF(B2303=0,VLOOKUP(A2303,Feuil2!$A$2:$M$1241,11,FALSE)," ")</f>
        <v>#N/A</v>
      </c>
      <c r="H2303" s="1" t="s">
        <v>16</v>
      </c>
      <c r="I2303" s="6" t="e">
        <f>IF(B2303=0,VLOOKUP(A2303,Feuil2!$A$2:$M$1241,7,FALSE)," ")</f>
        <v>#N/A</v>
      </c>
      <c r="J2303" s="1" t="e">
        <f>IF(B2303=0,VLOOKUP(A2303,Feuil2!$A$2:$M$1241,9,FALSE)," ")</f>
        <v>#N/A</v>
      </c>
      <c r="K2303" s="1" t="e">
        <f>IF(B2303=0,VLOOKUP(A2303,Feuil2!$A$2:$M$1241,10,FALSE)," ")</f>
        <v>#N/A</v>
      </c>
      <c r="L2303" s="1"/>
      <c r="M2303" s="1"/>
      <c r="N2303" s="1"/>
      <c r="O2303" s="8"/>
    </row>
    <row r="2304" spans="1:15" x14ac:dyDescent="0.3">
      <c r="A2304" s="1"/>
      <c r="B2304" s="1"/>
      <c r="C2304" s="1" t="e">
        <f>IF(B2304=0,VLOOKUP(A2304,Feuil2!$A$2:$M$1241,2,FALSE)," ")</f>
        <v>#N/A</v>
      </c>
      <c r="D2304" s="1" t="e">
        <f>IF(B2304=0,VLOOKUP(A2304,Feuil2!$A$2:$M$1241,3,FALSE)," ")</f>
        <v>#N/A</v>
      </c>
      <c r="E2304" s="5" t="e">
        <f>IF(B2304=0,VLOOKUP(A2304,Feuil2!$A$2:$M$1241,6,FALSE)," ")</f>
        <v>#N/A</v>
      </c>
      <c r="F2304" s="1" t="e">
        <f>IF(B2304=0,VLOOKUP(A2304,Feuil2!$A$2:$M$1241,12,FALSE)," ")</f>
        <v>#N/A</v>
      </c>
      <c r="G2304" s="1" t="e">
        <f>IF(B2304=0,VLOOKUP(A2304,Feuil2!$A$2:$M$1241,11,FALSE)," ")</f>
        <v>#N/A</v>
      </c>
      <c r="H2304" s="1" t="s">
        <v>16</v>
      </c>
      <c r="I2304" s="6" t="e">
        <f>IF(B2304=0,VLOOKUP(A2304,Feuil2!$A$2:$M$1241,7,FALSE)," ")</f>
        <v>#N/A</v>
      </c>
      <c r="J2304" s="1" t="e">
        <f>IF(B2304=0,VLOOKUP(A2304,Feuil2!$A$2:$M$1241,9,FALSE)," ")</f>
        <v>#N/A</v>
      </c>
      <c r="K2304" s="1" t="e">
        <f>IF(B2304=0,VLOOKUP(A2304,Feuil2!$A$2:$M$1241,10,FALSE)," ")</f>
        <v>#N/A</v>
      </c>
      <c r="L2304" s="1"/>
      <c r="M2304" s="1"/>
      <c r="N2304" s="1"/>
      <c r="O2304" s="8"/>
    </row>
    <row r="2305" spans="1:15" x14ac:dyDescent="0.3">
      <c r="A2305" s="1"/>
      <c r="B2305" s="1"/>
      <c r="C2305" s="1" t="e">
        <f>IF(B2305=0,VLOOKUP(A2305,Feuil2!$A$2:$M$1241,2,FALSE)," ")</f>
        <v>#N/A</v>
      </c>
      <c r="D2305" s="1" t="e">
        <f>IF(B2305=0,VLOOKUP(A2305,Feuil2!$A$2:$M$1241,3,FALSE)," ")</f>
        <v>#N/A</v>
      </c>
      <c r="E2305" s="5" t="e">
        <f>IF(B2305=0,VLOOKUP(A2305,Feuil2!$A$2:$M$1241,6,FALSE)," ")</f>
        <v>#N/A</v>
      </c>
      <c r="F2305" s="1" t="e">
        <f>IF(B2305=0,VLOOKUP(A2305,Feuil2!$A$2:$M$1241,12,FALSE)," ")</f>
        <v>#N/A</v>
      </c>
      <c r="G2305" s="1" t="e">
        <f>IF(B2305=0,VLOOKUP(A2305,Feuil2!$A$2:$M$1241,11,FALSE)," ")</f>
        <v>#N/A</v>
      </c>
      <c r="H2305" s="1" t="s">
        <v>16</v>
      </c>
      <c r="I2305" s="6" t="e">
        <f>IF(B2305=0,VLOOKUP(A2305,Feuil2!$A$2:$M$1241,7,FALSE)," ")</f>
        <v>#N/A</v>
      </c>
      <c r="J2305" s="1" t="e">
        <f>IF(B2305=0,VLOOKUP(A2305,Feuil2!$A$2:$M$1241,9,FALSE)," ")</f>
        <v>#N/A</v>
      </c>
      <c r="K2305" s="1" t="e">
        <f>IF(B2305=0,VLOOKUP(A2305,Feuil2!$A$2:$M$1241,10,FALSE)," ")</f>
        <v>#N/A</v>
      </c>
      <c r="L2305" s="1"/>
      <c r="M2305" s="1"/>
      <c r="N2305" s="1"/>
      <c r="O2305" s="8"/>
    </row>
    <row r="2306" spans="1:15" x14ac:dyDescent="0.3">
      <c r="A2306" s="1"/>
      <c r="B2306" s="1"/>
      <c r="C2306" s="1" t="e">
        <f>IF(B2306=0,VLOOKUP(A2306,Feuil2!$A$2:$M$1241,2,FALSE)," ")</f>
        <v>#N/A</v>
      </c>
      <c r="D2306" s="1" t="e">
        <f>IF(B2306=0,VLOOKUP(A2306,Feuil2!$A$2:$M$1241,3,FALSE)," ")</f>
        <v>#N/A</v>
      </c>
      <c r="E2306" s="5" t="e">
        <f>IF(B2306=0,VLOOKUP(A2306,Feuil2!$A$2:$M$1241,6,FALSE)," ")</f>
        <v>#N/A</v>
      </c>
      <c r="F2306" s="1" t="e">
        <f>IF(B2306=0,VLOOKUP(A2306,Feuil2!$A$2:$M$1241,12,FALSE)," ")</f>
        <v>#N/A</v>
      </c>
      <c r="G2306" s="1" t="e">
        <f>IF(B2306=0,VLOOKUP(A2306,Feuil2!$A$2:$M$1241,11,FALSE)," ")</f>
        <v>#N/A</v>
      </c>
      <c r="H2306" s="1" t="s">
        <v>16</v>
      </c>
      <c r="I2306" s="6" t="e">
        <f>IF(B2306=0,VLOOKUP(A2306,Feuil2!$A$2:$M$1241,7,FALSE)," ")</f>
        <v>#N/A</v>
      </c>
      <c r="J2306" s="1" t="e">
        <f>IF(B2306=0,VLOOKUP(A2306,Feuil2!$A$2:$M$1241,9,FALSE)," ")</f>
        <v>#N/A</v>
      </c>
      <c r="K2306" s="1" t="e">
        <f>IF(B2306=0,VLOOKUP(A2306,Feuil2!$A$2:$M$1241,10,FALSE)," ")</f>
        <v>#N/A</v>
      </c>
      <c r="L2306" s="1"/>
      <c r="M2306" s="1"/>
      <c r="N2306" s="1"/>
      <c r="O2306" s="8"/>
    </row>
    <row r="2307" spans="1:15" x14ac:dyDescent="0.3">
      <c r="A2307" s="1"/>
      <c r="B2307" s="1"/>
      <c r="C2307" s="1" t="e">
        <f>IF(B2307=0,VLOOKUP(A2307,Feuil2!$A$2:$M$1241,2,FALSE)," ")</f>
        <v>#N/A</v>
      </c>
      <c r="D2307" s="1" t="e">
        <f>IF(B2307=0,VLOOKUP(A2307,Feuil2!$A$2:$M$1241,3,FALSE)," ")</f>
        <v>#N/A</v>
      </c>
      <c r="E2307" s="5" t="e">
        <f>IF(B2307=0,VLOOKUP(A2307,Feuil2!$A$2:$M$1241,6,FALSE)," ")</f>
        <v>#N/A</v>
      </c>
      <c r="F2307" s="1" t="e">
        <f>IF(B2307=0,VLOOKUP(A2307,Feuil2!$A$2:$M$1241,12,FALSE)," ")</f>
        <v>#N/A</v>
      </c>
      <c r="G2307" s="1" t="e">
        <f>IF(B2307=0,VLOOKUP(A2307,Feuil2!$A$2:$M$1241,11,FALSE)," ")</f>
        <v>#N/A</v>
      </c>
      <c r="H2307" s="1" t="s">
        <v>16</v>
      </c>
      <c r="I2307" s="6" t="e">
        <f>IF(B2307=0,VLOOKUP(A2307,Feuil2!$A$2:$M$1241,7,FALSE)," ")</f>
        <v>#N/A</v>
      </c>
      <c r="J2307" s="1" t="e">
        <f>IF(B2307=0,VLOOKUP(A2307,Feuil2!$A$2:$M$1241,9,FALSE)," ")</f>
        <v>#N/A</v>
      </c>
      <c r="K2307" s="1" t="e">
        <f>IF(B2307=0,VLOOKUP(A2307,Feuil2!$A$2:$M$1241,10,FALSE)," ")</f>
        <v>#N/A</v>
      </c>
      <c r="L2307" s="1"/>
      <c r="M2307" s="1"/>
      <c r="N2307" s="1"/>
      <c r="O2307" s="8"/>
    </row>
    <row r="2308" spans="1:15" x14ac:dyDescent="0.3">
      <c r="A2308" s="1"/>
      <c r="B2308" s="1"/>
      <c r="C2308" s="1" t="e">
        <f>IF(B2308=0,VLOOKUP(A2308,Feuil2!$A$2:$M$1241,2,FALSE)," ")</f>
        <v>#N/A</v>
      </c>
      <c r="D2308" s="1" t="e">
        <f>IF(B2308=0,VLOOKUP(A2308,Feuil2!$A$2:$M$1241,3,FALSE)," ")</f>
        <v>#N/A</v>
      </c>
      <c r="E2308" s="5" t="e">
        <f>IF(B2308=0,VLOOKUP(A2308,Feuil2!$A$2:$M$1241,6,FALSE)," ")</f>
        <v>#N/A</v>
      </c>
      <c r="F2308" s="1" t="e">
        <f>IF(B2308=0,VLOOKUP(A2308,Feuil2!$A$2:$M$1241,12,FALSE)," ")</f>
        <v>#N/A</v>
      </c>
      <c r="G2308" s="1" t="e">
        <f>IF(B2308=0,VLOOKUP(A2308,Feuil2!$A$2:$M$1241,11,FALSE)," ")</f>
        <v>#N/A</v>
      </c>
      <c r="H2308" s="1" t="s">
        <v>16</v>
      </c>
      <c r="I2308" s="6" t="e">
        <f>IF(B2308=0,VLOOKUP(A2308,Feuil2!$A$2:$M$1241,7,FALSE)," ")</f>
        <v>#N/A</v>
      </c>
      <c r="J2308" s="1" t="e">
        <f>IF(B2308=0,VLOOKUP(A2308,Feuil2!$A$2:$M$1241,9,FALSE)," ")</f>
        <v>#N/A</v>
      </c>
      <c r="K2308" s="1" t="e">
        <f>IF(B2308=0,VLOOKUP(A2308,Feuil2!$A$2:$M$1241,10,FALSE)," ")</f>
        <v>#N/A</v>
      </c>
      <c r="L2308" s="1"/>
      <c r="M2308" s="1"/>
      <c r="N2308" s="1"/>
      <c r="O2308" s="8"/>
    </row>
    <row r="2309" spans="1:15" x14ac:dyDescent="0.3">
      <c r="A2309" s="1"/>
      <c r="B2309" s="1"/>
      <c r="C2309" s="1" t="e">
        <f>IF(B2309=0,VLOOKUP(A2309,Feuil2!$A$2:$M$1241,2,FALSE)," ")</f>
        <v>#N/A</v>
      </c>
      <c r="D2309" s="1" t="e">
        <f>IF(B2309=0,VLOOKUP(A2309,Feuil2!$A$2:$M$1241,3,FALSE)," ")</f>
        <v>#N/A</v>
      </c>
      <c r="E2309" s="5" t="e">
        <f>IF(B2309=0,VLOOKUP(A2309,Feuil2!$A$2:$M$1241,6,FALSE)," ")</f>
        <v>#N/A</v>
      </c>
      <c r="F2309" s="1" t="e">
        <f>IF(B2309=0,VLOOKUP(A2309,Feuil2!$A$2:$M$1241,12,FALSE)," ")</f>
        <v>#N/A</v>
      </c>
      <c r="G2309" s="1" t="e">
        <f>IF(B2309=0,VLOOKUP(A2309,Feuil2!$A$2:$M$1241,11,FALSE)," ")</f>
        <v>#N/A</v>
      </c>
      <c r="H2309" s="1" t="s">
        <v>16</v>
      </c>
      <c r="I2309" s="6" t="e">
        <f>IF(B2309=0,VLOOKUP(A2309,Feuil2!$A$2:$M$1241,7,FALSE)," ")</f>
        <v>#N/A</v>
      </c>
      <c r="J2309" s="1" t="e">
        <f>IF(B2309=0,VLOOKUP(A2309,Feuil2!$A$2:$M$1241,9,FALSE)," ")</f>
        <v>#N/A</v>
      </c>
      <c r="K2309" s="1" t="e">
        <f>IF(B2309=0,VLOOKUP(A2309,Feuil2!$A$2:$M$1241,10,FALSE)," ")</f>
        <v>#N/A</v>
      </c>
      <c r="L2309" s="1"/>
      <c r="M2309" s="1"/>
      <c r="N2309" s="1"/>
      <c r="O2309" s="8"/>
    </row>
    <row r="2310" spans="1:15" x14ac:dyDescent="0.3">
      <c r="A2310" s="1"/>
      <c r="B2310" s="1"/>
      <c r="C2310" s="1" t="e">
        <f>IF(B2310=0,VLOOKUP(A2310,Feuil2!$A$2:$M$1241,2,FALSE)," ")</f>
        <v>#N/A</v>
      </c>
      <c r="D2310" s="1" t="e">
        <f>IF(B2310=0,VLOOKUP(A2310,Feuil2!$A$2:$M$1241,3,FALSE)," ")</f>
        <v>#N/A</v>
      </c>
      <c r="E2310" s="5" t="e">
        <f>IF(B2310=0,VLOOKUP(A2310,Feuil2!$A$2:$M$1241,6,FALSE)," ")</f>
        <v>#N/A</v>
      </c>
      <c r="F2310" s="1" t="e">
        <f>IF(B2310=0,VLOOKUP(A2310,Feuil2!$A$2:$M$1241,12,FALSE)," ")</f>
        <v>#N/A</v>
      </c>
      <c r="G2310" s="1" t="e">
        <f>IF(B2310=0,VLOOKUP(A2310,Feuil2!$A$2:$M$1241,11,FALSE)," ")</f>
        <v>#N/A</v>
      </c>
      <c r="H2310" s="1" t="s">
        <v>16</v>
      </c>
      <c r="I2310" s="6" t="e">
        <f>IF(B2310=0,VLOOKUP(A2310,Feuil2!$A$2:$M$1241,7,FALSE)," ")</f>
        <v>#N/A</v>
      </c>
      <c r="J2310" s="1" t="e">
        <f>IF(B2310=0,VLOOKUP(A2310,Feuil2!$A$2:$M$1241,9,FALSE)," ")</f>
        <v>#N/A</v>
      </c>
      <c r="K2310" s="1" t="e">
        <f>IF(B2310=0,VLOOKUP(A2310,Feuil2!$A$2:$M$1241,10,FALSE)," ")</f>
        <v>#N/A</v>
      </c>
      <c r="L2310" s="1"/>
      <c r="M2310" s="1"/>
      <c r="N2310" s="1"/>
      <c r="O2310" s="8"/>
    </row>
    <row r="2311" spans="1:15" x14ac:dyDescent="0.3">
      <c r="A2311" s="1"/>
      <c r="B2311" s="1"/>
      <c r="C2311" s="1" t="e">
        <f>IF(B2311=0,VLOOKUP(A2311,Feuil2!$A$2:$M$1241,2,FALSE)," ")</f>
        <v>#N/A</v>
      </c>
      <c r="D2311" s="1" t="e">
        <f>IF(B2311=0,VLOOKUP(A2311,Feuil2!$A$2:$M$1241,3,FALSE)," ")</f>
        <v>#N/A</v>
      </c>
      <c r="E2311" s="5" t="e">
        <f>IF(B2311=0,VLOOKUP(A2311,Feuil2!$A$2:$M$1241,6,FALSE)," ")</f>
        <v>#N/A</v>
      </c>
      <c r="F2311" s="1" t="e">
        <f>IF(B2311=0,VLOOKUP(A2311,Feuil2!$A$2:$M$1241,12,FALSE)," ")</f>
        <v>#N/A</v>
      </c>
      <c r="G2311" s="1" t="e">
        <f>IF(B2311=0,VLOOKUP(A2311,Feuil2!$A$2:$M$1241,11,FALSE)," ")</f>
        <v>#N/A</v>
      </c>
      <c r="H2311" s="1" t="s">
        <v>16</v>
      </c>
      <c r="I2311" s="6" t="e">
        <f>IF(B2311=0,VLOOKUP(A2311,Feuil2!$A$2:$M$1241,7,FALSE)," ")</f>
        <v>#N/A</v>
      </c>
      <c r="J2311" s="1" t="e">
        <f>IF(B2311=0,VLOOKUP(A2311,Feuil2!$A$2:$M$1241,9,FALSE)," ")</f>
        <v>#N/A</v>
      </c>
      <c r="K2311" s="1" t="e">
        <f>IF(B2311=0,VLOOKUP(A2311,Feuil2!$A$2:$M$1241,10,FALSE)," ")</f>
        <v>#N/A</v>
      </c>
      <c r="L2311" s="1"/>
      <c r="M2311" s="1"/>
      <c r="N2311" s="1"/>
      <c r="O2311" s="8"/>
    </row>
    <row r="2312" spans="1:15" x14ac:dyDescent="0.3">
      <c r="A2312" s="1"/>
      <c r="B2312" s="1"/>
      <c r="C2312" s="1" t="e">
        <f>IF(B2312=0,VLOOKUP(A2312,Feuil2!$A$2:$M$1241,2,FALSE)," ")</f>
        <v>#N/A</v>
      </c>
      <c r="D2312" s="1" t="e">
        <f>IF(B2312=0,VLOOKUP(A2312,Feuil2!$A$2:$M$1241,3,FALSE)," ")</f>
        <v>#N/A</v>
      </c>
      <c r="E2312" s="5" t="e">
        <f>IF(B2312=0,VLOOKUP(A2312,Feuil2!$A$2:$M$1241,6,FALSE)," ")</f>
        <v>#N/A</v>
      </c>
      <c r="F2312" s="1" t="e">
        <f>IF(B2312=0,VLOOKUP(A2312,Feuil2!$A$2:$M$1241,12,FALSE)," ")</f>
        <v>#N/A</v>
      </c>
      <c r="G2312" s="1" t="e">
        <f>IF(B2312=0,VLOOKUP(A2312,Feuil2!$A$2:$M$1241,11,FALSE)," ")</f>
        <v>#N/A</v>
      </c>
      <c r="H2312" s="1" t="s">
        <v>16</v>
      </c>
      <c r="I2312" s="6" t="e">
        <f>IF(B2312=0,VLOOKUP(A2312,Feuil2!$A$2:$M$1241,7,FALSE)," ")</f>
        <v>#N/A</v>
      </c>
      <c r="J2312" s="1" t="e">
        <f>IF(B2312=0,VLOOKUP(A2312,Feuil2!$A$2:$M$1241,9,FALSE)," ")</f>
        <v>#N/A</v>
      </c>
      <c r="K2312" s="1" t="e">
        <f>IF(B2312=0,VLOOKUP(A2312,Feuil2!$A$2:$M$1241,10,FALSE)," ")</f>
        <v>#N/A</v>
      </c>
      <c r="L2312" s="1"/>
      <c r="M2312" s="1"/>
      <c r="N2312" s="1"/>
      <c r="O2312" s="8"/>
    </row>
    <row r="2313" spans="1:15" x14ac:dyDescent="0.3">
      <c r="A2313" s="1"/>
      <c r="B2313" s="1"/>
      <c r="C2313" s="1" t="e">
        <f>IF(B2313=0,VLOOKUP(A2313,Feuil2!$A$2:$M$1241,2,FALSE)," ")</f>
        <v>#N/A</v>
      </c>
      <c r="D2313" s="1" t="e">
        <f>IF(B2313=0,VLOOKUP(A2313,Feuil2!$A$2:$M$1241,3,FALSE)," ")</f>
        <v>#N/A</v>
      </c>
      <c r="E2313" s="5" t="e">
        <f>IF(B2313=0,VLOOKUP(A2313,Feuil2!$A$2:$M$1241,6,FALSE)," ")</f>
        <v>#N/A</v>
      </c>
      <c r="F2313" s="1" t="e">
        <f>IF(B2313=0,VLOOKUP(A2313,Feuil2!$A$2:$M$1241,12,FALSE)," ")</f>
        <v>#N/A</v>
      </c>
      <c r="G2313" s="1" t="e">
        <f>IF(B2313=0,VLOOKUP(A2313,Feuil2!$A$2:$M$1241,11,FALSE)," ")</f>
        <v>#N/A</v>
      </c>
      <c r="H2313" s="1" t="s">
        <v>16</v>
      </c>
      <c r="I2313" s="6" t="e">
        <f>IF(B2313=0,VLOOKUP(A2313,Feuil2!$A$2:$M$1241,7,FALSE)," ")</f>
        <v>#N/A</v>
      </c>
      <c r="J2313" s="1" t="e">
        <f>IF(B2313=0,VLOOKUP(A2313,Feuil2!$A$2:$M$1241,9,FALSE)," ")</f>
        <v>#N/A</v>
      </c>
      <c r="K2313" s="1" t="e">
        <f>IF(B2313=0,VLOOKUP(A2313,Feuil2!$A$2:$M$1241,10,FALSE)," ")</f>
        <v>#N/A</v>
      </c>
      <c r="L2313" s="1"/>
      <c r="M2313" s="1"/>
      <c r="N2313" s="1"/>
      <c r="O2313" s="8"/>
    </row>
    <row r="2314" spans="1:15" x14ac:dyDescent="0.3">
      <c r="A2314" s="1"/>
      <c r="B2314" s="1"/>
      <c r="C2314" s="1" t="e">
        <f>IF(B2314=0,VLOOKUP(A2314,Feuil2!$A$2:$M$1241,2,FALSE)," ")</f>
        <v>#N/A</v>
      </c>
      <c r="D2314" s="1" t="e">
        <f>IF(B2314=0,VLOOKUP(A2314,Feuil2!$A$2:$M$1241,3,FALSE)," ")</f>
        <v>#N/A</v>
      </c>
      <c r="E2314" s="5" t="e">
        <f>IF(B2314=0,VLOOKUP(A2314,Feuil2!$A$2:$M$1241,6,FALSE)," ")</f>
        <v>#N/A</v>
      </c>
      <c r="F2314" s="1" t="e">
        <f>IF(B2314=0,VLOOKUP(A2314,Feuil2!$A$2:$M$1241,12,FALSE)," ")</f>
        <v>#N/A</v>
      </c>
      <c r="G2314" s="1" t="e">
        <f>IF(B2314=0,VLOOKUP(A2314,Feuil2!$A$2:$M$1241,11,FALSE)," ")</f>
        <v>#N/A</v>
      </c>
      <c r="H2314" s="1" t="s">
        <v>16</v>
      </c>
      <c r="I2314" s="6" t="e">
        <f>IF(B2314=0,VLOOKUP(A2314,Feuil2!$A$2:$M$1241,7,FALSE)," ")</f>
        <v>#N/A</v>
      </c>
      <c r="J2314" s="1" t="e">
        <f>IF(B2314=0,VLOOKUP(A2314,Feuil2!$A$2:$M$1241,9,FALSE)," ")</f>
        <v>#N/A</v>
      </c>
      <c r="K2314" s="1" t="e">
        <f>IF(B2314=0,VLOOKUP(A2314,Feuil2!$A$2:$M$1241,10,FALSE)," ")</f>
        <v>#N/A</v>
      </c>
      <c r="L2314" s="1"/>
      <c r="M2314" s="1"/>
      <c r="N2314" s="1"/>
      <c r="O2314" s="8"/>
    </row>
    <row r="2315" spans="1:15" x14ac:dyDescent="0.3">
      <c r="A2315" s="1"/>
      <c r="B2315" s="1"/>
      <c r="C2315" s="1" t="e">
        <f>IF(B2315=0,VLOOKUP(A2315,Feuil2!$A$2:$M$1241,2,FALSE)," ")</f>
        <v>#N/A</v>
      </c>
      <c r="D2315" s="1" t="e">
        <f>IF(B2315=0,VLOOKUP(A2315,Feuil2!$A$2:$M$1241,3,FALSE)," ")</f>
        <v>#N/A</v>
      </c>
      <c r="E2315" s="5" t="e">
        <f>IF(B2315=0,VLOOKUP(A2315,Feuil2!$A$2:$M$1241,6,FALSE)," ")</f>
        <v>#N/A</v>
      </c>
      <c r="F2315" s="1" t="e">
        <f>IF(B2315=0,VLOOKUP(A2315,Feuil2!$A$2:$M$1241,12,FALSE)," ")</f>
        <v>#N/A</v>
      </c>
      <c r="G2315" s="1" t="e">
        <f>IF(B2315=0,VLOOKUP(A2315,Feuil2!$A$2:$M$1241,11,FALSE)," ")</f>
        <v>#N/A</v>
      </c>
      <c r="H2315" s="1" t="s">
        <v>16</v>
      </c>
      <c r="I2315" s="6" t="e">
        <f>IF(B2315=0,VLOOKUP(A2315,Feuil2!$A$2:$M$1241,7,FALSE)," ")</f>
        <v>#N/A</v>
      </c>
      <c r="J2315" s="1" t="e">
        <f>IF(B2315=0,VLOOKUP(A2315,Feuil2!$A$2:$M$1241,9,FALSE)," ")</f>
        <v>#N/A</v>
      </c>
      <c r="K2315" s="1" t="e">
        <f>IF(B2315=0,VLOOKUP(A2315,Feuil2!$A$2:$M$1241,10,FALSE)," ")</f>
        <v>#N/A</v>
      </c>
      <c r="L2315" s="1"/>
      <c r="M2315" s="1"/>
      <c r="N2315" s="1"/>
      <c r="O2315" s="8"/>
    </row>
    <row r="2316" spans="1:15" x14ac:dyDescent="0.3">
      <c r="A2316" s="1"/>
      <c r="B2316" s="1"/>
      <c r="C2316" s="1" t="e">
        <f>IF(B2316=0,VLOOKUP(A2316,Feuil2!$A$2:$M$1241,2,FALSE)," ")</f>
        <v>#N/A</v>
      </c>
      <c r="D2316" s="1" t="e">
        <f>IF(B2316=0,VLOOKUP(A2316,Feuil2!$A$2:$M$1241,3,FALSE)," ")</f>
        <v>#N/A</v>
      </c>
      <c r="E2316" s="5" t="e">
        <f>IF(B2316=0,VLOOKUP(A2316,Feuil2!$A$2:$M$1241,6,FALSE)," ")</f>
        <v>#N/A</v>
      </c>
      <c r="F2316" s="1" t="e">
        <f>IF(B2316=0,VLOOKUP(A2316,Feuil2!$A$2:$M$1241,12,FALSE)," ")</f>
        <v>#N/A</v>
      </c>
      <c r="G2316" s="1" t="e">
        <f>IF(B2316=0,VLOOKUP(A2316,Feuil2!$A$2:$M$1241,11,FALSE)," ")</f>
        <v>#N/A</v>
      </c>
      <c r="H2316" s="1" t="s">
        <v>16</v>
      </c>
      <c r="I2316" s="6" t="e">
        <f>IF(B2316=0,VLOOKUP(A2316,Feuil2!$A$2:$M$1241,7,FALSE)," ")</f>
        <v>#N/A</v>
      </c>
      <c r="J2316" s="1" t="e">
        <f>IF(B2316=0,VLOOKUP(A2316,Feuil2!$A$2:$M$1241,9,FALSE)," ")</f>
        <v>#N/A</v>
      </c>
      <c r="K2316" s="1" t="e">
        <f>IF(B2316=0,VLOOKUP(A2316,Feuil2!$A$2:$M$1241,10,FALSE)," ")</f>
        <v>#N/A</v>
      </c>
      <c r="L2316" s="1"/>
      <c r="M2316" s="1"/>
      <c r="N2316" s="1"/>
      <c r="O2316" s="8"/>
    </row>
    <row r="2317" spans="1:15" x14ac:dyDescent="0.3">
      <c r="A2317" s="1"/>
      <c r="B2317" s="1"/>
      <c r="C2317" s="1" t="e">
        <f>IF(B2317=0,VLOOKUP(A2317,Feuil2!$A$2:$M$1241,2,FALSE)," ")</f>
        <v>#N/A</v>
      </c>
      <c r="D2317" s="1" t="e">
        <f>IF(B2317=0,VLOOKUP(A2317,Feuil2!$A$2:$M$1241,3,FALSE)," ")</f>
        <v>#N/A</v>
      </c>
      <c r="E2317" s="5" t="e">
        <f>IF(B2317=0,VLOOKUP(A2317,Feuil2!$A$2:$M$1241,6,FALSE)," ")</f>
        <v>#N/A</v>
      </c>
      <c r="F2317" s="1" t="e">
        <f>IF(B2317=0,VLOOKUP(A2317,Feuil2!$A$2:$M$1241,12,FALSE)," ")</f>
        <v>#N/A</v>
      </c>
      <c r="G2317" s="1" t="e">
        <f>IF(B2317=0,VLOOKUP(A2317,Feuil2!$A$2:$M$1241,11,FALSE)," ")</f>
        <v>#N/A</v>
      </c>
      <c r="H2317" s="1" t="s">
        <v>16</v>
      </c>
      <c r="I2317" s="6" t="e">
        <f>IF(B2317=0,VLOOKUP(A2317,Feuil2!$A$2:$M$1241,7,FALSE)," ")</f>
        <v>#N/A</v>
      </c>
      <c r="J2317" s="1" t="e">
        <f>IF(B2317=0,VLOOKUP(A2317,Feuil2!$A$2:$M$1241,9,FALSE)," ")</f>
        <v>#N/A</v>
      </c>
      <c r="K2317" s="1" t="e">
        <f>IF(B2317=0,VLOOKUP(A2317,Feuil2!$A$2:$M$1241,10,FALSE)," ")</f>
        <v>#N/A</v>
      </c>
      <c r="L2317" s="1"/>
      <c r="M2317" s="1"/>
      <c r="N2317" s="1"/>
      <c r="O2317" s="8"/>
    </row>
    <row r="2318" spans="1:15" x14ac:dyDescent="0.3">
      <c r="A2318" s="1"/>
      <c r="B2318" s="1"/>
      <c r="C2318" s="1" t="e">
        <f>IF(B2318=0,VLOOKUP(A2318,Feuil2!$A$2:$M$1241,2,FALSE)," ")</f>
        <v>#N/A</v>
      </c>
      <c r="D2318" s="1" t="e">
        <f>IF(B2318=0,VLOOKUP(A2318,Feuil2!$A$2:$M$1241,3,FALSE)," ")</f>
        <v>#N/A</v>
      </c>
      <c r="E2318" s="5" t="e">
        <f>IF(B2318=0,VLOOKUP(A2318,Feuil2!$A$2:$M$1241,6,FALSE)," ")</f>
        <v>#N/A</v>
      </c>
      <c r="F2318" s="1" t="e">
        <f>IF(B2318=0,VLOOKUP(A2318,Feuil2!$A$2:$M$1241,12,FALSE)," ")</f>
        <v>#N/A</v>
      </c>
      <c r="G2318" s="1" t="e">
        <f>IF(B2318=0,VLOOKUP(A2318,Feuil2!$A$2:$M$1241,11,FALSE)," ")</f>
        <v>#N/A</v>
      </c>
      <c r="H2318" s="1" t="s">
        <v>16</v>
      </c>
      <c r="I2318" s="6" t="e">
        <f>IF(B2318=0,VLOOKUP(A2318,Feuil2!$A$2:$M$1241,7,FALSE)," ")</f>
        <v>#N/A</v>
      </c>
      <c r="J2318" s="1" t="e">
        <f>IF(B2318=0,VLOOKUP(A2318,Feuil2!$A$2:$M$1241,9,FALSE)," ")</f>
        <v>#N/A</v>
      </c>
      <c r="K2318" s="1" t="e">
        <f>IF(B2318=0,VLOOKUP(A2318,Feuil2!$A$2:$M$1241,10,FALSE)," ")</f>
        <v>#N/A</v>
      </c>
      <c r="L2318" s="1"/>
      <c r="M2318" s="1"/>
      <c r="N2318" s="1"/>
      <c r="O2318" s="8"/>
    </row>
    <row r="2319" spans="1:15" x14ac:dyDescent="0.3">
      <c r="A2319" s="1"/>
      <c r="B2319" s="1"/>
      <c r="C2319" s="1" t="e">
        <f>IF(B2319=0,VLOOKUP(A2319,Feuil2!$A$2:$M$1241,2,FALSE)," ")</f>
        <v>#N/A</v>
      </c>
      <c r="D2319" s="1" t="e">
        <f>IF(B2319=0,VLOOKUP(A2319,Feuil2!$A$2:$M$1241,3,FALSE)," ")</f>
        <v>#N/A</v>
      </c>
      <c r="E2319" s="5" t="e">
        <f>IF(B2319=0,VLOOKUP(A2319,Feuil2!$A$2:$M$1241,6,FALSE)," ")</f>
        <v>#N/A</v>
      </c>
      <c r="F2319" s="1" t="e">
        <f>IF(B2319=0,VLOOKUP(A2319,Feuil2!$A$2:$M$1241,12,FALSE)," ")</f>
        <v>#N/A</v>
      </c>
      <c r="G2319" s="1" t="e">
        <f>IF(B2319=0,VLOOKUP(A2319,Feuil2!$A$2:$M$1241,11,FALSE)," ")</f>
        <v>#N/A</v>
      </c>
      <c r="H2319" s="1" t="s">
        <v>16</v>
      </c>
      <c r="I2319" s="6" t="e">
        <f>IF(B2319=0,VLOOKUP(A2319,Feuil2!$A$2:$M$1241,7,FALSE)," ")</f>
        <v>#N/A</v>
      </c>
      <c r="J2319" s="1" t="e">
        <f>IF(B2319=0,VLOOKUP(A2319,Feuil2!$A$2:$M$1241,9,FALSE)," ")</f>
        <v>#N/A</v>
      </c>
      <c r="K2319" s="1" t="e">
        <f>IF(B2319=0,VLOOKUP(A2319,Feuil2!$A$2:$M$1241,10,FALSE)," ")</f>
        <v>#N/A</v>
      </c>
      <c r="L2319" s="1"/>
      <c r="M2319" s="1"/>
      <c r="N2319" s="1"/>
      <c r="O2319" s="8"/>
    </row>
    <row r="2320" spans="1:15" x14ac:dyDescent="0.3">
      <c r="A2320" s="1"/>
      <c r="B2320" s="1"/>
      <c r="C2320" s="1" t="e">
        <f>IF(B2320=0,VLOOKUP(A2320,Feuil2!$A$2:$M$1241,2,FALSE)," ")</f>
        <v>#N/A</v>
      </c>
      <c r="D2320" s="1" t="e">
        <f>IF(B2320=0,VLOOKUP(A2320,Feuil2!$A$2:$M$1241,3,FALSE)," ")</f>
        <v>#N/A</v>
      </c>
      <c r="E2320" s="5" t="e">
        <f>IF(B2320=0,VLOOKUP(A2320,Feuil2!$A$2:$M$1241,6,FALSE)," ")</f>
        <v>#N/A</v>
      </c>
      <c r="F2320" s="1" t="e">
        <f>IF(B2320=0,VLOOKUP(A2320,Feuil2!$A$2:$M$1241,12,FALSE)," ")</f>
        <v>#N/A</v>
      </c>
      <c r="G2320" s="1" t="e">
        <f>IF(B2320=0,VLOOKUP(A2320,Feuil2!$A$2:$M$1241,11,FALSE)," ")</f>
        <v>#N/A</v>
      </c>
      <c r="H2320" s="1" t="s">
        <v>16</v>
      </c>
      <c r="I2320" s="6" t="e">
        <f>IF(B2320=0,VLOOKUP(A2320,Feuil2!$A$2:$M$1241,7,FALSE)," ")</f>
        <v>#N/A</v>
      </c>
      <c r="J2320" s="1" t="e">
        <f>IF(B2320=0,VLOOKUP(A2320,Feuil2!$A$2:$M$1241,9,FALSE)," ")</f>
        <v>#N/A</v>
      </c>
      <c r="K2320" s="1" t="e">
        <f>IF(B2320=0,VLOOKUP(A2320,Feuil2!$A$2:$M$1241,10,FALSE)," ")</f>
        <v>#N/A</v>
      </c>
      <c r="L2320" s="1"/>
      <c r="M2320" s="1"/>
      <c r="N2320" s="1"/>
      <c r="O2320" s="8"/>
    </row>
    <row r="2321" spans="1:15" x14ac:dyDescent="0.3">
      <c r="A2321" s="1"/>
      <c r="B2321" s="1"/>
      <c r="C2321" s="1" t="e">
        <f>IF(B2321=0,VLOOKUP(A2321,Feuil2!$A$2:$M$1241,2,FALSE)," ")</f>
        <v>#N/A</v>
      </c>
      <c r="D2321" s="1" t="e">
        <f>IF(B2321=0,VLOOKUP(A2321,Feuil2!$A$2:$M$1241,3,FALSE)," ")</f>
        <v>#N/A</v>
      </c>
      <c r="E2321" s="5" t="e">
        <f>IF(B2321=0,VLOOKUP(A2321,Feuil2!$A$2:$M$1241,6,FALSE)," ")</f>
        <v>#N/A</v>
      </c>
      <c r="F2321" s="1" t="e">
        <f>IF(B2321=0,VLOOKUP(A2321,Feuil2!$A$2:$M$1241,12,FALSE)," ")</f>
        <v>#N/A</v>
      </c>
      <c r="G2321" s="1" t="e">
        <f>IF(B2321=0,VLOOKUP(A2321,Feuil2!$A$2:$M$1241,11,FALSE)," ")</f>
        <v>#N/A</v>
      </c>
      <c r="H2321" s="1" t="s">
        <v>16</v>
      </c>
      <c r="I2321" s="6" t="e">
        <f>IF(B2321=0,VLOOKUP(A2321,Feuil2!$A$2:$M$1241,7,FALSE)," ")</f>
        <v>#N/A</v>
      </c>
      <c r="J2321" s="1" t="e">
        <f>IF(B2321=0,VLOOKUP(A2321,Feuil2!$A$2:$M$1241,9,FALSE)," ")</f>
        <v>#N/A</v>
      </c>
      <c r="K2321" s="1" t="e">
        <f>IF(B2321=0,VLOOKUP(A2321,Feuil2!$A$2:$M$1241,10,FALSE)," ")</f>
        <v>#N/A</v>
      </c>
      <c r="L2321" s="1"/>
      <c r="M2321" s="1"/>
      <c r="N2321" s="1"/>
      <c r="O2321" s="8"/>
    </row>
    <row r="2322" spans="1:15" x14ac:dyDescent="0.3">
      <c r="A2322" s="1"/>
      <c r="B2322" s="1"/>
      <c r="C2322" s="1" t="e">
        <f>IF(B2322=0,VLOOKUP(A2322,Feuil2!$A$2:$M$1241,2,FALSE)," ")</f>
        <v>#N/A</v>
      </c>
      <c r="D2322" s="1" t="e">
        <f>IF(B2322=0,VLOOKUP(A2322,Feuil2!$A$2:$M$1241,3,FALSE)," ")</f>
        <v>#N/A</v>
      </c>
      <c r="E2322" s="5" t="e">
        <f>IF(B2322=0,VLOOKUP(A2322,Feuil2!$A$2:$M$1241,6,FALSE)," ")</f>
        <v>#N/A</v>
      </c>
      <c r="F2322" s="1" t="e">
        <f>IF(B2322=0,VLOOKUP(A2322,Feuil2!$A$2:$M$1241,12,FALSE)," ")</f>
        <v>#N/A</v>
      </c>
      <c r="G2322" s="1" t="e">
        <f>IF(B2322=0,VLOOKUP(A2322,Feuil2!$A$2:$M$1241,11,FALSE)," ")</f>
        <v>#N/A</v>
      </c>
      <c r="H2322" s="1" t="s">
        <v>16</v>
      </c>
      <c r="I2322" s="6" t="e">
        <f>IF(B2322=0,VLOOKUP(A2322,Feuil2!$A$2:$M$1241,7,FALSE)," ")</f>
        <v>#N/A</v>
      </c>
      <c r="J2322" s="1" t="e">
        <f>IF(B2322=0,VLOOKUP(A2322,Feuil2!$A$2:$M$1241,9,FALSE)," ")</f>
        <v>#N/A</v>
      </c>
      <c r="K2322" s="1" t="e">
        <f>IF(B2322=0,VLOOKUP(A2322,Feuil2!$A$2:$M$1241,10,FALSE)," ")</f>
        <v>#N/A</v>
      </c>
      <c r="L2322" s="1"/>
      <c r="M2322" s="1"/>
      <c r="N2322" s="1"/>
      <c r="O2322" s="8"/>
    </row>
    <row r="2323" spans="1:15" x14ac:dyDescent="0.3">
      <c r="A2323" s="1"/>
      <c r="B2323" s="1"/>
      <c r="C2323" s="1" t="e">
        <f>IF(B2323=0,VLOOKUP(A2323,Feuil2!$A$2:$M$1241,2,FALSE)," ")</f>
        <v>#N/A</v>
      </c>
      <c r="D2323" s="1" t="e">
        <f>IF(B2323=0,VLOOKUP(A2323,Feuil2!$A$2:$M$1241,3,FALSE)," ")</f>
        <v>#N/A</v>
      </c>
      <c r="E2323" s="5" t="e">
        <f>IF(B2323=0,VLOOKUP(A2323,Feuil2!$A$2:$M$1241,6,FALSE)," ")</f>
        <v>#N/A</v>
      </c>
      <c r="F2323" s="1" t="e">
        <f>IF(B2323=0,VLOOKUP(A2323,Feuil2!$A$2:$M$1241,12,FALSE)," ")</f>
        <v>#N/A</v>
      </c>
      <c r="G2323" s="1" t="e">
        <f>IF(B2323=0,VLOOKUP(A2323,Feuil2!$A$2:$M$1241,11,FALSE)," ")</f>
        <v>#N/A</v>
      </c>
      <c r="H2323" s="1" t="s">
        <v>16</v>
      </c>
      <c r="I2323" s="6" t="e">
        <f>IF(B2323=0,VLOOKUP(A2323,Feuil2!$A$2:$M$1241,7,FALSE)," ")</f>
        <v>#N/A</v>
      </c>
      <c r="J2323" s="1" t="e">
        <f>IF(B2323=0,VLOOKUP(A2323,Feuil2!$A$2:$M$1241,9,FALSE)," ")</f>
        <v>#N/A</v>
      </c>
      <c r="K2323" s="1" t="e">
        <f>IF(B2323=0,VLOOKUP(A2323,Feuil2!$A$2:$M$1241,10,FALSE)," ")</f>
        <v>#N/A</v>
      </c>
      <c r="L2323" s="1"/>
      <c r="M2323" s="1"/>
      <c r="N2323" s="1"/>
      <c r="O2323" s="8"/>
    </row>
    <row r="2324" spans="1:15" x14ac:dyDescent="0.3">
      <c r="A2324" s="1"/>
      <c r="B2324" s="1"/>
      <c r="C2324" s="1" t="e">
        <f>IF(B2324=0,VLOOKUP(A2324,Feuil2!$A$2:$M$1241,2,FALSE)," ")</f>
        <v>#N/A</v>
      </c>
      <c r="D2324" s="1" t="e">
        <f>IF(B2324=0,VLOOKUP(A2324,Feuil2!$A$2:$M$1241,3,FALSE)," ")</f>
        <v>#N/A</v>
      </c>
      <c r="E2324" s="5" t="e">
        <f>IF(B2324=0,VLOOKUP(A2324,Feuil2!$A$2:$M$1241,6,FALSE)," ")</f>
        <v>#N/A</v>
      </c>
      <c r="F2324" s="1" t="e">
        <f>IF(B2324=0,VLOOKUP(A2324,Feuil2!$A$2:$M$1241,12,FALSE)," ")</f>
        <v>#N/A</v>
      </c>
      <c r="G2324" s="1" t="e">
        <f>IF(B2324=0,VLOOKUP(A2324,Feuil2!$A$2:$M$1241,11,FALSE)," ")</f>
        <v>#N/A</v>
      </c>
      <c r="H2324" s="1" t="s">
        <v>16</v>
      </c>
      <c r="I2324" s="6" t="e">
        <f>IF(B2324=0,VLOOKUP(A2324,Feuil2!$A$2:$M$1241,7,FALSE)," ")</f>
        <v>#N/A</v>
      </c>
      <c r="J2324" s="1" t="e">
        <f>IF(B2324=0,VLOOKUP(A2324,Feuil2!$A$2:$M$1241,9,FALSE)," ")</f>
        <v>#N/A</v>
      </c>
      <c r="K2324" s="1" t="e">
        <f>IF(B2324=0,VLOOKUP(A2324,Feuil2!$A$2:$M$1241,10,FALSE)," ")</f>
        <v>#N/A</v>
      </c>
      <c r="L2324" s="1"/>
      <c r="M2324" s="1"/>
      <c r="N2324" s="1"/>
      <c r="O2324" s="8"/>
    </row>
    <row r="2325" spans="1:15" x14ac:dyDescent="0.3">
      <c r="A2325" s="1"/>
      <c r="B2325" s="1"/>
      <c r="C2325" s="1" t="e">
        <f>IF(B2325=0,VLOOKUP(A2325,Feuil2!$A$2:$M$1241,2,FALSE)," ")</f>
        <v>#N/A</v>
      </c>
      <c r="D2325" s="1" t="e">
        <f>IF(B2325=0,VLOOKUP(A2325,Feuil2!$A$2:$M$1241,3,FALSE)," ")</f>
        <v>#N/A</v>
      </c>
      <c r="E2325" s="5" t="e">
        <f>IF(B2325=0,VLOOKUP(A2325,Feuil2!$A$2:$M$1241,6,FALSE)," ")</f>
        <v>#N/A</v>
      </c>
      <c r="F2325" s="1" t="e">
        <f>IF(B2325=0,VLOOKUP(A2325,Feuil2!$A$2:$M$1241,12,FALSE)," ")</f>
        <v>#N/A</v>
      </c>
      <c r="G2325" s="1" t="e">
        <f>IF(B2325=0,VLOOKUP(A2325,Feuil2!$A$2:$M$1241,11,FALSE)," ")</f>
        <v>#N/A</v>
      </c>
      <c r="H2325" s="1" t="s">
        <v>16</v>
      </c>
      <c r="I2325" s="6" t="e">
        <f>IF(B2325=0,VLOOKUP(A2325,Feuil2!$A$2:$M$1241,7,FALSE)," ")</f>
        <v>#N/A</v>
      </c>
      <c r="J2325" s="1" t="e">
        <f>IF(B2325=0,VLOOKUP(A2325,Feuil2!$A$2:$M$1241,9,FALSE)," ")</f>
        <v>#N/A</v>
      </c>
      <c r="K2325" s="1" t="e">
        <f>IF(B2325=0,VLOOKUP(A2325,Feuil2!$A$2:$M$1241,10,FALSE)," ")</f>
        <v>#N/A</v>
      </c>
      <c r="L2325" s="1"/>
      <c r="M2325" s="1"/>
      <c r="N2325" s="1"/>
      <c r="O2325" s="8"/>
    </row>
    <row r="2326" spans="1:15" x14ac:dyDescent="0.3">
      <c r="A2326" s="1"/>
      <c r="B2326" s="1"/>
      <c r="C2326" s="1" t="e">
        <f>IF(B2326=0,VLOOKUP(A2326,Feuil2!$A$2:$M$1241,2,FALSE)," ")</f>
        <v>#N/A</v>
      </c>
      <c r="D2326" s="1" t="e">
        <f>IF(B2326=0,VLOOKUP(A2326,Feuil2!$A$2:$M$1241,3,FALSE)," ")</f>
        <v>#N/A</v>
      </c>
      <c r="E2326" s="5" t="e">
        <f>IF(B2326=0,VLOOKUP(A2326,Feuil2!$A$2:$M$1241,6,FALSE)," ")</f>
        <v>#N/A</v>
      </c>
      <c r="F2326" s="1" t="e">
        <f>IF(B2326=0,VLOOKUP(A2326,Feuil2!$A$2:$M$1241,12,FALSE)," ")</f>
        <v>#N/A</v>
      </c>
      <c r="G2326" s="1" t="e">
        <f>IF(B2326=0,VLOOKUP(A2326,Feuil2!$A$2:$M$1241,11,FALSE)," ")</f>
        <v>#N/A</v>
      </c>
      <c r="H2326" s="1" t="s">
        <v>16</v>
      </c>
      <c r="I2326" s="6" t="e">
        <f>IF(B2326=0,VLOOKUP(A2326,Feuil2!$A$2:$M$1241,7,FALSE)," ")</f>
        <v>#N/A</v>
      </c>
      <c r="J2326" s="1" t="e">
        <f>IF(B2326=0,VLOOKUP(A2326,Feuil2!$A$2:$M$1241,9,FALSE)," ")</f>
        <v>#N/A</v>
      </c>
      <c r="K2326" s="1" t="e">
        <f>IF(B2326=0,VLOOKUP(A2326,Feuil2!$A$2:$M$1241,10,FALSE)," ")</f>
        <v>#N/A</v>
      </c>
      <c r="L2326" s="1"/>
      <c r="M2326" s="1"/>
      <c r="N2326" s="1"/>
      <c r="O2326" s="8"/>
    </row>
    <row r="2327" spans="1:15" x14ac:dyDescent="0.3">
      <c r="A2327" s="1"/>
      <c r="B2327" s="1"/>
      <c r="C2327" s="1" t="e">
        <f>IF(B2327=0,VLOOKUP(A2327,Feuil2!$A$2:$M$1241,2,FALSE)," ")</f>
        <v>#N/A</v>
      </c>
      <c r="D2327" s="1" t="e">
        <f>IF(B2327=0,VLOOKUP(A2327,Feuil2!$A$2:$M$1241,3,FALSE)," ")</f>
        <v>#N/A</v>
      </c>
      <c r="E2327" s="5" t="e">
        <f>IF(B2327=0,VLOOKUP(A2327,Feuil2!$A$2:$M$1241,6,FALSE)," ")</f>
        <v>#N/A</v>
      </c>
      <c r="F2327" s="1" t="e">
        <f>IF(B2327=0,VLOOKUP(A2327,Feuil2!$A$2:$M$1241,12,FALSE)," ")</f>
        <v>#N/A</v>
      </c>
      <c r="G2327" s="1" t="e">
        <f>IF(B2327=0,VLOOKUP(A2327,Feuil2!$A$2:$M$1241,11,FALSE)," ")</f>
        <v>#N/A</v>
      </c>
      <c r="H2327" s="1" t="s">
        <v>16</v>
      </c>
      <c r="I2327" s="6" t="e">
        <f>IF(B2327=0,VLOOKUP(A2327,Feuil2!$A$2:$M$1241,7,FALSE)," ")</f>
        <v>#N/A</v>
      </c>
      <c r="J2327" s="1" t="e">
        <f>IF(B2327=0,VLOOKUP(A2327,Feuil2!$A$2:$M$1241,9,FALSE)," ")</f>
        <v>#N/A</v>
      </c>
      <c r="K2327" s="1" t="e">
        <f>IF(B2327=0,VLOOKUP(A2327,Feuil2!$A$2:$M$1241,10,FALSE)," ")</f>
        <v>#N/A</v>
      </c>
      <c r="L2327" s="1"/>
      <c r="M2327" s="1"/>
      <c r="N2327" s="1"/>
      <c r="O2327" s="8"/>
    </row>
    <row r="2328" spans="1:15" x14ac:dyDescent="0.3">
      <c r="A2328" s="1"/>
      <c r="B2328" s="1"/>
      <c r="C2328" s="1" t="e">
        <f>IF(B2328=0,VLOOKUP(A2328,Feuil2!$A$2:$M$1241,2,FALSE)," ")</f>
        <v>#N/A</v>
      </c>
      <c r="D2328" s="1" t="e">
        <f>IF(B2328=0,VLOOKUP(A2328,Feuil2!$A$2:$M$1241,3,FALSE)," ")</f>
        <v>#N/A</v>
      </c>
      <c r="E2328" s="5" t="e">
        <f>IF(B2328=0,VLOOKUP(A2328,Feuil2!$A$2:$M$1241,6,FALSE)," ")</f>
        <v>#N/A</v>
      </c>
      <c r="F2328" s="1" t="e">
        <f>IF(B2328=0,VLOOKUP(A2328,Feuil2!$A$2:$M$1241,12,FALSE)," ")</f>
        <v>#N/A</v>
      </c>
      <c r="G2328" s="1" t="e">
        <f>IF(B2328=0,VLOOKUP(A2328,Feuil2!$A$2:$M$1241,11,FALSE)," ")</f>
        <v>#N/A</v>
      </c>
      <c r="H2328" s="1" t="s">
        <v>16</v>
      </c>
      <c r="I2328" s="6" t="e">
        <f>IF(B2328=0,VLOOKUP(A2328,Feuil2!$A$2:$M$1241,7,FALSE)," ")</f>
        <v>#N/A</v>
      </c>
      <c r="J2328" s="1" t="e">
        <f>IF(B2328=0,VLOOKUP(A2328,Feuil2!$A$2:$M$1241,9,FALSE)," ")</f>
        <v>#N/A</v>
      </c>
      <c r="K2328" s="1" t="e">
        <f>IF(B2328=0,VLOOKUP(A2328,Feuil2!$A$2:$M$1241,10,FALSE)," ")</f>
        <v>#N/A</v>
      </c>
      <c r="L2328" s="1"/>
      <c r="M2328" s="1"/>
      <c r="N2328" s="1"/>
      <c r="O2328" s="8"/>
    </row>
    <row r="2329" spans="1:15" x14ac:dyDescent="0.3">
      <c r="A2329" s="1"/>
      <c r="B2329" s="1"/>
      <c r="C2329" s="1" t="e">
        <f>IF(B2329=0,VLOOKUP(A2329,Feuil2!$A$2:$M$1241,2,FALSE)," ")</f>
        <v>#N/A</v>
      </c>
      <c r="D2329" s="1" t="e">
        <f>IF(B2329=0,VLOOKUP(A2329,Feuil2!$A$2:$M$1241,3,FALSE)," ")</f>
        <v>#N/A</v>
      </c>
      <c r="E2329" s="5" t="e">
        <f>IF(B2329=0,VLOOKUP(A2329,Feuil2!$A$2:$M$1241,6,FALSE)," ")</f>
        <v>#N/A</v>
      </c>
      <c r="F2329" s="1" t="e">
        <f>IF(B2329=0,VLOOKUP(A2329,Feuil2!$A$2:$M$1241,12,FALSE)," ")</f>
        <v>#N/A</v>
      </c>
      <c r="G2329" s="1" t="e">
        <f>IF(B2329=0,VLOOKUP(A2329,Feuil2!$A$2:$M$1241,11,FALSE)," ")</f>
        <v>#N/A</v>
      </c>
      <c r="H2329" s="1" t="s">
        <v>16</v>
      </c>
      <c r="I2329" s="6" t="e">
        <f>IF(B2329=0,VLOOKUP(A2329,Feuil2!$A$2:$M$1241,7,FALSE)," ")</f>
        <v>#N/A</v>
      </c>
      <c r="J2329" s="1" t="e">
        <f>IF(B2329=0,VLOOKUP(A2329,Feuil2!$A$2:$M$1241,9,FALSE)," ")</f>
        <v>#N/A</v>
      </c>
      <c r="K2329" s="1" t="e">
        <f>IF(B2329=0,VLOOKUP(A2329,Feuil2!$A$2:$M$1241,10,FALSE)," ")</f>
        <v>#N/A</v>
      </c>
      <c r="L2329" s="1"/>
      <c r="M2329" s="1"/>
      <c r="N2329" s="1"/>
      <c r="O2329" s="8"/>
    </row>
    <row r="2330" spans="1:15" x14ac:dyDescent="0.3">
      <c r="A2330" s="1"/>
      <c r="B2330" s="1"/>
      <c r="C2330" s="1" t="e">
        <f>IF(B2330=0,VLOOKUP(A2330,Feuil2!$A$2:$M$1241,2,FALSE)," ")</f>
        <v>#N/A</v>
      </c>
      <c r="D2330" s="1" t="e">
        <f>IF(B2330=0,VLOOKUP(A2330,Feuil2!$A$2:$M$1241,3,FALSE)," ")</f>
        <v>#N/A</v>
      </c>
      <c r="E2330" s="5" t="e">
        <f>IF(B2330=0,VLOOKUP(A2330,Feuil2!$A$2:$M$1241,6,FALSE)," ")</f>
        <v>#N/A</v>
      </c>
      <c r="F2330" s="1" t="e">
        <f>IF(B2330=0,VLOOKUP(A2330,Feuil2!$A$2:$M$1241,12,FALSE)," ")</f>
        <v>#N/A</v>
      </c>
      <c r="G2330" s="1" t="e">
        <f>IF(B2330=0,VLOOKUP(A2330,Feuil2!$A$2:$M$1241,11,FALSE)," ")</f>
        <v>#N/A</v>
      </c>
      <c r="H2330" s="1" t="s">
        <v>16</v>
      </c>
      <c r="I2330" s="6" t="e">
        <f>IF(B2330=0,VLOOKUP(A2330,Feuil2!$A$2:$M$1241,7,FALSE)," ")</f>
        <v>#N/A</v>
      </c>
      <c r="J2330" s="1" t="e">
        <f>IF(B2330=0,VLOOKUP(A2330,Feuil2!$A$2:$M$1241,9,FALSE)," ")</f>
        <v>#N/A</v>
      </c>
      <c r="K2330" s="1" t="e">
        <f>IF(B2330=0,VLOOKUP(A2330,Feuil2!$A$2:$M$1241,10,FALSE)," ")</f>
        <v>#N/A</v>
      </c>
      <c r="L2330" s="1"/>
      <c r="M2330" s="1"/>
      <c r="N2330" s="1"/>
      <c r="O2330" s="8"/>
    </row>
    <row r="2331" spans="1:15" x14ac:dyDescent="0.3">
      <c r="A2331" s="1"/>
      <c r="B2331" s="1"/>
      <c r="C2331" s="1" t="e">
        <f>IF(B2331=0,VLOOKUP(A2331,Feuil2!$A$2:$M$1241,2,FALSE)," ")</f>
        <v>#N/A</v>
      </c>
      <c r="D2331" s="1" t="e">
        <f>IF(B2331=0,VLOOKUP(A2331,Feuil2!$A$2:$M$1241,3,FALSE)," ")</f>
        <v>#N/A</v>
      </c>
      <c r="E2331" s="5" t="e">
        <f>IF(B2331=0,VLOOKUP(A2331,Feuil2!$A$2:$M$1241,6,FALSE)," ")</f>
        <v>#N/A</v>
      </c>
      <c r="F2331" s="1" t="e">
        <f>IF(B2331=0,VLOOKUP(A2331,Feuil2!$A$2:$M$1241,12,FALSE)," ")</f>
        <v>#N/A</v>
      </c>
      <c r="G2331" s="1" t="e">
        <f>IF(B2331=0,VLOOKUP(A2331,Feuil2!$A$2:$M$1241,11,FALSE)," ")</f>
        <v>#N/A</v>
      </c>
      <c r="H2331" s="1" t="s">
        <v>16</v>
      </c>
      <c r="I2331" s="6" t="e">
        <f>IF(B2331=0,VLOOKUP(A2331,Feuil2!$A$2:$M$1241,7,FALSE)," ")</f>
        <v>#N/A</v>
      </c>
      <c r="J2331" s="1" t="e">
        <f>IF(B2331=0,VLOOKUP(A2331,Feuil2!$A$2:$M$1241,9,FALSE)," ")</f>
        <v>#N/A</v>
      </c>
      <c r="K2331" s="1" t="e">
        <f>IF(B2331=0,VLOOKUP(A2331,Feuil2!$A$2:$M$1241,10,FALSE)," ")</f>
        <v>#N/A</v>
      </c>
      <c r="L2331" s="1"/>
      <c r="M2331" s="1"/>
      <c r="N2331" s="1"/>
      <c r="O2331" s="8"/>
    </row>
    <row r="2332" spans="1:15" x14ac:dyDescent="0.3">
      <c r="A2332" s="1"/>
      <c r="B2332" s="1"/>
      <c r="C2332" s="1" t="e">
        <f>IF(B2332=0,VLOOKUP(A2332,Feuil2!$A$2:$M$1241,2,FALSE)," ")</f>
        <v>#N/A</v>
      </c>
      <c r="D2332" s="1" t="e">
        <f>IF(B2332=0,VLOOKUP(A2332,Feuil2!$A$2:$M$1241,3,FALSE)," ")</f>
        <v>#N/A</v>
      </c>
      <c r="E2332" s="5" t="e">
        <f>IF(B2332=0,VLOOKUP(A2332,Feuil2!$A$2:$M$1241,6,FALSE)," ")</f>
        <v>#N/A</v>
      </c>
      <c r="F2332" s="1" t="e">
        <f>IF(B2332=0,VLOOKUP(A2332,Feuil2!$A$2:$M$1241,12,FALSE)," ")</f>
        <v>#N/A</v>
      </c>
      <c r="G2332" s="1" t="e">
        <f>IF(B2332=0,VLOOKUP(A2332,Feuil2!$A$2:$M$1241,11,FALSE)," ")</f>
        <v>#N/A</v>
      </c>
      <c r="H2332" s="1" t="s">
        <v>16</v>
      </c>
      <c r="I2332" s="6" t="e">
        <f>IF(B2332=0,VLOOKUP(A2332,Feuil2!$A$2:$M$1241,7,FALSE)," ")</f>
        <v>#N/A</v>
      </c>
      <c r="J2332" s="1" t="e">
        <f>IF(B2332=0,VLOOKUP(A2332,Feuil2!$A$2:$M$1241,9,FALSE)," ")</f>
        <v>#N/A</v>
      </c>
      <c r="K2332" s="1" t="e">
        <f>IF(B2332=0,VLOOKUP(A2332,Feuil2!$A$2:$M$1241,10,FALSE)," ")</f>
        <v>#N/A</v>
      </c>
      <c r="L2332" s="1"/>
      <c r="M2332" s="1"/>
      <c r="N2332" s="1"/>
      <c r="O2332" s="8"/>
    </row>
    <row r="2333" spans="1:15" x14ac:dyDescent="0.3">
      <c r="A2333" s="1"/>
      <c r="B2333" s="1"/>
      <c r="C2333" s="1" t="e">
        <f>IF(B2333=0,VLOOKUP(A2333,Feuil2!$A$2:$M$1241,2,FALSE)," ")</f>
        <v>#N/A</v>
      </c>
      <c r="D2333" s="1" t="e">
        <f>IF(B2333=0,VLOOKUP(A2333,Feuil2!$A$2:$M$1241,3,FALSE)," ")</f>
        <v>#N/A</v>
      </c>
      <c r="E2333" s="5" t="e">
        <f>IF(B2333=0,VLOOKUP(A2333,Feuil2!$A$2:$M$1241,6,FALSE)," ")</f>
        <v>#N/A</v>
      </c>
      <c r="F2333" s="1" t="e">
        <f>IF(B2333=0,VLOOKUP(A2333,Feuil2!$A$2:$M$1241,12,FALSE)," ")</f>
        <v>#N/A</v>
      </c>
      <c r="G2333" s="1" t="e">
        <f>IF(B2333=0,VLOOKUP(A2333,Feuil2!$A$2:$M$1241,11,FALSE)," ")</f>
        <v>#N/A</v>
      </c>
      <c r="H2333" s="1" t="s">
        <v>16</v>
      </c>
      <c r="I2333" s="6" t="e">
        <f>IF(B2333=0,VLOOKUP(A2333,Feuil2!$A$2:$M$1241,7,FALSE)," ")</f>
        <v>#N/A</v>
      </c>
      <c r="J2333" s="1" t="e">
        <f>IF(B2333=0,VLOOKUP(A2333,Feuil2!$A$2:$M$1241,9,FALSE)," ")</f>
        <v>#N/A</v>
      </c>
      <c r="K2333" s="1" t="e">
        <f>IF(B2333=0,VLOOKUP(A2333,Feuil2!$A$2:$M$1241,10,FALSE)," ")</f>
        <v>#N/A</v>
      </c>
      <c r="L2333" s="1"/>
      <c r="M2333" s="1"/>
      <c r="N2333" s="1"/>
      <c r="O2333" s="8"/>
    </row>
    <row r="2334" spans="1:15" x14ac:dyDescent="0.3">
      <c r="A2334" s="1"/>
      <c r="B2334" s="1"/>
      <c r="C2334" s="1" t="e">
        <f>IF(B2334=0,VLOOKUP(A2334,Feuil2!$A$2:$M$1241,2,FALSE)," ")</f>
        <v>#N/A</v>
      </c>
      <c r="D2334" s="1" t="e">
        <f>IF(B2334=0,VLOOKUP(A2334,Feuil2!$A$2:$M$1241,3,FALSE)," ")</f>
        <v>#N/A</v>
      </c>
      <c r="E2334" s="5" t="e">
        <f>IF(B2334=0,VLOOKUP(A2334,Feuil2!$A$2:$M$1241,6,FALSE)," ")</f>
        <v>#N/A</v>
      </c>
      <c r="F2334" s="1" t="e">
        <f>IF(B2334=0,VLOOKUP(A2334,Feuil2!$A$2:$M$1241,12,FALSE)," ")</f>
        <v>#N/A</v>
      </c>
      <c r="G2334" s="1" t="e">
        <f>IF(B2334=0,VLOOKUP(A2334,Feuil2!$A$2:$M$1241,11,FALSE)," ")</f>
        <v>#N/A</v>
      </c>
      <c r="H2334" s="1" t="s">
        <v>16</v>
      </c>
      <c r="I2334" s="6" t="e">
        <f>IF(B2334=0,VLOOKUP(A2334,Feuil2!$A$2:$M$1241,7,FALSE)," ")</f>
        <v>#N/A</v>
      </c>
      <c r="J2334" s="1" t="e">
        <f>IF(B2334=0,VLOOKUP(A2334,Feuil2!$A$2:$M$1241,9,FALSE)," ")</f>
        <v>#N/A</v>
      </c>
      <c r="K2334" s="1" t="e">
        <f>IF(B2334=0,VLOOKUP(A2334,Feuil2!$A$2:$M$1241,10,FALSE)," ")</f>
        <v>#N/A</v>
      </c>
      <c r="L2334" s="1"/>
      <c r="M2334" s="1"/>
      <c r="N2334" s="1"/>
      <c r="O2334" s="8"/>
    </row>
    <row r="2335" spans="1:15" x14ac:dyDescent="0.3">
      <c r="A2335" s="1"/>
      <c r="B2335" s="1"/>
      <c r="C2335" s="1" t="e">
        <f>IF(B2335=0,VLOOKUP(A2335,Feuil2!$A$2:$M$1241,2,FALSE)," ")</f>
        <v>#N/A</v>
      </c>
      <c r="D2335" s="1" t="e">
        <f>IF(B2335=0,VLOOKUP(A2335,Feuil2!$A$2:$M$1241,3,FALSE)," ")</f>
        <v>#N/A</v>
      </c>
      <c r="E2335" s="5" t="e">
        <f>IF(B2335=0,VLOOKUP(A2335,Feuil2!$A$2:$M$1241,6,FALSE)," ")</f>
        <v>#N/A</v>
      </c>
      <c r="F2335" s="1" t="e">
        <f>IF(B2335=0,VLOOKUP(A2335,Feuil2!$A$2:$M$1241,12,FALSE)," ")</f>
        <v>#N/A</v>
      </c>
      <c r="G2335" s="1" t="e">
        <f>IF(B2335=0,VLOOKUP(A2335,Feuil2!$A$2:$M$1241,11,FALSE)," ")</f>
        <v>#N/A</v>
      </c>
      <c r="H2335" s="1" t="s">
        <v>16</v>
      </c>
      <c r="I2335" s="6" t="e">
        <f>IF(B2335=0,VLOOKUP(A2335,Feuil2!$A$2:$M$1241,7,FALSE)," ")</f>
        <v>#N/A</v>
      </c>
      <c r="J2335" s="1" t="e">
        <f>IF(B2335=0,VLOOKUP(A2335,Feuil2!$A$2:$M$1241,9,FALSE)," ")</f>
        <v>#N/A</v>
      </c>
      <c r="K2335" s="1" t="e">
        <f>IF(B2335=0,VLOOKUP(A2335,Feuil2!$A$2:$M$1241,10,FALSE)," ")</f>
        <v>#N/A</v>
      </c>
      <c r="L2335" s="1"/>
      <c r="M2335" s="1"/>
      <c r="N2335" s="1"/>
      <c r="O2335" s="8"/>
    </row>
    <row r="2336" spans="1:15" x14ac:dyDescent="0.3">
      <c r="A2336" s="1"/>
      <c r="B2336" s="1"/>
      <c r="C2336" s="1" t="e">
        <f>IF(B2336=0,VLOOKUP(A2336,Feuil2!$A$2:$M$1241,2,FALSE)," ")</f>
        <v>#N/A</v>
      </c>
      <c r="D2336" s="1" t="e">
        <f>IF(B2336=0,VLOOKUP(A2336,Feuil2!$A$2:$M$1241,3,FALSE)," ")</f>
        <v>#N/A</v>
      </c>
      <c r="E2336" s="5" t="e">
        <f>IF(B2336=0,VLOOKUP(A2336,Feuil2!$A$2:$M$1241,6,FALSE)," ")</f>
        <v>#N/A</v>
      </c>
      <c r="F2336" s="1" t="e">
        <f>IF(B2336=0,VLOOKUP(A2336,Feuil2!$A$2:$M$1241,12,FALSE)," ")</f>
        <v>#N/A</v>
      </c>
      <c r="G2336" s="1" t="e">
        <f>IF(B2336=0,VLOOKUP(A2336,Feuil2!$A$2:$M$1241,11,FALSE)," ")</f>
        <v>#N/A</v>
      </c>
      <c r="H2336" s="1" t="s">
        <v>16</v>
      </c>
      <c r="I2336" s="6" t="e">
        <f>IF(B2336=0,VLOOKUP(A2336,Feuil2!$A$2:$M$1241,7,FALSE)," ")</f>
        <v>#N/A</v>
      </c>
      <c r="J2336" s="1" t="e">
        <f>IF(B2336=0,VLOOKUP(A2336,Feuil2!$A$2:$M$1241,9,FALSE)," ")</f>
        <v>#N/A</v>
      </c>
      <c r="K2336" s="1" t="e">
        <f>IF(B2336=0,VLOOKUP(A2336,Feuil2!$A$2:$M$1241,10,FALSE)," ")</f>
        <v>#N/A</v>
      </c>
      <c r="L2336" s="1"/>
      <c r="M2336" s="1"/>
      <c r="N2336" s="1"/>
      <c r="O2336" s="8"/>
    </row>
    <row r="2337" spans="1:15" x14ac:dyDescent="0.3">
      <c r="A2337" s="1"/>
      <c r="B2337" s="1"/>
      <c r="C2337" s="1" t="e">
        <f>IF(B2337=0,VLOOKUP(A2337,Feuil2!$A$2:$M$1241,2,FALSE)," ")</f>
        <v>#N/A</v>
      </c>
      <c r="D2337" s="1" t="e">
        <f>IF(B2337=0,VLOOKUP(A2337,Feuil2!$A$2:$M$1241,3,FALSE)," ")</f>
        <v>#N/A</v>
      </c>
      <c r="E2337" s="5" t="e">
        <f>IF(B2337=0,VLOOKUP(A2337,Feuil2!$A$2:$M$1241,6,FALSE)," ")</f>
        <v>#N/A</v>
      </c>
      <c r="F2337" s="1" t="e">
        <f>IF(B2337=0,VLOOKUP(A2337,Feuil2!$A$2:$M$1241,12,FALSE)," ")</f>
        <v>#N/A</v>
      </c>
      <c r="G2337" s="1" t="e">
        <f>IF(B2337=0,VLOOKUP(A2337,Feuil2!$A$2:$M$1241,11,FALSE)," ")</f>
        <v>#N/A</v>
      </c>
      <c r="H2337" s="1" t="s">
        <v>16</v>
      </c>
      <c r="I2337" s="6" t="e">
        <f>IF(B2337=0,VLOOKUP(A2337,Feuil2!$A$2:$M$1241,7,FALSE)," ")</f>
        <v>#N/A</v>
      </c>
      <c r="J2337" s="1" t="e">
        <f>IF(B2337=0,VLOOKUP(A2337,Feuil2!$A$2:$M$1241,9,FALSE)," ")</f>
        <v>#N/A</v>
      </c>
      <c r="K2337" s="1" t="e">
        <f>IF(B2337=0,VLOOKUP(A2337,Feuil2!$A$2:$M$1241,10,FALSE)," ")</f>
        <v>#N/A</v>
      </c>
      <c r="L2337" s="1"/>
      <c r="M2337" s="1"/>
      <c r="N2337" s="1"/>
      <c r="O2337" s="8"/>
    </row>
    <row r="2338" spans="1:15" x14ac:dyDescent="0.3">
      <c r="A2338" s="1"/>
      <c r="B2338" s="1"/>
      <c r="C2338" s="1" t="e">
        <f>IF(B2338=0,VLOOKUP(A2338,Feuil2!$A$2:$M$1241,2,FALSE)," ")</f>
        <v>#N/A</v>
      </c>
      <c r="D2338" s="1" t="e">
        <f>IF(B2338=0,VLOOKUP(A2338,Feuil2!$A$2:$M$1241,3,FALSE)," ")</f>
        <v>#N/A</v>
      </c>
      <c r="E2338" s="5" t="e">
        <f>IF(B2338=0,VLOOKUP(A2338,Feuil2!$A$2:$M$1241,6,FALSE)," ")</f>
        <v>#N/A</v>
      </c>
      <c r="F2338" s="1" t="e">
        <f>IF(B2338=0,VLOOKUP(A2338,Feuil2!$A$2:$M$1241,12,FALSE)," ")</f>
        <v>#N/A</v>
      </c>
      <c r="G2338" s="1" t="e">
        <f>IF(B2338=0,VLOOKUP(A2338,Feuil2!$A$2:$M$1241,11,FALSE)," ")</f>
        <v>#N/A</v>
      </c>
      <c r="H2338" s="1" t="s">
        <v>16</v>
      </c>
      <c r="I2338" s="6" t="e">
        <f>IF(B2338=0,VLOOKUP(A2338,Feuil2!$A$2:$M$1241,7,FALSE)," ")</f>
        <v>#N/A</v>
      </c>
      <c r="J2338" s="1" t="e">
        <f>IF(B2338=0,VLOOKUP(A2338,Feuil2!$A$2:$M$1241,9,FALSE)," ")</f>
        <v>#N/A</v>
      </c>
      <c r="K2338" s="1" t="e">
        <f>IF(B2338=0,VLOOKUP(A2338,Feuil2!$A$2:$M$1241,10,FALSE)," ")</f>
        <v>#N/A</v>
      </c>
      <c r="L2338" s="1"/>
      <c r="M2338" s="1"/>
      <c r="N2338" s="1"/>
      <c r="O2338" s="8"/>
    </row>
    <row r="2339" spans="1:15" x14ac:dyDescent="0.3">
      <c r="A2339" s="1"/>
      <c r="B2339" s="1"/>
      <c r="C2339" s="1" t="e">
        <f>IF(B2339=0,VLOOKUP(A2339,Feuil2!$A$2:$M$1241,2,FALSE)," ")</f>
        <v>#N/A</v>
      </c>
      <c r="D2339" s="1" t="e">
        <f>IF(B2339=0,VLOOKUP(A2339,Feuil2!$A$2:$M$1241,3,FALSE)," ")</f>
        <v>#N/A</v>
      </c>
      <c r="E2339" s="5" t="e">
        <f>IF(B2339=0,VLOOKUP(A2339,Feuil2!$A$2:$M$1241,6,FALSE)," ")</f>
        <v>#N/A</v>
      </c>
      <c r="F2339" s="1" t="e">
        <f>IF(B2339=0,VLOOKUP(A2339,Feuil2!$A$2:$M$1241,12,FALSE)," ")</f>
        <v>#N/A</v>
      </c>
      <c r="G2339" s="1" t="e">
        <f>IF(B2339=0,VLOOKUP(A2339,Feuil2!$A$2:$M$1241,11,FALSE)," ")</f>
        <v>#N/A</v>
      </c>
      <c r="H2339" s="1" t="s">
        <v>16</v>
      </c>
      <c r="I2339" s="6" t="e">
        <f>IF(B2339=0,VLOOKUP(A2339,Feuil2!$A$2:$M$1241,7,FALSE)," ")</f>
        <v>#N/A</v>
      </c>
      <c r="J2339" s="1" t="e">
        <f>IF(B2339=0,VLOOKUP(A2339,Feuil2!$A$2:$M$1241,9,FALSE)," ")</f>
        <v>#N/A</v>
      </c>
      <c r="K2339" s="1" t="e">
        <f>IF(B2339=0,VLOOKUP(A2339,Feuil2!$A$2:$M$1241,10,FALSE)," ")</f>
        <v>#N/A</v>
      </c>
      <c r="L2339" s="1"/>
      <c r="M2339" s="1"/>
      <c r="N2339" s="1"/>
      <c r="O2339" s="8"/>
    </row>
    <row r="2340" spans="1:15" x14ac:dyDescent="0.3">
      <c r="A2340" s="1"/>
      <c r="B2340" s="1"/>
      <c r="C2340" s="1" t="e">
        <f>IF(B2340=0,VLOOKUP(A2340,Feuil2!$A$2:$M$1241,2,FALSE)," ")</f>
        <v>#N/A</v>
      </c>
      <c r="D2340" s="1" t="e">
        <f>IF(B2340=0,VLOOKUP(A2340,Feuil2!$A$2:$M$1241,3,FALSE)," ")</f>
        <v>#N/A</v>
      </c>
      <c r="E2340" s="5" t="e">
        <f>IF(B2340=0,VLOOKUP(A2340,Feuil2!$A$2:$M$1241,6,FALSE)," ")</f>
        <v>#N/A</v>
      </c>
      <c r="F2340" s="1" t="e">
        <f>IF(B2340=0,VLOOKUP(A2340,Feuil2!$A$2:$M$1241,12,FALSE)," ")</f>
        <v>#N/A</v>
      </c>
      <c r="G2340" s="1" t="e">
        <f>IF(B2340=0,VLOOKUP(A2340,Feuil2!$A$2:$M$1241,11,FALSE)," ")</f>
        <v>#N/A</v>
      </c>
      <c r="H2340" s="1" t="s">
        <v>16</v>
      </c>
      <c r="I2340" s="6" t="e">
        <f>IF(B2340=0,VLOOKUP(A2340,Feuil2!$A$2:$M$1241,7,FALSE)," ")</f>
        <v>#N/A</v>
      </c>
      <c r="J2340" s="1" t="e">
        <f>IF(B2340=0,VLOOKUP(A2340,Feuil2!$A$2:$M$1241,9,FALSE)," ")</f>
        <v>#N/A</v>
      </c>
      <c r="K2340" s="1" t="e">
        <f>IF(B2340=0,VLOOKUP(A2340,Feuil2!$A$2:$M$1241,10,FALSE)," ")</f>
        <v>#N/A</v>
      </c>
      <c r="L2340" s="1"/>
      <c r="M2340" s="1"/>
      <c r="N2340" s="1"/>
      <c r="O2340" s="8"/>
    </row>
    <row r="2341" spans="1:15" x14ac:dyDescent="0.3">
      <c r="A2341" s="1"/>
      <c r="B2341" s="1"/>
      <c r="C2341" s="1" t="e">
        <f>IF(B2341=0,VLOOKUP(A2341,Feuil2!$A$2:$M$1241,2,FALSE)," ")</f>
        <v>#N/A</v>
      </c>
      <c r="D2341" s="1" t="e">
        <f>IF(B2341=0,VLOOKUP(A2341,Feuil2!$A$2:$M$1241,3,FALSE)," ")</f>
        <v>#N/A</v>
      </c>
      <c r="E2341" s="5" t="e">
        <f>IF(B2341=0,VLOOKUP(A2341,Feuil2!$A$2:$M$1241,6,FALSE)," ")</f>
        <v>#N/A</v>
      </c>
      <c r="F2341" s="1" t="e">
        <f>IF(B2341=0,VLOOKUP(A2341,Feuil2!$A$2:$M$1241,12,FALSE)," ")</f>
        <v>#N/A</v>
      </c>
      <c r="G2341" s="1" t="e">
        <f>IF(B2341=0,VLOOKUP(A2341,Feuil2!$A$2:$M$1241,11,FALSE)," ")</f>
        <v>#N/A</v>
      </c>
      <c r="H2341" s="1" t="s">
        <v>16</v>
      </c>
      <c r="I2341" s="6" t="e">
        <f>IF(B2341=0,VLOOKUP(A2341,Feuil2!$A$2:$M$1241,7,FALSE)," ")</f>
        <v>#N/A</v>
      </c>
      <c r="J2341" s="1" t="e">
        <f>IF(B2341=0,VLOOKUP(A2341,Feuil2!$A$2:$M$1241,9,FALSE)," ")</f>
        <v>#N/A</v>
      </c>
      <c r="K2341" s="1" t="e">
        <f>IF(B2341=0,VLOOKUP(A2341,Feuil2!$A$2:$M$1241,10,FALSE)," ")</f>
        <v>#N/A</v>
      </c>
      <c r="L2341" s="1"/>
      <c r="M2341" s="1"/>
      <c r="N2341" s="1"/>
      <c r="O2341" s="8"/>
    </row>
    <row r="2342" spans="1:15" x14ac:dyDescent="0.3">
      <c r="A2342" s="1"/>
      <c r="B2342" s="1"/>
      <c r="C2342" s="1" t="e">
        <f>IF(B2342=0,VLOOKUP(A2342,Feuil2!$A$2:$M$1241,2,FALSE)," ")</f>
        <v>#N/A</v>
      </c>
      <c r="D2342" s="1" t="e">
        <f>IF(B2342=0,VLOOKUP(A2342,Feuil2!$A$2:$M$1241,3,FALSE)," ")</f>
        <v>#N/A</v>
      </c>
      <c r="E2342" s="5" t="e">
        <f>IF(B2342=0,VLOOKUP(A2342,Feuil2!$A$2:$M$1241,6,FALSE)," ")</f>
        <v>#N/A</v>
      </c>
      <c r="F2342" s="1" t="e">
        <f>IF(B2342=0,VLOOKUP(A2342,Feuil2!$A$2:$M$1241,12,FALSE)," ")</f>
        <v>#N/A</v>
      </c>
      <c r="G2342" s="1" t="e">
        <f>IF(B2342=0,VLOOKUP(A2342,Feuil2!$A$2:$M$1241,11,FALSE)," ")</f>
        <v>#N/A</v>
      </c>
      <c r="H2342" s="1" t="s">
        <v>16</v>
      </c>
      <c r="I2342" s="6" t="e">
        <f>IF(B2342=0,VLOOKUP(A2342,Feuil2!$A$2:$M$1241,7,FALSE)," ")</f>
        <v>#N/A</v>
      </c>
      <c r="J2342" s="1" t="e">
        <f>IF(B2342=0,VLOOKUP(A2342,Feuil2!$A$2:$M$1241,9,FALSE)," ")</f>
        <v>#N/A</v>
      </c>
      <c r="K2342" s="1" t="e">
        <f>IF(B2342=0,VLOOKUP(A2342,Feuil2!$A$2:$M$1241,10,FALSE)," ")</f>
        <v>#N/A</v>
      </c>
      <c r="L2342" s="1"/>
      <c r="M2342" s="1"/>
      <c r="N2342" s="1"/>
      <c r="O2342" s="8"/>
    </row>
    <row r="2343" spans="1:15" x14ac:dyDescent="0.3">
      <c r="A2343" s="1"/>
      <c r="B2343" s="1"/>
      <c r="C2343" s="1" t="e">
        <f>IF(B2343=0,VLOOKUP(A2343,Feuil2!$A$2:$M$1241,2,FALSE)," ")</f>
        <v>#N/A</v>
      </c>
      <c r="D2343" s="1" t="e">
        <f>IF(B2343=0,VLOOKUP(A2343,Feuil2!$A$2:$M$1241,3,FALSE)," ")</f>
        <v>#N/A</v>
      </c>
      <c r="E2343" s="5" t="e">
        <f>IF(B2343=0,VLOOKUP(A2343,Feuil2!$A$2:$M$1241,6,FALSE)," ")</f>
        <v>#N/A</v>
      </c>
      <c r="F2343" s="1" t="e">
        <f>IF(B2343=0,VLOOKUP(A2343,Feuil2!$A$2:$M$1241,12,FALSE)," ")</f>
        <v>#N/A</v>
      </c>
      <c r="G2343" s="1" t="e">
        <f>IF(B2343=0,VLOOKUP(A2343,Feuil2!$A$2:$M$1241,11,FALSE)," ")</f>
        <v>#N/A</v>
      </c>
      <c r="H2343" s="1" t="s">
        <v>16</v>
      </c>
      <c r="I2343" s="6" t="e">
        <f>IF(B2343=0,VLOOKUP(A2343,Feuil2!$A$2:$M$1241,7,FALSE)," ")</f>
        <v>#N/A</v>
      </c>
      <c r="J2343" s="1" t="e">
        <f>IF(B2343=0,VLOOKUP(A2343,Feuil2!$A$2:$M$1241,9,FALSE)," ")</f>
        <v>#N/A</v>
      </c>
      <c r="K2343" s="1" t="e">
        <f>IF(B2343=0,VLOOKUP(A2343,Feuil2!$A$2:$M$1241,10,FALSE)," ")</f>
        <v>#N/A</v>
      </c>
      <c r="L2343" s="1"/>
      <c r="M2343" s="1"/>
      <c r="N2343" s="1"/>
      <c r="O2343" s="8"/>
    </row>
    <row r="2344" spans="1:15" x14ac:dyDescent="0.3">
      <c r="A2344" s="1"/>
      <c r="B2344" s="1"/>
      <c r="C2344" s="1" t="e">
        <f>IF(B2344=0,VLOOKUP(A2344,Feuil2!$A$2:$M$1241,2,FALSE)," ")</f>
        <v>#N/A</v>
      </c>
      <c r="D2344" s="1" t="e">
        <f>IF(B2344=0,VLOOKUP(A2344,Feuil2!$A$2:$M$1241,3,FALSE)," ")</f>
        <v>#N/A</v>
      </c>
      <c r="E2344" s="5" t="e">
        <f>IF(B2344=0,VLOOKUP(A2344,Feuil2!$A$2:$M$1241,6,FALSE)," ")</f>
        <v>#N/A</v>
      </c>
      <c r="F2344" s="1" t="e">
        <f>IF(B2344=0,VLOOKUP(A2344,Feuil2!$A$2:$M$1241,12,FALSE)," ")</f>
        <v>#N/A</v>
      </c>
      <c r="G2344" s="1" t="e">
        <f>IF(B2344=0,VLOOKUP(A2344,Feuil2!$A$2:$M$1241,11,FALSE)," ")</f>
        <v>#N/A</v>
      </c>
      <c r="H2344" s="1" t="s">
        <v>16</v>
      </c>
      <c r="I2344" s="6" t="e">
        <f>IF(B2344=0,VLOOKUP(A2344,Feuil2!$A$2:$M$1241,7,FALSE)," ")</f>
        <v>#N/A</v>
      </c>
      <c r="J2344" s="1" t="e">
        <f>IF(B2344=0,VLOOKUP(A2344,Feuil2!$A$2:$M$1241,9,FALSE)," ")</f>
        <v>#N/A</v>
      </c>
      <c r="K2344" s="1" t="e">
        <f>IF(B2344=0,VLOOKUP(A2344,Feuil2!$A$2:$M$1241,10,FALSE)," ")</f>
        <v>#N/A</v>
      </c>
      <c r="L2344" s="1"/>
      <c r="M2344" s="1"/>
      <c r="N2344" s="1"/>
      <c r="O2344" s="8"/>
    </row>
    <row r="2345" spans="1:15" x14ac:dyDescent="0.3">
      <c r="A2345" s="1"/>
      <c r="B2345" s="1"/>
      <c r="C2345" s="1" t="e">
        <f>IF(B2345=0,VLOOKUP(A2345,Feuil2!$A$2:$M$1241,2,FALSE)," ")</f>
        <v>#N/A</v>
      </c>
      <c r="D2345" s="1" t="e">
        <f>IF(B2345=0,VLOOKUP(A2345,Feuil2!$A$2:$M$1241,3,FALSE)," ")</f>
        <v>#N/A</v>
      </c>
      <c r="E2345" s="5" t="e">
        <f>IF(B2345=0,VLOOKUP(A2345,Feuil2!$A$2:$M$1241,6,FALSE)," ")</f>
        <v>#N/A</v>
      </c>
      <c r="F2345" s="1" t="e">
        <f>IF(B2345=0,VLOOKUP(A2345,Feuil2!$A$2:$M$1241,12,FALSE)," ")</f>
        <v>#N/A</v>
      </c>
      <c r="G2345" s="1" t="e">
        <f>IF(B2345=0,VLOOKUP(A2345,Feuil2!$A$2:$M$1241,11,FALSE)," ")</f>
        <v>#N/A</v>
      </c>
      <c r="H2345" s="1" t="s">
        <v>16</v>
      </c>
      <c r="I2345" s="6" t="e">
        <f>IF(B2345=0,VLOOKUP(A2345,Feuil2!$A$2:$M$1241,7,FALSE)," ")</f>
        <v>#N/A</v>
      </c>
      <c r="J2345" s="1" t="e">
        <f>IF(B2345=0,VLOOKUP(A2345,Feuil2!$A$2:$M$1241,9,FALSE)," ")</f>
        <v>#N/A</v>
      </c>
      <c r="K2345" s="1" t="e">
        <f>IF(B2345=0,VLOOKUP(A2345,Feuil2!$A$2:$M$1241,10,FALSE)," ")</f>
        <v>#N/A</v>
      </c>
      <c r="L2345" s="1"/>
      <c r="M2345" s="1"/>
      <c r="N2345" s="1"/>
      <c r="O2345" s="8"/>
    </row>
    <row r="2346" spans="1:15" x14ac:dyDescent="0.3">
      <c r="A2346" s="1"/>
      <c r="B2346" s="1"/>
      <c r="C2346" s="1" t="e">
        <f>IF(B2346=0,VLOOKUP(A2346,Feuil2!$A$2:$M$1241,2,FALSE)," ")</f>
        <v>#N/A</v>
      </c>
      <c r="D2346" s="1" t="e">
        <f>IF(B2346=0,VLOOKUP(A2346,Feuil2!$A$2:$M$1241,3,FALSE)," ")</f>
        <v>#N/A</v>
      </c>
      <c r="E2346" s="5" t="e">
        <f>IF(B2346=0,VLOOKUP(A2346,Feuil2!$A$2:$M$1241,6,FALSE)," ")</f>
        <v>#N/A</v>
      </c>
      <c r="F2346" s="1" t="e">
        <f>IF(B2346=0,VLOOKUP(A2346,Feuil2!$A$2:$M$1241,12,FALSE)," ")</f>
        <v>#N/A</v>
      </c>
      <c r="G2346" s="1" t="e">
        <f>IF(B2346=0,VLOOKUP(A2346,Feuil2!$A$2:$M$1241,11,FALSE)," ")</f>
        <v>#N/A</v>
      </c>
      <c r="H2346" s="1" t="s">
        <v>16</v>
      </c>
      <c r="I2346" s="6" t="e">
        <f>IF(B2346=0,VLOOKUP(A2346,Feuil2!$A$2:$M$1241,7,FALSE)," ")</f>
        <v>#N/A</v>
      </c>
      <c r="J2346" s="1" t="e">
        <f>IF(B2346=0,VLOOKUP(A2346,Feuil2!$A$2:$M$1241,9,FALSE)," ")</f>
        <v>#N/A</v>
      </c>
      <c r="K2346" s="1" t="e">
        <f>IF(B2346=0,VLOOKUP(A2346,Feuil2!$A$2:$M$1241,10,FALSE)," ")</f>
        <v>#N/A</v>
      </c>
      <c r="L2346" s="1"/>
      <c r="M2346" s="1"/>
      <c r="N2346" s="1"/>
      <c r="O2346" s="8"/>
    </row>
    <row r="2347" spans="1:15" x14ac:dyDescent="0.3">
      <c r="A2347" s="1"/>
      <c r="B2347" s="1"/>
      <c r="C2347" s="1" t="e">
        <f>IF(B2347=0,VLOOKUP(A2347,Feuil2!$A$2:$M$1241,2,FALSE)," ")</f>
        <v>#N/A</v>
      </c>
      <c r="D2347" s="1" t="e">
        <f>IF(B2347=0,VLOOKUP(A2347,Feuil2!$A$2:$M$1241,3,FALSE)," ")</f>
        <v>#N/A</v>
      </c>
      <c r="E2347" s="5" t="e">
        <f>IF(B2347=0,VLOOKUP(A2347,Feuil2!$A$2:$M$1241,6,FALSE)," ")</f>
        <v>#N/A</v>
      </c>
      <c r="F2347" s="1" t="e">
        <f>IF(B2347=0,VLOOKUP(A2347,Feuil2!$A$2:$M$1241,12,FALSE)," ")</f>
        <v>#N/A</v>
      </c>
      <c r="G2347" s="1" t="e">
        <f>IF(B2347=0,VLOOKUP(A2347,Feuil2!$A$2:$M$1241,11,FALSE)," ")</f>
        <v>#N/A</v>
      </c>
      <c r="H2347" s="1" t="s">
        <v>16</v>
      </c>
      <c r="I2347" s="6" t="e">
        <f>IF(B2347=0,VLOOKUP(A2347,Feuil2!$A$2:$M$1241,7,FALSE)," ")</f>
        <v>#N/A</v>
      </c>
      <c r="J2347" s="1" t="e">
        <f>IF(B2347=0,VLOOKUP(A2347,Feuil2!$A$2:$M$1241,9,FALSE)," ")</f>
        <v>#N/A</v>
      </c>
      <c r="K2347" s="1" t="e">
        <f>IF(B2347=0,VLOOKUP(A2347,Feuil2!$A$2:$M$1241,10,FALSE)," ")</f>
        <v>#N/A</v>
      </c>
      <c r="L2347" s="1"/>
      <c r="M2347" s="1"/>
      <c r="N2347" s="1"/>
      <c r="O2347" s="8"/>
    </row>
    <row r="2348" spans="1:15" x14ac:dyDescent="0.3">
      <c r="A2348" s="1"/>
      <c r="B2348" s="1"/>
      <c r="C2348" s="1" t="e">
        <f>IF(B2348=0,VLOOKUP(A2348,Feuil2!$A$2:$M$1241,2,FALSE)," ")</f>
        <v>#N/A</v>
      </c>
      <c r="D2348" s="1" t="e">
        <f>IF(B2348=0,VLOOKUP(A2348,Feuil2!$A$2:$M$1241,3,FALSE)," ")</f>
        <v>#N/A</v>
      </c>
      <c r="E2348" s="5" t="e">
        <f>IF(B2348=0,VLOOKUP(A2348,Feuil2!$A$2:$M$1241,6,FALSE)," ")</f>
        <v>#N/A</v>
      </c>
      <c r="F2348" s="1" t="e">
        <f>IF(B2348=0,VLOOKUP(A2348,Feuil2!$A$2:$M$1241,12,FALSE)," ")</f>
        <v>#N/A</v>
      </c>
      <c r="G2348" s="1" t="e">
        <f>IF(B2348=0,VLOOKUP(A2348,Feuil2!$A$2:$M$1241,11,FALSE)," ")</f>
        <v>#N/A</v>
      </c>
      <c r="H2348" s="1" t="s">
        <v>16</v>
      </c>
      <c r="I2348" s="6" t="e">
        <f>IF(B2348=0,VLOOKUP(A2348,Feuil2!$A$2:$M$1241,7,FALSE)," ")</f>
        <v>#N/A</v>
      </c>
      <c r="J2348" s="1" t="e">
        <f>IF(B2348=0,VLOOKUP(A2348,Feuil2!$A$2:$M$1241,9,FALSE)," ")</f>
        <v>#N/A</v>
      </c>
      <c r="K2348" s="1" t="e">
        <f>IF(B2348=0,VLOOKUP(A2348,Feuil2!$A$2:$M$1241,10,FALSE)," ")</f>
        <v>#N/A</v>
      </c>
      <c r="L2348" s="1"/>
      <c r="M2348" s="1"/>
      <c r="N2348" s="1"/>
      <c r="O2348" s="8"/>
    </row>
    <row r="2349" spans="1:15" x14ac:dyDescent="0.3">
      <c r="A2349" s="1"/>
      <c r="B2349" s="1"/>
      <c r="C2349" s="1" t="e">
        <f>IF(B2349=0,VLOOKUP(A2349,Feuil2!$A$2:$M$1241,2,FALSE)," ")</f>
        <v>#N/A</v>
      </c>
      <c r="D2349" s="1" t="e">
        <f>IF(B2349=0,VLOOKUP(A2349,Feuil2!$A$2:$M$1241,3,FALSE)," ")</f>
        <v>#N/A</v>
      </c>
      <c r="E2349" s="5" t="e">
        <f>IF(B2349=0,VLOOKUP(A2349,Feuil2!$A$2:$M$1241,6,FALSE)," ")</f>
        <v>#N/A</v>
      </c>
      <c r="F2349" s="1" t="e">
        <f>IF(B2349=0,VLOOKUP(A2349,Feuil2!$A$2:$M$1241,12,FALSE)," ")</f>
        <v>#N/A</v>
      </c>
      <c r="G2349" s="1" t="e">
        <f>IF(B2349=0,VLOOKUP(A2349,Feuil2!$A$2:$M$1241,11,FALSE)," ")</f>
        <v>#N/A</v>
      </c>
      <c r="H2349" s="1" t="s">
        <v>16</v>
      </c>
      <c r="I2349" s="6" t="e">
        <f>IF(B2349=0,VLOOKUP(A2349,Feuil2!$A$2:$M$1241,7,FALSE)," ")</f>
        <v>#N/A</v>
      </c>
      <c r="J2349" s="1" t="e">
        <f>IF(B2349=0,VLOOKUP(A2349,Feuil2!$A$2:$M$1241,9,FALSE)," ")</f>
        <v>#N/A</v>
      </c>
      <c r="K2349" s="1" t="e">
        <f>IF(B2349=0,VLOOKUP(A2349,Feuil2!$A$2:$M$1241,10,FALSE)," ")</f>
        <v>#N/A</v>
      </c>
      <c r="L2349" s="1"/>
      <c r="M2349" s="1"/>
      <c r="N2349" s="1"/>
      <c r="O2349" s="8"/>
    </row>
    <row r="2350" spans="1:15" x14ac:dyDescent="0.3">
      <c r="A2350" s="1"/>
      <c r="B2350" s="1"/>
      <c r="C2350" s="1" t="e">
        <f>IF(B2350=0,VLOOKUP(A2350,Feuil2!$A$2:$M$1241,2,FALSE)," ")</f>
        <v>#N/A</v>
      </c>
      <c r="D2350" s="1" t="e">
        <f>IF(B2350=0,VLOOKUP(A2350,Feuil2!$A$2:$M$1241,3,FALSE)," ")</f>
        <v>#N/A</v>
      </c>
      <c r="E2350" s="5" t="e">
        <f>IF(B2350=0,VLOOKUP(A2350,Feuil2!$A$2:$M$1241,6,FALSE)," ")</f>
        <v>#N/A</v>
      </c>
      <c r="F2350" s="1" t="e">
        <f>IF(B2350=0,VLOOKUP(A2350,Feuil2!$A$2:$M$1241,12,FALSE)," ")</f>
        <v>#N/A</v>
      </c>
      <c r="G2350" s="1" t="e">
        <f>IF(B2350=0,VLOOKUP(A2350,Feuil2!$A$2:$M$1241,11,FALSE)," ")</f>
        <v>#N/A</v>
      </c>
      <c r="H2350" s="1" t="s">
        <v>16</v>
      </c>
      <c r="I2350" s="6" t="e">
        <f>IF(B2350=0,VLOOKUP(A2350,Feuil2!$A$2:$M$1241,7,FALSE)," ")</f>
        <v>#N/A</v>
      </c>
      <c r="J2350" s="1" t="e">
        <f>IF(B2350=0,VLOOKUP(A2350,Feuil2!$A$2:$M$1241,9,FALSE)," ")</f>
        <v>#N/A</v>
      </c>
      <c r="K2350" s="1" t="e">
        <f>IF(B2350=0,VLOOKUP(A2350,Feuil2!$A$2:$M$1241,10,FALSE)," ")</f>
        <v>#N/A</v>
      </c>
      <c r="L2350" s="1"/>
      <c r="M2350" s="1"/>
      <c r="N2350" s="1"/>
      <c r="O2350" s="8"/>
    </row>
    <row r="2351" spans="1:15" x14ac:dyDescent="0.3">
      <c r="A2351" s="1"/>
      <c r="B2351" s="1"/>
      <c r="C2351" s="1" t="e">
        <f>IF(B2351=0,VLOOKUP(A2351,Feuil2!$A$2:$M$1241,2,FALSE)," ")</f>
        <v>#N/A</v>
      </c>
      <c r="D2351" s="1" t="e">
        <f>IF(B2351=0,VLOOKUP(A2351,Feuil2!$A$2:$M$1241,3,FALSE)," ")</f>
        <v>#N/A</v>
      </c>
      <c r="E2351" s="5" t="e">
        <f>IF(B2351=0,VLOOKUP(A2351,Feuil2!$A$2:$M$1241,6,FALSE)," ")</f>
        <v>#N/A</v>
      </c>
      <c r="F2351" s="1" t="e">
        <f>IF(B2351=0,VLOOKUP(A2351,Feuil2!$A$2:$M$1241,12,FALSE)," ")</f>
        <v>#N/A</v>
      </c>
      <c r="G2351" s="1" t="e">
        <f>IF(B2351=0,VLOOKUP(A2351,Feuil2!$A$2:$M$1241,11,FALSE)," ")</f>
        <v>#N/A</v>
      </c>
      <c r="H2351" s="1" t="s">
        <v>16</v>
      </c>
      <c r="I2351" s="6" t="e">
        <f>IF(B2351=0,VLOOKUP(A2351,Feuil2!$A$2:$M$1241,7,FALSE)," ")</f>
        <v>#N/A</v>
      </c>
      <c r="J2351" s="1" t="e">
        <f>IF(B2351=0,VLOOKUP(A2351,Feuil2!$A$2:$M$1241,9,FALSE)," ")</f>
        <v>#N/A</v>
      </c>
      <c r="K2351" s="1" t="e">
        <f>IF(B2351=0,VLOOKUP(A2351,Feuil2!$A$2:$M$1241,10,FALSE)," ")</f>
        <v>#N/A</v>
      </c>
      <c r="L2351" s="1"/>
      <c r="M2351" s="1"/>
      <c r="N2351" s="1"/>
      <c r="O2351" s="8"/>
    </row>
    <row r="2352" spans="1:15" x14ac:dyDescent="0.3">
      <c r="A2352" s="1"/>
      <c r="B2352" s="1"/>
      <c r="C2352" s="1" t="e">
        <f>IF(B2352=0,VLOOKUP(A2352,Feuil2!$A$2:$M$1241,2,FALSE)," ")</f>
        <v>#N/A</v>
      </c>
      <c r="D2352" s="1" t="e">
        <f>IF(B2352=0,VLOOKUP(A2352,Feuil2!$A$2:$M$1241,3,FALSE)," ")</f>
        <v>#N/A</v>
      </c>
      <c r="E2352" s="5" t="e">
        <f>IF(B2352=0,VLOOKUP(A2352,Feuil2!$A$2:$M$1241,6,FALSE)," ")</f>
        <v>#N/A</v>
      </c>
      <c r="F2352" s="1" t="e">
        <f>IF(B2352=0,VLOOKUP(A2352,Feuil2!$A$2:$M$1241,12,FALSE)," ")</f>
        <v>#N/A</v>
      </c>
      <c r="G2352" s="1" t="e">
        <f>IF(B2352=0,VLOOKUP(A2352,Feuil2!$A$2:$M$1241,11,FALSE)," ")</f>
        <v>#N/A</v>
      </c>
      <c r="H2352" s="1" t="s">
        <v>16</v>
      </c>
      <c r="I2352" s="6" t="e">
        <f>IF(B2352=0,VLOOKUP(A2352,Feuil2!$A$2:$M$1241,7,FALSE)," ")</f>
        <v>#N/A</v>
      </c>
      <c r="J2352" s="1" t="e">
        <f>IF(B2352=0,VLOOKUP(A2352,Feuil2!$A$2:$M$1241,9,FALSE)," ")</f>
        <v>#N/A</v>
      </c>
      <c r="K2352" s="1" t="e">
        <f>IF(B2352=0,VLOOKUP(A2352,Feuil2!$A$2:$M$1241,10,FALSE)," ")</f>
        <v>#N/A</v>
      </c>
      <c r="L2352" s="1"/>
      <c r="M2352" s="1"/>
      <c r="N2352" s="1"/>
      <c r="O2352" s="8"/>
    </row>
    <row r="2353" spans="1:15" x14ac:dyDescent="0.3">
      <c r="A2353" s="1"/>
      <c r="B2353" s="1"/>
      <c r="C2353" s="1" t="e">
        <f>IF(B2353=0,VLOOKUP(A2353,Feuil2!$A$2:$M$1241,2,FALSE)," ")</f>
        <v>#N/A</v>
      </c>
      <c r="D2353" s="1" t="e">
        <f>IF(B2353=0,VLOOKUP(A2353,Feuil2!$A$2:$M$1241,3,FALSE)," ")</f>
        <v>#N/A</v>
      </c>
      <c r="E2353" s="5" t="e">
        <f>IF(B2353=0,VLOOKUP(A2353,Feuil2!$A$2:$M$1241,6,FALSE)," ")</f>
        <v>#N/A</v>
      </c>
      <c r="F2353" s="1" t="e">
        <f>IF(B2353=0,VLOOKUP(A2353,Feuil2!$A$2:$M$1241,12,FALSE)," ")</f>
        <v>#N/A</v>
      </c>
      <c r="G2353" s="1" t="e">
        <f>IF(B2353=0,VLOOKUP(A2353,Feuil2!$A$2:$M$1241,11,FALSE)," ")</f>
        <v>#N/A</v>
      </c>
      <c r="H2353" s="1" t="s">
        <v>16</v>
      </c>
      <c r="I2353" s="6" t="e">
        <f>IF(B2353=0,VLOOKUP(A2353,Feuil2!$A$2:$M$1241,7,FALSE)," ")</f>
        <v>#N/A</v>
      </c>
      <c r="J2353" s="1" t="e">
        <f>IF(B2353=0,VLOOKUP(A2353,Feuil2!$A$2:$M$1241,9,FALSE)," ")</f>
        <v>#N/A</v>
      </c>
      <c r="K2353" s="1" t="e">
        <f>IF(B2353=0,VLOOKUP(A2353,Feuil2!$A$2:$M$1241,10,FALSE)," ")</f>
        <v>#N/A</v>
      </c>
      <c r="L2353" s="1"/>
      <c r="M2353" s="1"/>
      <c r="N2353" s="1"/>
      <c r="O2353" s="8"/>
    </row>
    <row r="2354" spans="1:15" x14ac:dyDescent="0.3">
      <c r="A2354" s="1"/>
      <c r="B2354" s="1"/>
      <c r="C2354" s="1" t="e">
        <f>IF(B2354=0,VLOOKUP(A2354,Feuil2!$A$2:$M$1241,2,FALSE)," ")</f>
        <v>#N/A</v>
      </c>
      <c r="D2354" s="1" t="e">
        <f>IF(B2354=0,VLOOKUP(A2354,Feuil2!$A$2:$M$1241,3,FALSE)," ")</f>
        <v>#N/A</v>
      </c>
      <c r="E2354" s="5" t="e">
        <f>IF(B2354=0,VLOOKUP(A2354,Feuil2!$A$2:$M$1241,6,FALSE)," ")</f>
        <v>#N/A</v>
      </c>
      <c r="F2354" s="1" t="e">
        <f>IF(B2354=0,VLOOKUP(A2354,Feuil2!$A$2:$M$1241,12,FALSE)," ")</f>
        <v>#N/A</v>
      </c>
      <c r="G2354" s="1" t="e">
        <f>IF(B2354=0,VLOOKUP(A2354,Feuil2!$A$2:$M$1241,11,FALSE)," ")</f>
        <v>#N/A</v>
      </c>
      <c r="H2354" s="1" t="s">
        <v>16</v>
      </c>
      <c r="I2354" s="6" t="e">
        <f>IF(B2354=0,VLOOKUP(A2354,Feuil2!$A$2:$M$1241,7,FALSE)," ")</f>
        <v>#N/A</v>
      </c>
      <c r="J2354" s="1" t="e">
        <f>IF(B2354=0,VLOOKUP(A2354,Feuil2!$A$2:$M$1241,9,FALSE)," ")</f>
        <v>#N/A</v>
      </c>
      <c r="K2354" s="1" t="e">
        <f>IF(B2354=0,VLOOKUP(A2354,Feuil2!$A$2:$M$1241,10,FALSE)," ")</f>
        <v>#N/A</v>
      </c>
      <c r="L2354" s="1"/>
      <c r="M2354" s="1"/>
      <c r="N2354" s="1"/>
      <c r="O2354" s="8"/>
    </row>
    <row r="2355" spans="1:15" x14ac:dyDescent="0.3">
      <c r="A2355" s="1"/>
      <c r="B2355" s="1"/>
      <c r="C2355" s="1" t="e">
        <f>IF(B2355=0,VLOOKUP(A2355,Feuil2!$A$2:$M$1241,2,FALSE)," ")</f>
        <v>#N/A</v>
      </c>
      <c r="D2355" s="1" t="e">
        <f>IF(B2355=0,VLOOKUP(A2355,Feuil2!$A$2:$M$1241,3,FALSE)," ")</f>
        <v>#N/A</v>
      </c>
      <c r="E2355" s="5" t="e">
        <f>IF(B2355=0,VLOOKUP(A2355,Feuil2!$A$2:$M$1241,6,FALSE)," ")</f>
        <v>#N/A</v>
      </c>
      <c r="F2355" s="1" t="e">
        <f>IF(B2355=0,VLOOKUP(A2355,Feuil2!$A$2:$M$1241,12,FALSE)," ")</f>
        <v>#N/A</v>
      </c>
      <c r="G2355" s="1" t="e">
        <f>IF(B2355=0,VLOOKUP(A2355,Feuil2!$A$2:$M$1241,11,FALSE)," ")</f>
        <v>#N/A</v>
      </c>
      <c r="H2355" s="1" t="s">
        <v>16</v>
      </c>
      <c r="I2355" s="6" t="e">
        <f>IF(B2355=0,VLOOKUP(A2355,Feuil2!$A$2:$M$1241,7,FALSE)," ")</f>
        <v>#N/A</v>
      </c>
      <c r="J2355" s="1" t="e">
        <f>IF(B2355=0,VLOOKUP(A2355,Feuil2!$A$2:$M$1241,9,FALSE)," ")</f>
        <v>#N/A</v>
      </c>
      <c r="K2355" s="1" t="e">
        <f>IF(B2355=0,VLOOKUP(A2355,Feuil2!$A$2:$M$1241,10,FALSE)," ")</f>
        <v>#N/A</v>
      </c>
      <c r="L2355" s="1"/>
      <c r="M2355" s="1"/>
      <c r="N2355" s="1"/>
      <c r="O2355" s="8"/>
    </row>
    <row r="2356" spans="1:15" x14ac:dyDescent="0.3">
      <c r="A2356" s="1"/>
      <c r="B2356" s="1"/>
      <c r="C2356" s="1" t="e">
        <f>IF(B2356=0,VLOOKUP(A2356,Feuil2!$A$2:$M$1241,2,FALSE)," ")</f>
        <v>#N/A</v>
      </c>
      <c r="D2356" s="1" t="e">
        <f>IF(B2356=0,VLOOKUP(A2356,Feuil2!$A$2:$M$1241,3,FALSE)," ")</f>
        <v>#N/A</v>
      </c>
      <c r="E2356" s="5" t="e">
        <f>IF(B2356=0,VLOOKUP(A2356,Feuil2!$A$2:$M$1241,6,FALSE)," ")</f>
        <v>#N/A</v>
      </c>
      <c r="F2356" s="1" t="e">
        <f>IF(B2356=0,VLOOKUP(A2356,Feuil2!$A$2:$M$1241,12,FALSE)," ")</f>
        <v>#N/A</v>
      </c>
      <c r="G2356" s="1" t="e">
        <f>IF(B2356=0,VLOOKUP(A2356,Feuil2!$A$2:$M$1241,11,FALSE)," ")</f>
        <v>#N/A</v>
      </c>
      <c r="H2356" s="1" t="s">
        <v>16</v>
      </c>
      <c r="I2356" s="6" t="e">
        <f>IF(B2356=0,VLOOKUP(A2356,Feuil2!$A$2:$M$1241,7,FALSE)," ")</f>
        <v>#N/A</v>
      </c>
      <c r="J2356" s="1" t="e">
        <f>IF(B2356=0,VLOOKUP(A2356,Feuil2!$A$2:$M$1241,9,FALSE)," ")</f>
        <v>#N/A</v>
      </c>
      <c r="K2356" s="1" t="e">
        <f>IF(B2356=0,VLOOKUP(A2356,Feuil2!$A$2:$M$1241,10,FALSE)," ")</f>
        <v>#N/A</v>
      </c>
      <c r="L2356" s="1"/>
      <c r="M2356" s="1"/>
      <c r="N2356" s="1"/>
      <c r="O2356" s="8"/>
    </row>
    <row r="2357" spans="1:15" x14ac:dyDescent="0.3">
      <c r="A2357" s="1"/>
      <c r="B2357" s="1"/>
      <c r="C2357" s="1" t="e">
        <f>IF(B2357=0,VLOOKUP(A2357,Feuil2!$A$2:$M$1241,2,FALSE)," ")</f>
        <v>#N/A</v>
      </c>
      <c r="D2357" s="1" t="e">
        <f>IF(B2357=0,VLOOKUP(A2357,Feuil2!$A$2:$M$1241,3,FALSE)," ")</f>
        <v>#N/A</v>
      </c>
      <c r="E2357" s="5" t="e">
        <f>IF(B2357=0,VLOOKUP(A2357,Feuil2!$A$2:$M$1241,6,FALSE)," ")</f>
        <v>#N/A</v>
      </c>
      <c r="F2357" s="1" t="e">
        <f>IF(B2357=0,VLOOKUP(A2357,Feuil2!$A$2:$M$1241,12,FALSE)," ")</f>
        <v>#N/A</v>
      </c>
      <c r="G2357" s="1" t="e">
        <f>IF(B2357=0,VLOOKUP(A2357,Feuil2!$A$2:$M$1241,11,FALSE)," ")</f>
        <v>#N/A</v>
      </c>
      <c r="H2357" s="1" t="s">
        <v>16</v>
      </c>
      <c r="I2357" s="6" t="e">
        <f>IF(B2357=0,VLOOKUP(A2357,Feuil2!$A$2:$M$1241,7,FALSE)," ")</f>
        <v>#N/A</v>
      </c>
      <c r="J2357" s="1" t="e">
        <f>IF(B2357=0,VLOOKUP(A2357,Feuil2!$A$2:$M$1241,9,FALSE)," ")</f>
        <v>#N/A</v>
      </c>
      <c r="K2357" s="1" t="e">
        <f>IF(B2357=0,VLOOKUP(A2357,Feuil2!$A$2:$M$1241,10,FALSE)," ")</f>
        <v>#N/A</v>
      </c>
      <c r="L2357" s="1"/>
      <c r="M2357" s="1"/>
      <c r="N2357" s="1"/>
      <c r="O2357" s="8"/>
    </row>
    <row r="2358" spans="1:15" x14ac:dyDescent="0.3">
      <c r="A2358" s="1"/>
      <c r="B2358" s="1"/>
      <c r="C2358" s="1" t="e">
        <f>IF(B2358=0,VLOOKUP(A2358,Feuil2!$A$2:$M$1241,2,FALSE)," ")</f>
        <v>#N/A</v>
      </c>
      <c r="D2358" s="1" t="e">
        <f>IF(B2358=0,VLOOKUP(A2358,Feuil2!$A$2:$M$1241,3,FALSE)," ")</f>
        <v>#N/A</v>
      </c>
      <c r="E2358" s="5" t="e">
        <f>IF(B2358=0,VLOOKUP(A2358,Feuil2!$A$2:$M$1241,6,FALSE)," ")</f>
        <v>#N/A</v>
      </c>
      <c r="F2358" s="1" t="e">
        <f>IF(B2358=0,VLOOKUP(A2358,Feuil2!$A$2:$M$1241,12,FALSE)," ")</f>
        <v>#N/A</v>
      </c>
      <c r="G2358" s="1" t="e">
        <f>IF(B2358=0,VLOOKUP(A2358,Feuil2!$A$2:$M$1241,11,FALSE)," ")</f>
        <v>#N/A</v>
      </c>
      <c r="H2358" s="1" t="s">
        <v>16</v>
      </c>
      <c r="I2358" s="6" t="e">
        <f>IF(B2358=0,VLOOKUP(A2358,Feuil2!$A$2:$M$1241,7,FALSE)," ")</f>
        <v>#N/A</v>
      </c>
      <c r="J2358" s="1" t="e">
        <f>IF(B2358=0,VLOOKUP(A2358,Feuil2!$A$2:$M$1241,9,FALSE)," ")</f>
        <v>#N/A</v>
      </c>
      <c r="K2358" s="1" t="e">
        <f>IF(B2358=0,VLOOKUP(A2358,Feuil2!$A$2:$M$1241,10,FALSE)," ")</f>
        <v>#N/A</v>
      </c>
      <c r="L2358" s="1"/>
      <c r="M2358" s="1"/>
      <c r="N2358" s="1"/>
      <c r="O2358" s="8"/>
    </row>
    <row r="2359" spans="1:15" x14ac:dyDescent="0.3">
      <c r="A2359" s="1"/>
      <c r="B2359" s="1"/>
      <c r="C2359" s="1" t="e">
        <f>IF(B2359=0,VLOOKUP(A2359,Feuil2!$A$2:$M$1241,2,FALSE)," ")</f>
        <v>#N/A</v>
      </c>
      <c r="D2359" s="1" t="e">
        <f>IF(B2359=0,VLOOKUP(A2359,Feuil2!$A$2:$M$1241,3,FALSE)," ")</f>
        <v>#N/A</v>
      </c>
      <c r="E2359" s="5" t="e">
        <f>IF(B2359=0,VLOOKUP(A2359,Feuil2!$A$2:$M$1241,6,FALSE)," ")</f>
        <v>#N/A</v>
      </c>
      <c r="F2359" s="1" t="e">
        <f>IF(B2359=0,VLOOKUP(A2359,Feuil2!$A$2:$M$1241,12,FALSE)," ")</f>
        <v>#N/A</v>
      </c>
      <c r="G2359" s="1" t="e">
        <f>IF(B2359=0,VLOOKUP(A2359,Feuil2!$A$2:$M$1241,11,FALSE)," ")</f>
        <v>#N/A</v>
      </c>
      <c r="H2359" s="1" t="s">
        <v>16</v>
      </c>
      <c r="I2359" s="6" t="e">
        <f>IF(B2359=0,VLOOKUP(A2359,Feuil2!$A$2:$M$1241,7,FALSE)," ")</f>
        <v>#N/A</v>
      </c>
      <c r="J2359" s="1" t="e">
        <f>IF(B2359=0,VLOOKUP(A2359,Feuil2!$A$2:$M$1241,9,FALSE)," ")</f>
        <v>#N/A</v>
      </c>
      <c r="K2359" s="1" t="e">
        <f>IF(B2359=0,VLOOKUP(A2359,Feuil2!$A$2:$M$1241,10,FALSE)," ")</f>
        <v>#N/A</v>
      </c>
      <c r="L2359" s="1"/>
      <c r="M2359" s="1"/>
      <c r="N2359" s="1"/>
      <c r="O2359" s="8"/>
    </row>
    <row r="2360" spans="1:15" x14ac:dyDescent="0.3">
      <c r="A2360" s="1"/>
      <c r="B2360" s="1"/>
      <c r="C2360" s="1" t="e">
        <f>IF(B2360=0,VLOOKUP(A2360,Feuil2!$A$2:$M$1241,2,FALSE)," ")</f>
        <v>#N/A</v>
      </c>
      <c r="D2360" s="1" t="e">
        <f>IF(B2360=0,VLOOKUP(A2360,Feuil2!$A$2:$M$1241,3,FALSE)," ")</f>
        <v>#N/A</v>
      </c>
      <c r="E2360" s="5" t="e">
        <f>IF(B2360=0,VLOOKUP(A2360,Feuil2!$A$2:$M$1241,6,FALSE)," ")</f>
        <v>#N/A</v>
      </c>
      <c r="F2360" s="1" t="e">
        <f>IF(B2360=0,VLOOKUP(A2360,Feuil2!$A$2:$M$1241,12,FALSE)," ")</f>
        <v>#N/A</v>
      </c>
      <c r="G2360" s="1" t="e">
        <f>IF(B2360=0,VLOOKUP(A2360,Feuil2!$A$2:$M$1241,11,FALSE)," ")</f>
        <v>#N/A</v>
      </c>
      <c r="H2360" s="1" t="s">
        <v>16</v>
      </c>
      <c r="I2360" s="6" t="e">
        <f>IF(B2360=0,VLOOKUP(A2360,Feuil2!$A$2:$M$1241,7,FALSE)," ")</f>
        <v>#N/A</v>
      </c>
      <c r="J2360" s="1" t="e">
        <f>IF(B2360=0,VLOOKUP(A2360,Feuil2!$A$2:$M$1241,9,FALSE)," ")</f>
        <v>#N/A</v>
      </c>
      <c r="K2360" s="1" t="e">
        <f>IF(B2360=0,VLOOKUP(A2360,Feuil2!$A$2:$M$1241,10,FALSE)," ")</f>
        <v>#N/A</v>
      </c>
      <c r="L2360" s="1"/>
      <c r="M2360" s="1"/>
      <c r="N2360" s="1"/>
      <c r="O2360" s="8"/>
    </row>
    <row r="2361" spans="1:15" x14ac:dyDescent="0.3">
      <c r="A2361" s="1"/>
      <c r="B2361" s="1"/>
      <c r="C2361" s="1" t="e">
        <f>IF(B2361=0,VLOOKUP(A2361,Feuil2!$A$2:$M$1241,2,FALSE)," ")</f>
        <v>#N/A</v>
      </c>
      <c r="D2361" s="1" t="e">
        <f>IF(B2361=0,VLOOKUP(A2361,Feuil2!$A$2:$M$1241,3,FALSE)," ")</f>
        <v>#N/A</v>
      </c>
      <c r="E2361" s="5" t="e">
        <f>IF(B2361=0,VLOOKUP(A2361,Feuil2!$A$2:$M$1241,6,FALSE)," ")</f>
        <v>#N/A</v>
      </c>
      <c r="F2361" s="1" t="e">
        <f>IF(B2361=0,VLOOKUP(A2361,Feuil2!$A$2:$M$1241,12,FALSE)," ")</f>
        <v>#N/A</v>
      </c>
      <c r="G2361" s="1" t="e">
        <f>IF(B2361=0,VLOOKUP(A2361,Feuil2!$A$2:$M$1241,11,FALSE)," ")</f>
        <v>#N/A</v>
      </c>
      <c r="H2361" s="1" t="s">
        <v>16</v>
      </c>
      <c r="I2361" s="6" t="e">
        <f>IF(B2361=0,VLOOKUP(A2361,Feuil2!$A$2:$M$1241,7,FALSE)," ")</f>
        <v>#N/A</v>
      </c>
      <c r="J2361" s="1" t="e">
        <f>IF(B2361=0,VLOOKUP(A2361,Feuil2!$A$2:$M$1241,9,FALSE)," ")</f>
        <v>#N/A</v>
      </c>
      <c r="K2361" s="1" t="e">
        <f>IF(B2361=0,VLOOKUP(A2361,Feuil2!$A$2:$M$1241,10,FALSE)," ")</f>
        <v>#N/A</v>
      </c>
      <c r="L2361" s="1"/>
      <c r="M2361" s="1"/>
      <c r="N2361" s="1"/>
      <c r="O2361" s="8"/>
    </row>
    <row r="2362" spans="1:15" x14ac:dyDescent="0.3">
      <c r="A2362" s="1"/>
      <c r="B2362" s="1"/>
      <c r="C2362" s="1" t="e">
        <f>IF(B2362=0,VLOOKUP(A2362,Feuil2!$A$2:$M$1241,2,FALSE)," ")</f>
        <v>#N/A</v>
      </c>
      <c r="D2362" s="1" t="e">
        <f>IF(B2362=0,VLOOKUP(A2362,Feuil2!$A$2:$M$1241,3,FALSE)," ")</f>
        <v>#N/A</v>
      </c>
      <c r="E2362" s="5" t="e">
        <f>IF(B2362=0,VLOOKUP(A2362,Feuil2!$A$2:$M$1241,6,FALSE)," ")</f>
        <v>#N/A</v>
      </c>
      <c r="F2362" s="1" t="e">
        <f>IF(B2362=0,VLOOKUP(A2362,Feuil2!$A$2:$M$1241,12,FALSE)," ")</f>
        <v>#N/A</v>
      </c>
      <c r="G2362" s="1" t="e">
        <f>IF(B2362=0,VLOOKUP(A2362,Feuil2!$A$2:$M$1241,11,FALSE)," ")</f>
        <v>#N/A</v>
      </c>
      <c r="H2362" s="1" t="s">
        <v>16</v>
      </c>
      <c r="I2362" s="6" t="e">
        <f>IF(B2362=0,VLOOKUP(A2362,Feuil2!$A$2:$M$1241,7,FALSE)," ")</f>
        <v>#N/A</v>
      </c>
      <c r="J2362" s="1" t="e">
        <f>IF(B2362=0,VLOOKUP(A2362,Feuil2!$A$2:$M$1241,9,FALSE)," ")</f>
        <v>#N/A</v>
      </c>
      <c r="K2362" s="1" t="e">
        <f>IF(B2362=0,VLOOKUP(A2362,Feuil2!$A$2:$M$1241,10,FALSE)," ")</f>
        <v>#N/A</v>
      </c>
      <c r="L2362" s="1"/>
      <c r="M2362" s="1"/>
      <c r="N2362" s="1"/>
      <c r="O2362" s="8"/>
    </row>
    <row r="2363" spans="1:15" x14ac:dyDescent="0.3">
      <c r="A2363" s="1"/>
      <c r="B2363" s="1"/>
      <c r="C2363" s="1" t="e">
        <f>IF(B2363=0,VLOOKUP(A2363,Feuil2!$A$2:$M$1241,2,FALSE)," ")</f>
        <v>#N/A</v>
      </c>
      <c r="D2363" s="1" t="e">
        <f>IF(B2363=0,VLOOKUP(A2363,Feuil2!$A$2:$M$1241,3,FALSE)," ")</f>
        <v>#N/A</v>
      </c>
      <c r="E2363" s="5" t="e">
        <f>IF(B2363=0,VLOOKUP(A2363,Feuil2!$A$2:$M$1241,6,FALSE)," ")</f>
        <v>#N/A</v>
      </c>
      <c r="F2363" s="1" t="e">
        <f>IF(B2363=0,VLOOKUP(A2363,Feuil2!$A$2:$M$1241,12,FALSE)," ")</f>
        <v>#N/A</v>
      </c>
      <c r="G2363" s="1" t="e">
        <f>IF(B2363=0,VLOOKUP(A2363,Feuil2!$A$2:$M$1241,11,FALSE)," ")</f>
        <v>#N/A</v>
      </c>
      <c r="H2363" s="1" t="s">
        <v>16</v>
      </c>
      <c r="I2363" s="6" t="e">
        <f>IF(B2363=0,VLOOKUP(A2363,Feuil2!$A$2:$M$1241,7,FALSE)," ")</f>
        <v>#N/A</v>
      </c>
      <c r="J2363" s="1" t="e">
        <f>IF(B2363=0,VLOOKUP(A2363,Feuil2!$A$2:$M$1241,9,FALSE)," ")</f>
        <v>#N/A</v>
      </c>
      <c r="K2363" s="1" t="e">
        <f>IF(B2363=0,VLOOKUP(A2363,Feuil2!$A$2:$M$1241,10,FALSE)," ")</f>
        <v>#N/A</v>
      </c>
      <c r="L2363" s="1"/>
      <c r="M2363" s="1"/>
      <c r="N2363" s="1"/>
      <c r="O2363" s="8"/>
    </row>
    <row r="2364" spans="1:15" x14ac:dyDescent="0.3">
      <c r="A2364" s="1"/>
      <c r="B2364" s="1"/>
      <c r="C2364" s="1" t="e">
        <f>IF(B2364=0,VLOOKUP(A2364,Feuil2!$A$2:$M$1241,2,FALSE)," ")</f>
        <v>#N/A</v>
      </c>
      <c r="D2364" s="1" t="e">
        <f>IF(B2364=0,VLOOKUP(A2364,Feuil2!$A$2:$M$1241,3,FALSE)," ")</f>
        <v>#N/A</v>
      </c>
      <c r="E2364" s="5" t="e">
        <f>IF(B2364=0,VLOOKUP(A2364,Feuil2!$A$2:$M$1241,6,FALSE)," ")</f>
        <v>#N/A</v>
      </c>
      <c r="F2364" s="1" t="e">
        <f>IF(B2364=0,VLOOKUP(A2364,Feuil2!$A$2:$M$1241,12,FALSE)," ")</f>
        <v>#N/A</v>
      </c>
      <c r="G2364" s="1" t="e">
        <f>IF(B2364=0,VLOOKUP(A2364,Feuil2!$A$2:$M$1241,11,FALSE)," ")</f>
        <v>#N/A</v>
      </c>
      <c r="H2364" s="1" t="s">
        <v>16</v>
      </c>
      <c r="I2364" s="6" t="e">
        <f>IF(B2364=0,VLOOKUP(A2364,Feuil2!$A$2:$M$1241,7,FALSE)," ")</f>
        <v>#N/A</v>
      </c>
      <c r="J2364" s="1" t="e">
        <f>IF(B2364=0,VLOOKUP(A2364,Feuil2!$A$2:$M$1241,9,FALSE)," ")</f>
        <v>#N/A</v>
      </c>
      <c r="K2364" s="1" t="e">
        <f>IF(B2364=0,VLOOKUP(A2364,Feuil2!$A$2:$M$1241,10,FALSE)," ")</f>
        <v>#N/A</v>
      </c>
      <c r="L2364" s="1"/>
      <c r="M2364" s="1"/>
      <c r="N2364" s="1"/>
      <c r="O2364" s="8"/>
    </row>
    <row r="2365" spans="1:15" x14ac:dyDescent="0.3">
      <c r="A2365" s="1"/>
      <c r="B2365" s="1"/>
      <c r="C2365" s="1" t="e">
        <f>IF(B2365=0,VLOOKUP(A2365,Feuil2!$A$2:$M$1241,2,FALSE)," ")</f>
        <v>#N/A</v>
      </c>
      <c r="D2365" s="1" t="e">
        <f>IF(B2365=0,VLOOKUP(A2365,Feuil2!$A$2:$M$1241,3,FALSE)," ")</f>
        <v>#N/A</v>
      </c>
      <c r="E2365" s="5" t="e">
        <f>IF(B2365=0,VLOOKUP(A2365,Feuil2!$A$2:$M$1241,6,FALSE)," ")</f>
        <v>#N/A</v>
      </c>
      <c r="F2365" s="1" t="e">
        <f>IF(B2365=0,VLOOKUP(A2365,Feuil2!$A$2:$M$1241,12,FALSE)," ")</f>
        <v>#N/A</v>
      </c>
      <c r="G2365" s="1" t="e">
        <f>IF(B2365=0,VLOOKUP(A2365,Feuil2!$A$2:$M$1241,11,FALSE)," ")</f>
        <v>#N/A</v>
      </c>
      <c r="H2365" s="1" t="s">
        <v>16</v>
      </c>
      <c r="I2365" s="6" t="e">
        <f>IF(B2365=0,VLOOKUP(A2365,Feuil2!$A$2:$M$1241,7,FALSE)," ")</f>
        <v>#N/A</v>
      </c>
      <c r="J2365" s="1" t="e">
        <f>IF(B2365=0,VLOOKUP(A2365,Feuil2!$A$2:$M$1241,9,FALSE)," ")</f>
        <v>#N/A</v>
      </c>
      <c r="K2365" s="1" t="e">
        <f>IF(B2365=0,VLOOKUP(A2365,Feuil2!$A$2:$M$1241,10,FALSE)," ")</f>
        <v>#N/A</v>
      </c>
      <c r="L2365" s="1"/>
      <c r="M2365" s="1"/>
      <c r="N2365" s="1"/>
      <c r="O2365" s="8"/>
    </row>
    <row r="2366" spans="1:15" x14ac:dyDescent="0.3">
      <c r="A2366" s="1"/>
      <c r="B2366" s="1"/>
      <c r="C2366" s="1" t="e">
        <f>IF(B2366=0,VLOOKUP(A2366,Feuil2!$A$2:$M$1241,2,FALSE)," ")</f>
        <v>#N/A</v>
      </c>
      <c r="D2366" s="1" t="e">
        <f>IF(B2366=0,VLOOKUP(A2366,Feuil2!$A$2:$M$1241,3,FALSE)," ")</f>
        <v>#N/A</v>
      </c>
      <c r="E2366" s="5" t="e">
        <f>IF(B2366=0,VLOOKUP(A2366,Feuil2!$A$2:$M$1241,6,FALSE)," ")</f>
        <v>#N/A</v>
      </c>
      <c r="F2366" s="1" t="e">
        <f>IF(B2366=0,VLOOKUP(A2366,Feuil2!$A$2:$M$1241,12,FALSE)," ")</f>
        <v>#N/A</v>
      </c>
      <c r="G2366" s="1" t="e">
        <f>IF(B2366=0,VLOOKUP(A2366,Feuil2!$A$2:$M$1241,11,FALSE)," ")</f>
        <v>#N/A</v>
      </c>
      <c r="H2366" s="1" t="s">
        <v>16</v>
      </c>
      <c r="I2366" s="6" t="e">
        <f>IF(B2366=0,VLOOKUP(A2366,Feuil2!$A$2:$M$1241,7,FALSE)," ")</f>
        <v>#N/A</v>
      </c>
      <c r="J2366" s="1" t="e">
        <f>IF(B2366=0,VLOOKUP(A2366,Feuil2!$A$2:$M$1241,9,FALSE)," ")</f>
        <v>#N/A</v>
      </c>
      <c r="K2366" s="1" t="e">
        <f>IF(B2366=0,VLOOKUP(A2366,Feuil2!$A$2:$M$1241,10,FALSE)," ")</f>
        <v>#N/A</v>
      </c>
      <c r="L2366" s="1"/>
      <c r="M2366" s="1"/>
      <c r="N2366" s="1"/>
      <c r="O2366" s="8"/>
    </row>
    <row r="2367" spans="1:15" x14ac:dyDescent="0.3">
      <c r="A2367" s="1"/>
      <c r="B2367" s="1"/>
      <c r="C2367" s="1" t="e">
        <f>IF(B2367=0,VLOOKUP(A2367,Feuil2!$A$2:$M$1241,2,FALSE)," ")</f>
        <v>#N/A</v>
      </c>
      <c r="D2367" s="1" t="e">
        <f>IF(B2367=0,VLOOKUP(A2367,Feuil2!$A$2:$M$1241,3,FALSE)," ")</f>
        <v>#N/A</v>
      </c>
      <c r="E2367" s="5" t="e">
        <f>IF(B2367=0,VLOOKUP(A2367,Feuil2!$A$2:$M$1241,6,FALSE)," ")</f>
        <v>#N/A</v>
      </c>
      <c r="F2367" s="1" t="e">
        <f>IF(B2367=0,VLOOKUP(A2367,Feuil2!$A$2:$M$1241,12,FALSE)," ")</f>
        <v>#N/A</v>
      </c>
      <c r="G2367" s="1" t="e">
        <f>IF(B2367=0,VLOOKUP(A2367,Feuil2!$A$2:$M$1241,11,FALSE)," ")</f>
        <v>#N/A</v>
      </c>
      <c r="H2367" s="1" t="s">
        <v>16</v>
      </c>
      <c r="I2367" s="6" t="e">
        <f>IF(B2367=0,VLOOKUP(A2367,Feuil2!$A$2:$M$1241,7,FALSE)," ")</f>
        <v>#N/A</v>
      </c>
      <c r="J2367" s="1" t="e">
        <f>IF(B2367=0,VLOOKUP(A2367,Feuil2!$A$2:$M$1241,9,FALSE)," ")</f>
        <v>#N/A</v>
      </c>
      <c r="K2367" s="1" t="e">
        <f>IF(B2367=0,VLOOKUP(A2367,Feuil2!$A$2:$M$1241,10,FALSE)," ")</f>
        <v>#N/A</v>
      </c>
      <c r="L2367" s="1"/>
      <c r="M2367" s="1"/>
      <c r="N2367" s="1"/>
      <c r="O2367" s="8"/>
    </row>
    <row r="2368" spans="1:15" x14ac:dyDescent="0.3">
      <c r="A2368" s="1"/>
      <c r="B2368" s="1"/>
      <c r="C2368" s="1" t="e">
        <f>IF(B2368=0,VLOOKUP(A2368,Feuil2!$A$2:$M$1241,2,FALSE)," ")</f>
        <v>#N/A</v>
      </c>
      <c r="D2368" s="1" t="e">
        <f>IF(B2368=0,VLOOKUP(A2368,Feuil2!$A$2:$M$1241,3,FALSE)," ")</f>
        <v>#N/A</v>
      </c>
      <c r="E2368" s="5" t="e">
        <f>IF(B2368=0,VLOOKUP(A2368,Feuil2!$A$2:$M$1241,6,FALSE)," ")</f>
        <v>#N/A</v>
      </c>
      <c r="F2368" s="1" t="e">
        <f>IF(B2368=0,VLOOKUP(A2368,Feuil2!$A$2:$M$1241,12,FALSE)," ")</f>
        <v>#N/A</v>
      </c>
      <c r="G2368" s="1" t="e">
        <f>IF(B2368=0,VLOOKUP(A2368,Feuil2!$A$2:$M$1241,11,FALSE)," ")</f>
        <v>#N/A</v>
      </c>
      <c r="H2368" s="1" t="s">
        <v>16</v>
      </c>
      <c r="I2368" s="6" t="e">
        <f>IF(B2368=0,VLOOKUP(A2368,Feuil2!$A$2:$M$1241,7,FALSE)," ")</f>
        <v>#N/A</v>
      </c>
      <c r="J2368" s="1" t="e">
        <f>IF(B2368=0,VLOOKUP(A2368,Feuil2!$A$2:$M$1241,9,FALSE)," ")</f>
        <v>#N/A</v>
      </c>
      <c r="K2368" s="1" t="e">
        <f>IF(B2368=0,VLOOKUP(A2368,Feuil2!$A$2:$M$1241,10,FALSE)," ")</f>
        <v>#N/A</v>
      </c>
      <c r="L2368" s="1"/>
      <c r="M2368" s="1"/>
      <c r="N2368" s="1"/>
      <c r="O2368" s="8"/>
    </row>
    <row r="2369" spans="1:15" x14ac:dyDescent="0.3">
      <c r="A2369" s="1"/>
      <c r="B2369" s="1"/>
      <c r="C2369" s="1" t="e">
        <f>IF(B2369=0,VLOOKUP(A2369,Feuil2!$A$2:$M$1241,2,FALSE)," ")</f>
        <v>#N/A</v>
      </c>
      <c r="D2369" s="1" t="e">
        <f>IF(B2369=0,VLOOKUP(A2369,Feuil2!$A$2:$M$1241,3,FALSE)," ")</f>
        <v>#N/A</v>
      </c>
      <c r="E2369" s="5" t="e">
        <f>IF(B2369=0,VLOOKUP(A2369,Feuil2!$A$2:$M$1241,6,FALSE)," ")</f>
        <v>#N/A</v>
      </c>
      <c r="F2369" s="1" t="e">
        <f>IF(B2369=0,VLOOKUP(A2369,Feuil2!$A$2:$M$1241,12,FALSE)," ")</f>
        <v>#N/A</v>
      </c>
      <c r="G2369" s="1" t="e">
        <f>IF(B2369=0,VLOOKUP(A2369,Feuil2!$A$2:$M$1241,11,FALSE)," ")</f>
        <v>#N/A</v>
      </c>
      <c r="H2369" s="1" t="s">
        <v>16</v>
      </c>
      <c r="I2369" s="6" t="e">
        <f>IF(B2369=0,VLOOKUP(A2369,Feuil2!$A$2:$M$1241,7,FALSE)," ")</f>
        <v>#N/A</v>
      </c>
      <c r="J2369" s="1" t="e">
        <f>IF(B2369=0,VLOOKUP(A2369,Feuil2!$A$2:$M$1241,9,FALSE)," ")</f>
        <v>#N/A</v>
      </c>
      <c r="K2369" s="1" t="e">
        <f>IF(B2369=0,VLOOKUP(A2369,Feuil2!$A$2:$M$1241,10,FALSE)," ")</f>
        <v>#N/A</v>
      </c>
      <c r="L2369" s="1"/>
      <c r="M2369" s="1"/>
      <c r="N2369" s="1"/>
      <c r="O2369" s="8"/>
    </row>
    <row r="2370" spans="1:15" x14ac:dyDescent="0.3">
      <c r="A2370" s="1"/>
      <c r="B2370" s="1"/>
      <c r="C2370" s="1" t="e">
        <f>IF(B2370=0,VLOOKUP(A2370,Feuil2!$A$2:$M$1241,2,FALSE)," ")</f>
        <v>#N/A</v>
      </c>
      <c r="D2370" s="1" t="e">
        <f>IF(B2370=0,VLOOKUP(A2370,Feuil2!$A$2:$M$1241,3,FALSE)," ")</f>
        <v>#N/A</v>
      </c>
      <c r="E2370" s="5" t="e">
        <f>IF(B2370=0,VLOOKUP(A2370,Feuil2!$A$2:$M$1241,6,FALSE)," ")</f>
        <v>#N/A</v>
      </c>
      <c r="F2370" s="1" t="e">
        <f>IF(B2370=0,VLOOKUP(A2370,Feuil2!$A$2:$M$1241,12,FALSE)," ")</f>
        <v>#N/A</v>
      </c>
      <c r="G2370" s="1" t="e">
        <f>IF(B2370=0,VLOOKUP(A2370,Feuil2!$A$2:$M$1241,11,FALSE)," ")</f>
        <v>#N/A</v>
      </c>
      <c r="H2370" s="1" t="s">
        <v>16</v>
      </c>
      <c r="I2370" s="6" t="e">
        <f>IF(B2370=0,VLOOKUP(A2370,Feuil2!$A$2:$M$1241,7,FALSE)," ")</f>
        <v>#N/A</v>
      </c>
      <c r="J2370" s="1" t="e">
        <f>IF(B2370=0,VLOOKUP(A2370,Feuil2!$A$2:$M$1241,9,FALSE)," ")</f>
        <v>#N/A</v>
      </c>
      <c r="K2370" s="1" t="e">
        <f>IF(B2370=0,VLOOKUP(A2370,Feuil2!$A$2:$M$1241,10,FALSE)," ")</f>
        <v>#N/A</v>
      </c>
      <c r="L2370" s="1"/>
      <c r="M2370" s="1"/>
      <c r="N2370" s="1"/>
      <c r="O2370" s="8"/>
    </row>
    <row r="2371" spans="1:15" x14ac:dyDescent="0.3">
      <c r="A2371" s="1"/>
      <c r="B2371" s="1"/>
      <c r="C2371" s="1" t="e">
        <f>IF(B2371=0,VLOOKUP(A2371,Feuil2!$A$2:$M$1241,2,FALSE)," ")</f>
        <v>#N/A</v>
      </c>
      <c r="D2371" s="1" t="e">
        <f>IF(B2371=0,VLOOKUP(A2371,Feuil2!$A$2:$M$1241,3,FALSE)," ")</f>
        <v>#N/A</v>
      </c>
      <c r="E2371" s="5" t="e">
        <f>IF(B2371=0,VLOOKUP(A2371,Feuil2!$A$2:$M$1241,6,FALSE)," ")</f>
        <v>#N/A</v>
      </c>
      <c r="F2371" s="1" t="e">
        <f>IF(B2371=0,VLOOKUP(A2371,Feuil2!$A$2:$M$1241,12,FALSE)," ")</f>
        <v>#N/A</v>
      </c>
      <c r="G2371" s="1" t="e">
        <f>IF(B2371=0,VLOOKUP(A2371,Feuil2!$A$2:$M$1241,11,FALSE)," ")</f>
        <v>#N/A</v>
      </c>
      <c r="H2371" s="1" t="s">
        <v>16</v>
      </c>
      <c r="I2371" s="6" t="e">
        <f>IF(B2371=0,VLOOKUP(A2371,Feuil2!$A$2:$M$1241,7,FALSE)," ")</f>
        <v>#N/A</v>
      </c>
      <c r="J2371" s="1" t="e">
        <f>IF(B2371=0,VLOOKUP(A2371,Feuil2!$A$2:$M$1241,9,FALSE)," ")</f>
        <v>#N/A</v>
      </c>
      <c r="K2371" s="1" t="e">
        <f>IF(B2371=0,VLOOKUP(A2371,Feuil2!$A$2:$M$1241,10,FALSE)," ")</f>
        <v>#N/A</v>
      </c>
      <c r="L2371" s="1"/>
      <c r="M2371" s="1"/>
      <c r="N2371" s="1"/>
      <c r="O2371" s="8"/>
    </row>
    <row r="2372" spans="1:15" x14ac:dyDescent="0.3">
      <c r="A2372" s="1"/>
      <c r="B2372" s="1"/>
      <c r="C2372" s="1" t="e">
        <f>IF(B2372=0,VLOOKUP(A2372,Feuil2!$A$2:$M$1241,2,FALSE)," ")</f>
        <v>#N/A</v>
      </c>
      <c r="D2372" s="1" t="e">
        <f>IF(B2372=0,VLOOKUP(A2372,Feuil2!$A$2:$M$1241,3,FALSE)," ")</f>
        <v>#N/A</v>
      </c>
      <c r="E2372" s="5" t="e">
        <f>IF(B2372=0,VLOOKUP(A2372,Feuil2!$A$2:$M$1241,6,FALSE)," ")</f>
        <v>#N/A</v>
      </c>
      <c r="F2372" s="1" t="e">
        <f>IF(B2372=0,VLOOKUP(A2372,Feuil2!$A$2:$M$1241,12,FALSE)," ")</f>
        <v>#N/A</v>
      </c>
      <c r="G2372" s="1" t="e">
        <f>IF(B2372=0,VLOOKUP(A2372,Feuil2!$A$2:$M$1241,11,FALSE)," ")</f>
        <v>#N/A</v>
      </c>
      <c r="H2372" s="1" t="s">
        <v>16</v>
      </c>
      <c r="I2372" s="6" t="e">
        <f>IF(B2372=0,VLOOKUP(A2372,Feuil2!$A$2:$M$1241,7,FALSE)," ")</f>
        <v>#N/A</v>
      </c>
      <c r="J2372" s="1" t="e">
        <f>IF(B2372=0,VLOOKUP(A2372,Feuil2!$A$2:$M$1241,9,FALSE)," ")</f>
        <v>#N/A</v>
      </c>
      <c r="K2372" s="1" t="e">
        <f>IF(B2372=0,VLOOKUP(A2372,Feuil2!$A$2:$M$1241,10,FALSE)," ")</f>
        <v>#N/A</v>
      </c>
      <c r="L2372" s="1"/>
      <c r="M2372" s="1"/>
      <c r="N2372" s="1"/>
      <c r="O2372" s="8"/>
    </row>
    <row r="2373" spans="1:15" x14ac:dyDescent="0.3">
      <c r="A2373" s="1"/>
      <c r="B2373" s="1"/>
      <c r="C2373" s="1" t="e">
        <f>IF(B2373=0,VLOOKUP(A2373,Feuil2!$A$2:$M$1241,2,FALSE)," ")</f>
        <v>#N/A</v>
      </c>
      <c r="D2373" s="1" t="e">
        <f>IF(B2373=0,VLOOKUP(A2373,Feuil2!$A$2:$M$1241,3,FALSE)," ")</f>
        <v>#N/A</v>
      </c>
      <c r="E2373" s="5" t="e">
        <f>IF(B2373=0,VLOOKUP(A2373,Feuil2!$A$2:$M$1241,6,FALSE)," ")</f>
        <v>#N/A</v>
      </c>
      <c r="F2373" s="1" t="e">
        <f>IF(B2373=0,VLOOKUP(A2373,Feuil2!$A$2:$M$1241,12,FALSE)," ")</f>
        <v>#N/A</v>
      </c>
      <c r="G2373" s="1" t="e">
        <f>IF(B2373=0,VLOOKUP(A2373,Feuil2!$A$2:$M$1241,11,FALSE)," ")</f>
        <v>#N/A</v>
      </c>
      <c r="H2373" s="1" t="s">
        <v>16</v>
      </c>
      <c r="I2373" s="6" t="e">
        <f>IF(B2373=0,VLOOKUP(A2373,Feuil2!$A$2:$M$1241,7,FALSE)," ")</f>
        <v>#N/A</v>
      </c>
      <c r="J2373" s="1" t="e">
        <f>IF(B2373=0,VLOOKUP(A2373,Feuil2!$A$2:$M$1241,9,FALSE)," ")</f>
        <v>#N/A</v>
      </c>
      <c r="K2373" s="1" t="e">
        <f>IF(B2373=0,VLOOKUP(A2373,Feuil2!$A$2:$M$1241,10,FALSE)," ")</f>
        <v>#N/A</v>
      </c>
      <c r="L2373" s="1"/>
      <c r="M2373" s="1"/>
      <c r="N2373" s="1"/>
      <c r="O2373" s="8"/>
    </row>
    <row r="2374" spans="1:15" x14ac:dyDescent="0.3">
      <c r="A2374" s="1"/>
      <c r="B2374" s="1"/>
      <c r="C2374" s="1" t="e">
        <f>IF(B2374=0,VLOOKUP(A2374,Feuil2!$A$2:$M$1241,2,FALSE)," ")</f>
        <v>#N/A</v>
      </c>
      <c r="D2374" s="1" t="e">
        <f>IF(B2374=0,VLOOKUP(A2374,Feuil2!$A$2:$M$1241,3,FALSE)," ")</f>
        <v>#N/A</v>
      </c>
      <c r="E2374" s="5" t="e">
        <f>IF(B2374=0,VLOOKUP(A2374,Feuil2!$A$2:$M$1241,6,FALSE)," ")</f>
        <v>#N/A</v>
      </c>
      <c r="F2374" s="1" t="e">
        <f>IF(B2374=0,VLOOKUP(A2374,Feuil2!$A$2:$M$1241,12,FALSE)," ")</f>
        <v>#N/A</v>
      </c>
      <c r="G2374" s="1" t="e">
        <f>IF(B2374=0,VLOOKUP(A2374,Feuil2!$A$2:$M$1241,11,FALSE)," ")</f>
        <v>#N/A</v>
      </c>
      <c r="H2374" s="1" t="s">
        <v>16</v>
      </c>
      <c r="I2374" s="6" t="e">
        <f>IF(B2374=0,VLOOKUP(A2374,Feuil2!$A$2:$M$1241,7,FALSE)," ")</f>
        <v>#N/A</v>
      </c>
      <c r="J2374" s="1" t="e">
        <f>IF(B2374=0,VLOOKUP(A2374,Feuil2!$A$2:$M$1241,9,FALSE)," ")</f>
        <v>#N/A</v>
      </c>
      <c r="K2374" s="1" t="e">
        <f>IF(B2374=0,VLOOKUP(A2374,Feuil2!$A$2:$M$1241,10,FALSE)," ")</f>
        <v>#N/A</v>
      </c>
      <c r="L2374" s="1"/>
      <c r="M2374" s="1"/>
      <c r="N2374" s="1"/>
      <c r="O2374" s="8"/>
    </row>
    <row r="2375" spans="1:15" x14ac:dyDescent="0.3">
      <c r="A2375" s="1"/>
      <c r="B2375" s="1"/>
      <c r="C2375" s="1" t="e">
        <f>IF(B2375=0,VLOOKUP(A2375,Feuil2!$A$2:$M$1241,2,FALSE)," ")</f>
        <v>#N/A</v>
      </c>
      <c r="D2375" s="1" t="e">
        <f>IF(B2375=0,VLOOKUP(A2375,Feuil2!$A$2:$M$1241,3,FALSE)," ")</f>
        <v>#N/A</v>
      </c>
      <c r="E2375" s="5" t="e">
        <f>IF(B2375=0,VLOOKUP(A2375,Feuil2!$A$2:$M$1241,6,FALSE)," ")</f>
        <v>#N/A</v>
      </c>
      <c r="F2375" s="1" t="e">
        <f>IF(B2375=0,VLOOKUP(A2375,Feuil2!$A$2:$M$1241,12,FALSE)," ")</f>
        <v>#N/A</v>
      </c>
      <c r="G2375" s="1" t="e">
        <f>IF(B2375=0,VLOOKUP(A2375,Feuil2!$A$2:$M$1241,11,FALSE)," ")</f>
        <v>#N/A</v>
      </c>
      <c r="H2375" s="1" t="s">
        <v>16</v>
      </c>
      <c r="I2375" s="6" t="e">
        <f>IF(B2375=0,VLOOKUP(A2375,Feuil2!$A$2:$M$1241,7,FALSE)," ")</f>
        <v>#N/A</v>
      </c>
      <c r="J2375" s="1" t="e">
        <f>IF(B2375=0,VLOOKUP(A2375,Feuil2!$A$2:$M$1241,9,FALSE)," ")</f>
        <v>#N/A</v>
      </c>
      <c r="K2375" s="1" t="e">
        <f>IF(B2375=0,VLOOKUP(A2375,Feuil2!$A$2:$M$1241,10,FALSE)," ")</f>
        <v>#N/A</v>
      </c>
      <c r="L2375" s="1"/>
      <c r="M2375" s="1"/>
      <c r="N2375" s="1"/>
      <c r="O2375" s="8"/>
    </row>
    <row r="2376" spans="1:15" x14ac:dyDescent="0.3">
      <c r="A2376" s="1"/>
      <c r="B2376" s="1"/>
      <c r="C2376" s="1" t="e">
        <f>IF(B2376=0,VLOOKUP(A2376,Feuil2!$A$2:$M$1241,2,FALSE)," ")</f>
        <v>#N/A</v>
      </c>
      <c r="D2376" s="1" t="e">
        <f>IF(B2376=0,VLOOKUP(A2376,Feuil2!$A$2:$M$1241,3,FALSE)," ")</f>
        <v>#N/A</v>
      </c>
      <c r="E2376" s="5" t="e">
        <f>IF(B2376=0,VLOOKUP(A2376,Feuil2!$A$2:$M$1241,6,FALSE)," ")</f>
        <v>#N/A</v>
      </c>
      <c r="F2376" s="1" t="e">
        <f>IF(B2376=0,VLOOKUP(A2376,Feuil2!$A$2:$M$1241,12,FALSE)," ")</f>
        <v>#N/A</v>
      </c>
      <c r="G2376" s="1" t="e">
        <f>IF(B2376=0,VLOOKUP(A2376,Feuil2!$A$2:$M$1241,11,FALSE)," ")</f>
        <v>#N/A</v>
      </c>
      <c r="H2376" s="1" t="s">
        <v>16</v>
      </c>
      <c r="I2376" s="6" t="e">
        <f>IF(B2376=0,VLOOKUP(A2376,Feuil2!$A$2:$M$1241,7,FALSE)," ")</f>
        <v>#N/A</v>
      </c>
      <c r="J2376" s="1" t="e">
        <f>IF(B2376=0,VLOOKUP(A2376,Feuil2!$A$2:$M$1241,9,FALSE)," ")</f>
        <v>#N/A</v>
      </c>
      <c r="K2376" s="1" t="e">
        <f>IF(B2376=0,VLOOKUP(A2376,Feuil2!$A$2:$M$1241,10,FALSE)," ")</f>
        <v>#N/A</v>
      </c>
      <c r="L2376" s="1"/>
      <c r="M2376" s="1"/>
      <c r="N2376" s="1"/>
      <c r="O2376" s="8"/>
    </row>
    <row r="2377" spans="1:15" x14ac:dyDescent="0.3">
      <c r="A2377" s="1"/>
      <c r="B2377" s="1"/>
      <c r="C2377" s="1" t="e">
        <f>IF(B2377=0,VLOOKUP(A2377,Feuil2!$A$2:$M$1241,2,FALSE)," ")</f>
        <v>#N/A</v>
      </c>
      <c r="D2377" s="1" t="e">
        <f>IF(B2377=0,VLOOKUP(A2377,Feuil2!$A$2:$M$1241,3,FALSE)," ")</f>
        <v>#N/A</v>
      </c>
      <c r="E2377" s="5" t="e">
        <f>IF(B2377=0,VLOOKUP(A2377,Feuil2!$A$2:$M$1241,6,FALSE)," ")</f>
        <v>#N/A</v>
      </c>
      <c r="F2377" s="1" t="e">
        <f>IF(B2377=0,VLOOKUP(A2377,Feuil2!$A$2:$M$1241,12,FALSE)," ")</f>
        <v>#N/A</v>
      </c>
      <c r="G2377" s="1" t="e">
        <f>IF(B2377=0,VLOOKUP(A2377,Feuil2!$A$2:$M$1241,11,FALSE)," ")</f>
        <v>#N/A</v>
      </c>
      <c r="H2377" s="1" t="s">
        <v>16</v>
      </c>
      <c r="I2377" s="6" t="e">
        <f>IF(B2377=0,VLOOKUP(A2377,Feuil2!$A$2:$M$1241,7,FALSE)," ")</f>
        <v>#N/A</v>
      </c>
      <c r="J2377" s="1" t="e">
        <f>IF(B2377=0,VLOOKUP(A2377,Feuil2!$A$2:$M$1241,9,FALSE)," ")</f>
        <v>#N/A</v>
      </c>
      <c r="K2377" s="1" t="e">
        <f>IF(B2377=0,VLOOKUP(A2377,Feuil2!$A$2:$M$1241,10,FALSE)," ")</f>
        <v>#N/A</v>
      </c>
      <c r="L2377" s="1"/>
      <c r="M2377" s="1"/>
      <c r="N2377" s="1"/>
      <c r="O2377" s="8"/>
    </row>
    <row r="2378" spans="1:15" x14ac:dyDescent="0.3">
      <c r="A2378" s="1"/>
      <c r="B2378" s="1"/>
      <c r="C2378" s="1" t="e">
        <f>IF(B2378=0,VLOOKUP(A2378,Feuil2!$A$2:$M$1241,2,FALSE)," ")</f>
        <v>#N/A</v>
      </c>
      <c r="D2378" s="1" t="e">
        <f>IF(B2378=0,VLOOKUP(A2378,Feuil2!$A$2:$M$1241,3,FALSE)," ")</f>
        <v>#N/A</v>
      </c>
      <c r="E2378" s="5" t="e">
        <f>IF(B2378=0,VLOOKUP(A2378,Feuil2!$A$2:$M$1241,6,FALSE)," ")</f>
        <v>#N/A</v>
      </c>
      <c r="F2378" s="1" t="e">
        <f>IF(B2378=0,VLOOKUP(A2378,Feuil2!$A$2:$M$1241,12,FALSE)," ")</f>
        <v>#N/A</v>
      </c>
      <c r="G2378" s="1" t="e">
        <f>IF(B2378=0,VLOOKUP(A2378,Feuil2!$A$2:$M$1241,11,FALSE)," ")</f>
        <v>#N/A</v>
      </c>
      <c r="H2378" s="1" t="s">
        <v>16</v>
      </c>
      <c r="I2378" s="6" t="e">
        <f>IF(B2378=0,VLOOKUP(A2378,Feuil2!$A$2:$M$1241,7,FALSE)," ")</f>
        <v>#N/A</v>
      </c>
      <c r="J2378" s="1" t="e">
        <f>IF(B2378=0,VLOOKUP(A2378,Feuil2!$A$2:$M$1241,9,FALSE)," ")</f>
        <v>#N/A</v>
      </c>
      <c r="K2378" s="1" t="e">
        <f>IF(B2378=0,VLOOKUP(A2378,Feuil2!$A$2:$M$1241,10,FALSE)," ")</f>
        <v>#N/A</v>
      </c>
      <c r="L2378" s="1"/>
      <c r="M2378" s="1"/>
      <c r="N2378" s="1"/>
      <c r="O2378" s="8"/>
    </row>
    <row r="2379" spans="1:15" x14ac:dyDescent="0.3">
      <c r="A2379" s="1"/>
      <c r="B2379" s="1"/>
      <c r="C2379" s="1" t="e">
        <f>IF(B2379=0,VLOOKUP(A2379,Feuil2!$A$2:$M$1241,2,FALSE)," ")</f>
        <v>#N/A</v>
      </c>
      <c r="D2379" s="1" t="e">
        <f>IF(B2379=0,VLOOKUP(A2379,Feuil2!$A$2:$M$1241,3,FALSE)," ")</f>
        <v>#N/A</v>
      </c>
      <c r="E2379" s="5" t="e">
        <f>IF(B2379=0,VLOOKUP(A2379,Feuil2!$A$2:$M$1241,6,FALSE)," ")</f>
        <v>#N/A</v>
      </c>
      <c r="F2379" s="1" t="e">
        <f>IF(B2379=0,VLOOKUP(A2379,Feuil2!$A$2:$M$1241,12,FALSE)," ")</f>
        <v>#N/A</v>
      </c>
      <c r="G2379" s="1" t="e">
        <f>IF(B2379=0,VLOOKUP(A2379,Feuil2!$A$2:$M$1241,11,FALSE)," ")</f>
        <v>#N/A</v>
      </c>
      <c r="H2379" s="1" t="s">
        <v>16</v>
      </c>
      <c r="I2379" s="6" t="e">
        <f>IF(B2379=0,VLOOKUP(A2379,Feuil2!$A$2:$M$1241,7,FALSE)," ")</f>
        <v>#N/A</v>
      </c>
      <c r="J2379" s="1" t="e">
        <f>IF(B2379=0,VLOOKUP(A2379,Feuil2!$A$2:$M$1241,9,FALSE)," ")</f>
        <v>#N/A</v>
      </c>
      <c r="K2379" s="1" t="e">
        <f>IF(B2379=0,VLOOKUP(A2379,Feuil2!$A$2:$M$1241,10,FALSE)," ")</f>
        <v>#N/A</v>
      </c>
      <c r="L2379" s="1"/>
      <c r="M2379" s="1"/>
      <c r="N2379" s="1"/>
    </row>
    <row r="2380" spans="1:15" x14ac:dyDescent="0.3">
      <c r="A2380" s="1"/>
      <c r="B2380" s="1"/>
      <c r="C2380" s="1" t="e">
        <f>IF(B2380=0,VLOOKUP(A2380,Feuil2!$A$2:$M$1241,2,FALSE)," ")</f>
        <v>#N/A</v>
      </c>
      <c r="D2380" s="1" t="e">
        <f>IF(B2380=0,VLOOKUP(A2380,Feuil2!$A$2:$M$1241,3,FALSE)," ")</f>
        <v>#N/A</v>
      </c>
      <c r="E2380" s="5" t="e">
        <f>IF(B2380=0,VLOOKUP(A2380,Feuil2!$A$2:$M$1241,6,FALSE)," ")</f>
        <v>#N/A</v>
      </c>
      <c r="F2380" s="1" t="e">
        <f>IF(B2380=0,VLOOKUP(A2380,Feuil2!$A$2:$M$1241,12,FALSE)," ")</f>
        <v>#N/A</v>
      </c>
      <c r="G2380" s="1" t="e">
        <f>IF(B2380=0,VLOOKUP(A2380,Feuil2!$A$2:$M$1241,11,FALSE)," ")</f>
        <v>#N/A</v>
      </c>
      <c r="H2380" s="1" t="s">
        <v>16</v>
      </c>
      <c r="I2380" s="6" t="e">
        <f>IF(B2380=0,VLOOKUP(A2380,Feuil2!$A$2:$M$1241,7,FALSE)," ")</f>
        <v>#N/A</v>
      </c>
      <c r="J2380" s="1" t="e">
        <f>IF(B2380=0,VLOOKUP(A2380,Feuil2!$A$2:$M$1241,9,FALSE)," ")</f>
        <v>#N/A</v>
      </c>
      <c r="K2380" s="1" t="e">
        <f>IF(B2380=0,VLOOKUP(A2380,Feuil2!$A$2:$M$1241,10,FALSE)," ")</f>
        <v>#N/A</v>
      </c>
      <c r="L2380" s="1"/>
      <c r="M2380" s="1"/>
      <c r="N2380" s="1"/>
    </row>
    <row r="2381" spans="1:15" x14ac:dyDescent="0.3">
      <c r="A2381" s="1"/>
      <c r="B2381" s="1"/>
      <c r="C2381" s="1" t="e">
        <f>IF(B2381=0,VLOOKUP(A2381,Feuil2!$A$2:$M$1241,2,FALSE)," ")</f>
        <v>#N/A</v>
      </c>
      <c r="D2381" s="1" t="e">
        <f>IF(B2381=0,VLOOKUP(A2381,Feuil2!$A$2:$M$1241,3,FALSE)," ")</f>
        <v>#N/A</v>
      </c>
      <c r="E2381" s="5" t="e">
        <f>IF(B2381=0,VLOOKUP(A2381,Feuil2!$A$2:$M$1241,6,FALSE)," ")</f>
        <v>#N/A</v>
      </c>
      <c r="F2381" s="1" t="e">
        <f>IF(B2381=0,VLOOKUP(A2381,Feuil2!$A$2:$M$1241,12,FALSE)," ")</f>
        <v>#N/A</v>
      </c>
      <c r="G2381" s="1" t="e">
        <f>IF(B2381=0,VLOOKUP(A2381,Feuil2!$A$2:$M$1241,11,FALSE)," ")</f>
        <v>#N/A</v>
      </c>
      <c r="H2381" s="1" t="s">
        <v>16</v>
      </c>
      <c r="I2381" s="6" t="e">
        <f>IF(B2381=0,VLOOKUP(A2381,Feuil2!$A$2:$M$1241,7,FALSE)," ")</f>
        <v>#N/A</v>
      </c>
      <c r="J2381" s="1" t="e">
        <f>IF(B2381=0,VLOOKUP(A2381,Feuil2!$A$2:$M$1241,9,FALSE)," ")</f>
        <v>#N/A</v>
      </c>
      <c r="K2381" s="1" t="e">
        <f>IF(B2381=0,VLOOKUP(A2381,Feuil2!$A$2:$M$1241,10,FALSE)," ")</f>
        <v>#N/A</v>
      </c>
      <c r="L2381" s="1"/>
      <c r="M2381" s="1"/>
      <c r="N2381" s="1"/>
    </row>
    <row r="2382" spans="1:15" x14ac:dyDescent="0.3">
      <c r="A2382" s="1"/>
      <c r="B2382" s="1"/>
      <c r="C2382" s="1" t="e">
        <f>IF(B2382=0,VLOOKUP(A2382,Feuil2!$A$2:$M$1241,2,FALSE)," ")</f>
        <v>#N/A</v>
      </c>
      <c r="D2382" s="1" t="e">
        <f>IF(B2382=0,VLOOKUP(A2382,Feuil2!$A$2:$M$1241,3,FALSE)," ")</f>
        <v>#N/A</v>
      </c>
      <c r="E2382" s="5" t="e">
        <f>IF(B2382=0,VLOOKUP(A2382,Feuil2!$A$2:$M$1241,6,FALSE)," ")</f>
        <v>#N/A</v>
      </c>
      <c r="F2382" s="1" t="e">
        <f>IF(B2382=0,VLOOKUP(A2382,Feuil2!$A$2:$M$1241,12,FALSE)," ")</f>
        <v>#N/A</v>
      </c>
      <c r="G2382" s="1" t="e">
        <f>IF(B2382=0,VLOOKUP(A2382,Feuil2!$A$2:$M$1241,11,FALSE)," ")</f>
        <v>#N/A</v>
      </c>
      <c r="H2382" s="1" t="s">
        <v>16</v>
      </c>
      <c r="I2382" s="6" t="e">
        <f>IF(B2382=0,VLOOKUP(A2382,Feuil2!$A$2:$M$1241,7,FALSE)," ")</f>
        <v>#N/A</v>
      </c>
      <c r="J2382" s="1" t="e">
        <f>IF(B2382=0,VLOOKUP(A2382,Feuil2!$A$2:$M$1241,9,FALSE)," ")</f>
        <v>#N/A</v>
      </c>
      <c r="K2382" s="1" t="e">
        <f>IF(B2382=0,VLOOKUP(A2382,Feuil2!$A$2:$M$1241,10,FALSE)," ")</f>
        <v>#N/A</v>
      </c>
      <c r="L2382" s="1"/>
      <c r="M2382" s="1"/>
      <c r="N2382" s="1"/>
    </row>
    <row r="2383" spans="1:15" x14ac:dyDescent="0.3">
      <c r="A2383" s="1"/>
      <c r="B2383" s="1"/>
      <c r="C2383" s="1" t="e">
        <f>IF(B2383=0,VLOOKUP(A2383,Feuil2!$A$2:$M$1241,2,FALSE)," ")</f>
        <v>#N/A</v>
      </c>
      <c r="D2383" s="1" t="e">
        <f>IF(B2383=0,VLOOKUP(A2383,Feuil2!$A$2:$M$1241,3,FALSE)," ")</f>
        <v>#N/A</v>
      </c>
      <c r="E2383" s="5" t="e">
        <f>IF(B2383=0,VLOOKUP(A2383,Feuil2!$A$2:$M$1241,6,FALSE)," ")</f>
        <v>#N/A</v>
      </c>
      <c r="F2383" s="1" t="e">
        <f>IF(B2383=0,VLOOKUP(A2383,Feuil2!$A$2:$M$1241,12,FALSE)," ")</f>
        <v>#N/A</v>
      </c>
      <c r="G2383" s="1" t="e">
        <f>IF(B2383=0,VLOOKUP(A2383,Feuil2!$A$2:$M$1241,11,FALSE)," ")</f>
        <v>#N/A</v>
      </c>
      <c r="H2383" s="1" t="s">
        <v>16</v>
      </c>
      <c r="I2383" s="6" t="e">
        <f>IF(B2383=0,VLOOKUP(A2383,Feuil2!$A$2:$M$1241,7,FALSE)," ")</f>
        <v>#N/A</v>
      </c>
      <c r="J2383" s="1" t="e">
        <f>IF(B2383=0,VLOOKUP(A2383,Feuil2!$A$2:$M$1241,9,FALSE)," ")</f>
        <v>#N/A</v>
      </c>
      <c r="K2383" s="1" t="e">
        <f>IF(B2383=0,VLOOKUP(A2383,Feuil2!$A$2:$M$1241,10,FALSE)," ")</f>
        <v>#N/A</v>
      </c>
      <c r="L2383" s="1"/>
      <c r="M2383" s="1"/>
      <c r="N2383" s="1"/>
    </row>
    <row r="2384" spans="1:15" x14ac:dyDescent="0.3">
      <c r="A2384" s="1"/>
      <c r="B2384" s="1"/>
      <c r="C2384" s="1" t="e">
        <f>IF(B2384=0,VLOOKUP(A2384,Feuil2!$A$2:$M$1241,2,FALSE)," ")</f>
        <v>#N/A</v>
      </c>
      <c r="D2384" s="1" t="e">
        <f>IF(B2384=0,VLOOKUP(A2384,Feuil2!$A$2:$M$1241,3,FALSE)," ")</f>
        <v>#N/A</v>
      </c>
      <c r="E2384" s="5" t="e">
        <f>IF(B2384=0,VLOOKUP(A2384,Feuil2!$A$2:$M$1241,6,FALSE)," ")</f>
        <v>#N/A</v>
      </c>
      <c r="F2384" s="1" t="e">
        <f>IF(B2384=0,VLOOKUP(A2384,Feuil2!$A$2:$M$1241,12,FALSE)," ")</f>
        <v>#N/A</v>
      </c>
      <c r="G2384" s="1" t="e">
        <f>IF(B2384=0,VLOOKUP(A2384,Feuil2!$A$2:$M$1241,11,FALSE)," ")</f>
        <v>#N/A</v>
      </c>
      <c r="H2384" s="1" t="s">
        <v>16</v>
      </c>
      <c r="I2384" s="6" t="e">
        <f>IF(B2384=0,VLOOKUP(A2384,Feuil2!$A$2:$M$1241,7,FALSE)," ")</f>
        <v>#N/A</v>
      </c>
      <c r="J2384" s="1" t="e">
        <f>IF(B2384=0,VLOOKUP(A2384,Feuil2!$A$2:$M$1241,9,FALSE)," ")</f>
        <v>#N/A</v>
      </c>
      <c r="K2384" s="1" t="e">
        <f>IF(B2384=0,VLOOKUP(A2384,Feuil2!$A$2:$M$1241,10,FALSE)," ")</f>
        <v>#N/A</v>
      </c>
      <c r="L2384" s="1"/>
      <c r="M2384" s="1"/>
      <c r="N2384" s="1"/>
    </row>
    <row r="2385" spans="1:14" x14ac:dyDescent="0.3">
      <c r="A2385" s="1"/>
      <c r="B2385" s="1"/>
      <c r="C2385" s="1" t="e">
        <f>IF(B2385=0,VLOOKUP(A2385,Feuil2!$A$2:$M$1241,2,FALSE)," ")</f>
        <v>#N/A</v>
      </c>
      <c r="D2385" s="1" t="e">
        <f>IF(B2385=0,VLOOKUP(A2385,Feuil2!$A$2:$M$1241,3,FALSE)," ")</f>
        <v>#N/A</v>
      </c>
      <c r="E2385" s="5" t="e">
        <f>IF(B2385=0,VLOOKUP(A2385,Feuil2!$A$2:$M$1241,6,FALSE)," ")</f>
        <v>#N/A</v>
      </c>
      <c r="F2385" s="1" t="e">
        <f>IF(B2385=0,VLOOKUP(A2385,Feuil2!$A$2:$M$1241,12,FALSE)," ")</f>
        <v>#N/A</v>
      </c>
      <c r="G2385" s="1" t="e">
        <f>IF(B2385=0,VLOOKUP(A2385,Feuil2!$A$2:$M$1241,11,FALSE)," ")</f>
        <v>#N/A</v>
      </c>
      <c r="H2385" s="1" t="s">
        <v>16</v>
      </c>
      <c r="I2385" s="6" t="e">
        <f>IF(B2385=0,VLOOKUP(A2385,Feuil2!$A$2:$M$1241,7,FALSE)," ")</f>
        <v>#N/A</v>
      </c>
      <c r="J2385" s="1" t="e">
        <f>IF(B2385=0,VLOOKUP(A2385,Feuil2!$A$2:$M$1241,9,FALSE)," ")</f>
        <v>#N/A</v>
      </c>
      <c r="K2385" s="1" t="e">
        <f>IF(B2385=0,VLOOKUP(A2385,Feuil2!$A$2:$M$1241,10,FALSE)," ")</f>
        <v>#N/A</v>
      </c>
      <c r="L2385" s="1"/>
      <c r="M2385" s="1"/>
      <c r="N2385" s="1"/>
    </row>
    <row r="2386" spans="1:14" x14ac:dyDescent="0.3">
      <c r="A2386" s="1"/>
      <c r="B2386" s="1"/>
      <c r="C2386" s="1" t="e">
        <f>IF(B2386=0,VLOOKUP(A2386,Feuil2!$A$2:$M$1241,2,FALSE)," ")</f>
        <v>#N/A</v>
      </c>
      <c r="D2386" s="1" t="e">
        <f>IF(B2386=0,VLOOKUP(A2386,Feuil2!$A$2:$M$1241,3,FALSE)," ")</f>
        <v>#N/A</v>
      </c>
      <c r="E2386" s="5" t="e">
        <f>IF(B2386=0,VLOOKUP(A2386,Feuil2!$A$2:$M$1241,6,FALSE)," ")</f>
        <v>#N/A</v>
      </c>
      <c r="F2386" s="1" t="e">
        <f>IF(B2386=0,VLOOKUP(A2386,Feuil2!$A$2:$M$1241,12,FALSE)," ")</f>
        <v>#N/A</v>
      </c>
      <c r="G2386" s="1" t="e">
        <f>IF(B2386=0,VLOOKUP(A2386,Feuil2!$A$2:$M$1241,11,FALSE)," ")</f>
        <v>#N/A</v>
      </c>
      <c r="H2386" s="1" t="s">
        <v>16</v>
      </c>
      <c r="I2386" s="6" t="e">
        <f>IF(B2386=0,VLOOKUP(A2386,Feuil2!$A$2:$M$1241,7,FALSE)," ")</f>
        <v>#N/A</v>
      </c>
      <c r="J2386" s="1" t="e">
        <f>IF(B2386=0,VLOOKUP(A2386,Feuil2!$A$2:$M$1241,9,FALSE)," ")</f>
        <v>#N/A</v>
      </c>
      <c r="K2386" s="1" t="e">
        <f>IF(B2386=0,VLOOKUP(A2386,Feuil2!$A$2:$M$1241,10,FALSE)," ")</f>
        <v>#N/A</v>
      </c>
      <c r="L2386" s="1"/>
      <c r="M2386" s="1"/>
      <c r="N2386" s="1"/>
    </row>
    <row r="2387" spans="1:14" x14ac:dyDescent="0.3">
      <c r="A2387" s="1"/>
      <c r="B2387" s="1"/>
      <c r="C2387" s="1" t="e">
        <f>IF(B2387=0,VLOOKUP(A2387,Feuil2!$A$2:$M$1241,2,FALSE)," ")</f>
        <v>#N/A</v>
      </c>
      <c r="D2387" s="1" t="e">
        <f>IF(B2387=0,VLOOKUP(A2387,Feuil2!$A$2:$M$1241,3,FALSE)," ")</f>
        <v>#N/A</v>
      </c>
      <c r="E2387" s="5" t="e">
        <f>IF(B2387=0,VLOOKUP(A2387,Feuil2!$A$2:$M$1241,6,FALSE)," ")</f>
        <v>#N/A</v>
      </c>
      <c r="F2387" s="1" t="e">
        <f>IF(B2387=0,VLOOKUP(A2387,Feuil2!$A$2:$M$1241,12,FALSE)," ")</f>
        <v>#N/A</v>
      </c>
      <c r="G2387" s="1" t="e">
        <f>IF(B2387=0,VLOOKUP(A2387,Feuil2!$A$2:$M$1241,11,FALSE)," ")</f>
        <v>#N/A</v>
      </c>
      <c r="H2387" s="1" t="s">
        <v>16</v>
      </c>
      <c r="I2387" s="6" t="e">
        <f>IF(B2387=0,VLOOKUP(A2387,Feuil2!$A$2:$M$1241,7,FALSE)," ")</f>
        <v>#N/A</v>
      </c>
      <c r="J2387" s="1" t="e">
        <f>IF(B2387=0,VLOOKUP(A2387,Feuil2!$A$2:$M$1241,9,FALSE)," ")</f>
        <v>#N/A</v>
      </c>
      <c r="K2387" s="1" t="e">
        <f>IF(B2387=0,VLOOKUP(A2387,Feuil2!$A$2:$M$1241,10,FALSE)," ")</f>
        <v>#N/A</v>
      </c>
      <c r="L2387" s="1"/>
      <c r="M2387" s="1"/>
      <c r="N2387" s="1"/>
    </row>
    <row r="2388" spans="1:14" x14ac:dyDescent="0.3">
      <c r="A2388" s="1"/>
      <c r="B2388" s="1"/>
      <c r="C2388" s="1" t="e">
        <f>IF(B2388=0,VLOOKUP(A2388,Feuil2!$A$2:$M$1241,2,FALSE)," ")</f>
        <v>#N/A</v>
      </c>
      <c r="D2388" s="1" t="e">
        <f>IF(B2388=0,VLOOKUP(A2388,Feuil2!$A$2:$M$1241,3,FALSE)," ")</f>
        <v>#N/A</v>
      </c>
      <c r="E2388" s="5" t="e">
        <f>IF(B2388=0,VLOOKUP(A2388,Feuil2!$A$2:$M$1241,6,FALSE)," ")</f>
        <v>#N/A</v>
      </c>
      <c r="F2388" s="1" t="e">
        <f>IF(B2388=0,VLOOKUP(A2388,Feuil2!$A$2:$M$1241,12,FALSE)," ")</f>
        <v>#N/A</v>
      </c>
      <c r="G2388" s="1" t="e">
        <f>IF(B2388=0,VLOOKUP(A2388,Feuil2!$A$2:$M$1241,11,FALSE)," ")</f>
        <v>#N/A</v>
      </c>
      <c r="H2388" s="1" t="s">
        <v>16</v>
      </c>
      <c r="I2388" s="6" t="e">
        <f>IF(B2388=0,VLOOKUP(A2388,Feuil2!$A$2:$M$1241,7,FALSE)," ")</f>
        <v>#N/A</v>
      </c>
      <c r="J2388" s="1" t="e">
        <f>IF(B2388=0,VLOOKUP(A2388,Feuil2!$A$2:$M$1241,9,FALSE)," ")</f>
        <v>#N/A</v>
      </c>
      <c r="K2388" s="1" t="e">
        <f>IF(B2388=0,VLOOKUP(A2388,Feuil2!$A$2:$M$1241,10,FALSE)," ")</f>
        <v>#N/A</v>
      </c>
      <c r="L2388" s="1"/>
      <c r="M2388" s="1"/>
      <c r="N2388" s="1"/>
    </row>
  </sheetData>
  <sortState xmlns:xlrd2="http://schemas.microsoft.com/office/spreadsheetml/2017/richdata2" ref="A2:O21">
    <sortCondition ref="A2:A21"/>
    <sortCondition ref="B2:B21"/>
  </sortState>
  <pageMargins left="0.7" right="0.7" top="0.75" bottom="0.75" header="0.3" footer="0.3"/>
  <pageSetup paperSize="9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41"/>
  <sheetViews>
    <sheetView topLeftCell="A28" workbookViewId="0">
      <selection activeCell="A426" sqref="A1:A1048576"/>
    </sheetView>
  </sheetViews>
  <sheetFormatPr baseColWidth="10" defaultRowHeight="14.4" x14ac:dyDescent="0.3"/>
  <cols>
    <col min="13" max="13" width="21.33203125" bestFit="1" customWidth="1"/>
  </cols>
  <sheetData>
    <row r="1" spans="1:13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</row>
    <row r="2" spans="1:13" x14ac:dyDescent="0.3">
      <c r="A2" t="s">
        <v>489</v>
      </c>
      <c r="B2" t="s">
        <v>490</v>
      </c>
      <c r="C2" t="s">
        <v>491</v>
      </c>
      <c r="D2" t="s">
        <v>492</v>
      </c>
      <c r="E2" t="s">
        <v>493</v>
      </c>
      <c r="F2" t="s">
        <v>494</v>
      </c>
      <c r="G2" t="s">
        <v>495</v>
      </c>
      <c r="H2" t="s">
        <v>496</v>
      </c>
      <c r="I2" t="s">
        <v>497</v>
      </c>
      <c r="K2" t="s">
        <v>498</v>
      </c>
      <c r="L2" t="s">
        <v>499</v>
      </c>
    </row>
    <row r="3" spans="1:13" x14ac:dyDescent="0.3">
      <c r="A3">
        <v>9</v>
      </c>
      <c r="B3" t="s">
        <v>500</v>
      </c>
      <c r="C3" t="s">
        <v>501</v>
      </c>
      <c r="D3" t="s">
        <v>502</v>
      </c>
      <c r="E3" t="s">
        <v>502</v>
      </c>
      <c r="F3" t="s">
        <v>502</v>
      </c>
      <c r="G3" t="s">
        <v>502</v>
      </c>
      <c r="H3" t="s">
        <v>502</v>
      </c>
      <c r="I3" t="s">
        <v>502</v>
      </c>
      <c r="J3" t="s">
        <v>502</v>
      </c>
      <c r="K3" t="s">
        <v>15</v>
      </c>
      <c r="L3" t="s">
        <v>502</v>
      </c>
      <c r="M3" t="e">
        <f>VLOOKUP(A3,[1]MSAKEN!$A$1:$F$562,6,FALSE)</f>
        <v>#N/A</v>
      </c>
    </row>
    <row r="4" spans="1:13" x14ac:dyDescent="0.3">
      <c r="A4">
        <v>10</v>
      </c>
      <c r="B4" t="s">
        <v>503</v>
      </c>
      <c r="C4" t="s">
        <v>332</v>
      </c>
      <c r="D4" t="s">
        <v>502</v>
      </c>
      <c r="E4" t="s">
        <v>502</v>
      </c>
      <c r="F4" s="4">
        <v>19244</v>
      </c>
      <c r="G4">
        <v>4027920</v>
      </c>
      <c r="H4">
        <v>1103813505</v>
      </c>
      <c r="I4" t="s">
        <v>504</v>
      </c>
      <c r="J4" t="s">
        <v>505</v>
      </c>
      <c r="K4" t="s">
        <v>15</v>
      </c>
      <c r="L4" t="s">
        <v>506</v>
      </c>
      <c r="M4" t="e">
        <f>VLOOKUP(A4,[1]MSAKEN!$A$1:$F$562,6,FALSE)</f>
        <v>#N/A</v>
      </c>
    </row>
    <row r="5" spans="1:13" x14ac:dyDescent="0.3">
      <c r="A5">
        <v>13</v>
      </c>
      <c r="B5" t="s">
        <v>507</v>
      </c>
      <c r="C5" t="s">
        <v>56</v>
      </c>
      <c r="D5" t="s">
        <v>502</v>
      </c>
      <c r="E5" t="s">
        <v>502</v>
      </c>
      <c r="F5" t="s">
        <v>502</v>
      </c>
      <c r="G5" t="s">
        <v>502</v>
      </c>
      <c r="H5" t="s">
        <v>502</v>
      </c>
      <c r="I5" t="s">
        <v>502</v>
      </c>
      <c r="J5" t="s">
        <v>502</v>
      </c>
      <c r="K5" t="s">
        <v>15</v>
      </c>
      <c r="L5" t="s">
        <v>502</v>
      </c>
      <c r="M5" t="e">
        <f>VLOOKUP(A5,[1]MSAKEN!$A$1:$F$562,6,FALSE)</f>
        <v>#N/A</v>
      </c>
    </row>
    <row r="6" spans="1:13" x14ac:dyDescent="0.3">
      <c r="A6">
        <v>14</v>
      </c>
      <c r="B6" t="s">
        <v>508</v>
      </c>
      <c r="C6" t="s">
        <v>129</v>
      </c>
      <c r="D6" t="s">
        <v>502</v>
      </c>
      <c r="E6" t="s">
        <v>502</v>
      </c>
      <c r="F6" t="s">
        <v>502</v>
      </c>
      <c r="G6">
        <v>22756</v>
      </c>
      <c r="H6">
        <v>0</v>
      </c>
      <c r="I6" t="s">
        <v>502</v>
      </c>
      <c r="J6" t="s">
        <v>502</v>
      </c>
      <c r="K6" t="s">
        <v>15</v>
      </c>
      <c r="L6" t="s">
        <v>506</v>
      </c>
      <c r="M6" t="e">
        <f>VLOOKUP(A6,[1]MSAKEN!$A$1:$F$562,6,FALSE)</f>
        <v>#N/A</v>
      </c>
    </row>
    <row r="7" spans="1:13" x14ac:dyDescent="0.3">
      <c r="A7">
        <v>15</v>
      </c>
      <c r="B7" t="s">
        <v>509</v>
      </c>
      <c r="C7" t="s">
        <v>321</v>
      </c>
      <c r="D7" t="s">
        <v>502</v>
      </c>
      <c r="E7" t="s">
        <v>502</v>
      </c>
      <c r="F7" s="4">
        <v>18803</v>
      </c>
      <c r="G7">
        <v>2956086</v>
      </c>
      <c r="H7">
        <v>1109266500</v>
      </c>
      <c r="I7" t="s">
        <v>510</v>
      </c>
      <c r="J7" t="s">
        <v>511</v>
      </c>
      <c r="K7" t="s">
        <v>15</v>
      </c>
      <c r="L7" t="s">
        <v>506</v>
      </c>
      <c r="M7" t="e">
        <f>VLOOKUP(A7,[1]MSAKEN!$A$1:$F$562,6,FALSE)</f>
        <v>#N/A</v>
      </c>
    </row>
    <row r="8" spans="1:13" x14ac:dyDescent="0.3">
      <c r="A8">
        <v>16</v>
      </c>
      <c r="B8" t="s">
        <v>220</v>
      </c>
      <c r="C8" t="s">
        <v>69</v>
      </c>
      <c r="D8" t="s">
        <v>502</v>
      </c>
      <c r="E8" t="s">
        <v>502</v>
      </c>
      <c r="F8" s="4">
        <v>19595</v>
      </c>
      <c r="G8">
        <v>2930962</v>
      </c>
      <c r="H8">
        <v>1106329400</v>
      </c>
      <c r="I8" t="s">
        <v>512</v>
      </c>
      <c r="J8" t="s">
        <v>513</v>
      </c>
      <c r="K8" t="s">
        <v>15</v>
      </c>
      <c r="L8" t="s">
        <v>506</v>
      </c>
      <c r="M8" t="e">
        <f>VLOOKUP(A8,[1]MSAKEN!$A$1:$F$562,6,FALSE)</f>
        <v>#N/A</v>
      </c>
    </row>
    <row r="9" spans="1:13" x14ac:dyDescent="0.3">
      <c r="A9">
        <v>19</v>
      </c>
      <c r="B9" t="s">
        <v>514</v>
      </c>
      <c r="C9" t="s">
        <v>331</v>
      </c>
      <c r="D9" t="s">
        <v>502</v>
      </c>
      <c r="E9" t="s">
        <v>502</v>
      </c>
      <c r="F9" t="s">
        <v>502</v>
      </c>
      <c r="G9" t="s">
        <v>502</v>
      </c>
      <c r="H9" t="s">
        <v>502</v>
      </c>
      <c r="I9" t="s">
        <v>502</v>
      </c>
      <c r="J9" t="s">
        <v>502</v>
      </c>
      <c r="K9" t="s">
        <v>502</v>
      </c>
      <c r="L9" t="s">
        <v>502</v>
      </c>
      <c r="M9" t="e">
        <f>VLOOKUP(A9,[1]MSAKEN!$A$1:$F$562,6,FALSE)</f>
        <v>#N/A</v>
      </c>
    </row>
    <row r="10" spans="1:13" x14ac:dyDescent="0.3">
      <c r="A10">
        <v>21</v>
      </c>
      <c r="B10" t="s">
        <v>316</v>
      </c>
      <c r="C10" t="s">
        <v>515</v>
      </c>
      <c r="D10" t="s">
        <v>502</v>
      </c>
      <c r="E10" t="s">
        <v>502</v>
      </c>
      <c r="F10" t="s">
        <v>502</v>
      </c>
      <c r="G10">
        <v>2858128</v>
      </c>
      <c r="H10">
        <v>91623900</v>
      </c>
      <c r="I10" t="s">
        <v>516</v>
      </c>
      <c r="J10" t="s">
        <v>502</v>
      </c>
      <c r="K10" t="s">
        <v>15</v>
      </c>
      <c r="L10" t="s">
        <v>506</v>
      </c>
      <c r="M10" t="e">
        <f>VLOOKUP(A10,[1]MSAKEN!$A$1:$F$562,6,FALSE)</f>
        <v>#N/A</v>
      </c>
    </row>
    <row r="11" spans="1:13" x14ac:dyDescent="0.3">
      <c r="A11">
        <v>22</v>
      </c>
      <c r="B11" t="s">
        <v>103</v>
      </c>
      <c r="C11" t="s">
        <v>22</v>
      </c>
      <c r="D11" t="s">
        <v>502</v>
      </c>
      <c r="E11" t="s">
        <v>502</v>
      </c>
      <c r="F11" s="4">
        <v>20202</v>
      </c>
      <c r="G11">
        <v>2841277</v>
      </c>
      <c r="H11">
        <v>1109281905</v>
      </c>
      <c r="I11" t="s">
        <v>517</v>
      </c>
      <c r="J11" t="s">
        <v>513</v>
      </c>
      <c r="K11" t="s">
        <v>15</v>
      </c>
      <c r="L11" t="s">
        <v>506</v>
      </c>
      <c r="M11" t="e">
        <f>VLOOKUP(A11,[1]MSAKEN!$A$1:$F$562,6,FALSE)</f>
        <v>#N/A</v>
      </c>
    </row>
    <row r="12" spans="1:13" x14ac:dyDescent="0.3">
      <c r="A12">
        <v>23</v>
      </c>
      <c r="B12" t="s">
        <v>518</v>
      </c>
      <c r="C12" t="s">
        <v>519</v>
      </c>
      <c r="D12" t="s">
        <v>520</v>
      </c>
      <c r="E12" t="s">
        <v>521</v>
      </c>
      <c r="F12" s="4">
        <v>20640</v>
      </c>
      <c r="G12">
        <v>2832555</v>
      </c>
      <c r="H12">
        <v>88722500</v>
      </c>
      <c r="I12" t="s">
        <v>522</v>
      </c>
      <c r="J12" t="s">
        <v>513</v>
      </c>
      <c r="K12" t="s">
        <v>15</v>
      </c>
      <c r="L12" t="s">
        <v>506</v>
      </c>
      <c r="M12" t="e">
        <f>VLOOKUP(A12,[1]MSAKEN!$A$1:$F$562,6,FALSE)</f>
        <v>#N/A</v>
      </c>
    </row>
    <row r="13" spans="1:13" x14ac:dyDescent="0.3">
      <c r="A13">
        <v>24</v>
      </c>
      <c r="B13" t="s">
        <v>523</v>
      </c>
      <c r="C13" t="s">
        <v>524</v>
      </c>
      <c r="D13" t="s">
        <v>502</v>
      </c>
      <c r="E13" t="s">
        <v>502</v>
      </c>
      <c r="F13" s="4">
        <v>21089</v>
      </c>
      <c r="G13">
        <v>2892540</v>
      </c>
      <c r="H13">
        <v>88087300</v>
      </c>
      <c r="I13" t="s">
        <v>525</v>
      </c>
      <c r="J13" t="s">
        <v>526</v>
      </c>
      <c r="K13" t="s">
        <v>15</v>
      </c>
      <c r="L13" t="s">
        <v>17</v>
      </c>
      <c r="M13" t="e">
        <f>VLOOKUP(A13,[1]MSAKEN!$A$1:$F$562,6,FALSE)</f>
        <v>#N/A</v>
      </c>
    </row>
    <row r="14" spans="1:13" x14ac:dyDescent="0.3">
      <c r="A14">
        <v>27</v>
      </c>
      <c r="B14" t="s">
        <v>527</v>
      </c>
      <c r="C14" t="s">
        <v>69</v>
      </c>
      <c r="D14" t="s">
        <v>502</v>
      </c>
      <c r="E14" t="s">
        <v>502</v>
      </c>
      <c r="F14" t="s">
        <v>502</v>
      </c>
      <c r="G14">
        <v>1907895</v>
      </c>
      <c r="H14">
        <v>85868600</v>
      </c>
      <c r="I14" t="s">
        <v>528</v>
      </c>
      <c r="J14" t="s">
        <v>502</v>
      </c>
      <c r="K14" t="s">
        <v>15</v>
      </c>
      <c r="L14" t="s">
        <v>506</v>
      </c>
      <c r="M14" t="e">
        <f>VLOOKUP(A14,[1]MSAKEN!$A$1:$F$562,6,FALSE)</f>
        <v>#N/A</v>
      </c>
    </row>
    <row r="15" spans="1:13" x14ac:dyDescent="0.3">
      <c r="A15">
        <v>30</v>
      </c>
      <c r="B15" t="s">
        <v>529</v>
      </c>
      <c r="C15" t="s">
        <v>472</v>
      </c>
      <c r="D15" t="s">
        <v>502</v>
      </c>
      <c r="E15" t="s">
        <v>502</v>
      </c>
      <c r="F15" t="s">
        <v>502</v>
      </c>
      <c r="G15">
        <v>351112</v>
      </c>
      <c r="H15">
        <v>1113506206</v>
      </c>
      <c r="I15" t="s">
        <v>530</v>
      </c>
      <c r="J15" t="s">
        <v>513</v>
      </c>
      <c r="K15" t="s">
        <v>15</v>
      </c>
      <c r="L15" t="s">
        <v>506</v>
      </c>
      <c r="M15" t="e">
        <f>VLOOKUP(A15,[1]MSAKEN!$A$1:$F$562,6,FALSE)</f>
        <v>#N/A</v>
      </c>
    </row>
    <row r="16" spans="1:13" x14ac:dyDescent="0.3">
      <c r="A16">
        <v>31</v>
      </c>
      <c r="B16" t="s">
        <v>477</v>
      </c>
      <c r="C16" t="s">
        <v>531</v>
      </c>
      <c r="D16" t="s">
        <v>502</v>
      </c>
      <c r="E16" t="s">
        <v>502</v>
      </c>
      <c r="F16" s="4">
        <v>19698</v>
      </c>
      <c r="G16">
        <v>2859124</v>
      </c>
      <c r="H16">
        <v>865670</v>
      </c>
      <c r="I16" t="s">
        <v>532</v>
      </c>
      <c r="J16" t="s">
        <v>513</v>
      </c>
      <c r="K16" t="s">
        <v>15</v>
      </c>
      <c r="L16" t="s">
        <v>506</v>
      </c>
      <c r="M16" t="e">
        <f>VLOOKUP(A16,[1]MSAKEN!$A$1:$F$562,6,FALSE)</f>
        <v>#N/A</v>
      </c>
    </row>
    <row r="17" spans="1:13" x14ac:dyDescent="0.3">
      <c r="A17">
        <v>32</v>
      </c>
      <c r="B17" t="s">
        <v>533</v>
      </c>
      <c r="C17" t="s">
        <v>43</v>
      </c>
      <c r="D17" t="s">
        <v>502</v>
      </c>
      <c r="E17" t="s">
        <v>502</v>
      </c>
      <c r="F17" s="4">
        <v>19588</v>
      </c>
      <c r="G17">
        <v>1896154</v>
      </c>
      <c r="H17">
        <v>90058600</v>
      </c>
      <c r="I17" t="s">
        <v>534</v>
      </c>
      <c r="J17" t="s">
        <v>513</v>
      </c>
      <c r="K17" t="s">
        <v>15</v>
      </c>
      <c r="L17" t="s">
        <v>506</v>
      </c>
      <c r="M17" t="e">
        <f>VLOOKUP(A17,[1]MSAKEN!$A$1:$F$562,6,FALSE)</f>
        <v>#N/A</v>
      </c>
    </row>
    <row r="18" spans="1:13" x14ac:dyDescent="0.3">
      <c r="A18">
        <v>36</v>
      </c>
      <c r="B18" t="s">
        <v>29</v>
      </c>
      <c r="C18" t="s">
        <v>28</v>
      </c>
      <c r="D18" t="s">
        <v>535</v>
      </c>
      <c r="E18" t="s">
        <v>536</v>
      </c>
      <c r="F18" s="4">
        <v>23421</v>
      </c>
      <c r="G18">
        <v>2867586</v>
      </c>
      <c r="H18">
        <v>1113546400</v>
      </c>
      <c r="I18" t="s">
        <v>537</v>
      </c>
      <c r="J18" t="s">
        <v>513</v>
      </c>
      <c r="K18" t="s">
        <v>15</v>
      </c>
      <c r="L18" t="s">
        <v>506</v>
      </c>
      <c r="M18" t="str">
        <f>VLOOKUP(A18,[1]MSAKEN!$A$1:$F$562,6,FALSE)</f>
        <v>24010030679251100000</v>
      </c>
    </row>
    <row r="19" spans="1:13" x14ac:dyDescent="0.3">
      <c r="A19">
        <v>37</v>
      </c>
      <c r="B19" t="s">
        <v>538</v>
      </c>
      <c r="C19" t="s">
        <v>115</v>
      </c>
      <c r="D19" t="s">
        <v>539</v>
      </c>
      <c r="E19" t="s">
        <v>536</v>
      </c>
      <c r="F19" s="4">
        <v>21793</v>
      </c>
      <c r="G19">
        <v>2862435</v>
      </c>
      <c r="H19">
        <v>1113540809</v>
      </c>
      <c r="I19" t="s">
        <v>540</v>
      </c>
      <c r="J19" t="s">
        <v>513</v>
      </c>
      <c r="K19" t="s">
        <v>15</v>
      </c>
      <c r="L19" t="s">
        <v>506</v>
      </c>
      <c r="M19" t="e">
        <f>VLOOKUP(A19,[1]MSAKEN!$A$1:$F$562,6,FALSE)</f>
        <v>#N/A</v>
      </c>
    </row>
    <row r="20" spans="1:13" x14ac:dyDescent="0.3">
      <c r="A20">
        <v>38</v>
      </c>
      <c r="B20" t="s">
        <v>71</v>
      </c>
      <c r="C20" t="s">
        <v>246</v>
      </c>
      <c r="D20" t="s">
        <v>535</v>
      </c>
      <c r="E20" t="s">
        <v>536</v>
      </c>
      <c r="F20" s="4">
        <v>21959</v>
      </c>
      <c r="G20">
        <v>2835379</v>
      </c>
      <c r="H20">
        <v>1113540700</v>
      </c>
      <c r="I20" t="s">
        <v>541</v>
      </c>
      <c r="J20" t="s">
        <v>513</v>
      </c>
      <c r="K20" t="s">
        <v>15</v>
      </c>
      <c r="L20" t="s">
        <v>506</v>
      </c>
      <c r="M20" t="e">
        <f>VLOOKUP(A20,[1]MSAKEN!$A$1:$F$562,6,FALSE)</f>
        <v>#N/A</v>
      </c>
    </row>
    <row r="21" spans="1:13" x14ac:dyDescent="0.3">
      <c r="A21">
        <v>39</v>
      </c>
      <c r="B21" t="s">
        <v>176</v>
      </c>
      <c r="C21" t="s">
        <v>542</v>
      </c>
      <c r="D21" t="s">
        <v>535</v>
      </c>
      <c r="E21" t="s">
        <v>543</v>
      </c>
      <c r="F21" s="4">
        <v>21295</v>
      </c>
      <c r="G21">
        <v>2831826</v>
      </c>
      <c r="H21">
        <v>1101321600</v>
      </c>
      <c r="I21" t="s">
        <v>544</v>
      </c>
      <c r="J21" t="s">
        <v>513</v>
      </c>
      <c r="K21" t="s">
        <v>15</v>
      </c>
      <c r="L21" t="s">
        <v>506</v>
      </c>
      <c r="M21" t="e">
        <f>VLOOKUP(A21,[1]MSAKEN!$A$1:$F$562,6,FALSE)</f>
        <v>#N/A</v>
      </c>
    </row>
    <row r="22" spans="1:13" x14ac:dyDescent="0.3">
      <c r="A22">
        <v>40</v>
      </c>
      <c r="B22" t="s">
        <v>366</v>
      </c>
      <c r="C22" t="s">
        <v>181</v>
      </c>
      <c r="D22" t="s">
        <v>545</v>
      </c>
      <c r="E22" t="s">
        <v>546</v>
      </c>
      <c r="F22" s="4">
        <v>23012</v>
      </c>
      <c r="G22">
        <v>2814018</v>
      </c>
      <c r="H22">
        <v>1113546509</v>
      </c>
      <c r="I22" t="s">
        <v>547</v>
      </c>
      <c r="J22" t="s">
        <v>513</v>
      </c>
      <c r="K22" t="s">
        <v>15</v>
      </c>
      <c r="L22" t="s">
        <v>506</v>
      </c>
      <c r="M22" t="str">
        <f>VLOOKUP(A22,[1]MSAKEN!$A$1:$F$562,6,FALSE)</f>
        <v>08507000262002303810</v>
      </c>
    </row>
    <row r="23" spans="1:13" x14ac:dyDescent="0.3">
      <c r="A23">
        <v>42</v>
      </c>
      <c r="B23" t="s">
        <v>318</v>
      </c>
      <c r="C23" t="s">
        <v>378</v>
      </c>
      <c r="D23" t="s">
        <v>502</v>
      </c>
      <c r="E23" t="s">
        <v>502</v>
      </c>
      <c r="F23" s="4">
        <v>17603</v>
      </c>
      <c r="G23">
        <v>358006</v>
      </c>
      <c r="H23">
        <v>1109575720</v>
      </c>
      <c r="I23" t="s">
        <v>548</v>
      </c>
      <c r="J23" t="s">
        <v>513</v>
      </c>
      <c r="K23" t="s">
        <v>15</v>
      </c>
      <c r="L23" t="s">
        <v>506</v>
      </c>
      <c r="M23" t="e">
        <f>VLOOKUP(A23,[1]MSAKEN!$A$1:$F$562,6,FALSE)</f>
        <v>#N/A</v>
      </c>
    </row>
    <row r="24" spans="1:13" x14ac:dyDescent="0.3">
      <c r="A24">
        <v>45</v>
      </c>
      <c r="B24" t="s">
        <v>549</v>
      </c>
      <c r="C24" t="s">
        <v>132</v>
      </c>
      <c r="D24" t="s">
        <v>502</v>
      </c>
      <c r="E24" t="s">
        <v>502</v>
      </c>
      <c r="F24" s="4">
        <v>17843</v>
      </c>
      <c r="G24">
        <v>2952752</v>
      </c>
      <c r="H24">
        <v>1103944805</v>
      </c>
      <c r="I24" t="s">
        <v>550</v>
      </c>
      <c r="J24" t="s">
        <v>513</v>
      </c>
      <c r="K24" t="s">
        <v>15</v>
      </c>
      <c r="L24" t="s">
        <v>506</v>
      </c>
      <c r="M24" t="e">
        <f>VLOOKUP(A24,[1]MSAKEN!$A$1:$F$562,6,FALSE)</f>
        <v>#N/A</v>
      </c>
    </row>
    <row r="25" spans="1:13" x14ac:dyDescent="0.3">
      <c r="A25">
        <v>46</v>
      </c>
      <c r="B25" t="s">
        <v>250</v>
      </c>
      <c r="C25" t="s">
        <v>118</v>
      </c>
      <c r="D25" t="s">
        <v>502</v>
      </c>
      <c r="E25" t="s">
        <v>502</v>
      </c>
      <c r="F25" t="s">
        <v>502</v>
      </c>
      <c r="G25">
        <v>2830821</v>
      </c>
      <c r="H25">
        <v>0</v>
      </c>
      <c r="I25" t="s">
        <v>551</v>
      </c>
      <c r="J25" t="s">
        <v>513</v>
      </c>
      <c r="K25" t="s">
        <v>15</v>
      </c>
      <c r="L25" t="s">
        <v>506</v>
      </c>
      <c r="M25" t="e">
        <f>VLOOKUP(A25,[1]MSAKEN!$A$1:$F$562,6,FALSE)</f>
        <v>#N/A</v>
      </c>
    </row>
    <row r="26" spans="1:13" x14ac:dyDescent="0.3">
      <c r="A26">
        <v>48</v>
      </c>
      <c r="B26" t="s">
        <v>552</v>
      </c>
      <c r="C26" t="s">
        <v>553</v>
      </c>
      <c r="D26" t="s">
        <v>502</v>
      </c>
      <c r="E26" t="s">
        <v>502</v>
      </c>
      <c r="F26" t="s">
        <v>502</v>
      </c>
      <c r="G26">
        <v>2834620</v>
      </c>
      <c r="H26">
        <v>0</v>
      </c>
      <c r="I26" t="s">
        <v>502</v>
      </c>
      <c r="J26" t="s">
        <v>502</v>
      </c>
      <c r="K26" t="s">
        <v>15</v>
      </c>
      <c r="L26" t="s">
        <v>506</v>
      </c>
      <c r="M26" t="e">
        <f>VLOOKUP(A26,[1]MSAKEN!$A$1:$F$562,6,FALSE)</f>
        <v>#N/A</v>
      </c>
    </row>
    <row r="27" spans="1:13" x14ac:dyDescent="0.3">
      <c r="A27">
        <v>50</v>
      </c>
      <c r="B27" t="s">
        <v>554</v>
      </c>
      <c r="C27" t="s">
        <v>555</v>
      </c>
      <c r="D27" t="s">
        <v>502</v>
      </c>
      <c r="E27" t="s">
        <v>502</v>
      </c>
      <c r="F27" t="s">
        <v>502</v>
      </c>
      <c r="G27" t="s">
        <v>502</v>
      </c>
      <c r="H27" t="s">
        <v>502</v>
      </c>
      <c r="I27" t="s">
        <v>502</v>
      </c>
      <c r="J27" t="s">
        <v>502</v>
      </c>
      <c r="K27" t="s">
        <v>15</v>
      </c>
      <c r="L27" t="s">
        <v>502</v>
      </c>
      <c r="M27" t="e">
        <f>VLOOKUP(A27,[1]MSAKEN!$A$1:$F$562,6,FALSE)</f>
        <v>#N/A</v>
      </c>
    </row>
    <row r="28" spans="1:13" x14ac:dyDescent="0.3">
      <c r="A28">
        <v>52</v>
      </c>
      <c r="B28" t="s">
        <v>556</v>
      </c>
      <c r="C28" t="s">
        <v>34</v>
      </c>
      <c r="D28" t="s">
        <v>502</v>
      </c>
      <c r="E28" t="s">
        <v>502</v>
      </c>
      <c r="F28" s="4">
        <v>18669</v>
      </c>
      <c r="G28">
        <v>2841373</v>
      </c>
      <c r="H28">
        <v>92883300</v>
      </c>
      <c r="I28" t="s">
        <v>511</v>
      </c>
      <c r="J28" t="s">
        <v>511</v>
      </c>
      <c r="K28" t="s">
        <v>15</v>
      </c>
      <c r="L28" t="s">
        <v>506</v>
      </c>
      <c r="M28" t="e">
        <f>VLOOKUP(A28,[1]MSAKEN!$A$1:$F$562,6,FALSE)</f>
        <v>#N/A</v>
      </c>
    </row>
    <row r="29" spans="1:13" x14ac:dyDescent="0.3">
      <c r="A29">
        <v>53</v>
      </c>
      <c r="B29" t="s">
        <v>557</v>
      </c>
      <c r="C29" t="s">
        <v>101</v>
      </c>
      <c r="D29" t="s">
        <v>502</v>
      </c>
      <c r="E29" t="s">
        <v>502</v>
      </c>
      <c r="F29" t="s">
        <v>502</v>
      </c>
      <c r="G29">
        <v>2955164</v>
      </c>
      <c r="H29">
        <v>1104977002</v>
      </c>
      <c r="I29" t="s">
        <v>558</v>
      </c>
      <c r="J29" t="s">
        <v>513</v>
      </c>
      <c r="K29" t="s">
        <v>15</v>
      </c>
      <c r="L29" t="s">
        <v>506</v>
      </c>
      <c r="M29" t="e">
        <f>VLOOKUP(A29,[1]MSAKEN!$A$1:$F$562,6,FALSE)</f>
        <v>#N/A</v>
      </c>
    </row>
    <row r="30" spans="1:13" x14ac:dyDescent="0.3">
      <c r="A30">
        <v>55</v>
      </c>
      <c r="B30" t="s">
        <v>168</v>
      </c>
      <c r="C30" t="s">
        <v>559</v>
      </c>
      <c r="D30" t="s">
        <v>502</v>
      </c>
      <c r="E30" t="s">
        <v>502</v>
      </c>
      <c r="F30" s="4">
        <v>19861</v>
      </c>
      <c r="G30">
        <v>2923773</v>
      </c>
      <c r="H30">
        <v>1114954306</v>
      </c>
      <c r="I30" t="s">
        <v>560</v>
      </c>
      <c r="J30" t="s">
        <v>513</v>
      </c>
      <c r="K30" t="s">
        <v>15</v>
      </c>
      <c r="L30" t="s">
        <v>17</v>
      </c>
      <c r="M30" t="e">
        <f>VLOOKUP(A30,[1]MSAKEN!$A$1:$F$562,6,FALSE)</f>
        <v>#N/A</v>
      </c>
    </row>
    <row r="31" spans="1:13" x14ac:dyDescent="0.3">
      <c r="A31">
        <v>56</v>
      </c>
      <c r="B31" t="s">
        <v>188</v>
      </c>
      <c r="C31" t="s">
        <v>69</v>
      </c>
      <c r="D31" t="s">
        <v>502</v>
      </c>
      <c r="E31" t="s">
        <v>502</v>
      </c>
      <c r="F31" s="4">
        <v>17345</v>
      </c>
      <c r="G31">
        <v>2961712</v>
      </c>
      <c r="H31">
        <v>1112067507</v>
      </c>
      <c r="I31" t="s">
        <v>561</v>
      </c>
      <c r="J31" t="s">
        <v>513</v>
      </c>
      <c r="K31" t="s">
        <v>15</v>
      </c>
      <c r="L31" t="s">
        <v>506</v>
      </c>
      <c r="M31" t="e">
        <f>VLOOKUP(A31,[1]MSAKEN!$A$1:$F$562,6,FALSE)</f>
        <v>#N/A</v>
      </c>
    </row>
    <row r="32" spans="1:13" x14ac:dyDescent="0.3">
      <c r="A32">
        <v>57</v>
      </c>
      <c r="B32" t="s">
        <v>451</v>
      </c>
      <c r="C32" t="s">
        <v>34</v>
      </c>
      <c r="D32" t="s">
        <v>502</v>
      </c>
      <c r="E32" t="s">
        <v>502</v>
      </c>
      <c r="F32" s="4">
        <v>18910</v>
      </c>
      <c r="G32">
        <v>2819185</v>
      </c>
      <c r="H32">
        <v>77858700</v>
      </c>
      <c r="I32" t="s">
        <v>562</v>
      </c>
      <c r="J32" t="s">
        <v>513</v>
      </c>
      <c r="K32" t="s">
        <v>15</v>
      </c>
      <c r="L32" t="s">
        <v>506</v>
      </c>
      <c r="M32" t="e">
        <f>VLOOKUP(A32,[1]MSAKEN!$A$1:$F$562,6,FALSE)</f>
        <v>#N/A</v>
      </c>
    </row>
    <row r="33" spans="1:13" x14ac:dyDescent="0.3">
      <c r="A33">
        <v>58</v>
      </c>
      <c r="B33" t="s">
        <v>563</v>
      </c>
      <c r="C33" t="s">
        <v>178</v>
      </c>
      <c r="D33" t="s">
        <v>564</v>
      </c>
      <c r="E33" t="s">
        <v>521</v>
      </c>
      <c r="F33" s="4">
        <v>22824</v>
      </c>
      <c r="G33">
        <v>2933895</v>
      </c>
      <c r="H33">
        <v>1113528408</v>
      </c>
      <c r="I33" t="s">
        <v>565</v>
      </c>
      <c r="J33" t="s">
        <v>513</v>
      </c>
      <c r="K33" t="s">
        <v>15</v>
      </c>
      <c r="L33" t="s">
        <v>506</v>
      </c>
      <c r="M33" t="str">
        <f>VLOOKUP(A33,[1]MSAKEN!$A$1:$F$562,6,FALSE)</f>
        <v>08507000262000767912</v>
      </c>
    </row>
    <row r="34" spans="1:13" x14ac:dyDescent="0.3">
      <c r="A34">
        <v>59</v>
      </c>
      <c r="B34" t="s">
        <v>566</v>
      </c>
      <c r="C34" t="s">
        <v>43</v>
      </c>
      <c r="D34" t="s">
        <v>502</v>
      </c>
      <c r="E34" t="s">
        <v>502</v>
      </c>
      <c r="F34" t="s">
        <v>502</v>
      </c>
      <c r="G34">
        <v>353410</v>
      </c>
      <c r="H34">
        <v>1106173709</v>
      </c>
      <c r="I34" t="s">
        <v>567</v>
      </c>
      <c r="J34" t="s">
        <v>568</v>
      </c>
      <c r="K34" t="s">
        <v>15</v>
      </c>
      <c r="L34" t="s">
        <v>506</v>
      </c>
      <c r="M34" t="e">
        <f>VLOOKUP(A34,[1]MSAKEN!$A$1:$F$562,6,FALSE)</f>
        <v>#N/A</v>
      </c>
    </row>
    <row r="35" spans="1:13" x14ac:dyDescent="0.3">
      <c r="A35">
        <v>60</v>
      </c>
      <c r="B35" t="s">
        <v>83</v>
      </c>
      <c r="C35" t="s">
        <v>31</v>
      </c>
      <c r="D35" t="s">
        <v>535</v>
      </c>
      <c r="E35" t="s">
        <v>569</v>
      </c>
      <c r="F35" s="4">
        <v>21398</v>
      </c>
      <c r="G35">
        <v>2851619</v>
      </c>
      <c r="H35">
        <v>1112625502</v>
      </c>
      <c r="I35" t="s">
        <v>570</v>
      </c>
      <c r="J35" t="s">
        <v>513</v>
      </c>
      <c r="K35" t="s">
        <v>15</v>
      </c>
      <c r="L35" t="s">
        <v>506</v>
      </c>
      <c r="M35" t="e">
        <f>VLOOKUP(A35,[1]MSAKEN!$A$1:$F$562,6,FALSE)</f>
        <v>#N/A</v>
      </c>
    </row>
    <row r="36" spans="1:13" x14ac:dyDescent="0.3">
      <c r="A36">
        <v>61</v>
      </c>
      <c r="B36" t="s">
        <v>25</v>
      </c>
      <c r="C36" t="s">
        <v>34</v>
      </c>
      <c r="D36" t="s">
        <v>502</v>
      </c>
      <c r="E36" t="s">
        <v>502</v>
      </c>
      <c r="F36" s="4">
        <v>22767</v>
      </c>
      <c r="G36">
        <v>2943660</v>
      </c>
      <c r="H36">
        <v>1111565402</v>
      </c>
      <c r="I36" t="s">
        <v>571</v>
      </c>
      <c r="J36" t="s">
        <v>511</v>
      </c>
      <c r="K36" t="s">
        <v>15</v>
      </c>
      <c r="L36" t="s">
        <v>506</v>
      </c>
      <c r="M36" t="e">
        <f>VLOOKUP(A36,[1]MSAKEN!$A$1:$F$562,6,FALSE)</f>
        <v>#N/A</v>
      </c>
    </row>
    <row r="37" spans="1:13" x14ac:dyDescent="0.3">
      <c r="A37">
        <v>63</v>
      </c>
      <c r="B37" t="s">
        <v>572</v>
      </c>
      <c r="C37" t="s">
        <v>246</v>
      </c>
      <c r="D37" t="s">
        <v>502</v>
      </c>
      <c r="E37" t="s">
        <v>502</v>
      </c>
      <c r="F37" s="4">
        <v>20848</v>
      </c>
      <c r="G37">
        <v>2840417</v>
      </c>
      <c r="H37">
        <v>1111324701</v>
      </c>
      <c r="I37" t="s">
        <v>573</v>
      </c>
      <c r="J37" t="s">
        <v>574</v>
      </c>
      <c r="K37" t="s">
        <v>15</v>
      </c>
      <c r="L37" t="s">
        <v>506</v>
      </c>
      <c r="M37" t="e">
        <f>VLOOKUP(A37,[1]MSAKEN!$A$1:$F$562,6,FALSE)</f>
        <v>#N/A</v>
      </c>
    </row>
    <row r="38" spans="1:13" x14ac:dyDescent="0.3">
      <c r="A38">
        <v>67</v>
      </c>
      <c r="B38" t="s">
        <v>456</v>
      </c>
      <c r="C38" t="s">
        <v>575</v>
      </c>
      <c r="D38" t="s">
        <v>502</v>
      </c>
      <c r="E38" t="s">
        <v>502</v>
      </c>
      <c r="F38" t="s">
        <v>502</v>
      </c>
      <c r="G38">
        <v>2873223</v>
      </c>
      <c r="H38">
        <v>77540100</v>
      </c>
      <c r="I38" t="s">
        <v>576</v>
      </c>
      <c r="J38" t="s">
        <v>502</v>
      </c>
      <c r="K38" t="s">
        <v>577</v>
      </c>
      <c r="L38" t="s">
        <v>17</v>
      </c>
      <c r="M38" t="e">
        <f>VLOOKUP(A38,[1]MSAKEN!$A$1:$F$562,6,FALSE)</f>
        <v>#N/A</v>
      </c>
    </row>
    <row r="39" spans="1:13" x14ac:dyDescent="0.3">
      <c r="A39">
        <v>68</v>
      </c>
      <c r="B39" t="s">
        <v>266</v>
      </c>
      <c r="C39" t="s">
        <v>162</v>
      </c>
      <c r="D39" t="s">
        <v>502</v>
      </c>
      <c r="E39" t="s">
        <v>502</v>
      </c>
      <c r="F39" t="s">
        <v>502</v>
      </c>
      <c r="G39">
        <v>2963314</v>
      </c>
      <c r="H39">
        <v>1111599302</v>
      </c>
      <c r="I39" t="s">
        <v>578</v>
      </c>
      <c r="J39" t="s">
        <v>513</v>
      </c>
      <c r="K39" t="s">
        <v>15</v>
      </c>
      <c r="L39" t="s">
        <v>506</v>
      </c>
      <c r="M39" t="e">
        <f>VLOOKUP(A39,[1]MSAKEN!$A$1:$F$562,6,FALSE)</f>
        <v>#N/A</v>
      </c>
    </row>
    <row r="40" spans="1:13" x14ac:dyDescent="0.3">
      <c r="A40">
        <v>70</v>
      </c>
      <c r="B40" t="s">
        <v>62</v>
      </c>
      <c r="C40" t="s">
        <v>579</v>
      </c>
      <c r="D40" t="s">
        <v>502</v>
      </c>
      <c r="E40" t="s">
        <v>502</v>
      </c>
      <c r="F40" s="4">
        <v>20070</v>
      </c>
      <c r="G40">
        <v>2971134</v>
      </c>
      <c r="H40">
        <v>1112277601</v>
      </c>
      <c r="I40" t="s">
        <v>580</v>
      </c>
      <c r="J40" t="s">
        <v>513</v>
      </c>
      <c r="K40" t="s">
        <v>15</v>
      </c>
      <c r="L40" t="s">
        <v>506</v>
      </c>
      <c r="M40" t="e">
        <f>VLOOKUP(A40,[1]MSAKEN!$A$1:$F$562,6,FALSE)</f>
        <v>#N/A</v>
      </c>
    </row>
    <row r="41" spans="1:13" x14ac:dyDescent="0.3">
      <c r="A41">
        <v>71</v>
      </c>
      <c r="B41" t="s">
        <v>581</v>
      </c>
      <c r="C41" t="s">
        <v>90</v>
      </c>
      <c r="D41" t="s">
        <v>502</v>
      </c>
      <c r="E41" t="s">
        <v>502</v>
      </c>
      <c r="F41" t="s">
        <v>502</v>
      </c>
      <c r="G41" t="s">
        <v>502</v>
      </c>
      <c r="H41" t="s">
        <v>502</v>
      </c>
      <c r="I41" t="s">
        <v>502</v>
      </c>
      <c r="J41" t="s">
        <v>502</v>
      </c>
      <c r="K41" t="s">
        <v>15</v>
      </c>
      <c r="L41" t="s">
        <v>506</v>
      </c>
      <c r="M41" t="e">
        <f>VLOOKUP(A41,[1]MSAKEN!$A$1:$F$562,6,FALSE)</f>
        <v>#N/A</v>
      </c>
    </row>
    <row r="42" spans="1:13" x14ac:dyDescent="0.3">
      <c r="A42">
        <v>72</v>
      </c>
      <c r="B42" t="s">
        <v>582</v>
      </c>
      <c r="C42" t="s">
        <v>118</v>
      </c>
      <c r="D42" t="s">
        <v>502</v>
      </c>
      <c r="E42" t="s">
        <v>502</v>
      </c>
      <c r="F42" t="s">
        <v>502</v>
      </c>
      <c r="G42">
        <v>2926570</v>
      </c>
      <c r="H42">
        <v>0</v>
      </c>
      <c r="I42" t="s">
        <v>583</v>
      </c>
      <c r="J42" t="s">
        <v>513</v>
      </c>
      <c r="K42" t="s">
        <v>15</v>
      </c>
      <c r="L42" t="s">
        <v>506</v>
      </c>
      <c r="M42" t="e">
        <f>VLOOKUP(A42,[1]MSAKEN!$A$1:$F$562,6,FALSE)</f>
        <v>#N/A</v>
      </c>
    </row>
    <row r="43" spans="1:13" x14ac:dyDescent="0.3">
      <c r="A43">
        <v>74</v>
      </c>
      <c r="B43" t="s">
        <v>476</v>
      </c>
      <c r="C43" t="s">
        <v>181</v>
      </c>
      <c r="D43" t="s">
        <v>502</v>
      </c>
      <c r="E43" t="s">
        <v>502</v>
      </c>
      <c r="F43" s="4">
        <v>20485</v>
      </c>
      <c r="G43" t="s">
        <v>502</v>
      </c>
      <c r="H43" t="s">
        <v>502</v>
      </c>
      <c r="I43" t="s">
        <v>502</v>
      </c>
      <c r="J43" t="s">
        <v>502</v>
      </c>
      <c r="K43" t="s">
        <v>15</v>
      </c>
      <c r="L43" t="s">
        <v>506</v>
      </c>
      <c r="M43" t="e">
        <f>VLOOKUP(A43,[1]MSAKEN!$A$1:$F$562,6,FALSE)</f>
        <v>#N/A</v>
      </c>
    </row>
    <row r="44" spans="1:13" x14ac:dyDescent="0.3">
      <c r="A44">
        <v>75</v>
      </c>
      <c r="B44" t="s">
        <v>529</v>
      </c>
      <c r="C44" t="s">
        <v>31</v>
      </c>
      <c r="D44" t="s">
        <v>535</v>
      </c>
      <c r="E44" t="s">
        <v>584</v>
      </c>
      <c r="F44" s="4">
        <v>22364</v>
      </c>
      <c r="G44">
        <v>2937662</v>
      </c>
      <c r="H44">
        <v>89575700</v>
      </c>
      <c r="I44" t="s">
        <v>585</v>
      </c>
      <c r="J44" t="s">
        <v>513</v>
      </c>
      <c r="K44" t="s">
        <v>15</v>
      </c>
      <c r="L44" t="s">
        <v>506</v>
      </c>
      <c r="M44" t="e">
        <f>VLOOKUP(A44,[1]MSAKEN!$A$1:$F$562,6,FALSE)</f>
        <v>#N/A</v>
      </c>
    </row>
    <row r="45" spans="1:13" x14ac:dyDescent="0.3">
      <c r="A45">
        <v>77</v>
      </c>
      <c r="B45" t="s">
        <v>180</v>
      </c>
      <c r="C45" t="s">
        <v>34</v>
      </c>
      <c r="D45" t="s">
        <v>502</v>
      </c>
      <c r="E45" t="s">
        <v>502</v>
      </c>
      <c r="F45" s="4">
        <v>20159</v>
      </c>
      <c r="G45">
        <v>2848734</v>
      </c>
      <c r="H45">
        <v>949980</v>
      </c>
      <c r="I45" t="s">
        <v>586</v>
      </c>
      <c r="J45" t="s">
        <v>513</v>
      </c>
      <c r="K45" t="s">
        <v>15</v>
      </c>
      <c r="L45" t="s">
        <v>506</v>
      </c>
      <c r="M45" t="e">
        <f>VLOOKUP(A45,[1]MSAKEN!$A$1:$F$562,6,FALSE)</f>
        <v>#N/A</v>
      </c>
    </row>
    <row r="46" spans="1:13" x14ac:dyDescent="0.3">
      <c r="A46">
        <v>78</v>
      </c>
      <c r="B46" t="s">
        <v>201</v>
      </c>
      <c r="C46" t="s">
        <v>587</v>
      </c>
      <c r="D46" t="s">
        <v>588</v>
      </c>
      <c r="E46" t="s">
        <v>543</v>
      </c>
      <c r="F46" s="4">
        <v>21204</v>
      </c>
      <c r="G46">
        <v>2838392</v>
      </c>
      <c r="H46">
        <v>1112957400</v>
      </c>
      <c r="I46" t="s">
        <v>589</v>
      </c>
      <c r="J46" t="s">
        <v>513</v>
      </c>
      <c r="K46" t="s">
        <v>15</v>
      </c>
      <c r="L46" t="s">
        <v>506</v>
      </c>
      <c r="M46" t="e">
        <f>VLOOKUP(A46,[1]MSAKEN!$A$1:$F$562,6,FALSE)</f>
        <v>#N/A</v>
      </c>
    </row>
    <row r="47" spans="1:13" x14ac:dyDescent="0.3">
      <c r="A47">
        <v>79</v>
      </c>
      <c r="B47" t="s">
        <v>207</v>
      </c>
      <c r="C47" t="s">
        <v>66</v>
      </c>
      <c r="D47" t="s">
        <v>502</v>
      </c>
      <c r="E47" t="s">
        <v>502</v>
      </c>
      <c r="F47" s="4">
        <v>20875</v>
      </c>
      <c r="G47">
        <v>2837719</v>
      </c>
      <c r="H47">
        <v>1112784309</v>
      </c>
      <c r="I47" t="s">
        <v>590</v>
      </c>
      <c r="J47" t="s">
        <v>511</v>
      </c>
      <c r="K47" t="s">
        <v>15</v>
      </c>
      <c r="L47" t="s">
        <v>506</v>
      </c>
      <c r="M47" t="e">
        <f>VLOOKUP(A47,[1]MSAKEN!$A$1:$F$562,6,FALSE)</f>
        <v>#N/A</v>
      </c>
    </row>
    <row r="48" spans="1:13" x14ac:dyDescent="0.3">
      <c r="A48">
        <v>80</v>
      </c>
      <c r="B48" t="s">
        <v>591</v>
      </c>
      <c r="C48" t="s">
        <v>139</v>
      </c>
      <c r="D48" t="s">
        <v>502</v>
      </c>
      <c r="E48" t="s">
        <v>502</v>
      </c>
      <c r="F48" s="4">
        <v>18357</v>
      </c>
      <c r="G48">
        <v>2949803</v>
      </c>
      <c r="H48">
        <v>1112779101</v>
      </c>
      <c r="I48" t="s">
        <v>592</v>
      </c>
      <c r="J48" t="s">
        <v>574</v>
      </c>
      <c r="K48" t="s">
        <v>15</v>
      </c>
      <c r="L48" t="s">
        <v>506</v>
      </c>
      <c r="M48" t="e">
        <f>VLOOKUP(A48,[1]MSAKEN!$A$1:$F$562,6,FALSE)</f>
        <v>#N/A</v>
      </c>
    </row>
    <row r="49" spans="1:13" x14ac:dyDescent="0.3">
      <c r="A49">
        <v>81</v>
      </c>
      <c r="B49" t="s">
        <v>593</v>
      </c>
      <c r="C49" t="s">
        <v>478</v>
      </c>
      <c r="D49" t="s">
        <v>502</v>
      </c>
      <c r="E49" t="s">
        <v>502</v>
      </c>
      <c r="F49" s="4">
        <v>18907</v>
      </c>
      <c r="G49">
        <v>4005977</v>
      </c>
      <c r="H49">
        <v>63182900</v>
      </c>
      <c r="I49" t="s">
        <v>594</v>
      </c>
      <c r="J49" t="s">
        <v>511</v>
      </c>
      <c r="K49" t="s">
        <v>15</v>
      </c>
      <c r="L49" t="s">
        <v>506</v>
      </c>
      <c r="M49" t="e">
        <f>VLOOKUP(A49,[1]MSAKEN!$A$1:$F$562,6,FALSE)</f>
        <v>#N/A</v>
      </c>
    </row>
    <row r="50" spans="1:13" x14ac:dyDescent="0.3">
      <c r="A50">
        <v>83</v>
      </c>
      <c r="B50" t="s">
        <v>595</v>
      </c>
      <c r="C50" t="s">
        <v>596</v>
      </c>
      <c r="D50" t="s">
        <v>502</v>
      </c>
      <c r="E50" t="s">
        <v>502</v>
      </c>
      <c r="F50" s="4">
        <v>23578</v>
      </c>
      <c r="G50">
        <v>2967516</v>
      </c>
      <c r="H50">
        <v>1111436505</v>
      </c>
      <c r="I50" t="s">
        <v>597</v>
      </c>
      <c r="J50" t="s">
        <v>568</v>
      </c>
      <c r="K50" t="s">
        <v>15</v>
      </c>
      <c r="L50" t="s">
        <v>17</v>
      </c>
      <c r="M50" t="e">
        <f>VLOOKUP(A50,[1]MSAKEN!$A$1:$F$562,6,FALSE)</f>
        <v>#N/A</v>
      </c>
    </row>
    <row r="51" spans="1:13" x14ac:dyDescent="0.3">
      <c r="A51">
        <v>84</v>
      </c>
      <c r="B51" t="s">
        <v>46</v>
      </c>
      <c r="C51" t="s">
        <v>26</v>
      </c>
      <c r="D51" t="s">
        <v>502</v>
      </c>
      <c r="E51" t="s">
        <v>502</v>
      </c>
      <c r="F51" t="s">
        <v>502</v>
      </c>
      <c r="G51">
        <v>0</v>
      </c>
      <c r="H51">
        <v>0</v>
      </c>
      <c r="I51" t="s">
        <v>502</v>
      </c>
      <c r="J51" t="s">
        <v>502</v>
      </c>
      <c r="K51" t="s">
        <v>15</v>
      </c>
      <c r="L51" t="s">
        <v>506</v>
      </c>
      <c r="M51" t="e">
        <f>VLOOKUP(A51,[1]MSAKEN!$A$1:$F$562,6,FALSE)</f>
        <v>#N/A</v>
      </c>
    </row>
    <row r="52" spans="1:13" x14ac:dyDescent="0.3">
      <c r="A52">
        <v>85</v>
      </c>
      <c r="B52" t="s">
        <v>121</v>
      </c>
      <c r="C52" t="s">
        <v>294</v>
      </c>
      <c r="D52" t="s">
        <v>598</v>
      </c>
      <c r="E52" t="s">
        <v>502</v>
      </c>
      <c r="F52" s="4">
        <v>21253</v>
      </c>
      <c r="G52">
        <v>2838050</v>
      </c>
      <c r="H52">
        <v>1113081804</v>
      </c>
      <c r="I52" t="s">
        <v>502</v>
      </c>
      <c r="J52" t="s">
        <v>513</v>
      </c>
      <c r="K52" t="s">
        <v>15</v>
      </c>
      <c r="L52" t="s">
        <v>506</v>
      </c>
      <c r="M52" t="e">
        <f>VLOOKUP(A52,[1]MSAKEN!$A$1:$F$562,6,FALSE)</f>
        <v>#N/A</v>
      </c>
    </row>
    <row r="53" spans="1:13" x14ac:dyDescent="0.3">
      <c r="A53">
        <v>86</v>
      </c>
      <c r="B53" t="s">
        <v>599</v>
      </c>
      <c r="C53" t="s">
        <v>600</v>
      </c>
      <c r="D53" t="s">
        <v>601</v>
      </c>
      <c r="E53" t="s">
        <v>602</v>
      </c>
      <c r="F53" s="4">
        <v>22902</v>
      </c>
      <c r="G53">
        <v>2973273</v>
      </c>
      <c r="H53">
        <v>1112957301</v>
      </c>
      <c r="I53" t="s">
        <v>603</v>
      </c>
      <c r="J53" t="s">
        <v>513</v>
      </c>
      <c r="K53" t="s">
        <v>15</v>
      </c>
      <c r="L53" t="s">
        <v>17</v>
      </c>
      <c r="M53" t="e">
        <f>VLOOKUP(A53,[1]MSAKEN!$A$1:$F$562,6,FALSE)</f>
        <v>#N/A</v>
      </c>
    </row>
    <row r="54" spans="1:13" x14ac:dyDescent="0.3">
      <c r="A54">
        <v>90</v>
      </c>
      <c r="B54" t="s">
        <v>533</v>
      </c>
      <c r="C54" t="s">
        <v>137</v>
      </c>
      <c r="D54" t="s">
        <v>502</v>
      </c>
      <c r="E54" t="s">
        <v>502</v>
      </c>
      <c r="F54" s="4">
        <v>17216</v>
      </c>
      <c r="G54">
        <v>2820438</v>
      </c>
      <c r="H54">
        <v>1113528507</v>
      </c>
      <c r="I54" t="s">
        <v>604</v>
      </c>
      <c r="J54" t="s">
        <v>513</v>
      </c>
      <c r="K54" t="s">
        <v>15</v>
      </c>
      <c r="L54" t="s">
        <v>506</v>
      </c>
      <c r="M54" t="e">
        <f>VLOOKUP(A54,[1]MSAKEN!$A$1:$F$562,6,FALSE)</f>
        <v>#N/A</v>
      </c>
    </row>
    <row r="55" spans="1:13" x14ac:dyDescent="0.3">
      <c r="A55">
        <v>91</v>
      </c>
      <c r="B55" t="s">
        <v>605</v>
      </c>
      <c r="C55" t="s">
        <v>606</v>
      </c>
      <c r="D55" t="s">
        <v>607</v>
      </c>
      <c r="E55" t="s">
        <v>608</v>
      </c>
      <c r="F55" s="4">
        <v>22772</v>
      </c>
      <c r="G55">
        <v>2944406</v>
      </c>
      <c r="H55">
        <v>1113530008</v>
      </c>
      <c r="I55" t="s">
        <v>609</v>
      </c>
      <c r="J55" t="s">
        <v>513</v>
      </c>
      <c r="K55" t="s">
        <v>15</v>
      </c>
      <c r="L55" t="s">
        <v>17</v>
      </c>
      <c r="M55" t="e">
        <f>VLOOKUP(A55,[1]MSAKEN!$A$1:$F$562,6,FALSE)</f>
        <v>#N/A</v>
      </c>
    </row>
    <row r="56" spans="1:13" x14ac:dyDescent="0.3">
      <c r="A56">
        <v>92</v>
      </c>
      <c r="B56" t="s">
        <v>61</v>
      </c>
      <c r="C56" t="s">
        <v>181</v>
      </c>
      <c r="D56" t="s">
        <v>502</v>
      </c>
      <c r="E56" t="s">
        <v>502</v>
      </c>
      <c r="F56" s="4">
        <v>19833</v>
      </c>
      <c r="G56">
        <v>2837424</v>
      </c>
      <c r="H56">
        <v>1113535007</v>
      </c>
      <c r="I56" t="s">
        <v>502</v>
      </c>
      <c r="J56" t="s">
        <v>513</v>
      </c>
      <c r="K56" t="s">
        <v>15</v>
      </c>
      <c r="L56" t="s">
        <v>506</v>
      </c>
      <c r="M56" t="e">
        <f>VLOOKUP(A56,[1]MSAKEN!$A$1:$F$562,6,FALSE)</f>
        <v>#N/A</v>
      </c>
    </row>
    <row r="57" spans="1:13" x14ac:dyDescent="0.3">
      <c r="A57">
        <v>95</v>
      </c>
      <c r="B57" t="s">
        <v>264</v>
      </c>
      <c r="C57" t="s">
        <v>118</v>
      </c>
      <c r="D57" t="s">
        <v>502</v>
      </c>
      <c r="E57" t="s">
        <v>502</v>
      </c>
      <c r="F57" s="4">
        <v>20140</v>
      </c>
      <c r="G57">
        <v>2815718</v>
      </c>
      <c r="H57">
        <v>1100064508</v>
      </c>
      <c r="I57" t="s">
        <v>610</v>
      </c>
      <c r="J57" t="s">
        <v>513</v>
      </c>
      <c r="K57" t="s">
        <v>15</v>
      </c>
      <c r="L57" t="s">
        <v>506</v>
      </c>
      <c r="M57" t="e">
        <f>VLOOKUP(A57,[1]MSAKEN!$A$1:$F$562,6,FALSE)</f>
        <v>#N/A</v>
      </c>
    </row>
    <row r="58" spans="1:13" x14ac:dyDescent="0.3">
      <c r="A58">
        <v>98</v>
      </c>
      <c r="B58" t="s">
        <v>168</v>
      </c>
      <c r="C58" t="s">
        <v>143</v>
      </c>
      <c r="D58" t="s">
        <v>502</v>
      </c>
      <c r="E58" t="s">
        <v>502</v>
      </c>
      <c r="F58" t="s">
        <v>502</v>
      </c>
      <c r="G58" t="s">
        <v>502</v>
      </c>
      <c r="H58" t="s">
        <v>502</v>
      </c>
      <c r="I58" t="s">
        <v>502</v>
      </c>
      <c r="J58" t="s">
        <v>502</v>
      </c>
      <c r="K58" t="s">
        <v>15</v>
      </c>
      <c r="L58" t="s">
        <v>506</v>
      </c>
      <c r="M58" t="e">
        <f>VLOOKUP(A58,[1]MSAKEN!$A$1:$F$562,6,FALSE)</f>
        <v>#N/A</v>
      </c>
    </row>
    <row r="59" spans="1:13" x14ac:dyDescent="0.3">
      <c r="A59">
        <v>99</v>
      </c>
      <c r="B59" t="s">
        <v>611</v>
      </c>
      <c r="C59" t="s">
        <v>102</v>
      </c>
      <c r="D59" t="s">
        <v>502</v>
      </c>
      <c r="E59" t="s">
        <v>502</v>
      </c>
      <c r="F59" t="s">
        <v>502</v>
      </c>
      <c r="G59">
        <v>2881549</v>
      </c>
      <c r="H59">
        <v>1108636000</v>
      </c>
      <c r="I59" t="s">
        <v>612</v>
      </c>
      <c r="J59" t="s">
        <v>502</v>
      </c>
      <c r="K59" t="s">
        <v>15</v>
      </c>
      <c r="L59" t="s">
        <v>506</v>
      </c>
      <c r="M59" t="e">
        <f>VLOOKUP(A59,[1]MSAKEN!$A$1:$F$562,6,FALSE)</f>
        <v>#N/A</v>
      </c>
    </row>
    <row r="60" spans="1:13" x14ac:dyDescent="0.3">
      <c r="A60">
        <v>100</v>
      </c>
      <c r="B60" t="s">
        <v>33</v>
      </c>
      <c r="C60" t="s">
        <v>59</v>
      </c>
      <c r="D60" t="s">
        <v>564</v>
      </c>
      <c r="E60" t="s">
        <v>569</v>
      </c>
      <c r="F60" s="4">
        <v>23125</v>
      </c>
      <c r="G60">
        <v>2961061</v>
      </c>
      <c r="H60">
        <v>1108625904</v>
      </c>
      <c r="I60" t="s">
        <v>613</v>
      </c>
      <c r="J60" t="s">
        <v>513</v>
      </c>
      <c r="K60" t="s">
        <v>15</v>
      </c>
      <c r="L60" t="s">
        <v>506</v>
      </c>
      <c r="M60" t="str">
        <f>VLOOKUP(A60,[1]MSAKEN!$A$1:$F$562,6,FALSE)</f>
        <v>11020002050700878842</v>
      </c>
    </row>
    <row r="61" spans="1:13" x14ac:dyDescent="0.3">
      <c r="A61">
        <v>103</v>
      </c>
      <c r="B61" t="s">
        <v>614</v>
      </c>
      <c r="C61" t="s">
        <v>136</v>
      </c>
      <c r="D61" t="s">
        <v>615</v>
      </c>
      <c r="E61" t="s">
        <v>616</v>
      </c>
      <c r="F61" s="4">
        <v>21354</v>
      </c>
      <c r="G61">
        <v>2809107</v>
      </c>
      <c r="H61">
        <v>1103481402</v>
      </c>
      <c r="I61" t="s">
        <v>617</v>
      </c>
      <c r="J61" t="s">
        <v>513</v>
      </c>
      <c r="K61" t="s">
        <v>15</v>
      </c>
      <c r="L61" t="s">
        <v>506</v>
      </c>
      <c r="M61" t="e">
        <f>VLOOKUP(A61,[1]MSAKEN!$A$1:$F$562,6,FALSE)</f>
        <v>#N/A</v>
      </c>
    </row>
    <row r="62" spans="1:13" x14ac:dyDescent="0.3">
      <c r="A62">
        <v>106</v>
      </c>
      <c r="B62" t="s">
        <v>342</v>
      </c>
      <c r="C62" t="s">
        <v>200</v>
      </c>
      <c r="D62" t="s">
        <v>535</v>
      </c>
      <c r="E62" t="s">
        <v>502</v>
      </c>
      <c r="F62" s="4">
        <v>21132</v>
      </c>
      <c r="G62">
        <v>2887247</v>
      </c>
      <c r="H62">
        <v>1114782301</v>
      </c>
      <c r="I62" t="s">
        <v>618</v>
      </c>
      <c r="J62" t="s">
        <v>513</v>
      </c>
      <c r="K62" t="s">
        <v>15</v>
      </c>
      <c r="L62" t="s">
        <v>506</v>
      </c>
      <c r="M62" t="e">
        <f>VLOOKUP(A62,[1]MSAKEN!$A$1:$F$562,6,FALSE)</f>
        <v>#N/A</v>
      </c>
    </row>
    <row r="63" spans="1:13" x14ac:dyDescent="0.3">
      <c r="A63">
        <v>108</v>
      </c>
      <c r="B63" t="s">
        <v>518</v>
      </c>
      <c r="C63" t="s">
        <v>619</v>
      </c>
      <c r="D63" t="s">
        <v>502</v>
      </c>
      <c r="E63" t="s">
        <v>502</v>
      </c>
      <c r="F63" s="4">
        <v>20616</v>
      </c>
      <c r="G63" t="s">
        <v>502</v>
      </c>
      <c r="H63" t="s">
        <v>502</v>
      </c>
      <c r="I63" t="s">
        <v>502</v>
      </c>
      <c r="J63" t="s">
        <v>502</v>
      </c>
      <c r="K63" t="s">
        <v>15</v>
      </c>
      <c r="L63" t="s">
        <v>506</v>
      </c>
      <c r="M63" t="e">
        <f>VLOOKUP(A63,[1]MSAKEN!$A$1:$F$562,6,FALSE)</f>
        <v>#N/A</v>
      </c>
    </row>
    <row r="64" spans="1:13" x14ac:dyDescent="0.3">
      <c r="A64">
        <v>113</v>
      </c>
      <c r="B64" t="s">
        <v>620</v>
      </c>
      <c r="C64" t="s">
        <v>166</v>
      </c>
      <c r="D64" t="s">
        <v>502</v>
      </c>
      <c r="E64" t="s">
        <v>502</v>
      </c>
      <c r="F64" s="4">
        <v>21974</v>
      </c>
      <c r="G64">
        <v>2888041</v>
      </c>
      <c r="H64">
        <v>1116029107</v>
      </c>
      <c r="I64" t="s">
        <v>621</v>
      </c>
      <c r="J64" t="s">
        <v>513</v>
      </c>
      <c r="K64" t="s">
        <v>15</v>
      </c>
      <c r="L64" t="s">
        <v>506</v>
      </c>
      <c r="M64" t="e">
        <f>VLOOKUP(A64,[1]MSAKEN!$A$1:$F$562,6,FALSE)</f>
        <v>#N/A</v>
      </c>
    </row>
    <row r="65" spans="1:13" x14ac:dyDescent="0.3">
      <c r="A65">
        <v>114</v>
      </c>
      <c r="B65" t="s">
        <v>622</v>
      </c>
      <c r="C65" t="s">
        <v>26</v>
      </c>
      <c r="D65" t="s">
        <v>502</v>
      </c>
      <c r="E65" t="s">
        <v>502</v>
      </c>
      <c r="F65" t="s">
        <v>502</v>
      </c>
      <c r="G65">
        <v>265962</v>
      </c>
      <c r="H65">
        <v>0</v>
      </c>
      <c r="I65" t="s">
        <v>623</v>
      </c>
      <c r="J65" t="s">
        <v>513</v>
      </c>
      <c r="K65" t="s">
        <v>15</v>
      </c>
      <c r="L65" t="s">
        <v>506</v>
      </c>
      <c r="M65" t="e">
        <f>VLOOKUP(A65,[1]MSAKEN!$A$1:$F$562,6,FALSE)</f>
        <v>#N/A</v>
      </c>
    </row>
    <row r="66" spans="1:13" x14ac:dyDescent="0.3">
      <c r="A66">
        <v>115</v>
      </c>
      <c r="B66" t="s">
        <v>605</v>
      </c>
      <c r="C66" t="s">
        <v>45</v>
      </c>
      <c r="D66" t="s">
        <v>607</v>
      </c>
      <c r="E66" t="s">
        <v>608</v>
      </c>
      <c r="F66" s="4">
        <v>23879</v>
      </c>
      <c r="G66">
        <v>2966986</v>
      </c>
      <c r="H66">
        <v>1109985000</v>
      </c>
      <c r="I66" t="s">
        <v>624</v>
      </c>
      <c r="J66" t="s">
        <v>513</v>
      </c>
      <c r="K66" t="s">
        <v>15</v>
      </c>
      <c r="L66" t="s">
        <v>506</v>
      </c>
      <c r="M66" t="str">
        <f>VLOOKUP(A66,[1]MSAKEN!$A$1:$F$562,6,FALSE)</f>
        <v>10506040202912978808</v>
      </c>
    </row>
    <row r="67" spans="1:13" x14ac:dyDescent="0.3">
      <c r="A67">
        <v>116</v>
      </c>
      <c r="B67" t="s">
        <v>563</v>
      </c>
      <c r="C67" t="s">
        <v>625</v>
      </c>
      <c r="D67" t="s">
        <v>539</v>
      </c>
      <c r="E67" t="s">
        <v>626</v>
      </c>
      <c r="F67" s="4">
        <v>22813</v>
      </c>
      <c r="G67">
        <v>2975530</v>
      </c>
      <c r="H67">
        <v>1113527400</v>
      </c>
      <c r="I67" t="s">
        <v>627</v>
      </c>
      <c r="J67" t="s">
        <v>511</v>
      </c>
      <c r="K67" t="s">
        <v>15</v>
      </c>
      <c r="L67" t="s">
        <v>17</v>
      </c>
      <c r="M67" t="e">
        <f>VLOOKUP(A67,[1]MSAKEN!$A$1:$F$562,6,FALSE)</f>
        <v>#N/A</v>
      </c>
    </row>
    <row r="68" spans="1:13" x14ac:dyDescent="0.3">
      <c r="A68">
        <v>117</v>
      </c>
      <c r="B68" t="s">
        <v>628</v>
      </c>
      <c r="C68" t="s">
        <v>629</v>
      </c>
      <c r="D68" t="s">
        <v>535</v>
      </c>
      <c r="E68" t="s">
        <v>630</v>
      </c>
      <c r="F68" s="4">
        <v>20705</v>
      </c>
      <c r="G68">
        <v>2801467</v>
      </c>
      <c r="H68">
        <v>1124889005</v>
      </c>
      <c r="I68" t="s">
        <v>502</v>
      </c>
      <c r="J68" t="s">
        <v>502</v>
      </c>
      <c r="K68" t="s">
        <v>15</v>
      </c>
      <c r="L68" t="s">
        <v>17</v>
      </c>
      <c r="M68" t="e">
        <f>VLOOKUP(A68,[1]MSAKEN!$A$1:$F$562,6,FALSE)</f>
        <v>#N/A</v>
      </c>
    </row>
    <row r="69" spans="1:13" x14ac:dyDescent="0.3">
      <c r="A69">
        <v>118</v>
      </c>
      <c r="B69" t="s">
        <v>631</v>
      </c>
      <c r="C69" t="s">
        <v>34</v>
      </c>
      <c r="D69" t="s">
        <v>632</v>
      </c>
      <c r="E69" t="s">
        <v>569</v>
      </c>
      <c r="F69" s="4">
        <v>23159</v>
      </c>
      <c r="G69">
        <v>2947439</v>
      </c>
      <c r="H69">
        <v>1116028208</v>
      </c>
      <c r="I69" t="s">
        <v>633</v>
      </c>
      <c r="J69" t="s">
        <v>513</v>
      </c>
      <c r="K69" t="s">
        <v>15</v>
      </c>
      <c r="L69" t="s">
        <v>506</v>
      </c>
      <c r="M69" t="e">
        <f>VLOOKUP(A69,[1]MSAKEN!$A$1:$F$562,6,FALSE)</f>
        <v>#N/A</v>
      </c>
    </row>
    <row r="70" spans="1:13" x14ac:dyDescent="0.3">
      <c r="A70">
        <v>120</v>
      </c>
      <c r="B70" t="s">
        <v>456</v>
      </c>
      <c r="C70" t="s">
        <v>634</v>
      </c>
      <c r="D70" t="s">
        <v>502</v>
      </c>
      <c r="E70" t="s">
        <v>502</v>
      </c>
      <c r="F70" t="s">
        <v>502</v>
      </c>
      <c r="G70">
        <v>253571</v>
      </c>
      <c r="H70">
        <v>0</v>
      </c>
      <c r="I70" t="s">
        <v>635</v>
      </c>
      <c r="J70" t="s">
        <v>513</v>
      </c>
      <c r="K70" t="s">
        <v>15</v>
      </c>
      <c r="L70" t="s">
        <v>506</v>
      </c>
      <c r="M70" t="e">
        <f>VLOOKUP(A70,[1]MSAKEN!$A$1:$F$562,6,FALSE)</f>
        <v>#N/A</v>
      </c>
    </row>
    <row r="71" spans="1:13" x14ac:dyDescent="0.3">
      <c r="A71">
        <v>123</v>
      </c>
      <c r="B71" t="s">
        <v>636</v>
      </c>
      <c r="C71" t="s">
        <v>34</v>
      </c>
      <c r="D71" t="s">
        <v>502</v>
      </c>
      <c r="E71" t="s">
        <v>502</v>
      </c>
      <c r="F71" s="4">
        <v>21227</v>
      </c>
      <c r="G71" t="s">
        <v>502</v>
      </c>
      <c r="H71" t="s">
        <v>502</v>
      </c>
      <c r="I71" t="s">
        <v>502</v>
      </c>
      <c r="J71" t="s">
        <v>502</v>
      </c>
      <c r="K71" t="s">
        <v>15</v>
      </c>
      <c r="L71" t="s">
        <v>506</v>
      </c>
      <c r="M71" t="e">
        <f>VLOOKUP(A71,[1]MSAKEN!$A$1:$F$562,6,FALSE)</f>
        <v>#N/A</v>
      </c>
    </row>
    <row r="72" spans="1:13" x14ac:dyDescent="0.3">
      <c r="A72">
        <v>124</v>
      </c>
      <c r="B72" t="s">
        <v>637</v>
      </c>
      <c r="C72" t="s">
        <v>56</v>
      </c>
      <c r="D72" t="s">
        <v>502</v>
      </c>
      <c r="E72" t="s">
        <v>502</v>
      </c>
      <c r="F72" t="s">
        <v>502</v>
      </c>
      <c r="G72">
        <v>2958545</v>
      </c>
      <c r="H72">
        <v>0</v>
      </c>
      <c r="I72" t="s">
        <v>638</v>
      </c>
      <c r="J72" t="s">
        <v>511</v>
      </c>
      <c r="K72" t="s">
        <v>639</v>
      </c>
      <c r="L72" t="s">
        <v>506</v>
      </c>
      <c r="M72" t="e">
        <f>VLOOKUP(A72,[1]MSAKEN!$A$1:$F$562,6,FALSE)</f>
        <v>#N/A</v>
      </c>
    </row>
    <row r="73" spans="1:13" x14ac:dyDescent="0.3">
      <c r="A73">
        <v>128</v>
      </c>
      <c r="B73" t="s">
        <v>161</v>
      </c>
      <c r="C73" t="s">
        <v>519</v>
      </c>
      <c r="D73" t="s">
        <v>502</v>
      </c>
      <c r="E73" t="s">
        <v>502</v>
      </c>
      <c r="F73" t="s">
        <v>502</v>
      </c>
      <c r="G73">
        <v>2978076</v>
      </c>
      <c r="H73">
        <v>1118936309</v>
      </c>
      <c r="I73" t="s">
        <v>640</v>
      </c>
      <c r="J73" t="s">
        <v>513</v>
      </c>
      <c r="K73" t="s">
        <v>15</v>
      </c>
      <c r="L73" t="s">
        <v>506</v>
      </c>
      <c r="M73" t="e">
        <f>VLOOKUP(A73,[1]MSAKEN!$A$1:$F$562,6,FALSE)</f>
        <v>#N/A</v>
      </c>
    </row>
    <row r="74" spans="1:13" x14ac:dyDescent="0.3">
      <c r="A74">
        <v>130</v>
      </c>
      <c r="B74" t="s">
        <v>176</v>
      </c>
      <c r="C74" t="s">
        <v>63</v>
      </c>
      <c r="D74" t="s">
        <v>502</v>
      </c>
      <c r="E74" t="s">
        <v>502</v>
      </c>
      <c r="F74" t="s">
        <v>502</v>
      </c>
      <c r="G74">
        <v>2861079</v>
      </c>
      <c r="H74">
        <v>0</v>
      </c>
      <c r="I74" t="s">
        <v>641</v>
      </c>
      <c r="J74" t="s">
        <v>513</v>
      </c>
      <c r="K74" t="s">
        <v>15</v>
      </c>
      <c r="L74" t="s">
        <v>506</v>
      </c>
      <c r="M74" t="e">
        <f>VLOOKUP(A74,[1]MSAKEN!$A$1:$F$562,6,FALSE)</f>
        <v>#N/A</v>
      </c>
    </row>
    <row r="75" spans="1:13" x14ac:dyDescent="0.3">
      <c r="A75">
        <v>133</v>
      </c>
      <c r="B75" t="s">
        <v>199</v>
      </c>
      <c r="C75" t="s">
        <v>156</v>
      </c>
      <c r="D75" t="s">
        <v>502</v>
      </c>
      <c r="E75" t="s">
        <v>502</v>
      </c>
      <c r="F75" s="4">
        <v>23436</v>
      </c>
      <c r="G75">
        <v>2948597</v>
      </c>
      <c r="H75">
        <v>1118210101</v>
      </c>
      <c r="I75" t="s">
        <v>642</v>
      </c>
      <c r="J75" t="s">
        <v>513</v>
      </c>
      <c r="K75" t="s">
        <v>15</v>
      </c>
      <c r="L75" t="s">
        <v>506</v>
      </c>
      <c r="M75" t="e">
        <f>VLOOKUP(A75,[1]MSAKEN!$A$1:$F$562,6,FALSE)</f>
        <v>#N/A</v>
      </c>
    </row>
    <row r="76" spans="1:13" x14ac:dyDescent="0.3">
      <c r="A76">
        <v>134</v>
      </c>
      <c r="B76" t="s">
        <v>33</v>
      </c>
      <c r="C76" t="s">
        <v>32</v>
      </c>
      <c r="D76" t="s">
        <v>502</v>
      </c>
      <c r="E76" t="s">
        <v>502</v>
      </c>
      <c r="F76" s="4">
        <v>22389</v>
      </c>
      <c r="G76">
        <v>2844703</v>
      </c>
      <c r="H76">
        <v>1118117108</v>
      </c>
      <c r="I76" t="s">
        <v>643</v>
      </c>
      <c r="J76" t="s">
        <v>511</v>
      </c>
      <c r="K76" t="s">
        <v>15</v>
      </c>
      <c r="L76" t="s">
        <v>506</v>
      </c>
      <c r="M76" t="str">
        <f>VLOOKUP(A76,[1]MSAKEN!$A$1:$F$562,6,FALSE)</f>
        <v>08507000262000577307</v>
      </c>
    </row>
    <row r="77" spans="1:13" x14ac:dyDescent="0.3">
      <c r="A77">
        <v>141</v>
      </c>
      <c r="B77" t="s">
        <v>644</v>
      </c>
      <c r="C77" t="s">
        <v>132</v>
      </c>
      <c r="D77" t="s">
        <v>535</v>
      </c>
      <c r="E77" t="s">
        <v>645</v>
      </c>
      <c r="F77" s="4">
        <v>23769</v>
      </c>
      <c r="G77">
        <v>2952132</v>
      </c>
      <c r="H77">
        <v>1119537700</v>
      </c>
      <c r="I77" t="s">
        <v>646</v>
      </c>
      <c r="J77" t="s">
        <v>513</v>
      </c>
      <c r="K77" t="s">
        <v>15</v>
      </c>
      <c r="L77" t="s">
        <v>506</v>
      </c>
      <c r="M77" t="e">
        <f>VLOOKUP(A77,[1]MSAKEN!$A$1:$F$562,6,FALSE)</f>
        <v>#N/A</v>
      </c>
    </row>
    <row r="78" spans="1:13" x14ac:dyDescent="0.3">
      <c r="A78">
        <v>143</v>
      </c>
      <c r="B78" t="s">
        <v>283</v>
      </c>
      <c r="C78" t="s">
        <v>647</v>
      </c>
      <c r="D78" t="s">
        <v>648</v>
      </c>
      <c r="E78" t="s">
        <v>649</v>
      </c>
      <c r="F78" s="4">
        <v>22864</v>
      </c>
      <c r="G78">
        <v>2944723</v>
      </c>
      <c r="H78">
        <v>1129218002</v>
      </c>
      <c r="I78" t="s">
        <v>650</v>
      </c>
      <c r="J78" t="s">
        <v>513</v>
      </c>
      <c r="K78" t="s">
        <v>15</v>
      </c>
      <c r="L78" t="s">
        <v>506</v>
      </c>
      <c r="M78" t="e">
        <f>VLOOKUP(A78,[1]MSAKEN!$A$1:$F$562,6,FALSE)</f>
        <v>#N/A</v>
      </c>
    </row>
    <row r="79" spans="1:13" x14ac:dyDescent="0.3">
      <c r="A79">
        <v>144</v>
      </c>
      <c r="B79" t="s">
        <v>345</v>
      </c>
      <c r="C79" t="s">
        <v>34</v>
      </c>
      <c r="D79" t="s">
        <v>651</v>
      </c>
      <c r="E79" t="s">
        <v>652</v>
      </c>
      <c r="F79" s="4">
        <v>23201</v>
      </c>
      <c r="G79">
        <v>2950029</v>
      </c>
      <c r="H79">
        <v>1119215604</v>
      </c>
      <c r="I79" t="s">
        <v>653</v>
      </c>
      <c r="J79" t="s">
        <v>511</v>
      </c>
      <c r="K79" t="s">
        <v>15</v>
      </c>
      <c r="L79" t="s">
        <v>506</v>
      </c>
      <c r="M79" t="str">
        <f>VLOOKUP(A79,[1]MSAKEN!$A$1:$F$562,6,FALSE)</f>
        <v>14500500100702065864</v>
      </c>
    </row>
    <row r="80" spans="1:13" x14ac:dyDescent="0.3">
      <c r="A80">
        <v>145</v>
      </c>
      <c r="B80" t="s">
        <v>121</v>
      </c>
      <c r="C80" t="s">
        <v>105</v>
      </c>
      <c r="D80" t="s">
        <v>654</v>
      </c>
      <c r="E80" t="s">
        <v>616</v>
      </c>
      <c r="F80" s="4">
        <v>23476</v>
      </c>
      <c r="G80">
        <v>2951833</v>
      </c>
      <c r="H80">
        <v>1119209706</v>
      </c>
      <c r="I80" t="s">
        <v>655</v>
      </c>
      <c r="J80" t="s">
        <v>513</v>
      </c>
      <c r="K80" t="s">
        <v>15</v>
      </c>
      <c r="L80" t="s">
        <v>506</v>
      </c>
      <c r="M80" t="str">
        <f>VLOOKUP(A80,[1]MSAKEN!$A$1:$F$562,6,FALSE)</f>
        <v>10506040202801378853</v>
      </c>
    </row>
    <row r="81" spans="1:13" x14ac:dyDescent="0.3">
      <c r="A81">
        <v>148</v>
      </c>
      <c r="B81" t="s">
        <v>111</v>
      </c>
      <c r="C81" t="s">
        <v>90</v>
      </c>
      <c r="D81" t="s">
        <v>502</v>
      </c>
      <c r="E81" t="s">
        <v>502</v>
      </c>
      <c r="F81" s="4">
        <v>22322</v>
      </c>
      <c r="G81">
        <v>2940769</v>
      </c>
      <c r="H81">
        <v>1119616405</v>
      </c>
      <c r="I81" t="s">
        <v>656</v>
      </c>
      <c r="J81" t="s">
        <v>657</v>
      </c>
      <c r="K81" t="s">
        <v>15</v>
      </c>
      <c r="L81" t="s">
        <v>506</v>
      </c>
      <c r="M81" t="e">
        <f>VLOOKUP(A81,[1]MSAKEN!$A$1:$F$562,6,FALSE)</f>
        <v>#N/A</v>
      </c>
    </row>
    <row r="82" spans="1:13" x14ac:dyDescent="0.3">
      <c r="A82">
        <v>149</v>
      </c>
      <c r="B82" t="s">
        <v>29</v>
      </c>
      <c r="C82" t="s">
        <v>181</v>
      </c>
      <c r="D82" t="s">
        <v>658</v>
      </c>
      <c r="E82" t="s">
        <v>630</v>
      </c>
      <c r="F82" s="4">
        <v>21839</v>
      </c>
      <c r="G82">
        <v>2870136</v>
      </c>
      <c r="H82">
        <v>1119217303</v>
      </c>
      <c r="I82" t="s">
        <v>659</v>
      </c>
      <c r="J82" t="s">
        <v>513</v>
      </c>
      <c r="K82" t="s">
        <v>15</v>
      </c>
      <c r="L82" t="s">
        <v>506</v>
      </c>
      <c r="M82" t="e">
        <f>VLOOKUP(A82,[1]MSAKEN!$A$1:$F$562,6,FALSE)</f>
        <v>#N/A</v>
      </c>
    </row>
    <row r="83" spans="1:13" x14ac:dyDescent="0.3">
      <c r="A83">
        <v>150</v>
      </c>
      <c r="B83" t="s">
        <v>660</v>
      </c>
      <c r="C83" t="s">
        <v>45</v>
      </c>
      <c r="D83" t="s">
        <v>502</v>
      </c>
      <c r="E83" t="s">
        <v>502</v>
      </c>
      <c r="F83" s="4">
        <v>20874</v>
      </c>
      <c r="G83">
        <v>2816832</v>
      </c>
      <c r="H83">
        <v>1104968407</v>
      </c>
      <c r="I83" t="s">
        <v>661</v>
      </c>
      <c r="J83" t="s">
        <v>513</v>
      </c>
      <c r="K83" t="s">
        <v>15</v>
      </c>
      <c r="L83" t="s">
        <v>506</v>
      </c>
      <c r="M83" t="e">
        <f>VLOOKUP(A83,[1]MSAKEN!$A$1:$F$562,6,FALSE)</f>
        <v>#N/A</v>
      </c>
    </row>
    <row r="84" spans="1:13" x14ac:dyDescent="0.3">
      <c r="A84">
        <v>151</v>
      </c>
      <c r="B84" t="s">
        <v>243</v>
      </c>
      <c r="C84" t="s">
        <v>31</v>
      </c>
      <c r="D84" t="s">
        <v>502</v>
      </c>
      <c r="E84" t="s">
        <v>502</v>
      </c>
      <c r="F84" s="4">
        <v>21227</v>
      </c>
      <c r="G84">
        <v>100708</v>
      </c>
      <c r="H84">
        <v>95411100</v>
      </c>
      <c r="I84" t="s">
        <v>662</v>
      </c>
      <c r="J84" t="s">
        <v>513</v>
      </c>
      <c r="K84" t="s">
        <v>15</v>
      </c>
      <c r="L84" t="s">
        <v>506</v>
      </c>
      <c r="M84" t="e">
        <f>VLOOKUP(A84,[1]MSAKEN!$A$1:$F$562,6,FALSE)</f>
        <v>#N/A</v>
      </c>
    </row>
    <row r="85" spans="1:13" x14ac:dyDescent="0.3">
      <c r="A85">
        <v>152</v>
      </c>
      <c r="B85" t="s">
        <v>153</v>
      </c>
      <c r="C85" t="s">
        <v>99</v>
      </c>
      <c r="D85" t="s">
        <v>502</v>
      </c>
      <c r="E85" t="s">
        <v>502</v>
      </c>
      <c r="F85" s="4">
        <v>18907</v>
      </c>
      <c r="G85">
        <v>4122952</v>
      </c>
      <c r="H85">
        <v>87725100</v>
      </c>
      <c r="I85" t="s">
        <v>663</v>
      </c>
      <c r="J85" t="s">
        <v>526</v>
      </c>
      <c r="K85" t="s">
        <v>15</v>
      </c>
      <c r="L85" t="s">
        <v>506</v>
      </c>
      <c r="M85" t="e">
        <f>VLOOKUP(A85,[1]MSAKEN!$A$1:$F$562,6,FALSE)</f>
        <v>#N/A</v>
      </c>
    </row>
    <row r="86" spans="1:13" x14ac:dyDescent="0.3">
      <c r="A86">
        <v>154</v>
      </c>
      <c r="B86" t="s">
        <v>417</v>
      </c>
      <c r="C86" t="s">
        <v>434</v>
      </c>
      <c r="D86" t="s">
        <v>502</v>
      </c>
      <c r="E86" t="s">
        <v>502</v>
      </c>
      <c r="F86" s="4">
        <v>17938</v>
      </c>
      <c r="G86">
        <v>1519910</v>
      </c>
      <c r="H86">
        <v>54836400</v>
      </c>
      <c r="I86" t="s">
        <v>664</v>
      </c>
      <c r="J86" t="s">
        <v>513</v>
      </c>
      <c r="K86" t="s">
        <v>15</v>
      </c>
      <c r="L86" t="s">
        <v>506</v>
      </c>
      <c r="M86" t="e">
        <f>VLOOKUP(A86,[1]MSAKEN!$A$1:$F$562,6,FALSE)</f>
        <v>#N/A</v>
      </c>
    </row>
    <row r="87" spans="1:13" x14ac:dyDescent="0.3">
      <c r="A87">
        <v>155</v>
      </c>
      <c r="B87" t="s">
        <v>190</v>
      </c>
      <c r="C87" t="s">
        <v>76</v>
      </c>
      <c r="D87" t="s">
        <v>654</v>
      </c>
      <c r="E87" t="s">
        <v>652</v>
      </c>
      <c r="F87" s="4">
        <v>22706</v>
      </c>
      <c r="G87">
        <v>2906231</v>
      </c>
      <c r="H87">
        <v>1116862101</v>
      </c>
      <c r="I87" t="s">
        <v>665</v>
      </c>
      <c r="J87" t="s">
        <v>513</v>
      </c>
      <c r="K87" t="s">
        <v>15</v>
      </c>
      <c r="L87" t="s">
        <v>506</v>
      </c>
      <c r="M87" t="e">
        <f>VLOOKUP(A87,[1]MSAKEN!$A$1:$F$562,6,FALSE)</f>
        <v>#N/A</v>
      </c>
    </row>
    <row r="88" spans="1:13" x14ac:dyDescent="0.3">
      <c r="A88">
        <v>156</v>
      </c>
      <c r="B88" t="s">
        <v>666</v>
      </c>
      <c r="C88" t="s">
        <v>667</v>
      </c>
      <c r="D88" t="s">
        <v>564</v>
      </c>
      <c r="E88" t="s">
        <v>645</v>
      </c>
      <c r="F88" s="4">
        <v>21912</v>
      </c>
      <c r="G88">
        <v>2861628</v>
      </c>
      <c r="H88">
        <v>1110104203</v>
      </c>
      <c r="I88" t="s">
        <v>668</v>
      </c>
      <c r="J88" t="s">
        <v>513</v>
      </c>
      <c r="K88" t="s">
        <v>15</v>
      </c>
      <c r="L88" t="s">
        <v>506</v>
      </c>
      <c r="M88" t="e">
        <f>VLOOKUP(A88,[1]MSAKEN!$A$1:$F$562,6,FALSE)</f>
        <v>#N/A</v>
      </c>
    </row>
    <row r="89" spans="1:13" x14ac:dyDescent="0.3">
      <c r="A89">
        <v>160</v>
      </c>
      <c r="B89" t="s">
        <v>161</v>
      </c>
      <c r="C89" t="s">
        <v>181</v>
      </c>
      <c r="D89" t="s">
        <v>502</v>
      </c>
      <c r="E89" t="s">
        <v>502</v>
      </c>
      <c r="F89" t="s">
        <v>502</v>
      </c>
      <c r="G89">
        <v>2848438</v>
      </c>
      <c r="H89">
        <v>1119858601</v>
      </c>
      <c r="I89" t="s">
        <v>669</v>
      </c>
      <c r="J89" t="s">
        <v>513</v>
      </c>
      <c r="K89" t="s">
        <v>15</v>
      </c>
      <c r="L89" t="s">
        <v>506</v>
      </c>
      <c r="M89" t="e">
        <f>VLOOKUP(A89,[1]MSAKEN!$A$1:$F$562,6,FALSE)</f>
        <v>#N/A</v>
      </c>
    </row>
    <row r="90" spans="1:13" x14ac:dyDescent="0.3">
      <c r="A90">
        <v>161</v>
      </c>
      <c r="B90" t="s">
        <v>381</v>
      </c>
      <c r="C90" t="s">
        <v>56</v>
      </c>
      <c r="D90" t="s">
        <v>670</v>
      </c>
      <c r="E90" t="s">
        <v>546</v>
      </c>
      <c r="F90" s="4">
        <v>22616</v>
      </c>
      <c r="G90">
        <v>2885675</v>
      </c>
      <c r="H90">
        <v>1119652905</v>
      </c>
      <c r="I90" t="s">
        <v>671</v>
      </c>
      <c r="J90" t="s">
        <v>511</v>
      </c>
      <c r="K90" t="s">
        <v>15</v>
      </c>
      <c r="L90" t="s">
        <v>506</v>
      </c>
      <c r="M90" t="e">
        <f>VLOOKUP(A90,[1]MSAKEN!$A$1:$F$562,6,FALSE)</f>
        <v>#N/A</v>
      </c>
    </row>
    <row r="91" spans="1:13" x14ac:dyDescent="0.3">
      <c r="A91">
        <v>163</v>
      </c>
      <c r="B91" t="s">
        <v>672</v>
      </c>
      <c r="C91" t="s">
        <v>181</v>
      </c>
      <c r="D91" t="s">
        <v>502</v>
      </c>
      <c r="E91" t="s">
        <v>502</v>
      </c>
      <c r="F91" s="4">
        <v>21609</v>
      </c>
      <c r="G91">
        <v>357049</v>
      </c>
      <c r="H91">
        <v>1119217501</v>
      </c>
      <c r="I91" t="s">
        <v>568</v>
      </c>
      <c r="J91" t="s">
        <v>568</v>
      </c>
      <c r="K91" t="s">
        <v>15</v>
      </c>
      <c r="L91" t="s">
        <v>506</v>
      </c>
      <c r="M91" t="e">
        <f>VLOOKUP(A91,[1]MSAKEN!$A$1:$F$562,6,FALSE)</f>
        <v>#N/A</v>
      </c>
    </row>
    <row r="92" spans="1:13" x14ac:dyDescent="0.3">
      <c r="A92">
        <v>164</v>
      </c>
      <c r="B92" t="s">
        <v>673</v>
      </c>
      <c r="C92" t="s">
        <v>249</v>
      </c>
      <c r="D92" t="s">
        <v>502</v>
      </c>
      <c r="E92" t="s">
        <v>502</v>
      </c>
      <c r="F92" t="s">
        <v>502</v>
      </c>
      <c r="G92">
        <v>2027827</v>
      </c>
      <c r="H92">
        <v>0</v>
      </c>
      <c r="I92" t="s">
        <v>502</v>
      </c>
      <c r="J92" t="s">
        <v>502</v>
      </c>
      <c r="K92" t="s">
        <v>15</v>
      </c>
      <c r="L92" t="s">
        <v>506</v>
      </c>
      <c r="M92" t="e">
        <f>VLOOKUP(A92,[1]MSAKEN!$A$1:$F$562,6,FALSE)</f>
        <v>#N/A</v>
      </c>
    </row>
    <row r="93" spans="1:13" x14ac:dyDescent="0.3">
      <c r="A93">
        <v>166</v>
      </c>
      <c r="B93" t="s">
        <v>386</v>
      </c>
      <c r="C93" t="s">
        <v>272</v>
      </c>
      <c r="D93" t="s">
        <v>674</v>
      </c>
      <c r="E93" t="s">
        <v>584</v>
      </c>
      <c r="F93" s="4">
        <v>23076</v>
      </c>
      <c r="G93">
        <v>2949536</v>
      </c>
      <c r="H93">
        <v>1115292201</v>
      </c>
      <c r="I93" t="s">
        <v>675</v>
      </c>
      <c r="J93" t="s">
        <v>513</v>
      </c>
      <c r="K93" t="s">
        <v>15</v>
      </c>
      <c r="L93" t="s">
        <v>506</v>
      </c>
      <c r="M93" t="str">
        <f>VLOOKUP(A93,[1]MSAKEN!$A$1:$F$562,6,FALSE)</f>
        <v>10506040202842478820</v>
      </c>
    </row>
    <row r="94" spans="1:13" x14ac:dyDescent="0.3">
      <c r="A94">
        <v>167</v>
      </c>
      <c r="B94" t="s">
        <v>676</v>
      </c>
      <c r="C94" t="s">
        <v>145</v>
      </c>
      <c r="D94" t="s">
        <v>677</v>
      </c>
      <c r="E94" t="s">
        <v>678</v>
      </c>
      <c r="F94" s="4">
        <v>21055</v>
      </c>
      <c r="G94">
        <v>2805772</v>
      </c>
      <c r="H94">
        <v>1119571402</v>
      </c>
      <c r="I94" t="s">
        <v>679</v>
      </c>
      <c r="J94" t="s">
        <v>513</v>
      </c>
      <c r="K94" t="s">
        <v>15</v>
      </c>
      <c r="L94" t="s">
        <v>506</v>
      </c>
      <c r="M94" t="e">
        <f>VLOOKUP(A94,[1]MSAKEN!$A$1:$F$562,6,FALSE)</f>
        <v>#N/A</v>
      </c>
    </row>
    <row r="95" spans="1:13" x14ac:dyDescent="0.3">
      <c r="A95">
        <v>170</v>
      </c>
      <c r="B95" t="s">
        <v>680</v>
      </c>
      <c r="C95" t="s">
        <v>681</v>
      </c>
      <c r="D95" t="s">
        <v>502</v>
      </c>
      <c r="E95" t="s">
        <v>502</v>
      </c>
      <c r="F95" s="4">
        <v>23430</v>
      </c>
      <c r="G95">
        <v>4151003</v>
      </c>
      <c r="H95">
        <v>1119428900</v>
      </c>
      <c r="I95" t="s">
        <v>682</v>
      </c>
      <c r="J95" t="s">
        <v>505</v>
      </c>
      <c r="K95" t="s">
        <v>15</v>
      </c>
      <c r="L95" t="s">
        <v>506</v>
      </c>
      <c r="M95" t="e">
        <f>VLOOKUP(A95,[1]MSAKEN!$A$1:$F$562,6,FALSE)</f>
        <v>#N/A</v>
      </c>
    </row>
    <row r="96" spans="1:13" x14ac:dyDescent="0.3">
      <c r="A96">
        <v>171</v>
      </c>
      <c r="B96" t="s">
        <v>283</v>
      </c>
      <c r="C96" t="s">
        <v>89</v>
      </c>
      <c r="D96" t="s">
        <v>535</v>
      </c>
      <c r="E96" t="s">
        <v>502</v>
      </c>
      <c r="F96" s="4">
        <v>20584</v>
      </c>
      <c r="G96">
        <v>460074</v>
      </c>
      <c r="H96">
        <v>1113547606</v>
      </c>
      <c r="I96" t="s">
        <v>683</v>
      </c>
      <c r="J96" t="s">
        <v>513</v>
      </c>
      <c r="K96" t="s">
        <v>15</v>
      </c>
      <c r="L96" t="s">
        <v>506</v>
      </c>
      <c r="M96" t="e">
        <f>VLOOKUP(A96,[1]MSAKEN!$A$1:$F$562,6,FALSE)</f>
        <v>#N/A</v>
      </c>
    </row>
    <row r="97" spans="1:13" x14ac:dyDescent="0.3">
      <c r="A97">
        <v>174</v>
      </c>
      <c r="B97" t="s">
        <v>176</v>
      </c>
      <c r="C97" t="s">
        <v>31</v>
      </c>
      <c r="D97" t="s">
        <v>502</v>
      </c>
      <c r="E97" t="s">
        <v>502</v>
      </c>
      <c r="F97" s="4">
        <v>22083</v>
      </c>
      <c r="G97">
        <v>2924209</v>
      </c>
      <c r="H97">
        <v>1104623101</v>
      </c>
      <c r="I97" t="s">
        <v>684</v>
      </c>
      <c r="J97" t="s">
        <v>513</v>
      </c>
      <c r="K97" t="s">
        <v>15</v>
      </c>
      <c r="L97" t="s">
        <v>506</v>
      </c>
      <c r="M97" t="e">
        <f>VLOOKUP(A97,[1]MSAKEN!$A$1:$F$562,6,FALSE)</f>
        <v>#N/A</v>
      </c>
    </row>
    <row r="98" spans="1:13" x14ac:dyDescent="0.3">
      <c r="A98">
        <v>175</v>
      </c>
      <c r="B98" t="s">
        <v>685</v>
      </c>
      <c r="C98" t="s">
        <v>434</v>
      </c>
      <c r="D98" t="s">
        <v>502</v>
      </c>
      <c r="E98" t="s">
        <v>502</v>
      </c>
      <c r="F98" s="4">
        <v>18541</v>
      </c>
      <c r="G98">
        <v>2253475</v>
      </c>
      <c r="H98">
        <v>1119558508</v>
      </c>
      <c r="I98" t="s">
        <v>686</v>
      </c>
      <c r="J98" t="s">
        <v>511</v>
      </c>
      <c r="K98" t="s">
        <v>639</v>
      </c>
      <c r="L98" t="s">
        <v>506</v>
      </c>
      <c r="M98" t="e">
        <f>VLOOKUP(A98,[1]MSAKEN!$A$1:$F$562,6,FALSE)</f>
        <v>#N/A</v>
      </c>
    </row>
    <row r="99" spans="1:13" x14ac:dyDescent="0.3">
      <c r="A99">
        <v>176</v>
      </c>
      <c r="B99" t="s">
        <v>687</v>
      </c>
      <c r="C99" t="s">
        <v>99</v>
      </c>
      <c r="D99" t="s">
        <v>502</v>
      </c>
      <c r="E99" t="s">
        <v>502</v>
      </c>
      <c r="F99" t="s">
        <v>502</v>
      </c>
      <c r="G99">
        <v>2859905</v>
      </c>
      <c r="H99">
        <v>90713600</v>
      </c>
      <c r="I99" t="s">
        <v>688</v>
      </c>
      <c r="J99" t="s">
        <v>511</v>
      </c>
      <c r="K99" t="s">
        <v>15</v>
      </c>
      <c r="L99" t="s">
        <v>506</v>
      </c>
      <c r="M99" t="e">
        <f>VLOOKUP(A99,[1]MSAKEN!$A$1:$F$562,6,FALSE)</f>
        <v>#N/A</v>
      </c>
    </row>
    <row r="100" spans="1:13" x14ac:dyDescent="0.3">
      <c r="A100">
        <v>180</v>
      </c>
      <c r="B100" t="s">
        <v>689</v>
      </c>
      <c r="C100" t="s">
        <v>137</v>
      </c>
      <c r="D100" t="s">
        <v>502</v>
      </c>
      <c r="E100" t="s">
        <v>502</v>
      </c>
      <c r="F100" s="4">
        <v>19681</v>
      </c>
      <c r="G100">
        <v>2827110</v>
      </c>
      <c r="H100">
        <v>1123338400</v>
      </c>
      <c r="I100" t="s">
        <v>568</v>
      </c>
      <c r="J100" t="s">
        <v>568</v>
      </c>
      <c r="K100" t="s">
        <v>15</v>
      </c>
      <c r="L100" t="s">
        <v>506</v>
      </c>
      <c r="M100" t="e">
        <f>VLOOKUP(A100,[1]MSAKEN!$A$1:$F$562,6,FALSE)</f>
        <v>#N/A</v>
      </c>
    </row>
    <row r="101" spans="1:13" x14ac:dyDescent="0.3">
      <c r="A101">
        <v>181</v>
      </c>
      <c r="B101" t="s">
        <v>186</v>
      </c>
      <c r="C101" t="s">
        <v>216</v>
      </c>
      <c r="D101" t="s">
        <v>535</v>
      </c>
      <c r="E101" t="s">
        <v>690</v>
      </c>
      <c r="F101" s="4">
        <v>23278</v>
      </c>
      <c r="G101">
        <v>2947138</v>
      </c>
      <c r="H101">
        <v>1120365000</v>
      </c>
      <c r="I101" t="s">
        <v>691</v>
      </c>
      <c r="J101" t="s">
        <v>513</v>
      </c>
      <c r="K101" t="s">
        <v>15</v>
      </c>
      <c r="L101" t="s">
        <v>506</v>
      </c>
      <c r="M101" t="e">
        <f>VLOOKUP(A101,[1]MSAKEN!$A$1:$F$562,6,FALSE)</f>
        <v>#N/A</v>
      </c>
    </row>
    <row r="102" spans="1:13" x14ac:dyDescent="0.3">
      <c r="A102">
        <v>183</v>
      </c>
      <c r="B102" t="s">
        <v>692</v>
      </c>
      <c r="C102" t="s">
        <v>89</v>
      </c>
      <c r="D102" t="s">
        <v>564</v>
      </c>
      <c r="E102" t="s">
        <v>536</v>
      </c>
      <c r="F102" s="4">
        <v>23094</v>
      </c>
      <c r="G102">
        <v>2957843</v>
      </c>
      <c r="H102">
        <v>1118953106</v>
      </c>
      <c r="I102" t="s">
        <v>683</v>
      </c>
      <c r="J102" t="s">
        <v>513</v>
      </c>
      <c r="K102" t="s">
        <v>15</v>
      </c>
      <c r="L102" t="s">
        <v>506</v>
      </c>
      <c r="M102" t="e">
        <f>VLOOKUP(A102,[1]MSAKEN!$A$1:$F$562,6,FALSE)</f>
        <v>#N/A</v>
      </c>
    </row>
    <row r="103" spans="1:13" x14ac:dyDescent="0.3">
      <c r="A103">
        <v>184</v>
      </c>
      <c r="B103" t="s">
        <v>67</v>
      </c>
      <c r="C103" t="s">
        <v>101</v>
      </c>
      <c r="D103" t="s">
        <v>651</v>
      </c>
      <c r="E103" t="s">
        <v>693</v>
      </c>
      <c r="F103" s="4">
        <v>23498</v>
      </c>
      <c r="G103">
        <v>2963971</v>
      </c>
      <c r="H103">
        <v>1124338508</v>
      </c>
      <c r="I103" t="s">
        <v>694</v>
      </c>
      <c r="J103" t="s">
        <v>513</v>
      </c>
      <c r="K103" t="s">
        <v>15</v>
      </c>
      <c r="L103" t="s">
        <v>506</v>
      </c>
      <c r="M103" t="str">
        <f>VLOOKUP(A103,[1]MSAKEN!$A$1:$F$562,6,FALSE)</f>
        <v>10506040202920578855</v>
      </c>
    </row>
    <row r="104" spans="1:13" x14ac:dyDescent="0.3">
      <c r="A104">
        <v>185</v>
      </c>
      <c r="B104" t="s">
        <v>695</v>
      </c>
      <c r="C104" t="s">
        <v>166</v>
      </c>
      <c r="D104" t="s">
        <v>648</v>
      </c>
      <c r="E104" t="s">
        <v>696</v>
      </c>
      <c r="F104" s="4">
        <v>23612</v>
      </c>
      <c r="G104">
        <v>2959720</v>
      </c>
      <c r="H104">
        <v>1124250208</v>
      </c>
      <c r="I104" t="s">
        <v>697</v>
      </c>
      <c r="J104" t="s">
        <v>513</v>
      </c>
      <c r="K104" t="s">
        <v>15</v>
      </c>
      <c r="L104" t="s">
        <v>506</v>
      </c>
      <c r="M104" t="str">
        <f>VLOOKUP(A104,[1]MSAKEN!$A$1:$F$562,6,FALSE)</f>
        <v>03508056010100247580</v>
      </c>
    </row>
    <row r="105" spans="1:13" x14ac:dyDescent="0.3">
      <c r="A105">
        <v>187</v>
      </c>
      <c r="B105" t="s">
        <v>417</v>
      </c>
      <c r="C105" t="s">
        <v>40</v>
      </c>
      <c r="D105" t="s">
        <v>698</v>
      </c>
      <c r="E105" t="s">
        <v>699</v>
      </c>
      <c r="F105" s="4">
        <v>22570</v>
      </c>
      <c r="G105">
        <v>2935527</v>
      </c>
      <c r="H105">
        <v>1124359900</v>
      </c>
      <c r="I105" t="s">
        <v>700</v>
      </c>
      <c r="J105" t="s">
        <v>513</v>
      </c>
      <c r="K105" t="s">
        <v>15</v>
      </c>
      <c r="L105" t="s">
        <v>506</v>
      </c>
      <c r="M105" t="e">
        <f>VLOOKUP(A105,[1]MSAKEN!$A$1:$F$562,6,FALSE)</f>
        <v>#N/A</v>
      </c>
    </row>
    <row r="106" spans="1:13" x14ac:dyDescent="0.3">
      <c r="A106">
        <v>190</v>
      </c>
      <c r="B106" t="s">
        <v>104</v>
      </c>
      <c r="C106" t="s">
        <v>337</v>
      </c>
      <c r="D106" t="s">
        <v>502</v>
      </c>
      <c r="E106" t="s">
        <v>502</v>
      </c>
      <c r="F106" s="4">
        <v>18843</v>
      </c>
      <c r="G106">
        <v>2948137</v>
      </c>
      <c r="H106">
        <v>56387000</v>
      </c>
      <c r="I106" t="s">
        <v>701</v>
      </c>
      <c r="J106" t="s">
        <v>511</v>
      </c>
      <c r="K106" t="s">
        <v>15</v>
      </c>
      <c r="L106" t="s">
        <v>506</v>
      </c>
      <c r="M106" t="e">
        <f>VLOOKUP(A106,[1]MSAKEN!$A$1:$F$562,6,FALSE)</f>
        <v>#N/A</v>
      </c>
    </row>
    <row r="107" spans="1:13" x14ac:dyDescent="0.3">
      <c r="A107">
        <v>191</v>
      </c>
      <c r="B107" t="s">
        <v>350</v>
      </c>
      <c r="C107" t="s">
        <v>118</v>
      </c>
      <c r="D107" t="s">
        <v>502</v>
      </c>
      <c r="E107" t="s">
        <v>502</v>
      </c>
      <c r="F107" t="s">
        <v>502</v>
      </c>
      <c r="G107">
        <v>2894005</v>
      </c>
      <c r="H107">
        <v>1113075400</v>
      </c>
      <c r="I107" t="s">
        <v>702</v>
      </c>
      <c r="J107" t="s">
        <v>513</v>
      </c>
      <c r="K107" t="s">
        <v>15</v>
      </c>
      <c r="L107" t="s">
        <v>506</v>
      </c>
      <c r="M107" t="e">
        <f>VLOOKUP(A107,[1]MSAKEN!$A$1:$F$562,6,FALSE)</f>
        <v>#N/A</v>
      </c>
    </row>
    <row r="108" spans="1:13" x14ac:dyDescent="0.3">
      <c r="A108">
        <v>192</v>
      </c>
      <c r="B108" t="s">
        <v>703</v>
      </c>
      <c r="C108" t="s">
        <v>255</v>
      </c>
      <c r="D108" t="s">
        <v>535</v>
      </c>
      <c r="E108" t="s">
        <v>699</v>
      </c>
      <c r="F108" s="4">
        <v>23974</v>
      </c>
      <c r="G108">
        <v>2955305</v>
      </c>
      <c r="H108">
        <v>1120249101</v>
      </c>
      <c r="I108" t="s">
        <v>704</v>
      </c>
      <c r="J108" t="s">
        <v>513</v>
      </c>
      <c r="K108" t="s">
        <v>15</v>
      </c>
      <c r="L108" t="s">
        <v>506</v>
      </c>
      <c r="M108" t="str">
        <f>VLOOKUP(A108,[1]MSAKEN!$A$1:$F$562,6,FALSE)</f>
        <v>08507000262001028939</v>
      </c>
    </row>
    <row r="109" spans="1:13" x14ac:dyDescent="0.3">
      <c r="A109">
        <v>193</v>
      </c>
      <c r="B109" t="s">
        <v>705</v>
      </c>
      <c r="C109" t="s">
        <v>89</v>
      </c>
      <c r="D109" t="s">
        <v>502</v>
      </c>
      <c r="E109" t="s">
        <v>502</v>
      </c>
      <c r="F109" t="s">
        <v>502</v>
      </c>
      <c r="G109">
        <v>2819497</v>
      </c>
      <c r="H109">
        <v>1112906407</v>
      </c>
      <c r="I109" t="s">
        <v>706</v>
      </c>
      <c r="J109" t="s">
        <v>502</v>
      </c>
      <c r="K109" t="s">
        <v>15</v>
      </c>
      <c r="L109" t="s">
        <v>506</v>
      </c>
      <c r="M109" t="e">
        <f>VLOOKUP(A109,[1]MSAKEN!$A$1:$F$562,6,FALSE)</f>
        <v>#N/A</v>
      </c>
    </row>
    <row r="110" spans="1:13" x14ac:dyDescent="0.3">
      <c r="A110">
        <v>194</v>
      </c>
      <c r="B110" t="s">
        <v>227</v>
      </c>
      <c r="C110" t="s">
        <v>56</v>
      </c>
      <c r="D110" t="s">
        <v>707</v>
      </c>
      <c r="E110" t="s">
        <v>708</v>
      </c>
      <c r="F110" s="4">
        <v>23074</v>
      </c>
      <c r="G110">
        <v>2950673</v>
      </c>
      <c r="H110">
        <v>1119795209</v>
      </c>
      <c r="I110" t="s">
        <v>709</v>
      </c>
      <c r="J110" t="s">
        <v>513</v>
      </c>
      <c r="K110" t="s">
        <v>15</v>
      </c>
      <c r="L110" t="s">
        <v>506</v>
      </c>
      <c r="M110" t="str">
        <f>VLOOKUP(A110,[1]MSAKEN!$A$1:$F$562,6,FALSE)</f>
        <v>14114114100705252512</v>
      </c>
    </row>
    <row r="111" spans="1:13" x14ac:dyDescent="0.3">
      <c r="A111">
        <v>195</v>
      </c>
      <c r="B111" t="s">
        <v>366</v>
      </c>
      <c r="C111" t="s">
        <v>69</v>
      </c>
      <c r="D111" t="s">
        <v>648</v>
      </c>
      <c r="E111" t="s">
        <v>645</v>
      </c>
      <c r="F111" s="4">
        <v>21166</v>
      </c>
      <c r="G111" t="s">
        <v>502</v>
      </c>
      <c r="H111">
        <v>1119798708</v>
      </c>
      <c r="I111" t="s">
        <v>710</v>
      </c>
      <c r="J111" t="s">
        <v>513</v>
      </c>
      <c r="K111" t="s">
        <v>15</v>
      </c>
      <c r="L111" t="s">
        <v>506</v>
      </c>
      <c r="M111" t="e">
        <f>VLOOKUP(A111,[1]MSAKEN!$A$1:$F$562,6,FALSE)</f>
        <v>#N/A</v>
      </c>
    </row>
    <row r="112" spans="1:13" x14ac:dyDescent="0.3">
      <c r="A112">
        <v>197</v>
      </c>
      <c r="B112" t="s">
        <v>316</v>
      </c>
      <c r="C112" t="s">
        <v>129</v>
      </c>
      <c r="D112" t="s">
        <v>711</v>
      </c>
      <c r="E112" t="s">
        <v>712</v>
      </c>
      <c r="F112" s="4">
        <v>24004</v>
      </c>
      <c r="G112">
        <v>2964490</v>
      </c>
      <c r="H112">
        <v>1118893401</v>
      </c>
      <c r="I112" t="s">
        <v>568</v>
      </c>
      <c r="J112" t="s">
        <v>568</v>
      </c>
      <c r="K112" t="s">
        <v>15</v>
      </c>
      <c r="L112" t="s">
        <v>506</v>
      </c>
      <c r="M112" t="str">
        <f>VLOOKUP(A112,[1]MSAKEN!$A$1:$F$562,6,FALSE)</f>
        <v>03508056010100158049</v>
      </c>
    </row>
    <row r="113" spans="1:13" x14ac:dyDescent="0.3">
      <c r="A113">
        <v>199</v>
      </c>
      <c r="B113" t="s">
        <v>713</v>
      </c>
      <c r="C113" t="s">
        <v>625</v>
      </c>
      <c r="D113" t="s">
        <v>564</v>
      </c>
      <c r="E113" t="s">
        <v>714</v>
      </c>
      <c r="F113" s="4">
        <v>22491</v>
      </c>
      <c r="G113">
        <v>2959722</v>
      </c>
      <c r="H113">
        <v>1121035404</v>
      </c>
      <c r="I113" t="s">
        <v>715</v>
      </c>
      <c r="J113" t="s">
        <v>513</v>
      </c>
      <c r="K113" t="s">
        <v>15</v>
      </c>
      <c r="L113" t="s">
        <v>17</v>
      </c>
      <c r="M113" t="e">
        <f>VLOOKUP(A113,[1]MSAKEN!$A$1:$F$562,6,FALSE)</f>
        <v>#N/A</v>
      </c>
    </row>
    <row r="114" spans="1:13" x14ac:dyDescent="0.3">
      <c r="A114">
        <v>201</v>
      </c>
      <c r="B114" t="s">
        <v>299</v>
      </c>
      <c r="C114" t="s">
        <v>72</v>
      </c>
      <c r="D114" t="s">
        <v>535</v>
      </c>
      <c r="E114" t="s">
        <v>716</v>
      </c>
      <c r="F114" s="4">
        <v>24353</v>
      </c>
      <c r="G114">
        <v>2962492</v>
      </c>
      <c r="H114">
        <v>1119795100</v>
      </c>
      <c r="I114" t="s">
        <v>717</v>
      </c>
      <c r="J114" t="s">
        <v>718</v>
      </c>
      <c r="K114" t="s">
        <v>15</v>
      </c>
      <c r="L114" t="s">
        <v>506</v>
      </c>
      <c r="M114" t="e">
        <f>VLOOKUP(A114,[1]MSAKEN!$A$1:$F$562,6,FALSE)</f>
        <v>#N/A</v>
      </c>
    </row>
    <row r="115" spans="1:13" x14ac:dyDescent="0.3">
      <c r="A115">
        <v>202</v>
      </c>
      <c r="B115" t="s">
        <v>342</v>
      </c>
      <c r="C115" t="s">
        <v>332</v>
      </c>
      <c r="D115" t="s">
        <v>719</v>
      </c>
      <c r="E115" t="s">
        <v>546</v>
      </c>
      <c r="F115" s="4">
        <v>21996</v>
      </c>
      <c r="G115">
        <v>2843766</v>
      </c>
      <c r="H115">
        <v>1119777306</v>
      </c>
      <c r="I115" t="s">
        <v>720</v>
      </c>
      <c r="J115" t="s">
        <v>513</v>
      </c>
      <c r="K115" t="s">
        <v>15</v>
      </c>
      <c r="L115" t="s">
        <v>506</v>
      </c>
      <c r="M115" t="e">
        <f>VLOOKUP(A115,[1]MSAKEN!$A$1:$F$562,6,FALSE)</f>
        <v>#N/A</v>
      </c>
    </row>
    <row r="116" spans="1:13" x14ac:dyDescent="0.3">
      <c r="A116">
        <v>203</v>
      </c>
      <c r="B116" t="s">
        <v>721</v>
      </c>
      <c r="C116" t="s">
        <v>76</v>
      </c>
      <c r="D116" t="s">
        <v>502</v>
      </c>
      <c r="E116" t="s">
        <v>502</v>
      </c>
      <c r="F116" s="4">
        <v>22727</v>
      </c>
      <c r="G116">
        <v>2602750</v>
      </c>
      <c r="H116">
        <v>1115988402</v>
      </c>
      <c r="I116" t="s">
        <v>722</v>
      </c>
      <c r="J116" t="s">
        <v>513</v>
      </c>
      <c r="K116" t="s">
        <v>15</v>
      </c>
      <c r="L116" t="s">
        <v>506</v>
      </c>
      <c r="M116" t="e">
        <f>VLOOKUP(A116,[1]MSAKEN!$A$1:$F$562,6,FALSE)</f>
        <v>#N/A</v>
      </c>
    </row>
    <row r="117" spans="1:13" x14ac:dyDescent="0.3">
      <c r="A117">
        <v>205</v>
      </c>
      <c r="B117" t="s">
        <v>723</v>
      </c>
      <c r="C117" t="s">
        <v>118</v>
      </c>
      <c r="D117" t="s">
        <v>502</v>
      </c>
      <c r="E117" t="s">
        <v>502</v>
      </c>
      <c r="F117" t="s">
        <v>502</v>
      </c>
      <c r="G117">
        <v>2958408</v>
      </c>
      <c r="H117">
        <v>0</v>
      </c>
      <c r="I117" t="s">
        <v>724</v>
      </c>
      <c r="J117" t="s">
        <v>502</v>
      </c>
      <c r="K117" t="s">
        <v>15</v>
      </c>
      <c r="L117" t="s">
        <v>506</v>
      </c>
      <c r="M117" t="e">
        <f>VLOOKUP(A117,[1]MSAKEN!$A$1:$F$562,6,FALSE)</f>
        <v>#N/A</v>
      </c>
    </row>
    <row r="118" spans="1:13" x14ac:dyDescent="0.3">
      <c r="A118">
        <v>206</v>
      </c>
      <c r="B118" t="s">
        <v>299</v>
      </c>
      <c r="C118" t="s">
        <v>224</v>
      </c>
      <c r="D118" t="s">
        <v>535</v>
      </c>
      <c r="E118" t="s">
        <v>536</v>
      </c>
      <c r="F118" s="4">
        <v>23761</v>
      </c>
      <c r="G118">
        <v>2936771</v>
      </c>
      <c r="H118">
        <v>1121859506</v>
      </c>
      <c r="I118" t="s">
        <v>725</v>
      </c>
      <c r="J118" t="s">
        <v>513</v>
      </c>
      <c r="K118" t="s">
        <v>15</v>
      </c>
      <c r="L118" t="s">
        <v>506</v>
      </c>
      <c r="M118" t="e">
        <f>VLOOKUP(A118,[1]MSAKEN!$A$1:$F$562,6,FALSE)</f>
        <v>#N/A</v>
      </c>
    </row>
    <row r="119" spans="1:13" x14ac:dyDescent="0.3">
      <c r="A119">
        <v>207</v>
      </c>
      <c r="B119" t="s">
        <v>265</v>
      </c>
      <c r="C119" t="s">
        <v>26</v>
      </c>
      <c r="D119" t="s">
        <v>502</v>
      </c>
      <c r="E119" t="s">
        <v>502</v>
      </c>
      <c r="F119" s="4">
        <v>19908</v>
      </c>
      <c r="G119">
        <v>2885554</v>
      </c>
      <c r="H119">
        <v>77185400</v>
      </c>
      <c r="I119" t="s">
        <v>726</v>
      </c>
      <c r="J119" t="s">
        <v>574</v>
      </c>
      <c r="K119" t="s">
        <v>15</v>
      </c>
      <c r="L119" t="s">
        <v>506</v>
      </c>
      <c r="M119" t="e">
        <f>VLOOKUP(A119,[1]MSAKEN!$A$1:$F$562,6,FALSE)</f>
        <v>#N/A</v>
      </c>
    </row>
    <row r="120" spans="1:13" x14ac:dyDescent="0.3">
      <c r="A120">
        <v>208</v>
      </c>
      <c r="B120" t="s">
        <v>727</v>
      </c>
      <c r="C120" t="s">
        <v>629</v>
      </c>
      <c r="D120" t="s">
        <v>728</v>
      </c>
      <c r="E120" t="s">
        <v>729</v>
      </c>
      <c r="F120" s="4">
        <v>23070</v>
      </c>
      <c r="G120">
        <v>2974269</v>
      </c>
      <c r="H120">
        <v>1119775508</v>
      </c>
      <c r="I120" t="s">
        <v>730</v>
      </c>
      <c r="J120" t="s">
        <v>513</v>
      </c>
      <c r="K120" t="s">
        <v>15</v>
      </c>
      <c r="L120" t="s">
        <v>17</v>
      </c>
      <c r="M120" t="e">
        <f>VLOOKUP(A120,[1]MSAKEN!$A$1:$F$562,6,FALSE)</f>
        <v>#N/A</v>
      </c>
    </row>
    <row r="121" spans="1:13" x14ac:dyDescent="0.3">
      <c r="A121">
        <v>212</v>
      </c>
      <c r="B121" t="s">
        <v>83</v>
      </c>
      <c r="C121" t="s">
        <v>26</v>
      </c>
      <c r="D121" t="s">
        <v>648</v>
      </c>
      <c r="E121" t="s">
        <v>645</v>
      </c>
      <c r="F121" s="4">
        <v>23594</v>
      </c>
      <c r="G121">
        <v>2954309</v>
      </c>
      <c r="H121">
        <v>1119786406</v>
      </c>
      <c r="I121" t="s">
        <v>731</v>
      </c>
      <c r="J121" t="s">
        <v>513</v>
      </c>
      <c r="K121" t="s">
        <v>15</v>
      </c>
      <c r="L121" t="s">
        <v>506</v>
      </c>
      <c r="M121" t="str">
        <f>VLOOKUP(A121,[1]MSAKEN!$A$1:$F$562,6,FALSE)</f>
        <v>08507000262001609096</v>
      </c>
    </row>
    <row r="122" spans="1:13" x14ac:dyDescent="0.3">
      <c r="A122">
        <v>213</v>
      </c>
      <c r="B122" t="s">
        <v>264</v>
      </c>
      <c r="C122" t="s">
        <v>181</v>
      </c>
      <c r="D122" t="s">
        <v>535</v>
      </c>
      <c r="E122" t="s">
        <v>584</v>
      </c>
      <c r="F122" s="4">
        <v>23299</v>
      </c>
      <c r="G122">
        <v>2956959</v>
      </c>
      <c r="H122">
        <v>1120297203</v>
      </c>
      <c r="I122" t="s">
        <v>732</v>
      </c>
      <c r="J122" t="s">
        <v>513</v>
      </c>
      <c r="K122" t="s">
        <v>15</v>
      </c>
      <c r="L122" t="s">
        <v>506</v>
      </c>
      <c r="M122" t="e">
        <f>VLOOKUP(A122,[1]MSAKEN!$A$1:$F$562,6,FALSE)</f>
        <v>#N/A</v>
      </c>
    </row>
    <row r="123" spans="1:13" x14ac:dyDescent="0.3">
      <c r="A123">
        <v>215</v>
      </c>
      <c r="B123" t="s">
        <v>217</v>
      </c>
      <c r="C123" t="s">
        <v>255</v>
      </c>
      <c r="D123" t="s">
        <v>502</v>
      </c>
      <c r="E123" t="s">
        <v>502</v>
      </c>
      <c r="F123" s="4">
        <v>20389</v>
      </c>
      <c r="G123">
        <v>3818742</v>
      </c>
      <c r="H123">
        <v>84185000</v>
      </c>
      <c r="I123" t="s">
        <v>733</v>
      </c>
      <c r="J123" t="s">
        <v>511</v>
      </c>
      <c r="K123" t="s">
        <v>15</v>
      </c>
      <c r="L123" t="s">
        <v>506</v>
      </c>
      <c r="M123" t="e">
        <f>VLOOKUP(A123,[1]MSAKEN!$A$1:$F$562,6,FALSE)</f>
        <v>#N/A</v>
      </c>
    </row>
    <row r="124" spans="1:13" x14ac:dyDescent="0.3">
      <c r="A124">
        <v>217</v>
      </c>
      <c r="B124" t="s">
        <v>734</v>
      </c>
      <c r="C124" t="s">
        <v>167</v>
      </c>
      <c r="D124" t="s">
        <v>539</v>
      </c>
      <c r="E124" t="s">
        <v>699</v>
      </c>
      <c r="F124" s="4">
        <v>22332</v>
      </c>
      <c r="G124">
        <v>2936692</v>
      </c>
      <c r="H124">
        <v>1119275400</v>
      </c>
      <c r="I124" t="s">
        <v>567</v>
      </c>
      <c r="J124" t="s">
        <v>568</v>
      </c>
      <c r="K124" t="s">
        <v>15</v>
      </c>
      <c r="L124" t="s">
        <v>506</v>
      </c>
      <c r="M124" t="e">
        <f>VLOOKUP(A124,[1]MSAKEN!$A$1:$F$562,6,FALSE)</f>
        <v>#N/A</v>
      </c>
    </row>
    <row r="125" spans="1:13" x14ac:dyDescent="0.3">
      <c r="A125">
        <v>219</v>
      </c>
      <c r="B125" t="s">
        <v>161</v>
      </c>
      <c r="C125" t="s">
        <v>735</v>
      </c>
      <c r="D125" t="s">
        <v>502</v>
      </c>
      <c r="E125" t="s">
        <v>502</v>
      </c>
      <c r="F125" t="s">
        <v>502</v>
      </c>
      <c r="G125">
        <v>2873810</v>
      </c>
      <c r="H125">
        <v>0</v>
      </c>
      <c r="I125" t="s">
        <v>736</v>
      </c>
      <c r="J125" t="s">
        <v>502</v>
      </c>
      <c r="K125" t="s">
        <v>15</v>
      </c>
      <c r="L125" t="s">
        <v>506</v>
      </c>
      <c r="M125" t="e">
        <f>VLOOKUP(A125,[1]MSAKEN!$A$1:$F$562,6,FALSE)</f>
        <v>#N/A</v>
      </c>
    </row>
    <row r="126" spans="1:13" x14ac:dyDescent="0.3">
      <c r="A126">
        <v>220</v>
      </c>
      <c r="B126" t="s">
        <v>737</v>
      </c>
      <c r="C126" t="s">
        <v>102</v>
      </c>
      <c r="D126" t="s">
        <v>738</v>
      </c>
      <c r="E126" t="s">
        <v>652</v>
      </c>
      <c r="F126" s="4">
        <v>22208</v>
      </c>
      <c r="G126">
        <v>2897144</v>
      </c>
      <c r="H126">
        <v>1119774204</v>
      </c>
      <c r="I126" t="s">
        <v>739</v>
      </c>
      <c r="J126" t="s">
        <v>740</v>
      </c>
      <c r="K126" t="s">
        <v>15</v>
      </c>
      <c r="L126" t="s">
        <v>506</v>
      </c>
      <c r="M126" t="e">
        <f>VLOOKUP(A126,[1]MSAKEN!$A$1:$F$562,6,FALSE)</f>
        <v>#N/A</v>
      </c>
    </row>
    <row r="127" spans="1:13" x14ac:dyDescent="0.3">
      <c r="A127">
        <v>223</v>
      </c>
      <c r="B127" t="s">
        <v>741</v>
      </c>
      <c r="C127" t="s">
        <v>102</v>
      </c>
      <c r="D127" t="s">
        <v>502</v>
      </c>
      <c r="E127" t="s">
        <v>502</v>
      </c>
      <c r="F127" s="4">
        <v>21480</v>
      </c>
      <c r="G127">
        <v>2801778</v>
      </c>
      <c r="H127">
        <v>1108427301</v>
      </c>
      <c r="I127" t="s">
        <v>742</v>
      </c>
      <c r="J127" t="s">
        <v>511</v>
      </c>
      <c r="K127" t="s">
        <v>15</v>
      </c>
      <c r="L127" t="s">
        <v>506</v>
      </c>
      <c r="M127" t="e">
        <f>VLOOKUP(A127,[1]MSAKEN!$A$1:$F$562,6,FALSE)</f>
        <v>#N/A</v>
      </c>
    </row>
    <row r="128" spans="1:13" x14ac:dyDescent="0.3">
      <c r="A128">
        <v>225</v>
      </c>
      <c r="B128" t="s">
        <v>250</v>
      </c>
      <c r="C128" t="s">
        <v>435</v>
      </c>
      <c r="D128" t="s">
        <v>564</v>
      </c>
      <c r="E128" t="s">
        <v>630</v>
      </c>
      <c r="F128" s="4">
        <v>24122</v>
      </c>
      <c r="G128">
        <v>2966905</v>
      </c>
      <c r="H128">
        <v>1119900502</v>
      </c>
      <c r="I128" t="s">
        <v>743</v>
      </c>
      <c r="J128" t="s">
        <v>513</v>
      </c>
      <c r="K128" t="s">
        <v>15</v>
      </c>
      <c r="L128" t="s">
        <v>506</v>
      </c>
      <c r="M128" t="str">
        <f>VLOOKUP(A128,[1]MSAKEN!$A$1:$F$562,6,FALSE)</f>
        <v>12505000000214557279</v>
      </c>
    </row>
    <row r="129" spans="1:13" x14ac:dyDescent="0.3">
      <c r="A129">
        <v>227</v>
      </c>
      <c r="B129" t="s">
        <v>71</v>
      </c>
      <c r="C129" t="s">
        <v>89</v>
      </c>
      <c r="D129" t="s">
        <v>502</v>
      </c>
      <c r="E129" t="s">
        <v>502</v>
      </c>
      <c r="F129" s="4">
        <v>17623</v>
      </c>
      <c r="G129">
        <v>2857777</v>
      </c>
      <c r="H129">
        <v>60446600</v>
      </c>
      <c r="I129" t="s">
        <v>744</v>
      </c>
      <c r="J129" t="s">
        <v>513</v>
      </c>
      <c r="K129" t="s">
        <v>15</v>
      </c>
      <c r="L129" t="s">
        <v>506</v>
      </c>
      <c r="M129" t="e">
        <f>VLOOKUP(A129,[1]MSAKEN!$A$1:$F$562,6,FALSE)</f>
        <v>#N/A</v>
      </c>
    </row>
    <row r="130" spans="1:13" x14ac:dyDescent="0.3">
      <c r="A130">
        <v>229</v>
      </c>
      <c r="B130" t="s">
        <v>745</v>
      </c>
      <c r="C130" t="s">
        <v>746</v>
      </c>
      <c r="D130" t="s">
        <v>520</v>
      </c>
      <c r="E130" t="s">
        <v>747</v>
      </c>
      <c r="F130" s="4">
        <v>22569</v>
      </c>
      <c r="G130">
        <v>2953844</v>
      </c>
      <c r="H130">
        <v>1112295009</v>
      </c>
      <c r="I130" t="s">
        <v>748</v>
      </c>
      <c r="J130" t="s">
        <v>511</v>
      </c>
      <c r="K130" t="s">
        <v>639</v>
      </c>
      <c r="L130" t="s">
        <v>17</v>
      </c>
      <c r="M130" t="e">
        <f>VLOOKUP(A130,[1]MSAKEN!$A$1:$F$562,6,FALSE)</f>
        <v>#N/A</v>
      </c>
    </row>
    <row r="131" spans="1:13" x14ac:dyDescent="0.3">
      <c r="A131">
        <v>232</v>
      </c>
      <c r="B131" t="s">
        <v>106</v>
      </c>
      <c r="C131" t="s">
        <v>749</v>
      </c>
      <c r="D131" t="s">
        <v>502</v>
      </c>
      <c r="E131" t="s">
        <v>502</v>
      </c>
      <c r="F131" t="s">
        <v>502</v>
      </c>
      <c r="G131" t="s">
        <v>502</v>
      </c>
      <c r="H131" t="s">
        <v>502</v>
      </c>
      <c r="I131" t="s">
        <v>502</v>
      </c>
      <c r="J131" t="s">
        <v>502</v>
      </c>
      <c r="K131" t="s">
        <v>15</v>
      </c>
      <c r="L131" t="s">
        <v>17</v>
      </c>
      <c r="M131" t="e">
        <f>VLOOKUP(A131,[1]MSAKEN!$A$1:$F$562,6,FALSE)</f>
        <v>#N/A</v>
      </c>
    </row>
    <row r="132" spans="1:13" x14ac:dyDescent="0.3">
      <c r="A132">
        <v>235</v>
      </c>
      <c r="B132" t="s">
        <v>71</v>
      </c>
      <c r="C132" t="s">
        <v>136</v>
      </c>
      <c r="D132" t="s">
        <v>502</v>
      </c>
      <c r="E132" t="s">
        <v>502</v>
      </c>
      <c r="F132" s="4">
        <v>22446</v>
      </c>
      <c r="G132">
        <v>2929866</v>
      </c>
      <c r="H132">
        <v>1117268704</v>
      </c>
      <c r="I132" t="s">
        <v>750</v>
      </c>
      <c r="J132" t="s">
        <v>513</v>
      </c>
      <c r="K132" t="s">
        <v>15</v>
      </c>
      <c r="L132" t="s">
        <v>506</v>
      </c>
      <c r="M132" t="e">
        <f>VLOOKUP(A132,[1]MSAKEN!$A$1:$F$562,6,FALSE)</f>
        <v>#N/A</v>
      </c>
    </row>
    <row r="133" spans="1:13" x14ac:dyDescent="0.3">
      <c r="A133">
        <v>238</v>
      </c>
      <c r="B133" t="s">
        <v>751</v>
      </c>
      <c r="C133" t="s">
        <v>478</v>
      </c>
      <c r="D133" t="s">
        <v>502</v>
      </c>
      <c r="E133" t="s">
        <v>502</v>
      </c>
      <c r="F133" s="4">
        <v>17803</v>
      </c>
      <c r="G133">
        <v>2857960</v>
      </c>
      <c r="H133">
        <v>1122897703</v>
      </c>
      <c r="I133" t="s">
        <v>752</v>
      </c>
      <c r="J133" t="s">
        <v>513</v>
      </c>
      <c r="K133" t="s">
        <v>15</v>
      </c>
      <c r="L133" t="s">
        <v>506</v>
      </c>
      <c r="M133" t="e">
        <f>VLOOKUP(A133,[1]MSAKEN!$A$1:$F$562,6,FALSE)</f>
        <v>#N/A</v>
      </c>
    </row>
    <row r="134" spans="1:13" x14ac:dyDescent="0.3">
      <c r="A134">
        <v>239</v>
      </c>
      <c r="B134" t="s">
        <v>753</v>
      </c>
      <c r="C134" t="s">
        <v>395</v>
      </c>
      <c r="D134" t="s">
        <v>502</v>
      </c>
      <c r="E134" t="s">
        <v>502</v>
      </c>
      <c r="F134" s="4">
        <v>23908</v>
      </c>
      <c r="G134">
        <v>2973947</v>
      </c>
      <c r="H134">
        <v>1120362106</v>
      </c>
      <c r="I134" t="s">
        <v>754</v>
      </c>
      <c r="J134" t="s">
        <v>755</v>
      </c>
      <c r="K134" t="s">
        <v>15</v>
      </c>
      <c r="L134" t="s">
        <v>506</v>
      </c>
      <c r="M134" t="e">
        <f>VLOOKUP(A134,[1]MSAKEN!$A$1:$F$562,6,FALSE)</f>
        <v>#N/A</v>
      </c>
    </row>
    <row r="135" spans="1:13" x14ac:dyDescent="0.3">
      <c r="A135">
        <v>242</v>
      </c>
      <c r="B135" t="s">
        <v>756</v>
      </c>
      <c r="C135" t="s">
        <v>136</v>
      </c>
      <c r="D135" t="s">
        <v>502</v>
      </c>
      <c r="E135" t="s">
        <v>502</v>
      </c>
      <c r="F135" t="s">
        <v>502</v>
      </c>
      <c r="G135">
        <v>2808605</v>
      </c>
      <c r="H135">
        <v>1111552400</v>
      </c>
      <c r="I135" t="s">
        <v>757</v>
      </c>
      <c r="J135" t="s">
        <v>502</v>
      </c>
      <c r="K135" t="s">
        <v>15</v>
      </c>
      <c r="L135" t="s">
        <v>506</v>
      </c>
      <c r="M135" t="e">
        <f>VLOOKUP(A135,[1]MSAKEN!$A$1:$F$562,6,FALSE)</f>
        <v>#N/A</v>
      </c>
    </row>
    <row r="136" spans="1:13" x14ac:dyDescent="0.3">
      <c r="A136">
        <v>245</v>
      </c>
      <c r="B136" t="s">
        <v>71</v>
      </c>
      <c r="C136" t="s">
        <v>758</v>
      </c>
      <c r="D136" t="s">
        <v>502</v>
      </c>
      <c r="E136" t="s">
        <v>502</v>
      </c>
      <c r="F136" s="4">
        <v>22103</v>
      </c>
      <c r="G136">
        <v>2872202</v>
      </c>
      <c r="H136">
        <v>1114657701</v>
      </c>
      <c r="I136" t="s">
        <v>759</v>
      </c>
      <c r="J136" t="s">
        <v>513</v>
      </c>
      <c r="K136" t="s">
        <v>15</v>
      </c>
      <c r="L136" t="s">
        <v>506</v>
      </c>
      <c r="M136" t="e">
        <f>VLOOKUP(A136,[1]MSAKEN!$A$1:$F$562,6,FALSE)</f>
        <v>#N/A</v>
      </c>
    </row>
    <row r="137" spans="1:13" x14ac:dyDescent="0.3">
      <c r="A137">
        <v>246</v>
      </c>
      <c r="B137" t="s">
        <v>760</v>
      </c>
      <c r="C137" t="s">
        <v>34</v>
      </c>
      <c r="D137" t="s">
        <v>502</v>
      </c>
      <c r="E137" t="s">
        <v>502</v>
      </c>
      <c r="F137" t="s">
        <v>502</v>
      </c>
      <c r="G137">
        <v>2879350</v>
      </c>
      <c r="H137">
        <v>85259600</v>
      </c>
      <c r="I137" t="s">
        <v>761</v>
      </c>
      <c r="J137" t="s">
        <v>502</v>
      </c>
      <c r="K137" t="s">
        <v>15</v>
      </c>
      <c r="L137" t="s">
        <v>506</v>
      </c>
      <c r="M137" t="e">
        <f>VLOOKUP(A137,[1]MSAKEN!$A$1:$F$562,6,FALSE)</f>
        <v>#N/A</v>
      </c>
    </row>
    <row r="138" spans="1:13" x14ac:dyDescent="0.3">
      <c r="A138">
        <v>247</v>
      </c>
      <c r="B138" t="s">
        <v>762</v>
      </c>
      <c r="C138" t="s">
        <v>68</v>
      </c>
      <c r="D138" t="s">
        <v>763</v>
      </c>
      <c r="E138" t="s">
        <v>626</v>
      </c>
      <c r="F138" s="4">
        <v>24163</v>
      </c>
      <c r="G138">
        <v>2980121</v>
      </c>
      <c r="H138">
        <v>1120366701</v>
      </c>
      <c r="I138" t="s">
        <v>764</v>
      </c>
      <c r="J138" t="s">
        <v>513</v>
      </c>
      <c r="K138" t="s">
        <v>15</v>
      </c>
      <c r="L138" t="s">
        <v>506</v>
      </c>
      <c r="M138" t="str">
        <f>VLOOKUP(A138,[1]MSAKEN!$A$1:$F$562,6,FALSE)</f>
        <v>25018000000016670586</v>
      </c>
    </row>
    <row r="139" spans="1:13" x14ac:dyDescent="0.3">
      <c r="A139">
        <v>248</v>
      </c>
      <c r="B139" t="s">
        <v>765</v>
      </c>
      <c r="C139" t="s">
        <v>89</v>
      </c>
      <c r="D139" t="s">
        <v>502</v>
      </c>
      <c r="E139" t="s">
        <v>502</v>
      </c>
      <c r="F139" t="s">
        <v>502</v>
      </c>
      <c r="G139">
        <v>2933590</v>
      </c>
      <c r="H139">
        <v>1120293905</v>
      </c>
      <c r="I139" t="s">
        <v>766</v>
      </c>
      <c r="J139" t="s">
        <v>511</v>
      </c>
      <c r="K139" t="s">
        <v>15</v>
      </c>
      <c r="L139" t="s">
        <v>506</v>
      </c>
      <c r="M139" t="e">
        <f>VLOOKUP(A139,[1]MSAKEN!$A$1:$F$562,6,FALSE)</f>
        <v>#N/A</v>
      </c>
    </row>
    <row r="140" spans="1:13" x14ac:dyDescent="0.3">
      <c r="A140">
        <v>251</v>
      </c>
      <c r="B140" t="s">
        <v>767</v>
      </c>
      <c r="C140" t="s">
        <v>326</v>
      </c>
      <c r="D140" t="s">
        <v>502</v>
      </c>
      <c r="E140" t="s">
        <v>502</v>
      </c>
      <c r="F140" s="4">
        <v>20794</v>
      </c>
      <c r="G140">
        <v>2811345</v>
      </c>
      <c r="H140">
        <v>86574100</v>
      </c>
      <c r="I140" t="s">
        <v>768</v>
      </c>
      <c r="J140" t="s">
        <v>511</v>
      </c>
      <c r="K140" t="s">
        <v>15</v>
      </c>
      <c r="L140" t="s">
        <v>506</v>
      </c>
      <c r="M140" t="e">
        <f>VLOOKUP(A140,[1]MSAKEN!$A$1:$F$562,6,FALSE)</f>
        <v>#N/A</v>
      </c>
    </row>
    <row r="141" spans="1:13" x14ac:dyDescent="0.3">
      <c r="A141">
        <v>252</v>
      </c>
      <c r="B141" t="s">
        <v>769</v>
      </c>
      <c r="C141" t="s">
        <v>34</v>
      </c>
      <c r="D141" t="s">
        <v>502</v>
      </c>
      <c r="E141" t="s">
        <v>502</v>
      </c>
      <c r="F141" s="4">
        <v>20242</v>
      </c>
      <c r="G141">
        <v>2867043</v>
      </c>
      <c r="H141">
        <v>1114941709</v>
      </c>
      <c r="I141" t="s">
        <v>770</v>
      </c>
      <c r="J141" t="s">
        <v>513</v>
      </c>
      <c r="K141" t="s">
        <v>15</v>
      </c>
      <c r="L141" t="s">
        <v>506</v>
      </c>
      <c r="M141" t="e">
        <f>VLOOKUP(A141,[1]MSAKEN!$A$1:$F$562,6,FALSE)</f>
        <v>#N/A</v>
      </c>
    </row>
    <row r="142" spans="1:13" x14ac:dyDescent="0.3">
      <c r="A142">
        <v>254</v>
      </c>
      <c r="B142" t="s">
        <v>771</v>
      </c>
      <c r="C142" t="s">
        <v>40</v>
      </c>
      <c r="D142" t="s">
        <v>772</v>
      </c>
      <c r="E142" t="s">
        <v>773</v>
      </c>
      <c r="F142" s="4">
        <v>24227</v>
      </c>
      <c r="G142">
        <v>2974671</v>
      </c>
      <c r="H142">
        <v>1120287204</v>
      </c>
      <c r="I142" t="s">
        <v>774</v>
      </c>
      <c r="J142" t="s">
        <v>513</v>
      </c>
      <c r="K142" t="s">
        <v>15</v>
      </c>
      <c r="L142" t="s">
        <v>506</v>
      </c>
      <c r="M142" t="e">
        <f>VLOOKUP(A142,[1]MSAKEN!$A$1:$F$562,6,FALSE)</f>
        <v>#N/A</v>
      </c>
    </row>
    <row r="143" spans="1:13" x14ac:dyDescent="0.3">
      <c r="A143">
        <v>256</v>
      </c>
      <c r="B143" t="s">
        <v>190</v>
      </c>
      <c r="C143" t="s">
        <v>92</v>
      </c>
      <c r="D143" t="s">
        <v>535</v>
      </c>
      <c r="E143" t="s">
        <v>584</v>
      </c>
      <c r="F143" s="4">
        <v>22915</v>
      </c>
      <c r="G143">
        <v>2952766</v>
      </c>
      <c r="H143">
        <v>1118831104</v>
      </c>
      <c r="I143" t="s">
        <v>775</v>
      </c>
      <c r="J143" t="s">
        <v>513</v>
      </c>
      <c r="K143" t="s">
        <v>15</v>
      </c>
      <c r="L143" t="s">
        <v>506</v>
      </c>
      <c r="M143" t="e">
        <f>VLOOKUP(A143,[1]MSAKEN!$A$1:$F$562,6,FALSE)</f>
        <v>#N/A</v>
      </c>
    </row>
    <row r="144" spans="1:13" x14ac:dyDescent="0.3">
      <c r="A144">
        <v>257</v>
      </c>
      <c r="B144" t="s">
        <v>776</v>
      </c>
      <c r="C144" t="s">
        <v>378</v>
      </c>
      <c r="D144" t="s">
        <v>502</v>
      </c>
      <c r="E144" t="s">
        <v>502</v>
      </c>
      <c r="F144" s="4">
        <v>20730</v>
      </c>
      <c r="G144">
        <v>2832446</v>
      </c>
      <c r="H144">
        <v>1121773202</v>
      </c>
      <c r="I144" t="s">
        <v>777</v>
      </c>
      <c r="J144" t="s">
        <v>513</v>
      </c>
      <c r="K144" t="s">
        <v>15</v>
      </c>
      <c r="L144" t="s">
        <v>506</v>
      </c>
      <c r="M144" t="e">
        <f>VLOOKUP(A144,[1]MSAKEN!$A$1:$F$562,6,FALSE)</f>
        <v>#N/A</v>
      </c>
    </row>
    <row r="145" spans="1:13" x14ac:dyDescent="0.3">
      <c r="A145">
        <v>258</v>
      </c>
      <c r="B145" t="s">
        <v>19</v>
      </c>
      <c r="C145" t="s">
        <v>43</v>
      </c>
      <c r="D145" t="s">
        <v>564</v>
      </c>
      <c r="E145" t="s">
        <v>696</v>
      </c>
      <c r="F145" s="4">
        <v>21571</v>
      </c>
      <c r="G145">
        <v>2813600</v>
      </c>
      <c r="H145">
        <v>1105152704</v>
      </c>
      <c r="I145" t="s">
        <v>778</v>
      </c>
      <c r="J145" t="s">
        <v>513</v>
      </c>
      <c r="K145" t="s">
        <v>15</v>
      </c>
      <c r="L145" t="s">
        <v>506</v>
      </c>
      <c r="M145" t="e">
        <f>VLOOKUP(A145,[1]MSAKEN!$A$1:$F$562,6,FALSE)</f>
        <v>#N/A</v>
      </c>
    </row>
    <row r="146" spans="1:13" x14ac:dyDescent="0.3">
      <c r="A146">
        <v>259</v>
      </c>
      <c r="B146" t="s">
        <v>25</v>
      </c>
      <c r="C146" t="s">
        <v>31</v>
      </c>
      <c r="D146" t="s">
        <v>502</v>
      </c>
      <c r="E146" t="s">
        <v>502</v>
      </c>
      <c r="F146" s="4">
        <v>20281</v>
      </c>
      <c r="G146">
        <v>1996395</v>
      </c>
      <c r="H146">
        <v>1122353608</v>
      </c>
      <c r="I146" t="s">
        <v>779</v>
      </c>
      <c r="J146" t="s">
        <v>513</v>
      </c>
      <c r="K146" t="s">
        <v>15</v>
      </c>
      <c r="L146" t="s">
        <v>506</v>
      </c>
      <c r="M146" t="e">
        <f>VLOOKUP(A146,[1]MSAKEN!$A$1:$F$562,6,FALSE)</f>
        <v>#N/A</v>
      </c>
    </row>
    <row r="147" spans="1:13" x14ac:dyDescent="0.3">
      <c r="A147">
        <v>261</v>
      </c>
      <c r="B147" t="s">
        <v>780</v>
      </c>
      <c r="C147" t="s">
        <v>44</v>
      </c>
      <c r="D147" t="s">
        <v>535</v>
      </c>
      <c r="E147" t="s">
        <v>699</v>
      </c>
      <c r="F147" s="4">
        <v>23349</v>
      </c>
      <c r="G147">
        <v>2957186</v>
      </c>
      <c r="H147">
        <v>1120006802</v>
      </c>
      <c r="I147" t="s">
        <v>502</v>
      </c>
      <c r="J147" t="s">
        <v>568</v>
      </c>
      <c r="K147" t="s">
        <v>15</v>
      </c>
      <c r="L147" t="s">
        <v>506</v>
      </c>
      <c r="M147" t="e">
        <f>VLOOKUP(A147,[1]MSAKEN!$A$1:$F$562,6,FALSE)</f>
        <v>#N/A</v>
      </c>
    </row>
    <row r="148" spans="1:13" x14ac:dyDescent="0.3">
      <c r="A148">
        <v>262</v>
      </c>
      <c r="B148" t="s">
        <v>666</v>
      </c>
      <c r="C148" t="s">
        <v>336</v>
      </c>
      <c r="D148" t="s">
        <v>564</v>
      </c>
      <c r="E148" t="s">
        <v>773</v>
      </c>
      <c r="F148" s="4">
        <v>23531</v>
      </c>
      <c r="G148">
        <v>2949348</v>
      </c>
      <c r="H148">
        <v>1119065009</v>
      </c>
      <c r="I148" t="s">
        <v>781</v>
      </c>
      <c r="J148" t="s">
        <v>513</v>
      </c>
      <c r="K148" t="s">
        <v>15</v>
      </c>
      <c r="L148" t="s">
        <v>506</v>
      </c>
      <c r="M148" t="str">
        <f>VLOOKUP(A148,[1]MSAKEN!$A$1:$F$562,6,FALSE)</f>
        <v>03508056010100088985</v>
      </c>
    </row>
    <row r="149" spans="1:13" x14ac:dyDescent="0.3">
      <c r="A149">
        <v>263</v>
      </c>
      <c r="B149" t="s">
        <v>341</v>
      </c>
      <c r="C149" t="s">
        <v>89</v>
      </c>
      <c r="D149" t="s">
        <v>535</v>
      </c>
      <c r="E149" t="s">
        <v>782</v>
      </c>
      <c r="F149" s="4">
        <v>21769</v>
      </c>
      <c r="G149">
        <v>2896276</v>
      </c>
      <c r="H149">
        <v>1121849804</v>
      </c>
      <c r="I149" t="s">
        <v>783</v>
      </c>
      <c r="J149" t="s">
        <v>513</v>
      </c>
      <c r="K149" t="s">
        <v>15</v>
      </c>
      <c r="L149" t="s">
        <v>506</v>
      </c>
      <c r="M149" t="e">
        <f>VLOOKUP(A149,[1]MSAKEN!$A$1:$F$562,6,FALSE)</f>
        <v>#N/A</v>
      </c>
    </row>
    <row r="150" spans="1:13" x14ac:dyDescent="0.3">
      <c r="A150">
        <v>264</v>
      </c>
      <c r="B150" t="s">
        <v>275</v>
      </c>
      <c r="C150" t="s">
        <v>246</v>
      </c>
      <c r="D150" t="s">
        <v>711</v>
      </c>
      <c r="E150" t="s">
        <v>784</v>
      </c>
      <c r="F150" s="4">
        <v>22925</v>
      </c>
      <c r="G150">
        <v>2946775</v>
      </c>
      <c r="H150">
        <v>1106748500</v>
      </c>
      <c r="I150" t="s">
        <v>785</v>
      </c>
      <c r="J150" t="s">
        <v>513</v>
      </c>
      <c r="K150" t="s">
        <v>15</v>
      </c>
      <c r="L150" t="s">
        <v>506</v>
      </c>
      <c r="M150" t="e">
        <f>VLOOKUP(A150,[1]MSAKEN!$A$1:$F$562,6,FALSE)</f>
        <v>#N/A</v>
      </c>
    </row>
    <row r="151" spans="1:13" x14ac:dyDescent="0.3">
      <c r="A151">
        <v>265</v>
      </c>
      <c r="B151" t="s">
        <v>786</v>
      </c>
      <c r="C151" t="s">
        <v>270</v>
      </c>
      <c r="D151" t="s">
        <v>658</v>
      </c>
      <c r="E151" t="s">
        <v>502</v>
      </c>
      <c r="F151" s="4">
        <v>21008</v>
      </c>
      <c r="G151">
        <v>2829746</v>
      </c>
      <c r="H151">
        <v>1120284300</v>
      </c>
      <c r="I151" t="s">
        <v>787</v>
      </c>
      <c r="J151" t="s">
        <v>511</v>
      </c>
      <c r="K151" t="s">
        <v>15</v>
      </c>
      <c r="L151" t="s">
        <v>506</v>
      </c>
      <c r="M151" t="e">
        <f>VLOOKUP(A151,[1]MSAKEN!$A$1:$F$562,6,FALSE)</f>
        <v>#N/A</v>
      </c>
    </row>
    <row r="152" spans="1:13" x14ac:dyDescent="0.3">
      <c r="A152">
        <v>268</v>
      </c>
      <c r="B152" t="s">
        <v>62</v>
      </c>
      <c r="C152" t="s">
        <v>76</v>
      </c>
      <c r="D152" t="s">
        <v>502</v>
      </c>
      <c r="E152" t="s">
        <v>502</v>
      </c>
      <c r="F152" s="4">
        <v>21572</v>
      </c>
      <c r="G152">
        <v>2927105</v>
      </c>
      <c r="H152">
        <v>1120368905</v>
      </c>
      <c r="I152" t="s">
        <v>788</v>
      </c>
      <c r="J152" t="s">
        <v>513</v>
      </c>
      <c r="K152" t="s">
        <v>15</v>
      </c>
      <c r="L152" t="s">
        <v>506</v>
      </c>
      <c r="M152" t="e">
        <f>VLOOKUP(A152,[1]MSAKEN!$A$1:$F$562,6,FALSE)</f>
        <v>#N/A</v>
      </c>
    </row>
    <row r="153" spans="1:13" x14ac:dyDescent="0.3">
      <c r="A153">
        <v>269</v>
      </c>
      <c r="B153" t="s">
        <v>446</v>
      </c>
      <c r="C153" t="s">
        <v>98</v>
      </c>
      <c r="D153" t="s">
        <v>502</v>
      </c>
      <c r="E153" t="s">
        <v>502</v>
      </c>
      <c r="F153" t="s">
        <v>502</v>
      </c>
      <c r="G153">
        <v>2806464</v>
      </c>
      <c r="H153">
        <v>0</v>
      </c>
      <c r="I153" t="s">
        <v>789</v>
      </c>
      <c r="J153" t="s">
        <v>502</v>
      </c>
      <c r="K153" t="s">
        <v>15</v>
      </c>
      <c r="L153" t="s">
        <v>506</v>
      </c>
      <c r="M153" t="e">
        <f>VLOOKUP(A153,[1]MSAKEN!$A$1:$F$562,6,FALSE)</f>
        <v>#N/A</v>
      </c>
    </row>
    <row r="154" spans="1:13" x14ac:dyDescent="0.3">
      <c r="A154">
        <v>272</v>
      </c>
      <c r="B154" t="s">
        <v>790</v>
      </c>
      <c r="C154" t="s">
        <v>791</v>
      </c>
      <c r="D154" t="s">
        <v>564</v>
      </c>
      <c r="E154" t="s">
        <v>792</v>
      </c>
      <c r="F154" s="4">
        <v>23647</v>
      </c>
      <c r="G154">
        <v>2980055</v>
      </c>
      <c r="H154">
        <v>1122167800</v>
      </c>
      <c r="I154" t="s">
        <v>793</v>
      </c>
      <c r="J154" t="s">
        <v>513</v>
      </c>
      <c r="K154" t="s">
        <v>15</v>
      </c>
      <c r="L154" t="s">
        <v>506</v>
      </c>
      <c r="M154" t="e">
        <f>VLOOKUP(A154,[1]MSAKEN!$A$1:$F$562,6,FALSE)</f>
        <v>#N/A</v>
      </c>
    </row>
    <row r="155" spans="1:13" x14ac:dyDescent="0.3">
      <c r="A155">
        <v>275</v>
      </c>
      <c r="B155" t="s">
        <v>344</v>
      </c>
      <c r="C155" t="s">
        <v>132</v>
      </c>
      <c r="D155" t="s">
        <v>502</v>
      </c>
      <c r="E155" t="s">
        <v>502</v>
      </c>
      <c r="F155" s="4">
        <v>21183</v>
      </c>
      <c r="G155">
        <v>2862167</v>
      </c>
      <c r="H155">
        <v>1120292303</v>
      </c>
      <c r="I155" t="s">
        <v>794</v>
      </c>
      <c r="J155" t="s">
        <v>513</v>
      </c>
      <c r="K155" t="s">
        <v>15</v>
      </c>
      <c r="L155" t="s">
        <v>506</v>
      </c>
      <c r="M155" t="e">
        <f>VLOOKUP(A155,[1]MSAKEN!$A$1:$F$562,6,FALSE)</f>
        <v>#N/A</v>
      </c>
    </row>
    <row r="156" spans="1:13" x14ac:dyDescent="0.3">
      <c r="A156">
        <v>278</v>
      </c>
      <c r="B156" t="s">
        <v>84</v>
      </c>
      <c r="C156" t="s">
        <v>137</v>
      </c>
      <c r="D156" t="s">
        <v>502</v>
      </c>
      <c r="E156" t="s">
        <v>502</v>
      </c>
      <c r="F156" s="4">
        <v>24632</v>
      </c>
      <c r="G156">
        <v>2974177</v>
      </c>
      <c r="H156">
        <v>1120371909</v>
      </c>
      <c r="I156" t="s">
        <v>795</v>
      </c>
      <c r="J156" t="s">
        <v>513</v>
      </c>
      <c r="K156" t="s">
        <v>15</v>
      </c>
      <c r="L156" t="s">
        <v>506</v>
      </c>
      <c r="M156" t="e">
        <f>VLOOKUP(A156,[1]MSAKEN!$A$1:$F$562,6,FALSE)</f>
        <v>#N/A</v>
      </c>
    </row>
    <row r="157" spans="1:13" x14ac:dyDescent="0.3">
      <c r="A157">
        <v>279</v>
      </c>
      <c r="B157" t="s">
        <v>176</v>
      </c>
      <c r="C157" t="s">
        <v>32</v>
      </c>
      <c r="D157" t="s">
        <v>535</v>
      </c>
      <c r="E157" t="s">
        <v>708</v>
      </c>
      <c r="F157" s="4">
        <v>23236</v>
      </c>
      <c r="G157">
        <v>2945481</v>
      </c>
      <c r="H157">
        <v>1121849002</v>
      </c>
      <c r="I157" t="s">
        <v>796</v>
      </c>
      <c r="J157" t="s">
        <v>513</v>
      </c>
      <c r="K157" t="s">
        <v>15</v>
      </c>
      <c r="L157" t="s">
        <v>506</v>
      </c>
      <c r="M157" t="str">
        <f>VLOOKUP(A157,[1]MSAKEN!$A$1:$F$562,6,FALSE)</f>
        <v>08507000262000889647</v>
      </c>
    </row>
    <row r="158" spans="1:13" x14ac:dyDescent="0.3">
      <c r="A158">
        <v>280</v>
      </c>
      <c r="B158" t="s">
        <v>250</v>
      </c>
      <c r="C158" t="s">
        <v>271</v>
      </c>
      <c r="D158" t="s">
        <v>797</v>
      </c>
      <c r="E158" t="s">
        <v>792</v>
      </c>
      <c r="F158" s="4">
        <v>24181</v>
      </c>
      <c r="G158">
        <v>3370974</v>
      </c>
      <c r="H158">
        <v>1122209800</v>
      </c>
      <c r="I158" t="s">
        <v>798</v>
      </c>
      <c r="J158" t="s">
        <v>513</v>
      </c>
      <c r="K158" t="s">
        <v>15</v>
      </c>
      <c r="L158" t="s">
        <v>506</v>
      </c>
      <c r="M158" t="str">
        <f>VLOOKUP(A158,[1]MSAKEN!$A$1:$F$562,6,FALSE)</f>
        <v>20009090001145941227</v>
      </c>
    </row>
    <row r="159" spans="1:13" x14ac:dyDescent="0.3">
      <c r="A159">
        <v>284</v>
      </c>
      <c r="B159" t="s">
        <v>799</v>
      </c>
      <c r="C159" t="s">
        <v>40</v>
      </c>
      <c r="D159" t="s">
        <v>564</v>
      </c>
      <c r="E159" t="s">
        <v>800</v>
      </c>
      <c r="F159" s="4">
        <v>23705</v>
      </c>
      <c r="G159">
        <v>2953286</v>
      </c>
      <c r="H159">
        <v>1117291102</v>
      </c>
      <c r="I159" t="s">
        <v>801</v>
      </c>
      <c r="J159" t="s">
        <v>574</v>
      </c>
      <c r="K159" t="s">
        <v>15</v>
      </c>
      <c r="L159" t="s">
        <v>506</v>
      </c>
      <c r="M159" t="str">
        <f>VLOOKUP(A159,[1]MSAKEN!$A$1:$F$562,6,FALSE)</f>
        <v>20009092220013224101</v>
      </c>
    </row>
    <row r="160" spans="1:13" x14ac:dyDescent="0.3">
      <c r="A160">
        <v>289</v>
      </c>
      <c r="B160" t="s">
        <v>802</v>
      </c>
      <c r="C160" t="s">
        <v>43</v>
      </c>
      <c r="D160" t="s">
        <v>502</v>
      </c>
      <c r="E160" t="s">
        <v>502</v>
      </c>
      <c r="F160" t="s">
        <v>502</v>
      </c>
      <c r="G160">
        <v>2933969</v>
      </c>
      <c r="H160">
        <v>1121773004</v>
      </c>
      <c r="I160" t="s">
        <v>803</v>
      </c>
      <c r="J160" t="s">
        <v>502</v>
      </c>
      <c r="K160" t="s">
        <v>15</v>
      </c>
      <c r="L160" t="s">
        <v>506</v>
      </c>
      <c r="M160" t="e">
        <f>VLOOKUP(A160,[1]MSAKEN!$A$1:$F$562,6,FALSE)</f>
        <v>#N/A</v>
      </c>
    </row>
    <row r="161" spans="1:13" x14ac:dyDescent="0.3">
      <c r="A161">
        <v>290</v>
      </c>
      <c r="B161" t="s">
        <v>43</v>
      </c>
      <c r="C161" t="s">
        <v>61</v>
      </c>
      <c r="D161" t="s">
        <v>502</v>
      </c>
      <c r="E161" t="s">
        <v>502</v>
      </c>
      <c r="F161" s="4">
        <v>17330</v>
      </c>
      <c r="G161">
        <v>2825549</v>
      </c>
      <c r="H161">
        <v>40577600</v>
      </c>
      <c r="I161" t="s">
        <v>804</v>
      </c>
      <c r="J161" t="s">
        <v>513</v>
      </c>
      <c r="K161" t="s">
        <v>15</v>
      </c>
      <c r="L161" t="s">
        <v>506</v>
      </c>
      <c r="M161" t="e">
        <f>VLOOKUP(A161,[1]MSAKEN!$A$1:$F$562,6,FALSE)</f>
        <v>#N/A</v>
      </c>
    </row>
    <row r="162" spans="1:13" x14ac:dyDescent="0.3">
      <c r="A162">
        <v>292</v>
      </c>
      <c r="B162" t="s">
        <v>805</v>
      </c>
      <c r="C162" t="s">
        <v>61</v>
      </c>
      <c r="D162" t="s">
        <v>502</v>
      </c>
      <c r="E162" t="s">
        <v>502</v>
      </c>
      <c r="F162" s="4">
        <v>17274</v>
      </c>
      <c r="G162">
        <v>2897863</v>
      </c>
      <c r="H162">
        <v>58224500</v>
      </c>
      <c r="I162" t="s">
        <v>806</v>
      </c>
      <c r="J162" t="s">
        <v>513</v>
      </c>
      <c r="K162" t="s">
        <v>15</v>
      </c>
      <c r="L162" t="s">
        <v>506</v>
      </c>
      <c r="M162" t="e">
        <f>VLOOKUP(A162,[1]MSAKEN!$A$1:$F$562,6,FALSE)</f>
        <v>#N/A</v>
      </c>
    </row>
    <row r="163" spans="1:13" x14ac:dyDescent="0.3">
      <c r="A163">
        <v>294</v>
      </c>
      <c r="B163" t="s">
        <v>75</v>
      </c>
      <c r="C163" t="s">
        <v>519</v>
      </c>
      <c r="D163" t="s">
        <v>535</v>
      </c>
      <c r="E163" t="s">
        <v>773</v>
      </c>
      <c r="F163" s="4">
        <v>23958</v>
      </c>
      <c r="G163">
        <v>2956016</v>
      </c>
      <c r="H163">
        <v>1121877003</v>
      </c>
      <c r="I163" t="s">
        <v>807</v>
      </c>
      <c r="J163" t="s">
        <v>513</v>
      </c>
      <c r="K163" t="s">
        <v>15</v>
      </c>
      <c r="L163" t="s">
        <v>506</v>
      </c>
      <c r="M163" t="e">
        <f>VLOOKUP(A163,[1]MSAKEN!$A$1:$F$562,6,FALSE)</f>
        <v>#N/A</v>
      </c>
    </row>
    <row r="164" spans="1:13" x14ac:dyDescent="0.3">
      <c r="A164">
        <v>300</v>
      </c>
      <c r="B164" t="s">
        <v>340</v>
      </c>
      <c r="C164" t="s">
        <v>28</v>
      </c>
      <c r="D164" t="s">
        <v>535</v>
      </c>
      <c r="E164" t="s">
        <v>602</v>
      </c>
      <c r="F164" s="4">
        <v>23143</v>
      </c>
      <c r="G164">
        <v>2953875</v>
      </c>
      <c r="H164">
        <v>1111322309</v>
      </c>
      <c r="I164" t="s">
        <v>567</v>
      </c>
      <c r="J164" t="s">
        <v>568</v>
      </c>
      <c r="K164" t="s">
        <v>15</v>
      </c>
      <c r="L164" t="s">
        <v>506</v>
      </c>
      <c r="M164" t="e">
        <f>VLOOKUP(A164,[1]MSAKEN!$A$1:$F$562,6,FALSE)</f>
        <v>#N/A</v>
      </c>
    </row>
    <row r="165" spans="1:13" x14ac:dyDescent="0.3">
      <c r="A165">
        <v>301</v>
      </c>
      <c r="B165" t="s">
        <v>808</v>
      </c>
      <c r="C165" t="s">
        <v>353</v>
      </c>
      <c r="D165" t="s">
        <v>502</v>
      </c>
      <c r="E165" t="s">
        <v>502</v>
      </c>
      <c r="F165" s="4">
        <v>22761</v>
      </c>
      <c r="G165">
        <v>2864734</v>
      </c>
      <c r="H165">
        <v>1111387302</v>
      </c>
      <c r="I165" t="s">
        <v>809</v>
      </c>
      <c r="J165" t="s">
        <v>511</v>
      </c>
      <c r="K165" t="s">
        <v>15</v>
      </c>
      <c r="L165" t="s">
        <v>506</v>
      </c>
      <c r="M165" t="e">
        <f>VLOOKUP(A165,[1]MSAKEN!$A$1:$F$562,6,FALSE)</f>
        <v>#N/A</v>
      </c>
    </row>
    <row r="166" spans="1:13" x14ac:dyDescent="0.3">
      <c r="A166">
        <v>302</v>
      </c>
      <c r="B166" t="s">
        <v>703</v>
      </c>
      <c r="C166" t="s">
        <v>634</v>
      </c>
      <c r="D166" t="s">
        <v>502</v>
      </c>
      <c r="E166" t="s">
        <v>502</v>
      </c>
      <c r="F166" s="4">
        <v>21605</v>
      </c>
      <c r="G166">
        <v>2861761</v>
      </c>
      <c r="H166">
        <v>1122682402</v>
      </c>
      <c r="I166" t="s">
        <v>810</v>
      </c>
      <c r="J166" t="s">
        <v>513</v>
      </c>
      <c r="K166" t="s">
        <v>15</v>
      </c>
      <c r="L166" t="s">
        <v>506</v>
      </c>
      <c r="M166" t="e">
        <f>VLOOKUP(A166,[1]MSAKEN!$A$1:$F$562,6,FALSE)</f>
        <v>#N/A</v>
      </c>
    </row>
    <row r="167" spans="1:13" x14ac:dyDescent="0.3">
      <c r="A167">
        <v>303</v>
      </c>
      <c r="B167" t="s">
        <v>811</v>
      </c>
      <c r="C167" t="s">
        <v>812</v>
      </c>
      <c r="D167" t="s">
        <v>813</v>
      </c>
      <c r="E167" t="s">
        <v>584</v>
      </c>
      <c r="F167" s="4">
        <v>24231</v>
      </c>
      <c r="G167">
        <v>2984138</v>
      </c>
      <c r="H167">
        <v>1121893208</v>
      </c>
      <c r="I167" t="s">
        <v>814</v>
      </c>
      <c r="J167" t="s">
        <v>755</v>
      </c>
      <c r="K167" t="s">
        <v>15</v>
      </c>
      <c r="L167" t="s">
        <v>506</v>
      </c>
      <c r="M167" t="e">
        <f>VLOOKUP(A167,[1]MSAKEN!$A$1:$F$562,6,FALSE)</f>
        <v>#N/A</v>
      </c>
    </row>
    <row r="168" spans="1:13" x14ac:dyDescent="0.3">
      <c r="A168">
        <v>307</v>
      </c>
      <c r="B168" t="s">
        <v>300</v>
      </c>
      <c r="C168" t="s">
        <v>137</v>
      </c>
      <c r="D168" t="s">
        <v>502</v>
      </c>
      <c r="E168" t="s">
        <v>502</v>
      </c>
      <c r="F168" s="4">
        <v>18223</v>
      </c>
      <c r="G168">
        <v>2807404</v>
      </c>
      <c r="H168">
        <v>26520700</v>
      </c>
      <c r="I168" t="s">
        <v>815</v>
      </c>
      <c r="J168" t="s">
        <v>816</v>
      </c>
      <c r="K168" t="s">
        <v>15</v>
      </c>
      <c r="L168" t="s">
        <v>506</v>
      </c>
      <c r="M168" t="e">
        <f>VLOOKUP(A168,[1]MSAKEN!$A$1:$F$562,6,FALSE)</f>
        <v>#N/A</v>
      </c>
    </row>
    <row r="169" spans="1:13" x14ac:dyDescent="0.3">
      <c r="A169">
        <v>310</v>
      </c>
      <c r="B169" t="s">
        <v>817</v>
      </c>
      <c r="C169" t="s">
        <v>76</v>
      </c>
      <c r="D169" t="s">
        <v>502</v>
      </c>
      <c r="E169" t="s">
        <v>502</v>
      </c>
      <c r="F169" t="s">
        <v>502</v>
      </c>
      <c r="G169">
        <v>2038959</v>
      </c>
      <c r="H169">
        <v>0</v>
      </c>
      <c r="I169" t="s">
        <v>818</v>
      </c>
      <c r="J169" t="s">
        <v>502</v>
      </c>
      <c r="K169" t="s">
        <v>16</v>
      </c>
      <c r="L169" t="s">
        <v>506</v>
      </c>
      <c r="M169" t="e">
        <f>VLOOKUP(A169,[1]MSAKEN!$A$1:$F$562,6,FALSE)</f>
        <v>#N/A</v>
      </c>
    </row>
    <row r="170" spans="1:13" x14ac:dyDescent="0.3">
      <c r="A170">
        <v>313</v>
      </c>
      <c r="B170" t="s">
        <v>819</v>
      </c>
      <c r="C170" t="s">
        <v>246</v>
      </c>
      <c r="D170" t="s">
        <v>535</v>
      </c>
      <c r="E170" t="s">
        <v>699</v>
      </c>
      <c r="F170" s="4">
        <v>24177</v>
      </c>
      <c r="G170">
        <v>2963892</v>
      </c>
      <c r="H170">
        <v>1125010502</v>
      </c>
      <c r="I170" t="s">
        <v>820</v>
      </c>
      <c r="J170" t="s">
        <v>513</v>
      </c>
      <c r="K170" t="s">
        <v>15</v>
      </c>
      <c r="L170" t="s">
        <v>506</v>
      </c>
      <c r="M170" t="e">
        <f>VLOOKUP(A170,[1]MSAKEN!$A$1:$F$562,6,FALSE)</f>
        <v>#N/A</v>
      </c>
    </row>
    <row r="171" spans="1:13" x14ac:dyDescent="0.3">
      <c r="A171">
        <v>315</v>
      </c>
      <c r="B171" t="s">
        <v>821</v>
      </c>
      <c r="C171" t="s">
        <v>90</v>
      </c>
      <c r="D171" t="s">
        <v>670</v>
      </c>
      <c r="E171" t="s">
        <v>536</v>
      </c>
      <c r="F171" s="4">
        <v>23302</v>
      </c>
      <c r="G171">
        <v>2948982</v>
      </c>
      <c r="H171">
        <v>1103813000</v>
      </c>
      <c r="I171" t="s">
        <v>822</v>
      </c>
      <c r="J171" t="s">
        <v>513</v>
      </c>
      <c r="K171" t="s">
        <v>15</v>
      </c>
      <c r="L171" t="s">
        <v>506</v>
      </c>
      <c r="M171" t="e">
        <f>VLOOKUP(A171,[1]MSAKEN!$A$1:$F$562,6,FALSE)</f>
        <v>#N/A</v>
      </c>
    </row>
    <row r="172" spans="1:13" x14ac:dyDescent="0.3">
      <c r="A172">
        <v>318</v>
      </c>
      <c r="B172" t="s">
        <v>823</v>
      </c>
      <c r="C172" t="s">
        <v>336</v>
      </c>
      <c r="D172" t="s">
        <v>502</v>
      </c>
      <c r="E172" t="s">
        <v>502</v>
      </c>
      <c r="F172" s="4">
        <v>22160</v>
      </c>
      <c r="G172">
        <v>2898615</v>
      </c>
      <c r="H172">
        <v>1126144300</v>
      </c>
      <c r="I172" t="s">
        <v>824</v>
      </c>
      <c r="J172" t="s">
        <v>825</v>
      </c>
      <c r="K172" t="s">
        <v>15</v>
      </c>
      <c r="L172" t="s">
        <v>506</v>
      </c>
      <c r="M172" t="e">
        <f>VLOOKUP(A172,[1]MSAKEN!$A$1:$F$562,6,FALSE)</f>
        <v>#N/A</v>
      </c>
    </row>
    <row r="173" spans="1:13" x14ac:dyDescent="0.3">
      <c r="A173">
        <v>321</v>
      </c>
      <c r="B173" t="s">
        <v>826</v>
      </c>
      <c r="C173" t="s">
        <v>43</v>
      </c>
      <c r="D173" t="s">
        <v>502</v>
      </c>
      <c r="E173" t="s">
        <v>502</v>
      </c>
      <c r="F173" s="4">
        <v>24268</v>
      </c>
      <c r="G173">
        <v>2977137</v>
      </c>
      <c r="H173">
        <v>1117109106</v>
      </c>
      <c r="I173" t="s">
        <v>567</v>
      </c>
      <c r="J173" t="s">
        <v>568</v>
      </c>
      <c r="K173" t="s">
        <v>15</v>
      </c>
      <c r="L173" t="s">
        <v>506</v>
      </c>
      <c r="M173" t="e">
        <f>VLOOKUP(A173,[1]MSAKEN!$A$1:$F$562,6,FALSE)</f>
        <v>#N/A</v>
      </c>
    </row>
    <row r="174" spans="1:13" x14ac:dyDescent="0.3">
      <c r="A174">
        <v>322</v>
      </c>
      <c r="B174" t="s">
        <v>827</v>
      </c>
      <c r="C174" t="s">
        <v>34</v>
      </c>
      <c r="D174" t="s">
        <v>648</v>
      </c>
      <c r="E174" t="s">
        <v>616</v>
      </c>
      <c r="F174" s="4">
        <v>24770</v>
      </c>
      <c r="G174">
        <v>2971139</v>
      </c>
      <c r="H174">
        <v>1124684406</v>
      </c>
      <c r="I174" t="s">
        <v>828</v>
      </c>
      <c r="J174" t="s">
        <v>513</v>
      </c>
      <c r="K174" t="s">
        <v>15</v>
      </c>
      <c r="L174" t="s">
        <v>506</v>
      </c>
      <c r="M174" t="e">
        <f>VLOOKUP(A174,[1]MSAKEN!$A$1:$F$562,6,FALSE)</f>
        <v>#N/A</v>
      </c>
    </row>
    <row r="175" spans="1:13" x14ac:dyDescent="0.3">
      <c r="A175">
        <v>324</v>
      </c>
      <c r="B175" t="s">
        <v>307</v>
      </c>
      <c r="C175" t="s">
        <v>263</v>
      </c>
      <c r="D175" t="s">
        <v>829</v>
      </c>
      <c r="E175" t="s">
        <v>830</v>
      </c>
      <c r="F175" s="4">
        <v>22206</v>
      </c>
      <c r="G175">
        <v>2883781</v>
      </c>
      <c r="H175">
        <v>1101624003</v>
      </c>
      <c r="I175" t="s">
        <v>831</v>
      </c>
      <c r="J175" t="s">
        <v>513</v>
      </c>
      <c r="K175" t="s">
        <v>15</v>
      </c>
      <c r="L175" t="s">
        <v>506</v>
      </c>
      <c r="M175" t="e">
        <f>VLOOKUP(A175,[1]MSAKEN!$A$1:$F$562,6,FALSE)</f>
        <v>#N/A</v>
      </c>
    </row>
    <row r="176" spans="1:13" x14ac:dyDescent="0.3">
      <c r="A176">
        <v>325</v>
      </c>
      <c r="B176" t="s">
        <v>196</v>
      </c>
      <c r="C176" t="s">
        <v>758</v>
      </c>
      <c r="D176" t="s">
        <v>651</v>
      </c>
      <c r="E176" t="s">
        <v>832</v>
      </c>
      <c r="F176" s="4">
        <v>21680</v>
      </c>
      <c r="G176">
        <v>2841285</v>
      </c>
      <c r="H176">
        <v>1121231607</v>
      </c>
      <c r="I176" t="s">
        <v>502</v>
      </c>
      <c r="J176" t="s">
        <v>833</v>
      </c>
      <c r="K176" t="s">
        <v>15</v>
      </c>
      <c r="L176" t="s">
        <v>506</v>
      </c>
      <c r="M176" t="e">
        <f>VLOOKUP(A176,[1]MSAKEN!$A$1:$F$562,6,FALSE)</f>
        <v>#N/A</v>
      </c>
    </row>
    <row r="177" spans="1:13" x14ac:dyDescent="0.3">
      <c r="A177">
        <v>326</v>
      </c>
      <c r="B177" t="s">
        <v>199</v>
      </c>
      <c r="C177" t="s">
        <v>31</v>
      </c>
      <c r="D177" t="s">
        <v>834</v>
      </c>
      <c r="E177" t="s">
        <v>630</v>
      </c>
      <c r="F177" s="4">
        <v>23630</v>
      </c>
      <c r="G177">
        <v>2950828</v>
      </c>
      <c r="H177">
        <v>1119840401</v>
      </c>
      <c r="I177" t="s">
        <v>835</v>
      </c>
      <c r="J177" t="s">
        <v>513</v>
      </c>
      <c r="K177" t="s">
        <v>15</v>
      </c>
      <c r="L177" t="s">
        <v>506</v>
      </c>
      <c r="M177" t="str">
        <f>VLOOKUP(A177,[1]MSAKEN!$A$1:$F$562,6,FALSE)</f>
        <v>12505000580100649568</v>
      </c>
    </row>
    <row r="178" spans="1:13" x14ac:dyDescent="0.3">
      <c r="A178">
        <v>328</v>
      </c>
      <c r="B178" t="s">
        <v>243</v>
      </c>
      <c r="C178" t="s">
        <v>242</v>
      </c>
      <c r="D178" t="s">
        <v>836</v>
      </c>
      <c r="E178" t="s">
        <v>708</v>
      </c>
      <c r="F178" s="4">
        <v>24247</v>
      </c>
      <c r="G178">
        <v>2966897</v>
      </c>
      <c r="H178">
        <v>1122167701</v>
      </c>
      <c r="I178" t="s">
        <v>837</v>
      </c>
      <c r="J178" t="s">
        <v>657</v>
      </c>
      <c r="K178" t="s">
        <v>15</v>
      </c>
      <c r="L178" t="s">
        <v>506</v>
      </c>
      <c r="M178" t="str">
        <f>VLOOKUP(A178,[1]MSAKEN!$A$1:$F$562,6,FALSE)</f>
        <v>10506040205075378856</v>
      </c>
    </row>
    <row r="179" spans="1:13" x14ac:dyDescent="0.3">
      <c r="A179">
        <v>329</v>
      </c>
      <c r="B179" t="s">
        <v>838</v>
      </c>
      <c r="C179" t="s">
        <v>105</v>
      </c>
      <c r="D179" t="s">
        <v>502</v>
      </c>
      <c r="E179" t="s">
        <v>502</v>
      </c>
      <c r="F179" s="4">
        <v>19684</v>
      </c>
      <c r="G179">
        <v>2721865</v>
      </c>
      <c r="H179">
        <v>69108300</v>
      </c>
      <c r="I179" t="s">
        <v>567</v>
      </c>
      <c r="J179" t="s">
        <v>568</v>
      </c>
      <c r="K179" t="s">
        <v>15</v>
      </c>
      <c r="L179" t="s">
        <v>506</v>
      </c>
      <c r="M179" t="e">
        <f>VLOOKUP(A179,[1]MSAKEN!$A$1:$F$562,6,FALSE)</f>
        <v>#N/A</v>
      </c>
    </row>
    <row r="180" spans="1:13" x14ac:dyDescent="0.3">
      <c r="A180">
        <v>330</v>
      </c>
      <c r="B180" t="s">
        <v>839</v>
      </c>
      <c r="C180" t="s">
        <v>840</v>
      </c>
      <c r="D180" t="s">
        <v>502</v>
      </c>
      <c r="E180" t="s">
        <v>502</v>
      </c>
      <c r="F180" s="4">
        <v>19220</v>
      </c>
      <c r="G180">
        <v>2946836</v>
      </c>
      <c r="H180">
        <v>1103144505</v>
      </c>
      <c r="I180" t="s">
        <v>841</v>
      </c>
      <c r="J180" t="s">
        <v>513</v>
      </c>
      <c r="K180" t="s">
        <v>15</v>
      </c>
      <c r="L180" t="s">
        <v>506</v>
      </c>
      <c r="M180" t="e">
        <f>VLOOKUP(A180,[1]MSAKEN!$A$1:$F$562,6,FALSE)</f>
        <v>#N/A</v>
      </c>
    </row>
    <row r="181" spans="1:13" x14ac:dyDescent="0.3">
      <c r="A181">
        <v>331</v>
      </c>
      <c r="B181" t="s">
        <v>112</v>
      </c>
      <c r="C181" t="s">
        <v>472</v>
      </c>
      <c r="D181" t="s">
        <v>502</v>
      </c>
      <c r="E181" t="s">
        <v>502</v>
      </c>
      <c r="F181" s="4">
        <v>18744</v>
      </c>
      <c r="G181">
        <v>2835009</v>
      </c>
      <c r="H181">
        <v>1129213102</v>
      </c>
      <c r="I181" t="s">
        <v>842</v>
      </c>
      <c r="J181" t="s">
        <v>513</v>
      </c>
      <c r="K181" t="s">
        <v>15</v>
      </c>
      <c r="L181" t="s">
        <v>506</v>
      </c>
      <c r="M181" t="e">
        <f>VLOOKUP(A181,[1]MSAKEN!$A$1:$F$562,6,FALSE)</f>
        <v>#N/A</v>
      </c>
    </row>
    <row r="182" spans="1:13" x14ac:dyDescent="0.3">
      <c r="A182">
        <v>332</v>
      </c>
      <c r="B182" t="s">
        <v>819</v>
      </c>
      <c r="C182" t="s">
        <v>34</v>
      </c>
      <c r="D182" t="s">
        <v>843</v>
      </c>
      <c r="E182" t="s">
        <v>584</v>
      </c>
      <c r="F182" s="4">
        <v>24396</v>
      </c>
      <c r="G182">
        <v>2963811</v>
      </c>
      <c r="H182">
        <v>1121861304</v>
      </c>
      <c r="I182" t="s">
        <v>844</v>
      </c>
      <c r="J182" t="s">
        <v>513</v>
      </c>
      <c r="K182" t="s">
        <v>15</v>
      </c>
      <c r="L182" t="s">
        <v>506</v>
      </c>
      <c r="M182" t="e">
        <f>VLOOKUP(A182,[1]MSAKEN!$A$1:$F$562,6,FALSE)</f>
        <v>#N/A</v>
      </c>
    </row>
    <row r="183" spans="1:13" x14ac:dyDescent="0.3">
      <c r="A183">
        <v>333</v>
      </c>
      <c r="B183" t="s">
        <v>703</v>
      </c>
      <c r="C183" t="s">
        <v>181</v>
      </c>
      <c r="D183" t="s">
        <v>834</v>
      </c>
      <c r="E183" t="s">
        <v>649</v>
      </c>
      <c r="F183" s="4">
        <v>23703</v>
      </c>
      <c r="G183">
        <v>2960410</v>
      </c>
      <c r="H183">
        <v>1121859308</v>
      </c>
      <c r="I183" t="s">
        <v>845</v>
      </c>
      <c r="J183" t="s">
        <v>513</v>
      </c>
      <c r="K183" t="s">
        <v>15</v>
      </c>
      <c r="L183" t="s">
        <v>506</v>
      </c>
      <c r="M183" t="e">
        <f>VLOOKUP(A183,[1]MSAKEN!$A$1:$F$562,6,FALSE)</f>
        <v>#N/A</v>
      </c>
    </row>
    <row r="184" spans="1:13" x14ac:dyDescent="0.3">
      <c r="A184">
        <v>334</v>
      </c>
      <c r="B184" t="s">
        <v>250</v>
      </c>
      <c r="C184" t="s">
        <v>136</v>
      </c>
      <c r="D184" t="s">
        <v>502</v>
      </c>
      <c r="E184" t="s">
        <v>502</v>
      </c>
      <c r="F184" t="s">
        <v>502</v>
      </c>
      <c r="G184">
        <v>2893994</v>
      </c>
      <c r="H184">
        <v>1120333008</v>
      </c>
      <c r="I184" t="s">
        <v>846</v>
      </c>
      <c r="J184" t="s">
        <v>502</v>
      </c>
      <c r="K184" t="s">
        <v>15</v>
      </c>
      <c r="L184" t="s">
        <v>506</v>
      </c>
      <c r="M184" t="e">
        <f>VLOOKUP(A184,[1]MSAKEN!$A$1:$F$562,6,FALSE)</f>
        <v>#N/A</v>
      </c>
    </row>
    <row r="185" spans="1:13" x14ac:dyDescent="0.3">
      <c r="A185">
        <v>339</v>
      </c>
      <c r="B185" t="s">
        <v>199</v>
      </c>
      <c r="C185" t="s">
        <v>34</v>
      </c>
      <c r="D185" t="s">
        <v>502</v>
      </c>
      <c r="E185" t="s">
        <v>502</v>
      </c>
      <c r="F185" s="4">
        <v>24088</v>
      </c>
      <c r="G185">
        <v>2974822</v>
      </c>
      <c r="H185">
        <v>1120354004</v>
      </c>
      <c r="I185" t="s">
        <v>847</v>
      </c>
      <c r="J185" t="s">
        <v>513</v>
      </c>
      <c r="K185" t="s">
        <v>15</v>
      </c>
      <c r="L185" t="s">
        <v>506</v>
      </c>
      <c r="M185" t="e">
        <f>VLOOKUP(A185,[1]MSAKEN!$A$1:$F$562,6,FALSE)</f>
        <v>#N/A</v>
      </c>
    </row>
    <row r="186" spans="1:13" x14ac:dyDescent="0.3">
      <c r="A186">
        <v>342</v>
      </c>
      <c r="B186" t="s">
        <v>227</v>
      </c>
      <c r="C186" t="s">
        <v>31</v>
      </c>
      <c r="D186" t="s">
        <v>564</v>
      </c>
      <c r="E186" t="s">
        <v>714</v>
      </c>
      <c r="F186" s="4">
        <v>24250</v>
      </c>
      <c r="G186">
        <v>2977365</v>
      </c>
      <c r="H186">
        <v>1121868200</v>
      </c>
      <c r="I186" t="s">
        <v>848</v>
      </c>
      <c r="J186" t="s">
        <v>513</v>
      </c>
      <c r="K186" t="s">
        <v>15</v>
      </c>
      <c r="L186" t="s">
        <v>506</v>
      </c>
      <c r="M186" t="e">
        <f>VLOOKUP(A186,[1]MSAKEN!$A$1:$F$562,6,FALSE)</f>
        <v>#N/A</v>
      </c>
    </row>
    <row r="187" spans="1:13" x14ac:dyDescent="0.3">
      <c r="A187">
        <v>343</v>
      </c>
      <c r="B187" t="s">
        <v>386</v>
      </c>
      <c r="C187" t="s">
        <v>400</v>
      </c>
      <c r="D187" t="s">
        <v>651</v>
      </c>
      <c r="E187" t="s">
        <v>849</v>
      </c>
      <c r="F187" s="4">
        <v>20809</v>
      </c>
      <c r="G187">
        <v>2818404</v>
      </c>
      <c r="H187">
        <v>1121839805</v>
      </c>
      <c r="I187" t="s">
        <v>850</v>
      </c>
      <c r="J187" t="s">
        <v>513</v>
      </c>
      <c r="K187" t="s">
        <v>15</v>
      </c>
      <c r="L187" t="s">
        <v>506</v>
      </c>
      <c r="M187" t="e">
        <f>VLOOKUP(A187,[1]MSAKEN!$A$1:$F$562,6,FALSE)</f>
        <v>#N/A</v>
      </c>
    </row>
    <row r="188" spans="1:13" x14ac:dyDescent="0.3">
      <c r="A188">
        <v>344</v>
      </c>
      <c r="B188" t="s">
        <v>851</v>
      </c>
      <c r="C188" t="s">
        <v>468</v>
      </c>
      <c r="D188" t="s">
        <v>615</v>
      </c>
      <c r="E188" t="s">
        <v>569</v>
      </c>
      <c r="F188" s="4">
        <v>23694</v>
      </c>
      <c r="G188">
        <v>2952362</v>
      </c>
      <c r="H188">
        <v>1121877508</v>
      </c>
      <c r="I188" t="s">
        <v>852</v>
      </c>
      <c r="J188" t="s">
        <v>513</v>
      </c>
      <c r="K188" t="s">
        <v>15</v>
      </c>
      <c r="L188" t="s">
        <v>506</v>
      </c>
      <c r="M188" t="str">
        <f>VLOOKUP(A188,[1]MSAKEN!$A$1:$F$562,6,FALSE)</f>
        <v>12505000580100744046</v>
      </c>
    </row>
    <row r="189" spans="1:13" x14ac:dyDescent="0.3">
      <c r="A189">
        <v>345</v>
      </c>
      <c r="B189" t="s">
        <v>213</v>
      </c>
      <c r="C189" t="s">
        <v>758</v>
      </c>
      <c r="D189" t="s">
        <v>853</v>
      </c>
      <c r="E189" t="s">
        <v>536</v>
      </c>
      <c r="F189" s="4">
        <v>23169</v>
      </c>
      <c r="G189">
        <v>4453093</v>
      </c>
      <c r="H189">
        <v>1106073305</v>
      </c>
      <c r="I189" t="s">
        <v>854</v>
      </c>
      <c r="J189" t="s">
        <v>513</v>
      </c>
      <c r="K189" t="s">
        <v>15</v>
      </c>
      <c r="L189" t="s">
        <v>506</v>
      </c>
      <c r="M189" t="e">
        <f>VLOOKUP(A189,[1]MSAKEN!$A$1:$F$562,6,FALSE)</f>
        <v>#N/A</v>
      </c>
    </row>
    <row r="190" spans="1:13" x14ac:dyDescent="0.3">
      <c r="A190">
        <v>346</v>
      </c>
      <c r="B190" t="s">
        <v>611</v>
      </c>
      <c r="C190" t="s">
        <v>167</v>
      </c>
      <c r="D190" t="s">
        <v>738</v>
      </c>
      <c r="E190" t="s">
        <v>773</v>
      </c>
      <c r="F190" s="4">
        <v>23145</v>
      </c>
      <c r="G190">
        <v>2951431</v>
      </c>
      <c r="H190">
        <v>1121893406</v>
      </c>
      <c r="I190" t="s">
        <v>855</v>
      </c>
      <c r="J190" t="s">
        <v>513</v>
      </c>
      <c r="K190" t="s">
        <v>15</v>
      </c>
      <c r="L190" t="s">
        <v>506</v>
      </c>
      <c r="M190" t="str">
        <f>VLOOKUP(A190,[1]MSAKEN!$A$1:$F$562,6,FALSE)</f>
        <v>20009092220013527711</v>
      </c>
    </row>
    <row r="191" spans="1:13" x14ac:dyDescent="0.3">
      <c r="A191">
        <v>351</v>
      </c>
      <c r="B191" t="s">
        <v>856</v>
      </c>
      <c r="C191" t="s">
        <v>34</v>
      </c>
      <c r="D191" t="s">
        <v>502</v>
      </c>
      <c r="E191" t="s">
        <v>502</v>
      </c>
      <c r="F191" s="4">
        <v>20002</v>
      </c>
      <c r="G191">
        <v>2822761</v>
      </c>
      <c r="H191">
        <v>1122804303</v>
      </c>
      <c r="I191" t="s">
        <v>857</v>
      </c>
      <c r="J191" t="s">
        <v>513</v>
      </c>
      <c r="K191" t="s">
        <v>15</v>
      </c>
      <c r="L191" t="s">
        <v>506</v>
      </c>
      <c r="M191" t="e">
        <f>VLOOKUP(A191,[1]MSAKEN!$A$1:$F$562,6,FALSE)</f>
        <v>#N/A</v>
      </c>
    </row>
    <row r="192" spans="1:13" x14ac:dyDescent="0.3">
      <c r="A192">
        <v>352</v>
      </c>
      <c r="B192" t="s">
        <v>858</v>
      </c>
      <c r="C192" t="s">
        <v>45</v>
      </c>
      <c r="D192" t="s">
        <v>502</v>
      </c>
      <c r="E192" t="s">
        <v>502</v>
      </c>
      <c r="F192" s="4">
        <v>20684</v>
      </c>
      <c r="G192">
        <v>2941446</v>
      </c>
      <c r="H192">
        <v>1123500405</v>
      </c>
      <c r="I192" t="s">
        <v>859</v>
      </c>
      <c r="J192" t="s">
        <v>513</v>
      </c>
      <c r="K192" t="s">
        <v>15</v>
      </c>
      <c r="L192" t="s">
        <v>506</v>
      </c>
      <c r="M192" t="e">
        <f>VLOOKUP(A192,[1]MSAKEN!$A$1:$F$562,6,FALSE)</f>
        <v>#N/A</v>
      </c>
    </row>
    <row r="193" spans="1:13" x14ac:dyDescent="0.3">
      <c r="A193">
        <v>356</v>
      </c>
      <c r="B193" t="s">
        <v>29</v>
      </c>
      <c r="C193" t="s">
        <v>336</v>
      </c>
      <c r="D193" t="s">
        <v>670</v>
      </c>
      <c r="E193" t="s">
        <v>630</v>
      </c>
      <c r="F193" s="4">
        <v>23916</v>
      </c>
      <c r="G193">
        <v>2972809</v>
      </c>
      <c r="H193">
        <v>1119058103</v>
      </c>
      <c r="I193" t="s">
        <v>860</v>
      </c>
      <c r="J193" t="s">
        <v>513</v>
      </c>
      <c r="K193" t="s">
        <v>15</v>
      </c>
      <c r="L193" t="s">
        <v>506</v>
      </c>
      <c r="M193" t="str">
        <f>VLOOKUP(A193,[1]MSAKEN!$A$1:$F$562,6,FALSE)</f>
        <v>04204067404000631620</v>
      </c>
    </row>
    <row r="194" spans="1:13" x14ac:dyDescent="0.3">
      <c r="A194">
        <v>357</v>
      </c>
      <c r="B194" t="s">
        <v>861</v>
      </c>
      <c r="C194" t="s">
        <v>181</v>
      </c>
      <c r="D194" t="s">
        <v>588</v>
      </c>
      <c r="E194" t="s">
        <v>569</v>
      </c>
      <c r="F194" s="4">
        <v>24383</v>
      </c>
      <c r="G194">
        <v>2974610</v>
      </c>
      <c r="H194">
        <v>1121859704</v>
      </c>
      <c r="I194" t="s">
        <v>862</v>
      </c>
      <c r="J194" t="s">
        <v>513</v>
      </c>
      <c r="K194" t="s">
        <v>15</v>
      </c>
      <c r="L194" t="s">
        <v>506</v>
      </c>
      <c r="M194" t="str">
        <f>VLOOKUP(A194,[1]MSAKEN!$A$1:$F$562,6,FALSE)</f>
        <v>25018000000014912267</v>
      </c>
    </row>
    <row r="195" spans="1:13" x14ac:dyDescent="0.3">
      <c r="A195">
        <v>358</v>
      </c>
      <c r="B195" t="s">
        <v>863</v>
      </c>
      <c r="C195" t="s">
        <v>109</v>
      </c>
      <c r="D195" t="s">
        <v>502</v>
      </c>
      <c r="E195" t="s">
        <v>502</v>
      </c>
      <c r="F195" s="4">
        <v>19923</v>
      </c>
      <c r="G195">
        <v>2881529</v>
      </c>
      <c r="H195">
        <v>1122353707</v>
      </c>
      <c r="I195" t="s">
        <v>864</v>
      </c>
      <c r="J195" t="s">
        <v>513</v>
      </c>
      <c r="K195" t="s">
        <v>15</v>
      </c>
      <c r="L195" t="s">
        <v>506</v>
      </c>
      <c r="M195" t="e">
        <f>VLOOKUP(A195,[1]MSAKEN!$A$1:$F$562,6,FALSE)</f>
        <v>#N/A</v>
      </c>
    </row>
    <row r="196" spans="1:13" x14ac:dyDescent="0.3">
      <c r="A196">
        <v>359</v>
      </c>
      <c r="B196" t="s">
        <v>342</v>
      </c>
      <c r="C196" t="s">
        <v>109</v>
      </c>
      <c r="D196" t="s">
        <v>535</v>
      </c>
      <c r="E196" t="s">
        <v>708</v>
      </c>
      <c r="F196" s="4">
        <v>23179</v>
      </c>
      <c r="G196">
        <v>2948902</v>
      </c>
      <c r="H196">
        <v>1123032508</v>
      </c>
      <c r="I196" t="s">
        <v>865</v>
      </c>
      <c r="J196" t="s">
        <v>513</v>
      </c>
      <c r="K196" t="s">
        <v>15</v>
      </c>
      <c r="L196" t="s">
        <v>506</v>
      </c>
      <c r="M196" t="str">
        <f>VLOOKUP(A196,[1]MSAKEN!$A$1:$F$562,6,FALSE)</f>
        <v>12505000580100782361</v>
      </c>
    </row>
    <row r="197" spans="1:13" x14ac:dyDescent="0.3">
      <c r="A197">
        <v>360</v>
      </c>
      <c r="B197" t="s">
        <v>866</v>
      </c>
      <c r="C197" t="s">
        <v>118</v>
      </c>
      <c r="D197" t="s">
        <v>520</v>
      </c>
      <c r="E197" t="s">
        <v>867</v>
      </c>
      <c r="F197" s="4">
        <v>23174</v>
      </c>
      <c r="G197">
        <v>2972479</v>
      </c>
      <c r="H197">
        <v>1121850000</v>
      </c>
      <c r="I197" t="s">
        <v>868</v>
      </c>
      <c r="J197" t="s">
        <v>568</v>
      </c>
      <c r="K197" t="s">
        <v>15</v>
      </c>
      <c r="L197" t="s">
        <v>506</v>
      </c>
      <c r="M197" t="e">
        <f>VLOOKUP(A197,[1]MSAKEN!$A$1:$F$562,6,FALSE)</f>
        <v>#N/A</v>
      </c>
    </row>
    <row r="198" spans="1:13" x14ac:dyDescent="0.3">
      <c r="A198">
        <v>361</v>
      </c>
      <c r="B198" t="s">
        <v>869</v>
      </c>
      <c r="C198" t="s">
        <v>382</v>
      </c>
      <c r="D198" t="s">
        <v>870</v>
      </c>
      <c r="E198" t="s">
        <v>714</v>
      </c>
      <c r="F198" s="4">
        <v>24013</v>
      </c>
      <c r="G198">
        <v>2986022</v>
      </c>
      <c r="H198">
        <v>1121893109</v>
      </c>
      <c r="I198" t="s">
        <v>871</v>
      </c>
      <c r="J198" t="s">
        <v>755</v>
      </c>
      <c r="K198" t="s">
        <v>15</v>
      </c>
      <c r="L198" t="s">
        <v>506</v>
      </c>
      <c r="M198" t="str">
        <f>VLOOKUP(A198,[1]MSAKEN!$A$1:$F$562,6,FALSE)</f>
        <v>04204067404000917964</v>
      </c>
    </row>
    <row r="199" spans="1:13" x14ac:dyDescent="0.3">
      <c r="A199">
        <v>363</v>
      </c>
      <c r="B199" t="s">
        <v>83</v>
      </c>
      <c r="C199" t="s">
        <v>76</v>
      </c>
      <c r="D199" t="s">
        <v>502</v>
      </c>
      <c r="E199" t="s">
        <v>502</v>
      </c>
      <c r="F199" s="4">
        <v>22962</v>
      </c>
      <c r="G199">
        <v>2946063</v>
      </c>
      <c r="H199">
        <v>1121848905</v>
      </c>
      <c r="I199" t="s">
        <v>872</v>
      </c>
      <c r="J199" t="s">
        <v>513</v>
      </c>
      <c r="K199" t="s">
        <v>15</v>
      </c>
      <c r="L199" t="s">
        <v>506</v>
      </c>
      <c r="M199" t="e">
        <f>VLOOKUP(A199,[1]MSAKEN!$A$1:$F$562,6,FALSE)</f>
        <v>#N/A</v>
      </c>
    </row>
    <row r="200" spans="1:13" x14ac:dyDescent="0.3">
      <c r="A200">
        <v>364</v>
      </c>
      <c r="B200" t="s">
        <v>119</v>
      </c>
      <c r="C200" t="s">
        <v>31</v>
      </c>
      <c r="D200" t="s">
        <v>502</v>
      </c>
      <c r="E200" t="s">
        <v>502</v>
      </c>
      <c r="F200" s="4">
        <v>24159</v>
      </c>
      <c r="G200">
        <v>2964694</v>
      </c>
      <c r="H200">
        <v>1121868309</v>
      </c>
      <c r="I200" t="s">
        <v>873</v>
      </c>
      <c r="J200" t="s">
        <v>513</v>
      </c>
      <c r="K200" t="s">
        <v>15</v>
      </c>
      <c r="L200" t="s">
        <v>506</v>
      </c>
      <c r="M200" t="e">
        <f>VLOOKUP(A200,[1]MSAKEN!$A$1:$F$562,6,FALSE)</f>
        <v>#N/A</v>
      </c>
    </row>
    <row r="201" spans="1:13" x14ac:dyDescent="0.3">
      <c r="A201">
        <v>368</v>
      </c>
      <c r="B201" t="s">
        <v>356</v>
      </c>
      <c r="C201" t="s">
        <v>246</v>
      </c>
      <c r="D201" t="s">
        <v>648</v>
      </c>
      <c r="E201" t="s">
        <v>649</v>
      </c>
      <c r="F201" s="4">
        <v>23531</v>
      </c>
      <c r="G201">
        <v>2952022</v>
      </c>
      <c r="H201">
        <v>1121868903</v>
      </c>
      <c r="I201" t="s">
        <v>874</v>
      </c>
      <c r="J201" t="s">
        <v>513</v>
      </c>
      <c r="K201" t="s">
        <v>15</v>
      </c>
      <c r="L201" t="s">
        <v>506</v>
      </c>
      <c r="M201" t="str">
        <f>VLOOKUP(A201,[1]MSAKEN!$A$1:$F$562,6,FALSE)</f>
        <v>10506040203075578841</v>
      </c>
    </row>
    <row r="202" spans="1:13" x14ac:dyDescent="0.3">
      <c r="A202">
        <v>369</v>
      </c>
      <c r="B202" t="s">
        <v>266</v>
      </c>
      <c r="C202" t="s">
        <v>26</v>
      </c>
      <c r="D202" t="s">
        <v>564</v>
      </c>
      <c r="E202" t="s">
        <v>584</v>
      </c>
      <c r="F202" s="4">
        <v>23172</v>
      </c>
      <c r="G202">
        <v>2947387</v>
      </c>
      <c r="H202">
        <v>1122188301</v>
      </c>
      <c r="I202" t="s">
        <v>875</v>
      </c>
      <c r="J202" t="s">
        <v>513</v>
      </c>
      <c r="K202" t="s">
        <v>15</v>
      </c>
      <c r="L202" t="s">
        <v>506</v>
      </c>
      <c r="M202" t="str">
        <f>VLOOKUP(A202,[1]MSAKEN!$A$1:$F$562,6,FALSE)</f>
        <v>03508056010100091895</v>
      </c>
    </row>
    <row r="203" spans="1:13" x14ac:dyDescent="0.3">
      <c r="A203">
        <v>370</v>
      </c>
      <c r="B203" t="s">
        <v>876</v>
      </c>
      <c r="C203" t="s">
        <v>28</v>
      </c>
      <c r="D203" t="s">
        <v>564</v>
      </c>
      <c r="E203" t="s">
        <v>536</v>
      </c>
      <c r="F203" s="4">
        <v>24598</v>
      </c>
      <c r="G203">
        <v>2980306</v>
      </c>
      <c r="H203">
        <v>1121849200</v>
      </c>
      <c r="I203" t="s">
        <v>877</v>
      </c>
      <c r="J203" t="s">
        <v>513</v>
      </c>
      <c r="K203" t="s">
        <v>15</v>
      </c>
      <c r="L203" t="s">
        <v>506</v>
      </c>
      <c r="M203" t="e">
        <f>VLOOKUP(A203,[1]MSAKEN!$A$1:$F$562,6,FALSE)</f>
        <v>#N/A</v>
      </c>
    </row>
    <row r="204" spans="1:13" x14ac:dyDescent="0.3">
      <c r="A204">
        <v>372</v>
      </c>
      <c r="B204" t="s">
        <v>29</v>
      </c>
      <c r="C204" t="s">
        <v>216</v>
      </c>
      <c r="D204" t="s">
        <v>738</v>
      </c>
      <c r="E204" t="s">
        <v>546</v>
      </c>
      <c r="F204" s="4">
        <v>24852</v>
      </c>
      <c r="G204">
        <v>2977474</v>
      </c>
      <c r="H204">
        <v>1121869000</v>
      </c>
      <c r="I204" t="s">
        <v>878</v>
      </c>
      <c r="J204" t="s">
        <v>513</v>
      </c>
      <c r="K204" t="s">
        <v>15</v>
      </c>
      <c r="L204" t="s">
        <v>506</v>
      </c>
      <c r="M204" t="e">
        <f>VLOOKUP(A204,[1]MSAKEN!$A$1:$F$562,6,FALSE)</f>
        <v>#N/A</v>
      </c>
    </row>
    <row r="205" spans="1:13" x14ac:dyDescent="0.3">
      <c r="A205">
        <v>376</v>
      </c>
      <c r="B205" t="s">
        <v>193</v>
      </c>
      <c r="C205" t="s">
        <v>118</v>
      </c>
      <c r="D205" t="s">
        <v>674</v>
      </c>
      <c r="E205" t="s">
        <v>879</v>
      </c>
      <c r="F205" s="4">
        <v>22354</v>
      </c>
      <c r="G205">
        <v>2923503</v>
      </c>
      <c r="H205">
        <v>1117063709</v>
      </c>
      <c r="I205" t="s">
        <v>880</v>
      </c>
      <c r="J205" t="s">
        <v>513</v>
      </c>
      <c r="K205" t="s">
        <v>15</v>
      </c>
      <c r="L205" t="s">
        <v>506</v>
      </c>
      <c r="M205" t="e">
        <f>VLOOKUP(A205,[1]MSAKEN!$A$1:$F$562,6,FALSE)</f>
        <v>#N/A</v>
      </c>
    </row>
    <row r="206" spans="1:13" x14ac:dyDescent="0.3">
      <c r="A206">
        <v>377</v>
      </c>
      <c r="B206" t="s">
        <v>881</v>
      </c>
      <c r="C206" t="s">
        <v>181</v>
      </c>
      <c r="D206" t="s">
        <v>882</v>
      </c>
      <c r="E206" t="s">
        <v>584</v>
      </c>
      <c r="F206" s="4">
        <v>24249</v>
      </c>
      <c r="G206">
        <v>2978852</v>
      </c>
      <c r="H206">
        <v>1122214008</v>
      </c>
      <c r="I206" t="s">
        <v>883</v>
      </c>
      <c r="J206" t="s">
        <v>513</v>
      </c>
      <c r="K206" t="s">
        <v>15</v>
      </c>
      <c r="L206" t="s">
        <v>506</v>
      </c>
      <c r="M206" t="e">
        <f>VLOOKUP(A206,[1]MSAKEN!$A$1:$F$562,6,FALSE)</f>
        <v>#N/A</v>
      </c>
    </row>
    <row r="207" spans="1:13" x14ac:dyDescent="0.3">
      <c r="A207">
        <v>379</v>
      </c>
      <c r="B207" t="s">
        <v>190</v>
      </c>
      <c r="C207" t="s">
        <v>66</v>
      </c>
      <c r="D207" t="s">
        <v>772</v>
      </c>
      <c r="E207" t="s">
        <v>616</v>
      </c>
      <c r="F207" s="4">
        <v>22465</v>
      </c>
      <c r="G207">
        <v>2847677</v>
      </c>
      <c r="H207">
        <v>1111537401</v>
      </c>
      <c r="I207" t="s">
        <v>884</v>
      </c>
      <c r="J207" t="s">
        <v>513</v>
      </c>
      <c r="K207" t="s">
        <v>15</v>
      </c>
      <c r="L207" t="s">
        <v>506</v>
      </c>
      <c r="M207" t="e">
        <f>VLOOKUP(A207,[1]MSAKEN!$A$1:$F$562,6,FALSE)</f>
        <v>#N/A</v>
      </c>
    </row>
    <row r="208" spans="1:13" x14ac:dyDescent="0.3">
      <c r="A208">
        <v>381</v>
      </c>
      <c r="B208" t="s">
        <v>885</v>
      </c>
      <c r="C208" t="s">
        <v>371</v>
      </c>
      <c r="D208" t="s">
        <v>535</v>
      </c>
      <c r="E208" t="s">
        <v>773</v>
      </c>
      <c r="F208" s="4">
        <v>23361</v>
      </c>
      <c r="G208">
        <v>2965396</v>
      </c>
      <c r="H208">
        <v>1122188202</v>
      </c>
      <c r="I208" t="s">
        <v>886</v>
      </c>
      <c r="J208" t="s">
        <v>513</v>
      </c>
      <c r="K208" t="s">
        <v>15</v>
      </c>
      <c r="L208" t="s">
        <v>506</v>
      </c>
      <c r="M208" t="e">
        <f>VLOOKUP(A208,[1]MSAKEN!$A$1:$F$562,6,FALSE)</f>
        <v>#N/A</v>
      </c>
    </row>
    <row r="209" spans="1:13" x14ac:dyDescent="0.3">
      <c r="A209">
        <v>382</v>
      </c>
      <c r="B209" t="s">
        <v>103</v>
      </c>
      <c r="C209" t="s">
        <v>145</v>
      </c>
      <c r="D209" t="s">
        <v>535</v>
      </c>
      <c r="E209" t="s">
        <v>630</v>
      </c>
      <c r="F209" s="4">
        <v>23821</v>
      </c>
      <c r="G209">
        <v>2969788</v>
      </c>
      <c r="H209">
        <v>1122200007</v>
      </c>
      <c r="I209" t="s">
        <v>887</v>
      </c>
      <c r="J209" t="s">
        <v>513</v>
      </c>
      <c r="K209" t="s">
        <v>15</v>
      </c>
      <c r="L209" t="s">
        <v>506</v>
      </c>
      <c r="M209" t="str">
        <f>VLOOKUP(A209,[1]MSAKEN!$A$1:$F$562,6,FALSE)</f>
        <v>03508056010100157952</v>
      </c>
    </row>
    <row r="210" spans="1:13" x14ac:dyDescent="0.3">
      <c r="A210">
        <v>383</v>
      </c>
      <c r="B210" t="s">
        <v>888</v>
      </c>
      <c r="C210" t="s">
        <v>61</v>
      </c>
      <c r="D210" t="s">
        <v>502</v>
      </c>
      <c r="E210" t="s">
        <v>502</v>
      </c>
      <c r="F210" t="s">
        <v>502</v>
      </c>
      <c r="G210">
        <v>2937990</v>
      </c>
      <c r="H210">
        <v>0</v>
      </c>
      <c r="I210" t="s">
        <v>889</v>
      </c>
      <c r="J210" t="s">
        <v>502</v>
      </c>
      <c r="K210" t="s">
        <v>15</v>
      </c>
      <c r="L210" t="s">
        <v>506</v>
      </c>
      <c r="M210" t="e">
        <f>VLOOKUP(A210,[1]MSAKEN!$A$1:$F$562,6,FALSE)</f>
        <v>#N/A</v>
      </c>
    </row>
    <row r="211" spans="1:13" x14ac:dyDescent="0.3">
      <c r="A211">
        <v>384</v>
      </c>
      <c r="B211" t="s">
        <v>61</v>
      </c>
      <c r="C211" t="s">
        <v>890</v>
      </c>
      <c r="D211" t="s">
        <v>502</v>
      </c>
      <c r="E211" t="s">
        <v>502</v>
      </c>
      <c r="F211" s="4">
        <v>23055</v>
      </c>
      <c r="G211">
        <v>2973210</v>
      </c>
      <c r="H211">
        <v>1122376302</v>
      </c>
      <c r="I211" t="s">
        <v>891</v>
      </c>
      <c r="J211" t="s">
        <v>513</v>
      </c>
      <c r="K211" t="s">
        <v>15</v>
      </c>
      <c r="L211" t="s">
        <v>17</v>
      </c>
      <c r="M211" t="e">
        <f>VLOOKUP(A211,[1]MSAKEN!$A$1:$F$562,6,FALSE)</f>
        <v>#N/A</v>
      </c>
    </row>
    <row r="212" spans="1:13" x14ac:dyDescent="0.3">
      <c r="A212">
        <v>385</v>
      </c>
      <c r="B212" t="s">
        <v>153</v>
      </c>
      <c r="C212" t="s">
        <v>137</v>
      </c>
      <c r="D212" t="s">
        <v>892</v>
      </c>
      <c r="E212" t="s">
        <v>536</v>
      </c>
      <c r="F212" s="4">
        <v>21681</v>
      </c>
      <c r="G212">
        <v>2834800</v>
      </c>
      <c r="H212">
        <v>1113010407</v>
      </c>
      <c r="I212" t="s">
        <v>893</v>
      </c>
      <c r="J212" t="s">
        <v>511</v>
      </c>
      <c r="K212" t="s">
        <v>15</v>
      </c>
      <c r="L212" t="s">
        <v>506</v>
      </c>
      <c r="M212" t="e">
        <f>VLOOKUP(A212,[1]MSAKEN!$A$1:$F$562,6,FALSE)</f>
        <v>#N/A</v>
      </c>
    </row>
    <row r="213" spans="1:13" x14ac:dyDescent="0.3">
      <c r="A213">
        <v>391</v>
      </c>
      <c r="B213" t="s">
        <v>176</v>
      </c>
      <c r="C213" t="s">
        <v>894</v>
      </c>
      <c r="D213" t="s">
        <v>502</v>
      </c>
      <c r="E213" t="s">
        <v>502</v>
      </c>
      <c r="F213" s="4">
        <v>20764</v>
      </c>
      <c r="G213">
        <v>2834155</v>
      </c>
      <c r="H213">
        <v>1113078602</v>
      </c>
      <c r="I213" t="s">
        <v>895</v>
      </c>
      <c r="J213" t="s">
        <v>513</v>
      </c>
      <c r="K213" t="s">
        <v>15</v>
      </c>
      <c r="L213" t="s">
        <v>506</v>
      </c>
      <c r="M213" t="e">
        <f>VLOOKUP(A213,[1]MSAKEN!$A$1:$F$562,6,FALSE)</f>
        <v>#N/A</v>
      </c>
    </row>
    <row r="214" spans="1:13" x14ac:dyDescent="0.3">
      <c r="A214">
        <v>392</v>
      </c>
      <c r="B214" t="s">
        <v>896</v>
      </c>
      <c r="C214" t="s">
        <v>339</v>
      </c>
      <c r="D214" t="s">
        <v>564</v>
      </c>
      <c r="E214" t="s">
        <v>602</v>
      </c>
      <c r="F214" s="4">
        <v>23361</v>
      </c>
      <c r="G214">
        <v>2954710</v>
      </c>
      <c r="H214">
        <v>1122059809</v>
      </c>
      <c r="I214" t="s">
        <v>897</v>
      </c>
      <c r="J214" t="s">
        <v>513</v>
      </c>
      <c r="K214" t="s">
        <v>15</v>
      </c>
      <c r="L214" t="s">
        <v>506</v>
      </c>
      <c r="M214" t="e">
        <f>VLOOKUP(A214,[1]MSAKEN!$A$1:$F$562,6,FALSE)</f>
        <v>#N/A</v>
      </c>
    </row>
    <row r="215" spans="1:13" x14ac:dyDescent="0.3">
      <c r="A215">
        <v>397</v>
      </c>
      <c r="B215" t="s">
        <v>898</v>
      </c>
      <c r="C215" t="s">
        <v>98</v>
      </c>
      <c r="D215" t="s">
        <v>535</v>
      </c>
      <c r="E215" t="s">
        <v>899</v>
      </c>
      <c r="F215" s="4">
        <v>23495</v>
      </c>
      <c r="G215">
        <v>1305384</v>
      </c>
      <c r="H215">
        <v>1122181306</v>
      </c>
      <c r="I215" t="s">
        <v>900</v>
      </c>
      <c r="J215" t="s">
        <v>657</v>
      </c>
      <c r="K215" t="s">
        <v>15</v>
      </c>
      <c r="L215" t="s">
        <v>506</v>
      </c>
      <c r="M215" t="e">
        <f>VLOOKUP(A215,[1]MSAKEN!$A$1:$F$562,6,FALSE)</f>
        <v>#N/A</v>
      </c>
    </row>
    <row r="216" spans="1:13" x14ac:dyDescent="0.3">
      <c r="A216">
        <v>398</v>
      </c>
      <c r="B216" t="s">
        <v>549</v>
      </c>
      <c r="C216" t="s">
        <v>181</v>
      </c>
      <c r="D216" t="s">
        <v>598</v>
      </c>
      <c r="E216" t="s">
        <v>773</v>
      </c>
      <c r="F216" s="4">
        <v>23218</v>
      </c>
      <c r="G216">
        <v>2946895</v>
      </c>
      <c r="H216">
        <v>1121914608</v>
      </c>
      <c r="I216" t="s">
        <v>901</v>
      </c>
      <c r="J216" t="s">
        <v>513</v>
      </c>
      <c r="K216" t="s">
        <v>15</v>
      </c>
      <c r="L216" t="s">
        <v>506</v>
      </c>
      <c r="M216" t="e">
        <f>VLOOKUP(A216,[1]MSAKEN!$A$1:$F$562,6,FALSE)</f>
        <v>#N/A</v>
      </c>
    </row>
    <row r="217" spans="1:13" x14ac:dyDescent="0.3">
      <c r="A217">
        <v>402</v>
      </c>
      <c r="B217" t="s">
        <v>902</v>
      </c>
      <c r="C217" t="s">
        <v>69</v>
      </c>
      <c r="D217" t="s">
        <v>535</v>
      </c>
      <c r="E217" t="s">
        <v>773</v>
      </c>
      <c r="F217" s="4">
        <v>22221</v>
      </c>
      <c r="G217">
        <v>2944873</v>
      </c>
      <c r="H217">
        <v>1119791604</v>
      </c>
      <c r="I217" t="s">
        <v>903</v>
      </c>
      <c r="J217" t="s">
        <v>513</v>
      </c>
      <c r="K217" t="s">
        <v>15</v>
      </c>
      <c r="L217" t="s">
        <v>506</v>
      </c>
      <c r="M217" t="e">
        <f>VLOOKUP(A217,[1]MSAKEN!$A$1:$F$562,6,FALSE)</f>
        <v>#N/A</v>
      </c>
    </row>
    <row r="218" spans="1:13" x14ac:dyDescent="0.3">
      <c r="A218">
        <v>403</v>
      </c>
      <c r="B218" t="s">
        <v>195</v>
      </c>
      <c r="C218" t="s">
        <v>61</v>
      </c>
      <c r="D218" t="s">
        <v>502</v>
      </c>
      <c r="E218" t="s">
        <v>502</v>
      </c>
      <c r="F218" s="4">
        <v>19746</v>
      </c>
      <c r="G218">
        <v>2860191</v>
      </c>
      <c r="H218">
        <v>1106907601</v>
      </c>
      <c r="I218" t="s">
        <v>904</v>
      </c>
      <c r="J218" t="s">
        <v>833</v>
      </c>
      <c r="K218" t="s">
        <v>15</v>
      </c>
      <c r="L218" t="s">
        <v>506</v>
      </c>
      <c r="M218" t="e">
        <f>VLOOKUP(A218,[1]MSAKEN!$A$1:$F$562,6,FALSE)</f>
        <v>#N/A</v>
      </c>
    </row>
    <row r="219" spans="1:13" x14ac:dyDescent="0.3">
      <c r="A219">
        <v>404</v>
      </c>
      <c r="B219" t="s">
        <v>186</v>
      </c>
      <c r="C219" t="s">
        <v>32</v>
      </c>
      <c r="D219" t="s">
        <v>905</v>
      </c>
      <c r="E219" t="s">
        <v>569</v>
      </c>
      <c r="F219" s="4">
        <v>22327</v>
      </c>
      <c r="G219">
        <v>2865022</v>
      </c>
      <c r="H219">
        <v>1122715806</v>
      </c>
      <c r="I219" t="s">
        <v>906</v>
      </c>
      <c r="J219" t="s">
        <v>513</v>
      </c>
      <c r="K219" t="s">
        <v>15</v>
      </c>
      <c r="L219" t="s">
        <v>506</v>
      </c>
      <c r="M219" t="e">
        <f>VLOOKUP(A219,[1]MSAKEN!$A$1:$F$562,6,FALSE)</f>
        <v>#N/A</v>
      </c>
    </row>
    <row r="220" spans="1:13" x14ac:dyDescent="0.3">
      <c r="A220">
        <v>407</v>
      </c>
      <c r="B220" t="s">
        <v>907</v>
      </c>
      <c r="C220" t="s">
        <v>332</v>
      </c>
      <c r="D220" t="s">
        <v>502</v>
      </c>
      <c r="E220" t="s">
        <v>502</v>
      </c>
      <c r="F220" s="4">
        <v>19798</v>
      </c>
      <c r="G220">
        <v>2805013</v>
      </c>
      <c r="H220">
        <v>1108226307</v>
      </c>
      <c r="I220" t="s">
        <v>908</v>
      </c>
      <c r="J220" t="s">
        <v>574</v>
      </c>
      <c r="K220" t="s">
        <v>15</v>
      </c>
      <c r="L220" t="s">
        <v>506</v>
      </c>
      <c r="M220" t="e">
        <f>VLOOKUP(A220,[1]MSAKEN!$A$1:$F$562,6,FALSE)</f>
        <v>#N/A</v>
      </c>
    </row>
    <row r="221" spans="1:13" x14ac:dyDescent="0.3">
      <c r="A221">
        <v>408</v>
      </c>
      <c r="B221" t="s">
        <v>61</v>
      </c>
      <c r="C221" t="s">
        <v>459</v>
      </c>
      <c r="D221" t="s">
        <v>535</v>
      </c>
      <c r="E221" t="s">
        <v>502</v>
      </c>
      <c r="F221" s="4">
        <v>22678</v>
      </c>
      <c r="G221">
        <v>2958059</v>
      </c>
      <c r="H221">
        <v>1122294208</v>
      </c>
      <c r="I221" t="s">
        <v>502</v>
      </c>
      <c r="J221" t="s">
        <v>513</v>
      </c>
      <c r="K221" t="s">
        <v>15</v>
      </c>
      <c r="L221" t="s">
        <v>506</v>
      </c>
      <c r="M221" t="e">
        <f>VLOOKUP(A221,[1]MSAKEN!$A$1:$F$562,6,FALSE)</f>
        <v>#N/A</v>
      </c>
    </row>
    <row r="222" spans="1:13" x14ac:dyDescent="0.3">
      <c r="A222">
        <v>409</v>
      </c>
      <c r="B222" t="s">
        <v>266</v>
      </c>
      <c r="C222" t="s">
        <v>69</v>
      </c>
      <c r="D222" t="s">
        <v>502</v>
      </c>
      <c r="E222" t="s">
        <v>502</v>
      </c>
      <c r="F222" s="4">
        <v>19056</v>
      </c>
      <c r="G222">
        <v>2814171</v>
      </c>
      <c r="H222">
        <v>96235400</v>
      </c>
      <c r="I222" t="s">
        <v>909</v>
      </c>
      <c r="J222" t="s">
        <v>513</v>
      </c>
      <c r="K222" t="s">
        <v>15</v>
      </c>
      <c r="L222" t="s">
        <v>506</v>
      </c>
      <c r="M222" t="e">
        <f>VLOOKUP(A222,[1]MSAKEN!$A$1:$F$562,6,FALSE)</f>
        <v>#N/A</v>
      </c>
    </row>
    <row r="223" spans="1:13" x14ac:dyDescent="0.3">
      <c r="A223">
        <v>410</v>
      </c>
      <c r="B223" t="s">
        <v>563</v>
      </c>
      <c r="C223" t="s">
        <v>66</v>
      </c>
      <c r="D223" t="s">
        <v>502</v>
      </c>
      <c r="E223" t="s">
        <v>502</v>
      </c>
      <c r="F223" s="4">
        <v>21072</v>
      </c>
      <c r="G223">
        <v>2826608</v>
      </c>
      <c r="H223">
        <v>1107980201</v>
      </c>
      <c r="I223" t="s">
        <v>910</v>
      </c>
      <c r="J223" t="s">
        <v>513</v>
      </c>
      <c r="K223" t="s">
        <v>15</v>
      </c>
      <c r="L223" t="s">
        <v>506</v>
      </c>
      <c r="M223" t="e">
        <f>VLOOKUP(A223,[1]MSAKEN!$A$1:$F$562,6,FALSE)</f>
        <v>#N/A</v>
      </c>
    </row>
    <row r="224" spans="1:13" x14ac:dyDescent="0.3">
      <c r="A224">
        <v>411</v>
      </c>
      <c r="B224" t="s">
        <v>911</v>
      </c>
      <c r="C224" t="s">
        <v>136</v>
      </c>
      <c r="D224" t="s">
        <v>564</v>
      </c>
      <c r="E224" t="s">
        <v>912</v>
      </c>
      <c r="F224" s="4">
        <v>21713</v>
      </c>
      <c r="G224">
        <v>3849094</v>
      </c>
      <c r="H224">
        <v>1123045302</v>
      </c>
      <c r="I224" t="s">
        <v>913</v>
      </c>
      <c r="J224" t="s">
        <v>513</v>
      </c>
      <c r="K224" t="s">
        <v>15</v>
      </c>
      <c r="L224" t="s">
        <v>506</v>
      </c>
      <c r="M224" t="e">
        <f>VLOOKUP(A224,[1]MSAKEN!$A$1:$F$562,6,FALSE)</f>
        <v>#N/A</v>
      </c>
    </row>
    <row r="225" spans="1:13" x14ac:dyDescent="0.3">
      <c r="A225">
        <v>412</v>
      </c>
      <c r="B225" t="s">
        <v>41</v>
      </c>
      <c r="C225" t="s">
        <v>200</v>
      </c>
      <c r="D225" t="s">
        <v>502</v>
      </c>
      <c r="E225" t="s">
        <v>502</v>
      </c>
      <c r="F225" s="4">
        <v>19992</v>
      </c>
      <c r="G225">
        <v>2813334</v>
      </c>
      <c r="H225">
        <v>1122354200</v>
      </c>
      <c r="I225" t="s">
        <v>914</v>
      </c>
      <c r="J225" t="s">
        <v>513</v>
      </c>
      <c r="K225" t="s">
        <v>15</v>
      </c>
      <c r="L225" t="s">
        <v>506</v>
      </c>
      <c r="M225" t="e">
        <f>VLOOKUP(A225,[1]MSAKEN!$A$1:$F$562,6,FALSE)</f>
        <v>#N/A</v>
      </c>
    </row>
    <row r="226" spans="1:13" x14ac:dyDescent="0.3">
      <c r="A226">
        <v>413</v>
      </c>
      <c r="B226" t="s">
        <v>915</v>
      </c>
      <c r="C226" t="s">
        <v>224</v>
      </c>
      <c r="D226" t="s">
        <v>916</v>
      </c>
      <c r="E226" t="s">
        <v>917</v>
      </c>
      <c r="F226" s="4">
        <v>20274</v>
      </c>
      <c r="G226">
        <v>358008</v>
      </c>
      <c r="H226">
        <v>1128216106</v>
      </c>
      <c r="I226" t="s">
        <v>918</v>
      </c>
      <c r="J226" t="s">
        <v>919</v>
      </c>
      <c r="K226" t="s">
        <v>15</v>
      </c>
      <c r="L226" t="s">
        <v>506</v>
      </c>
      <c r="M226" t="e">
        <f>VLOOKUP(A226,[1]MSAKEN!$A$1:$F$562,6,FALSE)</f>
        <v>#N/A</v>
      </c>
    </row>
    <row r="227" spans="1:13" x14ac:dyDescent="0.3">
      <c r="A227">
        <v>416</v>
      </c>
      <c r="B227" t="s">
        <v>191</v>
      </c>
      <c r="C227" t="s">
        <v>118</v>
      </c>
      <c r="D227" t="s">
        <v>920</v>
      </c>
      <c r="E227" t="s">
        <v>584</v>
      </c>
      <c r="F227" s="4">
        <v>24502</v>
      </c>
      <c r="G227">
        <v>2980484</v>
      </c>
      <c r="H227">
        <v>1122710609</v>
      </c>
      <c r="I227" t="s">
        <v>921</v>
      </c>
      <c r="J227" t="s">
        <v>513</v>
      </c>
      <c r="K227" t="s">
        <v>15</v>
      </c>
      <c r="L227" t="s">
        <v>506</v>
      </c>
      <c r="M227" t="e">
        <f>VLOOKUP(A227,[1]MSAKEN!$A$1:$F$562,6,FALSE)</f>
        <v>#N/A</v>
      </c>
    </row>
    <row r="228" spans="1:13" x14ac:dyDescent="0.3">
      <c r="A228">
        <v>417</v>
      </c>
      <c r="B228" t="s">
        <v>922</v>
      </c>
      <c r="C228" t="s">
        <v>923</v>
      </c>
      <c r="D228" t="s">
        <v>564</v>
      </c>
      <c r="E228" t="s">
        <v>584</v>
      </c>
      <c r="F228" s="4">
        <v>21145</v>
      </c>
      <c r="G228">
        <v>2833211</v>
      </c>
      <c r="H228">
        <v>87613200</v>
      </c>
      <c r="I228" t="s">
        <v>924</v>
      </c>
      <c r="J228" t="s">
        <v>513</v>
      </c>
      <c r="K228" t="s">
        <v>15</v>
      </c>
      <c r="L228" t="s">
        <v>506</v>
      </c>
      <c r="M228" t="e">
        <f>VLOOKUP(A228,[1]MSAKEN!$A$1:$F$562,6,FALSE)</f>
        <v>#N/A</v>
      </c>
    </row>
    <row r="229" spans="1:13" x14ac:dyDescent="0.3">
      <c r="A229">
        <v>418</v>
      </c>
      <c r="B229" t="s">
        <v>104</v>
      </c>
      <c r="C229" t="s">
        <v>246</v>
      </c>
      <c r="D229" t="s">
        <v>535</v>
      </c>
      <c r="E229" t="s">
        <v>584</v>
      </c>
      <c r="F229" s="4">
        <v>23245</v>
      </c>
      <c r="G229">
        <v>2946377</v>
      </c>
      <c r="H229">
        <v>1122293408</v>
      </c>
      <c r="I229" t="s">
        <v>925</v>
      </c>
      <c r="J229" t="s">
        <v>513</v>
      </c>
      <c r="K229" t="s">
        <v>15</v>
      </c>
      <c r="L229" t="s">
        <v>506</v>
      </c>
      <c r="M229" t="str">
        <f>VLOOKUP(A229,[1]MSAKEN!$A$1:$F$562,6,FALSE)</f>
        <v>08507000262000756369</v>
      </c>
    </row>
    <row r="230" spans="1:13" x14ac:dyDescent="0.3">
      <c r="A230">
        <v>423</v>
      </c>
      <c r="B230" t="s">
        <v>896</v>
      </c>
      <c r="C230" t="s">
        <v>102</v>
      </c>
      <c r="D230" t="s">
        <v>535</v>
      </c>
      <c r="E230" t="s">
        <v>926</v>
      </c>
      <c r="F230" s="4">
        <v>23639</v>
      </c>
      <c r="G230">
        <v>2981720</v>
      </c>
      <c r="H230">
        <v>1124860204</v>
      </c>
      <c r="I230" t="s">
        <v>927</v>
      </c>
      <c r="J230" t="s">
        <v>513</v>
      </c>
      <c r="K230" t="s">
        <v>15</v>
      </c>
      <c r="L230" t="s">
        <v>506</v>
      </c>
      <c r="M230" t="str">
        <f>VLOOKUP(A230,[1]MSAKEN!$A$1:$F$562,6,FALSE)</f>
        <v>04204067404000687880</v>
      </c>
    </row>
    <row r="231" spans="1:13" x14ac:dyDescent="0.3">
      <c r="A231">
        <v>424</v>
      </c>
      <c r="B231" t="s">
        <v>245</v>
      </c>
      <c r="C231" t="s">
        <v>244</v>
      </c>
      <c r="D231" t="s">
        <v>928</v>
      </c>
      <c r="E231" t="s">
        <v>536</v>
      </c>
      <c r="F231" s="4">
        <v>24109</v>
      </c>
      <c r="G231">
        <v>2984543</v>
      </c>
      <c r="H231">
        <v>1122552407</v>
      </c>
      <c r="I231" t="s">
        <v>929</v>
      </c>
      <c r="J231" t="s">
        <v>568</v>
      </c>
      <c r="K231" t="s">
        <v>15</v>
      </c>
      <c r="L231" t="s">
        <v>506</v>
      </c>
      <c r="M231" t="str">
        <f>VLOOKUP(A231,[1]MSAKEN!$A$1:$F$562,6,FALSE)</f>
        <v>04204067404001234863</v>
      </c>
    </row>
    <row r="232" spans="1:13" x14ac:dyDescent="0.3">
      <c r="A232">
        <v>425</v>
      </c>
      <c r="B232" t="s">
        <v>366</v>
      </c>
      <c r="C232" t="s">
        <v>336</v>
      </c>
      <c r="D232" t="s">
        <v>502</v>
      </c>
      <c r="E232" t="s">
        <v>502</v>
      </c>
      <c r="F232" s="4">
        <v>24266</v>
      </c>
      <c r="G232">
        <v>2965720</v>
      </c>
      <c r="H232">
        <v>1122529702</v>
      </c>
      <c r="I232" t="s">
        <v>930</v>
      </c>
      <c r="J232" t="s">
        <v>513</v>
      </c>
      <c r="K232" t="s">
        <v>15</v>
      </c>
      <c r="L232" t="s">
        <v>506</v>
      </c>
      <c r="M232" t="e">
        <f>VLOOKUP(A232,[1]MSAKEN!$A$1:$F$562,6,FALSE)</f>
        <v>#N/A</v>
      </c>
    </row>
    <row r="233" spans="1:13" x14ac:dyDescent="0.3">
      <c r="A233">
        <v>426</v>
      </c>
      <c r="B233" t="s">
        <v>476</v>
      </c>
      <c r="C233" t="s">
        <v>246</v>
      </c>
      <c r="D233" t="s">
        <v>648</v>
      </c>
      <c r="E233" t="s">
        <v>546</v>
      </c>
      <c r="F233" s="4">
        <v>24576</v>
      </c>
      <c r="G233">
        <v>2969655</v>
      </c>
      <c r="H233">
        <v>1120032709</v>
      </c>
      <c r="I233" t="s">
        <v>931</v>
      </c>
      <c r="J233" t="s">
        <v>513</v>
      </c>
      <c r="K233" t="s">
        <v>15</v>
      </c>
      <c r="L233" t="s">
        <v>506</v>
      </c>
      <c r="M233" t="str">
        <f>VLOOKUP(A233,[1]MSAKEN!$A$1:$F$562,6,FALSE)</f>
        <v>12505000580100968019</v>
      </c>
    </row>
    <row r="234" spans="1:13" x14ac:dyDescent="0.3">
      <c r="A234">
        <v>427</v>
      </c>
      <c r="B234" t="s">
        <v>611</v>
      </c>
      <c r="C234" t="s">
        <v>26</v>
      </c>
      <c r="D234" t="s">
        <v>648</v>
      </c>
      <c r="E234" t="s">
        <v>584</v>
      </c>
      <c r="F234" s="4">
        <v>23888</v>
      </c>
      <c r="G234">
        <v>2958960</v>
      </c>
      <c r="H234">
        <v>1122552001</v>
      </c>
      <c r="I234" t="s">
        <v>932</v>
      </c>
      <c r="J234" t="s">
        <v>513</v>
      </c>
      <c r="K234" t="s">
        <v>15</v>
      </c>
      <c r="L234" t="s">
        <v>506</v>
      </c>
      <c r="M234" t="str">
        <f>VLOOKUP(A234,[1]MSAKEN!$A$1:$F$562,6,FALSE)</f>
        <v>04204067404000963360</v>
      </c>
    </row>
    <row r="235" spans="1:13" x14ac:dyDescent="0.3">
      <c r="A235">
        <v>430</v>
      </c>
      <c r="B235" t="s">
        <v>236</v>
      </c>
      <c r="C235" t="s">
        <v>76</v>
      </c>
      <c r="D235" t="s">
        <v>920</v>
      </c>
      <c r="E235" t="s">
        <v>536</v>
      </c>
      <c r="F235" s="4">
        <v>23958</v>
      </c>
      <c r="G235">
        <v>2962061</v>
      </c>
      <c r="H235">
        <v>1108685809</v>
      </c>
      <c r="I235" t="s">
        <v>933</v>
      </c>
      <c r="J235" t="s">
        <v>513</v>
      </c>
      <c r="K235" t="s">
        <v>15</v>
      </c>
      <c r="L235" t="s">
        <v>506</v>
      </c>
      <c r="M235" t="e">
        <f>VLOOKUP(A235,[1]MSAKEN!$A$1:$F$562,6,FALSE)</f>
        <v>#N/A</v>
      </c>
    </row>
    <row r="236" spans="1:13" x14ac:dyDescent="0.3">
      <c r="A236">
        <v>431</v>
      </c>
      <c r="B236" t="s">
        <v>934</v>
      </c>
      <c r="C236" t="s">
        <v>45</v>
      </c>
      <c r="D236" t="s">
        <v>502</v>
      </c>
      <c r="E236" t="s">
        <v>502</v>
      </c>
      <c r="F236" t="s">
        <v>502</v>
      </c>
      <c r="G236">
        <v>2966556</v>
      </c>
      <c r="H236">
        <v>0</v>
      </c>
      <c r="I236" t="s">
        <v>935</v>
      </c>
      <c r="J236" t="s">
        <v>502</v>
      </c>
      <c r="K236" t="s">
        <v>16</v>
      </c>
      <c r="L236" t="s">
        <v>506</v>
      </c>
      <c r="M236" t="e">
        <f>VLOOKUP(A236,[1]MSAKEN!$A$1:$F$562,6,FALSE)</f>
        <v>#N/A</v>
      </c>
    </row>
    <row r="237" spans="1:13" x14ac:dyDescent="0.3">
      <c r="A237">
        <v>432</v>
      </c>
      <c r="B237" t="s">
        <v>936</v>
      </c>
      <c r="C237" t="s">
        <v>263</v>
      </c>
      <c r="D237" t="s">
        <v>502</v>
      </c>
      <c r="E237" t="s">
        <v>502</v>
      </c>
      <c r="F237" s="4">
        <v>23250</v>
      </c>
      <c r="G237">
        <v>2948142</v>
      </c>
      <c r="H237">
        <v>1109985307</v>
      </c>
      <c r="I237" t="s">
        <v>937</v>
      </c>
      <c r="J237" t="s">
        <v>513</v>
      </c>
      <c r="K237" t="s">
        <v>15</v>
      </c>
      <c r="L237" t="s">
        <v>506</v>
      </c>
      <c r="M237" t="e">
        <f>VLOOKUP(A237,[1]MSAKEN!$A$1:$F$562,6,FALSE)</f>
        <v>#N/A</v>
      </c>
    </row>
    <row r="238" spans="1:13" x14ac:dyDescent="0.3">
      <c r="A238">
        <v>433</v>
      </c>
      <c r="B238" t="s">
        <v>938</v>
      </c>
      <c r="C238" t="s">
        <v>90</v>
      </c>
      <c r="D238" t="s">
        <v>502</v>
      </c>
      <c r="E238" t="s">
        <v>502</v>
      </c>
      <c r="F238" s="4">
        <v>25169</v>
      </c>
      <c r="G238">
        <v>2982979</v>
      </c>
      <c r="H238">
        <v>1125630507</v>
      </c>
      <c r="I238" t="s">
        <v>939</v>
      </c>
      <c r="J238" t="s">
        <v>513</v>
      </c>
      <c r="K238" t="s">
        <v>15</v>
      </c>
      <c r="L238" t="s">
        <v>506</v>
      </c>
      <c r="M238" t="e">
        <f>VLOOKUP(A238,[1]MSAKEN!$A$1:$F$562,6,FALSE)</f>
        <v>#N/A</v>
      </c>
    </row>
    <row r="239" spans="1:13" x14ac:dyDescent="0.3">
      <c r="A239">
        <v>434</v>
      </c>
      <c r="B239" t="s">
        <v>475</v>
      </c>
      <c r="C239" t="s">
        <v>181</v>
      </c>
      <c r="D239" t="s">
        <v>535</v>
      </c>
      <c r="E239" t="s">
        <v>536</v>
      </c>
      <c r="F239" s="4">
        <v>22212</v>
      </c>
      <c r="G239">
        <v>2883130</v>
      </c>
      <c r="H239">
        <v>1113531402</v>
      </c>
      <c r="I239" t="s">
        <v>940</v>
      </c>
      <c r="J239" t="s">
        <v>513</v>
      </c>
      <c r="K239" t="s">
        <v>15</v>
      </c>
      <c r="L239" t="s">
        <v>506</v>
      </c>
      <c r="M239" t="e">
        <f>VLOOKUP(A239,[1]MSAKEN!$A$1:$F$562,6,FALSE)</f>
        <v>#N/A</v>
      </c>
    </row>
    <row r="240" spans="1:13" x14ac:dyDescent="0.3">
      <c r="A240">
        <v>436</v>
      </c>
      <c r="B240" t="s">
        <v>756</v>
      </c>
      <c r="C240" t="s">
        <v>941</v>
      </c>
      <c r="D240" t="s">
        <v>502</v>
      </c>
      <c r="E240" t="s">
        <v>502</v>
      </c>
      <c r="F240" s="4">
        <v>23005</v>
      </c>
      <c r="G240">
        <v>2943534</v>
      </c>
      <c r="H240">
        <v>1122529900</v>
      </c>
      <c r="I240" t="s">
        <v>550</v>
      </c>
      <c r="J240" t="s">
        <v>513</v>
      </c>
      <c r="K240" t="s">
        <v>15</v>
      </c>
      <c r="L240" t="s">
        <v>506</v>
      </c>
      <c r="M240" t="e">
        <f>VLOOKUP(A240,[1]MSAKEN!$A$1:$F$562,6,FALSE)</f>
        <v>#N/A</v>
      </c>
    </row>
    <row r="241" spans="1:13" x14ac:dyDescent="0.3">
      <c r="A241">
        <v>441</v>
      </c>
      <c r="B241" t="s">
        <v>394</v>
      </c>
      <c r="C241" t="s">
        <v>154</v>
      </c>
      <c r="D241" t="s">
        <v>564</v>
      </c>
      <c r="E241" t="s">
        <v>773</v>
      </c>
      <c r="F241" s="4">
        <v>22673</v>
      </c>
      <c r="G241">
        <v>2900443</v>
      </c>
      <c r="H241">
        <v>1122498908</v>
      </c>
      <c r="I241" t="s">
        <v>942</v>
      </c>
      <c r="J241" t="s">
        <v>513</v>
      </c>
      <c r="K241" t="s">
        <v>15</v>
      </c>
      <c r="L241" t="s">
        <v>506</v>
      </c>
      <c r="M241" t="e">
        <f>VLOOKUP(A241,[1]MSAKEN!$A$1:$F$562,6,FALSE)</f>
        <v>#N/A</v>
      </c>
    </row>
    <row r="242" spans="1:13" x14ac:dyDescent="0.3">
      <c r="A242">
        <v>442</v>
      </c>
      <c r="B242" t="s">
        <v>943</v>
      </c>
      <c r="C242" t="s">
        <v>944</v>
      </c>
      <c r="D242" t="s">
        <v>834</v>
      </c>
      <c r="E242" t="s">
        <v>649</v>
      </c>
      <c r="F242" s="4">
        <v>21936</v>
      </c>
      <c r="G242">
        <v>2934573</v>
      </c>
      <c r="H242">
        <v>1103165708</v>
      </c>
      <c r="I242" t="s">
        <v>945</v>
      </c>
      <c r="J242" t="s">
        <v>513</v>
      </c>
      <c r="K242" t="s">
        <v>15</v>
      </c>
      <c r="L242" t="s">
        <v>506</v>
      </c>
      <c r="M242" t="e">
        <f>VLOOKUP(A242,[1]MSAKEN!$A$1:$F$562,6,FALSE)</f>
        <v>#N/A</v>
      </c>
    </row>
    <row r="243" spans="1:13" x14ac:dyDescent="0.3">
      <c r="A243">
        <v>444</v>
      </c>
      <c r="B243" t="s">
        <v>42</v>
      </c>
      <c r="C243" t="s">
        <v>181</v>
      </c>
      <c r="D243" t="s">
        <v>535</v>
      </c>
      <c r="E243" t="s">
        <v>584</v>
      </c>
      <c r="F243" s="4">
        <v>22981</v>
      </c>
      <c r="G243">
        <v>2953881</v>
      </c>
      <c r="H243">
        <v>1122552308</v>
      </c>
      <c r="I243" t="s">
        <v>946</v>
      </c>
      <c r="J243" t="s">
        <v>513</v>
      </c>
      <c r="K243" t="s">
        <v>15</v>
      </c>
      <c r="L243" t="s">
        <v>506</v>
      </c>
      <c r="M243" t="e">
        <f>VLOOKUP(A243,[1]MSAKEN!$A$1:$F$562,6,FALSE)</f>
        <v>#N/A</v>
      </c>
    </row>
    <row r="244" spans="1:13" x14ac:dyDescent="0.3">
      <c r="A244">
        <v>446</v>
      </c>
      <c r="B244" t="s">
        <v>947</v>
      </c>
      <c r="C244" t="s">
        <v>375</v>
      </c>
      <c r="D244" t="s">
        <v>598</v>
      </c>
      <c r="E244" t="s">
        <v>948</v>
      </c>
      <c r="F244" s="4">
        <v>23987</v>
      </c>
      <c r="G244">
        <v>2977360</v>
      </c>
      <c r="H244">
        <v>1122553009</v>
      </c>
      <c r="I244" t="s">
        <v>871</v>
      </c>
      <c r="J244" t="s">
        <v>755</v>
      </c>
      <c r="K244" t="s">
        <v>15</v>
      </c>
      <c r="L244" t="s">
        <v>506</v>
      </c>
      <c r="M244" t="e">
        <f>VLOOKUP(A244,[1]MSAKEN!$A$1:$F$562,6,FALSE)</f>
        <v>#N/A</v>
      </c>
    </row>
    <row r="245" spans="1:13" x14ac:dyDescent="0.3">
      <c r="A245">
        <v>448</v>
      </c>
      <c r="B245" t="s">
        <v>314</v>
      </c>
      <c r="C245" t="s">
        <v>169</v>
      </c>
      <c r="D245" t="s">
        <v>648</v>
      </c>
      <c r="E245" t="s">
        <v>584</v>
      </c>
      <c r="F245" s="4">
        <v>24220</v>
      </c>
      <c r="G245">
        <v>2970088</v>
      </c>
      <c r="H245">
        <v>1122555301</v>
      </c>
      <c r="I245" t="s">
        <v>949</v>
      </c>
      <c r="J245" t="s">
        <v>513</v>
      </c>
      <c r="K245" t="s">
        <v>15</v>
      </c>
      <c r="L245" t="s">
        <v>506</v>
      </c>
      <c r="M245" t="e">
        <f>VLOOKUP(A245,[1]MSAKEN!$A$1:$F$562,6,FALSE)</f>
        <v>#N/A</v>
      </c>
    </row>
    <row r="246" spans="1:13" x14ac:dyDescent="0.3">
      <c r="A246">
        <v>449</v>
      </c>
      <c r="B246" t="s">
        <v>119</v>
      </c>
      <c r="C246" t="s">
        <v>472</v>
      </c>
      <c r="D246" t="s">
        <v>564</v>
      </c>
      <c r="E246" t="s">
        <v>649</v>
      </c>
      <c r="F246" s="4">
        <v>23305</v>
      </c>
      <c r="G246">
        <v>2946893</v>
      </c>
      <c r="H246">
        <v>1122730805</v>
      </c>
      <c r="I246" t="s">
        <v>950</v>
      </c>
      <c r="J246" t="s">
        <v>513</v>
      </c>
      <c r="K246" t="s">
        <v>15</v>
      </c>
      <c r="L246" t="s">
        <v>506</v>
      </c>
      <c r="M246" t="e">
        <f>VLOOKUP(A246,[1]MSAKEN!$A$1:$F$562,6,FALSE)</f>
        <v>#N/A</v>
      </c>
    </row>
    <row r="247" spans="1:13" x14ac:dyDescent="0.3">
      <c r="A247">
        <v>452</v>
      </c>
      <c r="B247" t="s">
        <v>762</v>
      </c>
      <c r="C247" t="s">
        <v>34</v>
      </c>
      <c r="D247" t="s">
        <v>772</v>
      </c>
      <c r="E247" t="s">
        <v>569</v>
      </c>
      <c r="F247" s="4">
        <v>24356</v>
      </c>
      <c r="G247">
        <v>2964993</v>
      </c>
      <c r="H247">
        <v>1121279309</v>
      </c>
      <c r="I247" t="s">
        <v>951</v>
      </c>
      <c r="J247" t="s">
        <v>513</v>
      </c>
      <c r="K247" t="s">
        <v>15</v>
      </c>
      <c r="L247" t="s">
        <v>506</v>
      </c>
      <c r="M247" t="e">
        <f>VLOOKUP(A247,[1]MSAKEN!$A$1:$F$562,6,FALSE)</f>
        <v>#N/A</v>
      </c>
    </row>
    <row r="248" spans="1:13" x14ac:dyDescent="0.3">
      <c r="A248">
        <v>453</v>
      </c>
      <c r="B248" t="s">
        <v>952</v>
      </c>
      <c r="C248" t="s">
        <v>306</v>
      </c>
      <c r="D248" t="s">
        <v>670</v>
      </c>
      <c r="E248" t="s">
        <v>832</v>
      </c>
      <c r="F248" s="4">
        <v>24477</v>
      </c>
      <c r="G248">
        <v>2966507</v>
      </c>
      <c r="H248">
        <v>1122744509</v>
      </c>
      <c r="I248" t="s">
        <v>953</v>
      </c>
      <c r="J248" t="s">
        <v>513</v>
      </c>
      <c r="K248" t="s">
        <v>15</v>
      </c>
      <c r="L248" t="s">
        <v>506</v>
      </c>
      <c r="M248" t="e">
        <f>VLOOKUP(A248,[1]MSAKEN!$A$1:$F$562,6,FALSE)</f>
        <v>#N/A</v>
      </c>
    </row>
    <row r="249" spans="1:13" x14ac:dyDescent="0.3">
      <c r="A249">
        <v>454</v>
      </c>
      <c r="B249" t="s">
        <v>477</v>
      </c>
      <c r="C249" t="s">
        <v>69</v>
      </c>
      <c r="D249" t="s">
        <v>920</v>
      </c>
      <c r="E249" t="s">
        <v>954</v>
      </c>
      <c r="F249" s="4">
        <v>23827</v>
      </c>
      <c r="G249">
        <v>2955981</v>
      </c>
      <c r="H249">
        <v>1122552209</v>
      </c>
      <c r="I249" t="s">
        <v>955</v>
      </c>
      <c r="J249" t="s">
        <v>513</v>
      </c>
      <c r="K249" t="s">
        <v>15</v>
      </c>
      <c r="L249" t="s">
        <v>506</v>
      </c>
      <c r="M249" t="str">
        <f>VLOOKUP(A249,[1]MSAKEN!$A$1:$F$562,6,FALSE)</f>
        <v>04204067404000865002</v>
      </c>
    </row>
    <row r="250" spans="1:13" x14ac:dyDescent="0.3">
      <c r="A250">
        <v>455</v>
      </c>
      <c r="B250" t="s">
        <v>956</v>
      </c>
      <c r="C250" t="s">
        <v>150</v>
      </c>
      <c r="D250" t="s">
        <v>535</v>
      </c>
      <c r="E250" t="s">
        <v>569</v>
      </c>
      <c r="F250" s="4">
        <v>24098</v>
      </c>
      <c r="G250">
        <v>2982993</v>
      </c>
      <c r="H250">
        <v>1122760802</v>
      </c>
      <c r="I250" t="s">
        <v>957</v>
      </c>
      <c r="J250" t="s">
        <v>513</v>
      </c>
      <c r="K250" t="s">
        <v>15</v>
      </c>
      <c r="L250" t="s">
        <v>506</v>
      </c>
      <c r="M250" t="e">
        <f>VLOOKUP(A250,[1]MSAKEN!$A$1:$F$562,6,FALSE)</f>
        <v>#N/A</v>
      </c>
    </row>
    <row r="251" spans="1:13" x14ac:dyDescent="0.3">
      <c r="A251">
        <v>457</v>
      </c>
      <c r="B251" t="s">
        <v>958</v>
      </c>
      <c r="C251" t="s">
        <v>66</v>
      </c>
      <c r="D251" t="s">
        <v>502</v>
      </c>
      <c r="E251" t="s">
        <v>502</v>
      </c>
      <c r="F251" s="4">
        <v>22457</v>
      </c>
      <c r="G251">
        <v>2897100</v>
      </c>
      <c r="H251">
        <v>1110069703</v>
      </c>
      <c r="I251" t="s">
        <v>959</v>
      </c>
      <c r="J251" t="s">
        <v>513</v>
      </c>
      <c r="K251" t="s">
        <v>15</v>
      </c>
      <c r="L251" t="s">
        <v>506</v>
      </c>
      <c r="M251" t="e">
        <f>VLOOKUP(A251,[1]MSAKEN!$A$1:$F$562,6,FALSE)</f>
        <v>#N/A</v>
      </c>
    </row>
    <row r="252" spans="1:13" x14ac:dyDescent="0.3">
      <c r="A252">
        <v>460</v>
      </c>
      <c r="B252" t="s">
        <v>446</v>
      </c>
      <c r="C252" t="s">
        <v>34</v>
      </c>
      <c r="D252" t="s">
        <v>960</v>
      </c>
      <c r="E252" t="s">
        <v>584</v>
      </c>
      <c r="F252" s="4">
        <v>24385</v>
      </c>
      <c r="G252">
        <v>2975077</v>
      </c>
      <c r="H252">
        <v>1122736406</v>
      </c>
      <c r="I252" t="s">
        <v>961</v>
      </c>
      <c r="J252" t="s">
        <v>513</v>
      </c>
      <c r="K252" t="s">
        <v>15</v>
      </c>
      <c r="L252" t="s">
        <v>506</v>
      </c>
      <c r="M252" t="e">
        <f>VLOOKUP(A252,[1]MSAKEN!$A$1:$F$562,6,FALSE)</f>
        <v>#N/A</v>
      </c>
    </row>
    <row r="253" spans="1:13" x14ac:dyDescent="0.3">
      <c r="A253">
        <v>462</v>
      </c>
      <c r="B253" t="s">
        <v>342</v>
      </c>
      <c r="C253" t="s">
        <v>667</v>
      </c>
      <c r="D253" t="s">
        <v>502</v>
      </c>
      <c r="E253" t="s">
        <v>502</v>
      </c>
      <c r="F253" s="4">
        <v>21818</v>
      </c>
      <c r="G253">
        <v>2854074</v>
      </c>
      <c r="H253">
        <v>1123086207</v>
      </c>
      <c r="I253" t="s">
        <v>962</v>
      </c>
      <c r="J253" t="s">
        <v>513</v>
      </c>
      <c r="K253" t="s">
        <v>15</v>
      </c>
      <c r="L253" t="s">
        <v>506</v>
      </c>
      <c r="M253" t="e">
        <f>VLOOKUP(A253,[1]MSAKEN!$A$1:$F$562,6,FALSE)</f>
        <v>#N/A</v>
      </c>
    </row>
    <row r="254" spans="1:13" x14ac:dyDescent="0.3">
      <c r="A254">
        <v>465</v>
      </c>
      <c r="B254" t="s">
        <v>963</v>
      </c>
      <c r="C254" t="s">
        <v>34</v>
      </c>
      <c r="D254" t="s">
        <v>670</v>
      </c>
      <c r="E254" t="s">
        <v>954</v>
      </c>
      <c r="F254" s="4">
        <v>22039</v>
      </c>
      <c r="G254">
        <v>2943828</v>
      </c>
      <c r="H254">
        <v>1104564701</v>
      </c>
      <c r="I254" t="s">
        <v>964</v>
      </c>
      <c r="J254" t="s">
        <v>568</v>
      </c>
      <c r="K254" t="s">
        <v>15</v>
      </c>
      <c r="L254" t="s">
        <v>506</v>
      </c>
      <c r="M254" t="e">
        <f>VLOOKUP(A254,[1]MSAKEN!$A$1:$F$562,6,FALSE)</f>
        <v>#N/A</v>
      </c>
    </row>
    <row r="255" spans="1:13" x14ac:dyDescent="0.3">
      <c r="A255">
        <v>466</v>
      </c>
      <c r="B255" t="s">
        <v>965</v>
      </c>
      <c r="C255" t="s">
        <v>326</v>
      </c>
      <c r="D255" t="s">
        <v>502</v>
      </c>
      <c r="E255" t="s">
        <v>502</v>
      </c>
      <c r="F255" t="s">
        <v>502</v>
      </c>
      <c r="G255">
        <v>2936427</v>
      </c>
      <c r="H255">
        <v>0</v>
      </c>
      <c r="I255" t="s">
        <v>966</v>
      </c>
      <c r="J255" t="s">
        <v>502</v>
      </c>
      <c r="K255" t="s">
        <v>15</v>
      </c>
      <c r="L255" t="s">
        <v>506</v>
      </c>
      <c r="M255" t="e">
        <f>VLOOKUP(A255,[1]MSAKEN!$A$1:$F$562,6,FALSE)</f>
        <v>#N/A</v>
      </c>
    </row>
    <row r="256" spans="1:13" x14ac:dyDescent="0.3">
      <c r="A256">
        <v>470</v>
      </c>
      <c r="B256" t="s">
        <v>104</v>
      </c>
      <c r="C256" t="s">
        <v>375</v>
      </c>
      <c r="D256" t="s">
        <v>502</v>
      </c>
      <c r="E256" t="s">
        <v>502</v>
      </c>
      <c r="F256" s="4">
        <v>24050</v>
      </c>
      <c r="G256">
        <v>2987703</v>
      </c>
      <c r="H256">
        <v>1122977208</v>
      </c>
      <c r="I256" t="s">
        <v>967</v>
      </c>
      <c r="J256" t="s">
        <v>513</v>
      </c>
      <c r="K256" t="s">
        <v>15</v>
      </c>
      <c r="L256" t="s">
        <v>506</v>
      </c>
      <c r="M256" t="e">
        <f>VLOOKUP(A256,[1]MSAKEN!$A$1:$F$562,6,FALSE)</f>
        <v>#N/A</v>
      </c>
    </row>
    <row r="257" spans="1:13" x14ac:dyDescent="0.3">
      <c r="A257">
        <v>471</v>
      </c>
      <c r="B257" t="s">
        <v>340</v>
      </c>
      <c r="C257" t="s">
        <v>968</v>
      </c>
      <c r="D257" t="s">
        <v>502</v>
      </c>
      <c r="E257" t="s">
        <v>502</v>
      </c>
      <c r="F257" t="s">
        <v>502</v>
      </c>
      <c r="G257">
        <v>2953429</v>
      </c>
      <c r="H257">
        <v>78167100</v>
      </c>
      <c r="I257" t="s">
        <v>969</v>
      </c>
      <c r="J257" t="s">
        <v>502</v>
      </c>
      <c r="K257" t="s">
        <v>15</v>
      </c>
      <c r="L257" t="s">
        <v>506</v>
      </c>
      <c r="M257" t="e">
        <f>VLOOKUP(A257,[1]MSAKEN!$A$1:$F$562,6,FALSE)</f>
        <v>#N/A</v>
      </c>
    </row>
    <row r="258" spans="1:13" x14ac:dyDescent="0.3">
      <c r="A258">
        <v>473</v>
      </c>
      <c r="B258" t="s">
        <v>184</v>
      </c>
      <c r="C258" t="s">
        <v>34</v>
      </c>
      <c r="D258" t="s">
        <v>502</v>
      </c>
      <c r="E258" t="s">
        <v>502</v>
      </c>
      <c r="F258" s="4">
        <v>24353</v>
      </c>
      <c r="G258">
        <v>2981873</v>
      </c>
      <c r="H258">
        <v>1119325106</v>
      </c>
      <c r="I258" t="s">
        <v>683</v>
      </c>
      <c r="J258" t="s">
        <v>513</v>
      </c>
      <c r="K258" t="s">
        <v>15</v>
      </c>
      <c r="L258" t="s">
        <v>506</v>
      </c>
      <c r="M258" t="e">
        <f>VLOOKUP(A258,[1]MSAKEN!$A$1:$F$562,6,FALSE)</f>
        <v>#N/A</v>
      </c>
    </row>
    <row r="259" spans="1:13" x14ac:dyDescent="0.3">
      <c r="A259">
        <v>474</v>
      </c>
      <c r="B259" t="s">
        <v>970</v>
      </c>
      <c r="C259" t="s">
        <v>34</v>
      </c>
      <c r="D259" t="s">
        <v>502</v>
      </c>
      <c r="E259" t="s">
        <v>502</v>
      </c>
      <c r="F259" s="4">
        <v>24158</v>
      </c>
      <c r="G259">
        <v>2951992</v>
      </c>
      <c r="H259">
        <v>1123038505</v>
      </c>
      <c r="I259" t="s">
        <v>971</v>
      </c>
      <c r="J259" t="s">
        <v>513</v>
      </c>
      <c r="K259" t="s">
        <v>15</v>
      </c>
      <c r="L259" t="s">
        <v>506</v>
      </c>
      <c r="M259" t="e">
        <f>VLOOKUP(A259,[1]MSAKEN!$A$1:$F$562,6,FALSE)</f>
        <v>#N/A</v>
      </c>
    </row>
    <row r="260" spans="1:13" x14ac:dyDescent="0.3">
      <c r="A260">
        <v>477</v>
      </c>
      <c r="B260" t="s">
        <v>666</v>
      </c>
      <c r="C260" t="s">
        <v>306</v>
      </c>
      <c r="D260" t="s">
        <v>960</v>
      </c>
      <c r="E260" t="s">
        <v>972</v>
      </c>
      <c r="F260" s="4">
        <v>22863</v>
      </c>
      <c r="G260">
        <v>2948100</v>
      </c>
      <c r="H260">
        <v>1108894708</v>
      </c>
      <c r="I260" t="s">
        <v>973</v>
      </c>
      <c r="J260" t="s">
        <v>513</v>
      </c>
      <c r="K260" t="s">
        <v>15</v>
      </c>
      <c r="L260" t="s">
        <v>506</v>
      </c>
      <c r="M260" t="e">
        <f>VLOOKUP(A260,[1]MSAKEN!$A$1:$F$562,6,FALSE)</f>
        <v>#N/A</v>
      </c>
    </row>
    <row r="261" spans="1:13" x14ac:dyDescent="0.3">
      <c r="A261">
        <v>480</v>
      </c>
      <c r="B261" t="s">
        <v>369</v>
      </c>
      <c r="C261" t="s">
        <v>270</v>
      </c>
      <c r="D261" t="s">
        <v>648</v>
      </c>
      <c r="E261" t="s">
        <v>569</v>
      </c>
      <c r="F261" s="4">
        <v>24397</v>
      </c>
      <c r="G261">
        <v>2965765</v>
      </c>
      <c r="H261">
        <v>1123197202</v>
      </c>
      <c r="I261" t="s">
        <v>974</v>
      </c>
      <c r="J261" t="s">
        <v>513</v>
      </c>
      <c r="K261" t="s">
        <v>15</v>
      </c>
      <c r="L261" t="s">
        <v>506</v>
      </c>
      <c r="M261" t="str">
        <f>VLOOKUP(A261,[1]MSAKEN!$A$1:$F$562,6,FALSE)</f>
        <v>03508056010100097521</v>
      </c>
    </row>
    <row r="262" spans="1:13" x14ac:dyDescent="0.3">
      <c r="A262">
        <v>481</v>
      </c>
      <c r="B262" t="s">
        <v>88</v>
      </c>
      <c r="C262" t="s">
        <v>246</v>
      </c>
      <c r="D262" t="s">
        <v>960</v>
      </c>
      <c r="E262" t="s">
        <v>649</v>
      </c>
      <c r="F262" s="4">
        <v>24227</v>
      </c>
      <c r="G262">
        <v>4327517</v>
      </c>
      <c r="H262">
        <v>1123389908</v>
      </c>
      <c r="I262" t="s">
        <v>975</v>
      </c>
      <c r="J262" t="s">
        <v>511</v>
      </c>
      <c r="K262" t="s">
        <v>15</v>
      </c>
      <c r="L262" t="s">
        <v>506</v>
      </c>
      <c r="M262" t="e">
        <f>VLOOKUP(A262,[1]MSAKEN!$A$1:$F$562,6,FALSE)</f>
        <v>#N/A</v>
      </c>
    </row>
    <row r="263" spans="1:13" x14ac:dyDescent="0.3">
      <c r="A263">
        <v>482</v>
      </c>
      <c r="B263" t="s">
        <v>114</v>
      </c>
      <c r="C263" t="s">
        <v>113</v>
      </c>
      <c r="D263" t="s">
        <v>976</v>
      </c>
      <c r="E263" t="s">
        <v>977</v>
      </c>
      <c r="F263" s="4">
        <v>23390</v>
      </c>
      <c r="G263">
        <v>4164812</v>
      </c>
      <c r="H263">
        <v>1123266205</v>
      </c>
      <c r="I263" t="s">
        <v>978</v>
      </c>
      <c r="J263" t="s">
        <v>513</v>
      </c>
      <c r="K263" t="s">
        <v>15</v>
      </c>
      <c r="L263" t="s">
        <v>506</v>
      </c>
      <c r="M263" t="str">
        <f>VLOOKUP(A263,[1]MSAKEN!$A$1:$F$562,6,FALSE)</f>
        <v>05048000116500150477</v>
      </c>
    </row>
    <row r="264" spans="1:13" x14ac:dyDescent="0.3">
      <c r="A264">
        <v>483</v>
      </c>
      <c r="B264" t="s">
        <v>979</v>
      </c>
      <c r="C264" t="s">
        <v>69</v>
      </c>
      <c r="D264" t="s">
        <v>502</v>
      </c>
      <c r="E264" t="s">
        <v>502</v>
      </c>
      <c r="F264" s="4">
        <v>18731</v>
      </c>
      <c r="G264" t="s">
        <v>502</v>
      </c>
      <c r="H264">
        <v>76109300</v>
      </c>
      <c r="I264" t="s">
        <v>502</v>
      </c>
      <c r="J264" t="s">
        <v>502</v>
      </c>
      <c r="K264" t="s">
        <v>15</v>
      </c>
      <c r="L264" t="s">
        <v>506</v>
      </c>
      <c r="M264" t="e">
        <f>VLOOKUP(A264,[1]MSAKEN!$A$1:$F$562,6,FALSE)</f>
        <v>#N/A</v>
      </c>
    </row>
    <row r="265" spans="1:13" x14ac:dyDescent="0.3">
      <c r="A265">
        <v>484</v>
      </c>
      <c r="B265" t="s">
        <v>239</v>
      </c>
      <c r="C265" t="s">
        <v>980</v>
      </c>
      <c r="D265" t="s">
        <v>502</v>
      </c>
      <c r="E265" t="s">
        <v>502</v>
      </c>
      <c r="F265" s="4">
        <v>17589</v>
      </c>
      <c r="G265">
        <v>3914963</v>
      </c>
      <c r="H265">
        <v>41570900</v>
      </c>
      <c r="I265" t="s">
        <v>981</v>
      </c>
      <c r="J265" t="s">
        <v>511</v>
      </c>
      <c r="K265" t="s">
        <v>15</v>
      </c>
      <c r="L265" t="s">
        <v>506</v>
      </c>
      <c r="M265" t="e">
        <f>VLOOKUP(A265,[1]MSAKEN!$A$1:$F$562,6,FALSE)</f>
        <v>#N/A</v>
      </c>
    </row>
    <row r="266" spans="1:13" x14ac:dyDescent="0.3">
      <c r="A266">
        <v>486</v>
      </c>
      <c r="B266" t="s">
        <v>33</v>
      </c>
      <c r="C266" t="s">
        <v>246</v>
      </c>
      <c r="D266" t="s">
        <v>982</v>
      </c>
      <c r="E266" t="s">
        <v>584</v>
      </c>
      <c r="F266" s="4">
        <v>24138</v>
      </c>
      <c r="G266">
        <v>2979919</v>
      </c>
      <c r="H266">
        <v>1114717208</v>
      </c>
      <c r="I266" t="s">
        <v>983</v>
      </c>
      <c r="J266" t="s">
        <v>513</v>
      </c>
      <c r="K266" t="s">
        <v>15</v>
      </c>
      <c r="L266" t="s">
        <v>506</v>
      </c>
      <c r="M266" t="str">
        <f>VLOOKUP(A266,[1]MSAKEN!$A$1:$F$562,6,FALSE)</f>
        <v>25018000000005713078</v>
      </c>
    </row>
    <row r="267" spans="1:13" x14ac:dyDescent="0.3">
      <c r="A267">
        <v>487</v>
      </c>
      <c r="B267" t="s">
        <v>984</v>
      </c>
      <c r="C267" t="s">
        <v>478</v>
      </c>
      <c r="D267" t="s">
        <v>502</v>
      </c>
      <c r="E267" t="s">
        <v>502</v>
      </c>
      <c r="F267" s="4">
        <v>18555</v>
      </c>
      <c r="G267">
        <v>4006754</v>
      </c>
      <c r="H267">
        <v>67635500</v>
      </c>
      <c r="I267" t="s">
        <v>985</v>
      </c>
      <c r="J267" t="s">
        <v>511</v>
      </c>
      <c r="K267" t="s">
        <v>15</v>
      </c>
      <c r="L267" t="s">
        <v>506</v>
      </c>
      <c r="M267" t="e">
        <f>VLOOKUP(A267,[1]MSAKEN!$A$1:$F$562,6,FALSE)</f>
        <v>#N/A</v>
      </c>
    </row>
    <row r="268" spans="1:13" x14ac:dyDescent="0.3">
      <c r="A268">
        <v>488</v>
      </c>
      <c r="B268" t="s">
        <v>986</v>
      </c>
      <c r="C268" t="s">
        <v>987</v>
      </c>
      <c r="D268" t="s">
        <v>545</v>
      </c>
      <c r="E268" t="s">
        <v>521</v>
      </c>
      <c r="F268" s="4">
        <v>21648</v>
      </c>
      <c r="G268">
        <v>2935868</v>
      </c>
      <c r="H268">
        <v>1123459206</v>
      </c>
      <c r="I268" t="s">
        <v>988</v>
      </c>
      <c r="J268" t="s">
        <v>511</v>
      </c>
      <c r="K268" t="s">
        <v>15</v>
      </c>
      <c r="L268" t="s">
        <v>17</v>
      </c>
      <c r="M268" t="e">
        <f>VLOOKUP(A268,[1]MSAKEN!$A$1:$F$562,6,FALSE)</f>
        <v>#N/A</v>
      </c>
    </row>
    <row r="269" spans="1:13" x14ac:dyDescent="0.3">
      <c r="A269">
        <v>489</v>
      </c>
      <c r="B269" t="s">
        <v>989</v>
      </c>
      <c r="C269" t="s">
        <v>34</v>
      </c>
      <c r="D269" t="s">
        <v>502</v>
      </c>
      <c r="E269" t="s">
        <v>502</v>
      </c>
      <c r="F269" t="s">
        <v>502</v>
      </c>
      <c r="G269">
        <v>3807068</v>
      </c>
      <c r="H269">
        <v>0</v>
      </c>
      <c r="I269" t="s">
        <v>990</v>
      </c>
      <c r="J269" t="s">
        <v>502</v>
      </c>
      <c r="K269" t="s">
        <v>15</v>
      </c>
      <c r="L269" t="s">
        <v>506</v>
      </c>
      <c r="M269" t="e">
        <f>VLOOKUP(A269,[1]MSAKEN!$A$1:$F$562,6,FALSE)</f>
        <v>#N/A</v>
      </c>
    </row>
    <row r="270" spans="1:13" x14ac:dyDescent="0.3">
      <c r="A270">
        <v>491</v>
      </c>
      <c r="B270" t="s">
        <v>991</v>
      </c>
      <c r="C270" t="s">
        <v>24</v>
      </c>
      <c r="D270" t="s">
        <v>502</v>
      </c>
      <c r="E270" t="s">
        <v>502</v>
      </c>
      <c r="F270" t="s">
        <v>502</v>
      </c>
      <c r="G270" t="s">
        <v>502</v>
      </c>
      <c r="H270" t="s">
        <v>502</v>
      </c>
      <c r="I270" t="s">
        <v>502</v>
      </c>
      <c r="J270" t="s">
        <v>502</v>
      </c>
      <c r="K270" t="s">
        <v>15</v>
      </c>
      <c r="L270" t="s">
        <v>502</v>
      </c>
      <c r="M270" t="e">
        <f>VLOOKUP(A270,[1]MSAKEN!$A$1:$F$562,6,FALSE)</f>
        <v>#N/A</v>
      </c>
    </row>
    <row r="271" spans="1:13" x14ac:dyDescent="0.3">
      <c r="A271">
        <v>492</v>
      </c>
      <c r="B271" t="s">
        <v>299</v>
      </c>
      <c r="C271" t="s">
        <v>321</v>
      </c>
      <c r="D271" t="s">
        <v>674</v>
      </c>
      <c r="E271" t="s">
        <v>652</v>
      </c>
      <c r="F271" s="4">
        <v>24277</v>
      </c>
      <c r="G271">
        <v>2963312</v>
      </c>
      <c r="H271">
        <v>1120399603</v>
      </c>
      <c r="I271" t="s">
        <v>992</v>
      </c>
      <c r="J271" t="s">
        <v>513</v>
      </c>
      <c r="K271" t="s">
        <v>15</v>
      </c>
      <c r="L271" t="s">
        <v>506</v>
      </c>
      <c r="M271" t="e">
        <f>VLOOKUP(A271,[1]MSAKEN!$A$1:$F$562,6,FALSE)</f>
        <v>#N/A</v>
      </c>
    </row>
    <row r="272" spans="1:13" x14ac:dyDescent="0.3">
      <c r="A272">
        <v>495</v>
      </c>
      <c r="B272" t="s">
        <v>776</v>
      </c>
      <c r="C272" t="s">
        <v>40</v>
      </c>
      <c r="D272" t="s">
        <v>535</v>
      </c>
      <c r="E272" t="s">
        <v>714</v>
      </c>
      <c r="F272" s="4">
        <v>21488</v>
      </c>
      <c r="G272">
        <v>2860124</v>
      </c>
      <c r="H272">
        <v>1100510005</v>
      </c>
      <c r="I272" t="s">
        <v>993</v>
      </c>
      <c r="J272" t="s">
        <v>513</v>
      </c>
      <c r="K272" t="s">
        <v>15</v>
      </c>
      <c r="L272" t="s">
        <v>506</v>
      </c>
      <c r="M272" t="e">
        <f>VLOOKUP(A272,[1]MSAKEN!$A$1:$F$562,6,FALSE)</f>
        <v>#N/A</v>
      </c>
    </row>
    <row r="273" spans="1:13" x14ac:dyDescent="0.3">
      <c r="A273">
        <v>496</v>
      </c>
      <c r="B273" t="s">
        <v>994</v>
      </c>
      <c r="C273" t="s">
        <v>34</v>
      </c>
      <c r="D273" t="s">
        <v>648</v>
      </c>
      <c r="E273" t="s">
        <v>699</v>
      </c>
      <c r="F273" s="4">
        <v>21558</v>
      </c>
      <c r="G273">
        <v>2880024</v>
      </c>
      <c r="H273">
        <v>1122885807</v>
      </c>
      <c r="I273" t="s">
        <v>995</v>
      </c>
      <c r="J273" t="s">
        <v>513</v>
      </c>
      <c r="K273" t="s">
        <v>15</v>
      </c>
      <c r="L273" t="s">
        <v>506</v>
      </c>
      <c r="M273" t="e">
        <f>VLOOKUP(A273,[1]MSAKEN!$A$1:$F$562,6,FALSE)</f>
        <v>#N/A</v>
      </c>
    </row>
    <row r="274" spans="1:13" x14ac:dyDescent="0.3">
      <c r="A274">
        <v>497</v>
      </c>
      <c r="B274" t="s">
        <v>582</v>
      </c>
      <c r="C274" t="s">
        <v>336</v>
      </c>
      <c r="D274" t="s">
        <v>535</v>
      </c>
      <c r="E274" t="s">
        <v>584</v>
      </c>
      <c r="F274" s="4">
        <v>24447</v>
      </c>
      <c r="G274">
        <v>2986433</v>
      </c>
      <c r="H274">
        <v>1134083508</v>
      </c>
      <c r="I274" t="s">
        <v>996</v>
      </c>
      <c r="J274" t="s">
        <v>513</v>
      </c>
      <c r="K274" t="s">
        <v>15</v>
      </c>
      <c r="L274" t="s">
        <v>506</v>
      </c>
      <c r="M274" t="str">
        <f>VLOOKUP(A274,[1]MSAKEN!$A$1:$F$562,6,FALSE)</f>
        <v>10506040203419978893</v>
      </c>
    </row>
    <row r="275" spans="1:13" x14ac:dyDescent="0.3">
      <c r="A275">
        <v>498</v>
      </c>
      <c r="B275" t="s">
        <v>427</v>
      </c>
      <c r="C275" t="s">
        <v>336</v>
      </c>
      <c r="D275" t="s">
        <v>997</v>
      </c>
      <c r="E275" t="s">
        <v>998</v>
      </c>
      <c r="F275" s="4">
        <v>24007</v>
      </c>
      <c r="G275">
        <v>2957779</v>
      </c>
      <c r="H275">
        <v>1124265404</v>
      </c>
      <c r="I275" t="s">
        <v>567</v>
      </c>
      <c r="J275" t="s">
        <v>568</v>
      </c>
      <c r="K275" t="s">
        <v>15</v>
      </c>
      <c r="L275" t="s">
        <v>506</v>
      </c>
      <c r="M275" t="str">
        <f>VLOOKUP(A275,[1]MSAKEN!$A$1:$F$562,6,FALSE)</f>
        <v>12505000000213607746</v>
      </c>
    </row>
    <row r="276" spans="1:13" x14ac:dyDescent="0.3">
      <c r="A276">
        <v>503</v>
      </c>
      <c r="B276" t="s">
        <v>83</v>
      </c>
      <c r="C276" t="s">
        <v>244</v>
      </c>
      <c r="D276" t="s">
        <v>999</v>
      </c>
      <c r="E276" t="s">
        <v>1000</v>
      </c>
      <c r="F276" s="4">
        <v>24306</v>
      </c>
      <c r="G276">
        <v>2966511</v>
      </c>
      <c r="H276">
        <v>1124339704</v>
      </c>
      <c r="I276" t="s">
        <v>1001</v>
      </c>
      <c r="J276" t="s">
        <v>513</v>
      </c>
      <c r="K276" t="s">
        <v>15</v>
      </c>
      <c r="L276" t="s">
        <v>506</v>
      </c>
      <c r="M276" t="str">
        <f>VLOOKUP(A276,[1]MSAKEN!$A$1:$F$562,6,FALSE)</f>
        <v>10506040203259578820</v>
      </c>
    </row>
    <row r="277" spans="1:13" x14ac:dyDescent="0.3">
      <c r="A277">
        <v>507</v>
      </c>
      <c r="B277" t="s">
        <v>167</v>
      </c>
      <c r="C277" t="s">
        <v>69</v>
      </c>
      <c r="D277" t="s">
        <v>535</v>
      </c>
      <c r="E277" t="s">
        <v>1002</v>
      </c>
      <c r="F277" s="4">
        <v>21225</v>
      </c>
      <c r="G277">
        <v>2913753</v>
      </c>
      <c r="H277">
        <v>1124359801</v>
      </c>
      <c r="I277" t="s">
        <v>1003</v>
      </c>
      <c r="J277" t="s">
        <v>511</v>
      </c>
      <c r="K277" t="s">
        <v>15</v>
      </c>
      <c r="L277" t="s">
        <v>506</v>
      </c>
      <c r="M277" t="e">
        <f>VLOOKUP(A277,[1]MSAKEN!$A$1:$F$562,6,FALSE)</f>
        <v>#N/A</v>
      </c>
    </row>
    <row r="278" spans="1:13" x14ac:dyDescent="0.3">
      <c r="A278">
        <v>509</v>
      </c>
      <c r="B278" t="s">
        <v>1004</v>
      </c>
      <c r="C278" t="s">
        <v>1005</v>
      </c>
      <c r="D278" t="s">
        <v>502</v>
      </c>
      <c r="E278" t="s">
        <v>502</v>
      </c>
      <c r="F278" t="s">
        <v>502</v>
      </c>
      <c r="G278" t="s">
        <v>502</v>
      </c>
      <c r="H278" t="s">
        <v>502</v>
      </c>
      <c r="I278" t="s">
        <v>502</v>
      </c>
      <c r="J278" t="s">
        <v>502</v>
      </c>
      <c r="K278" t="s">
        <v>15</v>
      </c>
      <c r="L278" t="s">
        <v>17</v>
      </c>
      <c r="M278" t="e">
        <f>VLOOKUP(A278,[1]MSAKEN!$A$1:$F$562,6,FALSE)</f>
        <v>#N/A</v>
      </c>
    </row>
    <row r="279" spans="1:13" x14ac:dyDescent="0.3">
      <c r="A279">
        <v>510</v>
      </c>
      <c r="B279" t="s">
        <v>1006</v>
      </c>
      <c r="C279" t="s">
        <v>1007</v>
      </c>
      <c r="D279" t="s">
        <v>502</v>
      </c>
      <c r="E279" t="s">
        <v>502</v>
      </c>
      <c r="F279" s="4">
        <v>23859</v>
      </c>
      <c r="G279" t="s">
        <v>502</v>
      </c>
      <c r="H279" t="s">
        <v>502</v>
      </c>
      <c r="I279" t="s">
        <v>502</v>
      </c>
      <c r="J279" t="s">
        <v>502</v>
      </c>
      <c r="K279" t="s">
        <v>15</v>
      </c>
      <c r="L279" t="s">
        <v>17</v>
      </c>
      <c r="M279" t="e">
        <f>VLOOKUP(A279,[1]MSAKEN!$A$1:$F$562,6,FALSE)</f>
        <v>#N/A</v>
      </c>
    </row>
    <row r="280" spans="1:13" x14ac:dyDescent="0.3">
      <c r="A280">
        <v>511</v>
      </c>
      <c r="B280" t="s">
        <v>369</v>
      </c>
      <c r="C280" t="s">
        <v>1008</v>
      </c>
      <c r="D280" t="s">
        <v>502</v>
      </c>
      <c r="E280" t="s">
        <v>502</v>
      </c>
      <c r="F280" t="s">
        <v>502</v>
      </c>
      <c r="G280" t="s">
        <v>502</v>
      </c>
      <c r="H280" t="s">
        <v>502</v>
      </c>
      <c r="I280" t="s">
        <v>502</v>
      </c>
      <c r="J280" t="s">
        <v>502</v>
      </c>
      <c r="K280" t="s">
        <v>15</v>
      </c>
      <c r="L280" t="s">
        <v>17</v>
      </c>
      <c r="M280" t="e">
        <f>VLOOKUP(A280,[1]MSAKEN!$A$1:$F$562,6,FALSE)</f>
        <v>#N/A</v>
      </c>
    </row>
    <row r="281" spans="1:13" x14ac:dyDescent="0.3">
      <c r="A281">
        <v>512</v>
      </c>
      <c r="B281" t="s">
        <v>19</v>
      </c>
      <c r="C281" t="s">
        <v>553</v>
      </c>
      <c r="D281" t="s">
        <v>502</v>
      </c>
      <c r="E281" t="s">
        <v>502</v>
      </c>
      <c r="F281" s="4">
        <v>19391</v>
      </c>
      <c r="G281">
        <v>2819801</v>
      </c>
      <c r="H281">
        <v>1101185708</v>
      </c>
      <c r="I281" t="s">
        <v>1009</v>
      </c>
      <c r="J281" t="s">
        <v>513</v>
      </c>
      <c r="K281" t="s">
        <v>15</v>
      </c>
      <c r="L281" t="s">
        <v>506</v>
      </c>
      <c r="M281" t="e">
        <f>VLOOKUP(A281,[1]MSAKEN!$A$1:$F$562,6,FALSE)</f>
        <v>#N/A</v>
      </c>
    </row>
    <row r="282" spans="1:13" x14ac:dyDescent="0.3">
      <c r="A282">
        <v>513</v>
      </c>
      <c r="B282" t="s">
        <v>1010</v>
      </c>
      <c r="C282" t="s">
        <v>1011</v>
      </c>
      <c r="D282" t="s">
        <v>502</v>
      </c>
      <c r="E282" t="s">
        <v>502</v>
      </c>
      <c r="F282" s="4">
        <v>19554</v>
      </c>
      <c r="G282">
        <v>2824271</v>
      </c>
      <c r="H282">
        <v>1113873507</v>
      </c>
      <c r="I282" t="s">
        <v>1012</v>
      </c>
      <c r="J282" t="s">
        <v>511</v>
      </c>
      <c r="K282" t="s">
        <v>15</v>
      </c>
      <c r="L282" t="s">
        <v>506</v>
      </c>
      <c r="M282" t="e">
        <f>VLOOKUP(A282,[1]MSAKEN!$A$1:$F$562,6,FALSE)</f>
        <v>#N/A</v>
      </c>
    </row>
    <row r="283" spans="1:13" x14ac:dyDescent="0.3">
      <c r="A283">
        <v>515</v>
      </c>
      <c r="B283" t="s">
        <v>1013</v>
      </c>
      <c r="C283" t="s">
        <v>436</v>
      </c>
      <c r="D283" t="s">
        <v>535</v>
      </c>
      <c r="E283" t="s">
        <v>584</v>
      </c>
      <c r="F283" s="4">
        <v>23235</v>
      </c>
      <c r="G283">
        <v>2948279</v>
      </c>
      <c r="H283">
        <v>1124965508</v>
      </c>
      <c r="I283" t="s">
        <v>1014</v>
      </c>
      <c r="J283" t="s">
        <v>513</v>
      </c>
      <c r="K283" t="s">
        <v>15</v>
      </c>
      <c r="L283" t="s">
        <v>506</v>
      </c>
      <c r="M283" t="e">
        <f>VLOOKUP(A283,[1]MSAKEN!$A$1:$F$562,6,FALSE)</f>
        <v>#N/A</v>
      </c>
    </row>
    <row r="284" spans="1:13" x14ac:dyDescent="0.3">
      <c r="A284">
        <v>516</v>
      </c>
      <c r="B284" t="s">
        <v>1015</v>
      </c>
      <c r="C284" t="s">
        <v>375</v>
      </c>
      <c r="D284" t="s">
        <v>502</v>
      </c>
      <c r="E284" t="s">
        <v>502</v>
      </c>
      <c r="F284" s="4">
        <v>23110</v>
      </c>
      <c r="G284">
        <v>3919424</v>
      </c>
      <c r="H284">
        <v>1124790104</v>
      </c>
      <c r="I284" t="s">
        <v>1016</v>
      </c>
      <c r="J284" t="s">
        <v>511</v>
      </c>
      <c r="K284" t="s">
        <v>15</v>
      </c>
      <c r="L284" t="s">
        <v>506</v>
      </c>
      <c r="M284" t="e">
        <f>VLOOKUP(A284,[1]MSAKEN!$A$1:$F$562,6,FALSE)</f>
        <v>#N/A</v>
      </c>
    </row>
    <row r="285" spans="1:13" x14ac:dyDescent="0.3">
      <c r="A285">
        <v>520</v>
      </c>
      <c r="B285" t="s">
        <v>340</v>
      </c>
      <c r="C285" t="s">
        <v>1017</v>
      </c>
      <c r="D285" t="s">
        <v>502</v>
      </c>
      <c r="E285" t="s">
        <v>502</v>
      </c>
      <c r="F285" s="4">
        <v>18935</v>
      </c>
      <c r="G285">
        <v>2804193</v>
      </c>
      <c r="H285">
        <v>1126514908</v>
      </c>
      <c r="I285" t="s">
        <v>1018</v>
      </c>
      <c r="J285" t="s">
        <v>755</v>
      </c>
      <c r="K285" t="s">
        <v>15</v>
      </c>
      <c r="L285" t="s">
        <v>506</v>
      </c>
      <c r="M285" t="e">
        <f>VLOOKUP(A285,[1]MSAKEN!$A$1:$F$562,6,FALSE)</f>
        <v>#N/A</v>
      </c>
    </row>
    <row r="286" spans="1:13" x14ac:dyDescent="0.3">
      <c r="A286">
        <v>521</v>
      </c>
      <c r="B286" t="s">
        <v>1019</v>
      </c>
      <c r="C286" t="s">
        <v>110</v>
      </c>
      <c r="D286" t="s">
        <v>502</v>
      </c>
      <c r="E286" t="s">
        <v>502</v>
      </c>
      <c r="F286" s="4">
        <v>20394</v>
      </c>
      <c r="G286">
        <v>2843336</v>
      </c>
      <c r="H286">
        <v>1102222609</v>
      </c>
      <c r="I286" t="s">
        <v>1020</v>
      </c>
      <c r="J286" t="s">
        <v>511</v>
      </c>
      <c r="K286" t="s">
        <v>15</v>
      </c>
      <c r="L286" t="s">
        <v>506</v>
      </c>
      <c r="M286" t="e">
        <f>VLOOKUP(A286,[1]MSAKEN!$A$1:$F$562,6,FALSE)</f>
        <v>#N/A</v>
      </c>
    </row>
    <row r="287" spans="1:13" x14ac:dyDescent="0.3">
      <c r="A287">
        <v>522</v>
      </c>
      <c r="B287" t="s">
        <v>173</v>
      </c>
      <c r="C287" t="s">
        <v>1021</v>
      </c>
      <c r="D287" t="s">
        <v>502</v>
      </c>
      <c r="E287" t="s">
        <v>502</v>
      </c>
      <c r="F287" s="4">
        <v>22482</v>
      </c>
      <c r="G287">
        <v>2886014</v>
      </c>
      <c r="H287">
        <v>1124699404</v>
      </c>
      <c r="I287" t="s">
        <v>1022</v>
      </c>
      <c r="J287" t="s">
        <v>511</v>
      </c>
      <c r="K287" t="s">
        <v>15</v>
      </c>
      <c r="L287" t="s">
        <v>506</v>
      </c>
      <c r="M287" t="e">
        <f>VLOOKUP(A287,[1]MSAKEN!$A$1:$F$562,6,FALSE)</f>
        <v>#N/A</v>
      </c>
    </row>
    <row r="288" spans="1:13" x14ac:dyDescent="0.3">
      <c r="A288">
        <v>523</v>
      </c>
      <c r="B288" t="s">
        <v>554</v>
      </c>
      <c r="C288" t="s">
        <v>1023</v>
      </c>
      <c r="D288" t="s">
        <v>502</v>
      </c>
      <c r="E288" t="s">
        <v>502</v>
      </c>
      <c r="F288" s="4">
        <v>23272</v>
      </c>
      <c r="G288">
        <v>2959665</v>
      </c>
      <c r="H288">
        <v>1124884500</v>
      </c>
      <c r="I288" t="s">
        <v>1024</v>
      </c>
      <c r="J288" t="s">
        <v>511</v>
      </c>
      <c r="K288" t="s">
        <v>15</v>
      </c>
      <c r="L288" t="s">
        <v>17</v>
      </c>
      <c r="M288" t="e">
        <f>VLOOKUP(A288,[1]MSAKEN!$A$1:$F$562,6,FALSE)</f>
        <v>#N/A</v>
      </c>
    </row>
    <row r="289" spans="1:13" x14ac:dyDescent="0.3">
      <c r="A289">
        <v>524</v>
      </c>
      <c r="B289" t="s">
        <v>1025</v>
      </c>
      <c r="C289" t="s">
        <v>353</v>
      </c>
      <c r="D289" t="s">
        <v>1026</v>
      </c>
      <c r="E289" t="s">
        <v>630</v>
      </c>
      <c r="F289" s="4">
        <v>23044</v>
      </c>
      <c r="G289">
        <v>2899298</v>
      </c>
      <c r="H289">
        <v>1125459105</v>
      </c>
      <c r="I289" t="s">
        <v>502</v>
      </c>
      <c r="J289" t="s">
        <v>502</v>
      </c>
      <c r="K289" t="s">
        <v>15</v>
      </c>
      <c r="L289" t="s">
        <v>506</v>
      </c>
      <c r="M289" t="str">
        <f>VLOOKUP(A289,[1]MSAKEN!$A$1:$F$562,6,FALSE)</f>
        <v>14500500100702024154</v>
      </c>
    </row>
    <row r="290" spans="1:13" x14ac:dyDescent="0.3">
      <c r="A290">
        <v>526</v>
      </c>
      <c r="B290" t="s">
        <v>193</v>
      </c>
      <c r="C290" t="s">
        <v>76</v>
      </c>
      <c r="D290" t="s">
        <v>1027</v>
      </c>
      <c r="E290" t="s">
        <v>954</v>
      </c>
      <c r="F290" s="4">
        <v>24503</v>
      </c>
      <c r="G290">
        <v>2968624</v>
      </c>
      <c r="H290">
        <v>1124822600</v>
      </c>
      <c r="I290" t="s">
        <v>1028</v>
      </c>
      <c r="J290" t="s">
        <v>513</v>
      </c>
      <c r="K290" t="s">
        <v>15</v>
      </c>
      <c r="L290" t="s">
        <v>506</v>
      </c>
      <c r="M290" t="e">
        <f>VLOOKUP(A290,[1]MSAKEN!$A$1:$F$562,6,FALSE)</f>
        <v>#N/A</v>
      </c>
    </row>
    <row r="291" spans="1:13" x14ac:dyDescent="0.3">
      <c r="A291">
        <v>532</v>
      </c>
      <c r="B291" t="s">
        <v>1029</v>
      </c>
      <c r="C291" t="s">
        <v>56</v>
      </c>
      <c r="D291" t="s">
        <v>648</v>
      </c>
      <c r="E291" t="s">
        <v>926</v>
      </c>
      <c r="F291" s="4">
        <v>22849</v>
      </c>
      <c r="G291">
        <v>2939404</v>
      </c>
      <c r="H291">
        <v>1125201804</v>
      </c>
      <c r="I291" t="s">
        <v>1030</v>
      </c>
      <c r="J291" t="s">
        <v>513</v>
      </c>
      <c r="K291" t="s">
        <v>15</v>
      </c>
      <c r="L291" t="s">
        <v>506</v>
      </c>
      <c r="M291" t="e">
        <f>VLOOKUP(A291,[1]MSAKEN!$A$1:$F$562,6,FALSE)</f>
        <v>#N/A</v>
      </c>
    </row>
    <row r="292" spans="1:13" x14ac:dyDescent="0.3">
      <c r="A292">
        <v>533</v>
      </c>
      <c r="B292" t="s">
        <v>121</v>
      </c>
      <c r="C292" t="s">
        <v>118</v>
      </c>
      <c r="D292" t="s">
        <v>502</v>
      </c>
      <c r="E292" t="s">
        <v>502</v>
      </c>
      <c r="F292" s="4">
        <v>20022</v>
      </c>
      <c r="G292">
        <v>2934446</v>
      </c>
      <c r="H292">
        <v>1125046605</v>
      </c>
      <c r="I292" t="s">
        <v>1031</v>
      </c>
      <c r="J292" t="s">
        <v>513</v>
      </c>
      <c r="K292" t="s">
        <v>15</v>
      </c>
      <c r="L292" t="s">
        <v>506</v>
      </c>
      <c r="M292" t="e">
        <f>VLOOKUP(A292,[1]MSAKEN!$A$1:$F$562,6,FALSE)</f>
        <v>#N/A</v>
      </c>
    </row>
    <row r="293" spans="1:13" x14ac:dyDescent="0.3">
      <c r="A293">
        <v>534</v>
      </c>
      <c r="B293" t="s">
        <v>1032</v>
      </c>
      <c r="C293" t="s">
        <v>101</v>
      </c>
      <c r="D293" t="s">
        <v>535</v>
      </c>
      <c r="E293" t="s">
        <v>546</v>
      </c>
      <c r="F293" s="4">
        <v>23437</v>
      </c>
      <c r="G293">
        <v>2949678</v>
      </c>
      <c r="H293">
        <v>1104566201</v>
      </c>
      <c r="I293" t="s">
        <v>1033</v>
      </c>
      <c r="J293" t="s">
        <v>511</v>
      </c>
      <c r="K293" t="s">
        <v>15</v>
      </c>
      <c r="L293" t="s">
        <v>506</v>
      </c>
      <c r="M293" t="e">
        <f>VLOOKUP(A293,[1]MSAKEN!$A$1:$F$562,6,FALSE)</f>
        <v>#N/A</v>
      </c>
    </row>
    <row r="294" spans="1:13" x14ac:dyDescent="0.3">
      <c r="A294">
        <v>536</v>
      </c>
      <c r="B294" t="s">
        <v>811</v>
      </c>
      <c r="C294" t="s">
        <v>1034</v>
      </c>
      <c r="D294" t="s">
        <v>1035</v>
      </c>
      <c r="E294" t="s">
        <v>1036</v>
      </c>
      <c r="F294" s="4">
        <v>24257</v>
      </c>
      <c r="G294">
        <v>2964426</v>
      </c>
      <c r="H294">
        <v>1125051407</v>
      </c>
      <c r="I294" t="s">
        <v>814</v>
      </c>
      <c r="J294" t="s">
        <v>755</v>
      </c>
      <c r="K294" t="s">
        <v>15</v>
      </c>
      <c r="L294" t="s">
        <v>506</v>
      </c>
      <c r="M294" t="e">
        <f>VLOOKUP(A294,[1]MSAKEN!$A$1:$F$562,6,FALSE)</f>
        <v>#N/A</v>
      </c>
    </row>
    <row r="295" spans="1:13" x14ac:dyDescent="0.3">
      <c r="A295">
        <v>537</v>
      </c>
      <c r="B295" t="s">
        <v>109</v>
      </c>
      <c r="C295" t="s">
        <v>34</v>
      </c>
      <c r="D295" t="s">
        <v>707</v>
      </c>
      <c r="E295" t="s">
        <v>584</v>
      </c>
      <c r="F295" s="4">
        <v>23799</v>
      </c>
      <c r="G295">
        <v>2960501</v>
      </c>
      <c r="H295">
        <v>1125090306</v>
      </c>
      <c r="I295" t="s">
        <v>1037</v>
      </c>
      <c r="J295" t="s">
        <v>657</v>
      </c>
      <c r="K295" t="s">
        <v>15</v>
      </c>
      <c r="L295" t="s">
        <v>506</v>
      </c>
      <c r="M295" t="str">
        <f>VLOOKUP(A295,[1]MSAKEN!$A$1:$F$562,6,FALSE)</f>
        <v>12505000580100892747</v>
      </c>
    </row>
    <row r="296" spans="1:13" x14ac:dyDescent="0.3">
      <c r="A296">
        <v>540</v>
      </c>
      <c r="B296" t="s">
        <v>161</v>
      </c>
      <c r="C296" t="s">
        <v>40</v>
      </c>
      <c r="D296" t="s">
        <v>598</v>
      </c>
      <c r="E296" t="s">
        <v>502</v>
      </c>
      <c r="F296" s="4">
        <v>22515</v>
      </c>
      <c r="G296">
        <v>2861388</v>
      </c>
      <c r="H296">
        <v>1125201606</v>
      </c>
      <c r="I296" t="s">
        <v>1038</v>
      </c>
      <c r="J296" t="s">
        <v>513</v>
      </c>
      <c r="K296" t="s">
        <v>15</v>
      </c>
      <c r="L296" t="s">
        <v>506</v>
      </c>
      <c r="M296" t="str">
        <f>VLOOKUP(A296,[1]MSAKEN!$A$1:$F$562,6,FALSE)</f>
        <v>08507000262000357602</v>
      </c>
    </row>
    <row r="297" spans="1:13" x14ac:dyDescent="0.3">
      <c r="A297">
        <v>545</v>
      </c>
      <c r="B297" t="s">
        <v>62</v>
      </c>
      <c r="C297" t="s">
        <v>105</v>
      </c>
      <c r="D297" t="s">
        <v>1039</v>
      </c>
      <c r="E297" t="s">
        <v>926</v>
      </c>
      <c r="F297" s="4">
        <v>20144</v>
      </c>
      <c r="G297">
        <v>1013015</v>
      </c>
      <c r="H297">
        <v>1125459105</v>
      </c>
      <c r="I297" t="s">
        <v>502</v>
      </c>
      <c r="J297" t="s">
        <v>502</v>
      </c>
      <c r="K297" t="s">
        <v>15</v>
      </c>
      <c r="L297" t="s">
        <v>506</v>
      </c>
      <c r="M297" t="e">
        <f>VLOOKUP(A297,[1]MSAKEN!$A$1:$F$562,6,FALSE)</f>
        <v>#N/A</v>
      </c>
    </row>
    <row r="298" spans="1:13" x14ac:dyDescent="0.3">
      <c r="A298">
        <v>546</v>
      </c>
      <c r="B298" t="s">
        <v>57</v>
      </c>
      <c r="C298" t="s">
        <v>336</v>
      </c>
      <c r="D298" t="s">
        <v>535</v>
      </c>
      <c r="E298" t="s">
        <v>536</v>
      </c>
      <c r="F298" s="4">
        <v>24221</v>
      </c>
      <c r="G298">
        <v>2962914</v>
      </c>
      <c r="H298">
        <v>1125270007</v>
      </c>
      <c r="I298" t="s">
        <v>1040</v>
      </c>
      <c r="J298" t="s">
        <v>513</v>
      </c>
      <c r="K298" t="s">
        <v>15</v>
      </c>
      <c r="L298" t="s">
        <v>506</v>
      </c>
      <c r="M298" t="e">
        <f>VLOOKUP(A298,[1]MSAKEN!$A$1:$F$562,6,FALSE)</f>
        <v>#N/A</v>
      </c>
    </row>
    <row r="299" spans="1:13" x14ac:dyDescent="0.3">
      <c r="A299">
        <v>548</v>
      </c>
      <c r="B299" t="s">
        <v>104</v>
      </c>
      <c r="C299" t="s">
        <v>434</v>
      </c>
      <c r="D299" t="s">
        <v>502</v>
      </c>
      <c r="E299" t="s">
        <v>502</v>
      </c>
      <c r="F299" s="4">
        <v>19225</v>
      </c>
      <c r="G299" t="s">
        <v>502</v>
      </c>
      <c r="H299">
        <v>1128175005</v>
      </c>
      <c r="I299" t="s">
        <v>502</v>
      </c>
      <c r="J299" t="s">
        <v>502</v>
      </c>
      <c r="K299" t="s">
        <v>15</v>
      </c>
      <c r="L299" t="s">
        <v>506</v>
      </c>
      <c r="M299" t="e">
        <f>VLOOKUP(A299,[1]MSAKEN!$A$1:$F$562,6,FALSE)</f>
        <v>#N/A</v>
      </c>
    </row>
    <row r="300" spans="1:13" x14ac:dyDescent="0.3">
      <c r="A300">
        <v>551</v>
      </c>
      <c r="B300" t="s">
        <v>58</v>
      </c>
      <c r="C300" t="s">
        <v>45</v>
      </c>
      <c r="D300" t="s">
        <v>520</v>
      </c>
      <c r="E300" t="s">
        <v>699</v>
      </c>
      <c r="F300" s="4">
        <v>23091</v>
      </c>
      <c r="G300">
        <v>2947807</v>
      </c>
      <c r="H300">
        <v>1125282903</v>
      </c>
      <c r="I300" t="s">
        <v>1041</v>
      </c>
      <c r="J300" t="s">
        <v>513</v>
      </c>
      <c r="K300" t="s">
        <v>15</v>
      </c>
      <c r="L300" t="s">
        <v>506</v>
      </c>
      <c r="M300" t="str">
        <f>VLOOKUP(A300,[1]MSAKEN!$A$1:$F$562,6,FALSE)</f>
        <v>08507000262000178637</v>
      </c>
    </row>
    <row r="301" spans="1:13" x14ac:dyDescent="0.3">
      <c r="A301">
        <v>552</v>
      </c>
      <c r="B301" t="s">
        <v>264</v>
      </c>
      <c r="C301" t="s">
        <v>56</v>
      </c>
      <c r="D301" t="s">
        <v>772</v>
      </c>
      <c r="E301" t="s">
        <v>699</v>
      </c>
      <c r="F301" s="4">
        <v>22929</v>
      </c>
      <c r="G301">
        <v>2943574</v>
      </c>
      <c r="H301">
        <v>1125745107</v>
      </c>
      <c r="I301" t="s">
        <v>1042</v>
      </c>
      <c r="J301" t="s">
        <v>513</v>
      </c>
      <c r="K301" t="s">
        <v>15</v>
      </c>
      <c r="L301" t="s">
        <v>506</v>
      </c>
      <c r="M301" t="str">
        <f>VLOOKUP(A301,[1]MSAKEN!$A$1:$F$562,6,FALSE)</f>
        <v>08507000262001239720</v>
      </c>
    </row>
    <row r="302" spans="1:13" x14ac:dyDescent="0.3">
      <c r="A302">
        <v>555</v>
      </c>
      <c r="B302" t="s">
        <v>283</v>
      </c>
      <c r="C302" t="s">
        <v>321</v>
      </c>
      <c r="D302" t="s">
        <v>1043</v>
      </c>
      <c r="E302" t="s">
        <v>1044</v>
      </c>
      <c r="F302" s="4">
        <v>21444</v>
      </c>
      <c r="G302">
        <v>2917779</v>
      </c>
      <c r="H302">
        <v>1126455003</v>
      </c>
      <c r="I302" t="s">
        <v>1045</v>
      </c>
      <c r="J302" t="s">
        <v>574</v>
      </c>
      <c r="K302" t="s">
        <v>15</v>
      </c>
      <c r="L302" t="s">
        <v>506</v>
      </c>
      <c r="M302" t="e">
        <f>VLOOKUP(A302,[1]MSAKEN!$A$1:$F$562,6,FALSE)</f>
        <v>#N/A</v>
      </c>
    </row>
    <row r="303" spans="1:13" x14ac:dyDescent="0.3">
      <c r="A303">
        <v>556</v>
      </c>
      <c r="B303" t="s">
        <v>25</v>
      </c>
      <c r="C303" t="s">
        <v>34</v>
      </c>
      <c r="D303" t="s">
        <v>502</v>
      </c>
      <c r="E303" t="s">
        <v>502</v>
      </c>
      <c r="F303" t="s">
        <v>502</v>
      </c>
      <c r="G303">
        <v>2952047</v>
      </c>
      <c r="H303">
        <v>0</v>
      </c>
      <c r="I303" t="s">
        <v>1046</v>
      </c>
      <c r="J303" t="s">
        <v>502</v>
      </c>
      <c r="K303" t="s">
        <v>15</v>
      </c>
      <c r="L303" t="s">
        <v>506</v>
      </c>
      <c r="M303" t="e">
        <f>VLOOKUP(A303,[1]MSAKEN!$A$1:$F$562,6,FALSE)</f>
        <v>#N/A</v>
      </c>
    </row>
    <row r="304" spans="1:13" x14ac:dyDescent="0.3">
      <c r="A304">
        <v>558</v>
      </c>
      <c r="B304" t="s">
        <v>161</v>
      </c>
      <c r="C304" t="s">
        <v>271</v>
      </c>
      <c r="D304" t="s">
        <v>502</v>
      </c>
      <c r="E304" t="s">
        <v>502</v>
      </c>
      <c r="F304" s="4">
        <v>22687</v>
      </c>
      <c r="G304">
        <v>2957517</v>
      </c>
      <c r="H304">
        <v>1102387709</v>
      </c>
      <c r="I304" t="s">
        <v>1047</v>
      </c>
      <c r="J304" t="s">
        <v>1048</v>
      </c>
      <c r="K304" t="s">
        <v>15</v>
      </c>
      <c r="L304" t="s">
        <v>506</v>
      </c>
      <c r="M304" t="e">
        <f>VLOOKUP(A304,[1]MSAKEN!$A$1:$F$562,6,FALSE)</f>
        <v>#N/A</v>
      </c>
    </row>
    <row r="305" spans="1:13" x14ac:dyDescent="0.3">
      <c r="A305">
        <v>560</v>
      </c>
      <c r="B305" t="s">
        <v>299</v>
      </c>
      <c r="C305" t="s">
        <v>1049</v>
      </c>
      <c r="D305" t="s">
        <v>502</v>
      </c>
      <c r="E305" t="s">
        <v>502</v>
      </c>
      <c r="F305" t="s">
        <v>502</v>
      </c>
      <c r="G305">
        <v>2843270</v>
      </c>
      <c r="H305">
        <v>0</v>
      </c>
      <c r="I305" t="s">
        <v>1050</v>
      </c>
      <c r="J305" t="s">
        <v>502</v>
      </c>
      <c r="K305" t="s">
        <v>15</v>
      </c>
      <c r="L305" t="s">
        <v>17</v>
      </c>
      <c r="M305" t="e">
        <f>VLOOKUP(A305,[1]MSAKEN!$A$1:$F$562,6,FALSE)</f>
        <v>#N/A</v>
      </c>
    </row>
    <row r="306" spans="1:13" x14ac:dyDescent="0.3">
      <c r="A306">
        <v>561</v>
      </c>
      <c r="B306" t="s">
        <v>316</v>
      </c>
      <c r="C306" t="s">
        <v>181</v>
      </c>
      <c r="D306" t="s">
        <v>520</v>
      </c>
      <c r="E306" t="s">
        <v>630</v>
      </c>
      <c r="F306" s="4">
        <v>20832</v>
      </c>
      <c r="G306">
        <v>2885732</v>
      </c>
      <c r="H306">
        <v>84126000</v>
      </c>
      <c r="I306" t="s">
        <v>1051</v>
      </c>
      <c r="J306" t="s">
        <v>513</v>
      </c>
      <c r="K306" t="s">
        <v>15</v>
      </c>
      <c r="L306" t="s">
        <v>506</v>
      </c>
      <c r="M306" t="e">
        <f>VLOOKUP(A306,[1]MSAKEN!$A$1:$F$562,6,FALSE)</f>
        <v>#N/A</v>
      </c>
    </row>
    <row r="307" spans="1:13" x14ac:dyDescent="0.3">
      <c r="A307">
        <v>562</v>
      </c>
      <c r="B307" t="s">
        <v>1052</v>
      </c>
      <c r="C307" t="s">
        <v>472</v>
      </c>
      <c r="D307" t="s">
        <v>520</v>
      </c>
      <c r="E307" t="s">
        <v>1053</v>
      </c>
      <c r="F307" s="4">
        <v>23321</v>
      </c>
      <c r="G307">
        <v>2948207</v>
      </c>
      <c r="H307" t="s">
        <v>502</v>
      </c>
      <c r="I307" t="s">
        <v>1054</v>
      </c>
      <c r="J307" t="s">
        <v>574</v>
      </c>
      <c r="K307" t="s">
        <v>15</v>
      </c>
      <c r="L307" t="s">
        <v>506</v>
      </c>
      <c r="M307" t="e">
        <f>VLOOKUP(A307,[1]MSAKEN!$A$1:$F$562,6,FALSE)</f>
        <v>#N/A</v>
      </c>
    </row>
    <row r="308" spans="1:13" x14ac:dyDescent="0.3">
      <c r="A308">
        <v>564</v>
      </c>
      <c r="B308" t="s">
        <v>426</v>
      </c>
      <c r="C308" t="s">
        <v>66</v>
      </c>
      <c r="D308" t="s">
        <v>502</v>
      </c>
      <c r="E308" t="s">
        <v>502</v>
      </c>
      <c r="F308" s="4">
        <v>21299</v>
      </c>
      <c r="G308">
        <v>2947199</v>
      </c>
      <c r="H308">
        <v>1126671005</v>
      </c>
      <c r="I308" t="s">
        <v>1055</v>
      </c>
      <c r="J308" t="s">
        <v>513</v>
      </c>
      <c r="K308" t="s">
        <v>15</v>
      </c>
      <c r="L308" t="s">
        <v>506</v>
      </c>
      <c r="M308" t="e">
        <f>VLOOKUP(A308,[1]MSAKEN!$A$1:$F$562,6,FALSE)</f>
        <v>#N/A</v>
      </c>
    </row>
    <row r="309" spans="1:13" x14ac:dyDescent="0.3">
      <c r="A309">
        <v>569</v>
      </c>
      <c r="B309" t="s">
        <v>1056</v>
      </c>
      <c r="C309" t="s">
        <v>326</v>
      </c>
      <c r="D309" t="s">
        <v>648</v>
      </c>
      <c r="E309" t="s">
        <v>584</v>
      </c>
      <c r="F309" s="4">
        <v>22544</v>
      </c>
      <c r="G309">
        <v>2937656</v>
      </c>
      <c r="H309">
        <v>1126679008</v>
      </c>
      <c r="I309" t="s">
        <v>1018</v>
      </c>
      <c r="J309" t="s">
        <v>755</v>
      </c>
      <c r="K309" t="s">
        <v>15</v>
      </c>
      <c r="L309" t="s">
        <v>506</v>
      </c>
      <c r="M309" t="e">
        <f>VLOOKUP(A309,[1]MSAKEN!$A$1:$F$562,6,FALSE)</f>
        <v>#N/A</v>
      </c>
    </row>
    <row r="310" spans="1:13" x14ac:dyDescent="0.3">
      <c r="A310">
        <v>570</v>
      </c>
      <c r="B310" t="s">
        <v>475</v>
      </c>
      <c r="C310" t="s">
        <v>66</v>
      </c>
      <c r="D310" t="s">
        <v>535</v>
      </c>
      <c r="E310" t="s">
        <v>536</v>
      </c>
      <c r="F310" s="4">
        <v>23505</v>
      </c>
      <c r="G310">
        <v>2959440</v>
      </c>
      <c r="H310">
        <v>1113891202</v>
      </c>
      <c r="I310" t="s">
        <v>1057</v>
      </c>
      <c r="J310" t="s">
        <v>513</v>
      </c>
      <c r="K310" t="s">
        <v>15</v>
      </c>
      <c r="L310" t="s">
        <v>506</v>
      </c>
      <c r="M310" t="e">
        <f>VLOOKUP(A310,[1]MSAKEN!$A$1:$F$562,6,FALSE)</f>
        <v>#N/A</v>
      </c>
    </row>
    <row r="311" spans="1:13" x14ac:dyDescent="0.3">
      <c r="A311">
        <v>571</v>
      </c>
      <c r="B311" t="s">
        <v>83</v>
      </c>
      <c r="C311" t="s">
        <v>89</v>
      </c>
      <c r="D311" t="s">
        <v>502</v>
      </c>
      <c r="E311" t="s">
        <v>502</v>
      </c>
      <c r="F311" s="4">
        <v>23960</v>
      </c>
      <c r="G311">
        <v>2972300</v>
      </c>
      <c r="H311">
        <v>1125637007</v>
      </c>
      <c r="I311" t="s">
        <v>1058</v>
      </c>
      <c r="J311" t="s">
        <v>513</v>
      </c>
      <c r="K311" t="s">
        <v>15</v>
      </c>
      <c r="L311" t="s">
        <v>506</v>
      </c>
      <c r="M311" t="e">
        <f>VLOOKUP(A311,[1]MSAKEN!$A$1:$F$562,6,FALSE)</f>
        <v>#N/A</v>
      </c>
    </row>
    <row r="312" spans="1:13" x14ac:dyDescent="0.3">
      <c r="A312">
        <v>572</v>
      </c>
      <c r="B312" t="s">
        <v>133</v>
      </c>
      <c r="C312" t="s">
        <v>132</v>
      </c>
      <c r="D312" t="s">
        <v>535</v>
      </c>
      <c r="E312" t="s">
        <v>773</v>
      </c>
      <c r="F312" s="4">
        <v>23319</v>
      </c>
      <c r="G312">
        <v>2953483</v>
      </c>
      <c r="H312">
        <v>1126670403</v>
      </c>
      <c r="I312" t="s">
        <v>1059</v>
      </c>
      <c r="J312" t="s">
        <v>513</v>
      </c>
      <c r="K312" t="s">
        <v>15</v>
      </c>
      <c r="L312" t="s">
        <v>506</v>
      </c>
      <c r="M312" t="str">
        <f>VLOOKUP(A312,[1]MSAKEN!$A$1:$F$562,6,FALSE)</f>
        <v>08507000262004660716</v>
      </c>
    </row>
    <row r="313" spans="1:13" x14ac:dyDescent="0.3">
      <c r="A313">
        <v>574</v>
      </c>
      <c r="B313" t="s">
        <v>340</v>
      </c>
      <c r="C313" t="s">
        <v>1060</v>
      </c>
      <c r="D313" t="s">
        <v>502</v>
      </c>
      <c r="E313" t="s">
        <v>502</v>
      </c>
      <c r="F313" t="s">
        <v>502</v>
      </c>
      <c r="G313">
        <v>2991503</v>
      </c>
      <c r="H313">
        <v>1126694205</v>
      </c>
      <c r="I313" t="s">
        <v>567</v>
      </c>
      <c r="J313" t="s">
        <v>502</v>
      </c>
      <c r="K313" t="s">
        <v>15</v>
      </c>
      <c r="L313" t="s">
        <v>506</v>
      </c>
      <c r="M313" t="e">
        <f>VLOOKUP(A313,[1]MSAKEN!$A$1:$F$562,6,FALSE)</f>
        <v>#N/A</v>
      </c>
    </row>
    <row r="314" spans="1:13" x14ac:dyDescent="0.3">
      <c r="A314">
        <v>576</v>
      </c>
      <c r="B314" t="s">
        <v>161</v>
      </c>
      <c r="C314" t="s">
        <v>34</v>
      </c>
      <c r="D314" t="s">
        <v>1061</v>
      </c>
      <c r="E314" t="s">
        <v>1062</v>
      </c>
      <c r="F314" s="4">
        <v>23727</v>
      </c>
      <c r="G314">
        <v>2966561</v>
      </c>
      <c r="H314">
        <v>1122185901</v>
      </c>
      <c r="I314" t="s">
        <v>1063</v>
      </c>
      <c r="J314" t="s">
        <v>513</v>
      </c>
      <c r="K314" t="s">
        <v>15</v>
      </c>
      <c r="L314" t="s">
        <v>506</v>
      </c>
      <c r="M314" t="e">
        <f>VLOOKUP(A314,[1]MSAKEN!$A$1:$F$562,6,FALSE)</f>
        <v>#N/A</v>
      </c>
    </row>
    <row r="315" spans="1:13" x14ac:dyDescent="0.3">
      <c r="A315">
        <v>579</v>
      </c>
      <c r="B315" t="s">
        <v>197</v>
      </c>
      <c r="C315" t="s">
        <v>587</v>
      </c>
      <c r="D315" t="s">
        <v>502</v>
      </c>
      <c r="E315" t="s">
        <v>502</v>
      </c>
      <c r="F315" s="4">
        <v>20840</v>
      </c>
      <c r="G315">
        <v>2844400</v>
      </c>
      <c r="H315">
        <v>1126840303</v>
      </c>
      <c r="I315" t="s">
        <v>1064</v>
      </c>
      <c r="J315" t="s">
        <v>833</v>
      </c>
      <c r="K315" t="s">
        <v>15</v>
      </c>
      <c r="L315" t="s">
        <v>506</v>
      </c>
      <c r="M315" t="e">
        <f>VLOOKUP(A315,[1]MSAKEN!$A$1:$F$562,6,FALSE)</f>
        <v>#N/A</v>
      </c>
    </row>
    <row r="316" spans="1:13" x14ac:dyDescent="0.3">
      <c r="A316">
        <v>582</v>
      </c>
      <c r="B316" t="s">
        <v>173</v>
      </c>
      <c r="C316" t="s">
        <v>92</v>
      </c>
      <c r="D316" t="s">
        <v>1065</v>
      </c>
      <c r="E316" t="s">
        <v>1066</v>
      </c>
      <c r="F316" s="4">
        <v>23804</v>
      </c>
      <c r="G316">
        <v>2958465</v>
      </c>
      <c r="H316">
        <v>1126906302</v>
      </c>
      <c r="I316" t="s">
        <v>502</v>
      </c>
      <c r="J316" t="s">
        <v>833</v>
      </c>
      <c r="K316" t="s">
        <v>15</v>
      </c>
      <c r="L316" t="s">
        <v>506</v>
      </c>
      <c r="M316" t="str">
        <f>VLOOKUP(A316,[1]MSAKEN!$A$1:$F$562,6,FALSE)</f>
        <v>10506040203446678822</v>
      </c>
    </row>
    <row r="317" spans="1:13" x14ac:dyDescent="0.3">
      <c r="A317">
        <v>583</v>
      </c>
      <c r="B317" t="s">
        <v>84</v>
      </c>
      <c r="C317" t="s">
        <v>181</v>
      </c>
      <c r="D317" t="s">
        <v>711</v>
      </c>
      <c r="E317" t="s">
        <v>1067</v>
      </c>
      <c r="F317" s="4">
        <v>22596</v>
      </c>
      <c r="G317">
        <v>2857442</v>
      </c>
      <c r="H317">
        <v>1126946704</v>
      </c>
      <c r="I317" t="s">
        <v>1068</v>
      </c>
      <c r="J317" t="s">
        <v>513</v>
      </c>
      <c r="K317" t="s">
        <v>15</v>
      </c>
      <c r="L317" t="s">
        <v>506</v>
      </c>
      <c r="M317" t="e">
        <f>VLOOKUP(A317,[1]MSAKEN!$A$1:$F$562,6,FALSE)</f>
        <v>#N/A</v>
      </c>
    </row>
    <row r="318" spans="1:13" x14ac:dyDescent="0.3">
      <c r="A318">
        <v>585</v>
      </c>
      <c r="B318" t="s">
        <v>533</v>
      </c>
      <c r="C318" t="s">
        <v>129</v>
      </c>
      <c r="D318" t="s">
        <v>539</v>
      </c>
      <c r="E318" t="s">
        <v>616</v>
      </c>
      <c r="F318" s="4">
        <v>23482</v>
      </c>
      <c r="G318">
        <v>2958628</v>
      </c>
      <c r="H318">
        <v>1127219002</v>
      </c>
      <c r="I318" t="s">
        <v>1069</v>
      </c>
      <c r="J318" t="s">
        <v>513</v>
      </c>
      <c r="K318" t="s">
        <v>639</v>
      </c>
      <c r="L318" t="s">
        <v>506</v>
      </c>
      <c r="M318" t="e">
        <f>VLOOKUP(A318,[1]MSAKEN!$A$1:$F$562,6,FALSE)</f>
        <v>#N/A</v>
      </c>
    </row>
    <row r="319" spans="1:13" x14ac:dyDescent="0.3">
      <c r="A319">
        <v>588</v>
      </c>
      <c r="B319" t="s">
        <v>483</v>
      </c>
      <c r="C319" t="s">
        <v>181</v>
      </c>
      <c r="D319" t="s">
        <v>648</v>
      </c>
      <c r="E319" t="s">
        <v>699</v>
      </c>
      <c r="F319" s="4">
        <v>20961</v>
      </c>
      <c r="G319">
        <v>2954765</v>
      </c>
      <c r="H319">
        <v>1127216107</v>
      </c>
      <c r="I319" t="s">
        <v>1070</v>
      </c>
      <c r="J319" t="s">
        <v>513</v>
      </c>
      <c r="K319" t="s">
        <v>15</v>
      </c>
      <c r="L319" t="s">
        <v>506</v>
      </c>
      <c r="M319" t="e">
        <f>VLOOKUP(A319,[1]MSAKEN!$A$1:$F$562,6,FALSE)</f>
        <v>#N/A</v>
      </c>
    </row>
    <row r="320" spans="1:13" x14ac:dyDescent="0.3">
      <c r="A320">
        <v>590</v>
      </c>
      <c r="B320" t="s">
        <v>660</v>
      </c>
      <c r="C320" t="s">
        <v>98</v>
      </c>
      <c r="D320" t="s">
        <v>535</v>
      </c>
      <c r="E320" t="s">
        <v>699</v>
      </c>
      <c r="F320" s="4">
        <v>23999</v>
      </c>
      <c r="G320">
        <v>2966622</v>
      </c>
      <c r="H320">
        <v>1126688801</v>
      </c>
      <c r="I320" t="s">
        <v>1071</v>
      </c>
      <c r="J320" t="s">
        <v>513</v>
      </c>
      <c r="K320" t="s">
        <v>15</v>
      </c>
      <c r="L320" t="s">
        <v>506</v>
      </c>
      <c r="M320" t="str">
        <f>VLOOKUP(A320,[1]MSAKEN!$A$1:$F$562,6,FALSE)</f>
        <v>05048000116500489977</v>
      </c>
    </row>
    <row r="321" spans="1:13" x14ac:dyDescent="0.3">
      <c r="A321">
        <v>591</v>
      </c>
      <c r="B321" t="s">
        <v>1072</v>
      </c>
      <c r="C321" t="s">
        <v>472</v>
      </c>
      <c r="D321" t="s">
        <v>502</v>
      </c>
      <c r="E321" t="s">
        <v>502</v>
      </c>
      <c r="F321" s="4">
        <v>23874</v>
      </c>
      <c r="G321">
        <v>2956879</v>
      </c>
      <c r="H321">
        <v>1126797305</v>
      </c>
      <c r="I321" t="s">
        <v>1073</v>
      </c>
      <c r="J321" t="s">
        <v>1074</v>
      </c>
      <c r="K321" t="s">
        <v>15</v>
      </c>
      <c r="L321" t="s">
        <v>506</v>
      </c>
      <c r="M321" t="e">
        <f>VLOOKUP(A321,[1]MSAKEN!$A$1:$F$562,6,FALSE)</f>
        <v>#N/A</v>
      </c>
    </row>
    <row r="322" spans="1:13" x14ac:dyDescent="0.3">
      <c r="A322">
        <v>594</v>
      </c>
      <c r="B322" t="s">
        <v>160</v>
      </c>
      <c r="C322" t="s">
        <v>115</v>
      </c>
      <c r="D322" t="s">
        <v>502</v>
      </c>
      <c r="E322" t="s">
        <v>502</v>
      </c>
      <c r="F322" t="s">
        <v>502</v>
      </c>
      <c r="G322">
        <v>5500405</v>
      </c>
      <c r="H322">
        <v>0</v>
      </c>
      <c r="I322" t="s">
        <v>1075</v>
      </c>
      <c r="J322" t="s">
        <v>502</v>
      </c>
      <c r="K322" t="s">
        <v>15</v>
      </c>
      <c r="L322" t="s">
        <v>506</v>
      </c>
      <c r="M322" t="e">
        <f>VLOOKUP(A322,[1]MSAKEN!$A$1:$F$562,6,FALSE)</f>
        <v>#N/A</v>
      </c>
    </row>
    <row r="323" spans="1:13" x14ac:dyDescent="0.3">
      <c r="A323">
        <v>595</v>
      </c>
      <c r="B323" t="s">
        <v>35</v>
      </c>
      <c r="C323" t="s">
        <v>56</v>
      </c>
      <c r="D323" t="s">
        <v>502</v>
      </c>
      <c r="E323" t="s">
        <v>502</v>
      </c>
      <c r="F323" s="4">
        <v>19497</v>
      </c>
      <c r="G323">
        <v>1491</v>
      </c>
      <c r="H323">
        <v>1128422209</v>
      </c>
      <c r="I323" t="s">
        <v>1076</v>
      </c>
      <c r="J323" t="s">
        <v>511</v>
      </c>
      <c r="K323" t="s">
        <v>15</v>
      </c>
      <c r="L323" t="s">
        <v>506</v>
      </c>
      <c r="M323" t="e">
        <f>VLOOKUP(A323,[1]MSAKEN!$A$1:$F$562,6,FALSE)</f>
        <v>#N/A</v>
      </c>
    </row>
    <row r="324" spans="1:13" x14ac:dyDescent="0.3">
      <c r="A324">
        <v>596</v>
      </c>
      <c r="B324" t="s">
        <v>310</v>
      </c>
      <c r="C324" t="s">
        <v>118</v>
      </c>
      <c r="D324" t="s">
        <v>648</v>
      </c>
      <c r="E324" t="s">
        <v>1077</v>
      </c>
      <c r="F324" s="4">
        <v>23086</v>
      </c>
      <c r="G324">
        <v>2955485</v>
      </c>
      <c r="H324">
        <v>1103866404</v>
      </c>
      <c r="I324" t="s">
        <v>567</v>
      </c>
      <c r="J324" t="s">
        <v>568</v>
      </c>
      <c r="K324" t="s">
        <v>15</v>
      </c>
      <c r="L324" t="s">
        <v>506</v>
      </c>
      <c r="M324" t="e">
        <f>VLOOKUP(A324,[1]MSAKEN!$A$1:$F$562,6,FALSE)</f>
        <v>#N/A</v>
      </c>
    </row>
    <row r="325" spans="1:13" x14ac:dyDescent="0.3">
      <c r="A325">
        <v>598</v>
      </c>
      <c r="B325" t="s">
        <v>254</v>
      </c>
      <c r="C325" t="s">
        <v>45</v>
      </c>
      <c r="D325" t="s">
        <v>502</v>
      </c>
      <c r="E325" t="s">
        <v>502</v>
      </c>
      <c r="F325" s="4">
        <v>22691</v>
      </c>
      <c r="G325">
        <v>2903355</v>
      </c>
      <c r="H325">
        <v>1119843801</v>
      </c>
      <c r="I325" t="s">
        <v>1078</v>
      </c>
      <c r="J325" t="s">
        <v>513</v>
      </c>
      <c r="K325" t="s">
        <v>15</v>
      </c>
      <c r="L325" t="s">
        <v>506</v>
      </c>
      <c r="M325" t="e">
        <f>VLOOKUP(A325,[1]MSAKEN!$A$1:$F$562,6,FALSE)</f>
        <v>#N/A</v>
      </c>
    </row>
    <row r="326" spans="1:13" x14ac:dyDescent="0.3">
      <c r="A326">
        <v>599</v>
      </c>
      <c r="B326" t="s">
        <v>199</v>
      </c>
      <c r="C326" t="s">
        <v>34</v>
      </c>
      <c r="D326" t="s">
        <v>648</v>
      </c>
      <c r="E326" t="s">
        <v>569</v>
      </c>
      <c r="F326" s="4">
        <v>24432</v>
      </c>
      <c r="G326">
        <v>2988440</v>
      </c>
      <c r="H326">
        <v>1117810604</v>
      </c>
      <c r="I326" t="s">
        <v>1079</v>
      </c>
      <c r="J326" t="s">
        <v>513</v>
      </c>
      <c r="K326" t="s">
        <v>15</v>
      </c>
      <c r="L326" t="s">
        <v>506</v>
      </c>
      <c r="M326" t="str">
        <f>VLOOKUP(A326,[1]MSAKEN!$A$1:$F$562,6,FALSE)</f>
        <v>08507000262001386578</v>
      </c>
    </row>
    <row r="327" spans="1:13" x14ac:dyDescent="0.3">
      <c r="A327">
        <v>601</v>
      </c>
      <c r="B327" t="s">
        <v>1080</v>
      </c>
      <c r="C327" t="s">
        <v>167</v>
      </c>
      <c r="D327" t="s">
        <v>502</v>
      </c>
      <c r="E327" t="s">
        <v>502</v>
      </c>
      <c r="F327" t="s">
        <v>502</v>
      </c>
      <c r="G327" t="s">
        <v>502</v>
      </c>
      <c r="H327" t="s">
        <v>502</v>
      </c>
      <c r="I327" t="s">
        <v>502</v>
      </c>
      <c r="J327" t="s">
        <v>502</v>
      </c>
      <c r="K327" t="s">
        <v>15</v>
      </c>
      <c r="L327" t="s">
        <v>506</v>
      </c>
      <c r="M327" t="e">
        <f>VLOOKUP(A327,[1]MSAKEN!$A$1:$F$562,6,FALSE)</f>
        <v>#N/A</v>
      </c>
    </row>
    <row r="328" spans="1:13" x14ac:dyDescent="0.3">
      <c r="A328">
        <v>604</v>
      </c>
      <c r="B328" t="s">
        <v>1081</v>
      </c>
      <c r="C328" t="s">
        <v>40</v>
      </c>
      <c r="D328" t="s">
        <v>502</v>
      </c>
      <c r="E328" t="s">
        <v>502</v>
      </c>
      <c r="F328" s="4">
        <v>24517</v>
      </c>
      <c r="G328">
        <v>2968927</v>
      </c>
      <c r="H328">
        <v>1128215801</v>
      </c>
      <c r="I328" t="s">
        <v>1082</v>
      </c>
      <c r="J328" t="s">
        <v>513</v>
      </c>
      <c r="K328" t="s">
        <v>15</v>
      </c>
      <c r="L328" t="s">
        <v>506</v>
      </c>
      <c r="M328" t="e">
        <f>VLOOKUP(A328,[1]MSAKEN!$A$1:$F$562,6,FALSE)</f>
        <v>#N/A</v>
      </c>
    </row>
    <row r="329" spans="1:13" x14ac:dyDescent="0.3">
      <c r="A329">
        <v>605</v>
      </c>
      <c r="B329" t="s">
        <v>1083</v>
      </c>
      <c r="C329" t="s">
        <v>355</v>
      </c>
      <c r="D329" t="s">
        <v>535</v>
      </c>
      <c r="E329" t="s">
        <v>536</v>
      </c>
      <c r="F329" s="4">
        <v>24397</v>
      </c>
      <c r="G329">
        <v>2974769</v>
      </c>
      <c r="H329">
        <v>1128153606</v>
      </c>
      <c r="I329" t="s">
        <v>1084</v>
      </c>
      <c r="J329" t="s">
        <v>513</v>
      </c>
      <c r="K329" t="s">
        <v>15</v>
      </c>
      <c r="L329" t="s">
        <v>506</v>
      </c>
      <c r="M329" t="e">
        <f>VLOOKUP(A329,[1]MSAKEN!$A$1:$F$562,6,FALSE)</f>
        <v>#N/A</v>
      </c>
    </row>
    <row r="330" spans="1:13" x14ac:dyDescent="0.3">
      <c r="A330">
        <v>606</v>
      </c>
      <c r="B330" t="s">
        <v>251</v>
      </c>
      <c r="C330" t="s">
        <v>326</v>
      </c>
      <c r="D330" t="s">
        <v>651</v>
      </c>
      <c r="E330" t="s">
        <v>536</v>
      </c>
      <c r="F330" s="4">
        <v>23084</v>
      </c>
      <c r="G330">
        <v>2945471</v>
      </c>
      <c r="H330">
        <v>1128195201</v>
      </c>
      <c r="I330" t="s">
        <v>1085</v>
      </c>
      <c r="J330" t="s">
        <v>513</v>
      </c>
      <c r="K330" t="s">
        <v>15</v>
      </c>
      <c r="L330" t="s">
        <v>506</v>
      </c>
      <c r="M330" t="str">
        <f>VLOOKUP(A330,[1]MSAKEN!$A$1:$F$562,6,FALSE)</f>
        <v>10506040511727378881</v>
      </c>
    </row>
    <row r="331" spans="1:13" x14ac:dyDescent="0.3">
      <c r="A331">
        <v>612</v>
      </c>
      <c r="B331" t="s">
        <v>103</v>
      </c>
      <c r="C331" t="s">
        <v>1086</v>
      </c>
      <c r="D331" t="s">
        <v>598</v>
      </c>
      <c r="E331" t="s">
        <v>616</v>
      </c>
      <c r="F331" s="4">
        <v>22642</v>
      </c>
      <c r="G331">
        <v>2965137</v>
      </c>
      <c r="H331">
        <v>1132065408</v>
      </c>
      <c r="I331" t="s">
        <v>522</v>
      </c>
      <c r="J331" t="s">
        <v>513</v>
      </c>
      <c r="K331" t="s">
        <v>15</v>
      </c>
      <c r="L331" t="s">
        <v>17</v>
      </c>
      <c r="M331" t="e">
        <f>VLOOKUP(A331,[1]MSAKEN!$A$1:$F$562,6,FALSE)</f>
        <v>#N/A</v>
      </c>
    </row>
    <row r="332" spans="1:13" x14ac:dyDescent="0.3">
      <c r="A332">
        <v>613</v>
      </c>
      <c r="B332" t="s">
        <v>1087</v>
      </c>
      <c r="C332" t="s">
        <v>166</v>
      </c>
      <c r="D332" t="s">
        <v>502</v>
      </c>
      <c r="E332" t="s">
        <v>502</v>
      </c>
      <c r="F332" t="s">
        <v>502</v>
      </c>
      <c r="G332">
        <v>4045173</v>
      </c>
      <c r="H332">
        <v>0</v>
      </c>
      <c r="I332" t="s">
        <v>1088</v>
      </c>
      <c r="J332" t="s">
        <v>502</v>
      </c>
      <c r="K332" t="s">
        <v>16</v>
      </c>
      <c r="L332" t="s">
        <v>506</v>
      </c>
      <c r="M332" t="e">
        <f>VLOOKUP(A332,[1]MSAKEN!$A$1:$F$562,6,FALSE)</f>
        <v>#N/A</v>
      </c>
    </row>
    <row r="333" spans="1:13" x14ac:dyDescent="0.3">
      <c r="A333">
        <v>614</v>
      </c>
      <c r="B333" t="s">
        <v>488</v>
      </c>
      <c r="C333" t="s">
        <v>1089</v>
      </c>
      <c r="D333" t="s">
        <v>502</v>
      </c>
      <c r="E333" t="s">
        <v>502</v>
      </c>
      <c r="F333" t="s">
        <v>502</v>
      </c>
      <c r="G333" t="s">
        <v>502</v>
      </c>
      <c r="H333" t="s">
        <v>502</v>
      </c>
      <c r="I333" t="s">
        <v>502</v>
      </c>
      <c r="J333" t="s">
        <v>502</v>
      </c>
      <c r="K333" t="s">
        <v>15</v>
      </c>
      <c r="L333" t="s">
        <v>17</v>
      </c>
      <c r="M333" t="e">
        <f>VLOOKUP(A333,[1]MSAKEN!$A$1:$F$562,6,FALSE)</f>
        <v>#N/A</v>
      </c>
    </row>
    <row r="334" spans="1:13" x14ac:dyDescent="0.3">
      <c r="A334">
        <v>615</v>
      </c>
      <c r="B334" t="s">
        <v>250</v>
      </c>
      <c r="C334" t="s">
        <v>45</v>
      </c>
      <c r="D334" t="s">
        <v>502</v>
      </c>
      <c r="E334" t="s">
        <v>502</v>
      </c>
      <c r="F334" t="s">
        <v>502</v>
      </c>
      <c r="G334">
        <v>2984311</v>
      </c>
      <c r="H334">
        <v>1129659304</v>
      </c>
      <c r="I334" t="s">
        <v>1090</v>
      </c>
      <c r="J334" t="s">
        <v>502</v>
      </c>
      <c r="K334" t="s">
        <v>15</v>
      </c>
      <c r="L334" t="s">
        <v>506</v>
      </c>
      <c r="M334" t="e">
        <f>VLOOKUP(A334,[1]MSAKEN!$A$1:$F$562,6,FALSE)</f>
        <v>#N/A</v>
      </c>
    </row>
    <row r="335" spans="1:13" x14ac:dyDescent="0.3">
      <c r="A335">
        <v>618</v>
      </c>
      <c r="B335" t="s">
        <v>965</v>
      </c>
      <c r="C335" t="s">
        <v>32</v>
      </c>
      <c r="D335" t="s">
        <v>615</v>
      </c>
      <c r="E335" t="s">
        <v>1091</v>
      </c>
      <c r="F335" s="4">
        <v>23496</v>
      </c>
      <c r="G335">
        <v>2958384</v>
      </c>
      <c r="H335">
        <v>1128660907</v>
      </c>
      <c r="I335" t="s">
        <v>1092</v>
      </c>
      <c r="J335" t="s">
        <v>574</v>
      </c>
      <c r="K335" t="s">
        <v>15</v>
      </c>
      <c r="L335" t="s">
        <v>506</v>
      </c>
      <c r="M335" t="str">
        <f>VLOOKUP(A335,[1]MSAKEN!$A$1:$F$562,6,FALSE)</f>
        <v>10506040203512978807</v>
      </c>
    </row>
    <row r="336" spans="1:13" x14ac:dyDescent="0.3">
      <c r="A336">
        <v>619</v>
      </c>
      <c r="B336" t="s">
        <v>734</v>
      </c>
      <c r="C336" t="s">
        <v>56</v>
      </c>
      <c r="D336" t="s">
        <v>651</v>
      </c>
      <c r="E336" t="s">
        <v>1093</v>
      </c>
      <c r="F336" s="4">
        <v>22380</v>
      </c>
      <c r="G336">
        <v>2953879</v>
      </c>
      <c r="H336">
        <v>1128338108</v>
      </c>
      <c r="I336" t="s">
        <v>567</v>
      </c>
      <c r="J336" t="s">
        <v>568</v>
      </c>
      <c r="K336" t="s">
        <v>15</v>
      </c>
      <c r="L336" t="s">
        <v>506</v>
      </c>
      <c r="M336" t="e">
        <f>VLOOKUP(A336,[1]MSAKEN!$A$1:$F$562,6,FALSE)</f>
        <v>#N/A</v>
      </c>
    </row>
    <row r="337" spans="1:13" x14ac:dyDescent="0.3">
      <c r="A337">
        <v>622</v>
      </c>
      <c r="B337" t="s">
        <v>61</v>
      </c>
      <c r="C337" t="s">
        <v>1094</v>
      </c>
      <c r="D337" t="s">
        <v>502</v>
      </c>
      <c r="E337" t="s">
        <v>502</v>
      </c>
      <c r="F337" s="4">
        <v>23751</v>
      </c>
      <c r="G337">
        <v>2978074</v>
      </c>
      <c r="H337">
        <v>1129933501</v>
      </c>
      <c r="I337" t="s">
        <v>1095</v>
      </c>
      <c r="J337" t="s">
        <v>574</v>
      </c>
      <c r="K337" t="s">
        <v>15</v>
      </c>
      <c r="L337" t="s">
        <v>17</v>
      </c>
      <c r="M337" t="e">
        <f>VLOOKUP(A337,[1]MSAKEN!$A$1:$F$562,6,FALSE)</f>
        <v>#N/A</v>
      </c>
    </row>
    <row r="338" spans="1:13" x14ac:dyDescent="0.3">
      <c r="A338">
        <v>623</v>
      </c>
      <c r="B338" t="s">
        <v>1096</v>
      </c>
      <c r="C338" t="s">
        <v>337</v>
      </c>
      <c r="D338" t="s">
        <v>1097</v>
      </c>
      <c r="E338" t="s">
        <v>1066</v>
      </c>
      <c r="F338" s="4">
        <v>24685</v>
      </c>
      <c r="G338">
        <v>2977115</v>
      </c>
      <c r="H338">
        <v>1126062007</v>
      </c>
      <c r="I338" t="s">
        <v>567</v>
      </c>
      <c r="J338" t="s">
        <v>568</v>
      </c>
      <c r="K338" t="s">
        <v>15</v>
      </c>
      <c r="L338" t="s">
        <v>506</v>
      </c>
      <c r="M338" t="e">
        <f>VLOOKUP(A338,[1]MSAKEN!$A$1:$F$562,6,FALSE)</f>
        <v>#N/A</v>
      </c>
    </row>
    <row r="339" spans="1:13" x14ac:dyDescent="0.3">
      <c r="A339">
        <v>626</v>
      </c>
      <c r="B339" t="s">
        <v>19</v>
      </c>
      <c r="C339" t="s">
        <v>758</v>
      </c>
      <c r="D339" t="s">
        <v>670</v>
      </c>
      <c r="E339" t="s">
        <v>926</v>
      </c>
      <c r="F339" s="4">
        <v>23000</v>
      </c>
      <c r="G339">
        <v>2947279</v>
      </c>
      <c r="H339">
        <v>1127027504</v>
      </c>
      <c r="I339" t="s">
        <v>1098</v>
      </c>
      <c r="J339" t="s">
        <v>513</v>
      </c>
      <c r="K339" t="s">
        <v>15</v>
      </c>
      <c r="L339" t="s">
        <v>506</v>
      </c>
      <c r="M339" t="str">
        <f>VLOOKUP(A339,[1]MSAKEN!$A$1:$F$562,6,FALSE)</f>
        <v>04204067404000654803</v>
      </c>
    </row>
    <row r="340" spans="1:13" x14ac:dyDescent="0.3">
      <c r="A340">
        <v>630</v>
      </c>
      <c r="B340" t="s">
        <v>508</v>
      </c>
      <c r="C340" t="s">
        <v>1099</v>
      </c>
      <c r="D340" t="s">
        <v>535</v>
      </c>
      <c r="E340" t="s">
        <v>1100</v>
      </c>
      <c r="F340" s="4">
        <v>25202</v>
      </c>
      <c r="G340">
        <v>2988169</v>
      </c>
      <c r="H340">
        <v>1128946900</v>
      </c>
      <c r="I340" t="s">
        <v>1101</v>
      </c>
      <c r="J340" t="s">
        <v>513</v>
      </c>
      <c r="K340" t="s">
        <v>15</v>
      </c>
      <c r="L340" t="s">
        <v>506</v>
      </c>
      <c r="M340" t="e">
        <f>VLOOKUP(A340,[1]MSAKEN!$A$1:$F$562,6,FALSE)</f>
        <v>#N/A</v>
      </c>
    </row>
    <row r="341" spans="1:13" x14ac:dyDescent="0.3">
      <c r="A341">
        <v>631</v>
      </c>
      <c r="B341" t="s">
        <v>1102</v>
      </c>
      <c r="C341" t="s">
        <v>166</v>
      </c>
      <c r="D341" t="s">
        <v>1103</v>
      </c>
      <c r="E341" t="s">
        <v>546</v>
      </c>
      <c r="F341" s="4">
        <v>22704</v>
      </c>
      <c r="G341">
        <v>2515072</v>
      </c>
      <c r="H341">
        <v>1129217301</v>
      </c>
      <c r="I341" t="s">
        <v>1104</v>
      </c>
      <c r="J341" t="s">
        <v>718</v>
      </c>
      <c r="K341" t="s">
        <v>15</v>
      </c>
      <c r="L341" t="s">
        <v>506</v>
      </c>
      <c r="M341" t="e">
        <f>VLOOKUP(A341,[1]MSAKEN!$A$1:$F$562,6,FALSE)</f>
        <v>#N/A</v>
      </c>
    </row>
    <row r="342" spans="1:13" x14ac:dyDescent="0.3">
      <c r="A342">
        <v>632</v>
      </c>
      <c r="B342" t="s">
        <v>176</v>
      </c>
      <c r="C342" t="s">
        <v>34</v>
      </c>
      <c r="D342" t="s">
        <v>502</v>
      </c>
      <c r="E342" t="s">
        <v>502</v>
      </c>
      <c r="F342" t="s">
        <v>502</v>
      </c>
      <c r="G342">
        <v>2867060</v>
      </c>
      <c r="H342">
        <v>0</v>
      </c>
      <c r="I342" t="s">
        <v>1105</v>
      </c>
      <c r="J342" t="s">
        <v>502</v>
      </c>
      <c r="K342" t="s">
        <v>15</v>
      </c>
      <c r="L342" t="s">
        <v>506</v>
      </c>
      <c r="M342" t="e">
        <f>VLOOKUP(A342,[1]MSAKEN!$A$1:$F$562,6,FALSE)</f>
        <v>#N/A</v>
      </c>
    </row>
    <row r="343" spans="1:13" x14ac:dyDescent="0.3">
      <c r="A343">
        <v>634</v>
      </c>
      <c r="B343" t="s">
        <v>1106</v>
      </c>
      <c r="C343" t="s">
        <v>1008</v>
      </c>
      <c r="D343" t="s">
        <v>502</v>
      </c>
      <c r="E343" t="s">
        <v>502</v>
      </c>
      <c r="F343" t="s">
        <v>502</v>
      </c>
      <c r="G343" t="s">
        <v>502</v>
      </c>
      <c r="H343" t="s">
        <v>502</v>
      </c>
      <c r="I343" t="s">
        <v>502</v>
      </c>
      <c r="J343" t="s">
        <v>502</v>
      </c>
      <c r="K343" t="s">
        <v>15</v>
      </c>
      <c r="L343" t="s">
        <v>17</v>
      </c>
      <c r="M343" t="e">
        <f>VLOOKUP(A343,[1]MSAKEN!$A$1:$F$562,6,FALSE)</f>
        <v>#N/A</v>
      </c>
    </row>
    <row r="344" spans="1:13" x14ac:dyDescent="0.3">
      <c r="A344">
        <v>635</v>
      </c>
      <c r="B344" t="s">
        <v>1107</v>
      </c>
      <c r="C344" t="s">
        <v>72</v>
      </c>
      <c r="D344" t="s">
        <v>502</v>
      </c>
      <c r="E344" t="s">
        <v>502</v>
      </c>
      <c r="F344" s="4">
        <v>24197</v>
      </c>
      <c r="G344" t="s">
        <v>502</v>
      </c>
      <c r="H344" t="s">
        <v>502</v>
      </c>
      <c r="I344" t="s">
        <v>502</v>
      </c>
      <c r="J344" t="s">
        <v>502</v>
      </c>
      <c r="K344" t="s">
        <v>15</v>
      </c>
      <c r="L344" t="s">
        <v>502</v>
      </c>
      <c r="M344" t="e">
        <f>VLOOKUP(A344,[1]MSAKEN!$A$1:$F$562,6,FALSE)</f>
        <v>#N/A</v>
      </c>
    </row>
    <row r="345" spans="1:13" x14ac:dyDescent="0.3">
      <c r="A345">
        <v>637</v>
      </c>
      <c r="B345" t="s">
        <v>1108</v>
      </c>
      <c r="C345" t="s">
        <v>72</v>
      </c>
      <c r="D345" t="s">
        <v>502</v>
      </c>
      <c r="E345" t="s">
        <v>502</v>
      </c>
      <c r="F345" s="4">
        <v>25321</v>
      </c>
      <c r="G345">
        <v>2987704</v>
      </c>
      <c r="H345">
        <v>1128300306</v>
      </c>
      <c r="I345" t="s">
        <v>1109</v>
      </c>
      <c r="J345" t="s">
        <v>574</v>
      </c>
      <c r="K345" t="s">
        <v>15</v>
      </c>
      <c r="L345" t="s">
        <v>506</v>
      </c>
      <c r="M345" t="e">
        <f>VLOOKUP(A345,[1]MSAKEN!$A$1:$F$562,6,FALSE)</f>
        <v>#N/A</v>
      </c>
    </row>
    <row r="346" spans="1:13" x14ac:dyDescent="0.3">
      <c r="A346">
        <v>640</v>
      </c>
      <c r="B346" t="s">
        <v>33</v>
      </c>
      <c r="C346" t="s">
        <v>26</v>
      </c>
      <c r="D346" t="s">
        <v>648</v>
      </c>
      <c r="E346" t="s">
        <v>536</v>
      </c>
      <c r="F346" s="4">
        <v>25381</v>
      </c>
      <c r="G346">
        <v>2985566</v>
      </c>
      <c r="H346">
        <v>1129401806</v>
      </c>
      <c r="I346" t="s">
        <v>1110</v>
      </c>
      <c r="J346" t="s">
        <v>513</v>
      </c>
      <c r="K346" t="s">
        <v>15</v>
      </c>
      <c r="L346" t="s">
        <v>506</v>
      </c>
      <c r="M346" t="str">
        <f>VLOOKUP(A346,[1]MSAKEN!$A$1:$F$562,6,FALSE)</f>
        <v>03508056010100127397</v>
      </c>
    </row>
    <row r="347" spans="1:13" x14ac:dyDescent="0.3">
      <c r="A347">
        <v>642</v>
      </c>
      <c r="B347" t="s">
        <v>1111</v>
      </c>
      <c r="C347" t="s">
        <v>1112</v>
      </c>
      <c r="D347" t="s">
        <v>502</v>
      </c>
      <c r="E347" t="s">
        <v>502</v>
      </c>
      <c r="F347" t="s">
        <v>502</v>
      </c>
      <c r="G347">
        <v>2993665</v>
      </c>
      <c r="H347">
        <v>0</v>
      </c>
      <c r="I347" t="s">
        <v>1113</v>
      </c>
      <c r="J347" t="s">
        <v>502</v>
      </c>
      <c r="K347" t="s">
        <v>15</v>
      </c>
      <c r="L347" t="s">
        <v>506</v>
      </c>
      <c r="M347" t="e">
        <f>VLOOKUP(A347,[1]MSAKEN!$A$1:$F$562,6,FALSE)</f>
        <v>#N/A</v>
      </c>
    </row>
    <row r="348" spans="1:13" x14ac:dyDescent="0.3">
      <c r="A348">
        <v>643</v>
      </c>
      <c r="B348" t="s">
        <v>176</v>
      </c>
      <c r="C348" t="s">
        <v>175</v>
      </c>
      <c r="D348" t="s">
        <v>960</v>
      </c>
      <c r="E348" t="s">
        <v>926</v>
      </c>
      <c r="F348" s="4">
        <v>24769</v>
      </c>
      <c r="G348">
        <v>2984547</v>
      </c>
      <c r="H348">
        <v>1129391809</v>
      </c>
      <c r="I348" t="s">
        <v>1114</v>
      </c>
      <c r="J348" t="s">
        <v>513</v>
      </c>
      <c r="K348" t="s">
        <v>15</v>
      </c>
      <c r="L348" t="s">
        <v>506</v>
      </c>
      <c r="M348" t="str">
        <f>VLOOKUP(A348,[1]MSAKEN!$A$1:$F$562,6,FALSE)</f>
        <v>07408005310556181904</v>
      </c>
    </row>
    <row r="349" spans="1:13" x14ac:dyDescent="0.3">
      <c r="A349">
        <v>644</v>
      </c>
      <c r="B349" t="s">
        <v>103</v>
      </c>
      <c r="C349" t="s">
        <v>34</v>
      </c>
      <c r="D349" t="s">
        <v>834</v>
      </c>
      <c r="E349" t="s">
        <v>1115</v>
      </c>
      <c r="F349" s="4">
        <v>24368</v>
      </c>
      <c r="G349">
        <v>2990285</v>
      </c>
      <c r="H349">
        <v>1129399109</v>
      </c>
      <c r="I349" t="s">
        <v>1116</v>
      </c>
      <c r="J349" t="s">
        <v>513</v>
      </c>
      <c r="K349" t="s">
        <v>15</v>
      </c>
      <c r="L349" t="s">
        <v>506</v>
      </c>
      <c r="M349" t="e">
        <f>VLOOKUP(A349,[1]MSAKEN!$A$1:$F$562,6,FALSE)</f>
        <v>#N/A</v>
      </c>
    </row>
    <row r="350" spans="1:13" x14ac:dyDescent="0.3">
      <c r="A350">
        <v>645</v>
      </c>
      <c r="B350" t="s">
        <v>458</v>
      </c>
      <c r="C350" t="s">
        <v>81</v>
      </c>
      <c r="D350" t="s">
        <v>834</v>
      </c>
      <c r="E350" t="s">
        <v>569</v>
      </c>
      <c r="F350" s="4">
        <v>24447</v>
      </c>
      <c r="G350">
        <v>2991373</v>
      </c>
      <c r="H350">
        <v>1129402903</v>
      </c>
      <c r="I350" t="s">
        <v>1117</v>
      </c>
      <c r="J350" t="s">
        <v>1118</v>
      </c>
      <c r="K350" t="s">
        <v>15</v>
      </c>
      <c r="L350" t="s">
        <v>506</v>
      </c>
      <c r="M350" t="str">
        <f>VLOOKUP(A350,[1]MSAKEN!$A$1:$F$562,6,FALSE)</f>
        <v>03508056010100104893</v>
      </c>
    </row>
    <row r="351" spans="1:13" x14ac:dyDescent="0.3">
      <c r="A351">
        <v>646</v>
      </c>
      <c r="B351" t="s">
        <v>190</v>
      </c>
      <c r="C351" t="s">
        <v>101</v>
      </c>
      <c r="D351" t="s">
        <v>654</v>
      </c>
      <c r="E351" t="s">
        <v>652</v>
      </c>
      <c r="F351" s="4">
        <v>22251</v>
      </c>
      <c r="G351">
        <v>2834657</v>
      </c>
      <c r="H351">
        <v>1127036703</v>
      </c>
      <c r="I351" t="s">
        <v>1119</v>
      </c>
      <c r="J351" t="s">
        <v>513</v>
      </c>
      <c r="K351" t="s">
        <v>15</v>
      </c>
      <c r="L351" t="s">
        <v>506</v>
      </c>
      <c r="M351" t="e">
        <f>VLOOKUP(A351,[1]MSAKEN!$A$1:$F$562,6,FALSE)</f>
        <v>#N/A</v>
      </c>
    </row>
    <row r="352" spans="1:13" x14ac:dyDescent="0.3">
      <c r="A352">
        <v>647</v>
      </c>
      <c r="B352" t="s">
        <v>201</v>
      </c>
      <c r="C352" t="s">
        <v>200</v>
      </c>
      <c r="D352" t="s">
        <v>535</v>
      </c>
      <c r="E352" t="s">
        <v>1120</v>
      </c>
      <c r="F352" s="4">
        <v>24227</v>
      </c>
      <c r="G352">
        <v>2970559</v>
      </c>
      <c r="H352">
        <v>1129400006</v>
      </c>
      <c r="I352" t="s">
        <v>1121</v>
      </c>
      <c r="J352" t="s">
        <v>513</v>
      </c>
      <c r="K352" t="s">
        <v>15</v>
      </c>
      <c r="L352" t="s">
        <v>506</v>
      </c>
      <c r="M352" t="str">
        <f>VLOOKUP(A352,[1]MSAKEN!$A$1:$F$562,6,FALSE)</f>
        <v>12505000580102810340</v>
      </c>
    </row>
    <row r="353" spans="1:13" x14ac:dyDescent="0.3">
      <c r="A353">
        <v>648</v>
      </c>
      <c r="B353" t="s">
        <v>197</v>
      </c>
      <c r="C353" t="s">
        <v>132</v>
      </c>
      <c r="D353" t="s">
        <v>960</v>
      </c>
      <c r="E353" t="s">
        <v>800</v>
      </c>
      <c r="F353" s="4">
        <v>25362</v>
      </c>
      <c r="G353">
        <v>2993666</v>
      </c>
      <c r="H353">
        <v>1129252001</v>
      </c>
      <c r="I353" t="s">
        <v>1064</v>
      </c>
      <c r="J353" t="s">
        <v>833</v>
      </c>
      <c r="K353" t="s">
        <v>15</v>
      </c>
      <c r="L353" t="s">
        <v>506</v>
      </c>
      <c r="M353" t="str">
        <f>VLOOKUP(A353,[1]MSAKEN!$A$1:$F$562,6,FALSE)</f>
        <v>12505000580101845093</v>
      </c>
    </row>
    <row r="354" spans="1:13" x14ac:dyDescent="0.3">
      <c r="A354">
        <v>649</v>
      </c>
      <c r="B354" t="s">
        <v>214</v>
      </c>
      <c r="C354" t="s">
        <v>273</v>
      </c>
      <c r="D354" t="s">
        <v>502</v>
      </c>
      <c r="E354" t="s">
        <v>502</v>
      </c>
      <c r="F354" s="4">
        <v>25510</v>
      </c>
      <c r="G354">
        <v>2970323</v>
      </c>
      <c r="H354">
        <v>1129392807</v>
      </c>
      <c r="I354" t="s">
        <v>1122</v>
      </c>
      <c r="J354" t="s">
        <v>513</v>
      </c>
      <c r="K354" t="s">
        <v>15</v>
      </c>
      <c r="L354" t="s">
        <v>506</v>
      </c>
      <c r="M354" t="e">
        <f>VLOOKUP(A354,[1]MSAKEN!$A$1:$F$562,6,FALSE)</f>
        <v>#N/A</v>
      </c>
    </row>
    <row r="355" spans="1:13" x14ac:dyDescent="0.3">
      <c r="A355">
        <v>651</v>
      </c>
      <c r="B355" t="s">
        <v>173</v>
      </c>
      <c r="C355" t="s">
        <v>378</v>
      </c>
      <c r="D355" t="s">
        <v>674</v>
      </c>
      <c r="E355" t="s">
        <v>608</v>
      </c>
      <c r="F355" s="4">
        <v>23819</v>
      </c>
      <c r="G355">
        <v>2960560</v>
      </c>
      <c r="H355">
        <v>1129397202</v>
      </c>
      <c r="I355" t="s">
        <v>502</v>
      </c>
      <c r="J355" t="s">
        <v>568</v>
      </c>
      <c r="K355" t="s">
        <v>15</v>
      </c>
      <c r="L355" t="s">
        <v>506</v>
      </c>
      <c r="M355" t="str">
        <f>VLOOKUP(A355,[1]MSAKEN!$A$1:$F$562,6,FALSE)</f>
        <v>12505000580101033688</v>
      </c>
    </row>
    <row r="356" spans="1:13" x14ac:dyDescent="0.3">
      <c r="A356">
        <v>653</v>
      </c>
      <c r="B356" t="s">
        <v>866</v>
      </c>
      <c r="C356" t="s">
        <v>357</v>
      </c>
      <c r="D356" t="s">
        <v>520</v>
      </c>
      <c r="E356" t="s">
        <v>867</v>
      </c>
      <c r="F356" s="4">
        <v>23840</v>
      </c>
      <c r="G356">
        <v>2972617</v>
      </c>
      <c r="H356">
        <v>1129392500</v>
      </c>
      <c r="I356" t="s">
        <v>567</v>
      </c>
      <c r="J356" t="s">
        <v>568</v>
      </c>
      <c r="K356" t="s">
        <v>15</v>
      </c>
      <c r="L356" t="s">
        <v>506</v>
      </c>
      <c r="M356" t="e">
        <f>VLOOKUP(A356,[1]MSAKEN!$A$1:$F$562,6,FALSE)</f>
        <v>#N/A</v>
      </c>
    </row>
    <row r="357" spans="1:13" x14ac:dyDescent="0.3">
      <c r="A357">
        <v>654</v>
      </c>
      <c r="B357" t="s">
        <v>446</v>
      </c>
      <c r="C357" t="s">
        <v>259</v>
      </c>
      <c r="D357" t="s">
        <v>535</v>
      </c>
      <c r="E357" t="s">
        <v>696</v>
      </c>
      <c r="F357" s="4">
        <v>23800</v>
      </c>
      <c r="G357">
        <v>2971642</v>
      </c>
      <c r="H357">
        <v>1129396808</v>
      </c>
      <c r="I357" t="s">
        <v>1123</v>
      </c>
      <c r="J357" t="s">
        <v>513</v>
      </c>
      <c r="K357" t="s">
        <v>15</v>
      </c>
      <c r="L357" t="s">
        <v>506</v>
      </c>
      <c r="M357" t="str">
        <f>VLOOKUP(A357,[1]MSAKEN!$A$1:$F$562,6,FALSE)</f>
        <v>12505000580101039508</v>
      </c>
    </row>
    <row r="358" spans="1:13" x14ac:dyDescent="0.3">
      <c r="A358">
        <v>655</v>
      </c>
      <c r="B358" t="s">
        <v>369</v>
      </c>
      <c r="C358" t="s">
        <v>40</v>
      </c>
      <c r="D358" t="s">
        <v>982</v>
      </c>
      <c r="E358" t="s">
        <v>832</v>
      </c>
      <c r="F358" s="4">
        <v>23463</v>
      </c>
      <c r="G358">
        <v>2960829</v>
      </c>
      <c r="H358">
        <v>1114652504</v>
      </c>
      <c r="I358" t="s">
        <v>1124</v>
      </c>
      <c r="J358" t="s">
        <v>574</v>
      </c>
      <c r="K358" t="s">
        <v>15</v>
      </c>
      <c r="L358" t="s">
        <v>506</v>
      </c>
      <c r="M358" t="e">
        <f>VLOOKUP(A358,[1]MSAKEN!$A$1:$F$562,6,FALSE)</f>
        <v>#N/A</v>
      </c>
    </row>
    <row r="359" spans="1:13" x14ac:dyDescent="0.3">
      <c r="A359">
        <v>656</v>
      </c>
      <c r="B359" t="s">
        <v>394</v>
      </c>
      <c r="C359" t="s">
        <v>432</v>
      </c>
      <c r="D359" t="s">
        <v>1125</v>
      </c>
      <c r="E359" t="s">
        <v>729</v>
      </c>
      <c r="F359" s="4">
        <v>24939</v>
      </c>
      <c r="G359">
        <v>2995824</v>
      </c>
      <c r="H359">
        <v>1129443006</v>
      </c>
      <c r="I359" t="s">
        <v>1126</v>
      </c>
      <c r="J359" t="s">
        <v>513</v>
      </c>
      <c r="K359" t="s">
        <v>15</v>
      </c>
      <c r="L359" t="s">
        <v>506</v>
      </c>
      <c r="M359" t="str">
        <f>VLOOKUP(A359,[1]MSAKEN!$A$1:$F$562,6,FALSE)</f>
        <v>05048000116500011767</v>
      </c>
    </row>
    <row r="360" spans="1:13" x14ac:dyDescent="0.3">
      <c r="A360">
        <v>657</v>
      </c>
      <c r="B360" t="s">
        <v>51</v>
      </c>
      <c r="C360" t="s">
        <v>31</v>
      </c>
      <c r="D360" t="s">
        <v>615</v>
      </c>
      <c r="E360" t="s">
        <v>1053</v>
      </c>
      <c r="F360" s="4">
        <v>24184</v>
      </c>
      <c r="G360">
        <v>2969612</v>
      </c>
      <c r="H360">
        <v>1128943709</v>
      </c>
      <c r="I360" t="s">
        <v>1127</v>
      </c>
      <c r="J360" t="s">
        <v>513</v>
      </c>
      <c r="K360" t="s">
        <v>15</v>
      </c>
      <c r="L360" t="s">
        <v>506</v>
      </c>
      <c r="M360" t="e">
        <f>VLOOKUP(A360,[1]MSAKEN!$A$1:$F$562,6,FALSE)</f>
        <v>#N/A</v>
      </c>
    </row>
    <row r="361" spans="1:13" x14ac:dyDescent="0.3">
      <c r="A361">
        <v>659</v>
      </c>
      <c r="B361" t="s">
        <v>153</v>
      </c>
      <c r="C361" t="s">
        <v>152</v>
      </c>
      <c r="D361" t="s">
        <v>772</v>
      </c>
      <c r="E361" t="s">
        <v>690</v>
      </c>
      <c r="F361" s="4">
        <v>23528</v>
      </c>
      <c r="G361">
        <v>2952181</v>
      </c>
      <c r="H361">
        <v>1124403708</v>
      </c>
      <c r="I361" t="s">
        <v>1128</v>
      </c>
      <c r="J361" t="s">
        <v>502</v>
      </c>
      <c r="K361" t="s">
        <v>15</v>
      </c>
      <c r="L361" t="s">
        <v>506</v>
      </c>
      <c r="M361" t="str">
        <f>VLOOKUP(A361,[1]MSAKEN!$A$1:$F$562,6,FALSE)</f>
        <v>04500043404005457181</v>
      </c>
    </row>
    <row r="362" spans="1:13" x14ac:dyDescent="0.3">
      <c r="A362">
        <v>660</v>
      </c>
      <c r="B362" t="s">
        <v>936</v>
      </c>
      <c r="C362" t="s">
        <v>1129</v>
      </c>
      <c r="D362" t="s">
        <v>632</v>
      </c>
      <c r="E362" t="s">
        <v>626</v>
      </c>
      <c r="F362" s="4">
        <v>25244</v>
      </c>
      <c r="G362">
        <v>2992942</v>
      </c>
      <c r="H362">
        <v>1128202403</v>
      </c>
      <c r="I362" t="s">
        <v>1130</v>
      </c>
      <c r="J362" t="s">
        <v>513</v>
      </c>
      <c r="K362" t="s">
        <v>15</v>
      </c>
      <c r="L362" t="s">
        <v>506</v>
      </c>
      <c r="M362" t="e">
        <f>VLOOKUP(A362,[1]MSAKEN!$A$1:$F$562,6,FALSE)</f>
        <v>#N/A</v>
      </c>
    </row>
    <row r="363" spans="1:13" x14ac:dyDescent="0.3">
      <c r="A363">
        <v>661</v>
      </c>
      <c r="B363" t="s">
        <v>1131</v>
      </c>
      <c r="C363" t="s">
        <v>400</v>
      </c>
      <c r="D363" t="s">
        <v>1061</v>
      </c>
      <c r="E363" t="s">
        <v>1132</v>
      </c>
      <c r="F363" s="4">
        <v>25154</v>
      </c>
      <c r="G363">
        <v>4162860</v>
      </c>
      <c r="H363">
        <v>1128660808</v>
      </c>
      <c r="I363" t="s">
        <v>1064</v>
      </c>
      <c r="J363" t="s">
        <v>833</v>
      </c>
      <c r="K363" t="s">
        <v>15</v>
      </c>
      <c r="L363" t="s">
        <v>506</v>
      </c>
      <c r="M363" t="str">
        <f>VLOOKUP(A363,[1]MSAKEN!$A$1:$F$562,6,FALSE)</f>
        <v>10506040203845778823</v>
      </c>
    </row>
    <row r="364" spans="1:13" x14ac:dyDescent="0.3">
      <c r="A364">
        <v>662</v>
      </c>
      <c r="B364" t="s">
        <v>171</v>
      </c>
      <c r="C364" t="s">
        <v>150</v>
      </c>
      <c r="D364" t="s">
        <v>648</v>
      </c>
      <c r="E364" t="s">
        <v>645</v>
      </c>
      <c r="F364" s="4">
        <v>24678</v>
      </c>
      <c r="G364">
        <v>2981354</v>
      </c>
      <c r="H364">
        <v>1129538102</v>
      </c>
      <c r="I364" t="s">
        <v>1133</v>
      </c>
      <c r="J364" t="s">
        <v>574</v>
      </c>
      <c r="K364" t="s">
        <v>15</v>
      </c>
      <c r="L364" t="s">
        <v>506</v>
      </c>
      <c r="M364" t="str">
        <f>VLOOKUP(A364,[1]MSAKEN!$A$1:$F$562,6,FALSE)</f>
        <v>25018000000009849449</v>
      </c>
    </row>
    <row r="365" spans="1:13" x14ac:dyDescent="0.3">
      <c r="A365">
        <v>663</v>
      </c>
      <c r="B365" t="s">
        <v>1134</v>
      </c>
      <c r="C365" t="s">
        <v>326</v>
      </c>
      <c r="D365" t="s">
        <v>502</v>
      </c>
      <c r="E365" t="s">
        <v>502</v>
      </c>
      <c r="F365" s="4">
        <v>24400</v>
      </c>
      <c r="G365">
        <v>2979738</v>
      </c>
      <c r="H365">
        <v>1125734705</v>
      </c>
      <c r="I365" t="s">
        <v>1135</v>
      </c>
      <c r="J365" t="s">
        <v>657</v>
      </c>
      <c r="K365" t="s">
        <v>15</v>
      </c>
      <c r="L365" t="s">
        <v>506</v>
      </c>
      <c r="M365" t="e">
        <f>VLOOKUP(A365,[1]MSAKEN!$A$1:$F$562,6,FALSE)</f>
        <v>#N/A</v>
      </c>
    </row>
    <row r="366" spans="1:13" x14ac:dyDescent="0.3">
      <c r="A366">
        <v>665</v>
      </c>
      <c r="B366" t="s">
        <v>62</v>
      </c>
      <c r="C366" t="s">
        <v>61</v>
      </c>
      <c r="D366" t="s">
        <v>535</v>
      </c>
      <c r="E366" t="s">
        <v>696</v>
      </c>
      <c r="F366" s="4">
        <v>23897</v>
      </c>
      <c r="G366">
        <v>2974673</v>
      </c>
      <c r="H366">
        <v>1128348206</v>
      </c>
      <c r="I366" t="s">
        <v>1136</v>
      </c>
      <c r="J366" t="s">
        <v>513</v>
      </c>
      <c r="K366" t="s">
        <v>15</v>
      </c>
      <c r="L366" t="s">
        <v>506</v>
      </c>
      <c r="M366" t="str">
        <f>VLOOKUP(A366,[1]MSAKEN!$A$1:$F$562,6,FALSE)</f>
        <v>10506040203507278893</v>
      </c>
    </row>
    <row r="367" spans="1:13" x14ac:dyDescent="0.3">
      <c r="A367">
        <v>668</v>
      </c>
      <c r="B367" t="s">
        <v>251</v>
      </c>
      <c r="C367" t="s">
        <v>40</v>
      </c>
      <c r="D367" t="s">
        <v>535</v>
      </c>
      <c r="E367" t="s">
        <v>543</v>
      </c>
      <c r="F367" s="4">
        <v>24504</v>
      </c>
      <c r="G367">
        <v>2992884</v>
      </c>
      <c r="H367">
        <v>1128204706</v>
      </c>
      <c r="I367" t="s">
        <v>1137</v>
      </c>
      <c r="J367" t="s">
        <v>513</v>
      </c>
      <c r="K367" t="s">
        <v>15</v>
      </c>
      <c r="L367" t="s">
        <v>506</v>
      </c>
      <c r="M367" t="e">
        <f>VLOOKUP(A367,[1]MSAKEN!$A$1:$F$562,6,FALSE)</f>
        <v>#N/A</v>
      </c>
    </row>
    <row r="368" spans="1:13" x14ac:dyDescent="0.3">
      <c r="A368">
        <v>669</v>
      </c>
      <c r="B368" t="s">
        <v>375</v>
      </c>
      <c r="C368" t="s">
        <v>246</v>
      </c>
      <c r="D368" t="s">
        <v>502</v>
      </c>
      <c r="E368" t="s">
        <v>502</v>
      </c>
      <c r="F368" s="4">
        <v>24069</v>
      </c>
      <c r="G368">
        <v>2972199</v>
      </c>
      <c r="H368">
        <v>1129664700</v>
      </c>
      <c r="I368" t="s">
        <v>1138</v>
      </c>
      <c r="J368" t="s">
        <v>511</v>
      </c>
      <c r="K368" t="s">
        <v>15</v>
      </c>
      <c r="L368" t="s">
        <v>506</v>
      </c>
      <c r="M368" t="e">
        <f>VLOOKUP(A368,[1]MSAKEN!$A$1:$F$562,6,FALSE)</f>
        <v>#N/A</v>
      </c>
    </row>
    <row r="369" spans="1:13" x14ac:dyDescent="0.3">
      <c r="A369">
        <v>670</v>
      </c>
      <c r="B369" t="s">
        <v>173</v>
      </c>
      <c r="C369" t="s">
        <v>145</v>
      </c>
      <c r="D369" t="s">
        <v>535</v>
      </c>
      <c r="E369" t="s">
        <v>696</v>
      </c>
      <c r="F369" s="4">
        <v>24717</v>
      </c>
      <c r="G369">
        <v>2973600</v>
      </c>
      <c r="H369">
        <v>1129666507</v>
      </c>
      <c r="I369" t="s">
        <v>1064</v>
      </c>
      <c r="J369" t="s">
        <v>833</v>
      </c>
      <c r="K369" t="s">
        <v>15</v>
      </c>
      <c r="L369" t="s">
        <v>506</v>
      </c>
      <c r="M369" t="e">
        <f>VLOOKUP(A369,[1]MSAKEN!$A$1:$F$562,6,FALSE)</f>
        <v>#N/A</v>
      </c>
    </row>
    <row r="370" spans="1:13" x14ac:dyDescent="0.3">
      <c r="A370">
        <v>673</v>
      </c>
      <c r="B370" t="s">
        <v>61</v>
      </c>
      <c r="C370" t="s">
        <v>34</v>
      </c>
      <c r="D370" t="s">
        <v>535</v>
      </c>
      <c r="E370" t="s">
        <v>536</v>
      </c>
      <c r="F370" s="4">
        <v>23851</v>
      </c>
      <c r="G370">
        <v>2958351</v>
      </c>
      <c r="H370">
        <v>1129667802</v>
      </c>
      <c r="I370" t="s">
        <v>1139</v>
      </c>
      <c r="J370" t="s">
        <v>513</v>
      </c>
      <c r="K370" t="s">
        <v>15</v>
      </c>
      <c r="L370" t="s">
        <v>506</v>
      </c>
      <c r="M370" t="e">
        <f>VLOOKUP(A370,[1]MSAKEN!$A$1:$F$562,6,FALSE)</f>
        <v>#N/A</v>
      </c>
    </row>
    <row r="371" spans="1:13" x14ac:dyDescent="0.3">
      <c r="A371">
        <v>675</v>
      </c>
      <c r="B371" t="s">
        <v>488</v>
      </c>
      <c r="C371" t="s">
        <v>274</v>
      </c>
      <c r="D371" t="s">
        <v>535</v>
      </c>
      <c r="E371" t="s">
        <v>584</v>
      </c>
      <c r="F371" s="4">
        <v>24482</v>
      </c>
      <c r="G371">
        <v>2977030</v>
      </c>
      <c r="H371">
        <v>1129668008</v>
      </c>
      <c r="I371" t="s">
        <v>1140</v>
      </c>
      <c r="J371" t="s">
        <v>574</v>
      </c>
      <c r="K371" t="s">
        <v>15</v>
      </c>
      <c r="L371" t="s">
        <v>506</v>
      </c>
      <c r="M371" t="str">
        <f>VLOOKUP(A371,[1]MSAKEN!$A$1:$F$562,6,FALSE)</f>
        <v>10506040204381278866</v>
      </c>
    </row>
    <row r="372" spans="1:13" x14ac:dyDescent="0.3">
      <c r="A372">
        <v>677</v>
      </c>
      <c r="B372" t="s">
        <v>197</v>
      </c>
      <c r="C372" t="s">
        <v>31</v>
      </c>
      <c r="D372" t="s">
        <v>502</v>
      </c>
      <c r="E372" t="s">
        <v>502</v>
      </c>
      <c r="F372" s="4">
        <v>23824</v>
      </c>
      <c r="G372">
        <v>2959207</v>
      </c>
      <c r="H372">
        <v>1129664205</v>
      </c>
      <c r="I372" t="s">
        <v>1064</v>
      </c>
      <c r="J372" t="s">
        <v>833</v>
      </c>
      <c r="K372" t="s">
        <v>15</v>
      </c>
      <c r="L372" t="s">
        <v>506</v>
      </c>
      <c r="M372" t="e">
        <f>VLOOKUP(A372,[1]MSAKEN!$A$1:$F$562,6,FALSE)</f>
        <v>#N/A</v>
      </c>
    </row>
    <row r="373" spans="1:13" x14ac:dyDescent="0.3">
      <c r="A373">
        <v>679</v>
      </c>
      <c r="B373" t="s">
        <v>302</v>
      </c>
      <c r="C373" t="s">
        <v>118</v>
      </c>
      <c r="D373" t="s">
        <v>535</v>
      </c>
      <c r="E373" t="s">
        <v>546</v>
      </c>
      <c r="F373" s="4">
        <v>23729</v>
      </c>
      <c r="G373">
        <v>2032615</v>
      </c>
      <c r="H373">
        <v>1129666200</v>
      </c>
      <c r="I373" t="s">
        <v>1141</v>
      </c>
      <c r="J373" t="s">
        <v>1142</v>
      </c>
      <c r="K373" t="s">
        <v>15</v>
      </c>
      <c r="L373" t="s">
        <v>506</v>
      </c>
      <c r="M373" t="e">
        <f>VLOOKUP(A373,[1]MSAKEN!$A$1:$F$562,6,FALSE)</f>
        <v>#N/A</v>
      </c>
    </row>
    <row r="374" spans="1:13" x14ac:dyDescent="0.3">
      <c r="A374">
        <v>682</v>
      </c>
      <c r="B374" t="s">
        <v>1143</v>
      </c>
      <c r="C374" t="s">
        <v>66</v>
      </c>
      <c r="D374" t="s">
        <v>674</v>
      </c>
      <c r="E374" t="s">
        <v>699</v>
      </c>
      <c r="F374" s="4">
        <v>24488</v>
      </c>
      <c r="G374">
        <v>2977873</v>
      </c>
      <c r="H374">
        <v>1129662803</v>
      </c>
      <c r="I374" t="s">
        <v>1144</v>
      </c>
      <c r="J374" t="s">
        <v>513</v>
      </c>
      <c r="K374" t="s">
        <v>15</v>
      </c>
      <c r="L374" t="s">
        <v>506</v>
      </c>
      <c r="M374" t="e">
        <f>VLOOKUP(A374,[1]MSAKEN!$A$1:$F$562,6,FALSE)</f>
        <v>#N/A</v>
      </c>
    </row>
    <row r="375" spans="1:13" x14ac:dyDescent="0.3">
      <c r="A375">
        <v>684</v>
      </c>
      <c r="B375" t="s">
        <v>1145</v>
      </c>
      <c r="C375" t="s">
        <v>166</v>
      </c>
      <c r="D375" t="s">
        <v>502</v>
      </c>
      <c r="E375" t="s">
        <v>502</v>
      </c>
      <c r="F375" s="4">
        <v>23863</v>
      </c>
      <c r="G375">
        <v>2973563</v>
      </c>
      <c r="H375">
        <v>1129665202</v>
      </c>
      <c r="I375" t="s">
        <v>837</v>
      </c>
      <c r="J375" t="s">
        <v>513</v>
      </c>
      <c r="K375" t="s">
        <v>15</v>
      </c>
      <c r="L375" t="s">
        <v>506</v>
      </c>
      <c r="M375" t="e">
        <f>VLOOKUP(A375,[1]MSAKEN!$A$1:$F$562,6,FALSE)</f>
        <v>#N/A</v>
      </c>
    </row>
    <row r="376" spans="1:13" x14ac:dyDescent="0.3">
      <c r="A376">
        <v>685</v>
      </c>
      <c r="B376" t="s">
        <v>1146</v>
      </c>
      <c r="C376" t="s">
        <v>337</v>
      </c>
      <c r="D376" t="s">
        <v>535</v>
      </c>
      <c r="E376" t="s">
        <v>1066</v>
      </c>
      <c r="F376" s="4">
        <v>24456</v>
      </c>
      <c r="G376">
        <v>2984459</v>
      </c>
      <c r="H376">
        <v>1129665301</v>
      </c>
      <c r="I376" t="s">
        <v>502</v>
      </c>
      <c r="J376" t="s">
        <v>755</v>
      </c>
      <c r="K376" t="s">
        <v>15</v>
      </c>
      <c r="L376" t="s">
        <v>506</v>
      </c>
      <c r="M376" t="e">
        <f>VLOOKUP(A376,[1]MSAKEN!$A$1:$F$562,6,FALSE)</f>
        <v>#N/A</v>
      </c>
    </row>
    <row r="377" spans="1:13" x14ac:dyDescent="0.3">
      <c r="A377">
        <v>686</v>
      </c>
      <c r="B377" t="s">
        <v>46</v>
      </c>
      <c r="C377" t="s">
        <v>200</v>
      </c>
      <c r="D377" t="s">
        <v>674</v>
      </c>
      <c r="E377" t="s">
        <v>829</v>
      </c>
      <c r="F377" s="4">
        <v>24617</v>
      </c>
      <c r="G377">
        <v>5500123</v>
      </c>
      <c r="H377">
        <v>1129663207</v>
      </c>
      <c r="I377" t="s">
        <v>1147</v>
      </c>
      <c r="J377" t="s">
        <v>513</v>
      </c>
      <c r="K377" t="s">
        <v>15</v>
      </c>
      <c r="L377" t="s">
        <v>506</v>
      </c>
      <c r="M377" t="e">
        <f>VLOOKUP(A377,[1]MSAKEN!$A$1:$F$562,6,FALSE)</f>
        <v>#N/A</v>
      </c>
    </row>
    <row r="378" spans="1:13" x14ac:dyDescent="0.3">
      <c r="A378">
        <v>689</v>
      </c>
      <c r="B378" t="s">
        <v>197</v>
      </c>
      <c r="C378" t="s">
        <v>40</v>
      </c>
      <c r="D378" t="s">
        <v>502</v>
      </c>
      <c r="E378" t="s">
        <v>502</v>
      </c>
      <c r="F378" s="4">
        <v>23770</v>
      </c>
      <c r="G378">
        <v>2952636</v>
      </c>
      <c r="H378">
        <v>1129539605</v>
      </c>
      <c r="I378" t="s">
        <v>1064</v>
      </c>
      <c r="J378" t="s">
        <v>833</v>
      </c>
      <c r="K378" t="s">
        <v>15</v>
      </c>
      <c r="L378" t="s">
        <v>506</v>
      </c>
      <c r="M378" t="e">
        <f>VLOOKUP(A378,[1]MSAKEN!$A$1:$F$562,6,FALSE)</f>
        <v>#N/A</v>
      </c>
    </row>
    <row r="379" spans="1:13" x14ac:dyDescent="0.3">
      <c r="A379">
        <v>690</v>
      </c>
      <c r="B379" t="s">
        <v>1148</v>
      </c>
      <c r="C379" t="s">
        <v>105</v>
      </c>
      <c r="D379" t="s">
        <v>502</v>
      </c>
      <c r="E379" t="s">
        <v>502</v>
      </c>
      <c r="F379" s="4">
        <v>19776</v>
      </c>
      <c r="G379">
        <v>2985773</v>
      </c>
      <c r="H379">
        <v>79960100</v>
      </c>
      <c r="I379" t="s">
        <v>1149</v>
      </c>
      <c r="J379" t="s">
        <v>513</v>
      </c>
      <c r="K379" t="s">
        <v>15</v>
      </c>
      <c r="L379" t="s">
        <v>506</v>
      </c>
      <c r="M379" t="e">
        <f>VLOOKUP(A379,[1]MSAKEN!$A$1:$F$562,6,FALSE)</f>
        <v>#N/A</v>
      </c>
    </row>
    <row r="380" spans="1:13" x14ac:dyDescent="0.3">
      <c r="A380">
        <v>691</v>
      </c>
      <c r="B380" t="s">
        <v>1150</v>
      </c>
      <c r="C380" t="s">
        <v>80</v>
      </c>
      <c r="D380" t="s">
        <v>772</v>
      </c>
      <c r="E380" t="s">
        <v>584</v>
      </c>
      <c r="F380" s="4">
        <v>21949</v>
      </c>
      <c r="G380">
        <v>2982916</v>
      </c>
      <c r="H380">
        <v>1124755404</v>
      </c>
      <c r="I380" t="s">
        <v>860</v>
      </c>
      <c r="J380" t="s">
        <v>513</v>
      </c>
      <c r="K380" t="s">
        <v>15</v>
      </c>
      <c r="L380" t="s">
        <v>506</v>
      </c>
      <c r="M380" t="e">
        <f>VLOOKUP(A380,[1]MSAKEN!$A$1:$F$562,6,FALSE)</f>
        <v>#N/A</v>
      </c>
    </row>
    <row r="381" spans="1:13" x14ac:dyDescent="0.3">
      <c r="A381">
        <v>692</v>
      </c>
      <c r="B381" t="s">
        <v>177</v>
      </c>
      <c r="C381" t="s">
        <v>34</v>
      </c>
      <c r="D381" t="s">
        <v>564</v>
      </c>
      <c r="E381" t="s">
        <v>645</v>
      </c>
      <c r="F381" s="4">
        <v>25360</v>
      </c>
      <c r="G381">
        <v>5506228</v>
      </c>
      <c r="H381">
        <v>1127869202</v>
      </c>
      <c r="I381" t="s">
        <v>1151</v>
      </c>
      <c r="J381" t="s">
        <v>513</v>
      </c>
      <c r="K381" t="s">
        <v>15</v>
      </c>
      <c r="L381" t="s">
        <v>506</v>
      </c>
      <c r="M381" t="str">
        <f>VLOOKUP(A381,[1]MSAKEN!$A$1:$F$562,6,FALSE)</f>
        <v>05048000116500470868</v>
      </c>
    </row>
    <row r="382" spans="1:13" x14ac:dyDescent="0.3">
      <c r="A382">
        <v>693</v>
      </c>
      <c r="B382" t="s">
        <v>283</v>
      </c>
      <c r="C382" t="s">
        <v>34</v>
      </c>
      <c r="D382" t="s">
        <v>670</v>
      </c>
      <c r="E382" t="s">
        <v>714</v>
      </c>
      <c r="F382" s="4">
        <v>24805</v>
      </c>
      <c r="G382">
        <v>2986431</v>
      </c>
      <c r="H382">
        <v>1130083502</v>
      </c>
      <c r="I382" t="s">
        <v>1152</v>
      </c>
      <c r="J382" t="s">
        <v>513</v>
      </c>
      <c r="K382" t="s">
        <v>15</v>
      </c>
      <c r="L382" t="s">
        <v>506</v>
      </c>
      <c r="M382" t="e">
        <f>VLOOKUP(A382,[1]MSAKEN!$A$1:$F$562,6,FALSE)</f>
        <v>#N/A</v>
      </c>
    </row>
    <row r="383" spans="1:13" x14ac:dyDescent="0.3">
      <c r="A383">
        <v>695</v>
      </c>
      <c r="B383" t="s">
        <v>79</v>
      </c>
      <c r="C383" t="s">
        <v>272</v>
      </c>
      <c r="D383" t="s">
        <v>999</v>
      </c>
      <c r="E383" t="s">
        <v>954</v>
      </c>
      <c r="F383" s="4">
        <v>24753</v>
      </c>
      <c r="G383">
        <v>5501436</v>
      </c>
      <c r="H383">
        <v>1130083403</v>
      </c>
      <c r="I383" t="s">
        <v>1153</v>
      </c>
      <c r="J383" t="s">
        <v>574</v>
      </c>
      <c r="K383" t="s">
        <v>15</v>
      </c>
      <c r="L383" t="s">
        <v>506</v>
      </c>
      <c r="M383" t="str">
        <f>VLOOKUP(A383,[1]MSAKEN!$A$1:$F$562,6,FALSE)</f>
        <v>10506040204305878826</v>
      </c>
    </row>
    <row r="384" spans="1:13" x14ac:dyDescent="0.3">
      <c r="A384">
        <v>697</v>
      </c>
      <c r="B384" t="s">
        <v>247</v>
      </c>
      <c r="C384" t="s">
        <v>129</v>
      </c>
      <c r="D384" t="s">
        <v>598</v>
      </c>
      <c r="E384" t="s">
        <v>536</v>
      </c>
      <c r="F384" s="4">
        <v>25121</v>
      </c>
      <c r="G384">
        <v>2988165</v>
      </c>
      <c r="H384">
        <v>1130083601</v>
      </c>
      <c r="I384" t="s">
        <v>1154</v>
      </c>
      <c r="J384" t="s">
        <v>513</v>
      </c>
      <c r="K384" t="s">
        <v>15</v>
      </c>
      <c r="L384" t="s">
        <v>506</v>
      </c>
      <c r="M384" t="str">
        <f>VLOOKUP(A384,[1]MSAKEN!$A$1:$F$562,6,FALSE)</f>
        <v>24010030159251110122</v>
      </c>
    </row>
    <row r="385" spans="1:13" x14ac:dyDescent="0.3">
      <c r="A385">
        <v>699</v>
      </c>
      <c r="B385" t="s">
        <v>1155</v>
      </c>
      <c r="C385" t="s">
        <v>72</v>
      </c>
      <c r="D385" t="s">
        <v>670</v>
      </c>
      <c r="E385" t="s">
        <v>1044</v>
      </c>
      <c r="F385" s="4">
        <v>24449</v>
      </c>
      <c r="G385">
        <v>2967875</v>
      </c>
      <c r="H385">
        <v>1130083304</v>
      </c>
      <c r="I385" t="s">
        <v>1156</v>
      </c>
      <c r="J385" t="s">
        <v>574</v>
      </c>
      <c r="K385" t="s">
        <v>15</v>
      </c>
      <c r="L385" t="s">
        <v>506</v>
      </c>
      <c r="M385" t="e">
        <f>VLOOKUP(A385,[1]MSAKEN!$A$1:$F$562,6,FALSE)</f>
        <v>#N/A</v>
      </c>
    </row>
    <row r="386" spans="1:13" x14ac:dyDescent="0.3">
      <c r="A386">
        <v>700</v>
      </c>
      <c r="B386" t="s">
        <v>179</v>
      </c>
      <c r="C386" t="s">
        <v>379</v>
      </c>
      <c r="D386" t="s">
        <v>1157</v>
      </c>
      <c r="E386" t="s">
        <v>696</v>
      </c>
      <c r="F386" s="4">
        <v>24231</v>
      </c>
      <c r="G386">
        <v>2971965</v>
      </c>
      <c r="H386">
        <v>1130083106</v>
      </c>
      <c r="I386" t="s">
        <v>1158</v>
      </c>
      <c r="J386" t="s">
        <v>513</v>
      </c>
      <c r="K386" t="s">
        <v>15</v>
      </c>
      <c r="L386" t="s">
        <v>506</v>
      </c>
      <c r="M386" t="str">
        <f>VLOOKUP(A386,[1]MSAKEN!$A$1:$F$562,6,FALSE)</f>
        <v>10506040204814278815</v>
      </c>
    </row>
    <row r="387" spans="1:13" x14ac:dyDescent="0.3">
      <c r="A387">
        <v>701</v>
      </c>
      <c r="B387" t="s">
        <v>314</v>
      </c>
      <c r="C387" t="s">
        <v>273</v>
      </c>
      <c r="D387" t="s">
        <v>1159</v>
      </c>
      <c r="E387" t="s">
        <v>630</v>
      </c>
      <c r="F387" s="4">
        <v>23384</v>
      </c>
      <c r="G387">
        <v>2952045</v>
      </c>
      <c r="H387">
        <v>1126310000</v>
      </c>
      <c r="I387" t="s">
        <v>1160</v>
      </c>
      <c r="J387" t="s">
        <v>574</v>
      </c>
      <c r="K387" t="s">
        <v>15</v>
      </c>
      <c r="L387" t="s">
        <v>506</v>
      </c>
      <c r="M387" t="str">
        <f>VLOOKUP(A387,[1]MSAKEN!$A$1:$F$562,6,FALSE)</f>
        <v>12505000580101058132</v>
      </c>
    </row>
    <row r="388" spans="1:13" x14ac:dyDescent="0.3">
      <c r="A388">
        <v>703</v>
      </c>
      <c r="B388" t="s">
        <v>1056</v>
      </c>
      <c r="C388" t="s">
        <v>109</v>
      </c>
      <c r="D388" t="s">
        <v>502</v>
      </c>
      <c r="E388" t="s">
        <v>502</v>
      </c>
      <c r="F388" s="4">
        <v>20909</v>
      </c>
      <c r="G388">
        <v>2808735</v>
      </c>
      <c r="H388">
        <v>1123556001</v>
      </c>
      <c r="I388" t="s">
        <v>1161</v>
      </c>
      <c r="J388" t="s">
        <v>825</v>
      </c>
      <c r="K388" t="s">
        <v>15</v>
      </c>
      <c r="L388" t="s">
        <v>506</v>
      </c>
      <c r="M388" t="e">
        <f>VLOOKUP(A388,[1]MSAKEN!$A$1:$F$562,6,FALSE)</f>
        <v>#N/A</v>
      </c>
    </row>
    <row r="389" spans="1:13" x14ac:dyDescent="0.3">
      <c r="A389">
        <v>706</v>
      </c>
      <c r="B389" t="s">
        <v>1162</v>
      </c>
      <c r="C389" t="s">
        <v>185</v>
      </c>
      <c r="D389" t="s">
        <v>1163</v>
      </c>
      <c r="E389" t="s">
        <v>608</v>
      </c>
      <c r="F389" s="4">
        <v>25001</v>
      </c>
      <c r="G389">
        <v>5502099</v>
      </c>
      <c r="H389">
        <v>1130088006</v>
      </c>
      <c r="I389" t="s">
        <v>1164</v>
      </c>
      <c r="J389" t="s">
        <v>511</v>
      </c>
      <c r="K389" t="s">
        <v>15</v>
      </c>
      <c r="L389" t="s">
        <v>506</v>
      </c>
      <c r="M389" t="e">
        <f>VLOOKUP(A389,[1]MSAKEN!$A$1:$F$562,6,FALSE)</f>
        <v>#N/A</v>
      </c>
    </row>
    <row r="390" spans="1:13" x14ac:dyDescent="0.3">
      <c r="A390">
        <v>707</v>
      </c>
      <c r="B390" t="s">
        <v>231</v>
      </c>
      <c r="C390" t="s">
        <v>129</v>
      </c>
      <c r="D390" t="s">
        <v>651</v>
      </c>
      <c r="E390" t="s">
        <v>1044</v>
      </c>
      <c r="F390" s="4">
        <v>24143</v>
      </c>
      <c r="G390">
        <v>2992006</v>
      </c>
      <c r="H390">
        <v>1130087909</v>
      </c>
      <c r="I390" t="s">
        <v>1064</v>
      </c>
      <c r="J390" t="s">
        <v>833</v>
      </c>
      <c r="K390" t="s">
        <v>15</v>
      </c>
      <c r="L390" t="s">
        <v>506</v>
      </c>
      <c r="M390" t="e">
        <f>VLOOKUP(A390,[1]MSAKEN!$A$1:$F$562,6,FALSE)</f>
        <v>#N/A</v>
      </c>
    </row>
    <row r="391" spans="1:13" x14ac:dyDescent="0.3">
      <c r="A391">
        <v>710</v>
      </c>
      <c r="B391" t="s">
        <v>631</v>
      </c>
      <c r="C391" t="s">
        <v>34</v>
      </c>
      <c r="D391" t="s">
        <v>502</v>
      </c>
      <c r="E391" t="s">
        <v>502</v>
      </c>
      <c r="F391" t="s">
        <v>502</v>
      </c>
      <c r="G391">
        <v>353890</v>
      </c>
      <c r="H391">
        <v>1108788108</v>
      </c>
      <c r="I391" t="s">
        <v>1165</v>
      </c>
      <c r="J391" t="s">
        <v>502</v>
      </c>
      <c r="K391" t="s">
        <v>15</v>
      </c>
      <c r="L391" t="s">
        <v>506</v>
      </c>
      <c r="M391" t="e">
        <f>VLOOKUP(A391,[1]MSAKEN!$A$1:$F$562,6,FALSE)</f>
        <v>#N/A</v>
      </c>
    </row>
    <row r="392" spans="1:13" x14ac:dyDescent="0.3">
      <c r="A392">
        <v>711</v>
      </c>
      <c r="B392" t="s">
        <v>1166</v>
      </c>
      <c r="C392" t="s">
        <v>129</v>
      </c>
      <c r="D392" t="s">
        <v>797</v>
      </c>
      <c r="E392" t="s">
        <v>584</v>
      </c>
      <c r="F392" s="4">
        <v>23201</v>
      </c>
      <c r="G392">
        <v>2948355</v>
      </c>
      <c r="H392">
        <v>1114716705</v>
      </c>
      <c r="I392" t="s">
        <v>900</v>
      </c>
      <c r="J392" t="s">
        <v>657</v>
      </c>
      <c r="K392" t="s">
        <v>15</v>
      </c>
      <c r="L392" t="s">
        <v>506</v>
      </c>
      <c r="M392" t="e">
        <f>VLOOKUP(A392,[1]MSAKEN!$A$1:$F$562,6,FALSE)</f>
        <v>#N/A</v>
      </c>
    </row>
    <row r="393" spans="1:13" x14ac:dyDescent="0.3">
      <c r="A393">
        <v>712</v>
      </c>
      <c r="B393" t="s">
        <v>1167</v>
      </c>
      <c r="C393" t="s">
        <v>110</v>
      </c>
      <c r="D393" t="s">
        <v>502</v>
      </c>
      <c r="E393" t="s">
        <v>502</v>
      </c>
      <c r="F393" s="4">
        <v>19768</v>
      </c>
      <c r="G393">
        <v>2603716</v>
      </c>
      <c r="H393">
        <v>1130432907</v>
      </c>
      <c r="I393" t="s">
        <v>1168</v>
      </c>
      <c r="J393" t="s">
        <v>1048</v>
      </c>
      <c r="K393" t="s">
        <v>15</v>
      </c>
      <c r="L393" t="s">
        <v>506</v>
      </c>
      <c r="M393" t="e">
        <f>VLOOKUP(A393,[1]MSAKEN!$A$1:$F$562,6,FALSE)</f>
        <v>#N/A</v>
      </c>
    </row>
    <row r="394" spans="1:13" x14ac:dyDescent="0.3">
      <c r="A394">
        <v>713</v>
      </c>
      <c r="B394" t="s">
        <v>251</v>
      </c>
      <c r="C394" t="s">
        <v>1169</v>
      </c>
      <c r="D394" t="s">
        <v>502</v>
      </c>
      <c r="E394" t="s">
        <v>502</v>
      </c>
      <c r="F394" t="s">
        <v>502</v>
      </c>
      <c r="G394" t="s">
        <v>502</v>
      </c>
      <c r="H394" t="s">
        <v>502</v>
      </c>
      <c r="I394" t="s">
        <v>502</v>
      </c>
      <c r="J394" t="s">
        <v>502</v>
      </c>
      <c r="K394" t="s">
        <v>15</v>
      </c>
      <c r="L394" t="s">
        <v>502</v>
      </c>
      <c r="M394" t="e">
        <f>VLOOKUP(A394,[1]MSAKEN!$A$1:$F$562,6,FALSE)</f>
        <v>#N/A</v>
      </c>
    </row>
    <row r="395" spans="1:13" x14ac:dyDescent="0.3">
      <c r="A395">
        <v>714</v>
      </c>
      <c r="B395" t="s">
        <v>1170</v>
      </c>
      <c r="C395" t="s">
        <v>31</v>
      </c>
      <c r="D395" t="s">
        <v>502</v>
      </c>
      <c r="E395" t="s">
        <v>502</v>
      </c>
      <c r="F395" s="4">
        <v>25080</v>
      </c>
      <c r="G395">
        <v>5506752</v>
      </c>
      <c r="H395">
        <v>1130268806</v>
      </c>
      <c r="I395" t="s">
        <v>1171</v>
      </c>
      <c r="J395" t="s">
        <v>513</v>
      </c>
      <c r="K395" t="s">
        <v>15</v>
      </c>
      <c r="L395" t="s">
        <v>506</v>
      </c>
      <c r="M395" t="e">
        <f>VLOOKUP(A395,[1]MSAKEN!$A$1:$F$562,6,FALSE)</f>
        <v>#N/A</v>
      </c>
    </row>
    <row r="396" spans="1:13" x14ac:dyDescent="0.3">
      <c r="A396">
        <v>715</v>
      </c>
      <c r="B396" t="s">
        <v>1172</v>
      </c>
      <c r="C396" t="s">
        <v>162</v>
      </c>
      <c r="D396" t="s">
        <v>1173</v>
      </c>
      <c r="E396" t="s">
        <v>1066</v>
      </c>
      <c r="F396" s="4">
        <v>21959</v>
      </c>
      <c r="G396">
        <v>2944355</v>
      </c>
      <c r="H396" t="s">
        <v>502</v>
      </c>
      <c r="I396" t="s">
        <v>1174</v>
      </c>
      <c r="J396" t="s">
        <v>511</v>
      </c>
      <c r="K396" t="s">
        <v>15</v>
      </c>
      <c r="L396" t="s">
        <v>506</v>
      </c>
      <c r="M396" t="e">
        <f>VLOOKUP(A396,[1]MSAKEN!$A$1:$F$562,6,FALSE)</f>
        <v>#N/A</v>
      </c>
    </row>
    <row r="397" spans="1:13" x14ac:dyDescent="0.3">
      <c r="A397">
        <v>716</v>
      </c>
      <c r="B397" t="s">
        <v>119</v>
      </c>
      <c r="C397" t="s">
        <v>242</v>
      </c>
      <c r="D397" t="s">
        <v>615</v>
      </c>
      <c r="E397" t="s">
        <v>1175</v>
      </c>
      <c r="F397" s="4">
        <v>23092</v>
      </c>
      <c r="G397">
        <v>2999654</v>
      </c>
      <c r="H397">
        <v>1128427406</v>
      </c>
      <c r="I397" t="s">
        <v>1176</v>
      </c>
      <c r="J397" t="s">
        <v>513</v>
      </c>
      <c r="K397" t="s">
        <v>15</v>
      </c>
      <c r="L397" t="s">
        <v>506</v>
      </c>
      <c r="M397" t="e">
        <f>VLOOKUP(A397,[1]MSAKEN!$A$1:$F$562,6,FALSE)</f>
        <v>#N/A</v>
      </c>
    </row>
    <row r="398" spans="1:13" x14ac:dyDescent="0.3">
      <c r="A398">
        <v>717</v>
      </c>
      <c r="B398" t="s">
        <v>1177</v>
      </c>
      <c r="C398" t="s">
        <v>408</v>
      </c>
      <c r="D398" t="s">
        <v>502</v>
      </c>
      <c r="E398" t="s">
        <v>502</v>
      </c>
      <c r="F398" s="4">
        <v>23599</v>
      </c>
      <c r="G398">
        <v>2973780</v>
      </c>
      <c r="H398">
        <v>1122200205</v>
      </c>
      <c r="I398" t="s">
        <v>1178</v>
      </c>
      <c r="J398" t="s">
        <v>513</v>
      </c>
      <c r="K398" t="s">
        <v>15</v>
      </c>
      <c r="L398" t="s">
        <v>506</v>
      </c>
      <c r="M398" t="e">
        <f>VLOOKUP(A398,[1]MSAKEN!$A$1:$F$562,6,FALSE)</f>
        <v>#N/A</v>
      </c>
    </row>
    <row r="399" spans="1:13" x14ac:dyDescent="0.3">
      <c r="A399">
        <v>718</v>
      </c>
      <c r="B399" t="s">
        <v>161</v>
      </c>
      <c r="C399" t="s">
        <v>1179</v>
      </c>
      <c r="D399" t="s">
        <v>502</v>
      </c>
      <c r="E399" t="s">
        <v>502</v>
      </c>
      <c r="F399" s="4">
        <v>19963</v>
      </c>
      <c r="G399">
        <v>2968540</v>
      </c>
      <c r="H399">
        <v>1105741803</v>
      </c>
      <c r="I399" t="s">
        <v>1180</v>
      </c>
      <c r="J399" t="s">
        <v>513</v>
      </c>
      <c r="K399" t="s">
        <v>15</v>
      </c>
      <c r="L399" t="s">
        <v>506</v>
      </c>
      <c r="M399" t="e">
        <f>VLOOKUP(A399,[1]MSAKEN!$A$1:$F$562,6,FALSE)</f>
        <v>#N/A</v>
      </c>
    </row>
    <row r="400" spans="1:13" x14ac:dyDescent="0.3">
      <c r="A400">
        <v>719</v>
      </c>
      <c r="B400" t="s">
        <v>1181</v>
      </c>
      <c r="C400" t="s">
        <v>99</v>
      </c>
      <c r="D400" t="s">
        <v>651</v>
      </c>
      <c r="E400" t="s">
        <v>1182</v>
      </c>
      <c r="F400" s="4">
        <v>22031</v>
      </c>
      <c r="G400">
        <v>2946376</v>
      </c>
      <c r="H400">
        <v>1122552704</v>
      </c>
      <c r="I400" t="s">
        <v>1183</v>
      </c>
      <c r="J400" t="s">
        <v>513</v>
      </c>
      <c r="K400" t="s">
        <v>15</v>
      </c>
      <c r="L400" t="s">
        <v>506</v>
      </c>
      <c r="M400" t="e">
        <f>VLOOKUP(A400,[1]MSAKEN!$A$1:$F$562,6,FALSE)</f>
        <v>#N/A</v>
      </c>
    </row>
    <row r="401" spans="1:13" x14ac:dyDescent="0.3">
      <c r="A401">
        <v>720</v>
      </c>
      <c r="B401" t="s">
        <v>1184</v>
      </c>
      <c r="C401" t="s">
        <v>181</v>
      </c>
      <c r="D401" t="s">
        <v>674</v>
      </c>
      <c r="E401" t="s">
        <v>584</v>
      </c>
      <c r="F401" s="4">
        <v>23095</v>
      </c>
      <c r="G401">
        <v>2957842</v>
      </c>
      <c r="H401">
        <v>1123401307</v>
      </c>
      <c r="I401" t="s">
        <v>1185</v>
      </c>
      <c r="J401" t="s">
        <v>513</v>
      </c>
      <c r="K401" t="s">
        <v>15</v>
      </c>
      <c r="L401" t="s">
        <v>506</v>
      </c>
      <c r="M401" t="e">
        <f>VLOOKUP(A401,[1]MSAKEN!$A$1:$F$562,6,FALSE)</f>
        <v>#N/A</v>
      </c>
    </row>
    <row r="402" spans="1:13" x14ac:dyDescent="0.3">
      <c r="A402">
        <v>721</v>
      </c>
      <c r="B402" t="s">
        <v>703</v>
      </c>
      <c r="C402" t="s">
        <v>154</v>
      </c>
      <c r="D402" t="s">
        <v>535</v>
      </c>
      <c r="E402" t="s">
        <v>1186</v>
      </c>
      <c r="F402" s="4">
        <v>24231</v>
      </c>
      <c r="G402">
        <v>2983061</v>
      </c>
      <c r="H402">
        <v>1130302704</v>
      </c>
      <c r="I402" t="s">
        <v>1187</v>
      </c>
      <c r="J402" t="s">
        <v>513</v>
      </c>
      <c r="K402" t="s">
        <v>15</v>
      </c>
      <c r="L402" t="s">
        <v>506</v>
      </c>
      <c r="M402" t="str">
        <f>VLOOKUP(A402,[1]MSAKEN!$A$1:$F$562,6,FALSE)</f>
        <v>10506040203869378826</v>
      </c>
    </row>
    <row r="403" spans="1:13" x14ac:dyDescent="0.3">
      <c r="A403">
        <v>722</v>
      </c>
      <c r="B403" t="s">
        <v>183</v>
      </c>
      <c r="C403" t="s">
        <v>246</v>
      </c>
      <c r="D403" t="s">
        <v>502</v>
      </c>
      <c r="E403" t="s">
        <v>502</v>
      </c>
      <c r="F403" s="4">
        <v>22835</v>
      </c>
      <c r="G403">
        <v>2946580</v>
      </c>
      <c r="H403">
        <v>1121658700</v>
      </c>
      <c r="I403" t="s">
        <v>1188</v>
      </c>
      <c r="J403" t="s">
        <v>513</v>
      </c>
      <c r="K403" t="s">
        <v>15</v>
      </c>
      <c r="L403" t="s">
        <v>506</v>
      </c>
      <c r="M403" t="e">
        <f>VLOOKUP(A403,[1]MSAKEN!$A$1:$F$562,6,FALSE)</f>
        <v>#N/A</v>
      </c>
    </row>
    <row r="404" spans="1:13" x14ac:dyDescent="0.3">
      <c r="A404">
        <v>723</v>
      </c>
      <c r="B404" t="s">
        <v>994</v>
      </c>
      <c r="C404" t="s">
        <v>136</v>
      </c>
      <c r="D404" t="s">
        <v>502</v>
      </c>
      <c r="E404" t="s">
        <v>502</v>
      </c>
      <c r="F404" s="4">
        <v>21663</v>
      </c>
      <c r="G404">
        <v>2868042</v>
      </c>
      <c r="H404">
        <v>1110650106</v>
      </c>
      <c r="I404" t="s">
        <v>798</v>
      </c>
      <c r="J404" t="s">
        <v>513</v>
      </c>
      <c r="K404" t="s">
        <v>15</v>
      </c>
      <c r="L404" t="s">
        <v>506</v>
      </c>
      <c r="M404" t="e">
        <f>VLOOKUP(A404,[1]MSAKEN!$A$1:$F$562,6,FALSE)</f>
        <v>#N/A</v>
      </c>
    </row>
    <row r="405" spans="1:13" x14ac:dyDescent="0.3">
      <c r="A405">
        <v>725</v>
      </c>
      <c r="B405" t="s">
        <v>446</v>
      </c>
      <c r="C405" t="s">
        <v>68</v>
      </c>
      <c r="D405" t="s">
        <v>834</v>
      </c>
      <c r="E405" t="s">
        <v>569</v>
      </c>
      <c r="F405" s="4">
        <v>25433</v>
      </c>
      <c r="G405">
        <v>2982816</v>
      </c>
      <c r="H405">
        <v>1130692708</v>
      </c>
      <c r="I405" t="s">
        <v>1189</v>
      </c>
      <c r="J405" t="s">
        <v>513</v>
      </c>
      <c r="K405" t="s">
        <v>15</v>
      </c>
      <c r="L405" t="s">
        <v>506</v>
      </c>
      <c r="M405" t="str">
        <f>VLOOKUP(A405,[1]MSAKEN!$A$1:$F$562,6,FALSE)</f>
        <v>08507000262002225240</v>
      </c>
    </row>
    <row r="406" spans="1:13" x14ac:dyDescent="0.3">
      <c r="A406">
        <v>730</v>
      </c>
      <c r="B406" t="s">
        <v>213</v>
      </c>
      <c r="C406" t="s">
        <v>101</v>
      </c>
      <c r="D406" t="s">
        <v>1190</v>
      </c>
      <c r="E406" t="s">
        <v>699</v>
      </c>
      <c r="F406" s="4">
        <v>25185</v>
      </c>
      <c r="G406">
        <v>2997505</v>
      </c>
      <c r="H406">
        <v>1130087701</v>
      </c>
      <c r="I406" t="s">
        <v>1191</v>
      </c>
      <c r="J406" t="s">
        <v>513</v>
      </c>
      <c r="K406" t="s">
        <v>15</v>
      </c>
      <c r="L406" t="s">
        <v>506</v>
      </c>
      <c r="M406" t="str">
        <f>VLOOKUP(A406,[1]MSAKEN!$A$1:$F$562,6,FALSE)</f>
        <v>04204067404000633269</v>
      </c>
    </row>
    <row r="407" spans="1:13" x14ac:dyDescent="0.3">
      <c r="A407">
        <v>731</v>
      </c>
      <c r="B407" t="s">
        <v>19</v>
      </c>
      <c r="C407" t="s">
        <v>178</v>
      </c>
      <c r="D407" t="s">
        <v>502</v>
      </c>
      <c r="E407" t="s">
        <v>502</v>
      </c>
      <c r="F407" s="4">
        <v>25492</v>
      </c>
      <c r="G407">
        <v>5504527</v>
      </c>
      <c r="H407">
        <v>1131915108</v>
      </c>
      <c r="I407" t="s">
        <v>1192</v>
      </c>
      <c r="J407" t="s">
        <v>513</v>
      </c>
      <c r="K407" t="s">
        <v>15</v>
      </c>
      <c r="L407" t="s">
        <v>506</v>
      </c>
      <c r="M407" t="e">
        <f>VLOOKUP(A407,[1]MSAKEN!$A$1:$F$562,6,FALSE)</f>
        <v>#N/A</v>
      </c>
    </row>
    <row r="408" spans="1:13" x14ac:dyDescent="0.3">
      <c r="A408">
        <v>733</v>
      </c>
      <c r="B408" t="s">
        <v>283</v>
      </c>
      <c r="C408" t="s">
        <v>181</v>
      </c>
      <c r="D408" t="s">
        <v>502</v>
      </c>
      <c r="E408" t="s">
        <v>502</v>
      </c>
      <c r="F408" s="4">
        <v>20860</v>
      </c>
      <c r="G408">
        <v>2948354</v>
      </c>
      <c r="H408">
        <v>1123155804</v>
      </c>
      <c r="I408" t="s">
        <v>1193</v>
      </c>
      <c r="J408" t="s">
        <v>513</v>
      </c>
      <c r="K408" t="s">
        <v>15</v>
      </c>
      <c r="L408" t="s">
        <v>506</v>
      </c>
      <c r="M408" t="e">
        <f>VLOOKUP(A408,[1]MSAKEN!$A$1:$F$562,6,FALSE)</f>
        <v>#N/A</v>
      </c>
    </row>
    <row r="409" spans="1:13" x14ac:dyDescent="0.3">
      <c r="A409">
        <v>736</v>
      </c>
      <c r="B409" t="s">
        <v>1194</v>
      </c>
      <c r="C409" t="s">
        <v>249</v>
      </c>
      <c r="D409" t="s">
        <v>502</v>
      </c>
      <c r="E409" t="s">
        <v>502</v>
      </c>
      <c r="F409" s="4">
        <v>23015</v>
      </c>
      <c r="G409">
        <v>2958838</v>
      </c>
      <c r="H409">
        <v>1106416504</v>
      </c>
      <c r="I409" t="s">
        <v>871</v>
      </c>
      <c r="J409" t="s">
        <v>755</v>
      </c>
      <c r="K409" t="s">
        <v>15</v>
      </c>
      <c r="L409" t="s">
        <v>506</v>
      </c>
      <c r="M409" t="e">
        <f>VLOOKUP(A409,[1]MSAKEN!$A$1:$F$562,6,FALSE)</f>
        <v>#N/A</v>
      </c>
    </row>
    <row r="410" spans="1:13" x14ac:dyDescent="0.3">
      <c r="A410">
        <v>738</v>
      </c>
      <c r="B410" t="s">
        <v>1029</v>
      </c>
      <c r="C410" t="s">
        <v>69</v>
      </c>
      <c r="D410" t="s">
        <v>502</v>
      </c>
      <c r="E410" t="s">
        <v>502</v>
      </c>
      <c r="F410" s="4">
        <v>18769</v>
      </c>
      <c r="G410">
        <v>5500516</v>
      </c>
      <c r="H410">
        <v>1800602805</v>
      </c>
      <c r="I410" t="s">
        <v>1195</v>
      </c>
      <c r="J410" t="s">
        <v>513</v>
      </c>
      <c r="K410" t="s">
        <v>15</v>
      </c>
      <c r="L410" t="s">
        <v>506</v>
      </c>
      <c r="M410" t="e">
        <f>VLOOKUP(A410,[1]MSAKEN!$A$1:$F$562,6,FALSE)</f>
        <v>#N/A</v>
      </c>
    </row>
    <row r="411" spans="1:13" x14ac:dyDescent="0.3">
      <c r="A411">
        <v>742</v>
      </c>
      <c r="B411" t="s">
        <v>23</v>
      </c>
      <c r="C411" t="s">
        <v>22</v>
      </c>
      <c r="D411" t="s">
        <v>1196</v>
      </c>
      <c r="E411" t="s">
        <v>1197</v>
      </c>
      <c r="F411" s="4">
        <v>24417</v>
      </c>
      <c r="G411">
        <v>2979942</v>
      </c>
      <c r="H411">
        <v>1116849108</v>
      </c>
      <c r="I411" t="s">
        <v>1198</v>
      </c>
      <c r="J411" t="s">
        <v>1048</v>
      </c>
      <c r="K411" t="s">
        <v>15</v>
      </c>
      <c r="L411" t="s">
        <v>506</v>
      </c>
      <c r="M411" t="str">
        <f>VLOOKUP(A411,[1]MSAKEN!$A$1:$F$562,6,FALSE)</f>
        <v>12505000580101175890</v>
      </c>
    </row>
    <row r="412" spans="1:13" x14ac:dyDescent="0.3">
      <c r="A412">
        <v>745</v>
      </c>
      <c r="B412" t="s">
        <v>1199</v>
      </c>
      <c r="C412" t="s">
        <v>181</v>
      </c>
      <c r="D412" t="s">
        <v>1039</v>
      </c>
      <c r="E412" t="s">
        <v>569</v>
      </c>
      <c r="F412" s="4">
        <v>20136</v>
      </c>
      <c r="G412">
        <v>2841220</v>
      </c>
      <c r="H412">
        <v>1800295808</v>
      </c>
      <c r="I412" t="s">
        <v>1200</v>
      </c>
      <c r="J412" t="s">
        <v>513</v>
      </c>
      <c r="K412" t="s">
        <v>15</v>
      </c>
      <c r="L412" t="s">
        <v>506</v>
      </c>
      <c r="M412" t="e">
        <f>VLOOKUP(A412,[1]MSAKEN!$A$1:$F$562,6,FALSE)</f>
        <v>#N/A</v>
      </c>
    </row>
    <row r="413" spans="1:13" x14ac:dyDescent="0.3">
      <c r="A413">
        <v>746</v>
      </c>
      <c r="B413" t="s">
        <v>104</v>
      </c>
      <c r="C413" t="s">
        <v>200</v>
      </c>
      <c r="D413" t="s">
        <v>502</v>
      </c>
      <c r="E413" t="s">
        <v>502</v>
      </c>
      <c r="F413" t="s">
        <v>502</v>
      </c>
      <c r="G413">
        <v>271235</v>
      </c>
      <c r="H413">
        <v>58854500</v>
      </c>
      <c r="I413" t="s">
        <v>1201</v>
      </c>
      <c r="J413" t="s">
        <v>502</v>
      </c>
      <c r="K413" t="s">
        <v>15</v>
      </c>
      <c r="L413" t="s">
        <v>506</v>
      </c>
      <c r="M413" t="e">
        <f>VLOOKUP(A413,[1]MSAKEN!$A$1:$F$562,6,FALSE)</f>
        <v>#N/A</v>
      </c>
    </row>
    <row r="414" spans="1:13" x14ac:dyDescent="0.3">
      <c r="A414">
        <v>747</v>
      </c>
      <c r="B414" t="s">
        <v>1202</v>
      </c>
      <c r="C414" t="s">
        <v>1203</v>
      </c>
      <c r="D414" t="s">
        <v>502</v>
      </c>
      <c r="E414" t="s">
        <v>502</v>
      </c>
      <c r="F414" s="4">
        <v>21859</v>
      </c>
      <c r="G414">
        <v>2912740</v>
      </c>
      <c r="H414">
        <v>0</v>
      </c>
      <c r="I414" t="s">
        <v>1204</v>
      </c>
      <c r="J414" t="s">
        <v>513</v>
      </c>
      <c r="K414" t="s">
        <v>15</v>
      </c>
      <c r="L414" t="s">
        <v>506</v>
      </c>
      <c r="M414" t="e">
        <f>VLOOKUP(A414,[1]MSAKEN!$A$1:$F$562,6,FALSE)</f>
        <v>#N/A</v>
      </c>
    </row>
    <row r="415" spans="1:13" x14ac:dyDescent="0.3">
      <c r="A415">
        <v>750</v>
      </c>
      <c r="B415" t="s">
        <v>1205</v>
      </c>
      <c r="C415" t="s">
        <v>109</v>
      </c>
      <c r="D415" t="s">
        <v>502</v>
      </c>
      <c r="E415" t="s">
        <v>502</v>
      </c>
      <c r="F415" s="4">
        <v>19823</v>
      </c>
      <c r="G415">
        <v>2822729</v>
      </c>
      <c r="H415">
        <v>65889300</v>
      </c>
      <c r="I415" t="s">
        <v>1206</v>
      </c>
      <c r="J415" t="s">
        <v>511</v>
      </c>
      <c r="K415" t="s">
        <v>15</v>
      </c>
      <c r="L415" t="s">
        <v>506</v>
      </c>
      <c r="M415" t="e">
        <f>VLOOKUP(A415,[1]MSAKEN!$A$1:$F$562,6,FALSE)</f>
        <v>#N/A</v>
      </c>
    </row>
    <row r="416" spans="1:13" x14ac:dyDescent="0.3">
      <c r="A416">
        <v>751</v>
      </c>
      <c r="B416" t="s">
        <v>1207</v>
      </c>
      <c r="C416" t="s">
        <v>32</v>
      </c>
      <c r="D416" t="s">
        <v>502</v>
      </c>
      <c r="E416" t="s">
        <v>502</v>
      </c>
      <c r="F416" s="4">
        <v>23767</v>
      </c>
      <c r="G416">
        <v>2965903</v>
      </c>
      <c r="H416">
        <v>1132423508</v>
      </c>
      <c r="I416" t="s">
        <v>1208</v>
      </c>
      <c r="J416" t="s">
        <v>511</v>
      </c>
      <c r="K416" t="s">
        <v>15</v>
      </c>
      <c r="L416" t="s">
        <v>506</v>
      </c>
      <c r="M416" t="e">
        <f>VLOOKUP(A416,[1]MSAKEN!$A$1:$F$562,6,FALSE)</f>
        <v>#N/A</v>
      </c>
    </row>
    <row r="417" spans="1:13" x14ac:dyDescent="0.3">
      <c r="A417">
        <v>752</v>
      </c>
      <c r="B417" t="s">
        <v>33</v>
      </c>
      <c r="C417" t="s">
        <v>68</v>
      </c>
      <c r="D417" t="s">
        <v>502</v>
      </c>
      <c r="E417" t="s">
        <v>502</v>
      </c>
      <c r="F417" s="4">
        <v>24336</v>
      </c>
      <c r="G417">
        <v>2994021</v>
      </c>
      <c r="H417">
        <v>1132444504</v>
      </c>
      <c r="I417" t="s">
        <v>1209</v>
      </c>
      <c r="J417" t="s">
        <v>513</v>
      </c>
      <c r="K417" t="s">
        <v>15</v>
      </c>
      <c r="L417" t="s">
        <v>506</v>
      </c>
      <c r="M417" t="e">
        <f>VLOOKUP(A417,[1]MSAKEN!$A$1:$F$562,6,FALSE)</f>
        <v>#N/A</v>
      </c>
    </row>
    <row r="418" spans="1:13" x14ac:dyDescent="0.3">
      <c r="A418">
        <v>757</v>
      </c>
      <c r="B418" t="s">
        <v>71</v>
      </c>
      <c r="C418" t="s">
        <v>1210</v>
      </c>
      <c r="D418" t="s">
        <v>502</v>
      </c>
      <c r="E418" t="s">
        <v>502</v>
      </c>
      <c r="F418" s="4">
        <v>24834</v>
      </c>
      <c r="G418">
        <v>5502177</v>
      </c>
      <c r="H418">
        <v>1132423409</v>
      </c>
      <c r="I418" t="s">
        <v>1211</v>
      </c>
      <c r="J418" t="s">
        <v>513</v>
      </c>
      <c r="K418" t="s">
        <v>15</v>
      </c>
      <c r="L418" t="s">
        <v>506</v>
      </c>
      <c r="M418" t="e">
        <f>VLOOKUP(A418,[1]MSAKEN!$A$1:$F$562,6,FALSE)</f>
        <v>#N/A</v>
      </c>
    </row>
    <row r="419" spans="1:13" x14ac:dyDescent="0.3">
      <c r="A419">
        <v>758</v>
      </c>
      <c r="B419" t="s">
        <v>1212</v>
      </c>
      <c r="C419" t="s">
        <v>56</v>
      </c>
      <c r="D419" t="s">
        <v>711</v>
      </c>
      <c r="E419" t="s">
        <v>1213</v>
      </c>
      <c r="F419" s="4">
        <v>24088</v>
      </c>
      <c r="G419">
        <v>2971647</v>
      </c>
      <c r="H419">
        <v>1132423201</v>
      </c>
      <c r="I419" t="s">
        <v>871</v>
      </c>
      <c r="J419" t="s">
        <v>755</v>
      </c>
      <c r="K419" t="s">
        <v>15</v>
      </c>
      <c r="L419" t="s">
        <v>506</v>
      </c>
      <c r="M419" t="str">
        <f>VLOOKUP(A419,[1]MSAKEN!$A$1:$F$562,6,FALSE)</f>
        <v>12505000580101147275</v>
      </c>
    </row>
    <row r="420" spans="1:13" x14ac:dyDescent="0.3">
      <c r="A420">
        <v>759</v>
      </c>
      <c r="B420" t="s">
        <v>1155</v>
      </c>
      <c r="C420" t="s">
        <v>34</v>
      </c>
      <c r="D420" t="s">
        <v>738</v>
      </c>
      <c r="E420" t="s">
        <v>792</v>
      </c>
      <c r="F420" s="4">
        <v>24646</v>
      </c>
      <c r="G420">
        <v>2980889</v>
      </c>
      <c r="H420">
        <v>1124102607</v>
      </c>
      <c r="I420" t="s">
        <v>1214</v>
      </c>
      <c r="J420" t="s">
        <v>574</v>
      </c>
      <c r="K420" t="s">
        <v>15</v>
      </c>
      <c r="L420" t="s">
        <v>506</v>
      </c>
      <c r="M420" t="e">
        <f>VLOOKUP(A420,[1]MSAKEN!$A$1:$F$562,6,FALSE)</f>
        <v>#N/A</v>
      </c>
    </row>
    <row r="421" spans="1:13" x14ac:dyDescent="0.3">
      <c r="A421">
        <v>761</v>
      </c>
      <c r="B421" t="s">
        <v>329</v>
      </c>
      <c r="C421" t="s">
        <v>246</v>
      </c>
      <c r="D421" t="s">
        <v>632</v>
      </c>
      <c r="E421" t="s">
        <v>652</v>
      </c>
      <c r="F421" s="4">
        <v>24632</v>
      </c>
      <c r="G421">
        <v>2977964</v>
      </c>
      <c r="H421">
        <v>1132427301</v>
      </c>
      <c r="I421" t="s">
        <v>1064</v>
      </c>
      <c r="J421" t="s">
        <v>833</v>
      </c>
      <c r="K421" t="s">
        <v>15</v>
      </c>
      <c r="L421" t="s">
        <v>506</v>
      </c>
      <c r="M421" t="str">
        <f>VLOOKUP(A421,[1]MSAKEN!$A$1:$F$562,6,FALSE)</f>
        <v>10506040203732578853</v>
      </c>
    </row>
    <row r="422" spans="1:13" x14ac:dyDescent="0.3">
      <c r="A422">
        <v>762</v>
      </c>
      <c r="B422" t="s">
        <v>1215</v>
      </c>
      <c r="C422" t="s">
        <v>162</v>
      </c>
      <c r="D422" t="s">
        <v>1216</v>
      </c>
      <c r="E422" t="s">
        <v>536</v>
      </c>
      <c r="F422" s="4">
        <v>22863</v>
      </c>
      <c r="G422">
        <v>2944112</v>
      </c>
      <c r="H422">
        <v>1116962802</v>
      </c>
      <c r="I422" t="s">
        <v>1217</v>
      </c>
      <c r="J422" t="s">
        <v>511</v>
      </c>
      <c r="K422" t="s">
        <v>15</v>
      </c>
      <c r="L422" t="s">
        <v>506</v>
      </c>
      <c r="M422" t="str">
        <f>VLOOKUP(A422,[1]MSAKEN!$A$1:$F$562,6,FALSE)</f>
        <v>10506040203731278859</v>
      </c>
    </row>
    <row r="423" spans="1:13" x14ac:dyDescent="0.3">
      <c r="A423">
        <v>764</v>
      </c>
      <c r="B423" t="s">
        <v>1218</v>
      </c>
      <c r="C423" t="s">
        <v>1219</v>
      </c>
      <c r="D423" t="s">
        <v>502</v>
      </c>
      <c r="E423" t="s">
        <v>502</v>
      </c>
      <c r="F423" s="4">
        <v>21217</v>
      </c>
      <c r="G423">
        <v>2894903</v>
      </c>
      <c r="H423">
        <v>98202300</v>
      </c>
      <c r="I423" t="s">
        <v>1220</v>
      </c>
      <c r="J423" t="s">
        <v>513</v>
      </c>
      <c r="K423" t="s">
        <v>15</v>
      </c>
      <c r="L423" t="s">
        <v>506</v>
      </c>
      <c r="M423" t="e">
        <f>VLOOKUP(A423,[1]MSAKEN!$A$1:$F$562,6,FALSE)</f>
        <v>#N/A</v>
      </c>
    </row>
    <row r="424" spans="1:13" x14ac:dyDescent="0.3">
      <c r="A424">
        <v>766</v>
      </c>
      <c r="B424" t="s">
        <v>1215</v>
      </c>
      <c r="C424" t="s">
        <v>332</v>
      </c>
      <c r="D424" t="s">
        <v>502</v>
      </c>
      <c r="E424" t="s">
        <v>502</v>
      </c>
      <c r="F424" s="4">
        <v>23625</v>
      </c>
      <c r="G424">
        <v>2970020</v>
      </c>
      <c r="H424">
        <v>1131392308</v>
      </c>
      <c r="I424" t="s">
        <v>1221</v>
      </c>
      <c r="J424" t="s">
        <v>1074</v>
      </c>
      <c r="K424" t="s">
        <v>15</v>
      </c>
      <c r="L424" t="s">
        <v>506</v>
      </c>
      <c r="M424" t="e">
        <f>VLOOKUP(A424,[1]MSAKEN!$A$1:$F$562,6,FALSE)</f>
        <v>#N/A</v>
      </c>
    </row>
    <row r="425" spans="1:13" x14ac:dyDescent="0.3">
      <c r="A425">
        <v>768</v>
      </c>
      <c r="B425" t="s">
        <v>254</v>
      </c>
      <c r="C425" t="s">
        <v>459</v>
      </c>
      <c r="D425" t="s">
        <v>502</v>
      </c>
      <c r="E425" t="s">
        <v>502</v>
      </c>
      <c r="F425" s="4">
        <v>22045</v>
      </c>
      <c r="G425">
        <v>2841650</v>
      </c>
      <c r="H425">
        <v>1117461002</v>
      </c>
      <c r="I425" t="s">
        <v>1222</v>
      </c>
      <c r="J425" t="s">
        <v>511</v>
      </c>
      <c r="K425" t="s">
        <v>15</v>
      </c>
      <c r="L425" t="s">
        <v>506</v>
      </c>
      <c r="M425" t="e">
        <f>VLOOKUP(A425,[1]MSAKEN!$A$1:$F$562,6,FALSE)</f>
        <v>#N/A</v>
      </c>
    </row>
    <row r="426" spans="1:13" x14ac:dyDescent="0.3">
      <c r="A426">
        <v>769</v>
      </c>
      <c r="B426" t="s">
        <v>1223</v>
      </c>
      <c r="C426" t="s">
        <v>290</v>
      </c>
      <c r="D426" t="s">
        <v>1224</v>
      </c>
      <c r="E426" t="s">
        <v>546</v>
      </c>
      <c r="F426" s="4">
        <v>22962</v>
      </c>
      <c r="G426">
        <v>2958846</v>
      </c>
      <c r="H426">
        <v>1120182702</v>
      </c>
      <c r="I426" t="s">
        <v>1225</v>
      </c>
      <c r="J426" t="s">
        <v>511</v>
      </c>
      <c r="K426" t="s">
        <v>15</v>
      </c>
      <c r="L426" t="s">
        <v>506</v>
      </c>
      <c r="M426" t="str">
        <f>VLOOKUP(A426,[1]MSAKEN!$A$1:$F$562,6,FALSE)</f>
        <v>08016010072002525089</v>
      </c>
    </row>
    <row r="427" spans="1:13" x14ac:dyDescent="0.3">
      <c r="A427">
        <v>772</v>
      </c>
      <c r="B427" t="s">
        <v>83</v>
      </c>
      <c r="C427" t="s">
        <v>31</v>
      </c>
      <c r="D427" t="s">
        <v>535</v>
      </c>
      <c r="E427" t="s">
        <v>699</v>
      </c>
      <c r="F427" s="4">
        <v>23635</v>
      </c>
      <c r="G427">
        <v>2953127</v>
      </c>
      <c r="H427">
        <v>1121472607</v>
      </c>
      <c r="I427" t="s">
        <v>1226</v>
      </c>
      <c r="J427" t="s">
        <v>513</v>
      </c>
      <c r="K427" t="s">
        <v>15</v>
      </c>
      <c r="L427" t="s">
        <v>506</v>
      </c>
      <c r="M427" t="str">
        <f>VLOOKUP(A427,[1]MSAKEN!$A$1:$F$562,6,FALSE)</f>
        <v>12505000000220481457</v>
      </c>
    </row>
    <row r="428" spans="1:13" x14ac:dyDescent="0.3">
      <c r="A428">
        <v>774</v>
      </c>
      <c r="B428" t="s">
        <v>57</v>
      </c>
      <c r="C428" t="s">
        <v>167</v>
      </c>
      <c r="D428" t="s">
        <v>564</v>
      </c>
      <c r="E428" t="s">
        <v>699</v>
      </c>
      <c r="F428" s="4">
        <v>23446</v>
      </c>
      <c r="G428">
        <v>2963972</v>
      </c>
      <c r="H428">
        <v>1132435304</v>
      </c>
      <c r="I428" t="s">
        <v>1227</v>
      </c>
      <c r="J428" t="s">
        <v>513</v>
      </c>
      <c r="K428" t="s">
        <v>15</v>
      </c>
      <c r="L428" t="s">
        <v>506</v>
      </c>
      <c r="M428" t="e">
        <f>VLOOKUP(A428,[1]MSAKEN!$A$1:$F$562,6,FALSE)</f>
        <v>#N/A</v>
      </c>
    </row>
    <row r="429" spans="1:13" x14ac:dyDescent="0.3">
      <c r="A429">
        <v>775</v>
      </c>
      <c r="B429" t="s">
        <v>179</v>
      </c>
      <c r="C429" t="s">
        <v>178</v>
      </c>
      <c r="D429" t="s">
        <v>545</v>
      </c>
      <c r="E429" t="s">
        <v>536</v>
      </c>
      <c r="F429" s="4">
        <v>25687</v>
      </c>
      <c r="G429">
        <v>2994760</v>
      </c>
      <c r="H429">
        <v>1135698700</v>
      </c>
      <c r="I429" t="s">
        <v>1228</v>
      </c>
      <c r="J429" t="s">
        <v>513</v>
      </c>
      <c r="K429" t="s">
        <v>15</v>
      </c>
      <c r="L429" t="s">
        <v>506</v>
      </c>
      <c r="M429" t="str">
        <f>VLOOKUP(A429,[1]MSAKEN!$A$1:$F$562,6,FALSE)</f>
        <v>05048000116500459713</v>
      </c>
    </row>
    <row r="430" spans="1:13" x14ac:dyDescent="0.3">
      <c r="A430">
        <v>778</v>
      </c>
      <c r="B430" t="s">
        <v>339</v>
      </c>
      <c r="C430" t="s">
        <v>43</v>
      </c>
      <c r="D430" t="s">
        <v>502</v>
      </c>
      <c r="E430" t="s">
        <v>502</v>
      </c>
      <c r="F430" s="4">
        <v>17283</v>
      </c>
      <c r="G430">
        <v>2928295</v>
      </c>
      <c r="H430">
        <v>1120749609</v>
      </c>
      <c r="I430" t="s">
        <v>1229</v>
      </c>
      <c r="J430" t="s">
        <v>513</v>
      </c>
      <c r="K430" t="s">
        <v>15</v>
      </c>
      <c r="L430" t="s">
        <v>506</v>
      </c>
      <c r="M430" t="e">
        <f>VLOOKUP(A430,[1]MSAKEN!$A$1:$F$562,6,FALSE)</f>
        <v>#N/A</v>
      </c>
    </row>
    <row r="431" spans="1:13" x14ac:dyDescent="0.3">
      <c r="A431">
        <v>779</v>
      </c>
      <c r="B431" t="s">
        <v>104</v>
      </c>
      <c r="C431" t="s">
        <v>216</v>
      </c>
      <c r="D431" t="s">
        <v>502</v>
      </c>
      <c r="E431" t="s">
        <v>502</v>
      </c>
      <c r="F431" s="4">
        <v>25422</v>
      </c>
      <c r="G431">
        <v>2999886</v>
      </c>
      <c r="H431">
        <v>1138766009</v>
      </c>
      <c r="I431" t="s">
        <v>1230</v>
      </c>
      <c r="J431" t="s">
        <v>513</v>
      </c>
      <c r="K431" t="s">
        <v>15</v>
      </c>
      <c r="L431" t="s">
        <v>506</v>
      </c>
      <c r="M431" t="e">
        <f>VLOOKUP(A431,[1]MSAKEN!$A$1:$F$562,6,FALSE)</f>
        <v>#N/A</v>
      </c>
    </row>
    <row r="432" spans="1:13" x14ac:dyDescent="0.3">
      <c r="A432">
        <v>782</v>
      </c>
      <c r="B432" t="s">
        <v>310</v>
      </c>
      <c r="C432" t="s">
        <v>34</v>
      </c>
      <c r="D432" t="s">
        <v>502</v>
      </c>
      <c r="E432" t="s">
        <v>502</v>
      </c>
      <c r="F432" s="4">
        <v>20595</v>
      </c>
      <c r="G432">
        <v>2888948</v>
      </c>
      <c r="H432">
        <v>77148400</v>
      </c>
      <c r="I432" t="s">
        <v>567</v>
      </c>
      <c r="J432" t="s">
        <v>568</v>
      </c>
      <c r="K432" t="s">
        <v>15</v>
      </c>
      <c r="L432" t="s">
        <v>506</v>
      </c>
      <c r="M432" t="e">
        <f>VLOOKUP(A432,[1]MSAKEN!$A$1:$F$562,6,FALSE)</f>
        <v>#N/A</v>
      </c>
    </row>
    <row r="433" spans="1:13" x14ac:dyDescent="0.3">
      <c r="A433">
        <v>783</v>
      </c>
      <c r="B433" t="s">
        <v>1231</v>
      </c>
      <c r="C433" t="s">
        <v>332</v>
      </c>
      <c r="D433" t="s">
        <v>502</v>
      </c>
      <c r="E433" t="s">
        <v>502</v>
      </c>
      <c r="F433" s="4">
        <v>22720</v>
      </c>
      <c r="G433">
        <v>2935483</v>
      </c>
      <c r="H433">
        <v>1108285204</v>
      </c>
      <c r="I433" t="s">
        <v>1232</v>
      </c>
      <c r="J433" t="s">
        <v>511</v>
      </c>
      <c r="K433" t="s">
        <v>15</v>
      </c>
      <c r="L433" t="s">
        <v>506</v>
      </c>
      <c r="M433" t="e">
        <f>VLOOKUP(A433,[1]MSAKEN!$A$1:$F$562,6,FALSE)</f>
        <v>#N/A</v>
      </c>
    </row>
    <row r="434" spans="1:13" x14ac:dyDescent="0.3">
      <c r="A434">
        <v>784</v>
      </c>
      <c r="B434" t="s">
        <v>217</v>
      </c>
      <c r="C434" t="s">
        <v>418</v>
      </c>
      <c r="D434" t="s">
        <v>535</v>
      </c>
      <c r="E434" t="s">
        <v>602</v>
      </c>
      <c r="F434" s="4">
        <v>23622</v>
      </c>
      <c r="G434">
        <v>2966982</v>
      </c>
      <c r="H434">
        <v>1132436005</v>
      </c>
      <c r="I434" t="s">
        <v>1233</v>
      </c>
      <c r="J434" t="s">
        <v>574</v>
      </c>
      <c r="K434" t="s">
        <v>15</v>
      </c>
      <c r="L434" t="s">
        <v>506</v>
      </c>
      <c r="M434" t="str">
        <f>VLOOKUP(A434,[1]MSAKEN!$A$1:$F$562,6,FALSE)</f>
        <v>04204067001222816935</v>
      </c>
    </row>
    <row r="435" spans="1:13" x14ac:dyDescent="0.3">
      <c r="A435">
        <v>785</v>
      </c>
      <c r="B435" t="s">
        <v>1234</v>
      </c>
      <c r="C435" t="s">
        <v>45</v>
      </c>
      <c r="D435" t="s">
        <v>632</v>
      </c>
      <c r="E435" t="s">
        <v>712</v>
      </c>
      <c r="F435" s="4">
        <v>21195</v>
      </c>
      <c r="G435">
        <v>2808596</v>
      </c>
      <c r="H435">
        <v>1122151408</v>
      </c>
      <c r="I435" t="s">
        <v>900</v>
      </c>
      <c r="J435" t="s">
        <v>657</v>
      </c>
      <c r="K435" t="s">
        <v>15</v>
      </c>
      <c r="L435" t="s">
        <v>506</v>
      </c>
      <c r="M435" t="e">
        <f>VLOOKUP(A435,[1]MSAKEN!$A$1:$F$562,6,FALSE)</f>
        <v>#N/A</v>
      </c>
    </row>
    <row r="436" spans="1:13" x14ac:dyDescent="0.3">
      <c r="A436">
        <v>786</v>
      </c>
      <c r="B436" t="s">
        <v>1235</v>
      </c>
      <c r="C436" t="s">
        <v>132</v>
      </c>
      <c r="D436" t="s">
        <v>502</v>
      </c>
      <c r="E436" t="s">
        <v>502</v>
      </c>
      <c r="F436" s="4">
        <v>24474</v>
      </c>
      <c r="G436">
        <v>2993419</v>
      </c>
      <c r="H436">
        <v>1133325405</v>
      </c>
      <c r="I436" t="s">
        <v>871</v>
      </c>
      <c r="J436" t="s">
        <v>755</v>
      </c>
      <c r="K436" t="s">
        <v>15</v>
      </c>
      <c r="L436" t="s">
        <v>506</v>
      </c>
      <c r="M436" t="e">
        <f>VLOOKUP(A436,[1]MSAKEN!$A$1:$F$562,6,FALSE)</f>
        <v>#N/A</v>
      </c>
    </row>
    <row r="437" spans="1:13" x14ac:dyDescent="0.3">
      <c r="A437">
        <v>787</v>
      </c>
      <c r="B437" t="s">
        <v>104</v>
      </c>
      <c r="C437" t="s">
        <v>181</v>
      </c>
      <c r="D437" t="s">
        <v>654</v>
      </c>
      <c r="E437" t="s">
        <v>1236</v>
      </c>
      <c r="F437" s="4">
        <v>24519</v>
      </c>
      <c r="G437">
        <v>2992656</v>
      </c>
      <c r="H437">
        <v>1133331205</v>
      </c>
      <c r="I437" t="s">
        <v>1237</v>
      </c>
      <c r="J437" t="s">
        <v>513</v>
      </c>
      <c r="K437" t="s">
        <v>15</v>
      </c>
      <c r="L437" t="s">
        <v>506</v>
      </c>
      <c r="M437" t="str">
        <f>VLOOKUP(A437,[1]MSAKEN!$A$1:$F$562,6,FALSE)</f>
        <v>04204067404000717368</v>
      </c>
    </row>
    <row r="438" spans="1:13" x14ac:dyDescent="0.3">
      <c r="A438">
        <v>788</v>
      </c>
      <c r="B438" t="s">
        <v>42</v>
      </c>
      <c r="C438" t="s">
        <v>40</v>
      </c>
      <c r="D438" t="s">
        <v>1061</v>
      </c>
      <c r="E438" t="s">
        <v>536</v>
      </c>
      <c r="F438" s="4">
        <v>23861</v>
      </c>
      <c r="G438">
        <v>2960695</v>
      </c>
      <c r="H438">
        <v>1133331403</v>
      </c>
      <c r="I438" t="s">
        <v>1064</v>
      </c>
      <c r="J438" t="s">
        <v>833</v>
      </c>
      <c r="K438" t="s">
        <v>15</v>
      </c>
      <c r="L438" t="s">
        <v>506</v>
      </c>
      <c r="M438" t="e">
        <f>VLOOKUP(A438,[1]MSAKEN!$A$1:$F$562,6,FALSE)</f>
        <v>#N/A</v>
      </c>
    </row>
    <row r="439" spans="1:13" x14ac:dyDescent="0.3">
      <c r="A439">
        <v>790</v>
      </c>
      <c r="B439" t="s">
        <v>57</v>
      </c>
      <c r="C439" t="s">
        <v>319</v>
      </c>
      <c r="D439" t="s">
        <v>648</v>
      </c>
      <c r="E439" t="s">
        <v>714</v>
      </c>
      <c r="F439" s="4">
        <v>24391</v>
      </c>
      <c r="G439">
        <v>2969515</v>
      </c>
      <c r="H439">
        <v>1134080009</v>
      </c>
      <c r="I439" t="s">
        <v>1238</v>
      </c>
      <c r="J439" t="s">
        <v>513</v>
      </c>
      <c r="K439" t="s">
        <v>15</v>
      </c>
      <c r="L439" t="s">
        <v>506</v>
      </c>
      <c r="M439" t="str">
        <f>VLOOKUP(A439,[1]MSAKEN!$A$1:$F$562,6,FALSE)</f>
        <v>04204067404000678762</v>
      </c>
    </row>
    <row r="440" spans="1:13" x14ac:dyDescent="0.3">
      <c r="A440">
        <v>792</v>
      </c>
      <c r="B440" t="s">
        <v>1239</v>
      </c>
      <c r="C440" t="s">
        <v>758</v>
      </c>
      <c r="D440" t="s">
        <v>502</v>
      </c>
      <c r="E440" t="s">
        <v>502</v>
      </c>
      <c r="F440" s="4">
        <v>20477</v>
      </c>
      <c r="G440">
        <v>2814361</v>
      </c>
      <c r="H440">
        <v>69236200</v>
      </c>
      <c r="I440" t="s">
        <v>1064</v>
      </c>
      <c r="J440" t="s">
        <v>833</v>
      </c>
      <c r="K440" t="s">
        <v>15</v>
      </c>
      <c r="L440" t="s">
        <v>506</v>
      </c>
      <c r="M440" t="e">
        <f>VLOOKUP(A440,[1]MSAKEN!$A$1:$F$562,6,FALSE)</f>
        <v>#N/A</v>
      </c>
    </row>
    <row r="441" spans="1:13" x14ac:dyDescent="0.3">
      <c r="A441">
        <v>793</v>
      </c>
      <c r="B441" t="s">
        <v>250</v>
      </c>
      <c r="C441" t="s">
        <v>181</v>
      </c>
      <c r="D441" t="s">
        <v>502</v>
      </c>
      <c r="E441" t="s">
        <v>502</v>
      </c>
      <c r="F441" t="s">
        <v>502</v>
      </c>
      <c r="G441">
        <v>2821155</v>
      </c>
      <c r="H441">
        <v>0</v>
      </c>
      <c r="I441" t="s">
        <v>1240</v>
      </c>
      <c r="J441" t="s">
        <v>502</v>
      </c>
      <c r="K441" t="s">
        <v>15</v>
      </c>
      <c r="L441" t="s">
        <v>506</v>
      </c>
      <c r="M441" t="e">
        <f>VLOOKUP(A441,[1]MSAKEN!$A$1:$F$562,6,FALSE)</f>
        <v>#N/A</v>
      </c>
    </row>
    <row r="442" spans="1:13" x14ac:dyDescent="0.3">
      <c r="A442">
        <v>794</v>
      </c>
      <c r="B442" t="s">
        <v>1241</v>
      </c>
      <c r="C442" t="s">
        <v>34</v>
      </c>
      <c r="D442" t="s">
        <v>502</v>
      </c>
      <c r="E442" t="s">
        <v>502</v>
      </c>
      <c r="F442" s="4">
        <v>24636</v>
      </c>
      <c r="G442">
        <v>2983213</v>
      </c>
      <c r="H442">
        <v>1134091600</v>
      </c>
      <c r="I442" t="s">
        <v>871</v>
      </c>
      <c r="J442" t="s">
        <v>833</v>
      </c>
      <c r="K442" t="s">
        <v>15</v>
      </c>
      <c r="L442" t="s">
        <v>506</v>
      </c>
      <c r="M442" t="e">
        <f>VLOOKUP(A442,[1]MSAKEN!$A$1:$F$562,6,FALSE)</f>
        <v>#N/A</v>
      </c>
    </row>
    <row r="443" spans="1:13" x14ac:dyDescent="0.3">
      <c r="A443">
        <v>795</v>
      </c>
      <c r="B443" t="s">
        <v>676</v>
      </c>
      <c r="C443" t="s">
        <v>118</v>
      </c>
      <c r="D443" t="s">
        <v>598</v>
      </c>
      <c r="E443" t="s">
        <v>521</v>
      </c>
      <c r="F443" s="4">
        <v>22457</v>
      </c>
      <c r="G443">
        <v>2808938</v>
      </c>
      <c r="H443">
        <v>1112593700</v>
      </c>
      <c r="I443" t="s">
        <v>1242</v>
      </c>
      <c r="J443" t="s">
        <v>513</v>
      </c>
      <c r="K443" t="s">
        <v>15</v>
      </c>
      <c r="L443" t="s">
        <v>506</v>
      </c>
      <c r="M443" t="e">
        <f>VLOOKUP(A443,[1]MSAKEN!$A$1:$F$562,6,FALSE)</f>
        <v>#N/A</v>
      </c>
    </row>
    <row r="444" spans="1:13" x14ac:dyDescent="0.3">
      <c r="A444">
        <v>796</v>
      </c>
      <c r="B444" t="s">
        <v>1243</v>
      </c>
      <c r="C444" t="s">
        <v>181</v>
      </c>
      <c r="D444" t="s">
        <v>564</v>
      </c>
      <c r="E444" t="s">
        <v>521</v>
      </c>
      <c r="F444" s="4">
        <v>23129</v>
      </c>
      <c r="G444">
        <v>2947910</v>
      </c>
      <c r="H444">
        <v>1104980303</v>
      </c>
      <c r="I444" t="s">
        <v>1244</v>
      </c>
      <c r="J444" t="s">
        <v>513</v>
      </c>
      <c r="K444" t="s">
        <v>15</v>
      </c>
      <c r="L444" t="s">
        <v>506</v>
      </c>
      <c r="M444" t="e">
        <f>VLOOKUP(A444,[1]MSAKEN!$A$1:$F$562,6,FALSE)</f>
        <v>#N/A</v>
      </c>
    </row>
    <row r="445" spans="1:13" x14ac:dyDescent="0.3">
      <c r="A445">
        <v>797</v>
      </c>
      <c r="B445" t="s">
        <v>1245</v>
      </c>
      <c r="C445" t="s">
        <v>355</v>
      </c>
      <c r="D445" t="s">
        <v>502</v>
      </c>
      <c r="E445" t="s">
        <v>502</v>
      </c>
      <c r="F445" s="4">
        <v>23949</v>
      </c>
      <c r="G445">
        <v>2058691</v>
      </c>
      <c r="H445">
        <v>1134072808</v>
      </c>
      <c r="I445" t="s">
        <v>1246</v>
      </c>
      <c r="J445" t="s">
        <v>513</v>
      </c>
      <c r="K445" t="s">
        <v>15</v>
      </c>
      <c r="L445" t="s">
        <v>506</v>
      </c>
      <c r="M445" t="e">
        <f>VLOOKUP(A445,[1]MSAKEN!$A$1:$F$562,6,FALSE)</f>
        <v>#N/A</v>
      </c>
    </row>
    <row r="446" spans="1:13" x14ac:dyDescent="0.3">
      <c r="A446">
        <v>799</v>
      </c>
      <c r="B446" t="s">
        <v>1247</v>
      </c>
      <c r="C446" t="s">
        <v>382</v>
      </c>
      <c r="D446" t="s">
        <v>1248</v>
      </c>
      <c r="E446" t="s">
        <v>584</v>
      </c>
      <c r="F446" s="4">
        <v>22864</v>
      </c>
      <c r="G446">
        <v>2947915</v>
      </c>
      <c r="H446">
        <v>1109731909</v>
      </c>
      <c r="I446" t="s">
        <v>1249</v>
      </c>
      <c r="J446" t="s">
        <v>825</v>
      </c>
      <c r="K446" t="s">
        <v>15</v>
      </c>
      <c r="L446" t="s">
        <v>506</v>
      </c>
      <c r="M446" t="e">
        <f>VLOOKUP(A446,[1]MSAKEN!$A$1:$F$562,6,FALSE)</f>
        <v>#N/A</v>
      </c>
    </row>
    <row r="447" spans="1:13" x14ac:dyDescent="0.3">
      <c r="A447">
        <v>800</v>
      </c>
      <c r="B447" t="s">
        <v>426</v>
      </c>
      <c r="C447" t="s">
        <v>26</v>
      </c>
      <c r="D447" t="s">
        <v>502</v>
      </c>
      <c r="E447" t="s">
        <v>502</v>
      </c>
      <c r="F447" s="4">
        <v>20464</v>
      </c>
      <c r="G447">
        <v>5508095</v>
      </c>
      <c r="H447">
        <v>1134084407</v>
      </c>
      <c r="I447" t="s">
        <v>1250</v>
      </c>
      <c r="J447" t="s">
        <v>513</v>
      </c>
      <c r="K447" t="s">
        <v>15</v>
      </c>
      <c r="L447" t="s">
        <v>506</v>
      </c>
      <c r="M447" t="e">
        <f>VLOOKUP(A447,[1]MSAKEN!$A$1:$F$562,6,FALSE)</f>
        <v>#N/A</v>
      </c>
    </row>
    <row r="448" spans="1:13" x14ac:dyDescent="0.3">
      <c r="A448">
        <v>801</v>
      </c>
      <c r="B448" t="s">
        <v>128</v>
      </c>
      <c r="C448" t="s">
        <v>127</v>
      </c>
      <c r="D448" t="s">
        <v>545</v>
      </c>
      <c r="E448" t="s">
        <v>1251</v>
      </c>
      <c r="F448" s="4">
        <v>23941</v>
      </c>
      <c r="G448">
        <v>2967986</v>
      </c>
      <c r="H448">
        <v>1121480402</v>
      </c>
      <c r="I448" t="s">
        <v>1252</v>
      </c>
      <c r="J448" t="s">
        <v>511</v>
      </c>
      <c r="K448" t="s">
        <v>15</v>
      </c>
      <c r="L448" t="s">
        <v>506</v>
      </c>
      <c r="M448" t="str">
        <f>VLOOKUP(A448,[1]MSAKEN!$A$1:$F$562,6,FALSE)</f>
        <v>14014014100700310938</v>
      </c>
    </row>
    <row r="449" spans="1:13" x14ac:dyDescent="0.3">
      <c r="A449">
        <v>802</v>
      </c>
      <c r="B449" t="s">
        <v>29</v>
      </c>
      <c r="C449" t="s">
        <v>371</v>
      </c>
      <c r="D449" t="s">
        <v>738</v>
      </c>
      <c r="E449" t="s">
        <v>546</v>
      </c>
      <c r="F449" s="4">
        <v>24354</v>
      </c>
      <c r="G449">
        <v>2976990</v>
      </c>
      <c r="H449">
        <v>1120097009</v>
      </c>
      <c r="I449" t="s">
        <v>878</v>
      </c>
      <c r="J449" t="s">
        <v>513</v>
      </c>
      <c r="K449" t="s">
        <v>15</v>
      </c>
      <c r="L449" t="s">
        <v>506</v>
      </c>
      <c r="M449" t="str">
        <f>VLOOKUP(A449,[1]MSAKEN!$A$1:$F$562,6,FALSE)</f>
        <v>10506040203821178847</v>
      </c>
    </row>
    <row r="450" spans="1:13" x14ac:dyDescent="0.3">
      <c r="A450">
        <v>803</v>
      </c>
      <c r="B450" t="s">
        <v>227</v>
      </c>
      <c r="C450" t="s">
        <v>118</v>
      </c>
      <c r="D450" t="s">
        <v>535</v>
      </c>
      <c r="E450" t="s">
        <v>849</v>
      </c>
      <c r="F450" s="4">
        <v>24445</v>
      </c>
      <c r="G450">
        <v>2979743</v>
      </c>
      <c r="H450">
        <v>1125044204</v>
      </c>
      <c r="I450" t="s">
        <v>871</v>
      </c>
      <c r="J450" t="s">
        <v>755</v>
      </c>
      <c r="K450" t="s">
        <v>15</v>
      </c>
      <c r="L450" t="s">
        <v>506</v>
      </c>
      <c r="M450" t="str">
        <f>VLOOKUP(A450,[1]MSAKEN!$A$1:$F$562,6,FALSE)</f>
        <v>03508056010100114302</v>
      </c>
    </row>
    <row r="451" spans="1:13" x14ac:dyDescent="0.3">
      <c r="A451">
        <v>804</v>
      </c>
      <c r="B451" t="s">
        <v>46</v>
      </c>
      <c r="C451" t="s">
        <v>249</v>
      </c>
      <c r="D451" t="s">
        <v>1163</v>
      </c>
      <c r="E451" t="s">
        <v>1253</v>
      </c>
      <c r="F451" s="4">
        <v>25959</v>
      </c>
      <c r="G451">
        <v>5500243</v>
      </c>
      <c r="H451">
        <v>1136062609</v>
      </c>
      <c r="I451" t="s">
        <v>1254</v>
      </c>
      <c r="J451" t="s">
        <v>513</v>
      </c>
      <c r="K451" t="s">
        <v>15</v>
      </c>
      <c r="L451" t="s">
        <v>506</v>
      </c>
      <c r="M451" t="str">
        <f>VLOOKUP(A451,[1]MSAKEN!$A$1:$F$562,6,FALSE)</f>
        <v>10506040204111678812</v>
      </c>
    </row>
    <row r="452" spans="1:13" x14ac:dyDescent="0.3">
      <c r="A452">
        <v>805</v>
      </c>
      <c r="B452" t="s">
        <v>257</v>
      </c>
      <c r="C452" t="s">
        <v>472</v>
      </c>
      <c r="D452" t="s">
        <v>615</v>
      </c>
      <c r="E452" t="s">
        <v>1255</v>
      </c>
      <c r="F452" s="4">
        <v>22459</v>
      </c>
      <c r="G452">
        <v>2954678</v>
      </c>
      <c r="H452">
        <v>1134072501</v>
      </c>
      <c r="I452" t="s">
        <v>1256</v>
      </c>
      <c r="J452" t="s">
        <v>513</v>
      </c>
      <c r="K452" t="s">
        <v>15</v>
      </c>
      <c r="L452" t="s">
        <v>506</v>
      </c>
      <c r="M452" t="e">
        <f>VLOOKUP(A452,[1]MSAKEN!$A$1:$F$562,6,FALSE)</f>
        <v>#N/A</v>
      </c>
    </row>
    <row r="453" spans="1:13" x14ac:dyDescent="0.3">
      <c r="A453">
        <v>806</v>
      </c>
      <c r="B453" t="s">
        <v>100</v>
      </c>
      <c r="C453" t="s">
        <v>478</v>
      </c>
      <c r="D453" t="s">
        <v>615</v>
      </c>
      <c r="E453" t="s">
        <v>569</v>
      </c>
      <c r="F453" s="4">
        <v>23283</v>
      </c>
      <c r="G453">
        <v>2959205</v>
      </c>
      <c r="H453">
        <v>1134101607</v>
      </c>
      <c r="I453" t="s">
        <v>1257</v>
      </c>
      <c r="J453" t="s">
        <v>513</v>
      </c>
      <c r="K453" t="s">
        <v>15</v>
      </c>
      <c r="L453" t="s">
        <v>506</v>
      </c>
      <c r="M453" t="e">
        <f>VLOOKUP(A453,[1]MSAKEN!$A$1:$F$562,6,FALSE)</f>
        <v>#N/A</v>
      </c>
    </row>
    <row r="454" spans="1:13" x14ac:dyDescent="0.3">
      <c r="A454">
        <v>809</v>
      </c>
      <c r="B454" t="s">
        <v>1258</v>
      </c>
      <c r="C454" t="s">
        <v>56</v>
      </c>
      <c r="D454" t="s">
        <v>535</v>
      </c>
      <c r="E454" t="s">
        <v>1100</v>
      </c>
      <c r="F454" s="4">
        <v>23613</v>
      </c>
      <c r="G454">
        <v>2978228</v>
      </c>
      <c r="H454">
        <v>1134567401</v>
      </c>
      <c r="I454" t="s">
        <v>871</v>
      </c>
      <c r="J454" t="s">
        <v>755</v>
      </c>
      <c r="K454" t="s">
        <v>15</v>
      </c>
      <c r="L454" t="s">
        <v>506</v>
      </c>
      <c r="M454" t="str">
        <f>VLOOKUP(A454,[1]MSAKEN!$A$1:$F$562,6,FALSE)</f>
        <v>10506040203833978870</v>
      </c>
    </row>
    <row r="455" spans="1:13" x14ac:dyDescent="0.3">
      <c r="A455">
        <v>810</v>
      </c>
      <c r="B455" t="s">
        <v>333</v>
      </c>
      <c r="C455" t="s">
        <v>378</v>
      </c>
      <c r="D455" t="s">
        <v>674</v>
      </c>
      <c r="E455" t="s">
        <v>543</v>
      </c>
      <c r="F455" s="4">
        <v>23263</v>
      </c>
      <c r="G455">
        <v>2947500</v>
      </c>
      <c r="H455">
        <v>1134563103</v>
      </c>
      <c r="I455" t="s">
        <v>502</v>
      </c>
      <c r="J455" t="s">
        <v>657</v>
      </c>
      <c r="K455" t="s">
        <v>15</v>
      </c>
      <c r="L455" t="s">
        <v>506</v>
      </c>
      <c r="M455" t="str">
        <f>VLOOKUP(A455,[1]MSAKEN!$A$1:$F$562,6,FALSE)</f>
        <v>12505000580102679875</v>
      </c>
    </row>
    <row r="456" spans="1:13" x14ac:dyDescent="0.3">
      <c r="A456">
        <v>812</v>
      </c>
      <c r="B456" t="s">
        <v>1259</v>
      </c>
      <c r="C456" t="s">
        <v>76</v>
      </c>
      <c r="D456" t="s">
        <v>502</v>
      </c>
      <c r="E456" t="s">
        <v>502</v>
      </c>
      <c r="F456" t="s">
        <v>502</v>
      </c>
      <c r="G456">
        <v>2039300</v>
      </c>
      <c r="H456">
        <v>1126223203</v>
      </c>
      <c r="I456" t="s">
        <v>502</v>
      </c>
      <c r="J456" t="s">
        <v>502</v>
      </c>
      <c r="K456" t="s">
        <v>15</v>
      </c>
      <c r="L456" t="s">
        <v>506</v>
      </c>
      <c r="M456" t="e">
        <f>VLOOKUP(A456,[1]MSAKEN!$A$1:$F$562,6,FALSE)</f>
        <v>#N/A</v>
      </c>
    </row>
    <row r="457" spans="1:13" x14ac:dyDescent="0.3">
      <c r="A457">
        <v>815</v>
      </c>
      <c r="B457" t="s">
        <v>46</v>
      </c>
      <c r="C457" t="s">
        <v>303</v>
      </c>
      <c r="D457" t="s">
        <v>834</v>
      </c>
      <c r="E457" t="s">
        <v>546</v>
      </c>
      <c r="F457" s="4">
        <v>24682</v>
      </c>
      <c r="G457">
        <v>4168240</v>
      </c>
      <c r="H457">
        <v>1136060207</v>
      </c>
      <c r="I457" t="s">
        <v>1260</v>
      </c>
      <c r="J457" t="s">
        <v>513</v>
      </c>
      <c r="K457" t="s">
        <v>15</v>
      </c>
      <c r="L457" t="s">
        <v>506</v>
      </c>
      <c r="M457" t="str">
        <f>VLOOKUP(A457,[1]MSAKEN!$A$1:$F$562,6,FALSE)</f>
        <v>04204067404000648013</v>
      </c>
    </row>
    <row r="458" spans="1:13" x14ac:dyDescent="0.3">
      <c r="A458">
        <v>823</v>
      </c>
      <c r="B458" t="s">
        <v>171</v>
      </c>
      <c r="C458" t="s">
        <v>132</v>
      </c>
      <c r="D458" t="s">
        <v>1261</v>
      </c>
      <c r="E458" t="s">
        <v>1093</v>
      </c>
      <c r="F458" s="4">
        <v>21987</v>
      </c>
      <c r="G458">
        <v>2907500</v>
      </c>
      <c r="H458">
        <v>1135703500</v>
      </c>
      <c r="I458" t="s">
        <v>871</v>
      </c>
      <c r="J458" t="s">
        <v>755</v>
      </c>
      <c r="K458" t="s">
        <v>15</v>
      </c>
      <c r="L458" t="s">
        <v>506</v>
      </c>
      <c r="M458" t="e">
        <f>VLOOKUP(A458,[1]MSAKEN!$A$1:$F$562,6,FALSE)</f>
        <v>#N/A</v>
      </c>
    </row>
    <row r="459" spans="1:13" x14ac:dyDescent="0.3">
      <c r="A459">
        <v>824</v>
      </c>
      <c r="B459" t="s">
        <v>214</v>
      </c>
      <c r="C459" t="s">
        <v>200</v>
      </c>
      <c r="D459" t="s">
        <v>1262</v>
      </c>
      <c r="E459" t="s">
        <v>645</v>
      </c>
      <c r="F459" s="4">
        <v>24493</v>
      </c>
      <c r="G459">
        <v>2977876</v>
      </c>
      <c r="H459">
        <v>1135703708</v>
      </c>
      <c r="I459" t="s">
        <v>1263</v>
      </c>
      <c r="J459" t="s">
        <v>513</v>
      </c>
      <c r="K459" t="s">
        <v>15</v>
      </c>
      <c r="L459" t="s">
        <v>506</v>
      </c>
      <c r="M459" t="str">
        <f>VLOOKUP(A459,[1]MSAKEN!$A$1:$F$562,6,FALSE)</f>
        <v>10506040203883978878</v>
      </c>
    </row>
    <row r="460" spans="1:13" x14ac:dyDescent="0.3">
      <c r="A460">
        <v>829</v>
      </c>
      <c r="B460" t="s">
        <v>765</v>
      </c>
      <c r="C460" t="s">
        <v>1264</v>
      </c>
      <c r="D460" t="s">
        <v>502</v>
      </c>
      <c r="E460" t="s">
        <v>502</v>
      </c>
      <c r="F460" t="s">
        <v>502</v>
      </c>
      <c r="G460">
        <v>2970596</v>
      </c>
      <c r="H460">
        <v>1135710208</v>
      </c>
      <c r="I460" t="s">
        <v>1265</v>
      </c>
      <c r="J460" t="s">
        <v>502</v>
      </c>
      <c r="K460" t="s">
        <v>15</v>
      </c>
      <c r="L460" t="s">
        <v>506</v>
      </c>
      <c r="M460" t="e">
        <f>VLOOKUP(A460,[1]MSAKEN!$A$1:$F$562,6,FALSE)</f>
        <v>#N/A</v>
      </c>
    </row>
    <row r="461" spans="1:13" x14ac:dyDescent="0.3">
      <c r="A461">
        <v>830</v>
      </c>
      <c r="B461" t="s">
        <v>456</v>
      </c>
      <c r="C461" t="s">
        <v>436</v>
      </c>
      <c r="D461" t="s">
        <v>535</v>
      </c>
      <c r="E461" t="s">
        <v>699</v>
      </c>
      <c r="F461" s="4">
        <v>24970</v>
      </c>
      <c r="G461">
        <v>5501386</v>
      </c>
      <c r="H461">
        <v>1128296603</v>
      </c>
      <c r="I461" t="s">
        <v>1266</v>
      </c>
      <c r="J461" t="s">
        <v>513</v>
      </c>
      <c r="K461" t="s">
        <v>15</v>
      </c>
      <c r="L461" t="s">
        <v>506</v>
      </c>
      <c r="M461" t="str">
        <f>VLOOKUP(A461,[1]MSAKEN!$A$1:$F$562,6,FALSE)</f>
        <v>17503000000121859941</v>
      </c>
    </row>
    <row r="462" spans="1:13" x14ac:dyDescent="0.3">
      <c r="A462">
        <v>831</v>
      </c>
      <c r="B462" t="s">
        <v>243</v>
      </c>
      <c r="C462" t="s">
        <v>192</v>
      </c>
      <c r="D462" t="s">
        <v>615</v>
      </c>
      <c r="E462" t="s">
        <v>1267</v>
      </c>
      <c r="F462" s="4">
        <v>23093</v>
      </c>
      <c r="G462">
        <v>2947153</v>
      </c>
      <c r="H462">
        <v>1135703401</v>
      </c>
      <c r="I462" t="s">
        <v>900</v>
      </c>
      <c r="J462" t="s">
        <v>657</v>
      </c>
      <c r="K462" t="s">
        <v>15</v>
      </c>
      <c r="L462" t="s">
        <v>506</v>
      </c>
      <c r="M462" t="e">
        <f>VLOOKUP(A462,[1]MSAKEN!$A$1:$F$562,6,FALSE)</f>
        <v>#N/A</v>
      </c>
    </row>
    <row r="463" spans="1:13" x14ac:dyDescent="0.3">
      <c r="A463">
        <v>832</v>
      </c>
      <c r="B463" t="s">
        <v>254</v>
      </c>
      <c r="C463" t="s">
        <v>31</v>
      </c>
      <c r="D463" t="s">
        <v>535</v>
      </c>
      <c r="E463" t="s">
        <v>652</v>
      </c>
      <c r="F463" s="4">
        <v>24985</v>
      </c>
      <c r="G463">
        <v>2992681</v>
      </c>
      <c r="H463">
        <v>1132428903</v>
      </c>
      <c r="I463" t="s">
        <v>1268</v>
      </c>
      <c r="J463" t="s">
        <v>513</v>
      </c>
      <c r="K463" t="s">
        <v>15</v>
      </c>
      <c r="L463" t="s">
        <v>506</v>
      </c>
      <c r="M463" t="str">
        <f>VLOOKUP(A463,[1]MSAKEN!$A$1:$F$562,6,FALSE)</f>
        <v>10506040203881378890</v>
      </c>
    </row>
    <row r="464" spans="1:13" x14ac:dyDescent="0.3">
      <c r="A464">
        <v>833</v>
      </c>
      <c r="B464" t="s">
        <v>1269</v>
      </c>
      <c r="C464" t="s">
        <v>60</v>
      </c>
      <c r="D464" t="s">
        <v>711</v>
      </c>
      <c r="E464" t="s">
        <v>569</v>
      </c>
      <c r="F464" s="4">
        <v>19993</v>
      </c>
      <c r="G464">
        <v>2825190</v>
      </c>
      <c r="H464">
        <v>28873361</v>
      </c>
      <c r="I464" t="s">
        <v>502</v>
      </c>
      <c r="J464" t="s">
        <v>511</v>
      </c>
      <c r="K464" t="s">
        <v>15</v>
      </c>
      <c r="L464" t="s">
        <v>506</v>
      </c>
      <c r="M464" t="e">
        <f>VLOOKUP(A464,[1]MSAKEN!$A$1:$F$562,6,FALSE)</f>
        <v>#N/A</v>
      </c>
    </row>
    <row r="465" spans="1:13" x14ac:dyDescent="0.3">
      <c r="A465">
        <v>835</v>
      </c>
      <c r="B465" t="s">
        <v>100</v>
      </c>
      <c r="C465" t="s">
        <v>99</v>
      </c>
      <c r="D465" t="s">
        <v>615</v>
      </c>
      <c r="E465" t="s">
        <v>569</v>
      </c>
      <c r="F465" s="4">
        <v>24293</v>
      </c>
      <c r="G465">
        <v>2969965</v>
      </c>
      <c r="H465">
        <v>1136057906</v>
      </c>
      <c r="I465" t="s">
        <v>1270</v>
      </c>
      <c r="J465" t="s">
        <v>513</v>
      </c>
      <c r="K465" t="s">
        <v>15</v>
      </c>
      <c r="L465" t="s">
        <v>506</v>
      </c>
      <c r="M465" t="str">
        <f>VLOOKUP(A465,[1]MSAKEN!$A$1:$F$562,6,FALSE)</f>
        <v>05048000116500144075</v>
      </c>
    </row>
    <row r="466" spans="1:13" x14ac:dyDescent="0.3">
      <c r="A466">
        <v>837</v>
      </c>
      <c r="B466" t="s">
        <v>1271</v>
      </c>
      <c r="C466" t="s">
        <v>98</v>
      </c>
      <c r="D466" t="s">
        <v>535</v>
      </c>
      <c r="E466" t="s">
        <v>569</v>
      </c>
      <c r="F466" s="4">
        <v>24223</v>
      </c>
      <c r="G466">
        <v>2981355</v>
      </c>
      <c r="H466">
        <v>1136054903</v>
      </c>
      <c r="I466" t="s">
        <v>1272</v>
      </c>
      <c r="J466" t="s">
        <v>513</v>
      </c>
      <c r="K466" t="s">
        <v>15</v>
      </c>
      <c r="L466" t="s">
        <v>506</v>
      </c>
      <c r="M466" t="str">
        <f>VLOOKUP(A466,[1]MSAKEN!$A$1:$F$562,6,FALSE)</f>
        <v>03508056010100117309</v>
      </c>
    </row>
    <row r="467" spans="1:13" x14ac:dyDescent="0.3">
      <c r="A467">
        <v>841</v>
      </c>
      <c r="B467" t="s">
        <v>41</v>
      </c>
      <c r="C467" t="s">
        <v>457</v>
      </c>
      <c r="D467" t="s">
        <v>905</v>
      </c>
      <c r="E467" t="s">
        <v>569</v>
      </c>
      <c r="F467" s="4">
        <v>21981</v>
      </c>
      <c r="G467">
        <v>2846747</v>
      </c>
      <c r="H467">
        <v>78984300</v>
      </c>
      <c r="I467" t="s">
        <v>1273</v>
      </c>
      <c r="J467" t="s">
        <v>513</v>
      </c>
      <c r="K467" t="s">
        <v>15</v>
      </c>
      <c r="L467" t="s">
        <v>506</v>
      </c>
      <c r="M467" t="e">
        <f>VLOOKUP(A467,[1]MSAKEN!$A$1:$F$562,6,FALSE)</f>
        <v>#N/A</v>
      </c>
    </row>
    <row r="468" spans="1:13" x14ac:dyDescent="0.3">
      <c r="A468">
        <v>843</v>
      </c>
      <c r="B468" t="s">
        <v>1274</v>
      </c>
      <c r="C468" t="s">
        <v>291</v>
      </c>
      <c r="D468" t="s">
        <v>670</v>
      </c>
      <c r="E468" t="s">
        <v>652</v>
      </c>
      <c r="F468" s="4">
        <v>24482</v>
      </c>
      <c r="G468">
        <v>2974146</v>
      </c>
      <c r="H468">
        <v>1136064209</v>
      </c>
      <c r="I468" t="s">
        <v>1275</v>
      </c>
      <c r="J468" t="s">
        <v>574</v>
      </c>
      <c r="K468" t="s">
        <v>15</v>
      </c>
      <c r="L468" t="s">
        <v>506</v>
      </c>
      <c r="M468" t="str">
        <f>VLOOKUP(A468,[1]MSAKEN!$A$1:$F$562,6,FALSE)</f>
        <v>12505000580101227494</v>
      </c>
    </row>
    <row r="469" spans="1:13" x14ac:dyDescent="0.3">
      <c r="A469">
        <v>845</v>
      </c>
      <c r="B469" t="s">
        <v>71</v>
      </c>
      <c r="C469" t="s">
        <v>378</v>
      </c>
      <c r="D469" t="s">
        <v>502</v>
      </c>
      <c r="E469" t="s">
        <v>502</v>
      </c>
      <c r="F469" s="4">
        <v>21016</v>
      </c>
      <c r="G469">
        <v>2802058</v>
      </c>
      <c r="H469">
        <v>1135501409</v>
      </c>
      <c r="I469" t="s">
        <v>1276</v>
      </c>
      <c r="J469" t="s">
        <v>513</v>
      </c>
      <c r="K469" t="s">
        <v>15</v>
      </c>
      <c r="L469" t="s">
        <v>506</v>
      </c>
      <c r="M469" t="e">
        <f>VLOOKUP(A469,[1]MSAKEN!$A$1:$F$562,6,FALSE)</f>
        <v>#N/A</v>
      </c>
    </row>
    <row r="470" spans="1:13" x14ac:dyDescent="0.3">
      <c r="A470">
        <v>846</v>
      </c>
      <c r="B470" t="s">
        <v>1277</v>
      </c>
      <c r="C470" t="s">
        <v>78</v>
      </c>
      <c r="D470" t="s">
        <v>535</v>
      </c>
      <c r="E470" t="s">
        <v>652</v>
      </c>
      <c r="F470" s="4">
        <v>23973</v>
      </c>
      <c r="G470">
        <v>2972298</v>
      </c>
      <c r="H470">
        <v>1136059803</v>
      </c>
      <c r="I470" t="s">
        <v>502</v>
      </c>
      <c r="J470" t="s">
        <v>833</v>
      </c>
      <c r="K470" t="s">
        <v>15</v>
      </c>
      <c r="L470" t="s">
        <v>506</v>
      </c>
      <c r="M470" t="e">
        <f>VLOOKUP(A470,[1]MSAKEN!$A$1:$F$562,6,FALSE)</f>
        <v>#N/A</v>
      </c>
    </row>
    <row r="471" spans="1:13" x14ac:dyDescent="0.3">
      <c r="A471">
        <v>847</v>
      </c>
      <c r="B471" t="s">
        <v>614</v>
      </c>
      <c r="C471" t="s">
        <v>66</v>
      </c>
      <c r="D471" t="s">
        <v>1163</v>
      </c>
      <c r="E471" t="s">
        <v>584</v>
      </c>
      <c r="F471" s="4">
        <v>24951</v>
      </c>
      <c r="G471">
        <v>2996274</v>
      </c>
      <c r="H471">
        <v>1136055603</v>
      </c>
      <c r="I471" t="s">
        <v>1278</v>
      </c>
      <c r="J471" t="s">
        <v>513</v>
      </c>
      <c r="K471" t="s">
        <v>15</v>
      </c>
      <c r="L471" t="s">
        <v>506</v>
      </c>
      <c r="M471" t="str">
        <f>VLOOKUP(A471,[1]MSAKEN!$A$1:$F$562,6,FALSE)</f>
        <v>10506040203899978834</v>
      </c>
    </row>
    <row r="472" spans="1:13" x14ac:dyDescent="0.3">
      <c r="A472">
        <v>848</v>
      </c>
      <c r="B472" t="s">
        <v>1279</v>
      </c>
      <c r="C472" t="s">
        <v>34</v>
      </c>
      <c r="D472" t="s">
        <v>905</v>
      </c>
      <c r="E472" t="s">
        <v>546</v>
      </c>
      <c r="F472" s="4">
        <v>22077</v>
      </c>
      <c r="G472">
        <v>275526</v>
      </c>
      <c r="H472">
        <v>78256200</v>
      </c>
      <c r="I472" t="s">
        <v>1280</v>
      </c>
      <c r="J472" t="s">
        <v>513</v>
      </c>
      <c r="K472" t="s">
        <v>15</v>
      </c>
      <c r="L472" t="s">
        <v>506</v>
      </c>
      <c r="M472" t="e">
        <f>VLOOKUP(A472,[1]MSAKEN!$A$1:$F$562,6,FALSE)</f>
        <v>#N/A</v>
      </c>
    </row>
    <row r="473" spans="1:13" x14ac:dyDescent="0.3">
      <c r="A473">
        <v>849</v>
      </c>
      <c r="B473" t="s">
        <v>188</v>
      </c>
      <c r="C473" t="s">
        <v>246</v>
      </c>
      <c r="D473" t="s">
        <v>905</v>
      </c>
      <c r="E473" t="s">
        <v>536</v>
      </c>
      <c r="F473" s="4">
        <v>24531</v>
      </c>
      <c r="G473">
        <v>2984770</v>
      </c>
      <c r="H473">
        <v>1136063102</v>
      </c>
      <c r="I473" t="s">
        <v>1281</v>
      </c>
      <c r="J473" t="s">
        <v>513</v>
      </c>
      <c r="K473" t="s">
        <v>15</v>
      </c>
      <c r="L473" t="s">
        <v>506</v>
      </c>
      <c r="M473" t="str">
        <f>VLOOKUP(A473,[1]MSAKEN!$A$1:$F$562,6,FALSE)</f>
        <v>04204067404000159812</v>
      </c>
    </row>
    <row r="474" spans="1:13" x14ac:dyDescent="0.3">
      <c r="A474">
        <v>850</v>
      </c>
      <c r="B474" t="s">
        <v>184</v>
      </c>
      <c r="C474" t="s">
        <v>31</v>
      </c>
      <c r="D474" t="s">
        <v>502</v>
      </c>
      <c r="E474" t="s">
        <v>502</v>
      </c>
      <c r="F474" s="4">
        <v>23832</v>
      </c>
      <c r="G474">
        <v>2966366</v>
      </c>
      <c r="H474">
        <v>1113477903</v>
      </c>
      <c r="I474" t="s">
        <v>609</v>
      </c>
      <c r="J474" t="s">
        <v>513</v>
      </c>
      <c r="K474" t="s">
        <v>15</v>
      </c>
      <c r="L474" t="s">
        <v>506</v>
      </c>
      <c r="M474" t="e">
        <f>VLOOKUP(A474,[1]MSAKEN!$A$1:$F$562,6,FALSE)</f>
        <v>#N/A</v>
      </c>
    </row>
    <row r="475" spans="1:13" x14ac:dyDescent="0.3">
      <c r="A475">
        <v>852</v>
      </c>
      <c r="B475" t="s">
        <v>1282</v>
      </c>
      <c r="C475" t="s">
        <v>24</v>
      </c>
      <c r="D475" t="s">
        <v>502</v>
      </c>
      <c r="E475" t="s">
        <v>502</v>
      </c>
      <c r="F475" s="4">
        <v>23796</v>
      </c>
      <c r="G475">
        <v>2050441</v>
      </c>
      <c r="H475">
        <v>1126832409</v>
      </c>
      <c r="I475" t="s">
        <v>1283</v>
      </c>
      <c r="J475" t="s">
        <v>511</v>
      </c>
      <c r="K475" t="s">
        <v>15</v>
      </c>
      <c r="L475" t="s">
        <v>17</v>
      </c>
      <c r="M475" t="e">
        <f>VLOOKUP(A475,[1]MSAKEN!$A$1:$F$562,6,FALSE)</f>
        <v>#N/A</v>
      </c>
    </row>
    <row r="476" spans="1:13" x14ac:dyDescent="0.3">
      <c r="A476">
        <v>854</v>
      </c>
      <c r="B476" t="s">
        <v>248</v>
      </c>
      <c r="C476" t="s">
        <v>102</v>
      </c>
      <c r="D476" t="s">
        <v>1284</v>
      </c>
      <c r="E476" t="s">
        <v>917</v>
      </c>
      <c r="F476" s="4">
        <v>24446</v>
      </c>
      <c r="G476">
        <v>2980871</v>
      </c>
      <c r="H476">
        <v>1127653408</v>
      </c>
      <c r="I476" t="s">
        <v>900</v>
      </c>
      <c r="J476" t="s">
        <v>657</v>
      </c>
      <c r="K476" t="s">
        <v>15</v>
      </c>
      <c r="L476" t="s">
        <v>506</v>
      </c>
      <c r="M476" t="str">
        <f>VLOOKUP(A476,[1]MSAKEN!$A$1:$F$562,6,FALSE)</f>
        <v>24010033229251110114</v>
      </c>
    </row>
    <row r="477" spans="1:13" x14ac:dyDescent="0.3">
      <c r="A477">
        <v>855</v>
      </c>
      <c r="B477" t="s">
        <v>359</v>
      </c>
      <c r="C477" t="s">
        <v>216</v>
      </c>
      <c r="D477" t="s">
        <v>711</v>
      </c>
      <c r="E477" t="s">
        <v>714</v>
      </c>
      <c r="F477" s="4">
        <v>24301</v>
      </c>
      <c r="G477">
        <v>2967366</v>
      </c>
      <c r="H477">
        <v>1136471701</v>
      </c>
      <c r="I477" t="s">
        <v>1285</v>
      </c>
      <c r="J477" t="s">
        <v>513</v>
      </c>
      <c r="K477" t="s">
        <v>15</v>
      </c>
      <c r="L477" t="s">
        <v>506</v>
      </c>
      <c r="M477" t="e">
        <f>VLOOKUP(A477,[1]MSAKEN!$A$1:$F$562,6,FALSE)</f>
        <v>#N/A</v>
      </c>
    </row>
    <row r="478" spans="1:13" x14ac:dyDescent="0.3">
      <c r="A478">
        <v>857</v>
      </c>
      <c r="B478" t="s">
        <v>1286</v>
      </c>
      <c r="C478" t="s">
        <v>118</v>
      </c>
      <c r="D478" t="s">
        <v>502</v>
      </c>
      <c r="E478" t="s">
        <v>502</v>
      </c>
      <c r="F478" s="4">
        <v>25403</v>
      </c>
      <c r="G478">
        <v>2986586</v>
      </c>
      <c r="H478">
        <v>1136461801</v>
      </c>
      <c r="I478" t="s">
        <v>1064</v>
      </c>
      <c r="J478" t="s">
        <v>833</v>
      </c>
      <c r="K478" t="s">
        <v>15</v>
      </c>
      <c r="L478" t="s">
        <v>506</v>
      </c>
      <c r="M478" t="e">
        <f>VLOOKUP(A478,[1]MSAKEN!$A$1:$F$562,6,FALSE)</f>
        <v>#N/A</v>
      </c>
    </row>
    <row r="479" spans="1:13" x14ac:dyDescent="0.3">
      <c r="A479">
        <v>859</v>
      </c>
      <c r="B479" t="s">
        <v>180</v>
      </c>
      <c r="C479" t="s">
        <v>34</v>
      </c>
      <c r="D479" t="s">
        <v>564</v>
      </c>
      <c r="E479" t="s">
        <v>699</v>
      </c>
      <c r="F479" s="4">
        <v>25818</v>
      </c>
      <c r="G479">
        <v>2993411</v>
      </c>
      <c r="H479">
        <v>1136461603</v>
      </c>
      <c r="I479" t="s">
        <v>1287</v>
      </c>
      <c r="J479" t="s">
        <v>513</v>
      </c>
      <c r="K479" t="s">
        <v>15</v>
      </c>
      <c r="L479" t="s">
        <v>506</v>
      </c>
      <c r="M479" t="str">
        <f>VLOOKUP(A479,[1]MSAKEN!$A$1:$F$562,6,FALSE)</f>
        <v>03508056010100216249</v>
      </c>
    </row>
    <row r="480" spans="1:13" x14ac:dyDescent="0.3">
      <c r="A480">
        <v>860</v>
      </c>
      <c r="B480" t="s">
        <v>161</v>
      </c>
      <c r="C480" t="s">
        <v>69</v>
      </c>
      <c r="D480" t="s">
        <v>502</v>
      </c>
      <c r="E480" t="s">
        <v>502</v>
      </c>
      <c r="F480" s="4">
        <v>18449</v>
      </c>
      <c r="G480">
        <v>2912791</v>
      </c>
      <c r="H480">
        <v>1111652507</v>
      </c>
      <c r="I480" t="s">
        <v>1288</v>
      </c>
      <c r="J480" t="s">
        <v>513</v>
      </c>
      <c r="K480" t="s">
        <v>15</v>
      </c>
      <c r="L480" t="s">
        <v>506</v>
      </c>
      <c r="M480" t="e">
        <f>VLOOKUP(A480,[1]MSAKEN!$A$1:$F$562,6,FALSE)</f>
        <v>#N/A</v>
      </c>
    </row>
    <row r="481" spans="1:13" x14ac:dyDescent="0.3">
      <c r="A481">
        <v>862</v>
      </c>
      <c r="B481" t="s">
        <v>129</v>
      </c>
      <c r="C481" t="s">
        <v>378</v>
      </c>
      <c r="D481" t="s">
        <v>502</v>
      </c>
      <c r="E481" t="s">
        <v>502</v>
      </c>
      <c r="F481" s="4">
        <v>20121</v>
      </c>
      <c r="G481">
        <v>3813947</v>
      </c>
      <c r="H481">
        <v>79767900</v>
      </c>
      <c r="I481" t="s">
        <v>1289</v>
      </c>
      <c r="J481" t="s">
        <v>718</v>
      </c>
      <c r="K481" t="s">
        <v>15</v>
      </c>
      <c r="L481" t="s">
        <v>506</v>
      </c>
      <c r="M481" t="e">
        <f>VLOOKUP(A481,[1]MSAKEN!$A$1:$F$562,6,FALSE)</f>
        <v>#N/A</v>
      </c>
    </row>
    <row r="482" spans="1:13" x14ac:dyDescent="0.3">
      <c r="A482">
        <v>863</v>
      </c>
      <c r="B482" t="s">
        <v>61</v>
      </c>
      <c r="C482" t="s">
        <v>34</v>
      </c>
      <c r="D482" t="s">
        <v>1290</v>
      </c>
      <c r="E482" t="s">
        <v>584</v>
      </c>
      <c r="F482" s="4">
        <v>23663</v>
      </c>
      <c r="G482">
        <v>2936773</v>
      </c>
      <c r="H482">
        <v>1136062807</v>
      </c>
      <c r="I482" t="s">
        <v>1291</v>
      </c>
      <c r="J482" t="s">
        <v>513</v>
      </c>
      <c r="K482" t="s">
        <v>15</v>
      </c>
      <c r="L482" t="s">
        <v>506</v>
      </c>
      <c r="M482" t="str">
        <f>VLOOKUP(A482,[1]MSAKEN!$A$1:$F$562,6,FALSE)</f>
        <v>12505000580102197494</v>
      </c>
    </row>
    <row r="483" spans="1:13" x14ac:dyDescent="0.3">
      <c r="A483">
        <v>864</v>
      </c>
      <c r="B483" t="s">
        <v>292</v>
      </c>
      <c r="C483" t="s">
        <v>34</v>
      </c>
      <c r="D483" t="s">
        <v>502</v>
      </c>
      <c r="E483" t="s">
        <v>502</v>
      </c>
      <c r="F483" t="s">
        <v>502</v>
      </c>
      <c r="G483">
        <v>2888876</v>
      </c>
      <c r="H483">
        <v>0</v>
      </c>
      <c r="I483" t="s">
        <v>1292</v>
      </c>
      <c r="J483" t="s">
        <v>502</v>
      </c>
      <c r="K483" t="s">
        <v>15</v>
      </c>
      <c r="L483" t="s">
        <v>506</v>
      </c>
      <c r="M483" t="e">
        <f>VLOOKUP(A483,[1]MSAKEN!$A$1:$F$562,6,FALSE)</f>
        <v>#N/A</v>
      </c>
    </row>
    <row r="484" spans="1:13" x14ac:dyDescent="0.3">
      <c r="A484">
        <v>865</v>
      </c>
      <c r="B484" t="s">
        <v>233</v>
      </c>
      <c r="C484" t="s">
        <v>272</v>
      </c>
      <c r="D484" t="s">
        <v>502</v>
      </c>
      <c r="E484" t="s">
        <v>502</v>
      </c>
      <c r="F484" t="s">
        <v>502</v>
      </c>
      <c r="G484" t="s">
        <v>502</v>
      </c>
      <c r="H484" t="s">
        <v>502</v>
      </c>
      <c r="I484" t="s">
        <v>502</v>
      </c>
      <c r="J484" t="s">
        <v>502</v>
      </c>
      <c r="K484" t="s">
        <v>15</v>
      </c>
      <c r="L484" t="s">
        <v>502</v>
      </c>
      <c r="M484" t="e">
        <f>VLOOKUP(A484,[1]MSAKEN!$A$1:$F$562,6,FALSE)</f>
        <v>#N/A</v>
      </c>
    </row>
    <row r="485" spans="1:13" x14ac:dyDescent="0.3">
      <c r="A485">
        <v>868</v>
      </c>
      <c r="B485" t="s">
        <v>417</v>
      </c>
      <c r="C485" t="s">
        <v>758</v>
      </c>
      <c r="D485" t="s">
        <v>520</v>
      </c>
      <c r="E485" t="s">
        <v>849</v>
      </c>
      <c r="F485" s="4">
        <v>22843</v>
      </c>
      <c r="G485">
        <v>2941768</v>
      </c>
      <c r="H485">
        <v>1135499505</v>
      </c>
      <c r="I485" t="s">
        <v>1293</v>
      </c>
      <c r="J485" t="s">
        <v>513</v>
      </c>
      <c r="K485" t="s">
        <v>15</v>
      </c>
      <c r="L485" t="s">
        <v>506</v>
      </c>
      <c r="M485" t="e">
        <f>VLOOKUP(A485,[1]MSAKEN!$A$1:$F$562,6,FALSE)</f>
        <v>#N/A</v>
      </c>
    </row>
    <row r="486" spans="1:13" x14ac:dyDescent="0.3">
      <c r="A486">
        <v>869</v>
      </c>
      <c r="B486" t="s">
        <v>161</v>
      </c>
      <c r="C486" t="s">
        <v>336</v>
      </c>
      <c r="D486" t="s">
        <v>598</v>
      </c>
      <c r="E486" t="s">
        <v>696</v>
      </c>
      <c r="F486" s="4">
        <v>24121</v>
      </c>
      <c r="G486">
        <v>2962452</v>
      </c>
      <c r="H486">
        <v>1126002102</v>
      </c>
      <c r="I486" t="s">
        <v>1294</v>
      </c>
      <c r="J486" t="s">
        <v>513</v>
      </c>
      <c r="K486" t="s">
        <v>15</v>
      </c>
      <c r="L486" t="s">
        <v>506</v>
      </c>
      <c r="M486" t="e">
        <f>VLOOKUP(A486,[1]MSAKEN!$A$1:$F$562,6,FALSE)</f>
        <v>#N/A</v>
      </c>
    </row>
    <row r="487" spans="1:13" x14ac:dyDescent="0.3">
      <c r="A487">
        <v>872</v>
      </c>
      <c r="B487" t="s">
        <v>83</v>
      </c>
      <c r="C487" t="s">
        <v>102</v>
      </c>
      <c r="D487" t="s">
        <v>535</v>
      </c>
      <c r="E487" t="s">
        <v>696</v>
      </c>
      <c r="F487" s="4">
        <v>25248</v>
      </c>
      <c r="G487">
        <v>2985571</v>
      </c>
      <c r="H487">
        <v>1136968706</v>
      </c>
      <c r="I487" t="s">
        <v>1295</v>
      </c>
      <c r="J487" t="s">
        <v>513</v>
      </c>
      <c r="K487" t="s">
        <v>15</v>
      </c>
      <c r="L487" t="s">
        <v>506</v>
      </c>
      <c r="M487" t="str">
        <f>VLOOKUP(A487,[1]MSAKEN!$A$1:$F$562,6,FALSE)</f>
        <v>08507000262000224324</v>
      </c>
    </row>
    <row r="488" spans="1:13" x14ac:dyDescent="0.3">
      <c r="A488">
        <v>878</v>
      </c>
      <c r="B488" t="s">
        <v>199</v>
      </c>
      <c r="C488" t="s">
        <v>26</v>
      </c>
      <c r="D488" t="s">
        <v>502</v>
      </c>
      <c r="E488" t="s">
        <v>502</v>
      </c>
      <c r="F488" s="4">
        <v>18351</v>
      </c>
      <c r="G488">
        <v>2950667</v>
      </c>
      <c r="H488">
        <v>1139527202</v>
      </c>
      <c r="I488" t="s">
        <v>1296</v>
      </c>
      <c r="J488" t="s">
        <v>513</v>
      </c>
      <c r="K488" t="s">
        <v>15</v>
      </c>
      <c r="L488" t="s">
        <v>506</v>
      </c>
      <c r="M488" t="e">
        <f>VLOOKUP(A488,[1]MSAKEN!$A$1:$F$562,6,FALSE)</f>
        <v>#N/A</v>
      </c>
    </row>
    <row r="489" spans="1:13" x14ac:dyDescent="0.3">
      <c r="A489">
        <v>879</v>
      </c>
      <c r="B489" t="s">
        <v>67</v>
      </c>
      <c r="C489" t="s">
        <v>66</v>
      </c>
      <c r="D489" t="s">
        <v>535</v>
      </c>
      <c r="E489" t="s">
        <v>569</v>
      </c>
      <c r="F489" s="4">
        <v>24954</v>
      </c>
      <c r="G489">
        <v>2994644</v>
      </c>
      <c r="H489">
        <v>1137692404</v>
      </c>
      <c r="I489" t="s">
        <v>1297</v>
      </c>
      <c r="J489" t="s">
        <v>513</v>
      </c>
      <c r="K489" t="s">
        <v>15</v>
      </c>
      <c r="L489" t="s">
        <v>506</v>
      </c>
      <c r="M489" t="str">
        <f>VLOOKUP(A489,[1]MSAKEN!$A$1:$F$562,6,FALSE)</f>
        <v>25018000000018656855</v>
      </c>
    </row>
    <row r="490" spans="1:13" x14ac:dyDescent="0.3">
      <c r="A490">
        <v>880</v>
      </c>
      <c r="B490" t="s">
        <v>1298</v>
      </c>
      <c r="C490" t="s">
        <v>118</v>
      </c>
      <c r="D490" t="s">
        <v>502</v>
      </c>
      <c r="E490" t="s">
        <v>502</v>
      </c>
      <c r="F490" t="s">
        <v>502</v>
      </c>
      <c r="G490">
        <v>2834795</v>
      </c>
      <c r="H490">
        <v>0</v>
      </c>
      <c r="I490" t="s">
        <v>1299</v>
      </c>
      <c r="J490" t="s">
        <v>502</v>
      </c>
      <c r="K490" t="s">
        <v>15</v>
      </c>
      <c r="L490" t="s">
        <v>506</v>
      </c>
      <c r="M490" t="e">
        <f>VLOOKUP(A490,[1]MSAKEN!$A$1:$F$562,6,FALSE)</f>
        <v>#N/A</v>
      </c>
    </row>
    <row r="491" spans="1:13" x14ac:dyDescent="0.3">
      <c r="A491">
        <v>881</v>
      </c>
      <c r="B491" t="s">
        <v>1300</v>
      </c>
      <c r="C491" t="s">
        <v>1301</v>
      </c>
      <c r="D491" t="s">
        <v>502</v>
      </c>
      <c r="E491" t="s">
        <v>502</v>
      </c>
      <c r="F491" t="s">
        <v>502</v>
      </c>
      <c r="G491" t="s">
        <v>502</v>
      </c>
      <c r="H491" t="s">
        <v>502</v>
      </c>
      <c r="I491" t="s">
        <v>502</v>
      </c>
      <c r="J491" t="s">
        <v>502</v>
      </c>
      <c r="K491" t="s">
        <v>15</v>
      </c>
      <c r="L491" t="s">
        <v>17</v>
      </c>
      <c r="M491" t="e">
        <f>VLOOKUP(A491,[1]MSAKEN!$A$1:$F$562,6,FALSE)</f>
        <v>#N/A</v>
      </c>
    </row>
    <row r="492" spans="1:13" x14ac:dyDescent="0.3">
      <c r="A492">
        <v>882</v>
      </c>
      <c r="B492" t="s">
        <v>1181</v>
      </c>
      <c r="C492" t="s">
        <v>129</v>
      </c>
      <c r="D492" t="s">
        <v>502</v>
      </c>
      <c r="E492" t="s">
        <v>502</v>
      </c>
      <c r="F492" s="4">
        <v>23507</v>
      </c>
      <c r="G492">
        <v>5507953</v>
      </c>
      <c r="H492">
        <v>1133790004</v>
      </c>
      <c r="I492" t="s">
        <v>1302</v>
      </c>
      <c r="J492" t="s">
        <v>513</v>
      </c>
      <c r="K492" t="s">
        <v>15</v>
      </c>
      <c r="L492" t="s">
        <v>506</v>
      </c>
      <c r="M492" t="e">
        <f>VLOOKUP(A492,[1]MSAKEN!$A$1:$F$562,6,FALSE)</f>
        <v>#N/A</v>
      </c>
    </row>
    <row r="493" spans="1:13" x14ac:dyDescent="0.3">
      <c r="A493">
        <v>883</v>
      </c>
      <c r="B493" t="s">
        <v>1303</v>
      </c>
      <c r="C493" t="s">
        <v>181</v>
      </c>
      <c r="D493" t="s">
        <v>502</v>
      </c>
      <c r="E493" t="s">
        <v>502</v>
      </c>
      <c r="F493" s="4">
        <v>26035</v>
      </c>
      <c r="G493">
        <v>5500132</v>
      </c>
      <c r="H493">
        <v>1140164003</v>
      </c>
      <c r="I493" t="s">
        <v>1064</v>
      </c>
      <c r="J493" t="s">
        <v>833</v>
      </c>
      <c r="K493" t="s">
        <v>15</v>
      </c>
      <c r="L493" t="s">
        <v>506</v>
      </c>
      <c r="M493" t="e">
        <f>VLOOKUP(A493,[1]MSAKEN!$A$1:$F$562,6,FALSE)</f>
        <v>#N/A</v>
      </c>
    </row>
    <row r="494" spans="1:13" x14ac:dyDescent="0.3">
      <c r="A494">
        <v>884</v>
      </c>
      <c r="B494" t="s">
        <v>119</v>
      </c>
      <c r="C494" t="s">
        <v>1304</v>
      </c>
      <c r="D494" t="s">
        <v>564</v>
      </c>
      <c r="E494" t="s">
        <v>1000</v>
      </c>
      <c r="F494" s="4">
        <v>22515</v>
      </c>
      <c r="G494">
        <v>2893867</v>
      </c>
      <c r="H494">
        <v>1114918608</v>
      </c>
      <c r="I494" t="s">
        <v>1305</v>
      </c>
      <c r="J494" t="s">
        <v>513</v>
      </c>
      <c r="K494" t="s">
        <v>15</v>
      </c>
      <c r="L494" t="s">
        <v>506</v>
      </c>
      <c r="M494" t="e">
        <f>VLOOKUP(A494,[1]MSAKEN!$A$1:$F$562,6,FALSE)</f>
        <v>#N/A</v>
      </c>
    </row>
    <row r="495" spans="1:13" x14ac:dyDescent="0.3">
      <c r="A495">
        <v>885</v>
      </c>
      <c r="B495" t="s">
        <v>250</v>
      </c>
      <c r="C495" t="s">
        <v>249</v>
      </c>
      <c r="D495" t="s">
        <v>564</v>
      </c>
      <c r="E495" t="s">
        <v>630</v>
      </c>
      <c r="F495" s="4">
        <v>26238</v>
      </c>
      <c r="G495">
        <v>5505561</v>
      </c>
      <c r="H495">
        <v>1139025009</v>
      </c>
      <c r="I495" t="s">
        <v>1306</v>
      </c>
      <c r="J495" t="s">
        <v>513</v>
      </c>
      <c r="K495" t="s">
        <v>15</v>
      </c>
      <c r="L495" t="s">
        <v>506</v>
      </c>
      <c r="M495" t="str">
        <f>VLOOKUP(A495,[1]MSAKEN!$A$1:$F$562,6,FALSE)</f>
        <v>10506040204619578863</v>
      </c>
    </row>
    <row r="496" spans="1:13" x14ac:dyDescent="0.3">
      <c r="A496">
        <v>886</v>
      </c>
      <c r="B496" t="s">
        <v>71</v>
      </c>
      <c r="C496" t="s">
        <v>468</v>
      </c>
      <c r="D496" t="s">
        <v>502</v>
      </c>
      <c r="E496" t="s">
        <v>502</v>
      </c>
      <c r="F496" s="4">
        <v>26792</v>
      </c>
      <c r="G496">
        <v>5524004</v>
      </c>
      <c r="H496">
        <v>1139025306</v>
      </c>
      <c r="I496" t="s">
        <v>744</v>
      </c>
      <c r="J496" t="s">
        <v>513</v>
      </c>
      <c r="K496" t="s">
        <v>15</v>
      </c>
      <c r="L496" t="s">
        <v>506</v>
      </c>
      <c r="M496" t="e">
        <f>VLOOKUP(A496,[1]MSAKEN!$A$1:$F$562,6,FALSE)</f>
        <v>#N/A</v>
      </c>
    </row>
    <row r="497" spans="1:13" x14ac:dyDescent="0.3">
      <c r="A497">
        <v>887</v>
      </c>
      <c r="B497" t="s">
        <v>790</v>
      </c>
      <c r="C497" t="s">
        <v>395</v>
      </c>
      <c r="D497" t="s">
        <v>502</v>
      </c>
      <c r="E497" t="s">
        <v>502</v>
      </c>
      <c r="F497" t="s">
        <v>502</v>
      </c>
      <c r="G497">
        <v>2985334</v>
      </c>
      <c r="H497">
        <v>1139025900</v>
      </c>
      <c r="I497" t="s">
        <v>1307</v>
      </c>
      <c r="J497" t="s">
        <v>502</v>
      </c>
      <c r="K497" t="s">
        <v>15</v>
      </c>
      <c r="L497" t="s">
        <v>506</v>
      </c>
      <c r="M497" t="e">
        <f>VLOOKUP(A497,[1]MSAKEN!$A$1:$F$562,6,FALSE)</f>
        <v>#N/A</v>
      </c>
    </row>
    <row r="498" spans="1:13" x14ac:dyDescent="0.3">
      <c r="A498">
        <v>888</v>
      </c>
      <c r="B498" t="s">
        <v>1148</v>
      </c>
      <c r="C498" t="s">
        <v>56</v>
      </c>
      <c r="D498" t="s">
        <v>502</v>
      </c>
      <c r="E498" t="s">
        <v>502</v>
      </c>
      <c r="F498" s="4">
        <v>25841</v>
      </c>
      <c r="G498">
        <v>5502199</v>
      </c>
      <c r="H498">
        <v>1139017006</v>
      </c>
      <c r="I498" t="s">
        <v>1064</v>
      </c>
      <c r="J498" t="s">
        <v>833</v>
      </c>
      <c r="K498" t="s">
        <v>15</v>
      </c>
      <c r="L498" t="s">
        <v>506</v>
      </c>
      <c r="M498" t="e">
        <f>VLOOKUP(A498,[1]MSAKEN!$A$1:$F$562,6,FALSE)</f>
        <v>#N/A</v>
      </c>
    </row>
    <row r="499" spans="1:13" x14ac:dyDescent="0.3">
      <c r="A499">
        <v>889</v>
      </c>
      <c r="B499" t="s">
        <v>197</v>
      </c>
      <c r="C499" t="s">
        <v>758</v>
      </c>
      <c r="D499" t="s">
        <v>1308</v>
      </c>
      <c r="E499" t="s">
        <v>584</v>
      </c>
      <c r="F499" s="4">
        <v>21589</v>
      </c>
      <c r="G499">
        <v>2903326</v>
      </c>
      <c r="H499">
        <v>1107291708</v>
      </c>
      <c r="I499" t="s">
        <v>1064</v>
      </c>
      <c r="J499" t="s">
        <v>833</v>
      </c>
      <c r="K499" t="s">
        <v>15</v>
      </c>
      <c r="L499" t="s">
        <v>506</v>
      </c>
      <c r="M499" t="e">
        <f>VLOOKUP(A499,[1]MSAKEN!$A$1:$F$562,6,FALSE)</f>
        <v>#N/A</v>
      </c>
    </row>
    <row r="500" spans="1:13" x14ac:dyDescent="0.3">
      <c r="A500">
        <v>890</v>
      </c>
      <c r="B500" t="s">
        <v>1309</v>
      </c>
      <c r="C500" t="s">
        <v>647</v>
      </c>
      <c r="D500" t="s">
        <v>535</v>
      </c>
      <c r="E500" t="s">
        <v>696</v>
      </c>
      <c r="F500" s="4">
        <v>24899</v>
      </c>
      <c r="G500">
        <v>2976650</v>
      </c>
      <c r="H500">
        <v>1137526008</v>
      </c>
      <c r="I500" t="s">
        <v>1310</v>
      </c>
      <c r="J500" t="s">
        <v>513</v>
      </c>
      <c r="K500" t="s">
        <v>15</v>
      </c>
      <c r="L500" t="s">
        <v>506</v>
      </c>
      <c r="M500" t="e">
        <f>VLOOKUP(A500,[1]MSAKEN!$A$1:$F$562,6,FALSE)</f>
        <v>#N/A</v>
      </c>
    </row>
    <row r="501" spans="1:13" x14ac:dyDescent="0.3">
      <c r="A501">
        <v>891</v>
      </c>
      <c r="B501" t="s">
        <v>1311</v>
      </c>
      <c r="C501" t="s">
        <v>102</v>
      </c>
      <c r="D501" t="s">
        <v>502</v>
      </c>
      <c r="E501" t="s">
        <v>502</v>
      </c>
      <c r="F501" s="4">
        <v>24357</v>
      </c>
      <c r="G501">
        <v>1580857</v>
      </c>
      <c r="H501">
        <v>1139033300</v>
      </c>
      <c r="I501" t="s">
        <v>1312</v>
      </c>
      <c r="J501" t="s">
        <v>513</v>
      </c>
      <c r="K501" t="s">
        <v>15</v>
      </c>
      <c r="L501" t="s">
        <v>506</v>
      </c>
      <c r="M501" t="e">
        <f>VLOOKUP(A501,[1]MSAKEN!$A$1:$F$562,6,FALSE)</f>
        <v>#N/A</v>
      </c>
    </row>
    <row r="502" spans="1:13" x14ac:dyDescent="0.3">
      <c r="A502">
        <v>893</v>
      </c>
      <c r="B502" t="s">
        <v>223</v>
      </c>
      <c r="C502" t="s">
        <v>216</v>
      </c>
      <c r="D502" t="s">
        <v>502</v>
      </c>
      <c r="E502" t="s">
        <v>502</v>
      </c>
      <c r="F502" t="s">
        <v>502</v>
      </c>
      <c r="G502">
        <v>2997922</v>
      </c>
      <c r="H502">
        <v>0</v>
      </c>
      <c r="I502" t="s">
        <v>1313</v>
      </c>
      <c r="J502" t="s">
        <v>502</v>
      </c>
      <c r="K502" t="s">
        <v>16</v>
      </c>
      <c r="L502" t="s">
        <v>506</v>
      </c>
      <c r="M502" t="e">
        <f>VLOOKUP(A502,[1]MSAKEN!$A$1:$F$562,6,FALSE)</f>
        <v>#N/A</v>
      </c>
    </row>
    <row r="503" spans="1:13" x14ac:dyDescent="0.3">
      <c r="A503">
        <v>895</v>
      </c>
      <c r="B503" t="s">
        <v>103</v>
      </c>
      <c r="C503" t="s">
        <v>395</v>
      </c>
      <c r="D503" t="s">
        <v>834</v>
      </c>
      <c r="E503" t="s">
        <v>584</v>
      </c>
      <c r="F503" s="4">
        <v>22846</v>
      </c>
      <c r="G503">
        <v>3077589</v>
      </c>
      <c r="H503">
        <v>1122525908</v>
      </c>
      <c r="I503" t="s">
        <v>1314</v>
      </c>
      <c r="J503" t="s">
        <v>513</v>
      </c>
      <c r="K503" t="s">
        <v>15</v>
      </c>
      <c r="L503" t="s">
        <v>506</v>
      </c>
      <c r="M503" t="str">
        <f>VLOOKUP(A503,[1]MSAKEN!$A$1:$F$562,6,FALSE)</f>
        <v>03508056010100123905</v>
      </c>
    </row>
    <row r="504" spans="1:13" x14ac:dyDescent="0.3">
      <c r="A504">
        <v>900</v>
      </c>
      <c r="B504" t="s">
        <v>1134</v>
      </c>
      <c r="C504" t="s">
        <v>34</v>
      </c>
      <c r="D504" t="s">
        <v>588</v>
      </c>
      <c r="E504" t="s">
        <v>536</v>
      </c>
      <c r="F504" s="4">
        <v>24873</v>
      </c>
      <c r="G504">
        <v>5500409</v>
      </c>
      <c r="H504">
        <v>1131426106</v>
      </c>
      <c r="I504" t="s">
        <v>1315</v>
      </c>
      <c r="J504" t="s">
        <v>513</v>
      </c>
      <c r="K504" t="s">
        <v>15</v>
      </c>
      <c r="L504" t="s">
        <v>506</v>
      </c>
      <c r="M504" t="e">
        <f>VLOOKUP(A504,[1]MSAKEN!$A$1:$F$562,6,FALSE)</f>
        <v>#N/A</v>
      </c>
    </row>
    <row r="505" spans="1:13" x14ac:dyDescent="0.3">
      <c r="A505">
        <v>903</v>
      </c>
      <c r="B505" t="s">
        <v>799</v>
      </c>
      <c r="C505" t="s">
        <v>32</v>
      </c>
      <c r="D505" t="s">
        <v>632</v>
      </c>
      <c r="E505" t="s">
        <v>1316</v>
      </c>
      <c r="F505" s="4">
        <v>24698</v>
      </c>
      <c r="G505">
        <v>2994422</v>
      </c>
      <c r="H505">
        <v>1140754308</v>
      </c>
      <c r="I505" t="s">
        <v>1161</v>
      </c>
      <c r="J505" t="s">
        <v>825</v>
      </c>
      <c r="K505" t="s">
        <v>15</v>
      </c>
      <c r="L505" t="s">
        <v>506</v>
      </c>
      <c r="M505" t="str">
        <f>VLOOKUP(A505,[1]MSAKEN!$A$1:$F$562,6,FALSE)</f>
        <v>05048000116500493760</v>
      </c>
    </row>
    <row r="506" spans="1:13" x14ac:dyDescent="0.3">
      <c r="A506">
        <v>905</v>
      </c>
      <c r="B506" t="s">
        <v>1317</v>
      </c>
      <c r="C506" t="s">
        <v>181</v>
      </c>
      <c r="D506" t="s">
        <v>502</v>
      </c>
      <c r="E506" t="s">
        <v>502</v>
      </c>
      <c r="F506" s="4">
        <v>21777</v>
      </c>
      <c r="G506">
        <v>2875980</v>
      </c>
      <c r="H506">
        <v>89893600</v>
      </c>
      <c r="I506" t="s">
        <v>1318</v>
      </c>
      <c r="J506" t="s">
        <v>513</v>
      </c>
      <c r="K506" t="s">
        <v>15</v>
      </c>
      <c r="L506" t="s">
        <v>506</v>
      </c>
      <c r="M506" t="e">
        <f>VLOOKUP(A506,[1]MSAKEN!$A$1:$F$562,6,FALSE)</f>
        <v>#N/A</v>
      </c>
    </row>
    <row r="507" spans="1:13" x14ac:dyDescent="0.3">
      <c r="A507">
        <v>907</v>
      </c>
      <c r="B507" t="s">
        <v>352</v>
      </c>
      <c r="C507" t="s">
        <v>56</v>
      </c>
      <c r="D507" t="s">
        <v>535</v>
      </c>
      <c r="E507" t="s">
        <v>584</v>
      </c>
      <c r="F507" s="4">
        <v>25122</v>
      </c>
      <c r="G507">
        <v>5510722</v>
      </c>
      <c r="H507">
        <v>1143869905</v>
      </c>
      <c r="I507" t="s">
        <v>1319</v>
      </c>
      <c r="J507" t="s">
        <v>1074</v>
      </c>
      <c r="K507" t="s">
        <v>15</v>
      </c>
      <c r="L507" t="s">
        <v>506</v>
      </c>
      <c r="M507" t="str">
        <f>VLOOKUP(A507,[1]MSAKEN!$A$1:$F$562,6,FALSE)</f>
        <v>03508056010100126524</v>
      </c>
    </row>
    <row r="508" spans="1:13" x14ac:dyDescent="0.3">
      <c r="A508">
        <v>908</v>
      </c>
      <c r="B508" t="s">
        <v>61</v>
      </c>
      <c r="C508" t="s">
        <v>69</v>
      </c>
      <c r="D508" t="s">
        <v>999</v>
      </c>
      <c r="E508" t="s">
        <v>696</v>
      </c>
      <c r="F508" s="4">
        <v>24842</v>
      </c>
      <c r="G508">
        <v>2997429</v>
      </c>
      <c r="H508">
        <v>1142853207</v>
      </c>
      <c r="I508" t="s">
        <v>1320</v>
      </c>
      <c r="J508" t="s">
        <v>513</v>
      </c>
      <c r="K508" t="s">
        <v>15</v>
      </c>
      <c r="L508" t="s">
        <v>506</v>
      </c>
      <c r="M508" t="str">
        <f>VLOOKUP(A508,[1]MSAKEN!$A$1:$F$562,6,FALSE)</f>
        <v>03508056010100126427</v>
      </c>
    </row>
    <row r="509" spans="1:13" x14ac:dyDescent="0.3">
      <c r="A509">
        <v>909</v>
      </c>
      <c r="B509" t="s">
        <v>369</v>
      </c>
      <c r="C509" t="s">
        <v>26</v>
      </c>
      <c r="D509" t="s">
        <v>674</v>
      </c>
      <c r="E509" t="s">
        <v>1255</v>
      </c>
      <c r="F509" s="4">
        <v>22053</v>
      </c>
      <c r="G509">
        <v>496969</v>
      </c>
      <c r="H509">
        <v>1143881207</v>
      </c>
      <c r="I509" t="s">
        <v>1321</v>
      </c>
      <c r="J509" t="s">
        <v>511</v>
      </c>
      <c r="K509" t="s">
        <v>15</v>
      </c>
      <c r="L509" t="s">
        <v>506</v>
      </c>
      <c r="M509" t="str">
        <f>VLOOKUP(A509,[1]MSAKEN!$A$1:$F$562,6,FALSE)</f>
        <v>14500500100705085668</v>
      </c>
    </row>
    <row r="510" spans="1:13" x14ac:dyDescent="0.3">
      <c r="A510">
        <v>910</v>
      </c>
      <c r="B510" t="s">
        <v>364</v>
      </c>
      <c r="C510" t="s">
        <v>321</v>
      </c>
      <c r="D510" t="s">
        <v>607</v>
      </c>
      <c r="E510" t="s">
        <v>696</v>
      </c>
      <c r="F510" s="4">
        <v>21562</v>
      </c>
      <c r="G510">
        <v>3872531</v>
      </c>
      <c r="H510">
        <v>1100166600</v>
      </c>
      <c r="I510" t="s">
        <v>1322</v>
      </c>
      <c r="J510" t="s">
        <v>1323</v>
      </c>
      <c r="K510" t="s">
        <v>15</v>
      </c>
      <c r="L510" t="s">
        <v>506</v>
      </c>
      <c r="M510" t="e">
        <f>VLOOKUP(A510,[1]MSAKEN!$A$1:$F$562,6,FALSE)</f>
        <v>#N/A</v>
      </c>
    </row>
    <row r="511" spans="1:13" x14ac:dyDescent="0.3">
      <c r="A511">
        <v>913</v>
      </c>
      <c r="B511" t="s">
        <v>75</v>
      </c>
      <c r="C511" t="s">
        <v>74</v>
      </c>
      <c r="D511" t="s">
        <v>535</v>
      </c>
      <c r="E511" t="s">
        <v>1255</v>
      </c>
      <c r="F511" s="4">
        <v>25084</v>
      </c>
      <c r="G511">
        <v>2993865</v>
      </c>
      <c r="H511">
        <v>1138727209</v>
      </c>
      <c r="I511" t="s">
        <v>1324</v>
      </c>
      <c r="J511" t="s">
        <v>513</v>
      </c>
      <c r="K511" t="s">
        <v>15</v>
      </c>
      <c r="L511" t="s">
        <v>506</v>
      </c>
      <c r="M511" t="str">
        <f>VLOOKUP(A511,[1]MSAKEN!$A$1:$F$562,6,FALSE)</f>
        <v>10506040204066078821</v>
      </c>
    </row>
    <row r="512" spans="1:13" x14ac:dyDescent="0.3">
      <c r="A512">
        <v>914</v>
      </c>
      <c r="B512" t="s">
        <v>417</v>
      </c>
      <c r="C512" t="s">
        <v>61</v>
      </c>
      <c r="D512" t="s">
        <v>502</v>
      </c>
      <c r="E512" t="s">
        <v>502</v>
      </c>
      <c r="F512" s="4">
        <v>24252</v>
      </c>
      <c r="G512">
        <v>2951982</v>
      </c>
      <c r="H512">
        <v>1141193704</v>
      </c>
      <c r="I512" t="s">
        <v>1325</v>
      </c>
      <c r="J512" t="s">
        <v>513</v>
      </c>
      <c r="K512" t="s">
        <v>15</v>
      </c>
      <c r="L512" t="s">
        <v>506</v>
      </c>
      <c r="M512" t="e">
        <f>VLOOKUP(A512,[1]MSAKEN!$A$1:$F$562,6,FALSE)</f>
        <v>#N/A</v>
      </c>
    </row>
    <row r="513" spans="1:13" x14ac:dyDescent="0.3">
      <c r="A513">
        <v>915</v>
      </c>
      <c r="B513" t="s">
        <v>163</v>
      </c>
      <c r="C513" t="s">
        <v>181</v>
      </c>
      <c r="D513" t="s">
        <v>535</v>
      </c>
      <c r="E513" t="s">
        <v>926</v>
      </c>
      <c r="F513" s="4">
        <v>23491</v>
      </c>
      <c r="G513">
        <v>2955595</v>
      </c>
      <c r="H513">
        <v>1141196707</v>
      </c>
      <c r="I513" t="s">
        <v>1326</v>
      </c>
      <c r="J513" t="s">
        <v>1048</v>
      </c>
      <c r="K513" t="s">
        <v>15</v>
      </c>
      <c r="L513" t="s">
        <v>506</v>
      </c>
      <c r="M513" t="str">
        <f>VLOOKUP(A513,[1]MSAKEN!$A$1:$F$562,6,FALSE)</f>
        <v>08506000252000349839</v>
      </c>
    </row>
    <row r="514" spans="1:13" x14ac:dyDescent="0.3">
      <c r="A514">
        <v>917</v>
      </c>
      <c r="B514" t="s">
        <v>756</v>
      </c>
      <c r="C514" t="s">
        <v>424</v>
      </c>
      <c r="D514" t="s">
        <v>502</v>
      </c>
      <c r="E514" t="s">
        <v>502</v>
      </c>
      <c r="F514" s="4">
        <v>21260</v>
      </c>
      <c r="G514">
        <v>2824590</v>
      </c>
      <c r="H514">
        <v>1123659805</v>
      </c>
      <c r="I514" t="s">
        <v>1327</v>
      </c>
      <c r="J514" t="s">
        <v>513</v>
      </c>
      <c r="K514" t="s">
        <v>15</v>
      </c>
      <c r="L514" t="s">
        <v>506</v>
      </c>
      <c r="M514" t="e">
        <f>VLOOKUP(A514,[1]MSAKEN!$A$1:$F$562,6,FALSE)</f>
        <v>#N/A</v>
      </c>
    </row>
    <row r="515" spans="1:13" x14ac:dyDescent="0.3">
      <c r="A515">
        <v>918</v>
      </c>
      <c r="B515" t="s">
        <v>1328</v>
      </c>
      <c r="C515" t="s">
        <v>34</v>
      </c>
      <c r="D515" t="s">
        <v>502</v>
      </c>
      <c r="E515" t="s">
        <v>502</v>
      </c>
      <c r="F515" s="4">
        <v>22317</v>
      </c>
      <c r="G515">
        <v>2861609</v>
      </c>
      <c r="H515">
        <v>1141190601</v>
      </c>
      <c r="I515" t="s">
        <v>1329</v>
      </c>
      <c r="J515" t="s">
        <v>755</v>
      </c>
      <c r="K515" t="s">
        <v>15</v>
      </c>
      <c r="L515" t="s">
        <v>506</v>
      </c>
      <c r="M515" t="e">
        <f>VLOOKUP(A515,[1]MSAKEN!$A$1:$F$562,6,FALSE)</f>
        <v>#N/A</v>
      </c>
    </row>
    <row r="516" spans="1:13" x14ac:dyDescent="0.3">
      <c r="A516">
        <v>919</v>
      </c>
      <c r="B516" t="s">
        <v>203</v>
      </c>
      <c r="C516" t="s">
        <v>353</v>
      </c>
      <c r="D516" t="s">
        <v>670</v>
      </c>
      <c r="E516" t="s">
        <v>546</v>
      </c>
      <c r="F516" s="4">
        <v>25512</v>
      </c>
      <c r="G516">
        <v>5511335</v>
      </c>
      <c r="H516">
        <v>1141825503</v>
      </c>
      <c r="I516" t="s">
        <v>1330</v>
      </c>
      <c r="J516" t="s">
        <v>513</v>
      </c>
      <c r="K516" t="s">
        <v>15</v>
      </c>
      <c r="L516" t="s">
        <v>506</v>
      </c>
      <c r="M516" t="str">
        <f>VLOOKUP(A516,[1]MSAKEN!$A$1:$F$562,6,FALSE)</f>
        <v>10506040204105678877</v>
      </c>
    </row>
    <row r="517" spans="1:13" x14ac:dyDescent="0.3">
      <c r="A517">
        <v>920</v>
      </c>
      <c r="B517" t="s">
        <v>1331</v>
      </c>
      <c r="C517" t="s">
        <v>347</v>
      </c>
      <c r="D517" t="s">
        <v>588</v>
      </c>
      <c r="E517" t="s">
        <v>1332</v>
      </c>
      <c r="F517" s="4">
        <v>24767</v>
      </c>
      <c r="G517">
        <v>3944638</v>
      </c>
      <c r="H517">
        <v>1142282506</v>
      </c>
      <c r="I517" t="s">
        <v>1333</v>
      </c>
      <c r="J517" t="s">
        <v>1323</v>
      </c>
      <c r="K517" t="s">
        <v>15</v>
      </c>
      <c r="L517" t="s">
        <v>506</v>
      </c>
      <c r="M517" t="str">
        <f>VLOOKUP(A517,[1]MSAKEN!$A$1:$F$562,6,FALSE)</f>
        <v>04204067404000879164</v>
      </c>
    </row>
    <row r="518" spans="1:13" x14ac:dyDescent="0.3">
      <c r="A518">
        <v>921</v>
      </c>
      <c r="B518" t="s">
        <v>1334</v>
      </c>
      <c r="C518" t="s">
        <v>31</v>
      </c>
      <c r="D518" t="s">
        <v>502</v>
      </c>
      <c r="E518" t="s">
        <v>502</v>
      </c>
      <c r="F518" s="4">
        <v>24356</v>
      </c>
      <c r="G518">
        <v>2974406</v>
      </c>
      <c r="H518">
        <v>1117430106</v>
      </c>
      <c r="I518" t="s">
        <v>1335</v>
      </c>
      <c r="J518" t="s">
        <v>511</v>
      </c>
      <c r="K518" t="s">
        <v>15</v>
      </c>
      <c r="L518" t="s">
        <v>506</v>
      </c>
      <c r="M518" t="e">
        <f>VLOOKUP(A518,[1]MSAKEN!$A$1:$F$562,6,FALSE)</f>
        <v>#N/A</v>
      </c>
    </row>
    <row r="519" spans="1:13" x14ac:dyDescent="0.3">
      <c r="A519">
        <v>923</v>
      </c>
      <c r="B519" t="s">
        <v>487</v>
      </c>
      <c r="C519" t="s">
        <v>115</v>
      </c>
      <c r="D519" t="s">
        <v>564</v>
      </c>
      <c r="E519" t="s">
        <v>998</v>
      </c>
      <c r="F519" s="4">
        <v>25818</v>
      </c>
      <c r="G519">
        <v>5523180</v>
      </c>
      <c r="H519">
        <v>1141198802</v>
      </c>
      <c r="I519" t="s">
        <v>502</v>
      </c>
      <c r="J519" t="s">
        <v>755</v>
      </c>
      <c r="K519" t="s">
        <v>15</v>
      </c>
      <c r="L519" t="s">
        <v>506</v>
      </c>
      <c r="M519" t="str">
        <f>VLOOKUP(A519,[1]MSAKEN!$A$1:$F$562,6,FALSE)</f>
        <v>04204067404000676143</v>
      </c>
    </row>
    <row r="520" spans="1:13" x14ac:dyDescent="0.3">
      <c r="A520">
        <v>924</v>
      </c>
      <c r="B520" t="s">
        <v>605</v>
      </c>
      <c r="C520" t="s">
        <v>69</v>
      </c>
      <c r="D520" t="s">
        <v>535</v>
      </c>
      <c r="E520" t="s">
        <v>536</v>
      </c>
      <c r="F520" s="4">
        <v>22553</v>
      </c>
      <c r="G520">
        <v>2897838</v>
      </c>
      <c r="H520">
        <v>1127077400</v>
      </c>
      <c r="I520" t="s">
        <v>1336</v>
      </c>
      <c r="J520" t="s">
        <v>513</v>
      </c>
      <c r="K520" t="s">
        <v>15</v>
      </c>
      <c r="L520" t="s">
        <v>506</v>
      </c>
      <c r="M520" t="str">
        <f>VLOOKUP(A520,[1]MSAKEN!$A$1:$F$562,6,FALSE)</f>
        <v>04204067003417843418</v>
      </c>
    </row>
    <row r="521" spans="1:13" x14ac:dyDescent="0.3">
      <c r="A521">
        <v>927</v>
      </c>
      <c r="B521" t="s">
        <v>1337</v>
      </c>
      <c r="C521" t="s">
        <v>137</v>
      </c>
      <c r="D521" t="s">
        <v>711</v>
      </c>
      <c r="E521" t="s">
        <v>1066</v>
      </c>
      <c r="F521" s="4">
        <v>25955</v>
      </c>
      <c r="G521">
        <v>5525913</v>
      </c>
      <c r="H521">
        <v>1142300407</v>
      </c>
      <c r="I521" t="s">
        <v>1338</v>
      </c>
      <c r="J521" t="s">
        <v>755</v>
      </c>
      <c r="K521" t="s">
        <v>15</v>
      </c>
      <c r="L521" t="s">
        <v>506</v>
      </c>
      <c r="M521" t="str">
        <f>VLOOKUP(A521,[1]MSAKEN!$A$1:$F$562,6,FALSE)</f>
        <v>04204067404000785074</v>
      </c>
    </row>
    <row r="522" spans="1:13" x14ac:dyDescent="0.3">
      <c r="A522">
        <v>928</v>
      </c>
      <c r="B522" t="s">
        <v>737</v>
      </c>
      <c r="C522" t="s">
        <v>606</v>
      </c>
      <c r="D522" t="s">
        <v>502</v>
      </c>
      <c r="E522" t="s">
        <v>502</v>
      </c>
      <c r="F522" s="4">
        <v>19281</v>
      </c>
      <c r="G522">
        <v>2852205</v>
      </c>
      <c r="H522">
        <v>910711300</v>
      </c>
      <c r="I522" t="s">
        <v>1339</v>
      </c>
      <c r="J522" t="s">
        <v>511</v>
      </c>
      <c r="K522" t="s">
        <v>16</v>
      </c>
      <c r="L522" t="s">
        <v>17</v>
      </c>
      <c r="M522" t="e">
        <f>VLOOKUP(A522,[1]MSAKEN!$A$1:$F$562,6,FALSE)</f>
        <v>#N/A</v>
      </c>
    </row>
    <row r="523" spans="1:13" x14ac:dyDescent="0.3">
      <c r="A523">
        <v>930</v>
      </c>
      <c r="B523" t="s">
        <v>42</v>
      </c>
      <c r="C523" t="s">
        <v>34</v>
      </c>
      <c r="D523" t="s">
        <v>502</v>
      </c>
      <c r="E523" t="s">
        <v>502</v>
      </c>
      <c r="F523" s="4">
        <v>23782</v>
      </c>
      <c r="G523">
        <v>2967858</v>
      </c>
      <c r="H523">
        <v>1142678109</v>
      </c>
      <c r="I523" t="s">
        <v>1340</v>
      </c>
      <c r="J523" t="s">
        <v>513</v>
      </c>
      <c r="K523" t="s">
        <v>15</v>
      </c>
      <c r="L523" t="s">
        <v>506</v>
      </c>
      <c r="M523" t="e">
        <f>VLOOKUP(A523,[1]MSAKEN!$A$1:$F$562,6,FALSE)</f>
        <v>#N/A</v>
      </c>
    </row>
    <row r="524" spans="1:13" x14ac:dyDescent="0.3">
      <c r="A524">
        <v>931</v>
      </c>
      <c r="B524" t="s">
        <v>227</v>
      </c>
      <c r="C524" t="s">
        <v>34</v>
      </c>
      <c r="D524" t="s">
        <v>707</v>
      </c>
      <c r="E524" t="s">
        <v>708</v>
      </c>
      <c r="F524" s="4">
        <v>25043</v>
      </c>
      <c r="G524">
        <v>2993656</v>
      </c>
      <c r="H524">
        <v>1143170106</v>
      </c>
      <c r="I524" t="s">
        <v>752</v>
      </c>
      <c r="J524" t="s">
        <v>513</v>
      </c>
      <c r="K524" t="s">
        <v>15</v>
      </c>
      <c r="L524" t="s">
        <v>506</v>
      </c>
      <c r="M524" t="str">
        <f>VLOOKUP(A524,[1]MSAKEN!$A$1:$F$562,6,FALSE)</f>
        <v>05048000116500183069</v>
      </c>
    </row>
    <row r="525" spans="1:13" x14ac:dyDescent="0.3">
      <c r="A525">
        <v>932</v>
      </c>
      <c r="B525" t="s">
        <v>310</v>
      </c>
      <c r="C525" t="s">
        <v>61</v>
      </c>
      <c r="D525" t="s">
        <v>564</v>
      </c>
      <c r="E525" t="s">
        <v>645</v>
      </c>
      <c r="F525" s="4">
        <v>23790</v>
      </c>
      <c r="G525">
        <v>2981882</v>
      </c>
      <c r="H525">
        <v>1143162608</v>
      </c>
      <c r="I525" t="s">
        <v>567</v>
      </c>
      <c r="J525" t="s">
        <v>568</v>
      </c>
      <c r="K525" t="s">
        <v>15</v>
      </c>
      <c r="L525" t="s">
        <v>506</v>
      </c>
      <c r="M525" t="e">
        <f>VLOOKUP(A525,[1]MSAKEN!$A$1:$F$562,6,FALSE)</f>
        <v>#N/A</v>
      </c>
    </row>
    <row r="526" spans="1:13" x14ac:dyDescent="0.3">
      <c r="A526">
        <v>933</v>
      </c>
      <c r="B526" t="s">
        <v>335</v>
      </c>
      <c r="C526" t="s">
        <v>72</v>
      </c>
      <c r="D526" t="s">
        <v>598</v>
      </c>
      <c r="E526" t="s">
        <v>714</v>
      </c>
      <c r="F526" s="4">
        <v>25584</v>
      </c>
      <c r="G526">
        <v>5525537</v>
      </c>
      <c r="H526">
        <v>1143343703</v>
      </c>
      <c r="I526" t="s">
        <v>1341</v>
      </c>
      <c r="J526" t="s">
        <v>513</v>
      </c>
      <c r="K526" t="s">
        <v>15</v>
      </c>
      <c r="L526" t="s">
        <v>506</v>
      </c>
      <c r="M526" t="str">
        <f>VLOOKUP(A526,[1]MSAKEN!$A$1:$F$562,6,FALSE)</f>
        <v>10506040204144178856</v>
      </c>
    </row>
    <row r="527" spans="1:13" x14ac:dyDescent="0.3">
      <c r="A527">
        <v>934</v>
      </c>
      <c r="B527" t="s">
        <v>23</v>
      </c>
      <c r="C527" t="s">
        <v>224</v>
      </c>
      <c r="D527" t="s">
        <v>1196</v>
      </c>
      <c r="E527" t="s">
        <v>1197</v>
      </c>
      <c r="F527" s="4">
        <v>23544</v>
      </c>
      <c r="G527">
        <v>2955224</v>
      </c>
      <c r="H527">
        <v>1140542703</v>
      </c>
      <c r="I527" t="s">
        <v>1342</v>
      </c>
      <c r="J527" t="s">
        <v>1048</v>
      </c>
      <c r="K527" t="s">
        <v>15</v>
      </c>
      <c r="L527" t="s">
        <v>506</v>
      </c>
      <c r="M527" t="e">
        <f>VLOOKUP(A527,[1]MSAKEN!$A$1:$F$562,6,FALSE)</f>
        <v>#N/A</v>
      </c>
    </row>
    <row r="528" spans="1:13" x14ac:dyDescent="0.3">
      <c r="A528">
        <v>935</v>
      </c>
      <c r="B528" t="s">
        <v>1343</v>
      </c>
      <c r="C528" t="s">
        <v>1344</v>
      </c>
      <c r="D528" t="s">
        <v>670</v>
      </c>
      <c r="E528" t="s">
        <v>652</v>
      </c>
      <c r="F528" s="4">
        <v>25139</v>
      </c>
      <c r="G528">
        <v>5509729</v>
      </c>
      <c r="H528">
        <v>1143456109</v>
      </c>
      <c r="I528" t="s">
        <v>1345</v>
      </c>
      <c r="J528" t="s">
        <v>513</v>
      </c>
      <c r="K528" t="s">
        <v>15</v>
      </c>
      <c r="L528" t="s">
        <v>506</v>
      </c>
      <c r="M528" t="str">
        <f>VLOOKUP(A528,[1]MSAKEN!$A$1:$F$562,6,FALSE)</f>
        <v>03508056010100132829</v>
      </c>
    </row>
    <row r="529" spans="1:13" x14ac:dyDescent="0.3">
      <c r="A529">
        <v>937</v>
      </c>
      <c r="B529" t="s">
        <v>1346</v>
      </c>
      <c r="C529" t="s">
        <v>1347</v>
      </c>
      <c r="D529" t="s">
        <v>502</v>
      </c>
      <c r="E529" t="s">
        <v>502</v>
      </c>
      <c r="F529" t="s">
        <v>502</v>
      </c>
      <c r="G529" t="s">
        <v>502</v>
      </c>
      <c r="H529" t="s">
        <v>502</v>
      </c>
      <c r="I529" t="s">
        <v>502</v>
      </c>
      <c r="J529" t="s">
        <v>502</v>
      </c>
      <c r="K529" t="s">
        <v>15</v>
      </c>
      <c r="L529" t="s">
        <v>502</v>
      </c>
      <c r="M529" t="e">
        <f>VLOOKUP(A529,[1]MSAKEN!$A$1:$F$562,6,FALSE)</f>
        <v>#N/A</v>
      </c>
    </row>
    <row r="530" spans="1:13" x14ac:dyDescent="0.3">
      <c r="A530">
        <v>938</v>
      </c>
      <c r="B530" t="s">
        <v>703</v>
      </c>
      <c r="C530" t="s">
        <v>478</v>
      </c>
      <c r="D530" t="s">
        <v>535</v>
      </c>
      <c r="E530" t="s">
        <v>714</v>
      </c>
      <c r="F530" s="4">
        <v>26142</v>
      </c>
      <c r="G530">
        <v>5510153</v>
      </c>
      <c r="H530">
        <v>1141853208</v>
      </c>
      <c r="I530" t="s">
        <v>1348</v>
      </c>
      <c r="J530" t="s">
        <v>513</v>
      </c>
      <c r="K530" t="s">
        <v>15</v>
      </c>
      <c r="L530" t="s">
        <v>506</v>
      </c>
      <c r="M530" t="str">
        <f>VLOOKUP(A530,[1]MSAKEN!$A$1:$F$562,6,FALSE)</f>
        <v>08507000262001182005</v>
      </c>
    </row>
    <row r="531" spans="1:13" x14ac:dyDescent="0.3">
      <c r="A531">
        <v>939</v>
      </c>
      <c r="B531" t="s">
        <v>329</v>
      </c>
      <c r="C531" t="s">
        <v>447</v>
      </c>
      <c r="D531" t="s">
        <v>535</v>
      </c>
      <c r="E531" t="s">
        <v>649</v>
      </c>
      <c r="F531" s="4">
        <v>23968</v>
      </c>
      <c r="G531">
        <v>2960417</v>
      </c>
      <c r="H531">
        <v>1130008905</v>
      </c>
      <c r="I531" t="s">
        <v>1064</v>
      </c>
      <c r="J531" t="s">
        <v>833</v>
      </c>
      <c r="K531" t="s">
        <v>15</v>
      </c>
      <c r="L531" t="s">
        <v>506</v>
      </c>
      <c r="M531" t="e">
        <f>VLOOKUP(A531,[1]MSAKEN!$A$1:$F$562,6,FALSE)</f>
        <v>#N/A</v>
      </c>
    </row>
    <row r="532" spans="1:13" x14ac:dyDescent="0.3">
      <c r="A532">
        <v>940</v>
      </c>
      <c r="B532" t="s">
        <v>104</v>
      </c>
      <c r="C532" t="s">
        <v>326</v>
      </c>
      <c r="D532" t="s">
        <v>520</v>
      </c>
      <c r="E532" t="s">
        <v>867</v>
      </c>
      <c r="F532" s="4">
        <v>25374</v>
      </c>
      <c r="G532">
        <v>4167653</v>
      </c>
      <c r="H532">
        <v>1144432109</v>
      </c>
      <c r="I532" t="s">
        <v>1349</v>
      </c>
      <c r="J532" t="s">
        <v>513</v>
      </c>
      <c r="K532" t="s">
        <v>15</v>
      </c>
      <c r="L532" t="s">
        <v>506</v>
      </c>
      <c r="M532" t="e">
        <f>VLOOKUP(A532,[1]MSAKEN!$A$1:$F$562,6,FALSE)</f>
        <v>#N/A</v>
      </c>
    </row>
    <row r="533" spans="1:13" x14ac:dyDescent="0.3">
      <c r="A533">
        <v>942</v>
      </c>
      <c r="B533" t="s">
        <v>1350</v>
      </c>
      <c r="C533" t="s">
        <v>26</v>
      </c>
      <c r="D533" t="s">
        <v>502</v>
      </c>
      <c r="E533" t="s">
        <v>502</v>
      </c>
      <c r="F533" t="s">
        <v>502</v>
      </c>
      <c r="G533">
        <v>1498476</v>
      </c>
      <c r="H533">
        <v>0</v>
      </c>
      <c r="I533" t="s">
        <v>1351</v>
      </c>
      <c r="J533" t="s">
        <v>502</v>
      </c>
      <c r="K533" t="s">
        <v>15</v>
      </c>
      <c r="L533" t="s">
        <v>506</v>
      </c>
      <c r="M533" t="e">
        <f>VLOOKUP(A533,[1]MSAKEN!$A$1:$F$562,6,FALSE)</f>
        <v>#N/A</v>
      </c>
    </row>
    <row r="534" spans="1:13" x14ac:dyDescent="0.3">
      <c r="A534">
        <v>944</v>
      </c>
      <c r="B534" t="s">
        <v>375</v>
      </c>
      <c r="C534" t="s">
        <v>34</v>
      </c>
      <c r="D534" t="s">
        <v>502</v>
      </c>
      <c r="E534" t="s">
        <v>502</v>
      </c>
      <c r="F534" s="4">
        <v>18304</v>
      </c>
      <c r="G534">
        <v>2823870</v>
      </c>
      <c r="H534">
        <v>50441600</v>
      </c>
      <c r="I534" t="s">
        <v>1352</v>
      </c>
      <c r="J534" t="s">
        <v>511</v>
      </c>
      <c r="K534" t="s">
        <v>15</v>
      </c>
      <c r="L534" t="s">
        <v>506</v>
      </c>
      <c r="M534" t="e">
        <f>VLOOKUP(A534,[1]MSAKEN!$A$1:$F$562,6,FALSE)</f>
        <v>#N/A</v>
      </c>
    </row>
    <row r="535" spans="1:13" x14ac:dyDescent="0.3">
      <c r="A535">
        <v>945</v>
      </c>
      <c r="B535" t="s">
        <v>1353</v>
      </c>
      <c r="C535" t="s">
        <v>1354</v>
      </c>
      <c r="D535" t="s">
        <v>502</v>
      </c>
      <c r="E535" t="s">
        <v>502</v>
      </c>
      <c r="F535" t="s">
        <v>502</v>
      </c>
      <c r="G535" t="s">
        <v>502</v>
      </c>
      <c r="H535" t="s">
        <v>502</v>
      </c>
      <c r="I535" t="s">
        <v>502</v>
      </c>
      <c r="J535" t="s">
        <v>502</v>
      </c>
      <c r="K535" t="s">
        <v>15</v>
      </c>
      <c r="L535" t="s">
        <v>502</v>
      </c>
      <c r="M535" t="e">
        <f>VLOOKUP(A535,[1]MSAKEN!$A$1:$F$562,6,FALSE)</f>
        <v>#N/A</v>
      </c>
    </row>
    <row r="536" spans="1:13" x14ac:dyDescent="0.3">
      <c r="A536">
        <v>948</v>
      </c>
      <c r="B536" t="s">
        <v>1355</v>
      </c>
      <c r="C536" t="s">
        <v>1356</v>
      </c>
      <c r="D536" t="s">
        <v>502</v>
      </c>
      <c r="E536" t="s">
        <v>502</v>
      </c>
      <c r="F536" t="s">
        <v>502</v>
      </c>
      <c r="G536" t="s">
        <v>502</v>
      </c>
      <c r="H536" t="s">
        <v>502</v>
      </c>
      <c r="I536" t="s">
        <v>502</v>
      </c>
      <c r="J536" t="s">
        <v>502</v>
      </c>
      <c r="K536" t="s">
        <v>15</v>
      </c>
      <c r="L536" t="s">
        <v>502</v>
      </c>
      <c r="M536" t="e">
        <f>VLOOKUP(A536,[1]MSAKEN!$A$1:$F$562,6,FALSE)</f>
        <v>#N/A</v>
      </c>
    </row>
    <row r="537" spans="1:13" x14ac:dyDescent="0.3">
      <c r="A537">
        <v>951</v>
      </c>
      <c r="B537" t="s">
        <v>83</v>
      </c>
      <c r="C537" t="s">
        <v>321</v>
      </c>
      <c r="D537" t="s">
        <v>674</v>
      </c>
      <c r="E537" t="s">
        <v>708</v>
      </c>
      <c r="F537" s="4">
        <v>22829</v>
      </c>
      <c r="G537">
        <v>2942578</v>
      </c>
      <c r="H537">
        <v>1101148805</v>
      </c>
      <c r="I537" t="s">
        <v>1357</v>
      </c>
      <c r="J537" t="s">
        <v>513</v>
      </c>
      <c r="K537" t="s">
        <v>15</v>
      </c>
      <c r="L537" t="s">
        <v>506</v>
      </c>
      <c r="M537" t="e">
        <f>VLOOKUP(A537,[1]MSAKEN!$A$1:$F$562,6,FALSE)</f>
        <v>#N/A</v>
      </c>
    </row>
    <row r="538" spans="1:13" x14ac:dyDescent="0.3">
      <c r="A538">
        <v>954</v>
      </c>
      <c r="B538" t="s">
        <v>1358</v>
      </c>
      <c r="C538" t="s">
        <v>28</v>
      </c>
      <c r="D538" t="s">
        <v>1359</v>
      </c>
      <c r="E538" t="s">
        <v>696</v>
      </c>
      <c r="F538" s="4">
        <v>25031</v>
      </c>
      <c r="G538">
        <v>2992239</v>
      </c>
      <c r="H538">
        <v>1144553102</v>
      </c>
      <c r="I538" t="s">
        <v>1360</v>
      </c>
      <c r="J538" t="s">
        <v>513</v>
      </c>
      <c r="K538" t="s">
        <v>15</v>
      </c>
      <c r="L538" t="s">
        <v>506</v>
      </c>
      <c r="M538" t="e">
        <f>VLOOKUP(A538,[1]MSAKEN!$A$1:$F$562,6,FALSE)</f>
        <v>#N/A</v>
      </c>
    </row>
    <row r="539" spans="1:13" x14ac:dyDescent="0.3">
      <c r="A539">
        <v>955</v>
      </c>
      <c r="B539" t="s">
        <v>197</v>
      </c>
      <c r="C539" t="s">
        <v>156</v>
      </c>
      <c r="D539" t="s">
        <v>564</v>
      </c>
      <c r="E539" t="s">
        <v>569</v>
      </c>
      <c r="F539" s="4">
        <v>25631</v>
      </c>
      <c r="G539">
        <v>5503471</v>
      </c>
      <c r="H539">
        <v>1143456802</v>
      </c>
      <c r="I539" t="s">
        <v>1064</v>
      </c>
      <c r="J539" t="s">
        <v>833</v>
      </c>
      <c r="K539" t="s">
        <v>15</v>
      </c>
      <c r="L539" t="s">
        <v>506</v>
      </c>
      <c r="M539" t="str">
        <f>VLOOKUP(A539,[1]MSAKEN!$A$1:$F$562,6,FALSE)</f>
        <v>04204067404002218055</v>
      </c>
    </row>
    <row r="540" spans="1:13" x14ac:dyDescent="0.3">
      <c r="A540">
        <v>956</v>
      </c>
      <c r="B540" t="s">
        <v>168</v>
      </c>
      <c r="C540" t="s">
        <v>1361</v>
      </c>
      <c r="D540" t="s">
        <v>502</v>
      </c>
      <c r="E540" t="s">
        <v>502</v>
      </c>
      <c r="F540" t="s">
        <v>502</v>
      </c>
      <c r="G540" t="s">
        <v>502</v>
      </c>
      <c r="H540" t="s">
        <v>502</v>
      </c>
      <c r="I540" t="s">
        <v>502</v>
      </c>
      <c r="J540" t="s">
        <v>502</v>
      </c>
      <c r="K540" t="s">
        <v>15</v>
      </c>
      <c r="L540" t="s">
        <v>502</v>
      </c>
      <c r="M540" t="e">
        <f>VLOOKUP(A540,[1]MSAKEN!$A$1:$F$562,6,FALSE)</f>
        <v>#N/A</v>
      </c>
    </row>
    <row r="541" spans="1:13" x14ac:dyDescent="0.3">
      <c r="A541">
        <v>957</v>
      </c>
      <c r="B541" t="s">
        <v>121</v>
      </c>
      <c r="C541" t="s">
        <v>365</v>
      </c>
      <c r="D541" t="s">
        <v>535</v>
      </c>
      <c r="E541" t="s">
        <v>584</v>
      </c>
      <c r="F541" s="4">
        <v>25575</v>
      </c>
      <c r="G541">
        <v>2990282</v>
      </c>
      <c r="H541">
        <v>1146977705</v>
      </c>
      <c r="I541" t="s">
        <v>1362</v>
      </c>
      <c r="J541" t="s">
        <v>513</v>
      </c>
      <c r="K541" t="s">
        <v>15</v>
      </c>
      <c r="L541" t="s">
        <v>506</v>
      </c>
      <c r="M541" t="str">
        <f>VLOOKUP(A541,[1]MSAKEN!$A$1:$F$562,6,FALSE)</f>
        <v>08507000262006016291</v>
      </c>
    </row>
    <row r="542" spans="1:13" x14ac:dyDescent="0.3">
      <c r="A542">
        <v>958</v>
      </c>
      <c r="B542" t="s">
        <v>359</v>
      </c>
      <c r="C542" t="s">
        <v>98</v>
      </c>
      <c r="D542" t="s">
        <v>615</v>
      </c>
      <c r="E542" t="s">
        <v>1236</v>
      </c>
      <c r="F542" s="4">
        <v>25131</v>
      </c>
      <c r="G542">
        <v>2995477</v>
      </c>
      <c r="H542">
        <v>1147704108</v>
      </c>
      <c r="I542" t="s">
        <v>1092</v>
      </c>
      <c r="J542" t="s">
        <v>513</v>
      </c>
      <c r="K542" t="s">
        <v>15</v>
      </c>
      <c r="L542" t="s">
        <v>506</v>
      </c>
      <c r="M542" t="str">
        <f>VLOOKUP(A542,[1]MSAKEN!$A$1:$F$562,6,FALSE)</f>
        <v>10506040204273578893</v>
      </c>
    </row>
    <row r="543" spans="1:13" x14ac:dyDescent="0.3">
      <c r="A543">
        <v>960</v>
      </c>
      <c r="B543" t="s">
        <v>128</v>
      </c>
      <c r="C543" t="s">
        <v>758</v>
      </c>
      <c r="D543" t="s">
        <v>545</v>
      </c>
      <c r="E543" t="s">
        <v>1251</v>
      </c>
      <c r="F543" s="4">
        <v>25525</v>
      </c>
      <c r="G543">
        <v>5505986</v>
      </c>
      <c r="H543">
        <v>1148980608</v>
      </c>
      <c r="I543" t="s">
        <v>1252</v>
      </c>
      <c r="J543" t="s">
        <v>511</v>
      </c>
      <c r="K543" t="s">
        <v>15</v>
      </c>
      <c r="L543" t="s">
        <v>506</v>
      </c>
      <c r="M543" t="e">
        <f>VLOOKUP(A543,[1]MSAKEN!$A$1:$F$562,6,FALSE)</f>
        <v>#N/A</v>
      </c>
    </row>
    <row r="544" spans="1:13" x14ac:dyDescent="0.3">
      <c r="A544">
        <v>961</v>
      </c>
      <c r="B544" t="s">
        <v>316</v>
      </c>
      <c r="C544" t="s">
        <v>181</v>
      </c>
      <c r="D544" t="s">
        <v>711</v>
      </c>
      <c r="E544" t="s">
        <v>712</v>
      </c>
      <c r="F544" s="4">
        <v>25170</v>
      </c>
      <c r="G544">
        <v>5501176</v>
      </c>
      <c r="H544">
        <v>1151967104</v>
      </c>
      <c r="I544" t="s">
        <v>567</v>
      </c>
      <c r="J544" t="s">
        <v>568</v>
      </c>
      <c r="K544" t="s">
        <v>15</v>
      </c>
      <c r="L544" t="s">
        <v>506</v>
      </c>
      <c r="M544" t="str">
        <f>VLOOKUP(A544,[1]MSAKEN!$A$1:$F$562,6,FALSE)</f>
        <v>10506040206727078851</v>
      </c>
    </row>
    <row r="545" spans="1:13" x14ac:dyDescent="0.3">
      <c r="A545">
        <v>962</v>
      </c>
      <c r="B545" t="s">
        <v>348</v>
      </c>
      <c r="C545" t="s">
        <v>34</v>
      </c>
      <c r="D545" t="s">
        <v>615</v>
      </c>
      <c r="E545" t="s">
        <v>645</v>
      </c>
      <c r="F545" s="4">
        <v>24540</v>
      </c>
      <c r="G545">
        <v>2996337</v>
      </c>
      <c r="H545">
        <v>1155318502</v>
      </c>
      <c r="I545" t="s">
        <v>1363</v>
      </c>
      <c r="J545" t="s">
        <v>513</v>
      </c>
      <c r="K545" t="s">
        <v>15</v>
      </c>
      <c r="L545" t="s">
        <v>506</v>
      </c>
      <c r="M545" t="e">
        <f>VLOOKUP(A545,[1]MSAKEN!$A$1:$F$562,6,FALSE)</f>
        <v>#N/A</v>
      </c>
    </row>
    <row r="546" spans="1:13" x14ac:dyDescent="0.3">
      <c r="A546">
        <v>965</v>
      </c>
      <c r="B546" t="s">
        <v>1215</v>
      </c>
      <c r="C546" t="s">
        <v>435</v>
      </c>
      <c r="D546" t="s">
        <v>1216</v>
      </c>
      <c r="E546" t="s">
        <v>536</v>
      </c>
      <c r="F546" s="4">
        <v>25242</v>
      </c>
      <c r="G546">
        <v>5511294</v>
      </c>
      <c r="H546">
        <v>1149275800</v>
      </c>
      <c r="I546" t="s">
        <v>1217</v>
      </c>
      <c r="J546" t="s">
        <v>511</v>
      </c>
      <c r="K546" t="s">
        <v>15</v>
      </c>
      <c r="L546" t="s">
        <v>506</v>
      </c>
      <c r="M546" t="str">
        <f>VLOOKUP(A546,[1]MSAKEN!$A$1:$F$562,6,FALSE)</f>
        <v>14007007100705944102</v>
      </c>
    </row>
    <row r="547" spans="1:13" x14ac:dyDescent="0.3">
      <c r="A547">
        <v>966</v>
      </c>
      <c r="B547" t="s">
        <v>171</v>
      </c>
      <c r="C547" t="s">
        <v>306</v>
      </c>
      <c r="D547" t="s">
        <v>502</v>
      </c>
      <c r="E547" t="s">
        <v>502</v>
      </c>
      <c r="F547" s="4">
        <v>25822</v>
      </c>
      <c r="G547">
        <v>5514320</v>
      </c>
      <c r="H547">
        <v>1149266700</v>
      </c>
      <c r="I547" t="s">
        <v>1364</v>
      </c>
      <c r="J547" t="s">
        <v>574</v>
      </c>
      <c r="K547" t="s">
        <v>15</v>
      </c>
      <c r="L547" t="s">
        <v>506</v>
      </c>
      <c r="M547" t="e">
        <f>VLOOKUP(A547,[1]MSAKEN!$A$1:$F$562,6,FALSE)</f>
        <v>#N/A</v>
      </c>
    </row>
    <row r="548" spans="1:13" x14ac:dyDescent="0.3">
      <c r="A548">
        <v>967</v>
      </c>
      <c r="B548" t="s">
        <v>399</v>
      </c>
      <c r="C548" t="s">
        <v>34</v>
      </c>
      <c r="D548" t="s">
        <v>648</v>
      </c>
      <c r="E548" t="s">
        <v>1365</v>
      </c>
      <c r="F548" s="4">
        <v>24310</v>
      </c>
      <c r="G548">
        <v>1347567</v>
      </c>
      <c r="H548">
        <v>1151969605</v>
      </c>
      <c r="I548" t="s">
        <v>502</v>
      </c>
      <c r="J548" t="s">
        <v>502</v>
      </c>
      <c r="K548" t="s">
        <v>15</v>
      </c>
      <c r="L548" t="s">
        <v>506</v>
      </c>
      <c r="M548" t="str">
        <f>VLOOKUP(A548,[1]MSAKEN!$A$1:$F$562,6,FALSE)</f>
        <v>10609089100853078855</v>
      </c>
    </row>
    <row r="549" spans="1:13" x14ac:dyDescent="0.3">
      <c r="A549">
        <v>968</v>
      </c>
      <c r="B549" t="s">
        <v>1298</v>
      </c>
      <c r="C549" t="s">
        <v>76</v>
      </c>
      <c r="D549" t="s">
        <v>502</v>
      </c>
      <c r="E549" t="s">
        <v>502</v>
      </c>
      <c r="F549" s="4">
        <v>23353</v>
      </c>
      <c r="G549">
        <v>2965768</v>
      </c>
      <c r="H549">
        <v>1129540009</v>
      </c>
      <c r="I549" t="s">
        <v>871</v>
      </c>
      <c r="J549" t="s">
        <v>755</v>
      </c>
      <c r="K549" t="s">
        <v>15</v>
      </c>
      <c r="L549" t="s">
        <v>506</v>
      </c>
      <c r="M549" t="e">
        <f>VLOOKUP(A549,[1]MSAKEN!$A$1:$F$562,6,FALSE)</f>
        <v>#N/A</v>
      </c>
    </row>
    <row r="550" spans="1:13" x14ac:dyDescent="0.3">
      <c r="A550">
        <v>971</v>
      </c>
      <c r="B550" t="s">
        <v>1366</v>
      </c>
      <c r="C550" t="s">
        <v>139</v>
      </c>
      <c r="D550" t="s">
        <v>502</v>
      </c>
      <c r="E550" t="s">
        <v>502</v>
      </c>
      <c r="F550" t="s">
        <v>502</v>
      </c>
      <c r="G550">
        <v>2761353</v>
      </c>
      <c r="H550">
        <v>0</v>
      </c>
      <c r="I550" t="s">
        <v>1367</v>
      </c>
      <c r="J550" t="s">
        <v>502</v>
      </c>
      <c r="K550" t="s">
        <v>16</v>
      </c>
      <c r="L550" t="s">
        <v>506</v>
      </c>
      <c r="M550" t="e">
        <f>VLOOKUP(A550,[1]MSAKEN!$A$1:$F$562,6,FALSE)</f>
        <v>#N/A</v>
      </c>
    </row>
    <row r="551" spans="1:13" x14ac:dyDescent="0.3">
      <c r="A551">
        <v>972</v>
      </c>
      <c r="B551" t="s">
        <v>275</v>
      </c>
      <c r="C551" t="s">
        <v>758</v>
      </c>
      <c r="D551" t="s">
        <v>535</v>
      </c>
      <c r="E551" t="s">
        <v>569</v>
      </c>
      <c r="F551" s="4">
        <v>24814</v>
      </c>
      <c r="G551">
        <v>2993202</v>
      </c>
      <c r="H551">
        <v>1149683003</v>
      </c>
      <c r="I551" t="s">
        <v>1368</v>
      </c>
      <c r="J551" t="s">
        <v>513</v>
      </c>
      <c r="K551" t="s">
        <v>15</v>
      </c>
      <c r="L551" t="s">
        <v>506</v>
      </c>
      <c r="M551" t="e">
        <f>VLOOKUP(A551,[1]MSAKEN!$A$1:$F$562,6,FALSE)</f>
        <v>#N/A</v>
      </c>
    </row>
    <row r="552" spans="1:13" x14ac:dyDescent="0.3">
      <c r="A552">
        <v>973</v>
      </c>
      <c r="B552" t="s">
        <v>1369</v>
      </c>
      <c r="C552" t="s">
        <v>34</v>
      </c>
      <c r="D552" t="s">
        <v>535</v>
      </c>
      <c r="E552" t="s">
        <v>708</v>
      </c>
      <c r="F552" s="4">
        <v>23459</v>
      </c>
      <c r="G552">
        <v>2954381</v>
      </c>
      <c r="H552">
        <v>1120178403</v>
      </c>
      <c r="I552" t="s">
        <v>1370</v>
      </c>
      <c r="J552" t="s">
        <v>513</v>
      </c>
      <c r="K552" t="s">
        <v>15</v>
      </c>
      <c r="L552" t="s">
        <v>506</v>
      </c>
      <c r="M552" t="e">
        <f>VLOOKUP(A552,[1]MSAKEN!$A$1:$F$562,6,FALSE)</f>
        <v>#N/A</v>
      </c>
    </row>
    <row r="553" spans="1:13" x14ac:dyDescent="0.3">
      <c r="A553">
        <v>978</v>
      </c>
      <c r="B553" t="s">
        <v>37</v>
      </c>
      <c r="C553" t="s">
        <v>28</v>
      </c>
      <c r="D553" t="s">
        <v>772</v>
      </c>
      <c r="E553" t="s">
        <v>649</v>
      </c>
      <c r="F553" s="4">
        <v>26055</v>
      </c>
      <c r="G553">
        <v>5523752</v>
      </c>
      <c r="H553">
        <v>1152445506</v>
      </c>
      <c r="I553" t="s">
        <v>1371</v>
      </c>
      <c r="J553" t="s">
        <v>513</v>
      </c>
      <c r="K553" t="s">
        <v>15</v>
      </c>
      <c r="L553" t="s">
        <v>506</v>
      </c>
      <c r="M553" t="str">
        <f>VLOOKUP(A553,[1]MSAKEN!$A$1:$F$562,6,FALSE)</f>
        <v>03508056010100346714</v>
      </c>
    </row>
    <row r="554" spans="1:13" x14ac:dyDescent="0.3">
      <c r="A554">
        <v>982</v>
      </c>
      <c r="B554" t="s">
        <v>1372</v>
      </c>
      <c r="C554" t="s">
        <v>249</v>
      </c>
      <c r="D554" t="s">
        <v>502</v>
      </c>
      <c r="E554" t="s">
        <v>502</v>
      </c>
      <c r="F554" t="s">
        <v>502</v>
      </c>
      <c r="G554" t="s">
        <v>502</v>
      </c>
      <c r="H554" t="s">
        <v>502</v>
      </c>
      <c r="I554" t="s">
        <v>502</v>
      </c>
      <c r="J554" t="s">
        <v>502</v>
      </c>
      <c r="K554" t="s">
        <v>15</v>
      </c>
      <c r="L554" t="s">
        <v>502</v>
      </c>
      <c r="M554" t="e">
        <f>VLOOKUP(A554,[1]MSAKEN!$A$1:$F$562,6,FALSE)</f>
        <v>#N/A</v>
      </c>
    </row>
    <row r="555" spans="1:13" x14ac:dyDescent="0.3">
      <c r="A555">
        <v>986</v>
      </c>
      <c r="B555" t="s">
        <v>135</v>
      </c>
      <c r="C555" t="s">
        <v>102</v>
      </c>
      <c r="D555" t="s">
        <v>535</v>
      </c>
      <c r="E555" t="s">
        <v>954</v>
      </c>
      <c r="F555" s="4">
        <v>23233</v>
      </c>
      <c r="G555">
        <v>2950449</v>
      </c>
      <c r="H555">
        <v>1152703805</v>
      </c>
      <c r="I555" t="s">
        <v>1373</v>
      </c>
      <c r="J555" t="s">
        <v>1048</v>
      </c>
      <c r="K555" t="s">
        <v>15</v>
      </c>
      <c r="L555" t="s">
        <v>506</v>
      </c>
      <c r="M555" t="str">
        <f>VLOOKUP(A555,[1]MSAKEN!$A$1:$F$562,6,FALSE)</f>
        <v>14007150111003914695</v>
      </c>
    </row>
    <row r="556" spans="1:13" x14ac:dyDescent="0.3">
      <c r="A556">
        <v>990</v>
      </c>
      <c r="B556" t="s">
        <v>1374</v>
      </c>
      <c r="C556" t="s">
        <v>102</v>
      </c>
      <c r="D556" t="s">
        <v>535</v>
      </c>
      <c r="E556" t="s">
        <v>1375</v>
      </c>
      <c r="F556" s="4">
        <v>24113</v>
      </c>
      <c r="G556">
        <v>2971250</v>
      </c>
      <c r="H556">
        <v>1129760805</v>
      </c>
      <c r="I556" t="s">
        <v>1376</v>
      </c>
      <c r="J556" t="s">
        <v>1048</v>
      </c>
      <c r="K556" t="s">
        <v>15</v>
      </c>
      <c r="L556" t="s">
        <v>506</v>
      </c>
      <c r="M556" t="str">
        <f>VLOOKUP(A556,[1]MSAKEN!$A$1:$F$562,6,FALSE)</f>
        <v>10506040204556378804</v>
      </c>
    </row>
    <row r="557" spans="1:13" x14ac:dyDescent="0.3">
      <c r="A557">
        <v>993</v>
      </c>
      <c r="B557" t="s">
        <v>463</v>
      </c>
      <c r="C557" t="s">
        <v>129</v>
      </c>
      <c r="D557" t="s">
        <v>670</v>
      </c>
      <c r="E557" t="s">
        <v>584</v>
      </c>
      <c r="F557" s="4">
        <v>22253</v>
      </c>
      <c r="G557">
        <v>2844713</v>
      </c>
      <c r="H557">
        <v>1107223503</v>
      </c>
      <c r="I557" t="s">
        <v>683</v>
      </c>
      <c r="J557" t="s">
        <v>513</v>
      </c>
      <c r="K557" t="s">
        <v>15</v>
      </c>
      <c r="L557" t="s">
        <v>506</v>
      </c>
      <c r="M557" t="str">
        <f>VLOOKUP(A557,[1]MSAKEN!$A$1:$F$562,6,FALSE)</f>
        <v>24010035312251110102</v>
      </c>
    </row>
    <row r="558" spans="1:13" x14ac:dyDescent="0.3">
      <c r="A558">
        <v>995</v>
      </c>
      <c r="B558" t="s">
        <v>231</v>
      </c>
      <c r="C558" t="s">
        <v>28</v>
      </c>
      <c r="D558" t="s">
        <v>728</v>
      </c>
      <c r="E558" t="s">
        <v>696</v>
      </c>
      <c r="F558" s="4">
        <v>23801</v>
      </c>
      <c r="G558">
        <v>2978477</v>
      </c>
      <c r="H558">
        <v>1146026800</v>
      </c>
      <c r="I558" t="s">
        <v>1377</v>
      </c>
      <c r="J558" t="s">
        <v>513</v>
      </c>
      <c r="K558" t="s">
        <v>15</v>
      </c>
      <c r="L558" t="s">
        <v>506</v>
      </c>
      <c r="M558" t="e">
        <f>VLOOKUP(A558,[1]MSAKEN!$A$1:$F$562,6,FALSE)</f>
        <v>#N/A</v>
      </c>
    </row>
    <row r="559" spans="1:13" x14ac:dyDescent="0.3">
      <c r="A559">
        <v>996</v>
      </c>
      <c r="B559" t="s">
        <v>1378</v>
      </c>
      <c r="C559" t="s">
        <v>255</v>
      </c>
      <c r="D559" t="s">
        <v>502</v>
      </c>
      <c r="E559" t="s">
        <v>502</v>
      </c>
      <c r="F559" s="4">
        <v>23913</v>
      </c>
      <c r="G559">
        <v>4473118</v>
      </c>
      <c r="H559">
        <v>1120443609</v>
      </c>
      <c r="I559" t="s">
        <v>1379</v>
      </c>
      <c r="J559" t="s">
        <v>511</v>
      </c>
      <c r="K559" t="s">
        <v>15</v>
      </c>
      <c r="L559" t="s">
        <v>506</v>
      </c>
      <c r="M559" t="e">
        <f>VLOOKUP(A559,[1]MSAKEN!$A$1:$F$562,6,FALSE)</f>
        <v>#N/A</v>
      </c>
    </row>
    <row r="560" spans="1:13" x14ac:dyDescent="0.3">
      <c r="A560">
        <v>997</v>
      </c>
      <c r="B560" t="s">
        <v>1380</v>
      </c>
      <c r="C560" t="s">
        <v>115</v>
      </c>
      <c r="D560" t="s">
        <v>648</v>
      </c>
      <c r="E560" t="s">
        <v>584</v>
      </c>
      <c r="F560" s="4">
        <v>24866</v>
      </c>
      <c r="G560">
        <v>5505960</v>
      </c>
      <c r="H560">
        <v>1158917805</v>
      </c>
      <c r="I560" t="s">
        <v>1381</v>
      </c>
      <c r="J560" t="s">
        <v>513</v>
      </c>
      <c r="K560" t="s">
        <v>15</v>
      </c>
      <c r="L560" t="s">
        <v>506</v>
      </c>
      <c r="M560" t="str">
        <f>VLOOKUP(A560,[1]MSAKEN!$A$1:$F$562,6,FALSE)</f>
        <v>03508056010100160474</v>
      </c>
    </row>
    <row r="561" spans="1:13" x14ac:dyDescent="0.3">
      <c r="A561">
        <v>1502</v>
      </c>
      <c r="B561" t="s">
        <v>1382</v>
      </c>
      <c r="C561" t="s">
        <v>118</v>
      </c>
      <c r="D561" t="s">
        <v>502</v>
      </c>
      <c r="E561" t="s">
        <v>502</v>
      </c>
      <c r="F561" t="s">
        <v>502</v>
      </c>
      <c r="G561" t="s">
        <v>502</v>
      </c>
      <c r="H561" t="s">
        <v>502</v>
      </c>
      <c r="I561" t="s">
        <v>502</v>
      </c>
      <c r="J561" t="s">
        <v>502</v>
      </c>
      <c r="K561" t="s">
        <v>15</v>
      </c>
      <c r="L561" t="s">
        <v>502</v>
      </c>
      <c r="M561" t="e">
        <f>VLOOKUP(A561,[1]MSAKEN!$A$1:$F$562,6,FALSE)</f>
        <v>#N/A</v>
      </c>
    </row>
    <row r="562" spans="1:13" x14ac:dyDescent="0.3">
      <c r="A562">
        <v>1503</v>
      </c>
      <c r="B562" t="s">
        <v>324</v>
      </c>
      <c r="C562" t="s">
        <v>66</v>
      </c>
      <c r="D562" t="s">
        <v>648</v>
      </c>
      <c r="E562" t="s">
        <v>712</v>
      </c>
      <c r="F562" s="4">
        <v>22073</v>
      </c>
      <c r="G562">
        <v>2802071</v>
      </c>
      <c r="H562">
        <v>1130420407</v>
      </c>
      <c r="I562" t="s">
        <v>1383</v>
      </c>
      <c r="J562" t="s">
        <v>513</v>
      </c>
      <c r="K562" t="s">
        <v>15</v>
      </c>
      <c r="L562" t="s">
        <v>506</v>
      </c>
      <c r="M562" t="str">
        <f>VLOOKUP(A562,[1]MSAKEN!$A$1:$F$562,6,FALSE)</f>
        <v>10506040204797678817</v>
      </c>
    </row>
    <row r="563" spans="1:13" x14ac:dyDescent="0.3">
      <c r="A563">
        <v>1504</v>
      </c>
      <c r="B563" t="s">
        <v>350</v>
      </c>
      <c r="C563" t="s">
        <v>181</v>
      </c>
      <c r="D563" t="s">
        <v>797</v>
      </c>
      <c r="E563" t="s">
        <v>645</v>
      </c>
      <c r="F563" s="4">
        <v>25366</v>
      </c>
      <c r="G563">
        <v>2993547</v>
      </c>
      <c r="H563">
        <v>1157637206</v>
      </c>
      <c r="I563" t="s">
        <v>550</v>
      </c>
      <c r="J563" t="s">
        <v>513</v>
      </c>
      <c r="K563" t="s">
        <v>15</v>
      </c>
      <c r="L563" t="s">
        <v>506</v>
      </c>
      <c r="M563" t="str">
        <f>VLOOKUP(A563,[1]MSAKEN!$A$1:$F$562,6,FALSE)</f>
        <v>05048000116500049403</v>
      </c>
    </row>
    <row r="564" spans="1:13" x14ac:dyDescent="0.3">
      <c r="A564">
        <v>1505</v>
      </c>
      <c r="B564" t="s">
        <v>1384</v>
      </c>
      <c r="C564" t="s">
        <v>34</v>
      </c>
      <c r="D564" t="s">
        <v>502</v>
      </c>
      <c r="E564" t="s">
        <v>502</v>
      </c>
      <c r="F564" t="s">
        <v>502</v>
      </c>
      <c r="G564">
        <v>5527033</v>
      </c>
      <c r="H564">
        <v>1163482308</v>
      </c>
      <c r="I564" t="s">
        <v>1385</v>
      </c>
      <c r="J564" t="s">
        <v>502</v>
      </c>
      <c r="K564" t="s">
        <v>15</v>
      </c>
      <c r="L564" t="s">
        <v>506</v>
      </c>
      <c r="M564" t="e">
        <f>VLOOKUP(A564,[1]MSAKEN!$A$1:$F$562,6,FALSE)</f>
        <v>#N/A</v>
      </c>
    </row>
    <row r="565" spans="1:13" x14ac:dyDescent="0.3">
      <c r="A565">
        <v>1506</v>
      </c>
      <c r="B565" t="s">
        <v>121</v>
      </c>
      <c r="C565" t="s">
        <v>246</v>
      </c>
      <c r="D565" t="s">
        <v>648</v>
      </c>
      <c r="E565" t="s">
        <v>1093</v>
      </c>
      <c r="F565" s="4">
        <v>23354</v>
      </c>
      <c r="G565">
        <v>2948163</v>
      </c>
      <c r="H565">
        <v>1159951100</v>
      </c>
      <c r="I565" t="s">
        <v>683</v>
      </c>
      <c r="J565" t="s">
        <v>513</v>
      </c>
      <c r="K565" t="s">
        <v>15</v>
      </c>
      <c r="L565" t="s">
        <v>506</v>
      </c>
      <c r="M565" t="e">
        <f>VLOOKUP(A565,[1]MSAKEN!$A$1:$F$562,6,FALSE)</f>
        <v>#N/A</v>
      </c>
    </row>
    <row r="566" spans="1:13" x14ac:dyDescent="0.3">
      <c r="A566">
        <v>1507</v>
      </c>
      <c r="B566" t="s">
        <v>197</v>
      </c>
      <c r="C566" t="s">
        <v>89</v>
      </c>
      <c r="D566" t="s">
        <v>535</v>
      </c>
      <c r="E566" t="s">
        <v>1386</v>
      </c>
      <c r="F566" s="4">
        <v>23691</v>
      </c>
      <c r="G566">
        <v>2958639</v>
      </c>
      <c r="H566">
        <v>1159946100</v>
      </c>
      <c r="I566" t="s">
        <v>1064</v>
      </c>
      <c r="J566" t="s">
        <v>833</v>
      </c>
      <c r="K566" t="s">
        <v>15</v>
      </c>
      <c r="L566" t="s">
        <v>506</v>
      </c>
      <c r="M566" t="str">
        <f>VLOOKUP(A566,[1]MSAKEN!$A$1:$F$562,6,FALSE)</f>
        <v>05048000116500172593</v>
      </c>
    </row>
    <row r="567" spans="1:13" x14ac:dyDescent="0.3">
      <c r="A567">
        <v>1508</v>
      </c>
      <c r="B567" t="s">
        <v>61</v>
      </c>
      <c r="C567" t="s">
        <v>1387</v>
      </c>
      <c r="D567" t="s">
        <v>502</v>
      </c>
      <c r="E567" t="s">
        <v>502</v>
      </c>
      <c r="F567" s="4">
        <v>23692</v>
      </c>
      <c r="G567">
        <v>2974425</v>
      </c>
      <c r="H567">
        <v>1169949300</v>
      </c>
      <c r="I567" t="s">
        <v>1388</v>
      </c>
      <c r="J567" t="s">
        <v>513</v>
      </c>
      <c r="K567" t="s">
        <v>15</v>
      </c>
      <c r="L567" t="s">
        <v>17</v>
      </c>
      <c r="M567" t="e">
        <f>VLOOKUP(A567,[1]MSAKEN!$A$1:$F$562,6,FALSE)</f>
        <v>#N/A</v>
      </c>
    </row>
    <row r="568" spans="1:13" x14ac:dyDescent="0.3">
      <c r="A568">
        <v>1509</v>
      </c>
      <c r="B568" t="s">
        <v>203</v>
      </c>
      <c r="C568" t="s">
        <v>202</v>
      </c>
      <c r="D568" t="s">
        <v>564</v>
      </c>
      <c r="E568" t="s">
        <v>584</v>
      </c>
      <c r="F568" s="4">
        <v>25468</v>
      </c>
      <c r="G568">
        <v>2970561</v>
      </c>
      <c r="H568">
        <v>1151970405</v>
      </c>
      <c r="I568" t="s">
        <v>1389</v>
      </c>
      <c r="J568" t="s">
        <v>513</v>
      </c>
      <c r="K568" t="s">
        <v>15</v>
      </c>
      <c r="L568" t="s">
        <v>506</v>
      </c>
      <c r="M568" t="str">
        <f>VLOOKUP(A568,[1]MSAKEN!$A$1:$F$562,6,FALSE)</f>
        <v>10506040204389678872</v>
      </c>
    </row>
    <row r="569" spans="1:13" x14ac:dyDescent="0.3">
      <c r="A569">
        <v>1510</v>
      </c>
      <c r="B569" t="s">
        <v>41</v>
      </c>
      <c r="C569" t="s">
        <v>40</v>
      </c>
      <c r="D569" t="s">
        <v>648</v>
      </c>
      <c r="E569" t="s">
        <v>652</v>
      </c>
      <c r="F569" s="4">
        <v>25667</v>
      </c>
      <c r="G569">
        <v>5528946</v>
      </c>
      <c r="H569">
        <v>1150194304</v>
      </c>
      <c r="I569" t="s">
        <v>1390</v>
      </c>
      <c r="J569" t="s">
        <v>513</v>
      </c>
      <c r="K569" t="s">
        <v>15</v>
      </c>
      <c r="L569" t="s">
        <v>506</v>
      </c>
      <c r="M569" t="str">
        <f>VLOOKUP(A569,[1]MSAKEN!$A$1:$F$562,6,FALSE)</f>
        <v>25066000000051739067</v>
      </c>
    </row>
    <row r="570" spans="1:13" x14ac:dyDescent="0.3">
      <c r="A570">
        <v>1511</v>
      </c>
      <c r="B570" t="s">
        <v>124</v>
      </c>
      <c r="C570" t="s">
        <v>332</v>
      </c>
      <c r="D570" t="s">
        <v>834</v>
      </c>
      <c r="E570" t="s">
        <v>649</v>
      </c>
      <c r="F570" s="4">
        <v>24954</v>
      </c>
      <c r="G570">
        <v>2993963</v>
      </c>
      <c r="H570">
        <v>1192122404</v>
      </c>
      <c r="I570" t="s">
        <v>502</v>
      </c>
      <c r="J570" t="s">
        <v>502</v>
      </c>
      <c r="K570" t="s">
        <v>15</v>
      </c>
      <c r="L570" t="s">
        <v>506</v>
      </c>
      <c r="M570" t="str">
        <f>VLOOKUP(A570,[1]MSAKEN!$A$1:$F$562,6,FALSE)</f>
        <v>08506000252000603979</v>
      </c>
    </row>
    <row r="571" spans="1:13" x14ac:dyDescent="0.3">
      <c r="A571">
        <v>1513</v>
      </c>
      <c r="B571" t="s">
        <v>1391</v>
      </c>
      <c r="C571" t="s">
        <v>94</v>
      </c>
      <c r="D571" t="s">
        <v>502</v>
      </c>
      <c r="E571" t="s">
        <v>502</v>
      </c>
      <c r="F571" t="s">
        <v>502</v>
      </c>
      <c r="G571" t="s">
        <v>502</v>
      </c>
      <c r="H571" t="s">
        <v>502</v>
      </c>
      <c r="I571" t="s">
        <v>502</v>
      </c>
      <c r="J571" t="s">
        <v>502</v>
      </c>
      <c r="K571" t="s">
        <v>15</v>
      </c>
      <c r="L571" t="s">
        <v>502</v>
      </c>
      <c r="M571" t="e">
        <f>VLOOKUP(A571,[1]MSAKEN!$A$1:$F$562,6,FALSE)</f>
        <v>#N/A</v>
      </c>
    </row>
    <row r="572" spans="1:13" x14ac:dyDescent="0.3">
      <c r="A572">
        <v>1514</v>
      </c>
      <c r="B572" t="s">
        <v>401</v>
      </c>
      <c r="C572" t="s">
        <v>400</v>
      </c>
      <c r="D572" t="s">
        <v>535</v>
      </c>
      <c r="E572" t="s">
        <v>584</v>
      </c>
      <c r="F572" s="4">
        <v>23482</v>
      </c>
      <c r="G572">
        <v>2970886</v>
      </c>
      <c r="H572">
        <v>1122292806</v>
      </c>
      <c r="I572" t="s">
        <v>1392</v>
      </c>
      <c r="J572" t="s">
        <v>511</v>
      </c>
      <c r="K572" t="s">
        <v>15</v>
      </c>
      <c r="L572" t="s">
        <v>506</v>
      </c>
      <c r="M572" t="str">
        <f>VLOOKUP(A572,[1]MSAKEN!$A$1:$F$562,6,FALSE)</f>
        <v>04500043000973256116</v>
      </c>
    </row>
    <row r="573" spans="1:13" x14ac:dyDescent="0.3">
      <c r="A573">
        <v>1515</v>
      </c>
      <c r="B573" t="s">
        <v>179</v>
      </c>
      <c r="C573" t="s">
        <v>118</v>
      </c>
      <c r="D573" t="s">
        <v>1173</v>
      </c>
      <c r="E573" t="s">
        <v>1393</v>
      </c>
      <c r="F573" s="4">
        <v>20116</v>
      </c>
      <c r="G573">
        <v>2992396</v>
      </c>
      <c r="H573">
        <v>94331000</v>
      </c>
      <c r="I573" t="s">
        <v>1394</v>
      </c>
      <c r="J573" t="s">
        <v>513</v>
      </c>
      <c r="K573" t="s">
        <v>15</v>
      </c>
      <c r="L573" t="s">
        <v>506</v>
      </c>
      <c r="M573" t="e">
        <f>VLOOKUP(A573,[1]MSAKEN!$A$1:$F$562,6,FALSE)</f>
        <v>#N/A</v>
      </c>
    </row>
    <row r="574" spans="1:13" x14ac:dyDescent="0.3">
      <c r="A574">
        <v>1516</v>
      </c>
      <c r="B574" t="s">
        <v>362</v>
      </c>
      <c r="C574" t="s">
        <v>1395</v>
      </c>
      <c r="D574" t="s">
        <v>502</v>
      </c>
      <c r="E574" t="s">
        <v>502</v>
      </c>
      <c r="F574" s="4">
        <v>23867</v>
      </c>
      <c r="G574" t="s">
        <v>502</v>
      </c>
      <c r="H574" t="s">
        <v>502</v>
      </c>
      <c r="I574" t="s">
        <v>502</v>
      </c>
      <c r="J574" t="s">
        <v>502</v>
      </c>
      <c r="K574" t="s">
        <v>15</v>
      </c>
      <c r="L574" t="s">
        <v>502</v>
      </c>
      <c r="M574" t="e">
        <f>VLOOKUP(A574,[1]MSAKEN!$A$1:$F$562,6,FALSE)</f>
        <v>#N/A</v>
      </c>
    </row>
    <row r="575" spans="1:13" x14ac:dyDescent="0.3">
      <c r="A575">
        <v>1517</v>
      </c>
      <c r="B575" t="s">
        <v>33</v>
      </c>
      <c r="C575" t="s">
        <v>28</v>
      </c>
      <c r="D575" t="s">
        <v>615</v>
      </c>
      <c r="E575" t="s">
        <v>917</v>
      </c>
      <c r="F575" s="4">
        <v>24160</v>
      </c>
      <c r="G575">
        <v>2987687</v>
      </c>
      <c r="H575">
        <v>1166902708</v>
      </c>
      <c r="I575" t="s">
        <v>1396</v>
      </c>
      <c r="J575" t="s">
        <v>513</v>
      </c>
      <c r="K575" t="s">
        <v>15</v>
      </c>
      <c r="L575" t="s">
        <v>506</v>
      </c>
      <c r="M575" t="e">
        <f>VLOOKUP(A575,[1]MSAKEN!$A$1:$F$562,6,FALSE)</f>
        <v>#N/A</v>
      </c>
    </row>
    <row r="576" spans="1:13" x14ac:dyDescent="0.3">
      <c r="A576">
        <v>1518</v>
      </c>
      <c r="B576" t="s">
        <v>437</v>
      </c>
      <c r="C576" t="s">
        <v>436</v>
      </c>
      <c r="D576" t="s">
        <v>535</v>
      </c>
      <c r="E576" t="s">
        <v>696</v>
      </c>
      <c r="F576" s="4">
        <v>25111</v>
      </c>
      <c r="G576">
        <v>2981646</v>
      </c>
      <c r="H576">
        <v>1171202102</v>
      </c>
      <c r="I576" t="s">
        <v>1397</v>
      </c>
      <c r="J576" t="s">
        <v>502</v>
      </c>
      <c r="K576" t="s">
        <v>15</v>
      </c>
      <c r="L576" t="s">
        <v>506</v>
      </c>
      <c r="M576" t="str">
        <f>VLOOKUP(A576,[1]MSAKEN!$A$1:$F$562,6,FALSE)</f>
        <v>04128195003344346642</v>
      </c>
    </row>
    <row r="577" spans="1:13" x14ac:dyDescent="0.3">
      <c r="A577">
        <v>1519</v>
      </c>
      <c r="B577" t="s">
        <v>19</v>
      </c>
      <c r="C577" t="s">
        <v>156</v>
      </c>
      <c r="D577" t="s">
        <v>502</v>
      </c>
      <c r="E577" t="s">
        <v>502</v>
      </c>
      <c r="F577" s="4">
        <v>23044</v>
      </c>
      <c r="G577">
        <v>2953050</v>
      </c>
      <c r="H577">
        <v>1169472709</v>
      </c>
      <c r="I577" t="s">
        <v>1398</v>
      </c>
      <c r="J577" t="s">
        <v>513</v>
      </c>
      <c r="K577" t="s">
        <v>15</v>
      </c>
      <c r="L577" t="s">
        <v>506</v>
      </c>
      <c r="M577" t="e">
        <f>VLOOKUP(A577,[1]MSAKEN!$A$1:$F$562,6,FALSE)</f>
        <v>#N/A</v>
      </c>
    </row>
    <row r="578" spans="1:13" x14ac:dyDescent="0.3">
      <c r="A578">
        <v>1520</v>
      </c>
      <c r="B578" t="s">
        <v>199</v>
      </c>
      <c r="C578" t="s">
        <v>224</v>
      </c>
      <c r="D578" t="s">
        <v>502</v>
      </c>
      <c r="E578" t="s">
        <v>502</v>
      </c>
      <c r="F578" t="s">
        <v>502</v>
      </c>
      <c r="G578">
        <v>2993274</v>
      </c>
      <c r="H578">
        <v>1153889702</v>
      </c>
      <c r="I578" t="s">
        <v>1399</v>
      </c>
      <c r="J578" t="s">
        <v>502</v>
      </c>
      <c r="K578" t="s">
        <v>15</v>
      </c>
      <c r="L578" t="s">
        <v>506</v>
      </c>
      <c r="M578" t="e">
        <f>VLOOKUP(A578,[1]MSAKEN!$A$1:$F$562,6,FALSE)</f>
        <v>#N/A</v>
      </c>
    </row>
    <row r="579" spans="1:13" x14ac:dyDescent="0.3">
      <c r="A579">
        <v>1521</v>
      </c>
      <c r="B579" t="s">
        <v>1400</v>
      </c>
      <c r="C579" t="s">
        <v>1401</v>
      </c>
      <c r="D579" t="s">
        <v>502</v>
      </c>
      <c r="E579" t="s">
        <v>502</v>
      </c>
      <c r="F579" s="4">
        <v>25078</v>
      </c>
      <c r="G579">
        <v>2994155</v>
      </c>
      <c r="H579">
        <v>1163575903</v>
      </c>
      <c r="I579" t="s">
        <v>1402</v>
      </c>
      <c r="J579" t="s">
        <v>513</v>
      </c>
      <c r="K579" t="s">
        <v>15</v>
      </c>
      <c r="L579" t="s">
        <v>506</v>
      </c>
      <c r="M579" t="e">
        <f>VLOOKUP(A579,[1]MSAKEN!$A$1:$F$562,6,FALSE)</f>
        <v>#N/A</v>
      </c>
    </row>
    <row r="580" spans="1:13" x14ac:dyDescent="0.3">
      <c r="A580">
        <v>1522</v>
      </c>
      <c r="B580" t="s">
        <v>381</v>
      </c>
      <c r="C580" t="s">
        <v>380</v>
      </c>
      <c r="D580" t="s">
        <v>535</v>
      </c>
      <c r="E580" t="s">
        <v>546</v>
      </c>
      <c r="F580" s="4">
        <v>26021</v>
      </c>
      <c r="G580">
        <v>5508590</v>
      </c>
      <c r="H580">
        <v>1169472907</v>
      </c>
      <c r="I580" t="s">
        <v>1403</v>
      </c>
      <c r="J580" t="s">
        <v>513</v>
      </c>
      <c r="K580" t="s">
        <v>15</v>
      </c>
      <c r="L580" t="s">
        <v>506</v>
      </c>
      <c r="M580" t="e">
        <f>VLOOKUP(A580,[1]MSAKEN!$A$1:$F$562,6,FALSE)</f>
        <v>#N/A</v>
      </c>
    </row>
    <row r="581" spans="1:13" x14ac:dyDescent="0.3">
      <c r="A581">
        <v>1523</v>
      </c>
      <c r="B581" t="s">
        <v>316</v>
      </c>
      <c r="C581" t="s">
        <v>167</v>
      </c>
      <c r="D581" t="s">
        <v>520</v>
      </c>
      <c r="E581" t="s">
        <v>630</v>
      </c>
      <c r="F581" s="4">
        <v>24459</v>
      </c>
      <c r="G581">
        <v>2964564</v>
      </c>
      <c r="H581">
        <v>1166797504</v>
      </c>
      <c r="I581" t="s">
        <v>1051</v>
      </c>
      <c r="J581" t="s">
        <v>513</v>
      </c>
      <c r="K581" t="s">
        <v>15</v>
      </c>
      <c r="L581" t="s">
        <v>506</v>
      </c>
      <c r="M581" t="e">
        <f>VLOOKUP(A581,[1]MSAKEN!$A$1:$F$562,6,FALSE)</f>
        <v>#N/A</v>
      </c>
    </row>
    <row r="582" spans="1:13" x14ac:dyDescent="0.3">
      <c r="A582">
        <v>1524</v>
      </c>
      <c r="B582" t="s">
        <v>614</v>
      </c>
      <c r="C582" t="s">
        <v>31</v>
      </c>
      <c r="D582" t="s">
        <v>615</v>
      </c>
      <c r="E582" t="s">
        <v>1404</v>
      </c>
      <c r="F582" s="4">
        <v>25689</v>
      </c>
      <c r="G582">
        <v>2997573</v>
      </c>
      <c r="H582">
        <v>1163482605</v>
      </c>
      <c r="I582" t="s">
        <v>1405</v>
      </c>
      <c r="J582" t="s">
        <v>513</v>
      </c>
      <c r="K582" t="s">
        <v>15</v>
      </c>
      <c r="L582" t="s">
        <v>506</v>
      </c>
      <c r="M582" t="str">
        <f>VLOOKUP(A582,[1]MSAKEN!$A$1:$F$562,6,FALSE)</f>
        <v>10506040204737478871</v>
      </c>
    </row>
    <row r="583" spans="1:13" x14ac:dyDescent="0.3">
      <c r="A583">
        <v>1525</v>
      </c>
      <c r="B583" t="s">
        <v>338</v>
      </c>
      <c r="C583" t="s">
        <v>337</v>
      </c>
      <c r="D583" t="s">
        <v>632</v>
      </c>
      <c r="E583" t="s">
        <v>1375</v>
      </c>
      <c r="F583" s="4">
        <v>25627</v>
      </c>
      <c r="G583">
        <v>7500595</v>
      </c>
      <c r="H583">
        <v>1192172003</v>
      </c>
      <c r="I583" t="s">
        <v>1406</v>
      </c>
      <c r="J583" t="s">
        <v>513</v>
      </c>
      <c r="K583" t="s">
        <v>15</v>
      </c>
      <c r="L583" t="s">
        <v>506</v>
      </c>
      <c r="M583" t="str">
        <f>VLOOKUP(A583,[1]MSAKEN!$A$1:$F$562,6,FALSE)</f>
        <v>05048000116500490268</v>
      </c>
    </row>
    <row r="584" spans="1:13" x14ac:dyDescent="0.3">
      <c r="A584">
        <v>1526</v>
      </c>
      <c r="B584" t="s">
        <v>104</v>
      </c>
      <c r="C584" t="s">
        <v>321</v>
      </c>
      <c r="D584" t="s">
        <v>654</v>
      </c>
      <c r="E584" t="s">
        <v>1236</v>
      </c>
      <c r="F584" s="4">
        <v>26054</v>
      </c>
      <c r="G584">
        <v>5533508</v>
      </c>
      <c r="H584">
        <v>1162085706</v>
      </c>
      <c r="I584" t="s">
        <v>1407</v>
      </c>
      <c r="J584" t="s">
        <v>513</v>
      </c>
      <c r="K584" t="s">
        <v>15</v>
      </c>
      <c r="L584" t="s">
        <v>506</v>
      </c>
      <c r="M584" t="str">
        <f>VLOOKUP(A584,[1]MSAKEN!$A$1:$F$562,6,FALSE)</f>
        <v>04204067404000765286</v>
      </c>
    </row>
    <row r="585" spans="1:13" x14ac:dyDescent="0.3">
      <c r="A585">
        <v>1527</v>
      </c>
      <c r="B585" t="s">
        <v>475</v>
      </c>
      <c r="C585" t="s">
        <v>139</v>
      </c>
      <c r="D585" t="s">
        <v>502</v>
      </c>
      <c r="E585" t="s">
        <v>502</v>
      </c>
      <c r="F585" t="s">
        <v>502</v>
      </c>
      <c r="G585">
        <v>5559864</v>
      </c>
      <c r="H585">
        <v>1192007605</v>
      </c>
      <c r="I585" t="s">
        <v>1408</v>
      </c>
      <c r="J585" t="s">
        <v>502</v>
      </c>
      <c r="K585" t="s">
        <v>16</v>
      </c>
      <c r="L585" t="s">
        <v>506</v>
      </c>
      <c r="M585" t="e">
        <f>VLOOKUP(A585,[1]MSAKEN!$A$1:$F$562,6,FALSE)</f>
        <v>#N/A</v>
      </c>
    </row>
    <row r="586" spans="1:13" x14ac:dyDescent="0.3">
      <c r="A586">
        <v>1528</v>
      </c>
      <c r="B586" t="s">
        <v>1409</v>
      </c>
      <c r="C586" t="s">
        <v>1410</v>
      </c>
      <c r="D586" t="s">
        <v>502</v>
      </c>
      <c r="E586" t="s">
        <v>502</v>
      </c>
      <c r="F586" s="4">
        <v>26257</v>
      </c>
      <c r="G586">
        <v>5518282</v>
      </c>
      <c r="H586">
        <v>1169884804</v>
      </c>
      <c r="I586" t="s">
        <v>567</v>
      </c>
      <c r="J586" t="s">
        <v>568</v>
      </c>
      <c r="K586" t="s">
        <v>15</v>
      </c>
      <c r="L586" t="s">
        <v>506</v>
      </c>
      <c r="M586" t="e">
        <f>VLOOKUP(A586,[1]MSAKEN!$A$1:$F$562,6,FALSE)</f>
        <v>#N/A</v>
      </c>
    </row>
    <row r="587" spans="1:13" x14ac:dyDescent="0.3">
      <c r="A587">
        <v>1530</v>
      </c>
      <c r="B587" t="s">
        <v>19</v>
      </c>
      <c r="C587" t="s">
        <v>145</v>
      </c>
      <c r="D587" t="s">
        <v>535</v>
      </c>
      <c r="E587" t="s">
        <v>630</v>
      </c>
      <c r="F587" s="4">
        <v>24729</v>
      </c>
      <c r="G587">
        <v>2975287</v>
      </c>
      <c r="H587">
        <v>1163660002</v>
      </c>
      <c r="I587" t="s">
        <v>1411</v>
      </c>
      <c r="J587" t="s">
        <v>511</v>
      </c>
      <c r="K587" t="s">
        <v>15</v>
      </c>
      <c r="L587" t="s">
        <v>506</v>
      </c>
      <c r="M587" t="str">
        <f>VLOOKUP(A587,[1]MSAKEN!$A$1:$F$562,6,FALSE)</f>
        <v>03508056010100214794</v>
      </c>
    </row>
    <row r="588" spans="1:13" x14ac:dyDescent="0.3">
      <c r="A588">
        <v>1532</v>
      </c>
      <c r="B588" t="s">
        <v>735</v>
      </c>
      <c r="C588" t="s">
        <v>1412</v>
      </c>
      <c r="D588" t="s">
        <v>502</v>
      </c>
      <c r="E588" t="s">
        <v>502</v>
      </c>
      <c r="F588" t="s">
        <v>502</v>
      </c>
      <c r="G588" t="s">
        <v>502</v>
      </c>
      <c r="H588" t="s">
        <v>502</v>
      </c>
      <c r="I588" t="s">
        <v>502</v>
      </c>
      <c r="J588" t="s">
        <v>502</v>
      </c>
      <c r="K588" t="s">
        <v>15</v>
      </c>
      <c r="L588" t="s">
        <v>502</v>
      </c>
      <c r="M588" t="e">
        <f>VLOOKUP(A588,[1]MSAKEN!$A$1:$F$562,6,FALSE)</f>
        <v>#N/A</v>
      </c>
    </row>
    <row r="589" spans="1:13" x14ac:dyDescent="0.3">
      <c r="A589">
        <v>1533</v>
      </c>
      <c r="B589" t="s">
        <v>1413</v>
      </c>
      <c r="C589" t="s">
        <v>34</v>
      </c>
      <c r="D589" t="s">
        <v>502</v>
      </c>
      <c r="E589" t="s">
        <v>502</v>
      </c>
      <c r="F589" s="4">
        <v>18787</v>
      </c>
      <c r="G589" t="s">
        <v>502</v>
      </c>
      <c r="H589">
        <v>28364700</v>
      </c>
      <c r="I589" t="s">
        <v>502</v>
      </c>
      <c r="J589" t="s">
        <v>502</v>
      </c>
      <c r="K589" t="s">
        <v>15</v>
      </c>
      <c r="L589" t="s">
        <v>506</v>
      </c>
      <c r="M589" t="e">
        <f>VLOOKUP(A589,[1]MSAKEN!$A$1:$F$562,6,FALSE)</f>
        <v>#N/A</v>
      </c>
    </row>
    <row r="590" spans="1:13" x14ac:dyDescent="0.3">
      <c r="A590">
        <v>1535</v>
      </c>
      <c r="B590" t="s">
        <v>342</v>
      </c>
      <c r="C590" t="s">
        <v>31</v>
      </c>
      <c r="D590" t="s">
        <v>719</v>
      </c>
      <c r="E590" t="s">
        <v>546</v>
      </c>
      <c r="F590" s="4">
        <v>24933</v>
      </c>
      <c r="G590">
        <v>2994632</v>
      </c>
      <c r="H590">
        <v>1178612709</v>
      </c>
      <c r="I590" t="s">
        <v>1414</v>
      </c>
      <c r="J590" t="s">
        <v>513</v>
      </c>
      <c r="K590" t="s">
        <v>15</v>
      </c>
      <c r="L590" t="s">
        <v>506</v>
      </c>
      <c r="M590" t="str">
        <f>VLOOKUP(A590,[1]MSAKEN!$A$1:$F$562,6,FALSE)</f>
        <v>04204067404006923137</v>
      </c>
    </row>
    <row r="591" spans="1:13" x14ac:dyDescent="0.3">
      <c r="A591">
        <v>1536</v>
      </c>
      <c r="B591" t="s">
        <v>1415</v>
      </c>
      <c r="C591" t="s">
        <v>1416</v>
      </c>
      <c r="D591" t="s">
        <v>502</v>
      </c>
      <c r="E591" t="s">
        <v>502</v>
      </c>
      <c r="F591" t="s">
        <v>502</v>
      </c>
      <c r="G591" t="s">
        <v>502</v>
      </c>
      <c r="H591" t="s">
        <v>502</v>
      </c>
      <c r="I591" t="s">
        <v>502</v>
      </c>
      <c r="J591" t="s">
        <v>502</v>
      </c>
      <c r="K591" t="s">
        <v>15</v>
      </c>
      <c r="L591" t="s">
        <v>506</v>
      </c>
      <c r="M591" t="e">
        <f>VLOOKUP(A591,[1]MSAKEN!$A$1:$F$562,6,FALSE)</f>
        <v>#N/A</v>
      </c>
    </row>
    <row r="592" spans="1:13" x14ac:dyDescent="0.3">
      <c r="A592">
        <v>1539</v>
      </c>
      <c r="B592" t="s">
        <v>109</v>
      </c>
      <c r="C592" t="s">
        <v>89</v>
      </c>
      <c r="D592" t="s">
        <v>1417</v>
      </c>
      <c r="E592" t="s">
        <v>699</v>
      </c>
      <c r="F592" s="4">
        <v>21742</v>
      </c>
      <c r="G592">
        <v>2841202</v>
      </c>
      <c r="H592">
        <v>1103647804</v>
      </c>
      <c r="I592" t="s">
        <v>1064</v>
      </c>
      <c r="J592" t="s">
        <v>833</v>
      </c>
      <c r="K592" t="s">
        <v>15</v>
      </c>
      <c r="L592" t="s">
        <v>506</v>
      </c>
      <c r="M592" t="e">
        <f>VLOOKUP(A592,[1]MSAKEN!$A$1:$F$562,6,FALSE)</f>
        <v>#N/A</v>
      </c>
    </row>
    <row r="593" spans="1:13" x14ac:dyDescent="0.3">
      <c r="A593">
        <v>1540</v>
      </c>
      <c r="B593" t="s">
        <v>103</v>
      </c>
      <c r="C593" t="s">
        <v>45</v>
      </c>
      <c r="D593" t="s">
        <v>502</v>
      </c>
      <c r="E593" t="s">
        <v>502</v>
      </c>
      <c r="F593" s="4">
        <v>21188</v>
      </c>
      <c r="G593">
        <v>2861612</v>
      </c>
      <c r="H593">
        <v>1116491208</v>
      </c>
      <c r="I593" t="s">
        <v>1418</v>
      </c>
      <c r="J593" t="s">
        <v>513</v>
      </c>
      <c r="K593" t="s">
        <v>15</v>
      </c>
      <c r="L593" t="s">
        <v>506</v>
      </c>
      <c r="M593" t="e">
        <f>VLOOKUP(A593,[1]MSAKEN!$A$1:$F$562,6,FALSE)</f>
        <v>#N/A</v>
      </c>
    </row>
    <row r="594" spans="1:13" x14ac:dyDescent="0.3">
      <c r="A594">
        <v>1541</v>
      </c>
      <c r="B594" t="s">
        <v>19</v>
      </c>
      <c r="C594" t="s">
        <v>101</v>
      </c>
      <c r="D594" t="s">
        <v>535</v>
      </c>
      <c r="E594" t="s">
        <v>630</v>
      </c>
      <c r="F594" s="4">
        <v>26595</v>
      </c>
      <c r="G594">
        <v>5530020</v>
      </c>
      <c r="H594">
        <v>1171930603</v>
      </c>
      <c r="I594" t="s">
        <v>1419</v>
      </c>
      <c r="J594" t="s">
        <v>513</v>
      </c>
      <c r="K594" t="s">
        <v>15</v>
      </c>
      <c r="L594" t="s">
        <v>506</v>
      </c>
      <c r="M594" t="str">
        <f>VLOOKUP(A594,[1]MSAKEN!$A$1:$F$562,6,FALSE)</f>
        <v>03508056010100182202</v>
      </c>
    </row>
    <row r="595" spans="1:13" x14ac:dyDescent="0.3">
      <c r="A595">
        <v>1542</v>
      </c>
      <c r="B595" t="s">
        <v>251</v>
      </c>
      <c r="C595" t="s">
        <v>76</v>
      </c>
      <c r="D595" t="s">
        <v>674</v>
      </c>
      <c r="E595" t="s">
        <v>584</v>
      </c>
      <c r="F595" s="4">
        <v>26151</v>
      </c>
      <c r="G595">
        <v>5519256</v>
      </c>
      <c r="H595">
        <v>1192471504</v>
      </c>
      <c r="I595" t="s">
        <v>1420</v>
      </c>
      <c r="J595" t="s">
        <v>513</v>
      </c>
      <c r="K595" t="s">
        <v>15</v>
      </c>
      <c r="L595" t="s">
        <v>506</v>
      </c>
      <c r="M595" t="str">
        <f>VLOOKUP(A595,[1]MSAKEN!$A$1:$F$562,6,FALSE)</f>
        <v>25018000000003114351</v>
      </c>
    </row>
    <row r="596" spans="1:13" x14ac:dyDescent="0.3">
      <c r="A596">
        <v>1543</v>
      </c>
      <c r="B596" t="s">
        <v>309</v>
      </c>
      <c r="C596" t="s">
        <v>319</v>
      </c>
      <c r="D596" t="s">
        <v>677</v>
      </c>
      <c r="E596" t="s">
        <v>584</v>
      </c>
      <c r="F596" s="4">
        <v>26786</v>
      </c>
      <c r="G596">
        <v>5527549</v>
      </c>
      <c r="H596">
        <v>1192219200</v>
      </c>
      <c r="I596" t="s">
        <v>1421</v>
      </c>
      <c r="J596" t="s">
        <v>513</v>
      </c>
      <c r="K596" t="s">
        <v>15</v>
      </c>
      <c r="L596" t="s">
        <v>506</v>
      </c>
      <c r="M596" t="str">
        <f>VLOOKUP(A596,[1]MSAKEN!$A$1:$F$562,6,FALSE)</f>
        <v>10506040205541078863</v>
      </c>
    </row>
    <row r="597" spans="1:13" x14ac:dyDescent="0.3">
      <c r="A597">
        <v>1544</v>
      </c>
      <c r="B597" t="s">
        <v>174</v>
      </c>
      <c r="C597" t="s">
        <v>339</v>
      </c>
      <c r="D597" t="s">
        <v>648</v>
      </c>
      <c r="E597" t="s">
        <v>1091</v>
      </c>
      <c r="F597" s="4">
        <v>27106</v>
      </c>
      <c r="G597">
        <v>5552071</v>
      </c>
      <c r="H597">
        <v>1171364209</v>
      </c>
      <c r="I597" t="s">
        <v>1422</v>
      </c>
      <c r="J597" t="s">
        <v>513</v>
      </c>
      <c r="K597" t="s">
        <v>15</v>
      </c>
      <c r="L597" t="s">
        <v>506</v>
      </c>
      <c r="M597" t="str">
        <f>VLOOKUP(A597,[1]MSAKEN!$A$1:$F$562,6,FALSE)</f>
        <v>08507000262000867531</v>
      </c>
    </row>
    <row r="598" spans="1:13" x14ac:dyDescent="0.3">
      <c r="A598">
        <v>1545</v>
      </c>
      <c r="B598" t="s">
        <v>83</v>
      </c>
      <c r="C598" t="s">
        <v>468</v>
      </c>
      <c r="D598" t="s">
        <v>535</v>
      </c>
      <c r="E598" t="s">
        <v>569</v>
      </c>
      <c r="F598" s="4">
        <v>22782</v>
      </c>
      <c r="G598">
        <v>2917720</v>
      </c>
      <c r="H598">
        <v>1108276906</v>
      </c>
      <c r="I598" t="s">
        <v>1423</v>
      </c>
      <c r="J598" t="s">
        <v>513</v>
      </c>
      <c r="K598" t="s">
        <v>15</v>
      </c>
      <c r="L598" t="s">
        <v>506</v>
      </c>
      <c r="M598" t="e">
        <f>VLOOKUP(A598,[1]MSAKEN!$A$1:$F$562,6,FALSE)</f>
        <v>#N/A</v>
      </c>
    </row>
    <row r="599" spans="1:13" x14ac:dyDescent="0.3">
      <c r="A599">
        <v>1546</v>
      </c>
      <c r="B599" t="s">
        <v>67</v>
      </c>
      <c r="C599" t="s">
        <v>129</v>
      </c>
      <c r="D599" t="s">
        <v>502</v>
      </c>
      <c r="E599" t="s">
        <v>502</v>
      </c>
      <c r="F599" s="4">
        <v>23695</v>
      </c>
      <c r="G599">
        <v>2974036</v>
      </c>
      <c r="H599">
        <v>1192447702</v>
      </c>
      <c r="I599" t="s">
        <v>502</v>
      </c>
      <c r="J599" t="s">
        <v>755</v>
      </c>
      <c r="K599" t="s">
        <v>15</v>
      </c>
      <c r="L599" t="s">
        <v>506</v>
      </c>
      <c r="M599" t="e">
        <f>VLOOKUP(A599,[1]MSAKEN!$A$1:$F$562,6,FALSE)</f>
        <v>#N/A</v>
      </c>
    </row>
    <row r="600" spans="1:13" x14ac:dyDescent="0.3">
      <c r="A600">
        <v>1547</v>
      </c>
      <c r="B600" t="s">
        <v>78</v>
      </c>
      <c r="C600" t="s">
        <v>181</v>
      </c>
      <c r="D600" t="s">
        <v>502</v>
      </c>
      <c r="E600" t="s">
        <v>502</v>
      </c>
      <c r="F600" s="4">
        <v>24143</v>
      </c>
      <c r="G600">
        <v>2988509</v>
      </c>
      <c r="H600">
        <v>1158140606</v>
      </c>
      <c r="I600" t="s">
        <v>871</v>
      </c>
      <c r="J600" t="s">
        <v>755</v>
      </c>
      <c r="K600" t="s">
        <v>15</v>
      </c>
      <c r="L600" t="s">
        <v>506</v>
      </c>
      <c r="M600" t="e">
        <f>VLOOKUP(A600,[1]MSAKEN!$A$1:$F$562,6,FALSE)</f>
        <v>#N/A</v>
      </c>
    </row>
    <row r="601" spans="1:13" x14ac:dyDescent="0.3">
      <c r="A601">
        <v>1548</v>
      </c>
      <c r="B601" t="s">
        <v>61</v>
      </c>
      <c r="C601" t="s">
        <v>154</v>
      </c>
      <c r="D601" t="s">
        <v>535</v>
      </c>
      <c r="E601" t="s">
        <v>536</v>
      </c>
      <c r="F601" s="4">
        <v>25440</v>
      </c>
      <c r="G601">
        <v>2982608</v>
      </c>
      <c r="H601">
        <v>1192138103</v>
      </c>
      <c r="I601" t="s">
        <v>1424</v>
      </c>
      <c r="J601" t="s">
        <v>513</v>
      </c>
      <c r="K601" t="s">
        <v>15</v>
      </c>
      <c r="L601" t="s">
        <v>506</v>
      </c>
      <c r="M601" t="str">
        <f>VLOOKUP(A601,[1]MSAKEN!$A$1:$F$562,6,FALSE)</f>
        <v>10506040206332378867</v>
      </c>
    </row>
    <row r="602" spans="1:13" x14ac:dyDescent="0.3">
      <c r="A602">
        <v>1549</v>
      </c>
      <c r="B602" t="s">
        <v>50</v>
      </c>
      <c r="C602" t="s">
        <v>276</v>
      </c>
      <c r="D602" t="s">
        <v>1308</v>
      </c>
      <c r="E602" t="s">
        <v>652</v>
      </c>
      <c r="F602" s="4">
        <v>25742</v>
      </c>
      <c r="G602">
        <v>5514949</v>
      </c>
      <c r="H602">
        <v>1206949800</v>
      </c>
      <c r="I602" t="s">
        <v>1161</v>
      </c>
      <c r="J602" t="s">
        <v>825</v>
      </c>
      <c r="K602" t="s">
        <v>15</v>
      </c>
      <c r="L602" t="s">
        <v>506</v>
      </c>
      <c r="M602" t="str">
        <f>VLOOKUP(A602,[1]MSAKEN!$A$1:$F$562,6,FALSE)</f>
        <v>04204067002698615869</v>
      </c>
    </row>
    <row r="603" spans="1:13" x14ac:dyDescent="0.3">
      <c r="A603">
        <v>1550</v>
      </c>
      <c r="B603" t="s">
        <v>1425</v>
      </c>
      <c r="C603" t="s">
        <v>31</v>
      </c>
      <c r="D603" t="s">
        <v>502</v>
      </c>
      <c r="E603" t="s">
        <v>502</v>
      </c>
      <c r="F603" s="4">
        <v>25449</v>
      </c>
      <c r="G603">
        <v>0</v>
      </c>
      <c r="H603">
        <v>0</v>
      </c>
      <c r="I603" t="s">
        <v>502</v>
      </c>
      <c r="J603" t="s">
        <v>502</v>
      </c>
      <c r="K603" t="s">
        <v>16</v>
      </c>
      <c r="L603" t="s">
        <v>506</v>
      </c>
      <c r="M603" t="e">
        <f>VLOOKUP(A603,[1]MSAKEN!$A$1:$F$562,6,FALSE)</f>
        <v>#N/A</v>
      </c>
    </row>
    <row r="604" spans="1:13" x14ac:dyDescent="0.3">
      <c r="A604">
        <v>1551</v>
      </c>
      <c r="B604" t="s">
        <v>1426</v>
      </c>
      <c r="C604" t="s">
        <v>1427</v>
      </c>
      <c r="D604" t="s">
        <v>502</v>
      </c>
      <c r="E604" t="s">
        <v>502</v>
      </c>
      <c r="F604" t="s">
        <v>502</v>
      </c>
      <c r="G604" t="s">
        <v>502</v>
      </c>
      <c r="H604" t="s">
        <v>502</v>
      </c>
      <c r="I604" t="s">
        <v>502</v>
      </c>
      <c r="J604" t="s">
        <v>502</v>
      </c>
      <c r="K604" t="s">
        <v>15</v>
      </c>
      <c r="L604" t="s">
        <v>17</v>
      </c>
      <c r="M604" t="e">
        <f>VLOOKUP(A604,[1]MSAKEN!$A$1:$F$562,6,FALSE)</f>
        <v>#N/A</v>
      </c>
    </row>
    <row r="605" spans="1:13" x14ac:dyDescent="0.3">
      <c r="A605">
        <v>1552</v>
      </c>
      <c r="B605" t="s">
        <v>1428</v>
      </c>
      <c r="C605" t="s">
        <v>224</v>
      </c>
      <c r="D605" t="s">
        <v>502</v>
      </c>
      <c r="E605" t="s">
        <v>502</v>
      </c>
      <c r="F605" t="s">
        <v>502</v>
      </c>
      <c r="G605" t="s">
        <v>502</v>
      </c>
      <c r="H605" t="s">
        <v>502</v>
      </c>
      <c r="I605" t="s">
        <v>502</v>
      </c>
      <c r="J605" t="s">
        <v>502</v>
      </c>
      <c r="K605" t="s">
        <v>15</v>
      </c>
      <c r="L605" t="s">
        <v>502</v>
      </c>
      <c r="M605" t="e">
        <f>VLOOKUP(A605,[1]MSAKEN!$A$1:$F$562,6,FALSE)</f>
        <v>#N/A</v>
      </c>
    </row>
    <row r="606" spans="1:13" x14ac:dyDescent="0.3">
      <c r="A606">
        <v>1553</v>
      </c>
      <c r="B606" t="s">
        <v>51</v>
      </c>
      <c r="C606" t="s">
        <v>34</v>
      </c>
      <c r="D606" t="s">
        <v>834</v>
      </c>
      <c r="E606" t="s">
        <v>652</v>
      </c>
      <c r="F606" s="4">
        <v>27523</v>
      </c>
      <c r="G606">
        <v>5530662</v>
      </c>
      <c r="H606">
        <v>1178705404</v>
      </c>
      <c r="I606" t="s">
        <v>1429</v>
      </c>
      <c r="J606" t="s">
        <v>513</v>
      </c>
      <c r="K606" t="s">
        <v>15</v>
      </c>
      <c r="L606" t="s">
        <v>506</v>
      </c>
      <c r="M606" t="str">
        <f>VLOOKUP(A606,[1]MSAKEN!$A$1:$F$562,6,FALSE)</f>
        <v>04204067001287484895</v>
      </c>
    </row>
    <row r="607" spans="1:13" x14ac:dyDescent="0.3">
      <c r="A607">
        <v>1554</v>
      </c>
      <c r="B607" t="s">
        <v>1430</v>
      </c>
      <c r="C607" t="s">
        <v>1431</v>
      </c>
      <c r="D607" t="s">
        <v>502</v>
      </c>
      <c r="E607" t="s">
        <v>502</v>
      </c>
      <c r="F607" t="s">
        <v>502</v>
      </c>
      <c r="G607" t="s">
        <v>502</v>
      </c>
      <c r="H607" t="s">
        <v>502</v>
      </c>
      <c r="I607" t="s">
        <v>502</v>
      </c>
      <c r="J607" t="s">
        <v>502</v>
      </c>
      <c r="K607" t="s">
        <v>15</v>
      </c>
      <c r="L607" t="s">
        <v>502</v>
      </c>
      <c r="M607" t="e">
        <f>VLOOKUP(A607,[1]MSAKEN!$A$1:$F$562,6,FALSE)</f>
        <v>#N/A</v>
      </c>
    </row>
    <row r="608" spans="1:13" x14ac:dyDescent="0.3">
      <c r="A608">
        <v>1555</v>
      </c>
      <c r="B608" t="s">
        <v>174</v>
      </c>
      <c r="C608" t="s">
        <v>88</v>
      </c>
      <c r="D608" t="s">
        <v>564</v>
      </c>
      <c r="E608" t="s">
        <v>1432</v>
      </c>
      <c r="F608" s="4">
        <v>25607</v>
      </c>
      <c r="G608">
        <v>2998267</v>
      </c>
      <c r="H608">
        <v>1208035103</v>
      </c>
      <c r="I608" t="s">
        <v>927</v>
      </c>
      <c r="J608" t="s">
        <v>513</v>
      </c>
      <c r="K608" t="s">
        <v>15</v>
      </c>
      <c r="L608" t="s">
        <v>506</v>
      </c>
      <c r="M608" t="str">
        <f>VLOOKUP(A608,[1]MSAKEN!$A$1:$F$562,6,FALSE)</f>
        <v>05048000116500482120</v>
      </c>
    </row>
    <row r="609" spans="1:13" x14ac:dyDescent="0.3">
      <c r="A609">
        <v>1556</v>
      </c>
      <c r="B609" t="s">
        <v>199</v>
      </c>
      <c r="C609" t="s">
        <v>44</v>
      </c>
      <c r="D609" t="s">
        <v>648</v>
      </c>
      <c r="E609" t="s">
        <v>569</v>
      </c>
      <c r="F609" s="4">
        <v>27345</v>
      </c>
      <c r="G609">
        <v>5537946</v>
      </c>
      <c r="H609">
        <v>1192128401</v>
      </c>
      <c r="I609" t="s">
        <v>1433</v>
      </c>
      <c r="J609" t="s">
        <v>513</v>
      </c>
      <c r="K609" t="s">
        <v>15</v>
      </c>
      <c r="L609" t="s">
        <v>506</v>
      </c>
      <c r="M609" t="str">
        <f>VLOOKUP(A609,[1]MSAKEN!$A$1:$F$562,6,FALSE)</f>
        <v>08050020052000691409</v>
      </c>
    </row>
    <row r="610" spans="1:13" x14ac:dyDescent="0.3">
      <c r="A610">
        <v>1557</v>
      </c>
      <c r="B610" t="s">
        <v>1434</v>
      </c>
      <c r="C610" t="s">
        <v>62</v>
      </c>
      <c r="D610" t="s">
        <v>502</v>
      </c>
      <c r="E610" t="s">
        <v>502</v>
      </c>
      <c r="F610" s="4">
        <v>24939</v>
      </c>
      <c r="G610">
        <v>4159285</v>
      </c>
      <c r="H610">
        <v>1192414009</v>
      </c>
      <c r="I610" t="s">
        <v>1161</v>
      </c>
      <c r="J610" t="s">
        <v>825</v>
      </c>
      <c r="K610" t="s">
        <v>15</v>
      </c>
      <c r="L610" t="s">
        <v>506</v>
      </c>
      <c r="M610" t="e">
        <f>VLOOKUP(A610,[1]MSAKEN!$A$1:$F$562,6,FALSE)</f>
        <v>#N/A</v>
      </c>
    </row>
    <row r="611" spans="1:13" x14ac:dyDescent="0.3">
      <c r="A611">
        <v>1558</v>
      </c>
      <c r="B611" t="s">
        <v>320</v>
      </c>
      <c r="C611" t="s">
        <v>39</v>
      </c>
      <c r="D611" t="s">
        <v>535</v>
      </c>
      <c r="E611" t="s">
        <v>1404</v>
      </c>
      <c r="F611" s="4">
        <v>26390</v>
      </c>
      <c r="G611">
        <v>5514947</v>
      </c>
      <c r="H611">
        <v>1192471405</v>
      </c>
      <c r="I611" t="s">
        <v>1435</v>
      </c>
      <c r="J611" t="s">
        <v>513</v>
      </c>
      <c r="K611" t="s">
        <v>15</v>
      </c>
      <c r="L611" t="s">
        <v>506</v>
      </c>
      <c r="M611" t="str">
        <f>VLOOKUP(A611,[1]MSAKEN!$A$1:$F$562,6,FALSE)</f>
        <v>04204067404002160437</v>
      </c>
    </row>
    <row r="612" spans="1:13" x14ac:dyDescent="0.3">
      <c r="A612">
        <v>1559</v>
      </c>
      <c r="B612" t="s">
        <v>869</v>
      </c>
      <c r="C612" t="s">
        <v>419</v>
      </c>
      <c r="D612" t="s">
        <v>1163</v>
      </c>
      <c r="E612" t="s">
        <v>569</v>
      </c>
      <c r="F612" s="4">
        <v>27107</v>
      </c>
      <c r="G612">
        <v>5536880</v>
      </c>
      <c r="H612">
        <v>1171364407</v>
      </c>
      <c r="I612" t="s">
        <v>1436</v>
      </c>
      <c r="J612" t="s">
        <v>513</v>
      </c>
      <c r="K612" t="s">
        <v>15</v>
      </c>
      <c r="L612" t="s">
        <v>506</v>
      </c>
      <c r="M612" t="str">
        <f>VLOOKUP(A612,[1]MSAKEN!$A$1:$F$562,6,FALSE)</f>
        <v>04204067404000634045</v>
      </c>
    </row>
    <row r="613" spans="1:13" x14ac:dyDescent="0.3">
      <c r="A613">
        <v>1560</v>
      </c>
      <c r="B613" t="s">
        <v>549</v>
      </c>
      <c r="C613" t="s">
        <v>224</v>
      </c>
      <c r="D613" t="s">
        <v>698</v>
      </c>
      <c r="E613" t="s">
        <v>569</v>
      </c>
      <c r="F613" s="4">
        <v>26223</v>
      </c>
      <c r="G613">
        <v>5517166</v>
      </c>
      <c r="H613">
        <v>1192171807</v>
      </c>
      <c r="I613" t="s">
        <v>1437</v>
      </c>
      <c r="J613" t="s">
        <v>513</v>
      </c>
      <c r="K613" t="s">
        <v>15</v>
      </c>
      <c r="L613" t="s">
        <v>506</v>
      </c>
      <c r="M613" t="str">
        <f>VLOOKUP(A613,[1]MSAKEN!$A$1:$F$562,6,FALSE)</f>
        <v>04204067000621041351</v>
      </c>
    </row>
    <row r="614" spans="1:13" x14ac:dyDescent="0.3">
      <c r="A614">
        <v>1561</v>
      </c>
      <c r="B614" t="s">
        <v>205</v>
      </c>
      <c r="C614" t="s">
        <v>306</v>
      </c>
      <c r="D614" t="s">
        <v>797</v>
      </c>
      <c r="E614" t="s">
        <v>584</v>
      </c>
      <c r="F614" s="4">
        <v>27399</v>
      </c>
      <c r="G614">
        <v>5546984</v>
      </c>
      <c r="H614">
        <v>1220453904</v>
      </c>
      <c r="I614" t="s">
        <v>1438</v>
      </c>
      <c r="J614" t="s">
        <v>513</v>
      </c>
      <c r="K614" t="s">
        <v>15</v>
      </c>
      <c r="L614" t="s">
        <v>506</v>
      </c>
      <c r="M614" t="str">
        <f>VLOOKUP(A614,[1]MSAKEN!$A$1:$F$562,6,FALSE)</f>
        <v>04204067404000850258</v>
      </c>
    </row>
    <row r="615" spans="1:13" x14ac:dyDescent="0.3">
      <c r="A615">
        <v>1562</v>
      </c>
      <c r="B615" t="s">
        <v>322</v>
      </c>
      <c r="C615" t="s">
        <v>400</v>
      </c>
      <c r="D615" t="s">
        <v>502</v>
      </c>
      <c r="E615" t="s">
        <v>502</v>
      </c>
      <c r="F615" s="4">
        <v>26611</v>
      </c>
      <c r="G615">
        <v>7514541</v>
      </c>
      <c r="H615">
        <v>1192632501</v>
      </c>
      <c r="I615" t="s">
        <v>1439</v>
      </c>
      <c r="J615" t="s">
        <v>513</v>
      </c>
      <c r="K615" t="s">
        <v>15</v>
      </c>
      <c r="L615" t="s">
        <v>506</v>
      </c>
      <c r="M615" t="e">
        <f>VLOOKUP(A615,[1]MSAKEN!$A$1:$F$562,6,FALSE)</f>
        <v>#N/A</v>
      </c>
    </row>
    <row r="616" spans="1:13" x14ac:dyDescent="0.3">
      <c r="A616">
        <v>1563</v>
      </c>
      <c r="B616" t="s">
        <v>1440</v>
      </c>
      <c r="C616" t="s">
        <v>1441</v>
      </c>
      <c r="D616" t="s">
        <v>502</v>
      </c>
      <c r="E616" t="s">
        <v>502</v>
      </c>
      <c r="F616" t="s">
        <v>502</v>
      </c>
      <c r="G616" t="s">
        <v>502</v>
      </c>
      <c r="H616" t="s">
        <v>502</v>
      </c>
      <c r="I616" t="s">
        <v>502</v>
      </c>
      <c r="J616" t="s">
        <v>502</v>
      </c>
      <c r="K616" t="s">
        <v>15</v>
      </c>
      <c r="L616" t="s">
        <v>502</v>
      </c>
      <c r="M616" t="e">
        <f>VLOOKUP(A616,[1]MSAKEN!$A$1:$F$562,6,FALSE)</f>
        <v>#N/A</v>
      </c>
    </row>
    <row r="617" spans="1:13" x14ac:dyDescent="0.3">
      <c r="A617">
        <v>1564</v>
      </c>
      <c r="B617" t="s">
        <v>839</v>
      </c>
      <c r="C617" t="s">
        <v>34</v>
      </c>
      <c r="D617" t="s">
        <v>502</v>
      </c>
      <c r="E617" t="s">
        <v>502</v>
      </c>
      <c r="F617" t="s">
        <v>502</v>
      </c>
      <c r="G617">
        <v>5528575</v>
      </c>
      <c r="H617">
        <v>1161321201</v>
      </c>
      <c r="I617" t="s">
        <v>1442</v>
      </c>
      <c r="J617" t="s">
        <v>502</v>
      </c>
      <c r="K617" t="s">
        <v>15</v>
      </c>
      <c r="L617" t="s">
        <v>506</v>
      </c>
      <c r="M617" t="e">
        <f>VLOOKUP(A617,[1]MSAKEN!$A$1:$F$562,6,FALSE)</f>
        <v>#N/A</v>
      </c>
    </row>
    <row r="618" spans="1:13" x14ac:dyDescent="0.3">
      <c r="A618">
        <v>1565</v>
      </c>
      <c r="B618" t="s">
        <v>1443</v>
      </c>
      <c r="C618" t="s">
        <v>1444</v>
      </c>
      <c r="D618" t="s">
        <v>502</v>
      </c>
      <c r="E618" t="s">
        <v>502</v>
      </c>
      <c r="F618" s="4">
        <v>22862</v>
      </c>
      <c r="G618">
        <v>4140166</v>
      </c>
      <c r="H618">
        <v>1166710804</v>
      </c>
      <c r="I618" t="s">
        <v>1445</v>
      </c>
      <c r="J618" t="s">
        <v>1446</v>
      </c>
      <c r="K618" t="s">
        <v>15</v>
      </c>
      <c r="L618" t="s">
        <v>506</v>
      </c>
      <c r="M618" t="e">
        <f>VLOOKUP(A618,[1]MSAKEN!$A$1:$F$562,6,FALSE)</f>
        <v>#N/A</v>
      </c>
    </row>
    <row r="619" spans="1:13" x14ac:dyDescent="0.3">
      <c r="A619">
        <v>1566</v>
      </c>
      <c r="B619" t="s">
        <v>411</v>
      </c>
      <c r="C619" t="s">
        <v>69</v>
      </c>
      <c r="D619" t="s">
        <v>1447</v>
      </c>
      <c r="E619" t="s">
        <v>1044</v>
      </c>
      <c r="F619" s="4">
        <v>25251</v>
      </c>
      <c r="G619">
        <v>5502914</v>
      </c>
      <c r="H619">
        <v>1208209203</v>
      </c>
      <c r="I619" t="s">
        <v>1448</v>
      </c>
      <c r="J619" t="s">
        <v>513</v>
      </c>
      <c r="K619" t="s">
        <v>15</v>
      </c>
      <c r="L619" t="s">
        <v>506</v>
      </c>
      <c r="M619" t="str">
        <f>VLOOKUP(A619,[1]MSAKEN!$A$1:$F$562,6,FALSE)</f>
        <v>12505000580101801928</v>
      </c>
    </row>
    <row r="620" spans="1:13" x14ac:dyDescent="0.3">
      <c r="A620">
        <v>1567</v>
      </c>
      <c r="B620" t="s">
        <v>1449</v>
      </c>
      <c r="C620" t="s">
        <v>39</v>
      </c>
      <c r="D620" t="s">
        <v>502</v>
      </c>
      <c r="E620" t="s">
        <v>502</v>
      </c>
      <c r="F620" s="4">
        <v>26792</v>
      </c>
      <c r="G620">
        <v>4178411</v>
      </c>
      <c r="H620">
        <v>1169621404</v>
      </c>
      <c r="I620" t="s">
        <v>1450</v>
      </c>
      <c r="J620" t="s">
        <v>718</v>
      </c>
      <c r="K620" t="s">
        <v>16</v>
      </c>
      <c r="L620" t="s">
        <v>506</v>
      </c>
      <c r="M620" t="e">
        <f>VLOOKUP(A620,[1]MSAKEN!$A$1:$F$562,6,FALSE)</f>
        <v>#N/A</v>
      </c>
    </row>
    <row r="621" spans="1:13" x14ac:dyDescent="0.3">
      <c r="A621">
        <v>1568</v>
      </c>
      <c r="B621" t="s">
        <v>1451</v>
      </c>
      <c r="C621" t="s">
        <v>40</v>
      </c>
      <c r="D621" t="s">
        <v>502</v>
      </c>
      <c r="E621" t="s">
        <v>502</v>
      </c>
      <c r="F621" s="4">
        <v>21969</v>
      </c>
      <c r="G621">
        <v>4126082</v>
      </c>
      <c r="H621">
        <v>1142871902</v>
      </c>
      <c r="I621" t="s">
        <v>1452</v>
      </c>
      <c r="J621" t="s">
        <v>526</v>
      </c>
      <c r="K621" t="s">
        <v>15</v>
      </c>
      <c r="L621" t="s">
        <v>506</v>
      </c>
      <c r="M621" t="e">
        <f>VLOOKUP(A621,[1]MSAKEN!$A$1:$F$562,6,FALSE)</f>
        <v>#N/A</v>
      </c>
    </row>
    <row r="622" spans="1:13" x14ac:dyDescent="0.3">
      <c r="A622">
        <v>1569</v>
      </c>
      <c r="B622" t="s">
        <v>358</v>
      </c>
      <c r="C622" t="s">
        <v>357</v>
      </c>
      <c r="D622" t="s">
        <v>670</v>
      </c>
      <c r="E622" t="s">
        <v>708</v>
      </c>
      <c r="F622" s="4">
        <v>27123</v>
      </c>
      <c r="G622">
        <v>5562215</v>
      </c>
      <c r="H622">
        <v>1208000800</v>
      </c>
      <c r="I622" t="s">
        <v>900</v>
      </c>
      <c r="J622" t="s">
        <v>657</v>
      </c>
      <c r="K622" t="s">
        <v>15</v>
      </c>
      <c r="L622" t="s">
        <v>506</v>
      </c>
      <c r="M622" t="str">
        <f>VLOOKUP(A622,[1]MSAKEN!$A$1:$F$562,6,FALSE)</f>
        <v>04204067404002213108</v>
      </c>
    </row>
    <row r="623" spans="1:13" x14ac:dyDescent="0.3">
      <c r="A623">
        <v>1570</v>
      </c>
      <c r="B623" t="s">
        <v>71</v>
      </c>
      <c r="C623" t="s">
        <v>34</v>
      </c>
      <c r="D623" t="s">
        <v>502</v>
      </c>
      <c r="E623" t="s">
        <v>502</v>
      </c>
      <c r="F623" t="s">
        <v>502</v>
      </c>
      <c r="G623">
        <v>5547042</v>
      </c>
      <c r="H623">
        <v>1192604708</v>
      </c>
      <c r="I623" t="s">
        <v>1453</v>
      </c>
      <c r="J623" t="s">
        <v>502</v>
      </c>
      <c r="K623" t="s">
        <v>16</v>
      </c>
      <c r="L623" t="s">
        <v>506</v>
      </c>
      <c r="M623" t="e">
        <f>VLOOKUP(A623,[1]MSAKEN!$A$1:$F$562,6,FALSE)</f>
        <v>#N/A</v>
      </c>
    </row>
    <row r="624" spans="1:13" x14ac:dyDescent="0.3">
      <c r="A624">
        <v>1571</v>
      </c>
      <c r="B624" t="s">
        <v>756</v>
      </c>
      <c r="C624" t="s">
        <v>72</v>
      </c>
      <c r="D624" t="s">
        <v>502</v>
      </c>
      <c r="E624" t="s">
        <v>502</v>
      </c>
      <c r="F624" t="s">
        <v>502</v>
      </c>
      <c r="G624">
        <v>5518301</v>
      </c>
      <c r="H624">
        <v>1219542204</v>
      </c>
      <c r="I624" t="s">
        <v>1454</v>
      </c>
      <c r="J624" t="s">
        <v>502</v>
      </c>
      <c r="K624" t="s">
        <v>16</v>
      </c>
      <c r="L624" t="s">
        <v>506</v>
      </c>
      <c r="M624" t="e">
        <f>VLOOKUP(A624,[1]MSAKEN!$A$1:$F$562,6,FALSE)</f>
        <v>#N/A</v>
      </c>
    </row>
    <row r="625" spans="1:13" x14ac:dyDescent="0.3">
      <c r="A625">
        <v>1572</v>
      </c>
      <c r="B625" t="s">
        <v>376</v>
      </c>
      <c r="C625" t="s">
        <v>143</v>
      </c>
      <c r="D625" t="s">
        <v>632</v>
      </c>
      <c r="E625" t="s">
        <v>699</v>
      </c>
      <c r="F625" s="4">
        <v>26781</v>
      </c>
      <c r="G625">
        <v>5549827</v>
      </c>
      <c r="H625">
        <v>1178678007</v>
      </c>
      <c r="I625" t="s">
        <v>1455</v>
      </c>
      <c r="J625" t="s">
        <v>513</v>
      </c>
      <c r="K625" t="s">
        <v>15</v>
      </c>
      <c r="L625" t="s">
        <v>506</v>
      </c>
      <c r="M625" t="str">
        <f>VLOOKUP(A625,[1]MSAKEN!$A$1:$F$562,6,FALSE)</f>
        <v>11020002157500878858</v>
      </c>
    </row>
    <row r="626" spans="1:13" x14ac:dyDescent="0.3">
      <c r="A626">
        <v>1573</v>
      </c>
      <c r="B626" t="s">
        <v>422</v>
      </c>
      <c r="C626" t="s">
        <v>72</v>
      </c>
      <c r="D626" t="s">
        <v>535</v>
      </c>
      <c r="E626" t="s">
        <v>696</v>
      </c>
      <c r="F626" s="4">
        <v>26723</v>
      </c>
      <c r="G626">
        <v>5525500</v>
      </c>
      <c r="H626">
        <v>1192673901</v>
      </c>
      <c r="I626" t="s">
        <v>900</v>
      </c>
      <c r="J626" t="s">
        <v>657</v>
      </c>
      <c r="K626" t="s">
        <v>15</v>
      </c>
      <c r="L626" t="s">
        <v>506</v>
      </c>
      <c r="M626" t="str">
        <f>VLOOKUP(A626,[1]MSAKEN!$A$1:$F$562,6,FALSE)</f>
        <v>04204067404000643163</v>
      </c>
    </row>
    <row r="627" spans="1:13" x14ac:dyDescent="0.3">
      <c r="A627">
        <v>1574</v>
      </c>
      <c r="B627" t="s">
        <v>1456</v>
      </c>
      <c r="C627" t="s">
        <v>134</v>
      </c>
      <c r="D627" t="s">
        <v>502</v>
      </c>
      <c r="E627" t="s">
        <v>502</v>
      </c>
      <c r="F627" s="4">
        <v>26406</v>
      </c>
      <c r="G627">
        <v>5519261</v>
      </c>
      <c r="H627">
        <v>1192951703</v>
      </c>
      <c r="I627" t="s">
        <v>1457</v>
      </c>
      <c r="J627" t="s">
        <v>718</v>
      </c>
      <c r="K627" t="s">
        <v>15</v>
      </c>
      <c r="L627" t="s">
        <v>506</v>
      </c>
      <c r="M627" t="e">
        <f>VLOOKUP(A627,[1]MSAKEN!$A$1:$F$562,6,FALSE)</f>
        <v>#N/A</v>
      </c>
    </row>
    <row r="628" spans="1:13" x14ac:dyDescent="0.3">
      <c r="A628">
        <v>1575</v>
      </c>
      <c r="B628" t="s">
        <v>703</v>
      </c>
      <c r="C628" t="s">
        <v>321</v>
      </c>
      <c r="D628" t="s">
        <v>535</v>
      </c>
      <c r="E628" t="s">
        <v>536</v>
      </c>
      <c r="F628" s="4">
        <v>28120</v>
      </c>
      <c r="G628">
        <v>5545038</v>
      </c>
      <c r="H628">
        <v>1178633903</v>
      </c>
      <c r="I628" t="s">
        <v>1458</v>
      </c>
      <c r="J628" t="s">
        <v>513</v>
      </c>
      <c r="K628" t="s">
        <v>15</v>
      </c>
      <c r="L628" t="s">
        <v>506</v>
      </c>
      <c r="M628" t="str">
        <f>VLOOKUP(A628,[1]MSAKEN!$A$1:$F$562,6,FALSE)</f>
        <v>08507000262006373057</v>
      </c>
    </row>
    <row r="629" spans="1:13" x14ac:dyDescent="0.3">
      <c r="A629">
        <v>1576</v>
      </c>
      <c r="B629" t="s">
        <v>470</v>
      </c>
      <c r="C629" t="s">
        <v>469</v>
      </c>
      <c r="D629" t="s">
        <v>648</v>
      </c>
      <c r="E629" t="s">
        <v>569</v>
      </c>
      <c r="F629" s="4">
        <v>26301</v>
      </c>
      <c r="G629">
        <v>5520953</v>
      </c>
      <c r="H629">
        <v>1178633101</v>
      </c>
      <c r="I629" t="s">
        <v>1459</v>
      </c>
      <c r="J629" t="s">
        <v>513</v>
      </c>
      <c r="K629" t="s">
        <v>15</v>
      </c>
      <c r="L629" t="s">
        <v>506</v>
      </c>
      <c r="M629" t="str">
        <f>VLOOKUP(A629,[1]MSAKEN!$A$1:$F$562,6,FALSE)</f>
        <v>25018000000016719668</v>
      </c>
    </row>
    <row r="630" spans="1:13" x14ac:dyDescent="0.3">
      <c r="A630">
        <v>1577</v>
      </c>
      <c r="B630" t="s">
        <v>401</v>
      </c>
      <c r="C630" t="s">
        <v>129</v>
      </c>
      <c r="D630" t="s">
        <v>502</v>
      </c>
      <c r="E630" t="s">
        <v>502</v>
      </c>
      <c r="F630" s="4">
        <v>22678</v>
      </c>
      <c r="G630">
        <v>1553359</v>
      </c>
      <c r="H630">
        <v>0</v>
      </c>
      <c r="I630" t="s">
        <v>1460</v>
      </c>
      <c r="J630" t="s">
        <v>1461</v>
      </c>
      <c r="K630" t="s">
        <v>15</v>
      </c>
      <c r="L630" t="s">
        <v>506</v>
      </c>
      <c r="M630" t="e">
        <f>VLOOKUP(A630,[1]MSAKEN!$A$1:$F$562,6,FALSE)</f>
        <v>#N/A</v>
      </c>
    </row>
    <row r="631" spans="1:13" x14ac:dyDescent="0.3">
      <c r="A631">
        <v>1579</v>
      </c>
      <c r="B631" t="s">
        <v>1462</v>
      </c>
      <c r="C631" t="s">
        <v>1463</v>
      </c>
      <c r="D631" t="s">
        <v>502</v>
      </c>
      <c r="E631" t="s">
        <v>502</v>
      </c>
      <c r="F631" t="s">
        <v>502</v>
      </c>
      <c r="G631" t="s">
        <v>502</v>
      </c>
      <c r="H631" t="s">
        <v>502</v>
      </c>
      <c r="I631" t="s">
        <v>502</v>
      </c>
      <c r="J631" t="s">
        <v>502</v>
      </c>
      <c r="K631" t="s">
        <v>15</v>
      </c>
      <c r="L631" t="s">
        <v>506</v>
      </c>
      <c r="M631" t="e">
        <f>VLOOKUP(A631,[1]MSAKEN!$A$1:$F$562,6,FALSE)</f>
        <v>#N/A</v>
      </c>
    </row>
    <row r="632" spans="1:13" x14ac:dyDescent="0.3">
      <c r="A632">
        <v>1580</v>
      </c>
      <c r="B632" t="s">
        <v>155</v>
      </c>
      <c r="C632" t="s">
        <v>34</v>
      </c>
      <c r="D632" t="s">
        <v>564</v>
      </c>
      <c r="E632" t="s">
        <v>917</v>
      </c>
      <c r="F632" s="4">
        <v>27280</v>
      </c>
      <c r="G632">
        <v>5531969</v>
      </c>
      <c r="H632">
        <v>1208017804</v>
      </c>
      <c r="I632" t="s">
        <v>1464</v>
      </c>
      <c r="J632" t="s">
        <v>718</v>
      </c>
      <c r="K632" t="s">
        <v>15</v>
      </c>
      <c r="L632" t="s">
        <v>506</v>
      </c>
      <c r="M632" t="str">
        <f>VLOOKUP(A632,[1]MSAKEN!$A$1:$F$562,6,FALSE)</f>
        <v>12033000000208205134</v>
      </c>
    </row>
    <row r="633" spans="1:13" x14ac:dyDescent="0.3">
      <c r="A633">
        <v>1581</v>
      </c>
      <c r="B633" t="s">
        <v>1465</v>
      </c>
      <c r="C633" t="s">
        <v>28</v>
      </c>
      <c r="D633" t="s">
        <v>502</v>
      </c>
      <c r="E633" t="s">
        <v>502</v>
      </c>
      <c r="F633" t="s">
        <v>502</v>
      </c>
      <c r="G633" t="s">
        <v>502</v>
      </c>
      <c r="H633" t="s">
        <v>502</v>
      </c>
      <c r="I633" t="s">
        <v>502</v>
      </c>
      <c r="J633" t="s">
        <v>502</v>
      </c>
      <c r="K633" t="s">
        <v>15</v>
      </c>
      <c r="L633" t="s">
        <v>502</v>
      </c>
      <c r="M633" t="e">
        <f>VLOOKUP(A633,[1]MSAKEN!$A$1:$F$562,6,FALSE)</f>
        <v>#N/A</v>
      </c>
    </row>
    <row r="634" spans="1:13" x14ac:dyDescent="0.3">
      <c r="A634">
        <v>1582</v>
      </c>
      <c r="B634" t="s">
        <v>289</v>
      </c>
      <c r="C634" t="s">
        <v>326</v>
      </c>
      <c r="D634" t="s">
        <v>502</v>
      </c>
      <c r="E634" t="s">
        <v>502</v>
      </c>
      <c r="F634" t="s">
        <v>502</v>
      </c>
      <c r="G634">
        <v>5520161</v>
      </c>
      <c r="H634">
        <v>1178609507</v>
      </c>
      <c r="I634" t="s">
        <v>1466</v>
      </c>
      <c r="J634" t="s">
        <v>502</v>
      </c>
      <c r="K634" t="s">
        <v>16</v>
      </c>
      <c r="L634" t="s">
        <v>506</v>
      </c>
      <c r="M634" t="e">
        <f>VLOOKUP(A634,[1]MSAKEN!$A$1:$F$562,6,FALSE)</f>
        <v>#N/A</v>
      </c>
    </row>
    <row r="635" spans="1:13" x14ac:dyDescent="0.3">
      <c r="A635">
        <v>1583</v>
      </c>
      <c r="B635" t="s">
        <v>587</v>
      </c>
      <c r="C635" t="s">
        <v>1416</v>
      </c>
      <c r="D635" t="s">
        <v>502</v>
      </c>
      <c r="E635" t="s">
        <v>502</v>
      </c>
      <c r="F635" s="4">
        <v>25798</v>
      </c>
      <c r="G635" t="s">
        <v>502</v>
      </c>
      <c r="H635" t="s">
        <v>502</v>
      </c>
      <c r="I635" t="s">
        <v>502</v>
      </c>
      <c r="J635" t="s">
        <v>502</v>
      </c>
      <c r="K635" t="s">
        <v>15</v>
      </c>
      <c r="L635" t="s">
        <v>506</v>
      </c>
      <c r="M635" t="e">
        <f>VLOOKUP(A635,[1]MSAKEN!$A$1:$F$562,6,FALSE)</f>
        <v>#N/A</v>
      </c>
    </row>
    <row r="636" spans="1:13" x14ac:dyDescent="0.3">
      <c r="A636">
        <v>1584</v>
      </c>
      <c r="B636" t="s">
        <v>1467</v>
      </c>
      <c r="C636" t="s">
        <v>1468</v>
      </c>
      <c r="D636" t="s">
        <v>502</v>
      </c>
      <c r="E636" t="s">
        <v>502</v>
      </c>
      <c r="F636" s="4">
        <v>25680</v>
      </c>
      <c r="G636" t="s">
        <v>502</v>
      </c>
      <c r="H636" t="s">
        <v>502</v>
      </c>
      <c r="I636" t="s">
        <v>502</v>
      </c>
      <c r="J636" t="s">
        <v>502</v>
      </c>
      <c r="K636" t="s">
        <v>15</v>
      </c>
      <c r="L636" t="s">
        <v>17</v>
      </c>
      <c r="M636" t="e">
        <f>VLOOKUP(A636,[1]MSAKEN!$A$1:$F$562,6,FALSE)</f>
        <v>#N/A</v>
      </c>
    </row>
    <row r="637" spans="1:13" x14ac:dyDescent="0.3">
      <c r="A637">
        <v>1585</v>
      </c>
      <c r="B637" t="s">
        <v>866</v>
      </c>
      <c r="C637" t="s">
        <v>249</v>
      </c>
      <c r="D637" t="s">
        <v>502</v>
      </c>
      <c r="E637" t="s">
        <v>502</v>
      </c>
      <c r="F637" t="s">
        <v>502</v>
      </c>
      <c r="G637" t="s">
        <v>502</v>
      </c>
      <c r="H637" t="s">
        <v>502</v>
      </c>
      <c r="I637" t="s">
        <v>502</v>
      </c>
      <c r="J637" t="s">
        <v>502</v>
      </c>
      <c r="K637" t="s">
        <v>15</v>
      </c>
      <c r="L637" t="s">
        <v>502</v>
      </c>
      <c r="M637" t="e">
        <f>VLOOKUP(A637,[1]MSAKEN!$A$1:$F$562,6,FALSE)</f>
        <v>#N/A</v>
      </c>
    </row>
    <row r="638" spans="1:13" x14ac:dyDescent="0.3">
      <c r="A638">
        <v>1586</v>
      </c>
      <c r="B638" t="s">
        <v>1469</v>
      </c>
      <c r="C638" t="s">
        <v>110</v>
      </c>
      <c r="D638" t="s">
        <v>502</v>
      </c>
      <c r="E638" t="s">
        <v>502</v>
      </c>
      <c r="F638" t="s">
        <v>502</v>
      </c>
      <c r="G638" t="s">
        <v>502</v>
      </c>
      <c r="H638" t="s">
        <v>502</v>
      </c>
      <c r="I638" t="s">
        <v>502</v>
      </c>
      <c r="J638" t="s">
        <v>502</v>
      </c>
      <c r="K638" t="s">
        <v>15</v>
      </c>
      <c r="L638" t="s">
        <v>502</v>
      </c>
      <c r="M638" t="e">
        <f>VLOOKUP(A638,[1]MSAKEN!$A$1:$F$562,6,FALSE)</f>
        <v>#N/A</v>
      </c>
    </row>
    <row r="639" spans="1:13" x14ac:dyDescent="0.3">
      <c r="A639">
        <v>1587</v>
      </c>
      <c r="B639" t="s">
        <v>1148</v>
      </c>
      <c r="C639" t="s">
        <v>1005</v>
      </c>
      <c r="D639" t="s">
        <v>502</v>
      </c>
      <c r="E639" t="s">
        <v>502</v>
      </c>
      <c r="F639" s="4">
        <v>19461</v>
      </c>
      <c r="G639" t="s">
        <v>502</v>
      </c>
      <c r="H639" t="s">
        <v>502</v>
      </c>
      <c r="I639" t="s">
        <v>502</v>
      </c>
      <c r="J639" t="s">
        <v>502</v>
      </c>
      <c r="K639" t="s">
        <v>15</v>
      </c>
      <c r="L639" t="s">
        <v>17</v>
      </c>
      <c r="M639" t="e">
        <f>VLOOKUP(A639,[1]MSAKEN!$A$1:$F$562,6,FALSE)</f>
        <v>#N/A</v>
      </c>
    </row>
    <row r="640" spans="1:13" x14ac:dyDescent="0.3">
      <c r="A640">
        <v>1588</v>
      </c>
      <c r="B640" t="s">
        <v>1470</v>
      </c>
      <c r="C640" t="s">
        <v>34</v>
      </c>
      <c r="D640" t="s">
        <v>502</v>
      </c>
      <c r="E640" t="s">
        <v>502</v>
      </c>
      <c r="F640" t="s">
        <v>502</v>
      </c>
      <c r="G640" t="s">
        <v>502</v>
      </c>
      <c r="H640" t="s">
        <v>502</v>
      </c>
      <c r="I640" t="s">
        <v>502</v>
      </c>
      <c r="J640" t="s">
        <v>502</v>
      </c>
      <c r="K640" t="s">
        <v>15</v>
      </c>
      <c r="L640" t="s">
        <v>506</v>
      </c>
      <c r="M640" t="e">
        <f>VLOOKUP(A640,[1]MSAKEN!$A$1:$F$562,6,FALSE)</f>
        <v>#N/A</v>
      </c>
    </row>
    <row r="641" spans="1:13" x14ac:dyDescent="0.3">
      <c r="A641">
        <v>1589</v>
      </c>
      <c r="B641" t="s">
        <v>29</v>
      </c>
      <c r="C641" t="s">
        <v>28</v>
      </c>
      <c r="D641" t="s">
        <v>960</v>
      </c>
      <c r="E641" t="s">
        <v>1471</v>
      </c>
      <c r="F641" s="4">
        <v>22669</v>
      </c>
      <c r="G641">
        <v>2951442</v>
      </c>
      <c r="H641">
        <v>1192604609</v>
      </c>
      <c r="I641" t="s">
        <v>1472</v>
      </c>
      <c r="J641" t="s">
        <v>513</v>
      </c>
      <c r="K641" t="s">
        <v>16</v>
      </c>
      <c r="L641" t="s">
        <v>506</v>
      </c>
      <c r="M641" t="str">
        <f>VLOOKUP(A641,[1]MSAKEN!$A$1:$F$562,6,FALSE)</f>
        <v>12505000580102270923</v>
      </c>
    </row>
    <row r="642" spans="1:13" x14ac:dyDescent="0.3">
      <c r="A642">
        <v>1590</v>
      </c>
      <c r="B642" t="s">
        <v>177</v>
      </c>
      <c r="C642" t="s">
        <v>80</v>
      </c>
      <c r="D642" t="s">
        <v>564</v>
      </c>
      <c r="E642" t="s">
        <v>645</v>
      </c>
      <c r="F642" s="4">
        <v>28246</v>
      </c>
      <c r="G642">
        <v>5569066</v>
      </c>
      <c r="H642">
        <v>1178700702</v>
      </c>
      <c r="I642" t="s">
        <v>1473</v>
      </c>
      <c r="J642" t="s">
        <v>513</v>
      </c>
      <c r="K642" t="s">
        <v>15</v>
      </c>
      <c r="L642" t="s">
        <v>506</v>
      </c>
      <c r="M642" t="str">
        <f>VLOOKUP(A642,[1]MSAKEN!$A$1:$F$562,6,FALSE)</f>
        <v>05048000116500480568</v>
      </c>
    </row>
    <row r="643" spans="1:13" x14ac:dyDescent="0.3">
      <c r="A643">
        <v>1591</v>
      </c>
      <c r="B643" t="s">
        <v>252</v>
      </c>
      <c r="C643" t="s">
        <v>39</v>
      </c>
      <c r="D643" t="s">
        <v>535</v>
      </c>
      <c r="E643" t="s">
        <v>569</v>
      </c>
      <c r="F643" s="4">
        <v>26304</v>
      </c>
      <c r="G643">
        <v>5524655</v>
      </c>
      <c r="H643">
        <v>1142751500</v>
      </c>
      <c r="I643" t="s">
        <v>1474</v>
      </c>
      <c r="J643" t="s">
        <v>513</v>
      </c>
      <c r="K643" t="s">
        <v>15</v>
      </c>
      <c r="L643" t="s">
        <v>506</v>
      </c>
      <c r="M643" t="str">
        <f>VLOOKUP(A643,[1]MSAKEN!$A$1:$F$562,6,FALSE)</f>
        <v>04204067000891208176</v>
      </c>
    </row>
    <row r="644" spans="1:13" x14ac:dyDescent="0.3">
      <c r="A644">
        <v>1592</v>
      </c>
      <c r="B644" t="s">
        <v>533</v>
      </c>
      <c r="C644" t="s">
        <v>118</v>
      </c>
      <c r="D644" t="s">
        <v>535</v>
      </c>
      <c r="E644" t="s">
        <v>696</v>
      </c>
      <c r="F644" s="4">
        <v>27498</v>
      </c>
      <c r="G644">
        <v>5562295</v>
      </c>
      <c r="H644">
        <v>1208000602</v>
      </c>
      <c r="I644" t="s">
        <v>1475</v>
      </c>
      <c r="J644" t="s">
        <v>513</v>
      </c>
      <c r="K644" t="s">
        <v>15</v>
      </c>
      <c r="L644" t="s">
        <v>506</v>
      </c>
      <c r="M644" t="e">
        <f>VLOOKUP(A644,[1]MSAKEN!$A$1:$F$562,6,FALSE)</f>
        <v>#N/A</v>
      </c>
    </row>
    <row r="645" spans="1:13" x14ac:dyDescent="0.3">
      <c r="A645">
        <v>1593</v>
      </c>
      <c r="B645" t="s">
        <v>63</v>
      </c>
      <c r="C645" t="s">
        <v>166</v>
      </c>
      <c r="D645" t="s">
        <v>502</v>
      </c>
      <c r="E645" t="s">
        <v>502</v>
      </c>
      <c r="F645" t="s">
        <v>502</v>
      </c>
      <c r="G645">
        <v>5520539</v>
      </c>
      <c r="H645">
        <v>1178604102</v>
      </c>
      <c r="I645" t="s">
        <v>1476</v>
      </c>
      <c r="J645" t="s">
        <v>502</v>
      </c>
      <c r="K645" t="s">
        <v>15</v>
      </c>
      <c r="L645" t="s">
        <v>506</v>
      </c>
      <c r="M645" t="e">
        <f>VLOOKUP(A645,[1]MSAKEN!$A$1:$F$562,6,FALSE)</f>
        <v>#N/A</v>
      </c>
    </row>
    <row r="646" spans="1:13" x14ac:dyDescent="0.3">
      <c r="A646">
        <v>1594</v>
      </c>
      <c r="B646" t="s">
        <v>182</v>
      </c>
      <c r="C646" t="s">
        <v>181</v>
      </c>
      <c r="D646" t="s">
        <v>535</v>
      </c>
      <c r="E646" t="s">
        <v>1000</v>
      </c>
      <c r="F646" s="4">
        <v>26710</v>
      </c>
      <c r="G646">
        <v>5526377</v>
      </c>
      <c r="H646">
        <v>1192485108</v>
      </c>
      <c r="I646" t="s">
        <v>1477</v>
      </c>
      <c r="J646" t="s">
        <v>513</v>
      </c>
      <c r="K646" t="s">
        <v>15</v>
      </c>
      <c r="L646" t="s">
        <v>506</v>
      </c>
      <c r="M646" t="str">
        <f>VLOOKUP(A646,[1]MSAKEN!$A$1:$F$562,6,FALSE)</f>
        <v>04204067002718254295</v>
      </c>
    </row>
    <row r="647" spans="1:13" x14ac:dyDescent="0.3">
      <c r="A647">
        <v>1595</v>
      </c>
      <c r="B647" t="s">
        <v>283</v>
      </c>
      <c r="C647" t="s">
        <v>40</v>
      </c>
      <c r="D647" t="s">
        <v>564</v>
      </c>
      <c r="E647" t="s">
        <v>1386</v>
      </c>
      <c r="F647" s="4">
        <v>26876</v>
      </c>
      <c r="G647">
        <v>5546698</v>
      </c>
      <c r="H647">
        <v>1192576500</v>
      </c>
      <c r="I647" t="s">
        <v>1478</v>
      </c>
      <c r="J647" t="s">
        <v>513</v>
      </c>
      <c r="K647" t="s">
        <v>15</v>
      </c>
      <c r="L647" t="s">
        <v>506</v>
      </c>
      <c r="M647" t="str">
        <f>VLOOKUP(A647,[1]MSAKEN!$A$1:$F$562,6,FALSE)</f>
        <v>04204067404000618331</v>
      </c>
    </row>
    <row r="648" spans="1:13" x14ac:dyDescent="0.3">
      <c r="A648">
        <v>1596</v>
      </c>
      <c r="B648" t="s">
        <v>215</v>
      </c>
      <c r="C648" t="s">
        <v>167</v>
      </c>
      <c r="D648" t="s">
        <v>535</v>
      </c>
      <c r="E648" t="s">
        <v>1091</v>
      </c>
      <c r="F648" s="4">
        <v>25886</v>
      </c>
      <c r="G648">
        <v>5513780</v>
      </c>
      <c r="H648">
        <v>1168081006</v>
      </c>
      <c r="I648" t="s">
        <v>1479</v>
      </c>
      <c r="J648" t="s">
        <v>513</v>
      </c>
      <c r="K648" t="s">
        <v>15</v>
      </c>
      <c r="L648" t="s">
        <v>506</v>
      </c>
      <c r="M648" t="str">
        <f>VLOOKUP(A648,[1]MSAKEN!$A$1:$F$562,6,FALSE)</f>
        <v>05048000116500208095</v>
      </c>
    </row>
    <row r="649" spans="1:13" x14ac:dyDescent="0.3">
      <c r="A649">
        <v>1597</v>
      </c>
      <c r="B649" t="s">
        <v>163</v>
      </c>
      <c r="C649" t="s">
        <v>39</v>
      </c>
      <c r="D649" t="s">
        <v>648</v>
      </c>
      <c r="E649" t="s">
        <v>699</v>
      </c>
      <c r="F649" s="4">
        <v>27398</v>
      </c>
      <c r="G649">
        <v>5541522</v>
      </c>
      <c r="H649">
        <v>1192219101</v>
      </c>
      <c r="I649" t="s">
        <v>1480</v>
      </c>
      <c r="J649" t="s">
        <v>513</v>
      </c>
      <c r="K649" t="s">
        <v>15</v>
      </c>
      <c r="L649" t="s">
        <v>506</v>
      </c>
      <c r="M649" t="str">
        <f>VLOOKUP(A649,[1]MSAKEN!$A$1:$F$562,6,FALSE)</f>
        <v>03508056010100210720</v>
      </c>
    </row>
    <row r="650" spans="1:13" x14ac:dyDescent="0.3">
      <c r="A650">
        <v>1598</v>
      </c>
      <c r="B650" t="s">
        <v>253</v>
      </c>
      <c r="C650" t="s">
        <v>106</v>
      </c>
      <c r="D650" t="s">
        <v>564</v>
      </c>
      <c r="E650" t="s">
        <v>1186</v>
      </c>
      <c r="F650" s="4">
        <v>26314</v>
      </c>
      <c r="G650">
        <v>5514480</v>
      </c>
      <c r="H650">
        <v>1178617302</v>
      </c>
      <c r="I650" t="s">
        <v>1481</v>
      </c>
      <c r="J650" t="s">
        <v>1482</v>
      </c>
      <c r="K650" t="s">
        <v>15</v>
      </c>
      <c r="L650" t="s">
        <v>506</v>
      </c>
      <c r="M650" t="str">
        <f>VLOOKUP(A650,[1]MSAKEN!$A$1:$F$562,6,FALSE)</f>
        <v>05015000086501197090</v>
      </c>
    </row>
    <row r="651" spans="1:13" x14ac:dyDescent="0.3">
      <c r="A651">
        <v>1599</v>
      </c>
      <c r="B651" t="s">
        <v>1483</v>
      </c>
      <c r="C651" t="s">
        <v>28</v>
      </c>
      <c r="D651" t="s">
        <v>648</v>
      </c>
      <c r="E651" t="s">
        <v>714</v>
      </c>
      <c r="F651" s="4">
        <v>26201</v>
      </c>
      <c r="G651">
        <v>5508498</v>
      </c>
      <c r="H651">
        <v>1178700504</v>
      </c>
      <c r="I651" t="s">
        <v>1484</v>
      </c>
      <c r="J651" t="s">
        <v>513</v>
      </c>
      <c r="K651" t="s">
        <v>15</v>
      </c>
      <c r="L651" t="s">
        <v>506</v>
      </c>
      <c r="M651" t="str">
        <f>VLOOKUP(A651,[1]MSAKEN!$A$1:$F$562,6,FALSE)</f>
        <v>04204067404002116690</v>
      </c>
    </row>
    <row r="652" spans="1:13" x14ac:dyDescent="0.3">
      <c r="A652">
        <v>1600</v>
      </c>
      <c r="B652" t="s">
        <v>75</v>
      </c>
      <c r="C652" t="s">
        <v>34</v>
      </c>
      <c r="D652" t="s">
        <v>648</v>
      </c>
      <c r="E652" t="s">
        <v>917</v>
      </c>
      <c r="F652" s="4">
        <v>27988</v>
      </c>
      <c r="G652">
        <v>5544576</v>
      </c>
      <c r="H652">
        <v>1192492203</v>
      </c>
      <c r="I652" t="s">
        <v>1485</v>
      </c>
      <c r="J652" t="s">
        <v>513</v>
      </c>
      <c r="K652" t="s">
        <v>15</v>
      </c>
      <c r="L652" t="s">
        <v>506</v>
      </c>
      <c r="M652" t="str">
        <f>VLOOKUP(A652,[1]MSAKEN!$A$1:$F$562,6,FALSE)</f>
        <v>05048000116500469413</v>
      </c>
    </row>
    <row r="653" spans="1:13" x14ac:dyDescent="0.3">
      <c r="A653">
        <v>1601</v>
      </c>
      <c r="B653" t="s">
        <v>1486</v>
      </c>
      <c r="C653" t="s">
        <v>76</v>
      </c>
      <c r="D653" t="s">
        <v>738</v>
      </c>
      <c r="E653" t="s">
        <v>645</v>
      </c>
      <c r="F653" s="4">
        <v>28268</v>
      </c>
      <c r="G653">
        <v>5560893</v>
      </c>
      <c r="H653">
        <v>1192604807</v>
      </c>
      <c r="I653" t="s">
        <v>1487</v>
      </c>
      <c r="J653" t="s">
        <v>513</v>
      </c>
      <c r="K653" t="s">
        <v>15</v>
      </c>
      <c r="L653" t="s">
        <v>506</v>
      </c>
      <c r="M653" t="str">
        <f>VLOOKUP(A653,[1]MSAKEN!$A$1:$F$562,6,FALSE)</f>
        <v>08050020052000110670</v>
      </c>
    </row>
    <row r="654" spans="1:13" x14ac:dyDescent="0.3">
      <c r="A654">
        <v>1602</v>
      </c>
      <c r="B654" t="s">
        <v>165</v>
      </c>
      <c r="C654" t="s">
        <v>164</v>
      </c>
      <c r="D654" t="s">
        <v>598</v>
      </c>
      <c r="E654" t="s">
        <v>696</v>
      </c>
      <c r="F654" s="4">
        <v>28367</v>
      </c>
      <c r="G654">
        <v>5573108</v>
      </c>
      <c r="H654">
        <v>1208037406</v>
      </c>
      <c r="I654" t="s">
        <v>1488</v>
      </c>
      <c r="J654" t="s">
        <v>513</v>
      </c>
      <c r="K654" t="s">
        <v>15</v>
      </c>
      <c r="L654" t="s">
        <v>506</v>
      </c>
      <c r="M654" t="str">
        <f>VLOOKUP(A654,[1]MSAKEN!$A$1:$F$562,6,FALSE)</f>
        <v>04204067404001539055</v>
      </c>
    </row>
    <row r="655" spans="1:13" x14ac:dyDescent="0.3">
      <c r="A655">
        <v>1603</v>
      </c>
      <c r="B655" t="s">
        <v>197</v>
      </c>
      <c r="C655" t="s">
        <v>440</v>
      </c>
      <c r="D655" t="s">
        <v>670</v>
      </c>
      <c r="E655" t="s">
        <v>1489</v>
      </c>
      <c r="F655" s="4">
        <v>24794</v>
      </c>
      <c r="G655">
        <v>5510876</v>
      </c>
      <c r="H655">
        <v>1192623708</v>
      </c>
      <c r="I655" t="s">
        <v>502</v>
      </c>
      <c r="J655" t="s">
        <v>833</v>
      </c>
      <c r="K655" t="s">
        <v>16</v>
      </c>
      <c r="L655" t="s">
        <v>17</v>
      </c>
      <c r="M655" t="str">
        <f>VLOOKUP(A655,[1]MSAKEN!$A$1:$F$562,6,FALSE)</f>
        <v>10506040205178378888</v>
      </c>
    </row>
    <row r="656" spans="1:13" x14ac:dyDescent="0.3">
      <c r="A656">
        <v>1604</v>
      </c>
      <c r="B656" t="s">
        <v>283</v>
      </c>
      <c r="C656" t="s">
        <v>1490</v>
      </c>
      <c r="D656" t="s">
        <v>502</v>
      </c>
      <c r="E656" t="s">
        <v>502</v>
      </c>
      <c r="F656" t="s">
        <v>502</v>
      </c>
      <c r="G656" t="s">
        <v>502</v>
      </c>
      <c r="H656" t="s">
        <v>502</v>
      </c>
      <c r="I656" t="s">
        <v>502</v>
      </c>
      <c r="J656" t="s">
        <v>502</v>
      </c>
      <c r="K656" t="s">
        <v>15</v>
      </c>
      <c r="L656" t="s">
        <v>17</v>
      </c>
      <c r="M656" t="e">
        <f>VLOOKUP(A656,[1]MSAKEN!$A$1:$F$562,6,FALSE)</f>
        <v>#N/A</v>
      </c>
    </row>
    <row r="657" spans="1:13" x14ac:dyDescent="0.3">
      <c r="A657">
        <v>1605</v>
      </c>
      <c r="B657" t="s">
        <v>1491</v>
      </c>
      <c r="C657" t="s">
        <v>1219</v>
      </c>
      <c r="D657" t="s">
        <v>502</v>
      </c>
      <c r="E657" t="s">
        <v>502</v>
      </c>
      <c r="F657" t="s">
        <v>502</v>
      </c>
      <c r="G657" t="s">
        <v>502</v>
      </c>
      <c r="H657" t="s">
        <v>502</v>
      </c>
      <c r="I657" t="s">
        <v>502</v>
      </c>
      <c r="J657" t="s">
        <v>502</v>
      </c>
      <c r="K657" t="s">
        <v>15</v>
      </c>
      <c r="L657" t="s">
        <v>502</v>
      </c>
      <c r="M657" t="e">
        <f>VLOOKUP(A657,[1]MSAKEN!$A$1:$F$562,6,FALSE)</f>
        <v>#N/A</v>
      </c>
    </row>
    <row r="658" spans="1:13" x14ac:dyDescent="0.3">
      <c r="A658">
        <v>1606</v>
      </c>
      <c r="B658" t="s">
        <v>1492</v>
      </c>
      <c r="C658" t="s">
        <v>76</v>
      </c>
      <c r="D658" t="s">
        <v>502</v>
      </c>
      <c r="E658" t="s">
        <v>502</v>
      </c>
      <c r="F658" s="4">
        <v>27283</v>
      </c>
      <c r="G658">
        <v>2790281</v>
      </c>
      <c r="H658">
        <v>0</v>
      </c>
      <c r="I658" t="s">
        <v>1493</v>
      </c>
      <c r="J658" t="s">
        <v>511</v>
      </c>
      <c r="K658" t="s">
        <v>16</v>
      </c>
      <c r="L658" t="s">
        <v>506</v>
      </c>
      <c r="M658" t="e">
        <f>VLOOKUP(A658,[1]MSAKEN!$A$1:$F$562,6,FALSE)</f>
        <v>#N/A</v>
      </c>
    </row>
    <row r="659" spans="1:13" x14ac:dyDescent="0.3">
      <c r="A659">
        <v>1608</v>
      </c>
      <c r="B659" t="s">
        <v>1494</v>
      </c>
      <c r="C659" t="s">
        <v>553</v>
      </c>
      <c r="D659" t="s">
        <v>502</v>
      </c>
      <c r="E659" t="s">
        <v>502</v>
      </c>
      <c r="F659" t="s">
        <v>502</v>
      </c>
      <c r="G659" t="s">
        <v>502</v>
      </c>
      <c r="H659" t="s">
        <v>502</v>
      </c>
      <c r="I659" t="s">
        <v>502</v>
      </c>
      <c r="J659" t="s">
        <v>502</v>
      </c>
      <c r="K659" t="s">
        <v>15</v>
      </c>
      <c r="L659" t="s">
        <v>502</v>
      </c>
      <c r="M659" t="e">
        <f>VLOOKUP(A659,[1]MSAKEN!$A$1:$F$562,6,FALSE)</f>
        <v>#N/A</v>
      </c>
    </row>
    <row r="660" spans="1:13" x14ac:dyDescent="0.3">
      <c r="A660">
        <v>1609</v>
      </c>
      <c r="B660" t="s">
        <v>80</v>
      </c>
      <c r="C660" t="s">
        <v>70</v>
      </c>
      <c r="D660" t="s">
        <v>502</v>
      </c>
      <c r="E660" t="s">
        <v>502</v>
      </c>
      <c r="F660" t="s">
        <v>502</v>
      </c>
      <c r="G660" t="s">
        <v>502</v>
      </c>
      <c r="H660" t="s">
        <v>502</v>
      </c>
      <c r="I660" t="s">
        <v>502</v>
      </c>
      <c r="J660" t="s">
        <v>502</v>
      </c>
      <c r="K660" t="s">
        <v>15</v>
      </c>
      <c r="L660" t="s">
        <v>502</v>
      </c>
      <c r="M660" t="e">
        <f>VLOOKUP(A660,[1]MSAKEN!$A$1:$F$562,6,FALSE)</f>
        <v>#N/A</v>
      </c>
    </row>
    <row r="661" spans="1:13" x14ac:dyDescent="0.3">
      <c r="A661">
        <v>1610</v>
      </c>
      <c r="B661" t="s">
        <v>446</v>
      </c>
      <c r="C661" t="s">
        <v>39</v>
      </c>
      <c r="D661" t="s">
        <v>960</v>
      </c>
      <c r="E661" t="s">
        <v>584</v>
      </c>
      <c r="F661" s="4">
        <v>27208</v>
      </c>
      <c r="G661">
        <v>5544329</v>
      </c>
      <c r="H661">
        <v>1176143400</v>
      </c>
      <c r="I661" t="s">
        <v>961</v>
      </c>
      <c r="J661" t="s">
        <v>513</v>
      </c>
      <c r="K661" t="s">
        <v>15</v>
      </c>
      <c r="L661" t="s">
        <v>506</v>
      </c>
      <c r="M661" t="str">
        <f>VLOOKUP(A661,[1]MSAKEN!$A$1:$F$562,6,FALSE)</f>
        <v>12505000000213580974</v>
      </c>
    </row>
    <row r="662" spans="1:13" x14ac:dyDescent="0.3">
      <c r="A662">
        <v>1611</v>
      </c>
      <c r="B662" t="s">
        <v>57</v>
      </c>
      <c r="C662" t="s">
        <v>56</v>
      </c>
      <c r="D662" t="s">
        <v>674</v>
      </c>
      <c r="E662" t="s">
        <v>536</v>
      </c>
      <c r="F662" s="4">
        <v>25006</v>
      </c>
      <c r="G662">
        <v>5501924</v>
      </c>
      <c r="H662">
        <v>1153741101</v>
      </c>
      <c r="I662" t="s">
        <v>1495</v>
      </c>
      <c r="J662" t="s">
        <v>513</v>
      </c>
      <c r="K662" t="s">
        <v>15</v>
      </c>
      <c r="L662" t="s">
        <v>506</v>
      </c>
      <c r="M662" t="str">
        <f>VLOOKUP(A662,[1]MSAKEN!$A$1:$F$562,6,FALSE)</f>
        <v>12505000580104728030</v>
      </c>
    </row>
    <row r="663" spans="1:13" x14ac:dyDescent="0.3">
      <c r="A663">
        <v>1612</v>
      </c>
      <c r="B663" t="s">
        <v>354</v>
      </c>
      <c r="C663" t="s">
        <v>383</v>
      </c>
      <c r="D663" t="s">
        <v>598</v>
      </c>
      <c r="E663" t="s">
        <v>696</v>
      </c>
      <c r="F663" s="4">
        <v>24632</v>
      </c>
      <c r="G663">
        <v>2991495</v>
      </c>
      <c r="H663">
        <v>1192579009</v>
      </c>
      <c r="I663" t="s">
        <v>1092</v>
      </c>
      <c r="J663" t="s">
        <v>513</v>
      </c>
      <c r="K663" t="s">
        <v>15</v>
      </c>
      <c r="L663" t="s">
        <v>506</v>
      </c>
      <c r="M663" t="str">
        <f>VLOOKUP(A663,[1]MSAKEN!$A$1:$F$562,6,FALSE)</f>
        <v>12505000580102208358</v>
      </c>
    </row>
    <row r="664" spans="1:13" x14ac:dyDescent="0.3">
      <c r="A664">
        <v>1613</v>
      </c>
      <c r="B664" t="s">
        <v>1486</v>
      </c>
      <c r="C664" t="s">
        <v>331</v>
      </c>
      <c r="D664" t="s">
        <v>535</v>
      </c>
      <c r="E664" t="s">
        <v>546</v>
      </c>
      <c r="F664" s="4">
        <v>28918</v>
      </c>
      <c r="G664">
        <v>5549798</v>
      </c>
      <c r="H664">
        <v>1178700900</v>
      </c>
      <c r="I664" t="s">
        <v>1496</v>
      </c>
      <c r="J664" t="s">
        <v>513</v>
      </c>
      <c r="K664" t="s">
        <v>15</v>
      </c>
      <c r="L664" t="s">
        <v>506</v>
      </c>
      <c r="M664" t="str">
        <f>VLOOKUP(A664,[1]MSAKEN!$A$1:$F$562,6,FALSE)</f>
        <v>05048000116500488037</v>
      </c>
    </row>
    <row r="665" spans="1:13" x14ac:dyDescent="0.3">
      <c r="A665">
        <v>1614</v>
      </c>
      <c r="B665" t="s">
        <v>205</v>
      </c>
      <c r="C665" t="s">
        <v>204</v>
      </c>
      <c r="D665" t="s">
        <v>598</v>
      </c>
      <c r="E665" t="s">
        <v>699</v>
      </c>
      <c r="F665" s="4">
        <v>24586</v>
      </c>
      <c r="G665">
        <v>2980882</v>
      </c>
      <c r="H665">
        <v>1178700801</v>
      </c>
      <c r="I665" t="s">
        <v>1497</v>
      </c>
      <c r="J665" t="s">
        <v>513</v>
      </c>
      <c r="K665" t="s">
        <v>15</v>
      </c>
      <c r="L665" t="s">
        <v>506</v>
      </c>
      <c r="M665" t="str">
        <f>VLOOKUP(A665,[1]MSAKEN!$A$1:$F$562,6,FALSE)</f>
        <v>03508056010100175897</v>
      </c>
    </row>
    <row r="666" spans="1:13" x14ac:dyDescent="0.3">
      <c r="A666">
        <v>1615</v>
      </c>
      <c r="B666" t="s">
        <v>25</v>
      </c>
      <c r="C666" t="s">
        <v>24</v>
      </c>
      <c r="D666" t="s">
        <v>1163</v>
      </c>
      <c r="E666" t="s">
        <v>714</v>
      </c>
      <c r="F666" s="4">
        <v>24008</v>
      </c>
      <c r="G666">
        <v>5525145</v>
      </c>
      <c r="H666">
        <v>1206949701</v>
      </c>
      <c r="I666" t="s">
        <v>1498</v>
      </c>
      <c r="J666" t="s">
        <v>513</v>
      </c>
      <c r="K666" t="s">
        <v>577</v>
      </c>
      <c r="L666" t="s">
        <v>17</v>
      </c>
      <c r="M666" t="str">
        <f>VLOOKUP(A666,[1]MSAKEN!$A$1:$F$562,6,FALSE)</f>
        <v>08507000262001006823</v>
      </c>
    </row>
    <row r="667" spans="1:13" x14ac:dyDescent="0.3">
      <c r="A667">
        <v>1616</v>
      </c>
      <c r="B667" t="s">
        <v>67</v>
      </c>
      <c r="C667" t="s">
        <v>40</v>
      </c>
      <c r="D667" t="s">
        <v>1499</v>
      </c>
      <c r="E667" t="s">
        <v>1093</v>
      </c>
      <c r="F667" s="4">
        <v>24133</v>
      </c>
      <c r="G667">
        <v>2971447</v>
      </c>
      <c r="H667">
        <v>1178780803</v>
      </c>
      <c r="I667" t="s">
        <v>900</v>
      </c>
      <c r="J667" t="s">
        <v>657</v>
      </c>
      <c r="K667" t="s">
        <v>15</v>
      </c>
      <c r="L667" t="s">
        <v>506</v>
      </c>
      <c r="M667" t="str">
        <f>VLOOKUP(A667,[1]MSAKEN!$A$1:$F$562,6,FALSE)</f>
        <v>03508056010100260772</v>
      </c>
    </row>
    <row r="668" spans="1:13" x14ac:dyDescent="0.3">
      <c r="A668">
        <v>1617</v>
      </c>
      <c r="B668" t="s">
        <v>1500</v>
      </c>
      <c r="C668" t="s">
        <v>166</v>
      </c>
      <c r="D668" t="s">
        <v>772</v>
      </c>
      <c r="E668" t="s">
        <v>1501</v>
      </c>
      <c r="F668" s="4">
        <v>26359</v>
      </c>
      <c r="G668">
        <v>5551292</v>
      </c>
      <c r="H668">
        <v>1208000701</v>
      </c>
      <c r="I668" t="s">
        <v>502</v>
      </c>
      <c r="J668" t="s">
        <v>755</v>
      </c>
      <c r="K668" t="s">
        <v>15</v>
      </c>
      <c r="L668" t="s">
        <v>506</v>
      </c>
      <c r="M668" t="str">
        <f>VLOOKUP(A668,[1]MSAKEN!$A$1:$F$562,6,FALSE)</f>
        <v>04204067404000991490</v>
      </c>
    </row>
    <row r="669" spans="1:13" x14ac:dyDescent="0.3">
      <c r="A669">
        <v>1618</v>
      </c>
      <c r="B669" t="s">
        <v>111</v>
      </c>
      <c r="C669" t="s">
        <v>274</v>
      </c>
      <c r="D669" t="s">
        <v>632</v>
      </c>
      <c r="E669" t="s">
        <v>536</v>
      </c>
      <c r="F669" s="4">
        <v>24772</v>
      </c>
      <c r="G669">
        <v>2978827</v>
      </c>
      <c r="H669">
        <v>1192285102</v>
      </c>
      <c r="I669">
        <v>372</v>
      </c>
      <c r="J669" t="s">
        <v>657</v>
      </c>
      <c r="K669" t="s">
        <v>15</v>
      </c>
      <c r="L669" t="s">
        <v>506</v>
      </c>
      <c r="M669" t="str">
        <f>VLOOKUP(A669,[1]MSAKEN!$A$1:$F$562,6,FALSE)</f>
        <v>10506040511024778878</v>
      </c>
    </row>
    <row r="670" spans="1:13" x14ac:dyDescent="0.3">
      <c r="A670">
        <v>1619</v>
      </c>
      <c r="B670" t="s">
        <v>42</v>
      </c>
      <c r="C670" t="s">
        <v>40</v>
      </c>
      <c r="D670" t="s">
        <v>797</v>
      </c>
      <c r="E670" t="s">
        <v>536</v>
      </c>
      <c r="F670" s="4">
        <v>25762</v>
      </c>
      <c r="G670">
        <v>5514585</v>
      </c>
      <c r="H670">
        <v>1164123901</v>
      </c>
      <c r="I670" t="s">
        <v>1502</v>
      </c>
      <c r="J670" t="s">
        <v>513</v>
      </c>
      <c r="K670" t="s">
        <v>15</v>
      </c>
      <c r="L670" t="s">
        <v>506</v>
      </c>
      <c r="M670" t="str">
        <f>VLOOKUP(A670,[1]MSAKEN!$A$1:$F$562,6,FALSE)</f>
        <v>05048000116500463593</v>
      </c>
    </row>
    <row r="671" spans="1:13" x14ac:dyDescent="0.3">
      <c r="A671">
        <v>1620</v>
      </c>
      <c r="B671" t="s">
        <v>1503</v>
      </c>
      <c r="C671" t="s">
        <v>110</v>
      </c>
      <c r="D671" t="s">
        <v>648</v>
      </c>
      <c r="E671" t="s">
        <v>584</v>
      </c>
      <c r="F671" s="4">
        <v>27793</v>
      </c>
      <c r="G671">
        <v>5553723</v>
      </c>
      <c r="H671">
        <v>1192527909</v>
      </c>
      <c r="I671" t="s">
        <v>502</v>
      </c>
      <c r="J671" t="s">
        <v>825</v>
      </c>
      <c r="K671" t="s">
        <v>16</v>
      </c>
      <c r="L671" t="s">
        <v>506</v>
      </c>
      <c r="M671" t="str">
        <f>VLOOKUP(A671,[1]MSAKEN!$A$1:$F$562,6,FALSE)</f>
        <v>04204067404000529285</v>
      </c>
    </row>
    <row r="672" spans="1:13" x14ac:dyDescent="0.3">
      <c r="A672">
        <v>1621</v>
      </c>
      <c r="B672" t="s">
        <v>314</v>
      </c>
      <c r="C672" t="s">
        <v>206</v>
      </c>
      <c r="D672" t="s">
        <v>1061</v>
      </c>
      <c r="E672" t="s">
        <v>626</v>
      </c>
      <c r="F672" s="4">
        <v>28175</v>
      </c>
      <c r="G672">
        <v>5556834</v>
      </c>
      <c r="H672">
        <v>1178700603</v>
      </c>
      <c r="I672" t="s">
        <v>1504</v>
      </c>
      <c r="J672" t="s">
        <v>513</v>
      </c>
      <c r="K672" t="s">
        <v>15</v>
      </c>
      <c r="L672" t="s">
        <v>506</v>
      </c>
      <c r="M672" t="str">
        <f>VLOOKUP(A672,[1]MSAKEN!$A$1:$F$562,6,FALSE)</f>
        <v>24010026274251110195</v>
      </c>
    </row>
    <row r="673" spans="1:13" x14ac:dyDescent="0.3">
      <c r="A673">
        <v>1622</v>
      </c>
      <c r="B673" t="s">
        <v>342</v>
      </c>
      <c r="C673" t="s">
        <v>367</v>
      </c>
      <c r="D673" t="s">
        <v>502</v>
      </c>
      <c r="E673" t="s">
        <v>502</v>
      </c>
      <c r="F673" s="4">
        <v>24579</v>
      </c>
      <c r="G673">
        <v>2978776</v>
      </c>
      <c r="H673">
        <v>1143918603</v>
      </c>
      <c r="I673" t="s">
        <v>1505</v>
      </c>
      <c r="J673" t="s">
        <v>513</v>
      </c>
      <c r="K673" t="s">
        <v>15</v>
      </c>
      <c r="L673" t="s">
        <v>506</v>
      </c>
      <c r="M673" t="e">
        <f>VLOOKUP(A673,[1]MSAKEN!$A$1:$F$562,6,FALSE)</f>
        <v>#N/A</v>
      </c>
    </row>
    <row r="674" spans="1:13" x14ac:dyDescent="0.3">
      <c r="A674">
        <v>1623</v>
      </c>
      <c r="B674" t="s">
        <v>1303</v>
      </c>
      <c r="C674" t="s">
        <v>63</v>
      </c>
      <c r="D674" t="s">
        <v>1163</v>
      </c>
      <c r="E674" t="s">
        <v>1506</v>
      </c>
      <c r="F674" s="4">
        <v>24664</v>
      </c>
      <c r="G674">
        <v>2997120</v>
      </c>
      <c r="H674">
        <v>1129765705</v>
      </c>
      <c r="I674" t="s">
        <v>502</v>
      </c>
      <c r="J674" t="s">
        <v>833</v>
      </c>
      <c r="K674" t="s">
        <v>15</v>
      </c>
      <c r="L674" t="s">
        <v>506</v>
      </c>
      <c r="M674" t="e">
        <f>VLOOKUP(A674,[1]MSAKEN!$A$1:$F$562,6,FALSE)</f>
        <v>#N/A</v>
      </c>
    </row>
    <row r="675" spans="1:13" x14ac:dyDescent="0.3">
      <c r="A675">
        <v>1624</v>
      </c>
      <c r="B675" t="s">
        <v>182</v>
      </c>
      <c r="C675" t="s">
        <v>1507</v>
      </c>
      <c r="D675" t="s">
        <v>711</v>
      </c>
      <c r="E675" t="s">
        <v>699</v>
      </c>
      <c r="F675" s="4">
        <v>23588</v>
      </c>
      <c r="G675">
        <v>2960979</v>
      </c>
      <c r="H675">
        <v>1130385600</v>
      </c>
      <c r="I675" t="s">
        <v>1508</v>
      </c>
      <c r="J675" t="s">
        <v>513</v>
      </c>
      <c r="K675" t="s">
        <v>15</v>
      </c>
      <c r="L675" t="s">
        <v>506</v>
      </c>
      <c r="M675" t="e">
        <f>VLOOKUP(A675,[1]MSAKEN!$A$1:$F$562,6,FALSE)</f>
        <v>#N/A</v>
      </c>
    </row>
    <row r="676" spans="1:13" x14ac:dyDescent="0.3">
      <c r="A676">
        <v>1625</v>
      </c>
      <c r="B676" t="s">
        <v>103</v>
      </c>
      <c r="C676" t="s">
        <v>102</v>
      </c>
      <c r="D676" t="s">
        <v>772</v>
      </c>
      <c r="E676" t="s">
        <v>630</v>
      </c>
      <c r="F676" s="4">
        <v>24415</v>
      </c>
      <c r="G676">
        <v>2969963</v>
      </c>
      <c r="H676">
        <v>1171534405</v>
      </c>
      <c r="I676" t="s">
        <v>1509</v>
      </c>
      <c r="J676" t="s">
        <v>513</v>
      </c>
      <c r="K676" t="s">
        <v>15</v>
      </c>
      <c r="L676" t="s">
        <v>506</v>
      </c>
      <c r="M676" t="str">
        <f>VLOOKUP(A676,[1]MSAKEN!$A$1:$F$562,6,FALSE)</f>
        <v>17503000000129105744</v>
      </c>
    </row>
    <row r="677" spans="1:13" x14ac:dyDescent="0.3">
      <c r="A677">
        <v>1626</v>
      </c>
      <c r="B677" t="s">
        <v>84</v>
      </c>
      <c r="C677" t="s">
        <v>34</v>
      </c>
      <c r="D677" t="s">
        <v>772</v>
      </c>
      <c r="E677" t="s">
        <v>917</v>
      </c>
      <c r="F677" s="4">
        <v>25236</v>
      </c>
      <c r="G677">
        <v>5517129</v>
      </c>
      <c r="H677">
        <v>1146790009</v>
      </c>
      <c r="I677" t="s">
        <v>1510</v>
      </c>
      <c r="J677" t="s">
        <v>513</v>
      </c>
      <c r="K677" t="s">
        <v>15</v>
      </c>
      <c r="L677" t="s">
        <v>506</v>
      </c>
      <c r="M677" t="str">
        <f>VLOOKUP(A677,[1]MSAKEN!$A$1:$F$562,6,FALSE)</f>
        <v>04204067000979955222</v>
      </c>
    </row>
    <row r="678" spans="1:13" x14ac:dyDescent="0.3">
      <c r="A678">
        <v>1629</v>
      </c>
      <c r="B678" t="s">
        <v>1511</v>
      </c>
      <c r="C678" t="s">
        <v>1017</v>
      </c>
      <c r="D678" t="s">
        <v>502</v>
      </c>
      <c r="E678" t="s">
        <v>502</v>
      </c>
      <c r="F678" t="s">
        <v>502</v>
      </c>
      <c r="G678" t="s">
        <v>502</v>
      </c>
      <c r="H678" t="s">
        <v>502</v>
      </c>
      <c r="I678" t="s">
        <v>502</v>
      </c>
      <c r="J678" t="s">
        <v>502</v>
      </c>
      <c r="K678" t="s">
        <v>15</v>
      </c>
      <c r="L678" t="s">
        <v>502</v>
      </c>
      <c r="M678" t="e">
        <f>VLOOKUP(A678,[1]MSAKEN!$A$1:$F$562,6,FALSE)</f>
        <v>#N/A</v>
      </c>
    </row>
    <row r="679" spans="1:13" x14ac:dyDescent="0.3">
      <c r="A679">
        <v>1630</v>
      </c>
      <c r="B679" t="s">
        <v>1512</v>
      </c>
      <c r="C679" t="s">
        <v>1513</v>
      </c>
      <c r="D679" t="s">
        <v>502</v>
      </c>
      <c r="E679" t="s">
        <v>502</v>
      </c>
      <c r="F679" t="s">
        <v>502</v>
      </c>
      <c r="G679" t="s">
        <v>502</v>
      </c>
      <c r="H679" t="s">
        <v>502</v>
      </c>
      <c r="I679" t="s">
        <v>502</v>
      </c>
      <c r="J679" t="s">
        <v>502</v>
      </c>
      <c r="K679" t="s">
        <v>15</v>
      </c>
      <c r="L679" t="s">
        <v>502</v>
      </c>
      <c r="M679" t="e">
        <f>VLOOKUP(A679,[1]MSAKEN!$A$1:$F$562,6,FALSE)</f>
        <v>#N/A</v>
      </c>
    </row>
    <row r="680" spans="1:13" x14ac:dyDescent="0.3">
      <c r="A680">
        <v>1631</v>
      </c>
      <c r="B680" t="s">
        <v>1514</v>
      </c>
      <c r="C680" t="s">
        <v>56</v>
      </c>
      <c r="D680" t="s">
        <v>502</v>
      </c>
      <c r="E680" t="s">
        <v>502</v>
      </c>
      <c r="F680" t="s">
        <v>502</v>
      </c>
      <c r="G680" t="s">
        <v>502</v>
      </c>
      <c r="H680" t="s">
        <v>502</v>
      </c>
      <c r="I680" t="s">
        <v>502</v>
      </c>
      <c r="J680" t="s">
        <v>502</v>
      </c>
      <c r="K680" t="s">
        <v>15</v>
      </c>
      <c r="L680" t="s">
        <v>502</v>
      </c>
      <c r="M680" t="e">
        <f>VLOOKUP(A680,[1]MSAKEN!$A$1:$F$562,6,FALSE)</f>
        <v>#N/A</v>
      </c>
    </row>
    <row r="681" spans="1:13" x14ac:dyDescent="0.3">
      <c r="A681">
        <v>1632</v>
      </c>
      <c r="B681" t="s">
        <v>1515</v>
      </c>
      <c r="C681" t="s">
        <v>1516</v>
      </c>
      <c r="D681" t="s">
        <v>502</v>
      </c>
      <c r="E681" t="s">
        <v>502</v>
      </c>
      <c r="F681" s="4">
        <v>20493</v>
      </c>
      <c r="G681" t="s">
        <v>502</v>
      </c>
      <c r="H681" t="s">
        <v>502</v>
      </c>
      <c r="I681" t="s">
        <v>502</v>
      </c>
      <c r="J681" t="s">
        <v>502</v>
      </c>
      <c r="K681" t="s">
        <v>15</v>
      </c>
      <c r="L681" t="s">
        <v>506</v>
      </c>
      <c r="M681" t="e">
        <f>VLOOKUP(A681,[1]MSAKEN!$A$1:$F$562,6,FALSE)</f>
        <v>#N/A</v>
      </c>
    </row>
    <row r="682" spans="1:13" x14ac:dyDescent="0.3">
      <c r="A682">
        <v>1633</v>
      </c>
      <c r="B682" t="s">
        <v>62</v>
      </c>
      <c r="C682" t="s">
        <v>69</v>
      </c>
      <c r="D682" t="s">
        <v>535</v>
      </c>
      <c r="E682" t="s">
        <v>521</v>
      </c>
      <c r="F682" s="4">
        <v>27233</v>
      </c>
      <c r="G682">
        <v>5546757</v>
      </c>
      <c r="H682">
        <v>1208163400</v>
      </c>
      <c r="I682" t="s">
        <v>1517</v>
      </c>
      <c r="J682" t="s">
        <v>513</v>
      </c>
      <c r="K682" t="s">
        <v>15</v>
      </c>
      <c r="L682" t="s">
        <v>506</v>
      </c>
      <c r="M682" t="str">
        <f>VLOOKUP(A682,[1]MSAKEN!$A$1:$F$562,6,FALSE)</f>
        <v>10506040206974378896</v>
      </c>
    </row>
    <row r="683" spans="1:13" x14ac:dyDescent="0.3">
      <c r="A683">
        <v>1634</v>
      </c>
      <c r="B683" t="s">
        <v>217</v>
      </c>
      <c r="C683" t="s">
        <v>216</v>
      </c>
      <c r="D683" t="s">
        <v>535</v>
      </c>
      <c r="E683" t="s">
        <v>602</v>
      </c>
      <c r="F683" s="4">
        <v>24681</v>
      </c>
      <c r="G683">
        <v>2978145</v>
      </c>
      <c r="H683">
        <v>1156045104</v>
      </c>
      <c r="I683" t="s">
        <v>1518</v>
      </c>
      <c r="J683" t="s">
        <v>574</v>
      </c>
      <c r="K683" t="s">
        <v>15</v>
      </c>
      <c r="L683" t="s">
        <v>506</v>
      </c>
      <c r="M683" t="str">
        <f>VLOOKUP(A683,[1]MSAKEN!$A$1:$F$562,6,FALSE)</f>
        <v>03508056010100267659</v>
      </c>
    </row>
    <row r="684" spans="1:13" x14ac:dyDescent="0.3">
      <c r="A684">
        <v>1635</v>
      </c>
      <c r="B684" t="s">
        <v>876</v>
      </c>
      <c r="C684" t="s">
        <v>150</v>
      </c>
      <c r="D684" t="s">
        <v>502</v>
      </c>
      <c r="E684" t="s">
        <v>502</v>
      </c>
      <c r="F684" t="s">
        <v>502</v>
      </c>
      <c r="G684" t="s">
        <v>502</v>
      </c>
      <c r="H684" t="s">
        <v>502</v>
      </c>
      <c r="I684" t="s">
        <v>502</v>
      </c>
      <c r="J684" t="s">
        <v>502</v>
      </c>
      <c r="K684" t="s">
        <v>15</v>
      </c>
      <c r="L684" t="s">
        <v>502</v>
      </c>
      <c r="M684" t="e">
        <f>VLOOKUP(A684,[1]MSAKEN!$A$1:$F$562,6,FALSE)</f>
        <v>#N/A</v>
      </c>
    </row>
    <row r="685" spans="1:13" x14ac:dyDescent="0.3">
      <c r="A685">
        <v>1636</v>
      </c>
      <c r="B685" t="s">
        <v>305</v>
      </c>
      <c r="C685" t="s">
        <v>1519</v>
      </c>
      <c r="D685" t="s">
        <v>502</v>
      </c>
      <c r="E685" t="s">
        <v>502</v>
      </c>
      <c r="F685" s="4">
        <v>27174</v>
      </c>
      <c r="G685" t="s">
        <v>502</v>
      </c>
      <c r="H685" t="s">
        <v>502</v>
      </c>
      <c r="I685" t="s">
        <v>502</v>
      </c>
      <c r="J685" t="s">
        <v>502</v>
      </c>
      <c r="K685" t="s">
        <v>15</v>
      </c>
      <c r="L685" t="s">
        <v>502</v>
      </c>
      <c r="M685" t="e">
        <f>VLOOKUP(A685,[1]MSAKEN!$A$1:$F$562,6,FALSE)</f>
        <v>#N/A</v>
      </c>
    </row>
    <row r="686" spans="1:13" x14ac:dyDescent="0.3">
      <c r="A686">
        <v>1637</v>
      </c>
      <c r="B686" t="s">
        <v>1520</v>
      </c>
      <c r="C686" t="s">
        <v>140</v>
      </c>
      <c r="D686" t="s">
        <v>502</v>
      </c>
      <c r="E686" t="s">
        <v>502</v>
      </c>
      <c r="F686" t="s">
        <v>502</v>
      </c>
      <c r="G686">
        <v>4193670</v>
      </c>
      <c r="H686">
        <v>0</v>
      </c>
      <c r="I686" t="s">
        <v>1521</v>
      </c>
      <c r="J686" t="s">
        <v>502</v>
      </c>
      <c r="K686" t="s">
        <v>15</v>
      </c>
      <c r="L686" t="s">
        <v>506</v>
      </c>
      <c r="M686" t="e">
        <f>VLOOKUP(A686,[1]MSAKEN!$A$1:$F$562,6,FALSE)</f>
        <v>#N/A</v>
      </c>
    </row>
    <row r="687" spans="1:13" x14ac:dyDescent="0.3">
      <c r="A687">
        <v>1638</v>
      </c>
      <c r="B687" t="s">
        <v>62</v>
      </c>
      <c r="C687" t="s">
        <v>383</v>
      </c>
      <c r="D687" t="s">
        <v>670</v>
      </c>
      <c r="E687" t="s">
        <v>867</v>
      </c>
      <c r="F687" s="4">
        <v>27337</v>
      </c>
      <c r="G687">
        <v>5539994</v>
      </c>
      <c r="H687">
        <v>1208655603</v>
      </c>
      <c r="I687" t="s">
        <v>1522</v>
      </c>
      <c r="J687" t="s">
        <v>825</v>
      </c>
      <c r="K687" t="s">
        <v>15</v>
      </c>
      <c r="L687" t="s">
        <v>506</v>
      </c>
      <c r="M687" t="str">
        <f>VLOOKUP(A687,[1]MSAKEN!$A$1:$F$562,6,FALSE)</f>
        <v>04204067001370394772</v>
      </c>
    </row>
    <row r="688" spans="1:13" x14ac:dyDescent="0.3">
      <c r="A688">
        <v>1639</v>
      </c>
      <c r="B688" t="s">
        <v>409</v>
      </c>
      <c r="C688" t="s">
        <v>408</v>
      </c>
      <c r="D688" t="s">
        <v>698</v>
      </c>
      <c r="E688" t="s">
        <v>584</v>
      </c>
      <c r="F688" s="4">
        <v>24279</v>
      </c>
      <c r="G688">
        <v>2980299</v>
      </c>
      <c r="H688">
        <v>1196065500</v>
      </c>
      <c r="I688" t="s">
        <v>502</v>
      </c>
      <c r="J688" t="s">
        <v>502</v>
      </c>
      <c r="K688" t="s">
        <v>15</v>
      </c>
      <c r="L688" t="s">
        <v>506</v>
      </c>
      <c r="M688" t="str">
        <f>VLOOKUP(A688,[1]MSAKEN!$A$1:$F$562,6,FALSE)</f>
        <v>14014014100700604557</v>
      </c>
    </row>
    <row r="689" spans="1:13" x14ac:dyDescent="0.3">
      <c r="A689">
        <v>1640</v>
      </c>
      <c r="B689" t="s">
        <v>1523</v>
      </c>
      <c r="C689" t="s">
        <v>336</v>
      </c>
      <c r="D689" t="s">
        <v>502</v>
      </c>
      <c r="E689" t="s">
        <v>502</v>
      </c>
      <c r="F689" t="s">
        <v>502</v>
      </c>
      <c r="G689" t="s">
        <v>502</v>
      </c>
      <c r="H689" t="s">
        <v>502</v>
      </c>
      <c r="I689" t="s">
        <v>502</v>
      </c>
      <c r="J689" t="s">
        <v>502</v>
      </c>
      <c r="K689" t="s">
        <v>15</v>
      </c>
      <c r="L689" t="s">
        <v>502</v>
      </c>
      <c r="M689" t="e">
        <f>VLOOKUP(A689,[1]MSAKEN!$A$1:$F$562,6,FALSE)</f>
        <v>#N/A</v>
      </c>
    </row>
    <row r="690" spans="1:13" x14ac:dyDescent="0.3">
      <c r="A690">
        <v>1641</v>
      </c>
      <c r="B690" t="s">
        <v>186</v>
      </c>
      <c r="C690" t="s">
        <v>167</v>
      </c>
      <c r="D690" t="s">
        <v>1290</v>
      </c>
      <c r="E690" t="s">
        <v>1524</v>
      </c>
      <c r="F690" s="4">
        <v>25252</v>
      </c>
      <c r="G690">
        <v>5504825</v>
      </c>
      <c r="H690">
        <v>1208174902</v>
      </c>
      <c r="I690" t="s">
        <v>1525</v>
      </c>
      <c r="J690" t="s">
        <v>513</v>
      </c>
      <c r="K690" t="s">
        <v>15</v>
      </c>
      <c r="L690" t="s">
        <v>506</v>
      </c>
      <c r="M690" t="str">
        <f>VLOOKUP(A690,[1]MSAKEN!$A$1:$F$562,6,FALSE)</f>
        <v>10506040510417478853</v>
      </c>
    </row>
    <row r="691" spans="1:13" x14ac:dyDescent="0.3">
      <c r="A691">
        <v>1642</v>
      </c>
      <c r="B691" t="s">
        <v>340</v>
      </c>
      <c r="C691" t="s">
        <v>1526</v>
      </c>
      <c r="D691" t="s">
        <v>535</v>
      </c>
      <c r="E691" t="s">
        <v>602</v>
      </c>
      <c r="F691" s="4">
        <v>23828</v>
      </c>
      <c r="G691">
        <v>2963760</v>
      </c>
      <c r="H691">
        <v>1107247403</v>
      </c>
      <c r="I691" t="s">
        <v>567</v>
      </c>
      <c r="J691" t="s">
        <v>568</v>
      </c>
      <c r="K691" t="s">
        <v>15</v>
      </c>
      <c r="L691" t="s">
        <v>506</v>
      </c>
      <c r="M691" t="str">
        <f>VLOOKUP(A691,[1]MSAKEN!$A$1:$F$562,6,FALSE)</f>
        <v>03508056010110228395</v>
      </c>
    </row>
    <row r="692" spans="1:13" x14ac:dyDescent="0.3">
      <c r="A692">
        <v>1643</v>
      </c>
      <c r="B692" t="s">
        <v>207</v>
      </c>
      <c r="C692" t="s">
        <v>45</v>
      </c>
      <c r="D692" t="s">
        <v>615</v>
      </c>
      <c r="E692" t="s">
        <v>546</v>
      </c>
      <c r="F692" s="4">
        <v>28526</v>
      </c>
      <c r="G692">
        <v>5581900</v>
      </c>
      <c r="H692">
        <v>1178777601</v>
      </c>
      <c r="I692" t="s">
        <v>567</v>
      </c>
      <c r="J692" t="s">
        <v>568</v>
      </c>
      <c r="K692" t="s">
        <v>15</v>
      </c>
      <c r="L692" t="s">
        <v>506</v>
      </c>
      <c r="M692" t="str">
        <f>VLOOKUP(A692,[1]MSAKEN!$A$1:$F$562,6,FALSE)</f>
        <v>10506040206209778821</v>
      </c>
    </row>
    <row r="693" spans="1:13" x14ac:dyDescent="0.3">
      <c r="A693">
        <v>1644</v>
      </c>
      <c r="B693" t="s">
        <v>1483</v>
      </c>
      <c r="C693" t="s">
        <v>31</v>
      </c>
      <c r="D693" t="s">
        <v>648</v>
      </c>
      <c r="E693" t="s">
        <v>714</v>
      </c>
      <c r="F693" s="4">
        <v>23995</v>
      </c>
      <c r="G693">
        <v>2979427</v>
      </c>
      <c r="H693">
        <v>1111535306</v>
      </c>
      <c r="I693" t="s">
        <v>1527</v>
      </c>
      <c r="J693" t="s">
        <v>513</v>
      </c>
      <c r="K693" t="s">
        <v>15</v>
      </c>
      <c r="L693" t="s">
        <v>506</v>
      </c>
      <c r="M693" t="str">
        <f>VLOOKUP(A693,[1]MSAKEN!$A$1:$F$562,6,FALSE)</f>
        <v>04204067404002207385</v>
      </c>
    </row>
    <row r="694" spans="1:13" x14ac:dyDescent="0.3">
      <c r="A694">
        <v>1645</v>
      </c>
      <c r="B694" t="s">
        <v>1528</v>
      </c>
      <c r="C694" t="s">
        <v>472</v>
      </c>
      <c r="D694" t="s">
        <v>502</v>
      </c>
      <c r="E694" t="s">
        <v>502</v>
      </c>
      <c r="F694" s="4">
        <v>25843</v>
      </c>
      <c r="G694">
        <v>5546905</v>
      </c>
      <c r="H694">
        <v>1163950809</v>
      </c>
      <c r="I694" t="s">
        <v>1529</v>
      </c>
      <c r="J694" t="s">
        <v>513</v>
      </c>
      <c r="K694" t="s">
        <v>15</v>
      </c>
      <c r="L694" t="s">
        <v>506</v>
      </c>
      <c r="M694" t="e">
        <f>VLOOKUP(A694,[1]MSAKEN!$A$1:$F$562,6,FALSE)</f>
        <v>#N/A</v>
      </c>
    </row>
    <row r="695" spans="1:13" x14ac:dyDescent="0.3">
      <c r="A695">
        <v>1646</v>
      </c>
      <c r="B695" t="s">
        <v>71</v>
      </c>
      <c r="C695" t="s">
        <v>70</v>
      </c>
      <c r="D695" t="s">
        <v>772</v>
      </c>
      <c r="E695" t="s">
        <v>678</v>
      </c>
      <c r="F695" s="4">
        <v>24302</v>
      </c>
      <c r="G695">
        <v>2962357</v>
      </c>
      <c r="H695">
        <v>1124372309</v>
      </c>
      <c r="I695" t="s">
        <v>1530</v>
      </c>
      <c r="J695" t="s">
        <v>511</v>
      </c>
      <c r="K695" t="s">
        <v>15</v>
      </c>
      <c r="L695" t="s">
        <v>506</v>
      </c>
      <c r="M695" t="str">
        <f>VLOOKUP(A695,[1]MSAKEN!$A$1:$F$562,6,FALSE)</f>
        <v>14014014100702357832</v>
      </c>
    </row>
    <row r="696" spans="1:13" x14ac:dyDescent="0.3">
      <c r="A696">
        <v>1647</v>
      </c>
      <c r="B696" t="s">
        <v>182</v>
      </c>
      <c r="C696" t="s">
        <v>262</v>
      </c>
      <c r="D696" t="s">
        <v>535</v>
      </c>
      <c r="E696" t="s">
        <v>546</v>
      </c>
      <c r="F696" s="4">
        <v>28308</v>
      </c>
      <c r="G696">
        <v>5589699</v>
      </c>
      <c r="H696">
        <v>1178781207</v>
      </c>
      <c r="I696" t="s">
        <v>1531</v>
      </c>
      <c r="J696" t="s">
        <v>513</v>
      </c>
      <c r="K696" t="s">
        <v>15</v>
      </c>
      <c r="L696" t="s">
        <v>506</v>
      </c>
      <c r="M696" t="e">
        <f>VLOOKUP(A696,[1]MSAKEN!$A$1:$F$562,6,FALSE)</f>
        <v>#N/A</v>
      </c>
    </row>
    <row r="697" spans="1:13" x14ac:dyDescent="0.3">
      <c r="A697">
        <v>1648</v>
      </c>
      <c r="B697" t="s">
        <v>171</v>
      </c>
      <c r="C697" t="s">
        <v>478</v>
      </c>
      <c r="D697" t="s">
        <v>502</v>
      </c>
      <c r="E697" t="s">
        <v>502</v>
      </c>
      <c r="F697" s="4">
        <v>22857</v>
      </c>
      <c r="G697">
        <v>2954623</v>
      </c>
      <c r="H697">
        <v>1118902608</v>
      </c>
      <c r="I697" t="s">
        <v>871</v>
      </c>
      <c r="J697" t="s">
        <v>755</v>
      </c>
      <c r="K697" t="s">
        <v>15</v>
      </c>
      <c r="L697" t="s">
        <v>506</v>
      </c>
      <c r="M697" t="e">
        <f>VLOOKUP(A697,[1]MSAKEN!$A$1:$F$562,6,FALSE)</f>
        <v>#N/A</v>
      </c>
    </row>
    <row r="698" spans="1:13" x14ac:dyDescent="0.3">
      <c r="A698">
        <v>1649</v>
      </c>
      <c r="B698" t="s">
        <v>55</v>
      </c>
      <c r="C698" t="s">
        <v>276</v>
      </c>
      <c r="D698" t="s">
        <v>1532</v>
      </c>
      <c r="E698" t="s">
        <v>546</v>
      </c>
      <c r="F698" s="4">
        <v>28340</v>
      </c>
      <c r="G698">
        <v>8425995</v>
      </c>
      <c r="H698">
        <v>1208606002</v>
      </c>
      <c r="I698" t="s">
        <v>1533</v>
      </c>
      <c r="J698" t="s">
        <v>1482</v>
      </c>
      <c r="K698" t="s">
        <v>15</v>
      </c>
      <c r="L698" t="s">
        <v>506</v>
      </c>
      <c r="M698" t="str">
        <f>VLOOKUP(A698,[1]MSAKEN!$A$1:$F$562,6,FALSE)</f>
        <v>08902000164001636848</v>
      </c>
    </row>
    <row r="699" spans="1:13" x14ac:dyDescent="0.3">
      <c r="A699">
        <v>1650</v>
      </c>
      <c r="B699" t="s">
        <v>292</v>
      </c>
      <c r="C699" t="s">
        <v>263</v>
      </c>
      <c r="D699" t="s">
        <v>535</v>
      </c>
      <c r="E699" t="s">
        <v>1534</v>
      </c>
      <c r="F699" s="4">
        <v>26863</v>
      </c>
      <c r="G699">
        <v>5542721</v>
      </c>
      <c r="H699">
        <v>1178789705</v>
      </c>
      <c r="I699" t="s">
        <v>1535</v>
      </c>
      <c r="J699" t="s">
        <v>718</v>
      </c>
      <c r="K699" t="s">
        <v>15</v>
      </c>
      <c r="L699" t="s">
        <v>506</v>
      </c>
      <c r="M699" t="str">
        <f>VLOOKUP(A699,[1]MSAKEN!$A$1:$F$562,6,FALSE)</f>
        <v>03220130010100199416</v>
      </c>
    </row>
    <row r="700" spans="1:13" x14ac:dyDescent="0.3">
      <c r="A700">
        <v>1651</v>
      </c>
      <c r="B700" t="s">
        <v>35</v>
      </c>
      <c r="C700" t="s">
        <v>34</v>
      </c>
      <c r="D700" t="s">
        <v>535</v>
      </c>
      <c r="E700" t="s">
        <v>696</v>
      </c>
      <c r="F700" s="4">
        <v>24271</v>
      </c>
      <c r="G700">
        <v>5501844</v>
      </c>
      <c r="H700">
        <v>1208151405</v>
      </c>
      <c r="I700" t="s">
        <v>1536</v>
      </c>
      <c r="J700" t="s">
        <v>513</v>
      </c>
      <c r="K700" t="s">
        <v>15</v>
      </c>
      <c r="L700" t="s">
        <v>506</v>
      </c>
      <c r="M700" t="str">
        <f>VLOOKUP(A700,[1]MSAKEN!$A$1:$F$562,6,FALSE)</f>
        <v>08507000262001253203</v>
      </c>
    </row>
    <row r="701" spans="1:13" x14ac:dyDescent="0.3">
      <c r="A701">
        <v>1652</v>
      </c>
      <c r="B701" t="s">
        <v>582</v>
      </c>
      <c r="C701" t="s">
        <v>44</v>
      </c>
      <c r="D701" t="s">
        <v>535</v>
      </c>
      <c r="E701" t="s">
        <v>699</v>
      </c>
      <c r="F701" s="4">
        <v>26487</v>
      </c>
      <c r="G701">
        <v>5534619</v>
      </c>
      <c r="H701">
        <v>1208192409</v>
      </c>
      <c r="I701" t="s">
        <v>1537</v>
      </c>
      <c r="J701" t="s">
        <v>513</v>
      </c>
      <c r="K701" t="s">
        <v>15</v>
      </c>
      <c r="L701" t="s">
        <v>506</v>
      </c>
      <c r="M701" t="str">
        <f>VLOOKUP(A701,[1]MSAKEN!$A$1:$F$562,6,FALSE)</f>
        <v>03508056010100279493</v>
      </c>
    </row>
    <row r="702" spans="1:13" x14ac:dyDescent="0.3">
      <c r="A702">
        <v>1653</v>
      </c>
      <c r="B702" t="s">
        <v>203</v>
      </c>
      <c r="C702" t="s">
        <v>31</v>
      </c>
      <c r="D702" t="s">
        <v>502</v>
      </c>
      <c r="E702" t="s">
        <v>502</v>
      </c>
      <c r="F702" s="4">
        <v>26090</v>
      </c>
      <c r="G702">
        <v>2997109</v>
      </c>
      <c r="H702">
        <v>1208009405</v>
      </c>
      <c r="I702" t="s">
        <v>1538</v>
      </c>
      <c r="J702" t="s">
        <v>1118</v>
      </c>
      <c r="K702" t="s">
        <v>15</v>
      </c>
      <c r="L702" t="s">
        <v>506</v>
      </c>
      <c r="M702" t="e">
        <f>VLOOKUP(A702,[1]MSAKEN!$A$1:$F$562,6,FALSE)</f>
        <v>#N/A</v>
      </c>
    </row>
    <row r="703" spans="1:13" x14ac:dyDescent="0.3">
      <c r="A703">
        <v>1654</v>
      </c>
      <c r="B703" t="s">
        <v>1539</v>
      </c>
      <c r="C703" t="s">
        <v>478</v>
      </c>
      <c r="D703" t="s">
        <v>502</v>
      </c>
      <c r="E703" t="s">
        <v>502</v>
      </c>
      <c r="F703" s="4">
        <v>21845</v>
      </c>
      <c r="G703">
        <v>2922278</v>
      </c>
      <c r="H703">
        <v>1111016505</v>
      </c>
      <c r="I703" t="s">
        <v>871</v>
      </c>
      <c r="J703" t="s">
        <v>755</v>
      </c>
      <c r="K703" t="s">
        <v>15</v>
      </c>
      <c r="L703" t="s">
        <v>506</v>
      </c>
      <c r="M703" t="e">
        <f>VLOOKUP(A703,[1]MSAKEN!$A$1:$F$562,6,FALSE)</f>
        <v>#N/A</v>
      </c>
    </row>
    <row r="704" spans="1:13" x14ac:dyDescent="0.3">
      <c r="A704">
        <v>1655</v>
      </c>
      <c r="B704" t="s">
        <v>1540</v>
      </c>
      <c r="C704" t="s">
        <v>1541</v>
      </c>
      <c r="D704" t="s">
        <v>502</v>
      </c>
      <c r="E704" t="s">
        <v>502</v>
      </c>
      <c r="F704" t="s">
        <v>502</v>
      </c>
      <c r="G704" t="s">
        <v>502</v>
      </c>
      <c r="H704" t="s">
        <v>502</v>
      </c>
      <c r="I704" t="s">
        <v>502</v>
      </c>
      <c r="J704" t="s">
        <v>502</v>
      </c>
      <c r="K704" t="s">
        <v>15</v>
      </c>
      <c r="L704" t="s">
        <v>17</v>
      </c>
      <c r="M704" t="e">
        <f>VLOOKUP(A704,[1]MSAKEN!$A$1:$F$562,6,FALSE)</f>
        <v>#N/A</v>
      </c>
    </row>
    <row r="705" spans="1:13" x14ac:dyDescent="0.3">
      <c r="A705">
        <v>1656</v>
      </c>
      <c r="B705" t="s">
        <v>82</v>
      </c>
      <c r="C705" t="s">
        <v>166</v>
      </c>
      <c r="D705" t="s">
        <v>502</v>
      </c>
      <c r="E705" t="s">
        <v>502</v>
      </c>
      <c r="F705" s="4">
        <v>24696</v>
      </c>
      <c r="G705" t="s">
        <v>502</v>
      </c>
      <c r="H705" t="s">
        <v>502</v>
      </c>
      <c r="I705" t="s">
        <v>502</v>
      </c>
      <c r="J705" t="s">
        <v>502</v>
      </c>
      <c r="K705" t="s">
        <v>15</v>
      </c>
      <c r="L705" t="s">
        <v>506</v>
      </c>
      <c r="M705" t="e">
        <f>VLOOKUP(A705,[1]MSAKEN!$A$1:$F$562,6,FALSE)</f>
        <v>#N/A</v>
      </c>
    </row>
    <row r="706" spans="1:13" x14ac:dyDescent="0.3">
      <c r="A706">
        <v>1657</v>
      </c>
      <c r="B706" t="s">
        <v>286</v>
      </c>
      <c r="C706" t="s">
        <v>479</v>
      </c>
      <c r="D706" t="s">
        <v>539</v>
      </c>
      <c r="E706" t="s">
        <v>1542</v>
      </c>
      <c r="F706" s="4">
        <v>29054</v>
      </c>
      <c r="G706">
        <v>8427397</v>
      </c>
      <c r="H706">
        <v>1208268001</v>
      </c>
      <c r="I706" t="s">
        <v>871</v>
      </c>
      <c r="J706" t="s">
        <v>755</v>
      </c>
      <c r="K706" t="s">
        <v>15</v>
      </c>
      <c r="L706" t="s">
        <v>506</v>
      </c>
      <c r="M706" t="str">
        <f>VLOOKUP(A706,[1]MSAKEN!$A$1:$F$562,6,FALSE)</f>
        <v>05048000116500468637</v>
      </c>
    </row>
    <row r="707" spans="1:13" x14ac:dyDescent="0.3">
      <c r="A707">
        <v>1658</v>
      </c>
      <c r="B707" t="s">
        <v>111</v>
      </c>
      <c r="C707" t="s">
        <v>101</v>
      </c>
      <c r="D707" t="s">
        <v>1532</v>
      </c>
      <c r="E707" t="s">
        <v>1543</v>
      </c>
      <c r="F707" s="4">
        <v>26227</v>
      </c>
      <c r="G707">
        <v>5524837</v>
      </c>
      <c r="H707">
        <v>1208976207</v>
      </c>
      <c r="I707" t="s">
        <v>1544</v>
      </c>
      <c r="J707" t="s">
        <v>740</v>
      </c>
      <c r="K707" t="s">
        <v>15</v>
      </c>
      <c r="L707" t="s">
        <v>506</v>
      </c>
      <c r="M707" t="str">
        <f>VLOOKUP(A707,[1]MSAKEN!$A$1:$F$562,6,FALSE)</f>
        <v>04204067000559723286</v>
      </c>
    </row>
    <row r="708" spans="1:13" x14ac:dyDescent="0.3">
      <c r="A708">
        <v>1659</v>
      </c>
      <c r="B708" t="s">
        <v>582</v>
      </c>
      <c r="C708" t="s">
        <v>90</v>
      </c>
      <c r="D708" t="s">
        <v>535</v>
      </c>
      <c r="E708" t="s">
        <v>1545</v>
      </c>
      <c r="F708" s="4">
        <v>27814</v>
      </c>
      <c r="G708">
        <v>5538237</v>
      </c>
      <c r="H708">
        <v>1208226801</v>
      </c>
      <c r="I708" t="s">
        <v>1546</v>
      </c>
      <c r="J708" t="s">
        <v>513</v>
      </c>
      <c r="K708" t="s">
        <v>15</v>
      </c>
      <c r="L708" t="s">
        <v>506</v>
      </c>
      <c r="M708" t="str">
        <f>VLOOKUP(A708,[1]MSAKEN!$A$1:$F$562,6,FALSE)</f>
        <v>10506040206132178821</v>
      </c>
    </row>
    <row r="709" spans="1:13" x14ac:dyDescent="0.3">
      <c r="A709">
        <v>1660</v>
      </c>
      <c r="B709" t="s">
        <v>1547</v>
      </c>
      <c r="C709" t="s">
        <v>1548</v>
      </c>
      <c r="D709" t="s">
        <v>502</v>
      </c>
      <c r="E709" t="s">
        <v>502</v>
      </c>
      <c r="F709" s="4">
        <v>28389</v>
      </c>
      <c r="G709">
        <v>5583186</v>
      </c>
      <c r="H709">
        <v>1251492904</v>
      </c>
      <c r="I709" t="s">
        <v>1549</v>
      </c>
      <c r="J709" t="s">
        <v>511</v>
      </c>
      <c r="K709" t="s">
        <v>15</v>
      </c>
      <c r="L709" t="s">
        <v>506</v>
      </c>
      <c r="M709" t="e">
        <f>VLOOKUP(A709,[1]MSAKEN!$A$1:$F$562,6,FALSE)</f>
        <v>#N/A</v>
      </c>
    </row>
    <row r="710" spans="1:13" x14ac:dyDescent="0.3">
      <c r="A710">
        <v>1661</v>
      </c>
      <c r="B710" t="s">
        <v>514</v>
      </c>
      <c r="C710" t="s">
        <v>410</v>
      </c>
      <c r="D710" t="s">
        <v>1550</v>
      </c>
      <c r="E710" t="s">
        <v>652</v>
      </c>
      <c r="F710" s="4">
        <v>30004</v>
      </c>
      <c r="G710">
        <v>6832193</v>
      </c>
      <c r="H710">
        <v>1268626601</v>
      </c>
      <c r="I710" t="s">
        <v>1551</v>
      </c>
      <c r="J710" t="s">
        <v>505</v>
      </c>
      <c r="K710" t="s">
        <v>15</v>
      </c>
      <c r="L710" t="s">
        <v>506</v>
      </c>
      <c r="M710" t="str">
        <f>VLOOKUP(A710,[1]MSAKEN!$A$1:$F$562,6,FALSE)</f>
        <v>08507000262001890590</v>
      </c>
    </row>
    <row r="711" spans="1:13" x14ac:dyDescent="0.3">
      <c r="A711">
        <v>1662</v>
      </c>
      <c r="B711" t="s">
        <v>231</v>
      </c>
      <c r="C711" t="s">
        <v>48</v>
      </c>
      <c r="D711" t="s">
        <v>674</v>
      </c>
      <c r="E711" t="s">
        <v>602</v>
      </c>
      <c r="F711" s="4">
        <v>27587</v>
      </c>
      <c r="G711">
        <v>5505015</v>
      </c>
      <c r="H711">
        <v>1192667408</v>
      </c>
      <c r="I711" t="s">
        <v>567</v>
      </c>
      <c r="J711" t="s">
        <v>568</v>
      </c>
      <c r="K711" t="s">
        <v>15</v>
      </c>
      <c r="L711" t="s">
        <v>506</v>
      </c>
      <c r="M711" t="str">
        <f>VLOOKUP(A711,[1]MSAKEN!$A$1:$F$562,6,FALSE)</f>
        <v>08050020052000910726</v>
      </c>
    </row>
    <row r="712" spans="1:13" x14ac:dyDescent="0.3">
      <c r="A712">
        <v>1663</v>
      </c>
      <c r="B712" t="s">
        <v>264</v>
      </c>
      <c r="C712" t="s">
        <v>134</v>
      </c>
      <c r="D712" t="s">
        <v>535</v>
      </c>
      <c r="E712" t="s">
        <v>536</v>
      </c>
      <c r="F712" s="4">
        <v>27760</v>
      </c>
      <c r="G712">
        <v>5597309</v>
      </c>
      <c r="H712">
        <v>1208305001</v>
      </c>
      <c r="I712" t="s">
        <v>1552</v>
      </c>
      <c r="J712" t="s">
        <v>513</v>
      </c>
      <c r="K712" t="s">
        <v>15</v>
      </c>
      <c r="L712" t="s">
        <v>506</v>
      </c>
      <c r="M712" t="str">
        <f>VLOOKUP(A712,[1]MSAKEN!$A$1:$F$562,6,FALSE)</f>
        <v>04204067404000823971</v>
      </c>
    </row>
    <row r="713" spans="1:13" x14ac:dyDescent="0.3">
      <c r="A713">
        <v>1664</v>
      </c>
      <c r="B713" t="s">
        <v>1553</v>
      </c>
      <c r="C713" t="s">
        <v>159</v>
      </c>
      <c r="D713" t="s">
        <v>1554</v>
      </c>
      <c r="E713" t="s">
        <v>1053</v>
      </c>
      <c r="F713" s="4">
        <v>27938</v>
      </c>
      <c r="G713">
        <v>5581921</v>
      </c>
      <c r="H713">
        <v>1208323509</v>
      </c>
      <c r="I713" t="s">
        <v>871</v>
      </c>
      <c r="J713" t="s">
        <v>755</v>
      </c>
      <c r="K713" t="s">
        <v>15</v>
      </c>
      <c r="L713" t="s">
        <v>506</v>
      </c>
      <c r="M713" t="str">
        <f>VLOOKUP(A713,[1]MSAKEN!$A$1:$F$562,6,FALSE)</f>
        <v>17503000000137755137</v>
      </c>
    </row>
    <row r="714" spans="1:13" x14ac:dyDescent="0.3">
      <c r="A714">
        <v>1665</v>
      </c>
      <c r="B714" t="s">
        <v>83</v>
      </c>
      <c r="C714" t="s">
        <v>30</v>
      </c>
      <c r="D714" t="s">
        <v>654</v>
      </c>
      <c r="E714" t="s">
        <v>1555</v>
      </c>
      <c r="F714" s="4">
        <v>27893</v>
      </c>
      <c r="G714">
        <v>5542806</v>
      </c>
      <c r="H714">
        <v>1208295004</v>
      </c>
      <c r="I714" t="s">
        <v>1556</v>
      </c>
      <c r="J714" t="s">
        <v>513</v>
      </c>
      <c r="K714" t="s">
        <v>15</v>
      </c>
      <c r="L714" t="s">
        <v>506</v>
      </c>
      <c r="M714" t="str">
        <f>VLOOKUP(A714,[1]MSAKEN!$A$1:$F$562,6,FALSE)</f>
        <v>20009092220048743464</v>
      </c>
    </row>
    <row r="715" spans="1:13" x14ac:dyDescent="0.3">
      <c r="A715">
        <v>1666</v>
      </c>
      <c r="B715" t="s">
        <v>135</v>
      </c>
      <c r="C715" t="s">
        <v>219</v>
      </c>
      <c r="D715" t="s">
        <v>535</v>
      </c>
      <c r="E715" t="s">
        <v>954</v>
      </c>
      <c r="F715" s="4">
        <v>27900</v>
      </c>
      <c r="G715">
        <v>5583952</v>
      </c>
      <c r="H715">
        <v>1219964101</v>
      </c>
      <c r="I715" t="s">
        <v>1557</v>
      </c>
      <c r="J715" t="s">
        <v>1048</v>
      </c>
      <c r="K715" t="s">
        <v>15</v>
      </c>
      <c r="L715" t="s">
        <v>506</v>
      </c>
      <c r="M715" t="str">
        <f>VLOOKUP(A715,[1]MSAKEN!$A$1:$F$562,6,FALSE)</f>
        <v>04204067001134753157</v>
      </c>
    </row>
    <row r="716" spans="1:13" x14ac:dyDescent="0.3">
      <c r="A716">
        <v>1667</v>
      </c>
      <c r="B716" t="s">
        <v>381</v>
      </c>
      <c r="C716" t="s">
        <v>336</v>
      </c>
      <c r="D716" t="s">
        <v>648</v>
      </c>
      <c r="E716" t="s">
        <v>1558</v>
      </c>
      <c r="F716" s="4">
        <v>27017</v>
      </c>
      <c r="G716">
        <v>5589553</v>
      </c>
      <c r="H716">
        <v>1208300002</v>
      </c>
      <c r="I716" t="s">
        <v>1559</v>
      </c>
      <c r="J716" t="s">
        <v>513</v>
      </c>
      <c r="K716" t="s">
        <v>15</v>
      </c>
      <c r="L716" t="s">
        <v>506</v>
      </c>
      <c r="M716" t="str">
        <f>VLOOKUP(A716,[1]MSAKEN!$A$1:$F$562,6,FALSE)</f>
        <v>04204067404000813010</v>
      </c>
    </row>
    <row r="717" spans="1:13" x14ac:dyDescent="0.3">
      <c r="A717">
        <v>1668</v>
      </c>
      <c r="B717" t="s">
        <v>861</v>
      </c>
      <c r="C717" t="s">
        <v>68</v>
      </c>
      <c r="D717" t="s">
        <v>920</v>
      </c>
      <c r="E717" t="s">
        <v>584</v>
      </c>
      <c r="F717" s="4">
        <v>24679</v>
      </c>
      <c r="G717">
        <v>2991650</v>
      </c>
      <c r="H717">
        <v>1134971009</v>
      </c>
      <c r="I717" t="s">
        <v>1560</v>
      </c>
      <c r="J717" t="s">
        <v>513</v>
      </c>
      <c r="K717" t="s">
        <v>15</v>
      </c>
      <c r="L717" t="s">
        <v>506</v>
      </c>
      <c r="M717" t="str">
        <f>VLOOKUP(A717,[1]MSAKEN!$A$1:$F$562,6,FALSE)</f>
        <v>12505000000214630223</v>
      </c>
    </row>
    <row r="718" spans="1:13" x14ac:dyDescent="0.3">
      <c r="A718">
        <v>1669</v>
      </c>
      <c r="B718" t="s">
        <v>1561</v>
      </c>
      <c r="C718" t="s">
        <v>137</v>
      </c>
      <c r="D718" t="s">
        <v>502</v>
      </c>
      <c r="E718" t="s">
        <v>502</v>
      </c>
      <c r="F718" s="4">
        <v>23060</v>
      </c>
      <c r="G718">
        <v>2955998</v>
      </c>
      <c r="H718">
        <v>1107836205</v>
      </c>
      <c r="I718" t="s">
        <v>1214</v>
      </c>
      <c r="J718" t="s">
        <v>574</v>
      </c>
      <c r="K718" t="s">
        <v>15</v>
      </c>
      <c r="L718" t="s">
        <v>506</v>
      </c>
      <c r="M718" t="e">
        <f>VLOOKUP(A718,[1]MSAKEN!$A$1:$F$562,6,FALSE)</f>
        <v>#N/A</v>
      </c>
    </row>
    <row r="719" spans="1:13" x14ac:dyDescent="0.3">
      <c r="A719">
        <v>1670</v>
      </c>
      <c r="B719" t="s">
        <v>37</v>
      </c>
      <c r="C719" t="s">
        <v>384</v>
      </c>
      <c r="D719" t="s">
        <v>502</v>
      </c>
      <c r="E719" t="s">
        <v>502</v>
      </c>
      <c r="F719" s="4">
        <v>28361</v>
      </c>
      <c r="G719">
        <v>5572262</v>
      </c>
      <c r="H719">
        <v>0</v>
      </c>
      <c r="I719" t="s">
        <v>1562</v>
      </c>
      <c r="J719" t="s">
        <v>513</v>
      </c>
      <c r="K719" t="s">
        <v>16</v>
      </c>
      <c r="L719" t="s">
        <v>506</v>
      </c>
      <c r="M719" t="e">
        <f>VLOOKUP(A719,[1]MSAKEN!$A$1:$F$562,6,FALSE)</f>
        <v>#N/A</v>
      </c>
    </row>
    <row r="720" spans="1:13" x14ac:dyDescent="0.3">
      <c r="A720">
        <v>1671</v>
      </c>
      <c r="B720" t="s">
        <v>183</v>
      </c>
      <c r="C720" t="s">
        <v>28</v>
      </c>
      <c r="D720" t="s">
        <v>696</v>
      </c>
      <c r="E720" t="s">
        <v>917</v>
      </c>
      <c r="F720" s="4">
        <v>27336</v>
      </c>
      <c r="G720">
        <v>5525578</v>
      </c>
      <c r="H720">
        <v>1208387702</v>
      </c>
      <c r="I720" t="s">
        <v>1563</v>
      </c>
      <c r="J720" t="s">
        <v>513</v>
      </c>
      <c r="K720" t="s">
        <v>15</v>
      </c>
      <c r="L720" t="s">
        <v>506</v>
      </c>
      <c r="M720" t="str">
        <f>VLOOKUP(A720,[1]MSAKEN!$A$1:$F$562,6,FALSE)</f>
        <v>08507000262006751551</v>
      </c>
    </row>
    <row r="721" spans="1:13" x14ac:dyDescent="0.3">
      <c r="A721">
        <v>1672</v>
      </c>
      <c r="B721" t="s">
        <v>251</v>
      </c>
      <c r="C721" t="s">
        <v>336</v>
      </c>
      <c r="D721" t="s">
        <v>502</v>
      </c>
      <c r="E721" t="s">
        <v>502</v>
      </c>
      <c r="F721" t="s">
        <v>502</v>
      </c>
      <c r="G721">
        <v>5558421</v>
      </c>
      <c r="H721">
        <v>1208181303</v>
      </c>
      <c r="I721" t="s">
        <v>1564</v>
      </c>
      <c r="J721" t="s">
        <v>502</v>
      </c>
      <c r="K721" t="s">
        <v>16</v>
      </c>
      <c r="L721" t="s">
        <v>506</v>
      </c>
      <c r="M721" t="e">
        <f>VLOOKUP(A721,[1]MSAKEN!$A$1:$F$562,6,FALSE)</f>
        <v>#N/A</v>
      </c>
    </row>
    <row r="722" spans="1:13" x14ac:dyDescent="0.3">
      <c r="A722">
        <v>1673</v>
      </c>
      <c r="B722" t="s">
        <v>254</v>
      </c>
      <c r="C722" t="s">
        <v>178</v>
      </c>
      <c r="D722" t="s">
        <v>535</v>
      </c>
      <c r="E722" t="s">
        <v>652</v>
      </c>
      <c r="F722" s="4">
        <v>27780</v>
      </c>
      <c r="G722">
        <v>5553283</v>
      </c>
      <c r="H722">
        <v>1208289809</v>
      </c>
      <c r="I722" t="s">
        <v>1268</v>
      </c>
      <c r="J722" t="s">
        <v>513</v>
      </c>
      <c r="K722" t="s">
        <v>15</v>
      </c>
      <c r="L722" t="s">
        <v>506</v>
      </c>
      <c r="M722" t="str">
        <f>VLOOKUP(A722,[1]MSAKEN!$A$1:$F$562,6,FALSE)</f>
        <v>08507000262005162788</v>
      </c>
    </row>
    <row r="723" spans="1:13" x14ac:dyDescent="0.3">
      <c r="A723">
        <v>1674</v>
      </c>
      <c r="B723" t="s">
        <v>250</v>
      </c>
      <c r="C723" t="s">
        <v>306</v>
      </c>
      <c r="D723" t="s">
        <v>502</v>
      </c>
      <c r="E723" t="s">
        <v>502</v>
      </c>
      <c r="F723" s="4">
        <v>27869</v>
      </c>
      <c r="G723">
        <v>5572935</v>
      </c>
      <c r="H723">
        <v>1208213700</v>
      </c>
      <c r="I723" t="s">
        <v>1565</v>
      </c>
      <c r="J723" t="s">
        <v>513</v>
      </c>
      <c r="K723" t="s">
        <v>15</v>
      </c>
      <c r="L723" t="s">
        <v>506</v>
      </c>
      <c r="M723" t="e">
        <f>VLOOKUP(A723,[1]MSAKEN!$A$1:$F$562,6,FALSE)</f>
        <v>#N/A</v>
      </c>
    </row>
    <row r="724" spans="1:13" x14ac:dyDescent="0.3">
      <c r="A724">
        <v>1675</v>
      </c>
      <c r="B724" t="s">
        <v>297</v>
      </c>
      <c r="C724" t="s">
        <v>185</v>
      </c>
      <c r="D724" t="s">
        <v>502</v>
      </c>
      <c r="E724" t="s">
        <v>502</v>
      </c>
      <c r="F724" s="4">
        <v>28762</v>
      </c>
      <c r="G724">
        <v>5599707</v>
      </c>
      <c r="H724">
        <v>1208380707</v>
      </c>
      <c r="I724" t="s">
        <v>1566</v>
      </c>
      <c r="J724" t="s">
        <v>513</v>
      </c>
      <c r="K724" t="s">
        <v>16</v>
      </c>
      <c r="L724" t="s">
        <v>506</v>
      </c>
      <c r="M724" t="e">
        <f>VLOOKUP(A724,[1]MSAKEN!$A$1:$F$562,6,FALSE)</f>
        <v>#N/A</v>
      </c>
    </row>
    <row r="725" spans="1:13" x14ac:dyDescent="0.3">
      <c r="A725">
        <v>1676</v>
      </c>
      <c r="B725" t="s">
        <v>184</v>
      </c>
      <c r="C725" t="s">
        <v>40</v>
      </c>
      <c r="D725" t="s">
        <v>834</v>
      </c>
      <c r="E725" t="s">
        <v>536</v>
      </c>
      <c r="F725" s="4">
        <v>26881</v>
      </c>
      <c r="G725">
        <v>5525291</v>
      </c>
      <c r="H725">
        <v>1208380905</v>
      </c>
      <c r="I725" t="s">
        <v>1567</v>
      </c>
      <c r="J725" t="s">
        <v>513</v>
      </c>
      <c r="K725" t="s">
        <v>15</v>
      </c>
      <c r="L725" t="s">
        <v>506</v>
      </c>
      <c r="M725" t="str">
        <f>VLOOKUP(A725,[1]MSAKEN!$A$1:$F$562,6,FALSE)</f>
        <v>08507000262003849311</v>
      </c>
    </row>
    <row r="726" spans="1:13" x14ac:dyDescent="0.3">
      <c r="A726">
        <v>1677</v>
      </c>
      <c r="B726" t="s">
        <v>1258</v>
      </c>
      <c r="C726" t="s">
        <v>43</v>
      </c>
      <c r="D726" t="s">
        <v>834</v>
      </c>
      <c r="E726" t="s">
        <v>926</v>
      </c>
      <c r="F726" s="4">
        <v>25427</v>
      </c>
      <c r="G726">
        <v>2993759</v>
      </c>
      <c r="H726">
        <v>1177871603</v>
      </c>
      <c r="I726" t="s">
        <v>502</v>
      </c>
      <c r="J726" t="s">
        <v>755</v>
      </c>
      <c r="K726" t="s">
        <v>15</v>
      </c>
      <c r="L726" t="s">
        <v>506</v>
      </c>
      <c r="M726" t="str">
        <f>VLOOKUP(A726,[1]MSAKEN!$A$1:$F$562,6,FALSE)</f>
        <v>17503000000150144947</v>
      </c>
    </row>
    <row r="727" spans="1:13" x14ac:dyDescent="0.3">
      <c r="A727">
        <v>1678</v>
      </c>
      <c r="B727" t="s">
        <v>470</v>
      </c>
      <c r="C727" t="s">
        <v>1568</v>
      </c>
      <c r="D727" t="s">
        <v>648</v>
      </c>
      <c r="E727" t="s">
        <v>645</v>
      </c>
      <c r="F727" s="4">
        <v>23477</v>
      </c>
      <c r="G727">
        <v>2953882</v>
      </c>
      <c r="H727">
        <v>1125647600</v>
      </c>
      <c r="I727" t="s">
        <v>1569</v>
      </c>
      <c r="J727" t="s">
        <v>513</v>
      </c>
      <c r="K727" t="s">
        <v>15</v>
      </c>
      <c r="L727" t="s">
        <v>506</v>
      </c>
      <c r="M727" t="e">
        <f>VLOOKUP(A727,[1]MSAKEN!$A$1:$F$562,6,FALSE)</f>
        <v>#N/A</v>
      </c>
    </row>
    <row r="728" spans="1:13" x14ac:dyDescent="0.3">
      <c r="A728">
        <v>1679</v>
      </c>
      <c r="B728" t="s">
        <v>61</v>
      </c>
      <c r="C728" t="s">
        <v>218</v>
      </c>
      <c r="D728" t="s">
        <v>535</v>
      </c>
      <c r="E728" t="s">
        <v>584</v>
      </c>
      <c r="F728" s="4">
        <v>26673</v>
      </c>
      <c r="G728">
        <v>5516906</v>
      </c>
      <c r="H728">
        <v>1219527908</v>
      </c>
      <c r="I728" t="s">
        <v>1570</v>
      </c>
      <c r="J728" t="s">
        <v>513</v>
      </c>
      <c r="K728" t="s">
        <v>15</v>
      </c>
      <c r="L728" t="s">
        <v>506</v>
      </c>
      <c r="M728" t="str">
        <f>VLOOKUP(A728,[1]MSAKEN!$A$1:$F$562,6,FALSE)</f>
        <v>12505000000237471686</v>
      </c>
    </row>
    <row r="729" spans="1:13" x14ac:dyDescent="0.3">
      <c r="A729">
        <v>1680</v>
      </c>
      <c r="B729" t="s">
        <v>104</v>
      </c>
      <c r="C729" t="s">
        <v>70</v>
      </c>
      <c r="D729" t="s">
        <v>1216</v>
      </c>
      <c r="E729" t="s">
        <v>1571</v>
      </c>
      <c r="F729" s="4">
        <v>28151</v>
      </c>
      <c r="G729">
        <v>5562358</v>
      </c>
      <c r="H729">
        <v>1208306405</v>
      </c>
      <c r="I729" t="s">
        <v>1572</v>
      </c>
      <c r="J729" t="s">
        <v>513</v>
      </c>
      <c r="K729" t="s">
        <v>15</v>
      </c>
      <c r="L729" t="s">
        <v>506</v>
      </c>
      <c r="M729" t="str">
        <f>VLOOKUP(A729,[1]MSAKEN!$A$1:$F$562,6,FALSE)</f>
        <v>08507000262001147182</v>
      </c>
    </row>
    <row r="730" spans="1:13" x14ac:dyDescent="0.3">
      <c r="A730">
        <v>1681</v>
      </c>
      <c r="B730" t="s">
        <v>103</v>
      </c>
      <c r="C730" t="s">
        <v>140</v>
      </c>
      <c r="D730" t="s">
        <v>598</v>
      </c>
      <c r="E730" t="s">
        <v>536</v>
      </c>
      <c r="F730" s="4">
        <v>25725</v>
      </c>
      <c r="G730">
        <v>5612318</v>
      </c>
      <c r="H730">
        <v>1208205706</v>
      </c>
      <c r="I730" t="s">
        <v>1573</v>
      </c>
      <c r="J730" t="s">
        <v>513</v>
      </c>
      <c r="K730" t="s">
        <v>15</v>
      </c>
      <c r="L730" t="s">
        <v>506</v>
      </c>
      <c r="M730" t="str">
        <f>VLOOKUP(A730,[1]MSAKEN!$A$1:$F$562,6,FALSE)</f>
        <v>20009092220005843953</v>
      </c>
    </row>
    <row r="731" spans="1:13" x14ac:dyDescent="0.3">
      <c r="A731">
        <v>1682</v>
      </c>
      <c r="B731" t="s">
        <v>256</v>
      </c>
      <c r="C731" t="s">
        <v>255</v>
      </c>
      <c r="D731" t="s">
        <v>539</v>
      </c>
      <c r="E731" t="s">
        <v>1132</v>
      </c>
      <c r="F731" s="4">
        <v>27288</v>
      </c>
      <c r="G731">
        <v>5563446</v>
      </c>
      <c r="H731">
        <v>1192617700</v>
      </c>
      <c r="I731" t="s">
        <v>1574</v>
      </c>
      <c r="J731" t="s">
        <v>755</v>
      </c>
      <c r="K731" t="s">
        <v>15</v>
      </c>
      <c r="L731" t="s">
        <v>506</v>
      </c>
      <c r="M731" t="str">
        <f>VLOOKUP(A731,[1]MSAKEN!$A$1:$F$562,6,FALSE)</f>
        <v>04204067404002062273</v>
      </c>
    </row>
    <row r="732" spans="1:13" x14ac:dyDescent="0.3">
      <c r="A732">
        <v>1683</v>
      </c>
      <c r="B732" t="s">
        <v>78</v>
      </c>
      <c r="C732" t="s">
        <v>34</v>
      </c>
      <c r="D732" t="s">
        <v>920</v>
      </c>
      <c r="E732" t="s">
        <v>714</v>
      </c>
      <c r="F732" s="4">
        <v>26811</v>
      </c>
      <c r="G732">
        <v>5537739</v>
      </c>
      <c r="H732">
        <v>1192488607</v>
      </c>
      <c r="I732" t="s">
        <v>1575</v>
      </c>
      <c r="J732" t="s">
        <v>513</v>
      </c>
      <c r="K732" t="s">
        <v>15</v>
      </c>
      <c r="L732" t="s">
        <v>506</v>
      </c>
      <c r="M732" t="str">
        <f>VLOOKUP(A732,[1]MSAKEN!$A$1:$F$562,6,FALSE)</f>
        <v>03508056010100324792</v>
      </c>
    </row>
    <row r="733" spans="1:13" x14ac:dyDescent="0.3">
      <c r="A733">
        <v>1684</v>
      </c>
      <c r="B733" t="s">
        <v>620</v>
      </c>
      <c r="C733" t="s">
        <v>1576</v>
      </c>
      <c r="D733" t="s">
        <v>564</v>
      </c>
      <c r="E733" t="s">
        <v>584</v>
      </c>
      <c r="F733" s="4">
        <v>27841</v>
      </c>
      <c r="G733">
        <v>5549753</v>
      </c>
      <c r="H733">
        <v>1208422004</v>
      </c>
      <c r="I733" t="s">
        <v>1577</v>
      </c>
      <c r="J733" t="s">
        <v>513</v>
      </c>
      <c r="K733" t="s">
        <v>15</v>
      </c>
      <c r="L733" t="s">
        <v>506</v>
      </c>
      <c r="M733" t="e">
        <f>VLOOKUP(A733,[1]MSAKEN!$A$1:$F$562,6,FALSE)</f>
        <v>#N/A</v>
      </c>
    </row>
    <row r="734" spans="1:13" x14ac:dyDescent="0.3">
      <c r="A734">
        <v>1685</v>
      </c>
      <c r="B734" t="s">
        <v>19</v>
      </c>
      <c r="C734" t="s">
        <v>18</v>
      </c>
      <c r="D734" t="s">
        <v>834</v>
      </c>
      <c r="E734" t="s">
        <v>584</v>
      </c>
      <c r="F734" s="4">
        <v>26679</v>
      </c>
      <c r="G734">
        <v>5529699</v>
      </c>
      <c r="H734">
        <v>1192284709</v>
      </c>
      <c r="I734" t="s">
        <v>1578</v>
      </c>
      <c r="J734" t="s">
        <v>513</v>
      </c>
      <c r="K734" t="s">
        <v>15</v>
      </c>
      <c r="L734" t="s">
        <v>506</v>
      </c>
      <c r="M734" t="str">
        <f>VLOOKUP(A734,[1]MSAKEN!$A$1:$F$562,6,FALSE)</f>
        <v>05048000116500033883</v>
      </c>
    </row>
    <row r="735" spans="1:13" x14ac:dyDescent="0.3">
      <c r="A735">
        <v>1686</v>
      </c>
      <c r="B735" t="s">
        <v>876</v>
      </c>
      <c r="C735" t="s">
        <v>72</v>
      </c>
      <c r="D735" t="s">
        <v>1447</v>
      </c>
      <c r="E735" t="s">
        <v>696</v>
      </c>
      <c r="F735" s="4">
        <v>28856</v>
      </c>
      <c r="G735">
        <v>5560680</v>
      </c>
      <c r="H735">
        <v>1208284602</v>
      </c>
      <c r="I735" t="s">
        <v>1579</v>
      </c>
      <c r="J735" t="s">
        <v>513</v>
      </c>
      <c r="K735" t="s">
        <v>15</v>
      </c>
      <c r="L735" t="s">
        <v>506</v>
      </c>
      <c r="M735" t="e">
        <f>VLOOKUP(A735,[1]MSAKEN!$A$1:$F$562,6,FALSE)</f>
        <v>#N/A</v>
      </c>
    </row>
    <row r="736" spans="1:13" x14ac:dyDescent="0.3">
      <c r="A736">
        <v>1687</v>
      </c>
      <c r="B736" t="s">
        <v>220</v>
      </c>
      <c r="C736" t="s">
        <v>219</v>
      </c>
      <c r="D736" t="s">
        <v>564</v>
      </c>
      <c r="E736" t="s">
        <v>584</v>
      </c>
      <c r="F736" s="4">
        <v>28127</v>
      </c>
      <c r="G736">
        <v>5573977</v>
      </c>
      <c r="H736">
        <v>1208432003</v>
      </c>
      <c r="I736" t="s">
        <v>1580</v>
      </c>
      <c r="J736" t="s">
        <v>513</v>
      </c>
      <c r="K736" t="s">
        <v>15</v>
      </c>
      <c r="L736" t="s">
        <v>506</v>
      </c>
      <c r="M736" t="str">
        <f>VLOOKUP(A736,[1]MSAKEN!$A$1:$F$562,6,FALSE)</f>
        <v>12505000580102559789</v>
      </c>
    </row>
    <row r="737" spans="1:13" x14ac:dyDescent="0.3">
      <c r="A737">
        <v>1688</v>
      </c>
      <c r="B737" t="s">
        <v>703</v>
      </c>
      <c r="C737" t="s">
        <v>293</v>
      </c>
      <c r="D737" t="s">
        <v>1532</v>
      </c>
      <c r="E737" t="s">
        <v>699</v>
      </c>
      <c r="F737" s="4">
        <v>28181</v>
      </c>
      <c r="G737">
        <v>5597199</v>
      </c>
      <c r="H737">
        <v>1208433100</v>
      </c>
      <c r="I737" t="s">
        <v>1581</v>
      </c>
      <c r="J737" t="s">
        <v>513</v>
      </c>
      <c r="K737" t="s">
        <v>15</v>
      </c>
      <c r="L737" t="s">
        <v>506</v>
      </c>
      <c r="M737" t="str">
        <f>VLOOKUP(A737,[1]MSAKEN!$A$1:$F$562,6,FALSE)</f>
        <v>08050020052000537373</v>
      </c>
    </row>
    <row r="738" spans="1:13" x14ac:dyDescent="0.3">
      <c r="A738">
        <v>1689</v>
      </c>
      <c r="B738" t="s">
        <v>186</v>
      </c>
      <c r="C738" t="s">
        <v>185</v>
      </c>
      <c r="D738" t="s">
        <v>564</v>
      </c>
      <c r="E738" t="s">
        <v>536</v>
      </c>
      <c r="F738" s="4">
        <v>28052</v>
      </c>
      <c r="G738">
        <v>5533523</v>
      </c>
      <c r="H738">
        <v>1208380806</v>
      </c>
      <c r="I738" t="s">
        <v>1582</v>
      </c>
      <c r="J738" t="s">
        <v>513</v>
      </c>
      <c r="K738" t="s">
        <v>15</v>
      </c>
      <c r="L738" t="s">
        <v>506</v>
      </c>
      <c r="M738" t="str">
        <f>VLOOKUP(A738,[1]MSAKEN!$A$1:$F$562,6,FALSE)</f>
        <v>08507000262006563662</v>
      </c>
    </row>
    <row r="739" spans="1:13" x14ac:dyDescent="0.3">
      <c r="A739">
        <v>1690</v>
      </c>
      <c r="B739" t="s">
        <v>318</v>
      </c>
      <c r="C739" t="s">
        <v>385</v>
      </c>
      <c r="D739" t="s">
        <v>1190</v>
      </c>
      <c r="E739" t="s">
        <v>1545</v>
      </c>
      <c r="F739" s="4">
        <v>28021</v>
      </c>
      <c r="G739">
        <v>5586395</v>
      </c>
      <c r="H739">
        <v>1208504405</v>
      </c>
      <c r="I739" t="s">
        <v>548</v>
      </c>
      <c r="J739" t="s">
        <v>513</v>
      </c>
      <c r="K739" t="s">
        <v>15</v>
      </c>
      <c r="L739" t="s">
        <v>506</v>
      </c>
      <c r="M739" t="e">
        <f>VLOOKUP(A739,[1]MSAKEN!$A$1:$F$562,6,FALSE)</f>
        <v>#N/A</v>
      </c>
    </row>
    <row r="740" spans="1:13" x14ac:dyDescent="0.3">
      <c r="A740">
        <v>1691</v>
      </c>
      <c r="B740" t="s">
        <v>123</v>
      </c>
      <c r="C740" t="s">
        <v>34</v>
      </c>
      <c r="D740" t="s">
        <v>834</v>
      </c>
      <c r="E740" t="s">
        <v>714</v>
      </c>
      <c r="F740" s="4">
        <v>26960</v>
      </c>
      <c r="G740">
        <v>5555099</v>
      </c>
      <c r="H740">
        <v>1228355200</v>
      </c>
      <c r="I740" t="s">
        <v>1583</v>
      </c>
      <c r="J740" t="s">
        <v>513</v>
      </c>
      <c r="K740" t="s">
        <v>15</v>
      </c>
      <c r="L740" t="s">
        <v>506</v>
      </c>
      <c r="M740" t="str">
        <f>VLOOKUP(A740,[1]MSAKEN!$A$1:$F$562,6,FALSE)</f>
        <v>03508056010100336820</v>
      </c>
    </row>
    <row r="741" spans="1:13" x14ac:dyDescent="0.3">
      <c r="A741">
        <v>1692</v>
      </c>
      <c r="B741" t="s">
        <v>1584</v>
      </c>
      <c r="C741" t="s">
        <v>181</v>
      </c>
      <c r="D741" t="s">
        <v>834</v>
      </c>
      <c r="E741" t="s">
        <v>1404</v>
      </c>
      <c r="F741" s="4">
        <v>21851</v>
      </c>
      <c r="G741">
        <v>2954709</v>
      </c>
      <c r="H741">
        <v>1131420505</v>
      </c>
      <c r="I741" t="s">
        <v>1585</v>
      </c>
      <c r="J741" t="s">
        <v>513</v>
      </c>
      <c r="K741" t="s">
        <v>15</v>
      </c>
      <c r="L741" t="s">
        <v>506</v>
      </c>
      <c r="M741" t="e">
        <f>VLOOKUP(A741,[1]MSAKEN!$A$1:$F$562,6,FALSE)</f>
        <v>#N/A</v>
      </c>
    </row>
    <row r="742" spans="1:13" x14ac:dyDescent="0.3">
      <c r="A742">
        <v>1693</v>
      </c>
      <c r="B742" t="s">
        <v>257</v>
      </c>
      <c r="C742" t="s">
        <v>34</v>
      </c>
      <c r="D742" t="s">
        <v>564</v>
      </c>
      <c r="E742" t="s">
        <v>546</v>
      </c>
      <c r="F742" s="4">
        <v>28295</v>
      </c>
      <c r="G742">
        <v>8426699</v>
      </c>
      <c r="H742">
        <v>1208425403</v>
      </c>
      <c r="I742" t="s">
        <v>1586</v>
      </c>
      <c r="J742" t="s">
        <v>1482</v>
      </c>
      <c r="K742" t="s">
        <v>15</v>
      </c>
      <c r="L742" t="s">
        <v>506</v>
      </c>
      <c r="M742" t="str">
        <f>VLOOKUP(A742,[1]MSAKEN!$A$1:$F$562,6,FALSE)</f>
        <v>08506000252001578053</v>
      </c>
    </row>
    <row r="743" spans="1:13" x14ac:dyDescent="0.3">
      <c r="A743">
        <v>1694</v>
      </c>
      <c r="B743" t="s">
        <v>180</v>
      </c>
      <c r="C743" t="s">
        <v>145</v>
      </c>
      <c r="D743" t="s">
        <v>920</v>
      </c>
      <c r="E743" t="s">
        <v>1587</v>
      </c>
      <c r="F743" s="4">
        <v>27590</v>
      </c>
      <c r="G743">
        <v>5563458</v>
      </c>
      <c r="H743">
        <v>1208441301</v>
      </c>
      <c r="I743" t="s">
        <v>1588</v>
      </c>
      <c r="J743" t="s">
        <v>513</v>
      </c>
      <c r="K743" t="s">
        <v>15</v>
      </c>
      <c r="L743" t="s">
        <v>506</v>
      </c>
      <c r="M743" t="str">
        <f>VLOOKUP(A743,[1]MSAKEN!$A$1:$F$562,6,FALSE)</f>
        <v>08507000262001237004</v>
      </c>
    </row>
    <row r="744" spans="1:13" x14ac:dyDescent="0.3">
      <c r="A744">
        <v>1695</v>
      </c>
      <c r="B744" t="s">
        <v>1589</v>
      </c>
      <c r="C744" t="s">
        <v>139</v>
      </c>
      <c r="D744" t="s">
        <v>520</v>
      </c>
      <c r="E744" t="s">
        <v>630</v>
      </c>
      <c r="F744" s="4">
        <v>26914</v>
      </c>
      <c r="G744">
        <v>5521052</v>
      </c>
      <c r="H744">
        <v>1228355408</v>
      </c>
      <c r="I744" t="s">
        <v>1590</v>
      </c>
      <c r="J744" t="s">
        <v>513</v>
      </c>
      <c r="K744" t="s">
        <v>15</v>
      </c>
      <c r="L744" t="s">
        <v>506</v>
      </c>
      <c r="M744" t="str">
        <f>VLOOKUP(A744,[1]MSAKEN!$A$1:$F$562,6,FALSE)</f>
        <v>04204067404000927858</v>
      </c>
    </row>
    <row r="745" spans="1:13" x14ac:dyDescent="0.3">
      <c r="A745">
        <v>1696</v>
      </c>
      <c r="B745" t="s">
        <v>1589</v>
      </c>
      <c r="C745" t="s">
        <v>49</v>
      </c>
      <c r="D745" t="s">
        <v>564</v>
      </c>
      <c r="E745" t="s">
        <v>699</v>
      </c>
      <c r="F745" s="4">
        <v>26136</v>
      </c>
      <c r="G745">
        <v>5524005</v>
      </c>
      <c r="H745">
        <v>1228356000</v>
      </c>
      <c r="I745" t="s">
        <v>1591</v>
      </c>
      <c r="J745" t="s">
        <v>513</v>
      </c>
      <c r="K745" t="s">
        <v>15</v>
      </c>
      <c r="L745" t="s">
        <v>506</v>
      </c>
      <c r="M745" t="str">
        <f>VLOOKUP(A745,[1]MSAKEN!$A$1:$F$562,6,FALSE)</f>
        <v>04204067404000928634</v>
      </c>
    </row>
    <row r="746" spans="1:13" x14ac:dyDescent="0.3">
      <c r="A746">
        <v>1697</v>
      </c>
      <c r="B746" t="s">
        <v>760</v>
      </c>
      <c r="C746" t="s">
        <v>232</v>
      </c>
      <c r="D746" t="s">
        <v>535</v>
      </c>
      <c r="E746" t="s">
        <v>569</v>
      </c>
      <c r="F746" s="4">
        <v>28984</v>
      </c>
      <c r="G746">
        <v>5567046</v>
      </c>
      <c r="H746">
        <v>1178779508</v>
      </c>
      <c r="I746" t="s">
        <v>1592</v>
      </c>
      <c r="J746" t="s">
        <v>513</v>
      </c>
      <c r="K746" t="s">
        <v>15</v>
      </c>
      <c r="L746" t="s">
        <v>506</v>
      </c>
      <c r="M746" t="e">
        <f>VLOOKUP(A746,[1]MSAKEN!$A$1:$F$562,6,FALSE)</f>
        <v>#N/A</v>
      </c>
    </row>
    <row r="747" spans="1:13" x14ac:dyDescent="0.3">
      <c r="A747">
        <v>1698</v>
      </c>
      <c r="B747" t="s">
        <v>35</v>
      </c>
      <c r="C747" t="s">
        <v>156</v>
      </c>
      <c r="D747" t="s">
        <v>1593</v>
      </c>
      <c r="E747" t="s">
        <v>696</v>
      </c>
      <c r="F747" s="4">
        <v>25904</v>
      </c>
      <c r="G747">
        <v>5502955</v>
      </c>
      <c r="H747">
        <v>1208204907</v>
      </c>
      <c r="I747" t="s">
        <v>1594</v>
      </c>
      <c r="J747" t="s">
        <v>513</v>
      </c>
      <c r="K747" t="s">
        <v>15</v>
      </c>
      <c r="L747" t="s">
        <v>506</v>
      </c>
      <c r="M747" t="str">
        <f>VLOOKUP(A747,[1]MSAKEN!$A$1:$F$562,6,FALSE)</f>
        <v>04204067003277901906</v>
      </c>
    </row>
    <row r="748" spans="1:13" x14ac:dyDescent="0.3">
      <c r="A748">
        <v>1699</v>
      </c>
      <c r="B748" t="s">
        <v>141</v>
      </c>
      <c r="C748" t="s">
        <v>140</v>
      </c>
      <c r="D748" t="s">
        <v>535</v>
      </c>
      <c r="E748" t="s">
        <v>1558</v>
      </c>
      <c r="F748" s="4">
        <v>26970</v>
      </c>
      <c r="G748">
        <v>5658708</v>
      </c>
      <c r="H748">
        <v>1198481002</v>
      </c>
      <c r="I748" t="s">
        <v>1595</v>
      </c>
      <c r="J748" t="s">
        <v>1461</v>
      </c>
      <c r="K748" t="s">
        <v>15</v>
      </c>
      <c r="L748" t="s">
        <v>506</v>
      </c>
      <c r="M748" t="str">
        <f>VLOOKUP(A748,[1]MSAKEN!$A$1:$F$562,6,FALSE)</f>
        <v>12505000580105070246</v>
      </c>
    </row>
    <row r="749" spans="1:13" x14ac:dyDescent="0.3">
      <c r="A749">
        <v>1700</v>
      </c>
      <c r="B749" t="s">
        <v>362</v>
      </c>
      <c r="C749" t="s">
        <v>1596</v>
      </c>
      <c r="D749" t="s">
        <v>502</v>
      </c>
      <c r="E749" t="s">
        <v>502</v>
      </c>
      <c r="F749" s="4">
        <v>29437</v>
      </c>
      <c r="G749">
        <v>8027016</v>
      </c>
      <c r="H749">
        <v>1208452100</v>
      </c>
      <c r="I749" t="s">
        <v>1488</v>
      </c>
      <c r="J749" t="s">
        <v>513</v>
      </c>
      <c r="K749" t="s">
        <v>16</v>
      </c>
      <c r="L749" t="s">
        <v>506</v>
      </c>
      <c r="M749" t="e">
        <f>VLOOKUP(A749,[1]MSAKEN!$A$1:$F$562,6,FALSE)</f>
        <v>#N/A</v>
      </c>
    </row>
    <row r="750" spans="1:13" x14ac:dyDescent="0.3">
      <c r="A750">
        <v>1701</v>
      </c>
      <c r="B750" t="s">
        <v>104</v>
      </c>
      <c r="C750" t="s">
        <v>39</v>
      </c>
      <c r="D750" t="s">
        <v>535</v>
      </c>
      <c r="E750" t="s">
        <v>1597</v>
      </c>
      <c r="F750" s="4">
        <v>27746</v>
      </c>
      <c r="G750">
        <v>5558196</v>
      </c>
      <c r="H750">
        <v>1208132702</v>
      </c>
      <c r="I750" t="s">
        <v>1598</v>
      </c>
      <c r="J750" t="s">
        <v>513</v>
      </c>
      <c r="K750" t="s">
        <v>15</v>
      </c>
      <c r="L750" t="s">
        <v>506</v>
      </c>
      <c r="M750" t="str">
        <f>VLOOKUP(A750,[1]MSAKEN!$A$1:$F$562,6,FALSE)</f>
        <v>08507000262003266535</v>
      </c>
    </row>
    <row r="751" spans="1:13" x14ac:dyDescent="0.3">
      <c r="A751">
        <v>1702</v>
      </c>
      <c r="B751" t="s">
        <v>471</v>
      </c>
      <c r="C751" t="s">
        <v>70</v>
      </c>
      <c r="D751" t="s">
        <v>535</v>
      </c>
      <c r="E751" t="s">
        <v>977</v>
      </c>
      <c r="F751" s="4">
        <v>27979</v>
      </c>
      <c r="G751">
        <v>5581997</v>
      </c>
      <c r="H751">
        <v>1228356208</v>
      </c>
      <c r="I751" t="s">
        <v>1599</v>
      </c>
      <c r="J751" t="s">
        <v>511</v>
      </c>
      <c r="K751" t="s">
        <v>15</v>
      </c>
      <c r="L751" t="s">
        <v>506</v>
      </c>
      <c r="M751" t="str">
        <f>VLOOKUP(A751,[1]MSAKEN!$A$1:$F$562,6,FALSE)</f>
        <v>10506040206911278844</v>
      </c>
    </row>
    <row r="752" spans="1:13" x14ac:dyDescent="0.3">
      <c r="A752">
        <v>1703</v>
      </c>
      <c r="B752" t="s">
        <v>25</v>
      </c>
      <c r="C752" t="s">
        <v>43</v>
      </c>
      <c r="D752" t="s">
        <v>535</v>
      </c>
      <c r="E752" t="s">
        <v>584</v>
      </c>
      <c r="F752" s="4">
        <v>23013</v>
      </c>
      <c r="G752">
        <v>2941893</v>
      </c>
      <c r="H752">
        <v>1177669403</v>
      </c>
      <c r="I752" t="s">
        <v>1600</v>
      </c>
      <c r="J752" t="s">
        <v>513</v>
      </c>
      <c r="K752" t="s">
        <v>15</v>
      </c>
      <c r="L752" t="s">
        <v>506</v>
      </c>
      <c r="M752" t="str">
        <f>VLOOKUP(A752,[1]MSAKEN!$A$1:$F$562,6,FALSE)</f>
        <v>01018058113010106743</v>
      </c>
    </row>
    <row r="753" spans="1:13" x14ac:dyDescent="0.3">
      <c r="A753">
        <v>1704</v>
      </c>
      <c r="B753" t="s">
        <v>856</v>
      </c>
      <c r="C753" t="s">
        <v>216</v>
      </c>
      <c r="D753" t="s">
        <v>535</v>
      </c>
      <c r="E753" t="s">
        <v>652</v>
      </c>
      <c r="F753" s="4">
        <v>28904</v>
      </c>
      <c r="G753">
        <v>5563290</v>
      </c>
      <c r="H753">
        <v>1208494904</v>
      </c>
      <c r="I753" t="s">
        <v>1601</v>
      </c>
      <c r="J753" t="s">
        <v>513</v>
      </c>
      <c r="K753" t="s">
        <v>15</v>
      </c>
      <c r="L753" t="s">
        <v>506</v>
      </c>
      <c r="M753" t="str">
        <f>VLOOKUP(A753,[1]MSAKEN!$A$1:$F$562,6,FALSE)</f>
        <v>25018000000008685449</v>
      </c>
    </row>
    <row r="754" spans="1:13" x14ac:dyDescent="0.3">
      <c r="A754">
        <v>1705</v>
      </c>
      <c r="B754" t="s">
        <v>157</v>
      </c>
      <c r="C754" t="s">
        <v>145</v>
      </c>
      <c r="D754" t="s">
        <v>502</v>
      </c>
      <c r="E754" t="s">
        <v>502</v>
      </c>
      <c r="F754" s="4">
        <v>24870</v>
      </c>
      <c r="G754">
        <v>2996443</v>
      </c>
      <c r="H754">
        <v>1159906609</v>
      </c>
      <c r="I754" t="s">
        <v>871</v>
      </c>
      <c r="J754" t="s">
        <v>755</v>
      </c>
      <c r="K754" t="s">
        <v>15</v>
      </c>
      <c r="L754" t="s">
        <v>506</v>
      </c>
      <c r="M754" t="e">
        <f>VLOOKUP(A754,[1]MSAKEN!$A$1:$F$562,6,FALSE)</f>
        <v>#N/A</v>
      </c>
    </row>
    <row r="755" spans="1:13" x14ac:dyDescent="0.3">
      <c r="A755">
        <v>1706</v>
      </c>
      <c r="B755" t="s">
        <v>1602</v>
      </c>
      <c r="C755" t="s">
        <v>326</v>
      </c>
      <c r="D755" t="s">
        <v>564</v>
      </c>
      <c r="E755" t="s">
        <v>699</v>
      </c>
      <c r="F755" s="4">
        <v>26722</v>
      </c>
      <c r="G755">
        <v>5536013</v>
      </c>
      <c r="H755">
        <v>1208299402</v>
      </c>
      <c r="I755" t="s">
        <v>837</v>
      </c>
      <c r="J755" t="s">
        <v>513</v>
      </c>
      <c r="K755" t="s">
        <v>15</v>
      </c>
      <c r="L755" t="s">
        <v>506</v>
      </c>
      <c r="M755" t="str">
        <f>VLOOKUP(A755,[1]MSAKEN!$A$1:$F$562,6,FALSE)</f>
        <v>10506040205671778894</v>
      </c>
    </row>
    <row r="756" spans="1:13" x14ac:dyDescent="0.3">
      <c r="A756">
        <v>1707</v>
      </c>
      <c r="B756" t="s">
        <v>182</v>
      </c>
      <c r="C756" t="s">
        <v>187</v>
      </c>
      <c r="D756" t="s">
        <v>674</v>
      </c>
      <c r="E756" t="s">
        <v>536</v>
      </c>
      <c r="F756" s="4">
        <v>26370</v>
      </c>
      <c r="G756">
        <v>2989716</v>
      </c>
      <c r="H756">
        <v>1208023307</v>
      </c>
      <c r="I756" t="s">
        <v>1603</v>
      </c>
      <c r="J756" t="s">
        <v>513</v>
      </c>
      <c r="K756" t="s">
        <v>15</v>
      </c>
      <c r="L756" t="s">
        <v>506</v>
      </c>
      <c r="M756" t="str">
        <f>VLOOKUP(A756,[1]MSAKEN!$A$1:$F$562,6,FALSE)</f>
        <v>04204067404001410433</v>
      </c>
    </row>
    <row r="757" spans="1:13" x14ac:dyDescent="0.3">
      <c r="A757">
        <v>1708</v>
      </c>
      <c r="B757" t="s">
        <v>1604</v>
      </c>
      <c r="C757" t="s">
        <v>306</v>
      </c>
      <c r="D757" t="s">
        <v>674</v>
      </c>
      <c r="E757" t="s">
        <v>536</v>
      </c>
      <c r="F757" s="4">
        <v>29153</v>
      </c>
      <c r="G757">
        <v>5549145</v>
      </c>
      <c r="H757">
        <v>1208422608</v>
      </c>
      <c r="I757" t="s">
        <v>567</v>
      </c>
      <c r="J757" t="s">
        <v>568</v>
      </c>
      <c r="K757" t="s">
        <v>15</v>
      </c>
      <c r="L757" t="s">
        <v>506</v>
      </c>
      <c r="M757" t="str">
        <f>VLOOKUP(A757,[1]MSAKEN!$A$1:$F$562,6,FALSE)</f>
        <v>04204067404000911271</v>
      </c>
    </row>
    <row r="758" spans="1:13" x14ac:dyDescent="0.3">
      <c r="A758">
        <v>1709</v>
      </c>
      <c r="B758" t="s">
        <v>366</v>
      </c>
      <c r="C758" t="s">
        <v>306</v>
      </c>
      <c r="D758" t="s">
        <v>648</v>
      </c>
      <c r="E758" t="s">
        <v>1404</v>
      </c>
      <c r="F758" s="4">
        <v>26123</v>
      </c>
      <c r="G758">
        <v>5528090</v>
      </c>
      <c r="H758">
        <v>1171562208</v>
      </c>
      <c r="I758" t="s">
        <v>1605</v>
      </c>
      <c r="J758" t="s">
        <v>513</v>
      </c>
      <c r="K758" t="s">
        <v>15</v>
      </c>
      <c r="L758" t="s">
        <v>506</v>
      </c>
      <c r="M758" t="str">
        <f>VLOOKUP(A758,[1]MSAKEN!$A$1:$F$562,6,FALSE)</f>
        <v>03508056010100334977</v>
      </c>
    </row>
    <row r="759" spans="1:13" x14ac:dyDescent="0.3">
      <c r="A759">
        <v>1710</v>
      </c>
      <c r="B759" t="s">
        <v>322</v>
      </c>
      <c r="C759" t="s">
        <v>140</v>
      </c>
      <c r="D759" t="s">
        <v>648</v>
      </c>
      <c r="E759" t="s">
        <v>1606</v>
      </c>
      <c r="F759" s="4">
        <v>27824</v>
      </c>
      <c r="G759">
        <v>7533107</v>
      </c>
      <c r="H759">
        <v>1208493609</v>
      </c>
      <c r="I759" t="s">
        <v>1607</v>
      </c>
      <c r="J759" t="s">
        <v>513</v>
      </c>
      <c r="K759" t="s">
        <v>16</v>
      </c>
      <c r="L759" t="s">
        <v>506</v>
      </c>
      <c r="M759" t="str">
        <f>VLOOKUP(A759,[1]MSAKEN!$A$1:$F$562,6,FALSE)</f>
        <v>12505000580104694274</v>
      </c>
    </row>
    <row r="760" spans="1:13" x14ac:dyDescent="0.3">
      <c r="A760">
        <v>1711</v>
      </c>
      <c r="B760" t="s">
        <v>1503</v>
      </c>
      <c r="C760" t="s">
        <v>323</v>
      </c>
      <c r="D760" t="s">
        <v>648</v>
      </c>
      <c r="E760" t="s">
        <v>584</v>
      </c>
      <c r="F760" s="4">
        <v>26471</v>
      </c>
      <c r="G760">
        <v>5534686</v>
      </c>
      <c r="H760">
        <v>1169687108</v>
      </c>
      <c r="I760" t="s">
        <v>1161</v>
      </c>
      <c r="J760" t="s">
        <v>825</v>
      </c>
      <c r="K760" t="s">
        <v>15</v>
      </c>
      <c r="L760" t="s">
        <v>506</v>
      </c>
      <c r="M760" t="str">
        <f>VLOOKUP(A760,[1]MSAKEN!$A$1:$F$562,6,FALSE)</f>
        <v>04204067404001427893</v>
      </c>
    </row>
    <row r="761" spans="1:13" x14ac:dyDescent="0.3">
      <c r="A761">
        <v>1712</v>
      </c>
      <c r="B761" t="s">
        <v>1608</v>
      </c>
      <c r="C761" t="s">
        <v>34</v>
      </c>
      <c r="D761" t="s">
        <v>658</v>
      </c>
      <c r="E761" t="s">
        <v>645</v>
      </c>
      <c r="F761" s="4">
        <v>26056</v>
      </c>
      <c r="G761">
        <v>5503297</v>
      </c>
      <c r="H761">
        <v>1208500700</v>
      </c>
      <c r="I761" t="s">
        <v>1609</v>
      </c>
      <c r="J761" t="s">
        <v>513</v>
      </c>
      <c r="K761" t="s">
        <v>15</v>
      </c>
      <c r="L761" t="s">
        <v>506</v>
      </c>
      <c r="M761" t="str">
        <f>VLOOKUP(A761,[1]MSAKEN!$A$1:$F$562,6,FALSE)</f>
        <v>10506040206206878812</v>
      </c>
    </row>
    <row r="762" spans="1:13" x14ac:dyDescent="0.3">
      <c r="A762">
        <v>1713</v>
      </c>
      <c r="B762" t="s">
        <v>1610</v>
      </c>
      <c r="C762" t="s">
        <v>423</v>
      </c>
      <c r="D762" t="s">
        <v>535</v>
      </c>
      <c r="E762" t="s">
        <v>569</v>
      </c>
      <c r="F762" s="4">
        <v>28463</v>
      </c>
      <c r="G762">
        <v>5564944</v>
      </c>
      <c r="H762">
        <v>1208506707</v>
      </c>
      <c r="I762" t="s">
        <v>1611</v>
      </c>
      <c r="J762" t="s">
        <v>513</v>
      </c>
      <c r="K762" t="s">
        <v>16</v>
      </c>
      <c r="L762" t="s">
        <v>506</v>
      </c>
      <c r="M762" t="str">
        <f>VLOOKUP(A762,[1]MSAKEN!$A$1:$F$562,6,FALSE)</f>
        <v>14114114100705227389</v>
      </c>
    </row>
    <row r="763" spans="1:13" x14ac:dyDescent="0.3">
      <c r="A763">
        <v>1714</v>
      </c>
      <c r="B763" t="s">
        <v>173</v>
      </c>
      <c r="C763" t="s">
        <v>178</v>
      </c>
      <c r="D763" t="s">
        <v>535</v>
      </c>
      <c r="E763" t="s">
        <v>1393</v>
      </c>
      <c r="F763" s="4">
        <v>26177</v>
      </c>
      <c r="G763">
        <v>5516538</v>
      </c>
      <c r="H763">
        <v>1192218806</v>
      </c>
      <c r="I763" t="s">
        <v>567</v>
      </c>
      <c r="J763" t="s">
        <v>568</v>
      </c>
      <c r="K763" t="s">
        <v>15</v>
      </c>
      <c r="L763" t="s">
        <v>506</v>
      </c>
      <c r="M763" t="str">
        <f>VLOOKUP(A763,[1]MSAKEN!$A$1:$F$562,6,FALSE)</f>
        <v>10506040205595278874</v>
      </c>
    </row>
    <row r="764" spans="1:13" x14ac:dyDescent="0.3">
      <c r="A764">
        <v>1715</v>
      </c>
      <c r="B764" t="s">
        <v>1612</v>
      </c>
      <c r="C764" t="s">
        <v>45</v>
      </c>
      <c r="D764" t="s">
        <v>502</v>
      </c>
      <c r="E764" t="s">
        <v>502</v>
      </c>
      <c r="F764" t="s">
        <v>502</v>
      </c>
      <c r="G764" t="s">
        <v>502</v>
      </c>
      <c r="H764" t="s">
        <v>502</v>
      </c>
      <c r="I764" t="s">
        <v>502</v>
      </c>
      <c r="J764" t="s">
        <v>502</v>
      </c>
      <c r="K764" t="s">
        <v>15</v>
      </c>
      <c r="L764" t="s">
        <v>502</v>
      </c>
      <c r="M764" t="e">
        <f>VLOOKUP(A764,[1]MSAKEN!$A$1:$F$562,6,FALSE)</f>
        <v>#N/A</v>
      </c>
    </row>
    <row r="765" spans="1:13" x14ac:dyDescent="0.3">
      <c r="A765">
        <v>1716</v>
      </c>
      <c r="B765" t="s">
        <v>1613</v>
      </c>
      <c r="C765" t="s">
        <v>200</v>
      </c>
      <c r="D765" t="s">
        <v>535</v>
      </c>
      <c r="E765" t="s">
        <v>1251</v>
      </c>
      <c r="F765" s="4">
        <v>27491</v>
      </c>
      <c r="G765">
        <v>5543141</v>
      </c>
      <c r="H765">
        <v>1208421808</v>
      </c>
      <c r="I765" t="s">
        <v>1614</v>
      </c>
      <c r="J765" t="s">
        <v>513</v>
      </c>
      <c r="K765" t="s">
        <v>15</v>
      </c>
      <c r="L765" t="s">
        <v>506</v>
      </c>
      <c r="M765" t="str">
        <f>VLOOKUP(A765,[1]MSAKEN!$A$1:$F$562,6,FALSE)</f>
        <v>17503000000134700025</v>
      </c>
    </row>
    <row r="766" spans="1:13" x14ac:dyDescent="0.3">
      <c r="A766">
        <v>1717</v>
      </c>
      <c r="B766" t="s">
        <v>1615</v>
      </c>
      <c r="C766" t="s">
        <v>109</v>
      </c>
      <c r="D766" t="s">
        <v>502</v>
      </c>
      <c r="E766" t="s">
        <v>502</v>
      </c>
      <c r="F766" s="4">
        <v>26416</v>
      </c>
      <c r="G766">
        <v>5525512</v>
      </c>
      <c r="H766">
        <v>1178755706</v>
      </c>
      <c r="I766" t="s">
        <v>871</v>
      </c>
      <c r="J766" t="s">
        <v>755</v>
      </c>
      <c r="K766" t="s">
        <v>16</v>
      </c>
      <c r="L766" t="s">
        <v>506</v>
      </c>
      <c r="M766" t="e">
        <f>VLOOKUP(A766,[1]MSAKEN!$A$1:$F$562,6,FALSE)</f>
        <v>#N/A</v>
      </c>
    </row>
    <row r="767" spans="1:13" x14ac:dyDescent="0.3">
      <c r="A767">
        <v>1718</v>
      </c>
      <c r="B767" t="s">
        <v>1616</v>
      </c>
      <c r="C767" t="s">
        <v>34</v>
      </c>
      <c r="D767" t="s">
        <v>502</v>
      </c>
      <c r="E767" t="s">
        <v>502</v>
      </c>
      <c r="F767" s="4">
        <v>20646</v>
      </c>
      <c r="G767">
        <v>2846812</v>
      </c>
      <c r="H767">
        <v>1153133804</v>
      </c>
      <c r="I767" t="s">
        <v>883</v>
      </c>
      <c r="J767" t="s">
        <v>513</v>
      </c>
      <c r="K767" t="s">
        <v>15</v>
      </c>
      <c r="L767" t="s">
        <v>506</v>
      </c>
      <c r="M767" t="e">
        <f>VLOOKUP(A767,[1]MSAKEN!$A$1:$F$562,6,FALSE)</f>
        <v>#N/A</v>
      </c>
    </row>
    <row r="768" spans="1:13" x14ac:dyDescent="0.3">
      <c r="A768">
        <v>1719</v>
      </c>
      <c r="B768" t="s">
        <v>1617</v>
      </c>
      <c r="C768" t="s">
        <v>1618</v>
      </c>
      <c r="D768" t="s">
        <v>502</v>
      </c>
      <c r="E768" t="s">
        <v>502</v>
      </c>
      <c r="F768" s="4">
        <v>28946</v>
      </c>
      <c r="G768">
        <v>5582225</v>
      </c>
      <c r="H768">
        <v>1219882808</v>
      </c>
      <c r="I768" t="s">
        <v>1619</v>
      </c>
      <c r="J768" t="s">
        <v>511</v>
      </c>
      <c r="K768" t="s">
        <v>16</v>
      </c>
      <c r="L768" t="s">
        <v>506</v>
      </c>
      <c r="M768" t="e">
        <f>VLOOKUP(A768,[1]MSAKEN!$A$1:$F$562,6,FALSE)</f>
        <v>#N/A</v>
      </c>
    </row>
    <row r="769" spans="1:13" x14ac:dyDescent="0.3">
      <c r="A769">
        <v>1720</v>
      </c>
      <c r="B769" t="s">
        <v>941</v>
      </c>
      <c r="C769" t="s">
        <v>81</v>
      </c>
      <c r="D769" t="s">
        <v>502</v>
      </c>
      <c r="E769" t="s">
        <v>502</v>
      </c>
      <c r="F769" s="4">
        <v>25314</v>
      </c>
      <c r="G769">
        <v>5524629</v>
      </c>
      <c r="H769">
        <v>1228351209</v>
      </c>
      <c r="I769" t="s">
        <v>1620</v>
      </c>
      <c r="J769" t="s">
        <v>513</v>
      </c>
      <c r="K769" t="s">
        <v>15</v>
      </c>
      <c r="L769" t="s">
        <v>506</v>
      </c>
      <c r="M769" t="e">
        <f>VLOOKUP(A769,[1]MSAKEN!$A$1:$F$562,6,FALSE)</f>
        <v>#N/A</v>
      </c>
    </row>
    <row r="770" spans="1:13" x14ac:dyDescent="0.3">
      <c r="A770">
        <v>1721</v>
      </c>
      <c r="B770" t="s">
        <v>84</v>
      </c>
      <c r="C770" t="s">
        <v>258</v>
      </c>
      <c r="D770" t="s">
        <v>738</v>
      </c>
      <c r="E770" t="s">
        <v>546</v>
      </c>
      <c r="F770" s="4">
        <v>29223</v>
      </c>
      <c r="G770">
        <v>5581097</v>
      </c>
      <c r="H770">
        <v>1208519502</v>
      </c>
      <c r="I770" t="s">
        <v>1621</v>
      </c>
      <c r="J770" t="s">
        <v>513</v>
      </c>
      <c r="K770" t="s">
        <v>15</v>
      </c>
      <c r="L770" t="s">
        <v>506</v>
      </c>
      <c r="M770" t="str">
        <f>VLOOKUP(A770,[1]MSAKEN!$A$1:$F$562,6,FALSE)</f>
        <v>04204067404001934330</v>
      </c>
    </row>
    <row r="771" spans="1:13" x14ac:dyDescent="0.3">
      <c r="A771">
        <v>1722</v>
      </c>
      <c r="B771" t="s">
        <v>42</v>
      </c>
      <c r="C771" t="s">
        <v>134</v>
      </c>
      <c r="D771" t="s">
        <v>502</v>
      </c>
      <c r="E771" t="s">
        <v>502</v>
      </c>
      <c r="F771" t="s">
        <v>502</v>
      </c>
      <c r="G771">
        <v>5552482</v>
      </c>
      <c r="H771">
        <v>1208278802</v>
      </c>
      <c r="I771" t="s">
        <v>1622</v>
      </c>
      <c r="J771" t="s">
        <v>502</v>
      </c>
      <c r="K771" t="s">
        <v>16</v>
      </c>
      <c r="L771" t="s">
        <v>506</v>
      </c>
      <c r="M771" t="e">
        <f>VLOOKUP(A771,[1]MSAKEN!$A$1:$F$562,6,FALSE)</f>
        <v>#N/A</v>
      </c>
    </row>
    <row r="772" spans="1:13" x14ac:dyDescent="0.3">
      <c r="A772">
        <v>1723</v>
      </c>
      <c r="B772" t="s">
        <v>29</v>
      </c>
      <c r="C772" t="s">
        <v>143</v>
      </c>
      <c r="D772" t="s">
        <v>670</v>
      </c>
      <c r="E772" t="s">
        <v>630</v>
      </c>
      <c r="F772" s="4">
        <v>25167</v>
      </c>
      <c r="G772">
        <v>2991026</v>
      </c>
      <c r="H772">
        <v>1169155700</v>
      </c>
      <c r="I772" t="s">
        <v>1623</v>
      </c>
      <c r="J772" t="s">
        <v>513</v>
      </c>
      <c r="K772" t="s">
        <v>15</v>
      </c>
      <c r="L772" t="s">
        <v>506</v>
      </c>
      <c r="M772" t="str">
        <f>VLOOKUP(A772,[1]MSAKEN!$A$1:$F$562,6,FALSE)</f>
        <v>04204067404001426050</v>
      </c>
    </row>
    <row r="773" spans="1:13" x14ac:dyDescent="0.3">
      <c r="A773">
        <v>1724</v>
      </c>
      <c r="B773" t="s">
        <v>188</v>
      </c>
      <c r="C773" t="s">
        <v>30</v>
      </c>
      <c r="D773" t="s">
        <v>1196</v>
      </c>
      <c r="E773" t="s">
        <v>696</v>
      </c>
      <c r="F773" s="4">
        <v>29739</v>
      </c>
      <c r="G773">
        <v>8440062</v>
      </c>
      <c r="H773">
        <v>1208452001</v>
      </c>
      <c r="I773" t="s">
        <v>1624</v>
      </c>
      <c r="J773" t="s">
        <v>513</v>
      </c>
      <c r="K773" t="s">
        <v>15</v>
      </c>
      <c r="L773" t="s">
        <v>506</v>
      </c>
      <c r="M773" t="str">
        <f>VLOOKUP(A773,[1]MSAKEN!$A$1:$F$562,6,FALSE)</f>
        <v>12505000580102580547</v>
      </c>
    </row>
    <row r="774" spans="1:13" x14ac:dyDescent="0.3">
      <c r="A774">
        <v>1725</v>
      </c>
      <c r="B774" t="s">
        <v>1625</v>
      </c>
      <c r="C774" t="s">
        <v>194</v>
      </c>
      <c r="D774" t="s">
        <v>502</v>
      </c>
      <c r="E774" t="s">
        <v>502</v>
      </c>
      <c r="F774" t="s">
        <v>502</v>
      </c>
      <c r="G774">
        <v>5581801</v>
      </c>
      <c r="H774">
        <v>1208501708</v>
      </c>
      <c r="I774" t="s">
        <v>1626</v>
      </c>
      <c r="J774" t="s">
        <v>502</v>
      </c>
      <c r="K774" t="s">
        <v>16</v>
      </c>
      <c r="L774" t="s">
        <v>506</v>
      </c>
      <c r="M774" t="e">
        <f>VLOOKUP(A774,[1]MSAKEN!$A$1:$F$562,6,FALSE)</f>
        <v>#N/A</v>
      </c>
    </row>
    <row r="775" spans="1:13" x14ac:dyDescent="0.3">
      <c r="A775">
        <v>1726</v>
      </c>
      <c r="B775" t="s">
        <v>1215</v>
      </c>
      <c r="C775" t="s">
        <v>167</v>
      </c>
      <c r="D775" t="s">
        <v>1216</v>
      </c>
      <c r="E775" t="s">
        <v>536</v>
      </c>
      <c r="F775" s="4">
        <v>24191</v>
      </c>
      <c r="G775">
        <v>2992794</v>
      </c>
      <c r="H775">
        <v>1136956008</v>
      </c>
      <c r="I775" t="s">
        <v>1627</v>
      </c>
      <c r="J775" t="s">
        <v>511</v>
      </c>
      <c r="K775" t="s">
        <v>15</v>
      </c>
      <c r="L775" t="s">
        <v>506</v>
      </c>
      <c r="M775" t="str">
        <f>VLOOKUP(A775,[1]MSAKEN!$A$1:$F$562,6,FALSE)</f>
        <v>03508056010100347587</v>
      </c>
    </row>
    <row r="776" spans="1:13" x14ac:dyDescent="0.3">
      <c r="A776">
        <v>1727</v>
      </c>
      <c r="B776" t="s">
        <v>375</v>
      </c>
      <c r="C776" t="s">
        <v>374</v>
      </c>
      <c r="D776" t="s">
        <v>535</v>
      </c>
      <c r="E776" t="s">
        <v>1628</v>
      </c>
      <c r="F776" s="4">
        <v>29926</v>
      </c>
      <c r="G776">
        <v>8426320</v>
      </c>
      <c r="H776">
        <v>1208531200</v>
      </c>
      <c r="I776" t="s">
        <v>1629</v>
      </c>
      <c r="J776" t="s">
        <v>511</v>
      </c>
      <c r="K776" t="s">
        <v>15</v>
      </c>
      <c r="L776" t="s">
        <v>506</v>
      </c>
      <c r="M776" t="str">
        <f>VLOOKUP(A776,[1]MSAKEN!$A$1:$F$562,6,FALSE)</f>
        <v>03508056010110007817</v>
      </c>
    </row>
    <row r="777" spans="1:13" x14ac:dyDescent="0.3">
      <c r="A777">
        <v>1728</v>
      </c>
      <c r="B777" t="s">
        <v>111</v>
      </c>
      <c r="C777" t="s">
        <v>221</v>
      </c>
      <c r="D777" t="s">
        <v>843</v>
      </c>
      <c r="E777" t="s">
        <v>1630</v>
      </c>
      <c r="F777" s="4">
        <v>29412</v>
      </c>
      <c r="G777">
        <v>8438436</v>
      </c>
      <c r="H777">
        <v>1208550101</v>
      </c>
      <c r="I777" t="s">
        <v>1631</v>
      </c>
      <c r="J777" t="s">
        <v>1074</v>
      </c>
      <c r="K777" t="s">
        <v>15</v>
      </c>
      <c r="L777" t="s">
        <v>506</v>
      </c>
      <c r="M777" t="str">
        <f>VLOOKUP(A777,[1]MSAKEN!$A$1:$F$562,6,FALSE)</f>
        <v>20009090001147342392</v>
      </c>
    </row>
    <row r="778" spans="1:13" x14ac:dyDescent="0.3">
      <c r="A778">
        <v>1729</v>
      </c>
      <c r="B778" t="s">
        <v>283</v>
      </c>
      <c r="C778" t="s">
        <v>318</v>
      </c>
      <c r="D778" t="s">
        <v>502</v>
      </c>
      <c r="E778" t="s">
        <v>502</v>
      </c>
      <c r="F778" s="4">
        <v>24887</v>
      </c>
      <c r="G778">
        <v>5518164</v>
      </c>
      <c r="H778">
        <v>1161437007</v>
      </c>
      <c r="I778" t="s">
        <v>1632</v>
      </c>
      <c r="J778" t="s">
        <v>513</v>
      </c>
      <c r="K778" t="s">
        <v>15</v>
      </c>
      <c r="L778" t="s">
        <v>506</v>
      </c>
      <c r="M778" t="e">
        <f>VLOOKUP(A778,[1]MSAKEN!$A$1:$F$562,6,FALSE)</f>
        <v>#N/A</v>
      </c>
    </row>
    <row r="779" spans="1:13" x14ac:dyDescent="0.3">
      <c r="A779">
        <v>1730</v>
      </c>
      <c r="B779" t="s">
        <v>1633</v>
      </c>
      <c r="C779" t="s">
        <v>30</v>
      </c>
      <c r="D779" t="s">
        <v>711</v>
      </c>
      <c r="E779" t="s">
        <v>546</v>
      </c>
      <c r="F779" s="4">
        <v>28858</v>
      </c>
      <c r="G779">
        <v>5581385</v>
      </c>
      <c r="H779">
        <v>1208338309</v>
      </c>
      <c r="I779" t="s">
        <v>567</v>
      </c>
      <c r="J779" t="s">
        <v>568</v>
      </c>
      <c r="K779" t="s">
        <v>15</v>
      </c>
      <c r="L779" t="s">
        <v>506</v>
      </c>
      <c r="M779" t="str">
        <f>VLOOKUP(A779,[1]MSAKEN!$A$1:$F$562,6,FALSE)</f>
        <v>20009092220001199108</v>
      </c>
    </row>
    <row r="780" spans="1:13" x14ac:dyDescent="0.3">
      <c r="A780">
        <v>1731</v>
      </c>
      <c r="B780" t="s">
        <v>487</v>
      </c>
      <c r="C780" t="s">
        <v>68</v>
      </c>
      <c r="D780" t="s">
        <v>502</v>
      </c>
      <c r="E780" t="s">
        <v>502</v>
      </c>
      <c r="F780" t="s">
        <v>502</v>
      </c>
      <c r="G780" t="s">
        <v>502</v>
      </c>
      <c r="H780" t="s">
        <v>502</v>
      </c>
      <c r="I780" t="s">
        <v>502</v>
      </c>
      <c r="J780" t="s">
        <v>502</v>
      </c>
      <c r="K780" t="s">
        <v>15</v>
      </c>
      <c r="L780" t="s">
        <v>502</v>
      </c>
      <c r="M780" t="e">
        <f>VLOOKUP(A780,[1]MSAKEN!$A$1:$F$562,6,FALSE)</f>
        <v>#N/A</v>
      </c>
    </row>
    <row r="781" spans="1:13" x14ac:dyDescent="0.3">
      <c r="A781">
        <v>1732</v>
      </c>
      <c r="B781" t="s">
        <v>1634</v>
      </c>
      <c r="C781" t="s">
        <v>1203</v>
      </c>
      <c r="D781" t="s">
        <v>502</v>
      </c>
      <c r="E781" t="s">
        <v>502</v>
      </c>
      <c r="F781" s="4">
        <v>19364</v>
      </c>
      <c r="G781">
        <v>2930939</v>
      </c>
      <c r="H781">
        <v>58230100</v>
      </c>
      <c r="I781" t="s">
        <v>1635</v>
      </c>
      <c r="J781" t="s">
        <v>511</v>
      </c>
      <c r="K781" t="s">
        <v>15</v>
      </c>
      <c r="L781" t="s">
        <v>506</v>
      </c>
      <c r="M781" t="e">
        <f>VLOOKUP(A781,[1]MSAKEN!$A$1:$F$562,6,FALSE)</f>
        <v>#N/A</v>
      </c>
    </row>
    <row r="782" spans="1:13" x14ac:dyDescent="0.3">
      <c r="A782">
        <v>1733</v>
      </c>
      <c r="B782" t="s">
        <v>703</v>
      </c>
      <c r="C782" t="s">
        <v>484</v>
      </c>
      <c r="D782" t="s">
        <v>535</v>
      </c>
      <c r="E782" t="s">
        <v>584</v>
      </c>
      <c r="F782" s="4">
        <v>28399</v>
      </c>
      <c r="G782">
        <v>5585736</v>
      </c>
      <c r="H782">
        <v>1208507408</v>
      </c>
      <c r="I782" t="s">
        <v>1636</v>
      </c>
      <c r="J782" t="s">
        <v>513</v>
      </c>
      <c r="K782" t="s">
        <v>15</v>
      </c>
      <c r="L782" t="s">
        <v>506</v>
      </c>
      <c r="M782" t="str">
        <f>VLOOKUP(A782,[1]MSAKEN!$A$1:$F$562,6,FALSE)</f>
        <v>08507000262001862072</v>
      </c>
    </row>
    <row r="783" spans="1:13" x14ac:dyDescent="0.3">
      <c r="A783">
        <v>1734</v>
      </c>
      <c r="B783" t="s">
        <v>958</v>
      </c>
      <c r="C783" t="s">
        <v>68</v>
      </c>
      <c r="D783" t="s">
        <v>502</v>
      </c>
      <c r="E783" t="s">
        <v>502</v>
      </c>
      <c r="F783" s="4">
        <v>27667</v>
      </c>
      <c r="G783">
        <v>5576457</v>
      </c>
      <c r="H783">
        <v>1929703104</v>
      </c>
      <c r="I783" t="s">
        <v>1637</v>
      </c>
      <c r="J783" t="s">
        <v>513</v>
      </c>
      <c r="K783" t="s">
        <v>15</v>
      </c>
      <c r="L783" t="s">
        <v>506</v>
      </c>
      <c r="M783" t="e">
        <f>VLOOKUP(A783,[1]MSAKEN!$A$1:$F$562,6,FALSE)</f>
        <v>#N/A</v>
      </c>
    </row>
    <row r="784" spans="1:13" x14ac:dyDescent="0.3">
      <c r="A784">
        <v>1735</v>
      </c>
      <c r="B784" t="s">
        <v>1610</v>
      </c>
      <c r="C784" t="s">
        <v>412</v>
      </c>
      <c r="D784" t="s">
        <v>535</v>
      </c>
      <c r="E784" t="s">
        <v>569</v>
      </c>
      <c r="F784" s="4">
        <v>27290</v>
      </c>
      <c r="G784">
        <v>5538425</v>
      </c>
      <c r="H784">
        <v>1208039105</v>
      </c>
      <c r="I784" t="s">
        <v>1638</v>
      </c>
      <c r="J784" t="s">
        <v>513</v>
      </c>
      <c r="K784" t="s">
        <v>15</v>
      </c>
      <c r="L784" t="s">
        <v>506</v>
      </c>
      <c r="M784" t="str">
        <f>VLOOKUP(A784,[1]MSAKEN!$A$1:$F$562,6,FALSE)</f>
        <v>11020002007800878865</v>
      </c>
    </row>
    <row r="785" spans="1:13" x14ac:dyDescent="0.3">
      <c r="A785">
        <v>1736</v>
      </c>
      <c r="B785" t="s">
        <v>103</v>
      </c>
      <c r="C785" t="s">
        <v>232</v>
      </c>
      <c r="D785" t="s">
        <v>535</v>
      </c>
      <c r="E785" t="s">
        <v>714</v>
      </c>
      <c r="F785" s="4">
        <v>27568</v>
      </c>
      <c r="G785">
        <v>5537299</v>
      </c>
      <c r="H785">
        <v>1192137709</v>
      </c>
      <c r="I785" t="s">
        <v>1639</v>
      </c>
      <c r="J785" t="s">
        <v>513</v>
      </c>
      <c r="K785" t="s">
        <v>15</v>
      </c>
      <c r="L785" t="s">
        <v>506</v>
      </c>
      <c r="M785" t="e">
        <f>VLOOKUP(A785,[1]MSAKEN!$A$1:$F$562,6,FALSE)</f>
        <v>#N/A</v>
      </c>
    </row>
    <row r="786" spans="1:13" x14ac:dyDescent="0.3">
      <c r="A786">
        <v>1737</v>
      </c>
      <c r="B786" t="s">
        <v>348</v>
      </c>
      <c r="C786" t="s">
        <v>258</v>
      </c>
      <c r="D786" t="s">
        <v>648</v>
      </c>
      <c r="E786" t="s">
        <v>608</v>
      </c>
      <c r="F786" s="4">
        <v>28133</v>
      </c>
      <c r="G786">
        <v>5590005</v>
      </c>
      <c r="H786">
        <v>1208519403</v>
      </c>
      <c r="I786" t="s">
        <v>1640</v>
      </c>
      <c r="J786" t="s">
        <v>513</v>
      </c>
      <c r="K786" t="s">
        <v>15</v>
      </c>
      <c r="L786" t="s">
        <v>506</v>
      </c>
      <c r="M786" t="str">
        <f>VLOOKUP(A786,[1]MSAKEN!$A$1:$F$562,6,FALSE)</f>
        <v>03508056010100347296</v>
      </c>
    </row>
    <row r="787" spans="1:13" x14ac:dyDescent="0.3">
      <c r="A787">
        <v>1738</v>
      </c>
      <c r="B787" t="s">
        <v>168</v>
      </c>
      <c r="C787" t="s">
        <v>145</v>
      </c>
      <c r="D787" t="s">
        <v>535</v>
      </c>
      <c r="E787" t="s">
        <v>569</v>
      </c>
      <c r="F787" s="4">
        <v>26132</v>
      </c>
      <c r="G787">
        <v>5508381</v>
      </c>
      <c r="H787">
        <v>1192319000</v>
      </c>
      <c r="I787" t="s">
        <v>1641</v>
      </c>
      <c r="J787" t="s">
        <v>513</v>
      </c>
      <c r="K787" t="s">
        <v>15</v>
      </c>
      <c r="L787" t="s">
        <v>506</v>
      </c>
      <c r="M787" t="str">
        <f>VLOOKUP(A787,[1]MSAKEN!$A$1:$F$562,6,FALSE)</f>
        <v>20009092220011205046</v>
      </c>
    </row>
    <row r="788" spans="1:13" x14ac:dyDescent="0.3">
      <c r="A788">
        <v>1739</v>
      </c>
      <c r="B788" t="s">
        <v>260</v>
      </c>
      <c r="C788" t="s">
        <v>259</v>
      </c>
      <c r="D788" t="s">
        <v>1216</v>
      </c>
      <c r="E788" t="s">
        <v>584</v>
      </c>
      <c r="F788" s="4">
        <v>26390</v>
      </c>
      <c r="G788">
        <v>5509598</v>
      </c>
      <c r="H788">
        <v>1208526101</v>
      </c>
      <c r="I788" t="s">
        <v>1642</v>
      </c>
      <c r="J788" t="s">
        <v>513</v>
      </c>
      <c r="K788" t="s">
        <v>15</v>
      </c>
      <c r="L788" t="s">
        <v>506</v>
      </c>
      <c r="M788" t="str">
        <f>VLOOKUP(A788,[1]MSAKEN!$A$1:$F$562,6,FALSE)</f>
        <v>08050020052000220086</v>
      </c>
    </row>
    <row r="789" spans="1:13" x14ac:dyDescent="0.3">
      <c r="A789">
        <v>1740</v>
      </c>
      <c r="B789" t="s">
        <v>61</v>
      </c>
      <c r="C789" t="s">
        <v>31</v>
      </c>
      <c r="D789" t="s">
        <v>598</v>
      </c>
      <c r="E789" t="s">
        <v>536</v>
      </c>
      <c r="F789" s="4">
        <v>26312</v>
      </c>
      <c r="G789">
        <v>5519578</v>
      </c>
      <c r="H789">
        <v>1192980405</v>
      </c>
      <c r="I789" t="s">
        <v>1643</v>
      </c>
      <c r="J789" t="s">
        <v>513</v>
      </c>
      <c r="K789" t="s">
        <v>15</v>
      </c>
      <c r="L789" t="s">
        <v>506</v>
      </c>
      <c r="M789" t="str">
        <f>VLOOKUP(A789,[1]MSAKEN!$A$1:$F$562,6,FALSE)</f>
        <v>04204067404000973254</v>
      </c>
    </row>
    <row r="790" spans="1:13" x14ac:dyDescent="0.3">
      <c r="A790">
        <v>1741</v>
      </c>
      <c r="B790" t="s">
        <v>304</v>
      </c>
      <c r="C790" t="s">
        <v>48</v>
      </c>
      <c r="D790" t="s">
        <v>658</v>
      </c>
      <c r="E790" t="s">
        <v>546</v>
      </c>
      <c r="F790" s="4">
        <v>28289</v>
      </c>
      <c r="G790">
        <v>5583908</v>
      </c>
      <c r="H790">
        <v>1208526200</v>
      </c>
      <c r="I790" t="s">
        <v>1644</v>
      </c>
      <c r="J790" t="s">
        <v>513</v>
      </c>
      <c r="K790" t="s">
        <v>15</v>
      </c>
      <c r="L790" t="s">
        <v>506</v>
      </c>
      <c r="M790" t="str">
        <f>VLOOKUP(A790,[1]MSAKEN!$A$1:$F$562,6,FALSE)</f>
        <v>04204067404000969083</v>
      </c>
    </row>
    <row r="791" spans="1:13" x14ac:dyDescent="0.3">
      <c r="A791">
        <v>1742</v>
      </c>
      <c r="B791" t="s">
        <v>487</v>
      </c>
      <c r="C791" t="s">
        <v>76</v>
      </c>
      <c r="D791" t="s">
        <v>535</v>
      </c>
      <c r="E791" t="s">
        <v>584</v>
      </c>
      <c r="F791" s="4">
        <v>23756</v>
      </c>
      <c r="G791">
        <v>2954102</v>
      </c>
      <c r="H791">
        <v>1167970506</v>
      </c>
      <c r="I791" t="s">
        <v>1645</v>
      </c>
      <c r="J791" t="s">
        <v>502</v>
      </c>
      <c r="K791" t="s">
        <v>15</v>
      </c>
      <c r="L791" t="s">
        <v>506</v>
      </c>
      <c r="M791" t="str">
        <f>VLOOKUP(A791,[1]MSAKEN!$A$1:$F$562,6,FALSE)</f>
        <v>04204067404002083807</v>
      </c>
    </row>
    <row r="792" spans="1:13" x14ac:dyDescent="0.3">
      <c r="A792">
        <v>1743</v>
      </c>
      <c r="B792" t="s">
        <v>161</v>
      </c>
      <c r="C792" t="s">
        <v>1646</v>
      </c>
      <c r="D792" t="s">
        <v>502</v>
      </c>
      <c r="E792" t="s">
        <v>502</v>
      </c>
      <c r="F792" s="4">
        <v>21557</v>
      </c>
      <c r="G792">
        <v>2988441</v>
      </c>
      <c r="H792">
        <v>1165313907</v>
      </c>
      <c r="I792" t="s">
        <v>1647</v>
      </c>
      <c r="J792" t="s">
        <v>513</v>
      </c>
      <c r="K792" t="s">
        <v>15</v>
      </c>
      <c r="L792" t="s">
        <v>506</v>
      </c>
      <c r="M792" t="e">
        <f>VLOOKUP(A792,[1]MSAKEN!$A$1:$F$562,6,FALSE)</f>
        <v>#N/A</v>
      </c>
    </row>
    <row r="793" spans="1:13" x14ac:dyDescent="0.3">
      <c r="A793">
        <v>1744</v>
      </c>
      <c r="B793" t="s">
        <v>118</v>
      </c>
      <c r="C793" t="s">
        <v>200</v>
      </c>
      <c r="D793" t="s">
        <v>1648</v>
      </c>
      <c r="E793" t="s">
        <v>1091</v>
      </c>
      <c r="F793" s="4">
        <v>27921</v>
      </c>
      <c r="G793">
        <v>5573595</v>
      </c>
      <c r="H793">
        <v>1208525806</v>
      </c>
      <c r="I793" t="s">
        <v>1649</v>
      </c>
      <c r="J793" t="s">
        <v>1323</v>
      </c>
      <c r="K793" t="s">
        <v>15</v>
      </c>
      <c r="L793" t="s">
        <v>506</v>
      </c>
      <c r="M793" t="str">
        <f>VLOOKUP(A793,[1]MSAKEN!$A$1:$F$562,6,FALSE)</f>
        <v>04204067404000977328</v>
      </c>
    </row>
    <row r="794" spans="1:13" x14ac:dyDescent="0.3">
      <c r="A794">
        <v>1745</v>
      </c>
      <c r="B794" t="s">
        <v>71</v>
      </c>
      <c r="C794" t="s">
        <v>355</v>
      </c>
      <c r="D794" t="s">
        <v>520</v>
      </c>
      <c r="E794" t="s">
        <v>1000</v>
      </c>
      <c r="F794" s="4">
        <v>26238</v>
      </c>
      <c r="G794">
        <v>5508990</v>
      </c>
      <c r="H794">
        <v>1192282307</v>
      </c>
      <c r="I794" t="s">
        <v>1650</v>
      </c>
      <c r="J794" t="s">
        <v>513</v>
      </c>
      <c r="K794" t="s">
        <v>15</v>
      </c>
      <c r="L794" t="s">
        <v>506</v>
      </c>
      <c r="M794" t="str">
        <f>VLOOKUP(A794,[1]MSAKEN!$A$1:$F$562,6,FALSE)</f>
        <v>12505000580103546085</v>
      </c>
    </row>
    <row r="795" spans="1:13" x14ac:dyDescent="0.3">
      <c r="A795">
        <v>1746</v>
      </c>
      <c r="B795" t="s">
        <v>1651</v>
      </c>
      <c r="C795" t="s">
        <v>56</v>
      </c>
      <c r="D795" t="s">
        <v>651</v>
      </c>
      <c r="E795" t="s">
        <v>917</v>
      </c>
      <c r="F795" s="4">
        <v>27290</v>
      </c>
      <c r="G795">
        <v>5538591</v>
      </c>
      <c r="H795">
        <v>1208549806</v>
      </c>
      <c r="I795" t="s">
        <v>1652</v>
      </c>
      <c r="J795" t="s">
        <v>513</v>
      </c>
      <c r="K795" t="s">
        <v>15</v>
      </c>
      <c r="L795" t="s">
        <v>506</v>
      </c>
      <c r="M795" t="str">
        <f>VLOOKUP(A795,[1]MSAKEN!$A$1:$F$562,6,FALSE)</f>
        <v>12505000580103722625</v>
      </c>
    </row>
    <row r="796" spans="1:13" x14ac:dyDescent="0.3">
      <c r="A796">
        <v>1747</v>
      </c>
      <c r="B796" t="s">
        <v>43</v>
      </c>
      <c r="C796" t="s">
        <v>343</v>
      </c>
      <c r="D796" t="s">
        <v>632</v>
      </c>
      <c r="E796" t="s">
        <v>690</v>
      </c>
      <c r="F796" s="4">
        <v>29424</v>
      </c>
      <c r="G796">
        <v>5586304</v>
      </c>
      <c r="H796">
        <v>1208229102</v>
      </c>
      <c r="I796" t="s">
        <v>1653</v>
      </c>
      <c r="J796" t="s">
        <v>513</v>
      </c>
      <c r="K796" t="s">
        <v>15</v>
      </c>
      <c r="L796" t="s">
        <v>506</v>
      </c>
      <c r="M796" t="str">
        <f>VLOOKUP(A796,[1]MSAKEN!$A$1:$F$562,6,FALSE)</f>
        <v>10506040206151278897</v>
      </c>
    </row>
    <row r="797" spans="1:13" x14ac:dyDescent="0.3">
      <c r="A797">
        <v>1748</v>
      </c>
      <c r="B797" t="s">
        <v>1243</v>
      </c>
      <c r="C797" t="s">
        <v>66</v>
      </c>
      <c r="D797" t="s">
        <v>564</v>
      </c>
      <c r="E797" t="s">
        <v>521</v>
      </c>
      <c r="F797" s="4">
        <v>24845</v>
      </c>
      <c r="G797">
        <v>2984228</v>
      </c>
      <c r="H797">
        <v>1192843801</v>
      </c>
      <c r="I797" t="s">
        <v>1654</v>
      </c>
      <c r="J797" t="s">
        <v>513</v>
      </c>
      <c r="K797" t="s">
        <v>15</v>
      </c>
      <c r="L797" t="s">
        <v>506</v>
      </c>
      <c r="M797" t="e">
        <f>VLOOKUP(A797,[1]MSAKEN!$A$1:$F$562,6,FALSE)</f>
        <v>#N/A</v>
      </c>
    </row>
    <row r="798" spans="1:13" x14ac:dyDescent="0.3">
      <c r="A798">
        <v>1749</v>
      </c>
      <c r="B798" t="s">
        <v>1655</v>
      </c>
      <c r="C798" t="s">
        <v>48</v>
      </c>
      <c r="D798" t="s">
        <v>502</v>
      </c>
      <c r="E798" t="s">
        <v>502</v>
      </c>
      <c r="F798" s="4">
        <v>29234</v>
      </c>
      <c r="G798">
        <v>5577081</v>
      </c>
      <c r="H798">
        <v>1208519304</v>
      </c>
      <c r="I798" t="s">
        <v>1656</v>
      </c>
      <c r="J798" t="s">
        <v>502</v>
      </c>
      <c r="K798" t="s">
        <v>16</v>
      </c>
      <c r="L798" t="s">
        <v>506</v>
      </c>
      <c r="M798" t="e">
        <f>VLOOKUP(A798,[1]MSAKEN!$A$1:$F$562,6,FALSE)</f>
        <v>#N/A</v>
      </c>
    </row>
    <row r="799" spans="1:13" x14ac:dyDescent="0.3">
      <c r="A799">
        <v>1750</v>
      </c>
      <c r="B799" t="s">
        <v>1657</v>
      </c>
      <c r="C799" t="s">
        <v>222</v>
      </c>
      <c r="D799" t="s">
        <v>654</v>
      </c>
      <c r="E799" t="s">
        <v>652</v>
      </c>
      <c r="F799" s="4">
        <v>28197</v>
      </c>
      <c r="G799">
        <v>5581820</v>
      </c>
      <c r="H799">
        <v>1208520203</v>
      </c>
      <c r="I799" t="s">
        <v>1658</v>
      </c>
      <c r="J799" t="s">
        <v>574</v>
      </c>
      <c r="K799" t="s">
        <v>15</v>
      </c>
      <c r="L799" t="s">
        <v>506</v>
      </c>
      <c r="M799" t="e">
        <f>VLOOKUP(A799,[1]MSAKEN!$A$1:$F$562,6,FALSE)</f>
        <v>#N/A</v>
      </c>
    </row>
    <row r="800" spans="1:13" x14ac:dyDescent="0.3">
      <c r="A800">
        <v>1751</v>
      </c>
      <c r="B800" t="s">
        <v>83</v>
      </c>
      <c r="C800" t="s">
        <v>101</v>
      </c>
      <c r="D800" t="s">
        <v>502</v>
      </c>
      <c r="E800" t="s">
        <v>502</v>
      </c>
      <c r="F800" s="4">
        <v>28023</v>
      </c>
      <c r="G800">
        <v>5573816</v>
      </c>
      <c r="H800">
        <v>1208142008</v>
      </c>
      <c r="I800" t="s">
        <v>1659</v>
      </c>
      <c r="J800" t="s">
        <v>513</v>
      </c>
      <c r="K800" t="s">
        <v>16</v>
      </c>
      <c r="L800" t="s">
        <v>506</v>
      </c>
      <c r="M800" t="e">
        <f>VLOOKUP(A800,[1]MSAKEN!$A$1:$F$562,6,FALSE)</f>
        <v>#N/A</v>
      </c>
    </row>
    <row r="801" spans="1:13" x14ac:dyDescent="0.3">
      <c r="A801">
        <v>1752</v>
      </c>
      <c r="B801" t="s">
        <v>78</v>
      </c>
      <c r="C801" t="s">
        <v>137</v>
      </c>
      <c r="D801" t="s">
        <v>535</v>
      </c>
      <c r="E801" t="s">
        <v>546</v>
      </c>
      <c r="F801" s="4">
        <v>27392</v>
      </c>
      <c r="G801">
        <v>5533364</v>
      </c>
      <c r="H801">
        <v>1192526406</v>
      </c>
      <c r="I801" t="s">
        <v>1660</v>
      </c>
      <c r="J801" t="s">
        <v>513</v>
      </c>
      <c r="K801" t="s">
        <v>15</v>
      </c>
      <c r="L801" t="s">
        <v>506</v>
      </c>
      <c r="M801" t="str">
        <f>VLOOKUP(A801,[1]MSAKEN!$A$1:$F$562,6,FALSE)</f>
        <v>25005000000000759194</v>
      </c>
    </row>
    <row r="802" spans="1:13" x14ac:dyDescent="0.3">
      <c r="A802">
        <v>1753</v>
      </c>
      <c r="B802" t="s">
        <v>1300</v>
      </c>
      <c r="C802" t="s">
        <v>1661</v>
      </c>
      <c r="D802" t="s">
        <v>502</v>
      </c>
      <c r="E802" t="s">
        <v>502</v>
      </c>
      <c r="F802" s="4">
        <v>27179</v>
      </c>
      <c r="G802" t="s">
        <v>502</v>
      </c>
      <c r="H802" t="s">
        <v>502</v>
      </c>
      <c r="I802" t="s">
        <v>502</v>
      </c>
      <c r="J802" t="s">
        <v>502</v>
      </c>
      <c r="K802" t="s">
        <v>15</v>
      </c>
      <c r="L802" t="s">
        <v>502</v>
      </c>
      <c r="M802" t="e">
        <f>VLOOKUP(A802,[1]MSAKEN!$A$1:$F$562,6,FALSE)</f>
        <v>#N/A</v>
      </c>
    </row>
    <row r="803" spans="1:13" x14ac:dyDescent="0.3">
      <c r="A803">
        <v>1754</v>
      </c>
      <c r="B803" t="s">
        <v>19</v>
      </c>
      <c r="C803" t="s">
        <v>169</v>
      </c>
      <c r="D803" t="s">
        <v>520</v>
      </c>
      <c r="E803" t="s">
        <v>792</v>
      </c>
      <c r="F803" s="4">
        <v>29522</v>
      </c>
      <c r="G803">
        <v>8425098</v>
      </c>
      <c r="H803">
        <v>1208596203</v>
      </c>
      <c r="I803" t="s">
        <v>502</v>
      </c>
      <c r="J803" t="s">
        <v>718</v>
      </c>
      <c r="K803" t="s">
        <v>16</v>
      </c>
      <c r="L803" t="s">
        <v>506</v>
      </c>
      <c r="M803" t="str">
        <f>VLOOKUP(A803,[1]MSAKEN!$A$1:$F$562,6,FALSE)</f>
        <v>08507000262004868587</v>
      </c>
    </row>
    <row r="804" spans="1:13" x14ac:dyDescent="0.3">
      <c r="A804">
        <v>1755</v>
      </c>
      <c r="B804" t="s">
        <v>333</v>
      </c>
      <c r="C804" t="s">
        <v>332</v>
      </c>
      <c r="D804" t="s">
        <v>648</v>
      </c>
      <c r="E804" t="s">
        <v>1662</v>
      </c>
      <c r="F804" s="4">
        <v>25116</v>
      </c>
      <c r="G804">
        <v>2984455</v>
      </c>
      <c r="H804">
        <v>1192592408</v>
      </c>
      <c r="I804" t="s">
        <v>502</v>
      </c>
      <c r="J804" t="s">
        <v>568</v>
      </c>
      <c r="K804" t="s">
        <v>15</v>
      </c>
      <c r="L804" t="s">
        <v>506</v>
      </c>
      <c r="M804" t="str">
        <f>VLOOKUP(A804,[1]MSAKEN!$A$1:$F$562,6,FALSE)</f>
        <v>08507000262005302662</v>
      </c>
    </row>
    <row r="805" spans="1:13" x14ac:dyDescent="0.3">
      <c r="A805">
        <v>1756</v>
      </c>
      <c r="B805" t="s">
        <v>324</v>
      </c>
      <c r="C805" t="s">
        <v>139</v>
      </c>
      <c r="D805" t="s">
        <v>535</v>
      </c>
      <c r="E805" t="s">
        <v>1186</v>
      </c>
      <c r="F805" s="4">
        <v>29056</v>
      </c>
      <c r="G805">
        <v>5580004</v>
      </c>
      <c r="H805">
        <v>1208452308</v>
      </c>
      <c r="I805" t="s">
        <v>1383</v>
      </c>
      <c r="J805" t="s">
        <v>513</v>
      </c>
      <c r="K805" t="s">
        <v>15</v>
      </c>
      <c r="L805" t="s">
        <v>506</v>
      </c>
      <c r="M805" t="str">
        <f>VLOOKUP(A805,[1]MSAKEN!$A$1:$F$562,6,FALSE)</f>
        <v>08050020052000183129</v>
      </c>
    </row>
    <row r="806" spans="1:13" x14ac:dyDescent="0.3">
      <c r="A806">
        <v>1757</v>
      </c>
      <c r="B806" t="s">
        <v>1604</v>
      </c>
      <c r="C806" t="s">
        <v>261</v>
      </c>
      <c r="D806" t="s">
        <v>728</v>
      </c>
      <c r="E806" t="s">
        <v>1663</v>
      </c>
      <c r="F806" s="4">
        <v>29449</v>
      </c>
      <c r="G806">
        <v>8427531</v>
      </c>
      <c r="H806">
        <v>1208520104</v>
      </c>
      <c r="I806" t="s">
        <v>502</v>
      </c>
      <c r="J806" t="s">
        <v>568</v>
      </c>
      <c r="K806" t="s">
        <v>15</v>
      </c>
      <c r="L806" t="s">
        <v>506</v>
      </c>
      <c r="M806" t="str">
        <f>VLOOKUP(A806,[1]MSAKEN!$A$1:$F$562,6,FALSE)</f>
        <v>04204067001309440457</v>
      </c>
    </row>
    <row r="807" spans="1:13" x14ac:dyDescent="0.3">
      <c r="A807">
        <v>1758</v>
      </c>
      <c r="B807" t="s">
        <v>1664</v>
      </c>
      <c r="C807" t="s">
        <v>298</v>
      </c>
      <c r="D807" t="s">
        <v>502</v>
      </c>
      <c r="E807" t="s">
        <v>502</v>
      </c>
      <c r="F807" t="s">
        <v>502</v>
      </c>
      <c r="G807">
        <v>5593622</v>
      </c>
      <c r="H807">
        <v>1208531309</v>
      </c>
      <c r="I807" t="s">
        <v>1665</v>
      </c>
      <c r="J807" t="s">
        <v>502</v>
      </c>
      <c r="K807" t="s">
        <v>16</v>
      </c>
      <c r="L807" t="s">
        <v>506</v>
      </c>
      <c r="M807" t="e">
        <f>VLOOKUP(A807,[1]MSAKEN!$A$1:$F$562,6,FALSE)</f>
        <v>#N/A</v>
      </c>
    </row>
    <row r="808" spans="1:13" x14ac:dyDescent="0.3">
      <c r="A808">
        <v>1759</v>
      </c>
      <c r="B808" t="s">
        <v>223</v>
      </c>
      <c r="C808" t="s">
        <v>222</v>
      </c>
      <c r="D808" t="s">
        <v>1666</v>
      </c>
      <c r="E808" t="s">
        <v>584</v>
      </c>
      <c r="F808" s="4">
        <v>28309</v>
      </c>
      <c r="G808">
        <v>5549561</v>
      </c>
      <c r="H808">
        <v>1208311009</v>
      </c>
      <c r="I808" t="s">
        <v>502</v>
      </c>
      <c r="J808" t="s">
        <v>568</v>
      </c>
      <c r="K808" t="s">
        <v>15</v>
      </c>
      <c r="L808" t="s">
        <v>506</v>
      </c>
      <c r="M808" t="str">
        <f>VLOOKUP(A808,[1]MSAKEN!$A$1:$F$562,6,FALSE)</f>
        <v>20009090001147054205</v>
      </c>
    </row>
    <row r="809" spans="1:13" x14ac:dyDescent="0.3">
      <c r="A809">
        <v>1760</v>
      </c>
      <c r="B809" t="s">
        <v>104</v>
      </c>
      <c r="C809" t="s">
        <v>102</v>
      </c>
      <c r="D809" t="s">
        <v>535</v>
      </c>
      <c r="E809" t="s">
        <v>584</v>
      </c>
      <c r="F809" s="4">
        <v>28389</v>
      </c>
      <c r="G809">
        <v>5571497</v>
      </c>
      <c r="H809">
        <v>1208120905</v>
      </c>
      <c r="I809" t="s">
        <v>1572</v>
      </c>
      <c r="J809" t="s">
        <v>513</v>
      </c>
      <c r="K809" t="s">
        <v>15</v>
      </c>
      <c r="L809" t="s">
        <v>506</v>
      </c>
      <c r="M809" t="str">
        <f>VLOOKUP(A809,[1]MSAKEN!$A$1:$F$562,6,FALSE)</f>
        <v>08507000262001937538</v>
      </c>
    </row>
    <row r="810" spans="1:13" x14ac:dyDescent="0.3">
      <c r="A810">
        <v>1761</v>
      </c>
      <c r="B810" t="s">
        <v>283</v>
      </c>
      <c r="C810" t="s">
        <v>44</v>
      </c>
      <c r="D810" t="s">
        <v>1190</v>
      </c>
      <c r="E810" t="s">
        <v>536</v>
      </c>
      <c r="F810" s="4">
        <v>27843</v>
      </c>
      <c r="G810">
        <v>5572308</v>
      </c>
      <c r="H810">
        <v>1208579506</v>
      </c>
      <c r="I810" t="s">
        <v>502</v>
      </c>
      <c r="J810" t="s">
        <v>568</v>
      </c>
      <c r="K810" t="s">
        <v>15</v>
      </c>
      <c r="L810" t="s">
        <v>506</v>
      </c>
      <c r="M810" t="str">
        <f>VLOOKUP(A810,[1]MSAKEN!$A$1:$F$562,6,FALSE)</f>
        <v>12505000580102676383</v>
      </c>
    </row>
    <row r="811" spans="1:13" x14ac:dyDescent="0.3">
      <c r="A811">
        <v>1762</v>
      </c>
      <c r="B811" t="s">
        <v>366</v>
      </c>
      <c r="C811" t="s">
        <v>34</v>
      </c>
      <c r="D811" t="s">
        <v>502</v>
      </c>
      <c r="E811" t="s">
        <v>502</v>
      </c>
      <c r="F811" s="4">
        <v>27174</v>
      </c>
      <c r="G811">
        <v>5538700</v>
      </c>
      <c r="H811">
        <v>1219560206</v>
      </c>
      <c r="I811" t="s">
        <v>1667</v>
      </c>
      <c r="J811" t="s">
        <v>513</v>
      </c>
      <c r="K811" t="s">
        <v>15</v>
      </c>
      <c r="L811" t="s">
        <v>506</v>
      </c>
      <c r="M811" t="e">
        <f>VLOOKUP(A811,[1]MSAKEN!$A$1:$F$562,6,FALSE)</f>
        <v>#N/A</v>
      </c>
    </row>
    <row r="812" spans="1:13" x14ac:dyDescent="0.3">
      <c r="A812">
        <v>1763</v>
      </c>
      <c r="B812" t="s">
        <v>620</v>
      </c>
      <c r="C812" t="s">
        <v>56</v>
      </c>
      <c r="D812" t="s">
        <v>502</v>
      </c>
      <c r="E812" t="s">
        <v>502</v>
      </c>
      <c r="F812" s="4">
        <v>29028</v>
      </c>
      <c r="G812">
        <v>5577981</v>
      </c>
      <c r="H812">
        <v>1208583508</v>
      </c>
      <c r="I812" t="s">
        <v>1668</v>
      </c>
      <c r="J812" t="s">
        <v>513</v>
      </c>
      <c r="K812" t="s">
        <v>16</v>
      </c>
      <c r="L812" t="s">
        <v>506</v>
      </c>
      <c r="M812" t="e">
        <f>VLOOKUP(A812,[1]MSAKEN!$A$1:$F$562,6,FALSE)</f>
        <v>#N/A</v>
      </c>
    </row>
    <row r="813" spans="1:13" x14ac:dyDescent="0.3">
      <c r="A813">
        <v>1764</v>
      </c>
      <c r="B813" t="s">
        <v>1669</v>
      </c>
      <c r="C813" t="s">
        <v>105</v>
      </c>
      <c r="D813" t="s">
        <v>598</v>
      </c>
      <c r="E813" t="s">
        <v>1670</v>
      </c>
      <c r="F813" s="4">
        <v>25641</v>
      </c>
      <c r="G813">
        <v>6107232</v>
      </c>
      <c r="H813">
        <v>1208219905</v>
      </c>
      <c r="I813" t="s">
        <v>1671</v>
      </c>
      <c r="J813" t="s">
        <v>513</v>
      </c>
      <c r="K813" t="s">
        <v>15</v>
      </c>
      <c r="L813" t="s">
        <v>506</v>
      </c>
      <c r="M813" t="str">
        <f>VLOOKUP(A813,[1]MSAKEN!$A$1:$F$562,6,FALSE)</f>
        <v>17503000000104562610</v>
      </c>
    </row>
    <row r="814" spans="1:13" x14ac:dyDescent="0.3">
      <c r="A814">
        <v>1765</v>
      </c>
      <c r="B814" t="s">
        <v>46</v>
      </c>
      <c r="C814" t="s">
        <v>45</v>
      </c>
      <c r="D814" t="s">
        <v>1163</v>
      </c>
      <c r="E814" t="s">
        <v>1253</v>
      </c>
      <c r="F814" s="4">
        <v>23792</v>
      </c>
      <c r="G814">
        <v>2963893</v>
      </c>
      <c r="H814">
        <v>1160662605</v>
      </c>
      <c r="I814" t="s">
        <v>1672</v>
      </c>
      <c r="J814" t="s">
        <v>513</v>
      </c>
      <c r="K814" t="s">
        <v>15</v>
      </c>
      <c r="L814" t="s">
        <v>506</v>
      </c>
      <c r="M814" t="str">
        <f>VLOOKUP(A814,[1]MSAKEN!$A$1:$F$562,6,FALSE)</f>
        <v>04204067404001012830</v>
      </c>
    </row>
    <row r="815" spans="1:13" x14ac:dyDescent="0.3">
      <c r="A815">
        <v>1766</v>
      </c>
      <c r="B815" t="s">
        <v>283</v>
      </c>
      <c r="C815" t="s">
        <v>145</v>
      </c>
      <c r="D815" t="s">
        <v>564</v>
      </c>
      <c r="E815" t="s">
        <v>792</v>
      </c>
      <c r="F815" s="4">
        <v>29349</v>
      </c>
      <c r="G815">
        <v>8447499</v>
      </c>
      <c r="H815">
        <v>1208577104</v>
      </c>
      <c r="I815" t="s">
        <v>1673</v>
      </c>
      <c r="J815" t="s">
        <v>513</v>
      </c>
      <c r="K815" t="s">
        <v>15</v>
      </c>
      <c r="L815" t="s">
        <v>506</v>
      </c>
      <c r="M815" t="str">
        <f>VLOOKUP(A815,[1]MSAKEN!$A$1:$F$562,6,FALSE)</f>
        <v>05048000116500162893</v>
      </c>
    </row>
    <row r="816" spans="1:13" x14ac:dyDescent="0.3">
      <c r="A816">
        <v>1767</v>
      </c>
      <c r="B816" t="s">
        <v>1674</v>
      </c>
      <c r="C816" t="s">
        <v>134</v>
      </c>
      <c r="D816" t="s">
        <v>535</v>
      </c>
      <c r="E816" t="s">
        <v>584</v>
      </c>
      <c r="F816" s="4">
        <v>29103</v>
      </c>
      <c r="G816">
        <v>5581140</v>
      </c>
      <c r="H816">
        <v>1208577005</v>
      </c>
      <c r="I816" t="s">
        <v>1675</v>
      </c>
      <c r="J816" t="s">
        <v>513</v>
      </c>
      <c r="K816" t="s">
        <v>15</v>
      </c>
      <c r="L816" t="s">
        <v>506</v>
      </c>
      <c r="M816" t="str">
        <f>VLOOKUP(A816,[1]MSAKEN!$A$1:$F$562,6,FALSE)</f>
        <v>10506040518515178824</v>
      </c>
    </row>
    <row r="817" spans="1:13" x14ac:dyDescent="0.3">
      <c r="A817">
        <v>1768</v>
      </c>
      <c r="B817" t="s">
        <v>325</v>
      </c>
      <c r="C817" t="s">
        <v>274</v>
      </c>
      <c r="D817" t="s">
        <v>1676</v>
      </c>
      <c r="E817" t="s">
        <v>926</v>
      </c>
      <c r="F817" s="4">
        <v>26698</v>
      </c>
      <c r="G817">
        <v>5539321</v>
      </c>
      <c r="H817">
        <v>1192990800</v>
      </c>
      <c r="I817" t="s">
        <v>1677</v>
      </c>
      <c r="J817" t="s">
        <v>511</v>
      </c>
      <c r="K817" t="s">
        <v>15</v>
      </c>
      <c r="L817" t="s">
        <v>506</v>
      </c>
      <c r="M817" t="str">
        <f>VLOOKUP(A817,[1]MSAKEN!$A$1:$F$562,6,FALSE)</f>
        <v>12015000000223791516</v>
      </c>
    </row>
    <row r="818" spans="1:13" x14ac:dyDescent="0.3">
      <c r="A818">
        <v>1769</v>
      </c>
      <c r="B818" t="s">
        <v>305</v>
      </c>
      <c r="C818" t="s">
        <v>249</v>
      </c>
      <c r="D818" t="s">
        <v>1678</v>
      </c>
      <c r="E818" t="s">
        <v>1066</v>
      </c>
      <c r="F818" s="4">
        <v>23469</v>
      </c>
      <c r="G818">
        <v>2960518</v>
      </c>
      <c r="H818">
        <v>1110769807</v>
      </c>
      <c r="I818" t="s">
        <v>502</v>
      </c>
      <c r="J818" t="s">
        <v>755</v>
      </c>
      <c r="K818" t="s">
        <v>15</v>
      </c>
      <c r="L818" t="s">
        <v>506</v>
      </c>
      <c r="M818" t="str">
        <f>VLOOKUP(A818,[1]MSAKEN!$A$1:$F$562,6,FALSE)</f>
        <v>17503000000136569312</v>
      </c>
    </row>
    <row r="819" spans="1:13" x14ac:dyDescent="0.3">
      <c r="A819">
        <v>1770</v>
      </c>
      <c r="B819" t="s">
        <v>344</v>
      </c>
      <c r="C819" t="s">
        <v>224</v>
      </c>
      <c r="D819" t="s">
        <v>1679</v>
      </c>
      <c r="E819" t="s">
        <v>1558</v>
      </c>
      <c r="F819" s="4">
        <v>29205</v>
      </c>
      <c r="G819">
        <v>5577042</v>
      </c>
      <c r="H819">
        <v>1208610608</v>
      </c>
      <c r="I819" t="s">
        <v>1680</v>
      </c>
      <c r="J819" t="s">
        <v>513</v>
      </c>
      <c r="K819" t="s">
        <v>15</v>
      </c>
      <c r="L819" t="s">
        <v>506</v>
      </c>
      <c r="M819" t="str">
        <f>VLOOKUP(A819,[1]MSAKEN!$A$1:$F$562,6,FALSE)</f>
        <v>10506040206241178885</v>
      </c>
    </row>
    <row r="820" spans="1:13" x14ac:dyDescent="0.3">
      <c r="A820">
        <v>1771</v>
      </c>
      <c r="B820" t="s">
        <v>57</v>
      </c>
      <c r="C820" t="s">
        <v>39</v>
      </c>
      <c r="D820" t="s">
        <v>674</v>
      </c>
      <c r="E820" t="s">
        <v>584</v>
      </c>
      <c r="F820" s="4">
        <v>28432</v>
      </c>
      <c r="G820">
        <v>8431130</v>
      </c>
      <c r="H820">
        <v>1208663305</v>
      </c>
      <c r="I820" t="s">
        <v>1681</v>
      </c>
      <c r="J820" t="s">
        <v>513</v>
      </c>
      <c r="K820" t="s">
        <v>16</v>
      </c>
      <c r="L820" t="s">
        <v>506</v>
      </c>
      <c r="M820" t="str">
        <f>VLOOKUP(A820,[1]MSAKEN!$A$1:$F$562,6,FALSE)</f>
        <v>12064000000226942490</v>
      </c>
    </row>
    <row r="821" spans="1:13" x14ac:dyDescent="0.3">
      <c r="A821">
        <v>1772</v>
      </c>
      <c r="B821" t="s">
        <v>1682</v>
      </c>
      <c r="C821" t="s">
        <v>170</v>
      </c>
      <c r="D821" t="s">
        <v>564</v>
      </c>
      <c r="E821" t="s">
        <v>569</v>
      </c>
      <c r="F821" s="4">
        <v>27055</v>
      </c>
      <c r="G821">
        <v>5568110</v>
      </c>
      <c r="H821">
        <v>1208576908</v>
      </c>
      <c r="I821" t="s">
        <v>1683</v>
      </c>
      <c r="J821" t="s">
        <v>513</v>
      </c>
      <c r="K821" t="s">
        <v>15</v>
      </c>
      <c r="L821" t="s">
        <v>506</v>
      </c>
      <c r="M821" t="e">
        <f>VLOOKUP(A821,[1]MSAKEN!$A$1:$F$562,6,FALSE)</f>
        <v>#N/A</v>
      </c>
    </row>
    <row r="822" spans="1:13" x14ac:dyDescent="0.3">
      <c r="A822">
        <v>1773</v>
      </c>
      <c r="B822" t="s">
        <v>307</v>
      </c>
      <c r="C822" t="s">
        <v>306</v>
      </c>
      <c r="D822" t="s">
        <v>1157</v>
      </c>
      <c r="E822" t="s">
        <v>1091</v>
      </c>
      <c r="F822" s="4">
        <v>27797</v>
      </c>
      <c r="G822">
        <v>5548423</v>
      </c>
      <c r="H822">
        <v>1208452209</v>
      </c>
      <c r="I822" t="s">
        <v>1684</v>
      </c>
      <c r="J822" t="s">
        <v>513</v>
      </c>
      <c r="K822" t="s">
        <v>15</v>
      </c>
      <c r="L822" t="s">
        <v>506</v>
      </c>
      <c r="M822" t="str">
        <f>VLOOKUP(A822,[1]MSAKEN!$A$1:$F$562,6,FALSE)</f>
        <v>12505000580104409579</v>
      </c>
    </row>
    <row r="823" spans="1:13" x14ac:dyDescent="0.3">
      <c r="A823">
        <v>1774</v>
      </c>
      <c r="B823" t="s">
        <v>283</v>
      </c>
      <c r="C823" t="s">
        <v>90</v>
      </c>
      <c r="D823" t="s">
        <v>711</v>
      </c>
      <c r="E823" t="s">
        <v>1132</v>
      </c>
      <c r="F823" s="4">
        <v>28232</v>
      </c>
      <c r="G823">
        <v>3783941</v>
      </c>
      <c r="H823">
        <v>1208567105</v>
      </c>
      <c r="I823" t="s">
        <v>502</v>
      </c>
      <c r="J823" t="s">
        <v>833</v>
      </c>
      <c r="K823" t="s">
        <v>15</v>
      </c>
      <c r="L823" t="s">
        <v>506</v>
      </c>
      <c r="M823" t="str">
        <f>VLOOKUP(A823,[1]MSAKEN!$A$1:$F$562,6,FALSE)</f>
        <v>12505000580102672018</v>
      </c>
    </row>
    <row r="824" spans="1:13" x14ac:dyDescent="0.3">
      <c r="A824">
        <v>1775</v>
      </c>
      <c r="B824" t="s">
        <v>705</v>
      </c>
      <c r="C824" t="s">
        <v>1685</v>
      </c>
      <c r="D824" t="s">
        <v>502</v>
      </c>
      <c r="E824" t="s">
        <v>502</v>
      </c>
      <c r="F824" t="s">
        <v>502</v>
      </c>
      <c r="G824">
        <v>5548708</v>
      </c>
      <c r="H824">
        <v>1192127700</v>
      </c>
      <c r="I824" t="s">
        <v>1686</v>
      </c>
      <c r="J824" t="s">
        <v>502</v>
      </c>
      <c r="K824" t="s">
        <v>16</v>
      </c>
      <c r="L824" t="s">
        <v>506</v>
      </c>
      <c r="M824" t="e">
        <f>VLOOKUP(A824,[1]MSAKEN!$A$1:$F$562,6,FALSE)</f>
        <v>#N/A</v>
      </c>
    </row>
    <row r="825" spans="1:13" x14ac:dyDescent="0.3">
      <c r="A825">
        <v>1777</v>
      </c>
      <c r="B825" t="s">
        <v>33</v>
      </c>
      <c r="C825" t="s">
        <v>370</v>
      </c>
      <c r="D825" t="s">
        <v>1190</v>
      </c>
      <c r="E825" t="s">
        <v>1687</v>
      </c>
      <c r="F825" s="4">
        <v>27871</v>
      </c>
      <c r="G825">
        <v>5537230</v>
      </c>
      <c r="H825">
        <v>1208216406</v>
      </c>
      <c r="I825" t="s">
        <v>1688</v>
      </c>
      <c r="J825" t="s">
        <v>513</v>
      </c>
      <c r="K825" t="s">
        <v>15</v>
      </c>
      <c r="L825" t="s">
        <v>506</v>
      </c>
      <c r="M825" t="str">
        <f>VLOOKUP(A825,[1]MSAKEN!$A$1:$F$562,6,FALSE)</f>
        <v>04204067404000994885</v>
      </c>
    </row>
    <row r="826" spans="1:13" x14ac:dyDescent="0.3">
      <c r="A826">
        <v>1778</v>
      </c>
      <c r="B826" t="s">
        <v>1689</v>
      </c>
      <c r="C826" t="s">
        <v>104</v>
      </c>
      <c r="D826" t="s">
        <v>502</v>
      </c>
      <c r="E826" t="s">
        <v>502</v>
      </c>
      <c r="F826" t="s">
        <v>502</v>
      </c>
      <c r="G826" t="s">
        <v>502</v>
      </c>
      <c r="H826" t="s">
        <v>502</v>
      </c>
      <c r="I826" t="s">
        <v>502</v>
      </c>
      <c r="J826" t="s">
        <v>502</v>
      </c>
      <c r="K826" t="s">
        <v>15</v>
      </c>
      <c r="L826" t="s">
        <v>502</v>
      </c>
      <c r="M826" t="e">
        <f>VLOOKUP(A826,[1]MSAKEN!$A$1:$F$562,6,FALSE)</f>
        <v>#N/A</v>
      </c>
    </row>
    <row r="827" spans="1:13" x14ac:dyDescent="0.3">
      <c r="A827">
        <v>1779</v>
      </c>
      <c r="B827" t="s">
        <v>1215</v>
      </c>
      <c r="C827" t="s">
        <v>31</v>
      </c>
      <c r="D827" t="s">
        <v>615</v>
      </c>
      <c r="E827" t="s">
        <v>1044</v>
      </c>
      <c r="F827" s="4">
        <v>27304</v>
      </c>
      <c r="G827">
        <v>5505830</v>
      </c>
      <c r="H827">
        <v>1208514008</v>
      </c>
      <c r="I827" t="s">
        <v>502</v>
      </c>
      <c r="J827" t="s">
        <v>568</v>
      </c>
      <c r="K827" t="s">
        <v>15</v>
      </c>
      <c r="L827" t="s">
        <v>506</v>
      </c>
      <c r="M827" t="str">
        <f>VLOOKUP(A827,[1]MSAKEN!$A$1:$F$562,6,FALSE)</f>
        <v>12505000580103522320</v>
      </c>
    </row>
    <row r="828" spans="1:13" x14ac:dyDescent="0.3">
      <c r="A828">
        <v>1780</v>
      </c>
      <c r="B828" t="s">
        <v>104</v>
      </c>
      <c r="C828" t="s">
        <v>480</v>
      </c>
      <c r="D828" t="s">
        <v>928</v>
      </c>
      <c r="E828" t="s">
        <v>1690</v>
      </c>
      <c r="F828" s="4">
        <v>25986</v>
      </c>
      <c r="G828">
        <v>5529485</v>
      </c>
      <c r="H828">
        <v>1168795001</v>
      </c>
      <c r="I828" t="s">
        <v>1691</v>
      </c>
      <c r="J828" t="s">
        <v>513</v>
      </c>
      <c r="K828" t="s">
        <v>15</v>
      </c>
      <c r="L828" t="s">
        <v>506</v>
      </c>
      <c r="M828" t="str">
        <f>VLOOKUP(A828,[1]MSAKEN!$A$1:$F$562,6,FALSE)</f>
        <v>10506040204842278835</v>
      </c>
    </row>
    <row r="829" spans="1:13" x14ac:dyDescent="0.3">
      <c r="A829">
        <v>1781</v>
      </c>
      <c r="B829" t="s">
        <v>147</v>
      </c>
      <c r="C829" t="s">
        <v>34</v>
      </c>
      <c r="D829" t="s">
        <v>674</v>
      </c>
      <c r="E829" t="s">
        <v>699</v>
      </c>
      <c r="F829" s="4">
        <v>25568</v>
      </c>
      <c r="G829">
        <v>5512526</v>
      </c>
      <c r="H829">
        <v>1163552902</v>
      </c>
      <c r="I829" t="s">
        <v>1692</v>
      </c>
      <c r="J829" t="s">
        <v>513</v>
      </c>
      <c r="K829" t="s">
        <v>15</v>
      </c>
      <c r="L829" t="s">
        <v>506</v>
      </c>
      <c r="M829" t="str">
        <f>VLOOKUP(A829,[1]MSAKEN!$A$1:$F$562,6,FALSE)</f>
        <v>17503000000232428689</v>
      </c>
    </row>
    <row r="830" spans="1:13" x14ac:dyDescent="0.3">
      <c r="A830">
        <v>1782</v>
      </c>
      <c r="B830" t="s">
        <v>77</v>
      </c>
      <c r="C830" t="s">
        <v>76</v>
      </c>
      <c r="D830" t="s">
        <v>535</v>
      </c>
      <c r="E830" t="s">
        <v>584</v>
      </c>
      <c r="F830" s="4">
        <v>28430</v>
      </c>
      <c r="G830">
        <v>5582601</v>
      </c>
      <c r="H830">
        <v>1208421907</v>
      </c>
      <c r="I830" t="s">
        <v>1693</v>
      </c>
      <c r="J830" t="s">
        <v>513</v>
      </c>
      <c r="K830" t="s">
        <v>15</v>
      </c>
      <c r="L830" t="s">
        <v>506</v>
      </c>
      <c r="M830" t="str">
        <f>VLOOKUP(A830,[1]MSAKEN!$A$1:$F$562,6,FALSE)</f>
        <v>04204067404001067247</v>
      </c>
    </row>
    <row r="831" spans="1:13" x14ac:dyDescent="0.3">
      <c r="A831">
        <v>1783</v>
      </c>
      <c r="B831" t="s">
        <v>840</v>
      </c>
      <c r="C831" t="s">
        <v>596</v>
      </c>
      <c r="D831" t="s">
        <v>502</v>
      </c>
      <c r="E831" t="s">
        <v>502</v>
      </c>
      <c r="F831" t="s">
        <v>502</v>
      </c>
      <c r="G831" t="s">
        <v>502</v>
      </c>
      <c r="H831" t="s">
        <v>502</v>
      </c>
      <c r="I831" t="s">
        <v>502</v>
      </c>
      <c r="J831" t="s">
        <v>502</v>
      </c>
      <c r="K831" t="s">
        <v>15</v>
      </c>
      <c r="L831" t="s">
        <v>17</v>
      </c>
      <c r="M831" t="e">
        <f>VLOOKUP(A831,[1]MSAKEN!$A$1:$F$562,6,FALSE)</f>
        <v>#N/A</v>
      </c>
    </row>
    <row r="832" spans="1:13" x14ac:dyDescent="0.3">
      <c r="A832">
        <v>1784</v>
      </c>
      <c r="B832" t="s">
        <v>250</v>
      </c>
      <c r="C832" t="s">
        <v>145</v>
      </c>
      <c r="D832" t="s">
        <v>648</v>
      </c>
      <c r="E832" t="s">
        <v>1694</v>
      </c>
      <c r="F832" s="4">
        <v>28421</v>
      </c>
      <c r="G832">
        <v>5581138</v>
      </c>
      <c r="H832">
        <v>1208526408</v>
      </c>
      <c r="I832" t="s">
        <v>1565</v>
      </c>
      <c r="J832" t="s">
        <v>513</v>
      </c>
      <c r="K832" t="s">
        <v>15</v>
      </c>
      <c r="L832" t="s">
        <v>506</v>
      </c>
      <c r="M832" t="str">
        <f>VLOOKUP(A832,[1]MSAKEN!$A$1:$F$562,6,FALSE)</f>
        <v>24010035437251110120</v>
      </c>
    </row>
    <row r="833" spans="1:13" x14ac:dyDescent="0.3">
      <c r="A833">
        <v>1785</v>
      </c>
      <c r="B833" t="s">
        <v>349</v>
      </c>
      <c r="C833" t="s">
        <v>129</v>
      </c>
      <c r="D833" t="s">
        <v>882</v>
      </c>
      <c r="E833" t="s">
        <v>521</v>
      </c>
      <c r="F833" s="4">
        <v>26724</v>
      </c>
      <c r="G833">
        <v>5538168</v>
      </c>
      <c r="H833">
        <v>1208526309</v>
      </c>
      <c r="I833" t="s">
        <v>502</v>
      </c>
      <c r="J833" t="s">
        <v>568</v>
      </c>
      <c r="K833" t="s">
        <v>15</v>
      </c>
      <c r="L833" t="s">
        <v>506</v>
      </c>
      <c r="M833" t="str">
        <f>VLOOKUP(A833,[1]MSAKEN!$A$1:$F$562,6,FALSE)</f>
        <v>04204067404000975776</v>
      </c>
    </row>
    <row r="834" spans="1:13" x14ac:dyDescent="0.3">
      <c r="A834">
        <v>1786</v>
      </c>
      <c r="B834" t="s">
        <v>85</v>
      </c>
      <c r="C834" t="s">
        <v>34</v>
      </c>
      <c r="D834" t="s">
        <v>674</v>
      </c>
      <c r="E834" t="s">
        <v>584</v>
      </c>
      <c r="F834" s="4">
        <v>27416</v>
      </c>
      <c r="G834">
        <v>5543480</v>
      </c>
      <c r="H834">
        <v>1208235505</v>
      </c>
      <c r="I834" t="s">
        <v>502</v>
      </c>
      <c r="J834" t="s">
        <v>568</v>
      </c>
      <c r="K834" t="s">
        <v>15</v>
      </c>
      <c r="L834" t="s">
        <v>506</v>
      </c>
      <c r="M834" t="str">
        <f>VLOOKUP(A834,[1]MSAKEN!$A$1:$F$562,6,FALSE)</f>
        <v>04204067404001016904</v>
      </c>
    </row>
    <row r="835" spans="1:13" x14ac:dyDescent="0.3">
      <c r="A835">
        <v>1787</v>
      </c>
      <c r="B835" t="s">
        <v>1695</v>
      </c>
      <c r="C835" t="s">
        <v>140</v>
      </c>
      <c r="D835" t="s">
        <v>1696</v>
      </c>
      <c r="E835" t="s">
        <v>1132</v>
      </c>
      <c r="F835" s="4">
        <v>25851</v>
      </c>
      <c r="G835">
        <v>2995878</v>
      </c>
      <c r="H835">
        <v>1134412202</v>
      </c>
      <c r="I835" t="s">
        <v>1697</v>
      </c>
      <c r="J835" t="s">
        <v>657</v>
      </c>
      <c r="K835" t="s">
        <v>15</v>
      </c>
      <c r="L835" t="s">
        <v>506</v>
      </c>
      <c r="M835" t="str">
        <f>VLOOKUP(A835,[1]MSAKEN!$A$1:$F$562,6,FALSE)</f>
        <v>12033000000219957460</v>
      </c>
    </row>
    <row r="836" spans="1:13" x14ac:dyDescent="0.3">
      <c r="A836">
        <v>1788</v>
      </c>
      <c r="B836" t="s">
        <v>236</v>
      </c>
      <c r="C836" t="s">
        <v>129</v>
      </c>
      <c r="D836" t="s">
        <v>920</v>
      </c>
      <c r="E836" t="s">
        <v>536</v>
      </c>
      <c r="F836" s="4">
        <v>20842</v>
      </c>
      <c r="G836">
        <v>2819159</v>
      </c>
      <c r="H836">
        <v>1114402900</v>
      </c>
      <c r="I836" t="s">
        <v>1698</v>
      </c>
      <c r="J836" t="s">
        <v>513</v>
      </c>
      <c r="K836" t="s">
        <v>15</v>
      </c>
      <c r="L836" t="s">
        <v>506</v>
      </c>
      <c r="M836" t="e">
        <f>VLOOKUP(A836,[1]MSAKEN!$A$1:$F$562,6,FALSE)</f>
        <v>#N/A</v>
      </c>
    </row>
    <row r="837" spans="1:13" x14ac:dyDescent="0.3">
      <c r="A837">
        <v>1789</v>
      </c>
      <c r="B837" t="s">
        <v>238</v>
      </c>
      <c r="C837" t="s">
        <v>60</v>
      </c>
      <c r="D837" t="s">
        <v>670</v>
      </c>
      <c r="E837" t="s">
        <v>1699</v>
      </c>
      <c r="F837" s="4">
        <v>29854</v>
      </c>
      <c r="G837">
        <v>5597866</v>
      </c>
      <c r="H837">
        <v>1208431005</v>
      </c>
      <c r="I837" t="s">
        <v>1700</v>
      </c>
      <c r="J837" t="s">
        <v>825</v>
      </c>
      <c r="K837" t="s">
        <v>15</v>
      </c>
      <c r="L837" t="s">
        <v>506</v>
      </c>
      <c r="M837" t="str">
        <f>VLOOKUP(A837,[1]MSAKEN!$A$1:$F$562,6,FALSE)</f>
        <v>12505000580103770640</v>
      </c>
    </row>
    <row r="838" spans="1:13" x14ac:dyDescent="0.3">
      <c r="A838">
        <v>1790</v>
      </c>
      <c r="B838" t="s">
        <v>1701</v>
      </c>
      <c r="C838" t="s">
        <v>395</v>
      </c>
      <c r="D838" t="s">
        <v>502</v>
      </c>
      <c r="E838" t="s">
        <v>502</v>
      </c>
      <c r="F838" s="4">
        <v>24580</v>
      </c>
      <c r="G838">
        <v>2992891</v>
      </c>
      <c r="H838">
        <v>1134954104</v>
      </c>
      <c r="I838" t="s">
        <v>502</v>
      </c>
      <c r="J838" t="s">
        <v>568</v>
      </c>
      <c r="K838" t="s">
        <v>15</v>
      </c>
      <c r="L838" t="s">
        <v>506</v>
      </c>
      <c r="M838" t="e">
        <f>VLOOKUP(A838,[1]MSAKEN!$A$1:$F$562,6,FALSE)</f>
        <v>#N/A</v>
      </c>
    </row>
    <row r="839" spans="1:13" x14ac:dyDescent="0.3">
      <c r="A839">
        <v>1791</v>
      </c>
      <c r="B839" t="s">
        <v>160</v>
      </c>
      <c r="C839" t="s">
        <v>107</v>
      </c>
      <c r="D839" t="s">
        <v>1702</v>
      </c>
      <c r="E839" t="s">
        <v>1053</v>
      </c>
      <c r="F839" s="4">
        <v>30044</v>
      </c>
      <c r="G839">
        <v>8429149</v>
      </c>
      <c r="H839">
        <v>1208634400</v>
      </c>
      <c r="I839" t="s">
        <v>1703</v>
      </c>
      <c r="J839" t="s">
        <v>513</v>
      </c>
      <c r="K839" t="s">
        <v>15</v>
      </c>
      <c r="L839" t="s">
        <v>506</v>
      </c>
      <c r="M839" t="e">
        <f>VLOOKUP(A839,[1]MSAKEN!$A$1:$F$562,6,FALSE)</f>
        <v>#N/A</v>
      </c>
    </row>
    <row r="840" spans="1:13" x14ac:dyDescent="0.3">
      <c r="A840">
        <v>1792</v>
      </c>
      <c r="B840" t="s">
        <v>256</v>
      </c>
      <c r="C840" t="s">
        <v>118</v>
      </c>
      <c r="D840" t="s">
        <v>502</v>
      </c>
      <c r="E840" t="s">
        <v>502</v>
      </c>
      <c r="F840" s="4">
        <v>24741</v>
      </c>
      <c r="G840">
        <v>2980868</v>
      </c>
      <c r="H840">
        <v>1205451600</v>
      </c>
      <c r="I840" t="s">
        <v>1704</v>
      </c>
      <c r="J840" t="s">
        <v>755</v>
      </c>
      <c r="K840" t="s">
        <v>15</v>
      </c>
      <c r="L840" t="s">
        <v>506</v>
      </c>
      <c r="M840" t="e">
        <f>VLOOKUP(A840,[1]MSAKEN!$A$1:$F$562,6,FALSE)</f>
        <v>#N/A</v>
      </c>
    </row>
    <row r="841" spans="1:13" x14ac:dyDescent="0.3">
      <c r="A841">
        <v>1793</v>
      </c>
      <c r="B841" t="s">
        <v>376</v>
      </c>
      <c r="C841" t="s">
        <v>263</v>
      </c>
      <c r="D841" t="s">
        <v>797</v>
      </c>
      <c r="E841" t="s">
        <v>1558</v>
      </c>
      <c r="F841" s="4">
        <v>29382</v>
      </c>
      <c r="G841">
        <v>5592737</v>
      </c>
      <c r="H841">
        <v>1208525707</v>
      </c>
      <c r="I841" t="s">
        <v>1705</v>
      </c>
      <c r="J841" t="s">
        <v>513</v>
      </c>
      <c r="K841" t="s">
        <v>15</v>
      </c>
      <c r="L841" t="s">
        <v>506</v>
      </c>
      <c r="M841" t="str">
        <f>VLOOKUP(A841,[1]MSAKEN!$A$1:$F$562,6,FALSE)</f>
        <v>12505000580103392146</v>
      </c>
    </row>
    <row r="842" spans="1:13" x14ac:dyDescent="0.3">
      <c r="A842">
        <v>1794</v>
      </c>
      <c r="B842" t="s">
        <v>189</v>
      </c>
      <c r="C842" t="s">
        <v>80</v>
      </c>
      <c r="D842" t="s">
        <v>535</v>
      </c>
      <c r="E842" t="s">
        <v>699</v>
      </c>
      <c r="F842" s="4">
        <v>28603</v>
      </c>
      <c r="G842">
        <v>5592784</v>
      </c>
      <c r="H842">
        <v>1208192904</v>
      </c>
      <c r="I842" t="s">
        <v>502</v>
      </c>
      <c r="J842" t="s">
        <v>568</v>
      </c>
      <c r="K842" t="s">
        <v>15</v>
      </c>
      <c r="L842" t="s">
        <v>506</v>
      </c>
      <c r="M842" t="str">
        <f>VLOOKUP(A842,[1]MSAKEN!$A$1:$F$562,6,FALSE)</f>
        <v>04204067404001332057</v>
      </c>
    </row>
    <row r="843" spans="1:13" x14ac:dyDescent="0.3">
      <c r="A843">
        <v>1795</v>
      </c>
      <c r="B843" t="s">
        <v>324</v>
      </c>
      <c r="C843" t="s">
        <v>34</v>
      </c>
      <c r="D843" t="s">
        <v>598</v>
      </c>
      <c r="E843" t="s">
        <v>536</v>
      </c>
      <c r="F843" s="4">
        <v>26861</v>
      </c>
      <c r="G843">
        <v>5530484</v>
      </c>
      <c r="H843">
        <v>1208640308</v>
      </c>
      <c r="I843" t="s">
        <v>1640</v>
      </c>
      <c r="J843" t="s">
        <v>513</v>
      </c>
      <c r="K843" t="s">
        <v>15</v>
      </c>
      <c r="L843" t="s">
        <v>506</v>
      </c>
      <c r="M843" t="str">
        <f>VLOOKUP(A843,[1]MSAKEN!$A$1:$F$562,6,FALSE)</f>
        <v>10506040512067878854</v>
      </c>
    </row>
    <row r="844" spans="1:13" x14ac:dyDescent="0.3">
      <c r="A844">
        <v>1796</v>
      </c>
      <c r="B844" t="s">
        <v>1706</v>
      </c>
      <c r="C844" t="s">
        <v>72</v>
      </c>
      <c r="D844" t="s">
        <v>535</v>
      </c>
      <c r="E844" t="s">
        <v>584</v>
      </c>
      <c r="F844" s="4">
        <v>27670</v>
      </c>
      <c r="G844">
        <v>5572753</v>
      </c>
      <c r="H844">
        <v>1208038909</v>
      </c>
      <c r="I844" t="s">
        <v>502</v>
      </c>
      <c r="J844" t="s">
        <v>755</v>
      </c>
      <c r="K844" t="s">
        <v>15</v>
      </c>
      <c r="L844" t="s">
        <v>506</v>
      </c>
      <c r="M844" t="str">
        <f>VLOOKUP(A844,[1]MSAKEN!$A$1:$F$562,6,FALSE)</f>
        <v>17503000000203383688</v>
      </c>
    </row>
    <row r="845" spans="1:13" x14ac:dyDescent="0.3">
      <c r="A845">
        <v>1797</v>
      </c>
      <c r="B845" t="s">
        <v>350</v>
      </c>
      <c r="C845" t="s">
        <v>34</v>
      </c>
      <c r="D845" t="s">
        <v>535</v>
      </c>
      <c r="E845" t="s">
        <v>792</v>
      </c>
      <c r="F845" s="4">
        <v>29161</v>
      </c>
      <c r="G845">
        <v>8446243</v>
      </c>
      <c r="H845">
        <v>1208574804</v>
      </c>
      <c r="I845" t="s">
        <v>1244</v>
      </c>
      <c r="J845" t="s">
        <v>513</v>
      </c>
      <c r="K845" t="s">
        <v>15</v>
      </c>
      <c r="L845" t="s">
        <v>506</v>
      </c>
      <c r="M845" t="str">
        <f>VLOOKUP(A845,[1]MSAKEN!$A$1:$F$562,6,FALSE)</f>
        <v>10506040206524978866</v>
      </c>
    </row>
    <row r="846" spans="1:13" x14ac:dyDescent="0.3">
      <c r="A846">
        <v>1798</v>
      </c>
      <c r="B846" t="s">
        <v>1707</v>
      </c>
      <c r="C846" t="s">
        <v>1708</v>
      </c>
      <c r="D846" t="s">
        <v>502</v>
      </c>
      <c r="E846" t="s">
        <v>502</v>
      </c>
      <c r="F846" s="4">
        <v>26768</v>
      </c>
      <c r="G846">
        <v>7523439</v>
      </c>
      <c r="H846">
        <v>1208553402</v>
      </c>
      <c r="I846" t="s">
        <v>1709</v>
      </c>
      <c r="J846" t="s">
        <v>718</v>
      </c>
      <c r="K846" t="s">
        <v>16</v>
      </c>
      <c r="L846" t="s">
        <v>506</v>
      </c>
      <c r="M846" t="e">
        <f>VLOOKUP(A846,[1]MSAKEN!$A$1:$F$562,6,FALSE)</f>
        <v>#N/A</v>
      </c>
    </row>
    <row r="847" spans="1:13" x14ac:dyDescent="0.3">
      <c r="A847">
        <v>1799</v>
      </c>
      <c r="B847" t="s">
        <v>1710</v>
      </c>
      <c r="C847" t="s">
        <v>89</v>
      </c>
      <c r="D847" t="s">
        <v>502</v>
      </c>
      <c r="E847" t="s">
        <v>502</v>
      </c>
      <c r="F847" s="4">
        <v>27387</v>
      </c>
      <c r="G847">
        <v>5549599</v>
      </c>
      <c r="H847">
        <v>1192331203</v>
      </c>
      <c r="I847" t="s">
        <v>1711</v>
      </c>
      <c r="J847" t="s">
        <v>513</v>
      </c>
      <c r="K847" t="s">
        <v>16</v>
      </c>
      <c r="L847" t="s">
        <v>506</v>
      </c>
      <c r="M847" t="e">
        <f>VLOOKUP(A847,[1]MSAKEN!$A$1:$F$562,6,FALSE)</f>
        <v>#N/A</v>
      </c>
    </row>
    <row r="848" spans="1:13" x14ac:dyDescent="0.3">
      <c r="A848">
        <v>1800</v>
      </c>
      <c r="B848" t="s">
        <v>1617</v>
      </c>
      <c r="C848" t="s">
        <v>308</v>
      </c>
      <c r="D848" t="s">
        <v>1712</v>
      </c>
      <c r="E848" t="s">
        <v>584</v>
      </c>
      <c r="F848" s="4">
        <v>25260</v>
      </c>
      <c r="G848">
        <v>2999994</v>
      </c>
      <c r="H848">
        <v>1131053108</v>
      </c>
      <c r="I848" t="s">
        <v>1713</v>
      </c>
      <c r="J848" t="s">
        <v>1714</v>
      </c>
      <c r="K848" t="s">
        <v>15</v>
      </c>
      <c r="L848" t="s">
        <v>506</v>
      </c>
      <c r="M848" t="str">
        <f>VLOOKUP(A848,[1]MSAKEN!$A$1:$F$562,6,FALSE)</f>
        <v>03508056010110198422</v>
      </c>
    </row>
    <row r="849" spans="1:13" x14ac:dyDescent="0.3">
      <c r="A849">
        <v>1801</v>
      </c>
      <c r="B849" t="s">
        <v>19</v>
      </c>
      <c r="C849" t="s">
        <v>34</v>
      </c>
      <c r="D849" t="s">
        <v>535</v>
      </c>
      <c r="E849" t="s">
        <v>1186</v>
      </c>
      <c r="F849" s="4">
        <v>26880</v>
      </c>
      <c r="G849">
        <v>5516034</v>
      </c>
      <c r="H849">
        <v>1208507002</v>
      </c>
      <c r="I849" t="s">
        <v>897</v>
      </c>
      <c r="J849" t="s">
        <v>513</v>
      </c>
      <c r="K849" t="s">
        <v>15</v>
      </c>
      <c r="L849" t="s">
        <v>506</v>
      </c>
      <c r="M849" t="str">
        <f>VLOOKUP(A849,[1]MSAKEN!$A$1:$F$562,6,FALSE)</f>
        <v>12505000580102617892</v>
      </c>
    </row>
    <row r="850" spans="1:13" x14ac:dyDescent="0.3">
      <c r="A850">
        <v>1802</v>
      </c>
      <c r="B850" t="s">
        <v>193</v>
      </c>
      <c r="C850" t="s">
        <v>371</v>
      </c>
      <c r="D850" t="s">
        <v>1190</v>
      </c>
      <c r="E850" t="s">
        <v>546</v>
      </c>
      <c r="F850" s="4">
        <v>29045</v>
      </c>
      <c r="G850">
        <v>5588831</v>
      </c>
      <c r="H850">
        <v>1208151504</v>
      </c>
      <c r="I850" t="s">
        <v>1715</v>
      </c>
      <c r="J850" t="s">
        <v>513</v>
      </c>
      <c r="K850" t="s">
        <v>15</v>
      </c>
      <c r="L850" t="s">
        <v>506</v>
      </c>
      <c r="M850" t="str">
        <f>VLOOKUP(A850,[1]MSAKEN!$A$1:$F$562,6,FALSE)</f>
        <v>10506040206252678817</v>
      </c>
    </row>
    <row r="851" spans="1:13" x14ac:dyDescent="0.3">
      <c r="A851">
        <v>1803</v>
      </c>
      <c r="B851" t="s">
        <v>309</v>
      </c>
      <c r="C851" t="s">
        <v>88</v>
      </c>
      <c r="D851" t="s">
        <v>674</v>
      </c>
      <c r="E851" t="s">
        <v>714</v>
      </c>
      <c r="F851" s="4">
        <v>27882</v>
      </c>
      <c r="G851">
        <v>5577003</v>
      </c>
      <c r="H851">
        <v>1208702009</v>
      </c>
      <c r="I851" t="s">
        <v>1716</v>
      </c>
      <c r="J851" t="s">
        <v>513</v>
      </c>
      <c r="K851" t="s">
        <v>15</v>
      </c>
      <c r="L851" t="s">
        <v>506</v>
      </c>
      <c r="M851" t="str">
        <f>VLOOKUP(A851,[1]MSAKEN!$A$1:$F$562,6,FALSE)</f>
        <v>10506040504443978875</v>
      </c>
    </row>
    <row r="852" spans="1:13" x14ac:dyDescent="0.3">
      <c r="A852">
        <v>1804</v>
      </c>
      <c r="B852" t="s">
        <v>348</v>
      </c>
      <c r="C852" t="s">
        <v>353</v>
      </c>
      <c r="D852" t="s">
        <v>502</v>
      </c>
      <c r="E852" t="s">
        <v>502</v>
      </c>
      <c r="F852" s="4">
        <v>29195</v>
      </c>
      <c r="G852">
        <v>5594867</v>
      </c>
      <c r="H852">
        <v>1208574705</v>
      </c>
      <c r="I852" t="s">
        <v>1717</v>
      </c>
      <c r="J852" t="s">
        <v>513</v>
      </c>
      <c r="K852" t="s">
        <v>16</v>
      </c>
      <c r="L852" t="s">
        <v>506</v>
      </c>
      <c r="M852" t="e">
        <f>VLOOKUP(A852,[1]MSAKEN!$A$1:$F$562,6,FALSE)</f>
        <v>#N/A</v>
      </c>
    </row>
    <row r="853" spans="1:13" x14ac:dyDescent="0.3">
      <c r="A853">
        <v>1805</v>
      </c>
      <c r="B853" t="s">
        <v>366</v>
      </c>
      <c r="C853" t="s">
        <v>1718</v>
      </c>
      <c r="D853" t="s">
        <v>502</v>
      </c>
      <c r="E853" t="s">
        <v>502</v>
      </c>
      <c r="F853" s="4">
        <v>27924</v>
      </c>
      <c r="G853">
        <v>5542680</v>
      </c>
      <c r="H853">
        <v>1208639300</v>
      </c>
      <c r="I853" t="s">
        <v>1719</v>
      </c>
      <c r="J853" t="s">
        <v>513</v>
      </c>
      <c r="K853" t="s">
        <v>16</v>
      </c>
      <c r="L853" t="s">
        <v>506</v>
      </c>
      <c r="M853" t="e">
        <f>VLOOKUP(A853,[1]MSAKEN!$A$1:$F$562,6,FALSE)</f>
        <v>#N/A</v>
      </c>
    </row>
    <row r="854" spans="1:13" x14ac:dyDescent="0.3">
      <c r="A854">
        <v>1806</v>
      </c>
      <c r="B854" t="s">
        <v>29</v>
      </c>
      <c r="C854" t="s">
        <v>270</v>
      </c>
      <c r="D854" t="s">
        <v>502</v>
      </c>
      <c r="E854" t="s">
        <v>502</v>
      </c>
      <c r="F854" s="4">
        <v>25272</v>
      </c>
      <c r="G854">
        <v>2985775</v>
      </c>
      <c r="H854">
        <v>1513045706</v>
      </c>
      <c r="I854" t="s">
        <v>1573</v>
      </c>
      <c r="J854" t="s">
        <v>513</v>
      </c>
      <c r="K854" t="s">
        <v>15</v>
      </c>
      <c r="L854" t="s">
        <v>506</v>
      </c>
      <c r="M854" t="e">
        <f>VLOOKUP(A854,[1]MSAKEN!$A$1:$F$562,6,FALSE)</f>
        <v>#N/A</v>
      </c>
    </row>
    <row r="855" spans="1:13" x14ac:dyDescent="0.3">
      <c r="A855">
        <v>1807</v>
      </c>
      <c r="B855" t="s">
        <v>1720</v>
      </c>
      <c r="C855" t="s">
        <v>47</v>
      </c>
      <c r="D855" t="s">
        <v>615</v>
      </c>
      <c r="E855" t="s">
        <v>867</v>
      </c>
      <c r="F855" s="4">
        <v>25889</v>
      </c>
      <c r="G855">
        <v>5501082</v>
      </c>
      <c r="H855">
        <v>1141684801</v>
      </c>
      <c r="I855" t="s">
        <v>1721</v>
      </c>
      <c r="J855" t="s">
        <v>825</v>
      </c>
      <c r="K855" t="s">
        <v>15</v>
      </c>
      <c r="L855" t="s">
        <v>506</v>
      </c>
      <c r="M855" t="str">
        <f>VLOOKUP(A855,[1]MSAKEN!$A$1:$F$562,6,FALSE)</f>
        <v>04204067404000943572</v>
      </c>
    </row>
    <row r="856" spans="1:13" x14ac:dyDescent="0.3">
      <c r="A856">
        <v>1808</v>
      </c>
      <c r="B856" t="s">
        <v>1722</v>
      </c>
      <c r="C856" t="s">
        <v>224</v>
      </c>
      <c r="D856" t="s">
        <v>564</v>
      </c>
      <c r="E856" t="s">
        <v>792</v>
      </c>
      <c r="F856" s="4">
        <v>24136</v>
      </c>
      <c r="G856">
        <v>2978207</v>
      </c>
      <c r="H856">
        <v>1128270400</v>
      </c>
      <c r="I856" t="s">
        <v>1723</v>
      </c>
      <c r="J856" t="s">
        <v>513</v>
      </c>
      <c r="K856" t="s">
        <v>15</v>
      </c>
      <c r="L856" t="s">
        <v>506</v>
      </c>
      <c r="M856" t="str">
        <f>VLOOKUP(A856,[1]MSAKEN!$A$1:$F$562,6,FALSE)</f>
        <v>04204067404001064919</v>
      </c>
    </row>
    <row r="857" spans="1:13" x14ac:dyDescent="0.3">
      <c r="A857">
        <v>1809</v>
      </c>
      <c r="B857" t="s">
        <v>460</v>
      </c>
      <c r="C857" t="s">
        <v>459</v>
      </c>
      <c r="D857" t="s">
        <v>1724</v>
      </c>
      <c r="E857" t="s">
        <v>546</v>
      </c>
      <c r="F857" s="4">
        <v>25441</v>
      </c>
      <c r="G857">
        <v>4178138</v>
      </c>
      <c r="H857">
        <v>1132096809</v>
      </c>
      <c r="I857" t="s">
        <v>1725</v>
      </c>
      <c r="J857" t="s">
        <v>1726</v>
      </c>
      <c r="K857" t="s">
        <v>15</v>
      </c>
      <c r="L857" t="s">
        <v>506</v>
      </c>
      <c r="M857" t="str">
        <f>VLOOKUP(A857,[1]MSAKEN!$A$1:$F$562,6,FALSE)</f>
        <v>04204067404001607537</v>
      </c>
    </row>
    <row r="858" spans="1:13" x14ac:dyDescent="0.3">
      <c r="A858">
        <v>1810</v>
      </c>
      <c r="B858" t="s">
        <v>160</v>
      </c>
      <c r="C858" t="s">
        <v>159</v>
      </c>
      <c r="D858" t="s">
        <v>520</v>
      </c>
      <c r="E858" t="s">
        <v>696</v>
      </c>
      <c r="F858" s="4">
        <v>28199</v>
      </c>
      <c r="G858">
        <v>5597495</v>
      </c>
      <c r="H858">
        <v>1208297505</v>
      </c>
      <c r="I858" t="s">
        <v>1620</v>
      </c>
      <c r="J858" t="s">
        <v>513</v>
      </c>
      <c r="K858" t="s">
        <v>15</v>
      </c>
      <c r="L858" t="s">
        <v>506</v>
      </c>
      <c r="M858" t="str">
        <f>VLOOKUP(A858,[1]MSAKEN!$A$1:$F$562,6,FALSE)</f>
        <v>10317123101650278878</v>
      </c>
    </row>
    <row r="859" spans="1:13" x14ac:dyDescent="0.3">
      <c r="A859">
        <v>1811</v>
      </c>
      <c r="B859" t="s">
        <v>1202</v>
      </c>
      <c r="C859" t="s">
        <v>137</v>
      </c>
      <c r="D859" t="s">
        <v>502</v>
      </c>
      <c r="E859" t="s">
        <v>502</v>
      </c>
      <c r="F859" s="4">
        <v>20580</v>
      </c>
      <c r="G859">
        <v>2855407</v>
      </c>
      <c r="H859">
        <v>1148671207</v>
      </c>
      <c r="I859" t="s">
        <v>1727</v>
      </c>
      <c r="J859" t="s">
        <v>657</v>
      </c>
      <c r="K859" t="s">
        <v>15</v>
      </c>
      <c r="L859" t="s">
        <v>506</v>
      </c>
      <c r="M859" t="e">
        <f>VLOOKUP(A859,[1]MSAKEN!$A$1:$F$562,6,FALSE)</f>
        <v>#N/A</v>
      </c>
    </row>
    <row r="860" spans="1:13" x14ac:dyDescent="0.3">
      <c r="A860">
        <v>1812</v>
      </c>
      <c r="B860" t="s">
        <v>283</v>
      </c>
      <c r="C860" t="s">
        <v>48</v>
      </c>
      <c r="D860" t="s">
        <v>1728</v>
      </c>
      <c r="E860" t="s">
        <v>645</v>
      </c>
      <c r="F860" s="4">
        <v>29785</v>
      </c>
      <c r="G860">
        <v>5586352</v>
      </c>
      <c r="H860">
        <v>1208790301</v>
      </c>
      <c r="I860" t="s">
        <v>1729</v>
      </c>
      <c r="J860" t="s">
        <v>1118</v>
      </c>
      <c r="K860" t="s">
        <v>15</v>
      </c>
      <c r="L860" t="s">
        <v>506</v>
      </c>
      <c r="M860" t="str">
        <f>VLOOKUP(A860,[1]MSAKEN!$A$1:$F$562,6,FALSE)</f>
        <v>08507000262004024202</v>
      </c>
    </row>
    <row r="861" spans="1:13" x14ac:dyDescent="0.3">
      <c r="A861">
        <v>1813</v>
      </c>
      <c r="B861" t="s">
        <v>61</v>
      </c>
      <c r="C861" t="s">
        <v>224</v>
      </c>
      <c r="D861" t="s">
        <v>648</v>
      </c>
      <c r="E861" t="s">
        <v>1558</v>
      </c>
      <c r="F861" s="4">
        <v>29323</v>
      </c>
      <c r="G861">
        <v>8429881</v>
      </c>
      <c r="H861">
        <v>1208637601</v>
      </c>
      <c r="I861" t="s">
        <v>1730</v>
      </c>
      <c r="J861" t="s">
        <v>513</v>
      </c>
      <c r="K861" t="s">
        <v>15</v>
      </c>
      <c r="L861" t="s">
        <v>506</v>
      </c>
      <c r="M861" t="str">
        <f>VLOOKUP(A861,[1]MSAKEN!$A$1:$F$562,6,FALSE)</f>
        <v>04022108404001507753</v>
      </c>
    </row>
    <row r="862" spans="1:13" x14ac:dyDescent="0.3">
      <c r="A862">
        <v>1814</v>
      </c>
      <c r="B862" t="s">
        <v>1651</v>
      </c>
      <c r="C862" t="s">
        <v>115</v>
      </c>
      <c r="D862" t="s">
        <v>598</v>
      </c>
      <c r="E862" t="s">
        <v>584</v>
      </c>
      <c r="F862" s="4">
        <v>24110</v>
      </c>
      <c r="G862">
        <v>2968827</v>
      </c>
      <c r="H862">
        <v>1128278601</v>
      </c>
      <c r="I862" t="s">
        <v>837</v>
      </c>
      <c r="J862" t="s">
        <v>513</v>
      </c>
      <c r="K862" t="s">
        <v>15</v>
      </c>
      <c r="L862" t="s">
        <v>506</v>
      </c>
      <c r="M862" t="str">
        <f>VLOOKUP(A862,[1]MSAKEN!$A$1:$F$562,6,FALSE)</f>
        <v>03508056010100393080</v>
      </c>
    </row>
    <row r="863" spans="1:13" x14ac:dyDescent="0.3">
      <c r="A863">
        <v>1815</v>
      </c>
      <c r="B863" t="s">
        <v>73</v>
      </c>
      <c r="C863" t="s">
        <v>72</v>
      </c>
      <c r="D863" t="s">
        <v>535</v>
      </c>
      <c r="E863" t="s">
        <v>699</v>
      </c>
      <c r="F863" s="4">
        <v>26813</v>
      </c>
      <c r="G863">
        <v>5511383</v>
      </c>
      <c r="H863">
        <v>1192279709</v>
      </c>
      <c r="I863" t="s">
        <v>1731</v>
      </c>
      <c r="J863" t="s">
        <v>511</v>
      </c>
      <c r="K863" t="s">
        <v>15</v>
      </c>
      <c r="L863" t="s">
        <v>506</v>
      </c>
      <c r="M863" t="str">
        <f>VLOOKUP(A863,[1]MSAKEN!$A$1:$F$562,6,FALSE)</f>
        <v>12015000960100331420</v>
      </c>
    </row>
    <row r="864" spans="1:13" x14ac:dyDescent="0.3">
      <c r="A864">
        <v>1816</v>
      </c>
      <c r="B864" t="s">
        <v>1732</v>
      </c>
      <c r="C864" t="s">
        <v>1733</v>
      </c>
      <c r="D864" t="s">
        <v>502</v>
      </c>
      <c r="E864" t="s">
        <v>502</v>
      </c>
      <c r="F864" t="s">
        <v>502</v>
      </c>
      <c r="G864" t="s">
        <v>502</v>
      </c>
      <c r="H864" t="s">
        <v>502</v>
      </c>
      <c r="I864" t="s">
        <v>502</v>
      </c>
      <c r="J864" t="s">
        <v>502</v>
      </c>
      <c r="K864" t="s">
        <v>15</v>
      </c>
      <c r="L864" t="s">
        <v>506</v>
      </c>
      <c r="M864" t="e">
        <f>VLOOKUP(A864,[1]MSAKEN!$A$1:$F$562,6,FALSE)</f>
        <v>#N/A</v>
      </c>
    </row>
    <row r="865" spans="1:13" x14ac:dyDescent="0.3">
      <c r="A865">
        <v>1817</v>
      </c>
      <c r="B865" t="s">
        <v>138</v>
      </c>
      <c r="C865" t="s">
        <v>137</v>
      </c>
      <c r="D865" t="s">
        <v>1724</v>
      </c>
      <c r="E865" t="s">
        <v>1734</v>
      </c>
      <c r="F865" s="4">
        <v>28553</v>
      </c>
      <c r="G865">
        <v>5573826</v>
      </c>
      <c r="H865">
        <v>1242082202</v>
      </c>
      <c r="I865" t="s">
        <v>1735</v>
      </c>
      <c r="J865" t="s">
        <v>511</v>
      </c>
      <c r="K865" t="s">
        <v>15</v>
      </c>
      <c r="L865" t="s">
        <v>506</v>
      </c>
      <c r="M865" t="str">
        <f>VLOOKUP(A865,[1]MSAKEN!$A$1:$F$562,6,FALSE)</f>
        <v>08507000262002769604</v>
      </c>
    </row>
    <row r="866" spans="1:13" x14ac:dyDescent="0.3">
      <c r="A866">
        <v>1818</v>
      </c>
      <c r="B866" t="s">
        <v>176</v>
      </c>
      <c r="C866" t="s">
        <v>101</v>
      </c>
      <c r="D866" t="s">
        <v>535</v>
      </c>
      <c r="E866" t="s">
        <v>696</v>
      </c>
      <c r="F866" s="4">
        <v>22784</v>
      </c>
      <c r="G866">
        <v>2953948</v>
      </c>
      <c r="H866">
        <v>1103206700</v>
      </c>
      <c r="I866" t="s">
        <v>1736</v>
      </c>
      <c r="J866" t="s">
        <v>513</v>
      </c>
      <c r="K866" t="s">
        <v>15</v>
      </c>
      <c r="L866" t="s">
        <v>506</v>
      </c>
      <c r="M866" t="e">
        <f>VLOOKUP(A866,[1]MSAKEN!$A$1:$F$562,6,FALSE)</f>
        <v>#N/A</v>
      </c>
    </row>
    <row r="867" spans="1:13" x14ac:dyDescent="0.3">
      <c r="A867">
        <v>1819</v>
      </c>
      <c r="B867" t="s">
        <v>104</v>
      </c>
      <c r="C867" t="s">
        <v>334</v>
      </c>
      <c r="D867" t="s">
        <v>960</v>
      </c>
      <c r="E867" t="s">
        <v>1737</v>
      </c>
      <c r="F867" s="4">
        <v>29542</v>
      </c>
      <c r="G867">
        <v>5591427</v>
      </c>
      <c r="H867">
        <v>1242140505</v>
      </c>
      <c r="I867" t="s">
        <v>1738</v>
      </c>
      <c r="J867" t="s">
        <v>513</v>
      </c>
      <c r="K867" t="s">
        <v>15</v>
      </c>
      <c r="L867" t="s">
        <v>506</v>
      </c>
      <c r="M867" t="str">
        <f>VLOOKUP(A867,[1]MSAKEN!$A$1:$F$562,6,FALSE)</f>
        <v>24010042257251110167</v>
      </c>
    </row>
    <row r="868" spans="1:13" x14ac:dyDescent="0.3">
      <c r="A868">
        <v>1820</v>
      </c>
      <c r="B868" t="s">
        <v>182</v>
      </c>
      <c r="C868" t="s">
        <v>433</v>
      </c>
      <c r="D868" t="s">
        <v>1190</v>
      </c>
      <c r="E868" t="s">
        <v>584</v>
      </c>
      <c r="F868" s="4">
        <v>28052</v>
      </c>
      <c r="G868">
        <v>5551152</v>
      </c>
      <c r="H868">
        <v>1208809200</v>
      </c>
      <c r="I868" t="s">
        <v>1739</v>
      </c>
      <c r="J868" t="s">
        <v>513</v>
      </c>
      <c r="K868" t="s">
        <v>15</v>
      </c>
      <c r="L868" t="s">
        <v>506</v>
      </c>
      <c r="M868" t="str">
        <f>VLOOKUP(A868,[1]MSAKEN!$A$1:$F$562,6,FALSE)</f>
        <v>04204067002852614330</v>
      </c>
    </row>
    <row r="869" spans="1:13" x14ac:dyDescent="0.3">
      <c r="A869">
        <v>1821</v>
      </c>
      <c r="B869" t="s">
        <v>360</v>
      </c>
      <c r="C869" t="s">
        <v>34</v>
      </c>
      <c r="D869" t="s">
        <v>738</v>
      </c>
      <c r="E869" t="s">
        <v>1545</v>
      </c>
      <c r="F869" s="4">
        <v>27692</v>
      </c>
      <c r="G869">
        <v>5550907</v>
      </c>
      <c r="H869">
        <v>1208809309</v>
      </c>
      <c r="I869" t="s">
        <v>1740</v>
      </c>
      <c r="J869" t="s">
        <v>513</v>
      </c>
      <c r="K869" t="s">
        <v>15</v>
      </c>
      <c r="L869" t="s">
        <v>506</v>
      </c>
      <c r="M869" t="str">
        <f>VLOOKUP(A869,[1]MSAKEN!$A$1:$F$562,6,FALSE)</f>
        <v>04204067000977568537</v>
      </c>
    </row>
    <row r="870" spans="1:13" x14ac:dyDescent="0.3">
      <c r="A870">
        <v>1822</v>
      </c>
      <c r="B870" t="s">
        <v>83</v>
      </c>
      <c r="C870" t="s">
        <v>262</v>
      </c>
      <c r="D870" t="s">
        <v>1027</v>
      </c>
      <c r="E870" t="s">
        <v>546</v>
      </c>
      <c r="F870" s="4">
        <v>30101</v>
      </c>
      <c r="G870">
        <v>8427008</v>
      </c>
      <c r="H870">
        <v>1208726602</v>
      </c>
      <c r="I870" t="s">
        <v>1741</v>
      </c>
      <c r="J870" t="s">
        <v>513</v>
      </c>
      <c r="K870" t="s">
        <v>15</v>
      </c>
      <c r="L870" t="s">
        <v>506</v>
      </c>
      <c r="M870" t="str">
        <f>VLOOKUP(A870,[1]MSAKEN!$A$1:$F$562,6,FALSE)</f>
        <v>03508056010110021009</v>
      </c>
    </row>
    <row r="871" spans="1:13" x14ac:dyDescent="0.3">
      <c r="A871">
        <v>1823</v>
      </c>
      <c r="B871" t="s">
        <v>264</v>
      </c>
      <c r="C871" t="s">
        <v>263</v>
      </c>
      <c r="D871" t="s">
        <v>564</v>
      </c>
      <c r="E871" t="s">
        <v>546</v>
      </c>
      <c r="F871" s="4">
        <v>30258</v>
      </c>
      <c r="G871">
        <v>8451437</v>
      </c>
      <c r="H871">
        <v>1208790202</v>
      </c>
      <c r="I871" t="s">
        <v>1579</v>
      </c>
      <c r="J871" t="s">
        <v>513</v>
      </c>
      <c r="K871" t="s">
        <v>16</v>
      </c>
      <c r="L871" t="s">
        <v>506</v>
      </c>
      <c r="M871" t="str">
        <f>VLOOKUP(A871,[1]MSAKEN!$A$1:$F$562,6,FALSE)</f>
        <v>12505000580103504569</v>
      </c>
    </row>
    <row r="872" spans="1:13" x14ac:dyDescent="0.3">
      <c r="A872">
        <v>1824</v>
      </c>
      <c r="B872" t="s">
        <v>97</v>
      </c>
      <c r="C872" t="s">
        <v>26</v>
      </c>
      <c r="D872" t="s">
        <v>674</v>
      </c>
      <c r="E872" t="s">
        <v>1236</v>
      </c>
      <c r="F872" s="4">
        <v>25466</v>
      </c>
      <c r="G872">
        <v>5517142</v>
      </c>
      <c r="H872">
        <v>1208682102</v>
      </c>
      <c r="I872" t="s">
        <v>502</v>
      </c>
      <c r="J872" t="s">
        <v>755</v>
      </c>
      <c r="K872" t="s">
        <v>15</v>
      </c>
      <c r="L872" t="s">
        <v>506</v>
      </c>
      <c r="M872" t="str">
        <f>VLOOKUP(A872,[1]MSAKEN!$A$1:$F$562,6,FALSE)</f>
        <v>14014014100700234890</v>
      </c>
    </row>
    <row r="873" spans="1:13" x14ac:dyDescent="0.3">
      <c r="A873">
        <v>1825</v>
      </c>
      <c r="B873" t="s">
        <v>142</v>
      </c>
      <c r="C873" t="s">
        <v>99</v>
      </c>
      <c r="D873" t="s">
        <v>648</v>
      </c>
      <c r="E873" t="s">
        <v>1066</v>
      </c>
      <c r="F873" s="4">
        <v>25494</v>
      </c>
      <c r="G873">
        <v>3968081</v>
      </c>
      <c r="H873">
        <v>1171795204</v>
      </c>
      <c r="I873" t="s">
        <v>1742</v>
      </c>
      <c r="J873" t="s">
        <v>718</v>
      </c>
      <c r="K873" t="s">
        <v>15</v>
      </c>
      <c r="L873" t="s">
        <v>506</v>
      </c>
      <c r="M873" t="str">
        <f>VLOOKUP(A873,[1]MSAKEN!$A$1:$F$562,6,FALSE)</f>
        <v>14114114100701193838</v>
      </c>
    </row>
    <row r="874" spans="1:13" x14ac:dyDescent="0.3">
      <c r="A874">
        <v>1826</v>
      </c>
      <c r="B874" t="s">
        <v>147</v>
      </c>
      <c r="C874" t="s">
        <v>1743</v>
      </c>
      <c r="D874" t="s">
        <v>564</v>
      </c>
      <c r="E874" t="s">
        <v>536</v>
      </c>
      <c r="F874" s="4">
        <v>26665</v>
      </c>
      <c r="G874">
        <v>5521731</v>
      </c>
      <c r="H874">
        <v>1208128403</v>
      </c>
      <c r="I874" t="s">
        <v>1744</v>
      </c>
      <c r="J874" t="s">
        <v>513</v>
      </c>
      <c r="K874" t="s">
        <v>15</v>
      </c>
      <c r="L874" t="s">
        <v>506</v>
      </c>
      <c r="M874" t="e">
        <f>VLOOKUP(A874,[1]MSAKEN!$A$1:$F$562,6,FALSE)</f>
        <v>#N/A</v>
      </c>
    </row>
    <row r="875" spans="1:13" x14ac:dyDescent="0.3">
      <c r="A875">
        <v>1827</v>
      </c>
      <c r="B875" t="s">
        <v>42</v>
      </c>
      <c r="C875" t="s">
        <v>136</v>
      </c>
      <c r="D875" t="s">
        <v>632</v>
      </c>
      <c r="E875" t="s">
        <v>546</v>
      </c>
      <c r="F875" s="4">
        <v>28312</v>
      </c>
      <c r="G875">
        <v>5570881</v>
      </c>
      <c r="H875">
        <v>1208280808</v>
      </c>
      <c r="I875" t="s">
        <v>1745</v>
      </c>
      <c r="J875" t="s">
        <v>513</v>
      </c>
      <c r="K875" t="s">
        <v>15</v>
      </c>
      <c r="L875" t="s">
        <v>506</v>
      </c>
      <c r="M875" t="str">
        <f>VLOOKUP(A875,[1]MSAKEN!$A$1:$F$562,6,FALSE)</f>
        <v>25066000000075663147</v>
      </c>
    </row>
    <row r="876" spans="1:13" x14ac:dyDescent="0.3">
      <c r="A876">
        <v>1828</v>
      </c>
      <c r="B876" t="s">
        <v>225</v>
      </c>
      <c r="C876" t="s">
        <v>34</v>
      </c>
      <c r="D876" t="s">
        <v>1157</v>
      </c>
      <c r="E876" t="s">
        <v>714</v>
      </c>
      <c r="F876" s="4">
        <v>28406</v>
      </c>
      <c r="G876">
        <v>5598689</v>
      </c>
      <c r="H876">
        <v>1208327203</v>
      </c>
      <c r="I876" t="s">
        <v>1746</v>
      </c>
      <c r="J876" t="s">
        <v>513</v>
      </c>
      <c r="K876" t="s">
        <v>15</v>
      </c>
      <c r="L876" t="s">
        <v>506</v>
      </c>
      <c r="M876" t="str">
        <f>VLOOKUP(A876,[1]MSAKEN!$A$1:$F$562,6,FALSE)</f>
        <v>10506040206297978884</v>
      </c>
    </row>
    <row r="877" spans="1:13" x14ac:dyDescent="0.3">
      <c r="A877">
        <v>1829</v>
      </c>
      <c r="B877" t="s">
        <v>467</v>
      </c>
      <c r="C877" t="s">
        <v>30</v>
      </c>
      <c r="D877" t="s">
        <v>1747</v>
      </c>
      <c r="E877" t="s">
        <v>1748</v>
      </c>
      <c r="F877" s="4">
        <v>28317</v>
      </c>
      <c r="G877">
        <v>5534826</v>
      </c>
      <c r="H877">
        <v>1208750107</v>
      </c>
      <c r="I877" t="s">
        <v>502</v>
      </c>
      <c r="J877" t="s">
        <v>568</v>
      </c>
      <c r="K877" t="s">
        <v>15</v>
      </c>
      <c r="L877" t="s">
        <v>506</v>
      </c>
      <c r="M877" t="str">
        <f>VLOOKUP(A877,[1]MSAKEN!$A$1:$F$562,6,FALSE)</f>
        <v>08050020052000541156</v>
      </c>
    </row>
    <row r="878" spans="1:13" x14ac:dyDescent="0.3">
      <c r="A878">
        <v>1830</v>
      </c>
      <c r="B878" t="s">
        <v>64</v>
      </c>
      <c r="C878" t="s">
        <v>63</v>
      </c>
      <c r="D878" t="s">
        <v>535</v>
      </c>
      <c r="E878" t="s">
        <v>1044</v>
      </c>
      <c r="F878" s="4">
        <v>28242</v>
      </c>
      <c r="G878">
        <v>5579578</v>
      </c>
      <c r="H878">
        <v>1208197507</v>
      </c>
      <c r="I878" t="s">
        <v>502</v>
      </c>
      <c r="J878" t="s">
        <v>568</v>
      </c>
      <c r="K878" t="s">
        <v>15</v>
      </c>
      <c r="L878" t="s">
        <v>506</v>
      </c>
      <c r="M878" t="str">
        <f>VLOOKUP(A878,[1]MSAKEN!$A$1:$F$562,6,FALSE)</f>
        <v>10506040206568978842</v>
      </c>
    </row>
    <row r="879" spans="1:13" x14ac:dyDescent="0.3">
      <c r="A879">
        <v>1831</v>
      </c>
      <c r="B879" t="s">
        <v>147</v>
      </c>
      <c r="C879" t="s">
        <v>146</v>
      </c>
      <c r="D879" t="s">
        <v>535</v>
      </c>
      <c r="E879" t="s">
        <v>699</v>
      </c>
      <c r="F879" s="4">
        <v>25805</v>
      </c>
      <c r="G879">
        <v>5509654</v>
      </c>
      <c r="H879">
        <v>1164692905</v>
      </c>
      <c r="I879" t="s">
        <v>1749</v>
      </c>
      <c r="J879" t="s">
        <v>513</v>
      </c>
      <c r="K879" t="s">
        <v>15</v>
      </c>
      <c r="L879" t="s">
        <v>506</v>
      </c>
      <c r="M879" t="str">
        <f>VLOOKUP(A879,[1]MSAKEN!$A$1:$F$562,6,FALSE)</f>
        <v>03508056010110001415</v>
      </c>
    </row>
    <row r="880" spans="1:13" x14ac:dyDescent="0.3">
      <c r="A880">
        <v>1832</v>
      </c>
      <c r="B880" t="s">
        <v>396</v>
      </c>
      <c r="C880" t="s">
        <v>262</v>
      </c>
      <c r="D880" t="s">
        <v>535</v>
      </c>
      <c r="E880" t="s">
        <v>690</v>
      </c>
      <c r="F880" s="4">
        <v>27332</v>
      </c>
      <c r="G880">
        <v>5525343</v>
      </c>
      <c r="H880">
        <v>1242347407</v>
      </c>
      <c r="I880" t="s">
        <v>1750</v>
      </c>
      <c r="J880" t="s">
        <v>740</v>
      </c>
      <c r="K880" t="s">
        <v>15</v>
      </c>
      <c r="L880" t="s">
        <v>506</v>
      </c>
      <c r="M880" t="str">
        <f>VLOOKUP(A880,[1]MSAKEN!$A$1:$F$562,6,FALSE)</f>
        <v>03500020010110899370</v>
      </c>
    </row>
    <row r="881" spans="1:13" x14ac:dyDescent="0.3">
      <c r="A881">
        <v>1833</v>
      </c>
      <c r="B881" t="s">
        <v>1751</v>
      </c>
      <c r="C881" t="s">
        <v>34</v>
      </c>
      <c r="D881" t="s">
        <v>836</v>
      </c>
      <c r="E881" t="s">
        <v>630</v>
      </c>
      <c r="F881" s="4">
        <v>27994</v>
      </c>
      <c r="G881">
        <v>5524332</v>
      </c>
      <c r="H881">
        <v>1242211207</v>
      </c>
      <c r="I881" t="s">
        <v>1752</v>
      </c>
      <c r="J881" t="s">
        <v>1074</v>
      </c>
      <c r="K881" t="s">
        <v>15</v>
      </c>
      <c r="L881" t="s">
        <v>506</v>
      </c>
      <c r="M881" t="str">
        <f>VLOOKUP(A881,[1]MSAKEN!$A$1:$F$562,6,FALSE)</f>
        <v>04500043404003647937</v>
      </c>
    </row>
    <row r="882" spans="1:13" x14ac:dyDescent="0.3">
      <c r="A882">
        <v>1834</v>
      </c>
      <c r="B882" t="s">
        <v>310</v>
      </c>
      <c r="C882" t="s">
        <v>48</v>
      </c>
      <c r="D882" t="s">
        <v>535</v>
      </c>
      <c r="E882" t="s">
        <v>546</v>
      </c>
      <c r="F882" s="4">
        <v>27639</v>
      </c>
      <c r="G882">
        <v>5561347</v>
      </c>
      <c r="H882">
        <v>1208282309</v>
      </c>
      <c r="I882" t="s">
        <v>502</v>
      </c>
      <c r="J882" t="s">
        <v>568</v>
      </c>
      <c r="K882" t="s">
        <v>15</v>
      </c>
      <c r="L882" t="s">
        <v>506</v>
      </c>
      <c r="M882" t="str">
        <f>VLOOKUP(A882,[1]MSAKEN!$A$1:$F$562,6,FALSE)</f>
        <v>04204067404001336131</v>
      </c>
    </row>
    <row r="883" spans="1:13" x14ac:dyDescent="0.3">
      <c r="A883">
        <v>1835</v>
      </c>
      <c r="B883" t="s">
        <v>227</v>
      </c>
      <c r="C883" t="s">
        <v>226</v>
      </c>
      <c r="D883" t="s">
        <v>648</v>
      </c>
      <c r="E883" t="s">
        <v>546</v>
      </c>
      <c r="F883" s="4">
        <v>28242</v>
      </c>
      <c r="G883">
        <v>5563132</v>
      </c>
      <c r="H883">
        <v>1232262004</v>
      </c>
      <c r="I883" t="s">
        <v>1753</v>
      </c>
      <c r="J883" t="s">
        <v>513</v>
      </c>
      <c r="K883" t="s">
        <v>15</v>
      </c>
      <c r="L883" t="s">
        <v>506</v>
      </c>
      <c r="M883" t="str">
        <f>VLOOKUP(A883,[1]MSAKEN!$A$1:$F$562,6,FALSE)</f>
        <v>10506040205813378815</v>
      </c>
    </row>
    <row r="884" spans="1:13" x14ac:dyDescent="0.3">
      <c r="A884">
        <v>1836</v>
      </c>
      <c r="B884" t="s">
        <v>1754</v>
      </c>
      <c r="C884" t="s">
        <v>31</v>
      </c>
      <c r="D884" t="s">
        <v>648</v>
      </c>
      <c r="E884" t="s">
        <v>584</v>
      </c>
      <c r="F884" s="4">
        <v>26525</v>
      </c>
      <c r="G884">
        <v>5511684</v>
      </c>
      <c r="H884">
        <v>1208512200</v>
      </c>
      <c r="I884" t="s">
        <v>1755</v>
      </c>
      <c r="J884" t="s">
        <v>513</v>
      </c>
      <c r="K884" t="s">
        <v>15</v>
      </c>
      <c r="L884" t="s">
        <v>506</v>
      </c>
      <c r="M884" t="str">
        <f>VLOOKUP(A884,[1]MSAKEN!$A$1:$F$562,6,FALSE)</f>
        <v>12505000580103514269</v>
      </c>
    </row>
    <row r="885" spans="1:13" x14ac:dyDescent="0.3">
      <c r="A885">
        <v>1837</v>
      </c>
      <c r="B885" t="s">
        <v>111</v>
      </c>
      <c r="C885" t="s">
        <v>129</v>
      </c>
      <c r="D885" t="s">
        <v>1027</v>
      </c>
      <c r="E885" t="s">
        <v>546</v>
      </c>
      <c r="F885" s="4">
        <v>27765</v>
      </c>
      <c r="G885">
        <v>5538930</v>
      </c>
      <c r="H885">
        <v>1220406308</v>
      </c>
      <c r="I885" t="s">
        <v>1756</v>
      </c>
      <c r="J885" t="s">
        <v>1482</v>
      </c>
      <c r="K885" t="s">
        <v>15</v>
      </c>
      <c r="L885" t="s">
        <v>506</v>
      </c>
      <c r="M885" t="str">
        <f>VLOOKUP(A885,[1]MSAKEN!$A$1:$F$562,6,FALSE)</f>
        <v>04014102404002044047</v>
      </c>
    </row>
    <row r="886" spans="1:13" x14ac:dyDescent="0.3">
      <c r="A886">
        <v>1838</v>
      </c>
      <c r="B886" t="s">
        <v>1757</v>
      </c>
      <c r="C886" t="s">
        <v>105</v>
      </c>
      <c r="D886" t="s">
        <v>502</v>
      </c>
      <c r="E886" t="s">
        <v>502</v>
      </c>
      <c r="F886" s="4">
        <v>25659</v>
      </c>
      <c r="G886">
        <v>5525545</v>
      </c>
      <c r="H886">
        <v>1219920608</v>
      </c>
      <c r="I886" t="s">
        <v>502</v>
      </c>
      <c r="J886" t="s">
        <v>568</v>
      </c>
      <c r="K886" t="s">
        <v>15</v>
      </c>
      <c r="L886" t="s">
        <v>506</v>
      </c>
      <c r="M886" t="e">
        <f>VLOOKUP(A886,[1]MSAKEN!$A$1:$F$562,6,FALSE)</f>
        <v>#N/A</v>
      </c>
    </row>
    <row r="887" spans="1:13" x14ac:dyDescent="0.3">
      <c r="A887">
        <v>1839</v>
      </c>
      <c r="B887" t="s">
        <v>1758</v>
      </c>
      <c r="C887" t="s">
        <v>367</v>
      </c>
      <c r="D887" t="s">
        <v>1759</v>
      </c>
      <c r="E887" t="s">
        <v>584</v>
      </c>
      <c r="F887" s="4">
        <v>29586</v>
      </c>
      <c r="G887">
        <v>5597311</v>
      </c>
      <c r="H887">
        <v>1208808400</v>
      </c>
      <c r="I887" t="s">
        <v>877</v>
      </c>
      <c r="J887" t="s">
        <v>513</v>
      </c>
      <c r="K887" t="s">
        <v>15</v>
      </c>
      <c r="L887" t="s">
        <v>506</v>
      </c>
      <c r="M887" t="str">
        <f>VLOOKUP(A887,[1]MSAKEN!$A$1:$F$562,6,FALSE)</f>
        <v>04204067000953931383</v>
      </c>
    </row>
    <row r="888" spans="1:13" x14ac:dyDescent="0.3">
      <c r="A888">
        <v>1840</v>
      </c>
      <c r="B888" t="s">
        <v>514</v>
      </c>
      <c r="C888" t="s">
        <v>40</v>
      </c>
      <c r="D888" t="s">
        <v>502</v>
      </c>
      <c r="E888" t="s">
        <v>502</v>
      </c>
      <c r="F888" s="4">
        <v>24508</v>
      </c>
      <c r="G888">
        <v>4189534</v>
      </c>
      <c r="H888">
        <v>1208427102</v>
      </c>
      <c r="I888" t="s">
        <v>1760</v>
      </c>
      <c r="J888" t="s">
        <v>505</v>
      </c>
      <c r="K888" t="s">
        <v>15</v>
      </c>
      <c r="L888" t="s">
        <v>506</v>
      </c>
      <c r="M888" t="e">
        <f>VLOOKUP(A888,[1]MSAKEN!$A$1:$F$562,6,FALSE)</f>
        <v>#N/A</v>
      </c>
    </row>
    <row r="889" spans="1:13" x14ac:dyDescent="0.3">
      <c r="A889">
        <v>1841</v>
      </c>
      <c r="B889" t="s">
        <v>1761</v>
      </c>
      <c r="C889" t="s">
        <v>72</v>
      </c>
      <c r="D889" t="s">
        <v>502</v>
      </c>
      <c r="E889" t="s">
        <v>502</v>
      </c>
      <c r="F889" t="s">
        <v>502</v>
      </c>
      <c r="G889">
        <v>6768890</v>
      </c>
      <c r="H889">
        <v>1219974001</v>
      </c>
      <c r="I889" t="s">
        <v>1762</v>
      </c>
      <c r="J889" t="s">
        <v>505</v>
      </c>
      <c r="K889" t="s">
        <v>15</v>
      </c>
      <c r="L889" t="s">
        <v>506</v>
      </c>
      <c r="M889" t="e">
        <f>VLOOKUP(A889,[1]MSAKEN!$A$1:$F$562,6,FALSE)</f>
        <v>#N/A</v>
      </c>
    </row>
    <row r="890" spans="1:13" x14ac:dyDescent="0.3">
      <c r="A890">
        <v>1842</v>
      </c>
      <c r="B890" t="s">
        <v>1610</v>
      </c>
      <c r="C890" t="s">
        <v>306</v>
      </c>
      <c r="D890" t="s">
        <v>1763</v>
      </c>
      <c r="E890" t="s">
        <v>1694</v>
      </c>
      <c r="F890" s="4">
        <v>29625</v>
      </c>
      <c r="G890">
        <v>8461716</v>
      </c>
      <c r="H890">
        <v>1208828507</v>
      </c>
      <c r="I890" t="s">
        <v>1764</v>
      </c>
      <c r="J890" t="s">
        <v>513</v>
      </c>
      <c r="K890" t="s">
        <v>16</v>
      </c>
      <c r="L890" t="s">
        <v>506</v>
      </c>
      <c r="M890" t="str">
        <f>VLOOKUP(A890,[1]MSAKEN!$A$1:$F$562,6,FALSE)</f>
        <v>03508056010100394535</v>
      </c>
    </row>
    <row r="891" spans="1:13" x14ac:dyDescent="0.3">
      <c r="A891">
        <v>1843</v>
      </c>
      <c r="B891" t="s">
        <v>554</v>
      </c>
      <c r="C891" t="s">
        <v>219</v>
      </c>
      <c r="D891" t="s">
        <v>502</v>
      </c>
      <c r="E891" t="s">
        <v>502</v>
      </c>
      <c r="F891" t="s">
        <v>502</v>
      </c>
      <c r="G891" t="s">
        <v>502</v>
      </c>
      <c r="H891" t="s">
        <v>502</v>
      </c>
      <c r="I891" t="s">
        <v>502</v>
      </c>
      <c r="J891" t="s">
        <v>502</v>
      </c>
      <c r="K891" t="s">
        <v>15</v>
      </c>
      <c r="L891" t="s">
        <v>502</v>
      </c>
      <c r="M891" t="e">
        <f>VLOOKUP(A891,[1]MSAKEN!$A$1:$F$562,6,FALSE)</f>
        <v>#N/A</v>
      </c>
    </row>
    <row r="892" spans="1:13" x14ac:dyDescent="0.3">
      <c r="A892">
        <v>1844</v>
      </c>
      <c r="B892" t="s">
        <v>760</v>
      </c>
      <c r="C892" t="s">
        <v>321</v>
      </c>
      <c r="D892" t="s">
        <v>502</v>
      </c>
      <c r="E892" t="s">
        <v>502</v>
      </c>
      <c r="F892" s="4">
        <v>26546</v>
      </c>
      <c r="G892">
        <v>3961491</v>
      </c>
      <c r="H892">
        <v>1181024801</v>
      </c>
      <c r="I892" t="s">
        <v>1765</v>
      </c>
      <c r="J892" t="s">
        <v>1766</v>
      </c>
      <c r="K892" t="s">
        <v>15</v>
      </c>
      <c r="L892" t="s">
        <v>506</v>
      </c>
      <c r="M892" t="e">
        <f>VLOOKUP(A892,[1]MSAKEN!$A$1:$F$562,6,FALSE)</f>
        <v>#N/A</v>
      </c>
    </row>
    <row r="893" spans="1:13" x14ac:dyDescent="0.3">
      <c r="A893">
        <v>1845</v>
      </c>
      <c r="B893" t="s">
        <v>471</v>
      </c>
      <c r="C893" t="s">
        <v>306</v>
      </c>
      <c r="D893" t="s">
        <v>535</v>
      </c>
      <c r="E893" t="s">
        <v>1506</v>
      </c>
      <c r="F893" s="4">
        <v>27462</v>
      </c>
      <c r="G893">
        <v>5526469</v>
      </c>
      <c r="H893">
        <v>1167682200</v>
      </c>
      <c r="I893" t="s">
        <v>1767</v>
      </c>
      <c r="J893" t="s">
        <v>511</v>
      </c>
      <c r="K893" t="s">
        <v>16</v>
      </c>
      <c r="L893" t="s">
        <v>506</v>
      </c>
      <c r="M893" t="str">
        <f>VLOOKUP(A893,[1]MSAKEN!$A$1:$F$562,6,FALSE)</f>
        <v>14007007100708156769</v>
      </c>
    </row>
    <row r="894" spans="1:13" x14ac:dyDescent="0.3">
      <c r="A894">
        <v>1846</v>
      </c>
      <c r="B894" t="s">
        <v>397</v>
      </c>
      <c r="C894" t="s">
        <v>306</v>
      </c>
      <c r="D894" t="s">
        <v>1061</v>
      </c>
      <c r="E894" t="s">
        <v>1044</v>
      </c>
      <c r="F894" s="4">
        <v>28831</v>
      </c>
      <c r="G894">
        <v>8212462</v>
      </c>
      <c r="H894">
        <v>1208815108</v>
      </c>
      <c r="I894" t="s">
        <v>1768</v>
      </c>
      <c r="J894" t="s">
        <v>511</v>
      </c>
      <c r="K894" t="s">
        <v>15</v>
      </c>
      <c r="L894" t="s">
        <v>506</v>
      </c>
      <c r="M894" t="str">
        <f>VLOOKUP(A894,[1]MSAKEN!$A$1:$F$562,6,FALSE)</f>
        <v>04204067404001173850</v>
      </c>
    </row>
    <row r="895" spans="1:13" x14ac:dyDescent="0.3">
      <c r="A895">
        <v>1847</v>
      </c>
      <c r="B895" t="s">
        <v>37</v>
      </c>
      <c r="C895" t="s">
        <v>36</v>
      </c>
      <c r="D895" t="s">
        <v>698</v>
      </c>
      <c r="E895" t="s">
        <v>1769</v>
      </c>
      <c r="F895" s="4">
        <v>28075</v>
      </c>
      <c r="G895">
        <v>5561581</v>
      </c>
      <c r="H895">
        <v>1208426906</v>
      </c>
      <c r="I895" t="s">
        <v>1770</v>
      </c>
      <c r="J895" t="s">
        <v>513</v>
      </c>
      <c r="K895" t="s">
        <v>15</v>
      </c>
      <c r="L895" t="s">
        <v>506</v>
      </c>
      <c r="M895" t="str">
        <f>VLOOKUP(A895,[1]MSAKEN!$A$1:$F$562,6,FALSE)</f>
        <v>25018000000009778251</v>
      </c>
    </row>
    <row r="896" spans="1:13" x14ac:dyDescent="0.3">
      <c r="A896">
        <v>1848</v>
      </c>
      <c r="B896" t="s">
        <v>1771</v>
      </c>
      <c r="C896" t="s">
        <v>1772</v>
      </c>
      <c r="D896" t="s">
        <v>502</v>
      </c>
      <c r="E896" t="s">
        <v>502</v>
      </c>
      <c r="F896" s="4">
        <v>28797</v>
      </c>
      <c r="G896">
        <v>7577530</v>
      </c>
      <c r="H896">
        <v>1208864403</v>
      </c>
      <c r="I896" t="s">
        <v>1773</v>
      </c>
      <c r="J896" t="s">
        <v>511</v>
      </c>
      <c r="K896" t="s">
        <v>16</v>
      </c>
      <c r="L896" t="s">
        <v>506</v>
      </c>
      <c r="M896" t="e">
        <f>VLOOKUP(A896,[1]MSAKEN!$A$1:$F$562,6,FALSE)</f>
        <v>#N/A</v>
      </c>
    </row>
    <row r="897" spans="1:13" x14ac:dyDescent="0.3">
      <c r="A897">
        <v>1849</v>
      </c>
      <c r="B897" t="s">
        <v>462</v>
      </c>
      <c r="C897" t="s">
        <v>143</v>
      </c>
      <c r="D897" t="s">
        <v>535</v>
      </c>
      <c r="E897" t="s">
        <v>1558</v>
      </c>
      <c r="F897" s="4">
        <v>28745</v>
      </c>
      <c r="G897">
        <v>8429082</v>
      </c>
      <c r="H897">
        <v>1208868305</v>
      </c>
      <c r="I897" t="s">
        <v>1774</v>
      </c>
      <c r="J897" t="s">
        <v>513</v>
      </c>
      <c r="K897" t="s">
        <v>15</v>
      </c>
      <c r="L897" t="s">
        <v>506</v>
      </c>
      <c r="M897" t="str">
        <f>VLOOKUP(A897,[1]MSAKEN!$A$1:$F$562,6,FALSE)</f>
        <v>08507000262001640621</v>
      </c>
    </row>
    <row r="898" spans="1:13" x14ac:dyDescent="0.3">
      <c r="A898">
        <v>1850</v>
      </c>
      <c r="B898" t="s">
        <v>1775</v>
      </c>
      <c r="C898" t="s">
        <v>1776</v>
      </c>
      <c r="D898" t="s">
        <v>674</v>
      </c>
      <c r="E898" t="s">
        <v>584</v>
      </c>
      <c r="F898" s="4">
        <v>27388</v>
      </c>
      <c r="G898">
        <v>5573627</v>
      </c>
      <c r="H898">
        <v>1192471801</v>
      </c>
      <c r="I898" t="s">
        <v>1777</v>
      </c>
      <c r="J898" t="s">
        <v>513</v>
      </c>
      <c r="K898" t="s">
        <v>15</v>
      </c>
      <c r="L898" t="s">
        <v>506</v>
      </c>
      <c r="M898" t="e">
        <f>VLOOKUP(A898,[1]MSAKEN!$A$1:$F$562,6,FALSE)</f>
        <v>#N/A</v>
      </c>
    </row>
    <row r="899" spans="1:13" x14ac:dyDescent="0.3">
      <c r="A899">
        <v>1851</v>
      </c>
      <c r="B899" t="s">
        <v>57</v>
      </c>
      <c r="C899" t="s">
        <v>22</v>
      </c>
      <c r="D899" t="s">
        <v>564</v>
      </c>
      <c r="E899" t="s">
        <v>699</v>
      </c>
      <c r="F899" s="4">
        <v>25778</v>
      </c>
      <c r="G899">
        <v>5505959</v>
      </c>
      <c r="H899">
        <v>1208495406</v>
      </c>
      <c r="I899" t="s">
        <v>1227</v>
      </c>
      <c r="J899" t="s">
        <v>513</v>
      </c>
      <c r="K899" t="s">
        <v>15</v>
      </c>
      <c r="L899" t="s">
        <v>506</v>
      </c>
      <c r="M899" t="str">
        <f>VLOOKUP(A899,[1]MSAKEN!$A$1:$F$562,6,FALSE)</f>
        <v>05048000116500060558</v>
      </c>
    </row>
    <row r="900" spans="1:13" x14ac:dyDescent="0.3">
      <c r="A900">
        <v>1852</v>
      </c>
      <c r="B900" t="s">
        <v>1778</v>
      </c>
      <c r="C900" t="s">
        <v>216</v>
      </c>
      <c r="D900" t="s">
        <v>502</v>
      </c>
      <c r="E900" t="s">
        <v>502</v>
      </c>
      <c r="F900" s="4">
        <v>24991</v>
      </c>
      <c r="G900">
        <v>5501755</v>
      </c>
      <c r="H900">
        <v>1234600201</v>
      </c>
      <c r="I900" t="s">
        <v>1779</v>
      </c>
      <c r="J900" t="s">
        <v>755</v>
      </c>
      <c r="K900" t="s">
        <v>15</v>
      </c>
      <c r="L900" t="s">
        <v>506</v>
      </c>
      <c r="M900" t="e">
        <f>VLOOKUP(A900,[1]MSAKEN!$A$1:$F$562,6,FALSE)</f>
        <v>#N/A</v>
      </c>
    </row>
    <row r="901" spans="1:13" x14ac:dyDescent="0.3">
      <c r="A901">
        <v>1853</v>
      </c>
      <c r="B901" t="s">
        <v>1780</v>
      </c>
      <c r="C901" t="s">
        <v>89</v>
      </c>
      <c r="D901" t="s">
        <v>502</v>
      </c>
      <c r="E901" t="s">
        <v>502</v>
      </c>
      <c r="F901" t="s">
        <v>502</v>
      </c>
      <c r="G901" t="s">
        <v>502</v>
      </c>
      <c r="H901" t="s">
        <v>502</v>
      </c>
      <c r="I901" t="s">
        <v>502</v>
      </c>
      <c r="J901" t="s">
        <v>502</v>
      </c>
      <c r="K901" t="s">
        <v>15</v>
      </c>
      <c r="L901" t="s">
        <v>502</v>
      </c>
      <c r="M901" t="e">
        <f>VLOOKUP(A901,[1]MSAKEN!$A$1:$F$562,6,FALSE)</f>
        <v>#N/A</v>
      </c>
    </row>
    <row r="902" spans="1:13" x14ac:dyDescent="0.3">
      <c r="A902">
        <v>1854</v>
      </c>
      <c r="B902" t="s">
        <v>1781</v>
      </c>
      <c r="C902" t="s">
        <v>1782</v>
      </c>
      <c r="D902" t="s">
        <v>502</v>
      </c>
      <c r="E902" t="s">
        <v>502</v>
      </c>
      <c r="F902" s="4">
        <v>27069</v>
      </c>
      <c r="G902">
        <v>7537808</v>
      </c>
      <c r="H902">
        <v>1208825008</v>
      </c>
      <c r="I902" t="s">
        <v>1783</v>
      </c>
      <c r="J902" t="s">
        <v>513</v>
      </c>
      <c r="K902" t="s">
        <v>15</v>
      </c>
      <c r="L902" t="s">
        <v>506</v>
      </c>
      <c r="M902" t="e">
        <f>VLOOKUP(A902,[1]MSAKEN!$A$1:$F$562,6,FALSE)</f>
        <v>#N/A</v>
      </c>
    </row>
    <row r="903" spans="1:13" x14ac:dyDescent="0.3">
      <c r="A903">
        <v>1855</v>
      </c>
      <c r="B903" t="s">
        <v>310</v>
      </c>
      <c r="C903" t="s">
        <v>224</v>
      </c>
      <c r="D903" t="s">
        <v>999</v>
      </c>
      <c r="E903" t="s">
        <v>584</v>
      </c>
      <c r="F903" s="4">
        <v>27644</v>
      </c>
      <c r="G903">
        <v>5666261</v>
      </c>
      <c r="H903">
        <v>1242451407</v>
      </c>
      <c r="I903" t="s">
        <v>502</v>
      </c>
      <c r="J903" t="s">
        <v>568</v>
      </c>
      <c r="K903" t="s">
        <v>15</v>
      </c>
      <c r="L903" t="s">
        <v>506</v>
      </c>
      <c r="M903" t="str">
        <f>VLOOKUP(A903,[1]MSAKEN!$A$1:$F$562,6,FALSE)</f>
        <v>25018000000012069682</v>
      </c>
    </row>
    <row r="904" spans="1:13" x14ac:dyDescent="0.3">
      <c r="A904">
        <v>1856</v>
      </c>
      <c r="B904" t="s">
        <v>249</v>
      </c>
      <c r="C904" t="s">
        <v>110</v>
      </c>
      <c r="D904" t="s">
        <v>1747</v>
      </c>
      <c r="E904" t="s">
        <v>926</v>
      </c>
      <c r="F904" s="4">
        <v>29472</v>
      </c>
      <c r="G904">
        <v>8437911</v>
      </c>
      <c r="H904">
        <v>1210717706</v>
      </c>
      <c r="I904" t="s">
        <v>1784</v>
      </c>
      <c r="J904" t="s">
        <v>511</v>
      </c>
      <c r="K904" t="s">
        <v>15</v>
      </c>
      <c r="L904" t="s">
        <v>506</v>
      </c>
      <c r="M904" t="str">
        <f>VLOOKUP(A904,[1]MSAKEN!$A$1:$F$562,6,FALSE)</f>
        <v>12015000000214839386</v>
      </c>
    </row>
    <row r="905" spans="1:13" x14ac:dyDescent="0.3">
      <c r="A905">
        <v>1857</v>
      </c>
      <c r="B905" t="s">
        <v>1072</v>
      </c>
      <c r="C905" t="s">
        <v>164</v>
      </c>
      <c r="D905" t="s">
        <v>535</v>
      </c>
      <c r="E905" t="s">
        <v>584</v>
      </c>
      <c r="F905" s="4">
        <v>25579</v>
      </c>
      <c r="G905">
        <v>2985356</v>
      </c>
      <c r="H905">
        <v>1192191102</v>
      </c>
      <c r="I905" t="s">
        <v>1785</v>
      </c>
      <c r="J905" t="s">
        <v>1074</v>
      </c>
      <c r="K905" t="s">
        <v>15</v>
      </c>
      <c r="L905" t="s">
        <v>506</v>
      </c>
      <c r="M905" t="str">
        <f>VLOOKUP(A905,[1]MSAKEN!$A$1:$F$562,6,FALSE)</f>
        <v>04128195002622969088</v>
      </c>
    </row>
    <row r="906" spans="1:13" x14ac:dyDescent="0.3">
      <c r="A906">
        <v>1858</v>
      </c>
      <c r="B906" t="s">
        <v>1786</v>
      </c>
      <c r="C906" t="s">
        <v>1787</v>
      </c>
      <c r="D906" t="s">
        <v>502</v>
      </c>
      <c r="E906" t="s">
        <v>502</v>
      </c>
      <c r="F906" t="s">
        <v>502</v>
      </c>
      <c r="G906" t="s">
        <v>502</v>
      </c>
      <c r="H906" t="s">
        <v>502</v>
      </c>
      <c r="I906" t="s">
        <v>502</v>
      </c>
      <c r="J906" t="s">
        <v>502</v>
      </c>
      <c r="K906" t="s">
        <v>15</v>
      </c>
      <c r="L906" t="s">
        <v>502</v>
      </c>
      <c r="M906" t="e">
        <f>VLOOKUP(A906,[1]MSAKEN!$A$1:$F$562,6,FALSE)</f>
        <v>#N/A</v>
      </c>
    </row>
    <row r="907" spans="1:13" x14ac:dyDescent="0.3">
      <c r="A907">
        <v>1859</v>
      </c>
      <c r="B907" t="s">
        <v>75</v>
      </c>
      <c r="C907" t="s">
        <v>145</v>
      </c>
      <c r="D907" t="s">
        <v>502</v>
      </c>
      <c r="E907" t="s">
        <v>502</v>
      </c>
      <c r="F907" s="4">
        <v>23107</v>
      </c>
      <c r="G907">
        <v>2959860</v>
      </c>
      <c r="H907">
        <v>1125051506</v>
      </c>
      <c r="I907" t="s">
        <v>1788</v>
      </c>
      <c r="J907" t="s">
        <v>513</v>
      </c>
      <c r="K907" t="s">
        <v>15</v>
      </c>
      <c r="L907" t="s">
        <v>506</v>
      </c>
      <c r="M907" t="e">
        <f>VLOOKUP(A907,[1]MSAKEN!$A$1:$F$562,6,FALSE)</f>
        <v>#N/A</v>
      </c>
    </row>
    <row r="908" spans="1:13" x14ac:dyDescent="0.3">
      <c r="A908">
        <v>1860</v>
      </c>
      <c r="B908" t="s">
        <v>327</v>
      </c>
      <c r="C908" t="s">
        <v>326</v>
      </c>
      <c r="D908" t="s">
        <v>535</v>
      </c>
      <c r="E908" t="s">
        <v>536</v>
      </c>
      <c r="F908" s="4">
        <v>26240</v>
      </c>
      <c r="G908">
        <v>5517008</v>
      </c>
      <c r="H908">
        <v>1219936901</v>
      </c>
      <c r="I908" t="s">
        <v>502</v>
      </c>
      <c r="J908" t="s">
        <v>833</v>
      </c>
      <c r="K908" t="s">
        <v>15</v>
      </c>
      <c r="L908" t="s">
        <v>506</v>
      </c>
      <c r="M908" t="str">
        <f>VLOOKUP(A908,[1]MSAKEN!$A$1:$F$562,6,FALSE)</f>
        <v>10506040207635978842</v>
      </c>
    </row>
    <row r="909" spans="1:13" x14ac:dyDescent="0.3">
      <c r="A909">
        <v>1861</v>
      </c>
      <c r="B909" t="s">
        <v>83</v>
      </c>
      <c r="C909" t="s">
        <v>311</v>
      </c>
      <c r="D909" t="s">
        <v>1532</v>
      </c>
      <c r="E909" t="s">
        <v>1789</v>
      </c>
      <c r="F909" s="4">
        <v>29470</v>
      </c>
      <c r="G909">
        <v>8451166</v>
      </c>
      <c r="H909">
        <v>1208810109</v>
      </c>
      <c r="I909" t="s">
        <v>1790</v>
      </c>
      <c r="J909" t="s">
        <v>513</v>
      </c>
      <c r="K909" t="s">
        <v>15</v>
      </c>
      <c r="L909" t="s">
        <v>506</v>
      </c>
      <c r="M909" t="str">
        <f>VLOOKUP(A909,[1]MSAKEN!$A$1:$F$562,6,FALSE)</f>
        <v>12505000580103222493</v>
      </c>
    </row>
    <row r="910" spans="1:13" x14ac:dyDescent="0.3">
      <c r="A910">
        <v>1863</v>
      </c>
      <c r="B910" t="s">
        <v>1791</v>
      </c>
      <c r="C910" t="s">
        <v>424</v>
      </c>
      <c r="D910" t="s">
        <v>502</v>
      </c>
      <c r="E910" t="s">
        <v>502</v>
      </c>
      <c r="F910" s="4">
        <v>24709</v>
      </c>
      <c r="G910">
        <v>3166525</v>
      </c>
      <c r="H910">
        <v>1151788302</v>
      </c>
      <c r="I910" t="s">
        <v>1792</v>
      </c>
      <c r="J910" t="s">
        <v>1793</v>
      </c>
      <c r="K910" t="s">
        <v>15</v>
      </c>
      <c r="L910" t="s">
        <v>506</v>
      </c>
      <c r="M910" t="e">
        <f>VLOOKUP(A910,[1]MSAKEN!$A$1:$F$562,6,FALSE)</f>
        <v>#N/A</v>
      </c>
    </row>
    <row r="911" spans="1:13" x14ac:dyDescent="0.3">
      <c r="A911">
        <v>1864</v>
      </c>
      <c r="B911" t="s">
        <v>1794</v>
      </c>
      <c r="C911" t="s">
        <v>208</v>
      </c>
      <c r="D911" t="s">
        <v>1795</v>
      </c>
      <c r="E911" t="s">
        <v>546</v>
      </c>
      <c r="F911" s="4">
        <v>30474</v>
      </c>
      <c r="G911">
        <v>8445623</v>
      </c>
      <c r="H911">
        <v>1208827905</v>
      </c>
      <c r="I911" t="s">
        <v>1796</v>
      </c>
      <c r="J911" t="s">
        <v>513</v>
      </c>
      <c r="K911" t="s">
        <v>15</v>
      </c>
      <c r="L911" t="s">
        <v>506</v>
      </c>
      <c r="M911" t="str">
        <f>VLOOKUP(A911,[1]MSAKEN!$A$1:$F$562,6,FALSE)</f>
        <v>10506040206795878817</v>
      </c>
    </row>
    <row r="912" spans="1:13" x14ac:dyDescent="0.3">
      <c r="A912">
        <v>1865</v>
      </c>
      <c r="B912" t="s">
        <v>1797</v>
      </c>
      <c r="C912" t="s">
        <v>34</v>
      </c>
      <c r="D912" t="s">
        <v>648</v>
      </c>
      <c r="E912" t="s">
        <v>1558</v>
      </c>
      <c r="F912" s="4">
        <v>26601</v>
      </c>
      <c r="G912">
        <v>5520162</v>
      </c>
      <c r="H912">
        <v>1192571907</v>
      </c>
      <c r="I912" t="s">
        <v>1798</v>
      </c>
      <c r="J912" t="s">
        <v>513</v>
      </c>
      <c r="K912" t="s">
        <v>15</v>
      </c>
      <c r="L912" t="s">
        <v>506</v>
      </c>
      <c r="M912" t="e">
        <f>VLOOKUP(A912,[1]MSAKEN!$A$1:$F$562,6,FALSE)</f>
        <v>#N/A</v>
      </c>
    </row>
    <row r="913" spans="1:13" x14ac:dyDescent="0.3">
      <c r="A913">
        <v>1866</v>
      </c>
      <c r="B913" t="s">
        <v>312</v>
      </c>
      <c r="C913" t="s">
        <v>34</v>
      </c>
      <c r="D913" t="s">
        <v>1795</v>
      </c>
      <c r="E913" t="s">
        <v>792</v>
      </c>
      <c r="F913" s="4">
        <v>28931</v>
      </c>
      <c r="G913">
        <v>6789967</v>
      </c>
      <c r="H913">
        <v>1208866002</v>
      </c>
      <c r="I913" t="s">
        <v>1799</v>
      </c>
      <c r="J913" t="s">
        <v>505</v>
      </c>
      <c r="K913" t="s">
        <v>15</v>
      </c>
      <c r="L913" t="s">
        <v>506</v>
      </c>
      <c r="M913" t="str">
        <f>VLOOKUP(A913,[1]MSAKEN!$A$1:$F$562,6,FALSE)</f>
        <v>21020020404000405512</v>
      </c>
    </row>
    <row r="914" spans="1:13" x14ac:dyDescent="0.3">
      <c r="A914">
        <v>1867</v>
      </c>
      <c r="B914" t="s">
        <v>121</v>
      </c>
      <c r="C914" t="s">
        <v>31</v>
      </c>
      <c r="D914" t="s">
        <v>648</v>
      </c>
      <c r="E914" t="s">
        <v>1093</v>
      </c>
      <c r="F914" s="4">
        <v>27413</v>
      </c>
      <c r="G914">
        <v>5560217</v>
      </c>
      <c r="H914">
        <v>1208162709</v>
      </c>
      <c r="I914" t="s">
        <v>1800</v>
      </c>
      <c r="J914" t="s">
        <v>513</v>
      </c>
      <c r="K914" t="s">
        <v>15</v>
      </c>
      <c r="L914" t="s">
        <v>506</v>
      </c>
      <c r="M914" t="str">
        <f>VLOOKUP(A914,[1]MSAKEN!$A$1:$F$562,6,FALSE)</f>
        <v>04204067001373985906</v>
      </c>
    </row>
    <row r="915" spans="1:13" x14ac:dyDescent="0.3">
      <c r="A915">
        <v>1868</v>
      </c>
      <c r="B915" t="s">
        <v>314</v>
      </c>
      <c r="C915" t="s">
        <v>313</v>
      </c>
      <c r="D915" t="s">
        <v>545</v>
      </c>
      <c r="E915" t="s">
        <v>546</v>
      </c>
      <c r="F915" s="4">
        <v>29150</v>
      </c>
      <c r="G915">
        <v>5578498</v>
      </c>
      <c r="H915">
        <v>1242323309</v>
      </c>
      <c r="I915" t="s">
        <v>1801</v>
      </c>
      <c r="J915" t="s">
        <v>574</v>
      </c>
      <c r="K915" t="s">
        <v>15</v>
      </c>
      <c r="L915" t="s">
        <v>506</v>
      </c>
      <c r="M915" t="str">
        <f>VLOOKUP(A915,[1]MSAKEN!$A$1:$F$562,6,FALSE)</f>
        <v>04204067404001428669</v>
      </c>
    </row>
    <row r="916" spans="1:13" x14ac:dyDescent="0.3">
      <c r="A916">
        <v>1869</v>
      </c>
      <c r="B916" t="s">
        <v>1802</v>
      </c>
      <c r="C916" t="s">
        <v>501</v>
      </c>
      <c r="D916" t="s">
        <v>502</v>
      </c>
      <c r="E916" t="s">
        <v>502</v>
      </c>
      <c r="F916" s="4">
        <v>26945</v>
      </c>
      <c r="G916" t="s">
        <v>502</v>
      </c>
      <c r="H916" t="s">
        <v>502</v>
      </c>
      <c r="I916" t="s">
        <v>502</v>
      </c>
      <c r="J916" t="s">
        <v>502</v>
      </c>
      <c r="K916" t="s">
        <v>15</v>
      </c>
      <c r="L916" t="s">
        <v>502</v>
      </c>
      <c r="M916" t="e">
        <f>VLOOKUP(A916,[1]MSAKEN!$A$1:$F$562,6,FALSE)</f>
        <v>#N/A</v>
      </c>
    </row>
    <row r="917" spans="1:13" x14ac:dyDescent="0.3">
      <c r="A917">
        <v>1870</v>
      </c>
      <c r="B917" t="s">
        <v>482</v>
      </c>
      <c r="C917" t="s">
        <v>481</v>
      </c>
      <c r="D917" t="s">
        <v>651</v>
      </c>
      <c r="E917" t="s">
        <v>584</v>
      </c>
      <c r="F917" s="4">
        <v>27811</v>
      </c>
      <c r="G917">
        <v>3989734</v>
      </c>
      <c r="H917">
        <v>1223107309</v>
      </c>
      <c r="I917" t="s">
        <v>983</v>
      </c>
      <c r="J917" t="s">
        <v>511</v>
      </c>
      <c r="K917" t="s">
        <v>15</v>
      </c>
      <c r="L917" t="s">
        <v>506</v>
      </c>
      <c r="M917" t="str">
        <f>VLOOKUP(A917,[1]MSAKEN!$A$1:$F$562,6,FALSE)</f>
        <v>17503000000152905858</v>
      </c>
    </row>
    <row r="918" spans="1:13" x14ac:dyDescent="0.3">
      <c r="A918">
        <v>1871</v>
      </c>
      <c r="B918" t="s">
        <v>199</v>
      </c>
      <c r="C918" t="s">
        <v>224</v>
      </c>
      <c r="D918" t="s">
        <v>535</v>
      </c>
      <c r="E918" t="s">
        <v>536</v>
      </c>
      <c r="F918" s="4">
        <v>28783</v>
      </c>
      <c r="G918">
        <v>5564748</v>
      </c>
      <c r="H918">
        <v>1208875300</v>
      </c>
      <c r="I918" t="s">
        <v>1803</v>
      </c>
      <c r="J918" t="s">
        <v>513</v>
      </c>
      <c r="K918" t="s">
        <v>15</v>
      </c>
      <c r="L918" t="s">
        <v>506</v>
      </c>
      <c r="M918" t="str">
        <f>VLOOKUP(A918,[1]MSAKEN!$A$1:$F$562,6,FALSE)</f>
        <v>04204067404001183744</v>
      </c>
    </row>
    <row r="919" spans="1:13" x14ac:dyDescent="0.3">
      <c r="A919">
        <v>1872</v>
      </c>
      <c r="B919" t="s">
        <v>1804</v>
      </c>
      <c r="C919" t="s">
        <v>26</v>
      </c>
      <c r="D919" t="s">
        <v>711</v>
      </c>
      <c r="E919" t="s">
        <v>1236</v>
      </c>
      <c r="F919" s="4">
        <v>25994</v>
      </c>
      <c r="G919">
        <v>2997919</v>
      </c>
      <c r="H919">
        <v>1208785103</v>
      </c>
      <c r="I919" t="s">
        <v>1805</v>
      </c>
      <c r="J919" t="s">
        <v>513</v>
      </c>
      <c r="K919" t="s">
        <v>15</v>
      </c>
      <c r="L919" t="s">
        <v>506</v>
      </c>
      <c r="M919" t="str">
        <f>VLOOKUP(A919,[1]MSAKEN!$A$1:$F$562,6,FALSE)</f>
        <v>04204067404001194414</v>
      </c>
    </row>
    <row r="920" spans="1:13" x14ac:dyDescent="0.3">
      <c r="A920">
        <v>1873</v>
      </c>
      <c r="B920" t="s">
        <v>372</v>
      </c>
      <c r="C920" t="s">
        <v>298</v>
      </c>
      <c r="D920" t="s">
        <v>674</v>
      </c>
      <c r="E920" t="s">
        <v>1769</v>
      </c>
      <c r="F920" s="4">
        <v>30376</v>
      </c>
      <c r="G920">
        <v>8430625</v>
      </c>
      <c r="H920">
        <v>1208889509</v>
      </c>
      <c r="I920" t="s">
        <v>1806</v>
      </c>
      <c r="J920" t="s">
        <v>513</v>
      </c>
      <c r="K920" t="s">
        <v>15</v>
      </c>
      <c r="L920" t="s">
        <v>506</v>
      </c>
      <c r="M920" t="e">
        <f>VLOOKUP(A920,[1]MSAKEN!$A$1:$F$562,6,FALSE)</f>
        <v>#N/A</v>
      </c>
    </row>
    <row r="921" spans="1:13" x14ac:dyDescent="0.3">
      <c r="A921">
        <v>1874</v>
      </c>
      <c r="B921" t="s">
        <v>856</v>
      </c>
      <c r="C921" t="s">
        <v>224</v>
      </c>
      <c r="D921" t="s">
        <v>535</v>
      </c>
      <c r="E921" t="s">
        <v>1542</v>
      </c>
      <c r="F921" s="4">
        <v>28655</v>
      </c>
      <c r="G921">
        <v>5588895</v>
      </c>
      <c r="H921">
        <v>1208718203</v>
      </c>
      <c r="I921" t="s">
        <v>1807</v>
      </c>
      <c r="J921" t="s">
        <v>513</v>
      </c>
      <c r="K921" t="s">
        <v>15</v>
      </c>
      <c r="L921" t="s">
        <v>506</v>
      </c>
      <c r="M921" t="e">
        <f>VLOOKUP(A921,[1]MSAKEN!$A$1:$F$562,6,FALSE)</f>
        <v>#N/A</v>
      </c>
    </row>
    <row r="922" spans="1:13" x14ac:dyDescent="0.3">
      <c r="A922">
        <v>1875</v>
      </c>
      <c r="B922" t="s">
        <v>1808</v>
      </c>
      <c r="C922" t="s">
        <v>1809</v>
      </c>
      <c r="D922" t="s">
        <v>502</v>
      </c>
      <c r="E922" t="s">
        <v>502</v>
      </c>
      <c r="F922" t="s">
        <v>502</v>
      </c>
      <c r="G922" t="s">
        <v>502</v>
      </c>
      <c r="H922" t="s">
        <v>502</v>
      </c>
      <c r="I922" t="s">
        <v>502</v>
      </c>
      <c r="J922" t="s">
        <v>502</v>
      </c>
      <c r="K922" t="s">
        <v>15</v>
      </c>
      <c r="L922" t="s">
        <v>502</v>
      </c>
      <c r="M922" t="e">
        <f>VLOOKUP(A922,[1]MSAKEN!$A$1:$F$562,6,FALSE)</f>
        <v>#N/A</v>
      </c>
    </row>
    <row r="923" spans="1:13" x14ac:dyDescent="0.3">
      <c r="A923">
        <v>1876</v>
      </c>
      <c r="B923" t="s">
        <v>354</v>
      </c>
      <c r="C923" t="s">
        <v>306</v>
      </c>
      <c r="D923" t="s">
        <v>535</v>
      </c>
      <c r="E923" t="s">
        <v>584</v>
      </c>
      <c r="F923" s="4">
        <v>28611</v>
      </c>
      <c r="G923">
        <v>5586302</v>
      </c>
      <c r="H923">
        <v>1208655504</v>
      </c>
      <c r="I923" t="s">
        <v>1810</v>
      </c>
      <c r="J923" t="s">
        <v>513</v>
      </c>
      <c r="K923" t="s">
        <v>15</v>
      </c>
      <c r="L923" t="s">
        <v>506</v>
      </c>
      <c r="M923" t="str">
        <f>VLOOKUP(A923,[1]MSAKEN!$A$1:$F$562,6,FALSE)</f>
        <v>12505000580103818461</v>
      </c>
    </row>
    <row r="924" spans="1:13" x14ac:dyDescent="0.3">
      <c r="A924">
        <v>1877</v>
      </c>
      <c r="B924" t="s">
        <v>275</v>
      </c>
      <c r="C924" t="s">
        <v>274</v>
      </c>
      <c r="D924" t="s">
        <v>834</v>
      </c>
      <c r="E924" t="s">
        <v>1542</v>
      </c>
      <c r="F924" s="4">
        <v>29504</v>
      </c>
      <c r="G924">
        <v>5582729</v>
      </c>
      <c r="H924">
        <v>1208724508</v>
      </c>
      <c r="I924" t="s">
        <v>1811</v>
      </c>
      <c r="J924" t="s">
        <v>513</v>
      </c>
      <c r="K924" t="s">
        <v>15</v>
      </c>
      <c r="L924" t="s">
        <v>506</v>
      </c>
      <c r="M924" t="str">
        <f>VLOOKUP(A924,[1]MSAKEN!$A$1:$F$562,6,FALSE)</f>
        <v>04204067404002204087</v>
      </c>
    </row>
    <row r="925" spans="1:13" x14ac:dyDescent="0.3">
      <c r="A925">
        <v>1878</v>
      </c>
      <c r="B925" t="s">
        <v>83</v>
      </c>
      <c r="C925" t="s">
        <v>1812</v>
      </c>
      <c r="D925" t="s">
        <v>1027</v>
      </c>
      <c r="E925" t="s">
        <v>546</v>
      </c>
      <c r="F925" s="4">
        <v>29727</v>
      </c>
      <c r="G925">
        <v>8427725</v>
      </c>
      <c r="H925">
        <v>1208762508</v>
      </c>
      <c r="I925" t="s">
        <v>1741</v>
      </c>
      <c r="J925" t="s">
        <v>513</v>
      </c>
      <c r="K925" t="s">
        <v>15</v>
      </c>
      <c r="L925" t="s">
        <v>506</v>
      </c>
      <c r="M925" t="str">
        <f>VLOOKUP(A925,[1]MSAKEN!$A$1:$F$562,6,FALSE)</f>
        <v>25018000000024016590</v>
      </c>
    </row>
    <row r="926" spans="1:13" x14ac:dyDescent="0.3">
      <c r="A926">
        <v>1879</v>
      </c>
      <c r="B926" t="s">
        <v>328</v>
      </c>
      <c r="C926" t="s">
        <v>81</v>
      </c>
      <c r="D926" t="s">
        <v>1813</v>
      </c>
      <c r="E926" t="s">
        <v>1814</v>
      </c>
      <c r="F926" s="4">
        <v>27981</v>
      </c>
      <c r="G926">
        <v>8425914</v>
      </c>
      <c r="H926">
        <v>1208788503</v>
      </c>
      <c r="I926" t="s">
        <v>502</v>
      </c>
      <c r="J926" t="s">
        <v>568</v>
      </c>
      <c r="K926" t="s">
        <v>15</v>
      </c>
      <c r="L926" t="s">
        <v>506</v>
      </c>
      <c r="M926" t="str">
        <f>VLOOKUP(A926,[1]MSAKEN!$A$1:$F$562,6,FALSE)</f>
        <v>04204067404001126611</v>
      </c>
    </row>
    <row r="927" spans="1:13" x14ac:dyDescent="0.3">
      <c r="A927">
        <v>1880</v>
      </c>
      <c r="B927" t="s">
        <v>112</v>
      </c>
      <c r="C927" t="s">
        <v>1815</v>
      </c>
      <c r="D927" t="s">
        <v>520</v>
      </c>
      <c r="E927" t="s">
        <v>917</v>
      </c>
      <c r="F927" s="4">
        <v>29634</v>
      </c>
      <c r="G927">
        <v>5599972</v>
      </c>
      <c r="H927">
        <v>1208622900</v>
      </c>
      <c r="I927" t="s">
        <v>1816</v>
      </c>
      <c r="J927" t="s">
        <v>513</v>
      </c>
      <c r="K927" t="s">
        <v>16</v>
      </c>
      <c r="L927" t="s">
        <v>506</v>
      </c>
      <c r="M927" t="e">
        <f>VLOOKUP(A927,[1]MSAKEN!$A$1:$F$562,6,FALSE)</f>
        <v>#N/A</v>
      </c>
    </row>
    <row r="928" spans="1:13" x14ac:dyDescent="0.3">
      <c r="A928">
        <v>1881</v>
      </c>
      <c r="B928" t="s">
        <v>27</v>
      </c>
      <c r="C928" t="s">
        <v>26</v>
      </c>
      <c r="D928" t="s">
        <v>1817</v>
      </c>
      <c r="E928" t="s">
        <v>1818</v>
      </c>
      <c r="F928" s="4">
        <v>26946</v>
      </c>
      <c r="G928">
        <v>7513014</v>
      </c>
      <c r="H928">
        <v>1220021602</v>
      </c>
      <c r="I928" t="s">
        <v>1819</v>
      </c>
      <c r="J928" t="s">
        <v>718</v>
      </c>
      <c r="K928" t="s">
        <v>15</v>
      </c>
      <c r="L928" t="s">
        <v>506</v>
      </c>
      <c r="M928" t="str">
        <f>VLOOKUP(A928,[1]MSAKEN!$A$1:$F$562,6,FALSE)</f>
        <v>12015000960100861816</v>
      </c>
    </row>
    <row r="929" spans="1:13" x14ac:dyDescent="0.3">
      <c r="A929">
        <v>1882</v>
      </c>
      <c r="B929" t="s">
        <v>163</v>
      </c>
      <c r="C929" t="s">
        <v>159</v>
      </c>
      <c r="D929" t="s">
        <v>648</v>
      </c>
      <c r="E929" t="s">
        <v>699</v>
      </c>
      <c r="F929" s="4">
        <v>28129</v>
      </c>
      <c r="G929">
        <v>5583203</v>
      </c>
      <c r="H929">
        <v>1208910008</v>
      </c>
      <c r="I929" t="s">
        <v>1480</v>
      </c>
      <c r="J929" t="s">
        <v>513</v>
      </c>
      <c r="K929" t="s">
        <v>15</v>
      </c>
      <c r="L929" t="s">
        <v>506</v>
      </c>
      <c r="M929" t="str">
        <f>VLOOKUP(A929,[1]MSAKEN!$A$1:$F$562,6,FALSE)</f>
        <v>03508056010110008205</v>
      </c>
    </row>
    <row r="930" spans="1:13" x14ac:dyDescent="0.3">
      <c r="A930">
        <v>1883</v>
      </c>
      <c r="B930" t="s">
        <v>124</v>
      </c>
      <c r="C930" t="s">
        <v>76</v>
      </c>
      <c r="D930" t="s">
        <v>834</v>
      </c>
      <c r="E930" t="s">
        <v>649</v>
      </c>
      <c r="F930" s="4">
        <v>28524</v>
      </c>
      <c r="G930">
        <v>5595524</v>
      </c>
      <c r="H930">
        <v>1219913405</v>
      </c>
      <c r="I930" t="s">
        <v>1820</v>
      </c>
      <c r="J930" t="s">
        <v>1048</v>
      </c>
      <c r="K930" t="s">
        <v>16</v>
      </c>
      <c r="L930" t="s">
        <v>506</v>
      </c>
      <c r="M930" t="str">
        <f>VLOOKUP(A930,[1]MSAKEN!$A$1:$F$562,6,FALSE)</f>
        <v>08506000252003382641</v>
      </c>
    </row>
    <row r="931" spans="1:13" x14ac:dyDescent="0.3">
      <c r="A931">
        <v>1884</v>
      </c>
      <c r="B931" t="s">
        <v>1821</v>
      </c>
      <c r="C931" t="s">
        <v>228</v>
      </c>
      <c r="D931" t="s">
        <v>1224</v>
      </c>
      <c r="E931" t="s">
        <v>536</v>
      </c>
      <c r="F931" s="4">
        <v>30730</v>
      </c>
      <c r="G931">
        <v>8460516</v>
      </c>
      <c r="H931">
        <v>1268696000</v>
      </c>
      <c r="I931" t="s">
        <v>1822</v>
      </c>
      <c r="J931" t="s">
        <v>1323</v>
      </c>
      <c r="K931" t="s">
        <v>15</v>
      </c>
      <c r="L931" t="s">
        <v>506</v>
      </c>
      <c r="M931" t="str">
        <f>VLOOKUP(A931,[1]MSAKEN!$A$1:$F$562,6,FALSE)</f>
        <v>20009090001148364675</v>
      </c>
    </row>
    <row r="932" spans="1:13" x14ac:dyDescent="0.3">
      <c r="A932">
        <v>1885</v>
      </c>
      <c r="B932" t="s">
        <v>1823</v>
      </c>
      <c r="C932" t="s">
        <v>1824</v>
      </c>
      <c r="D932" t="s">
        <v>502</v>
      </c>
      <c r="E932" t="s">
        <v>502</v>
      </c>
      <c r="F932" s="4">
        <v>27972</v>
      </c>
      <c r="G932" t="s">
        <v>502</v>
      </c>
      <c r="H932" t="s">
        <v>502</v>
      </c>
      <c r="I932" t="s">
        <v>502</v>
      </c>
      <c r="J932" t="s">
        <v>502</v>
      </c>
      <c r="K932" t="s">
        <v>15</v>
      </c>
      <c r="L932" t="s">
        <v>502</v>
      </c>
      <c r="M932" t="e">
        <f>VLOOKUP(A932,[1]MSAKEN!$A$1:$F$562,6,FALSE)</f>
        <v>#N/A</v>
      </c>
    </row>
    <row r="933" spans="1:13" x14ac:dyDescent="0.3">
      <c r="A933">
        <v>1886</v>
      </c>
      <c r="B933" t="s">
        <v>381</v>
      </c>
      <c r="C933" t="s">
        <v>145</v>
      </c>
      <c r="D933" t="s">
        <v>502</v>
      </c>
      <c r="E933" t="s">
        <v>502</v>
      </c>
      <c r="F933" s="4">
        <v>29893</v>
      </c>
      <c r="G933">
        <v>8436430</v>
      </c>
      <c r="H933">
        <v>1208888303</v>
      </c>
      <c r="I933" t="s">
        <v>1825</v>
      </c>
      <c r="J933" t="s">
        <v>513</v>
      </c>
      <c r="K933" t="s">
        <v>16</v>
      </c>
      <c r="L933" t="s">
        <v>506</v>
      </c>
      <c r="M933" t="e">
        <f>VLOOKUP(A933,[1]MSAKEN!$A$1:$F$562,6,FALSE)</f>
        <v>#N/A</v>
      </c>
    </row>
    <row r="934" spans="1:13" x14ac:dyDescent="0.3">
      <c r="A934">
        <v>1887</v>
      </c>
      <c r="B934" t="s">
        <v>1826</v>
      </c>
      <c r="C934" t="s">
        <v>81</v>
      </c>
      <c r="D934" t="s">
        <v>1724</v>
      </c>
      <c r="E934" t="s">
        <v>696</v>
      </c>
      <c r="F934" s="4">
        <v>30161</v>
      </c>
      <c r="G934">
        <v>8442074</v>
      </c>
      <c r="H934">
        <v>1208830107</v>
      </c>
      <c r="I934" t="s">
        <v>502</v>
      </c>
      <c r="J934" t="s">
        <v>568</v>
      </c>
      <c r="K934" t="s">
        <v>15</v>
      </c>
      <c r="L934" t="s">
        <v>506</v>
      </c>
      <c r="M934" t="str">
        <f>VLOOKUP(A934,[1]MSAKEN!$A$1:$F$562,6,FALSE)</f>
        <v>04204067404002177897</v>
      </c>
    </row>
    <row r="935" spans="1:13" x14ac:dyDescent="0.3">
      <c r="A935">
        <v>1888</v>
      </c>
      <c r="B935" t="s">
        <v>310</v>
      </c>
      <c r="C935" t="s">
        <v>224</v>
      </c>
      <c r="D935" t="s">
        <v>502</v>
      </c>
      <c r="E935" t="s">
        <v>502</v>
      </c>
      <c r="F935" s="4">
        <v>29010</v>
      </c>
      <c r="G935" t="s">
        <v>502</v>
      </c>
      <c r="H935" t="s">
        <v>502</v>
      </c>
      <c r="I935" t="s">
        <v>502</v>
      </c>
      <c r="J935" t="s">
        <v>502</v>
      </c>
      <c r="K935" t="s">
        <v>15</v>
      </c>
      <c r="L935" t="s">
        <v>502</v>
      </c>
      <c r="M935" t="e">
        <f>VLOOKUP(A935,[1]MSAKEN!$A$1:$F$562,6,FALSE)</f>
        <v>#N/A</v>
      </c>
    </row>
    <row r="936" spans="1:13" x14ac:dyDescent="0.3">
      <c r="A936">
        <v>1889</v>
      </c>
      <c r="B936" t="s">
        <v>1827</v>
      </c>
      <c r="C936" t="s">
        <v>321</v>
      </c>
      <c r="D936" t="s">
        <v>502</v>
      </c>
      <c r="E936" t="s">
        <v>502</v>
      </c>
      <c r="F936" t="s">
        <v>502</v>
      </c>
      <c r="G936" t="s">
        <v>502</v>
      </c>
      <c r="H936" t="s">
        <v>502</v>
      </c>
      <c r="I936" t="s">
        <v>502</v>
      </c>
      <c r="J936" t="s">
        <v>502</v>
      </c>
      <c r="K936" t="s">
        <v>15</v>
      </c>
      <c r="L936" t="s">
        <v>502</v>
      </c>
      <c r="M936" t="e">
        <f>VLOOKUP(A936,[1]MSAKEN!$A$1:$F$562,6,FALSE)</f>
        <v>#N/A</v>
      </c>
    </row>
    <row r="937" spans="1:13" x14ac:dyDescent="0.3">
      <c r="A937">
        <v>1890</v>
      </c>
      <c r="B937" t="s">
        <v>1808</v>
      </c>
      <c r="C937" t="s">
        <v>1005</v>
      </c>
      <c r="D937" t="s">
        <v>502</v>
      </c>
      <c r="E937" t="s">
        <v>502</v>
      </c>
      <c r="F937" t="s">
        <v>502</v>
      </c>
      <c r="G937" t="s">
        <v>502</v>
      </c>
      <c r="H937" t="s">
        <v>502</v>
      </c>
      <c r="I937" t="s">
        <v>502</v>
      </c>
      <c r="J937" t="s">
        <v>502</v>
      </c>
      <c r="K937" t="s">
        <v>16</v>
      </c>
      <c r="L937" t="s">
        <v>502</v>
      </c>
      <c r="M937" t="e">
        <f>VLOOKUP(A937,[1]MSAKEN!$A$1:$F$562,6,FALSE)</f>
        <v>#N/A</v>
      </c>
    </row>
    <row r="938" spans="1:13" x14ac:dyDescent="0.3">
      <c r="A938">
        <v>1893</v>
      </c>
      <c r="B938" t="s">
        <v>1828</v>
      </c>
      <c r="C938" t="s">
        <v>26</v>
      </c>
      <c r="D938" t="s">
        <v>502</v>
      </c>
      <c r="E938" t="s">
        <v>502</v>
      </c>
      <c r="F938" s="4">
        <v>30045</v>
      </c>
      <c r="G938">
        <v>8125080</v>
      </c>
      <c r="H938" t="s">
        <v>502</v>
      </c>
      <c r="I938" t="s">
        <v>1829</v>
      </c>
      <c r="J938" t="s">
        <v>1461</v>
      </c>
      <c r="K938" t="s">
        <v>502</v>
      </c>
      <c r="L938" t="s">
        <v>506</v>
      </c>
      <c r="M938" t="e">
        <f>VLOOKUP(A938,[1]MSAKEN!$A$1:$F$562,6,FALSE)</f>
        <v>#N/A</v>
      </c>
    </row>
    <row r="939" spans="1:13" x14ac:dyDescent="0.3">
      <c r="A939">
        <v>1896</v>
      </c>
      <c r="B939" t="s">
        <v>295</v>
      </c>
      <c r="C939" t="s">
        <v>294</v>
      </c>
      <c r="D939" t="s">
        <v>535</v>
      </c>
      <c r="E939" t="s">
        <v>926</v>
      </c>
      <c r="F939" s="4">
        <v>28375</v>
      </c>
      <c r="G939">
        <v>5562668</v>
      </c>
      <c r="H939">
        <v>1208835304</v>
      </c>
      <c r="I939" t="s">
        <v>1830</v>
      </c>
      <c r="J939" t="s">
        <v>718</v>
      </c>
      <c r="K939" t="s">
        <v>15</v>
      </c>
      <c r="L939" t="s">
        <v>506</v>
      </c>
      <c r="M939" t="str">
        <f>VLOOKUP(A939,[1]MSAKEN!$A$1:$F$562,6,FALSE)</f>
        <v>12033000000209881779</v>
      </c>
    </row>
    <row r="940" spans="1:13" x14ac:dyDescent="0.3">
      <c r="A940">
        <v>1897</v>
      </c>
      <c r="B940" t="s">
        <v>473</v>
      </c>
      <c r="C940" t="s">
        <v>472</v>
      </c>
      <c r="D940" t="s">
        <v>545</v>
      </c>
      <c r="E940" t="s">
        <v>1831</v>
      </c>
      <c r="F940" s="4">
        <v>29735</v>
      </c>
      <c r="G940">
        <v>8456541</v>
      </c>
      <c r="H940">
        <v>1268669908</v>
      </c>
      <c r="I940" t="s">
        <v>1832</v>
      </c>
      <c r="J940" t="s">
        <v>1323</v>
      </c>
      <c r="K940" t="s">
        <v>15</v>
      </c>
      <c r="L940" t="s">
        <v>506</v>
      </c>
      <c r="M940" t="str">
        <f>VLOOKUP(A940,[1]MSAKEN!$A$1:$F$562,6,FALSE)</f>
        <v>08507000262004911849</v>
      </c>
    </row>
    <row r="941" spans="1:13" x14ac:dyDescent="0.3">
      <c r="A941">
        <v>1898</v>
      </c>
      <c r="B941" t="s">
        <v>83</v>
      </c>
      <c r="C941" t="s">
        <v>296</v>
      </c>
      <c r="D941" t="s">
        <v>654</v>
      </c>
      <c r="E941" t="s">
        <v>1789</v>
      </c>
      <c r="F941" s="4">
        <v>29931</v>
      </c>
      <c r="G941">
        <v>8430357</v>
      </c>
      <c r="H941">
        <v>1268669700</v>
      </c>
      <c r="I941" t="s">
        <v>1833</v>
      </c>
      <c r="J941" t="s">
        <v>513</v>
      </c>
      <c r="K941" t="s">
        <v>15</v>
      </c>
      <c r="L941" t="s">
        <v>506</v>
      </c>
      <c r="M941" t="str">
        <f>VLOOKUP(A941,[1]MSAKEN!$A$1:$F$562,6,FALSE)</f>
        <v>12505000580103396414</v>
      </c>
    </row>
    <row r="942" spans="1:13" x14ac:dyDescent="0.3">
      <c r="A942">
        <v>1899</v>
      </c>
      <c r="B942" t="s">
        <v>1834</v>
      </c>
      <c r="C942" t="s">
        <v>60</v>
      </c>
      <c r="D942" t="s">
        <v>502</v>
      </c>
      <c r="E942" t="s">
        <v>502</v>
      </c>
      <c r="F942" s="4">
        <v>28401</v>
      </c>
      <c r="G942">
        <v>5593120</v>
      </c>
      <c r="H942">
        <v>1208998300</v>
      </c>
      <c r="I942" t="s">
        <v>1835</v>
      </c>
      <c r="J942" t="s">
        <v>513</v>
      </c>
      <c r="K942" t="s">
        <v>15</v>
      </c>
      <c r="L942" t="s">
        <v>506</v>
      </c>
      <c r="M942" t="e">
        <f>VLOOKUP(A942,[1]MSAKEN!$A$1:$F$562,6,FALSE)</f>
        <v>#N/A</v>
      </c>
    </row>
    <row r="943" spans="1:13" x14ac:dyDescent="0.3">
      <c r="A943">
        <v>1900</v>
      </c>
      <c r="B943" t="s">
        <v>297</v>
      </c>
      <c r="C943" t="s">
        <v>45</v>
      </c>
      <c r="D943" t="s">
        <v>834</v>
      </c>
      <c r="E943" t="s">
        <v>584</v>
      </c>
      <c r="F943" s="4">
        <v>28661</v>
      </c>
      <c r="G943">
        <v>5558425</v>
      </c>
      <c r="H943">
        <v>1208430809</v>
      </c>
      <c r="I943" t="s">
        <v>1836</v>
      </c>
      <c r="J943" t="s">
        <v>513</v>
      </c>
      <c r="K943" t="s">
        <v>15</v>
      </c>
      <c r="L943" t="s">
        <v>506</v>
      </c>
      <c r="M943" t="str">
        <f>VLOOKUP(A943,[1]MSAKEN!$A$1:$F$562,6,FALSE)</f>
        <v>10506040207118978833</v>
      </c>
    </row>
    <row r="944" spans="1:13" x14ac:dyDescent="0.3">
      <c r="A944">
        <v>1901</v>
      </c>
      <c r="B944" t="s">
        <v>1837</v>
      </c>
      <c r="C944" t="s">
        <v>321</v>
      </c>
      <c r="D944" t="s">
        <v>588</v>
      </c>
      <c r="E944" t="s">
        <v>569</v>
      </c>
      <c r="F944" s="4">
        <v>26774</v>
      </c>
      <c r="G944">
        <v>5553616</v>
      </c>
      <c r="H944">
        <v>1268669809</v>
      </c>
      <c r="I944" t="s">
        <v>1838</v>
      </c>
      <c r="J944" t="s">
        <v>513</v>
      </c>
      <c r="K944" t="s">
        <v>15</v>
      </c>
      <c r="L944" t="s">
        <v>506</v>
      </c>
      <c r="M944" t="str">
        <f>VLOOKUP(A944,[1]MSAKEN!$A$1:$F$562,6,FALSE)</f>
        <v>10506040207744978809</v>
      </c>
    </row>
    <row r="945" spans="1:13" x14ac:dyDescent="0.3">
      <c r="A945">
        <v>1902</v>
      </c>
      <c r="B945" t="s">
        <v>582</v>
      </c>
      <c r="C945" t="s">
        <v>81</v>
      </c>
      <c r="D945" t="s">
        <v>1839</v>
      </c>
      <c r="E945" t="s">
        <v>1558</v>
      </c>
      <c r="F945" s="4">
        <v>28595</v>
      </c>
      <c r="G945">
        <v>5573807</v>
      </c>
      <c r="H945">
        <v>1268617105</v>
      </c>
      <c r="I945" t="s">
        <v>1840</v>
      </c>
      <c r="J945" t="s">
        <v>513</v>
      </c>
      <c r="K945" t="s">
        <v>15</v>
      </c>
      <c r="L945" t="s">
        <v>506</v>
      </c>
      <c r="M945" t="str">
        <f>VLOOKUP(A945,[1]MSAKEN!$A$1:$F$562,6,FALSE)</f>
        <v>10317123100981078885</v>
      </c>
    </row>
    <row r="946" spans="1:13" x14ac:dyDescent="0.3">
      <c r="A946">
        <v>1903</v>
      </c>
      <c r="B946" t="s">
        <v>533</v>
      </c>
      <c r="C946" t="s">
        <v>98</v>
      </c>
      <c r="D946" t="s">
        <v>535</v>
      </c>
      <c r="E946" t="s">
        <v>569</v>
      </c>
      <c r="F946" s="4">
        <v>21498</v>
      </c>
      <c r="G946">
        <v>2849465</v>
      </c>
      <c r="H946">
        <v>1268627500</v>
      </c>
      <c r="I946" t="s">
        <v>1841</v>
      </c>
      <c r="J946" t="s">
        <v>513</v>
      </c>
      <c r="K946" t="s">
        <v>15</v>
      </c>
      <c r="L946" t="s">
        <v>506</v>
      </c>
      <c r="M946" t="e">
        <f>VLOOKUP(A946,[1]MSAKEN!$A$1:$F$562,6,FALSE)</f>
        <v>#N/A</v>
      </c>
    </row>
    <row r="947" spans="1:13" x14ac:dyDescent="0.3">
      <c r="A947">
        <v>1904</v>
      </c>
      <c r="B947" t="s">
        <v>229</v>
      </c>
      <c r="C947" t="s">
        <v>31</v>
      </c>
      <c r="D947" t="s">
        <v>711</v>
      </c>
      <c r="E947" t="s">
        <v>1542</v>
      </c>
      <c r="F947" s="4">
        <v>26735</v>
      </c>
      <c r="G947">
        <v>5529342</v>
      </c>
      <c r="H947">
        <v>1208124105</v>
      </c>
      <c r="I947" t="s">
        <v>1842</v>
      </c>
      <c r="J947" t="s">
        <v>513</v>
      </c>
      <c r="K947" t="s">
        <v>15</v>
      </c>
      <c r="L947" t="s">
        <v>506</v>
      </c>
      <c r="M947" t="str">
        <f>VLOOKUP(A947,[1]MSAKEN!$A$1:$F$562,6,FALSE)</f>
        <v>08507000262006521079</v>
      </c>
    </row>
    <row r="948" spans="1:13" x14ac:dyDescent="0.3">
      <c r="A948">
        <v>1905</v>
      </c>
      <c r="B948" t="s">
        <v>190</v>
      </c>
      <c r="C948" t="s">
        <v>34</v>
      </c>
      <c r="D948" t="s">
        <v>632</v>
      </c>
      <c r="E948" t="s">
        <v>584</v>
      </c>
      <c r="F948" s="4">
        <v>26106</v>
      </c>
      <c r="G948">
        <v>5525298</v>
      </c>
      <c r="H948">
        <v>1268670906</v>
      </c>
      <c r="I948" t="s">
        <v>1843</v>
      </c>
      <c r="J948" t="s">
        <v>513</v>
      </c>
      <c r="K948" t="s">
        <v>15</v>
      </c>
      <c r="L948" t="s">
        <v>506</v>
      </c>
      <c r="M948" t="str">
        <f>VLOOKUP(A948,[1]MSAKEN!$A$1:$F$562,6,FALSE)</f>
        <v>12505000000211321165</v>
      </c>
    </row>
    <row r="949" spans="1:13" x14ac:dyDescent="0.3">
      <c r="A949">
        <v>1906</v>
      </c>
      <c r="B949" t="s">
        <v>283</v>
      </c>
      <c r="C949" t="s">
        <v>420</v>
      </c>
      <c r="D949" t="s">
        <v>520</v>
      </c>
      <c r="E949" t="s">
        <v>1571</v>
      </c>
      <c r="F949" s="4">
        <v>30268</v>
      </c>
      <c r="G949">
        <v>5598226</v>
      </c>
      <c r="H949">
        <v>1268669403</v>
      </c>
      <c r="I949" t="s">
        <v>1844</v>
      </c>
      <c r="J949" t="s">
        <v>574</v>
      </c>
      <c r="K949" t="s">
        <v>15</v>
      </c>
      <c r="L949" t="s">
        <v>506</v>
      </c>
      <c r="M949" t="str">
        <f>VLOOKUP(A949,[1]MSAKEN!$A$1:$F$562,6,FALSE)</f>
        <v>12505000000213947343</v>
      </c>
    </row>
    <row r="950" spans="1:13" x14ac:dyDescent="0.3">
      <c r="A950">
        <v>1907</v>
      </c>
      <c r="B950" t="s">
        <v>165</v>
      </c>
      <c r="C950" t="s">
        <v>242</v>
      </c>
      <c r="D950" t="s">
        <v>598</v>
      </c>
      <c r="E950" t="s">
        <v>696</v>
      </c>
      <c r="F950" s="4">
        <v>29304</v>
      </c>
      <c r="G950">
        <v>5586528</v>
      </c>
      <c r="H950">
        <v>1208426203</v>
      </c>
      <c r="I950" t="s">
        <v>1845</v>
      </c>
      <c r="J950" t="s">
        <v>513</v>
      </c>
      <c r="K950" t="s">
        <v>15</v>
      </c>
      <c r="L950" t="s">
        <v>506</v>
      </c>
      <c r="M950" t="str">
        <f>VLOOKUP(A950,[1]MSAKEN!$A$1:$F$562,6,FALSE)</f>
        <v>32026788101064025140</v>
      </c>
    </row>
    <row r="951" spans="1:13" x14ac:dyDescent="0.3">
      <c r="A951">
        <v>1908</v>
      </c>
      <c r="B951" t="s">
        <v>277</v>
      </c>
      <c r="C951" t="s">
        <v>276</v>
      </c>
      <c r="D951" t="s">
        <v>1846</v>
      </c>
      <c r="E951" t="s">
        <v>584</v>
      </c>
      <c r="F951" s="4">
        <v>29340</v>
      </c>
      <c r="G951">
        <v>5582073</v>
      </c>
      <c r="H951">
        <v>1268804307</v>
      </c>
      <c r="I951" t="s">
        <v>1847</v>
      </c>
      <c r="J951" t="s">
        <v>513</v>
      </c>
      <c r="K951" t="s">
        <v>15</v>
      </c>
      <c r="L951" t="s">
        <v>506</v>
      </c>
      <c r="M951" t="str">
        <f>VLOOKUP(A951,[1]MSAKEN!$A$1:$F$562,6,FALSE)</f>
        <v>04204067000535840334</v>
      </c>
    </row>
    <row r="952" spans="1:13" x14ac:dyDescent="0.3">
      <c r="A952">
        <v>1909</v>
      </c>
      <c r="B952" t="s">
        <v>193</v>
      </c>
      <c r="C952" t="s">
        <v>209</v>
      </c>
      <c r="D952" t="s">
        <v>677</v>
      </c>
      <c r="E952" t="s">
        <v>584</v>
      </c>
      <c r="F952" s="4">
        <v>30922</v>
      </c>
      <c r="G952">
        <v>8466097</v>
      </c>
      <c r="H952">
        <v>1268944202</v>
      </c>
      <c r="I952" t="s">
        <v>1848</v>
      </c>
      <c r="J952" t="s">
        <v>513</v>
      </c>
      <c r="K952" t="s">
        <v>15</v>
      </c>
      <c r="L952" t="s">
        <v>506</v>
      </c>
      <c r="M952" t="str">
        <f>VLOOKUP(A952,[1]MSAKEN!$A$1:$F$562,6,FALSE)</f>
        <v>05048000116500152029</v>
      </c>
    </row>
    <row r="953" spans="1:13" x14ac:dyDescent="0.3">
      <c r="A953">
        <v>1910</v>
      </c>
      <c r="B953" t="s">
        <v>210</v>
      </c>
      <c r="C953" t="s">
        <v>143</v>
      </c>
      <c r="D953" t="s">
        <v>1724</v>
      </c>
      <c r="E953" t="s">
        <v>649</v>
      </c>
      <c r="F953" s="4">
        <v>31335</v>
      </c>
      <c r="G953">
        <v>8471747</v>
      </c>
      <c r="H953">
        <v>1268494103</v>
      </c>
      <c r="I953" t="s">
        <v>1849</v>
      </c>
      <c r="J953" t="s">
        <v>513</v>
      </c>
      <c r="K953" t="s">
        <v>15</v>
      </c>
      <c r="L953" t="s">
        <v>506</v>
      </c>
      <c r="M953" t="str">
        <f>VLOOKUP(A953,[1]MSAKEN!$A$1:$F$562,6,FALSE)</f>
        <v>05048000116500151253</v>
      </c>
    </row>
    <row r="954" spans="1:13" x14ac:dyDescent="0.3">
      <c r="A954">
        <v>1911</v>
      </c>
      <c r="B954" t="s">
        <v>65</v>
      </c>
      <c r="C954" t="s">
        <v>44</v>
      </c>
      <c r="D954" t="s">
        <v>598</v>
      </c>
      <c r="E954" t="s">
        <v>652</v>
      </c>
      <c r="F954" s="4">
        <v>26859</v>
      </c>
      <c r="G954">
        <v>5511703</v>
      </c>
      <c r="H954">
        <v>1208457307</v>
      </c>
      <c r="I954" t="s">
        <v>1850</v>
      </c>
      <c r="J954" t="s">
        <v>513</v>
      </c>
      <c r="K954" t="s">
        <v>15</v>
      </c>
      <c r="L954" t="s">
        <v>506</v>
      </c>
      <c r="M954" t="str">
        <f>VLOOKUP(A954,[1]MSAKEN!$A$1:$F$562,6,FALSE)</f>
        <v>25066000000025239055</v>
      </c>
    </row>
    <row r="955" spans="1:13" x14ac:dyDescent="0.3">
      <c r="A955">
        <v>1912</v>
      </c>
      <c r="B955" t="s">
        <v>1804</v>
      </c>
      <c r="C955" t="s">
        <v>181</v>
      </c>
      <c r="D955" t="s">
        <v>711</v>
      </c>
      <c r="E955" t="s">
        <v>1236</v>
      </c>
      <c r="F955" s="4">
        <v>22131</v>
      </c>
      <c r="G955">
        <v>2890978</v>
      </c>
      <c r="H955">
        <v>86650500</v>
      </c>
      <c r="I955" t="s">
        <v>1851</v>
      </c>
      <c r="J955" t="s">
        <v>513</v>
      </c>
      <c r="K955" t="s">
        <v>15</v>
      </c>
      <c r="L955" t="s">
        <v>506</v>
      </c>
      <c r="M955" t="e">
        <f>VLOOKUP(A955,[1]MSAKEN!$A$1:$F$562,6,FALSE)</f>
        <v>#N/A</v>
      </c>
    </row>
    <row r="956" spans="1:13" x14ac:dyDescent="0.3">
      <c r="A956">
        <v>1913</v>
      </c>
      <c r="B956" t="s">
        <v>268</v>
      </c>
      <c r="C956" t="s">
        <v>34</v>
      </c>
      <c r="D956" t="s">
        <v>658</v>
      </c>
      <c r="E956" t="s">
        <v>1404</v>
      </c>
      <c r="F956" s="4">
        <v>28744</v>
      </c>
      <c r="G956">
        <v>5589628</v>
      </c>
      <c r="H956">
        <v>1208427102</v>
      </c>
      <c r="I956" t="s">
        <v>1852</v>
      </c>
      <c r="J956" t="s">
        <v>513</v>
      </c>
      <c r="K956" t="s">
        <v>16</v>
      </c>
      <c r="L956" t="s">
        <v>506</v>
      </c>
      <c r="M956" t="str">
        <f>VLOOKUP(A956,[1]MSAKEN!$A$1:$F$562,6,FALSE)</f>
        <v>05048000116500454669</v>
      </c>
    </row>
    <row r="957" spans="1:13" x14ac:dyDescent="0.3">
      <c r="A957">
        <v>1914</v>
      </c>
      <c r="B957" t="s">
        <v>486</v>
      </c>
      <c r="C957" t="s">
        <v>485</v>
      </c>
      <c r="D957" t="s">
        <v>615</v>
      </c>
      <c r="E957" t="s">
        <v>602</v>
      </c>
      <c r="F957" s="4">
        <v>28502</v>
      </c>
      <c r="G957">
        <v>5588458</v>
      </c>
      <c r="H957">
        <v>1208307304</v>
      </c>
      <c r="I957" t="s">
        <v>502</v>
      </c>
      <c r="J957" t="s">
        <v>1118</v>
      </c>
      <c r="K957" t="s">
        <v>15</v>
      </c>
      <c r="L957" t="s">
        <v>506</v>
      </c>
      <c r="M957" t="str">
        <f>VLOOKUP(A957,[1]MSAKEN!$A$1:$F$562,6,FALSE)</f>
        <v>03508056010110189207</v>
      </c>
    </row>
    <row r="958" spans="1:13" x14ac:dyDescent="0.3">
      <c r="A958">
        <v>1915</v>
      </c>
      <c r="B958" t="s">
        <v>582</v>
      </c>
      <c r="C958" t="s">
        <v>60</v>
      </c>
      <c r="D958" t="s">
        <v>535</v>
      </c>
      <c r="E958" t="s">
        <v>696</v>
      </c>
      <c r="F958" s="4">
        <v>28528</v>
      </c>
      <c r="G958">
        <v>5570372</v>
      </c>
      <c r="H958">
        <v>1208918704</v>
      </c>
      <c r="I958" t="s">
        <v>1853</v>
      </c>
      <c r="J958" t="s">
        <v>513</v>
      </c>
      <c r="K958" t="s">
        <v>15</v>
      </c>
      <c r="L958" t="s">
        <v>506</v>
      </c>
      <c r="M958" t="str">
        <f>VLOOKUP(A958,[1]MSAKEN!$A$1:$F$562,6,FALSE)</f>
        <v>12505000000211619925</v>
      </c>
    </row>
    <row r="959" spans="1:13" x14ac:dyDescent="0.3">
      <c r="A959">
        <v>1916</v>
      </c>
      <c r="B959" t="s">
        <v>197</v>
      </c>
      <c r="C959" t="s">
        <v>424</v>
      </c>
      <c r="D959" t="s">
        <v>1724</v>
      </c>
      <c r="E959" t="s">
        <v>708</v>
      </c>
      <c r="F959" s="4">
        <v>27148</v>
      </c>
      <c r="G959">
        <v>5558738</v>
      </c>
      <c r="H959">
        <v>1208361608</v>
      </c>
      <c r="I959" t="s">
        <v>502</v>
      </c>
      <c r="J959" t="s">
        <v>833</v>
      </c>
      <c r="K959" t="s">
        <v>15</v>
      </c>
      <c r="L959" t="s">
        <v>506</v>
      </c>
      <c r="M959" t="str">
        <f>VLOOKUP(A959,[1]MSAKEN!$A$1:$F$562,6,FALSE)</f>
        <v>12505000000211620604</v>
      </c>
    </row>
    <row r="960" spans="1:13" x14ac:dyDescent="0.3">
      <c r="A960">
        <v>1917</v>
      </c>
      <c r="B960" t="s">
        <v>103</v>
      </c>
      <c r="C960" t="s">
        <v>76</v>
      </c>
      <c r="D960" t="s">
        <v>535</v>
      </c>
      <c r="E960" t="s">
        <v>584</v>
      </c>
      <c r="F960" s="4">
        <v>25690</v>
      </c>
      <c r="G960">
        <v>2994183</v>
      </c>
      <c r="H960">
        <v>1150515805</v>
      </c>
      <c r="I960" t="s">
        <v>1854</v>
      </c>
      <c r="J960" t="s">
        <v>513</v>
      </c>
      <c r="K960" t="s">
        <v>15</v>
      </c>
      <c r="L960" t="s">
        <v>506</v>
      </c>
      <c r="M960" t="str">
        <f>VLOOKUP(A960,[1]MSAKEN!$A$1:$F$562,6,FALSE)</f>
        <v>12505000000211620701</v>
      </c>
    </row>
    <row r="961" spans="1:13" x14ac:dyDescent="0.3">
      <c r="A961">
        <v>1918</v>
      </c>
      <c r="B961" t="s">
        <v>360</v>
      </c>
      <c r="C961" t="s">
        <v>110</v>
      </c>
      <c r="D961" t="s">
        <v>535</v>
      </c>
      <c r="E961" t="s">
        <v>1855</v>
      </c>
      <c r="F961" s="4">
        <v>23865</v>
      </c>
      <c r="G961">
        <v>2977136</v>
      </c>
      <c r="H961">
        <v>1208778801</v>
      </c>
      <c r="I961" t="s">
        <v>1856</v>
      </c>
      <c r="J961" t="s">
        <v>513</v>
      </c>
      <c r="K961" t="s">
        <v>15</v>
      </c>
      <c r="L961" t="s">
        <v>506</v>
      </c>
      <c r="M961" t="str">
        <f>VLOOKUP(A961,[1]MSAKEN!$A$1:$F$562,6,FALSE)</f>
        <v>08507000262003259260</v>
      </c>
    </row>
    <row r="962" spans="1:13" x14ac:dyDescent="0.3">
      <c r="A962">
        <v>1919</v>
      </c>
      <c r="B962" t="s">
        <v>1857</v>
      </c>
      <c r="C962" t="s">
        <v>34</v>
      </c>
      <c r="D962" t="s">
        <v>674</v>
      </c>
      <c r="E962" t="s">
        <v>926</v>
      </c>
      <c r="F962" s="4">
        <v>28592</v>
      </c>
      <c r="G962">
        <v>5591868</v>
      </c>
      <c r="H962">
        <v>1208873305</v>
      </c>
      <c r="I962" t="s">
        <v>1858</v>
      </c>
      <c r="J962" t="s">
        <v>513</v>
      </c>
      <c r="K962" t="s">
        <v>16</v>
      </c>
      <c r="L962" t="s">
        <v>506</v>
      </c>
      <c r="M962" t="str">
        <f>VLOOKUP(A962,[1]MSAKEN!$A$1:$F$562,6,FALSE)</f>
        <v>04204067001486583603</v>
      </c>
    </row>
    <row r="963" spans="1:13" x14ac:dyDescent="0.3">
      <c r="A963">
        <v>1921</v>
      </c>
      <c r="B963" t="s">
        <v>223</v>
      </c>
      <c r="C963" t="s">
        <v>421</v>
      </c>
      <c r="D963" t="s">
        <v>598</v>
      </c>
      <c r="E963" t="s">
        <v>699</v>
      </c>
      <c r="F963" s="4">
        <v>27122</v>
      </c>
      <c r="G963">
        <v>5505016</v>
      </c>
      <c r="H963">
        <v>1208396307</v>
      </c>
      <c r="I963" t="s">
        <v>502</v>
      </c>
      <c r="J963" t="s">
        <v>568</v>
      </c>
      <c r="K963" t="s">
        <v>15</v>
      </c>
      <c r="L963" t="s">
        <v>506</v>
      </c>
      <c r="M963" t="str">
        <f>VLOOKUP(A963,[1]MSAKEN!$A$1:$F$562,6,FALSE)</f>
        <v>14014014100703346262</v>
      </c>
    </row>
    <row r="964" spans="1:13" x14ac:dyDescent="0.3">
      <c r="A964">
        <v>1922</v>
      </c>
      <c r="B964" t="s">
        <v>19</v>
      </c>
      <c r="C964" t="s">
        <v>106</v>
      </c>
      <c r="D964" t="s">
        <v>535</v>
      </c>
      <c r="E964" t="s">
        <v>536</v>
      </c>
      <c r="F964" s="4">
        <v>26642</v>
      </c>
      <c r="G964">
        <v>5551184</v>
      </c>
      <c r="H964">
        <v>1228355309</v>
      </c>
      <c r="I964" t="s">
        <v>1859</v>
      </c>
      <c r="J964" t="s">
        <v>513</v>
      </c>
      <c r="K964" t="s">
        <v>15</v>
      </c>
      <c r="L964" t="s">
        <v>506</v>
      </c>
      <c r="M964" t="str">
        <f>VLOOKUP(A964,[1]MSAKEN!$A$1:$F$562,6,FALSE)</f>
        <v>12505000000225277622</v>
      </c>
    </row>
    <row r="965" spans="1:13" x14ac:dyDescent="0.3">
      <c r="A965">
        <v>1923</v>
      </c>
      <c r="B965" t="s">
        <v>297</v>
      </c>
      <c r="C965" t="s">
        <v>70</v>
      </c>
      <c r="D965" t="s">
        <v>1795</v>
      </c>
      <c r="E965" t="s">
        <v>1571</v>
      </c>
      <c r="F965" s="4">
        <v>30852</v>
      </c>
      <c r="G965">
        <v>8461696</v>
      </c>
      <c r="H965">
        <v>1268690102</v>
      </c>
      <c r="I965" t="s">
        <v>1860</v>
      </c>
      <c r="J965" t="s">
        <v>513</v>
      </c>
      <c r="K965" t="s">
        <v>15</v>
      </c>
      <c r="L965" t="s">
        <v>506</v>
      </c>
      <c r="M965" t="str">
        <f>VLOOKUP(A965,[1]MSAKEN!$A$1:$F$562,6,FALSE)</f>
        <v>12058000000224419790</v>
      </c>
    </row>
    <row r="966" spans="1:13" x14ac:dyDescent="0.3">
      <c r="A966">
        <v>1924</v>
      </c>
      <c r="B966" t="s">
        <v>43</v>
      </c>
      <c r="C966" t="s">
        <v>1861</v>
      </c>
      <c r="D966" t="s">
        <v>648</v>
      </c>
      <c r="E966" t="s">
        <v>546</v>
      </c>
      <c r="F966" s="4">
        <v>26396</v>
      </c>
      <c r="G966">
        <v>5524699</v>
      </c>
      <c r="H966">
        <v>1208655900</v>
      </c>
      <c r="I966" t="s">
        <v>1835</v>
      </c>
      <c r="J966" t="s">
        <v>513</v>
      </c>
      <c r="K966" t="s">
        <v>15</v>
      </c>
      <c r="L966" t="s">
        <v>17</v>
      </c>
      <c r="M966" t="str">
        <f>VLOOKUP(A966,[1]MSAKEN!$A$1:$F$562,6,FALSE)</f>
        <v>25018000000020569307</v>
      </c>
    </row>
    <row r="967" spans="1:13" x14ac:dyDescent="0.3">
      <c r="A967">
        <v>1925</v>
      </c>
      <c r="B967" t="s">
        <v>304</v>
      </c>
      <c r="C967" t="s">
        <v>34</v>
      </c>
      <c r="D967" t="s">
        <v>1027</v>
      </c>
      <c r="E967" t="s">
        <v>1542</v>
      </c>
      <c r="F967" s="4">
        <v>27692</v>
      </c>
      <c r="G967">
        <v>4658212</v>
      </c>
      <c r="H967">
        <v>1285301303</v>
      </c>
      <c r="I967" t="s">
        <v>1862</v>
      </c>
      <c r="J967" t="s">
        <v>1863</v>
      </c>
      <c r="K967" t="s">
        <v>15</v>
      </c>
      <c r="L967" t="s">
        <v>506</v>
      </c>
      <c r="M967" t="str">
        <f>VLOOKUP(A967,[1]MSAKEN!$A$1:$F$562,6,FALSE)</f>
        <v>20009092229994195077</v>
      </c>
    </row>
    <row r="968" spans="1:13" x14ac:dyDescent="0.3">
      <c r="A968">
        <v>1926</v>
      </c>
      <c r="B968" t="s">
        <v>1864</v>
      </c>
      <c r="C968" t="s">
        <v>163</v>
      </c>
      <c r="D968" t="s">
        <v>502</v>
      </c>
      <c r="E968" t="s">
        <v>502</v>
      </c>
      <c r="F968" s="4">
        <v>19208</v>
      </c>
      <c r="G968">
        <v>1908700</v>
      </c>
      <c r="H968">
        <v>78596300</v>
      </c>
      <c r="I968" t="s">
        <v>1865</v>
      </c>
      <c r="J968" t="s">
        <v>513</v>
      </c>
      <c r="K968" t="s">
        <v>15</v>
      </c>
      <c r="L968" t="s">
        <v>506</v>
      </c>
      <c r="M968" t="e">
        <f>VLOOKUP(A968,[1]MSAKEN!$A$1:$F$562,6,FALSE)</f>
        <v>#N/A</v>
      </c>
    </row>
    <row r="969" spans="1:13" x14ac:dyDescent="0.3">
      <c r="A969">
        <v>1927</v>
      </c>
      <c r="B969" t="s">
        <v>666</v>
      </c>
      <c r="C969" t="s">
        <v>280</v>
      </c>
      <c r="D969" t="s">
        <v>615</v>
      </c>
      <c r="E969" t="s">
        <v>1789</v>
      </c>
      <c r="F969" s="4">
        <v>30137</v>
      </c>
      <c r="G969">
        <v>8463435</v>
      </c>
      <c r="H969">
        <v>1639271707</v>
      </c>
      <c r="I969" t="s">
        <v>1866</v>
      </c>
      <c r="J969" t="s">
        <v>755</v>
      </c>
      <c r="K969" t="s">
        <v>15</v>
      </c>
      <c r="L969" t="s">
        <v>506</v>
      </c>
      <c r="M969" t="str">
        <f>VLOOKUP(A969,[1]MSAKEN!$A$1:$F$562,6,FALSE)</f>
        <v>24010036033251110129</v>
      </c>
    </row>
    <row r="970" spans="1:13" x14ac:dyDescent="0.3">
      <c r="A970">
        <v>1928</v>
      </c>
      <c r="B970" t="s">
        <v>451</v>
      </c>
      <c r="C970" t="s">
        <v>76</v>
      </c>
      <c r="D970" t="s">
        <v>1216</v>
      </c>
      <c r="E970" t="s">
        <v>1543</v>
      </c>
      <c r="F970" s="4">
        <v>27960</v>
      </c>
      <c r="G970">
        <v>5562829</v>
      </c>
      <c r="H970">
        <v>1620090504</v>
      </c>
      <c r="I970" t="s">
        <v>1867</v>
      </c>
      <c r="J970" t="s">
        <v>513</v>
      </c>
      <c r="K970" t="s">
        <v>15</v>
      </c>
      <c r="L970" t="s">
        <v>506</v>
      </c>
      <c r="M970" t="str">
        <f>VLOOKUP(A970,[1]MSAKEN!$A$1:$F$562,6,FALSE)</f>
        <v>11020002270500878896</v>
      </c>
    </row>
    <row r="971" spans="1:13" x14ac:dyDescent="0.3">
      <c r="A971">
        <v>1929</v>
      </c>
      <c r="B971" t="s">
        <v>46</v>
      </c>
      <c r="C971" t="s">
        <v>88</v>
      </c>
      <c r="D971" t="s">
        <v>564</v>
      </c>
      <c r="E971" t="s">
        <v>1694</v>
      </c>
      <c r="F971" s="4">
        <v>33917</v>
      </c>
      <c r="G971">
        <v>9323574</v>
      </c>
      <c r="H971">
        <v>1639187408</v>
      </c>
      <c r="I971" t="s">
        <v>1868</v>
      </c>
      <c r="J971" t="s">
        <v>513</v>
      </c>
      <c r="K971" t="s">
        <v>16</v>
      </c>
      <c r="L971" t="s">
        <v>506</v>
      </c>
      <c r="M971" t="str">
        <f>VLOOKUP(A971,[1]MSAKEN!$A$1:$F$562,6,FALSE)</f>
        <v>08507000262004279215</v>
      </c>
    </row>
    <row r="972" spans="1:13" x14ac:dyDescent="0.3">
      <c r="A972">
        <v>1930</v>
      </c>
      <c r="B972" t="s">
        <v>1869</v>
      </c>
      <c r="C972" t="s">
        <v>89</v>
      </c>
      <c r="D972" t="s">
        <v>711</v>
      </c>
      <c r="E972" t="s">
        <v>1870</v>
      </c>
      <c r="F972" s="4">
        <v>32218</v>
      </c>
      <c r="G972">
        <v>8498976</v>
      </c>
      <c r="H972">
        <v>1616498703</v>
      </c>
      <c r="I972" t="s">
        <v>1871</v>
      </c>
      <c r="J972" t="s">
        <v>755</v>
      </c>
      <c r="K972" t="s">
        <v>16</v>
      </c>
      <c r="L972" t="s">
        <v>506</v>
      </c>
      <c r="M972" t="str">
        <f>VLOOKUP(A972,[1]MSAKEN!$A$1:$F$562,6,FALSE)</f>
        <v>17503000000169340665</v>
      </c>
    </row>
    <row r="973" spans="1:13" x14ac:dyDescent="0.3">
      <c r="A973">
        <v>1931</v>
      </c>
      <c r="B973" t="s">
        <v>452</v>
      </c>
      <c r="C973" t="s">
        <v>88</v>
      </c>
      <c r="D973" t="s">
        <v>1872</v>
      </c>
      <c r="E973" t="s">
        <v>1789</v>
      </c>
      <c r="F973" s="4">
        <v>32554</v>
      </c>
      <c r="G973">
        <v>9295299</v>
      </c>
      <c r="H973">
        <v>1616322309</v>
      </c>
      <c r="I973" t="s">
        <v>1873</v>
      </c>
      <c r="J973" t="s">
        <v>513</v>
      </c>
      <c r="K973" t="s">
        <v>16</v>
      </c>
      <c r="L973" t="s">
        <v>506</v>
      </c>
      <c r="M973" t="str">
        <f>VLOOKUP(A973,[1]MSAKEN!$A$1:$F$562,6,FALSE)</f>
        <v>05048000116500464369</v>
      </c>
    </row>
    <row r="974" spans="1:13" x14ac:dyDescent="0.3">
      <c r="A974">
        <v>1932</v>
      </c>
      <c r="B974" t="s">
        <v>1826</v>
      </c>
      <c r="C974" t="s">
        <v>40</v>
      </c>
      <c r="D974" t="s">
        <v>1747</v>
      </c>
      <c r="E974" t="s">
        <v>1874</v>
      </c>
      <c r="F974" s="4">
        <v>22629</v>
      </c>
      <c r="G974">
        <v>2924614</v>
      </c>
      <c r="H974">
        <v>1259800801</v>
      </c>
      <c r="I974" t="s">
        <v>1875</v>
      </c>
      <c r="J974" t="s">
        <v>755</v>
      </c>
      <c r="K974" t="s">
        <v>15</v>
      </c>
      <c r="L974" t="s">
        <v>506</v>
      </c>
      <c r="M974" t="str">
        <f>VLOOKUP(A974,[1]MSAKEN!$A$1:$F$562,6,FALSE)</f>
        <v>04204067001779317575</v>
      </c>
    </row>
    <row r="975" spans="1:13" x14ac:dyDescent="0.3">
      <c r="A975">
        <v>1933</v>
      </c>
      <c r="B975" t="s">
        <v>91</v>
      </c>
      <c r="C975" t="s">
        <v>90</v>
      </c>
      <c r="D975" t="s">
        <v>564</v>
      </c>
      <c r="E975" t="s">
        <v>584</v>
      </c>
      <c r="F975" s="4">
        <v>23773</v>
      </c>
      <c r="G975">
        <v>2987366</v>
      </c>
      <c r="H975">
        <v>1299773703</v>
      </c>
      <c r="I975" t="s">
        <v>1875</v>
      </c>
      <c r="J975" t="s">
        <v>755</v>
      </c>
      <c r="K975" t="s">
        <v>15</v>
      </c>
      <c r="L975" t="s">
        <v>506</v>
      </c>
      <c r="M975" t="str">
        <f>VLOOKUP(A975,[1]MSAKEN!$A$1:$F$562,6,FALSE)</f>
        <v>04204067001769069428</v>
      </c>
    </row>
    <row r="976" spans="1:13" x14ac:dyDescent="0.3">
      <c r="A976">
        <v>1934</v>
      </c>
      <c r="B976" t="s">
        <v>1876</v>
      </c>
      <c r="C976" t="s">
        <v>166</v>
      </c>
      <c r="D976" t="s">
        <v>999</v>
      </c>
      <c r="E976" t="s">
        <v>1093</v>
      </c>
      <c r="F976" s="4">
        <v>23255</v>
      </c>
      <c r="G976">
        <v>2980422</v>
      </c>
      <c r="H976">
        <v>1553394907</v>
      </c>
      <c r="I976" t="s">
        <v>1877</v>
      </c>
      <c r="J976" t="s">
        <v>513</v>
      </c>
      <c r="K976" t="s">
        <v>15</v>
      </c>
      <c r="L976" t="s">
        <v>506</v>
      </c>
      <c r="M976" t="e">
        <f>VLOOKUP(A976,[1]MSAKEN!$A$1:$F$562,6,FALSE)</f>
        <v>#N/A</v>
      </c>
    </row>
    <row r="977" spans="1:13" x14ac:dyDescent="0.3">
      <c r="A977">
        <v>1935</v>
      </c>
      <c r="B977" t="s">
        <v>1483</v>
      </c>
      <c r="C977" t="s">
        <v>40</v>
      </c>
      <c r="D977" t="s">
        <v>502</v>
      </c>
      <c r="E977" t="s">
        <v>502</v>
      </c>
      <c r="F977" s="4">
        <v>26179</v>
      </c>
      <c r="G977">
        <v>5500714</v>
      </c>
      <c r="H977">
        <v>1208257608</v>
      </c>
      <c r="I977" t="s">
        <v>1878</v>
      </c>
      <c r="J977" t="s">
        <v>513</v>
      </c>
      <c r="K977" t="s">
        <v>16</v>
      </c>
      <c r="L977" t="s">
        <v>506</v>
      </c>
      <c r="M977" t="e">
        <f>VLOOKUP(A977,[1]MSAKEN!$A$1:$F$562,6,FALSE)</f>
        <v>#N/A</v>
      </c>
    </row>
    <row r="978" spans="1:13" x14ac:dyDescent="0.3">
      <c r="A978">
        <v>1936</v>
      </c>
      <c r="B978" t="s">
        <v>191</v>
      </c>
      <c r="C978" t="s">
        <v>145</v>
      </c>
      <c r="D978" t="s">
        <v>632</v>
      </c>
      <c r="E978" t="s">
        <v>696</v>
      </c>
      <c r="F978" s="4">
        <v>30394</v>
      </c>
      <c r="G978">
        <v>8449696</v>
      </c>
      <c r="H978">
        <v>1288645409</v>
      </c>
      <c r="I978" t="s">
        <v>1879</v>
      </c>
      <c r="J978" t="s">
        <v>513</v>
      </c>
      <c r="K978" t="s">
        <v>15</v>
      </c>
      <c r="L978" t="s">
        <v>506</v>
      </c>
      <c r="M978" t="str">
        <f>VLOOKUP(A978,[1]MSAKEN!$A$1:$F$562,6,FALSE)</f>
        <v>08050020052001121701</v>
      </c>
    </row>
    <row r="979" spans="1:13" x14ac:dyDescent="0.3">
      <c r="A979">
        <v>1937</v>
      </c>
      <c r="B979" t="s">
        <v>452</v>
      </c>
      <c r="C979" t="s">
        <v>298</v>
      </c>
      <c r="D979" t="s">
        <v>1872</v>
      </c>
      <c r="E979" t="s">
        <v>1789</v>
      </c>
      <c r="F979" s="4">
        <v>32974</v>
      </c>
      <c r="G979">
        <v>9296345</v>
      </c>
      <c r="H979">
        <v>1630985909</v>
      </c>
      <c r="I979" t="s">
        <v>1873</v>
      </c>
      <c r="J979" t="s">
        <v>513</v>
      </c>
      <c r="K979" t="s">
        <v>16</v>
      </c>
      <c r="L979" t="s">
        <v>506</v>
      </c>
      <c r="M979" t="str">
        <f>VLOOKUP(A979,[1]MSAKEN!$A$1:$F$562,6,FALSE)</f>
        <v>04204067001779012219</v>
      </c>
    </row>
    <row r="980" spans="1:13" x14ac:dyDescent="0.3">
      <c r="A980">
        <v>1938</v>
      </c>
      <c r="B980" t="s">
        <v>466</v>
      </c>
      <c r="C980" t="s">
        <v>465</v>
      </c>
      <c r="D980" t="s">
        <v>535</v>
      </c>
      <c r="E980" t="s">
        <v>800</v>
      </c>
      <c r="F980" s="4">
        <v>30665</v>
      </c>
      <c r="G980">
        <v>8463413</v>
      </c>
      <c r="H980">
        <v>161647900</v>
      </c>
      <c r="I980" t="s">
        <v>1880</v>
      </c>
      <c r="J980" t="s">
        <v>755</v>
      </c>
      <c r="K980" t="s">
        <v>16</v>
      </c>
      <c r="L980" t="s">
        <v>506</v>
      </c>
      <c r="M980" t="str">
        <f>VLOOKUP(A980,[1]MSAKEN!$A$1:$F$562,6,FALSE)</f>
        <v>24010028020251110195</v>
      </c>
    </row>
    <row r="981" spans="1:13" x14ac:dyDescent="0.3">
      <c r="A981">
        <v>1939</v>
      </c>
      <c r="B981" t="s">
        <v>1881</v>
      </c>
      <c r="C981" t="s">
        <v>192</v>
      </c>
      <c r="D981" t="s">
        <v>654</v>
      </c>
      <c r="E981" t="s">
        <v>536</v>
      </c>
      <c r="F981" s="4">
        <v>25473</v>
      </c>
      <c r="G981">
        <v>5528407</v>
      </c>
      <c r="H981">
        <v>1192331708</v>
      </c>
      <c r="I981" t="s">
        <v>1882</v>
      </c>
      <c r="J981" t="s">
        <v>568</v>
      </c>
      <c r="K981" t="s">
        <v>15</v>
      </c>
      <c r="L981" t="s">
        <v>506</v>
      </c>
      <c r="M981" t="str">
        <f>VLOOKUP(A981,[1]MSAKEN!$A$1:$F$562,6,FALSE)</f>
        <v>24010030238251110152</v>
      </c>
    </row>
    <row r="982" spans="1:13" x14ac:dyDescent="0.3">
      <c r="A982">
        <v>1952</v>
      </c>
      <c r="B982" t="s">
        <v>61</v>
      </c>
      <c r="C982" t="s">
        <v>118</v>
      </c>
      <c r="D982" t="s">
        <v>535</v>
      </c>
      <c r="E982" t="s">
        <v>645</v>
      </c>
      <c r="F982" s="4">
        <v>31340</v>
      </c>
      <c r="G982">
        <v>8485133</v>
      </c>
      <c r="H982">
        <v>1633410103</v>
      </c>
      <c r="I982" t="s">
        <v>1883</v>
      </c>
      <c r="J982" t="s">
        <v>513</v>
      </c>
      <c r="K982" t="s">
        <v>15</v>
      </c>
      <c r="L982" t="s">
        <v>506</v>
      </c>
      <c r="M982" t="e">
        <f>VLOOKUP(A982,[1]MSAKEN!$A$1:$F$562,6,FALSE)</f>
        <v>#N/A</v>
      </c>
    </row>
    <row r="983" spans="1:13" x14ac:dyDescent="0.3">
      <c r="A983">
        <v>1953</v>
      </c>
      <c r="B983" t="s">
        <v>318</v>
      </c>
      <c r="C983" t="s">
        <v>306</v>
      </c>
      <c r="D983" t="s">
        <v>564</v>
      </c>
      <c r="E983" t="s">
        <v>696</v>
      </c>
      <c r="F983" s="4">
        <v>29789</v>
      </c>
      <c r="G983">
        <v>8434759</v>
      </c>
      <c r="H983">
        <v>1634515207</v>
      </c>
      <c r="I983" t="s">
        <v>1884</v>
      </c>
      <c r="J983" t="s">
        <v>511</v>
      </c>
      <c r="K983" t="s">
        <v>15</v>
      </c>
      <c r="L983" t="s">
        <v>506</v>
      </c>
      <c r="M983" t="str">
        <f>VLOOKUP(A983,[1]MSAKEN!$A$1:$F$562,6,FALSE)</f>
        <v>12024000000204645251</v>
      </c>
    </row>
    <row r="984" spans="1:13" x14ac:dyDescent="0.3">
      <c r="A984">
        <v>1954</v>
      </c>
      <c r="B984" t="s">
        <v>316</v>
      </c>
      <c r="C984" t="s">
        <v>315</v>
      </c>
      <c r="D984" t="s">
        <v>728</v>
      </c>
      <c r="E984" t="s">
        <v>1885</v>
      </c>
      <c r="F984" s="4">
        <v>31591</v>
      </c>
      <c r="G984">
        <v>8486819</v>
      </c>
      <c r="H984">
        <v>1613661303</v>
      </c>
      <c r="I984" t="s">
        <v>1886</v>
      </c>
      <c r="J984" t="s">
        <v>513</v>
      </c>
      <c r="K984" t="s">
        <v>16</v>
      </c>
      <c r="L984" t="s">
        <v>506</v>
      </c>
      <c r="M984" t="str">
        <f>VLOOKUP(A984,[1]MSAKEN!$A$1:$F$562,6,FALSE)</f>
        <v>12064000000226234584</v>
      </c>
    </row>
    <row r="985" spans="1:13" x14ac:dyDescent="0.3">
      <c r="A985">
        <v>1955</v>
      </c>
      <c r="B985" t="s">
        <v>158</v>
      </c>
      <c r="C985" t="s">
        <v>157</v>
      </c>
      <c r="D985" t="s">
        <v>1887</v>
      </c>
      <c r="E985" t="s">
        <v>716</v>
      </c>
      <c r="F985" s="4">
        <v>34309</v>
      </c>
      <c r="G985">
        <v>9321312</v>
      </c>
      <c r="H985" t="s">
        <v>502</v>
      </c>
      <c r="I985" t="s">
        <v>1888</v>
      </c>
      <c r="J985" t="s">
        <v>1726</v>
      </c>
      <c r="K985" t="s">
        <v>16</v>
      </c>
      <c r="L985" t="s">
        <v>506</v>
      </c>
      <c r="M985" t="str">
        <f>VLOOKUP(A985,[1]MSAKEN!$A$1:$F$562,6,FALSE)</f>
        <v>08507000262006891037</v>
      </c>
    </row>
    <row r="986" spans="1:13" x14ac:dyDescent="0.3">
      <c r="A986">
        <v>1956</v>
      </c>
      <c r="B986" t="s">
        <v>1889</v>
      </c>
      <c r="C986" t="s">
        <v>424</v>
      </c>
      <c r="D986" t="s">
        <v>1890</v>
      </c>
      <c r="E986" t="s">
        <v>584</v>
      </c>
      <c r="F986" s="4">
        <v>25399</v>
      </c>
      <c r="G986">
        <v>2994776</v>
      </c>
      <c r="H986">
        <v>1192607404</v>
      </c>
      <c r="I986" t="s">
        <v>1338</v>
      </c>
      <c r="J986" t="s">
        <v>755</v>
      </c>
      <c r="K986" t="s">
        <v>15</v>
      </c>
      <c r="L986" t="s">
        <v>506</v>
      </c>
      <c r="M986" t="str">
        <f>VLOOKUP(A986,[1]MSAKEN!$A$1:$F$562,6,FALSE)</f>
        <v>12505000013301860426</v>
      </c>
    </row>
    <row r="987" spans="1:13" x14ac:dyDescent="0.3">
      <c r="A987">
        <v>1957</v>
      </c>
      <c r="B987" t="s">
        <v>91</v>
      </c>
      <c r="C987" t="s">
        <v>89</v>
      </c>
      <c r="D987" t="s">
        <v>539</v>
      </c>
      <c r="E987" t="s">
        <v>849</v>
      </c>
      <c r="F987" s="4">
        <v>22778</v>
      </c>
      <c r="G987">
        <v>2947278</v>
      </c>
      <c r="H987">
        <v>1513021608</v>
      </c>
      <c r="I987" t="s">
        <v>1891</v>
      </c>
      <c r="J987" t="s">
        <v>755</v>
      </c>
      <c r="K987" t="s">
        <v>15</v>
      </c>
      <c r="L987" t="s">
        <v>506</v>
      </c>
      <c r="M987" t="str">
        <f>VLOOKUP(A987,[1]MSAKEN!$A$1:$F$562,6,FALSE)</f>
        <v>17503000000123973280</v>
      </c>
    </row>
    <row r="988" spans="1:13" x14ac:dyDescent="0.3">
      <c r="A988">
        <v>1958</v>
      </c>
      <c r="B988" t="s">
        <v>23</v>
      </c>
      <c r="C988" t="s">
        <v>92</v>
      </c>
      <c r="D988" t="s">
        <v>601</v>
      </c>
      <c r="E988" t="s">
        <v>584</v>
      </c>
      <c r="F988" s="4">
        <v>22495</v>
      </c>
      <c r="G988">
        <v>2009110</v>
      </c>
      <c r="H988">
        <v>1159658309</v>
      </c>
      <c r="I988" t="s">
        <v>1892</v>
      </c>
      <c r="J988" t="s">
        <v>1142</v>
      </c>
      <c r="K988" t="s">
        <v>15</v>
      </c>
      <c r="L988" t="s">
        <v>506</v>
      </c>
      <c r="M988" t="str">
        <f>VLOOKUP(A988,[1]MSAKEN!$A$1:$F$562,6,FALSE)</f>
        <v>17503000000113038373</v>
      </c>
    </row>
    <row r="989" spans="1:13" x14ac:dyDescent="0.3">
      <c r="A989">
        <v>1959</v>
      </c>
      <c r="B989" t="s">
        <v>62</v>
      </c>
      <c r="C989" t="s">
        <v>382</v>
      </c>
      <c r="D989" t="s">
        <v>1173</v>
      </c>
      <c r="E989" t="s">
        <v>1885</v>
      </c>
      <c r="F989" s="4">
        <v>23796</v>
      </c>
      <c r="G989">
        <v>2956109</v>
      </c>
      <c r="H989">
        <v>1136472501</v>
      </c>
      <c r="I989" t="s">
        <v>1893</v>
      </c>
      <c r="J989" t="s">
        <v>513</v>
      </c>
      <c r="K989" t="s">
        <v>15</v>
      </c>
      <c r="L989" t="s">
        <v>506</v>
      </c>
      <c r="M989" t="e">
        <f>VLOOKUP(A989,[1]MSAKEN!$A$1:$F$562,6,FALSE)</f>
        <v>#N/A</v>
      </c>
    </row>
    <row r="990" spans="1:13" x14ac:dyDescent="0.3">
      <c r="A990">
        <v>1960</v>
      </c>
      <c r="B990" t="s">
        <v>162</v>
      </c>
      <c r="C990" t="s">
        <v>272</v>
      </c>
      <c r="D990" t="s">
        <v>502</v>
      </c>
      <c r="E990" t="s">
        <v>502</v>
      </c>
      <c r="F990" s="4">
        <v>19579</v>
      </c>
      <c r="G990">
        <v>3809071</v>
      </c>
      <c r="H990">
        <v>1129180202</v>
      </c>
      <c r="I990" t="s">
        <v>1894</v>
      </c>
      <c r="J990" t="s">
        <v>1766</v>
      </c>
      <c r="K990" t="s">
        <v>15</v>
      </c>
      <c r="L990" t="s">
        <v>506</v>
      </c>
      <c r="M990" t="e">
        <f>VLOOKUP(A990,[1]MSAKEN!$A$1:$F$562,6,FALSE)</f>
        <v>#N/A</v>
      </c>
    </row>
    <row r="991" spans="1:13" x14ac:dyDescent="0.3">
      <c r="A991">
        <v>1961</v>
      </c>
      <c r="B991" t="s">
        <v>93</v>
      </c>
      <c r="C991" t="s">
        <v>30</v>
      </c>
      <c r="D991" t="s">
        <v>648</v>
      </c>
      <c r="E991" t="s">
        <v>1895</v>
      </c>
      <c r="F991" s="4">
        <v>29992</v>
      </c>
      <c r="G991">
        <v>7614433</v>
      </c>
      <c r="H991">
        <v>1648044608</v>
      </c>
      <c r="I991" t="s">
        <v>1896</v>
      </c>
      <c r="J991" t="s">
        <v>1142</v>
      </c>
      <c r="K991" t="s">
        <v>16</v>
      </c>
      <c r="L991" t="s">
        <v>506</v>
      </c>
      <c r="M991" t="str">
        <f>VLOOKUP(A991,[1]MSAKEN!$A$1:$F$562,6,FALSE)</f>
        <v>05048000116500460004</v>
      </c>
    </row>
    <row r="992" spans="1:13" x14ac:dyDescent="0.3">
      <c r="A992">
        <v>1962</v>
      </c>
      <c r="B992" t="s">
        <v>95</v>
      </c>
      <c r="C992" t="s">
        <v>94</v>
      </c>
      <c r="D992" t="s">
        <v>772</v>
      </c>
      <c r="E992" t="s">
        <v>602</v>
      </c>
      <c r="F992" s="4">
        <v>33552</v>
      </c>
      <c r="G992">
        <v>11858767</v>
      </c>
      <c r="H992">
        <v>1648167805</v>
      </c>
      <c r="I992" t="s">
        <v>1897</v>
      </c>
      <c r="J992" t="s">
        <v>1142</v>
      </c>
      <c r="K992" t="s">
        <v>16</v>
      </c>
      <c r="L992" t="s">
        <v>506</v>
      </c>
      <c r="M992" t="str">
        <f>VLOOKUP(A992,[1]MSAKEN!$A$1:$F$562,6,FALSE)</f>
        <v>17503000000148530867</v>
      </c>
    </row>
    <row r="993" spans="1:13" x14ac:dyDescent="0.3">
      <c r="A993">
        <v>1963</v>
      </c>
      <c r="B993" t="s">
        <v>95</v>
      </c>
      <c r="C993" t="s">
        <v>118</v>
      </c>
      <c r="D993" t="s">
        <v>502</v>
      </c>
      <c r="E993" t="s">
        <v>502</v>
      </c>
      <c r="F993" s="4">
        <v>31355</v>
      </c>
      <c r="G993">
        <v>7677299</v>
      </c>
      <c r="H993">
        <v>1648155404</v>
      </c>
      <c r="I993" t="s">
        <v>1897</v>
      </c>
      <c r="J993" t="s">
        <v>1142</v>
      </c>
      <c r="K993" t="s">
        <v>16</v>
      </c>
      <c r="L993" t="s">
        <v>506</v>
      </c>
      <c r="M993" t="e">
        <f>VLOOKUP(A993,[1]MSAKEN!$A$1:$F$562,6,FALSE)</f>
        <v>#N/A</v>
      </c>
    </row>
    <row r="994" spans="1:13" x14ac:dyDescent="0.3">
      <c r="A994">
        <v>1964</v>
      </c>
      <c r="B994" t="s">
        <v>83</v>
      </c>
      <c r="C994" t="s">
        <v>346</v>
      </c>
      <c r="D994" t="s">
        <v>598</v>
      </c>
      <c r="E994" t="s">
        <v>926</v>
      </c>
      <c r="F994" s="4">
        <v>30906</v>
      </c>
      <c r="G994">
        <v>8476429</v>
      </c>
      <c r="H994" t="s">
        <v>502</v>
      </c>
      <c r="I994" t="s">
        <v>1898</v>
      </c>
      <c r="J994" t="s">
        <v>513</v>
      </c>
      <c r="K994" t="s">
        <v>15</v>
      </c>
      <c r="L994" t="s">
        <v>506</v>
      </c>
      <c r="M994" t="e">
        <f>VLOOKUP(A994,[1]MSAKEN!$A$1:$F$562,6,FALSE)</f>
        <v>#N/A</v>
      </c>
    </row>
    <row r="995" spans="1:13" x14ac:dyDescent="0.3">
      <c r="A995">
        <v>1965</v>
      </c>
      <c r="B995" t="s">
        <v>703</v>
      </c>
      <c r="C995" t="s">
        <v>280</v>
      </c>
      <c r="D995" t="s">
        <v>1899</v>
      </c>
      <c r="E995" t="s">
        <v>1769</v>
      </c>
      <c r="F995" s="4">
        <v>30472</v>
      </c>
      <c r="G995">
        <v>8453957</v>
      </c>
      <c r="H995">
        <v>1613582004</v>
      </c>
      <c r="I995" t="s">
        <v>1900</v>
      </c>
      <c r="J995" t="s">
        <v>513</v>
      </c>
      <c r="K995" t="s">
        <v>15</v>
      </c>
      <c r="L995" t="s">
        <v>506</v>
      </c>
      <c r="M995" t="e">
        <f>VLOOKUP(A995,[1]MSAKEN!$A$1:$F$562,6,FALSE)</f>
        <v>#N/A</v>
      </c>
    </row>
    <row r="996" spans="1:13" x14ac:dyDescent="0.3">
      <c r="A996">
        <v>1966</v>
      </c>
      <c r="B996" t="s">
        <v>1901</v>
      </c>
      <c r="C996" t="s">
        <v>465</v>
      </c>
      <c r="D996" t="s">
        <v>1902</v>
      </c>
      <c r="E996" t="s">
        <v>1903</v>
      </c>
      <c r="F996" s="4">
        <v>32115</v>
      </c>
      <c r="G996">
        <v>9267978</v>
      </c>
      <c r="H996" t="s">
        <v>502</v>
      </c>
      <c r="I996" t="s">
        <v>1904</v>
      </c>
      <c r="J996" t="s">
        <v>1048</v>
      </c>
      <c r="K996" t="s">
        <v>16</v>
      </c>
      <c r="L996" t="s">
        <v>506</v>
      </c>
      <c r="M996" t="e">
        <f>VLOOKUP(A996,[1]MSAKEN!$A$1:$F$562,6,FALSE)</f>
        <v>#N/A</v>
      </c>
    </row>
    <row r="997" spans="1:13" x14ac:dyDescent="0.3">
      <c r="A997">
        <v>1967</v>
      </c>
      <c r="B997" t="s">
        <v>1905</v>
      </c>
      <c r="C997" t="s">
        <v>1906</v>
      </c>
      <c r="D997" t="s">
        <v>1907</v>
      </c>
      <c r="E997" t="s">
        <v>1769</v>
      </c>
      <c r="F997" s="4">
        <v>32030</v>
      </c>
      <c r="G997">
        <v>9264334</v>
      </c>
      <c r="H997" t="s">
        <v>502</v>
      </c>
      <c r="I997" t="s">
        <v>1908</v>
      </c>
      <c r="J997" t="s">
        <v>511</v>
      </c>
      <c r="K997" t="s">
        <v>15</v>
      </c>
      <c r="L997" t="s">
        <v>506</v>
      </c>
      <c r="M997" t="e">
        <f>VLOOKUP(A997,[1]MSAKEN!$A$1:$F$562,6,FALSE)</f>
        <v>#N/A</v>
      </c>
    </row>
    <row r="998" spans="1:13" x14ac:dyDescent="0.3">
      <c r="A998">
        <v>1968</v>
      </c>
      <c r="B998" t="s">
        <v>1909</v>
      </c>
      <c r="C998" t="s">
        <v>384</v>
      </c>
      <c r="D998" t="s">
        <v>728</v>
      </c>
      <c r="E998" t="s">
        <v>1910</v>
      </c>
      <c r="F998" s="4">
        <v>31989</v>
      </c>
      <c r="G998">
        <v>8479063</v>
      </c>
      <c r="H998">
        <v>1663094207</v>
      </c>
      <c r="I998" t="s">
        <v>1911</v>
      </c>
      <c r="J998" t="s">
        <v>511</v>
      </c>
      <c r="K998" t="s">
        <v>15</v>
      </c>
      <c r="L998" t="s">
        <v>506</v>
      </c>
      <c r="M998" t="e">
        <f>VLOOKUP(A998,[1]MSAKEN!$A$1:$F$562,6,FALSE)</f>
        <v>#N/A</v>
      </c>
    </row>
    <row r="999" spans="1:13" x14ac:dyDescent="0.3">
      <c r="A999">
        <v>1969</v>
      </c>
      <c r="B999" t="s">
        <v>631</v>
      </c>
      <c r="C999" t="s">
        <v>447</v>
      </c>
      <c r="D999" t="s">
        <v>843</v>
      </c>
      <c r="E999" t="s">
        <v>1912</v>
      </c>
      <c r="F999" s="4">
        <v>31253</v>
      </c>
      <c r="G999">
        <v>8491416</v>
      </c>
      <c r="H999">
        <v>1990144709</v>
      </c>
      <c r="I999" t="s">
        <v>793</v>
      </c>
      <c r="J999" t="s">
        <v>513</v>
      </c>
      <c r="K999" t="s">
        <v>15</v>
      </c>
      <c r="L999" t="s">
        <v>506</v>
      </c>
      <c r="M999" t="str">
        <f>VLOOKUP(A999,[1]MSAKEN!$A$1:$F$562,6,FALSE)</f>
        <v>17503000000153658287</v>
      </c>
    </row>
    <row r="1000" spans="1:13" x14ac:dyDescent="0.3">
      <c r="A1000">
        <v>1970</v>
      </c>
      <c r="B1000" t="s">
        <v>1913</v>
      </c>
      <c r="C1000" t="s">
        <v>230</v>
      </c>
      <c r="D1000" t="s">
        <v>1914</v>
      </c>
      <c r="E1000" t="s">
        <v>1545</v>
      </c>
      <c r="F1000" s="4">
        <v>30396</v>
      </c>
      <c r="G1000">
        <v>8466813</v>
      </c>
      <c r="H1000">
        <v>1663145207</v>
      </c>
      <c r="I1000" t="s">
        <v>1915</v>
      </c>
      <c r="J1000" t="s">
        <v>511</v>
      </c>
      <c r="K1000" t="s">
        <v>15</v>
      </c>
      <c r="L1000" t="s">
        <v>506</v>
      </c>
      <c r="M1000" t="e">
        <f>VLOOKUP(A1000,[1]MSAKEN!$A$1:$F$562,6,FALSE)</f>
        <v>#N/A</v>
      </c>
    </row>
    <row r="1001" spans="1:13" x14ac:dyDescent="0.3">
      <c r="A1001">
        <v>1971</v>
      </c>
      <c r="B1001" t="s">
        <v>866</v>
      </c>
      <c r="C1001" t="s">
        <v>98</v>
      </c>
      <c r="D1001" t="s">
        <v>502</v>
      </c>
      <c r="E1001" t="s">
        <v>502</v>
      </c>
      <c r="F1001" s="4">
        <v>31445</v>
      </c>
      <c r="G1001">
        <v>9254519</v>
      </c>
      <c r="H1001" t="s">
        <v>502</v>
      </c>
      <c r="I1001" t="s">
        <v>502</v>
      </c>
      <c r="J1001" t="s">
        <v>568</v>
      </c>
      <c r="K1001" t="s">
        <v>16</v>
      </c>
      <c r="L1001" t="s">
        <v>506</v>
      </c>
      <c r="M1001" t="e">
        <f>VLOOKUP(A1001,[1]MSAKEN!$A$1:$F$562,6,FALSE)</f>
        <v>#N/A</v>
      </c>
    </row>
    <row r="1002" spans="1:13" x14ac:dyDescent="0.3">
      <c r="A1002">
        <v>1972</v>
      </c>
      <c r="B1002" t="s">
        <v>582</v>
      </c>
      <c r="C1002" t="s">
        <v>1916</v>
      </c>
      <c r="D1002" t="s">
        <v>535</v>
      </c>
      <c r="E1002" t="s">
        <v>1917</v>
      </c>
      <c r="F1002" s="4">
        <v>31889</v>
      </c>
      <c r="G1002">
        <v>9268359</v>
      </c>
      <c r="H1002" t="s">
        <v>502</v>
      </c>
      <c r="I1002" t="s">
        <v>1918</v>
      </c>
      <c r="J1002" t="s">
        <v>513</v>
      </c>
      <c r="K1002" t="s">
        <v>16</v>
      </c>
      <c r="L1002" t="s">
        <v>506</v>
      </c>
      <c r="M1002" t="e">
        <f>VLOOKUP(A1002,[1]MSAKEN!$A$1:$F$562,6,FALSE)</f>
        <v>#N/A</v>
      </c>
    </row>
    <row r="1003" spans="1:13" x14ac:dyDescent="0.3">
      <c r="A1003">
        <v>1973</v>
      </c>
      <c r="B1003" t="s">
        <v>161</v>
      </c>
      <c r="C1003" t="s">
        <v>439</v>
      </c>
      <c r="D1003" t="s">
        <v>535</v>
      </c>
      <c r="E1003" t="s">
        <v>1919</v>
      </c>
      <c r="F1003" s="4">
        <v>31983</v>
      </c>
      <c r="G1003">
        <v>9266899</v>
      </c>
      <c r="H1003" t="s">
        <v>502</v>
      </c>
      <c r="I1003" t="s">
        <v>1920</v>
      </c>
      <c r="J1003" t="s">
        <v>513</v>
      </c>
      <c r="K1003" t="s">
        <v>15</v>
      </c>
      <c r="L1003" t="s">
        <v>17</v>
      </c>
      <c r="M1003" t="str">
        <f>VLOOKUP(A1003,[1]MSAKEN!$A$1:$F$562,6,FALSE)</f>
        <v>08507000262003635038</v>
      </c>
    </row>
    <row r="1004" spans="1:13" x14ac:dyDescent="0.3">
      <c r="A1004">
        <v>1974</v>
      </c>
      <c r="B1004" t="s">
        <v>1921</v>
      </c>
      <c r="C1004" t="s">
        <v>178</v>
      </c>
      <c r="D1004" t="s">
        <v>834</v>
      </c>
      <c r="E1004" t="s">
        <v>536</v>
      </c>
      <c r="F1004" s="4">
        <v>31252</v>
      </c>
      <c r="G1004">
        <v>8493187</v>
      </c>
      <c r="H1004">
        <v>1663186607</v>
      </c>
      <c r="I1004" t="s">
        <v>1922</v>
      </c>
      <c r="J1004" t="s">
        <v>513</v>
      </c>
      <c r="K1004" t="s">
        <v>15</v>
      </c>
      <c r="L1004" t="s">
        <v>506</v>
      </c>
      <c r="M1004" t="str">
        <f>VLOOKUP(A1004,[1]MSAKEN!$A$1:$F$562,6,FALSE)</f>
        <v>25018000000014103772</v>
      </c>
    </row>
    <row r="1005" spans="1:13" x14ac:dyDescent="0.3">
      <c r="A1005">
        <v>1975</v>
      </c>
      <c r="B1005" t="s">
        <v>215</v>
      </c>
      <c r="C1005" t="s">
        <v>88</v>
      </c>
      <c r="D1005" t="s">
        <v>834</v>
      </c>
      <c r="E1005" t="s">
        <v>546</v>
      </c>
      <c r="F1005" s="4">
        <v>31979</v>
      </c>
      <c r="G1005">
        <v>9264680</v>
      </c>
      <c r="H1005">
        <v>1663186805</v>
      </c>
      <c r="I1005" t="s">
        <v>1923</v>
      </c>
      <c r="J1005" t="s">
        <v>513</v>
      </c>
      <c r="K1005" t="s">
        <v>16</v>
      </c>
      <c r="L1005" t="s">
        <v>506</v>
      </c>
      <c r="M1005" t="str">
        <f>VLOOKUP(A1005,[1]MSAKEN!$A$1:$F$562,6,FALSE)</f>
        <v>25018000000007370614</v>
      </c>
    </row>
    <row r="1006" spans="1:13" x14ac:dyDescent="0.3">
      <c r="A1006">
        <v>1976</v>
      </c>
      <c r="B1006" t="s">
        <v>67</v>
      </c>
      <c r="C1006" t="s">
        <v>237</v>
      </c>
      <c r="D1006" t="s">
        <v>502</v>
      </c>
      <c r="E1006" t="s">
        <v>502</v>
      </c>
      <c r="F1006" s="4">
        <v>31426</v>
      </c>
      <c r="G1006">
        <v>8464219</v>
      </c>
      <c r="H1006" t="s">
        <v>502</v>
      </c>
      <c r="I1006" t="s">
        <v>1924</v>
      </c>
      <c r="J1006" t="s">
        <v>513</v>
      </c>
      <c r="K1006" t="s">
        <v>16</v>
      </c>
      <c r="L1006" t="s">
        <v>506</v>
      </c>
      <c r="M1006" t="e">
        <f>VLOOKUP(A1006,[1]MSAKEN!$A$1:$F$562,6,FALSE)</f>
        <v>#N/A</v>
      </c>
    </row>
    <row r="1007" spans="1:13" x14ac:dyDescent="0.3">
      <c r="A1007">
        <v>1977</v>
      </c>
      <c r="B1007" t="s">
        <v>83</v>
      </c>
      <c r="C1007" t="s">
        <v>1925</v>
      </c>
      <c r="D1007" t="s">
        <v>1926</v>
      </c>
      <c r="E1007" t="s">
        <v>1545</v>
      </c>
      <c r="F1007" s="4">
        <v>31862</v>
      </c>
      <c r="G1007">
        <v>9261870</v>
      </c>
      <c r="H1007">
        <v>1633350309</v>
      </c>
      <c r="I1007" t="s">
        <v>1481</v>
      </c>
      <c r="J1007" t="s">
        <v>513</v>
      </c>
      <c r="K1007" t="s">
        <v>15</v>
      </c>
      <c r="L1007" t="s">
        <v>17</v>
      </c>
      <c r="M1007" t="e">
        <f>VLOOKUP(A1007,[1]MSAKEN!$A$1:$F$562,6,FALSE)</f>
        <v>#N/A</v>
      </c>
    </row>
    <row r="1008" spans="1:13" x14ac:dyDescent="0.3">
      <c r="A1008">
        <v>1978</v>
      </c>
      <c r="B1008" t="s">
        <v>19</v>
      </c>
      <c r="C1008" t="s">
        <v>89</v>
      </c>
      <c r="D1008" t="s">
        <v>520</v>
      </c>
      <c r="E1008" t="s">
        <v>584</v>
      </c>
      <c r="F1008" s="4">
        <v>31650</v>
      </c>
      <c r="G1008">
        <v>9254563</v>
      </c>
      <c r="H1008" t="s">
        <v>502</v>
      </c>
      <c r="I1008" t="s">
        <v>1927</v>
      </c>
      <c r="J1008" t="s">
        <v>513</v>
      </c>
      <c r="K1008" t="s">
        <v>15</v>
      </c>
      <c r="L1008" t="s">
        <v>506</v>
      </c>
      <c r="M1008" t="str">
        <f>VLOOKUP(A1008,[1]MSAKEN!$A$1:$F$562,6,FALSE)</f>
        <v>01018058111001166030</v>
      </c>
    </row>
    <row r="1009" spans="1:13" x14ac:dyDescent="0.3">
      <c r="A1009">
        <v>1979</v>
      </c>
      <c r="B1009" t="s">
        <v>549</v>
      </c>
      <c r="C1009" t="s">
        <v>211</v>
      </c>
      <c r="D1009" t="s">
        <v>728</v>
      </c>
      <c r="E1009" t="s">
        <v>1928</v>
      </c>
      <c r="F1009" s="4">
        <v>33443</v>
      </c>
      <c r="G1009">
        <v>9293955</v>
      </c>
      <c r="H1009" t="s">
        <v>502</v>
      </c>
      <c r="I1009" t="s">
        <v>1929</v>
      </c>
      <c r="J1009" t="s">
        <v>513</v>
      </c>
      <c r="K1009" t="s">
        <v>15</v>
      </c>
      <c r="L1009" t="s">
        <v>506</v>
      </c>
      <c r="M1009" t="str">
        <f>VLOOKUP(A1009,[1]MSAKEN!$A$1:$F$562,6,FALSE)</f>
        <v>24010026346251110172</v>
      </c>
    </row>
    <row r="1010" spans="1:13" x14ac:dyDescent="0.3">
      <c r="A1010">
        <v>1980</v>
      </c>
      <c r="B1010" t="s">
        <v>317</v>
      </c>
      <c r="C1010" t="s">
        <v>61</v>
      </c>
      <c r="D1010" t="s">
        <v>1930</v>
      </c>
      <c r="E1010" t="s">
        <v>1694</v>
      </c>
      <c r="F1010" s="4">
        <v>30060</v>
      </c>
      <c r="G1010">
        <v>8467776</v>
      </c>
      <c r="H1010">
        <v>1530343605</v>
      </c>
      <c r="I1010" t="s">
        <v>837</v>
      </c>
      <c r="J1010" t="s">
        <v>513</v>
      </c>
      <c r="K1010" t="s">
        <v>15</v>
      </c>
      <c r="L1010" t="s">
        <v>506</v>
      </c>
      <c r="M1010" t="str">
        <f>VLOOKUP(A1010,[1]MSAKEN!$A$1:$F$562,6,FALSE)</f>
        <v>03508056010110188722</v>
      </c>
    </row>
    <row r="1011" spans="1:13" x14ac:dyDescent="0.3">
      <c r="A1011">
        <v>1981</v>
      </c>
      <c r="B1011" t="s">
        <v>41</v>
      </c>
      <c r="C1011" t="s">
        <v>298</v>
      </c>
      <c r="D1011" t="s">
        <v>1931</v>
      </c>
      <c r="E1011" t="s">
        <v>1506</v>
      </c>
      <c r="F1011" s="4">
        <v>33162</v>
      </c>
      <c r="G1011">
        <v>9304859</v>
      </c>
      <c r="H1011" t="s">
        <v>502</v>
      </c>
      <c r="I1011" t="s">
        <v>502</v>
      </c>
      <c r="J1011" t="s">
        <v>1118</v>
      </c>
      <c r="K1011" t="s">
        <v>16</v>
      </c>
      <c r="L1011" t="s">
        <v>506</v>
      </c>
      <c r="M1011" t="str">
        <f>VLOOKUP(A1011,[1]MSAKEN!$A$1:$F$562,6,FALSE)</f>
        <v>12064000000234476868</v>
      </c>
    </row>
    <row r="1012" spans="1:13" x14ac:dyDescent="0.3">
      <c r="A1012">
        <v>1982</v>
      </c>
      <c r="B1012" t="s">
        <v>1932</v>
      </c>
      <c r="C1012" t="s">
        <v>306</v>
      </c>
      <c r="D1012" t="s">
        <v>535</v>
      </c>
      <c r="E1012" t="s">
        <v>1694</v>
      </c>
      <c r="F1012" s="4">
        <v>32207</v>
      </c>
      <c r="G1012">
        <v>9261637</v>
      </c>
      <c r="H1012" t="s">
        <v>502</v>
      </c>
      <c r="I1012" t="s">
        <v>854</v>
      </c>
      <c r="J1012" t="s">
        <v>513</v>
      </c>
      <c r="K1012" t="s">
        <v>16</v>
      </c>
      <c r="L1012" t="s">
        <v>506</v>
      </c>
      <c r="M1012" t="e">
        <f>VLOOKUP(A1012,[1]MSAKEN!$A$1:$F$562,6,FALSE)</f>
        <v>#N/A</v>
      </c>
    </row>
    <row r="1013" spans="1:13" x14ac:dyDescent="0.3">
      <c r="A1013">
        <v>1983</v>
      </c>
      <c r="B1013" t="s">
        <v>483</v>
      </c>
      <c r="C1013" t="s">
        <v>259</v>
      </c>
      <c r="D1013" t="s">
        <v>728</v>
      </c>
      <c r="E1013" t="s">
        <v>1933</v>
      </c>
      <c r="F1013" s="4">
        <v>31968</v>
      </c>
      <c r="G1013">
        <v>9269061</v>
      </c>
      <c r="H1013" t="s">
        <v>502</v>
      </c>
      <c r="I1013" t="s">
        <v>1934</v>
      </c>
      <c r="J1013" t="s">
        <v>513</v>
      </c>
      <c r="K1013" t="s">
        <v>16</v>
      </c>
      <c r="L1013" t="s">
        <v>506</v>
      </c>
      <c r="M1013" t="str">
        <f>VLOOKUP(A1013,[1]MSAKEN!$A$1:$F$562,6,FALSE)</f>
        <v>14014014100703343934</v>
      </c>
    </row>
    <row r="1014" spans="1:13" x14ac:dyDescent="0.3">
      <c r="A1014">
        <v>1984</v>
      </c>
      <c r="B1014" t="s">
        <v>104</v>
      </c>
      <c r="C1014" t="s">
        <v>278</v>
      </c>
      <c r="D1014" t="s">
        <v>1935</v>
      </c>
      <c r="E1014" t="s">
        <v>1936</v>
      </c>
      <c r="F1014" s="4">
        <v>33574</v>
      </c>
      <c r="G1014">
        <v>9319340</v>
      </c>
      <c r="H1014">
        <v>1663040101</v>
      </c>
      <c r="I1014" t="s">
        <v>1937</v>
      </c>
      <c r="J1014" t="s">
        <v>513</v>
      </c>
      <c r="K1014" t="s">
        <v>16</v>
      </c>
      <c r="L1014" t="s">
        <v>506</v>
      </c>
      <c r="M1014" t="str">
        <f>VLOOKUP(A1014,[1]MSAKEN!$A$1:$F$562,6,FALSE)</f>
        <v>08507000262003914786</v>
      </c>
    </row>
    <row r="1015" spans="1:13" x14ac:dyDescent="0.3">
      <c r="A1015">
        <v>1985</v>
      </c>
      <c r="B1015" t="s">
        <v>19</v>
      </c>
      <c r="C1015" t="s">
        <v>122</v>
      </c>
      <c r="D1015" t="s">
        <v>797</v>
      </c>
      <c r="E1015" t="s">
        <v>792</v>
      </c>
      <c r="F1015" s="4">
        <v>32749</v>
      </c>
      <c r="G1015">
        <v>9296325</v>
      </c>
      <c r="H1015" t="s">
        <v>502</v>
      </c>
      <c r="I1015" t="s">
        <v>1938</v>
      </c>
      <c r="J1015" t="s">
        <v>513</v>
      </c>
      <c r="K1015" t="s">
        <v>15</v>
      </c>
      <c r="L1015" t="s">
        <v>506</v>
      </c>
      <c r="M1015" t="str">
        <f>VLOOKUP(A1015,[1]MSAKEN!$A$1:$F$562,6,FALSE)</f>
        <v>14014014100703345874</v>
      </c>
    </row>
    <row r="1016" spans="1:13" x14ac:dyDescent="0.3">
      <c r="A1016">
        <v>1986</v>
      </c>
      <c r="B1016" t="s">
        <v>121</v>
      </c>
      <c r="C1016" t="s">
        <v>61</v>
      </c>
      <c r="D1016" t="s">
        <v>502</v>
      </c>
      <c r="E1016" t="s">
        <v>502</v>
      </c>
      <c r="F1016" s="4">
        <v>33130</v>
      </c>
      <c r="G1016">
        <v>9285875</v>
      </c>
      <c r="H1016" t="s">
        <v>502</v>
      </c>
      <c r="I1016" t="s">
        <v>1939</v>
      </c>
      <c r="J1016" t="s">
        <v>513</v>
      </c>
      <c r="K1016" t="s">
        <v>16</v>
      </c>
      <c r="L1016" t="s">
        <v>506</v>
      </c>
      <c r="M1016" t="e">
        <f>VLOOKUP(A1016,[1]MSAKEN!$A$1:$F$562,6,FALSE)</f>
        <v>#N/A</v>
      </c>
    </row>
    <row r="1017" spans="1:13" x14ac:dyDescent="0.3">
      <c r="A1017">
        <v>1987</v>
      </c>
      <c r="B1017" t="s">
        <v>29</v>
      </c>
      <c r="C1017" t="s">
        <v>212</v>
      </c>
      <c r="D1017" t="s">
        <v>1940</v>
      </c>
      <c r="E1017" t="s">
        <v>716</v>
      </c>
      <c r="F1017" s="4">
        <v>32686</v>
      </c>
      <c r="G1017">
        <v>9260794</v>
      </c>
      <c r="H1017">
        <v>1639387800</v>
      </c>
      <c r="I1017" t="s">
        <v>1941</v>
      </c>
      <c r="J1017" t="s">
        <v>513</v>
      </c>
      <c r="K1017" t="s">
        <v>16</v>
      </c>
      <c r="L1017" t="s">
        <v>506</v>
      </c>
      <c r="M1017" t="str">
        <f>VLOOKUP(A1017,[1]MSAKEN!$A$1:$F$562,6,FALSE)</f>
        <v>24010029745251110133</v>
      </c>
    </row>
    <row r="1018" spans="1:13" x14ac:dyDescent="0.3">
      <c r="A1018">
        <v>1989</v>
      </c>
      <c r="B1018" t="s">
        <v>265</v>
      </c>
      <c r="C1018" t="s">
        <v>34</v>
      </c>
      <c r="D1018" t="s">
        <v>834</v>
      </c>
      <c r="E1018" t="s">
        <v>1912</v>
      </c>
      <c r="F1018" s="4">
        <v>32196</v>
      </c>
      <c r="G1018">
        <v>9273173</v>
      </c>
      <c r="H1018">
        <v>1613805108</v>
      </c>
      <c r="I1018" t="s">
        <v>1942</v>
      </c>
      <c r="J1018" t="s">
        <v>574</v>
      </c>
      <c r="K1018" t="s">
        <v>15</v>
      </c>
      <c r="L1018" t="s">
        <v>506</v>
      </c>
      <c r="M1018" t="str">
        <f>VLOOKUP(A1018,[1]MSAKEN!$A$1:$F$562,6,FALSE)</f>
        <v>08507000262004027791</v>
      </c>
    </row>
    <row r="1019" spans="1:13" x14ac:dyDescent="0.3">
      <c r="A1019">
        <v>1990</v>
      </c>
      <c r="B1019" t="s">
        <v>78</v>
      </c>
      <c r="C1019" t="s">
        <v>48</v>
      </c>
      <c r="D1019" t="s">
        <v>1447</v>
      </c>
      <c r="E1019" t="s">
        <v>699</v>
      </c>
      <c r="F1019" s="4">
        <v>32084</v>
      </c>
      <c r="G1019">
        <v>9277250</v>
      </c>
      <c r="H1019" t="s">
        <v>502</v>
      </c>
      <c r="I1019" t="s">
        <v>1943</v>
      </c>
      <c r="J1019" t="s">
        <v>513</v>
      </c>
      <c r="K1019" t="s">
        <v>16</v>
      </c>
      <c r="L1019" t="s">
        <v>506</v>
      </c>
      <c r="M1019" t="str">
        <f>VLOOKUP(A1019,[1]MSAKEN!$A$1:$F$562,6,FALSE)</f>
        <v>04204067001764950032</v>
      </c>
    </row>
    <row r="1020" spans="1:13" x14ac:dyDescent="0.3">
      <c r="A1020">
        <v>1991</v>
      </c>
      <c r="B1020" t="s">
        <v>117</v>
      </c>
      <c r="C1020" t="s">
        <v>116</v>
      </c>
      <c r="D1020" t="s">
        <v>535</v>
      </c>
      <c r="E1020" t="s">
        <v>1944</v>
      </c>
      <c r="F1020" s="4">
        <v>29931</v>
      </c>
      <c r="G1020">
        <v>7841617</v>
      </c>
      <c r="H1020">
        <v>1268668801</v>
      </c>
      <c r="I1020" t="s">
        <v>1104</v>
      </c>
      <c r="J1020" t="s">
        <v>718</v>
      </c>
      <c r="K1020" t="s">
        <v>15</v>
      </c>
      <c r="L1020" t="s">
        <v>506</v>
      </c>
      <c r="M1020" t="str">
        <f>VLOOKUP(A1020,[1]MSAKEN!$A$1:$F$562,6,FALSE)</f>
        <v>14014014100701923175</v>
      </c>
    </row>
    <row r="1021" spans="1:13" x14ac:dyDescent="0.3">
      <c r="A1021">
        <v>1992</v>
      </c>
      <c r="B1021" t="s">
        <v>161</v>
      </c>
      <c r="C1021" t="s">
        <v>70</v>
      </c>
      <c r="D1021" t="s">
        <v>520</v>
      </c>
      <c r="E1021" t="s">
        <v>1628</v>
      </c>
      <c r="F1021" s="4">
        <v>29355</v>
      </c>
      <c r="G1021">
        <v>5590275</v>
      </c>
      <c r="H1021">
        <v>1270812801</v>
      </c>
      <c r="I1021" t="s">
        <v>1945</v>
      </c>
      <c r="J1021" t="s">
        <v>513</v>
      </c>
      <c r="K1021" t="s">
        <v>15</v>
      </c>
      <c r="L1021" t="s">
        <v>506</v>
      </c>
      <c r="M1021" t="str">
        <f>VLOOKUP(A1021,[1]MSAKEN!$A$1:$F$562,6,FALSE)</f>
        <v>12505000000215223766</v>
      </c>
    </row>
    <row r="1022" spans="1:13" x14ac:dyDescent="0.3">
      <c r="A1022">
        <v>1993</v>
      </c>
      <c r="B1022" t="s">
        <v>144</v>
      </c>
      <c r="C1022" t="s">
        <v>143</v>
      </c>
      <c r="D1022" t="s">
        <v>601</v>
      </c>
      <c r="E1022" t="s">
        <v>584</v>
      </c>
      <c r="F1022" s="4">
        <v>31953</v>
      </c>
      <c r="G1022">
        <v>9250324</v>
      </c>
      <c r="H1022" t="s">
        <v>502</v>
      </c>
      <c r="I1022" t="s">
        <v>1946</v>
      </c>
      <c r="J1022" t="s">
        <v>511</v>
      </c>
      <c r="K1022" t="s">
        <v>16</v>
      </c>
      <c r="L1022" t="s">
        <v>506</v>
      </c>
      <c r="M1022" t="str">
        <f>VLOOKUP(A1022,[1]MSAKEN!$A$1:$F$562,6,FALSE)</f>
        <v>04500043002065485137</v>
      </c>
    </row>
    <row r="1023" spans="1:13" x14ac:dyDescent="0.3">
      <c r="A1023">
        <v>1994</v>
      </c>
      <c r="B1023" t="s">
        <v>756</v>
      </c>
      <c r="C1023" t="s">
        <v>1947</v>
      </c>
      <c r="D1023" t="s">
        <v>502</v>
      </c>
      <c r="E1023" t="s">
        <v>502</v>
      </c>
      <c r="F1023" s="4">
        <v>34298</v>
      </c>
      <c r="G1023">
        <v>9331183</v>
      </c>
      <c r="H1023" t="s">
        <v>502</v>
      </c>
      <c r="I1023" t="s">
        <v>1948</v>
      </c>
      <c r="J1023" t="s">
        <v>513</v>
      </c>
      <c r="K1023" t="s">
        <v>16</v>
      </c>
      <c r="L1023" t="s">
        <v>506</v>
      </c>
      <c r="M1023" t="e">
        <f>VLOOKUP(A1023,[1]MSAKEN!$A$1:$F$562,6,FALSE)</f>
        <v>#N/A</v>
      </c>
    </row>
    <row r="1024" spans="1:13" x14ac:dyDescent="0.3">
      <c r="A1024">
        <v>1995</v>
      </c>
      <c r="B1024" t="s">
        <v>426</v>
      </c>
      <c r="C1024" t="s">
        <v>425</v>
      </c>
      <c r="D1024" t="s">
        <v>1949</v>
      </c>
      <c r="E1024" t="s">
        <v>1950</v>
      </c>
      <c r="F1024" s="4">
        <v>33537</v>
      </c>
      <c r="G1024">
        <v>9322668</v>
      </c>
      <c r="H1024" t="s">
        <v>502</v>
      </c>
      <c r="I1024" t="s">
        <v>1951</v>
      </c>
      <c r="J1024" t="s">
        <v>513</v>
      </c>
      <c r="K1024" t="s">
        <v>16</v>
      </c>
      <c r="L1024" t="s">
        <v>506</v>
      </c>
      <c r="M1024" t="str">
        <f>VLOOKUP(A1024,[1]MSAKEN!$A$1:$F$562,6,FALSE)</f>
        <v>11020002280500878847</v>
      </c>
    </row>
    <row r="1025" spans="1:13" x14ac:dyDescent="0.3">
      <c r="A1025">
        <v>1998</v>
      </c>
      <c r="B1025" t="s">
        <v>283</v>
      </c>
      <c r="C1025" t="s">
        <v>68</v>
      </c>
      <c r="D1025" t="s">
        <v>1952</v>
      </c>
      <c r="E1025" t="s">
        <v>536</v>
      </c>
      <c r="F1025" s="4">
        <v>25567</v>
      </c>
      <c r="G1025">
        <v>5507829</v>
      </c>
      <c r="H1025">
        <v>5152807300</v>
      </c>
      <c r="I1025" t="s">
        <v>1953</v>
      </c>
      <c r="J1025" t="s">
        <v>513</v>
      </c>
      <c r="K1025" t="s">
        <v>15</v>
      </c>
      <c r="L1025" t="s">
        <v>506</v>
      </c>
      <c r="M1025" t="e">
        <f>VLOOKUP(A1025,[1]MSAKEN!$A$1:$F$562,6,FALSE)</f>
        <v>#N/A</v>
      </c>
    </row>
    <row r="1026" spans="1:13" x14ac:dyDescent="0.3">
      <c r="A1026">
        <v>1999</v>
      </c>
      <c r="B1026" t="s">
        <v>1954</v>
      </c>
      <c r="C1026" t="s">
        <v>40</v>
      </c>
      <c r="D1026" t="s">
        <v>834</v>
      </c>
      <c r="E1026" t="s">
        <v>1955</v>
      </c>
      <c r="F1026" s="4">
        <v>27435</v>
      </c>
      <c r="G1026">
        <v>5543259</v>
      </c>
      <c r="H1026">
        <v>4513041907</v>
      </c>
      <c r="I1026" t="s">
        <v>1956</v>
      </c>
      <c r="J1026" t="s">
        <v>513</v>
      </c>
      <c r="K1026" t="s">
        <v>15</v>
      </c>
      <c r="L1026" t="s">
        <v>506</v>
      </c>
      <c r="M1026" t="e">
        <f>VLOOKUP(A1026,[1]MSAKEN!$A$1:$F$562,6,FALSE)</f>
        <v>#N/A</v>
      </c>
    </row>
    <row r="1027" spans="1:13" x14ac:dyDescent="0.3">
      <c r="A1027">
        <v>2000</v>
      </c>
      <c r="B1027" t="s">
        <v>1957</v>
      </c>
      <c r="C1027" t="s">
        <v>56</v>
      </c>
      <c r="D1027" t="s">
        <v>502</v>
      </c>
      <c r="E1027" t="s">
        <v>502</v>
      </c>
      <c r="F1027" s="4">
        <v>27232</v>
      </c>
      <c r="G1027">
        <v>5560448</v>
      </c>
      <c r="H1027">
        <v>1208427003</v>
      </c>
      <c r="I1027" t="s">
        <v>1958</v>
      </c>
      <c r="J1027" t="s">
        <v>513</v>
      </c>
      <c r="K1027" t="s">
        <v>16</v>
      </c>
      <c r="L1027" t="s">
        <v>506</v>
      </c>
      <c r="M1027" t="e">
        <f>VLOOKUP(A1027,[1]MSAKEN!$A$1:$F$562,6,FALSE)</f>
        <v>#N/A</v>
      </c>
    </row>
    <row r="1028" spans="1:13" x14ac:dyDescent="0.3">
      <c r="A1028">
        <v>2003</v>
      </c>
      <c r="B1028" t="s">
        <v>250</v>
      </c>
      <c r="C1028" t="s">
        <v>109</v>
      </c>
      <c r="D1028" t="s">
        <v>535</v>
      </c>
      <c r="E1028" t="s">
        <v>1919</v>
      </c>
      <c r="F1028" s="4">
        <v>32673</v>
      </c>
      <c r="G1028">
        <v>9326492</v>
      </c>
      <c r="H1028">
        <v>1663000204</v>
      </c>
      <c r="I1028" t="s">
        <v>1959</v>
      </c>
      <c r="J1028" t="s">
        <v>513</v>
      </c>
      <c r="K1028" t="s">
        <v>16</v>
      </c>
      <c r="L1028" t="s">
        <v>506</v>
      </c>
      <c r="M1028" t="e">
        <f>VLOOKUP(A1028,[1]MSAKEN!$A$1:$F$562,6,FALSE)</f>
        <v>#N/A</v>
      </c>
    </row>
    <row r="1029" spans="1:13" x14ac:dyDescent="0.3">
      <c r="A1029">
        <v>2004</v>
      </c>
      <c r="B1029" t="s">
        <v>79</v>
      </c>
      <c r="C1029" t="s">
        <v>31</v>
      </c>
      <c r="D1029" t="s">
        <v>999</v>
      </c>
      <c r="E1029" t="s">
        <v>584</v>
      </c>
      <c r="F1029" s="4">
        <v>26344</v>
      </c>
      <c r="G1029">
        <v>5520371</v>
      </c>
      <c r="H1029">
        <v>1152446107</v>
      </c>
      <c r="I1029" t="s">
        <v>1302</v>
      </c>
      <c r="J1029" t="s">
        <v>568</v>
      </c>
      <c r="K1029" t="s">
        <v>15</v>
      </c>
      <c r="L1029" t="s">
        <v>506</v>
      </c>
      <c r="M1029" t="str">
        <f>VLOOKUP(A1029,[1]MSAKEN!$A$1:$F$562,6,FALSE)</f>
        <v>10506040507756578830</v>
      </c>
    </row>
    <row r="1030" spans="1:13" x14ac:dyDescent="0.3">
      <c r="A1030">
        <v>2005</v>
      </c>
      <c r="B1030" t="s">
        <v>97</v>
      </c>
      <c r="C1030" t="s">
        <v>96</v>
      </c>
      <c r="D1030" t="s">
        <v>1061</v>
      </c>
      <c r="E1030" t="s">
        <v>536</v>
      </c>
      <c r="F1030" s="4">
        <v>34275</v>
      </c>
      <c r="G1030">
        <v>9332948</v>
      </c>
      <c r="H1030">
        <v>1663192704</v>
      </c>
      <c r="I1030" t="s">
        <v>1960</v>
      </c>
      <c r="J1030" t="s">
        <v>513</v>
      </c>
      <c r="K1030" t="s">
        <v>16</v>
      </c>
      <c r="L1030" t="s">
        <v>506</v>
      </c>
      <c r="M1030" t="str">
        <f>VLOOKUP(A1030,[1]MSAKEN!$A$1:$F$562,6,FALSE)</f>
        <v>12505000000221937039</v>
      </c>
    </row>
    <row r="1031" spans="1:13" x14ac:dyDescent="0.3">
      <c r="A1031">
        <v>2006</v>
      </c>
      <c r="B1031" t="s">
        <v>1148</v>
      </c>
      <c r="C1031" t="s">
        <v>48</v>
      </c>
      <c r="D1031" t="s">
        <v>520</v>
      </c>
      <c r="E1031" t="s">
        <v>1789</v>
      </c>
      <c r="F1031" s="4">
        <v>30170</v>
      </c>
      <c r="G1031">
        <v>8446491</v>
      </c>
      <c r="H1031">
        <v>1208864700</v>
      </c>
      <c r="I1031" t="s">
        <v>1961</v>
      </c>
      <c r="J1031" t="s">
        <v>513</v>
      </c>
      <c r="K1031" t="s">
        <v>15</v>
      </c>
      <c r="L1031" t="s">
        <v>506</v>
      </c>
      <c r="M1031" t="e">
        <f>VLOOKUP(A1031,[1]MSAKEN!$A$1:$F$562,6,FALSE)</f>
        <v>#N/A</v>
      </c>
    </row>
    <row r="1032" spans="1:13" x14ac:dyDescent="0.3">
      <c r="A1032">
        <v>2007</v>
      </c>
      <c r="B1032" t="s">
        <v>344</v>
      </c>
      <c r="C1032" t="s">
        <v>1962</v>
      </c>
      <c r="D1032" t="s">
        <v>1963</v>
      </c>
      <c r="E1032" t="s">
        <v>521</v>
      </c>
      <c r="F1032" s="4">
        <v>32386</v>
      </c>
      <c r="G1032">
        <v>9276476</v>
      </c>
      <c r="H1032" t="s">
        <v>502</v>
      </c>
      <c r="I1032" t="s">
        <v>1964</v>
      </c>
      <c r="J1032" t="s">
        <v>513</v>
      </c>
      <c r="K1032" t="s">
        <v>16</v>
      </c>
      <c r="L1032" t="s">
        <v>506</v>
      </c>
      <c r="M1032" t="e">
        <f>VLOOKUP(A1032,[1]MSAKEN!$A$1:$F$562,6,FALSE)</f>
        <v>#N/A</v>
      </c>
    </row>
    <row r="1033" spans="1:13" x14ac:dyDescent="0.3">
      <c r="A1033">
        <v>2008</v>
      </c>
      <c r="B1033" t="s">
        <v>299</v>
      </c>
      <c r="C1033" t="s">
        <v>30</v>
      </c>
      <c r="D1033" t="s">
        <v>1965</v>
      </c>
      <c r="E1033" t="s">
        <v>1966</v>
      </c>
      <c r="F1033" s="4">
        <v>34185</v>
      </c>
      <c r="G1033">
        <v>9303047</v>
      </c>
      <c r="H1033" t="s">
        <v>502</v>
      </c>
      <c r="I1033" t="s">
        <v>502</v>
      </c>
      <c r="J1033" t="s">
        <v>513</v>
      </c>
      <c r="K1033" t="s">
        <v>16</v>
      </c>
      <c r="L1033" t="s">
        <v>506</v>
      </c>
      <c r="M1033" t="str">
        <f>VLOOKUP(A1033,[1]MSAKEN!$A$1:$F$562,6,FALSE)</f>
        <v>12058000000222041641</v>
      </c>
    </row>
    <row r="1034" spans="1:13" x14ac:dyDescent="0.3">
      <c r="A1034">
        <v>2009</v>
      </c>
      <c r="B1034" t="s">
        <v>231</v>
      </c>
      <c r="C1034" t="s">
        <v>230</v>
      </c>
      <c r="D1034" t="s">
        <v>545</v>
      </c>
      <c r="E1034" t="s">
        <v>1545</v>
      </c>
      <c r="F1034" s="4">
        <v>32329</v>
      </c>
      <c r="G1034">
        <v>9293217</v>
      </c>
      <c r="H1034" t="s">
        <v>502</v>
      </c>
      <c r="I1034" t="s">
        <v>964</v>
      </c>
      <c r="J1034" t="s">
        <v>568</v>
      </c>
      <c r="K1034" t="s">
        <v>16</v>
      </c>
      <c r="L1034" t="s">
        <v>506</v>
      </c>
      <c r="M1034" t="str">
        <f>VLOOKUP(A1034,[1]MSAKEN!$A$1:$F$562,6,FALSE)</f>
        <v>12505000013304954435</v>
      </c>
    </row>
    <row r="1035" spans="1:13" x14ac:dyDescent="0.3">
      <c r="A1035">
        <v>2010</v>
      </c>
      <c r="B1035" t="s">
        <v>703</v>
      </c>
      <c r="C1035" t="s">
        <v>385</v>
      </c>
      <c r="D1035" t="s">
        <v>1967</v>
      </c>
      <c r="E1035" t="s">
        <v>1968</v>
      </c>
      <c r="F1035" s="4">
        <v>33046</v>
      </c>
      <c r="G1035">
        <v>9284482</v>
      </c>
      <c r="H1035" t="s">
        <v>502</v>
      </c>
      <c r="I1035" t="s">
        <v>1969</v>
      </c>
      <c r="J1035" t="s">
        <v>513</v>
      </c>
      <c r="K1035" t="s">
        <v>16</v>
      </c>
      <c r="L1035" t="s">
        <v>506</v>
      </c>
      <c r="M1035" t="str">
        <f>VLOOKUP(A1035,[1]MSAKEN!$A$1:$F$562,6,FALSE)</f>
        <v>08507000264004322118</v>
      </c>
    </row>
    <row r="1036" spans="1:13" x14ac:dyDescent="0.3">
      <c r="A1036">
        <v>2011</v>
      </c>
      <c r="B1036" t="s">
        <v>236</v>
      </c>
      <c r="C1036" t="s">
        <v>368</v>
      </c>
      <c r="D1036" t="s">
        <v>1970</v>
      </c>
      <c r="E1036" t="s">
        <v>1971</v>
      </c>
      <c r="F1036" s="4">
        <v>33102</v>
      </c>
      <c r="G1036">
        <v>9304517</v>
      </c>
      <c r="H1036">
        <v>1663200705</v>
      </c>
      <c r="I1036" t="s">
        <v>1972</v>
      </c>
      <c r="J1036" t="s">
        <v>513</v>
      </c>
      <c r="K1036" t="s">
        <v>16</v>
      </c>
      <c r="L1036" t="s">
        <v>506</v>
      </c>
      <c r="M1036" t="str">
        <f>VLOOKUP(A1036,[1]MSAKEN!$A$1:$F$562,6,FALSE)</f>
        <v>12058000000219478804</v>
      </c>
    </row>
    <row r="1037" spans="1:13" x14ac:dyDescent="0.3">
      <c r="A1037">
        <v>2013</v>
      </c>
      <c r="B1037" t="s">
        <v>799</v>
      </c>
      <c r="C1037" t="s">
        <v>110</v>
      </c>
      <c r="D1037" t="s">
        <v>1973</v>
      </c>
      <c r="E1037" t="s">
        <v>699</v>
      </c>
      <c r="F1037" s="4">
        <v>32063</v>
      </c>
      <c r="G1037">
        <v>8496106</v>
      </c>
      <c r="H1037" t="s">
        <v>502</v>
      </c>
      <c r="I1037" t="s">
        <v>1974</v>
      </c>
      <c r="J1037" t="s">
        <v>574</v>
      </c>
      <c r="K1037" t="s">
        <v>15</v>
      </c>
      <c r="L1037" t="s">
        <v>506</v>
      </c>
      <c r="M1037" t="str">
        <f>VLOOKUP(A1037,[1]MSAKEN!$A$1:$F$562,6,FALSE)</f>
        <v>08507000262005174040</v>
      </c>
    </row>
    <row r="1038" spans="1:13" x14ac:dyDescent="0.3">
      <c r="A1038">
        <v>2014</v>
      </c>
      <c r="B1038" t="s">
        <v>33</v>
      </c>
      <c r="C1038" t="s">
        <v>143</v>
      </c>
      <c r="D1038" t="s">
        <v>535</v>
      </c>
      <c r="E1038" t="s">
        <v>1053</v>
      </c>
      <c r="F1038" s="4">
        <v>33756</v>
      </c>
      <c r="G1038">
        <v>9308295</v>
      </c>
      <c r="H1038" t="s">
        <v>502</v>
      </c>
      <c r="I1038" t="s">
        <v>1975</v>
      </c>
      <c r="J1038" t="s">
        <v>513</v>
      </c>
      <c r="K1038" t="s">
        <v>16</v>
      </c>
      <c r="L1038" t="s">
        <v>506</v>
      </c>
      <c r="M1038" t="str">
        <f>VLOOKUP(A1038,[1]MSAKEN!$A$1:$F$562,6,FALSE)</f>
        <v>24010064971251110108</v>
      </c>
    </row>
    <row r="1039" spans="1:13" x14ac:dyDescent="0.3">
      <c r="A1039">
        <v>2015</v>
      </c>
      <c r="B1039" t="s">
        <v>199</v>
      </c>
      <c r="C1039" t="s">
        <v>1976</v>
      </c>
      <c r="D1039" t="s">
        <v>1872</v>
      </c>
      <c r="E1039" t="s">
        <v>1977</v>
      </c>
      <c r="F1039" s="4">
        <v>32448</v>
      </c>
      <c r="G1039">
        <v>9262322</v>
      </c>
      <c r="H1039">
        <v>1663232500</v>
      </c>
      <c r="I1039" t="s">
        <v>1978</v>
      </c>
      <c r="J1039" t="s">
        <v>513</v>
      </c>
      <c r="K1039" t="s">
        <v>15</v>
      </c>
      <c r="L1039" t="s">
        <v>506</v>
      </c>
      <c r="M1039" t="e">
        <f>VLOOKUP(A1039,[1]MSAKEN!$A$1:$F$562,6,FALSE)</f>
        <v>#N/A</v>
      </c>
    </row>
    <row r="1040" spans="1:13" x14ac:dyDescent="0.3">
      <c r="A1040">
        <v>2016</v>
      </c>
      <c r="B1040" t="s">
        <v>477</v>
      </c>
      <c r="C1040" t="s">
        <v>449</v>
      </c>
      <c r="D1040" t="s">
        <v>772</v>
      </c>
      <c r="E1040" t="s">
        <v>1979</v>
      </c>
      <c r="F1040" s="4">
        <v>33441</v>
      </c>
      <c r="G1040">
        <v>9308187</v>
      </c>
      <c r="H1040">
        <v>1996780704</v>
      </c>
      <c r="I1040" t="s">
        <v>1980</v>
      </c>
      <c r="J1040" t="s">
        <v>513</v>
      </c>
      <c r="K1040" t="s">
        <v>16</v>
      </c>
      <c r="L1040" t="s">
        <v>17</v>
      </c>
      <c r="M1040" t="e">
        <f>VLOOKUP(A1040,[1]MSAKEN!$A$1:$F$562,6,FALSE)</f>
        <v>#N/A</v>
      </c>
    </row>
    <row r="1041" spans="1:13" x14ac:dyDescent="0.3">
      <c r="A1041">
        <v>2017</v>
      </c>
      <c r="B1041" t="s">
        <v>119</v>
      </c>
      <c r="C1041" t="s">
        <v>118</v>
      </c>
      <c r="D1041" t="s">
        <v>1981</v>
      </c>
      <c r="E1041" t="s">
        <v>1769</v>
      </c>
      <c r="F1041" s="4">
        <v>34151</v>
      </c>
      <c r="G1041">
        <v>9343792</v>
      </c>
      <c r="H1041" t="s">
        <v>502</v>
      </c>
      <c r="I1041" t="s">
        <v>1943</v>
      </c>
      <c r="J1041" t="s">
        <v>513</v>
      </c>
      <c r="K1041" t="s">
        <v>16</v>
      </c>
      <c r="L1041" t="s">
        <v>506</v>
      </c>
      <c r="M1041" t="str">
        <f>VLOOKUP(A1041,[1]MSAKEN!$A$1:$F$562,6,FALSE)</f>
        <v>04204067003453458617</v>
      </c>
    </row>
    <row r="1042" spans="1:13" x14ac:dyDescent="0.3">
      <c r="A1042">
        <v>2018</v>
      </c>
      <c r="B1042" t="s">
        <v>103</v>
      </c>
      <c r="C1042" t="s">
        <v>34</v>
      </c>
      <c r="D1042" t="s">
        <v>1930</v>
      </c>
      <c r="E1042" t="s">
        <v>1982</v>
      </c>
      <c r="F1042" s="4">
        <v>34291</v>
      </c>
      <c r="G1042">
        <v>9323744</v>
      </c>
      <c r="H1042" t="s">
        <v>502</v>
      </c>
      <c r="I1042" t="s">
        <v>837</v>
      </c>
      <c r="J1042" t="s">
        <v>513</v>
      </c>
      <c r="K1042" t="s">
        <v>16</v>
      </c>
      <c r="L1042" t="s">
        <v>506</v>
      </c>
      <c r="M1042" t="e">
        <f>VLOOKUP(A1042,[1]MSAKEN!$A$1:$F$562,6,FALSE)</f>
        <v>#N/A</v>
      </c>
    </row>
    <row r="1043" spans="1:13" x14ac:dyDescent="0.3">
      <c r="A1043">
        <v>2019</v>
      </c>
      <c r="B1043" t="s">
        <v>317</v>
      </c>
      <c r="C1043" t="s">
        <v>110</v>
      </c>
      <c r="D1043" t="s">
        <v>564</v>
      </c>
      <c r="E1043" t="s">
        <v>1983</v>
      </c>
      <c r="F1043" s="4">
        <v>35331</v>
      </c>
      <c r="G1043">
        <v>12808954</v>
      </c>
      <c r="H1043" t="s">
        <v>502</v>
      </c>
      <c r="I1043" t="s">
        <v>1806</v>
      </c>
      <c r="J1043" t="s">
        <v>513</v>
      </c>
      <c r="K1043" t="s">
        <v>16</v>
      </c>
      <c r="L1043" t="s">
        <v>506</v>
      </c>
      <c r="M1043" t="e">
        <f>VLOOKUP(A1043,[1]MSAKEN!$A$1:$F$562,6,FALSE)</f>
        <v>#N/A</v>
      </c>
    </row>
    <row r="1044" spans="1:13" x14ac:dyDescent="0.3">
      <c r="A1044">
        <v>2021</v>
      </c>
      <c r="B1044" t="s">
        <v>1143</v>
      </c>
      <c r="C1044" t="s">
        <v>122</v>
      </c>
      <c r="D1044" t="s">
        <v>1984</v>
      </c>
      <c r="E1044" t="s">
        <v>699</v>
      </c>
      <c r="F1044" s="4">
        <v>34789</v>
      </c>
      <c r="G1044">
        <v>9321459</v>
      </c>
      <c r="H1044" t="s">
        <v>502</v>
      </c>
      <c r="I1044" t="s">
        <v>683</v>
      </c>
      <c r="J1044" t="s">
        <v>513</v>
      </c>
      <c r="K1044" t="s">
        <v>16</v>
      </c>
      <c r="L1044" t="s">
        <v>506</v>
      </c>
      <c r="M1044" t="e">
        <f>VLOOKUP(A1044,[1]MSAKEN!$A$1:$F$562,6,FALSE)</f>
        <v>#N/A</v>
      </c>
    </row>
    <row r="1045" spans="1:13" x14ac:dyDescent="0.3">
      <c r="A1045">
        <v>2022</v>
      </c>
      <c r="B1045" t="s">
        <v>83</v>
      </c>
      <c r="C1045" t="s">
        <v>61</v>
      </c>
      <c r="D1045" t="s">
        <v>1224</v>
      </c>
      <c r="E1045" t="s">
        <v>584</v>
      </c>
      <c r="F1045" s="4">
        <v>34780</v>
      </c>
      <c r="G1045">
        <v>9322478</v>
      </c>
      <c r="H1045" t="s">
        <v>502</v>
      </c>
      <c r="I1045" t="s">
        <v>1985</v>
      </c>
      <c r="J1045" t="s">
        <v>513</v>
      </c>
      <c r="K1045" t="s">
        <v>16</v>
      </c>
      <c r="L1045" t="s">
        <v>506</v>
      </c>
      <c r="M1045" t="str">
        <f>VLOOKUP(A1045,[1]MSAKEN!$A$1:$F$562,6,FALSE)</f>
        <v>08507000264004969690</v>
      </c>
    </row>
    <row r="1046" spans="1:13" x14ac:dyDescent="0.3">
      <c r="A1046">
        <v>2023</v>
      </c>
      <c r="B1046" t="s">
        <v>1986</v>
      </c>
      <c r="C1046" t="s">
        <v>81</v>
      </c>
      <c r="D1046" t="s">
        <v>1987</v>
      </c>
      <c r="E1046" t="s">
        <v>716</v>
      </c>
      <c r="F1046" s="4">
        <v>32903</v>
      </c>
      <c r="G1046">
        <v>9292648</v>
      </c>
      <c r="H1046" t="s">
        <v>502</v>
      </c>
      <c r="I1046" t="s">
        <v>1988</v>
      </c>
      <c r="J1046" t="s">
        <v>718</v>
      </c>
      <c r="K1046" t="s">
        <v>16</v>
      </c>
      <c r="L1046" t="s">
        <v>506</v>
      </c>
      <c r="M1046" t="e">
        <f>VLOOKUP(A1046,[1]MSAKEN!$A$1:$F$562,6,FALSE)</f>
        <v>#N/A</v>
      </c>
    </row>
    <row r="1047" spans="1:13" x14ac:dyDescent="0.3">
      <c r="A1047">
        <v>2024</v>
      </c>
      <c r="B1047" t="s">
        <v>176</v>
      </c>
      <c r="C1047" t="s">
        <v>34</v>
      </c>
      <c r="D1047" t="s">
        <v>1872</v>
      </c>
      <c r="E1047" t="s">
        <v>1983</v>
      </c>
      <c r="F1047" s="4">
        <v>34472</v>
      </c>
      <c r="G1047">
        <v>9322165</v>
      </c>
      <c r="H1047" t="s">
        <v>502</v>
      </c>
      <c r="I1047" t="s">
        <v>1989</v>
      </c>
      <c r="J1047" t="s">
        <v>513</v>
      </c>
      <c r="K1047" t="s">
        <v>16</v>
      </c>
      <c r="L1047" t="s">
        <v>506</v>
      </c>
      <c r="M1047" t="str">
        <f>VLOOKUP(A1047,[1]MSAKEN!$A$1:$F$562,6,FALSE)</f>
        <v>10506040207888078835</v>
      </c>
    </row>
    <row r="1048" spans="1:13" x14ac:dyDescent="0.3">
      <c r="A1048">
        <v>2025</v>
      </c>
      <c r="B1048" t="s">
        <v>19</v>
      </c>
      <c r="C1048" t="s">
        <v>464</v>
      </c>
      <c r="D1048" t="s">
        <v>797</v>
      </c>
      <c r="E1048" t="s">
        <v>696</v>
      </c>
      <c r="F1048" s="4">
        <v>33570</v>
      </c>
      <c r="G1048">
        <v>9279389</v>
      </c>
      <c r="H1048" t="s">
        <v>502</v>
      </c>
      <c r="I1048" t="s">
        <v>1990</v>
      </c>
      <c r="J1048" t="s">
        <v>513</v>
      </c>
      <c r="K1048" t="s">
        <v>16</v>
      </c>
      <c r="L1048" t="s">
        <v>506</v>
      </c>
      <c r="M1048" t="str">
        <f>VLOOKUP(A1048,[1]MSAKEN!$A$1:$F$562,6,FALSE)</f>
        <v>12058000000224698277</v>
      </c>
    </row>
    <row r="1049" spans="1:13" x14ac:dyDescent="0.3">
      <c r="A1049">
        <v>2026</v>
      </c>
      <c r="B1049" t="s">
        <v>180</v>
      </c>
      <c r="C1049" t="s">
        <v>224</v>
      </c>
      <c r="D1049" t="s">
        <v>535</v>
      </c>
      <c r="E1049" t="s">
        <v>1197</v>
      </c>
      <c r="F1049" s="4">
        <v>31038</v>
      </c>
      <c r="G1049">
        <v>8456228</v>
      </c>
      <c r="H1049" t="s">
        <v>502</v>
      </c>
      <c r="I1049" t="s">
        <v>1991</v>
      </c>
      <c r="J1049" t="s">
        <v>513</v>
      </c>
      <c r="K1049" t="s">
        <v>16</v>
      </c>
      <c r="L1049" t="s">
        <v>506</v>
      </c>
      <c r="M1049" t="e">
        <f>VLOOKUP(A1049,[1]MSAKEN!$A$1:$F$562,6,FALSE)</f>
        <v>#N/A</v>
      </c>
    </row>
    <row r="1050" spans="1:13" x14ac:dyDescent="0.3">
      <c r="A1050">
        <v>2027</v>
      </c>
      <c r="B1050" t="s">
        <v>339</v>
      </c>
      <c r="C1050" t="s">
        <v>249</v>
      </c>
      <c r="D1050" t="s">
        <v>535</v>
      </c>
      <c r="E1050" t="s">
        <v>1067</v>
      </c>
      <c r="F1050" s="4">
        <v>32426</v>
      </c>
      <c r="G1050">
        <v>9263504</v>
      </c>
      <c r="H1050" t="s">
        <v>502</v>
      </c>
      <c r="I1050" t="s">
        <v>1992</v>
      </c>
      <c r="J1050" t="s">
        <v>513</v>
      </c>
      <c r="K1050" t="s">
        <v>16</v>
      </c>
      <c r="L1050" t="s">
        <v>506</v>
      </c>
      <c r="M1050" t="str">
        <f>VLOOKUP(A1050,[1]MSAKEN!$A$1:$F$562,6,FALSE)</f>
        <v>07408005310559836767</v>
      </c>
    </row>
    <row r="1051" spans="1:13" x14ac:dyDescent="0.3">
      <c r="A1051">
        <v>2028</v>
      </c>
      <c r="B1051" t="s">
        <v>176</v>
      </c>
      <c r="C1051" t="s">
        <v>280</v>
      </c>
      <c r="D1051" t="s">
        <v>1993</v>
      </c>
      <c r="E1051" t="s">
        <v>690</v>
      </c>
      <c r="F1051" s="4">
        <v>31563</v>
      </c>
      <c r="G1051">
        <v>9250932</v>
      </c>
      <c r="H1051">
        <v>1683290603</v>
      </c>
      <c r="I1051" t="s">
        <v>1994</v>
      </c>
      <c r="J1051" t="s">
        <v>513</v>
      </c>
      <c r="K1051" t="s">
        <v>15</v>
      </c>
      <c r="L1051" t="s">
        <v>506</v>
      </c>
      <c r="M1051" t="e">
        <f>VLOOKUP(A1051,[1]MSAKEN!$A$1:$F$562,6,FALSE)</f>
        <v>#N/A</v>
      </c>
    </row>
    <row r="1052" spans="1:13" x14ac:dyDescent="0.3">
      <c r="A1052">
        <v>2029</v>
      </c>
      <c r="B1052" t="s">
        <v>65</v>
      </c>
      <c r="C1052" t="s">
        <v>34</v>
      </c>
      <c r="D1052" t="s">
        <v>535</v>
      </c>
      <c r="E1052" t="s">
        <v>1694</v>
      </c>
      <c r="F1052" s="4">
        <v>31597</v>
      </c>
      <c r="G1052">
        <v>8496589</v>
      </c>
      <c r="H1052" t="s">
        <v>502</v>
      </c>
      <c r="I1052" t="s">
        <v>1995</v>
      </c>
      <c r="J1052" t="s">
        <v>513</v>
      </c>
      <c r="K1052" t="s">
        <v>16</v>
      </c>
      <c r="L1052" t="s">
        <v>506</v>
      </c>
      <c r="M1052" t="e">
        <f>VLOOKUP(A1052,[1]MSAKEN!$A$1:$F$562,6,FALSE)</f>
        <v>#N/A</v>
      </c>
    </row>
    <row r="1053" spans="1:13" x14ac:dyDescent="0.3">
      <c r="A1053">
        <v>2030</v>
      </c>
      <c r="B1053" t="s">
        <v>1996</v>
      </c>
      <c r="C1053" t="s">
        <v>230</v>
      </c>
      <c r="D1053" t="s">
        <v>728</v>
      </c>
      <c r="E1053" t="s">
        <v>1597</v>
      </c>
      <c r="F1053" s="4">
        <v>32459</v>
      </c>
      <c r="G1053">
        <v>9275339</v>
      </c>
      <c r="H1053" t="s">
        <v>502</v>
      </c>
      <c r="I1053" t="s">
        <v>1997</v>
      </c>
      <c r="J1053" t="s">
        <v>513</v>
      </c>
      <c r="K1053" t="s">
        <v>16</v>
      </c>
      <c r="L1053" t="s">
        <v>506</v>
      </c>
      <c r="M1053" t="e">
        <f>VLOOKUP(A1053,[1]MSAKEN!$A$1:$F$562,6,FALSE)</f>
        <v>#N/A</v>
      </c>
    </row>
    <row r="1054" spans="1:13" x14ac:dyDescent="0.3">
      <c r="A1054">
        <v>2031</v>
      </c>
      <c r="B1054" t="s">
        <v>417</v>
      </c>
      <c r="C1054" t="s">
        <v>1998</v>
      </c>
      <c r="D1054" t="s">
        <v>535</v>
      </c>
      <c r="E1054" t="s">
        <v>521</v>
      </c>
      <c r="F1054" s="4">
        <v>32352</v>
      </c>
      <c r="G1054">
        <v>9273718</v>
      </c>
      <c r="H1054" t="s">
        <v>502</v>
      </c>
      <c r="I1054" t="s">
        <v>1999</v>
      </c>
      <c r="J1054" t="s">
        <v>513</v>
      </c>
      <c r="K1054" t="s">
        <v>15</v>
      </c>
      <c r="L1054" t="s">
        <v>17</v>
      </c>
      <c r="M1054" t="e">
        <f>VLOOKUP(A1054,[1]MSAKEN!$A$1:$F$562,6,FALSE)</f>
        <v>#N/A</v>
      </c>
    </row>
    <row r="1055" spans="1:13" x14ac:dyDescent="0.3">
      <c r="A1055">
        <v>2032</v>
      </c>
      <c r="B1055" t="s">
        <v>448</v>
      </c>
      <c r="C1055" t="s">
        <v>258</v>
      </c>
      <c r="D1055" t="s">
        <v>535</v>
      </c>
      <c r="E1055" t="s">
        <v>584</v>
      </c>
      <c r="F1055" s="4">
        <v>31107</v>
      </c>
      <c r="G1055">
        <v>9256297</v>
      </c>
      <c r="H1055">
        <v>1674618804</v>
      </c>
      <c r="I1055" t="s">
        <v>2000</v>
      </c>
      <c r="J1055" t="s">
        <v>511</v>
      </c>
      <c r="K1055" t="s">
        <v>16</v>
      </c>
      <c r="L1055" t="s">
        <v>506</v>
      </c>
      <c r="M1055" t="str">
        <f>VLOOKUP(A1055,[1]MSAKEN!$A$1:$F$562,6,FALSE)</f>
        <v>07408005310559917762</v>
      </c>
    </row>
    <row r="1056" spans="1:13" x14ac:dyDescent="0.3">
      <c r="A1056">
        <v>2033</v>
      </c>
      <c r="B1056" t="s">
        <v>83</v>
      </c>
      <c r="C1056" t="s">
        <v>20</v>
      </c>
      <c r="D1056" t="s">
        <v>1872</v>
      </c>
      <c r="E1056" t="s">
        <v>792</v>
      </c>
      <c r="F1056" s="4">
        <v>32697</v>
      </c>
      <c r="G1056">
        <v>9286938</v>
      </c>
      <c r="H1056" t="s">
        <v>502</v>
      </c>
      <c r="I1056" t="s">
        <v>2001</v>
      </c>
      <c r="J1056" t="s">
        <v>513</v>
      </c>
      <c r="K1056" t="s">
        <v>15</v>
      </c>
      <c r="L1056" t="s">
        <v>17</v>
      </c>
      <c r="M1056" t="e">
        <f>VLOOKUP(A1056,[1]MSAKEN!$A$1:$F$562,6,FALSE)</f>
        <v>#N/A</v>
      </c>
    </row>
    <row r="1057" spans="1:13" x14ac:dyDescent="0.3">
      <c r="A1057">
        <v>2036</v>
      </c>
      <c r="B1057" t="s">
        <v>446</v>
      </c>
      <c r="C1057" t="s">
        <v>2002</v>
      </c>
      <c r="D1057" t="s">
        <v>834</v>
      </c>
      <c r="E1057" t="s">
        <v>2003</v>
      </c>
      <c r="F1057" s="4">
        <v>31442</v>
      </c>
      <c r="G1057">
        <v>8471520</v>
      </c>
      <c r="H1057">
        <v>199977973</v>
      </c>
      <c r="I1057" t="s">
        <v>1744</v>
      </c>
      <c r="J1057" t="s">
        <v>513</v>
      </c>
      <c r="K1057" t="s">
        <v>16</v>
      </c>
      <c r="L1057" t="s">
        <v>506</v>
      </c>
      <c r="M1057" t="e">
        <f>VLOOKUP(A1057,[1]MSAKEN!$A$1:$F$562,6,FALSE)</f>
        <v>#N/A</v>
      </c>
    </row>
    <row r="1058" spans="1:13" x14ac:dyDescent="0.3">
      <c r="A1058">
        <v>2037</v>
      </c>
      <c r="B1058" t="s">
        <v>2004</v>
      </c>
      <c r="C1058" t="s">
        <v>285</v>
      </c>
      <c r="D1058" t="s">
        <v>834</v>
      </c>
      <c r="E1058" t="s">
        <v>546</v>
      </c>
      <c r="F1058" s="4">
        <v>33190</v>
      </c>
      <c r="G1058">
        <v>7746195</v>
      </c>
      <c r="H1058" t="s">
        <v>502</v>
      </c>
      <c r="I1058" t="s">
        <v>2005</v>
      </c>
      <c r="J1058" t="s">
        <v>1142</v>
      </c>
      <c r="K1058" t="s">
        <v>16</v>
      </c>
      <c r="L1058" t="s">
        <v>506</v>
      </c>
      <c r="M1058" t="e">
        <f>VLOOKUP(A1058,[1]MSAKEN!$A$1:$F$562,6,FALSE)</f>
        <v>#N/A</v>
      </c>
    </row>
    <row r="1059" spans="1:13" x14ac:dyDescent="0.3">
      <c r="A1059">
        <v>2038</v>
      </c>
      <c r="B1059" t="s">
        <v>91</v>
      </c>
      <c r="C1059" t="s">
        <v>34</v>
      </c>
      <c r="D1059" t="s">
        <v>813</v>
      </c>
      <c r="E1059" t="s">
        <v>2006</v>
      </c>
      <c r="F1059" s="4">
        <v>32512</v>
      </c>
      <c r="G1059">
        <v>9285452</v>
      </c>
      <c r="H1059" t="s">
        <v>502</v>
      </c>
      <c r="I1059" t="s">
        <v>2007</v>
      </c>
      <c r="J1059" t="s">
        <v>511</v>
      </c>
      <c r="K1059" t="s">
        <v>16</v>
      </c>
      <c r="L1059" t="s">
        <v>506</v>
      </c>
      <c r="M1059" t="str">
        <f>VLOOKUP(A1059,[1]MSAKEN!$A$1:$F$562,6,FALSE)</f>
        <v>08905000092005403052</v>
      </c>
    </row>
    <row r="1060" spans="1:13" x14ac:dyDescent="0.3">
      <c r="A1060">
        <v>2040</v>
      </c>
      <c r="B1060" t="s">
        <v>112</v>
      </c>
      <c r="C1060" t="s">
        <v>61</v>
      </c>
      <c r="D1060" t="s">
        <v>648</v>
      </c>
      <c r="E1060" t="s">
        <v>584</v>
      </c>
      <c r="F1060" s="4">
        <v>32478</v>
      </c>
      <c r="G1060">
        <v>9280892</v>
      </c>
      <c r="H1060">
        <v>1706562707</v>
      </c>
      <c r="I1060" t="s">
        <v>2008</v>
      </c>
      <c r="J1060" t="s">
        <v>513</v>
      </c>
      <c r="K1060" t="s">
        <v>16</v>
      </c>
      <c r="L1060" t="s">
        <v>506</v>
      </c>
      <c r="M1060" t="str">
        <f>VLOOKUP(A1060,[1]MSAKEN!$A$1:$F$562,6,FALSE)</f>
        <v>08507000262006017067</v>
      </c>
    </row>
    <row r="1061" spans="1:13" x14ac:dyDescent="0.3">
      <c r="A1061">
        <v>2043</v>
      </c>
      <c r="B1061" t="s">
        <v>2009</v>
      </c>
      <c r="C1061" t="s">
        <v>287</v>
      </c>
      <c r="D1061" t="s">
        <v>651</v>
      </c>
      <c r="E1061" t="s">
        <v>2010</v>
      </c>
      <c r="F1061" s="4">
        <v>32162</v>
      </c>
      <c r="G1061">
        <v>8495859</v>
      </c>
      <c r="H1061">
        <v>1619168600</v>
      </c>
      <c r="I1061" t="s">
        <v>2011</v>
      </c>
      <c r="J1061" t="s">
        <v>513</v>
      </c>
      <c r="K1061" t="s">
        <v>16</v>
      </c>
      <c r="L1061" t="s">
        <v>506</v>
      </c>
      <c r="M1061" t="e">
        <f>VLOOKUP(A1061,[1]MSAKEN!$A$1:$F$562,6,FALSE)</f>
        <v>#N/A</v>
      </c>
    </row>
    <row r="1062" spans="1:13" x14ac:dyDescent="0.3">
      <c r="A1062">
        <v>2044</v>
      </c>
      <c r="B1062" t="s">
        <v>84</v>
      </c>
      <c r="C1062" t="s">
        <v>267</v>
      </c>
      <c r="D1062" t="s">
        <v>535</v>
      </c>
      <c r="E1062" t="s">
        <v>2012</v>
      </c>
      <c r="F1062" s="4">
        <v>31285</v>
      </c>
      <c r="G1062">
        <v>9266390</v>
      </c>
      <c r="H1062">
        <v>1663239307</v>
      </c>
      <c r="I1062" t="s">
        <v>1455</v>
      </c>
      <c r="J1062" t="s">
        <v>513</v>
      </c>
      <c r="K1062" t="s">
        <v>15</v>
      </c>
      <c r="L1062" t="s">
        <v>506</v>
      </c>
      <c r="M1062" t="e">
        <f>VLOOKUP(A1062,[1]MSAKEN!$A$1:$F$562,6,FALSE)</f>
        <v>#N/A</v>
      </c>
    </row>
    <row r="1063" spans="1:13" x14ac:dyDescent="0.3">
      <c r="A1063">
        <v>2045</v>
      </c>
      <c r="B1063" t="s">
        <v>2013</v>
      </c>
      <c r="C1063" t="s">
        <v>89</v>
      </c>
      <c r="D1063" t="s">
        <v>2014</v>
      </c>
      <c r="E1063" t="s">
        <v>584</v>
      </c>
      <c r="F1063" s="4">
        <v>34268</v>
      </c>
      <c r="G1063">
        <v>9335736</v>
      </c>
      <c r="H1063">
        <v>1998623830</v>
      </c>
      <c r="I1063" t="s">
        <v>2015</v>
      </c>
      <c r="J1063" t="s">
        <v>511</v>
      </c>
      <c r="K1063" t="s">
        <v>15</v>
      </c>
      <c r="L1063" t="s">
        <v>506</v>
      </c>
      <c r="M1063" t="e">
        <f>VLOOKUP(A1063,[1]MSAKEN!$A$1:$F$562,6,FALSE)</f>
        <v>#N/A</v>
      </c>
    </row>
    <row r="1064" spans="1:13" x14ac:dyDescent="0.3">
      <c r="A1064">
        <v>2046</v>
      </c>
      <c r="B1064" t="s">
        <v>2016</v>
      </c>
      <c r="C1064" t="s">
        <v>34</v>
      </c>
      <c r="D1064" t="s">
        <v>1666</v>
      </c>
      <c r="E1064" t="s">
        <v>2017</v>
      </c>
      <c r="F1064" s="4">
        <v>33925</v>
      </c>
      <c r="G1064">
        <v>9327229</v>
      </c>
      <c r="H1064" t="s">
        <v>502</v>
      </c>
      <c r="I1064" t="s">
        <v>2018</v>
      </c>
      <c r="J1064" t="s">
        <v>513</v>
      </c>
      <c r="K1064" t="s">
        <v>16</v>
      </c>
      <c r="L1064" t="s">
        <v>506</v>
      </c>
      <c r="M1064" t="e">
        <f>VLOOKUP(A1064,[1]MSAKEN!$A$1:$F$562,6,FALSE)</f>
        <v>#N/A</v>
      </c>
    </row>
    <row r="1065" spans="1:13" x14ac:dyDescent="0.3">
      <c r="A1065">
        <v>2047</v>
      </c>
      <c r="B1065" t="s">
        <v>965</v>
      </c>
      <c r="C1065" t="s">
        <v>107</v>
      </c>
      <c r="D1065" t="s">
        <v>2019</v>
      </c>
      <c r="E1065" t="s">
        <v>1571</v>
      </c>
      <c r="F1065" s="4">
        <v>34515</v>
      </c>
      <c r="G1065">
        <v>9316687</v>
      </c>
      <c r="H1065" t="s">
        <v>502</v>
      </c>
      <c r="I1065" t="s">
        <v>2020</v>
      </c>
      <c r="J1065" t="s">
        <v>574</v>
      </c>
      <c r="K1065" t="s">
        <v>16</v>
      </c>
      <c r="L1065" t="s">
        <v>506</v>
      </c>
      <c r="M1065" t="e">
        <f>VLOOKUP(A1065,[1]MSAKEN!$A$1:$F$562,6,FALSE)</f>
        <v>#N/A</v>
      </c>
    </row>
    <row r="1066" spans="1:13" x14ac:dyDescent="0.3">
      <c r="A1066">
        <v>2048</v>
      </c>
      <c r="B1066" t="s">
        <v>838</v>
      </c>
      <c r="C1066" t="s">
        <v>167</v>
      </c>
      <c r="D1066" t="s">
        <v>520</v>
      </c>
      <c r="E1066" t="s">
        <v>1630</v>
      </c>
      <c r="F1066" s="4">
        <v>33331</v>
      </c>
      <c r="G1066">
        <v>9296641</v>
      </c>
      <c r="H1066" t="s">
        <v>502</v>
      </c>
      <c r="I1066" t="s">
        <v>964</v>
      </c>
      <c r="J1066" t="s">
        <v>568</v>
      </c>
      <c r="K1066" t="s">
        <v>16</v>
      </c>
      <c r="L1066" t="s">
        <v>506</v>
      </c>
      <c r="M1066" t="str">
        <f>VLOOKUP(A1066,[1]MSAKEN!$A$1:$F$562,6,FALSE)</f>
        <v>04204067003916957888</v>
      </c>
    </row>
    <row r="1067" spans="1:13" x14ac:dyDescent="0.3">
      <c r="A1067">
        <v>2049</v>
      </c>
      <c r="B1067" t="s">
        <v>193</v>
      </c>
      <c r="C1067" t="s">
        <v>192</v>
      </c>
      <c r="D1067" t="s">
        <v>1970</v>
      </c>
      <c r="E1067" t="s">
        <v>1545</v>
      </c>
      <c r="F1067" s="4">
        <v>33677</v>
      </c>
      <c r="G1067">
        <v>9333170</v>
      </c>
      <c r="H1067" t="s">
        <v>502</v>
      </c>
      <c r="I1067" t="s">
        <v>2021</v>
      </c>
      <c r="J1067" t="s">
        <v>513</v>
      </c>
      <c r="K1067" t="s">
        <v>16</v>
      </c>
      <c r="L1067" t="s">
        <v>506</v>
      </c>
      <c r="M1067" t="str">
        <f>VLOOKUP(A1067,[1]MSAKEN!$A$1:$F$562,6,FALSE)</f>
        <v>14014014100704142147</v>
      </c>
    </row>
    <row r="1068" spans="1:13" x14ac:dyDescent="0.3">
      <c r="A1068">
        <v>2050</v>
      </c>
      <c r="B1068" t="s">
        <v>57</v>
      </c>
      <c r="C1068" t="s">
        <v>232</v>
      </c>
      <c r="D1068" t="s">
        <v>2022</v>
      </c>
      <c r="E1068" t="s">
        <v>2023</v>
      </c>
      <c r="F1068" s="4">
        <v>34031</v>
      </c>
      <c r="G1068">
        <v>9307931</v>
      </c>
      <c r="H1068" t="s">
        <v>502</v>
      </c>
      <c r="I1068" t="s">
        <v>793</v>
      </c>
      <c r="J1068" t="s">
        <v>513</v>
      </c>
      <c r="K1068" t="s">
        <v>16</v>
      </c>
      <c r="L1068" t="s">
        <v>506</v>
      </c>
      <c r="M1068" t="str">
        <f>VLOOKUP(A1068,[1]MSAKEN!$A$1:$F$562,6,FALSE)</f>
        <v>08507000262004886338</v>
      </c>
    </row>
    <row r="1069" spans="1:13" x14ac:dyDescent="0.3">
      <c r="A1069">
        <v>2051</v>
      </c>
      <c r="B1069" t="s">
        <v>329</v>
      </c>
      <c r="C1069" t="s">
        <v>30</v>
      </c>
      <c r="D1069" t="s">
        <v>2024</v>
      </c>
      <c r="E1069" t="s">
        <v>1789</v>
      </c>
      <c r="F1069" s="4">
        <v>32392</v>
      </c>
      <c r="G1069">
        <v>9266919</v>
      </c>
      <c r="H1069">
        <v>1613967403</v>
      </c>
      <c r="I1069" t="s">
        <v>2025</v>
      </c>
      <c r="J1069" t="s">
        <v>833</v>
      </c>
      <c r="K1069" t="s">
        <v>15</v>
      </c>
      <c r="L1069" t="s">
        <v>506</v>
      </c>
      <c r="M1069" t="str">
        <f>VLOOKUP(A1069,[1]MSAKEN!$A$1:$F$562,6,FALSE)</f>
        <v>07408005310559870911</v>
      </c>
    </row>
    <row r="1070" spans="1:13" x14ac:dyDescent="0.3">
      <c r="A1070">
        <v>2052</v>
      </c>
      <c r="B1070" t="s">
        <v>1615</v>
      </c>
      <c r="C1070" t="s">
        <v>34</v>
      </c>
      <c r="D1070" t="s">
        <v>1970</v>
      </c>
      <c r="E1070" t="s">
        <v>696</v>
      </c>
      <c r="F1070" s="4">
        <v>32163</v>
      </c>
      <c r="G1070">
        <v>8498038</v>
      </c>
      <c r="H1070">
        <v>1647566700</v>
      </c>
      <c r="I1070" t="s">
        <v>2026</v>
      </c>
      <c r="J1070" t="s">
        <v>755</v>
      </c>
      <c r="K1070" t="s">
        <v>16</v>
      </c>
      <c r="L1070" t="s">
        <v>506</v>
      </c>
      <c r="M1070" t="str">
        <f>VLOOKUP(A1070,[1]MSAKEN!$A$1:$F$562,6,FALSE)</f>
        <v>47013000000006569601</v>
      </c>
    </row>
    <row r="1071" spans="1:13" x14ac:dyDescent="0.3">
      <c r="A1071">
        <v>2053</v>
      </c>
      <c r="B1071" t="s">
        <v>300</v>
      </c>
      <c r="C1071" t="s">
        <v>107</v>
      </c>
      <c r="D1071" t="s">
        <v>1532</v>
      </c>
      <c r="E1071" t="s">
        <v>1912</v>
      </c>
      <c r="F1071" s="4">
        <v>35317</v>
      </c>
      <c r="G1071">
        <v>12806995</v>
      </c>
      <c r="H1071">
        <v>1995239504</v>
      </c>
      <c r="I1071" t="s">
        <v>2027</v>
      </c>
      <c r="J1071" t="s">
        <v>816</v>
      </c>
      <c r="K1071" t="s">
        <v>16</v>
      </c>
      <c r="L1071" t="s">
        <v>506</v>
      </c>
      <c r="M1071" t="str">
        <f>VLOOKUP(A1071,[1]MSAKEN!$A$1:$F$562,6,FALSE)</f>
        <v>14802802100707291179</v>
      </c>
    </row>
    <row r="1072" spans="1:13" x14ac:dyDescent="0.3">
      <c r="A1072">
        <v>2054</v>
      </c>
      <c r="B1072" t="s">
        <v>29</v>
      </c>
      <c r="C1072" t="s">
        <v>80</v>
      </c>
      <c r="D1072" t="s">
        <v>2022</v>
      </c>
      <c r="E1072" t="s">
        <v>2028</v>
      </c>
      <c r="F1072" s="4">
        <v>33760</v>
      </c>
      <c r="G1072">
        <v>9315710</v>
      </c>
      <c r="H1072" t="s">
        <v>502</v>
      </c>
      <c r="I1072" t="s">
        <v>877</v>
      </c>
      <c r="J1072" t="s">
        <v>513</v>
      </c>
      <c r="K1072" t="s">
        <v>16</v>
      </c>
      <c r="L1072" t="s">
        <v>506</v>
      </c>
      <c r="M1072" t="str">
        <f>VLOOKUP(A1072,[1]MSAKEN!$A$1:$F$562,6,FALSE)</f>
        <v>01018058111022445405</v>
      </c>
    </row>
    <row r="1073" spans="1:13" x14ac:dyDescent="0.3">
      <c r="A1073">
        <v>2055</v>
      </c>
      <c r="B1073" t="s">
        <v>1212</v>
      </c>
      <c r="C1073" t="s">
        <v>89</v>
      </c>
      <c r="D1073" t="s">
        <v>2029</v>
      </c>
      <c r="E1073" t="s">
        <v>1789</v>
      </c>
      <c r="F1073" s="4">
        <v>33382</v>
      </c>
      <c r="G1073">
        <v>9310815</v>
      </c>
      <c r="H1073" t="s">
        <v>502</v>
      </c>
      <c r="I1073" t="s">
        <v>2026</v>
      </c>
      <c r="J1073" t="s">
        <v>755</v>
      </c>
      <c r="K1073" t="s">
        <v>16</v>
      </c>
      <c r="L1073" t="s">
        <v>506</v>
      </c>
      <c r="M1073" t="str">
        <f>VLOOKUP(A1073,[1]MSAKEN!$A$1:$F$562,6,FALSE)</f>
        <v>12505000000227091231</v>
      </c>
    </row>
    <row r="1074" spans="1:13" x14ac:dyDescent="0.3">
      <c r="A1074">
        <v>2056</v>
      </c>
      <c r="B1074" t="s">
        <v>666</v>
      </c>
      <c r="C1074" t="s">
        <v>98</v>
      </c>
      <c r="D1074" t="s">
        <v>2030</v>
      </c>
      <c r="E1074" t="s">
        <v>2003</v>
      </c>
      <c r="F1074" s="4">
        <v>33575</v>
      </c>
      <c r="G1074">
        <v>9322514</v>
      </c>
      <c r="H1074" t="s">
        <v>502</v>
      </c>
      <c r="I1074" t="s">
        <v>793</v>
      </c>
      <c r="J1074" t="s">
        <v>513</v>
      </c>
      <c r="K1074" t="s">
        <v>16</v>
      </c>
      <c r="L1074" t="s">
        <v>506</v>
      </c>
      <c r="M1074" t="e">
        <f>VLOOKUP(A1074,[1]MSAKEN!$A$1:$F$562,6,FALSE)</f>
        <v>#N/A</v>
      </c>
    </row>
    <row r="1075" spans="1:13" x14ac:dyDescent="0.3">
      <c r="A1075">
        <v>2057</v>
      </c>
      <c r="B1075" t="s">
        <v>342</v>
      </c>
      <c r="C1075" t="s">
        <v>34</v>
      </c>
      <c r="D1075" t="s">
        <v>651</v>
      </c>
      <c r="E1075" t="s">
        <v>2003</v>
      </c>
      <c r="F1075" s="4">
        <v>33958</v>
      </c>
      <c r="G1075">
        <v>9322861</v>
      </c>
      <c r="H1075" t="s">
        <v>502</v>
      </c>
      <c r="I1075" t="s">
        <v>2031</v>
      </c>
      <c r="J1075" t="s">
        <v>513</v>
      </c>
      <c r="K1075" t="s">
        <v>16</v>
      </c>
      <c r="L1075" t="s">
        <v>506</v>
      </c>
      <c r="M1075" t="e">
        <f>VLOOKUP(A1075,[1]MSAKEN!$A$1:$F$562,6,FALSE)</f>
        <v>#N/A</v>
      </c>
    </row>
    <row r="1076" spans="1:13" x14ac:dyDescent="0.3">
      <c r="A1076">
        <v>2058</v>
      </c>
      <c r="B1076" t="s">
        <v>176</v>
      </c>
      <c r="C1076" t="s">
        <v>224</v>
      </c>
      <c r="D1076" t="s">
        <v>2032</v>
      </c>
      <c r="E1076" t="s">
        <v>699</v>
      </c>
      <c r="F1076" s="4">
        <v>32317</v>
      </c>
      <c r="G1076">
        <v>8498028</v>
      </c>
      <c r="H1076">
        <v>1663170502</v>
      </c>
      <c r="I1076" t="s">
        <v>2033</v>
      </c>
      <c r="J1076" t="s">
        <v>513</v>
      </c>
      <c r="K1076" t="s">
        <v>16</v>
      </c>
      <c r="L1076" t="s">
        <v>506</v>
      </c>
      <c r="M1076" t="str">
        <f>VLOOKUP(A1076,[1]MSAKEN!$A$1:$F$562,6,FALSE)</f>
        <v>04204067003091333949</v>
      </c>
    </row>
    <row r="1077" spans="1:13" x14ac:dyDescent="0.3">
      <c r="A1077">
        <v>2059</v>
      </c>
      <c r="B1077" t="s">
        <v>119</v>
      </c>
      <c r="C1077" t="s">
        <v>233</v>
      </c>
      <c r="D1077" t="s">
        <v>670</v>
      </c>
      <c r="E1077" t="s">
        <v>2034</v>
      </c>
      <c r="F1077" s="4">
        <v>34437</v>
      </c>
      <c r="G1077">
        <v>9344393</v>
      </c>
      <c r="H1077" t="s">
        <v>502</v>
      </c>
      <c r="I1077" t="s">
        <v>1943</v>
      </c>
      <c r="J1077" t="s">
        <v>513</v>
      </c>
      <c r="K1077" t="s">
        <v>16</v>
      </c>
      <c r="L1077" t="s">
        <v>506</v>
      </c>
      <c r="M1077" t="str">
        <f>VLOOKUP(A1077,[1]MSAKEN!$A$1:$F$562,6,FALSE)</f>
        <v>12058000013307118056</v>
      </c>
    </row>
    <row r="1078" spans="1:13" x14ac:dyDescent="0.3">
      <c r="A1078">
        <v>2060</v>
      </c>
      <c r="B1078" t="s">
        <v>1205</v>
      </c>
      <c r="C1078" t="s">
        <v>34</v>
      </c>
      <c r="D1078" t="s">
        <v>651</v>
      </c>
      <c r="E1078" t="s">
        <v>2023</v>
      </c>
      <c r="F1078" s="4">
        <v>32443</v>
      </c>
      <c r="G1078">
        <v>9295852</v>
      </c>
      <c r="H1078" t="s">
        <v>502</v>
      </c>
      <c r="I1078" t="s">
        <v>2035</v>
      </c>
      <c r="J1078" t="s">
        <v>511</v>
      </c>
      <c r="K1078" t="s">
        <v>16</v>
      </c>
      <c r="L1078" t="s">
        <v>506</v>
      </c>
      <c r="M1078" t="e">
        <f>VLOOKUP(A1078,[1]MSAKEN!$A$1:$F$562,6,FALSE)</f>
        <v>#N/A</v>
      </c>
    </row>
    <row r="1079" spans="1:13" x14ac:dyDescent="0.3">
      <c r="A1079">
        <v>2061</v>
      </c>
      <c r="B1079" t="s">
        <v>2036</v>
      </c>
      <c r="C1079" t="s">
        <v>107</v>
      </c>
      <c r="D1079" t="s">
        <v>1747</v>
      </c>
      <c r="E1079" t="s">
        <v>2037</v>
      </c>
      <c r="F1079" s="4">
        <v>34114</v>
      </c>
      <c r="G1079">
        <v>9321745</v>
      </c>
      <c r="H1079" t="s">
        <v>502</v>
      </c>
      <c r="I1079" t="s">
        <v>2038</v>
      </c>
      <c r="J1079" t="s">
        <v>513</v>
      </c>
      <c r="K1079" t="s">
        <v>16</v>
      </c>
      <c r="L1079" t="s">
        <v>506</v>
      </c>
      <c r="M1079" t="str">
        <f>VLOOKUP(A1079,[1]MSAKEN!$A$1:$F$562,6,FALSE)</f>
        <v>08507000262005111281</v>
      </c>
    </row>
    <row r="1080" spans="1:13" x14ac:dyDescent="0.3">
      <c r="A1080">
        <v>2062</v>
      </c>
      <c r="B1080" t="s">
        <v>896</v>
      </c>
      <c r="C1080" t="s">
        <v>49</v>
      </c>
      <c r="D1080" t="s">
        <v>920</v>
      </c>
      <c r="E1080" t="s">
        <v>716</v>
      </c>
      <c r="F1080" s="4">
        <v>34533</v>
      </c>
      <c r="G1080">
        <v>9345391</v>
      </c>
      <c r="H1080" t="s">
        <v>502</v>
      </c>
      <c r="I1080" t="s">
        <v>897</v>
      </c>
      <c r="J1080" t="s">
        <v>513</v>
      </c>
      <c r="K1080" t="s">
        <v>16</v>
      </c>
      <c r="L1080" t="s">
        <v>506</v>
      </c>
      <c r="M1080" t="e">
        <f>VLOOKUP(A1080,[1]MSAKEN!$A$1:$F$562,6,FALSE)</f>
        <v>#N/A</v>
      </c>
    </row>
    <row r="1081" spans="1:13" x14ac:dyDescent="0.3">
      <c r="A1081">
        <v>2063</v>
      </c>
      <c r="B1081" t="s">
        <v>153</v>
      </c>
      <c r="C1081" t="s">
        <v>330</v>
      </c>
      <c r="D1081" t="s">
        <v>892</v>
      </c>
      <c r="E1081" t="s">
        <v>2039</v>
      </c>
      <c r="F1081" s="4">
        <v>34757</v>
      </c>
      <c r="G1081">
        <v>9334141</v>
      </c>
      <c r="H1081" t="s">
        <v>502</v>
      </c>
      <c r="I1081" t="s">
        <v>2040</v>
      </c>
      <c r="J1081" t="s">
        <v>511</v>
      </c>
      <c r="K1081" t="s">
        <v>16</v>
      </c>
      <c r="L1081" t="s">
        <v>506</v>
      </c>
      <c r="M1081" t="str">
        <f>VLOOKUP(A1081,[1]MSAKEN!$A$1:$F$562,6,FALSE)</f>
        <v>04143227003913793052</v>
      </c>
    </row>
    <row r="1082" spans="1:13" x14ac:dyDescent="0.3">
      <c r="A1082">
        <v>2064</v>
      </c>
      <c r="B1082" t="s">
        <v>75</v>
      </c>
      <c r="C1082" t="s">
        <v>60</v>
      </c>
      <c r="D1082" t="s">
        <v>2041</v>
      </c>
      <c r="E1082" t="s">
        <v>2042</v>
      </c>
      <c r="F1082" s="4">
        <v>34359</v>
      </c>
      <c r="G1082">
        <v>9319113</v>
      </c>
      <c r="H1082" t="s">
        <v>502</v>
      </c>
      <c r="I1082" t="s">
        <v>2043</v>
      </c>
      <c r="J1082" t="s">
        <v>513</v>
      </c>
      <c r="K1082" t="s">
        <v>16</v>
      </c>
      <c r="L1082" t="s">
        <v>506</v>
      </c>
      <c r="M1082" t="e">
        <f>VLOOKUP(A1082,[1]MSAKEN!$A$1:$F$562,6,FALSE)</f>
        <v>#N/A</v>
      </c>
    </row>
    <row r="1083" spans="1:13" x14ac:dyDescent="0.3">
      <c r="A1083">
        <v>2065</v>
      </c>
      <c r="B1083" t="s">
        <v>302</v>
      </c>
      <c r="C1083" t="s">
        <v>301</v>
      </c>
      <c r="D1083" t="s">
        <v>564</v>
      </c>
      <c r="E1083" t="s">
        <v>2044</v>
      </c>
      <c r="F1083" s="4">
        <v>34574</v>
      </c>
      <c r="G1083">
        <v>12804261</v>
      </c>
      <c r="H1083">
        <v>1684102401</v>
      </c>
      <c r="I1083" t="s">
        <v>2045</v>
      </c>
      <c r="J1083" t="s">
        <v>1323</v>
      </c>
      <c r="K1083" t="s">
        <v>16</v>
      </c>
      <c r="L1083" t="s">
        <v>506</v>
      </c>
      <c r="M1083" t="str">
        <f>VLOOKUP(A1083,[1]MSAKEN!$A$1:$F$562,6,FALSE)</f>
        <v>10506040208339278894</v>
      </c>
    </row>
    <row r="1084" spans="1:13" x14ac:dyDescent="0.3">
      <c r="A1084">
        <v>2066</v>
      </c>
      <c r="B1084" t="s">
        <v>186</v>
      </c>
      <c r="C1084" t="s">
        <v>212</v>
      </c>
      <c r="D1084" t="s">
        <v>2019</v>
      </c>
      <c r="E1084" t="s">
        <v>773</v>
      </c>
      <c r="F1084" s="4">
        <v>34611</v>
      </c>
      <c r="G1084">
        <v>9346503</v>
      </c>
      <c r="H1084">
        <v>1683026700</v>
      </c>
      <c r="I1084" t="s">
        <v>1349</v>
      </c>
      <c r="J1084" t="s">
        <v>513</v>
      </c>
      <c r="K1084" t="s">
        <v>16</v>
      </c>
      <c r="L1084" t="s">
        <v>506</v>
      </c>
      <c r="M1084" t="str">
        <f>VLOOKUP(A1084,[1]MSAKEN!$A$1:$F$562,6,FALSE)</f>
        <v>10506040208093378850</v>
      </c>
    </row>
    <row r="1085" spans="1:13" x14ac:dyDescent="0.3">
      <c r="A1085">
        <v>2067</v>
      </c>
      <c r="B1085" t="s">
        <v>2046</v>
      </c>
      <c r="C1085" t="s">
        <v>101</v>
      </c>
      <c r="D1085" t="s">
        <v>882</v>
      </c>
      <c r="E1085" t="s">
        <v>1950</v>
      </c>
      <c r="F1085" s="4">
        <v>33376</v>
      </c>
      <c r="G1085">
        <v>9318525</v>
      </c>
      <c r="H1085" t="s">
        <v>502</v>
      </c>
      <c r="I1085" t="s">
        <v>2047</v>
      </c>
      <c r="J1085" t="s">
        <v>755</v>
      </c>
      <c r="K1085" t="s">
        <v>16</v>
      </c>
      <c r="L1085" t="s">
        <v>506</v>
      </c>
      <c r="M1085" t="str">
        <f>VLOOKUP(A1085,[1]MSAKEN!$A$1:$F$562,6,FALSE)</f>
        <v>12505000013304038464</v>
      </c>
    </row>
    <row r="1086" spans="1:13" x14ac:dyDescent="0.3">
      <c r="A1086">
        <v>2068</v>
      </c>
      <c r="B1086" t="s">
        <v>135</v>
      </c>
      <c r="C1086" t="s">
        <v>230</v>
      </c>
      <c r="D1086" t="s">
        <v>2048</v>
      </c>
      <c r="E1086" t="s">
        <v>1912</v>
      </c>
      <c r="F1086" s="4">
        <v>33171</v>
      </c>
      <c r="G1086">
        <v>9311480</v>
      </c>
      <c r="H1086" t="s">
        <v>502</v>
      </c>
      <c r="I1086" t="s">
        <v>2049</v>
      </c>
      <c r="J1086" t="s">
        <v>1048</v>
      </c>
      <c r="K1086" t="s">
        <v>16</v>
      </c>
      <c r="L1086" t="s">
        <v>506</v>
      </c>
      <c r="M1086" t="e">
        <f>VLOOKUP(A1086,[1]MSAKEN!$A$1:$F$562,6,FALSE)</f>
        <v>#N/A</v>
      </c>
    </row>
    <row r="1087" spans="1:13" x14ac:dyDescent="0.3">
      <c r="A1087">
        <v>2069</v>
      </c>
      <c r="B1087" t="s">
        <v>426</v>
      </c>
      <c r="C1087" t="s">
        <v>139</v>
      </c>
      <c r="D1087" t="s">
        <v>834</v>
      </c>
      <c r="E1087" t="s">
        <v>792</v>
      </c>
      <c r="F1087" s="4">
        <v>33282</v>
      </c>
      <c r="G1087">
        <v>9314107</v>
      </c>
      <c r="H1087" t="s">
        <v>502</v>
      </c>
      <c r="I1087" t="s">
        <v>967</v>
      </c>
      <c r="J1087" t="s">
        <v>513</v>
      </c>
      <c r="K1087" t="s">
        <v>16</v>
      </c>
      <c r="L1087" t="s">
        <v>506</v>
      </c>
      <c r="M1087" t="e">
        <f>VLOOKUP(A1087,[1]MSAKEN!$A$1:$F$562,6,FALSE)</f>
        <v>#N/A</v>
      </c>
    </row>
    <row r="1088" spans="1:13" x14ac:dyDescent="0.3">
      <c r="A1088">
        <v>2070</v>
      </c>
      <c r="B1088" t="s">
        <v>582</v>
      </c>
      <c r="C1088" t="s">
        <v>34</v>
      </c>
      <c r="D1088" t="s">
        <v>2050</v>
      </c>
      <c r="E1088" t="s">
        <v>1597</v>
      </c>
      <c r="F1088" s="4">
        <v>33344</v>
      </c>
      <c r="G1088">
        <v>8744252</v>
      </c>
      <c r="H1088" t="s">
        <v>502</v>
      </c>
      <c r="I1088" t="s">
        <v>2051</v>
      </c>
      <c r="J1088" t="s">
        <v>1863</v>
      </c>
      <c r="K1088" t="s">
        <v>16</v>
      </c>
      <c r="L1088" t="s">
        <v>506</v>
      </c>
      <c r="M1088" t="str">
        <f>VLOOKUP(A1088,[1]MSAKEN!$A$1:$F$562,6,FALSE)</f>
        <v>12505000000227186679</v>
      </c>
    </row>
    <row r="1089" spans="1:13" x14ac:dyDescent="0.3">
      <c r="A1089">
        <v>2071</v>
      </c>
      <c r="B1089" t="s">
        <v>131</v>
      </c>
      <c r="C1089" t="s">
        <v>130</v>
      </c>
      <c r="D1089" t="s">
        <v>535</v>
      </c>
      <c r="E1089" t="s">
        <v>546</v>
      </c>
      <c r="F1089" s="4">
        <v>33773</v>
      </c>
      <c r="G1089">
        <v>9321840</v>
      </c>
      <c r="H1089" t="s">
        <v>502</v>
      </c>
      <c r="I1089" t="s">
        <v>2052</v>
      </c>
      <c r="J1089" t="s">
        <v>513</v>
      </c>
      <c r="K1089" t="s">
        <v>16</v>
      </c>
      <c r="L1089" t="s">
        <v>506</v>
      </c>
      <c r="M1089" t="str">
        <f>VLOOKUP(A1089,[1]MSAKEN!$A$1:$F$562,6,FALSE)</f>
        <v>08507000262006685397</v>
      </c>
    </row>
    <row r="1090" spans="1:13" x14ac:dyDescent="0.3">
      <c r="A1090">
        <v>2072</v>
      </c>
      <c r="B1090" t="s">
        <v>121</v>
      </c>
      <c r="C1090" t="s">
        <v>120</v>
      </c>
      <c r="D1090" t="s">
        <v>982</v>
      </c>
      <c r="E1090" t="s">
        <v>546</v>
      </c>
      <c r="F1090" s="4">
        <v>32241</v>
      </c>
      <c r="G1090">
        <v>9274203</v>
      </c>
      <c r="H1090" t="s">
        <v>502</v>
      </c>
      <c r="I1090" t="s">
        <v>2053</v>
      </c>
      <c r="J1090" t="s">
        <v>513</v>
      </c>
      <c r="K1090" t="s">
        <v>16</v>
      </c>
      <c r="L1090" t="s">
        <v>506</v>
      </c>
      <c r="M1090" t="str">
        <f>VLOOKUP(A1090,[1]MSAKEN!$A$1:$F$562,6,FALSE)</f>
        <v>25066000000030435248</v>
      </c>
    </row>
    <row r="1091" spans="1:13" x14ac:dyDescent="0.3">
      <c r="A1091">
        <v>2073</v>
      </c>
      <c r="B1091" t="s">
        <v>414</v>
      </c>
      <c r="C1091" t="s">
        <v>413</v>
      </c>
      <c r="D1091" t="s">
        <v>1926</v>
      </c>
      <c r="E1091" t="s">
        <v>546</v>
      </c>
      <c r="F1091" s="4">
        <v>32637</v>
      </c>
      <c r="G1091">
        <v>9291772</v>
      </c>
      <c r="H1091">
        <v>1716604603</v>
      </c>
      <c r="I1091" t="s">
        <v>2054</v>
      </c>
      <c r="J1091" t="s">
        <v>513</v>
      </c>
      <c r="K1091" t="s">
        <v>16</v>
      </c>
      <c r="L1091" t="s">
        <v>17</v>
      </c>
      <c r="M1091" t="str">
        <f>VLOOKUP(A1091,[1]MSAKEN!$A$1:$F$562,6,FALSE)</f>
        <v>14014014100704177843</v>
      </c>
    </row>
    <row r="1092" spans="1:13" x14ac:dyDescent="0.3">
      <c r="A1092">
        <v>2074</v>
      </c>
      <c r="B1092" t="s">
        <v>415</v>
      </c>
      <c r="C1092" t="s">
        <v>34</v>
      </c>
      <c r="D1092" t="s">
        <v>651</v>
      </c>
      <c r="E1092" t="s">
        <v>584</v>
      </c>
      <c r="F1092" s="4">
        <v>33248</v>
      </c>
      <c r="G1092">
        <v>7747324</v>
      </c>
      <c r="H1092" t="s">
        <v>502</v>
      </c>
      <c r="I1092" t="s">
        <v>2055</v>
      </c>
      <c r="J1092" t="s">
        <v>1142</v>
      </c>
      <c r="K1092" t="s">
        <v>16</v>
      </c>
      <c r="L1092" t="s">
        <v>506</v>
      </c>
      <c r="M1092" t="str">
        <f>VLOOKUP(A1092,[1]MSAKEN!$A$1:$F$562,6,FALSE)</f>
        <v>04605033003998982785</v>
      </c>
    </row>
    <row r="1093" spans="1:13" x14ac:dyDescent="0.3">
      <c r="A1093">
        <v>2075</v>
      </c>
      <c r="B1093" t="s">
        <v>591</v>
      </c>
      <c r="C1093" t="s">
        <v>296</v>
      </c>
      <c r="D1093" t="s">
        <v>2056</v>
      </c>
      <c r="E1093" t="s">
        <v>1000</v>
      </c>
      <c r="F1093" s="4">
        <v>32935</v>
      </c>
      <c r="G1093">
        <v>9264731</v>
      </c>
      <c r="H1093" t="s">
        <v>502</v>
      </c>
      <c r="I1093" t="s">
        <v>2057</v>
      </c>
      <c r="J1093" t="s">
        <v>574</v>
      </c>
      <c r="K1093" t="s">
        <v>15</v>
      </c>
      <c r="L1093" t="s">
        <v>506</v>
      </c>
      <c r="M1093" t="e">
        <f>VLOOKUP(A1093,[1]MSAKEN!$A$1:$F$562,6,FALSE)</f>
        <v>#N/A</v>
      </c>
    </row>
    <row r="1094" spans="1:13" x14ac:dyDescent="0.3">
      <c r="A1094">
        <v>2076</v>
      </c>
      <c r="B1094" t="s">
        <v>354</v>
      </c>
      <c r="C1094" t="s">
        <v>306</v>
      </c>
      <c r="D1094" t="s">
        <v>2048</v>
      </c>
      <c r="E1094" t="s">
        <v>2058</v>
      </c>
      <c r="F1094" s="4">
        <v>32633</v>
      </c>
      <c r="G1094">
        <v>9269942</v>
      </c>
      <c r="H1094">
        <v>1683131401</v>
      </c>
      <c r="I1094" t="s">
        <v>2059</v>
      </c>
      <c r="J1094" t="s">
        <v>513</v>
      </c>
      <c r="K1094" t="s">
        <v>15</v>
      </c>
      <c r="L1094" t="s">
        <v>506</v>
      </c>
      <c r="M1094" t="e">
        <f>VLOOKUP(A1094,[1]MSAKEN!$A$1:$F$562,6,FALSE)</f>
        <v>#N/A</v>
      </c>
    </row>
    <row r="1095" spans="1:13" x14ac:dyDescent="0.3">
      <c r="A1095">
        <v>2077</v>
      </c>
      <c r="B1095" t="s">
        <v>2060</v>
      </c>
      <c r="C1095" t="s">
        <v>34</v>
      </c>
      <c r="D1095" t="s">
        <v>2061</v>
      </c>
      <c r="E1095" t="s">
        <v>2062</v>
      </c>
      <c r="F1095" s="4">
        <v>34250</v>
      </c>
      <c r="G1095">
        <v>9339722</v>
      </c>
      <c r="H1095" t="s">
        <v>502</v>
      </c>
      <c r="I1095" t="s">
        <v>2063</v>
      </c>
      <c r="J1095" t="s">
        <v>513</v>
      </c>
      <c r="K1095" t="s">
        <v>16</v>
      </c>
      <c r="L1095" t="s">
        <v>506</v>
      </c>
      <c r="M1095" t="e">
        <f>VLOOKUP(A1095,[1]MSAKEN!$A$1:$F$562,6,FALSE)</f>
        <v>#N/A</v>
      </c>
    </row>
    <row r="1096" spans="1:13" x14ac:dyDescent="0.3">
      <c r="A1096">
        <v>2078</v>
      </c>
      <c r="B1096" t="s">
        <v>299</v>
      </c>
      <c r="C1096" t="s">
        <v>34</v>
      </c>
      <c r="D1096" t="s">
        <v>648</v>
      </c>
      <c r="E1096" t="s">
        <v>1053</v>
      </c>
      <c r="F1096" s="4">
        <v>30121</v>
      </c>
      <c r="G1096">
        <v>8443565</v>
      </c>
      <c r="H1096">
        <v>4513161002</v>
      </c>
      <c r="I1096" t="s">
        <v>2064</v>
      </c>
      <c r="J1096" t="s">
        <v>513</v>
      </c>
      <c r="K1096" t="s">
        <v>16</v>
      </c>
      <c r="L1096" t="s">
        <v>506</v>
      </c>
      <c r="M1096" t="e">
        <f>VLOOKUP(A1096,[1]MSAKEN!$A$1:$F$562,6,FALSE)</f>
        <v>#N/A</v>
      </c>
    </row>
    <row r="1097" spans="1:13" x14ac:dyDescent="0.3">
      <c r="A1097">
        <v>2083</v>
      </c>
      <c r="B1097" t="s">
        <v>38</v>
      </c>
      <c r="C1097" t="s">
        <v>2065</v>
      </c>
      <c r="D1097" t="s">
        <v>2066</v>
      </c>
      <c r="E1097" t="s">
        <v>2067</v>
      </c>
      <c r="F1097" s="4">
        <v>29220</v>
      </c>
      <c r="G1097">
        <v>8541141</v>
      </c>
      <c r="H1097">
        <v>1640781009</v>
      </c>
      <c r="I1097" t="s">
        <v>2068</v>
      </c>
      <c r="J1097" t="s">
        <v>1461</v>
      </c>
      <c r="K1097" t="s">
        <v>15</v>
      </c>
      <c r="L1097" t="s">
        <v>506</v>
      </c>
      <c r="M1097" t="str">
        <f>VLOOKUP(A1097,[1]MSAKEN!$A$1:$F$562,6,FALSE)</f>
        <v>03603077010110728440</v>
      </c>
    </row>
    <row r="1098" spans="1:13" x14ac:dyDescent="0.3">
      <c r="A1098">
        <v>2084</v>
      </c>
      <c r="B1098" t="s">
        <v>403</v>
      </c>
      <c r="C1098" t="s">
        <v>569</v>
      </c>
      <c r="D1098" t="s">
        <v>2069</v>
      </c>
      <c r="E1098" t="s">
        <v>690</v>
      </c>
      <c r="F1098" s="4">
        <v>32286</v>
      </c>
      <c r="G1098">
        <v>9276085</v>
      </c>
      <c r="H1098" t="s">
        <v>502</v>
      </c>
      <c r="I1098" t="s">
        <v>2070</v>
      </c>
      <c r="J1098" t="s">
        <v>513</v>
      </c>
      <c r="K1098" t="s">
        <v>16</v>
      </c>
      <c r="L1098" t="s">
        <v>17</v>
      </c>
      <c r="M1098" t="str">
        <f>VLOOKUP(A1098,[1]MSAKEN!$A$1:$F$562,6,FALSE)</f>
        <v>12505000013309243484</v>
      </c>
    </row>
    <row r="1099" spans="1:13" x14ac:dyDescent="0.3">
      <c r="A1099">
        <v>2085</v>
      </c>
      <c r="B1099" t="s">
        <v>2071</v>
      </c>
      <c r="C1099" t="s">
        <v>2072</v>
      </c>
      <c r="D1099" t="s">
        <v>535</v>
      </c>
      <c r="E1099" t="s">
        <v>729</v>
      </c>
      <c r="F1099" s="4">
        <v>34367</v>
      </c>
      <c r="G1099">
        <v>11883533</v>
      </c>
      <c r="H1099" t="s">
        <v>502</v>
      </c>
      <c r="I1099" t="s">
        <v>2073</v>
      </c>
      <c r="J1099" t="s">
        <v>1142</v>
      </c>
      <c r="K1099" t="s">
        <v>16</v>
      </c>
      <c r="L1099" t="s">
        <v>17</v>
      </c>
      <c r="M1099" t="str">
        <f>VLOOKUP(A1099,[1]MSAKEN!$A$1:$F$562,6,FALSE)</f>
        <v>08035012084002769039</v>
      </c>
    </row>
    <row r="1100" spans="1:13" x14ac:dyDescent="0.3">
      <c r="A1100">
        <v>2086</v>
      </c>
      <c r="B1100" t="s">
        <v>107</v>
      </c>
      <c r="C1100" t="s">
        <v>108</v>
      </c>
      <c r="D1100" t="s">
        <v>1112</v>
      </c>
      <c r="E1100" t="s">
        <v>888</v>
      </c>
      <c r="F1100" s="4">
        <v>33070</v>
      </c>
      <c r="G1100">
        <v>9957604</v>
      </c>
      <c r="H1100">
        <v>1725838401</v>
      </c>
      <c r="I1100" t="s">
        <v>2074</v>
      </c>
      <c r="J1100" t="s">
        <v>1793</v>
      </c>
      <c r="K1100" t="s">
        <v>16</v>
      </c>
      <c r="L1100" t="s">
        <v>506</v>
      </c>
      <c r="M1100" t="str">
        <f>VLOOKUP(A1100,[1]MSAKEN!$A$1:$F$562,6,FALSE)</f>
        <v>17801000000125885611</v>
      </c>
    </row>
    <row r="1101" spans="1:13" x14ac:dyDescent="0.3">
      <c r="A1101">
        <v>2087</v>
      </c>
      <c r="B1101" t="s">
        <v>94</v>
      </c>
      <c r="C1101" t="s">
        <v>2075</v>
      </c>
      <c r="D1101" t="s">
        <v>118</v>
      </c>
      <c r="E1101" t="s">
        <v>1427</v>
      </c>
      <c r="F1101" s="4">
        <v>33454</v>
      </c>
      <c r="G1101">
        <v>11856701</v>
      </c>
      <c r="H1101">
        <v>1733700502</v>
      </c>
      <c r="I1101" t="s">
        <v>2076</v>
      </c>
      <c r="J1101" t="s">
        <v>1142</v>
      </c>
      <c r="K1101" t="s">
        <v>16</v>
      </c>
      <c r="L1101" t="s">
        <v>506</v>
      </c>
      <c r="M1101" t="e">
        <f>VLOOKUP(A1101,[1]MSAKEN!$A$1:$F$562,6,FALSE)</f>
        <v>#N/A</v>
      </c>
    </row>
    <row r="1102" spans="1:13" x14ac:dyDescent="0.3">
      <c r="A1102">
        <v>2088</v>
      </c>
      <c r="B1102" t="s">
        <v>195</v>
      </c>
      <c r="C1102" t="s">
        <v>2077</v>
      </c>
      <c r="D1102" t="s">
        <v>246</v>
      </c>
      <c r="E1102" t="s">
        <v>596</v>
      </c>
      <c r="F1102" s="4">
        <v>32949</v>
      </c>
      <c r="G1102">
        <v>8850691</v>
      </c>
      <c r="H1102" t="s">
        <v>502</v>
      </c>
      <c r="I1102" t="s">
        <v>2078</v>
      </c>
      <c r="J1102" t="s">
        <v>502</v>
      </c>
      <c r="K1102" t="s">
        <v>16</v>
      </c>
      <c r="L1102" t="s">
        <v>506</v>
      </c>
      <c r="M1102" t="e">
        <f>VLOOKUP(A1102,[1]MSAKEN!$A$1:$F$562,6,FALSE)</f>
        <v>#N/A</v>
      </c>
    </row>
    <row r="1103" spans="1:13" x14ac:dyDescent="0.3">
      <c r="A1103">
        <v>2089</v>
      </c>
      <c r="B1103" t="s">
        <v>383</v>
      </c>
      <c r="C1103" t="s">
        <v>2079</v>
      </c>
      <c r="D1103" t="s">
        <v>34</v>
      </c>
      <c r="E1103" t="s">
        <v>2080</v>
      </c>
      <c r="F1103" s="4">
        <v>33465</v>
      </c>
      <c r="G1103">
        <v>8889099</v>
      </c>
      <c r="H1103" t="s">
        <v>502</v>
      </c>
      <c r="I1103" t="s">
        <v>2081</v>
      </c>
      <c r="J1103" t="s">
        <v>502</v>
      </c>
      <c r="K1103" t="s">
        <v>16</v>
      </c>
      <c r="L1103" t="s">
        <v>506</v>
      </c>
      <c r="M1103" t="e">
        <f>VLOOKUP(A1103,[1]MSAKEN!$A$1:$F$562,6,FALSE)</f>
        <v>#N/A</v>
      </c>
    </row>
    <row r="1104" spans="1:13" x14ac:dyDescent="0.3">
      <c r="A1104">
        <v>2090</v>
      </c>
      <c r="B1104" t="s">
        <v>234</v>
      </c>
      <c r="C1104" t="s">
        <v>196</v>
      </c>
      <c r="D1104" t="s">
        <v>181</v>
      </c>
      <c r="E1104" t="s">
        <v>2082</v>
      </c>
      <c r="F1104" s="4">
        <v>34254</v>
      </c>
      <c r="G1104">
        <v>13231230</v>
      </c>
      <c r="H1104" t="s">
        <v>502</v>
      </c>
      <c r="I1104" t="s">
        <v>2083</v>
      </c>
      <c r="J1104" t="s">
        <v>502</v>
      </c>
      <c r="K1104" t="s">
        <v>16</v>
      </c>
      <c r="L1104" t="s">
        <v>506</v>
      </c>
      <c r="M1104" t="str">
        <f>VLOOKUP(A1104,[1]MSAKEN!$A$1:$F$562,6,FALSE)</f>
        <v>08500000204008757858</v>
      </c>
    </row>
    <row r="1105" spans="1:13" x14ac:dyDescent="0.3">
      <c r="A1105">
        <v>2091</v>
      </c>
      <c r="B1105" t="s">
        <v>54</v>
      </c>
      <c r="C1105" t="s">
        <v>55</v>
      </c>
      <c r="D1105" t="s">
        <v>34</v>
      </c>
      <c r="E1105" t="s">
        <v>2084</v>
      </c>
      <c r="F1105" s="4">
        <v>33417</v>
      </c>
      <c r="G1105">
        <v>6932461</v>
      </c>
      <c r="H1105">
        <v>1733700403</v>
      </c>
      <c r="I1105" t="s">
        <v>2085</v>
      </c>
      <c r="J1105" t="s">
        <v>526</v>
      </c>
      <c r="K1105" t="s">
        <v>16</v>
      </c>
      <c r="L1105" t="s">
        <v>17</v>
      </c>
      <c r="M1105" t="str">
        <f>VLOOKUP(A1105,[1]MSAKEN!$A$1:$F$562,6,FALSE)</f>
        <v>24010065540251110162</v>
      </c>
    </row>
    <row r="1106" spans="1:13" x14ac:dyDescent="0.3">
      <c r="A1106">
        <v>2092</v>
      </c>
      <c r="B1106" t="s">
        <v>441</v>
      </c>
      <c r="C1106" t="s">
        <v>442</v>
      </c>
      <c r="D1106" t="s">
        <v>424</v>
      </c>
      <c r="E1106" t="s">
        <v>2086</v>
      </c>
      <c r="F1106" s="4">
        <v>34337</v>
      </c>
      <c r="G1106">
        <v>9345189</v>
      </c>
      <c r="H1106">
        <v>1688977105</v>
      </c>
      <c r="I1106" t="s">
        <v>2087</v>
      </c>
      <c r="J1106" t="s">
        <v>511</v>
      </c>
      <c r="K1106" t="s">
        <v>16</v>
      </c>
      <c r="L1106" t="s">
        <v>506</v>
      </c>
      <c r="M1106" t="str">
        <f>VLOOKUP(A1106,[1]MSAKEN!$A$1:$F$562,6,FALSE)</f>
        <v>32026788101086969132</v>
      </c>
    </row>
    <row r="1107" spans="1:13" x14ac:dyDescent="0.3">
      <c r="A1107">
        <v>2093</v>
      </c>
      <c r="B1107" t="s">
        <v>392</v>
      </c>
      <c r="C1107" t="s">
        <v>1259</v>
      </c>
      <c r="D1107" t="s">
        <v>2088</v>
      </c>
      <c r="E1107" t="s">
        <v>2089</v>
      </c>
      <c r="F1107" s="4">
        <v>33987</v>
      </c>
      <c r="G1107">
        <v>9981480</v>
      </c>
      <c r="H1107" t="s">
        <v>502</v>
      </c>
      <c r="I1107" t="s">
        <v>2090</v>
      </c>
      <c r="J1107" t="s">
        <v>1793</v>
      </c>
      <c r="K1107" t="s">
        <v>16</v>
      </c>
      <c r="L1107" t="s">
        <v>506</v>
      </c>
      <c r="M1107" t="str">
        <f>VLOOKUP(A1107,[1]MSAKEN!$A$1:$F$562,6,FALSE)</f>
        <v>17801000000257598807</v>
      </c>
    </row>
    <row r="1108" spans="1:13" x14ac:dyDescent="0.3">
      <c r="A1108">
        <v>2094</v>
      </c>
      <c r="B1108" t="s">
        <v>361</v>
      </c>
      <c r="C1108" t="s">
        <v>362</v>
      </c>
      <c r="D1108" t="s">
        <v>2091</v>
      </c>
      <c r="E1108" t="s">
        <v>2092</v>
      </c>
      <c r="F1108" s="4">
        <v>34594</v>
      </c>
      <c r="G1108">
        <v>9991265</v>
      </c>
      <c r="H1108" t="s">
        <v>502</v>
      </c>
      <c r="I1108" t="s">
        <v>2093</v>
      </c>
      <c r="J1108" t="s">
        <v>1793</v>
      </c>
      <c r="K1108" t="s">
        <v>16</v>
      </c>
      <c r="L1108" t="s">
        <v>506</v>
      </c>
      <c r="M1108" t="str">
        <f>VLOOKUP(A1108,[1]MSAKEN!$A$1:$F$562,6,FALSE)</f>
        <v>17801000000250420128</v>
      </c>
    </row>
    <row r="1109" spans="1:13" x14ac:dyDescent="0.3">
      <c r="A1109">
        <v>2095</v>
      </c>
      <c r="B1109" t="s">
        <v>2094</v>
      </c>
      <c r="C1109" t="s">
        <v>1106</v>
      </c>
      <c r="D1109" t="s">
        <v>2095</v>
      </c>
      <c r="E1109" t="s">
        <v>1361</v>
      </c>
      <c r="F1109" s="4">
        <v>34099</v>
      </c>
      <c r="G1109">
        <v>9430304</v>
      </c>
      <c r="H1109" t="s">
        <v>502</v>
      </c>
      <c r="I1109" t="s">
        <v>2096</v>
      </c>
      <c r="J1109" t="s">
        <v>1766</v>
      </c>
      <c r="K1109" t="s">
        <v>16</v>
      </c>
      <c r="L1109" t="s">
        <v>506</v>
      </c>
      <c r="M1109" t="e">
        <f>VLOOKUP(A1109,[1]MSAKEN!$A$1:$F$562,6,FALSE)</f>
        <v>#N/A</v>
      </c>
    </row>
    <row r="1110" spans="1:13" x14ac:dyDescent="0.3">
      <c r="A1110">
        <v>2096</v>
      </c>
      <c r="B1110" t="s">
        <v>390</v>
      </c>
      <c r="C1110" t="s">
        <v>391</v>
      </c>
      <c r="D1110" t="s">
        <v>274</v>
      </c>
      <c r="E1110" t="s">
        <v>1361</v>
      </c>
      <c r="F1110" s="4">
        <v>34114</v>
      </c>
      <c r="G1110">
        <v>9983828</v>
      </c>
      <c r="H1110" t="s">
        <v>502</v>
      </c>
      <c r="I1110" t="s">
        <v>2097</v>
      </c>
      <c r="J1110" t="s">
        <v>1793</v>
      </c>
      <c r="K1110" t="s">
        <v>16</v>
      </c>
      <c r="L1110" t="s">
        <v>506</v>
      </c>
      <c r="M1110" t="str">
        <f>VLOOKUP(A1110,[1]MSAKEN!$A$1:$F$562,6,FALSE)</f>
        <v>04079164005448577605</v>
      </c>
    </row>
    <row r="1111" spans="1:13" x14ac:dyDescent="0.3">
      <c r="A1111">
        <v>2097</v>
      </c>
      <c r="B1111" t="s">
        <v>387</v>
      </c>
      <c r="C1111" t="s">
        <v>388</v>
      </c>
      <c r="D1111" t="s">
        <v>2098</v>
      </c>
      <c r="E1111" t="s">
        <v>2099</v>
      </c>
      <c r="F1111" s="4">
        <v>34414</v>
      </c>
      <c r="G1111">
        <v>12659176</v>
      </c>
      <c r="H1111" t="s">
        <v>502</v>
      </c>
      <c r="I1111" t="s">
        <v>2100</v>
      </c>
      <c r="J1111" t="s">
        <v>502</v>
      </c>
      <c r="K1111" t="s">
        <v>16</v>
      </c>
      <c r="L1111" t="s">
        <v>506</v>
      </c>
      <c r="M1111" t="str">
        <f>VLOOKUP(A1111,[1]MSAKEN!$A$1:$F$562,6,FALSE)</f>
        <v>04508045005449714476</v>
      </c>
    </row>
    <row r="1112" spans="1:13" x14ac:dyDescent="0.3">
      <c r="A1112">
        <v>2098</v>
      </c>
      <c r="B1112" t="s">
        <v>125</v>
      </c>
      <c r="C1112" t="s">
        <v>126</v>
      </c>
      <c r="D1112" t="s">
        <v>2101</v>
      </c>
      <c r="E1112" t="s">
        <v>746</v>
      </c>
      <c r="F1112" s="4">
        <v>33690</v>
      </c>
      <c r="G1112">
        <v>5945075</v>
      </c>
      <c r="H1112" t="s">
        <v>502</v>
      </c>
      <c r="I1112" t="s">
        <v>2102</v>
      </c>
      <c r="J1112" t="s">
        <v>502</v>
      </c>
      <c r="K1112" t="s">
        <v>16</v>
      </c>
      <c r="L1112" t="s">
        <v>506</v>
      </c>
      <c r="M1112" t="str">
        <f>VLOOKUP(A1112,[1]MSAKEN!$A$1:$F$562,6,FALSE)</f>
        <v>08500000204008758634</v>
      </c>
    </row>
    <row r="1113" spans="1:13" x14ac:dyDescent="0.3">
      <c r="A1113">
        <v>2099</v>
      </c>
      <c r="B1113" t="s">
        <v>2103</v>
      </c>
      <c r="C1113" t="s">
        <v>273</v>
      </c>
      <c r="D1113" t="s">
        <v>118</v>
      </c>
      <c r="E1113" t="s">
        <v>2104</v>
      </c>
      <c r="F1113" s="4">
        <v>33857</v>
      </c>
      <c r="G1113">
        <v>14213970</v>
      </c>
      <c r="H1113">
        <v>1675964504</v>
      </c>
      <c r="I1113" t="s">
        <v>2105</v>
      </c>
      <c r="J1113" t="s">
        <v>502</v>
      </c>
      <c r="K1113" t="s">
        <v>16</v>
      </c>
      <c r="L1113" t="s">
        <v>506</v>
      </c>
      <c r="M1113" t="e">
        <f>VLOOKUP(A1113,[1]MSAKEN!$A$1:$F$562,6,FALSE)</f>
        <v>#N/A</v>
      </c>
    </row>
    <row r="1114" spans="1:13" x14ac:dyDescent="0.3">
      <c r="A1114">
        <v>2100</v>
      </c>
      <c r="B1114" t="s">
        <v>317</v>
      </c>
      <c r="C1114" t="s">
        <v>443</v>
      </c>
      <c r="D1114" t="s">
        <v>149</v>
      </c>
      <c r="E1114" t="s">
        <v>1441</v>
      </c>
      <c r="F1114" s="4">
        <v>27289</v>
      </c>
      <c r="G1114">
        <v>5554723</v>
      </c>
      <c r="H1114" t="s">
        <v>502</v>
      </c>
      <c r="I1114" t="s">
        <v>2106</v>
      </c>
      <c r="J1114" t="s">
        <v>513</v>
      </c>
      <c r="K1114" t="s">
        <v>15</v>
      </c>
      <c r="L1114" t="s">
        <v>17</v>
      </c>
      <c r="M1114" t="str">
        <f>VLOOKUP(A1114,[1]MSAKEN!$A$1:$F$562,6,FALSE)</f>
        <v>25066000000054778950</v>
      </c>
    </row>
    <row r="1115" spans="1:13" x14ac:dyDescent="0.3">
      <c r="A1115">
        <v>2101</v>
      </c>
      <c r="B1115" t="s">
        <v>53</v>
      </c>
      <c r="C1115" t="s">
        <v>52</v>
      </c>
      <c r="D1115" t="s">
        <v>181</v>
      </c>
      <c r="E1115" t="s">
        <v>524</v>
      </c>
      <c r="F1115" s="4">
        <v>34104</v>
      </c>
      <c r="G1115">
        <v>9335387</v>
      </c>
      <c r="H1115" t="s">
        <v>502</v>
      </c>
      <c r="I1115" t="s">
        <v>2107</v>
      </c>
      <c r="J1115" t="s">
        <v>740</v>
      </c>
      <c r="K1115" t="s">
        <v>16</v>
      </c>
      <c r="L1115" t="s">
        <v>17</v>
      </c>
      <c r="M1115" t="str">
        <f>VLOOKUP(A1115,[1]MSAKEN!$A$1:$F$562,6,FALSE)</f>
        <v>17503000000238933606</v>
      </c>
    </row>
    <row r="1116" spans="1:13" x14ac:dyDescent="0.3">
      <c r="A1116">
        <v>2102</v>
      </c>
      <c r="B1116" t="s">
        <v>21</v>
      </c>
      <c r="C1116" t="s">
        <v>20</v>
      </c>
      <c r="D1116" t="s">
        <v>31</v>
      </c>
      <c r="E1116" t="s">
        <v>2108</v>
      </c>
      <c r="F1116" s="4">
        <v>33241</v>
      </c>
      <c r="G1116">
        <v>9906502</v>
      </c>
      <c r="H1116" t="s">
        <v>502</v>
      </c>
      <c r="I1116" t="s">
        <v>2109</v>
      </c>
      <c r="J1116" t="s">
        <v>502</v>
      </c>
      <c r="K1116" t="s">
        <v>502</v>
      </c>
      <c r="L1116" t="s">
        <v>17</v>
      </c>
      <c r="M1116" t="str">
        <f>VLOOKUP(A1116,[1]MSAKEN!$A$1:$F$562,6,FALSE)</f>
        <v>17206000000127743358</v>
      </c>
    </row>
    <row r="1117" spans="1:13" x14ac:dyDescent="0.3">
      <c r="A1117">
        <v>2103</v>
      </c>
      <c r="B1117" t="s">
        <v>320</v>
      </c>
      <c r="C1117" t="s">
        <v>228</v>
      </c>
      <c r="D1117" t="s">
        <v>400</v>
      </c>
      <c r="E1117" t="s">
        <v>2110</v>
      </c>
      <c r="F1117" s="4">
        <v>33038</v>
      </c>
      <c r="G1117">
        <v>7730176</v>
      </c>
      <c r="H1117">
        <v>1689324802</v>
      </c>
      <c r="I1117" t="s">
        <v>2111</v>
      </c>
      <c r="J1117" t="s">
        <v>1142</v>
      </c>
      <c r="K1117" t="s">
        <v>16</v>
      </c>
      <c r="L1117" t="s">
        <v>506</v>
      </c>
      <c r="M1117" t="str">
        <f>VLOOKUP(A1117,[1]MSAKEN!$A$1:$F$562,6,FALSE)</f>
        <v>05608000043506454002</v>
      </c>
    </row>
    <row r="1118" spans="1:13" x14ac:dyDescent="0.3">
      <c r="A1118">
        <v>2104</v>
      </c>
      <c r="B1118" t="s">
        <v>461</v>
      </c>
      <c r="C1118" t="s">
        <v>280</v>
      </c>
      <c r="D1118" t="s">
        <v>63</v>
      </c>
      <c r="E1118" t="s">
        <v>2112</v>
      </c>
      <c r="F1118" s="4">
        <v>31811</v>
      </c>
      <c r="G1118">
        <v>7684072</v>
      </c>
      <c r="H1118">
        <v>1680284302</v>
      </c>
      <c r="I1118" t="s">
        <v>2113</v>
      </c>
      <c r="J1118" t="s">
        <v>1142</v>
      </c>
      <c r="K1118" t="s">
        <v>16</v>
      </c>
      <c r="L1118" t="s">
        <v>506</v>
      </c>
      <c r="M1118" t="str">
        <f>VLOOKUP(A1118,[1]MSAKEN!$A$1:$F$562,6,FALSE)</f>
        <v>04070155002748836048</v>
      </c>
    </row>
    <row r="1119" spans="1:13" x14ac:dyDescent="0.3">
      <c r="A1119">
        <v>2105</v>
      </c>
      <c r="B1119" t="s">
        <v>2114</v>
      </c>
      <c r="C1119" t="s">
        <v>2115</v>
      </c>
      <c r="D1119" t="s">
        <v>272</v>
      </c>
      <c r="E1119" t="s">
        <v>625</v>
      </c>
      <c r="F1119" s="4">
        <v>32773</v>
      </c>
      <c r="G1119">
        <v>9702667</v>
      </c>
      <c r="H1119">
        <v>1704536703</v>
      </c>
      <c r="I1119" t="s">
        <v>2116</v>
      </c>
      <c r="J1119" t="s">
        <v>502</v>
      </c>
      <c r="K1119" t="s">
        <v>16</v>
      </c>
      <c r="L1119" t="s">
        <v>17</v>
      </c>
      <c r="M1119" t="e">
        <f>VLOOKUP(A1119,[1]MSAKEN!$A$1:$F$562,6,FALSE)</f>
        <v>#N/A</v>
      </c>
    </row>
    <row r="1120" spans="1:13" x14ac:dyDescent="0.3">
      <c r="A1120">
        <v>2107</v>
      </c>
      <c r="B1120" t="s">
        <v>405</v>
      </c>
      <c r="C1120" t="s">
        <v>404</v>
      </c>
      <c r="D1120" t="s">
        <v>681</v>
      </c>
      <c r="E1120" t="s">
        <v>629</v>
      </c>
      <c r="F1120" s="4">
        <v>34053</v>
      </c>
      <c r="G1120">
        <v>6948297</v>
      </c>
      <c r="H1120" t="s">
        <v>502</v>
      </c>
      <c r="I1120" t="s">
        <v>2117</v>
      </c>
      <c r="J1120" t="s">
        <v>526</v>
      </c>
      <c r="K1120" t="s">
        <v>16</v>
      </c>
      <c r="L1120" t="s">
        <v>17</v>
      </c>
      <c r="M1120" t="str">
        <f>VLOOKUP(A1120,[1]MSAKEN!$A$1:$F$562,6,FALSE)</f>
        <v>04508045002874015761</v>
      </c>
    </row>
    <row r="1121" spans="1:13" x14ac:dyDescent="0.3">
      <c r="A1121">
        <v>2108</v>
      </c>
      <c r="B1121" t="s">
        <v>320</v>
      </c>
      <c r="C1121" t="s">
        <v>2118</v>
      </c>
      <c r="D1121" t="s">
        <v>43</v>
      </c>
      <c r="E1121" t="s">
        <v>402</v>
      </c>
      <c r="F1121" s="4">
        <v>34667</v>
      </c>
      <c r="G1121">
        <v>9435446</v>
      </c>
      <c r="H1121" t="s">
        <v>502</v>
      </c>
      <c r="I1121" t="s">
        <v>2119</v>
      </c>
      <c r="J1121" t="s">
        <v>511</v>
      </c>
      <c r="K1121" t="s">
        <v>16</v>
      </c>
      <c r="L1121" t="s">
        <v>506</v>
      </c>
      <c r="M1121" t="e">
        <f>VLOOKUP(A1121,[1]MSAKEN!$A$1:$F$562,6,FALSE)</f>
        <v>#N/A</v>
      </c>
    </row>
    <row r="1122" spans="1:13" x14ac:dyDescent="0.3">
      <c r="A1122">
        <v>2109</v>
      </c>
      <c r="B1122" t="s">
        <v>417</v>
      </c>
      <c r="C1122" t="s">
        <v>416</v>
      </c>
      <c r="D1122" t="s">
        <v>2120</v>
      </c>
      <c r="E1122" t="s">
        <v>2121</v>
      </c>
      <c r="F1122" s="4">
        <v>33829</v>
      </c>
      <c r="G1122">
        <v>9315355</v>
      </c>
      <c r="H1122" t="s">
        <v>502</v>
      </c>
      <c r="I1122" t="s">
        <v>2122</v>
      </c>
      <c r="J1122" t="s">
        <v>511</v>
      </c>
      <c r="K1122" t="s">
        <v>16</v>
      </c>
      <c r="L1122" t="s">
        <v>17</v>
      </c>
      <c r="M1122" t="str">
        <f>VLOOKUP(A1122,[1]MSAKEN!$A$1:$F$562,6,FALSE)</f>
        <v>17503000000174702728</v>
      </c>
    </row>
    <row r="1123" spans="1:13" x14ac:dyDescent="0.3">
      <c r="A1123">
        <v>2110</v>
      </c>
      <c r="B1123" t="s">
        <v>2123</v>
      </c>
      <c r="C1123" t="s">
        <v>122</v>
      </c>
      <c r="D1123" t="s">
        <v>101</v>
      </c>
      <c r="E1123" t="s">
        <v>2121</v>
      </c>
      <c r="F1123" s="4">
        <v>32700</v>
      </c>
      <c r="G1123">
        <v>9290356</v>
      </c>
      <c r="H1123" t="s">
        <v>502</v>
      </c>
      <c r="I1123" t="s">
        <v>2124</v>
      </c>
      <c r="J1123" t="s">
        <v>1048</v>
      </c>
      <c r="K1123" t="s">
        <v>16</v>
      </c>
      <c r="L1123" t="s">
        <v>506</v>
      </c>
      <c r="M1123" t="e">
        <f>VLOOKUP(A1123,[1]MSAKEN!$A$1:$F$562,6,FALSE)</f>
        <v>#N/A</v>
      </c>
    </row>
    <row r="1124" spans="1:13" x14ac:dyDescent="0.3">
      <c r="A1124">
        <v>2111</v>
      </c>
      <c r="B1124" t="s">
        <v>407</v>
      </c>
      <c r="C1124" t="s">
        <v>406</v>
      </c>
      <c r="D1124" t="s">
        <v>2125</v>
      </c>
      <c r="E1124" t="s">
        <v>606</v>
      </c>
      <c r="F1124" s="4">
        <v>33508</v>
      </c>
      <c r="G1124">
        <v>9966432</v>
      </c>
      <c r="H1124" t="s">
        <v>502</v>
      </c>
      <c r="I1124" t="s">
        <v>2126</v>
      </c>
      <c r="J1124" t="s">
        <v>502</v>
      </c>
      <c r="K1124" t="s">
        <v>16</v>
      </c>
      <c r="L1124" t="s">
        <v>506</v>
      </c>
      <c r="M1124" t="str">
        <f>VLOOKUP(A1124,[1]MSAKEN!$A$1:$F$562,6,FALSE)</f>
        <v>08508000372007017038</v>
      </c>
    </row>
    <row r="1125" spans="1:13" x14ac:dyDescent="0.3">
      <c r="A1125">
        <v>2112</v>
      </c>
      <c r="B1125" t="s">
        <v>389</v>
      </c>
      <c r="C1125" t="s">
        <v>145</v>
      </c>
      <c r="D1125" t="s">
        <v>61</v>
      </c>
      <c r="E1125" t="s">
        <v>1809</v>
      </c>
      <c r="F1125" s="4">
        <v>33510</v>
      </c>
      <c r="G1125">
        <v>11860082</v>
      </c>
      <c r="H1125" t="s">
        <v>502</v>
      </c>
      <c r="I1125" t="s">
        <v>2127</v>
      </c>
      <c r="J1125" t="s">
        <v>1142</v>
      </c>
      <c r="K1125" t="s">
        <v>16</v>
      </c>
      <c r="L1125" t="s">
        <v>506</v>
      </c>
      <c r="M1125" t="str">
        <f>VLOOKUP(A1125,[1]MSAKEN!$A$1:$F$562,6,FALSE)</f>
        <v>05605000012500923960</v>
      </c>
    </row>
    <row r="1126" spans="1:13" x14ac:dyDescent="0.3">
      <c r="A1126">
        <v>2113</v>
      </c>
      <c r="B1126" t="s">
        <v>398</v>
      </c>
      <c r="C1126" t="s">
        <v>110</v>
      </c>
      <c r="D1126" t="s">
        <v>89</v>
      </c>
      <c r="E1126" t="s">
        <v>890</v>
      </c>
      <c r="F1126" s="4">
        <v>33942</v>
      </c>
      <c r="G1126">
        <v>9319168</v>
      </c>
      <c r="H1126" t="s">
        <v>502</v>
      </c>
      <c r="I1126" t="s">
        <v>2128</v>
      </c>
      <c r="J1126" t="s">
        <v>755</v>
      </c>
      <c r="K1126" t="s">
        <v>16</v>
      </c>
      <c r="L1126" t="s">
        <v>506</v>
      </c>
      <c r="M1126" t="str">
        <f>VLOOKUP(A1126,[1]MSAKEN!$A$1:$F$562,6,FALSE)</f>
        <v>03508056010110301048</v>
      </c>
    </row>
    <row r="1127" spans="1:13" x14ac:dyDescent="0.3">
      <c r="A1127">
        <v>2114</v>
      </c>
      <c r="B1127" t="s">
        <v>1913</v>
      </c>
      <c r="C1127" t="s">
        <v>106</v>
      </c>
      <c r="D1127" t="s">
        <v>34</v>
      </c>
      <c r="E1127" t="s">
        <v>2129</v>
      </c>
      <c r="F1127" s="4">
        <v>33495</v>
      </c>
      <c r="G1127">
        <v>9310633</v>
      </c>
      <c r="H1127" t="s">
        <v>502</v>
      </c>
      <c r="I1127" t="s">
        <v>2130</v>
      </c>
      <c r="J1127" t="s">
        <v>816</v>
      </c>
      <c r="K1127" t="s">
        <v>16</v>
      </c>
      <c r="L1127" t="s">
        <v>506</v>
      </c>
      <c r="M1127" t="e">
        <f>VLOOKUP(A1127,[1]MSAKEN!$A$1:$F$562,6,FALSE)</f>
        <v>#N/A</v>
      </c>
    </row>
    <row r="1128" spans="1:13" x14ac:dyDescent="0.3">
      <c r="A1128">
        <v>2115</v>
      </c>
      <c r="B1128" t="s">
        <v>393</v>
      </c>
      <c r="C1128" t="s">
        <v>392</v>
      </c>
      <c r="D1128" t="s">
        <v>118</v>
      </c>
      <c r="E1128" t="s">
        <v>2112</v>
      </c>
      <c r="F1128" s="4">
        <v>33823</v>
      </c>
      <c r="G1128">
        <v>11018279</v>
      </c>
      <c r="H1128" t="s">
        <v>502</v>
      </c>
      <c r="I1128" t="s">
        <v>2131</v>
      </c>
      <c r="J1128" t="s">
        <v>502</v>
      </c>
      <c r="K1128" t="s">
        <v>16</v>
      </c>
      <c r="L1128" t="s">
        <v>506</v>
      </c>
      <c r="M1128" t="str">
        <f>VLOOKUP(A1128,[1]MSAKEN!$A$1:$F$562,6,FALSE)</f>
        <v>08705000412012882006</v>
      </c>
    </row>
    <row r="1129" spans="1:13" x14ac:dyDescent="0.3">
      <c r="A1129">
        <v>2118</v>
      </c>
      <c r="B1129" t="s">
        <v>122</v>
      </c>
      <c r="C1129" t="s">
        <v>103</v>
      </c>
      <c r="D1129" t="s">
        <v>181</v>
      </c>
      <c r="E1129" t="s">
        <v>2121</v>
      </c>
      <c r="F1129" s="4">
        <v>34370</v>
      </c>
      <c r="G1129">
        <v>9315895</v>
      </c>
      <c r="H1129" t="s">
        <v>502</v>
      </c>
      <c r="I1129" t="s">
        <v>2132</v>
      </c>
      <c r="J1129" t="s">
        <v>513</v>
      </c>
      <c r="K1129" t="s">
        <v>16</v>
      </c>
      <c r="L1129" t="s">
        <v>506</v>
      </c>
      <c r="M1129" t="str">
        <f>VLOOKUP(A1129,[1]MSAKEN!$A$1:$F$562,6,FALSE)</f>
        <v>05048000116500453893</v>
      </c>
    </row>
    <row r="1130" spans="1:13" x14ac:dyDescent="0.3">
      <c r="A1130">
        <v>2119</v>
      </c>
      <c r="B1130" t="s">
        <v>122</v>
      </c>
      <c r="C1130" t="s">
        <v>771</v>
      </c>
      <c r="D1130" t="s">
        <v>136</v>
      </c>
      <c r="E1130" t="s">
        <v>1427</v>
      </c>
      <c r="F1130" s="4">
        <v>34183</v>
      </c>
      <c r="G1130">
        <v>9343102</v>
      </c>
      <c r="H1130" t="s">
        <v>502</v>
      </c>
      <c r="I1130" t="s">
        <v>2133</v>
      </c>
      <c r="J1130" t="s">
        <v>513</v>
      </c>
      <c r="K1130" t="s">
        <v>16</v>
      </c>
      <c r="L1130" t="s">
        <v>506</v>
      </c>
      <c r="M1130" t="e">
        <f>VLOOKUP(A1130,[1]MSAKEN!$A$1:$F$562,6,FALSE)</f>
        <v>#N/A</v>
      </c>
    </row>
    <row r="1131" spans="1:13" x14ac:dyDescent="0.3">
      <c r="A1131">
        <v>2120</v>
      </c>
      <c r="B1131" t="s">
        <v>2134</v>
      </c>
      <c r="C1131" t="s">
        <v>148</v>
      </c>
      <c r="D1131" t="s">
        <v>197</v>
      </c>
      <c r="E1131" t="s">
        <v>600</v>
      </c>
      <c r="F1131" s="4">
        <v>35427</v>
      </c>
      <c r="G1131">
        <v>6988354</v>
      </c>
      <c r="H1131" t="s">
        <v>502</v>
      </c>
      <c r="I1131" t="s">
        <v>502</v>
      </c>
      <c r="J1131" t="s">
        <v>502</v>
      </c>
      <c r="K1131" t="s">
        <v>502</v>
      </c>
      <c r="L1131" t="s">
        <v>502</v>
      </c>
      <c r="M1131" t="str">
        <f>VLOOKUP(A1131,[1]MSAKEN!$A$1:$F$562,6,FALSE)</f>
        <v>04505037005612605559</v>
      </c>
    </row>
    <row r="1132" spans="1:13" x14ac:dyDescent="0.3">
      <c r="A1132">
        <v>2121</v>
      </c>
      <c r="B1132" t="s">
        <v>390</v>
      </c>
      <c r="C1132" t="s">
        <v>2135</v>
      </c>
      <c r="D1132" t="s">
        <v>34</v>
      </c>
      <c r="E1132" t="s">
        <v>1023</v>
      </c>
      <c r="F1132" s="4">
        <v>34365</v>
      </c>
      <c r="G1132">
        <v>9343901</v>
      </c>
      <c r="H1132" t="s">
        <v>502</v>
      </c>
      <c r="I1132" t="s">
        <v>2136</v>
      </c>
      <c r="J1132" t="s">
        <v>513</v>
      </c>
      <c r="K1132" t="s">
        <v>16</v>
      </c>
      <c r="L1132" t="s">
        <v>506</v>
      </c>
      <c r="M1132" t="e">
        <f>VLOOKUP(A1132,[1]MSAKEN!$A$1:$F$562,6,FALSE)</f>
        <v>#N/A</v>
      </c>
    </row>
    <row r="1133" spans="1:13" x14ac:dyDescent="0.3">
      <c r="A1133">
        <v>2122</v>
      </c>
      <c r="B1133" t="s">
        <v>63</v>
      </c>
      <c r="C1133" t="s">
        <v>71</v>
      </c>
      <c r="D1133" t="s">
        <v>2137</v>
      </c>
      <c r="E1133" t="s">
        <v>2138</v>
      </c>
      <c r="F1133" s="4">
        <v>34666</v>
      </c>
      <c r="G1133">
        <v>9322698</v>
      </c>
      <c r="H1133" t="s">
        <v>502</v>
      </c>
      <c r="I1133" t="s">
        <v>2139</v>
      </c>
      <c r="J1133" t="s">
        <v>513</v>
      </c>
      <c r="K1133" t="s">
        <v>16</v>
      </c>
      <c r="L1133" t="s">
        <v>506</v>
      </c>
      <c r="M1133" t="e">
        <f>VLOOKUP(A1133,[1]MSAKEN!$A$1:$F$562,6,FALSE)</f>
        <v>#N/A</v>
      </c>
    </row>
    <row r="1134" spans="1:13" x14ac:dyDescent="0.3">
      <c r="A1134">
        <v>2123</v>
      </c>
      <c r="B1134" t="s">
        <v>224</v>
      </c>
      <c r="C1134" t="s">
        <v>476</v>
      </c>
      <c r="D1134" t="s">
        <v>246</v>
      </c>
      <c r="E1134" t="s">
        <v>1925</v>
      </c>
      <c r="F1134" s="4">
        <v>35005</v>
      </c>
      <c r="G1134">
        <v>12809673</v>
      </c>
      <c r="H1134">
        <v>190373464</v>
      </c>
      <c r="I1134" t="s">
        <v>2136</v>
      </c>
      <c r="J1134" t="s">
        <v>513</v>
      </c>
      <c r="K1134" t="s">
        <v>16</v>
      </c>
      <c r="L1134" t="s">
        <v>506</v>
      </c>
      <c r="M1134" t="str">
        <f>VLOOKUP(A1134,[1]MSAKEN!$A$1:$F$562,6,FALSE)</f>
        <v>12058000013308673063</v>
      </c>
    </row>
    <row r="1135" spans="1:13" x14ac:dyDescent="0.3">
      <c r="A1135">
        <v>2124</v>
      </c>
      <c r="B1135" t="s">
        <v>89</v>
      </c>
      <c r="C1135" t="s">
        <v>2140</v>
      </c>
      <c r="D1135" t="s">
        <v>60</v>
      </c>
      <c r="E1135" t="s">
        <v>746</v>
      </c>
      <c r="F1135" s="4">
        <v>33362</v>
      </c>
      <c r="G1135">
        <v>9320401</v>
      </c>
      <c r="H1135">
        <v>1662108701</v>
      </c>
      <c r="I1135" t="s">
        <v>2141</v>
      </c>
      <c r="J1135" t="s">
        <v>511</v>
      </c>
      <c r="K1135" t="s">
        <v>16</v>
      </c>
      <c r="L1135" t="s">
        <v>506</v>
      </c>
      <c r="M1135" t="str">
        <f>VLOOKUP(A1135,[1]MSAKEN!$A$1:$F$562,6,FALSE)</f>
        <v>17503000000255093418</v>
      </c>
    </row>
    <row r="1136" spans="1:13" x14ac:dyDescent="0.3">
      <c r="A1136">
        <v>2125</v>
      </c>
      <c r="B1136" t="s">
        <v>235</v>
      </c>
      <c r="C1136" t="s">
        <v>109</v>
      </c>
      <c r="D1136" t="s">
        <v>40</v>
      </c>
      <c r="E1136" t="s">
        <v>2142</v>
      </c>
      <c r="F1136" s="4">
        <v>34470</v>
      </c>
      <c r="G1136">
        <v>9342686</v>
      </c>
      <c r="H1136">
        <v>1683244907</v>
      </c>
      <c r="I1136" t="s">
        <v>2143</v>
      </c>
      <c r="J1136" t="s">
        <v>513</v>
      </c>
      <c r="K1136" t="s">
        <v>16</v>
      </c>
      <c r="L1136" t="s">
        <v>506</v>
      </c>
      <c r="M1136" t="str">
        <f>VLOOKUP(A1136,[1]MSAKEN!$A$1:$F$562,6,FALSE)</f>
        <v>04204067003573024115</v>
      </c>
    </row>
    <row r="1137" spans="1:13" x14ac:dyDescent="0.3">
      <c r="A1137">
        <v>2126</v>
      </c>
      <c r="B1137" t="s">
        <v>72</v>
      </c>
      <c r="C1137" t="s">
        <v>2135</v>
      </c>
      <c r="D1137" t="s">
        <v>2144</v>
      </c>
      <c r="E1137" t="s">
        <v>2145</v>
      </c>
      <c r="F1137" s="4">
        <v>32721</v>
      </c>
      <c r="G1137">
        <v>9291884</v>
      </c>
      <c r="H1137">
        <v>5663492115</v>
      </c>
      <c r="I1137" t="s">
        <v>2146</v>
      </c>
      <c r="J1137" t="s">
        <v>513</v>
      </c>
      <c r="K1137" t="s">
        <v>16</v>
      </c>
      <c r="L1137" t="s">
        <v>506</v>
      </c>
      <c r="M1137" t="e">
        <f>VLOOKUP(A1137,[1]MSAKEN!$A$1:$F$562,6,FALSE)</f>
        <v>#N/A</v>
      </c>
    </row>
    <row r="1138" spans="1:13" x14ac:dyDescent="0.3">
      <c r="A1138">
        <v>2127</v>
      </c>
      <c r="B1138" t="s">
        <v>2147</v>
      </c>
      <c r="C1138" t="s">
        <v>482</v>
      </c>
      <c r="D1138" t="s">
        <v>31</v>
      </c>
      <c r="E1138" t="s">
        <v>2148</v>
      </c>
      <c r="F1138" s="4">
        <v>33902</v>
      </c>
      <c r="G1138">
        <v>9320409</v>
      </c>
      <c r="H1138" t="s">
        <v>502</v>
      </c>
      <c r="I1138" t="s">
        <v>2149</v>
      </c>
      <c r="J1138" t="s">
        <v>511</v>
      </c>
      <c r="K1138" t="s">
        <v>16</v>
      </c>
      <c r="L1138" t="s">
        <v>506</v>
      </c>
      <c r="M1138" t="e">
        <f>VLOOKUP(A1138,[1]MSAKEN!$A$1:$F$562,6,FALSE)</f>
        <v>#N/A</v>
      </c>
    </row>
    <row r="1139" spans="1:13" x14ac:dyDescent="0.3">
      <c r="A1139">
        <v>2128</v>
      </c>
      <c r="B1139" t="s">
        <v>346</v>
      </c>
      <c r="C1139" t="s">
        <v>345</v>
      </c>
      <c r="D1139" t="s">
        <v>34</v>
      </c>
      <c r="E1139" t="s">
        <v>2150</v>
      </c>
      <c r="F1139" s="4">
        <v>31286</v>
      </c>
      <c r="G1139">
        <v>8482588</v>
      </c>
      <c r="H1139" t="s">
        <v>502</v>
      </c>
      <c r="I1139" t="s">
        <v>2151</v>
      </c>
      <c r="J1139" t="s">
        <v>511</v>
      </c>
      <c r="K1139" t="s">
        <v>16</v>
      </c>
      <c r="L1139" t="s">
        <v>506</v>
      </c>
      <c r="M1139" t="str">
        <f>VLOOKUP(A1139,[1]MSAKEN!$A$1:$F$562,6,FALSE)</f>
        <v>01500023111077521174</v>
      </c>
    </row>
    <row r="1140" spans="1:13" x14ac:dyDescent="0.3">
      <c r="A1140">
        <v>2129</v>
      </c>
      <c r="B1140" t="s">
        <v>2152</v>
      </c>
      <c r="C1140" t="s">
        <v>161</v>
      </c>
      <c r="D1140" t="s">
        <v>2153</v>
      </c>
      <c r="E1140" t="s">
        <v>2154</v>
      </c>
      <c r="F1140" s="4">
        <v>34872</v>
      </c>
      <c r="G1140">
        <v>9343795</v>
      </c>
      <c r="H1140" t="s">
        <v>502</v>
      </c>
      <c r="I1140" t="s">
        <v>2155</v>
      </c>
      <c r="J1140" t="s">
        <v>513</v>
      </c>
      <c r="K1140" t="s">
        <v>16</v>
      </c>
      <c r="L1140" t="s">
        <v>506</v>
      </c>
      <c r="M1140" t="e">
        <f>VLOOKUP(A1140,[1]MSAKEN!$A$1:$F$562,6,FALSE)</f>
        <v>#N/A</v>
      </c>
    </row>
    <row r="1141" spans="1:13" x14ac:dyDescent="0.3">
      <c r="A1141">
        <v>2130</v>
      </c>
      <c r="B1141" t="s">
        <v>110</v>
      </c>
      <c r="C1141" t="s">
        <v>83</v>
      </c>
      <c r="D1141" t="s">
        <v>2156</v>
      </c>
      <c r="E1141" t="s">
        <v>1361</v>
      </c>
      <c r="F1141" s="4">
        <v>34691</v>
      </c>
      <c r="G1141">
        <v>9342211</v>
      </c>
      <c r="H1141" t="s">
        <v>502</v>
      </c>
      <c r="I1141" t="s">
        <v>2157</v>
      </c>
      <c r="J1141" t="s">
        <v>513</v>
      </c>
      <c r="K1141" t="s">
        <v>16</v>
      </c>
      <c r="L1141" t="s">
        <v>506</v>
      </c>
      <c r="M1141" t="e">
        <f>VLOOKUP(A1141,[1]MSAKEN!$A$1:$F$562,6,FALSE)</f>
        <v>#N/A</v>
      </c>
    </row>
    <row r="1142" spans="1:13" x14ac:dyDescent="0.3">
      <c r="A1142">
        <v>2131</v>
      </c>
      <c r="B1142" t="s">
        <v>109</v>
      </c>
      <c r="C1142" t="s">
        <v>29</v>
      </c>
      <c r="D1142" t="s">
        <v>336</v>
      </c>
      <c r="E1142" t="s">
        <v>1361</v>
      </c>
      <c r="F1142" s="4">
        <v>33760</v>
      </c>
      <c r="G1142">
        <v>9315711</v>
      </c>
      <c r="H1142" t="s">
        <v>502</v>
      </c>
      <c r="I1142" t="s">
        <v>2158</v>
      </c>
      <c r="J1142" t="s">
        <v>513</v>
      </c>
      <c r="K1142" t="s">
        <v>16</v>
      </c>
      <c r="L1142" t="s">
        <v>506</v>
      </c>
      <c r="M1142" t="str">
        <f>VLOOKUP(A1142,[1]MSAKEN!$A$1:$F$562,6,FALSE)</f>
        <v>01018058113027677808</v>
      </c>
    </row>
    <row r="1143" spans="1:13" x14ac:dyDescent="0.3">
      <c r="A1143">
        <v>2132</v>
      </c>
      <c r="B1143" t="s">
        <v>1661</v>
      </c>
      <c r="C1143" t="s">
        <v>451</v>
      </c>
      <c r="D1143" t="s">
        <v>101</v>
      </c>
      <c r="E1143" t="s">
        <v>2110</v>
      </c>
      <c r="F1143" s="4">
        <v>35723</v>
      </c>
      <c r="G1143">
        <v>12822495</v>
      </c>
      <c r="H1143" t="s">
        <v>502</v>
      </c>
      <c r="I1143" t="s">
        <v>2159</v>
      </c>
      <c r="J1143" t="s">
        <v>513</v>
      </c>
      <c r="K1143" t="s">
        <v>16</v>
      </c>
      <c r="L1143" t="s">
        <v>506</v>
      </c>
      <c r="M1143" t="e">
        <f>VLOOKUP(A1143,[1]MSAKEN!$A$1:$F$562,6,FALSE)</f>
        <v>#N/A</v>
      </c>
    </row>
    <row r="1144" spans="1:13" x14ac:dyDescent="0.3">
      <c r="A1144">
        <v>2133</v>
      </c>
      <c r="B1144" t="s">
        <v>2160</v>
      </c>
      <c r="C1144" t="s">
        <v>2161</v>
      </c>
      <c r="D1144" t="s">
        <v>60</v>
      </c>
      <c r="E1144" t="s">
        <v>629</v>
      </c>
      <c r="F1144" s="4">
        <v>34693</v>
      </c>
      <c r="G1144">
        <v>9346709</v>
      </c>
      <c r="H1144">
        <v>170653760000</v>
      </c>
      <c r="I1144" t="s">
        <v>2085</v>
      </c>
      <c r="J1144" t="s">
        <v>513</v>
      </c>
      <c r="K1144" t="s">
        <v>16</v>
      </c>
      <c r="L1144" t="s">
        <v>506</v>
      </c>
      <c r="M1144" t="e">
        <f>VLOOKUP(A1144,[1]MSAKEN!$A$1:$F$562,6,FALSE)</f>
        <v>#N/A</v>
      </c>
    </row>
    <row r="1145" spans="1:13" x14ac:dyDescent="0.3">
      <c r="A1145">
        <v>2134</v>
      </c>
      <c r="B1145" t="s">
        <v>2162</v>
      </c>
      <c r="C1145" t="s">
        <v>2163</v>
      </c>
      <c r="D1145" t="s">
        <v>502</v>
      </c>
      <c r="E1145" t="s">
        <v>502</v>
      </c>
      <c r="F1145" s="4">
        <v>35536</v>
      </c>
      <c r="G1145">
        <v>6978380</v>
      </c>
      <c r="H1145" t="s">
        <v>502</v>
      </c>
      <c r="I1145" t="s">
        <v>2164</v>
      </c>
      <c r="J1145" t="s">
        <v>526</v>
      </c>
      <c r="K1145" t="s">
        <v>16</v>
      </c>
      <c r="L1145" t="s">
        <v>506</v>
      </c>
      <c r="M1145" t="e">
        <f>VLOOKUP(A1145,[1]MSAKEN!$A$1:$F$562,6,FALSE)</f>
        <v>#N/A</v>
      </c>
    </row>
    <row r="1146" spans="1:13" x14ac:dyDescent="0.3">
      <c r="A1146">
        <v>2135</v>
      </c>
      <c r="B1146" t="s">
        <v>2165</v>
      </c>
      <c r="C1146" t="s">
        <v>2166</v>
      </c>
      <c r="D1146" t="s">
        <v>502</v>
      </c>
      <c r="E1146" t="s">
        <v>502</v>
      </c>
      <c r="F1146" s="4">
        <v>34253</v>
      </c>
      <c r="G1146">
        <v>9346854</v>
      </c>
      <c r="H1146">
        <v>1716823602</v>
      </c>
      <c r="I1146" t="s">
        <v>2167</v>
      </c>
      <c r="J1146" t="s">
        <v>513</v>
      </c>
      <c r="K1146" t="s">
        <v>16</v>
      </c>
      <c r="L1146" t="s">
        <v>506</v>
      </c>
      <c r="M1146" t="e">
        <f>VLOOKUP(A1146,[1]MSAKEN!$A$1:$F$562,6,FALSE)</f>
        <v>#N/A</v>
      </c>
    </row>
    <row r="1147" spans="1:13" x14ac:dyDescent="0.3">
      <c r="A1147">
        <v>2136</v>
      </c>
      <c r="B1147" t="s">
        <v>31</v>
      </c>
      <c r="C1147" t="s">
        <v>667</v>
      </c>
      <c r="D1147" t="s">
        <v>502</v>
      </c>
      <c r="E1147" t="s">
        <v>502</v>
      </c>
      <c r="F1147" s="4">
        <v>35323</v>
      </c>
      <c r="G1147">
        <v>12829176</v>
      </c>
      <c r="H1147" t="s">
        <v>502</v>
      </c>
      <c r="I1147" t="s">
        <v>2168</v>
      </c>
      <c r="J1147" t="s">
        <v>511</v>
      </c>
      <c r="K1147" t="s">
        <v>16</v>
      </c>
      <c r="L1147" t="s">
        <v>506</v>
      </c>
      <c r="M1147" t="str">
        <f>VLOOKUP(A1147,[1]MSAKEN!$A$1:$F$562,6,FALSE)</f>
        <v>17503000000231019182</v>
      </c>
    </row>
    <row r="1148" spans="1:13" x14ac:dyDescent="0.3">
      <c r="A1148">
        <v>2137</v>
      </c>
      <c r="B1148" t="s">
        <v>34</v>
      </c>
      <c r="C1148" t="s">
        <v>428</v>
      </c>
      <c r="D1148" t="s">
        <v>502</v>
      </c>
      <c r="E1148" t="s">
        <v>502</v>
      </c>
      <c r="F1148" s="4">
        <v>34198</v>
      </c>
      <c r="G1148">
        <v>9334982</v>
      </c>
      <c r="H1148" t="s">
        <v>502</v>
      </c>
      <c r="I1148" t="s">
        <v>2169</v>
      </c>
      <c r="J1148" t="s">
        <v>513</v>
      </c>
      <c r="K1148" t="s">
        <v>16</v>
      </c>
      <c r="L1148" t="s">
        <v>506</v>
      </c>
      <c r="M1148" t="str">
        <f>VLOOKUP(A1148,[1]MSAKEN!$A$1:$F$562,6,FALSE)</f>
        <v>12064000013126694003</v>
      </c>
    </row>
    <row r="1149" spans="1:13" x14ac:dyDescent="0.3">
      <c r="A1149">
        <v>2138</v>
      </c>
      <c r="B1149" t="s">
        <v>2170</v>
      </c>
      <c r="C1149" t="s">
        <v>103</v>
      </c>
      <c r="D1149" t="s">
        <v>502</v>
      </c>
      <c r="E1149" t="s">
        <v>502</v>
      </c>
      <c r="F1149" s="4">
        <v>33137</v>
      </c>
      <c r="G1149">
        <v>9282967</v>
      </c>
      <c r="H1149">
        <v>1706766209</v>
      </c>
      <c r="I1149" t="s">
        <v>2171</v>
      </c>
      <c r="J1149" t="s">
        <v>513</v>
      </c>
      <c r="K1149" t="s">
        <v>16</v>
      </c>
      <c r="L1149" t="s">
        <v>506</v>
      </c>
      <c r="M1149" t="str">
        <f>VLOOKUP(A1149,[1]MSAKEN!$A$1:$F$562,6,FALSE)</f>
        <v>17503000000268716001</v>
      </c>
    </row>
    <row r="1150" spans="1:13" x14ac:dyDescent="0.3">
      <c r="A1150">
        <v>2139</v>
      </c>
      <c r="B1150" t="s">
        <v>81</v>
      </c>
      <c r="C1150" t="s">
        <v>82</v>
      </c>
      <c r="D1150" t="s">
        <v>502</v>
      </c>
      <c r="E1150" t="s">
        <v>502</v>
      </c>
      <c r="F1150" s="4">
        <v>35111</v>
      </c>
      <c r="G1150">
        <v>9348544</v>
      </c>
      <c r="H1150" t="s">
        <v>502</v>
      </c>
      <c r="I1150" t="s">
        <v>2172</v>
      </c>
      <c r="J1150" t="s">
        <v>511</v>
      </c>
      <c r="K1150" t="s">
        <v>16</v>
      </c>
      <c r="L1150" t="s">
        <v>506</v>
      </c>
      <c r="M1150" t="str">
        <f>VLOOKUP(A1150,[1]MSAKEN!$A$1:$F$562,6,FALSE)</f>
        <v>25018000000059071420</v>
      </c>
    </row>
    <row r="1151" spans="1:13" x14ac:dyDescent="0.3">
      <c r="A1151">
        <v>2140</v>
      </c>
      <c r="B1151" t="s">
        <v>474</v>
      </c>
      <c r="C1151" t="s">
        <v>475</v>
      </c>
      <c r="D1151" t="s">
        <v>502</v>
      </c>
      <c r="E1151" t="s">
        <v>502</v>
      </c>
      <c r="F1151" s="4">
        <v>35593</v>
      </c>
      <c r="G1151">
        <v>12825179</v>
      </c>
      <c r="H1151" t="s">
        <v>502</v>
      </c>
      <c r="I1151" t="s">
        <v>2173</v>
      </c>
      <c r="J1151" t="s">
        <v>513</v>
      </c>
      <c r="K1151" t="s">
        <v>16</v>
      </c>
      <c r="L1151" t="s">
        <v>506</v>
      </c>
      <c r="M1151" t="str">
        <f>VLOOKUP(A1151,[1]MSAKEN!$A$1:$F$562,6,FALSE)</f>
        <v>10506040523548178830</v>
      </c>
    </row>
    <row r="1152" spans="1:13" x14ac:dyDescent="0.3">
      <c r="A1152">
        <v>2141</v>
      </c>
      <c r="B1152" t="s">
        <v>36</v>
      </c>
      <c r="C1152" t="s">
        <v>268</v>
      </c>
      <c r="D1152" t="s">
        <v>502</v>
      </c>
      <c r="E1152" t="s">
        <v>502</v>
      </c>
      <c r="F1152" s="4">
        <v>32120</v>
      </c>
      <c r="G1152">
        <v>9274057</v>
      </c>
      <c r="H1152">
        <v>1706737309</v>
      </c>
      <c r="I1152" t="s">
        <v>2174</v>
      </c>
      <c r="J1152" t="s">
        <v>513</v>
      </c>
      <c r="K1152" t="s">
        <v>15</v>
      </c>
      <c r="L1152" t="s">
        <v>506</v>
      </c>
      <c r="M1152" t="str">
        <f>VLOOKUP(A1152,[1]MSAKEN!$A$1:$F$562,6,FALSE)</f>
        <v>32026788101099022158</v>
      </c>
    </row>
    <row r="1153" spans="1:13" x14ac:dyDescent="0.3">
      <c r="A1153">
        <v>2143</v>
      </c>
      <c r="B1153" t="s">
        <v>236</v>
      </c>
      <c r="C1153" t="s">
        <v>122</v>
      </c>
      <c r="D1153" t="s">
        <v>224</v>
      </c>
      <c r="E1153" t="s">
        <v>2175</v>
      </c>
      <c r="F1153" s="4">
        <v>34679</v>
      </c>
      <c r="G1153">
        <v>12807978</v>
      </c>
      <c r="H1153" t="s">
        <v>502</v>
      </c>
      <c r="I1153" t="s">
        <v>2176</v>
      </c>
      <c r="J1153" t="s">
        <v>513</v>
      </c>
      <c r="K1153" t="s">
        <v>16</v>
      </c>
      <c r="L1153" t="s">
        <v>506</v>
      </c>
      <c r="M1153" t="str">
        <f>VLOOKUP(A1153,[1]MSAKEN!$A$1:$F$562,6,FALSE)</f>
        <v>10506040523817578870</v>
      </c>
    </row>
    <row r="1154" spans="1:13" x14ac:dyDescent="0.3">
      <c r="A1154">
        <v>2144</v>
      </c>
      <c r="B1154" t="s">
        <v>364</v>
      </c>
      <c r="C1154" t="s">
        <v>363</v>
      </c>
      <c r="D1154" t="s">
        <v>2177</v>
      </c>
      <c r="E1154" t="s">
        <v>2178</v>
      </c>
      <c r="F1154" s="4">
        <v>34176</v>
      </c>
      <c r="G1154">
        <v>9438601</v>
      </c>
      <c r="H1154" t="s">
        <v>502</v>
      </c>
      <c r="I1154" t="s">
        <v>2179</v>
      </c>
      <c r="J1154" t="s">
        <v>1766</v>
      </c>
      <c r="K1154" t="s">
        <v>16</v>
      </c>
      <c r="L1154" t="s">
        <v>506</v>
      </c>
      <c r="M1154" t="str">
        <f>VLOOKUP(A1154,[1]MSAKEN!$A$1:$F$562,6,FALSE)</f>
        <v>14007007100713145479</v>
      </c>
    </row>
    <row r="1155" spans="1:13" x14ac:dyDescent="0.3">
      <c r="A1155">
        <v>2145</v>
      </c>
      <c r="B1155" t="s">
        <v>214</v>
      </c>
      <c r="C1155" t="s">
        <v>122</v>
      </c>
      <c r="D1155" t="s">
        <v>200</v>
      </c>
      <c r="E1155" t="s">
        <v>1387</v>
      </c>
      <c r="F1155" s="4">
        <v>34503</v>
      </c>
      <c r="G1155">
        <v>12804882</v>
      </c>
      <c r="H1155" t="s">
        <v>502</v>
      </c>
      <c r="I1155" t="s">
        <v>2180</v>
      </c>
      <c r="J1155" t="s">
        <v>513</v>
      </c>
      <c r="K1155" t="s">
        <v>16</v>
      </c>
      <c r="L1155" t="s">
        <v>506</v>
      </c>
      <c r="M1155" t="str">
        <f>VLOOKUP(A1155,[1]MSAKEN!$A$1:$F$562,6,FALSE)</f>
        <v>10506040208631178860</v>
      </c>
    </row>
    <row r="1156" spans="1:13" x14ac:dyDescent="0.3">
      <c r="A1156">
        <v>2146</v>
      </c>
      <c r="B1156" t="s">
        <v>2181</v>
      </c>
      <c r="C1156" t="s">
        <v>89</v>
      </c>
      <c r="D1156" t="s">
        <v>34</v>
      </c>
      <c r="E1156" t="s">
        <v>559</v>
      </c>
      <c r="F1156" s="4">
        <v>35150</v>
      </c>
      <c r="G1156">
        <v>12821770</v>
      </c>
      <c r="H1156" t="s">
        <v>502</v>
      </c>
      <c r="I1156" t="s">
        <v>2182</v>
      </c>
      <c r="J1156" t="s">
        <v>513</v>
      </c>
      <c r="K1156" t="s">
        <v>16</v>
      </c>
      <c r="L1156" t="s">
        <v>506</v>
      </c>
      <c r="M1156" t="str">
        <f>VLOOKUP(A1156,[1]MSAKEN!$A$1:$F$562,6,FALSE)</f>
        <v>10506040516825878816</v>
      </c>
    </row>
    <row r="1157" spans="1:13" x14ac:dyDescent="0.3">
      <c r="A1157">
        <v>2147</v>
      </c>
      <c r="B1157" t="s">
        <v>373</v>
      </c>
      <c r="C1157" t="s">
        <v>285</v>
      </c>
      <c r="D1157" t="s">
        <v>92</v>
      </c>
      <c r="E1157" t="s">
        <v>1094</v>
      </c>
      <c r="F1157" s="4">
        <v>34812</v>
      </c>
      <c r="G1157">
        <v>12817345</v>
      </c>
      <c r="H1157">
        <v>1702261700</v>
      </c>
      <c r="I1157" t="s">
        <v>2183</v>
      </c>
      <c r="J1157" t="s">
        <v>513</v>
      </c>
      <c r="K1157" t="s">
        <v>16</v>
      </c>
      <c r="L1157" t="s">
        <v>506</v>
      </c>
      <c r="M1157" t="str">
        <f>VLOOKUP(A1157,[1]MSAKEN!$A$1:$F$562,6,FALSE)</f>
        <v>10317123503184778894</v>
      </c>
    </row>
    <row r="1158" spans="1:13" x14ac:dyDescent="0.3">
      <c r="A1158">
        <v>2148</v>
      </c>
      <c r="B1158" t="s">
        <v>238</v>
      </c>
      <c r="C1158" t="s">
        <v>237</v>
      </c>
      <c r="D1158" t="s">
        <v>2184</v>
      </c>
      <c r="E1158" t="s">
        <v>746</v>
      </c>
      <c r="F1158" s="4">
        <v>34599</v>
      </c>
      <c r="G1158">
        <v>12816941</v>
      </c>
      <c r="H1158" t="s">
        <v>502</v>
      </c>
      <c r="I1158" t="s">
        <v>2185</v>
      </c>
      <c r="J1158" t="s">
        <v>513</v>
      </c>
      <c r="K1158" t="s">
        <v>16</v>
      </c>
      <c r="L1158" t="s">
        <v>506</v>
      </c>
      <c r="M1158" t="str">
        <f>VLOOKUP(A1158,[1]MSAKEN!$A$1:$F$562,6,FALSE)</f>
        <v>12505000013309456496</v>
      </c>
    </row>
    <row r="1159" spans="1:13" x14ac:dyDescent="0.3">
      <c r="A1159">
        <v>2149</v>
      </c>
      <c r="B1159" t="s">
        <v>236</v>
      </c>
      <c r="C1159" t="s">
        <v>237</v>
      </c>
      <c r="D1159" t="s">
        <v>272</v>
      </c>
      <c r="E1159" t="s">
        <v>1086</v>
      </c>
      <c r="F1159" s="4">
        <v>34089</v>
      </c>
      <c r="G1159">
        <v>9333488</v>
      </c>
      <c r="H1159" t="s">
        <v>502</v>
      </c>
      <c r="I1159" t="s">
        <v>2186</v>
      </c>
      <c r="J1159" t="s">
        <v>513</v>
      </c>
      <c r="K1159" t="s">
        <v>16</v>
      </c>
      <c r="L1159" t="s">
        <v>506</v>
      </c>
      <c r="M1159" t="str">
        <f>VLOOKUP(A1159,[1]MSAKEN!$A$1:$F$562,6,FALSE)</f>
        <v>17503000000269285682</v>
      </c>
    </row>
    <row r="1160" spans="1:13" x14ac:dyDescent="0.3">
      <c r="A1160">
        <v>2150</v>
      </c>
      <c r="B1160" t="s">
        <v>121</v>
      </c>
      <c r="C1160" t="s">
        <v>230</v>
      </c>
      <c r="D1160" t="s">
        <v>216</v>
      </c>
      <c r="E1160" t="s">
        <v>1541</v>
      </c>
      <c r="F1160" s="4">
        <v>34879</v>
      </c>
      <c r="G1160">
        <v>12808000</v>
      </c>
      <c r="H1160" t="s">
        <v>502</v>
      </c>
      <c r="I1160" t="s">
        <v>2187</v>
      </c>
      <c r="J1160" t="s">
        <v>513</v>
      </c>
      <c r="K1160" t="s">
        <v>16</v>
      </c>
      <c r="L1160" t="s">
        <v>506</v>
      </c>
      <c r="M1160" t="str">
        <f>VLOOKUP(A1160,[1]MSAKEN!$A$1:$F$562,6,FALSE)</f>
        <v>17503000000284757279</v>
      </c>
    </row>
    <row r="1161" spans="1:13" x14ac:dyDescent="0.3">
      <c r="A1161">
        <v>2151</v>
      </c>
      <c r="B1161" t="s">
        <v>429</v>
      </c>
      <c r="C1161" t="s">
        <v>34</v>
      </c>
      <c r="D1161" t="s">
        <v>2188</v>
      </c>
      <c r="E1161" t="s">
        <v>606</v>
      </c>
      <c r="F1161" s="4">
        <v>33997</v>
      </c>
      <c r="G1161">
        <v>12808571</v>
      </c>
      <c r="H1161" t="s">
        <v>502</v>
      </c>
      <c r="I1161" t="s">
        <v>2189</v>
      </c>
      <c r="J1161" t="s">
        <v>511</v>
      </c>
      <c r="K1161" t="s">
        <v>16</v>
      </c>
      <c r="L1161" t="s">
        <v>506</v>
      </c>
      <c r="M1161" t="str">
        <f>VLOOKUP(A1161,[1]MSAKEN!$A$1:$F$562,6,FALSE)</f>
        <v>47013000000006515669</v>
      </c>
    </row>
    <row r="1162" spans="1:13" x14ac:dyDescent="0.3">
      <c r="A1162">
        <v>2152</v>
      </c>
      <c r="B1162" t="s">
        <v>1826</v>
      </c>
      <c r="C1162" t="s">
        <v>48</v>
      </c>
      <c r="D1162" t="s">
        <v>2190</v>
      </c>
      <c r="E1162" t="s">
        <v>2148</v>
      </c>
      <c r="F1162" s="4">
        <v>35496</v>
      </c>
      <c r="G1162">
        <v>12823862</v>
      </c>
      <c r="H1162" t="s">
        <v>502</v>
      </c>
      <c r="I1162" t="s">
        <v>2191</v>
      </c>
      <c r="J1162" t="s">
        <v>511</v>
      </c>
      <c r="K1162" t="s">
        <v>16</v>
      </c>
      <c r="L1162" t="s">
        <v>506</v>
      </c>
      <c r="M1162" t="e">
        <f>VLOOKUP(A1162,[1]MSAKEN!$A$1:$F$562,6,FALSE)</f>
        <v>#N/A</v>
      </c>
    </row>
    <row r="1163" spans="1:13" x14ac:dyDescent="0.3">
      <c r="A1163">
        <v>2153</v>
      </c>
      <c r="B1163" t="s">
        <v>614</v>
      </c>
      <c r="C1163" t="s">
        <v>282</v>
      </c>
      <c r="D1163" t="s">
        <v>2192</v>
      </c>
      <c r="E1163" t="s">
        <v>2193</v>
      </c>
      <c r="F1163" s="4">
        <v>34118</v>
      </c>
      <c r="G1163">
        <v>9344915</v>
      </c>
      <c r="H1163" t="s">
        <v>502</v>
      </c>
      <c r="I1163" t="s">
        <v>2085</v>
      </c>
      <c r="J1163" t="s">
        <v>513</v>
      </c>
      <c r="K1163" t="s">
        <v>16</v>
      </c>
      <c r="L1163" t="s">
        <v>506</v>
      </c>
      <c r="M1163" t="str">
        <f>VLOOKUP(A1163,[1]MSAKEN!$A$1:$F$562,6,FALSE)</f>
        <v>10506040208662078889</v>
      </c>
    </row>
    <row r="1164" spans="1:13" x14ac:dyDescent="0.3">
      <c r="A1164">
        <v>2154</v>
      </c>
      <c r="B1164" t="s">
        <v>487</v>
      </c>
      <c r="C1164" t="s">
        <v>280</v>
      </c>
      <c r="D1164" t="s">
        <v>394</v>
      </c>
      <c r="E1164" t="s">
        <v>2194</v>
      </c>
      <c r="F1164" s="4">
        <v>34404</v>
      </c>
      <c r="G1164">
        <v>9315813</v>
      </c>
      <c r="H1164" t="s">
        <v>502</v>
      </c>
      <c r="I1164" t="s">
        <v>2195</v>
      </c>
      <c r="J1164" t="s">
        <v>513</v>
      </c>
      <c r="K1164" t="s">
        <v>16</v>
      </c>
      <c r="L1164" t="s">
        <v>506</v>
      </c>
      <c r="M1164" t="str">
        <f>VLOOKUP(A1164,[1]MSAKEN!$A$1:$F$562,6,FALSE)</f>
        <v>04204067005653247606</v>
      </c>
    </row>
    <row r="1165" spans="1:13" x14ac:dyDescent="0.3">
      <c r="A1165">
        <v>2155</v>
      </c>
      <c r="B1165" t="s">
        <v>450</v>
      </c>
      <c r="C1165" t="s">
        <v>449</v>
      </c>
      <c r="D1165" t="s">
        <v>162</v>
      </c>
      <c r="E1165" t="s">
        <v>2196</v>
      </c>
      <c r="F1165" s="4">
        <v>33351</v>
      </c>
      <c r="G1165">
        <v>9314714</v>
      </c>
      <c r="H1165">
        <v>1705282703</v>
      </c>
      <c r="I1165" t="s">
        <v>2197</v>
      </c>
      <c r="J1165" t="s">
        <v>511</v>
      </c>
      <c r="K1165" t="s">
        <v>16</v>
      </c>
      <c r="L1165" t="s">
        <v>17</v>
      </c>
      <c r="M1165" t="str">
        <f>VLOOKUP(A1165,[1]MSAKEN!$A$1:$F$562,6,FALSE)</f>
        <v>17503000000274122490</v>
      </c>
    </row>
    <row r="1166" spans="1:13" x14ac:dyDescent="0.3">
      <c r="A1166">
        <v>2156</v>
      </c>
      <c r="B1166" t="s">
        <v>19</v>
      </c>
      <c r="C1166" t="s">
        <v>34</v>
      </c>
      <c r="D1166" t="s">
        <v>553</v>
      </c>
      <c r="E1166" t="s">
        <v>1809</v>
      </c>
      <c r="F1166" s="4">
        <v>33653</v>
      </c>
      <c r="G1166">
        <v>9297784</v>
      </c>
      <c r="H1166">
        <v>1663009403</v>
      </c>
      <c r="I1166" t="s">
        <v>2198</v>
      </c>
      <c r="J1166" t="s">
        <v>1461</v>
      </c>
      <c r="K1166" t="s">
        <v>16</v>
      </c>
      <c r="L1166" t="s">
        <v>506</v>
      </c>
      <c r="M1166" t="str">
        <f>VLOOKUP(A1166,[1]MSAKEN!$A$1:$F$562,6,FALSE)</f>
        <v>25066000000052722356</v>
      </c>
    </row>
    <row r="1167" spans="1:13" x14ac:dyDescent="0.3">
      <c r="A1167">
        <v>2157</v>
      </c>
      <c r="B1167" t="s">
        <v>342</v>
      </c>
      <c r="C1167" t="s">
        <v>384</v>
      </c>
      <c r="D1167" t="s">
        <v>246</v>
      </c>
      <c r="E1167" t="s">
        <v>2199</v>
      </c>
      <c r="F1167" s="4">
        <v>34798</v>
      </c>
      <c r="G1167">
        <v>12808706</v>
      </c>
      <c r="H1167" t="s">
        <v>502</v>
      </c>
      <c r="I1167" t="s">
        <v>2182</v>
      </c>
      <c r="J1167" t="s">
        <v>513</v>
      </c>
      <c r="K1167" t="s">
        <v>16</v>
      </c>
      <c r="L1167" t="s">
        <v>506</v>
      </c>
      <c r="M1167" t="str">
        <f>VLOOKUP(A1167,[1]MSAKEN!$A$1:$F$562,6,FALSE)</f>
        <v>08507000262006389741</v>
      </c>
    </row>
    <row r="1168" spans="1:13" x14ac:dyDescent="0.3">
      <c r="A1168">
        <v>2158</v>
      </c>
      <c r="B1168" t="s">
        <v>1539</v>
      </c>
      <c r="C1168" t="s">
        <v>110</v>
      </c>
      <c r="D1168" t="s">
        <v>45</v>
      </c>
      <c r="E1168" t="s">
        <v>2200</v>
      </c>
      <c r="F1168" s="4">
        <v>35023</v>
      </c>
      <c r="G1168">
        <v>12828850</v>
      </c>
      <c r="H1168" t="s">
        <v>502</v>
      </c>
      <c r="I1168" t="s">
        <v>2201</v>
      </c>
      <c r="J1168" t="s">
        <v>657</v>
      </c>
      <c r="K1168" t="s">
        <v>16</v>
      </c>
      <c r="L1168" t="s">
        <v>506</v>
      </c>
      <c r="M1168" t="str">
        <f>VLOOKUP(A1168,[1]MSAKEN!$A$1:$F$562,6,FALSE)</f>
        <v>01500023113081045892</v>
      </c>
    </row>
    <row r="1169" spans="1:13" x14ac:dyDescent="0.3">
      <c r="A1169">
        <v>2159</v>
      </c>
      <c r="B1169" t="s">
        <v>95</v>
      </c>
      <c r="C1169" t="s">
        <v>198</v>
      </c>
      <c r="D1169" t="s">
        <v>339</v>
      </c>
      <c r="E1169" t="s">
        <v>2202</v>
      </c>
      <c r="F1169" s="4">
        <v>34911</v>
      </c>
      <c r="G1169">
        <v>11918696</v>
      </c>
      <c r="H1169" t="s">
        <v>502</v>
      </c>
      <c r="I1169" t="s">
        <v>2203</v>
      </c>
      <c r="J1169" t="s">
        <v>755</v>
      </c>
      <c r="K1169" t="s">
        <v>16</v>
      </c>
      <c r="L1169" t="s">
        <v>506</v>
      </c>
      <c r="M1169" t="str">
        <f>VLOOKUP(A1169,[1]MSAKEN!$A$1:$F$562,6,FALSE)</f>
        <v>12505000013306837884</v>
      </c>
    </row>
    <row r="1170" spans="1:13" x14ac:dyDescent="0.3">
      <c r="A1170">
        <v>2160</v>
      </c>
      <c r="B1170" t="s">
        <v>2204</v>
      </c>
      <c r="C1170" t="s">
        <v>368</v>
      </c>
      <c r="D1170" t="s">
        <v>43</v>
      </c>
      <c r="E1170" t="s">
        <v>625</v>
      </c>
      <c r="F1170" s="4">
        <v>32645</v>
      </c>
      <c r="G1170">
        <v>9317580</v>
      </c>
      <c r="H1170" t="s">
        <v>502</v>
      </c>
      <c r="I1170" t="s">
        <v>2205</v>
      </c>
      <c r="J1170" t="s">
        <v>755</v>
      </c>
      <c r="K1170" t="s">
        <v>16</v>
      </c>
      <c r="L1170" t="s">
        <v>506</v>
      </c>
      <c r="M1170" t="str">
        <f>VLOOKUP(A1170,[1]MSAKEN!$A$1:$F$562,6,FALSE)</f>
        <v>17503000000235800797</v>
      </c>
    </row>
    <row r="1171" spans="1:13" x14ac:dyDescent="0.3">
      <c r="A1171">
        <v>2161</v>
      </c>
      <c r="B1171" t="s">
        <v>71</v>
      </c>
      <c r="C1171" t="s">
        <v>61</v>
      </c>
      <c r="D1171" t="s">
        <v>145</v>
      </c>
      <c r="E1171" t="s">
        <v>2206</v>
      </c>
      <c r="F1171" s="4">
        <v>33324</v>
      </c>
      <c r="G1171">
        <v>9316463</v>
      </c>
      <c r="H1171" t="s">
        <v>502</v>
      </c>
      <c r="I1171" t="s">
        <v>2207</v>
      </c>
      <c r="J1171" t="s">
        <v>718</v>
      </c>
      <c r="K1171" t="s">
        <v>16</v>
      </c>
      <c r="L1171" t="s">
        <v>506</v>
      </c>
      <c r="M1171" t="e">
        <f>VLOOKUP(A1171,[1]MSAKEN!$A$1:$F$562,6,FALSE)</f>
        <v>#N/A</v>
      </c>
    </row>
    <row r="1172" spans="1:13" x14ac:dyDescent="0.3">
      <c r="A1172">
        <v>2162</v>
      </c>
      <c r="B1172" t="s">
        <v>430</v>
      </c>
      <c r="C1172" t="s">
        <v>122</v>
      </c>
      <c r="D1172" t="s">
        <v>118</v>
      </c>
      <c r="E1172" t="s">
        <v>2200</v>
      </c>
      <c r="F1172" s="4">
        <v>33973</v>
      </c>
      <c r="G1172">
        <v>12808344</v>
      </c>
      <c r="H1172" t="s">
        <v>502</v>
      </c>
      <c r="I1172" t="s">
        <v>2208</v>
      </c>
      <c r="J1172" t="s">
        <v>755</v>
      </c>
      <c r="K1172" t="s">
        <v>16</v>
      </c>
      <c r="L1172" t="s">
        <v>506</v>
      </c>
      <c r="M1172" t="str">
        <f>VLOOKUP(A1172,[1]MSAKEN!$A$1:$F$562,6,FALSE)</f>
        <v>17503000000259599650</v>
      </c>
    </row>
    <row r="1173" spans="1:13" x14ac:dyDescent="0.3">
      <c r="A1173">
        <v>2163</v>
      </c>
      <c r="B1173" t="s">
        <v>2209</v>
      </c>
      <c r="C1173" t="s">
        <v>235</v>
      </c>
      <c r="D1173" t="s">
        <v>167</v>
      </c>
      <c r="E1173" t="s">
        <v>2115</v>
      </c>
      <c r="F1173" s="4">
        <v>35106</v>
      </c>
      <c r="G1173">
        <v>12820442</v>
      </c>
      <c r="H1173" t="s">
        <v>502</v>
      </c>
      <c r="I1173" t="s">
        <v>2210</v>
      </c>
      <c r="J1173" t="s">
        <v>511</v>
      </c>
      <c r="K1173" t="s">
        <v>16</v>
      </c>
      <c r="L1173" t="s">
        <v>506</v>
      </c>
      <c r="M1173" t="e">
        <f>VLOOKUP(A1173,[1]MSAKEN!$A$1:$F$562,6,FALSE)</f>
        <v>#N/A</v>
      </c>
    </row>
    <row r="1174" spans="1:13" x14ac:dyDescent="0.3">
      <c r="A1174">
        <v>2164</v>
      </c>
      <c r="B1174" t="s">
        <v>162</v>
      </c>
      <c r="C1174" t="s">
        <v>2094</v>
      </c>
      <c r="D1174" t="s">
        <v>1203</v>
      </c>
      <c r="E1174" t="s">
        <v>2211</v>
      </c>
      <c r="F1174" s="4">
        <v>34032</v>
      </c>
      <c r="G1174">
        <v>9338305</v>
      </c>
      <c r="H1174" t="s">
        <v>502</v>
      </c>
      <c r="I1174" t="s">
        <v>2212</v>
      </c>
      <c r="J1174" t="s">
        <v>511</v>
      </c>
      <c r="K1174" t="s">
        <v>16</v>
      </c>
      <c r="L1174" t="s">
        <v>506</v>
      </c>
      <c r="M1174" t="e">
        <f>VLOOKUP(A1174,[1]MSAKEN!$A$1:$F$562,6,FALSE)</f>
        <v>#N/A</v>
      </c>
    </row>
    <row r="1175" spans="1:13" x14ac:dyDescent="0.3">
      <c r="A1175">
        <v>2165</v>
      </c>
      <c r="B1175" t="s">
        <v>2213</v>
      </c>
      <c r="C1175" t="s">
        <v>465</v>
      </c>
      <c r="D1175" t="s">
        <v>181</v>
      </c>
      <c r="E1175" t="s">
        <v>2214</v>
      </c>
      <c r="F1175" s="4">
        <v>35406</v>
      </c>
      <c r="G1175">
        <v>12832377</v>
      </c>
      <c r="H1175" t="s">
        <v>502</v>
      </c>
      <c r="I1175" t="s">
        <v>2215</v>
      </c>
      <c r="J1175" t="s">
        <v>513</v>
      </c>
      <c r="K1175" t="s">
        <v>16</v>
      </c>
      <c r="L1175" t="s">
        <v>506</v>
      </c>
      <c r="M1175" t="e">
        <f>VLOOKUP(A1175,[1]MSAKEN!$A$1:$F$562,6,FALSE)</f>
        <v>#N/A</v>
      </c>
    </row>
    <row r="1176" spans="1:13" x14ac:dyDescent="0.3">
      <c r="A1176">
        <v>2166</v>
      </c>
      <c r="B1176" t="s">
        <v>2216</v>
      </c>
      <c r="C1176" t="s">
        <v>28</v>
      </c>
      <c r="D1176" t="s">
        <v>474</v>
      </c>
      <c r="E1176" t="s">
        <v>2175</v>
      </c>
      <c r="F1176" s="4">
        <v>33822</v>
      </c>
      <c r="G1176">
        <v>9333372</v>
      </c>
      <c r="H1176" t="s">
        <v>502</v>
      </c>
      <c r="I1176" t="s">
        <v>2217</v>
      </c>
      <c r="J1176" t="s">
        <v>513</v>
      </c>
      <c r="K1176" t="s">
        <v>16</v>
      </c>
      <c r="L1176" t="s">
        <v>506</v>
      </c>
      <c r="M1176" t="str">
        <f>VLOOKUP(A1176,[1]MSAKEN!$A$1:$F$562,6,FALSE)</f>
        <v>05048000116500381725</v>
      </c>
    </row>
    <row r="1177" spans="1:13" x14ac:dyDescent="0.3">
      <c r="A1177">
        <v>2167</v>
      </c>
      <c r="B1177" t="s">
        <v>314</v>
      </c>
      <c r="C1177" t="s">
        <v>284</v>
      </c>
      <c r="D1177" t="s">
        <v>2218</v>
      </c>
      <c r="E1177" t="s">
        <v>2219</v>
      </c>
      <c r="F1177" s="4">
        <v>33926</v>
      </c>
      <c r="G1177">
        <v>9320963</v>
      </c>
      <c r="H1177" t="s">
        <v>502</v>
      </c>
      <c r="I1177" t="s">
        <v>2220</v>
      </c>
      <c r="J1177" t="s">
        <v>574</v>
      </c>
      <c r="K1177" t="s">
        <v>16</v>
      </c>
      <c r="L1177" t="s">
        <v>506</v>
      </c>
      <c r="M1177" t="str">
        <f>VLOOKUP(A1177,[1]MSAKEN!$A$1:$F$562,6,FALSE)</f>
        <v>14014014100703436084</v>
      </c>
    </row>
    <row r="1178" spans="1:13" x14ac:dyDescent="0.3">
      <c r="A1178">
        <v>2169</v>
      </c>
      <c r="B1178" t="s">
        <v>147</v>
      </c>
      <c r="C1178" t="s">
        <v>34</v>
      </c>
      <c r="D1178" t="s">
        <v>564</v>
      </c>
      <c r="E1178" t="s">
        <v>2099</v>
      </c>
      <c r="F1178" s="4">
        <v>26665</v>
      </c>
      <c r="G1178">
        <v>5521731</v>
      </c>
      <c r="H1178" t="s">
        <v>502</v>
      </c>
      <c r="I1178" t="s">
        <v>1744</v>
      </c>
      <c r="J1178" t="s">
        <v>513</v>
      </c>
      <c r="K1178" t="s">
        <v>15</v>
      </c>
      <c r="L1178" t="s">
        <v>506</v>
      </c>
      <c r="M1178" t="str">
        <f>VLOOKUP(A1178,[1]MSAKEN!$A$1:$F$562,6,FALSE)</f>
        <v>14014014100700380681</v>
      </c>
    </row>
    <row r="1179" spans="1:13" x14ac:dyDescent="0.3">
      <c r="A1179">
        <v>2170</v>
      </c>
      <c r="B1179" t="s">
        <v>148</v>
      </c>
      <c r="C1179" t="s">
        <v>291</v>
      </c>
      <c r="D1179" t="s">
        <v>502</v>
      </c>
      <c r="E1179" t="s">
        <v>502</v>
      </c>
      <c r="F1179" s="4">
        <v>33371</v>
      </c>
      <c r="G1179">
        <v>9289636</v>
      </c>
      <c r="H1179" t="s">
        <v>502</v>
      </c>
      <c r="I1179" t="s">
        <v>2205</v>
      </c>
      <c r="J1179" t="s">
        <v>755</v>
      </c>
      <c r="K1179" t="s">
        <v>16</v>
      </c>
      <c r="L1179" t="s">
        <v>506</v>
      </c>
      <c r="M1179" t="str">
        <f>VLOOKUP(A1179,[1]MSAKEN!$A$1:$F$562,6,FALSE)</f>
        <v>17503000000252910918</v>
      </c>
    </row>
    <row r="1180" spans="1:13" x14ac:dyDescent="0.3">
      <c r="A1180">
        <v>2171</v>
      </c>
      <c r="B1180" t="s">
        <v>2221</v>
      </c>
      <c r="C1180" t="s">
        <v>269</v>
      </c>
      <c r="D1180" t="s">
        <v>502</v>
      </c>
      <c r="E1180" t="s">
        <v>502</v>
      </c>
      <c r="F1180" s="4">
        <v>33946</v>
      </c>
      <c r="G1180">
        <v>9337441</v>
      </c>
      <c r="H1180" t="s">
        <v>502</v>
      </c>
      <c r="I1180" t="s">
        <v>2222</v>
      </c>
      <c r="J1180" t="s">
        <v>755</v>
      </c>
      <c r="K1180" t="s">
        <v>16</v>
      </c>
      <c r="L1180" t="s">
        <v>506</v>
      </c>
      <c r="M1180" t="str">
        <f>VLOOKUP(A1180,[1]MSAKEN!$A$1:$F$562,6,FALSE)</f>
        <v>17503000000273638945</v>
      </c>
    </row>
    <row r="1181" spans="1:13" x14ac:dyDescent="0.3">
      <c r="A1181">
        <v>2172</v>
      </c>
      <c r="B1181" t="s">
        <v>426</v>
      </c>
      <c r="C1181" t="s">
        <v>181</v>
      </c>
      <c r="D1181" t="s">
        <v>502</v>
      </c>
      <c r="E1181" t="s">
        <v>502</v>
      </c>
      <c r="F1181" s="4">
        <v>34070</v>
      </c>
      <c r="G1181">
        <v>9333678</v>
      </c>
      <c r="H1181" t="s">
        <v>502</v>
      </c>
      <c r="I1181" t="s">
        <v>2223</v>
      </c>
      <c r="J1181" t="s">
        <v>513</v>
      </c>
      <c r="K1181" t="s">
        <v>16</v>
      </c>
      <c r="L1181" t="s">
        <v>506</v>
      </c>
      <c r="M1181" t="str">
        <f>VLOOKUP(A1181,[1]MSAKEN!$A$1:$F$562,6,FALSE)</f>
        <v>10506040522582778861</v>
      </c>
    </row>
    <row r="1182" spans="1:13" x14ac:dyDescent="0.3">
      <c r="A1182">
        <v>2173</v>
      </c>
      <c r="B1182" t="s">
        <v>2224</v>
      </c>
      <c r="C1182" t="s">
        <v>267</v>
      </c>
      <c r="D1182" t="s">
        <v>502</v>
      </c>
      <c r="E1182" t="s">
        <v>502</v>
      </c>
      <c r="F1182" s="4">
        <v>36327</v>
      </c>
      <c r="G1182">
        <v>12855948</v>
      </c>
      <c r="H1182" t="s">
        <v>502</v>
      </c>
      <c r="I1182" t="s">
        <v>2225</v>
      </c>
      <c r="J1182" t="s">
        <v>833</v>
      </c>
      <c r="K1182" t="s">
        <v>16</v>
      </c>
      <c r="L1182" t="s">
        <v>506</v>
      </c>
      <c r="M1182" t="str">
        <f>VLOOKUP(A1182,[1]MSAKEN!$A$1:$F$562,6,FALSE)</f>
        <v>14014014100704880220</v>
      </c>
    </row>
    <row r="1183" spans="1:13" x14ac:dyDescent="0.3">
      <c r="A1183">
        <v>2174</v>
      </c>
      <c r="B1183" t="s">
        <v>2226</v>
      </c>
      <c r="C1183" t="s">
        <v>272</v>
      </c>
      <c r="D1183" t="s">
        <v>502</v>
      </c>
      <c r="E1183" t="s">
        <v>502</v>
      </c>
      <c r="F1183" s="4">
        <v>36298</v>
      </c>
      <c r="G1183">
        <v>12833210</v>
      </c>
      <c r="H1183" t="s">
        <v>502</v>
      </c>
      <c r="I1183" t="s">
        <v>2225</v>
      </c>
      <c r="J1183" t="s">
        <v>833</v>
      </c>
      <c r="K1183" t="s">
        <v>16</v>
      </c>
      <c r="L1183" t="s">
        <v>506</v>
      </c>
      <c r="M1183" t="e">
        <f>VLOOKUP(A1183,[1]MSAKEN!$A$1:$F$562,6,FALSE)</f>
        <v>#N/A</v>
      </c>
    </row>
    <row r="1184" spans="1:13" x14ac:dyDescent="0.3">
      <c r="A1184">
        <v>2175</v>
      </c>
      <c r="B1184" t="s">
        <v>109</v>
      </c>
      <c r="C1184" t="s">
        <v>63</v>
      </c>
      <c r="D1184" t="s">
        <v>502</v>
      </c>
      <c r="E1184" t="s">
        <v>502</v>
      </c>
      <c r="F1184" s="4">
        <v>35749</v>
      </c>
      <c r="G1184">
        <v>12838145</v>
      </c>
      <c r="H1184" t="s">
        <v>502</v>
      </c>
      <c r="I1184" t="s">
        <v>2227</v>
      </c>
      <c r="J1184" t="s">
        <v>833</v>
      </c>
      <c r="K1184" t="s">
        <v>16</v>
      </c>
      <c r="L1184" t="s">
        <v>506</v>
      </c>
      <c r="M1184" t="str">
        <f>VLOOKUP(A1184,[1]MSAKEN!$A$1:$F$562,6,FALSE)</f>
        <v>14014014100704881772</v>
      </c>
    </row>
    <row r="1185" spans="1:13" x14ac:dyDescent="0.3">
      <c r="A1185">
        <v>2176</v>
      </c>
      <c r="B1185" t="s">
        <v>46</v>
      </c>
      <c r="C1185" t="s">
        <v>235</v>
      </c>
      <c r="D1185" t="s">
        <v>502</v>
      </c>
      <c r="E1185" t="s">
        <v>502</v>
      </c>
      <c r="F1185" s="4">
        <v>35259</v>
      </c>
      <c r="G1185">
        <v>12806401</v>
      </c>
      <c r="H1185" t="s">
        <v>502</v>
      </c>
      <c r="I1185" t="s">
        <v>2228</v>
      </c>
      <c r="J1185" t="s">
        <v>513</v>
      </c>
      <c r="K1185" t="s">
        <v>16</v>
      </c>
      <c r="L1185" t="s">
        <v>506</v>
      </c>
      <c r="M1185" t="e">
        <f>VLOOKUP(A1185,[1]MSAKEN!$A$1:$F$562,6,FALSE)</f>
        <v>#N/A</v>
      </c>
    </row>
    <row r="1186" spans="1:13" x14ac:dyDescent="0.3">
      <c r="A1186">
        <v>2177</v>
      </c>
      <c r="B1186" t="s">
        <v>453</v>
      </c>
      <c r="C1186" t="s">
        <v>326</v>
      </c>
      <c r="D1186" t="s">
        <v>502</v>
      </c>
      <c r="E1186" t="s">
        <v>502</v>
      </c>
      <c r="F1186" s="4">
        <v>31052</v>
      </c>
      <c r="G1186">
        <v>8485080</v>
      </c>
      <c r="H1186" t="s">
        <v>502</v>
      </c>
      <c r="I1186" t="s">
        <v>2229</v>
      </c>
      <c r="J1186" t="s">
        <v>574</v>
      </c>
      <c r="K1186" t="s">
        <v>15</v>
      </c>
      <c r="L1186" t="s">
        <v>506</v>
      </c>
      <c r="M1186" t="str">
        <f>VLOOKUP(A1186,[1]MSAKEN!$A$1:$F$562,6,FALSE)</f>
        <v>04128195004748310286</v>
      </c>
    </row>
    <row r="1187" spans="1:13" x14ac:dyDescent="0.3">
      <c r="A1187">
        <v>2178</v>
      </c>
      <c r="B1187" t="s">
        <v>87</v>
      </c>
      <c r="C1187" t="s">
        <v>86</v>
      </c>
      <c r="D1187" t="s">
        <v>502</v>
      </c>
      <c r="E1187" t="s">
        <v>502</v>
      </c>
      <c r="F1187" s="4">
        <v>34982</v>
      </c>
      <c r="G1187">
        <v>12808126</v>
      </c>
      <c r="H1187" t="s">
        <v>502</v>
      </c>
      <c r="I1187" t="s">
        <v>2230</v>
      </c>
      <c r="J1187" t="s">
        <v>513</v>
      </c>
      <c r="K1187" t="s">
        <v>16</v>
      </c>
      <c r="L1187" t="s">
        <v>506</v>
      </c>
      <c r="M1187" t="str">
        <f>VLOOKUP(A1187,[1]MSAKEN!$A$1:$F$562,6,FALSE)</f>
        <v>14014014100704904179</v>
      </c>
    </row>
    <row r="1188" spans="1:13" x14ac:dyDescent="0.3">
      <c r="A1188">
        <v>2179</v>
      </c>
      <c r="B1188" t="s">
        <v>83</v>
      </c>
      <c r="C1188" t="s">
        <v>89</v>
      </c>
      <c r="D1188" t="s">
        <v>502</v>
      </c>
      <c r="E1188" t="s">
        <v>502</v>
      </c>
      <c r="F1188" s="4">
        <v>31565</v>
      </c>
      <c r="G1188">
        <v>9264856</v>
      </c>
      <c r="H1188" t="s">
        <v>502</v>
      </c>
      <c r="I1188" t="s">
        <v>2231</v>
      </c>
      <c r="J1188" t="s">
        <v>513</v>
      </c>
      <c r="K1188" t="s">
        <v>16</v>
      </c>
      <c r="L1188" t="s">
        <v>506</v>
      </c>
      <c r="M1188" t="str">
        <f>VLOOKUP(A1188,[1]MSAKEN!$A$1:$F$562,6,FALSE)</f>
        <v>08507000262004787592</v>
      </c>
    </row>
    <row r="1189" spans="1:13" x14ac:dyDescent="0.3">
      <c r="A1189">
        <v>2180</v>
      </c>
      <c r="B1189" t="s">
        <v>341</v>
      </c>
      <c r="C1189" t="s">
        <v>34</v>
      </c>
      <c r="D1189" t="s">
        <v>502</v>
      </c>
      <c r="E1189" t="s">
        <v>502</v>
      </c>
      <c r="F1189" s="4">
        <v>34109</v>
      </c>
      <c r="G1189">
        <v>9322164</v>
      </c>
      <c r="H1189" t="s">
        <v>502</v>
      </c>
      <c r="I1189" t="s">
        <v>2232</v>
      </c>
      <c r="J1189" t="s">
        <v>513</v>
      </c>
      <c r="K1189" t="s">
        <v>16</v>
      </c>
      <c r="L1189" t="s">
        <v>506</v>
      </c>
      <c r="M1189" t="str">
        <f>VLOOKUP(A1189,[1]MSAKEN!$A$1:$F$562,6,FALSE)</f>
        <v>10506040208879578885</v>
      </c>
    </row>
    <row r="1190" spans="1:13" x14ac:dyDescent="0.3">
      <c r="A1190">
        <v>2181</v>
      </c>
      <c r="B1190" t="s">
        <v>67</v>
      </c>
      <c r="C1190" t="s">
        <v>244</v>
      </c>
      <c r="D1190" t="s">
        <v>502</v>
      </c>
      <c r="E1190" t="s">
        <v>502</v>
      </c>
      <c r="F1190" s="4">
        <v>31722</v>
      </c>
      <c r="G1190">
        <v>9258078</v>
      </c>
      <c r="H1190" t="s">
        <v>502</v>
      </c>
      <c r="I1190" t="s">
        <v>2233</v>
      </c>
      <c r="J1190" t="s">
        <v>513</v>
      </c>
      <c r="K1190" t="s">
        <v>15</v>
      </c>
      <c r="L1190" t="s">
        <v>506</v>
      </c>
      <c r="M1190" t="str">
        <f>VLOOKUP(A1190,[1]MSAKEN!$A$1:$F$562,6,FALSE)</f>
        <v>17503000000283964110</v>
      </c>
    </row>
    <row r="1191" spans="1:13" x14ac:dyDescent="0.3">
      <c r="A1191">
        <v>2182</v>
      </c>
      <c r="B1191" t="s">
        <v>195</v>
      </c>
      <c r="C1191" t="s">
        <v>194</v>
      </c>
      <c r="D1191" t="s">
        <v>502</v>
      </c>
      <c r="E1191" t="s">
        <v>502</v>
      </c>
      <c r="F1191" s="4">
        <v>33407</v>
      </c>
      <c r="G1191">
        <v>9320284</v>
      </c>
      <c r="H1191" t="s">
        <v>502</v>
      </c>
      <c r="I1191" t="s">
        <v>2227</v>
      </c>
      <c r="J1191" t="s">
        <v>833</v>
      </c>
      <c r="K1191" t="s">
        <v>16</v>
      </c>
      <c r="L1191" t="s">
        <v>506</v>
      </c>
      <c r="M1191" t="str">
        <f>VLOOKUP(A1191,[1]MSAKEN!$A$1:$F$562,6,FALSE)</f>
        <v>12505000013304173876</v>
      </c>
    </row>
    <row r="1192" spans="1:13" x14ac:dyDescent="0.3">
      <c r="A1192">
        <v>2183</v>
      </c>
      <c r="B1192" t="s">
        <v>151</v>
      </c>
      <c r="C1192" t="s">
        <v>150</v>
      </c>
      <c r="D1192" t="s">
        <v>502</v>
      </c>
      <c r="E1192" t="s">
        <v>502</v>
      </c>
      <c r="F1192" s="4">
        <v>35156</v>
      </c>
      <c r="G1192">
        <v>12819378</v>
      </c>
      <c r="H1192" t="s">
        <v>502</v>
      </c>
      <c r="I1192" t="s">
        <v>2234</v>
      </c>
      <c r="J1192" t="s">
        <v>718</v>
      </c>
      <c r="K1192" t="s">
        <v>16</v>
      </c>
      <c r="L1192" t="s">
        <v>506</v>
      </c>
      <c r="M1192" t="str">
        <f>VLOOKUP(A1192,[1]MSAKEN!$A$1:$F$562,6,FALSE)</f>
        <v>17503000000224506117</v>
      </c>
    </row>
    <row r="1193" spans="1:13" x14ac:dyDescent="0.3">
      <c r="A1193">
        <v>2184</v>
      </c>
      <c r="B1193" t="s">
        <v>2235</v>
      </c>
      <c r="C1193" t="s">
        <v>145</v>
      </c>
      <c r="D1193" t="s">
        <v>502</v>
      </c>
      <c r="E1193" t="s">
        <v>502</v>
      </c>
      <c r="F1193" s="4">
        <v>32933</v>
      </c>
      <c r="G1193">
        <v>9323011</v>
      </c>
      <c r="H1193" t="s">
        <v>502</v>
      </c>
      <c r="I1193" t="s">
        <v>1880</v>
      </c>
      <c r="J1193" t="s">
        <v>755</v>
      </c>
      <c r="K1193" t="s">
        <v>16</v>
      </c>
      <c r="L1193" t="s">
        <v>506</v>
      </c>
      <c r="M1193" t="str">
        <f>VLOOKUP(A1193,[1]MSAKEN!$A$1:$F$562,6,FALSE)</f>
        <v>17503000000283914446</v>
      </c>
    </row>
    <row r="1194" spans="1:13" x14ac:dyDescent="0.3">
      <c r="A1194">
        <v>2185</v>
      </c>
      <c r="B1194" t="s">
        <v>2236</v>
      </c>
      <c r="C1194" t="s">
        <v>34</v>
      </c>
      <c r="D1194" t="s">
        <v>502</v>
      </c>
      <c r="E1194" t="s">
        <v>502</v>
      </c>
      <c r="F1194" s="4">
        <v>34197</v>
      </c>
      <c r="G1194">
        <v>9342414</v>
      </c>
      <c r="H1194" t="s">
        <v>502</v>
      </c>
      <c r="I1194" t="s">
        <v>2237</v>
      </c>
      <c r="J1194" t="s">
        <v>513</v>
      </c>
      <c r="K1194" t="s">
        <v>16</v>
      </c>
      <c r="L1194" t="s">
        <v>506</v>
      </c>
      <c r="M1194" t="str">
        <f>VLOOKUP(A1194,[1]MSAKEN!$A$1:$F$562,6,FALSE)</f>
        <v>04204067005957019208</v>
      </c>
    </row>
    <row r="1195" spans="1:13" x14ac:dyDescent="0.3">
      <c r="A1195">
        <v>2186</v>
      </c>
      <c r="B1195" t="s">
        <v>351</v>
      </c>
      <c r="C1195" t="s">
        <v>48</v>
      </c>
      <c r="D1195" t="s">
        <v>502</v>
      </c>
      <c r="E1195" t="s">
        <v>502</v>
      </c>
      <c r="F1195" s="4">
        <v>36626</v>
      </c>
      <c r="G1195">
        <v>14604805</v>
      </c>
      <c r="H1195" t="s">
        <v>502</v>
      </c>
      <c r="I1195" t="s">
        <v>2238</v>
      </c>
      <c r="J1195" t="s">
        <v>1766</v>
      </c>
      <c r="K1195" t="s">
        <v>16</v>
      </c>
      <c r="L1195" t="s">
        <v>506</v>
      </c>
      <c r="M1195" t="str">
        <f>VLOOKUP(A1195,[1]MSAKEN!$A$1:$F$562,6,FALSE)</f>
        <v>17503000000283881272</v>
      </c>
    </row>
    <row r="1196" spans="1:13" x14ac:dyDescent="0.3">
      <c r="A1196">
        <v>2187</v>
      </c>
      <c r="B1196" t="s">
        <v>71</v>
      </c>
      <c r="C1196" t="s">
        <v>48</v>
      </c>
      <c r="D1196" t="s">
        <v>502</v>
      </c>
      <c r="E1196" t="s">
        <v>502</v>
      </c>
      <c r="F1196" s="4">
        <v>30042</v>
      </c>
      <c r="G1196">
        <v>8463414</v>
      </c>
      <c r="H1196" t="s">
        <v>502</v>
      </c>
      <c r="I1196" t="s">
        <v>2239</v>
      </c>
      <c r="J1196" t="s">
        <v>755</v>
      </c>
      <c r="K1196" t="s">
        <v>15</v>
      </c>
      <c r="L1196" t="s">
        <v>506</v>
      </c>
      <c r="M1196" t="str">
        <f>VLOOKUP(A1196,[1]MSAKEN!$A$1:$F$562,6,FALSE)</f>
        <v>12505000000235694064</v>
      </c>
    </row>
    <row r="1197" spans="1:13" x14ac:dyDescent="0.3">
      <c r="A1197">
        <v>2188</v>
      </c>
      <c r="B1197" t="s">
        <v>2240</v>
      </c>
      <c r="C1197" t="s">
        <v>72</v>
      </c>
      <c r="D1197" t="s">
        <v>502</v>
      </c>
      <c r="E1197" t="s">
        <v>502</v>
      </c>
      <c r="F1197" s="4">
        <v>32924</v>
      </c>
      <c r="G1197">
        <v>9288046</v>
      </c>
      <c r="H1197" t="s">
        <v>502</v>
      </c>
      <c r="I1197" t="s">
        <v>2241</v>
      </c>
      <c r="J1197" t="s">
        <v>513</v>
      </c>
      <c r="K1197" t="s">
        <v>16</v>
      </c>
      <c r="L1197" t="s">
        <v>506</v>
      </c>
      <c r="M1197" t="str">
        <f>VLOOKUP(A1197,[1]MSAKEN!$A$1:$F$562,6,FALSE)</f>
        <v>12505000000235711621</v>
      </c>
    </row>
    <row r="1198" spans="1:13" x14ac:dyDescent="0.3">
      <c r="A1198">
        <v>2189</v>
      </c>
      <c r="B1198" t="s">
        <v>431</v>
      </c>
      <c r="C1198" t="s">
        <v>105</v>
      </c>
      <c r="D1198" t="s">
        <v>502</v>
      </c>
      <c r="E1198" t="s">
        <v>502</v>
      </c>
      <c r="F1198" s="4">
        <v>34042</v>
      </c>
      <c r="G1198">
        <v>9318705</v>
      </c>
      <c r="H1198" t="s">
        <v>502</v>
      </c>
      <c r="I1198" t="s">
        <v>2242</v>
      </c>
      <c r="J1198" t="s">
        <v>513</v>
      </c>
      <c r="K1198" t="s">
        <v>16</v>
      </c>
      <c r="L1198" t="s">
        <v>506</v>
      </c>
      <c r="M1198" t="str">
        <f>VLOOKUP(A1198,[1]MSAKEN!$A$1:$F$562,6,FALSE)</f>
        <v>17503000000283881466</v>
      </c>
    </row>
    <row r="1199" spans="1:13" x14ac:dyDescent="0.3">
      <c r="A1199">
        <v>2190</v>
      </c>
      <c r="B1199" t="s">
        <v>111</v>
      </c>
      <c r="C1199" t="s">
        <v>110</v>
      </c>
      <c r="D1199" t="s">
        <v>502</v>
      </c>
      <c r="E1199" t="s">
        <v>502</v>
      </c>
      <c r="F1199" s="4">
        <v>36693</v>
      </c>
      <c r="G1199">
        <v>12852215</v>
      </c>
      <c r="H1199" t="s">
        <v>502</v>
      </c>
      <c r="I1199" t="s">
        <v>2025</v>
      </c>
      <c r="J1199" t="s">
        <v>833</v>
      </c>
      <c r="K1199" t="s">
        <v>16</v>
      </c>
      <c r="L1199" t="s">
        <v>506</v>
      </c>
      <c r="M1199" t="str">
        <f>VLOOKUP(A1199,[1]MSAKEN!$A$1:$F$562,6,FALSE)</f>
        <v>01018058113032517720</v>
      </c>
    </row>
    <row r="1200" spans="1:13" x14ac:dyDescent="0.3">
      <c r="A1200">
        <v>2191</v>
      </c>
      <c r="B1200" t="s">
        <v>377</v>
      </c>
      <c r="C1200" t="s">
        <v>89</v>
      </c>
      <c r="D1200" t="s">
        <v>502</v>
      </c>
      <c r="E1200" t="s">
        <v>502</v>
      </c>
      <c r="F1200" s="4">
        <v>35374</v>
      </c>
      <c r="G1200">
        <v>12831318</v>
      </c>
      <c r="H1200" t="s">
        <v>502</v>
      </c>
      <c r="I1200" t="s">
        <v>502</v>
      </c>
      <c r="J1200" t="s">
        <v>513</v>
      </c>
      <c r="K1200" t="s">
        <v>16</v>
      </c>
      <c r="L1200" t="s">
        <v>506</v>
      </c>
      <c r="M1200" t="str">
        <f>VLOOKUP(A1200,[1]MSAKEN!$A$1:$F$562,6,FALSE)</f>
        <v>03508056010110347220</v>
      </c>
    </row>
    <row r="1201" spans="1:13" x14ac:dyDescent="0.3">
      <c r="A1201">
        <v>2192</v>
      </c>
      <c r="B1201" t="s">
        <v>454</v>
      </c>
      <c r="C1201" t="s">
        <v>107</v>
      </c>
      <c r="D1201" t="s">
        <v>502</v>
      </c>
      <c r="E1201" t="s">
        <v>502</v>
      </c>
      <c r="F1201" s="4">
        <v>34032</v>
      </c>
      <c r="G1201">
        <v>12806328</v>
      </c>
      <c r="H1201" t="s">
        <v>502</v>
      </c>
      <c r="I1201" t="s">
        <v>2243</v>
      </c>
      <c r="J1201" t="s">
        <v>513</v>
      </c>
      <c r="K1201" t="s">
        <v>16</v>
      </c>
      <c r="L1201" t="s">
        <v>506</v>
      </c>
      <c r="M1201" t="str">
        <f>VLOOKUP(A1201,[1]MSAKEN!$A$1:$F$562,6,FALSE)</f>
        <v>12505000013305387055</v>
      </c>
    </row>
    <row r="1202" spans="1:13" x14ac:dyDescent="0.3">
      <c r="A1202">
        <v>2193</v>
      </c>
      <c r="B1202" t="s">
        <v>148</v>
      </c>
      <c r="C1202" t="s">
        <v>232</v>
      </c>
      <c r="D1202" t="s">
        <v>502</v>
      </c>
      <c r="E1202" t="s">
        <v>502</v>
      </c>
      <c r="F1202" s="4">
        <v>33111</v>
      </c>
      <c r="G1202">
        <v>9318039</v>
      </c>
      <c r="H1202" t="s">
        <v>502</v>
      </c>
      <c r="I1202" t="s">
        <v>2244</v>
      </c>
      <c r="J1202" t="s">
        <v>568</v>
      </c>
      <c r="K1202" t="s">
        <v>16</v>
      </c>
      <c r="L1202" t="s">
        <v>506</v>
      </c>
      <c r="M1202" t="e">
        <f>VLOOKUP(A1202,[1]MSAKEN!$A$1:$F$562,6,FALSE)</f>
        <v>#N/A</v>
      </c>
    </row>
    <row r="1203" spans="1:13" x14ac:dyDescent="0.3">
      <c r="A1203">
        <v>2194</v>
      </c>
      <c r="B1203" t="s">
        <v>2245</v>
      </c>
      <c r="C1203" t="s">
        <v>228</v>
      </c>
      <c r="D1203" t="s">
        <v>502</v>
      </c>
      <c r="E1203" t="s">
        <v>502</v>
      </c>
      <c r="F1203" s="4">
        <v>33128</v>
      </c>
      <c r="G1203">
        <v>9304752</v>
      </c>
      <c r="H1203" t="s">
        <v>502</v>
      </c>
      <c r="I1203" t="s">
        <v>2246</v>
      </c>
      <c r="J1203" t="s">
        <v>513</v>
      </c>
      <c r="K1203" t="s">
        <v>16</v>
      </c>
      <c r="L1203" t="s">
        <v>506</v>
      </c>
      <c r="M1203" t="str">
        <f>VLOOKUP(A1203,[1]MSAKEN!$A$1:$F$562,6,FALSE)</f>
        <v>11020002277800878803</v>
      </c>
    </row>
    <row r="1204" spans="1:13" x14ac:dyDescent="0.3">
      <c r="A1204">
        <v>2195</v>
      </c>
      <c r="B1204" t="s">
        <v>83</v>
      </c>
      <c r="C1204" t="s">
        <v>34</v>
      </c>
      <c r="D1204" t="s">
        <v>502</v>
      </c>
      <c r="E1204" t="s">
        <v>502</v>
      </c>
      <c r="F1204" s="4">
        <v>35986</v>
      </c>
      <c r="G1204">
        <v>12829755</v>
      </c>
      <c r="H1204" t="s">
        <v>502</v>
      </c>
      <c r="I1204" t="s">
        <v>2247</v>
      </c>
      <c r="J1204" t="s">
        <v>513</v>
      </c>
      <c r="K1204" t="s">
        <v>16</v>
      </c>
      <c r="L1204" t="s">
        <v>506</v>
      </c>
      <c r="M1204" t="str">
        <f>VLOOKUP(A1204,[1]MSAKEN!$A$1:$F$562,6,FALSE)</f>
        <v>12505000000235178315</v>
      </c>
    </row>
    <row r="1205" spans="1:13" x14ac:dyDescent="0.3">
      <c r="A1205">
        <v>2196</v>
      </c>
      <c r="B1205" t="s">
        <v>438</v>
      </c>
      <c r="C1205" t="s">
        <v>34</v>
      </c>
      <c r="D1205" t="s">
        <v>502</v>
      </c>
      <c r="E1205" t="s">
        <v>502</v>
      </c>
      <c r="F1205" s="4">
        <v>32349</v>
      </c>
      <c r="G1205">
        <v>9262372</v>
      </c>
      <c r="H1205" t="s">
        <v>502</v>
      </c>
      <c r="I1205" t="s">
        <v>502</v>
      </c>
      <c r="J1205" t="s">
        <v>513</v>
      </c>
      <c r="K1205" t="s">
        <v>16</v>
      </c>
      <c r="L1205" t="s">
        <v>506</v>
      </c>
      <c r="M1205" t="str">
        <f>VLOOKUP(A1205,[1]MSAKEN!$A$1:$F$562,6,FALSE)</f>
        <v>17503000000259669296</v>
      </c>
    </row>
    <row r="1206" spans="1:13" x14ac:dyDescent="0.3">
      <c r="A1206">
        <v>2197</v>
      </c>
      <c r="B1206" t="s">
        <v>644</v>
      </c>
      <c r="C1206" t="s">
        <v>178</v>
      </c>
      <c r="D1206" t="s">
        <v>502</v>
      </c>
      <c r="E1206" t="s">
        <v>502</v>
      </c>
      <c r="F1206" s="4">
        <v>32903</v>
      </c>
      <c r="G1206">
        <v>9262357</v>
      </c>
      <c r="H1206" t="s">
        <v>502</v>
      </c>
      <c r="I1206" t="s">
        <v>683</v>
      </c>
      <c r="J1206" t="s">
        <v>513</v>
      </c>
      <c r="K1206" t="s">
        <v>16</v>
      </c>
      <c r="L1206" t="s">
        <v>506</v>
      </c>
      <c r="M1206" t="str">
        <f>VLOOKUP(A1206,[1]MSAKEN!$A$1:$F$562,6,FALSE)</f>
        <v>25018000000048721132</v>
      </c>
    </row>
    <row r="1207" spans="1:13" x14ac:dyDescent="0.3">
      <c r="A1207">
        <v>2198</v>
      </c>
      <c r="B1207" t="s">
        <v>1286</v>
      </c>
      <c r="C1207" t="s">
        <v>96</v>
      </c>
      <c r="D1207" t="s">
        <v>502</v>
      </c>
      <c r="E1207" t="s">
        <v>502</v>
      </c>
      <c r="F1207" s="4">
        <v>32410</v>
      </c>
      <c r="G1207">
        <v>8495681</v>
      </c>
      <c r="H1207" t="s">
        <v>502</v>
      </c>
      <c r="I1207" t="s">
        <v>2225</v>
      </c>
      <c r="J1207" t="s">
        <v>833</v>
      </c>
      <c r="K1207" t="s">
        <v>15</v>
      </c>
      <c r="L1207" t="s">
        <v>506</v>
      </c>
      <c r="M1207" t="str">
        <f>VLOOKUP(A1207,[1]MSAKEN!$A$1:$F$562,6,FALSE)</f>
        <v>32026788101114722190</v>
      </c>
    </row>
    <row r="1208" spans="1:13" x14ac:dyDescent="0.3">
      <c r="A1208">
        <v>2199</v>
      </c>
      <c r="B1208" t="s">
        <v>965</v>
      </c>
      <c r="C1208" t="s">
        <v>48</v>
      </c>
      <c r="D1208" t="s">
        <v>502</v>
      </c>
      <c r="E1208" t="s">
        <v>502</v>
      </c>
      <c r="F1208" s="4">
        <v>34550</v>
      </c>
      <c r="G1208">
        <v>9330295</v>
      </c>
      <c r="H1208" t="s">
        <v>502</v>
      </c>
      <c r="I1208" t="s">
        <v>2248</v>
      </c>
      <c r="J1208" t="s">
        <v>755</v>
      </c>
      <c r="K1208" t="s">
        <v>16</v>
      </c>
      <c r="L1208" t="s">
        <v>506</v>
      </c>
      <c r="M1208" t="str">
        <f>VLOOKUP(A1208,[1]MSAKEN!$A$1:$F$562,6,FALSE)</f>
        <v>17503000000190764861</v>
      </c>
    </row>
    <row r="1209" spans="1:13" x14ac:dyDescent="0.3">
      <c r="A1209">
        <v>2200</v>
      </c>
      <c r="B1209" t="s">
        <v>34</v>
      </c>
      <c r="C1209" t="s">
        <v>2249</v>
      </c>
      <c r="D1209" t="s">
        <v>502</v>
      </c>
      <c r="E1209" t="s">
        <v>502</v>
      </c>
      <c r="F1209" s="4">
        <v>32085</v>
      </c>
      <c r="G1209">
        <v>9279896</v>
      </c>
      <c r="H1209" t="s">
        <v>502</v>
      </c>
      <c r="I1209" t="s">
        <v>2250</v>
      </c>
      <c r="J1209" t="s">
        <v>755</v>
      </c>
      <c r="K1209" t="s">
        <v>15</v>
      </c>
      <c r="L1209" t="s">
        <v>506</v>
      </c>
      <c r="M1209" t="str">
        <f>VLOOKUP(A1209,[1]MSAKEN!$A$1:$F$562,6,FALSE)</f>
        <v>17503000000133558820</v>
      </c>
    </row>
    <row r="1210" spans="1:13" x14ac:dyDescent="0.3">
      <c r="A1210">
        <v>2201</v>
      </c>
      <c r="B1210" t="s">
        <v>173</v>
      </c>
      <c r="C1210" t="s">
        <v>172</v>
      </c>
      <c r="D1210" t="s">
        <v>502</v>
      </c>
      <c r="E1210" t="s">
        <v>502</v>
      </c>
      <c r="F1210" s="4">
        <v>36552</v>
      </c>
      <c r="G1210">
        <v>12850615</v>
      </c>
      <c r="H1210" t="s">
        <v>502</v>
      </c>
      <c r="I1210" t="s">
        <v>2225</v>
      </c>
      <c r="J1210" t="s">
        <v>833</v>
      </c>
      <c r="K1210" t="s">
        <v>16</v>
      </c>
      <c r="L1210" t="s">
        <v>506</v>
      </c>
      <c r="M1210" t="str">
        <f>VLOOKUP(A1210,[1]MSAKEN!$A$1:$F$562,6,FALSE)</f>
        <v>04204067006062121618</v>
      </c>
    </row>
    <row r="1211" spans="1:13" x14ac:dyDescent="0.3">
      <c r="A1211">
        <v>2202</v>
      </c>
      <c r="B1211" t="s">
        <v>103</v>
      </c>
      <c r="C1211" t="s">
        <v>2147</v>
      </c>
      <c r="D1211" t="s">
        <v>502</v>
      </c>
      <c r="E1211" t="s">
        <v>502</v>
      </c>
      <c r="F1211" s="4">
        <v>36807</v>
      </c>
      <c r="G1211">
        <v>12861613</v>
      </c>
      <c r="H1211" t="s">
        <v>502</v>
      </c>
      <c r="I1211" t="s">
        <v>2251</v>
      </c>
      <c r="J1211" t="s">
        <v>513</v>
      </c>
      <c r="K1211" t="s">
        <v>16</v>
      </c>
      <c r="L1211" t="s">
        <v>506</v>
      </c>
      <c r="M1211" t="str">
        <f>VLOOKUP(A1211,[1]MSAKEN!$A$1:$F$562,6,FALSE)</f>
        <v>17503000000286088119</v>
      </c>
    </row>
    <row r="1212" spans="1:13" x14ac:dyDescent="0.3">
      <c r="A1212">
        <v>2203</v>
      </c>
      <c r="B1212" t="s">
        <v>241</v>
      </c>
      <c r="C1212" t="s">
        <v>240</v>
      </c>
      <c r="D1212" t="s">
        <v>502</v>
      </c>
      <c r="E1212" t="s">
        <v>502</v>
      </c>
      <c r="F1212" s="4">
        <v>35230</v>
      </c>
      <c r="G1212">
        <v>12806399</v>
      </c>
      <c r="H1212" t="s">
        <v>502</v>
      </c>
      <c r="I1212" t="s">
        <v>2252</v>
      </c>
      <c r="J1212" t="s">
        <v>513</v>
      </c>
      <c r="K1212" t="s">
        <v>16</v>
      </c>
      <c r="L1212" t="s">
        <v>506</v>
      </c>
      <c r="M1212" t="str">
        <f>VLOOKUP(A1212,[1]MSAKEN!$A$1:$F$562,6,FALSE)</f>
        <v>01018058113033063539</v>
      </c>
    </row>
    <row r="1213" spans="1:13" x14ac:dyDescent="0.3">
      <c r="A1213">
        <v>2204</v>
      </c>
      <c r="B1213" t="s">
        <v>2253</v>
      </c>
      <c r="C1213" t="s">
        <v>198</v>
      </c>
      <c r="D1213" t="s">
        <v>502</v>
      </c>
      <c r="E1213" t="s">
        <v>502</v>
      </c>
      <c r="F1213" s="4">
        <v>34385</v>
      </c>
      <c r="G1213">
        <v>12812184</v>
      </c>
      <c r="H1213" t="s">
        <v>502</v>
      </c>
      <c r="I1213" t="s">
        <v>2254</v>
      </c>
      <c r="J1213" t="s">
        <v>755</v>
      </c>
      <c r="K1213" t="s">
        <v>16</v>
      </c>
      <c r="L1213" t="s">
        <v>506</v>
      </c>
      <c r="M1213" t="e">
        <f>VLOOKUP(A1213,[1]MSAKEN!$A$1:$F$562,6,FALSE)</f>
        <v>#N/A</v>
      </c>
    </row>
    <row r="1214" spans="1:13" x14ac:dyDescent="0.3">
      <c r="A1214">
        <v>2205</v>
      </c>
      <c r="B1214" t="s">
        <v>112</v>
      </c>
      <c r="C1214" t="s">
        <v>89</v>
      </c>
      <c r="D1214" t="s">
        <v>1747</v>
      </c>
      <c r="E1214" t="s">
        <v>1253</v>
      </c>
      <c r="F1214" s="4">
        <v>33428</v>
      </c>
      <c r="G1214">
        <v>9310482</v>
      </c>
      <c r="I1214" t="s">
        <v>2255</v>
      </c>
      <c r="J1214" t="s">
        <v>2256</v>
      </c>
      <c r="K1214" t="s">
        <v>2257</v>
      </c>
      <c r="L1214" t="s">
        <v>2258</v>
      </c>
      <c r="M1214" t="str">
        <f>VLOOKUP(A1214,[1]MSAKEN!$A$1:$F$562,6,FALSE)</f>
        <v>03508056010902451936</v>
      </c>
    </row>
    <row r="1215" spans="1:13" x14ac:dyDescent="0.3">
      <c r="A1215">
        <v>2206</v>
      </c>
      <c r="B1215" t="s">
        <v>369</v>
      </c>
      <c r="C1215" t="s">
        <v>455</v>
      </c>
      <c r="D1215" t="s">
        <v>201</v>
      </c>
      <c r="E1215" t="s">
        <v>443</v>
      </c>
      <c r="F1215" s="4">
        <v>33264</v>
      </c>
      <c r="G1215">
        <v>9306311</v>
      </c>
      <c r="I1215" t="s">
        <v>2259</v>
      </c>
      <c r="J1215" t="s">
        <v>2256</v>
      </c>
      <c r="K1215" t="s">
        <v>2257</v>
      </c>
      <c r="L1215" t="s">
        <v>2258</v>
      </c>
      <c r="M1215" t="str">
        <f>VLOOKUP(A1215,[1]MSAKEN!$A$1:$F$562,6,FALSE)</f>
        <v>12505000000232863992</v>
      </c>
    </row>
    <row r="1216" spans="1:13" x14ac:dyDescent="0.3">
      <c r="A1216">
        <v>2209</v>
      </c>
      <c r="B1216" t="s">
        <v>236</v>
      </c>
      <c r="C1216" t="s">
        <v>2260</v>
      </c>
      <c r="D1216" t="s">
        <v>598</v>
      </c>
      <c r="E1216" t="s">
        <v>2261</v>
      </c>
      <c r="F1216" s="4">
        <v>34131</v>
      </c>
      <c r="G1216">
        <v>9340935</v>
      </c>
      <c r="I1216" t="s">
        <v>2262</v>
      </c>
      <c r="J1216" t="s">
        <v>1124</v>
      </c>
      <c r="K1216" t="s">
        <v>2257</v>
      </c>
      <c r="L1216" t="s">
        <v>2263</v>
      </c>
      <c r="M1216" t="str">
        <f>VLOOKUP(A1216,[1]MSAKEN!$A$1:$F$562,6,FALSE)</f>
        <v>12505000000237440743</v>
      </c>
    </row>
    <row r="1217" spans="1:13" x14ac:dyDescent="0.3">
      <c r="A1217">
        <v>2210</v>
      </c>
      <c r="B1217" t="s">
        <v>394</v>
      </c>
      <c r="C1217" t="s">
        <v>2264</v>
      </c>
      <c r="D1217" t="s">
        <v>2265</v>
      </c>
      <c r="E1217" t="s">
        <v>2266</v>
      </c>
      <c r="F1217" s="4">
        <v>34196</v>
      </c>
      <c r="G1217">
        <v>9332093</v>
      </c>
      <c r="I1217" t="s">
        <v>2267</v>
      </c>
      <c r="J1217" t="s">
        <v>2256</v>
      </c>
      <c r="K1217" t="s">
        <v>2257</v>
      </c>
      <c r="L1217" t="s">
        <v>2258</v>
      </c>
      <c r="M1217" t="str">
        <f>VLOOKUP(A1217,[1]MSAKEN!$A$1:$F$562,6,FALSE)</f>
        <v>32026788601120499194</v>
      </c>
    </row>
    <row r="1218" spans="1:13" x14ac:dyDescent="0.3">
      <c r="A1218">
        <v>2211</v>
      </c>
      <c r="B1218" t="s">
        <v>2268</v>
      </c>
      <c r="C1218" t="s">
        <v>2269</v>
      </c>
      <c r="D1218" t="s">
        <v>539</v>
      </c>
      <c r="E1218" t="s">
        <v>2270</v>
      </c>
      <c r="F1218" s="4">
        <v>32051</v>
      </c>
      <c r="G1218">
        <v>8484444</v>
      </c>
      <c r="I1218" t="s">
        <v>2271</v>
      </c>
      <c r="J1218" t="s">
        <v>2208</v>
      </c>
      <c r="K1218" t="s">
        <v>2272</v>
      </c>
      <c r="L1218" t="s">
        <v>2258</v>
      </c>
      <c r="M1218" t="str">
        <f>VLOOKUP(A1218,[1]MSAKEN!$A$1:$F$562,6,FALSE)</f>
        <v>17503000000192171846</v>
      </c>
    </row>
    <row r="1219" spans="1:13" x14ac:dyDescent="0.3">
      <c r="A1219">
        <v>2212</v>
      </c>
      <c r="B1219" t="s">
        <v>182</v>
      </c>
      <c r="C1219" t="s">
        <v>2273</v>
      </c>
      <c r="D1219" t="s">
        <v>2274</v>
      </c>
      <c r="E1219" t="s">
        <v>2275</v>
      </c>
      <c r="F1219" s="4">
        <v>35568</v>
      </c>
      <c r="G1219">
        <v>12817909</v>
      </c>
      <c r="I1219" t="s">
        <v>2276</v>
      </c>
      <c r="J1219" t="s">
        <v>2256</v>
      </c>
      <c r="K1219" t="s">
        <v>2257</v>
      </c>
      <c r="L1219" t="s">
        <v>2258</v>
      </c>
      <c r="M1219" t="str">
        <f>VLOOKUP(A1219,[1]MSAKEN!$A$1:$F$562,6,FALSE)</f>
        <v>12058000000226920741</v>
      </c>
    </row>
    <row r="1220" spans="1:13" x14ac:dyDescent="0.3">
      <c r="A1220">
        <v>2213</v>
      </c>
      <c r="B1220" t="s">
        <v>236</v>
      </c>
      <c r="C1220" t="s">
        <v>2277</v>
      </c>
      <c r="D1220" t="s">
        <v>535</v>
      </c>
      <c r="E1220" t="s">
        <v>2278</v>
      </c>
      <c r="F1220" s="4">
        <v>34491</v>
      </c>
      <c r="G1220">
        <v>9340270</v>
      </c>
      <c r="I1220" t="s">
        <v>2279</v>
      </c>
      <c r="J1220" t="s">
        <v>2256</v>
      </c>
      <c r="K1220" t="s">
        <v>2257</v>
      </c>
      <c r="L1220" t="s">
        <v>2258</v>
      </c>
      <c r="M1220" t="str">
        <f>VLOOKUP(A1220,[1]MSAKEN!$A$1:$F$562,6,FALSE)</f>
        <v>10506040524136378876</v>
      </c>
    </row>
    <row r="1221" spans="1:13" x14ac:dyDescent="0.3">
      <c r="A1221">
        <v>2214</v>
      </c>
      <c r="B1221" t="s">
        <v>861</v>
      </c>
      <c r="C1221" t="s">
        <v>2280</v>
      </c>
      <c r="D1221" t="s">
        <v>181</v>
      </c>
      <c r="E1221" t="s">
        <v>1049</v>
      </c>
      <c r="F1221" s="4">
        <v>34286</v>
      </c>
      <c r="G1221">
        <v>9331803</v>
      </c>
      <c r="I1221" t="s">
        <v>837</v>
      </c>
      <c r="J1221" t="s">
        <v>2256</v>
      </c>
      <c r="K1221" t="s">
        <v>2257</v>
      </c>
      <c r="L1221" t="s">
        <v>2258</v>
      </c>
      <c r="M1221" t="str">
        <f>VLOOKUP(A1221,[1]MSAKEN!$A$1:$F$562,6,FALSE)</f>
        <v>25066000000077601789</v>
      </c>
    </row>
    <row r="1222" spans="1:13" x14ac:dyDescent="0.3">
      <c r="A1222">
        <v>2215</v>
      </c>
      <c r="B1222" t="s">
        <v>197</v>
      </c>
      <c r="C1222" t="s">
        <v>198</v>
      </c>
      <c r="D1222" t="s">
        <v>31</v>
      </c>
      <c r="E1222" t="s">
        <v>2281</v>
      </c>
      <c r="F1222" s="4">
        <v>35794</v>
      </c>
      <c r="G1222">
        <v>12839059</v>
      </c>
      <c r="I1222" t="s">
        <v>2225</v>
      </c>
      <c r="J1222" t="s">
        <v>2256</v>
      </c>
      <c r="K1222" t="s">
        <v>2257</v>
      </c>
      <c r="L1222" t="s">
        <v>2258</v>
      </c>
      <c r="M1222" t="str">
        <f>VLOOKUP(A1222,[1]MSAKEN!$A$1:$F$562,6,FALSE)</f>
        <v>17503000000259484026</v>
      </c>
    </row>
    <row r="1223" spans="1:13" x14ac:dyDescent="0.3">
      <c r="A1223">
        <v>2216</v>
      </c>
      <c r="B1223" t="s">
        <v>174</v>
      </c>
      <c r="C1223" t="s">
        <v>240</v>
      </c>
      <c r="D1223" t="s">
        <v>201</v>
      </c>
      <c r="E1223" t="s">
        <v>2282</v>
      </c>
      <c r="F1223" s="4">
        <v>36439</v>
      </c>
      <c r="G1223">
        <v>12850609</v>
      </c>
      <c r="I1223" t="s">
        <v>2283</v>
      </c>
      <c r="J1223" t="s">
        <v>2256</v>
      </c>
      <c r="K1223" t="s">
        <v>2257</v>
      </c>
      <c r="L1223" t="s">
        <v>2258</v>
      </c>
      <c r="M1223" t="str">
        <f>VLOOKUP(A1223,[1]MSAKEN!$A$1:$F$562,6,FALSE)</f>
        <v>04204067006332706804</v>
      </c>
    </row>
    <row r="1224" spans="1:13" x14ac:dyDescent="0.3">
      <c r="A1224">
        <v>2217</v>
      </c>
      <c r="B1224" t="s">
        <v>776</v>
      </c>
      <c r="C1224" t="s">
        <v>70</v>
      </c>
      <c r="D1224" t="s">
        <v>115</v>
      </c>
      <c r="E1224" t="s">
        <v>402</v>
      </c>
      <c r="F1224" s="4">
        <v>34335</v>
      </c>
      <c r="G1224">
        <v>9345890</v>
      </c>
      <c r="H1224">
        <v>99999999</v>
      </c>
      <c r="I1224" t="s">
        <v>2284</v>
      </c>
      <c r="J1224" t="s">
        <v>2285</v>
      </c>
      <c r="K1224" t="s">
        <v>2257</v>
      </c>
      <c r="L1224" t="s">
        <v>2258</v>
      </c>
      <c r="M1224" t="e">
        <f>VLOOKUP(A1224,[1]MSAKEN!$A$1:$F$562,6,FALSE)</f>
        <v>#N/A</v>
      </c>
    </row>
    <row r="1225" spans="1:13" x14ac:dyDescent="0.3">
      <c r="A1225">
        <v>2218</v>
      </c>
      <c r="B1225" t="s">
        <v>444</v>
      </c>
      <c r="C1225" t="s">
        <v>465</v>
      </c>
      <c r="D1225" t="s">
        <v>246</v>
      </c>
      <c r="E1225" t="s">
        <v>2286</v>
      </c>
      <c r="F1225" s="4">
        <v>34252</v>
      </c>
      <c r="G1225">
        <v>9342492</v>
      </c>
      <c r="H1225">
        <v>99999999</v>
      </c>
      <c r="I1225" t="s">
        <v>2287</v>
      </c>
      <c r="J1225" t="s">
        <v>2285</v>
      </c>
      <c r="K1225" t="s">
        <v>2257</v>
      </c>
      <c r="L1225" t="s">
        <v>2258</v>
      </c>
      <c r="M1225" t="e">
        <f>VLOOKUP(A1225,[1]MSAKEN!$A$1:$F$562,6,FALSE)</f>
        <v>#N/A</v>
      </c>
    </row>
    <row r="1226" spans="1:13" x14ac:dyDescent="0.3">
      <c r="A1226">
        <v>2219</v>
      </c>
      <c r="B1226" t="s">
        <v>33</v>
      </c>
      <c r="C1226" t="s">
        <v>2288</v>
      </c>
      <c r="D1226" t="s">
        <v>474</v>
      </c>
      <c r="E1226" t="s">
        <v>2289</v>
      </c>
      <c r="F1226" s="4">
        <v>35102</v>
      </c>
      <c r="G1226">
        <v>9341975</v>
      </c>
      <c r="H1226">
        <v>99999999</v>
      </c>
      <c r="I1226" t="s">
        <v>2290</v>
      </c>
      <c r="J1226" t="s">
        <v>2291</v>
      </c>
      <c r="K1226" t="s">
        <v>2257</v>
      </c>
      <c r="L1226" t="s">
        <v>2258</v>
      </c>
      <c r="M1226" t="e">
        <f>VLOOKUP(A1226,[1]MSAKEN!$A$1:$F$562,6,FALSE)</f>
        <v>#N/A</v>
      </c>
    </row>
    <row r="1227" spans="1:13" x14ac:dyDescent="0.3">
      <c r="A1227">
        <v>2220</v>
      </c>
      <c r="B1227" t="s">
        <v>2292</v>
      </c>
      <c r="C1227" t="s">
        <v>1962</v>
      </c>
      <c r="D1227" t="s">
        <v>326</v>
      </c>
      <c r="E1227" t="s">
        <v>1427</v>
      </c>
      <c r="F1227" s="4">
        <v>33528</v>
      </c>
      <c r="G1227">
        <v>9324128</v>
      </c>
      <c r="H1227">
        <v>99999999</v>
      </c>
      <c r="I1227" t="s">
        <v>2293</v>
      </c>
      <c r="J1227" t="s">
        <v>2291</v>
      </c>
      <c r="K1227" t="s">
        <v>2257</v>
      </c>
      <c r="L1227" t="s">
        <v>2258</v>
      </c>
      <c r="M1227" t="e">
        <f>VLOOKUP(A1227,[1]MSAKEN!$A$1:$F$562,6,FALSE)</f>
        <v>#N/A</v>
      </c>
    </row>
    <row r="1228" spans="1:13" x14ac:dyDescent="0.3">
      <c r="A1228">
        <v>2221</v>
      </c>
      <c r="B1228" t="s">
        <v>2294</v>
      </c>
      <c r="C1228" t="s">
        <v>279</v>
      </c>
      <c r="D1228" t="s">
        <v>56</v>
      </c>
      <c r="E1228" t="s">
        <v>890</v>
      </c>
      <c r="F1228" s="4">
        <v>36806</v>
      </c>
      <c r="G1228">
        <v>12865007</v>
      </c>
      <c r="H1228">
        <v>99999999</v>
      </c>
      <c r="I1228" t="s">
        <v>2295</v>
      </c>
      <c r="J1228" t="s">
        <v>2291</v>
      </c>
      <c r="K1228" t="s">
        <v>2257</v>
      </c>
      <c r="L1228" t="s">
        <v>2258</v>
      </c>
      <c r="M1228" t="e">
        <f>VLOOKUP(A1228,[1]MSAKEN!$A$1:$F$562,6,FALSE)</f>
        <v>#N/A</v>
      </c>
    </row>
    <row r="1229" spans="1:13" x14ac:dyDescent="0.3">
      <c r="A1229">
        <v>2222</v>
      </c>
      <c r="B1229" t="s">
        <v>281</v>
      </c>
      <c r="C1229" t="s">
        <v>280</v>
      </c>
      <c r="D1229" t="s">
        <v>34</v>
      </c>
      <c r="E1229" t="s">
        <v>746</v>
      </c>
      <c r="F1229" s="4">
        <v>33970</v>
      </c>
      <c r="G1229">
        <v>9342551</v>
      </c>
      <c r="H1229">
        <v>99999999</v>
      </c>
      <c r="I1229" t="s">
        <v>2296</v>
      </c>
      <c r="J1229" t="s">
        <v>2297</v>
      </c>
      <c r="K1229" t="s">
        <v>2257</v>
      </c>
      <c r="L1229" t="s">
        <v>2258</v>
      </c>
      <c r="M1229" t="e">
        <f>VLOOKUP(A1229,[1]MSAKEN!$A$1:$F$562,6,FALSE)</f>
        <v>#N/A</v>
      </c>
    </row>
    <row r="1230" spans="1:13" x14ac:dyDescent="0.3">
      <c r="A1230">
        <v>2223</v>
      </c>
      <c r="B1230" t="s">
        <v>283</v>
      </c>
      <c r="C1230" t="s">
        <v>2298</v>
      </c>
      <c r="D1230" t="s">
        <v>68</v>
      </c>
      <c r="E1230" t="s">
        <v>2299</v>
      </c>
      <c r="F1230" s="4">
        <v>36395</v>
      </c>
      <c r="G1230">
        <v>12832352</v>
      </c>
      <c r="H1230">
        <v>99999999</v>
      </c>
      <c r="I1230" t="s">
        <v>2300</v>
      </c>
      <c r="J1230" t="s">
        <v>2285</v>
      </c>
      <c r="K1230" t="s">
        <v>2257</v>
      </c>
      <c r="L1230" t="s">
        <v>2258</v>
      </c>
      <c r="M1230" t="e">
        <f>VLOOKUP(A1230,[1]MSAKEN!$A$1:$F$562,6,FALSE)</f>
        <v>#N/A</v>
      </c>
    </row>
    <row r="1231" spans="1:13" x14ac:dyDescent="0.3">
      <c r="A1231">
        <v>2224</v>
      </c>
      <c r="B1231" t="s">
        <v>57</v>
      </c>
      <c r="C1231" t="s">
        <v>284</v>
      </c>
      <c r="D1231" t="s">
        <v>2301</v>
      </c>
      <c r="E1231" t="s">
        <v>2302</v>
      </c>
      <c r="F1231" s="4">
        <v>35832</v>
      </c>
      <c r="G1231">
        <v>12858117</v>
      </c>
      <c r="H1231">
        <v>99999999</v>
      </c>
      <c r="I1231" t="s">
        <v>2303</v>
      </c>
      <c r="J1231" t="s">
        <v>2304</v>
      </c>
      <c r="K1231" t="s">
        <v>2257</v>
      </c>
      <c r="L1231" t="s">
        <v>2258</v>
      </c>
      <c r="M1231" t="e">
        <f>VLOOKUP(A1231,[1]MSAKEN!$A$1:$F$562,6,FALSE)</f>
        <v>#N/A</v>
      </c>
    </row>
    <row r="1232" spans="1:13" x14ac:dyDescent="0.3">
      <c r="A1232">
        <v>2225</v>
      </c>
      <c r="B1232" t="s">
        <v>2305</v>
      </c>
      <c r="C1232" t="s">
        <v>285</v>
      </c>
      <c r="D1232" t="s">
        <v>479</v>
      </c>
      <c r="E1232" t="s">
        <v>2306</v>
      </c>
      <c r="F1232" s="4">
        <v>37122</v>
      </c>
      <c r="G1232">
        <v>12881301</v>
      </c>
      <c r="H1232">
        <v>99999999</v>
      </c>
      <c r="I1232" t="s">
        <v>2307</v>
      </c>
      <c r="J1232" t="s">
        <v>2304</v>
      </c>
      <c r="K1232" t="s">
        <v>2257</v>
      </c>
      <c r="L1232" t="s">
        <v>2258</v>
      </c>
      <c r="M1232" t="e">
        <f>VLOOKUP(A1232,[1]MSAKEN!$A$1:$F$562,6,FALSE)</f>
        <v>#N/A</v>
      </c>
    </row>
    <row r="1233" spans="1:13" x14ac:dyDescent="0.3">
      <c r="A1233">
        <v>2226</v>
      </c>
      <c r="B1233" t="s">
        <v>288</v>
      </c>
      <c r="C1233" t="s">
        <v>287</v>
      </c>
      <c r="D1233" t="s">
        <v>2308</v>
      </c>
      <c r="E1233" t="s">
        <v>2309</v>
      </c>
      <c r="F1233" s="4">
        <v>35432</v>
      </c>
      <c r="G1233">
        <v>6978589</v>
      </c>
      <c r="H1233">
        <v>99999999</v>
      </c>
      <c r="I1233" t="s">
        <v>2310</v>
      </c>
      <c r="J1233" t="s">
        <v>2311</v>
      </c>
      <c r="K1233" t="s">
        <v>2257</v>
      </c>
      <c r="L1233" t="s">
        <v>2258</v>
      </c>
      <c r="M1233" t="e">
        <f>VLOOKUP(A1233,[1]MSAKEN!$A$1:$F$562,6,FALSE)</f>
        <v>#N/A</v>
      </c>
    </row>
    <row r="1234" spans="1:13" x14ac:dyDescent="0.3">
      <c r="A1234">
        <v>2227</v>
      </c>
      <c r="B1234" t="s">
        <v>1754</v>
      </c>
      <c r="C1234" t="s">
        <v>122</v>
      </c>
      <c r="D1234" t="s">
        <v>31</v>
      </c>
      <c r="E1234" t="s">
        <v>629</v>
      </c>
      <c r="F1234" s="4">
        <v>36279</v>
      </c>
      <c r="G1234">
        <v>12854321</v>
      </c>
      <c r="H1234">
        <v>99999999</v>
      </c>
      <c r="I1234" t="s">
        <v>2312</v>
      </c>
      <c r="J1234" t="s">
        <v>2285</v>
      </c>
      <c r="K1234" t="s">
        <v>2257</v>
      </c>
      <c r="L1234" t="s">
        <v>2258</v>
      </c>
      <c r="M1234" t="e">
        <f>VLOOKUP(A1234,[1]MSAKEN!$A$1:$F$562,6,FALSE)</f>
        <v>#N/A</v>
      </c>
    </row>
    <row r="1235" spans="1:13" x14ac:dyDescent="0.3">
      <c r="A1235">
        <v>2228</v>
      </c>
      <c r="B1235" t="s">
        <v>1821</v>
      </c>
      <c r="C1235" t="s">
        <v>2313</v>
      </c>
      <c r="D1235" t="s">
        <v>321</v>
      </c>
      <c r="E1235" t="s">
        <v>2099</v>
      </c>
      <c r="F1235" s="4">
        <v>35055</v>
      </c>
      <c r="G1235">
        <v>9341275</v>
      </c>
      <c r="H1235">
        <v>99999999</v>
      </c>
      <c r="I1235" t="s">
        <v>2314</v>
      </c>
      <c r="J1235" t="s">
        <v>2291</v>
      </c>
      <c r="K1235" t="s">
        <v>2257</v>
      </c>
      <c r="L1235" t="s">
        <v>2258</v>
      </c>
      <c r="M1235" t="e">
        <f>VLOOKUP(A1235,[1]MSAKEN!$A$1:$F$562,6,FALSE)</f>
        <v>#N/A</v>
      </c>
    </row>
    <row r="1236" spans="1:13" x14ac:dyDescent="0.3">
      <c r="A1236">
        <v>2229</v>
      </c>
      <c r="B1236" t="s">
        <v>182</v>
      </c>
      <c r="C1236" t="s">
        <v>26</v>
      </c>
      <c r="D1236" t="s">
        <v>181</v>
      </c>
      <c r="E1236" t="s">
        <v>2219</v>
      </c>
      <c r="F1236" s="4">
        <v>36814</v>
      </c>
      <c r="G1236">
        <v>12841871</v>
      </c>
      <c r="H1236">
        <v>99999999</v>
      </c>
      <c r="I1236" t="s">
        <v>2315</v>
      </c>
      <c r="J1236" t="s">
        <v>2285</v>
      </c>
      <c r="K1236" t="s">
        <v>2257</v>
      </c>
      <c r="L1236" t="s">
        <v>2258</v>
      </c>
      <c r="M1236" t="e">
        <f>VLOOKUP(A1236,[1]MSAKEN!$A$1:$F$562,6,FALSE)</f>
        <v>#N/A</v>
      </c>
    </row>
    <row r="1237" spans="1:13" x14ac:dyDescent="0.3">
      <c r="A1237">
        <v>2230</v>
      </c>
      <c r="B1237" t="s">
        <v>227</v>
      </c>
      <c r="C1237" t="s">
        <v>445</v>
      </c>
      <c r="D1237" t="s">
        <v>118</v>
      </c>
      <c r="E1237" t="s">
        <v>2316</v>
      </c>
      <c r="F1237" s="4">
        <v>35838</v>
      </c>
      <c r="G1237">
        <v>12820546</v>
      </c>
      <c r="H1237">
        <v>99999999</v>
      </c>
      <c r="I1237" t="s">
        <v>2317</v>
      </c>
      <c r="J1237" t="s">
        <v>2304</v>
      </c>
      <c r="K1237" t="s">
        <v>2257</v>
      </c>
      <c r="L1237" t="s">
        <v>2258</v>
      </c>
      <c r="M1237" t="e">
        <f>VLOOKUP(A1237,[1]MSAKEN!$A$1:$F$562,6,FALSE)</f>
        <v>#N/A</v>
      </c>
    </row>
    <row r="1238" spans="1:13" x14ac:dyDescent="0.3">
      <c r="A1238">
        <v>2231</v>
      </c>
      <c r="B1238" t="s">
        <v>314</v>
      </c>
      <c r="C1238" t="s">
        <v>2318</v>
      </c>
      <c r="D1238" t="s">
        <v>80</v>
      </c>
      <c r="E1238" t="s">
        <v>2121</v>
      </c>
      <c r="F1238" s="4">
        <v>33463</v>
      </c>
      <c r="G1238">
        <v>9321546</v>
      </c>
      <c r="H1238">
        <v>99999999</v>
      </c>
      <c r="I1238" t="s">
        <v>2319</v>
      </c>
      <c r="J1238" t="s">
        <v>2285</v>
      </c>
      <c r="K1238" t="s">
        <v>2257</v>
      </c>
      <c r="L1238" t="s">
        <v>2258</v>
      </c>
      <c r="M1238" t="e">
        <f>VLOOKUP(A1238,[1]MSAKEN!$A$1:$F$562,6,FALSE)</f>
        <v>#N/A</v>
      </c>
    </row>
    <row r="1239" spans="1:13" x14ac:dyDescent="0.3">
      <c r="A1239">
        <v>2232</v>
      </c>
      <c r="B1239" t="s">
        <v>446</v>
      </c>
      <c r="C1239" t="s">
        <v>280</v>
      </c>
      <c r="D1239" t="s">
        <v>68</v>
      </c>
      <c r="E1239" t="s">
        <v>198</v>
      </c>
      <c r="F1239" s="4">
        <v>37223</v>
      </c>
      <c r="G1239">
        <v>12880343</v>
      </c>
      <c r="H1239">
        <v>99999999</v>
      </c>
      <c r="I1239" t="s">
        <v>2320</v>
      </c>
      <c r="J1239" t="s">
        <v>2285</v>
      </c>
      <c r="K1239" t="s">
        <v>2257</v>
      </c>
      <c r="L1239" t="s">
        <v>2258</v>
      </c>
      <c r="M1239" t="e">
        <f>VLOOKUP(A1239,[1]MSAKEN!$A$1:$F$562,6,FALSE)</f>
        <v>#N/A</v>
      </c>
    </row>
    <row r="1240" spans="1:13" x14ac:dyDescent="0.3">
      <c r="A1240">
        <v>2233</v>
      </c>
      <c r="B1240" t="s">
        <v>428</v>
      </c>
      <c r="C1240" t="s">
        <v>2321</v>
      </c>
      <c r="D1240" t="s">
        <v>68</v>
      </c>
      <c r="E1240" t="s">
        <v>2322</v>
      </c>
      <c r="F1240" s="4">
        <v>37205</v>
      </c>
      <c r="G1240">
        <v>12860797</v>
      </c>
      <c r="H1240">
        <v>99999999</v>
      </c>
      <c r="I1240" t="s">
        <v>2323</v>
      </c>
      <c r="J1240" t="s">
        <v>2285</v>
      </c>
      <c r="K1240" t="s">
        <v>2257</v>
      </c>
      <c r="L1240" t="s">
        <v>2258</v>
      </c>
      <c r="M1240" t="e">
        <f>VLOOKUP(A1240,[1]MSAKEN!$A$1:$F$562,6,FALSE)</f>
        <v>#N/A</v>
      </c>
    </row>
    <row r="1241" spans="1:13" x14ac:dyDescent="0.3">
      <c r="A1241">
        <v>2234</v>
      </c>
      <c r="B1241" t="s">
        <v>2324</v>
      </c>
      <c r="C1241" t="s">
        <v>34</v>
      </c>
      <c r="D1241" t="s">
        <v>89</v>
      </c>
      <c r="E1241" t="s">
        <v>2309</v>
      </c>
      <c r="F1241" s="4">
        <v>34835</v>
      </c>
      <c r="G1241">
        <v>12809609</v>
      </c>
      <c r="H1241">
        <v>99999999</v>
      </c>
      <c r="I1241" t="s">
        <v>2325</v>
      </c>
      <c r="J1241" t="s">
        <v>2304</v>
      </c>
      <c r="K1241" t="s">
        <v>2257</v>
      </c>
      <c r="L1241" t="s">
        <v>2258</v>
      </c>
      <c r="M1241" t="e">
        <f>VLOOKUP(A1241,[1]MSAKEN!$A$1:$F$562,6,FALSE)</f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10"/>
  <sheetViews>
    <sheetView workbookViewId="0">
      <pane ySplit="6" topLeftCell="A295" activePane="bottomLeft" state="frozen"/>
      <selection pane="bottomLeft" activeCell="C296" sqref="C296"/>
    </sheetView>
  </sheetViews>
  <sheetFormatPr baseColWidth="10" defaultRowHeight="14.4" x14ac:dyDescent="0.3"/>
  <cols>
    <col min="1" max="1" width="12.33203125" customWidth="1"/>
    <col min="2" max="2" width="0.109375" customWidth="1"/>
    <col min="3" max="3" width="20.5546875" customWidth="1"/>
    <col min="4" max="4" width="25.88671875" customWidth="1"/>
    <col min="5" max="5" width="14.5546875" customWidth="1"/>
    <col min="6" max="6" width="21.109375" customWidth="1"/>
  </cols>
  <sheetData>
    <row r="1" spans="1:5" ht="24.75" customHeight="1" x14ac:dyDescent="0.3">
      <c r="A1" s="30" t="s">
        <v>2863</v>
      </c>
      <c r="B1" s="28"/>
      <c r="C1" s="27"/>
      <c r="D1" s="27"/>
      <c r="E1" s="27"/>
    </row>
    <row r="2" spans="1:5" ht="18" x14ac:dyDescent="0.3">
      <c r="A2" s="29"/>
      <c r="B2" s="29"/>
      <c r="C2" s="31" t="s">
        <v>2859</v>
      </c>
      <c r="D2" s="31"/>
      <c r="E2" s="4"/>
    </row>
    <row r="3" spans="1:5" ht="25.5" customHeight="1" x14ac:dyDescent="0.3">
      <c r="A3" s="34" t="s">
        <v>2857</v>
      </c>
      <c r="B3" s="34"/>
      <c r="C3" s="34"/>
      <c r="D3" s="34"/>
      <c r="E3" s="34"/>
    </row>
    <row r="4" spans="1:5" ht="24" customHeight="1" x14ac:dyDescent="0.3">
      <c r="A4" s="25"/>
      <c r="B4" s="25"/>
      <c r="C4" s="35" t="s">
        <v>2858</v>
      </c>
      <c r="D4" s="35"/>
      <c r="E4" s="25"/>
    </row>
    <row r="5" spans="1:5" x14ac:dyDescent="0.3">
      <c r="E5" s="4"/>
    </row>
    <row r="6" spans="1:5" x14ac:dyDescent="0.3">
      <c r="A6" s="1" t="s">
        <v>2853</v>
      </c>
      <c r="B6" s="1"/>
      <c r="C6" s="1" t="s">
        <v>2854</v>
      </c>
      <c r="D6" s="1" t="s">
        <v>2855</v>
      </c>
      <c r="E6" s="5" t="s">
        <v>2856</v>
      </c>
    </row>
    <row r="7" spans="1:5" x14ac:dyDescent="0.3">
      <c r="A7" s="26">
        <v>36</v>
      </c>
      <c r="B7" s="1">
        <v>0</v>
      </c>
      <c r="C7" s="1" t="str">
        <f>IF(B7=0,VLOOKUP(A7,Feuil2!$A$2:$M$1241,2,FALSE)," ")</f>
        <v>BAYA</v>
      </c>
      <c r="D7" s="1" t="str">
        <f>IF(B7=0,VLOOKUP(A7,Feuil2!$A$2:$M$1241,3,FALSE)," ")</f>
        <v>ADEL</v>
      </c>
      <c r="E7" s="5" t="s">
        <v>2860</v>
      </c>
    </row>
    <row r="8" spans="1:5" x14ac:dyDescent="0.3">
      <c r="A8" s="26">
        <v>58</v>
      </c>
      <c r="B8" s="1">
        <v>0</v>
      </c>
      <c r="C8" s="1" t="str">
        <f>IF(B8=0,VLOOKUP(A8,Feuil2!$A$2:$M$1241,2,FALSE)," ")</f>
        <v>BEN HAMOUDA</v>
      </c>
      <c r="D8" s="1" t="str">
        <f>IF(B8=0,VLOOKUP(A8,Feuil2!$A$2:$M$1241,3,FALSE)," ")</f>
        <v>MONDHER</v>
      </c>
      <c r="E8" s="5" t="s">
        <v>2860</v>
      </c>
    </row>
    <row r="9" spans="1:5" x14ac:dyDescent="0.3">
      <c r="A9" s="26">
        <v>100</v>
      </c>
      <c r="B9" s="1">
        <v>0</v>
      </c>
      <c r="C9" s="1" t="str">
        <f>IF(B9=0,VLOOKUP(A9,Feuil2!$A$2:$M$1241,2,FALSE)," ")</f>
        <v>JARRAR</v>
      </c>
      <c r="D9" s="1" t="str">
        <f>IF(B9=0,VLOOKUP(A9,Feuil2!$A$2:$M$1241,3,FALSE)," ")</f>
        <v>JALEL BEN ALI</v>
      </c>
      <c r="E9" s="5" t="s">
        <v>2860</v>
      </c>
    </row>
    <row r="10" spans="1:5" x14ac:dyDescent="0.3">
      <c r="A10" s="26">
        <v>144</v>
      </c>
      <c r="B10" s="1">
        <v>0</v>
      </c>
      <c r="C10" s="1" t="str">
        <f>IF(B10=0,VLOOKUP(A10,Feuil2!$A$2:$M$1241,2,FALSE)," ")</f>
        <v>DHIFALLAH</v>
      </c>
      <c r="D10" s="1" t="str">
        <f>IF(B10=0,VLOOKUP(A10,Feuil2!$A$2:$M$1241,3,FALSE)," ")</f>
        <v>MOHAMED</v>
      </c>
      <c r="E10" s="5" t="s">
        <v>2860</v>
      </c>
    </row>
    <row r="11" spans="1:5" x14ac:dyDescent="0.3">
      <c r="A11" s="26">
        <v>145</v>
      </c>
      <c r="B11" s="1">
        <v>0</v>
      </c>
      <c r="C11" s="1" t="str">
        <f>IF(B11=0,VLOOKUP(A11,Feuil2!$A$2:$M$1241,2,FALSE)," ")</f>
        <v>GAZZAH</v>
      </c>
      <c r="D11" s="1" t="str">
        <f>IF(B11=0,VLOOKUP(A11,Feuil2!$A$2:$M$1241,3,FALSE)," ")</f>
        <v>MAHMOUD</v>
      </c>
      <c r="E11" s="5" t="s">
        <v>2860</v>
      </c>
    </row>
    <row r="12" spans="1:5" x14ac:dyDescent="0.3">
      <c r="A12" s="26">
        <v>166</v>
      </c>
      <c r="B12" s="1">
        <v>0</v>
      </c>
      <c r="C12" s="1" t="str">
        <f>IF(B12=0,VLOOKUP(A12,Feuil2!$A$2:$M$1241,2,FALSE)," ")</f>
        <v>GRASSA</v>
      </c>
      <c r="D12" s="1" t="str">
        <f>IF(B12=0,VLOOKUP(A12,Feuil2!$A$2:$M$1241,3,FALSE)," ")</f>
        <v>ABDELHAMID</v>
      </c>
      <c r="E12" s="5" t="s">
        <v>2860</v>
      </c>
    </row>
    <row r="13" spans="1:5" x14ac:dyDescent="0.3">
      <c r="A13" s="26">
        <v>212</v>
      </c>
      <c r="B13" s="1">
        <v>0</v>
      </c>
      <c r="C13" s="1" t="str">
        <f>IF(B13=0,VLOOKUP(A13,Feuil2!$A$2:$M$1241,2,FALSE)," ")</f>
        <v>BOUHLEL</v>
      </c>
      <c r="D13" s="1" t="str">
        <f>IF(B13=0,VLOOKUP(A13,Feuil2!$A$2:$M$1241,3,FALSE)," ")</f>
        <v>BECHIR</v>
      </c>
      <c r="E13" s="5" t="s">
        <v>2860</v>
      </c>
    </row>
    <row r="14" spans="1:5" x14ac:dyDescent="0.3">
      <c r="A14" s="26">
        <v>369</v>
      </c>
      <c r="B14" s="1">
        <v>0</v>
      </c>
      <c r="C14" s="1" t="str">
        <f>IF(B14=0,VLOOKUP(A14,Feuil2!$A$2:$M$1241,2,FALSE)," ")</f>
        <v>KECHICHE</v>
      </c>
      <c r="D14" s="1" t="str">
        <f>IF(B14=0,VLOOKUP(A14,Feuil2!$A$2:$M$1241,3,FALSE)," ")</f>
        <v>BECHIR</v>
      </c>
      <c r="E14" s="5" t="s">
        <v>2860</v>
      </c>
    </row>
    <row r="15" spans="1:5" x14ac:dyDescent="0.3">
      <c r="A15" s="26">
        <v>480</v>
      </c>
      <c r="B15" s="1">
        <v>0</v>
      </c>
      <c r="C15" s="1" t="str">
        <f>IF(B15=0,VLOOKUP(A15,Feuil2!$A$2:$M$1241,2,FALSE)," ")</f>
        <v>TOUMI</v>
      </c>
      <c r="D15" s="1" t="str">
        <f>IF(B15=0,VLOOKUP(A15,Feuil2!$A$2:$M$1241,3,FALSE)," ")</f>
        <v>CHOKRI</v>
      </c>
      <c r="E15" s="5" t="s">
        <v>2860</v>
      </c>
    </row>
    <row r="16" spans="1:5" x14ac:dyDescent="0.3">
      <c r="A16" s="26">
        <v>482</v>
      </c>
      <c r="B16" s="1">
        <v>0</v>
      </c>
      <c r="C16" s="1" t="str">
        <f>IF(B16=0,VLOOKUP(A16,Feuil2!$A$2:$M$1241,2,FALSE)," ")</f>
        <v>MAATOUG</v>
      </c>
      <c r="D16" s="1" t="str">
        <f>IF(B16=0,VLOOKUP(A16,Feuil2!$A$2:$M$1241,3,FALSE)," ")</f>
        <v>HMAIED</v>
      </c>
      <c r="E16" s="5" t="s">
        <v>2860</v>
      </c>
    </row>
    <row r="17" spans="1:5" x14ac:dyDescent="0.3">
      <c r="A17" s="26">
        <v>497</v>
      </c>
      <c r="B17" s="1">
        <v>0</v>
      </c>
      <c r="C17" s="1" t="str">
        <f>IF(B17=0,VLOOKUP(A17,Feuil2!$A$2:$M$1241,2,FALSE)," ")</f>
        <v>BEN ABDALLAH</v>
      </c>
      <c r="D17" s="1" t="str">
        <f>IF(B17=0,VLOOKUP(A17,Feuil2!$A$2:$M$1241,3,FALSE)," ")</f>
        <v>TAOUFIK</v>
      </c>
      <c r="E17" s="5" t="s">
        <v>2860</v>
      </c>
    </row>
    <row r="18" spans="1:5" x14ac:dyDescent="0.3">
      <c r="A18" s="26">
        <v>498</v>
      </c>
      <c r="B18" s="1">
        <v>0</v>
      </c>
      <c r="C18" s="1" t="str">
        <f>IF(B18=0,VLOOKUP(A18,Feuil2!$A$2:$M$1241,2,FALSE)," ")</f>
        <v>DHIB</v>
      </c>
      <c r="D18" s="1" t="str">
        <f>IF(B18=0,VLOOKUP(A18,Feuil2!$A$2:$M$1241,3,FALSE)," ")</f>
        <v>TAOUFIK</v>
      </c>
      <c r="E18" s="5" t="s">
        <v>2860</v>
      </c>
    </row>
    <row r="19" spans="1:5" x14ac:dyDescent="0.3">
      <c r="A19" s="26">
        <v>524</v>
      </c>
      <c r="B19" s="1">
        <v>0</v>
      </c>
      <c r="C19" s="1" t="str">
        <f>IF(B19=0,VLOOKUP(A19,Feuil2!$A$2:$M$1241,2,FALSE)," ")</f>
        <v>EL MAHFOUDH</v>
      </c>
      <c r="D19" s="1" t="str">
        <f>IF(B19=0,VLOOKUP(A19,Feuil2!$A$2:$M$1241,3,FALSE)," ")</f>
        <v>TAREK</v>
      </c>
      <c r="E19" s="5" t="s">
        <v>2860</v>
      </c>
    </row>
    <row r="20" spans="1:5" x14ac:dyDescent="0.3">
      <c r="A20" s="26">
        <v>551</v>
      </c>
      <c r="B20" s="1">
        <v>0</v>
      </c>
      <c r="C20" s="1" t="str">
        <f>IF(B20=0,VLOOKUP(A20,Feuil2!$A$2:$M$1241,2,FALSE)," ")</f>
        <v>EL GADHI</v>
      </c>
      <c r="D20" s="1" t="str">
        <f>IF(B20=0,VLOOKUP(A20,Feuil2!$A$2:$M$1241,3,FALSE)," ")</f>
        <v>SALAH</v>
      </c>
      <c r="E20" s="5" t="s">
        <v>2860</v>
      </c>
    </row>
    <row r="21" spans="1:5" x14ac:dyDescent="0.3">
      <c r="A21" s="26">
        <v>552</v>
      </c>
      <c r="B21" s="1">
        <v>0</v>
      </c>
      <c r="C21" s="1" t="str">
        <f>IF(B21=0,VLOOKUP(A21,Feuil2!$A$2:$M$1241,2,FALSE)," ")</f>
        <v>ACHOUR</v>
      </c>
      <c r="D21" s="1" t="str">
        <f>IF(B21=0,VLOOKUP(A21,Feuil2!$A$2:$M$1241,3,FALSE)," ")</f>
        <v>KAMEL</v>
      </c>
      <c r="E21" s="5" t="s">
        <v>2860</v>
      </c>
    </row>
    <row r="22" spans="1:5" x14ac:dyDescent="0.3">
      <c r="A22" s="26">
        <v>590</v>
      </c>
      <c r="B22" s="1">
        <v>0</v>
      </c>
      <c r="C22" s="1" t="str">
        <f>IF(B22=0,VLOOKUP(A22,Feuil2!$A$2:$M$1241,2,FALSE)," ")</f>
        <v>KHALFALLAH</v>
      </c>
      <c r="D22" s="1" t="str">
        <f>IF(B22=0,VLOOKUP(A22,Feuil2!$A$2:$M$1241,3,FALSE)," ")</f>
        <v>ABDELAZIZ</v>
      </c>
      <c r="E22" s="5" t="s">
        <v>2860</v>
      </c>
    </row>
    <row r="23" spans="1:5" x14ac:dyDescent="0.3">
      <c r="A23" s="26">
        <v>606</v>
      </c>
      <c r="B23" s="1">
        <v>0</v>
      </c>
      <c r="C23" s="1" t="str">
        <f>IF(B23=0,VLOOKUP(A23,Feuil2!$A$2:$M$1241,2,FALSE)," ")</f>
        <v>MABROUK</v>
      </c>
      <c r="D23" s="1" t="str">
        <f>IF(B23=0,VLOOKUP(A23,Feuil2!$A$2:$M$1241,3,FALSE)," ")</f>
        <v>FREDJ</v>
      </c>
      <c r="E23" s="5" t="s">
        <v>2860</v>
      </c>
    </row>
    <row r="24" spans="1:5" x14ac:dyDescent="0.3">
      <c r="A24" s="26">
        <v>647</v>
      </c>
      <c r="B24" s="1">
        <v>0</v>
      </c>
      <c r="C24" s="1" t="str">
        <f>IF(B24=0,VLOOKUP(A24,Feuil2!$A$2:$M$1241,2,FALSE)," ")</f>
        <v>KHALIFA</v>
      </c>
      <c r="D24" s="1" t="str">
        <f>IF(B24=0,VLOOKUP(A24,Feuil2!$A$2:$M$1241,3,FALSE)," ")</f>
        <v>NACEUR</v>
      </c>
      <c r="E24" s="5" t="s">
        <v>2860</v>
      </c>
    </row>
    <row r="25" spans="1:5" x14ac:dyDescent="0.3">
      <c r="A25" s="26">
        <v>656</v>
      </c>
      <c r="B25" s="1">
        <v>0</v>
      </c>
      <c r="C25" s="1" t="str">
        <f>IF(B25=0,VLOOKUP(A25,Feuil2!$A$2:$M$1241,2,FALSE)," ")</f>
        <v>CHEBIL</v>
      </c>
      <c r="D25" s="1" t="str">
        <f>IF(B25=0,VLOOKUP(A25,Feuil2!$A$2:$M$1241,3,FALSE)," ")</f>
        <v>MOHAMED MONCEF</v>
      </c>
      <c r="E25" s="5" t="s">
        <v>2860</v>
      </c>
    </row>
    <row r="26" spans="1:5" x14ac:dyDescent="0.3">
      <c r="A26" s="26">
        <v>661</v>
      </c>
      <c r="B26" s="1">
        <v>0</v>
      </c>
      <c r="C26" s="1" t="str">
        <f>IF(B26=0,VLOOKUP(A26,Feuil2!$A$2:$M$1241,2,FALSE)," ")</f>
        <v>BEN HMED</v>
      </c>
      <c r="D26" s="1" t="str">
        <f>IF(B26=0,VLOOKUP(A26,Feuil2!$A$2:$M$1241,3,FALSE)," ")</f>
        <v>MOHSEN</v>
      </c>
      <c r="E26" s="5" t="s">
        <v>2860</v>
      </c>
    </row>
    <row r="27" spans="1:5" ht="18.75" customHeight="1" x14ac:dyDescent="0.3">
      <c r="A27" s="26">
        <v>662</v>
      </c>
      <c r="B27" s="1">
        <v>0</v>
      </c>
      <c r="C27" s="1" t="str">
        <f>IF(B27=0,VLOOKUP(A27,Feuil2!$A$2:$M$1241,2,FALSE)," ")</f>
        <v>BEN YOUSSEF</v>
      </c>
      <c r="D27" s="1" t="str">
        <f>IF(B27=0,VLOOKUP(A27,Feuil2!$A$2:$M$1241,3,FALSE)," ")</f>
        <v>RACHED</v>
      </c>
      <c r="E27" s="5" t="s">
        <v>2860</v>
      </c>
    </row>
    <row r="28" spans="1:5" x14ac:dyDescent="0.3">
      <c r="A28" s="26">
        <v>675</v>
      </c>
      <c r="B28" s="1">
        <v>0</v>
      </c>
      <c r="C28" s="1" t="str">
        <f>IF(B28=0,VLOOKUP(A28,Feuil2!$A$2:$M$1241,2,FALSE)," ")</f>
        <v>BOUBAKER</v>
      </c>
      <c r="D28" s="1" t="str">
        <f>IF(B28=0,VLOOKUP(A28,Feuil2!$A$2:$M$1241,3,FALSE)," ")</f>
        <v>MAHER</v>
      </c>
      <c r="E28" s="5" t="s">
        <v>2860</v>
      </c>
    </row>
    <row r="29" spans="1:5" x14ac:dyDescent="0.3">
      <c r="A29" s="26">
        <v>692</v>
      </c>
      <c r="B29" s="1">
        <v>0</v>
      </c>
      <c r="C29" s="1" t="str">
        <f>IF(B29=0,VLOOKUP(A29,Feuil2!$A$2:$M$1241,2,FALSE)," ")</f>
        <v>ABDELLAH</v>
      </c>
      <c r="D29" s="1" t="str">
        <f>IF(B29=0,VLOOKUP(A29,Feuil2!$A$2:$M$1241,3,FALSE)," ")</f>
        <v>MOHAMED</v>
      </c>
      <c r="E29" s="5" t="s">
        <v>2860</v>
      </c>
    </row>
    <row r="30" spans="1:5" x14ac:dyDescent="0.3">
      <c r="A30" s="26">
        <v>695</v>
      </c>
      <c r="B30" s="1">
        <v>0</v>
      </c>
      <c r="C30" s="1" t="str">
        <f>IF(B30=0,VLOOKUP(A30,Feuil2!$A$2:$M$1241,2,FALSE)," ")</f>
        <v>LAAJILI</v>
      </c>
      <c r="D30" s="1" t="str">
        <f>IF(B30=0,VLOOKUP(A30,Feuil2!$A$2:$M$1241,3,FALSE)," ")</f>
        <v>ABDELHAMID</v>
      </c>
      <c r="E30" s="5" t="s">
        <v>2860</v>
      </c>
    </row>
    <row r="31" spans="1:5" x14ac:dyDescent="0.3">
      <c r="A31" s="26">
        <v>700</v>
      </c>
      <c r="B31" s="1">
        <v>0</v>
      </c>
      <c r="C31" s="1" t="str">
        <f>IF(B31=0,VLOOKUP(A31,Feuil2!$A$2:$M$1241,2,FALSE)," ")</f>
        <v>ZORGATI</v>
      </c>
      <c r="D31" s="1" t="str">
        <f>IF(B31=0,VLOOKUP(A31,Feuil2!$A$2:$M$1241,3,FALSE)," ")</f>
        <v>ABDELFATTEH</v>
      </c>
      <c r="E31" s="5" t="s">
        <v>2860</v>
      </c>
    </row>
    <row r="32" spans="1:5" x14ac:dyDescent="0.3">
      <c r="A32" s="26">
        <v>701</v>
      </c>
      <c r="B32" s="1">
        <v>0</v>
      </c>
      <c r="C32" s="1" t="str">
        <f>IF(B32=0,VLOOKUP(A32,Feuil2!$A$2:$M$1241,2,FALSE)," ")</f>
        <v>BEN HASSINE</v>
      </c>
      <c r="D32" s="1" t="str">
        <f>IF(B32=0,VLOOKUP(A32,Feuil2!$A$2:$M$1241,3,FALSE)," ")</f>
        <v>ABDELHAKIM</v>
      </c>
      <c r="E32" s="5" t="s">
        <v>2860</v>
      </c>
    </row>
    <row r="33" spans="1:5" x14ac:dyDescent="0.3">
      <c r="A33" s="26">
        <v>721</v>
      </c>
      <c r="B33" s="1">
        <v>0</v>
      </c>
      <c r="C33" s="1" t="str">
        <f>IF(B33=0,VLOOKUP(A33,Feuil2!$A$2:$M$1241,2,FALSE)," ")</f>
        <v>BEN ABDELJELIL</v>
      </c>
      <c r="D33" s="1" t="str">
        <f>IF(B33=0,VLOOKUP(A33,Feuil2!$A$2:$M$1241,3,FALSE)," ")</f>
        <v>WAHID</v>
      </c>
      <c r="E33" s="5" t="s">
        <v>2860</v>
      </c>
    </row>
    <row r="34" spans="1:5" x14ac:dyDescent="0.3">
      <c r="A34" s="26">
        <v>725</v>
      </c>
      <c r="B34" s="1">
        <v>0</v>
      </c>
      <c r="C34" s="1" t="str">
        <f>IF(B34=0,VLOOKUP(A34,Feuil2!$A$2:$M$1241,2,FALSE)," ")</f>
        <v>BOUARGOUB</v>
      </c>
      <c r="D34" s="1" t="str">
        <f>IF(B34=0,VLOOKUP(A34,Feuil2!$A$2:$M$1241,3,FALSE)," ")</f>
        <v>MOURAD</v>
      </c>
      <c r="E34" s="5" t="s">
        <v>2860</v>
      </c>
    </row>
    <row r="35" spans="1:5" x14ac:dyDescent="0.3">
      <c r="A35" s="26">
        <v>761</v>
      </c>
      <c r="B35" s="1">
        <v>0</v>
      </c>
      <c r="C35" s="1" t="str">
        <f>IF(B35=0,VLOOKUP(A35,Feuil2!$A$2:$M$1241,2,FALSE)," ")</f>
        <v>SLIMENE</v>
      </c>
      <c r="D35" s="1" t="str">
        <f>IF(B35=0,VLOOKUP(A35,Feuil2!$A$2:$M$1241,3,FALSE)," ")</f>
        <v>RIDHA</v>
      </c>
      <c r="E35" s="5" t="s">
        <v>2860</v>
      </c>
    </row>
    <row r="36" spans="1:5" x14ac:dyDescent="0.3">
      <c r="A36" s="26">
        <v>772</v>
      </c>
      <c r="B36" s="1">
        <v>0</v>
      </c>
      <c r="C36" s="1" t="str">
        <f>IF(B36=0,VLOOKUP(A36,Feuil2!$A$2:$M$1241,2,FALSE)," ")</f>
        <v>BOUHLEL</v>
      </c>
      <c r="D36" s="1" t="str">
        <f>IF(B36=0,VLOOKUP(A36,Feuil2!$A$2:$M$1241,3,FALSE)," ")</f>
        <v>LOTFI</v>
      </c>
      <c r="E36" s="5" t="s">
        <v>2860</v>
      </c>
    </row>
    <row r="37" spans="1:5" x14ac:dyDescent="0.3">
      <c r="A37" s="26">
        <v>775</v>
      </c>
      <c r="B37" s="1">
        <v>0</v>
      </c>
      <c r="C37" s="1" t="str">
        <f>IF(B37=0,VLOOKUP(A37,Feuil2!$A$2:$M$1241,2,FALSE)," ")</f>
        <v>ZORGATI</v>
      </c>
      <c r="D37" s="1" t="str">
        <f>IF(B37=0,VLOOKUP(A37,Feuil2!$A$2:$M$1241,3,FALSE)," ")</f>
        <v>MONDHER</v>
      </c>
      <c r="E37" s="5" t="s">
        <v>2862</v>
      </c>
    </row>
    <row r="38" spans="1:5" x14ac:dyDescent="0.3">
      <c r="A38" s="26">
        <v>784</v>
      </c>
      <c r="B38" s="1">
        <v>0</v>
      </c>
      <c r="C38" s="1" t="str">
        <f>IF(B38=0,VLOOKUP(A38,Feuil2!$A$2:$M$1241,2,FALSE)," ")</f>
        <v>BEN AMOR</v>
      </c>
      <c r="D38" s="1" t="str">
        <f>IF(B38=0,VLOOKUP(A38,Feuil2!$A$2:$M$1241,3,FALSE)," ")</f>
        <v>MED NEJIB</v>
      </c>
      <c r="E38" s="5" t="s">
        <v>2860</v>
      </c>
    </row>
    <row r="39" spans="1:5" x14ac:dyDescent="0.3">
      <c r="A39" s="26">
        <v>787</v>
      </c>
      <c r="B39" s="1">
        <v>0</v>
      </c>
      <c r="C39" s="1" t="str">
        <f>IF(B39=0,VLOOKUP(A39,Feuil2!$A$2:$M$1241,2,FALSE)," ")</f>
        <v>SASSI</v>
      </c>
      <c r="D39" s="1" t="str">
        <f>IF(B39=0,VLOOKUP(A39,Feuil2!$A$2:$M$1241,3,FALSE)," ")</f>
        <v>HABIB</v>
      </c>
      <c r="E39" s="5" t="s">
        <v>2860</v>
      </c>
    </row>
    <row r="40" spans="1:5" x14ac:dyDescent="0.3">
      <c r="A40" s="26">
        <v>790</v>
      </c>
      <c r="B40" s="1">
        <v>0</v>
      </c>
      <c r="C40" s="1" t="str">
        <f>IF(B40=0,VLOOKUP(A40,Feuil2!$A$2:$M$1241,2,FALSE)," ")</f>
        <v>ATTIA</v>
      </c>
      <c r="D40" s="1" t="str">
        <f>IF(B40=0,VLOOKUP(A40,Feuil2!$A$2:$M$1241,3,FALSE)," ")</f>
        <v>HAFEDH</v>
      </c>
      <c r="E40" s="5" t="s">
        <v>2860</v>
      </c>
    </row>
    <row r="41" spans="1:5" x14ac:dyDescent="0.3">
      <c r="A41" s="26">
        <v>809</v>
      </c>
      <c r="B41" s="1">
        <v>0</v>
      </c>
      <c r="C41" s="1" t="str">
        <f>IF(B41=0,VLOOKUP(A41,Feuil2!$A$2:$M$1241,2,FALSE)," ")</f>
        <v>HADJ AMMAR</v>
      </c>
      <c r="D41" s="1" t="str">
        <f>IF(B41=0,VLOOKUP(A41,Feuil2!$A$2:$M$1241,3,FALSE)," ")</f>
        <v>KAMEL</v>
      </c>
      <c r="E41" s="5" t="s">
        <v>2860</v>
      </c>
    </row>
    <row r="42" spans="1:5" x14ac:dyDescent="0.3">
      <c r="A42" s="26">
        <v>815</v>
      </c>
      <c r="B42" s="1">
        <v>0</v>
      </c>
      <c r="C42" s="1" t="str">
        <f>IF(B42=0,VLOOKUP(A42,Feuil2!$A$2:$M$1241,2,FALSE)," ")</f>
        <v>DAHMANI</v>
      </c>
      <c r="D42" s="1" t="str">
        <f>IF(B42=0,VLOOKUP(A42,Feuil2!$A$2:$M$1241,3,FALSE)," ")</f>
        <v>HAFSI</v>
      </c>
      <c r="E42" s="5" t="s">
        <v>2860</v>
      </c>
    </row>
    <row r="43" spans="1:5" x14ac:dyDescent="0.3">
      <c r="A43" s="26">
        <v>824</v>
      </c>
      <c r="B43" s="1">
        <v>0</v>
      </c>
      <c r="C43" s="1" t="str">
        <f>IF(B43=0,VLOOKUP(A43,Feuil2!$A$2:$M$1241,2,FALSE)," ")</f>
        <v>MRIBAH</v>
      </c>
      <c r="D43" s="1" t="str">
        <f>IF(B43=0,VLOOKUP(A43,Feuil2!$A$2:$M$1241,3,FALSE)," ")</f>
        <v>NACEUR</v>
      </c>
      <c r="E43" s="5" t="s">
        <v>2860</v>
      </c>
    </row>
    <row r="44" spans="1:5" x14ac:dyDescent="0.3">
      <c r="A44" s="26">
        <v>832</v>
      </c>
      <c r="B44" s="1">
        <v>0</v>
      </c>
      <c r="C44" s="1" t="str">
        <f>IF(B44=0,VLOOKUP(A44,Feuil2!$A$2:$M$1241,2,FALSE)," ")</f>
        <v>ABBASSI</v>
      </c>
      <c r="D44" s="1" t="str">
        <f>IF(B44=0,VLOOKUP(A44,Feuil2!$A$2:$M$1241,3,FALSE)," ")</f>
        <v>LOTFI</v>
      </c>
      <c r="E44" s="5" t="s">
        <v>2860</v>
      </c>
    </row>
    <row r="45" spans="1:5" x14ac:dyDescent="0.3">
      <c r="A45" s="26">
        <v>835</v>
      </c>
      <c r="B45" s="1">
        <v>0</v>
      </c>
      <c r="C45" s="1" t="str">
        <f>IF(B45=0,VLOOKUP(A45,Feuil2!$A$2:$M$1241,2,FALSE)," ")</f>
        <v>LAGRAS</v>
      </c>
      <c r="D45" s="1" t="str">
        <f>IF(B45=0,VLOOKUP(A45,Feuil2!$A$2:$M$1241,3,FALSE)," ")</f>
        <v>SADOK</v>
      </c>
      <c r="E45" s="5" t="s">
        <v>2860</v>
      </c>
    </row>
    <row r="46" spans="1:5" x14ac:dyDescent="0.3">
      <c r="A46" s="26">
        <v>849</v>
      </c>
      <c r="B46" s="1">
        <v>0</v>
      </c>
      <c r="C46" s="1" t="str">
        <f>IF(B46=0,VLOOKUP(A46,Feuil2!$A$2:$M$1241,2,FALSE)," ")</f>
        <v>KAIBI</v>
      </c>
      <c r="D46" s="1" t="str">
        <f>IF(B46=0,VLOOKUP(A46,Feuil2!$A$2:$M$1241,3,FALSE)," ")</f>
        <v>RIDHA</v>
      </c>
      <c r="E46" s="5" t="s">
        <v>2860</v>
      </c>
    </row>
    <row r="47" spans="1:5" x14ac:dyDescent="0.3">
      <c r="A47" s="26">
        <v>859</v>
      </c>
      <c r="B47" s="1">
        <v>0</v>
      </c>
      <c r="C47" s="1" t="str">
        <f>IF(B47=0,VLOOKUP(A47,Feuil2!$A$2:$M$1241,2,FALSE)," ")</f>
        <v>ZRELLI</v>
      </c>
      <c r="D47" s="1" t="str">
        <f>IF(B47=0,VLOOKUP(A47,Feuil2!$A$2:$M$1241,3,FALSE)," ")</f>
        <v>MOHAMED</v>
      </c>
      <c r="E47" s="5" t="s">
        <v>2860</v>
      </c>
    </row>
    <row r="48" spans="1:5" x14ac:dyDescent="0.3">
      <c r="A48" s="26">
        <v>879</v>
      </c>
      <c r="B48" s="1">
        <v>0</v>
      </c>
      <c r="C48" s="1" t="str">
        <f>IF(B48=0,VLOOKUP(A48,Feuil2!$A$2:$M$1241,2,FALSE)," ")</f>
        <v>MOUSSA</v>
      </c>
      <c r="D48" s="1" t="str">
        <f>IF(B48=0,VLOOKUP(A48,Feuil2!$A$2:$M$1241,3,FALSE)," ")</f>
        <v>ABDERRAZEK</v>
      </c>
      <c r="E48" s="5" t="s">
        <v>2860</v>
      </c>
    </row>
    <row r="49" spans="1:5" x14ac:dyDescent="0.3">
      <c r="A49" s="26">
        <v>895</v>
      </c>
      <c r="B49" s="1">
        <v>0</v>
      </c>
      <c r="C49" s="1" t="str">
        <f>IF(B49=0,VLOOKUP(A49,Feuil2!$A$2:$M$1241,2,FALSE)," ")</f>
        <v>HAMILA</v>
      </c>
      <c r="D49" s="1" t="str">
        <f>IF(B49=0,VLOOKUP(A49,Feuil2!$A$2:$M$1241,3,FALSE)," ")</f>
        <v>RAFIK</v>
      </c>
      <c r="E49" s="5" t="s">
        <v>2860</v>
      </c>
    </row>
    <row r="50" spans="1:5" x14ac:dyDescent="0.3">
      <c r="A50" s="26">
        <v>903</v>
      </c>
      <c r="B50" s="1">
        <v>0</v>
      </c>
      <c r="C50" s="1" t="str">
        <f>IF(B50=0,VLOOKUP(A50,Feuil2!$A$2:$M$1241,2,FALSE)," ")</f>
        <v>BEL HADJ ALI</v>
      </c>
      <c r="D50" s="1" t="str">
        <f>IF(B50=0,VLOOKUP(A50,Feuil2!$A$2:$M$1241,3,FALSE)," ")</f>
        <v>JALEL</v>
      </c>
      <c r="E50" s="5" t="s">
        <v>2860</v>
      </c>
    </row>
    <row r="51" spans="1:5" x14ac:dyDescent="0.3">
      <c r="A51" s="26">
        <v>907</v>
      </c>
      <c r="B51" s="1">
        <v>0</v>
      </c>
      <c r="C51" s="1" t="str">
        <f>IF(B51=0,VLOOKUP(A51,Feuil2!$A$2:$M$1241,2,FALSE)," ")</f>
        <v>NOUIRA</v>
      </c>
      <c r="D51" s="1" t="str">
        <f>IF(B51=0,VLOOKUP(A51,Feuil2!$A$2:$M$1241,3,FALSE)," ")</f>
        <v>KAMEL</v>
      </c>
      <c r="E51" s="5" t="s">
        <v>2860</v>
      </c>
    </row>
    <row r="52" spans="1:5" x14ac:dyDescent="0.3">
      <c r="A52" s="26">
        <v>908</v>
      </c>
      <c r="B52" s="1">
        <v>0</v>
      </c>
      <c r="C52" s="1" t="str">
        <f>IF(B52=0,VLOOKUP(A52,Feuil2!$A$2:$M$1241,2,FALSE)," ")</f>
        <v>YOUSSEF</v>
      </c>
      <c r="D52" s="1" t="str">
        <f>IF(B52=0,VLOOKUP(A52,Feuil2!$A$2:$M$1241,3,FALSE)," ")</f>
        <v>HEDI</v>
      </c>
      <c r="E52" s="5" t="s">
        <v>2860</v>
      </c>
    </row>
    <row r="53" spans="1:5" x14ac:dyDescent="0.3">
      <c r="A53" s="26">
        <v>913</v>
      </c>
      <c r="B53" s="1">
        <v>0</v>
      </c>
      <c r="C53" s="1" t="str">
        <f>IF(B53=0,VLOOKUP(A53,Feuil2!$A$2:$M$1241,2,FALSE)," ")</f>
        <v>MAOUA</v>
      </c>
      <c r="D53" s="1" t="str">
        <f>IF(B53=0,VLOOKUP(A53,Feuil2!$A$2:$M$1241,3,FALSE)," ")</f>
        <v>MED HEDI</v>
      </c>
      <c r="E53" s="5" t="s">
        <v>2860</v>
      </c>
    </row>
    <row r="54" spans="1:5" x14ac:dyDescent="0.3">
      <c r="A54" s="26">
        <v>915</v>
      </c>
      <c r="B54" s="1">
        <v>0</v>
      </c>
      <c r="C54" s="1" t="str">
        <f>IF(B54=0,VLOOKUP(A54,Feuil2!$A$2:$M$1241,2,FALSE)," ")</f>
        <v>AMARA</v>
      </c>
      <c r="D54" s="1" t="str">
        <f>IF(B54=0,VLOOKUP(A54,Feuil2!$A$2:$M$1241,3,FALSE)," ")</f>
        <v>HABIB</v>
      </c>
      <c r="E54" s="5" t="s">
        <v>2860</v>
      </c>
    </row>
    <row r="55" spans="1:5" x14ac:dyDescent="0.3">
      <c r="A55" s="26">
        <v>919</v>
      </c>
      <c r="B55" s="1">
        <v>0</v>
      </c>
      <c r="C55" s="1" t="str">
        <f>IF(B55=0,VLOOKUP(A55,Feuil2!$A$2:$M$1241,2,FALSE)," ")</f>
        <v>KARMOUS</v>
      </c>
      <c r="D55" s="1" t="str">
        <f>IF(B55=0,VLOOKUP(A55,Feuil2!$A$2:$M$1241,3,FALSE)," ")</f>
        <v>TAREK</v>
      </c>
      <c r="E55" s="5" t="s">
        <v>2860</v>
      </c>
    </row>
    <row r="56" spans="1:5" x14ac:dyDescent="0.3">
      <c r="A56" s="26">
        <v>920</v>
      </c>
      <c r="B56" s="1">
        <v>0</v>
      </c>
      <c r="C56" s="1" t="str">
        <f>IF(B56=0,VLOOKUP(A56,Feuil2!$A$2:$M$1241,2,FALSE)," ")</f>
        <v>BEL HADJ MEFTAH</v>
      </c>
      <c r="D56" s="1" t="str">
        <f>IF(B56=0,VLOOKUP(A56,Feuil2!$A$2:$M$1241,3,FALSE)," ")</f>
        <v>ABDERRAOUF</v>
      </c>
      <c r="E56" s="5" t="s">
        <v>2860</v>
      </c>
    </row>
    <row r="57" spans="1:5" x14ac:dyDescent="0.3">
      <c r="A57" s="26">
        <v>923</v>
      </c>
      <c r="B57" s="1">
        <v>0</v>
      </c>
      <c r="C57" s="1" t="str">
        <f>IF(B57=0,VLOOKUP(A57,Feuil2!$A$2:$M$1241,2,FALSE)," ")</f>
        <v>BEN AZIZA</v>
      </c>
      <c r="D57" s="1" t="str">
        <f>IF(B57=0,VLOOKUP(A57,Feuil2!$A$2:$M$1241,3,FALSE)," ")</f>
        <v>SLAH</v>
      </c>
      <c r="E57" s="5" t="s">
        <v>2860</v>
      </c>
    </row>
    <row r="58" spans="1:5" x14ac:dyDescent="0.3">
      <c r="A58" s="26">
        <v>927</v>
      </c>
      <c r="B58" s="1">
        <v>0</v>
      </c>
      <c r="C58" s="1" t="str">
        <f>IF(B58=0,VLOOKUP(A58,Feuil2!$A$2:$M$1241,2,FALSE)," ")</f>
        <v>ZIDI SAAFI</v>
      </c>
      <c r="D58" s="1" t="str">
        <f>IF(B58=0,VLOOKUP(A58,Feuil2!$A$2:$M$1241,3,FALSE)," ")</f>
        <v>MUSTAPHA</v>
      </c>
      <c r="E58" s="5" t="s">
        <v>2860</v>
      </c>
    </row>
    <row r="59" spans="1:5" x14ac:dyDescent="0.3">
      <c r="A59" s="26">
        <v>931</v>
      </c>
      <c r="B59" s="1">
        <v>0</v>
      </c>
      <c r="C59" s="1" t="str">
        <f>IF(B59=0,VLOOKUP(A59,Feuil2!$A$2:$M$1241,2,FALSE)," ")</f>
        <v>KRIFA</v>
      </c>
      <c r="D59" s="1" t="str">
        <f>IF(B59=0,VLOOKUP(A59,Feuil2!$A$2:$M$1241,3,FALSE)," ")</f>
        <v>MOHAMED</v>
      </c>
      <c r="E59" s="5" t="s">
        <v>2860</v>
      </c>
    </row>
    <row r="60" spans="1:5" x14ac:dyDescent="0.3">
      <c r="A60" s="26">
        <v>933</v>
      </c>
      <c r="B60" s="1">
        <v>0</v>
      </c>
      <c r="C60" s="1" t="str">
        <f>IF(B60=0,VLOOKUP(A60,Feuil2!$A$2:$M$1241,2,FALSE)," ")</f>
        <v>ACHECH</v>
      </c>
      <c r="D60" s="1" t="str">
        <f>IF(B60=0,VLOOKUP(A60,Feuil2!$A$2:$M$1241,3,FALSE)," ")</f>
        <v>IMED</v>
      </c>
      <c r="E60" s="5" t="s">
        <v>2860</v>
      </c>
    </row>
    <row r="61" spans="1:5" x14ac:dyDescent="0.3">
      <c r="A61" s="26">
        <v>935</v>
      </c>
      <c r="B61" s="1">
        <v>0</v>
      </c>
      <c r="C61" s="1" t="str">
        <f>IF(B61=0,VLOOKUP(A61,Feuil2!$A$2:$M$1241,2,FALSE)," ")</f>
        <v>HAOUAS ZAHOUANI</v>
      </c>
      <c r="D61" s="1" t="str">
        <f>IF(B61=0,VLOOKUP(A61,Feuil2!$A$2:$M$1241,3,FALSE)," ")</f>
        <v>MOHAMED AMEN</v>
      </c>
      <c r="E61" s="5" t="s">
        <v>2860</v>
      </c>
    </row>
    <row r="62" spans="1:5" x14ac:dyDescent="0.3">
      <c r="A62" s="26">
        <v>955</v>
      </c>
      <c r="B62" s="1">
        <v>0</v>
      </c>
      <c r="C62" s="1" t="str">
        <f>IF(B62=0,VLOOKUP(A62,Feuil2!$A$2:$M$1241,2,FALSE)," ")</f>
        <v>MANSOUR</v>
      </c>
      <c r="D62" s="1" t="str">
        <f>IF(B62=0,VLOOKUP(A62,Feuil2!$A$2:$M$1241,3,FALSE)," ")</f>
        <v>NABIL</v>
      </c>
      <c r="E62" s="5" t="s">
        <v>2860</v>
      </c>
    </row>
    <row r="63" spans="1:5" x14ac:dyDescent="0.3">
      <c r="A63" s="26">
        <v>957</v>
      </c>
      <c r="B63" s="1">
        <v>0</v>
      </c>
      <c r="C63" s="1" t="str">
        <f>IF(B63=0,VLOOKUP(A63,Feuil2!$A$2:$M$1241,2,FALSE)," ")</f>
        <v>GAZZAH</v>
      </c>
      <c r="D63" s="1" t="str">
        <f>IF(B63=0,VLOOKUP(A63,Feuil2!$A$2:$M$1241,3,FALSE)," ")</f>
        <v>NIZAR</v>
      </c>
      <c r="E63" s="5" t="s">
        <v>2860</v>
      </c>
    </row>
    <row r="64" spans="1:5" x14ac:dyDescent="0.3">
      <c r="A64" s="26">
        <v>958</v>
      </c>
      <c r="B64" s="1">
        <v>0</v>
      </c>
      <c r="C64" s="1" t="str">
        <f>IF(B64=0,VLOOKUP(A64,Feuil2!$A$2:$M$1241,2,FALSE)," ")</f>
        <v>LAMINE</v>
      </c>
      <c r="D64" s="1" t="str">
        <f>IF(B64=0,VLOOKUP(A64,Feuil2!$A$2:$M$1241,3,FALSE)," ")</f>
        <v>ABDELAZIZ</v>
      </c>
      <c r="E64" s="5" t="s">
        <v>2860</v>
      </c>
    </row>
    <row r="65" spans="1:5" x14ac:dyDescent="0.3">
      <c r="A65" s="26">
        <v>961</v>
      </c>
      <c r="B65" s="1">
        <v>0</v>
      </c>
      <c r="C65" s="1" t="str">
        <f>IF(B65=0,VLOOKUP(A65,Feuil2!$A$2:$M$1241,2,FALSE)," ")</f>
        <v>REGAIEG</v>
      </c>
      <c r="D65" s="1" t="str">
        <f>IF(B65=0,VLOOKUP(A65,Feuil2!$A$2:$M$1241,3,FALSE)," ")</f>
        <v>HABIB</v>
      </c>
      <c r="E65" s="5" t="s">
        <v>2860</v>
      </c>
    </row>
    <row r="66" spans="1:5" x14ac:dyDescent="0.3">
      <c r="A66" s="26">
        <v>965</v>
      </c>
      <c r="B66" s="1">
        <v>0</v>
      </c>
      <c r="C66" s="1" t="str">
        <f>IF(B66=0,VLOOKUP(A66,Feuil2!$A$2:$M$1241,2,FALSE)," ")</f>
        <v>BEN FREDJ</v>
      </c>
      <c r="D66" s="1" t="str">
        <f>IF(B66=0,VLOOKUP(A66,Feuil2!$A$2:$M$1241,3,FALSE)," ")</f>
        <v>ABDELKARIM</v>
      </c>
      <c r="E66" s="5" t="s">
        <v>2860</v>
      </c>
    </row>
    <row r="67" spans="1:5" x14ac:dyDescent="0.3">
      <c r="A67" s="26">
        <v>967</v>
      </c>
      <c r="B67" s="1">
        <v>0</v>
      </c>
      <c r="C67" s="1" t="str">
        <f>IF(B67=0,VLOOKUP(A67,Feuil2!$A$2:$M$1241,2,FALSE)," ")</f>
        <v>SOUISSI</v>
      </c>
      <c r="D67" s="1" t="str">
        <f>IF(B67=0,VLOOKUP(A67,Feuil2!$A$2:$M$1241,3,FALSE)," ")</f>
        <v>MOHAMED</v>
      </c>
      <c r="E67" s="5" t="s">
        <v>2860</v>
      </c>
    </row>
    <row r="68" spans="1:5" x14ac:dyDescent="0.3">
      <c r="A68" s="26">
        <v>978</v>
      </c>
      <c r="B68" s="1">
        <v>0</v>
      </c>
      <c r="C68" s="1" t="str">
        <f>IF(B68=0,VLOOKUP(A68,Feuil2!$A$2:$M$1241,2,FALSE)," ")</f>
        <v>GRAIET</v>
      </c>
      <c r="D68" s="1" t="str">
        <f>IF(B68=0,VLOOKUP(A68,Feuil2!$A$2:$M$1241,3,FALSE)," ")</f>
        <v>ADEL</v>
      </c>
      <c r="E68" s="5" t="s">
        <v>2860</v>
      </c>
    </row>
    <row r="69" spans="1:5" x14ac:dyDescent="0.3">
      <c r="A69" s="26">
        <v>990</v>
      </c>
      <c r="B69" s="1">
        <v>0</v>
      </c>
      <c r="C69" s="1" t="str">
        <f>IF(B69=0,VLOOKUP(A69,Feuil2!$A$2:$M$1241,2,FALSE)," ")</f>
        <v>GARDALLOU</v>
      </c>
      <c r="D69" s="1" t="str">
        <f>IF(B69=0,VLOOKUP(A69,Feuil2!$A$2:$M$1241,3,FALSE)," ")</f>
        <v>SAMIR</v>
      </c>
      <c r="E69" s="5" t="s">
        <v>2860</v>
      </c>
    </row>
    <row r="70" spans="1:5" x14ac:dyDescent="0.3">
      <c r="A70" s="26">
        <v>997</v>
      </c>
      <c r="B70" s="1">
        <v>0</v>
      </c>
      <c r="C70" s="1" t="str">
        <f>IF(B70=0,VLOOKUP(A70,Feuil2!$A$2:$M$1241,2,FALSE)," ")</f>
        <v>KOIUISSAH MAHJOUB</v>
      </c>
      <c r="D70" s="1" t="str">
        <f>IF(B70=0,VLOOKUP(A70,Feuil2!$A$2:$M$1241,3,FALSE)," ")</f>
        <v>SLAH</v>
      </c>
      <c r="E70" s="5" t="s">
        <v>2860</v>
      </c>
    </row>
    <row r="71" spans="1:5" x14ac:dyDescent="0.3">
      <c r="A71" s="26">
        <v>1504</v>
      </c>
      <c r="B71" s="1">
        <v>0</v>
      </c>
      <c r="C71" s="1" t="str">
        <f>IF(B71=0,VLOOKUP(A71,Feuil2!$A$2:$M$1241,2,FALSE)," ")</f>
        <v>ABBADI</v>
      </c>
      <c r="D71" s="1" t="str">
        <f>IF(B71=0,VLOOKUP(A71,Feuil2!$A$2:$M$1241,3,FALSE)," ")</f>
        <v>HABIB</v>
      </c>
      <c r="E71" s="5" t="s">
        <v>2860</v>
      </c>
    </row>
    <row r="72" spans="1:5" x14ac:dyDescent="0.3">
      <c r="A72" s="26">
        <v>1507</v>
      </c>
      <c r="B72" s="1">
        <v>0</v>
      </c>
      <c r="C72" s="1" t="str">
        <f>IF(B72=0,VLOOKUP(A72,Feuil2!$A$2:$M$1241,2,FALSE)," ")</f>
        <v>MANSOUR</v>
      </c>
      <c r="D72" s="1" t="str">
        <f>IF(B72=0,VLOOKUP(A72,Feuil2!$A$2:$M$1241,3,FALSE)," ")</f>
        <v>AHMED</v>
      </c>
      <c r="E72" s="5" t="s">
        <v>2860</v>
      </c>
    </row>
    <row r="73" spans="1:5" x14ac:dyDescent="0.3">
      <c r="A73" s="26">
        <v>1510</v>
      </c>
      <c r="B73" s="1">
        <v>0</v>
      </c>
      <c r="C73" s="1" t="str">
        <f>IF(B73=0,VLOOKUP(A73,Feuil2!$A$2:$M$1241,2,FALSE)," ")</f>
        <v>GAALOUL</v>
      </c>
      <c r="D73" s="1" t="str">
        <f>IF(B73=0,VLOOKUP(A73,Feuil2!$A$2:$M$1241,3,FALSE)," ")</f>
        <v>FETHI</v>
      </c>
      <c r="E73" s="5" t="s">
        <v>2860</v>
      </c>
    </row>
    <row r="74" spans="1:5" x14ac:dyDescent="0.3">
      <c r="A74" s="26">
        <v>1511</v>
      </c>
      <c r="B74" s="1">
        <v>0</v>
      </c>
      <c r="C74" s="1" t="str">
        <f>IF(B74=0,VLOOKUP(A74,Feuil2!$A$2:$M$1241,2,FALSE)," ")</f>
        <v>SOYAH</v>
      </c>
      <c r="D74" s="1" t="str">
        <f>IF(B74=0,VLOOKUP(A74,Feuil2!$A$2:$M$1241,3,FALSE)," ")</f>
        <v>NEJIB</v>
      </c>
      <c r="E74" s="5" t="s">
        <v>2860</v>
      </c>
    </row>
    <row r="75" spans="1:5" x14ac:dyDescent="0.3">
      <c r="A75" s="26">
        <v>1514</v>
      </c>
      <c r="B75" s="1">
        <v>0</v>
      </c>
      <c r="C75" s="1" t="str">
        <f>IF(B75=0,VLOOKUP(A75,Feuil2!$A$2:$M$1241,2,FALSE)," ")</f>
        <v>KHELIFI</v>
      </c>
      <c r="D75" s="1" t="str">
        <f>IF(B75=0,VLOOKUP(A75,Feuil2!$A$2:$M$1241,3,FALSE)," ")</f>
        <v>MOHSEN</v>
      </c>
      <c r="E75" s="5" t="s">
        <v>2860</v>
      </c>
    </row>
    <row r="76" spans="1:5" x14ac:dyDescent="0.3">
      <c r="A76" s="26">
        <v>1518</v>
      </c>
      <c r="B76" s="1">
        <v>0</v>
      </c>
      <c r="C76" s="1" t="str">
        <f>IF(B76=0,VLOOKUP(A76,Feuil2!$A$2:$M$1241,2,FALSE)," ")</f>
        <v>HOUIJ</v>
      </c>
      <c r="D76" s="1" t="str">
        <f>IF(B76=0,VLOOKUP(A76,Feuil2!$A$2:$M$1241,3,FALSE)," ")</f>
        <v>CHIHEB</v>
      </c>
      <c r="E76" s="5" t="s">
        <v>2860</v>
      </c>
    </row>
    <row r="77" spans="1:5" x14ac:dyDescent="0.3">
      <c r="A77" s="26">
        <v>1524</v>
      </c>
      <c r="B77" s="1">
        <v>0</v>
      </c>
      <c r="C77" s="1" t="str">
        <f>IF(B77=0,VLOOKUP(A77,Feuil2!$A$2:$M$1241,2,FALSE)," ")</f>
        <v>BABAY ROUIS</v>
      </c>
      <c r="D77" s="1" t="str">
        <f>IF(B77=0,VLOOKUP(A77,Feuil2!$A$2:$M$1241,3,FALSE)," ")</f>
        <v>LOTFI</v>
      </c>
      <c r="E77" s="5" t="s">
        <v>2860</v>
      </c>
    </row>
    <row r="78" spans="1:5" x14ac:dyDescent="0.3">
      <c r="A78" s="26">
        <v>1525</v>
      </c>
      <c r="B78" s="1">
        <v>0</v>
      </c>
      <c r="C78" s="1" t="str">
        <f>IF(B78=0,VLOOKUP(A78,Feuil2!$A$2:$M$1241,2,FALSE)," ")</f>
        <v>HAMDAOUI</v>
      </c>
      <c r="D78" s="1" t="str">
        <f>IF(B78=0,VLOOKUP(A78,Feuil2!$A$2:$M$1241,3,FALSE)," ")</f>
        <v>MOKHTAR</v>
      </c>
      <c r="E78" s="5" t="s">
        <v>2860</v>
      </c>
    </row>
    <row r="79" spans="1:5" x14ac:dyDescent="0.3">
      <c r="A79" s="26">
        <v>1530</v>
      </c>
      <c r="B79" s="1">
        <v>0</v>
      </c>
      <c r="C79" s="1" t="str">
        <f>IF(B79=0,VLOOKUP(A79,Feuil2!$A$2:$M$1241,2,FALSE)," ")</f>
        <v>MAHJOUB</v>
      </c>
      <c r="D79" s="1" t="str">
        <f>IF(B79=0,VLOOKUP(A79,Feuil2!$A$2:$M$1241,3,FALSE)," ")</f>
        <v>KHALED</v>
      </c>
      <c r="E79" s="5" t="s">
        <v>2860</v>
      </c>
    </row>
    <row r="80" spans="1:5" x14ac:dyDescent="0.3">
      <c r="A80" s="26">
        <v>1535</v>
      </c>
      <c r="B80" s="1">
        <v>0</v>
      </c>
      <c r="C80" s="1" t="str">
        <f>IF(B80=0,VLOOKUP(A80,Feuil2!$A$2:$M$1241,2,FALSE)," ")</f>
        <v>ROUIS</v>
      </c>
      <c r="D80" s="1" t="str">
        <f>IF(B80=0,VLOOKUP(A80,Feuil2!$A$2:$M$1241,3,FALSE)," ")</f>
        <v>LOTFI</v>
      </c>
      <c r="E80" s="5" t="s">
        <v>2860</v>
      </c>
    </row>
    <row r="81" spans="1:5" x14ac:dyDescent="0.3">
      <c r="A81" s="26">
        <v>1541</v>
      </c>
      <c r="B81" s="1">
        <v>0</v>
      </c>
      <c r="C81" s="1" t="str">
        <f>IF(B81=0,VLOOKUP(A81,Feuil2!$A$2:$M$1241,2,FALSE)," ")</f>
        <v>MAHJOUB</v>
      </c>
      <c r="D81" s="1" t="str">
        <f>IF(B81=0,VLOOKUP(A81,Feuil2!$A$2:$M$1241,3,FALSE)," ")</f>
        <v>MOUNIR</v>
      </c>
      <c r="E81" s="5" t="s">
        <v>2860</v>
      </c>
    </row>
    <row r="82" spans="1:5" x14ac:dyDescent="0.3">
      <c r="A82" s="26">
        <v>1542</v>
      </c>
      <c r="B82" s="1">
        <v>0</v>
      </c>
      <c r="C82" s="1" t="str">
        <f>IF(B82=0,VLOOKUP(A82,Feuil2!$A$2:$M$1241,2,FALSE)," ")</f>
        <v>MABROUK</v>
      </c>
      <c r="D82" s="1" t="str">
        <f>IF(B82=0,VLOOKUP(A82,Feuil2!$A$2:$M$1241,3,FALSE)," ")</f>
        <v>JAMEL</v>
      </c>
      <c r="E82" s="5" t="s">
        <v>2860</v>
      </c>
    </row>
    <row r="83" spans="1:5" x14ac:dyDescent="0.3">
      <c r="A83" s="26">
        <v>1548</v>
      </c>
      <c r="B83" s="1">
        <v>0</v>
      </c>
      <c r="C83" s="1" t="str">
        <f>IF(B83=0,VLOOKUP(A83,Feuil2!$A$2:$M$1241,2,FALSE)," ")</f>
        <v>YOUSSEF</v>
      </c>
      <c r="D83" s="1" t="str">
        <f>IF(B83=0,VLOOKUP(A83,Feuil2!$A$2:$M$1241,3,FALSE)," ")</f>
        <v>WAHID</v>
      </c>
      <c r="E83" s="5" t="s">
        <v>2860</v>
      </c>
    </row>
    <row r="84" spans="1:5" x14ac:dyDescent="0.3">
      <c r="A84" s="26">
        <v>1549</v>
      </c>
      <c r="B84" s="1">
        <v>0</v>
      </c>
      <c r="C84" s="1" t="str">
        <f>IF(B84=0,VLOOKUP(A84,Feuil2!$A$2:$M$1241,2,FALSE)," ")</f>
        <v>GUERRIDA</v>
      </c>
      <c r="D84" s="1" t="str">
        <f>IF(B84=0,VLOOKUP(A84,Feuil2!$A$2:$M$1241,3,FALSE)," ")</f>
        <v>JAOUHAR</v>
      </c>
      <c r="E84" s="5" t="s">
        <v>2860</v>
      </c>
    </row>
    <row r="85" spans="1:5" x14ac:dyDescent="0.3">
      <c r="A85" s="26">
        <v>1553</v>
      </c>
      <c r="B85" s="1">
        <v>0</v>
      </c>
      <c r="C85" s="1" t="str">
        <f>IF(B85=0,VLOOKUP(A85,Feuil2!$A$2:$M$1241,2,FALSE)," ")</f>
        <v>BOUNEB</v>
      </c>
      <c r="D85" s="1" t="str">
        <f>IF(B85=0,VLOOKUP(A85,Feuil2!$A$2:$M$1241,3,FALSE)," ")</f>
        <v>MOHAMED</v>
      </c>
      <c r="E85" s="5" t="s">
        <v>2860</v>
      </c>
    </row>
    <row r="86" spans="1:5" x14ac:dyDescent="0.3">
      <c r="A86" s="26">
        <v>1555</v>
      </c>
      <c r="B86" s="1">
        <v>0</v>
      </c>
      <c r="C86" s="1" t="str">
        <f>IF(B86=0,VLOOKUP(A86,Feuil2!$A$2:$M$1241,2,FALSE)," ")</f>
        <v>FHIMA</v>
      </c>
      <c r="D86" s="1" t="str">
        <f>IF(B86=0,VLOOKUP(A86,Feuil2!$A$2:$M$1241,3,FALSE)," ")</f>
        <v>HAMDI</v>
      </c>
      <c r="E86" s="5" t="s">
        <v>2860</v>
      </c>
    </row>
    <row r="87" spans="1:5" x14ac:dyDescent="0.3">
      <c r="A87" s="26">
        <v>1556</v>
      </c>
      <c r="B87" s="1">
        <v>0</v>
      </c>
      <c r="C87" s="1" t="str">
        <f>IF(B87=0,VLOOKUP(A87,Feuil2!$A$2:$M$1241,2,FALSE)," ")</f>
        <v>LOGHMARI</v>
      </c>
      <c r="D87" s="1" t="str">
        <f>IF(B87=0,VLOOKUP(A87,Feuil2!$A$2:$M$1241,3,FALSE)," ")</f>
        <v>KHELIL</v>
      </c>
      <c r="E87" s="5" t="s">
        <v>2860</v>
      </c>
    </row>
    <row r="88" spans="1:5" x14ac:dyDescent="0.3">
      <c r="A88" s="26">
        <v>1558</v>
      </c>
      <c r="B88" s="1">
        <v>0</v>
      </c>
      <c r="C88" s="1" t="str">
        <f>IF(B88=0,VLOOKUP(A88,Feuil2!$A$2:$M$1241,2,FALSE)," ")</f>
        <v>DRIDI</v>
      </c>
      <c r="D88" s="1" t="str">
        <f>IF(B88=0,VLOOKUP(A88,Feuil2!$A$2:$M$1241,3,FALSE)," ")</f>
        <v>KARIM</v>
      </c>
      <c r="E88" s="5" t="s">
        <v>2860</v>
      </c>
    </row>
    <row r="89" spans="1:5" x14ac:dyDescent="0.3">
      <c r="A89" s="26">
        <v>1559</v>
      </c>
      <c r="B89" s="1">
        <v>0</v>
      </c>
      <c r="C89" s="1" t="str">
        <f>IF(B89=0,VLOOKUP(A89,Feuil2!$A$2:$M$1241,2,FALSE)," ")</f>
        <v>BEN KHELIFA</v>
      </c>
      <c r="D89" s="1" t="str">
        <f>IF(B89=0,VLOOKUP(A89,Feuil2!$A$2:$M$1241,3,FALSE)," ")</f>
        <v>MED FREDJ</v>
      </c>
      <c r="E89" s="5" t="s">
        <v>2860</v>
      </c>
    </row>
    <row r="90" spans="1:5" x14ac:dyDescent="0.3">
      <c r="A90" s="26">
        <v>1561</v>
      </c>
      <c r="B90" s="1">
        <v>0</v>
      </c>
      <c r="C90" s="1" t="str">
        <f>IF(B90=0,VLOOKUP(A90,Feuil2!$A$2:$M$1241,2,FALSE)," ")</f>
        <v>JMEGUER</v>
      </c>
      <c r="D90" s="1" t="str">
        <f>IF(B90=0,VLOOKUP(A90,Feuil2!$A$2:$M$1241,3,FALSE)," ")</f>
        <v>SAMI</v>
      </c>
      <c r="E90" s="5" t="s">
        <v>2860</v>
      </c>
    </row>
    <row r="91" spans="1:5" x14ac:dyDescent="0.3">
      <c r="A91" s="26">
        <v>1569</v>
      </c>
      <c r="B91" s="1">
        <v>0</v>
      </c>
      <c r="C91" s="1" t="str">
        <f>IF(B91=0,VLOOKUP(A91,Feuil2!$A$2:$M$1241,2,FALSE)," ")</f>
        <v>BETTAIEB</v>
      </c>
      <c r="D91" s="1" t="str">
        <f>IF(B91=0,VLOOKUP(A91,Feuil2!$A$2:$M$1241,3,FALSE)," ")</f>
        <v>MOULDI</v>
      </c>
      <c r="E91" s="5" t="s">
        <v>2860</v>
      </c>
    </row>
    <row r="92" spans="1:5" x14ac:dyDescent="0.3">
      <c r="A92" s="26">
        <v>1572</v>
      </c>
      <c r="B92" s="1">
        <v>0</v>
      </c>
      <c r="C92" s="1" t="str">
        <f>IF(B92=0,VLOOKUP(A92,Feuil2!$A$2:$M$1241,2,FALSE)," ")</f>
        <v>MIMOUNA</v>
      </c>
      <c r="D92" s="1" t="str">
        <f>IF(B92=0,VLOOKUP(A92,Feuil2!$A$2:$M$1241,3,FALSE)," ")</f>
        <v>MEHDI</v>
      </c>
      <c r="E92" s="5" t="s">
        <v>2860</v>
      </c>
    </row>
    <row r="93" spans="1:5" x14ac:dyDescent="0.3">
      <c r="A93" s="26">
        <v>1573</v>
      </c>
      <c r="B93" s="1">
        <v>0</v>
      </c>
      <c r="C93" s="1" t="str">
        <f>IF(B93=0,VLOOKUP(A93,Feuil2!$A$2:$M$1241,2,FALSE)," ")</f>
        <v>SALLAH</v>
      </c>
      <c r="D93" s="1" t="str">
        <f>IF(B93=0,VLOOKUP(A93,Feuil2!$A$2:$M$1241,3,FALSE)," ")</f>
        <v>IMED</v>
      </c>
      <c r="E93" s="5" t="s">
        <v>2860</v>
      </c>
    </row>
    <row r="94" spans="1:5" x14ac:dyDescent="0.3">
      <c r="A94" s="26">
        <v>1575</v>
      </c>
      <c r="B94" s="1">
        <v>0</v>
      </c>
      <c r="C94" s="1" t="str">
        <f>IF(B94=0,VLOOKUP(A94,Feuil2!$A$2:$M$1241,2,FALSE)," ")</f>
        <v>BEN ABDELJELIL</v>
      </c>
      <c r="D94" s="1" t="str">
        <f>IF(B94=0,VLOOKUP(A94,Feuil2!$A$2:$M$1241,3,FALSE)," ")</f>
        <v>ZOUHAIER</v>
      </c>
      <c r="E94" s="5" t="s">
        <v>2860</v>
      </c>
    </row>
    <row r="95" spans="1:5" x14ac:dyDescent="0.3">
      <c r="A95" s="26">
        <v>1576</v>
      </c>
      <c r="B95" s="1">
        <v>0</v>
      </c>
      <c r="C95" s="1" t="str">
        <f>IF(B95=0,VLOOKUP(A95,Feuil2!$A$2:$M$1241,2,FALSE)," ")</f>
        <v>MNED</v>
      </c>
      <c r="D95" s="1" t="str">
        <f>IF(B95=0,VLOOKUP(A95,Feuil2!$A$2:$M$1241,3,FALSE)," ")</f>
        <v>MOHAMED BEN AHMED</v>
      </c>
      <c r="E95" s="5" t="s">
        <v>2860</v>
      </c>
    </row>
    <row r="96" spans="1:5" x14ac:dyDescent="0.3">
      <c r="A96" s="26">
        <v>1580</v>
      </c>
      <c r="B96" s="1">
        <v>0</v>
      </c>
      <c r="C96" s="1" t="str">
        <f>IF(B96=0,VLOOKUP(A96,Feuil2!$A$2:$M$1241,2,FALSE)," ")</f>
        <v>ZARRAA</v>
      </c>
      <c r="D96" s="1" t="str">
        <f>IF(B96=0,VLOOKUP(A96,Feuil2!$A$2:$M$1241,3,FALSE)," ")</f>
        <v>MOHAMED</v>
      </c>
      <c r="E96" s="5" t="s">
        <v>2860</v>
      </c>
    </row>
    <row r="97" spans="1:5" x14ac:dyDescent="0.3">
      <c r="A97" s="26">
        <v>1590</v>
      </c>
      <c r="B97" s="1">
        <v>0</v>
      </c>
      <c r="C97" s="1" t="str">
        <f>IF(B97=0,VLOOKUP(A97,Feuil2!$A$2:$M$1241,2,FALSE)," ")</f>
        <v>ABDELLAH</v>
      </c>
      <c r="D97" s="1" t="str">
        <f>IF(B97=0,VLOOKUP(A97,Feuil2!$A$2:$M$1241,3,FALSE)," ")</f>
        <v>HASSINE</v>
      </c>
      <c r="E97" s="5" t="s">
        <v>2860</v>
      </c>
    </row>
    <row r="98" spans="1:5" x14ac:dyDescent="0.3">
      <c r="A98" s="26">
        <v>1591</v>
      </c>
      <c r="B98" s="1">
        <v>0</v>
      </c>
      <c r="C98" s="1" t="str">
        <f>IF(B98=0,VLOOKUP(A98,Feuil2!$A$2:$M$1241,2,FALSE)," ")</f>
        <v>BDAY</v>
      </c>
      <c r="D98" s="1" t="str">
        <f>IF(B98=0,VLOOKUP(A98,Feuil2!$A$2:$M$1241,3,FALSE)," ")</f>
        <v>KARIM</v>
      </c>
      <c r="E98" s="5" t="s">
        <v>2860</v>
      </c>
    </row>
    <row r="99" spans="1:5" x14ac:dyDescent="0.3">
      <c r="A99" s="26">
        <v>1594</v>
      </c>
      <c r="B99" s="1">
        <v>0</v>
      </c>
      <c r="C99" s="1" t="str">
        <f>IF(B99=0,VLOOKUP(A99,Feuil2!$A$2:$M$1241,2,FALSE)," ")</f>
        <v>MKHININI</v>
      </c>
      <c r="D99" s="1" t="str">
        <f>IF(B99=0,VLOOKUP(A99,Feuil2!$A$2:$M$1241,3,FALSE)," ")</f>
        <v>HABIB</v>
      </c>
      <c r="E99" s="5" t="s">
        <v>2860</v>
      </c>
    </row>
    <row r="100" spans="1:5" x14ac:dyDescent="0.3">
      <c r="A100" s="26">
        <v>1595</v>
      </c>
      <c r="B100" s="1">
        <v>0</v>
      </c>
      <c r="C100" s="1" t="str">
        <f>IF(B100=0,VLOOKUP(A100,Feuil2!$A$2:$M$1241,2,FALSE)," ")</f>
        <v>BEN SALEM</v>
      </c>
      <c r="D100" s="1" t="str">
        <f>IF(B100=0,VLOOKUP(A100,Feuil2!$A$2:$M$1241,3,FALSE)," ")</f>
        <v>FETHI</v>
      </c>
      <c r="E100" s="5" t="s">
        <v>2860</v>
      </c>
    </row>
    <row r="101" spans="1:5" x14ac:dyDescent="0.3">
      <c r="A101" s="26">
        <v>1596</v>
      </c>
      <c r="B101" s="1">
        <v>0</v>
      </c>
      <c r="C101" s="1" t="str">
        <f>IF(B101=0,VLOOKUP(A101,Feuil2!$A$2:$M$1241,2,FALSE)," ")</f>
        <v>GORCHENE</v>
      </c>
      <c r="D101" s="1" t="str">
        <f>IF(B101=0,VLOOKUP(A101,Feuil2!$A$2:$M$1241,3,FALSE)," ")</f>
        <v>NOUREDDINE</v>
      </c>
      <c r="E101" s="5" t="s">
        <v>2860</v>
      </c>
    </row>
    <row r="102" spans="1:5" x14ac:dyDescent="0.3">
      <c r="A102" s="26">
        <v>1597</v>
      </c>
      <c r="B102" s="1">
        <v>0</v>
      </c>
      <c r="C102" s="1" t="str">
        <f>IF(B102=0,VLOOKUP(A102,Feuil2!$A$2:$M$1241,2,FALSE)," ")</f>
        <v>AMARA</v>
      </c>
      <c r="D102" s="1" t="str">
        <f>IF(B102=0,VLOOKUP(A102,Feuil2!$A$2:$M$1241,3,FALSE)," ")</f>
        <v>KARIM</v>
      </c>
      <c r="E102" s="5" t="s">
        <v>2860</v>
      </c>
    </row>
    <row r="103" spans="1:5" x14ac:dyDescent="0.3">
      <c r="A103" s="26">
        <v>1598</v>
      </c>
      <c r="B103" s="1">
        <v>0</v>
      </c>
      <c r="C103" s="1" t="str">
        <f>IF(B103=0,VLOOKUP(A103,Feuil2!$A$2:$M$1241,2,FALSE)," ")</f>
        <v>SOUILEM</v>
      </c>
      <c r="D103" s="1" t="str">
        <f>IF(B103=0,VLOOKUP(A103,Feuil2!$A$2:$M$1241,3,FALSE)," ")</f>
        <v>FAKER</v>
      </c>
      <c r="E103" s="5" t="s">
        <v>2860</v>
      </c>
    </row>
    <row r="104" spans="1:5" x14ac:dyDescent="0.3">
      <c r="A104" s="26">
        <v>1600</v>
      </c>
      <c r="B104" s="1">
        <v>0</v>
      </c>
      <c r="C104" s="1" t="str">
        <f>IF(B104=0,VLOOKUP(A104,Feuil2!$A$2:$M$1241,2,FALSE)," ")</f>
        <v>MAOUA</v>
      </c>
      <c r="D104" s="1" t="str">
        <f>IF(B104=0,VLOOKUP(A104,Feuil2!$A$2:$M$1241,3,FALSE)," ")</f>
        <v>MOHAMED</v>
      </c>
      <c r="E104" s="5" t="s">
        <v>2860</v>
      </c>
    </row>
    <row r="105" spans="1:5" x14ac:dyDescent="0.3">
      <c r="A105" s="26">
        <v>1601</v>
      </c>
      <c r="B105" s="1">
        <v>0</v>
      </c>
      <c r="C105" s="1" t="str">
        <f>IF(B105=0,VLOOKUP(A105,Feuil2!$A$2:$M$1241,2,FALSE)," ")</f>
        <v>BOUKADIDA</v>
      </c>
      <c r="D105" s="1" t="str">
        <f>IF(B105=0,VLOOKUP(A105,Feuil2!$A$2:$M$1241,3,FALSE)," ")</f>
        <v>JAMEL</v>
      </c>
      <c r="E105" s="5" t="s">
        <v>2860</v>
      </c>
    </row>
    <row r="106" spans="1:5" x14ac:dyDescent="0.3">
      <c r="A106" s="26">
        <v>1602</v>
      </c>
      <c r="B106" s="1">
        <v>0</v>
      </c>
      <c r="C106" s="1" t="str">
        <f>IF(B106=0,VLOOKUP(A106,Feuil2!$A$2:$M$1241,2,FALSE)," ")</f>
        <v>MAMIA</v>
      </c>
      <c r="D106" s="1" t="str">
        <f>IF(B106=0,VLOOKUP(A106,Feuil2!$A$2:$M$1241,3,FALSE)," ")</f>
        <v>RAMZI</v>
      </c>
      <c r="E106" s="5" t="s">
        <v>2860</v>
      </c>
    </row>
    <row r="107" spans="1:5" x14ac:dyDescent="0.3">
      <c r="A107" s="26">
        <v>1603</v>
      </c>
      <c r="B107" s="1">
        <v>0</v>
      </c>
      <c r="C107" s="1" t="str">
        <f>IF(B107=0,VLOOKUP(A107,Feuil2!$A$2:$M$1241,2,FALSE)," ")</f>
        <v>MANSOUR</v>
      </c>
      <c r="D107" s="1" t="str">
        <f>IF(B107=0,VLOOKUP(A107,Feuil2!$A$2:$M$1241,3,FALSE)," ")</f>
        <v>SALHA</v>
      </c>
      <c r="E107" s="5" t="s">
        <v>2860</v>
      </c>
    </row>
    <row r="108" spans="1:5" x14ac:dyDescent="0.3">
      <c r="A108" s="26">
        <v>1610</v>
      </c>
      <c r="B108" s="1">
        <v>0</v>
      </c>
      <c r="C108" s="1" t="str">
        <f>IF(B108=0,VLOOKUP(A108,Feuil2!$A$2:$M$1241,2,FALSE)," ")</f>
        <v>BOUARGOUB</v>
      </c>
      <c r="D108" s="1" t="str">
        <f>IF(B108=0,VLOOKUP(A108,Feuil2!$A$2:$M$1241,3,FALSE)," ")</f>
        <v>KARIM</v>
      </c>
      <c r="E108" s="5" t="s">
        <v>2860</v>
      </c>
    </row>
    <row r="109" spans="1:5" x14ac:dyDescent="0.3">
      <c r="A109" s="26">
        <v>1611</v>
      </c>
      <c r="B109" s="1">
        <v>0</v>
      </c>
      <c r="C109" s="1" t="str">
        <f>IF(B109=0,VLOOKUP(A109,Feuil2!$A$2:$M$1241,2,FALSE)," ")</f>
        <v>ATTIA</v>
      </c>
      <c r="D109" s="1" t="str">
        <f>IF(B109=0,VLOOKUP(A109,Feuil2!$A$2:$M$1241,3,FALSE)," ")</f>
        <v>KAMEL</v>
      </c>
      <c r="E109" s="5" t="s">
        <v>2860</v>
      </c>
    </row>
    <row r="110" spans="1:5" x14ac:dyDescent="0.3">
      <c r="A110" s="26">
        <v>1612</v>
      </c>
      <c r="B110" s="1">
        <v>0</v>
      </c>
      <c r="C110" s="1" t="str">
        <f>IF(B110=0,VLOOKUP(A110,Feuil2!$A$2:$M$1241,2,FALSE)," ")</f>
        <v>LADHERI</v>
      </c>
      <c r="D110" s="1" t="str">
        <f>IF(B110=0,VLOOKUP(A110,Feuil2!$A$2:$M$1241,3,FALSE)," ")</f>
        <v>NAJEH</v>
      </c>
      <c r="E110" s="5" t="s">
        <v>2860</v>
      </c>
    </row>
    <row r="111" spans="1:5" x14ac:dyDescent="0.3">
      <c r="A111" s="26">
        <v>1613</v>
      </c>
      <c r="B111" s="1">
        <v>0</v>
      </c>
      <c r="C111" s="1" t="str">
        <f>IF(B111=0,VLOOKUP(A111,Feuil2!$A$2:$M$1241,2,FALSE)," ")</f>
        <v>BOUKADIDA</v>
      </c>
      <c r="D111" s="1" t="str">
        <f>IF(B111=0,VLOOKUP(A111,Feuil2!$A$2:$M$1241,3,FALSE)," ")</f>
        <v>MOHAMED LAMINE</v>
      </c>
      <c r="E111" s="5" t="s">
        <v>2860</v>
      </c>
    </row>
    <row r="112" spans="1:5" x14ac:dyDescent="0.3">
      <c r="A112" s="26">
        <v>1615</v>
      </c>
      <c r="B112" s="1">
        <v>0</v>
      </c>
      <c r="C112" s="1" t="str">
        <f>IF(B112=0,VLOOKUP(A112,Feuil2!$A$2:$M$1241,2,FALSE)," ")</f>
        <v>EL GARES</v>
      </c>
      <c r="D112" s="1" t="str">
        <f>IF(B112=0,VLOOKUP(A112,Feuil2!$A$2:$M$1241,3,FALSE)," ")</f>
        <v>MONIA</v>
      </c>
      <c r="E112" s="5" t="s">
        <v>2860</v>
      </c>
    </row>
    <row r="113" spans="1:5" x14ac:dyDescent="0.3">
      <c r="A113" s="26">
        <v>1616</v>
      </c>
      <c r="B113" s="1">
        <v>0</v>
      </c>
      <c r="C113" s="1" t="str">
        <f>IF(B113=0,VLOOKUP(A113,Feuil2!$A$2:$M$1241,2,FALSE)," ")</f>
        <v>MOUSSA</v>
      </c>
      <c r="D113" s="1" t="str">
        <f>IF(B113=0,VLOOKUP(A113,Feuil2!$A$2:$M$1241,3,FALSE)," ")</f>
        <v>FETHI</v>
      </c>
      <c r="E113" s="5" t="s">
        <v>2860</v>
      </c>
    </row>
    <row r="114" spans="1:5" x14ac:dyDescent="0.3">
      <c r="A114" s="26">
        <v>1617</v>
      </c>
      <c r="B114" s="1">
        <v>0</v>
      </c>
      <c r="C114" s="1" t="str">
        <f>IF(B114=0,VLOOKUP(A114,Feuil2!$A$2:$M$1241,2,FALSE)," ")</f>
        <v>BEN BEKRI</v>
      </c>
      <c r="D114" s="1" t="str">
        <f>IF(B114=0,VLOOKUP(A114,Feuil2!$A$2:$M$1241,3,FALSE)," ")</f>
        <v>MONCEF</v>
      </c>
      <c r="E114" s="5" t="s">
        <v>2860</v>
      </c>
    </row>
    <row r="115" spans="1:5" x14ac:dyDescent="0.3">
      <c r="A115" s="26">
        <v>1618</v>
      </c>
      <c r="B115" s="1">
        <v>0</v>
      </c>
      <c r="C115" s="1" t="str">
        <f>IF(B115=0,VLOOKUP(A115,Feuil2!$A$2:$M$1241,2,FALSE)," ")</f>
        <v>SLAMA</v>
      </c>
      <c r="D115" s="1" t="str">
        <f>IF(B115=0,VLOOKUP(A115,Feuil2!$A$2:$M$1241,3,FALSE)," ")</f>
        <v>MAHER</v>
      </c>
      <c r="E115" s="5" t="s">
        <v>2860</v>
      </c>
    </row>
    <row r="116" spans="1:5" x14ac:dyDescent="0.3">
      <c r="A116" s="26">
        <v>1619</v>
      </c>
      <c r="B116" s="1">
        <v>0</v>
      </c>
      <c r="C116" s="1" t="str">
        <f>IF(B116=0,VLOOKUP(A116,Feuil2!$A$2:$M$1241,2,FALSE)," ")</f>
        <v>CHTIOUI</v>
      </c>
      <c r="D116" s="1" t="str">
        <f>IF(B116=0,VLOOKUP(A116,Feuil2!$A$2:$M$1241,3,FALSE)," ")</f>
        <v>FETHI</v>
      </c>
      <c r="E116" s="5" t="s">
        <v>2860</v>
      </c>
    </row>
    <row r="117" spans="1:5" x14ac:dyDescent="0.3">
      <c r="A117" s="26">
        <v>1621</v>
      </c>
      <c r="B117" s="1">
        <v>0</v>
      </c>
      <c r="C117" s="1" t="str">
        <f>IF(B117=0,VLOOKUP(A117,Feuil2!$A$2:$M$1241,2,FALSE)," ")</f>
        <v>BEN HASSINE</v>
      </c>
      <c r="D117" s="1" t="str">
        <f>IF(B117=0,VLOOKUP(A117,Feuil2!$A$2:$M$1241,3,FALSE)," ")</f>
        <v>WASSEF</v>
      </c>
      <c r="E117" s="5" t="s">
        <v>2860</v>
      </c>
    </row>
    <row r="118" spans="1:5" x14ac:dyDescent="0.3">
      <c r="A118" s="26">
        <v>1625</v>
      </c>
      <c r="B118" s="1">
        <v>0</v>
      </c>
      <c r="C118" s="1" t="str">
        <f>IF(B118=0,VLOOKUP(A118,Feuil2!$A$2:$M$1241,2,FALSE)," ")</f>
        <v>HAMILA</v>
      </c>
      <c r="D118" s="1" t="str">
        <f>IF(B118=0,VLOOKUP(A118,Feuil2!$A$2:$M$1241,3,FALSE)," ")</f>
        <v>SAMIR</v>
      </c>
      <c r="E118" s="5" t="s">
        <v>2860</v>
      </c>
    </row>
    <row r="119" spans="1:5" x14ac:dyDescent="0.3">
      <c r="A119" s="26">
        <v>1626</v>
      </c>
      <c r="B119" s="1">
        <v>0</v>
      </c>
      <c r="C119" s="1" t="str">
        <f>IF(B119=0,VLOOKUP(A119,Feuil2!$A$2:$M$1241,2,FALSE)," ")</f>
        <v>CHAARANA</v>
      </c>
      <c r="D119" s="1" t="str">
        <f>IF(B119=0,VLOOKUP(A119,Feuil2!$A$2:$M$1241,3,FALSE)," ")</f>
        <v>MOHAMED</v>
      </c>
      <c r="E119" s="5" t="s">
        <v>2860</v>
      </c>
    </row>
    <row r="120" spans="1:5" x14ac:dyDescent="0.3">
      <c r="A120" s="26">
        <v>1633</v>
      </c>
      <c r="B120" s="1">
        <v>0</v>
      </c>
      <c r="C120" s="1" t="str">
        <f>IF(B120=0,VLOOKUP(A120,Feuil2!$A$2:$M$1241,2,FALSE)," ")</f>
        <v>ROMDHANE</v>
      </c>
      <c r="D120" s="1" t="str">
        <f>IF(B120=0,VLOOKUP(A120,Feuil2!$A$2:$M$1241,3,FALSE)," ")</f>
        <v>HEDI</v>
      </c>
      <c r="E120" s="5" t="s">
        <v>2860</v>
      </c>
    </row>
    <row r="121" spans="1:5" x14ac:dyDescent="0.3">
      <c r="A121" s="26">
        <v>1634</v>
      </c>
      <c r="B121" s="1">
        <v>0</v>
      </c>
      <c r="C121" s="1" t="str">
        <f>IF(B121=0,VLOOKUP(A121,Feuil2!$A$2:$M$1241,2,FALSE)," ")</f>
        <v>BEN AMOR</v>
      </c>
      <c r="D121" s="1" t="str">
        <f>IF(B121=0,VLOOKUP(A121,Feuil2!$A$2:$M$1241,3,FALSE)," ")</f>
        <v>RIADH</v>
      </c>
      <c r="E121" s="5" t="s">
        <v>2860</v>
      </c>
    </row>
    <row r="122" spans="1:5" x14ac:dyDescent="0.3">
      <c r="A122" s="26">
        <v>1638</v>
      </c>
      <c r="B122" s="1">
        <v>0</v>
      </c>
      <c r="C122" s="1" t="str">
        <f>IF(B122=0,VLOOKUP(A122,Feuil2!$A$2:$M$1241,2,FALSE)," ")</f>
        <v>ROMDHANE</v>
      </c>
      <c r="D122" s="1" t="str">
        <f>IF(B122=0,VLOOKUP(A122,Feuil2!$A$2:$M$1241,3,FALSE)," ")</f>
        <v>NAJEH</v>
      </c>
      <c r="E122" s="5" t="s">
        <v>2860</v>
      </c>
    </row>
    <row r="123" spans="1:5" x14ac:dyDescent="0.3">
      <c r="A123" s="26">
        <v>1639</v>
      </c>
      <c r="B123" s="1">
        <v>0</v>
      </c>
      <c r="C123" s="1" t="str">
        <f>IF(B123=0,VLOOKUP(A123,Feuil2!$A$2:$M$1241,2,FALSE)," ")</f>
        <v>ZBIDI</v>
      </c>
      <c r="D123" s="1" t="str">
        <f>IF(B123=0,VLOOKUP(A123,Feuil2!$A$2:$M$1241,3,FALSE)," ")</f>
        <v>FAKHER</v>
      </c>
      <c r="E123" s="5" t="s">
        <v>2860</v>
      </c>
    </row>
    <row r="124" spans="1:5" x14ac:dyDescent="0.3">
      <c r="A124" s="26">
        <v>1643</v>
      </c>
      <c r="B124" s="1">
        <v>0</v>
      </c>
      <c r="C124" s="1" t="str">
        <f>IF(B124=0,VLOOKUP(A124,Feuil2!$A$2:$M$1241,2,FALSE)," ")</f>
        <v>HALLEB</v>
      </c>
      <c r="D124" s="1" t="str">
        <f>IF(B124=0,VLOOKUP(A124,Feuil2!$A$2:$M$1241,3,FALSE)," ")</f>
        <v>SALAH</v>
      </c>
      <c r="E124" s="5" t="s">
        <v>2860</v>
      </c>
    </row>
    <row r="125" spans="1:5" x14ac:dyDescent="0.3">
      <c r="A125" s="26">
        <v>1650</v>
      </c>
      <c r="B125" s="1">
        <v>0</v>
      </c>
      <c r="C125" s="1" t="str">
        <f>IF(B125=0,VLOOKUP(A125,Feuil2!$A$2:$M$1241,2,FALSE)," ")</f>
        <v>OUAJA</v>
      </c>
      <c r="D125" s="1" t="str">
        <f>IF(B125=0,VLOOKUP(A125,Feuil2!$A$2:$M$1241,3,FALSE)," ")</f>
        <v>RAOUF</v>
      </c>
      <c r="E125" s="5" t="s">
        <v>2860</v>
      </c>
    </row>
    <row r="126" spans="1:5" x14ac:dyDescent="0.3">
      <c r="A126" s="26">
        <v>1651</v>
      </c>
      <c r="B126" s="1">
        <v>0</v>
      </c>
      <c r="C126" s="1" t="str">
        <f>IF(B126=0,VLOOKUP(A126,Feuil2!$A$2:$M$1241,2,FALSE)," ")</f>
        <v>BEL HADJ</v>
      </c>
      <c r="D126" s="1" t="str">
        <f>IF(B126=0,VLOOKUP(A126,Feuil2!$A$2:$M$1241,3,FALSE)," ")</f>
        <v>MOHAMED</v>
      </c>
      <c r="E126" s="5" t="s">
        <v>2860</v>
      </c>
    </row>
    <row r="127" spans="1:5" x14ac:dyDescent="0.3">
      <c r="A127" s="26">
        <v>1652</v>
      </c>
      <c r="B127" s="1">
        <v>0</v>
      </c>
      <c r="C127" s="1" t="str">
        <f>IF(B127=0,VLOOKUP(A127,Feuil2!$A$2:$M$1241,2,FALSE)," ")</f>
        <v>BEN ABDALLAH</v>
      </c>
      <c r="D127" s="1" t="str">
        <f>IF(B127=0,VLOOKUP(A127,Feuil2!$A$2:$M$1241,3,FALSE)," ")</f>
        <v>KHELIL</v>
      </c>
      <c r="E127" s="5" t="s">
        <v>2860</v>
      </c>
    </row>
    <row r="128" spans="1:5" x14ac:dyDescent="0.3">
      <c r="A128" s="26">
        <v>1657</v>
      </c>
      <c r="B128" s="1">
        <v>0</v>
      </c>
      <c r="C128" s="1" t="str">
        <f>IF(B128=0,VLOOKUP(A128,Feuil2!$A$2:$M$1241,2,FALSE)," ")</f>
        <v>BELLALOUNA</v>
      </c>
      <c r="D128" s="1" t="str">
        <f>IF(B128=0,VLOOKUP(A128,Feuil2!$A$2:$M$1241,3,FALSE)," ")</f>
        <v>NIDHAL</v>
      </c>
      <c r="E128" s="5" t="s">
        <v>2860</v>
      </c>
    </row>
    <row r="129" spans="1:5" x14ac:dyDescent="0.3">
      <c r="A129" s="26">
        <v>1658</v>
      </c>
      <c r="B129" s="1">
        <v>0</v>
      </c>
      <c r="C129" s="1" t="str">
        <f>IF(B129=0,VLOOKUP(A129,Feuil2!$A$2:$M$1241,2,FALSE)," ")</f>
        <v>SLAMA</v>
      </c>
      <c r="D129" s="1" t="str">
        <f>IF(B129=0,VLOOKUP(A129,Feuil2!$A$2:$M$1241,3,FALSE)," ")</f>
        <v>MOUNIR</v>
      </c>
      <c r="E129" s="5" t="s">
        <v>2860</v>
      </c>
    </row>
    <row r="130" spans="1:5" x14ac:dyDescent="0.3">
      <c r="A130" s="26">
        <v>1659</v>
      </c>
      <c r="B130" s="1">
        <v>0</v>
      </c>
      <c r="C130" s="1" t="str">
        <f>IF(B130=0,VLOOKUP(A130,Feuil2!$A$2:$M$1241,2,FALSE)," ")</f>
        <v>BEN ABDALLAH</v>
      </c>
      <c r="D130" s="1" t="str">
        <f>IF(B130=0,VLOOKUP(A130,Feuil2!$A$2:$M$1241,3,FALSE)," ")</f>
        <v>FAOUZI</v>
      </c>
      <c r="E130" s="5" t="s">
        <v>2860</v>
      </c>
    </row>
    <row r="131" spans="1:5" x14ac:dyDescent="0.3">
      <c r="A131" s="26">
        <v>1662</v>
      </c>
      <c r="B131" s="1">
        <v>0</v>
      </c>
      <c r="C131" s="1" t="str">
        <f>IF(B131=0,VLOOKUP(A131,Feuil2!$A$2:$M$1241,2,FALSE)," ")</f>
        <v>BEN SAAD</v>
      </c>
      <c r="D131" s="1" t="str">
        <f>IF(B131=0,VLOOKUP(A131,Feuil2!$A$2:$M$1241,3,FALSE)," ")</f>
        <v>ZIED</v>
      </c>
      <c r="E131" s="5" t="s">
        <v>2860</v>
      </c>
    </row>
    <row r="132" spans="1:5" x14ac:dyDescent="0.3">
      <c r="A132" s="26">
        <v>1663</v>
      </c>
      <c r="B132" s="1">
        <v>0</v>
      </c>
      <c r="C132" s="1" t="str">
        <f>IF(B132=0,VLOOKUP(A132,Feuil2!$A$2:$M$1241,2,FALSE)," ")</f>
        <v>ACHOUR</v>
      </c>
      <c r="D132" s="1" t="str">
        <f>IF(B132=0,VLOOKUP(A132,Feuil2!$A$2:$M$1241,3,FALSE)," ")</f>
        <v>NAOUFEL</v>
      </c>
      <c r="E132" s="5" t="s">
        <v>2860</v>
      </c>
    </row>
    <row r="133" spans="1:5" x14ac:dyDescent="0.3">
      <c r="A133" s="26">
        <v>1664</v>
      </c>
      <c r="B133" s="1">
        <v>0</v>
      </c>
      <c r="C133" s="1" t="str">
        <f>IF(B133=0,VLOOKUP(A133,Feuil2!$A$2:$M$1241,2,FALSE)," ")</f>
        <v>BEN SAOUD</v>
      </c>
      <c r="D133" s="1" t="str">
        <f>IF(B133=0,VLOOKUP(A133,Feuil2!$A$2:$M$1241,3,FALSE)," ")</f>
        <v>SOFIANE</v>
      </c>
      <c r="E133" s="5" t="s">
        <v>2860</v>
      </c>
    </row>
    <row r="134" spans="1:5" x14ac:dyDescent="0.3">
      <c r="A134" s="26">
        <v>1665</v>
      </c>
      <c r="B134" s="1">
        <v>0</v>
      </c>
      <c r="C134" s="1" t="str">
        <f>IF(B134=0,VLOOKUP(A134,Feuil2!$A$2:$M$1241,2,FALSE)," ")</f>
        <v>BOUHLEL</v>
      </c>
      <c r="D134" s="1" t="str">
        <f>IF(B134=0,VLOOKUP(A134,Feuil2!$A$2:$M$1241,3,FALSE)," ")</f>
        <v>ANIS</v>
      </c>
      <c r="E134" s="5" t="s">
        <v>2860</v>
      </c>
    </row>
    <row r="135" spans="1:5" x14ac:dyDescent="0.3">
      <c r="A135" s="26">
        <v>1666</v>
      </c>
      <c r="B135" s="1">
        <v>0</v>
      </c>
      <c r="C135" s="1" t="str">
        <f>IF(B135=0,VLOOKUP(A135,Feuil2!$A$2:$M$1241,2,FALSE)," ")</f>
        <v>BOUZIR</v>
      </c>
      <c r="D135" s="1" t="str">
        <f>IF(B135=0,VLOOKUP(A135,Feuil2!$A$2:$M$1241,3,FALSE)," ")</f>
        <v>SAHBI</v>
      </c>
      <c r="E135" s="5" t="s">
        <v>2860</v>
      </c>
    </row>
    <row r="136" spans="1:5" x14ac:dyDescent="0.3">
      <c r="A136" s="26">
        <v>1667</v>
      </c>
      <c r="B136" s="1">
        <v>0</v>
      </c>
      <c r="C136" s="1" t="str">
        <f>IF(B136=0,VLOOKUP(A136,Feuil2!$A$2:$M$1241,2,FALSE)," ")</f>
        <v>MRIZEK</v>
      </c>
      <c r="D136" s="1" t="str">
        <f>IF(B136=0,VLOOKUP(A136,Feuil2!$A$2:$M$1241,3,FALSE)," ")</f>
        <v>TAOUFIK</v>
      </c>
      <c r="E136" s="5" t="s">
        <v>2860</v>
      </c>
    </row>
    <row r="137" spans="1:5" x14ac:dyDescent="0.3">
      <c r="A137" s="26">
        <v>1668</v>
      </c>
      <c r="B137" s="1">
        <v>0</v>
      </c>
      <c r="C137" s="1" t="str">
        <f>IF(B137=0,VLOOKUP(A137,Feuil2!$A$2:$M$1241,2,FALSE)," ")</f>
        <v>BOUGADDOUHA</v>
      </c>
      <c r="D137" s="1" t="str">
        <f>IF(B137=0,VLOOKUP(A137,Feuil2!$A$2:$M$1241,3,FALSE)," ")</f>
        <v>MOURAD</v>
      </c>
      <c r="E137" s="5" t="s">
        <v>2860</v>
      </c>
    </row>
    <row r="138" spans="1:5" x14ac:dyDescent="0.3">
      <c r="A138" s="26">
        <v>1671</v>
      </c>
      <c r="B138" s="1">
        <v>0</v>
      </c>
      <c r="C138" s="1" t="str">
        <f>IF(B138=0,VLOOKUP(A138,Feuil2!$A$2:$M$1241,2,FALSE)," ")</f>
        <v>EL BACH</v>
      </c>
      <c r="D138" s="1" t="str">
        <f>IF(B138=0,VLOOKUP(A138,Feuil2!$A$2:$M$1241,3,FALSE)," ")</f>
        <v>ADEL</v>
      </c>
      <c r="E138" s="5" t="s">
        <v>2860</v>
      </c>
    </row>
    <row r="139" spans="1:5" x14ac:dyDescent="0.3">
      <c r="A139" s="26">
        <v>1673</v>
      </c>
      <c r="B139" s="1">
        <v>0</v>
      </c>
      <c r="C139" s="1" t="str">
        <f>IF(B139=0,VLOOKUP(A139,Feuil2!$A$2:$M$1241,2,FALSE)," ")</f>
        <v>ABBASSI</v>
      </c>
      <c r="D139" s="1" t="str">
        <f>IF(B139=0,VLOOKUP(A139,Feuil2!$A$2:$M$1241,3,FALSE)," ")</f>
        <v>MONDHER</v>
      </c>
      <c r="E139" s="5" t="s">
        <v>2860</v>
      </c>
    </row>
    <row r="140" spans="1:5" x14ac:dyDescent="0.3">
      <c r="A140" s="26">
        <v>1676</v>
      </c>
      <c r="B140" s="1">
        <v>0</v>
      </c>
      <c r="C140" s="1" t="str">
        <f>IF(B140=0,VLOOKUP(A140,Feuil2!$A$2:$M$1241,2,FALSE)," ")</f>
        <v>GUELLIM</v>
      </c>
      <c r="D140" s="1" t="str">
        <f>IF(B140=0,VLOOKUP(A140,Feuil2!$A$2:$M$1241,3,FALSE)," ")</f>
        <v>FETHI</v>
      </c>
      <c r="E140" s="5" t="s">
        <v>2860</v>
      </c>
    </row>
    <row r="141" spans="1:5" x14ac:dyDescent="0.3">
      <c r="A141" s="26">
        <v>1677</v>
      </c>
      <c r="B141" s="1">
        <v>0</v>
      </c>
      <c r="C141" s="1" t="str">
        <f>IF(B141=0,VLOOKUP(A141,Feuil2!$A$2:$M$1241,2,FALSE)," ")</f>
        <v>HADJ AMMAR</v>
      </c>
      <c r="D141" s="1" t="str">
        <f>IF(B141=0,VLOOKUP(A141,Feuil2!$A$2:$M$1241,3,FALSE)," ")</f>
        <v>BRAHIM</v>
      </c>
      <c r="E141" s="5" t="s">
        <v>2860</v>
      </c>
    </row>
    <row r="142" spans="1:5" x14ac:dyDescent="0.3">
      <c r="A142" s="26">
        <v>1679</v>
      </c>
      <c r="B142" s="1">
        <v>0</v>
      </c>
      <c r="C142" s="1" t="str">
        <f>IF(B142=0,VLOOKUP(A142,Feuil2!$A$2:$M$1241,2,FALSE)," ")</f>
        <v>YOUSSEF</v>
      </c>
      <c r="D142" s="1" t="str">
        <f>IF(B142=0,VLOOKUP(A142,Feuil2!$A$2:$M$1241,3,FALSE)," ")</f>
        <v>ADEM</v>
      </c>
      <c r="E142" s="5" t="s">
        <v>2860</v>
      </c>
    </row>
    <row r="143" spans="1:5" x14ac:dyDescent="0.3">
      <c r="A143" s="26">
        <v>1680</v>
      </c>
      <c r="B143" s="1">
        <v>0</v>
      </c>
      <c r="C143" s="1" t="str">
        <f>IF(B143=0,VLOOKUP(A143,Feuil2!$A$2:$M$1241,2,FALSE)," ")</f>
        <v>SASSI</v>
      </c>
      <c r="D143" s="1" t="str">
        <f>IF(B143=0,VLOOKUP(A143,Feuil2!$A$2:$M$1241,3,FALSE)," ")</f>
        <v>WALID</v>
      </c>
      <c r="E143" s="5" t="s">
        <v>2860</v>
      </c>
    </row>
    <row r="144" spans="1:5" x14ac:dyDescent="0.3">
      <c r="A144" s="26">
        <v>1682</v>
      </c>
      <c r="B144" s="1">
        <v>0</v>
      </c>
      <c r="C144" s="1" t="str">
        <f>IF(B144=0,VLOOKUP(A144,Feuil2!$A$2:$M$1241,2,FALSE)," ")</f>
        <v>LASSOUAD</v>
      </c>
      <c r="D144" s="1" t="str">
        <f>IF(B144=0,VLOOKUP(A144,Feuil2!$A$2:$M$1241,3,FALSE)," ")</f>
        <v>ABDELJELIL</v>
      </c>
      <c r="E144" s="5" t="s">
        <v>2860</v>
      </c>
    </row>
    <row r="145" spans="1:5" x14ac:dyDescent="0.3">
      <c r="A145" s="26">
        <v>1683</v>
      </c>
      <c r="B145" s="1">
        <v>0</v>
      </c>
      <c r="C145" s="1" t="str">
        <f>IF(B145=0,VLOOKUP(A145,Feuil2!$A$2:$M$1241,2,FALSE)," ")</f>
        <v>HEDHILI</v>
      </c>
      <c r="D145" s="1" t="str">
        <f>IF(B145=0,VLOOKUP(A145,Feuil2!$A$2:$M$1241,3,FALSE)," ")</f>
        <v>MOHAMED</v>
      </c>
      <c r="E145" s="5" t="s">
        <v>2860</v>
      </c>
    </row>
    <row r="146" spans="1:5" x14ac:dyDescent="0.3">
      <c r="A146" s="26">
        <v>1685</v>
      </c>
      <c r="B146" s="1">
        <v>0</v>
      </c>
      <c r="C146" s="1" t="str">
        <f>IF(B146=0,VLOOKUP(A146,Feuil2!$A$2:$M$1241,2,FALSE)," ")</f>
        <v>MAHJOUB</v>
      </c>
      <c r="D146" s="1" t="str">
        <f>IF(B146=0,VLOOKUP(A146,Feuil2!$A$2:$M$1241,3,FALSE)," ")</f>
        <v>MOHAMED KARIM</v>
      </c>
      <c r="E146" s="5" t="s">
        <v>2860</v>
      </c>
    </row>
    <row r="147" spans="1:5" x14ac:dyDescent="0.3">
      <c r="A147" s="26">
        <v>1687</v>
      </c>
      <c r="B147" s="1">
        <v>0</v>
      </c>
      <c r="C147" s="1" t="str">
        <f>IF(B147=0,VLOOKUP(A147,Feuil2!$A$2:$M$1241,2,FALSE)," ")</f>
        <v>LACHHAB</v>
      </c>
      <c r="D147" s="1" t="str">
        <f>IF(B147=0,VLOOKUP(A147,Feuil2!$A$2:$M$1241,3,FALSE)," ")</f>
        <v>SAHBI</v>
      </c>
      <c r="E147" s="5" t="s">
        <v>2860</v>
      </c>
    </row>
    <row r="148" spans="1:5" x14ac:dyDescent="0.3">
      <c r="A148" s="26">
        <v>1688</v>
      </c>
      <c r="B148" s="1">
        <v>0</v>
      </c>
      <c r="C148" s="1" t="str">
        <f>IF(B148=0,VLOOKUP(A148,Feuil2!$A$2:$M$1241,2,FALSE)," ")</f>
        <v>BEN ABDELJELIL</v>
      </c>
      <c r="D148" s="1" t="str">
        <f>IF(B148=0,VLOOKUP(A148,Feuil2!$A$2:$M$1241,3,FALSE)," ")</f>
        <v>MED ANIS</v>
      </c>
      <c r="E148" s="5" t="s">
        <v>2860</v>
      </c>
    </row>
    <row r="149" spans="1:5" x14ac:dyDescent="0.3">
      <c r="A149" s="26">
        <v>1689</v>
      </c>
      <c r="B149" s="1">
        <v>0</v>
      </c>
      <c r="C149" s="1" t="str">
        <f>IF(B149=0,VLOOKUP(A149,Feuil2!$A$2:$M$1241,2,FALSE)," ")</f>
        <v>GRAA</v>
      </c>
      <c r="D149" s="1" t="str">
        <f>IF(B149=0,VLOOKUP(A149,Feuil2!$A$2:$M$1241,3,FALSE)," ")</f>
        <v>SKANDER</v>
      </c>
      <c r="E149" s="5" t="s">
        <v>2860</v>
      </c>
    </row>
    <row r="150" spans="1:5" x14ac:dyDescent="0.3">
      <c r="A150" s="26">
        <v>1691</v>
      </c>
      <c r="B150" s="1">
        <v>0</v>
      </c>
      <c r="C150" s="1" t="str">
        <f>IF(B150=0,VLOOKUP(A150,Feuil2!$A$2:$M$1241,2,FALSE)," ")</f>
        <v>GADHI</v>
      </c>
      <c r="D150" s="1" t="str">
        <f>IF(B150=0,VLOOKUP(A150,Feuil2!$A$2:$M$1241,3,FALSE)," ")</f>
        <v>MOHAMED</v>
      </c>
      <c r="E150" s="5" t="s">
        <v>2860</v>
      </c>
    </row>
    <row r="151" spans="1:5" x14ac:dyDescent="0.3">
      <c r="A151" s="26">
        <v>1693</v>
      </c>
      <c r="B151" s="1">
        <v>0</v>
      </c>
      <c r="C151" s="1" t="str">
        <f>IF(B151=0,VLOOKUP(A151,Feuil2!$A$2:$M$1241,2,FALSE)," ")</f>
        <v>REBAI</v>
      </c>
      <c r="D151" s="1" t="str">
        <f>IF(B151=0,VLOOKUP(A151,Feuil2!$A$2:$M$1241,3,FALSE)," ")</f>
        <v>MOHAMED</v>
      </c>
      <c r="E151" s="5" t="s">
        <v>2860</v>
      </c>
    </row>
    <row r="152" spans="1:5" x14ac:dyDescent="0.3">
      <c r="A152" s="26">
        <v>1694</v>
      </c>
      <c r="B152" s="1">
        <v>0</v>
      </c>
      <c r="C152" s="1" t="str">
        <f>IF(B152=0,VLOOKUP(A152,Feuil2!$A$2:$M$1241,2,FALSE)," ")</f>
        <v>ZRELLI</v>
      </c>
      <c r="D152" s="1" t="str">
        <f>IF(B152=0,VLOOKUP(A152,Feuil2!$A$2:$M$1241,3,FALSE)," ")</f>
        <v>KHALED</v>
      </c>
      <c r="E152" s="5" t="s">
        <v>2860</v>
      </c>
    </row>
    <row r="153" spans="1:5" x14ac:dyDescent="0.3">
      <c r="A153" s="26">
        <v>1695</v>
      </c>
      <c r="B153" s="1">
        <v>0</v>
      </c>
      <c r="C153" s="1" t="str">
        <f>IF(B153=0,VLOOKUP(A153,Feuil2!$A$2:$M$1241,2,FALSE)," ")</f>
        <v>BEN AROUS</v>
      </c>
      <c r="D153" s="1" t="str">
        <f>IF(B153=0,VLOOKUP(A153,Feuil2!$A$2:$M$1241,3,FALSE)," ")</f>
        <v>FOUED</v>
      </c>
      <c r="E153" s="5" t="s">
        <v>2860</v>
      </c>
    </row>
    <row r="154" spans="1:5" x14ac:dyDescent="0.3">
      <c r="A154" s="26">
        <v>1698</v>
      </c>
      <c r="B154" s="1">
        <v>0</v>
      </c>
      <c r="C154" s="1" t="str">
        <f>IF(B154=0,VLOOKUP(A154,Feuil2!$A$2:$M$1241,2,FALSE)," ")</f>
        <v>BEL HADJ</v>
      </c>
      <c r="D154" s="1" t="str">
        <f>IF(B154=0,VLOOKUP(A154,Feuil2!$A$2:$M$1241,3,FALSE)," ")</f>
        <v>NABIL</v>
      </c>
      <c r="E154" s="5" t="s">
        <v>2860</v>
      </c>
    </row>
    <row r="155" spans="1:5" x14ac:dyDescent="0.3">
      <c r="A155" s="26">
        <v>1699</v>
      </c>
      <c r="B155" s="1">
        <v>0</v>
      </c>
      <c r="C155" s="1" t="str">
        <f>IF(B155=0,VLOOKUP(A155,Feuil2!$A$2:$M$1241,2,FALSE)," ")</f>
        <v>BEJAOUI</v>
      </c>
      <c r="D155" s="1" t="str">
        <f>IF(B155=0,VLOOKUP(A155,Feuil2!$A$2:$M$1241,3,FALSE)," ")</f>
        <v>NEBIL</v>
      </c>
      <c r="E155" s="5" t="s">
        <v>2860</v>
      </c>
    </row>
    <row r="156" spans="1:5" x14ac:dyDescent="0.3">
      <c r="A156" s="26">
        <v>1701</v>
      </c>
      <c r="B156" s="1">
        <v>0</v>
      </c>
      <c r="C156" s="1" t="str">
        <f>IF(B156=0,VLOOKUP(A156,Feuil2!$A$2:$M$1241,2,FALSE)," ")</f>
        <v>SASSI</v>
      </c>
      <c r="D156" s="1" t="str">
        <f>IF(B156=0,VLOOKUP(A156,Feuil2!$A$2:$M$1241,3,FALSE)," ")</f>
        <v>KARIM</v>
      </c>
      <c r="E156" s="5" t="s">
        <v>2860</v>
      </c>
    </row>
    <row r="157" spans="1:5" x14ac:dyDescent="0.3">
      <c r="A157" s="26">
        <v>1702</v>
      </c>
      <c r="B157" s="1">
        <v>0</v>
      </c>
      <c r="C157" s="1" t="str">
        <f>IF(B157=0,VLOOKUP(A157,Feuil2!$A$2:$M$1241,2,FALSE)," ")</f>
        <v>JAIET</v>
      </c>
      <c r="D157" s="1" t="str">
        <f>IF(B157=0,VLOOKUP(A157,Feuil2!$A$2:$M$1241,3,FALSE)," ")</f>
        <v>WALID</v>
      </c>
      <c r="E157" s="5" t="s">
        <v>2860</v>
      </c>
    </row>
    <row r="158" spans="1:5" x14ac:dyDescent="0.3">
      <c r="A158" s="26">
        <v>1703</v>
      </c>
      <c r="B158" s="1">
        <v>0</v>
      </c>
      <c r="C158" s="1" t="str">
        <f>IF(B158=0,VLOOKUP(A158,Feuil2!$A$2:$M$1241,2,FALSE)," ")</f>
        <v>EL GARES</v>
      </c>
      <c r="D158" s="1" t="str">
        <f>IF(B158=0,VLOOKUP(A158,Feuil2!$A$2:$M$1241,3,FALSE)," ")</f>
        <v>BRAHIM</v>
      </c>
      <c r="E158" s="5" t="s">
        <v>2860</v>
      </c>
    </row>
    <row r="159" spans="1:5" x14ac:dyDescent="0.3">
      <c r="A159" s="26">
        <v>1704</v>
      </c>
      <c r="B159" s="1">
        <v>0</v>
      </c>
      <c r="C159" s="1" t="str">
        <f>IF(B159=0,VLOOKUP(A159,Feuil2!$A$2:$M$1241,2,FALSE)," ")</f>
        <v>EL GAZZAH</v>
      </c>
      <c r="D159" s="1" t="str">
        <f>IF(B159=0,VLOOKUP(A159,Feuil2!$A$2:$M$1241,3,FALSE)," ")</f>
        <v>RIADH</v>
      </c>
      <c r="E159" s="5" t="s">
        <v>2860</v>
      </c>
    </row>
    <row r="160" spans="1:5" x14ac:dyDescent="0.3">
      <c r="A160" s="26">
        <v>1706</v>
      </c>
      <c r="B160" s="1">
        <v>0</v>
      </c>
      <c r="C160" s="1" t="str">
        <f>IF(B160=0,VLOOKUP(A160,Feuil2!$A$2:$M$1241,2,FALSE)," ")</f>
        <v>GRIRA LOKHDHIRI</v>
      </c>
      <c r="D160" s="1" t="str">
        <f>IF(B160=0,VLOOKUP(A160,Feuil2!$A$2:$M$1241,3,FALSE)," ")</f>
        <v>FREDJ</v>
      </c>
      <c r="E160" s="5" t="s">
        <v>2860</v>
      </c>
    </row>
    <row r="161" spans="1:5" x14ac:dyDescent="0.3">
      <c r="A161" s="26">
        <v>1707</v>
      </c>
      <c r="B161" s="1">
        <v>0</v>
      </c>
      <c r="C161" s="1" t="str">
        <f>IF(B161=0,VLOOKUP(A161,Feuil2!$A$2:$M$1241,2,FALSE)," ")</f>
        <v>MKHININI</v>
      </c>
      <c r="D161" s="1" t="str">
        <f>IF(B161=0,VLOOKUP(A161,Feuil2!$A$2:$M$1241,3,FALSE)," ")</f>
        <v>MOHAMED BEN SALAH</v>
      </c>
      <c r="E161" s="5" t="s">
        <v>2860</v>
      </c>
    </row>
    <row r="162" spans="1:5" x14ac:dyDescent="0.3">
      <c r="A162" s="26">
        <v>1708</v>
      </c>
      <c r="B162" s="1">
        <v>0</v>
      </c>
      <c r="C162" s="1" t="str">
        <f>IF(B162=0,VLOOKUP(A162,Feuil2!$A$2:$M$1241,2,FALSE)," ")</f>
        <v>EL HOTMANI</v>
      </c>
      <c r="D162" s="1" t="str">
        <f>IF(B162=0,VLOOKUP(A162,Feuil2!$A$2:$M$1241,3,FALSE)," ")</f>
        <v>SAMI</v>
      </c>
      <c r="E162" s="5" t="s">
        <v>2860</v>
      </c>
    </row>
    <row r="163" spans="1:5" x14ac:dyDescent="0.3">
      <c r="A163" s="26">
        <v>1709</v>
      </c>
      <c r="B163" s="1">
        <v>0</v>
      </c>
      <c r="C163" s="1" t="str">
        <f>IF(B163=0,VLOOKUP(A163,Feuil2!$A$2:$M$1241,2,FALSE)," ")</f>
        <v>MAJDOUB</v>
      </c>
      <c r="D163" s="1" t="str">
        <f>IF(B163=0,VLOOKUP(A163,Feuil2!$A$2:$M$1241,3,FALSE)," ")</f>
        <v>SAMI</v>
      </c>
      <c r="E163" s="5" t="s">
        <v>2860</v>
      </c>
    </row>
    <row r="164" spans="1:5" x14ac:dyDescent="0.3">
      <c r="A164" s="26">
        <v>1710</v>
      </c>
      <c r="B164" s="1">
        <v>0</v>
      </c>
      <c r="C164" s="1" t="str">
        <f>IF(B164=0,VLOOKUP(A164,Feuil2!$A$2:$M$1241,2,FALSE)," ")</f>
        <v>AYADI</v>
      </c>
      <c r="D164" s="1" t="str">
        <f>IF(B164=0,VLOOKUP(A164,Feuil2!$A$2:$M$1241,3,FALSE)," ")</f>
        <v>NEBIL</v>
      </c>
      <c r="E164" s="5" t="s">
        <v>2860</v>
      </c>
    </row>
    <row r="165" spans="1:5" x14ac:dyDescent="0.3">
      <c r="A165" s="26">
        <v>1711</v>
      </c>
      <c r="B165" s="1">
        <v>0</v>
      </c>
      <c r="C165" s="1" t="str">
        <f>IF(B165=0,VLOOKUP(A165,Feuil2!$A$2:$M$1241,2,FALSE)," ")</f>
        <v>BEN ISMAIL</v>
      </c>
      <c r="D165" s="1" t="str">
        <f>IF(B165=0,VLOOKUP(A165,Feuil2!$A$2:$M$1241,3,FALSE)," ")</f>
        <v>HOSNI</v>
      </c>
      <c r="E165" s="5" t="s">
        <v>2860</v>
      </c>
    </row>
    <row r="166" spans="1:5" x14ac:dyDescent="0.3">
      <c r="A166" s="26">
        <v>1712</v>
      </c>
      <c r="B166" s="1">
        <v>0</v>
      </c>
      <c r="C166" s="1" t="str">
        <f>IF(B166=0,VLOOKUP(A166,Feuil2!$A$2:$M$1241,2,FALSE)," ")</f>
        <v>MKHININI ZAATOUT</v>
      </c>
      <c r="D166" s="1" t="str">
        <f>IF(B166=0,VLOOKUP(A166,Feuil2!$A$2:$M$1241,3,FALSE)," ")</f>
        <v>MOHAMED</v>
      </c>
      <c r="E166" s="5" t="s">
        <v>2860</v>
      </c>
    </row>
    <row r="167" spans="1:5" x14ac:dyDescent="0.3">
      <c r="A167" s="26">
        <v>1714</v>
      </c>
      <c r="B167" s="1">
        <v>0</v>
      </c>
      <c r="C167" s="1" t="str">
        <f>IF(B167=0,VLOOKUP(A167,Feuil2!$A$2:$M$1241,2,FALSE)," ")</f>
        <v>MATHLOUTHI</v>
      </c>
      <c r="D167" s="1" t="str">
        <f>IF(B167=0,VLOOKUP(A167,Feuil2!$A$2:$M$1241,3,FALSE)," ")</f>
        <v>MONDHER</v>
      </c>
      <c r="E167" s="5" t="s">
        <v>2860</v>
      </c>
    </row>
    <row r="168" spans="1:5" x14ac:dyDescent="0.3">
      <c r="A168" s="26">
        <v>1723</v>
      </c>
      <c r="B168" s="1">
        <v>0</v>
      </c>
      <c r="C168" s="1" t="str">
        <f>IF(B168=0,VLOOKUP(A168,Feuil2!$A$2:$M$1241,2,FALSE)," ")</f>
        <v>BAYA</v>
      </c>
      <c r="D168" s="1" t="str">
        <f>IF(B168=0,VLOOKUP(A168,Feuil2!$A$2:$M$1241,3,FALSE)," ")</f>
        <v>MEHDI</v>
      </c>
      <c r="E168" s="5" t="s">
        <v>2860</v>
      </c>
    </row>
    <row r="169" spans="1:5" x14ac:dyDescent="0.3">
      <c r="A169" s="26">
        <v>1724</v>
      </c>
      <c r="B169" s="1">
        <v>0</v>
      </c>
      <c r="C169" s="1" t="str">
        <f>IF(B169=0,VLOOKUP(A169,Feuil2!$A$2:$M$1241,2,FALSE)," ")</f>
        <v>KAIBI</v>
      </c>
      <c r="D169" s="1" t="str">
        <f>IF(B169=0,VLOOKUP(A169,Feuil2!$A$2:$M$1241,3,FALSE)," ")</f>
        <v>ANIS</v>
      </c>
      <c r="E169" s="5" t="s">
        <v>2860</v>
      </c>
    </row>
    <row r="170" spans="1:5" x14ac:dyDescent="0.3">
      <c r="A170" s="26">
        <v>1726</v>
      </c>
      <c r="B170" s="1">
        <v>0</v>
      </c>
      <c r="C170" s="1" t="str">
        <f>IF(B170=0,VLOOKUP(A170,Feuil2!$A$2:$M$1241,2,FALSE)," ")</f>
        <v>BEN FREDJ</v>
      </c>
      <c r="D170" s="1" t="str">
        <f>IF(B170=0,VLOOKUP(A170,Feuil2!$A$2:$M$1241,3,FALSE)," ")</f>
        <v>NOUREDDINE</v>
      </c>
      <c r="E170" s="5" t="s">
        <v>2860</v>
      </c>
    </row>
    <row r="171" spans="1:5" x14ac:dyDescent="0.3">
      <c r="A171" s="26">
        <v>1728</v>
      </c>
      <c r="B171" s="1">
        <v>0</v>
      </c>
      <c r="C171" s="1" t="str">
        <f>IF(B171=0,VLOOKUP(A171,Feuil2!$A$2:$M$1241,2,FALSE)," ")</f>
        <v>SLAMA</v>
      </c>
      <c r="D171" s="1" t="str">
        <f>IF(B171=0,VLOOKUP(A171,Feuil2!$A$2:$M$1241,3,FALSE)," ")</f>
        <v>DHAFER</v>
      </c>
      <c r="E171" s="5" t="s">
        <v>2860</v>
      </c>
    </row>
    <row r="172" spans="1:5" x14ac:dyDescent="0.3">
      <c r="A172" s="26">
        <v>1730</v>
      </c>
      <c r="B172" s="1">
        <v>0</v>
      </c>
      <c r="C172" s="1" t="str">
        <f>IF(B172=0,VLOOKUP(A172,Feuil2!$A$2:$M$1241,2,FALSE)," ")</f>
        <v>BEN SALMA</v>
      </c>
      <c r="D172" s="1" t="str">
        <f>IF(B172=0,VLOOKUP(A172,Feuil2!$A$2:$M$1241,3,FALSE)," ")</f>
        <v>ANIS</v>
      </c>
      <c r="E172" s="5" t="s">
        <v>2860</v>
      </c>
    </row>
    <row r="173" spans="1:5" x14ac:dyDescent="0.3">
      <c r="A173" s="26">
        <v>1733</v>
      </c>
      <c r="B173" s="1">
        <v>0</v>
      </c>
      <c r="C173" s="1" t="str">
        <f>IF(B173=0,VLOOKUP(A173,Feuil2!$A$2:$M$1241,2,FALSE)," ")</f>
        <v>BEN ABDELJELIL</v>
      </c>
      <c r="D173" s="1" t="str">
        <f>IF(B173=0,VLOOKUP(A173,Feuil2!$A$2:$M$1241,3,FALSE)," ")</f>
        <v>MED RIDHA</v>
      </c>
      <c r="E173" s="5" t="s">
        <v>2860</v>
      </c>
    </row>
    <row r="174" spans="1:5" x14ac:dyDescent="0.3">
      <c r="A174" s="26">
        <v>1735</v>
      </c>
      <c r="B174" s="1">
        <v>0</v>
      </c>
      <c r="C174" s="1" t="str">
        <f>IF(B174=0,VLOOKUP(A174,Feuil2!$A$2:$M$1241,2,FALSE)," ")</f>
        <v>SAKKA ROUIS</v>
      </c>
      <c r="D174" s="1" t="str">
        <f>IF(B174=0,VLOOKUP(A174,Feuil2!$A$2:$M$1241,3,FALSE)," ")</f>
        <v>MED HAFEDH</v>
      </c>
      <c r="E174" s="5" t="s">
        <v>2860</v>
      </c>
    </row>
    <row r="175" spans="1:5" x14ac:dyDescent="0.3">
      <c r="A175" s="26">
        <v>1737</v>
      </c>
      <c r="B175" s="1">
        <v>0</v>
      </c>
      <c r="C175" s="1" t="str">
        <f>IF(B175=0,VLOOKUP(A175,Feuil2!$A$2:$M$1241,2,FALSE)," ")</f>
        <v>ALOUANE</v>
      </c>
      <c r="D175" s="1" t="str">
        <f>IF(B175=0,VLOOKUP(A175,Feuil2!$A$2:$M$1241,3,FALSE)," ")</f>
        <v>ABDELKERIM</v>
      </c>
      <c r="E175" s="5" t="s">
        <v>2860</v>
      </c>
    </row>
    <row r="176" spans="1:5" x14ac:dyDescent="0.3">
      <c r="A176" s="26">
        <v>1738</v>
      </c>
      <c r="B176" s="1">
        <v>0</v>
      </c>
      <c r="C176" s="1" t="str">
        <f>IF(B176=0,VLOOKUP(A176,Feuil2!$A$2:$M$1241,2,FALSE)," ")</f>
        <v>GAMHA</v>
      </c>
      <c r="D176" s="1" t="str">
        <f>IF(B176=0,VLOOKUP(A176,Feuil2!$A$2:$M$1241,3,FALSE)," ")</f>
        <v>KHALED</v>
      </c>
      <c r="E176" s="5" t="s">
        <v>2860</v>
      </c>
    </row>
    <row r="177" spans="1:5" x14ac:dyDescent="0.3">
      <c r="A177" s="26">
        <v>1739</v>
      </c>
      <c r="B177" s="1">
        <v>0</v>
      </c>
      <c r="C177" s="1" t="str">
        <f>IF(B177=0,VLOOKUP(A177,Feuil2!$A$2:$M$1241,2,FALSE)," ")</f>
        <v>ENGAZZOU</v>
      </c>
      <c r="D177" s="1" t="str">
        <f>IF(B177=0,VLOOKUP(A177,Feuil2!$A$2:$M$1241,3,FALSE)," ")</f>
        <v>SLAHEDDINE</v>
      </c>
      <c r="E177" s="5" t="s">
        <v>2860</v>
      </c>
    </row>
    <row r="178" spans="1:5" x14ac:dyDescent="0.3">
      <c r="A178" s="26">
        <v>1740</v>
      </c>
      <c r="B178" s="1">
        <v>0</v>
      </c>
      <c r="C178" s="1" t="str">
        <f>IF(B178=0,VLOOKUP(A178,Feuil2!$A$2:$M$1241,2,FALSE)," ")</f>
        <v>YOUSSEF</v>
      </c>
      <c r="D178" s="1" t="str">
        <f>IF(B178=0,VLOOKUP(A178,Feuil2!$A$2:$M$1241,3,FALSE)," ")</f>
        <v>LOTFI</v>
      </c>
      <c r="E178" s="5" t="s">
        <v>2860</v>
      </c>
    </row>
    <row r="179" spans="1:5" x14ac:dyDescent="0.3">
      <c r="A179" s="26">
        <v>1741</v>
      </c>
      <c r="B179" s="1">
        <v>0</v>
      </c>
      <c r="C179" s="1" t="str">
        <f>IF(B179=0,VLOOKUP(A179,Feuil2!$A$2:$M$1241,2,FALSE)," ")</f>
        <v>HACHICHA</v>
      </c>
      <c r="D179" s="1" t="str">
        <f>IF(B179=0,VLOOKUP(A179,Feuil2!$A$2:$M$1241,3,FALSE)," ")</f>
        <v>ZIED</v>
      </c>
      <c r="E179" s="5" t="s">
        <v>2860</v>
      </c>
    </row>
    <row r="180" spans="1:5" x14ac:dyDescent="0.3">
      <c r="A180" s="26">
        <v>1745</v>
      </c>
      <c r="B180" s="1">
        <v>0</v>
      </c>
      <c r="C180" s="1" t="str">
        <f>IF(B180=0,VLOOKUP(A180,Feuil2!$A$2:$M$1241,2,FALSE)," ")</f>
        <v>CHATTI</v>
      </c>
      <c r="D180" s="1" t="str">
        <f>IF(B180=0,VLOOKUP(A180,Feuil2!$A$2:$M$1241,3,FALSE)," ")</f>
        <v>EZZEDDINE</v>
      </c>
      <c r="E180" s="5" t="s">
        <v>2860</v>
      </c>
    </row>
    <row r="181" spans="1:5" x14ac:dyDescent="0.3">
      <c r="A181" s="26">
        <v>1746</v>
      </c>
      <c r="B181" s="1">
        <v>0</v>
      </c>
      <c r="C181" s="1" t="str">
        <f>IF(B181=0,VLOOKUP(A181,Feuil2!$A$2:$M$1241,2,FALSE)," ")</f>
        <v>BEL ARBIA</v>
      </c>
      <c r="D181" s="1" t="str">
        <f>IF(B181=0,VLOOKUP(A181,Feuil2!$A$2:$M$1241,3,FALSE)," ")</f>
        <v>KAMEL</v>
      </c>
      <c r="E181" s="5" t="s">
        <v>2860</v>
      </c>
    </row>
    <row r="182" spans="1:5" x14ac:dyDescent="0.3">
      <c r="A182" s="26">
        <v>1747</v>
      </c>
      <c r="B182" s="1">
        <v>0</v>
      </c>
      <c r="C182" s="1" t="str">
        <f>IF(B182=0,VLOOKUP(A182,Feuil2!$A$2:$M$1241,2,FALSE)," ")</f>
        <v>BRAHIM</v>
      </c>
      <c r="D182" s="1" t="str">
        <f>IF(B182=0,VLOOKUP(A182,Feuil2!$A$2:$M$1241,3,FALSE)," ")</f>
        <v>THEMEUR</v>
      </c>
      <c r="E182" s="5" t="s">
        <v>2860</v>
      </c>
    </row>
    <row r="183" spans="1:5" x14ac:dyDescent="0.3">
      <c r="A183" s="26">
        <v>1752</v>
      </c>
      <c r="B183" s="1">
        <v>0</v>
      </c>
      <c r="C183" s="1" t="str">
        <f>IF(B183=0,VLOOKUP(A183,Feuil2!$A$2:$M$1241,2,FALSE)," ")</f>
        <v>HEDHILI</v>
      </c>
      <c r="D183" s="1" t="str">
        <f>IF(B183=0,VLOOKUP(A183,Feuil2!$A$2:$M$1241,3,FALSE)," ")</f>
        <v>MUSTAPHA</v>
      </c>
      <c r="E183" s="5" t="s">
        <v>2860</v>
      </c>
    </row>
    <row r="184" spans="1:5" x14ac:dyDescent="0.3">
      <c r="A184" s="26">
        <v>1754</v>
      </c>
      <c r="B184" s="1">
        <v>0</v>
      </c>
      <c r="C184" s="1" t="str">
        <f>IF(B184=0,VLOOKUP(A184,Feuil2!$A$2:$M$1241,2,FALSE)," ")</f>
        <v>MAHJOUB</v>
      </c>
      <c r="D184" s="1" t="str">
        <f>IF(B184=0,VLOOKUP(A184,Feuil2!$A$2:$M$1241,3,FALSE)," ")</f>
        <v>RADHOUANE</v>
      </c>
      <c r="E184" s="5" t="s">
        <v>2860</v>
      </c>
    </row>
    <row r="185" spans="1:5" x14ac:dyDescent="0.3">
      <c r="A185" s="26">
        <v>1755</v>
      </c>
      <c r="B185" s="1">
        <v>0</v>
      </c>
      <c r="C185" s="1" t="str">
        <f>IF(B185=0,VLOOKUP(A185,Feuil2!$A$2:$M$1241,2,FALSE)," ")</f>
        <v>REJEB</v>
      </c>
      <c r="D185" s="1" t="str">
        <f>IF(B185=0,VLOOKUP(A185,Feuil2!$A$2:$M$1241,3,FALSE)," ")</f>
        <v>NEJIB</v>
      </c>
      <c r="E185" s="5" t="s">
        <v>2860</v>
      </c>
    </row>
    <row r="186" spans="1:5" x14ac:dyDescent="0.3">
      <c r="A186" s="26">
        <v>1756</v>
      </c>
      <c r="B186" s="1">
        <v>0</v>
      </c>
      <c r="C186" s="1" t="str">
        <f>IF(B186=0,VLOOKUP(A186,Feuil2!$A$2:$M$1241,2,FALSE)," ")</f>
        <v>SOUA</v>
      </c>
      <c r="D186" s="1" t="str">
        <f>IF(B186=0,VLOOKUP(A186,Feuil2!$A$2:$M$1241,3,FALSE)," ")</f>
        <v>FOUED</v>
      </c>
      <c r="E186" s="5" t="s">
        <v>2860</v>
      </c>
    </row>
    <row r="187" spans="1:5" x14ac:dyDescent="0.3">
      <c r="A187" s="26">
        <v>1757</v>
      </c>
      <c r="B187" s="1">
        <v>0</v>
      </c>
      <c r="C187" s="1" t="str">
        <f>IF(B187=0,VLOOKUP(A187,Feuil2!$A$2:$M$1241,2,FALSE)," ")</f>
        <v>EL HOTMANI</v>
      </c>
      <c r="D187" s="1" t="str">
        <f>IF(B187=0,VLOOKUP(A187,Feuil2!$A$2:$M$1241,3,FALSE)," ")</f>
        <v>BESSEM</v>
      </c>
      <c r="E187" s="5" t="s">
        <v>2860</v>
      </c>
    </row>
    <row r="188" spans="1:5" x14ac:dyDescent="0.3">
      <c r="A188" s="26">
        <v>1759</v>
      </c>
      <c r="B188" s="1">
        <v>0</v>
      </c>
      <c r="C188" s="1" t="str">
        <f>IF(B188=0,VLOOKUP(A188,Feuil2!$A$2:$M$1241,2,FALSE)," ")</f>
        <v>HNIA</v>
      </c>
      <c r="D188" s="1" t="str">
        <f>IF(B188=0,VLOOKUP(A188,Feuil2!$A$2:$M$1241,3,FALSE)," ")</f>
        <v>ISSAM</v>
      </c>
      <c r="E188" s="5" t="s">
        <v>2860</v>
      </c>
    </row>
    <row r="189" spans="1:5" x14ac:dyDescent="0.3">
      <c r="A189" s="26">
        <v>1760</v>
      </c>
      <c r="B189" s="1">
        <v>0</v>
      </c>
      <c r="C189" s="1" t="str">
        <f>IF(B189=0,VLOOKUP(A189,Feuil2!$A$2:$M$1241,2,FALSE)," ")</f>
        <v>SASSI</v>
      </c>
      <c r="D189" s="1" t="str">
        <f>IF(B189=0,VLOOKUP(A189,Feuil2!$A$2:$M$1241,3,FALSE)," ")</f>
        <v>SAMIR</v>
      </c>
      <c r="E189" s="5" t="s">
        <v>2860</v>
      </c>
    </row>
    <row r="190" spans="1:5" x14ac:dyDescent="0.3">
      <c r="A190" s="26">
        <v>1761</v>
      </c>
      <c r="B190" s="1">
        <v>0</v>
      </c>
      <c r="C190" s="1" t="str">
        <f>IF(B190=0,VLOOKUP(A190,Feuil2!$A$2:$M$1241,2,FALSE)," ")</f>
        <v>BEN SALEM</v>
      </c>
      <c r="D190" s="1" t="str">
        <f>IF(B190=0,VLOOKUP(A190,Feuil2!$A$2:$M$1241,3,FALSE)," ")</f>
        <v>KHELIL</v>
      </c>
      <c r="E190" s="5" t="s">
        <v>2860</v>
      </c>
    </row>
    <row r="191" spans="1:5" x14ac:dyDescent="0.3">
      <c r="A191" s="26">
        <v>1764</v>
      </c>
      <c r="B191" s="1">
        <v>0</v>
      </c>
      <c r="C191" s="1" t="str">
        <f>IF(B191=0,VLOOKUP(A191,Feuil2!$A$2:$M$1241,2,FALSE)," ")</f>
        <v>RBEH</v>
      </c>
      <c r="D191" s="1" t="str">
        <f>IF(B191=0,VLOOKUP(A191,Feuil2!$A$2:$M$1241,3,FALSE)," ")</f>
        <v>MAHMOUD</v>
      </c>
      <c r="E191" s="5" t="s">
        <v>2860</v>
      </c>
    </row>
    <row r="192" spans="1:5" x14ac:dyDescent="0.3">
      <c r="A192" s="26">
        <v>1765</v>
      </c>
      <c r="B192" s="1">
        <v>0</v>
      </c>
      <c r="C192" s="1" t="str">
        <f>IF(B192=0,VLOOKUP(A192,Feuil2!$A$2:$M$1241,2,FALSE)," ")</f>
        <v>DAHMANI</v>
      </c>
      <c r="D192" s="1" t="str">
        <f>IF(B192=0,VLOOKUP(A192,Feuil2!$A$2:$M$1241,3,FALSE)," ")</f>
        <v>SALAH</v>
      </c>
      <c r="E192" s="5" t="s">
        <v>2860</v>
      </c>
    </row>
    <row r="193" spans="1:5" x14ac:dyDescent="0.3">
      <c r="A193" s="26">
        <v>1767</v>
      </c>
      <c r="B193" s="1">
        <v>0</v>
      </c>
      <c r="C193" s="1" t="str">
        <f>IF(B193=0,VLOOKUP(A193,Feuil2!$A$2:$M$1241,2,FALSE)," ")</f>
        <v>B.H.SGHAIER</v>
      </c>
      <c r="D193" s="1" t="str">
        <f>IF(B193=0,VLOOKUP(A193,Feuil2!$A$2:$M$1241,3,FALSE)," ")</f>
        <v>NAOUFEL</v>
      </c>
      <c r="E193" s="5" t="s">
        <v>2860</v>
      </c>
    </row>
    <row r="194" spans="1:5" x14ac:dyDescent="0.3">
      <c r="A194" s="26">
        <v>1768</v>
      </c>
      <c r="B194" s="1">
        <v>0</v>
      </c>
      <c r="C194" s="1" t="str">
        <f>IF(B194=0,VLOOKUP(A194,Feuil2!$A$2:$M$1241,2,FALSE)," ")</f>
        <v>LADJIMI</v>
      </c>
      <c r="D194" s="1" t="str">
        <f>IF(B194=0,VLOOKUP(A194,Feuil2!$A$2:$M$1241,3,FALSE)," ")</f>
        <v>MAHER</v>
      </c>
      <c r="E194" s="5" t="s">
        <v>2860</v>
      </c>
    </row>
    <row r="195" spans="1:5" x14ac:dyDescent="0.3">
      <c r="A195" s="26">
        <v>1770</v>
      </c>
      <c r="B195" s="1">
        <v>0</v>
      </c>
      <c r="C195" s="1" t="str">
        <f>IF(B195=0,VLOOKUP(A195,Feuil2!$A$2:$M$1241,2,FALSE)," ")</f>
        <v>ZANINA</v>
      </c>
      <c r="D195" s="1" t="str">
        <f>IF(B195=0,VLOOKUP(A195,Feuil2!$A$2:$M$1241,3,FALSE)," ")</f>
        <v>HICHEM</v>
      </c>
      <c r="E195" s="5" t="s">
        <v>2860</v>
      </c>
    </row>
    <row r="196" spans="1:5" x14ac:dyDescent="0.3">
      <c r="A196" s="26">
        <v>1771</v>
      </c>
      <c r="B196" s="1">
        <v>0</v>
      </c>
      <c r="C196" s="1" t="str">
        <f>IF(B196=0,VLOOKUP(A196,Feuil2!$A$2:$M$1241,2,FALSE)," ")</f>
        <v>ATTIA</v>
      </c>
      <c r="D196" s="1" t="str">
        <f>IF(B196=0,VLOOKUP(A196,Feuil2!$A$2:$M$1241,3,FALSE)," ")</f>
        <v>KARIM</v>
      </c>
      <c r="E196" s="5" t="s">
        <v>2860</v>
      </c>
    </row>
    <row r="197" spans="1:5" x14ac:dyDescent="0.3">
      <c r="A197" s="26">
        <v>1773</v>
      </c>
      <c r="B197" s="1">
        <v>0</v>
      </c>
      <c r="C197" s="1" t="str">
        <f>IF(B197=0,VLOOKUP(A197,Feuil2!$A$2:$M$1241,2,FALSE)," ")</f>
        <v>GAIEB</v>
      </c>
      <c r="D197" s="1" t="str">
        <f>IF(B197=0,VLOOKUP(A197,Feuil2!$A$2:$M$1241,3,FALSE)," ")</f>
        <v>SAMI</v>
      </c>
      <c r="E197" s="5" t="s">
        <v>2860</v>
      </c>
    </row>
    <row r="198" spans="1:5" x14ac:dyDescent="0.3">
      <c r="A198" s="26">
        <v>1774</v>
      </c>
      <c r="B198" s="1">
        <v>0</v>
      </c>
      <c r="C198" s="1" t="str">
        <f>IF(B198=0,VLOOKUP(A198,Feuil2!$A$2:$M$1241,2,FALSE)," ")</f>
        <v>BEN SALEM</v>
      </c>
      <c r="D198" s="1" t="str">
        <f>IF(B198=0,VLOOKUP(A198,Feuil2!$A$2:$M$1241,3,FALSE)," ")</f>
        <v>FAOUZI</v>
      </c>
      <c r="E198" s="5" t="s">
        <v>2860</v>
      </c>
    </row>
    <row r="199" spans="1:5" x14ac:dyDescent="0.3">
      <c r="A199" s="26">
        <v>1777</v>
      </c>
      <c r="B199" s="1">
        <v>0</v>
      </c>
      <c r="C199" s="1" t="str">
        <f>IF(B199=0,VLOOKUP(A199,Feuil2!$A$2:$M$1241,2,FALSE)," ")</f>
        <v>JARRAR</v>
      </c>
      <c r="D199" s="1" t="str">
        <f>IF(B199=0,VLOOKUP(A199,Feuil2!$A$2:$M$1241,3,FALSE)," ")</f>
        <v>MOHAMED FAOUZI</v>
      </c>
      <c r="E199" s="5" t="s">
        <v>2860</v>
      </c>
    </row>
    <row r="200" spans="1:5" x14ac:dyDescent="0.3">
      <c r="A200" s="26">
        <v>1779</v>
      </c>
      <c r="B200" s="1">
        <v>0</v>
      </c>
      <c r="C200" s="1" t="str">
        <f>IF(B200=0,VLOOKUP(A200,Feuil2!$A$2:$M$1241,2,FALSE)," ")</f>
        <v>BEN FREDJ</v>
      </c>
      <c r="D200" s="1" t="str">
        <f>IF(B200=0,VLOOKUP(A200,Feuil2!$A$2:$M$1241,3,FALSE)," ")</f>
        <v>LOTFI</v>
      </c>
      <c r="E200" s="5" t="s">
        <v>2860</v>
      </c>
    </row>
    <row r="201" spans="1:5" x14ac:dyDescent="0.3">
      <c r="A201" s="26">
        <v>1780</v>
      </c>
      <c r="B201" s="1">
        <v>0</v>
      </c>
      <c r="C201" s="1" t="str">
        <f>IF(B201=0,VLOOKUP(A201,Feuil2!$A$2:$M$1241,2,FALSE)," ")</f>
        <v>SASSI</v>
      </c>
      <c r="D201" s="1" t="str">
        <f>IF(B201=0,VLOOKUP(A201,Feuil2!$A$2:$M$1241,3,FALSE)," ")</f>
        <v>SAIFELLAH</v>
      </c>
      <c r="E201" s="5" t="s">
        <v>2860</v>
      </c>
    </row>
    <row r="202" spans="1:5" x14ac:dyDescent="0.3">
      <c r="A202" s="26">
        <v>1781</v>
      </c>
      <c r="B202" s="1">
        <v>0</v>
      </c>
      <c r="C202" s="1" t="str">
        <f>IF(B202=0,VLOOKUP(A202,Feuil2!$A$2:$M$1241,2,FALSE)," ")</f>
        <v>KEMIMECH</v>
      </c>
      <c r="D202" s="1" t="str">
        <f>IF(B202=0,VLOOKUP(A202,Feuil2!$A$2:$M$1241,3,FALSE)," ")</f>
        <v>MOHAMED</v>
      </c>
      <c r="E202" s="5" t="s">
        <v>2860</v>
      </c>
    </row>
    <row r="203" spans="1:5" x14ac:dyDescent="0.3">
      <c r="A203" s="26">
        <v>1782</v>
      </c>
      <c r="B203" s="1">
        <v>0</v>
      </c>
      <c r="C203" s="1" t="str">
        <f>IF(B203=0,VLOOKUP(A203,Feuil2!$A$2:$M$1241,2,FALSE)," ")</f>
        <v>IBRAHIM</v>
      </c>
      <c r="D203" s="1" t="str">
        <f>IF(B203=0,VLOOKUP(A203,Feuil2!$A$2:$M$1241,3,FALSE)," ")</f>
        <v>JAMEL</v>
      </c>
      <c r="E203" s="5" t="s">
        <v>2860</v>
      </c>
    </row>
    <row r="204" spans="1:5" x14ac:dyDescent="0.3">
      <c r="A204" s="26">
        <v>1784</v>
      </c>
      <c r="B204" s="1">
        <v>0</v>
      </c>
      <c r="C204" s="1" t="str">
        <f>IF(B204=0,VLOOKUP(A204,Feuil2!$A$2:$M$1241,2,FALSE)," ")</f>
        <v>LAYOUNI</v>
      </c>
      <c r="D204" s="1" t="str">
        <f>IF(B204=0,VLOOKUP(A204,Feuil2!$A$2:$M$1241,3,FALSE)," ")</f>
        <v>KHALED</v>
      </c>
      <c r="E204" s="5" t="s">
        <v>2860</v>
      </c>
    </row>
    <row r="205" spans="1:5" x14ac:dyDescent="0.3">
      <c r="A205" s="26">
        <v>1785</v>
      </c>
      <c r="B205" s="1">
        <v>0</v>
      </c>
      <c r="C205" s="1" t="str">
        <f>IF(B205=0,VLOOKUP(A205,Feuil2!$A$2:$M$1241,2,FALSE)," ")</f>
        <v>HMIDI</v>
      </c>
      <c r="D205" s="1" t="str">
        <f>IF(B205=0,VLOOKUP(A205,Feuil2!$A$2:$M$1241,3,FALSE)," ")</f>
        <v>SALEM</v>
      </c>
      <c r="E205" s="5" t="s">
        <v>2860</v>
      </c>
    </row>
    <row r="206" spans="1:5" x14ac:dyDescent="0.3">
      <c r="A206" s="26">
        <v>1786</v>
      </c>
      <c r="B206" s="1">
        <v>0</v>
      </c>
      <c r="C206" s="1" t="str">
        <f>IF(B206=0,VLOOKUP(A206,Feuil2!$A$2:$M$1241,2,FALSE)," ")</f>
        <v>GUIZANI</v>
      </c>
      <c r="D206" s="1" t="str">
        <f>IF(B206=0,VLOOKUP(A206,Feuil2!$A$2:$M$1241,3,FALSE)," ")</f>
        <v>MOHAMED</v>
      </c>
      <c r="E206" s="5" t="s">
        <v>2860</v>
      </c>
    </row>
    <row r="207" spans="1:5" x14ac:dyDescent="0.3">
      <c r="A207" s="26">
        <v>1787</v>
      </c>
      <c r="B207" s="1">
        <v>0</v>
      </c>
      <c r="C207" s="1" t="str">
        <f>IF(B207=0,VLOOKUP(A207,Feuil2!$A$2:$M$1241,2,FALSE)," ")</f>
        <v>BEN ALITA</v>
      </c>
      <c r="D207" s="1" t="str">
        <f>IF(B207=0,VLOOKUP(A207,Feuil2!$A$2:$M$1241,3,FALSE)," ")</f>
        <v>NEBIL</v>
      </c>
      <c r="E207" s="5" t="s">
        <v>2860</v>
      </c>
    </row>
    <row r="208" spans="1:5" x14ac:dyDescent="0.3">
      <c r="A208" s="26">
        <v>1789</v>
      </c>
      <c r="B208" s="1">
        <v>0</v>
      </c>
      <c r="C208" s="1" t="str">
        <f>IF(B208=0,VLOOKUP(A208,Feuil2!$A$2:$M$1241,2,FALSE)," ")</f>
        <v>CHIHI</v>
      </c>
      <c r="D208" s="1" t="str">
        <f>IF(B208=0,VLOOKUP(A208,Feuil2!$A$2:$M$1241,3,FALSE)," ")</f>
        <v>MOHAMED SALAH</v>
      </c>
      <c r="E208" s="5" t="s">
        <v>2860</v>
      </c>
    </row>
    <row r="209" spans="1:5" x14ac:dyDescent="0.3">
      <c r="A209" s="26">
        <v>1793</v>
      </c>
      <c r="B209" s="1">
        <v>0</v>
      </c>
      <c r="C209" s="1" t="str">
        <f>IF(B209=0,VLOOKUP(A209,Feuil2!$A$2:$M$1241,2,FALSE)," ")</f>
        <v>MIMOUNA</v>
      </c>
      <c r="D209" s="1" t="str">
        <f>IF(B209=0,VLOOKUP(A209,Feuil2!$A$2:$M$1241,3,FALSE)," ")</f>
        <v>RAOUF</v>
      </c>
      <c r="E209" s="5" t="s">
        <v>2860</v>
      </c>
    </row>
    <row r="210" spans="1:5" x14ac:dyDescent="0.3">
      <c r="A210" s="26">
        <v>1795</v>
      </c>
      <c r="B210" s="1">
        <v>0</v>
      </c>
      <c r="C210" s="1" t="str">
        <f>IF(B210=0,VLOOKUP(A210,Feuil2!$A$2:$M$1241,2,FALSE)," ")</f>
        <v>SOUA</v>
      </c>
      <c r="D210" s="1" t="str">
        <f>IF(B210=0,VLOOKUP(A210,Feuil2!$A$2:$M$1241,3,FALSE)," ")</f>
        <v>MOHAMED</v>
      </c>
      <c r="E210" s="5" t="s">
        <v>2860</v>
      </c>
    </row>
    <row r="211" spans="1:5" x14ac:dyDescent="0.3">
      <c r="A211" s="26">
        <v>1796</v>
      </c>
      <c r="B211" s="1">
        <v>0</v>
      </c>
      <c r="C211" s="1" t="str">
        <f>IF(B211=0,VLOOKUP(A211,Feuil2!$A$2:$M$1241,2,FALSE)," ")</f>
        <v>BEL HADJ HASSINE</v>
      </c>
      <c r="D211" s="1" t="str">
        <f>IF(B211=0,VLOOKUP(A211,Feuil2!$A$2:$M$1241,3,FALSE)," ")</f>
        <v>IMED</v>
      </c>
      <c r="E211" s="5" t="s">
        <v>2860</v>
      </c>
    </row>
    <row r="212" spans="1:5" x14ac:dyDescent="0.3">
      <c r="A212" s="26">
        <v>1797</v>
      </c>
      <c r="B212" s="1">
        <v>0</v>
      </c>
      <c r="C212" s="1" t="str">
        <f>IF(B212=0,VLOOKUP(A212,Feuil2!$A$2:$M$1241,2,FALSE)," ")</f>
        <v>ABBADI</v>
      </c>
      <c r="D212" s="1" t="str">
        <f>IF(B212=0,VLOOKUP(A212,Feuil2!$A$2:$M$1241,3,FALSE)," ")</f>
        <v>MOHAMED</v>
      </c>
      <c r="E212" s="5" t="s">
        <v>2860</v>
      </c>
    </row>
    <row r="213" spans="1:5" x14ac:dyDescent="0.3">
      <c r="A213" s="26">
        <v>1800</v>
      </c>
      <c r="B213" s="1">
        <v>0</v>
      </c>
      <c r="C213" s="1" t="str">
        <f>IF(B213=0,VLOOKUP(A213,Feuil2!$A$2:$M$1241,2,FALSE)," ")</f>
        <v>BEN CHAOUACHA</v>
      </c>
      <c r="D213" s="1" t="str">
        <f>IF(B213=0,VLOOKUP(A213,Feuil2!$A$2:$M$1241,3,FALSE)," ")</f>
        <v>WAHIB</v>
      </c>
      <c r="E213" s="5" t="s">
        <v>2860</v>
      </c>
    </row>
    <row r="214" spans="1:5" x14ac:dyDescent="0.3">
      <c r="A214" s="26">
        <v>1801</v>
      </c>
      <c r="B214" s="1">
        <v>0</v>
      </c>
      <c r="C214" s="1" t="str">
        <f>IF(B214=0,VLOOKUP(A214,Feuil2!$A$2:$M$1241,2,FALSE)," ")</f>
        <v>MAHJOUB</v>
      </c>
      <c r="D214" s="1" t="str">
        <f>IF(B214=0,VLOOKUP(A214,Feuil2!$A$2:$M$1241,3,FALSE)," ")</f>
        <v>MOHAMED</v>
      </c>
      <c r="E214" s="5" t="s">
        <v>2860</v>
      </c>
    </row>
    <row r="215" spans="1:5" x14ac:dyDescent="0.3">
      <c r="A215" s="26">
        <v>1802</v>
      </c>
      <c r="B215" s="1">
        <v>0</v>
      </c>
      <c r="C215" s="1" t="str">
        <f>IF(B215=0,VLOOKUP(A215,Feuil2!$A$2:$M$1241,2,FALSE)," ")</f>
        <v>BHIRI</v>
      </c>
      <c r="D215" s="1" t="str">
        <f>IF(B215=0,VLOOKUP(A215,Feuil2!$A$2:$M$1241,3,FALSE)," ")</f>
        <v>SABEUR</v>
      </c>
      <c r="E215" s="5" t="s">
        <v>2860</v>
      </c>
    </row>
    <row r="216" spans="1:5" x14ac:dyDescent="0.3">
      <c r="A216" s="26">
        <v>1803</v>
      </c>
      <c r="B216" s="1">
        <v>0</v>
      </c>
      <c r="C216" s="1" t="str">
        <f>IF(B216=0,VLOOKUP(A216,Feuil2!$A$2:$M$1241,2,FALSE)," ")</f>
        <v>GAM</v>
      </c>
      <c r="D216" s="1" t="str">
        <f>IF(B216=0,VLOOKUP(A216,Feuil2!$A$2:$M$1241,3,FALSE)," ")</f>
        <v>HAMDI</v>
      </c>
      <c r="E216" s="5" t="s">
        <v>2860</v>
      </c>
    </row>
    <row r="217" spans="1:5" x14ac:dyDescent="0.3">
      <c r="A217" s="26">
        <v>1808</v>
      </c>
      <c r="B217" s="1">
        <v>0</v>
      </c>
      <c r="C217" s="1" t="str">
        <f>IF(B217=0,VLOOKUP(A217,Feuil2!$A$2:$M$1241,2,FALSE)," ")</f>
        <v>EL BAHLOUL</v>
      </c>
      <c r="D217" s="1" t="str">
        <f>IF(B217=0,VLOOKUP(A217,Feuil2!$A$2:$M$1241,3,FALSE)," ")</f>
        <v>HICHEM</v>
      </c>
      <c r="E217" s="5" t="s">
        <v>2860</v>
      </c>
    </row>
    <row r="218" spans="1:5" x14ac:dyDescent="0.3">
      <c r="A218" s="26">
        <v>1809</v>
      </c>
      <c r="B218" s="1">
        <v>0</v>
      </c>
      <c r="C218" s="1" t="str">
        <f>IF(B218=0,VLOOKUP(A218,Feuil2!$A$2:$M$1241,2,FALSE)," ")</f>
        <v>JUILI</v>
      </c>
      <c r="D218" s="1" t="str">
        <f>IF(B218=0,VLOOKUP(A218,Feuil2!$A$2:$M$1241,3,FALSE)," ")</f>
        <v>AFIF</v>
      </c>
      <c r="E218" s="5" t="s">
        <v>2860</v>
      </c>
    </row>
    <row r="219" spans="1:5" x14ac:dyDescent="0.3">
      <c r="A219" s="26">
        <v>1810</v>
      </c>
      <c r="B219" s="1">
        <v>0</v>
      </c>
      <c r="C219" s="1" t="str">
        <f>IF(B219=0,VLOOKUP(A219,Feuil2!$A$2:$M$1241,2,FALSE)," ")</f>
        <v>GHEZEL</v>
      </c>
      <c r="D219" s="1" t="str">
        <f>IF(B219=0,VLOOKUP(A219,Feuil2!$A$2:$M$1241,3,FALSE)," ")</f>
        <v>SOFIANE</v>
      </c>
      <c r="E219" s="5" t="s">
        <v>2860</v>
      </c>
    </row>
    <row r="220" spans="1:5" x14ac:dyDescent="0.3">
      <c r="A220" s="26">
        <v>1812</v>
      </c>
      <c r="B220" s="1">
        <v>0</v>
      </c>
      <c r="C220" s="1" t="str">
        <f>IF(B220=0,VLOOKUP(A220,Feuil2!$A$2:$M$1241,2,FALSE)," ")</f>
        <v>BEN SALEM</v>
      </c>
      <c r="D220" s="1" t="str">
        <f>IF(B220=0,VLOOKUP(A220,Feuil2!$A$2:$M$1241,3,FALSE)," ")</f>
        <v>ZIED</v>
      </c>
      <c r="E220" s="5" t="s">
        <v>2860</v>
      </c>
    </row>
    <row r="221" spans="1:5" x14ac:dyDescent="0.3">
      <c r="A221" s="26">
        <v>1813</v>
      </c>
      <c r="B221" s="1">
        <v>0</v>
      </c>
      <c r="C221" s="1" t="str">
        <f>IF(B221=0,VLOOKUP(A221,Feuil2!$A$2:$M$1241,2,FALSE)," ")</f>
        <v>YOUSSEF</v>
      </c>
      <c r="D221" s="1" t="str">
        <f>IF(B221=0,VLOOKUP(A221,Feuil2!$A$2:$M$1241,3,FALSE)," ")</f>
        <v>HICHEM</v>
      </c>
      <c r="E221" s="5" t="s">
        <v>2860</v>
      </c>
    </row>
    <row r="222" spans="1:5" x14ac:dyDescent="0.3">
      <c r="A222" s="26">
        <v>1814</v>
      </c>
      <c r="B222" s="1">
        <v>0</v>
      </c>
      <c r="C222" s="1" t="str">
        <f>IF(B222=0,VLOOKUP(A222,Feuil2!$A$2:$M$1241,2,FALSE)," ")</f>
        <v>BEL ARBIA</v>
      </c>
      <c r="D222" s="1" t="str">
        <f>IF(B222=0,VLOOKUP(A222,Feuil2!$A$2:$M$1241,3,FALSE)," ")</f>
        <v>SLAH</v>
      </c>
      <c r="E222" s="5" t="s">
        <v>2860</v>
      </c>
    </row>
    <row r="223" spans="1:5" x14ac:dyDescent="0.3">
      <c r="A223" s="26">
        <v>1815</v>
      </c>
      <c r="B223" s="1">
        <v>0</v>
      </c>
      <c r="C223" s="1" t="str">
        <f>IF(B223=0,VLOOKUP(A223,Feuil2!$A$2:$M$1241,2,FALSE)," ")</f>
        <v>KHEDIMI</v>
      </c>
      <c r="D223" s="1" t="str">
        <f>IF(B223=0,VLOOKUP(A223,Feuil2!$A$2:$M$1241,3,FALSE)," ")</f>
        <v>IMED</v>
      </c>
      <c r="E223" s="5" t="s">
        <v>2860</v>
      </c>
    </row>
    <row r="224" spans="1:5" x14ac:dyDescent="0.3">
      <c r="A224" s="26">
        <v>1817</v>
      </c>
      <c r="B224" s="1">
        <v>0</v>
      </c>
      <c r="C224" s="1" t="str">
        <f>IF(B224=0,VLOOKUP(A224,Feuil2!$A$2:$M$1241,2,FALSE)," ")</f>
        <v>ZOUITEN</v>
      </c>
      <c r="D224" s="1" t="str">
        <f>IF(B224=0,VLOOKUP(A224,Feuil2!$A$2:$M$1241,3,FALSE)," ")</f>
        <v>MUSTAPHA</v>
      </c>
      <c r="E224" s="5" t="s">
        <v>2860</v>
      </c>
    </row>
    <row r="225" spans="1:5" x14ac:dyDescent="0.3">
      <c r="A225" s="26">
        <v>1819</v>
      </c>
      <c r="B225" s="1">
        <v>0</v>
      </c>
      <c r="C225" s="1" t="str">
        <f>IF(B225=0,VLOOKUP(A225,Feuil2!$A$2:$M$1241,2,FALSE)," ")</f>
        <v>SASSI</v>
      </c>
      <c r="D225" s="1" t="str">
        <f>IF(B225=0,VLOOKUP(A225,Feuil2!$A$2:$M$1241,3,FALSE)," ")</f>
        <v>MOHAMED WALID</v>
      </c>
      <c r="E225" s="5" t="s">
        <v>2860</v>
      </c>
    </row>
    <row r="226" spans="1:5" x14ac:dyDescent="0.3">
      <c r="A226" s="26">
        <v>1820</v>
      </c>
      <c r="B226" s="1">
        <v>0</v>
      </c>
      <c r="C226" s="1" t="str">
        <f>IF(B226=0,VLOOKUP(A226,Feuil2!$A$2:$M$1241,2,FALSE)," ")</f>
        <v>MKHININI</v>
      </c>
      <c r="D226" s="1" t="str">
        <f>IF(B226=0,VLOOKUP(A226,Feuil2!$A$2:$M$1241,3,FALSE)," ")</f>
        <v>MOHAMED RIMEH</v>
      </c>
      <c r="E226" s="5" t="s">
        <v>2860</v>
      </c>
    </row>
    <row r="227" spans="1:5" x14ac:dyDescent="0.3">
      <c r="A227" s="26">
        <v>1821</v>
      </c>
      <c r="B227" s="1">
        <v>0</v>
      </c>
      <c r="C227" s="1" t="str">
        <f>IF(B227=0,VLOOKUP(A227,Feuil2!$A$2:$M$1241,2,FALSE)," ")</f>
        <v>BOURIGUA</v>
      </c>
      <c r="D227" s="1" t="str">
        <f>IF(B227=0,VLOOKUP(A227,Feuil2!$A$2:$M$1241,3,FALSE)," ")</f>
        <v>MOHAMED</v>
      </c>
      <c r="E227" s="5" t="s">
        <v>2860</v>
      </c>
    </row>
    <row r="228" spans="1:5" x14ac:dyDescent="0.3">
      <c r="A228" s="26">
        <v>1822</v>
      </c>
      <c r="B228" s="1">
        <v>0</v>
      </c>
      <c r="C228" s="1" t="str">
        <f>IF(B228=0,VLOOKUP(A228,Feuil2!$A$2:$M$1241,2,FALSE)," ")</f>
        <v>BOUHLEL</v>
      </c>
      <c r="D228" s="1" t="str">
        <f>IF(B228=0,VLOOKUP(A228,Feuil2!$A$2:$M$1241,3,FALSE)," ")</f>
        <v>MEJDI</v>
      </c>
      <c r="E228" s="5" t="s">
        <v>2860</v>
      </c>
    </row>
    <row r="229" spans="1:5" x14ac:dyDescent="0.3">
      <c r="A229" s="26">
        <v>1823</v>
      </c>
      <c r="B229" s="1">
        <v>0</v>
      </c>
      <c r="C229" s="1" t="str">
        <f>IF(B229=0,VLOOKUP(A229,Feuil2!$A$2:$M$1241,2,FALSE)," ")</f>
        <v>ACHOUR</v>
      </c>
      <c r="D229" s="1" t="str">
        <f>IF(B229=0,VLOOKUP(A229,Feuil2!$A$2:$M$1241,3,FALSE)," ")</f>
        <v>RAOUF</v>
      </c>
      <c r="E229" s="5" t="s">
        <v>2860</v>
      </c>
    </row>
    <row r="230" spans="1:5" x14ac:dyDescent="0.3">
      <c r="A230" s="26">
        <v>1824</v>
      </c>
      <c r="B230" s="1">
        <v>0</v>
      </c>
      <c r="C230" s="1" t="str">
        <f>IF(B230=0,VLOOKUP(A230,Feuil2!$A$2:$M$1241,2,FALSE)," ")</f>
        <v>ESSAFI</v>
      </c>
      <c r="D230" s="1" t="str">
        <f>IF(B230=0,VLOOKUP(A230,Feuil2!$A$2:$M$1241,3,FALSE)," ")</f>
        <v>BECHIR</v>
      </c>
      <c r="E230" s="5" t="s">
        <v>2860</v>
      </c>
    </row>
    <row r="231" spans="1:5" x14ac:dyDescent="0.3">
      <c r="A231" s="26">
        <v>1825</v>
      </c>
      <c r="B231" s="1">
        <v>0</v>
      </c>
      <c r="C231" s="1" t="str">
        <f>IF(B231=0,VLOOKUP(A231,Feuil2!$A$2:$M$1241,2,FALSE)," ")</f>
        <v>AIFA</v>
      </c>
      <c r="D231" s="1" t="str">
        <f>IF(B231=0,VLOOKUP(A231,Feuil2!$A$2:$M$1241,3,FALSE)," ")</f>
        <v>SADOK</v>
      </c>
      <c r="E231" s="5" t="s">
        <v>2860</v>
      </c>
    </row>
    <row r="232" spans="1:5" x14ac:dyDescent="0.3">
      <c r="A232" s="26">
        <v>1827</v>
      </c>
      <c r="B232" s="1">
        <v>0</v>
      </c>
      <c r="C232" s="1" t="str">
        <f>IF(B232=0,VLOOKUP(A232,Feuil2!$A$2:$M$1241,2,FALSE)," ")</f>
        <v>CHTIOUI</v>
      </c>
      <c r="D232" s="1" t="str">
        <f>IF(B232=0,VLOOKUP(A232,Feuil2!$A$2:$M$1241,3,FALSE)," ")</f>
        <v>HAMADI</v>
      </c>
      <c r="E232" s="5" t="s">
        <v>2860</v>
      </c>
    </row>
    <row r="233" spans="1:5" x14ac:dyDescent="0.3">
      <c r="A233" s="26">
        <v>1828</v>
      </c>
      <c r="B233" s="1">
        <v>0</v>
      </c>
      <c r="C233" s="1" t="str">
        <f>IF(B233=0,VLOOKUP(A233,Feuil2!$A$2:$M$1241,2,FALSE)," ")</f>
        <v>FNAYOU</v>
      </c>
      <c r="D233" s="1" t="str">
        <f>IF(B233=0,VLOOKUP(A233,Feuil2!$A$2:$M$1241,3,FALSE)," ")</f>
        <v>MOHAMED</v>
      </c>
      <c r="E233" s="5" t="s">
        <v>2860</v>
      </c>
    </row>
    <row r="234" spans="1:5" x14ac:dyDescent="0.3">
      <c r="A234" s="26">
        <v>1829</v>
      </c>
      <c r="B234" s="1">
        <v>0</v>
      </c>
      <c r="C234" s="1" t="str">
        <f>IF(B234=0,VLOOKUP(A234,Feuil2!$A$2:$M$1241,2,FALSE)," ")</f>
        <v>ATROUS</v>
      </c>
      <c r="D234" s="1" t="str">
        <f>IF(B234=0,VLOOKUP(A234,Feuil2!$A$2:$M$1241,3,FALSE)," ")</f>
        <v>ANIS</v>
      </c>
      <c r="E234" s="5" t="s">
        <v>2860</v>
      </c>
    </row>
    <row r="235" spans="1:5" x14ac:dyDescent="0.3">
      <c r="A235" s="26">
        <v>1830</v>
      </c>
      <c r="B235" s="1">
        <v>0</v>
      </c>
      <c r="C235" s="1" t="str">
        <f>IF(B235=0,VLOOKUP(A235,Feuil2!$A$2:$M$1241,2,FALSE)," ")</f>
        <v>LOURIMI</v>
      </c>
      <c r="D235" s="1" t="s">
        <v>63</v>
      </c>
      <c r="E235" s="5" t="s">
        <v>2860</v>
      </c>
    </row>
    <row r="236" spans="1:5" x14ac:dyDescent="0.3">
      <c r="A236" s="26">
        <v>1831</v>
      </c>
      <c r="B236" s="1">
        <v>0</v>
      </c>
      <c r="C236" s="1" t="str">
        <f>IF(B236=0,VLOOKUP(A236,Feuil2!$A$2:$M$1241,2,FALSE)," ")</f>
        <v>KEMIMECH</v>
      </c>
      <c r="D236" s="1" t="str">
        <f>IF(B236=0,VLOOKUP(A236,Feuil2!$A$2:$M$1241,3,FALSE)," ")</f>
        <v>MOHAMED BEN MOHAMED</v>
      </c>
      <c r="E236" s="5" t="s">
        <v>2860</v>
      </c>
    </row>
    <row r="237" spans="1:5" x14ac:dyDescent="0.3">
      <c r="A237" s="26">
        <v>1832</v>
      </c>
      <c r="B237" s="1">
        <v>0</v>
      </c>
      <c r="C237" s="1" t="str">
        <f>IF(B237=0,VLOOKUP(A237,Feuil2!$A$2:$M$1241,2,FALSE)," ")</f>
        <v>ERGUEZ</v>
      </c>
      <c r="D237" s="1" t="str">
        <f>IF(B237=0,VLOOKUP(A237,Feuil2!$A$2:$M$1241,3,FALSE)," ")</f>
        <v>MEJDI</v>
      </c>
      <c r="E237" s="5" t="s">
        <v>2860</v>
      </c>
    </row>
    <row r="238" spans="1:5" x14ac:dyDescent="0.3">
      <c r="A238" s="26">
        <v>1833</v>
      </c>
      <c r="B238" s="1">
        <v>0</v>
      </c>
      <c r="C238" s="1" t="str">
        <f>IF(B238=0,VLOOKUP(A238,Feuil2!$A$2:$M$1241,2,FALSE)," ")</f>
        <v>BOUZAABIA</v>
      </c>
      <c r="D238" s="1" t="str">
        <f>IF(B238=0,VLOOKUP(A238,Feuil2!$A$2:$M$1241,3,FALSE)," ")</f>
        <v>MOHAMED</v>
      </c>
      <c r="E238" s="5" t="s">
        <v>2860</v>
      </c>
    </row>
    <row r="239" spans="1:5" x14ac:dyDescent="0.3">
      <c r="A239" s="26">
        <v>1834</v>
      </c>
      <c r="B239" s="1">
        <v>0</v>
      </c>
      <c r="C239" s="1" t="str">
        <f>IF(B239=0,VLOOKUP(A239,Feuil2!$A$2:$M$1241,2,FALSE)," ")</f>
        <v>SMIDA</v>
      </c>
      <c r="D239" s="1" t="str">
        <f>IF(B239=0,VLOOKUP(A239,Feuil2!$A$2:$M$1241,3,FALSE)," ")</f>
        <v>ZIED</v>
      </c>
      <c r="E239" s="5" t="s">
        <v>2860</v>
      </c>
    </row>
    <row r="240" spans="1:5" x14ac:dyDescent="0.3">
      <c r="A240" s="26">
        <v>1835</v>
      </c>
      <c r="B240" s="1">
        <v>0</v>
      </c>
      <c r="C240" s="1" t="str">
        <f>IF(B240=0,VLOOKUP(A240,Feuil2!$A$2:$M$1241,2,FALSE)," ")</f>
        <v>KRIFA</v>
      </c>
      <c r="D240" s="1" t="str">
        <f>IF(B240=0,VLOOKUP(A240,Feuil2!$A$2:$M$1241,3,FALSE)," ")</f>
        <v>MOHAMED KAMEL</v>
      </c>
      <c r="E240" s="5" t="s">
        <v>2860</v>
      </c>
    </row>
    <row r="241" spans="1:5" x14ac:dyDescent="0.3">
      <c r="A241" s="26">
        <v>1836</v>
      </c>
      <c r="B241" s="1">
        <v>0</v>
      </c>
      <c r="C241" s="1" t="str">
        <f>IF(B241=0,VLOOKUP(A241,Feuil2!$A$2:$M$1241,2,FALSE)," ")</f>
        <v>BEN KALIA</v>
      </c>
      <c r="D241" s="1" t="str">
        <f>IF(B241=0,VLOOKUP(A241,Feuil2!$A$2:$M$1241,3,FALSE)," ")</f>
        <v>LOTFI</v>
      </c>
      <c r="E241" s="5" t="s">
        <v>2860</v>
      </c>
    </row>
    <row r="242" spans="1:5" x14ac:dyDescent="0.3">
      <c r="A242" s="26">
        <v>1837</v>
      </c>
      <c r="B242" s="1">
        <v>0</v>
      </c>
      <c r="C242" s="1" t="str">
        <f>IF(B242=0,VLOOKUP(A242,Feuil2!$A$2:$M$1241,2,FALSE)," ")</f>
        <v>SLAMA</v>
      </c>
      <c r="D242" s="1" t="str">
        <f>IF(B242=0,VLOOKUP(A242,Feuil2!$A$2:$M$1241,3,FALSE)," ")</f>
        <v>SALEM</v>
      </c>
      <c r="E242" s="5" t="s">
        <v>2860</v>
      </c>
    </row>
    <row r="243" spans="1:5" x14ac:dyDescent="0.3">
      <c r="A243" s="26">
        <v>1839</v>
      </c>
      <c r="B243" s="1">
        <v>0</v>
      </c>
      <c r="C243" s="1" t="str">
        <f>IF(B243=0,VLOOKUP(A243,Feuil2!$A$2:$M$1241,2,FALSE)," ")</f>
        <v>TERZEGUE</v>
      </c>
      <c r="D243" s="1" t="str">
        <f>IF(B243=0,VLOOKUP(A243,Feuil2!$A$2:$M$1241,3,FALSE)," ")</f>
        <v>FERID</v>
      </c>
      <c r="E243" s="5" t="s">
        <v>2860</v>
      </c>
    </row>
    <row r="244" spans="1:5" x14ac:dyDescent="0.3">
      <c r="A244" s="26">
        <v>1842</v>
      </c>
      <c r="B244" s="1">
        <v>0</v>
      </c>
      <c r="C244" s="1" t="str">
        <f>IF(B244=0,VLOOKUP(A244,Feuil2!$A$2:$M$1241,2,FALSE)," ")</f>
        <v>SAKKA ROUIS</v>
      </c>
      <c r="D244" s="1" t="str">
        <f>IF(B244=0,VLOOKUP(A244,Feuil2!$A$2:$M$1241,3,FALSE)," ")</f>
        <v>SAMI</v>
      </c>
      <c r="E244" s="5" t="s">
        <v>2860</v>
      </c>
    </row>
    <row r="245" spans="1:5" x14ac:dyDescent="0.3">
      <c r="A245" s="26">
        <v>1846</v>
      </c>
      <c r="B245" s="1">
        <v>0</v>
      </c>
      <c r="C245" s="1" t="str">
        <f>IF(B245=0,VLOOKUP(A245,Feuil2!$A$2:$M$1241,2,FALSE)," ")</f>
        <v>ROMDHANI</v>
      </c>
      <c r="D245" s="1" t="str">
        <f>IF(B245=0,VLOOKUP(A245,Feuil2!$A$2:$M$1241,3,FALSE)," ")</f>
        <v>SAMI</v>
      </c>
      <c r="E245" s="5" t="s">
        <v>2860</v>
      </c>
    </row>
    <row r="246" spans="1:5" x14ac:dyDescent="0.3">
      <c r="A246" s="26">
        <v>1849</v>
      </c>
      <c r="B246" s="1">
        <v>0</v>
      </c>
      <c r="C246" s="1" t="str">
        <f>IF(B246=0,VLOOKUP(A246,Feuil2!$A$2:$M$1241,2,FALSE)," ")</f>
        <v>GANHOUBA</v>
      </c>
      <c r="D246" s="1" t="str">
        <f>IF(B246=0,VLOOKUP(A246,Feuil2!$A$2:$M$1241,3,FALSE)," ")</f>
        <v>MEHDI</v>
      </c>
      <c r="E246" s="5" t="s">
        <v>2860</v>
      </c>
    </row>
    <row r="247" spans="1:5" x14ac:dyDescent="0.3">
      <c r="A247" s="26">
        <v>1851</v>
      </c>
      <c r="B247" s="1">
        <v>0</v>
      </c>
      <c r="C247" s="1" t="str">
        <f>IF(B247=0,VLOOKUP(A247,Feuil2!$A$2:$M$1241,2,FALSE)," ")</f>
        <v>ATTIA</v>
      </c>
      <c r="D247" s="1" t="str">
        <f>IF(B247=0,VLOOKUP(A247,Feuil2!$A$2:$M$1241,3,FALSE)," ")</f>
        <v>FAYCAL</v>
      </c>
      <c r="E247" s="5" t="s">
        <v>2860</v>
      </c>
    </row>
    <row r="248" spans="1:5" x14ac:dyDescent="0.3">
      <c r="A248" s="26">
        <v>1856</v>
      </c>
      <c r="B248" s="1">
        <v>0</v>
      </c>
      <c r="C248" s="1" t="str">
        <f>IF(B248=0,VLOOKUP(A248,Feuil2!$A$2:$M$1241,2,FALSE)," ")</f>
        <v>ABDELLATIF</v>
      </c>
      <c r="D248" s="1" t="str">
        <f>IF(B248=0,VLOOKUP(A248,Feuil2!$A$2:$M$1241,3,FALSE)," ")</f>
        <v>MOHAMED ALI</v>
      </c>
      <c r="E248" s="5" t="s">
        <v>2860</v>
      </c>
    </row>
    <row r="249" spans="1:5" x14ac:dyDescent="0.3">
      <c r="A249" s="26">
        <v>1857</v>
      </c>
      <c r="B249" s="1">
        <v>0</v>
      </c>
      <c r="C249" s="1" t="str">
        <f>IF(B249=0,VLOOKUP(A249,Feuil2!$A$2:$M$1241,2,FALSE)," ")</f>
        <v>NOUIRA BOUJEBHA</v>
      </c>
      <c r="D249" s="1" t="str">
        <f>IF(B249=0,VLOOKUP(A249,Feuil2!$A$2:$M$1241,3,FALSE)," ")</f>
        <v>RAMZI</v>
      </c>
      <c r="E249" s="5" t="s">
        <v>2860</v>
      </c>
    </row>
    <row r="250" spans="1:5" x14ac:dyDescent="0.3">
      <c r="A250" s="26">
        <v>1860</v>
      </c>
      <c r="B250" s="1">
        <v>0</v>
      </c>
      <c r="C250" s="1" t="str">
        <f>IF(B250=0,VLOOKUP(A250,Feuil2!$A$2:$M$1241,2,FALSE)," ")</f>
        <v>KTAIEB</v>
      </c>
      <c r="D250" s="1" t="str">
        <f>IF(B250=0,VLOOKUP(A250,Feuil2!$A$2:$M$1241,3,FALSE)," ")</f>
        <v>FREDJ</v>
      </c>
      <c r="E250" s="5" t="s">
        <v>2860</v>
      </c>
    </row>
    <row r="251" spans="1:5" x14ac:dyDescent="0.3">
      <c r="A251" s="26">
        <v>1861</v>
      </c>
      <c r="B251" s="1">
        <v>0</v>
      </c>
      <c r="C251" s="1" t="str">
        <f>IF(B251=0,VLOOKUP(A251,Feuil2!$A$2:$M$1241,2,FALSE)," ")</f>
        <v>BOUHLEL</v>
      </c>
      <c r="D251" s="1" t="str">
        <f>IF(B251=0,VLOOKUP(A251,Feuil2!$A$2:$M$1241,3,FALSE)," ")</f>
        <v>ANIS BEN MUSTAPHA</v>
      </c>
      <c r="E251" s="5" t="s">
        <v>2860</v>
      </c>
    </row>
    <row r="252" spans="1:5" x14ac:dyDescent="0.3">
      <c r="A252" s="26">
        <v>1864</v>
      </c>
      <c r="B252" s="1">
        <v>0</v>
      </c>
      <c r="C252" s="1" t="str">
        <f>IF(B252=0,VLOOKUP(A252,Feuil2!$A$2:$M$1241,2,FALSE)," ")</f>
        <v>BOUSOBINE</v>
      </c>
      <c r="D252" s="1" t="str">
        <f>IF(B252=0,VLOOKUP(A252,Feuil2!$A$2:$M$1241,3,FALSE)," ")</f>
        <v>SAFOUANE</v>
      </c>
      <c r="E252" s="5" t="s">
        <v>2860</v>
      </c>
    </row>
    <row r="253" spans="1:5" x14ac:dyDescent="0.3">
      <c r="A253" s="26">
        <v>1867</v>
      </c>
      <c r="B253" s="1">
        <v>0</v>
      </c>
      <c r="C253" s="1" t="str">
        <f>IF(B253=0,VLOOKUP(A253,Feuil2!$A$2:$M$1241,2,FALSE)," ")</f>
        <v>GAZZAH</v>
      </c>
      <c r="D253" s="1" t="str">
        <f>IF(B253=0,VLOOKUP(A253,Feuil2!$A$2:$M$1241,3,FALSE)," ")</f>
        <v>LOTFI</v>
      </c>
      <c r="E253" s="5" t="s">
        <v>2860</v>
      </c>
    </row>
    <row r="254" spans="1:5" x14ac:dyDescent="0.3">
      <c r="A254" s="26">
        <v>1871</v>
      </c>
      <c r="B254" s="1">
        <v>0</v>
      </c>
      <c r="C254" s="1" t="str">
        <f>IF(B254=0,VLOOKUP(A254,Feuil2!$A$2:$M$1241,2,FALSE)," ")</f>
        <v>LOGHMARI</v>
      </c>
      <c r="D254" s="1" t="str">
        <f>IF(B254=0,VLOOKUP(A254,Feuil2!$A$2:$M$1241,3,FALSE)," ")</f>
        <v>HICHEM</v>
      </c>
      <c r="E254" s="5" t="s">
        <v>2860</v>
      </c>
    </row>
    <row r="255" spans="1:5" x14ac:dyDescent="0.3">
      <c r="A255" s="26">
        <v>1872</v>
      </c>
      <c r="B255" s="1">
        <v>0</v>
      </c>
      <c r="C255" s="1" t="str">
        <f>IF(B255=0,VLOOKUP(A255,Feuil2!$A$2:$M$1241,2,FALSE)," ")</f>
        <v>DAHAY CHATTI</v>
      </c>
      <c r="D255" s="1" t="str">
        <f>IF(B255=0,VLOOKUP(A255,Feuil2!$A$2:$M$1241,3,FALSE)," ")</f>
        <v>BECHIR</v>
      </c>
      <c r="E255" s="5" t="s">
        <v>2860</v>
      </c>
    </row>
    <row r="256" spans="1:5" x14ac:dyDescent="0.3">
      <c r="A256" s="26">
        <v>1876</v>
      </c>
      <c r="B256" s="1">
        <v>0</v>
      </c>
      <c r="C256" s="1" t="str">
        <f>IF(B256=0,VLOOKUP(A256,Feuil2!$A$2:$M$1241,2,FALSE)," ")</f>
        <v>LADHERI</v>
      </c>
      <c r="D256" s="1" t="str">
        <f>IF(B256=0,VLOOKUP(A256,Feuil2!$A$2:$M$1241,3,FALSE)," ")</f>
        <v>SAMI</v>
      </c>
      <c r="E256" s="5" t="s">
        <v>2860</v>
      </c>
    </row>
    <row r="257" spans="1:5" x14ac:dyDescent="0.3">
      <c r="A257" s="26">
        <v>1877</v>
      </c>
      <c r="B257" s="1">
        <v>0</v>
      </c>
      <c r="C257" s="1" t="str">
        <f>IF(B257=0,VLOOKUP(A257,Feuil2!$A$2:$M$1241,2,FALSE)," ")</f>
        <v>SOUSSI</v>
      </c>
      <c r="D257" s="1" t="str">
        <f>IF(B257=0,VLOOKUP(A257,Feuil2!$A$2:$M$1241,3,FALSE)," ")</f>
        <v>MAHER</v>
      </c>
      <c r="E257" s="5" t="s">
        <v>2860</v>
      </c>
    </row>
    <row r="258" spans="1:5" x14ac:dyDescent="0.3">
      <c r="A258" s="26">
        <v>1878</v>
      </c>
      <c r="B258" s="1">
        <v>0</v>
      </c>
      <c r="C258" s="1" t="str">
        <f>IF(B258=0,VLOOKUP(A258,Feuil2!$A$2:$M$1241,2,FALSE)," ")</f>
        <v>BOUHLEL</v>
      </c>
      <c r="D258" s="1" t="str">
        <f>IF(B258=0,VLOOKUP(A258,Feuil2!$A$2:$M$1241,3,FALSE)," ")</f>
        <v>MED ALI</v>
      </c>
      <c r="E258" s="5" t="s">
        <v>2860</v>
      </c>
    </row>
    <row r="259" spans="1:5" x14ac:dyDescent="0.3">
      <c r="A259" s="26">
        <v>1881</v>
      </c>
      <c r="B259" s="1">
        <v>0</v>
      </c>
      <c r="C259" s="1" t="str">
        <f>IF(B259=0,VLOOKUP(A259,Feuil2!$A$2:$M$1241,2,FALSE)," ")</f>
        <v>ARFAOUI</v>
      </c>
      <c r="D259" s="1" t="str">
        <f>IF(B259=0,VLOOKUP(A259,Feuil2!$A$2:$M$1241,3,FALSE)," ")</f>
        <v>BECHIR</v>
      </c>
      <c r="E259" s="5" t="s">
        <v>2860</v>
      </c>
    </row>
    <row r="260" spans="1:5" x14ac:dyDescent="0.3">
      <c r="A260" s="26">
        <v>1882</v>
      </c>
      <c r="B260" s="1">
        <v>0</v>
      </c>
      <c r="C260" s="1" t="str">
        <f>IF(B260=0,VLOOKUP(A260,Feuil2!$A$2:$M$1241,2,FALSE)," ")</f>
        <v>AMARA</v>
      </c>
      <c r="D260" s="1" t="str">
        <f>IF(B260=0,VLOOKUP(A260,Feuil2!$A$2:$M$1241,3,FALSE)," ")</f>
        <v>SOFIANE</v>
      </c>
      <c r="E260" s="5" t="s">
        <v>2860</v>
      </c>
    </row>
    <row r="261" spans="1:5" x14ac:dyDescent="0.3">
      <c r="A261" s="26">
        <v>1884</v>
      </c>
      <c r="B261" s="1">
        <v>0</v>
      </c>
      <c r="C261" s="1" t="str">
        <f>IF(B261=0,VLOOKUP(A261,Feuil2!$A$2:$M$1241,2,FALSE)," ")</f>
        <v>BELKHIRIA</v>
      </c>
      <c r="D261" s="1" t="str">
        <f>IF(B261=0,VLOOKUP(A261,Feuil2!$A$2:$M$1241,3,FALSE)," ")</f>
        <v>HAYKEL</v>
      </c>
      <c r="E261" s="5" t="s">
        <v>2860</v>
      </c>
    </row>
    <row r="262" spans="1:5" x14ac:dyDescent="0.3">
      <c r="A262" s="26">
        <v>1887</v>
      </c>
      <c r="B262" s="1">
        <v>0</v>
      </c>
      <c r="C262" s="1" t="str">
        <f>IF(B262=0,VLOOKUP(A262,Feuil2!$A$2:$M$1241,2,FALSE)," ")</f>
        <v>BEN SALAH</v>
      </c>
      <c r="D262" s="1" t="str">
        <f>IF(B262=0,VLOOKUP(A262,Feuil2!$A$2:$M$1241,3,FALSE)," ")</f>
        <v>HATEM</v>
      </c>
      <c r="E262" s="5" t="s">
        <v>2860</v>
      </c>
    </row>
    <row r="263" spans="1:5" x14ac:dyDescent="0.3">
      <c r="A263" s="26">
        <v>1896</v>
      </c>
      <c r="B263" s="1">
        <v>0</v>
      </c>
      <c r="C263" s="1" t="str">
        <f>IF(B263=0,VLOOKUP(A263,Feuil2!$A$2:$M$1241,2,FALSE)," ")</f>
        <v>LAJIMI</v>
      </c>
      <c r="D263" s="1" t="str">
        <f>IF(B263=0,VLOOKUP(A263,Feuil2!$A$2:$M$1241,3,FALSE)," ")</f>
        <v>ABDELKADER</v>
      </c>
      <c r="E263" s="5" t="s">
        <v>2860</v>
      </c>
    </row>
    <row r="264" spans="1:5" x14ac:dyDescent="0.3">
      <c r="A264" s="26">
        <v>1897</v>
      </c>
      <c r="B264" s="1">
        <v>0</v>
      </c>
      <c r="C264" s="1" t="str">
        <f>IF(B264=0,VLOOKUP(A264,Feuil2!$A$2:$M$1241,2,FALSE)," ")</f>
        <v>BOHLI</v>
      </c>
      <c r="D264" s="1" t="str">
        <f>IF(B264=0,VLOOKUP(A264,Feuil2!$A$2:$M$1241,3,FALSE)," ")</f>
        <v>AMOR</v>
      </c>
      <c r="E264" s="5" t="s">
        <v>2860</v>
      </c>
    </row>
    <row r="265" spans="1:5" x14ac:dyDescent="0.3">
      <c r="A265" s="26">
        <v>1898</v>
      </c>
      <c r="B265" s="1">
        <v>0</v>
      </c>
      <c r="C265" s="1" t="str">
        <f>IF(B265=0,VLOOKUP(A265,Feuil2!$A$2:$M$1241,2,FALSE)," ")</f>
        <v>BOUHLEL</v>
      </c>
      <c r="D265" s="1" t="str">
        <f>IF(B265=0,VLOOKUP(A265,Feuil2!$A$2:$M$1241,3,FALSE)," ")</f>
        <v>BILEL</v>
      </c>
      <c r="E265" s="5" t="s">
        <v>2860</v>
      </c>
    </row>
    <row r="266" spans="1:5" x14ac:dyDescent="0.3">
      <c r="A266" s="26">
        <v>1900</v>
      </c>
      <c r="B266" s="1">
        <v>0</v>
      </c>
      <c r="C266" s="1" t="str">
        <f>IF(B266=0,VLOOKUP(A266,Feuil2!$A$2:$M$1241,2,FALSE)," ")</f>
        <v>BOUAZZA</v>
      </c>
      <c r="D266" s="1" t="str">
        <f>IF(B266=0,VLOOKUP(A266,Feuil2!$A$2:$M$1241,3,FALSE)," ")</f>
        <v>SALAH</v>
      </c>
      <c r="E266" s="5" t="s">
        <v>2860</v>
      </c>
    </row>
    <row r="267" spans="1:5" x14ac:dyDescent="0.3">
      <c r="A267" s="26">
        <v>1901</v>
      </c>
      <c r="B267" s="1">
        <v>0</v>
      </c>
      <c r="C267" s="1" t="str">
        <f>IF(B267=0,VLOOKUP(A267,Feuil2!$A$2:$M$1241,2,FALSE)," ")</f>
        <v>BACH</v>
      </c>
      <c r="D267" s="1" t="str">
        <f>IF(B267=0,VLOOKUP(A267,Feuil2!$A$2:$M$1241,3,FALSE)," ")</f>
        <v>ZOUHAIER</v>
      </c>
      <c r="E267" s="5" t="s">
        <v>2860</v>
      </c>
    </row>
    <row r="268" spans="1:5" x14ac:dyDescent="0.3">
      <c r="A268" s="26">
        <v>1902</v>
      </c>
      <c r="B268" s="1">
        <v>0</v>
      </c>
      <c r="C268" s="1" t="str">
        <f>IF(B268=0,VLOOKUP(A268,Feuil2!$A$2:$M$1241,2,FALSE)," ")</f>
        <v>BEN ABDALLAH</v>
      </c>
      <c r="D268" s="1" t="str">
        <f>IF(B268=0,VLOOKUP(A268,Feuil2!$A$2:$M$1241,3,FALSE)," ")</f>
        <v>HATEM</v>
      </c>
      <c r="E268" s="5" t="s">
        <v>2860</v>
      </c>
    </row>
    <row r="269" spans="1:5" x14ac:dyDescent="0.3">
      <c r="A269" s="26">
        <v>1904</v>
      </c>
      <c r="B269" s="1">
        <v>0</v>
      </c>
      <c r="C269" s="1" t="str">
        <f>IF(B269=0,VLOOKUP(A269,Feuil2!$A$2:$M$1241,2,FALSE)," ")</f>
        <v>GLOULOU</v>
      </c>
      <c r="D269" s="1" t="str">
        <f>IF(B269=0,VLOOKUP(A269,Feuil2!$A$2:$M$1241,3,FALSE)," ")</f>
        <v>LOTFI</v>
      </c>
      <c r="E269" s="5" t="s">
        <v>2860</v>
      </c>
    </row>
    <row r="270" spans="1:5" x14ac:dyDescent="0.3">
      <c r="A270" s="26">
        <v>1905</v>
      </c>
      <c r="B270" s="1">
        <v>0</v>
      </c>
      <c r="C270" s="1" t="str">
        <f>IF(B270=0,VLOOKUP(A270,Feuil2!$A$2:$M$1241,2,FALSE)," ")</f>
        <v>LADHARI</v>
      </c>
      <c r="D270" s="1" t="str">
        <f>IF(B270=0,VLOOKUP(A270,Feuil2!$A$2:$M$1241,3,FALSE)," ")</f>
        <v>MOHAMED</v>
      </c>
      <c r="E270" s="5" t="s">
        <v>2860</v>
      </c>
    </row>
    <row r="271" spans="1:5" x14ac:dyDescent="0.3">
      <c r="A271" s="26">
        <v>1907</v>
      </c>
      <c r="B271" s="1">
        <v>0</v>
      </c>
      <c r="C271" s="1" t="str">
        <f>IF(B271=0,VLOOKUP(A271,Feuil2!$A$2:$M$1241,2,FALSE)," ")</f>
        <v>MAMIA</v>
      </c>
      <c r="D271" s="1" t="str">
        <f>IF(B271=0,VLOOKUP(A271,Feuil2!$A$2:$M$1241,3,FALSE)," ")</f>
        <v>NEJMEDDINE</v>
      </c>
      <c r="E271" s="5" t="s">
        <v>2860</v>
      </c>
    </row>
    <row r="272" spans="1:5" x14ac:dyDescent="0.3">
      <c r="A272" s="26">
        <v>1908</v>
      </c>
      <c r="B272" s="1">
        <v>0</v>
      </c>
      <c r="C272" s="1" t="str">
        <f>IF(B272=0,VLOOKUP(A272,Feuil2!$A$2:$M$1241,2,FALSE)," ")</f>
        <v>ZMERLI</v>
      </c>
      <c r="D272" s="1" t="str">
        <f>IF(B272=0,VLOOKUP(A272,Feuil2!$A$2:$M$1241,3,FALSE)," ")</f>
        <v>JAOUHAR</v>
      </c>
      <c r="E272" s="5" t="s">
        <v>2860</v>
      </c>
    </row>
    <row r="273" spans="1:5" x14ac:dyDescent="0.3">
      <c r="A273" s="26">
        <v>1909</v>
      </c>
      <c r="B273" s="1">
        <v>0</v>
      </c>
      <c r="C273" s="1" t="str">
        <f>IF(B273=0,VLOOKUP(A273,Feuil2!$A$2:$M$1241,2,FALSE)," ")</f>
        <v>BHIRI</v>
      </c>
      <c r="D273" s="1" t="str">
        <f>IF(B273=0,VLOOKUP(A273,Feuil2!$A$2:$M$1241,3,FALSE)," ")</f>
        <v>ADLI</v>
      </c>
      <c r="E273" s="5" t="s">
        <v>2860</v>
      </c>
    </row>
    <row r="274" spans="1:5" x14ac:dyDescent="0.3">
      <c r="A274" s="26">
        <v>1910</v>
      </c>
      <c r="B274" s="1">
        <v>0</v>
      </c>
      <c r="C274" s="1" t="str">
        <f>IF(B274=0,VLOOKUP(A274,Feuil2!$A$2:$M$1241,2,FALSE)," ")</f>
        <v>YOUSFI</v>
      </c>
      <c r="D274" s="1" t="str">
        <f>IF(B274=0,VLOOKUP(A274,Feuil2!$A$2:$M$1241,3,FALSE)," ")</f>
        <v>MEHDI</v>
      </c>
      <c r="E274" s="5" t="s">
        <v>2860</v>
      </c>
    </row>
    <row r="275" spans="1:5" x14ac:dyDescent="0.3">
      <c r="A275" s="26">
        <v>1911</v>
      </c>
      <c r="B275" s="1">
        <v>0</v>
      </c>
      <c r="C275" s="1" t="str">
        <f>IF(B275=0,VLOOKUP(A275,Feuil2!$A$2:$M$1241,2,FALSE)," ")</f>
        <v>MEJRI</v>
      </c>
      <c r="D275" s="1" t="str">
        <f>IF(B275=0,VLOOKUP(A275,Feuil2!$A$2:$M$1241,3,FALSE)," ")</f>
        <v>KHELIL</v>
      </c>
      <c r="E275" s="5" t="s">
        <v>2860</v>
      </c>
    </row>
    <row r="276" spans="1:5" x14ac:dyDescent="0.3">
      <c r="A276" s="26">
        <v>1913</v>
      </c>
      <c r="B276" s="1">
        <v>0</v>
      </c>
      <c r="C276" s="1" t="str">
        <f>IF(B276=0,VLOOKUP(A276,Feuil2!$A$2:$M$1241,2,FALSE)," ")</f>
        <v>SRIDI</v>
      </c>
      <c r="D276" s="1" t="str">
        <f>IF(B276=0,VLOOKUP(A276,Feuil2!$A$2:$M$1241,3,FALSE)," ")</f>
        <v>MOHAMED</v>
      </c>
      <c r="E276" s="5" t="s">
        <v>2860</v>
      </c>
    </row>
    <row r="277" spans="1:5" x14ac:dyDescent="0.3">
      <c r="A277" s="26">
        <v>1914</v>
      </c>
      <c r="B277" s="1">
        <v>0</v>
      </c>
      <c r="C277" s="1" t="str">
        <f>IF(B277=0,VLOOKUP(A277,Feuil2!$A$2:$M$1241,2,FALSE)," ")</f>
        <v>EL FKIH</v>
      </c>
      <c r="D277" s="1" t="str">
        <f>IF(B277=0,VLOOKUP(A277,Feuil2!$A$2:$M$1241,3,FALSE)," ")</f>
        <v>LAMJED</v>
      </c>
      <c r="E277" s="5" t="s">
        <v>2860</v>
      </c>
    </row>
    <row r="278" spans="1:5" x14ac:dyDescent="0.3">
      <c r="A278" s="26">
        <v>1915</v>
      </c>
      <c r="B278" s="1">
        <v>0</v>
      </c>
      <c r="C278" s="1" t="s">
        <v>582</v>
      </c>
      <c r="D278" s="1" t="str">
        <f>IF(B278=0,VLOOKUP(A278,Feuil2!$A$2:$M$1241,3,FALSE)," ")</f>
        <v>MOHAMED SALAH</v>
      </c>
      <c r="E278" s="5" t="s">
        <v>2860</v>
      </c>
    </row>
    <row r="279" spans="1:5" x14ac:dyDescent="0.3">
      <c r="A279" s="26">
        <v>1916</v>
      </c>
      <c r="B279" s="1">
        <v>0</v>
      </c>
      <c r="C279" s="1" t="str">
        <f>IF(B279=0,VLOOKUP(A279,Feuil2!$A$2:$M$1241,2,FALSE)," ")</f>
        <v>MANSOUR</v>
      </c>
      <c r="D279" s="1" t="str">
        <f>IF(B279=0,VLOOKUP(A279,Feuil2!$A$2:$M$1241,3,FALSE)," ")</f>
        <v>NEJI</v>
      </c>
      <c r="E279" s="5" t="s">
        <v>2860</v>
      </c>
    </row>
    <row r="280" spans="1:5" x14ac:dyDescent="0.3">
      <c r="A280" s="26">
        <v>1917</v>
      </c>
      <c r="B280" s="1">
        <v>0</v>
      </c>
      <c r="C280" s="1" t="str">
        <f>IF(B280=0,VLOOKUP(A280,Feuil2!$A$2:$M$1241,2,FALSE)," ")</f>
        <v>HAMILA</v>
      </c>
      <c r="D280" s="1" t="str">
        <f>IF(B280=0,VLOOKUP(A280,Feuil2!$A$2:$M$1241,3,FALSE)," ")</f>
        <v>JAMEL</v>
      </c>
      <c r="E280" s="5" t="s">
        <v>2860</v>
      </c>
    </row>
    <row r="281" spans="1:5" x14ac:dyDescent="0.3">
      <c r="A281" s="26">
        <v>1918</v>
      </c>
      <c r="B281" s="1">
        <v>0</v>
      </c>
      <c r="C281" s="1" t="str">
        <f>IF(B281=0,VLOOKUP(A281,Feuil2!$A$2:$M$1241,2,FALSE)," ")</f>
        <v>BOURIGUA</v>
      </c>
      <c r="D281" s="1" t="str">
        <f>IF(B281=0,VLOOKUP(A281,Feuil2!$A$2:$M$1241,3,FALSE)," ")</f>
        <v>MOHAMED ALI</v>
      </c>
      <c r="E281" s="5" t="s">
        <v>2860</v>
      </c>
    </row>
    <row r="282" spans="1:5" x14ac:dyDescent="0.3">
      <c r="A282" s="26">
        <v>1919</v>
      </c>
      <c r="B282" s="1">
        <v>0</v>
      </c>
      <c r="C282" s="1" t="str">
        <f>IF(B282=0,VLOOKUP(A282,Feuil2!$A$2:$M$1241,2,FALSE)," ")</f>
        <v>SOUA LAYOUNI</v>
      </c>
      <c r="D282" s="1" t="str">
        <f>IF(B282=0,VLOOKUP(A282,Feuil2!$A$2:$M$1241,3,FALSE)," ")</f>
        <v>MOHAMED</v>
      </c>
      <c r="E282" s="5" t="s">
        <v>2860</v>
      </c>
    </row>
    <row r="283" spans="1:5" x14ac:dyDescent="0.3">
      <c r="A283" s="26">
        <v>1921</v>
      </c>
      <c r="B283" s="1">
        <v>0</v>
      </c>
      <c r="C283" s="1" t="str">
        <f>IF(B283=0,VLOOKUP(A283,Feuil2!$A$2:$M$1241,2,FALSE)," ")</f>
        <v>HNIA</v>
      </c>
      <c r="D283" s="1" t="str">
        <f>IF(B283=0,VLOOKUP(A283,Feuil2!$A$2:$M$1241,3,FALSE)," ")</f>
        <v>SAHNOUN</v>
      </c>
      <c r="E283" s="5" t="s">
        <v>2860</v>
      </c>
    </row>
    <row r="284" spans="1:5" x14ac:dyDescent="0.3">
      <c r="A284" s="26">
        <v>1922</v>
      </c>
      <c r="B284" s="1">
        <v>0</v>
      </c>
      <c r="C284" s="1" t="str">
        <f>IF(B284=0,VLOOKUP(A284,Feuil2!$A$2:$M$1241,2,FALSE)," ")</f>
        <v>MAHJOUB</v>
      </c>
      <c r="D284" s="1" t="str">
        <f>IF(B284=0,VLOOKUP(A284,Feuil2!$A$2:$M$1241,3,FALSE)," ")</f>
        <v>FAKER</v>
      </c>
      <c r="E284" s="5" t="s">
        <v>2860</v>
      </c>
    </row>
    <row r="285" spans="1:5" x14ac:dyDescent="0.3">
      <c r="A285" s="26">
        <v>1923</v>
      </c>
      <c r="B285" s="1">
        <v>0</v>
      </c>
      <c r="C285" s="1" t="str">
        <f>IF(B285=0,VLOOKUP(A285,Feuil2!$A$2:$M$1241,2,FALSE)," ")</f>
        <v>BOUAZZA</v>
      </c>
      <c r="D285" s="1" t="str">
        <f>IF(B285=0,VLOOKUP(A285,Feuil2!$A$2:$M$1241,3,FALSE)," ")</f>
        <v>WALID</v>
      </c>
      <c r="E285" s="5" t="s">
        <v>2860</v>
      </c>
    </row>
    <row r="286" spans="1:5" x14ac:dyDescent="0.3">
      <c r="A286" s="26">
        <v>1924</v>
      </c>
      <c r="B286" s="1">
        <v>0</v>
      </c>
      <c r="C286" s="1" t="str">
        <f>IF(B286=0,VLOOKUP(A286,Feuil2!$A$2:$M$1241,2,FALSE)," ")</f>
        <v>BRAHIM</v>
      </c>
      <c r="D286" s="1" t="str">
        <f>IF(B286=0,VLOOKUP(A286,Feuil2!$A$2:$M$1241,3,FALSE)," ")</f>
        <v>Wahiba</v>
      </c>
      <c r="E286" s="5" t="s">
        <v>2860</v>
      </c>
    </row>
    <row r="287" spans="1:5" x14ac:dyDescent="0.3">
      <c r="A287" s="26">
        <v>1925</v>
      </c>
      <c r="B287" s="1">
        <v>0</v>
      </c>
      <c r="C287" s="1" t="str">
        <f>IF(B287=0,VLOOKUP(A287,Feuil2!$A$2:$M$1241,2,FALSE)," ")</f>
        <v>HACHICHA</v>
      </c>
      <c r="D287" s="1" t="str">
        <f>IF(B287=0,VLOOKUP(A287,Feuil2!$A$2:$M$1241,3,FALSE)," ")</f>
        <v>MOHAMED</v>
      </c>
      <c r="E287" s="5" t="s">
        <v>2860</v>
      </c>
    </row>
    <row r="288" spans="1:5" x14ac:dyDescent="0.3">
      <c r="A288" s="26">
        <v>1927</v>
      </c>
      <c r="B288" s="1">
        <v>0</v>
      </c>
      <c r="C288" s="1" t="str">
        <f>IF(B288=0,VLOOKUP(A288,Feuil2!$A$2:$M$1241,2,FALSE)," ")</f>
        <v>BEN HAMMOUDA</v>
      </c>
      <c r="D288" s="1" t="str">
        <f>IF(B288=0,VLOOKUP(A288,Feuil2!$A$2:$M$1241,3,FALSE)," ")</f>
        <v>AYMEN</v>
      </c>
      <c r="E288" s="5" t="s">
        <v>2860</v>
      </c>
    </row>
    <row r="289" spans="1:5" x14ac:dyDescent="0.3">
      <c r="A289" s="26">
        <v>1928</v>
      </c>
      <c r="B289" s="1">
        <v>0</v>
      </c>
      <c r="C289" s="1" t="str">
        <f>IF(B289=0,VLOOKUP(A289,Feuil2!$A$2:$M$1241,2,FALSE)," ")</f>
        <v>ZAGGAR</v>
      </c>
      <c r="D289" s="1" t="str">
        <f>IF(B289=0,VLOOKUP(A289,Feuil2!$A$2:$M$1241,3,FALSE)," ")</f>
        <v>JAMEL</v>
      </c>
      <c r="E289" s="5" t="s">
        <v>2860</v>
      </c>
    </row>
    <row r="290" spans="1:5" x14ac:dyDescent="0.3">
      <c r="A290" s="26">
        <v>1929</v>
      </c>
      <c r="B290" s="1">
        <v>0</v>
      </c>
      <c r="C290" s="1" t="str">
        <f>IF(B290=0,VLOOKUP(A290,Feuil2!$A$2:$M$1241,2,FALSE)," ")</f>
        <v>DAHMANI</v>
      </c>
      <c r="D290" s="1" t="str">
        <f>IF(B290=0,VLOOKUP(A290,Feuil2!$A$2:$M$1241,3,FALSE)," ")</f>
        <v>HAMDI</v>
      </c>
      <c r="E290" s="5" t="s">
        <v>2860</v>
      </c>
    </row>
    <row r="291" spans="1:5" x14ac:dyDescent="0.3">
      <c r="A291" s="26">
        <v>1930</v>
      </c>
      <c r="B291" s="1">
        <v>0</v>
      </c>
      <c r="C291" s="1" t="str">
        <f>IF(B291=0,VLOOKUP(A291,Feuil2!$A$2:$M$1241,2,FALSE)," ")</f>
        <v>EL HAMDI</v>
      </c>
      <c r="D291" s="1" t="str">
        <f>IF(B291=0,VLOOKUP(A291,Feuil2!$A$2:$M$1241,3,FALSE)," ")</f>
        <v>AHMED</v>
      </c>
      <c r="E291" s="5" t="s">
        <v>2860</v>
      </c>
    </row>
    <row r="292" spans="1:5" x14ac:dyDescent="0.3">
      <c r="A292" s="26">
        <v>1936</v>
      </c>
      <c r="B292" s="1">
        <v>0</v>
      </c>
      <c r="C292" s="1" t="str">
        <f>IF(B292=0,VLOOKUP(A292,Feuil2!$A$2:$M$1241,2,FALSE)," ")</f>
        <v>JLASSI</v>
      </c>
      <c r="D292" s="1" t="str">
        <f>IF(B292=0,VLOOKUP(A292,Feuil2!$A$2:$M$1241,3,FALSE)," ")</f>
        <v>KHALED</v>
      </c>
      <c r="E292" s="5" t="s">
        <v>2860</v>
      </c>
    </row>
    <row r="293" spans="1:5" x14ac:dyDescent="0.3">
      <c r="A293" s="26">
        <v>1938</v>
      </c>
      <c r="B293" s="1">
        <v>0</v>
      </c>
      <c r="C293" s="1" t="str">
        <f>IF(B293=0,VLOOKUP(A293,Feuil2!$A$2:$M$1241,2,FALSE)," ")</f>
        <v>NAFFATI</v>
      </c>
      <c r="D293" s="1" t="str">
        <f>IF(B293=0,VLOOKUP(A293,Feuil2!$A$2:$M$1241,3,FALSE)," ")</f>
        <v>SOFIENE</v>
      </c>
      <c r="E293" s="5" t="s">
        <v>2860</v>
      </c>
    </row>
    <row r="294" spans="1:5" x14ac:dyDescent="0.3">
      <c r="A294" s="26">
        <v>1953</v>
      </c>
      <c r="B294" s="1">
        <v>0</v>
      </c>
      <c r="C294" s="1" t="str">
        <f>IF(B294=0,VLOOKUP(A294,Feuil2!$A$2:$M$1241,2,FALSE)," ")</f>
        <v>SGHAIER</v>
      </c>
      <c r="D294" s="1" t="str">
        <f>IF(B294=0,VLOOKUP(A294,Feuil2!$A$2:$M$1241,3,FALSE)," ")</f>
        <v>SAMI</v>
      </c>
      <c r="E294" s="5" t="s">
        <v>2860</v>
      </c>
    </row>
    <row r="295" spans="1:5" ht="12.9" customHeight="1" x14ac:dyDescent="0.3">
      <c r="A295" s="26">
        <v>1954</v>
      </c>
      <c r="B295" s="1">
        <v>0</v>
      </c>
      <c r="C295" s="1" t="str">
        <f>IF(B295=0,VLOOKUP(A295,Feuil2!$A$2:$M$1241,2,FALSE)," ")</f>
        <v>REGAIEG</v>
      </c>
      <c r="D295" s="1" t="str">
        <f>IF(B295=0,VLOOKUP(A295,Feuil2!$A$2:$M$1241,3,FALSE)," ")</f>
        <v>NADER</v>
      </c>
      <c r="E295" s="5" t="s">
        <v>2860</v>
      </c>
    </row>
    <row r="296" spans="1:5" x14ac:dyDescent="0.3">
      <c r="A296" s="26">
        <v>1955</v>
      </c>
      <c r="B296" s="1">
        <v>0</v>
      </c>
      <c r="C296" s="1" t="str">
        <f>IF(B296=0,VLOOKUP(A296,Feuil2!$A$2:$M$1241,2,FALSE)," ")</f>
        <v>OMRAMNE</v>
      </c>
      <c r="D296" s="1" t="str">
        <f>IF(B296=0,VLOOKUP(A296,Feuil2!$A$2:$M$1241,3,FALSE)," ")</f>
        <v>HAMMOUDA</v>
      </c>
      <c r="E296" s="5" t="s">
        <v>2860</v>
      </c>
    </row>
    <row r="297" spans="1:5" x14ac:dyDescent="0.3">
      <c r="A297" s="26">
        <v>1956</v>
      </c>
      <c r="B297" s="1">
        <v>0</v>
      </c>
      <c r="C297" s="1" t="s">
        <v>1889</v>
      </c>
      <c r="D297" s="1" t="str">
        <f>IF(B297=0,VLOOKUP(A297,Feuil2!$A$2:$M$1241,3,FALSE)," ")</f>
        <v>NEJI</v>
      </c>
      <c r="E297" s="5" t="s">
        <v>2860</v>
      </c>
    </row>
    <row r="298" spans="1:5" x14ac:dyDescent="0.3">
      <c r="A298" s="26">
        <v>1957</v>
      </c>
      <c r="B298" s="1">
        <v>0</v>
      </c>
      <c r="C298" s="1" t="str">
        <f>IF(B298=0,VLOOKUP(A298,Feuil2!$A$2:$M$1241,2,FALSE)," ")</f>
        <v>ZID</v>
      </c>
      <c r="D298" s="1" t="str">
        <f>IF(B298=0,VLOOKUP(A298,Feuil2!$A$2:$M$1241,3,FALSE)," ")</f>
        <v>AHMED</v>
      </c>
      <c r="E298" s="5" t="s">
        <v>2860</v>
      </c>
    </row>
    <row r="299" spans="1:5" x14ac:dyDescent="0.3">
      <c r="A299" s="26">
        <v>1961</v>
      </c>
      <c r="B299" s="1">
        <v>0</v>
      </c>
      <c r="C299" s="1" t="str">
        <f>IF(B299=0,VLOOKUP(A299,Feuil2!$A$2:$M$1241,2,FALSE)," ")</f>
        <v>HEDFI</v>
      </c>
      <c r="D299" s="1" t="str">
        <f>IF(B299=0,VLOOKUP(A299,Feuil2!$A$2:$M$1241,3,FALSE)," ")</f>
        <v>ANIS</v>
      </c>
      <c r="E299" s="5" t="s">
        <v>2860</v>
      </c>
    </row>
    <row r="300" spans="1:5" x14ac:dyDescent="0.3">
      <c r="A300" s="26">
        <v>1962</v>
      </c>
      <c r="B300" s="1">
        <v>0</v>
      </c>
      <c r="C300" s="1" t="str">
        <f>IF(B300=0,VLOOKUP(A300,Feuil2!$A$2:$M$1241,2,FALSE)," ")</f>
        <v>HADDAJI</v>
      </c>
      <c r="D300" s="1" t="str">
        <f>IF(B300=0,VLOOKUP(A300,Feuil2!$A$2:$M$1241,3,FALSE)," ")</f>
        <v>ELYES</v>
      </c>
      <c r="E300" s="5" t="s">
        <v>2860</v>
      </c>
    </row>
    <row r="301" spans="1:5" x14ac:dyDescent="0.3">
      <c r="A301" s="26">
        <v>1969</v>
      </c>
      <c r="B301" s="1">
        <v>0</v>
      </c>
      <c r="C301" s="1" t="str">
        <f>IF(B301=0,VLOOKUP(A301,Feuil2!$A$2:$M$1241,2,FALSE)," ")</f>
        <v>BOUKADDIDA</v>
      </c>
      <c r="D301" s="1" t="str">
        <f>IF(B301=0,VLOOKUP(A301,Feuil2!$A$2:$M$1241,3,FALSE)," ")</f>
        <v>MEHREZ</v>
      </c>
      <c r="E301" s="5" t="s">
        <v>2860</v>
      </c>
    </row>
    <row r="302" spans="1:5" x14ac:dyDescent="0.3">
      <c r="A302" s="26">
        <v>1973</v>
      </c>
      <c r="B302" s="1">
        <v>0</v>
      </c>
      <c r="C302" s="1" t="str">
        <f>IF(B302=0,VLOOKUP(A302,Feuil2!$A$2:$M$1241,2,FALSE)," ")</f>
        <v>EL ABED</v>
      </c>
      <c r="D302" s="1" t="str">
        <f>IF(B302=0,VLOOKUP(A302,Feuil2!$A$2:$M$1241,3,FALSE)," ")</f>
        <v>AMIRA</v>
      </c>
      <c r="E302" s="5" t="s">
        <v>2860</v>
      </c>
    </row>
    <row r="303" spans="1:5" x14ac:dyDescent="0.3">
      <c r="A303" s="26">
        <v>1974</v>
      </c>
      <c r="B303" s="1">
        <v>0</v>
      </c>
      <c r="C303" s="1" t="str">
        <f>IF(B303=0,VLOOKUP(A303,Feuil2!$A$2:$M$1241,2,FALSE)," ")</f>
        <v>GUELLIME</v>
      </c>
      <c r="D303" s="1" t="str">
        <f>IF(B303=0,VLOOKUP(A303,Feuil2!$A$2:$M$1241,3,FALSE)," ")</f>
        <v>MONDHER</v>
      </c>
      <c r="E303" s="5" t="s">
        <v>2860</v>
      </c>
    </row>
    <row r="304" spans="1:5" x14ac:dyDescent="0.3">
      <c r="A304" s="26">
        <v>1978</v>
      </c>
      <c r="B304" s="1">
        <v>0</v>
      </c>
      <c r="C304" s="1" t="str">
        <f>IF(B304=0,VLOOKUP(A304,Feuil2!$A$2:$M$1241,2,FALSE)," ")</f>
        <v>MAHJOUB</v>
      </c>
      <c r="D304" s="1" t="str">
        <f>IF(B304=0,VLOOKUP(A304,Feuil2!$A$2:$M$1241,3,FALSE)," ")</f>
        <v>AHMED</v>
      </c>
      <c r="E304" s="5" t="s">
        <v>2860</v>
      </c>
    </row>
    <row r="305" spans="1:5" x14ac:dyDescent="0.3">
      <c r="A305" s="26">
        <v>1979</v>
      </c>
      <c r="B305" s="1">
        <v>0</v>
      </c>
      <c r="C305" s="1" t="str">
        <f>IF(B305=0,VLOOKUP(A305,Feuil2!$A$2:$M$1241,2,FALSE)," ")</f>
        <v>LANDOULSI</v>
      </c>
      <c r="D305" s="1" t="str">
        <f>IF(B305=0,VLOOKUP(A305,Feuil2!$A$2:$M$1241,3,FALSE)," ")</f>
        <v>MOHAMED SAHBI</v>
      </c>
      <c r="E305" s="5" t="s">
        <v>2860</v>
      </c>
    </row>
    <row r="306" spans="1:5" x14ac:dyDescent="0.3">
      <c r="A306" s="26">
        <v>1980</v>
      </c>
      <c r="B306" s="1">
        <v>0</v>
      </c>
      <c r="C306" s="1" t="str">
        <f>IF(B306=0,VLOOKUP(A306,Feuil2!$A$2:$M$1241,2,FALSE)," ")</f>
        <v>MLAYEH</v>
      </c>
      <c r="D306" s="1" t="str">
        <f>IF(B306=0,VLOOKUP(A306,Feuil2!$A$2:$M$1241,3,FALSE)," ")</f>
        <v>YOUSSEF</v>
      </c>
      <c r="E306" s="5" t="s">
        <v>2860</v>
      </c>
    </row>
    <row r="307" spans="1:5" x14ac:dyDescent="0.3">
      <c r="A307" s="26">
        <v>1981</v>
      </c>
      <c r="B307" s="1">
        <v>0</v>
      </c>
      <c r="C307" s="1" t="str">
        <f>IF(B307=0,VLOOKUP(A307,Feuil2!$A$2:$M$1241,2,FALSE)," ")</f>
        <v>GAALOUL</v>
      </c>
      <c r="D307" s="1" t="str">
        <f>IF(B307=0,VLOOKUP(A307,Feuil2!$A$2:$M$1241,3,FALSE)," ")</f>
        <v>MAROUAN</v>
      </c>
      <c r="E307" s="5" t="s">
        <v>2860</v>
      </c>
    </row>
    <row r="308" spans="1:5" x14ac:dyDescent="0.3">
      <c r="A308" s="26">
        <v>1983</v>
      </c>
      <c r="B308" s="1">
        <v>0</v>
      </c>
      <c r="C308" s="1" t="str">
        <f>IF(B308=0,VLOOKUP(A308,Feuil2!$A$2:$M$1241,2,FALSE)," ")</f>
        <v>GOUIDER</v>
      </c>
      <c r="D308" s="1" t="str">
        <f>IF(B308=0,VLOOKUP(A308,Feuil2!$A$2:$M$1241,3,FALSE)," ")</f>
        <v>SLAHEDDINE</v>
      </c>
      <c r="E308" s="5" t="s">
        <v>2860</v>
      </c>
    </row>
    <row r="309" spans="1:5" x14ac:dyDescent="0.3">
      <c r="A309" s="26">
        <v>1987</v>
      </c>
      <c r="B309" s="1">
        <v>0</v>
      </c>
      <c r="C309" s="1" t="str">
        <f>IF(B309=0,VLOOKUP(A309,Feuil2!$A$2:$M$1241,2,FALSE)," ")</f>
        <v>BAYA</v>
      </c>
      <c r="D309" s="1" t="str">
        <f>IF(B309=0,VLOOKUP(A309,Feuil2!$A$2:$M$1241,3,FALSE)," ")</f>
        <v>SAIFEDDINE</v>
      </c>
      <c r="E309" s="5" t="s">
        <v>2860</v>
      </c>
    </row>
    <row r="310" spans="1:5" x14ac:dyDescent="0.3">
      <c r="A310" s="26">
        <v>1989</v>
      </c>
      <c r="B310" s="1">
        <v>0</v>
      </c>
      <c r="C310" s="1" t="str">
        <f>IF(B310=0,VLOOKUP(A310,Feuil2!$A$2:$M$1241,2,FALSE)," ")</f>
        <v>MZOUGHI</v>
      </c>
      <c r="D310" s="1" t="str">
        <f>IF(B310=0,VLOOKUP(A310,Feuil2!$A$2:$M$1241,3,FALSE)," ")</f>
        <v>MOHAMED</v>
      </c>
      <c r="E310" s="5" t="s">
        <v>2860</v>
      </c>
    </row>
    <row r="311" spans="1:5" x14ac:dyDescent="0.3">
      <c r="A311" s="26">
        <v>1990</v>
      </c>
      <c r="B311" s="1">
        <v>0</v>
      </c>
      <c r="C311" s="1" t="str">
        <f>IF(B311=0,VLOOKUP(A311,Feuil2!$A$2:$M$1241,2,FALSE)," ")</f>
        <v>HEDHILI</v>
      </c>
      <c r="D311" s="1" t="str">
        <f>IF(B311=0,VLOOKUP(A311,Feuil2!$A$2:$M$1241,3,FALSE)," ")</f>
        <v>ZIED</v>
      </c>
      <c r="E311" s="5" t="s">
        <v>2860</v>
      </c>
    </row>
    <row r="312" spans="1:5" x14ac:dyDescent="0.3">
      <c r="A312" s="26">
        <v>1992</v>
      </c>
      <c r="B312" s="1">
        <v>0</v>
      </c>
      <c r="C312" s="1" t="str">
        <f>IF(B312=0,VLOOKUP(A312,Feuil2!$A$2:$M$1241,2,FALSE)," ")</f>
        <v>EL ABED</v>
      </c>
      <c r="D312" s="1" t="str">
        <f>IF(B312=0,VLOOKUP(A312,Feuil2!$A$2:$M$1241,3,FALSE)," ")</f>
        <v>WALID</v>
      </c>
      <c r="E312" s="5" t="s">
        <v>2860</v>
      </c>
    </row>
    <row r="313" spans="1:5" x14ac:dyDescent="0.3">
      <c r="A313" s="26">
        <v>1993</v>
      </c>
      <c r="B313" s="1">
        <v>0</v>
      </c>
      <c r="C313" s="1" t="str">
        <f>IF(B313=0,VLOOKUP(A313,Feuil2!$A$2:$M$1241,2,FALSE)," ")</f>
        <v>OUNI</v>
      </c>
      <c r="D313" s="1" t="str">
        <f>IF(B313=0,VLOOKUP(A313,Feuil2!$A$2:$M$1241,3,FALSE)," ")</f>
        <v>MEHDI</v>
      </c>
      <c r="E313" s="5" t="s">
        <v>2860</v>
      </c>
    </row>
    <row r="314" spans="1:5" x14ac:dyDescent="0.3">
      <c r="A314" s="26">
        <v>1995</v>
      </c>
      <c r="B314" s="1">
        <v>0</v>
      </c>
      <c r="C314" s="1" t="str">
        <f>IF(B314=0,VLOOKUP(A314,Feuil2!$A$2:$M$1241,2,FALSE)," ")</f>
        <v>ACHECHE</v>
      </c>
      <c r="D314" s="1" t="str">
        <f>IF(B314=0,VLOOKUP(A314,Feuil2!$A$2:$M$1241,3,FALSE)," ")</f>
        <v>HAMDA NACEUR</v>
      </c>
      <c r="E314" s="5" t="s">
        <v>2860</v>
      </c>
    </row>
    <row r="315" spans="1:5" x14ac:dyDescent="0.3">
      <c r="A315" s="26">
        <v>2004</v>
      </c>
      <c r="B315" s="1">
        <v>0</v>
      </c>
      <c r="C315" s="1" t="str">
        <f>IF(B315=0,VLOOKUP(A315,Feuil2!$A$2:$M$1241,2,FALSE)," ")</f>
        <v>LAAJILI</v>
      </c>
      <c r="D315" s="1" t="str">
        <f>IF(B315=0,VLOOKUP(A315,Feuil2!$A$2:$M$1241,3,FALSE)," ")</f>
        <v>LOTFI</v>
      </c>
      <c r="E315" s="5" t="s">
        <v>2860</v>
      </c>
    </row>
    <row r="316" spans="1:5" x14ac:dyDescent="0.3">
      <c r="A316" s="26">
        <v>2005</v>
      </c>
      <c r="B316" s="1">
        <v>0</v>
      </c>
      <c r="C316" s="1" t="str">
        <f>IF(B316=0,VLOOKUP(A316,Feuil2!$A$2:$M$1241,2,FALSE)," ")</f>
        <v>ESSAFI</v>
      </c>
      <c r="D316" s="1" t="str">
        <f>IF(B316=0,VLOOKUP(A316,Feuil2!$A$2:$M$1241,3,FALSE)," ")</f>
        <v>FEHMI</v>
      </c>
      <c r="E316" s="5" t="s">
        <v>2860</v>
      </c>
    </row>
    <row r="317" spans="1:5" x14ac:dyDescent="0.3">
      <c r="A317" s="26">
        <v>2008</v>
      </c>
      <c r="B317" s="1">
        <v>0</v>
      </c>
      <c r="C317" s="1" t="str">
        <f>IF(B317=0,VLOOKUP(A317,Feuil2!$A$2:$M$1241,2,FALSE)," ")</f>
        <v>HAFSIA</v>
      </c>
      <c r="D317" s="1" t="str">
        <f>IF(B317=0,VLOOKUP(A317,Feuil2!$A$2:$M$1241,3,FALSE)," ")</f>
        <v>ANIS</v>
      </c>
      <c r="E317" s="5" t="s">
        <v>2860</v>
      </c>
    </row>
    <row r="318" spans="1:5" x14ac:dyDescent="0.3">
      <c r="A318" s="26">
        <v>2009</v>
      </c>
      <c r="B318" s="1">
        <v>0</v>
      </c>
      <c r="C318" s="1" t="str">
        <f>IF(B318=0,VLOOKUP(A318,Feuil2!$A$2:$M$1241,2,FALSE)," ")</f>
        <v>BEN SAAD</v>
      </c>
      <c r="D318" s="1" t="str">
        <f>IF(B318=0,VLOOKUP(A318,Feuil2!$A$2:$M$1241,3,FALSE)," ")</f>
        <v>MOHAMED AMINE</v>
      </c>
      <c r="E318" s="5" t="s">
        <v>2860</v>
      </c>
    </row>
    <row r="319" spans="1:5" x14ac:dyDescent="0.3">
      <c r="A319" s="26">
        <v>2013</v>
      </c>
      <c r="B319" s="1">
        <v>0</v>
      </c>
      <c r="C319" s="1" t="str">
        <f>IF(B319=0,VLOOKUP(A319,Feuil2!$A$2:$M$1241,2,FALSE)," ")</f>
        <v>BEL HADJ ALI</v>
      </c>
      <c r="D319" s="1" t="str">
        <f>IF(B319=0,VLOOKUP(A319,Feuil2!$A$2:$M$1241,3,FALSE)," ")</f>
        <v>MOHAMED ALI</v>
      </c>
      <c r="E319" s="5" t="s">
        <v>2860</v>
      </c>
    </row>
    <row r="320" spans="1:5" x14ac:dyDescent="0.3">
      <c r="A320" s="26">
        <v>2014</v>
      </c>
      <c r="B320" s="1">
        <v>0</v>
      </c>
      <c r="C320" s="1" t="str">
        <f>IF(B320=0,VLOOKUP(A320,Feuil2!$A$2:$M$1241,2,FALSE)," ")</f>
        <v>JARRAR</v>
      </c>
      <c r="D320" s="1" t="str">
        <f>IF(B320=0,VLOOKUP(A320,Feuil2!$A$2:$M$1241,3,FALSE)," ")</f>
        <v>MEHDI</v>
      </c>
      <c r="E320" s="5" t="s">
        <v>2860</v>
      </c>
    </row>
    <row r="321" spans="1:5" x14ac:dyDescent="0.3">
      <c r="A321" s="26">
        <v>2022</v>
      </c>
      <c r="B321" s="1">
        <v>0</v>
      </c>
      <c r="C321" s="1" t="str">
        <f>IF(B321=0,VLOOKUP(A321,Feuil2!$A$2:$M$1241,2,FALSE)," ")</f>
        <v>BOUHLEL</v>
      </c>
      <c r="D321" s="1" t="str">
        <f>IF(B321=0,VLOOKUP(A321,Feuil2!$A$2:$M$1241,3,FALSE)," ")</f>
        <v>YOUSSEF</v>
      </c>
      <c r="E321" s="5" t="s">
        <v>2860</v>
      </c>
    </row>
    <row r="322" spans="1:5" x14ac:dyDescent="0.3">
      <c r="A322" s="26">
        <v>2024</v>
      </c>
      <c r="B322" s="1">
        <v>0</v>
      </c>
      <c r="C322" s="1" t="str">
        <f>IF(B322=0,VLOOKUP(A322,Feuil2!$A$2:$M$1241,2,FALSE)," ")</f>
        <v>GUEZGUEZ</v>
      </c>
      <c r="D322" s="1" t="str">
        <f>IF(B322=0,VLOOKUP(A322,Feuil2!$A$2:$M$1241,3,FALSE)," ")</f>
        <v>MOHAMED</v>
      </c>
      <c r="E322" s="5" t="s">
        <v>2860</v>
      </c>
    </row>
    <row r="323" spans="1:5" x14ac:dyDescent="0.3">
      <c r="A323" s="26">
        <v>2025</v>
      </c>
      <c r="B323" s="1">
        <v>0</v>
      </c>
      <c r="C323" s="1" t="str">
        <f>IF(B323=0,VLOOKUP(A323,Feuil2!$A$2:$M$1241,2,FALSE)," ")</f>
        <v>MAHJOUB</v>
      </c>
      <c r="D323" s="1" t="str">
        <f>IF(B323=0,VLOOKUP(A323,Feuil2!$A$2:$M$1241,3,FALSE)," ")</f>
        <v>MOHAMED RAMZI</v>
      </c>
      <c r="E323" s="5" t="s">
        <v>2860</v>
      </c>
    </row>
    <row r="324" spans="1:5" x14ac:dyDescent="0.3">
      <c r="A324" s="26">
        <v>2032</v>
      </c>
      <c r="B324" s="1">
        <v>0</v>
      </c>
      <c r="C324" s="1" t="str">
        <f>IF(B324=0,VLOOKUP(A324,Feuil2!$A$2:$M$1241,2,FALSE)," ")</f>
        <v>ELOUNI</v>
      </c>
      <c r="D324" s="1" t="str">
        <f>IF(B324=0,VLOOKUP(A324,Feuil2!$A$2:$M$1241,3,FALSE)," ")</f>
        <v>ABDELKERIM</v>
      </c>
      <c r="E324" s="5" t="s">
        <v>2860</v>
      </c>
    </row>
    <row r="325" spans="1:5" x14ac:dyDescent="0.3">
      <c r="A325" s="26">
        <v>2036</v>
      </c>
      <c r="B325" s="1">
        <v>0</v>
      </c>
      <c r="C325" s="1" t="str">
        <f>IF(B325=0,VLOOKUP(A325,Feuil2!$A$2:$M$1241,2,FALSE)," ")</f>
        <v>BOUARGOUB</v>
      </c>
      <c r="D325" s="1" t="str">
        <f>IF(B325=0,VLOOKUP(A325,Feuil2!$A$2:$M$1241,3,FALSE)," ")</f>
        <v>IMEDEDDINE</v>
      </c>
      <c r="E325" s="5" t="s">
        <v>2860</v>
      </c>
    </row>
    <row r="326" spans="1:5" x14ac:dyDescent="0.3">
      <c r="A326" s="26">
        <v>2040</v>
      </c>
      <c r="B326" s="1">
        <v>0</v>
      </c>
      <c r="C326" s="1" t="str">
        <f>IF(B326=0,VLOOKUP(A326,Feuil2!$A$2:$M$1241,2,FALSE)," ")</f>
        <v>GHEZAL</v>
      </c>
      <c r="D326" s="1" t="str">
        <f>IF(B326=0,VLOOKUP(A326,Feuil2!$A$2:$M$1241,3,FALSE)," ")</f>
        <v>YOUSSEF</v>
      </c>
      <c r="E326" s="5" t="s">
        <v>2860</v>
      </c>
    </row>
    <row r="327" spans="1:5" x14ac:dyDescent="0.3">
      <c r="A327" s="26">
        <v>2048</v>
      </c>
      <c r="B327" s="1">
        <v>0</v>
      </c>
      <c r="C327" s="1" t="s">
        <v>2833</v>
      </c>
      <c r="D327" s="1" t="str">
        <f>IF(B327=0,VLOOKUP(A327,Feuil2!$A$2:$M$1241,3,FALSE)," ")</f>
        <v>NOUREDDINE</v>
      </c>
      <c r="E327" s="5" t="s">
        <v>2860</v>
      </c>
    </row>
    <row r="328" spans="1:5" x14ac:dyDescent="0.3">
      <c r="A328" s="26">
        <v>2050</v>
      </c>
      <c r="B328" s="1">
        <v>0</v>
      </c>
      <c r="C328" s="1" t="str">
        <f>IF(B328=0,VLOOKUP(A328,Feuil2!$A$2:$M$1241,2,FALSE)," ")</f>
        <v>ATTIA</v>
      </c>
      <c r="D328" s="1" t="str">
        <f>IF(B328=0,VLOOKUP(A328,Feuil2!$A$2:$M$1241,3,FALSE)," ")</f>
        <v>WISSEM</v>
      </c>
      <c r="E328" s="5" t="s">
        <v>2860</v>
      </c>
    </row>
    <row r="329" spans="1:5" x14ac:dyDescent="0.3">
      <c r="A329" s="26">
        <v>2051</v>
      </c>
      <c r="B329" s="1">
        <v>0</v>
      </c>
      <c r="C329" s="1" t="str">
        <f>IF(B329=0,VLOOKUP(A329,Feuil2!$A$2:$M$1241,2,FALSE)," ")</f>
        <v>SLIMENE</v>
      </c>
      <c r="D329" s="1" t="str">
        <f>IF(B329=0,VLOOKUP(A329,Feuil2!$A$2:$M$1241,3,FALSE)," ")</f>
        <v>ANIS</v>
      </c>
      <c r="E329" s="5" t="s">
        <v>2860</v>
      </c>
    </row>
    <row r="330" spans="1:5" x14ac:dyDescent="0.3">
      <c r="A330" s="26">
        <v>2052</v>
      </c>
      <c r="B330" s="1">
        <v>0</v>
      </c>
      <c r="C330" s="1" t="str">
        <f>IF(B330=0,VLOOKUP(A330,Feuil2!$A$2:$M$1241,2,FALSE)," ")</f>
        <v>BEN RAJEH</v>
      </c>
      <c r="D330" s="1" t="str">
        <f>IF(B330=0,VLOOKUP(A330,Feuil2!$A$2:$M$1241,3,FALSE)," ")</f>
        <v>MOHAMED</v>
      </c>
      <c r="E330" s="5" t="s">
        <v>2860</v>
      </c>
    </row>
    <row r="331" spans="1:5" x14ac:dyDescent="0.3">
      <c r="A331" s="26">
        <v>2053</v>
      </c>
      <c r="B331" s="1">
        <v>0</v>
      </c>
      <c r="C331" s="1" t="str">
        <f>IF(B331=0,VLOOKUP(A331,Feuil2!$A$2:$M$1241,2,FALSE)," ")</f>
        <v>SAID</v>
      </c>
      <c r="D331" s="1" t="str">
        <f>IF(B331=0,VLOOKUP(A331,Feuil2!$A$2:$M$1241,3,FALSE)," ")</f>
        <v>YASSINE</v>
      </c>
      <c r="E331" s="5" t="s">
        <v>2860</v>
      </c>
    </row>
    <row r="332" spans="1:5" x14ac:dyDescent="0.3">
      <c r="A332" s="26">
        <v>2054</v>
      </c>
      <c r="B332" s="1">
        <v>0</v>
      </c>
      <c r="C332" s="1" t="str">
        <f>IF(B332=0,VLOOKUP(A332,Feuil2!$A$2:$M$1241,2,FALSE)," ")</f>
        <v>BAYA</v>
      </c>
      <c r="D332" s="1" t="str">
        <f>IF(B332=0,VLOOKUP(A332,Feuil2!$A$2:$M$1241,3,FALSE)," ")</f>
        <v>HASSINE</v>
      </c>
      <c r="E332" s="5" t="s">
        <v>2860</v>
      </c>
    </row>
    <row r="333" spans="1:5" x14ac:dyDescent="0.3">
      <c r="A333" s="26">
        <v>2055</v>
      </c>
      <c r="B333" s="1">
        <v>0</v>
      </c>
      <c r="C333" s="1" t="str">
        <f>IF(B333=0,VLOOKUP(A333,Feuil2!$A$2:$M$1241,2,FALSE)," ")</f>
        <v>BEN YAHIA</v>
      </c>
      <c r="D333" s="1" t="str">
        <f>IF(B333=0,VLOOKUP(A333,Feuil2!$A$2:$M$1241,3,FALSE)," ")</f>
        <v>AHMED</v>
      </c>
      <c r="E333" s="5" t="s">
        <v>2860</v>
      </c>
    </row>
    <row r="334" spans="1:5" x14ac:dyDescent="0.3">
      <c r="A334" s="26">
        <v>2058</v>
      </c>
      <c r="B334" s="1">
        <v>0</v>
      </c>
      <c r="C334" s="1" t="str">
        <f>IF(B334=0,VLOOKUP(A334,Feuil2!$A$2:$M$1241,2,FALSE)," ")</f>
        <v>GUEZGUEZ</v>
      </c>
      <c r="D334" s="1" t="str">
        <f>IF(B334=0,VLOOKUP(A334,Feuil2!$A$2:$M$1241,3,FALSE)," ")</f>
        <v>HICHEM</v>
      </c>
      <c r="E334" s="5" t="s">
        <v>2860</v>
      </c>
    </row>
    <row r="335" spans="1:5" x14ac:dyDescent="0.3">
      <c r="A335" s="26">
        <v>2059</v>
      </c>
      <c r="B335" s="1">
        <v>0</v>
      </c>
      <c r="C335" s="1" t="str">
        <f>IF(B335=0,VLOOKUP(A335,Feuil2!$A$2:$M$1241,2,FALSE)," ")</f>
        <v>LAHDHIRI</v>
      </c>
      <c r="D335" s="1" t="str">
        <f>IF(B335=0,VLOOKUP(A335,Feuil2!$A$2:$M$1241,3,FALSE)," ")</f>
        <v>KACEM</v>
      </c>
      <c r="E335" s="5" t="s">
        <v>2860</v>
      </c>
    </row>
    <row r="336" spans="1:5" x14ac:dyDescent="0.3">
      <c r="A336" s="26">
        <v>2061</v>
      </c>
      <c r="B336" s="1">
        <v>0</v>
      </c>
      <c r="C336" s="1" t="str">
        <f>IF(B336=0,VLOOKUP(A336,Feuil2!$A$2:$M$1241,2,FALSE)," ")</f>
        <v>KECHCICHE</v>
      </c>
      <c r="D336" s="1" t="str">
        <f>IF(B336=0,VLOOKUP(A336,Feuil2!$A$2:$M$1241,3,FALSE)," ")</f>
        <v>YASSINE</v>
      </c>
      <c r="E336" s="5" t="s">
        <v>2860</v>
      </c>
    </row>
    <row r="337" spans="1:5" x14ac:dyDescent="0.3">
      <c r="A337" s="26">
        <v>2065</v>
      </c>
      <c r="B337" s="1">
        <v>0</v>
      </c>
      <c r="C337" s="1" t="str">
        <f>IF(B337=0,VLOOKUP(A337,Feuil2!$A$2:$M$1241,2,FALSE)," ")</f>
        <v>CHIHAOUI</v>
      </c>
      <c r="D337" s="1" t="str">
        <f>IF(B337=0,VLOOKUP(A337,Feuil2!$A$2:$M$1241,3,FALSE)," ")</f>
        <v>ALAAEDDINE</v>
      </c>
      <c r="E337" s="5" t="s">
        <v>2860</v>
      </c>
    </row>
    <row r="338" spans="1:5" x14ac:dyDescent="0.3">
      <c r="A338" s="26">
        <v>2066</v>
      </c>
      <c r="B338" s="1">
        <v>0</v>
      </c>
      <c r="C338" s="1" t="str">
        <f>IF(B338=0,VLOOKUP(A338,Feuil2!$A$2:$M$1241,2,FALSE)," ")</f>
        <v>GRAA</v>
      </c>
      <c r="D338" s="1" t="str">
        <f>IF(B338=0,VLOOKUP(A338,Feuil2!$A$2:$M$1241,3,FALSE)," ")</f>
        <v>SAIFEDDINE</v>
      </c>
      <c r="E338" s="5" t="s">
        <v>2860</v>
      </c>
    </row>
    <row r="339" spans="1:5" x14ac:dyDescent="0.3">
      <c r="A339" s="26">
        <v>2067</v>
      </c>
      <c r="B339" s="1">
        <v>0</v>
      </c>
      <c r="C339" s="1" t="str">
        <f>IF(B339=0,VLOOKUP(A339,Feuil2!$A$2:$M$1241,2,FALSE)," ")</f>
        <v>CHOUAIEB</v>
      </c>
      <c r="D339" s="1" t="str">
        <f>IF(B339=0,VLOOKUP(A339,Feuil2!$A$2:$M$1241,3,FALSE)," ")</f>
        <v>MOUNIR</v>
      </c>
      <c r="E339" s="5" t="s">
        <v>2860</v>
      </c>
    </row>
    <row r="340" spans="1:5" x14ac:dyDescent="0.3">
      <c r="A340" s="26">
        <v>2071</v>
      </c>
      <c r="B340" s="1">
        <v>0</v>
      </c>
      <c r="C340" s="1" t="str">
        <f>IF(B340=0,VLOOKUP(A340,Feuil2!$A$2:$M$1241,2,FALSE)," ")</f>
        <v>TRIAA</v>
      </c>
      <c r="D340" s="1" t="str">
        <f>IF(B340=0,VLOOKUP(A340,Feuil2!$A$2:$M$1241,3,FALSE)," ")</f>
        <v>FARES</v>
      </c>
      <c r="E340" s="5" t="s">
        <v>2860</v>
      </c>
    </row>
    <row r="341" spans="1:5" x14ac:dyDescent="0.3">
      <c r="A341" s="26">
        <v>2083</v>
      </c>
      <c r="B341" s="1">
        <v>0</v>
      </c>
      <c r="C341" s="1" t="str">
        <f>IF(B341=0,VLOOKUP(A341,Feuil2!$A$2:$M$1241,2,FALSE)," ")</f>
        <v>BEN OTHMEN</v>
      </c>
      <c r="D341" s="1" t="str">
        <f>IF(B341=0,VLOOKUP(A341,Feuil2!$A$2:$M$1241,3,FALSE)," ")</f>
        <v>Mohamed Karim</v>
      </c>
      <c r="E341" s="5" t="s">
        <v>2860</v>
      </c>
    </row>
    <row r="342" spans="1:5" x14ac:dyDescent="0.3">
      <c r="A342" s="26">
        <v>2084</v>
      </c>
      <c r="B342" s="1">
        <v>0</v>
      </c>
      <c r="C342" s="1" t="str">
        <f>IF(B342=0,VLOOKUP(A342,Feuil2!$A$2:$M$1241,2,FALSE)," ")</f>
        <v>HELALI</v>
      </c>
      <c r="D342" s="1" t="str">
        <f>IF(B342=0,VLOOKUP(A342,Feuil2!$A$2:$M$1241,3,FALSE)," ")</f>
        <v>Emna</v>
      </c>
      <c r="E342" s="5" t="s">
        <v>2860</v>
      </c>
    </row>
    <row r="343" spans="1:5" x14ac:dyDescent="0.3">
      <c r="A343" s="26">
        <v>2085</v>
      </c>
      <c r="B343" s="1">
        <v>0</v>
      </c>
      <c r="C343" s="1" t="str">
        <f>IF(B343=0,VLOOKUP(A343,Feuil2!$A$2:$M$1241,2,FALSE)," ")</f>
        <v>Khaoula</v>
      </c>
      <c r="D343" s="1" t="str">
        <f>IF(B343=0,VLOOKUP(A343,Feuil2!$A$2:$M$1241,3,FALSE)," ")</f>
        <v>Jebali</v>
      </c>
      <c r="E343" s="5" t="s">
        <v>2860</v>
      </c>
    </row>
    <row r="344" spans="1:5" x14ac:dyDescent="0.3">
      <c r="A344" s="26">
        <v>2090</v>
      </c>
      <c r="B344" s="1">
        <v>0</v>
      </c>
      <c r="C344" s="1" t="str">
        <f>IF(B344=0,VLOOKUP(A344,Feuil2!$A$2:$M$1241,2,FALSE)," ")</f>
        <v>WAJDI</v>
      </c>
      <c r="D344" s="1" t="str">
        <f>IF(B344=0,VLOOKUP(A344,Feuil2!$A$2:$M$1241,3,FALSE)," ")</f>
        <v>HMIDA</v>
      </c>
      <c r="E344" s="5" t="s">
        <v>2860</v>
      </c>
    </row>
    <row r="345" spans="1:5" x14ac:dyDescent="0.3">
      <c r="A345" s="26">
        <v>2092</v>
      </c>
      <c r="B345" s="1">
        <v>0</v>
      </c>
      <c r="C345" s="1" t="str">
        <f>IF(B345=0,VLOOKUP(A345,Feuil2!$A$2:$M$1241,2,FALSE)," ")</f>
        <v>MOHAMED YASSINE</v>
      </c>
      <c r="D345" s="1" t="str">
        <f>IF(B345=0,VLOOKUP(A345,Feuil2!$A$2:$M$1241,3,FALSE)," ")</f>
        <v>SBAII</v>
      </c>
      <c r="E345" s="5" t="s">
        <v>2860</v>
      </c>
    </row>
    <row r="346" spans="1:5" x14ac:dyDescent="0.3">
      <c r="A346" s="26">
        <v>2096</v>
      </c>
      <c r="B346" s="1">
        <v>0</v>
      </c>
      <c r="C346" s="1" t="str">
        <f>IF(B346=0,VLOOKUP(A346,Feuil2!$A$2:$M$1241,2,FALSE)," ")</f>
        <v>GHASSEN</v>
      </c>
      <c r="D346" s="1" t="str">
        <f>IF(B346=0,VLOOKUP(A346,Feuil2!$A$2:$M$1241,3,FALSE)," ")</f>
        <v>TLILI</v>
      </c>
      <c r="E346" s="5" t="s">
        <v>2860</v>
      </c>
    </row>
    <row r="347" spans="1:5" x14ac:dyDescent="0.3">
      <c r="A347" s="26">
        <v>2100</v>
      </c>
      <c r="B347" s="1">
        <v>0</v>
      </c>
      <c r="C347" s="1" t="str">
        <f>IF(B347=0,VLOOKUP(A347,Feuil2!$A$2:$M$1241,2,FALSE)," ")</f>
        <v>MLAYEH</v>
      </c>
      <c r="D347" s="1" t="str">
        <f>IF(B347=0,VLOOKUP(A347,Feuil2!$A$2:$M$1241,3,FALSE)," ")</f>
        <v>NEZIHA</v>
      </c>
      <c r="E347" s="5" t="s">
        <v>2860</v>
      </c>
    </row>
    <row r="348" spans="1:5" x14ac:dyDescent="0.3">
      <c r="A348" s="26">
        <v>2102</v>
      </c>
      <c r="B348" s="1">
        <v>0</v>
      </c>
      <c r="C348" s="1" t="str">
        <f>IF(B348=0,VLOOKUP(A348,Feuil2!$A$2:$M$1241,2,FALSE)," ")</f>
        <v>BENAMER</v>
      </c>
      <c r="D348" s="1" t="str">
        <f>IF(B348=0,VLOOKUP(A348,Feuil2!$A$2:$M$1241,3,FALSE)," ")</f>
        <v>MARWA</v>
      </c>
      <c r="E348" s="5" t="s">
        <v>2860</v>
      </c>
    </row>
    <row r="349" spans="1:5" x14ac:dyDescent="0.3">
      <c r="A349" s="26">
        <v>2107</v>
      </c>
      <c r="B349" s="1">
        <v>0</v>
      </c>
      <c r="C349" s="1" t="str">
        <f>IF(B349=0,VLOOKUP(A349,Feuil2!$A$2:$M$1241,2,FALSE)," ")</f>
        <v>TRIMECH</v>
      </c>
      <c r="D349" s="1" t="str">
        <f>IF(B349=0,VLOOKUP(A349,Feuil2!$A$2:$M$1241,3,FALSE)," ")</f>
        <v>RAHMA</v>
      </c>
      <c r="E349" s="5" t="s">
        <v>2860</v>
      </c>
    </row>
    <row r="350" spans="1:5" x14ac:dyDescent="0.3">
      <c r="A350" s="26">
        <v>2109</v>
      </c>
      <c r="B350" s="1">
        <v>0</v>
      </c>
      <c r="C350" s="1" t="str">
        <f>IF(B350=0,VLOOKUP(A350,Feuil2!$A$2:$M$1241,2,FALSE)," ")</f>
        <v>MANSOURI</v>
      </c>
      <c r="D350" s="1" t="str">
        <f>IF(B350=0,VLOOKUP(A350,Feuil2!$A$2:$M$1241,3,FALSE)," ")</f>
        <v>TAKOUA</v>
      </c>
      <c r="E350" s="5" t="s">
        <v>2860</v>
      </c>
    </row>
    <row r="351" spans="1:5" x14ac:dyDescent="0.3">
      <c r="A351" s="26">
        <v>2113</v>
      </c>
      <c r="B351" s="1">
        <v>0</v>
      </c>
      <c r="C351" s="1" t="str">
        <f>IF(B351=0,VLOOKUP(A351,Feuil2!$A$2:$M$1241,2,FALSE)," ")</f>
        <v>BEN HADJ AMOR</v>
      </c>
      <c r="D351" s="1" t="str">
        <f>IF(B351=0,VLOOKUP(A351,Feuil2!$A$2:$M$1241,3,FALSE)," ")</f>
        <v>MOHAMED ALI</v>
      </c>
      <c r="E351" s="5" t="s">
        <v>2860</v>
      </c>
    </row>
    <row r="352" spans="1:5" x14ac:dyDescent="0.3">
      <c r="A352" s="26">
        <v>2115</v>
      </c>
      <c r="B352" s="1">
        <v>0</v>
      </c>
      <c r="C352" s="1" t="str">
        <f>IF(B352=0,VLOOKUP(A352,Feuil2!$A$2:$M$1241,2,FALSE)," ")</f>
        <v>BAATI</v>
      </c>
      <c r="D352" s="1" t="str">
        <f>IF(B352=0,VLOOKUP(A352,Feuil2!$A$2:$M$1241,3,FALSE)," ")</f>
        <v>OTHMAN</v>
      </c>
      <c r="E352" s="5" t="s">
        <v>2860</v>
      </c>
    </row>
    <row r="353" spans="1:5" x14ac:dyDescent="0.3">
      <c r="A353" s="26">
        <v>2118</v>
      </c>
      <c r="B353" s="1">
        <v>0</v>
      </c>
      <c r="C353" s="1" t="str">
        <f>IF(B353=0,VLOOKUP(A353,Feuil2!$A$2:$M$1241,2,FALSE)," ")</f>
        <v>HAMZA</v>
      </c>
      <c r="D353" s="1" t="str">
        <f>IF(B353=0,VLOOKUP(A353,Feuil2!$A$2:$M$1241,3,FALSE)," ")</f>
        <v>HAMILA</v>
      </c>
      <c r="E353" s="5" t="s">
        <v>2860</v>
      </c>
    </row>
    <row r="354" spans="1:5" x14ac:dyDescent="0.3">
      <c r="A354" s="26">
        <v>2120</v>
      </c>
      <c r="B354" s="1">
        <v>0</v>
      </c>
      <c r="C354" s="1" t="str">
        <f>IF(B354=0,VLOOKUP(A354,Feuil2!$A$2:$M$1241,2,FALSE)," ")</f>
        <v>OMOR</v>
      </c>
      <c r="D354" s="1" t="str">
        <f>IF(B354=0,VLOOKUP(A354,Feuil2!$A$2:$M$1241,3,FALSE)," ")</f>
        <v>BEN AHMED</v>
      </c>
      <c r="E354" s="5" t="s">
        <v>2860</v>
      </c>
    </row>
    <row r="355" spans="1:5" x14ac:dyDescent="0.3">
      <c r="A355" s="26">
        <v>2123</v>
      </c>
      <c r="B355" s="1">
        <v>0</v>
      </c>
      <c r="C355" s="1" t="str">
        <f>IF(B355=0,VLOOKUP(A355,Feuil2!$A$2:$M$1241,2,FALSE)," ")</f>
        <v>HICHEM</v>
      </c>
      <c r="D355" s="1" t="str">
        <f>IF(B355=0,VLOOKUP(A355,Feuil2!$A$2:$M$1241,3,FALSE)," ")</f>
        <v>AFRIT</v>
      </c>
      <c r="E355" s="5" t="s">
        <v>2860</v>
      </c>
    </row>
    <row r="356" spans="1:5" x14ac:dyDescent="0.3">
      <c r="A356" s="26">
        <v>2124</v>
      </c>
      <c r="B356" s="1">
        <v>0</v>
      </c>
      <c r="C356" s="1" t="str">
        <f>IF(B356=0,VLOOKUP(A356,Feuil2!$A$2:$M$1241,2,FALSE)," ")</f>
        <v>AHMED</v>
      </c>
      <c r="D356" s="1" t="str">
        <f>IF(B356=0,VLOOKUP(A356,Feuil2!$A$2:$M$1241,3,FALSE)," ")</f>
        <v>BEN HADJ MESSAOUD</v>
      </c>
      <c r="E356" s="5" t="s">
        <v>2860</v>
      </c>
    </row>
    <row r="357" spans="1:5" x14ac:dyDescent="0.3">
      <c r="A357" s="26">
        <v>2125</v>
      </c>
      <c r="B357" s="1">
        <v>0</v>
      </c>
      <c r="C357" s="1" t="str">
        <f>IF(B357=0,VLOOKUP(A357,Feuil2!$A$2:$M$1241,2,FALSE)," ")</f>
        <v>ACHRAF</v>
      </c>
      <c r="D357" s="1" t="str">
        <f>IF(B357=0,VLOOKUP(A357,Feuil2!$A$2:$M$1241,3,FALSE)," ")</f>
        <v>HASSEN</v>
      </c>
      <c r="E357" s="5" t="s">
        <v>2860</v>
      </c>
    </row>
    <row r="358" spans="1:5" x14ac:dyDescent="0.3">
      <c r="A358" s="26">
        <v>2128</v>
      </c>
      <c r="B358" s="1">
        <v>0</v>
      </c>
      <c r="C358" s="1" t="str">
        <f>IF(B358=0,VLOOKUP(A358,Feuil2!$A$2:$M$1241,2,FALSE)," ")</f>
        <v>ILYES</v>
      </c>
      <c r="D358" s="1" t="str">
        <f>IF(B358=0,VLOOKUP(A358,Feuil2!$A$2:$M$1241,3,FALSE)," ")</f>
        <v>DHIFALLAH</v>
      </c>
      <c r="E358" s="5" t="s">
        <v>2860</v>
      </c>
    </row>
    <row r="359" spans="1:5" x14ac:dyDescent="0.3">
      <c r="A359" s="26">
        <v>2131</v>
      </c>
      <c r="B359" s="1">
        <v>0</v>
      </c>
      <c r="C359" s="1" t="str">
        <f>IF(B359=0,VLOOKUP(A359,Feuil2!$A$2:$M$1241,2,FALSE)," ")</f>
        <v>HASSEN</v>
      </c>
      <c r="D359" s="1" t="str">
        <f>IF(B359=0,VLOOKUP(A359,Feuil2!$A$2:$M$1241,3,FALSE)," ")</f>
        <v>BAYA</v>
      </c>
      <c r="E359" s="5" t="s">
        <v>2860</v>
      </c>
    </row>
    <row r="360" spans="1:5" x14ac:dyDescent="0.3">
      <c r="A360" s="26">
        <v>2136</v>
      </c>
      <c r="B360" s="1">
        <v>0</v>
      </c>
      <c r="C360" s="1" t="str">
        <f>IF(B360=0,VLOOKUP(A360,Feuil2!$A$2:$M$1241,2,FALSE)," ")</f>
        <v>LOTFI</v>
      </c>
      <c r="D360" s="1" t="str">
        <f>IF(B360=0,VLOOKUP(A360,Feuil2!$A$2:$M$1241,3,FALSE)," ")</f>
        <v>NOURI</v>
      </c>
      <c r="E360" s="5" t="s">
        <v>2860</v>
      </c>
    </row>
    <row r="361" spans="1:5" x14ac:dyDescent="0.3">
      <c r="A361" s="26">
        <v>2137</v>
      </c>
      <c r="B361" s="1">
        <v>0</v>
      </c>
      <c r="C361" s="1" t="str">
        <f>IF(B361=0,VLOOKUP(A361,Feuil2!$A$2:$M$1241,2,FALSE)," ")</f>
        <v>MOHAMED</v>
      </c>
      <c r="D361" s="1" t="str">
        <f>IF(B361=0,VLOOKUP(A361,Feuil2!$A$2:$M$1241,3,FALSE)," ")</f>
        <v>BOUZAMOUCHA</v>
      </c>
      <c r="E361" s="5" t="s">
        <v>2860</v>
      </c>
    </row>
    <row r="362" spans="1:5" x14ac:dyDescent="0.3">
      <c r="A362" s="26">
        <v>2138</v>
      </c>
      <c r="B362" s="1">
        <v>0</v>
      </c>
      <c r="C362" s="1" t="str">
        <f>IF(B362=0,VLOOKUP(A362,Feuil2!$A$2:$M$1241,2,FALSE)," ")</f>
        <v>MOHAMED CHIHEB EDDIN</v>
      </c>
      <c r="D362" s="1" t="str">
        <f>IF(B362=0,VLOOKUP(A362,Feuil2!$A$2:$M$1241,3,FALSE)," ")</f>
        <v>HAMILA</v>
      </c>
      <c r="E362" s="5" t="s">
        <v>2860</v>
      </c>
    </row>
    <row r="363" spans="1:5" x14ac:dyDescent="0.3">
      <c r="A363" s="26">
        <v>2139</v>
      </c>
      <c r="B363" s="1">
        <v>0</v>
      </c>
      <c r="C363" s="1" t="str">
        <f>IF(B363=0,VLOOKUP(A363,Feuil2!$A$2:$M$1241,2,FALSE)," ")</f>
        <v>HATEM</v>
      </c>
      <c r="D363" s="1" t="str">
        <f>IF(B363=0,VLOOKUP(A363,Feuil2!$A$2:$M$1241,3,FALSE)," ")</f>
        <v>NAMOUCHI</v>
      </c>
      <c r="E363" s="5" t="s">
        <v>2860</v>
      </c>
    </row>
    <row r="364" spans="1:5" x14ac:dyDescent="0.3">
      <c r="A364" s="26">
        <v>2141</v>
      </c>
      <c r="B364" s="1">
        <v>0</v>
      </c>
      <c r="C364" s="1" t="str">
        <f>IF(B364=0,VLOOKUP(A364,Feuil2!$A$2:$M$1241,2,FALSE)," ")</f>
        <v>HAITHEM</v>
      </c>
      <c r="D364" s="1" t="str">
        <f>IF(B364=0,VLOOKUP(A364,Feuil2!$A$2:$M$1241,3,FALSE)," ")</f>
        <v>SRIDI</v>
      </c>
      <c r="E364" s="5" t="s">
        <v>2860</v>
      </c>
    </row>
    <row r="365" spans="1:5" x14ac:dyDescent="0.3">
      <c r="A365" s="26">
        <v>2144</v>
      </c>
      <c r="B365" s="1">
        <v>0</v>
      </c>
      <c r="C365" s="1" t="str">
        <f>IF(B365=0,VLOOKUP(A365,Feuil2!$A$2:$M$1241,2,FALSE)," ")</f>
        <v>OMRANE</v>
      </c>
      <c r="D365" s="1" t="str">
        <f>IF(B365=0,VLOOKUP(A365,Feuil2!$A$2:$M$1241,3,FALSE)," ")</f>
        <v>WAEL</v>
      </c>
      <c r="E365" s="5" t="s">
        <v>2860</v>
      </c>
    </row>
    <row r="366" spans="1:5" x14ac:dyDescent="0.3">
      <c r="A366" s="26">
        <v>2145</v>
      </c>
      <c r="B366" s="1">
        <v>0</v>
      </c>
      <c r="C366" s="1" t="str">
        <f>IF(B366=0,VLOOKUP(A366,Feuil2!$A$2:$M$1241,2,FALSE)," ")</f>
        <v>MRIBAH</v>
      </c>
      <c r="D366" s="1" t="str">
        <f>IF(B366=0,VLOOKUP(A366,Feuil2!$A$2:$M$1241,3,FALSE)," ")</f>
        <v>HAMZA</v>
      </c>
      <c r="E366" s="5" t="s">
        <v>2860</v>
      </c>
    </row>
    <row r="367" spans="1:5" x14ac:dyDescent="0.3">
      <c r="A367" s="26">
        <v>2146</v>
      </c>
      <c r="B367" s="1">
        <v>0</v>
      </c>
      <c r="C367" s="1" t="str">
        <f>IF(B367=0,VLOOKUP(A367,Feuil2!$A$2:$M$1241,2,FALSE)," ")</f>
        <v>SGHAIR</v>
      </c>
      <c r="D367" s="1" t="str">
        <f>IF(B367=0,VLOOKUP(A367,Feuil2!$A$2:$M$1241,3,FALSE)," ")</f>
        <v>AHMED</v>
      </c>
      <c r="E367" s="5" t="s">
        <v>2860</v>
      </c>
    </row>
    <row r="368" spans="1:5" x14ac:dyDescent="0.3">
      <c r="A368" s="26">
        <v>2147</v>
      </c>
      <c r="B368" s="1">
        <v>0</v>
      </c>
      <c r="C368" s="1" t="str">
        <f>IF(B368=0,VLOOKUP(A368,Feuil2!$A$2:$M$1241,2,FALSE)," ")</f>
        <v>LAJMI</v>
      </c>
      <c r="D368" s="1" t="str">
        <f>IF(B368=0,VLOOKUP(A368,Feuil2!$A$2:$M$1241,3,FALSE)," ")</f>
        <v>OUSSAMA</v>
      </c>
      <c r="E368" s="5" t="s">
        <v>2860</v>
      </c>
    </row>
    <row r="369" spans="1:20" x14ac:dyDescent="0.3">
      <c r="A369" s="26">
        <v>2148</v>
      </c>
      <c r="B369" s="1">
        <v>0</v>
      </c>
      <c r="C369" s="1" t="str">
        <f>IF(B369=0,VLOOKUP(A369,Feuil2!$A$2:$M$1241,2,FALSE)," ")</f>
        <v>CHIHI</v>
      </c>
      <c r="D369" s="1" t="str">
        <f>IF(B369=0,VLOOKUP(A369,Feuil2!$A$2:$M$1241,3,FALSE)," ")</f>
        <v>HOUSSEM</v>
      </c>
      <c r="E369" s="5" t="s">
        <v>2860</v>
      </c>
    </row>
    <row r="370" spans="1:20" x14ac:dyDescent="0.3">
      <c r="A370" s="26">
        <v>2149</v>
      </c>
      <c r="B370" s="1">
        <v>0</v>
      </c>
      <c r="C370" s="1" t="str">
        <f>IF(B370=0,VLOOKUP(A370,Feuil2!$A$2:$M$1241,2,FALSE)," ")</f>
        <v>BERRIRI</v>
      </c>
      <c r="D370" s="1" t="str">
        <f>IF(B370=0,VLOOKUP(A370,Feuil2!$A$2:$M$1241,3,FALSE)," ")</f>
        <v>HOUSSEM</v>
      </c>
      <c r="E370" s="5" t="s">
        <v>2860</v>
      </c>
    </row>
    <row r="371" spans="1:20" x14ac:dyDescent="0.3">
      <c r="A371" s="26">
        <v>2151</v>
      </c>
      <c r="B371" s="1">
        <v>0</v>
      </c>
      <c r="C371" s="1" t="str">
        <f>IF(B371=0,VLOOKUP(A371,Feuil2!$A$2:$M$1241,2,FALSE)," ")</f>
        <v>JELLITI</v>
      </c>
      <c r="D371" s="1" t="str">
        <f>IF(B371=0,VLOOKUP(A371,Feuil2!$A$2:$M$1241,3,FALSE)," ")</f>
        <v>MOHAMED</v>
      </c>
      <c r="E371" s="5" t="s">
        <v>2860</v>
      </c>
    </row>
    <row r="372" spans="1:20" s="16" customFormat="1" x14ac:dyDescent="0.3">
      <c r="A372" s="26">
        <v>2153</v>
      </c>
      <c r="B372" s="1">
        <v>0</v>
      </c>
      <c r="C372" s="1" t="str">
        <f>IF(B372=0,VLOOKUP(A372,Feuil2!$A$2:$M$1241,2,FALSE)," ")</f>
        <v>BABAY ROUIS</v>
      </c>
      <c r="D372" s="1" t="str">
        <f>IF(B372=0,VLOOKUP(A372,Feuil2!$A$2:$M$1241,3,FALSE)," ")</f>
        <v>ANOIR</v>
      </c>
      <c r="E372" s="5" t="s">
        <v>2860</v>
      </c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</row>
    <row r="373" spans="1:20" x14ac:dyDescent="0.3">
      <c r="A373" s="26">
        <v>2154</v>
      </c>
      <c r="B373" s="1">
        <v>0</v>
      </c>
      <c r="C373" s="1" t="str">
        <f>IF(B373=0,VLOOKUP(A373,Feuil2!$A$2:$M$1241,2,FALSE)," ")</f>
        <v>BEN AZIZA</v>
      </c>
      <c r="D373" s="1" t="str">
        <f>IF(B373=0,VLOOKUP(A373,Feuil2!$A$2:$M$1241,3,FALSE)," ")</f>
        <v>AYMEN</v>
      </c>
      <c r="E373" s="5" t="s">
        <v>2860</v>
      </c>
    </row>
    <row r="374" spans="1:20" x14ac:dyDescent="0.3">
      <c r="A374" s="26">
        <v>2155</v>
      </c>
      <c r="B374" s="1">
        <v>0</v>
      </c>
      <c r="C374" s="1" t="str">
        <f>IF(B374=0,VLOOKUP(A374,Feuil2!$A$2:$M$1241,2,FALSE)," ")</f>
        <v>MHIRI</v>
      </c>
      <c r="D374" s="1" t="str">
        <f>IF(B374=0,VLOOKUP(A374,Feuil2!$A$2:$M$1241,3,FALSE)," ")</f>
        <v>INES</v>
      </c>
      <c r="E374" s="5" t="s">
        <v>2860</v>
      </c>
    </row>
    <row r="375" spans="1:20" x14ac:dyDescent="0.3">
      <c r="A375" s="26">
        <v>2158</v>
      </c>
      <c r="B375" s="1">
        <v>0</v>
      </c>
      <c r="C375" s="1" t="str">
        <f>IF(B375=0,VLOOKUP(A375,Feuil2!$A$2:$M$1241,2,FALSE)," ")</f>
        <v>BEN MASSOUD</v>
      </c>
      <c r="D375" s="1" t="str">
        <f>IF(B375=0,VLOOKUP(A375,Feuil2!$A$2:$M$1241,3,FALSE)," ")</f>
        <v>MOHAMED ALI</v>
      </c>
      <c r="E375" s="5" t="s">
        <v>2860</v>
      </c>
    </row>
    <row r="376" spans="1:20" x14ac:dyDescent="0.3">
      <c r="A376" s="26">
        <v>2159</v>
      </c>
      <c r="B376" s="1">
        <v>0</v>
      </c>
      <c r="C376" s="1" t="str">
        <f>IF(B376=0,VLOOKUP(A376,Feuil2!$A$2:$M$1241,2,FALSE)," ")</f>
        <v>HADDAJI</v>
      </c>
      <c r="D376" s="1" t="str">
        <f>IF(B376=0,VLOOKUP(A376,Feuil2!$A$2:$M$1241,3,FALSE)," ")</f>
        <v>SAMEH</v>
      </c>
      <c r="E376" s="5" t="s">
        <v>2860</v>
      </c>
    </row>
    <row r="377" spans="1:20" x14ac:dyDescent="0.3">
      <c r="A377" s="26">
        <v>2160</v>
      </c>
      <c r="B377" s="1">
        <v>0</v>
      </c>
      <c r="C377" s="1" t="str">
        <f>IF(B377=0,VLOOKUP(A377,Feuil2!$A$2:$M$1241,2,FALSE)," ")</f>
        <v>BEN HASSAN</v>
      </c>
      <c r="D377" s="1" t="str">
        <f>IF(B377=0,VLOOKUP(A377,Feuil2!$A$2:$M$1241,3,FALSE)," ")</f>
        <v>MAROUANE</v>
      </c>
      <c r="E377" s="5" t="s">
        <v>2860</v>
      </c>
    </row>
    <row r="378" spans="1:20" x14ac:dyDescent="0.3">
      <c r="A378" s="26">
        <v>2162</v>
      </c>
      <c r="B378" s="1">
        <v>0</v>
      </c>
      <c r="C378" s="1" t="str">
        <f>IF(B378=0,VLOOKUP(A378,Feuil2!$A$2:$M$1241,2,FALSE)," ")</f>
        <v>BEN ATTIA</v>
      </c>
      <c r="D378" s="1" t="str">
        <f>IF(B378=0,VLOOKUP(A378,Feuil2!$A$2:$M$1241,3,FALSE)," ")</f>
        <v>HAMZA</v>
      </c>
      <c r="E378" s="5" t="s">
        <v>2860</v>
      </c>
    </row>
    <row r="379" spans="1:20" x14ac:dyDescent="0.3">
      <c r="A379" s="26">
        <v>2166</v>
      </c>
      <c r="B379" s="1">
        <v>0</v>
      </c>
      <c r="C379" s="1" t="str">
        <f>IF(B379=0,VLOOKUP(A379,Feuil2!$A$2:$M$1241,2,FALSE)," ")</f>
        <v>BEN CHIKH AMOR</v>
      </c>
      <c r="D379" s="1" t="str">
        <f>IF(B379=0,VLOOKUP(A379,Feuil2!$A$2:$M$1241,3,FALSE)," ")</f>
        <v>ADEL</v>
      </c>
      <c r="E379" s="5" t="s">
        <v>2860</v>
      </c>
    </row>
    <row r="380" spans="1:20" x14ac:dyDescent="0.3">
      <c r="A380" s="26">
        <v>2167</v>
      </c>
      <c r="B380" s="1">
        <v>0</v>
      </c>
      <c r="C380" s="1" t="str">
        <f>IF(B380=0,VLOOKUP(A380,Feuil2!$A$2:$M$1241,2,FALSE)," ")</f>
        <v>BEN HASSINE</v>
      </c>
      <c r="D380" s="1" t="str">
        <f>IF(B380=0,VLOOKUP(A380,Feuil2!$A$2:$M$1241,3,FALSE)," ")</f>
        <v>JIHED</v>
      </c>
      <c r="E380" s="5" t="s">
        <v>2860</v>
      </c>
    </row>
    <row r="381" spans="1:20" x14ac:dyDescent="0.3">
      <c r="A381" s="26">
        <v>2170</v>
      </c>
      <c r="B381" s="1">
        <v>0</v>
      </c>
      <c r="C381" s="1" t="str">
        <f>IF(B381=0,VLOOKUP(A381,Feuil2!$A$2:$M$1241,2,FALSE)," ")</f>
        <v>BEN AHMED</v>
      </c>
      <c r="D381" s="1" t="str">
        <f>IF(B381=0,VLOOKUP(A381,Feuil2!$A$2:$M$1241,3,FALSE)," ")</f>
        <v>ANOUAR</v>
      </c>
      <c r="E381" s="5" t="s">
        <v>2860</v>
      </c>
    </row>
    <row r="382" spans="1:20" x14ac:dyDescent="0.3">
      <c r="A382" s="26">
        <v>2171</v>
      </c>
      <c r="B382" s="1">
        <v>0</v>
      </c>
      <c r="C382" s="1" t="str">
        <f>IF(B382=0,VLOOKUP(A382,Feuil2!$A$2:$M$1241,2,FALSE)," ")</f>
        <v>BEN ELBAKRI</v>
      </c>
      <c r="D382" s="1" t="str">
        <f>IF(B382=0,VLOOKUP(A382,Feuil2!$A$2:$M$1241,3,FALSE)," ")</f>
        <v>HENI</v>
      </c>
      <c r="E382" s="5" t="s">
        <v>2860</v>
      </c>
    </row>
    <row r="383" spans="1:20" x14ac:dyDescent="0.3">
      <c r="A383" s="26">
        <v>2172</v>
      </c>
      <c r="B383" s="1">
        <v>0</v>
      </c>
      <c r="C383" s="1" t="str">
        <f>IF(B383=0,VLOOKUP(A383,Feuil2!$A$2:$M$1241,2,FALSE)," ")</f>
        <v>ACHECHE</v>
      </c>
      <c r="D383" s="1" t="str">
        <f>IF(B383=0,VLOOKUP(A383,Feuil2!$A$2:$M$1241,3,FALSE)," ")</f>
        <v>HABIB</v>
      </c>
      <c r="E383" s="5" t="s">
        <v>2860</v>
      </c>
    </row>
    <row r="384" spans="1:20" x14ac:dyDescent="0.3">
      <c r="A384" s="26">
        <v>2177</v>
      </c>
      <c r="B384" s="1">
        <v>0</v>
      </c>
      <c r="C384" s="1" t="str">
        <f>IF(B384=0,VLOOKUP(A384,Feuil2!$A$2:$M$1241,2,FALSE)," ")</f>
        <v>KAHLOUN</v>
      </c>
      <c r="D384" s="1" t="str">
        <f>IF(B384=0,VLOOKUP(A384,Feuil2!$A$2:$M$1241,3,FALSE)," ")</f>
        <v>FREDJ</v>
      </c>
      <c r="E384" s="5" t="s">
        <v>2860</v>
      </c>
    </row>
    <row r="385" spans="1:5" x14ac:dyDescent="0.3">
      <c r="A385" s="26">
        <v>2178</v>
      </c>
      <c r="B385" s="1">
        <v>0</v>
      </c>
      <c r="C385" s="1" t="str">
        <f>IF(B385=0,VLOOKUP(A385,Feuil2!$A$2:$M$1241,2,FALSE)," ")</f>
        <v>DHAOUADI</v>
      </c>
      <c r="D385" s="1" t="str">
        <f>IF(B385=0,VLOOKUP(A385,Feuil2!$A$2:$M$1241,3,FALSE)," ")</f>
        <v>MOHAMED HOSNI</v>
      </c>
      <c r="E385" s="5" t="s">
        <v>2860</v>
      </c>
    </row>
    <row r="386" spans="1:5" x14ac:dyDescent="0.3">
      <c r="A386" s="26">
        <v>2179</v>
      </c>
      <c r="B386" s="1">
        <v>0</v>
      </c>
      <c r="C386" s="1" t="str">
        <f>IF(B386=0,VLOOKUP(A386,Feuil2!$A$2:$M$1241,2,FALSE)," ")</f>
        <v>BOUHLEL</v>
      </c>
      <c r="D386" s="1" t="str">
        <f>IF(B386=0,VLOOKUP(A386,Feuil2!$A$2:$M$1241,3,FALSE)," ")</f>
        <v>AHMED</v>
      </c>
      <c r="E386" s="5" t="s">
        <v>2860</v>
      </c>
    </row>
    <row r="387" spans="1:5" x14ac:dyDescent="0.3">
      <c r="A387" s="26">
        <v>2183</v>
      </c>
      <c r="B387" s="1">
        <v>0</v>
      </c>
      <c r="C387" s="1" t="str">
        <f>IF(B387=0,VLOOKUP(A387,Feuil2!$A$2:$M$1241,2,FALSE)," ")</f>
        <v>ISSAOUI</v>
      </c>
      <c r="D387" s="1" t="str">
        <f>IF(B387=0,VLOOKUP(A387,Feuil2!$A$2:$M$1241,3,FALSE)," ")</f>
        <v>RACHED</v>
      </c>
      <c r="E387" s="5" t="s">
        <v>2860</v>
      </c>
    </row>
    <row r="388" spans="1:5" x14ac:dyDescent="0.3">
      <c r="A388" s="26">
        <v>2185</v>
      </c>
      <c r="B388" s="1">
        <v>0</v>
      </c>
      <c r="C388" s="1" t="str">
        <f>IF(B388=0,VLOOKUP(A388,Feuil2!$A$2:$M$1241,2,FALSE)," ")</f>
        <v>BENYOUSSEF</v>
      </c>
      <c r="D388" s="1" t="str">
        <f>IF(B388=0,VLOOKUP(A388,Feuil2!$A$2:$M$1241,3,FALSE)," ")</f>
        <v>MOHAMED</v>
      </c>
      <c r="E388" s="5" t="s">
        <v>2860</v>
      </c>
    </row>
    <row r="389" spans="1:5" x14ac:dyDescent="0.3">
      <c r="A389" s="26">
        <v>2195</v>
      </c>
      <c r="B389" s="1">
        <v>0</v>
      </c>
      <c r="C389" s="1" t="str">
        <f>IF(B389=0,VLOOKUP(A389,Feuil2!$A$2:$M$1241,2,FALSE)," ")</f>
        <v>BOUHLEL</v>
      </c>
      <c r="D389" s="1" t="str">
        <f>IF(B389=0,VLOOKUP(A389,Feuil2!$A$2:$M$1241,3,FALSE)," ")</f>
        <v>MOHAMED</v>
      </c>
      <c r="E389" s="5" t="s">
        <v>2860</v>
      </c>
    </row>
    <row r="390" spans="1:5" x14ac:dyDescent="0.3">
      <c r="A390" s="26">
        <v>2198</v>
      </c>
      <c r="B390" s="1">
        <v>0</v>
      </c>
      <c r="C390" s="1" t="str">
        <f>IF(B390=0,VLOOKUP(A390,Feuil2!$A$2:$M$1241,2,FALSE)," ")</f>
        <v>HAMIDA</v>
      </c>
      <c r="D390" s="1" t="str">
        <f>IF(B390=0,VLOOKUP(A390,Feuil2!$A$2:$M$1241,3,FALSE)," ")</f>
        <v>FEHMI</v>
      </c>
      <c r="E390" s="5" t="s">
        <v>2860</v>
      </c>
    </row>
    <row r="391" spans="1:5" x14ac:dyDescent="0.3">
      <c r="A391" s="26">
        <v>2200</v>
      </c>
      <c r="B391" s="1">
        <v>0</v>
      </c>
      <c r="C391" s="1" t="str">
        <f>IF(B391=0,VLOOKUP(A391,Feuil2!$A$2:$M$1241,2,FALSE)," ")</f>
        <v>MOHAMED</v>
      </c>
      <c r="D391" s="1" t="str">
        <f>IF(B391=0,VLOOKUP(A391,Feuil2!$A$2:$M$1241,3,FALSE)," ")</f>
        <v>HANI</v>
      </c>
      <c r="E391" s="5" t="s">
        <v>2860</v>
      </c>
    </row>
    <row r="392" spans="1:5" x14ac:dyDescent="0.3">
      <c r="A392" s="26">
        <v>2205</v>
      </c>
      <c r="B392" s="1">
        <v>0</v>
      </c>
      <c r="C392" s="1" t="str">
        <f>IF(B392=0,VLOOKUP(A392,Feuil2!$A$2:$M$1241,2,FALSE)," ")</f>
        <v>GHEZAL</v>
      </c>
      <c r="D392" s="1" t="str">
        <f>IF(B392=0,VLOOKUP(A392,Feuil2!$A$2:$M$1241,3,FALSE)," ")</f>
        <v>AHMED</v>
      </c>
      <c r="E392" s="5" t="s">
        <v>2860</v>
      </c>
    </row>
    <row r="393" spans="1:5" x14ac:dyDescent="0.3">
      <c r="A393" s="26">
        <v>2206</v>
      </c>
      <c r="B393" s="1">
        <v>0</v>
      </c>
      <c r="C393" s="1" t="str">
        <f>IF(B393=0,VLOOKUP(A393,Feuil2!$A$2:$M$1241,2,FALSE)," ")</f>
        <v>TOUMI</v>
      </c>
      <c r="D393" s="1" t="str">
        <f>IF(B393=0,VLOOKUP(A393,Feuil2!$A$2:$M$1241,3,FALSE)," ")</f>
        <v>MOHAMED ISMAIL</v>
      </c>
      <c r="E393" s="5" t="s">
        <v>2860</v>
      </c>
    </row>
    <row r="394" spans="1:5" x14ac:dyDescent="0.3">
      <c r="A394" s="26">
        <v>2210</v>
      </c>
      <c r="B394" s="1">
        <v>0</v>
      </c>
      <c r="C394" s="1" t="str">
        <f>IF(B394=0,VLOOKUP(A394,Feuil2!$A$2:$M$1241,2,FALSE)," ")</f>
        <v>CHEBIL</v>
      </c>
      <c r="D394" s="1" t="s">
        <v>2674</v>
      </c>
      <c r="E394" s="5" t="s">
        <v>2860</v>
      </c>
    </row>
    <row r="395" spans="1:5" x14ac:dyDescent="0.3">
      <c r="A395" s="26">
        <v>2211</v>
      </c>
      <c r="B395" s="1">
        <v>0</v>
      </c>
      <c r="C395" s="1" t="str">
        <f>IF(B395=0,VLOOKUP(A395,Feuil2!$A$2:$M$1241,2,FALSE)," ")</f>
        <v>BEN SGHAIR</v>
      </c>
      <c r="D395" s="1" t="str">
        <f>IF(B395=0,VLOOKUP(A395,Feuil2!$A$2:$M$1241,3,FALSE)," ")</f>
        <v>Chokri</v>
      </c>
      <c r="E395" s="5" t="s">
        <v>2860</v>
      </c>
    </row>
    <row r="396" spans="1:5" x14ac:dyDescent="0.3">
      <c r="A396" s="26">
        <v>2213</v>
      </c>
      <c r="B396" s="1">
        <v>0</v>
      </c>
      <c r="C396" s="1" t="str">
        <f>IF(B396=0,VLOOKUP(A396,Feuil2!$A$2:$M$1241,2,FALSE)," ")</f>
        <v>BERRIRI</v>
      </c>
      <c r="D396" s="1" t="str">
        <f>IF(B396=0,VLOOKUP(A396,Feuil2!$A$2:$M$1241,3,FALSE)," ")</f>
        <v>Mohamed Fredj</v>
      </c>
      <c r="E396" s="5" t="s">
        <v>2860</v>
      </c>
    </row>
    <row r="397" spans="1:5" x14ac:dyDescent="0.3">
      <c r="A397" s="26">
        <v>2218</v>
      </c>
      <c r="B397" s="1">
        <v>0</v>
      </c>
      <c r="C397" s="1" t="str">
        <f>IF(B397=0,VLOOKUP(A397,Feuil2!$A$2:$M$1241,2,FALSE)," ")</f>
        <v>BAAZOUG</v>
      </c>
      <c r="D397" s="1" t="str">
        <f>IF(B397=0,VLOOKUP(A397,Feuil2!$A$2:$M$1241,3,FALSE)," ")</f>
        <v>SOFIENE</v>
      </c>
      <c r="E397" s="5" t="s">
        <v>2860</v>
      </c>
    </row>
    <row r="398" spans="1:5" x14ac:dyDescent="0.3">
      <c r="A398" s="26">
        <v>2219</v>
      </c>
      <c r="B398" s="1">
        <v>0</v>
      </c>
      <c r="C398" s="1" t="str">
        <f>IF(B398=0,VLOOKUP(A398,Feuil2!$A$2:$M$1241,2,FALSE)," ")</f>
        <v>JARRAR</v>
      </c>
      <c r="D398" s="1" t="str">
        <f>IF(B398=0,VLOOKUP(A398,Feuil2!$A$2:$M$1241,3,FALSE)," ")</f>
        <v>MOHAMED MAHDI</v>
      </c>
      <c r="E398" s="5" t="s">
        <v>2860</v>
      </c>
    </row>
    <row r="399" spans="1:5" x14ac:dyDescent="0.3">
      <c r="A399" s="26">
        <v>2227</v>
      </c>
      <c r="B399" s="1">
        <v>0</v>
      </c>
      <c r="C399" s="1" t="str">
        <f>IF(B399=0,VLOOKUP(A399,Feuil2!$A$2:$M$1241,2,FALSE)," ")</f>
        <v>BEN KALIA</v>
      </c>
      <c r="D399" s="1" t="str">
        <f>IF(B399=0,VLOOKUP(A399,Feuil2!$A$2:$M$1241,3,FALSE)," ")</f>
        <v>HAMZA</v>
      </c>
      <c r="E399" s="5" t="s">
        <v>2860</v>
      </c>
    </row>
    <row r="400" spans="1:5" x14ac:dyDescent="0.3">
      <c r="A400" s="26">
        <v>2228</v>
      </c>
      <c r="B400" s="1">
        <v>0</v>
      </c>
      <c r="C400" s="1" t="str">
        <f>IF(B400=0,VLOOKUP(A400,Feuil2!$A$2:$M$1241,2,FALSE)," ")</f>
        <v>BELKHIRIA</v>
      </c>
      <c r="D400" s="1" t="str">
        <f>IF(B400=0,VLOOKUP(A400,Feuil2!$A$2:$M$1241,3,FALSE)," ")</f>
        <v>SOLYMEN</v>
      </c>
      <c r="E400" s="5" t="s">
        <v>2860</v>
      </c>
    </row>
    <row r="401" spans="1:5" x14ac:dyDescent="0.3">
      <c r="A401" s="26">
        <v>2229</v>
      </c>
      <c r="B401" s="1">
        <v>0</v>
      </c>
      <c r="C401" s="1" t="str">
        <f>IF(B401=0,VLOOKUP(A401,Feuil2!$A$2:$M$1241,2,FALSE)," ")</f>
        <v>MKHININI</v>
      </c>
      <c r="D401" s="1" t="str">
        <f>IF(B401=0,VLOOKUP(A401,Feuil2!$A$2:$M$1241,3,FALSE)," ")</f>
        <v>BECHIR</v>
      </c>
      <c r="E401" s="5" t="s">
        <v>2860</v>
      </c>
    </row>
    <row r="402" spans="1:5" x14ac:dyDescent="0.3">
      <c r="A402" s="26">
        <v>2237</v>
      </c>
      <c r="B402" s="1">
        <v>0</v>
      </c>
      <c r="C402" s="1" t="s">
        <v>776</v>
      </c>
      <c r="D402" s="1" t="s">
        <v>2766</v>
      </c>
      <c r="E402" s="5" t="s">
        <v>2860</v>
      </c>
    </row>
    <row r="403" spans="1:5" x14ac:dyDescent="0.3">
      <c r="A403" s="26">
        <v>2240</v>
      </c>
      <c r="B403" s="1">
        <v>0</v>
      </c>
      <c r="C403" s="1" t="s">
        <v>19</v>
      </c>
      <c r="D403" s="1" t="s">
        <v>2567</v>
      </c>
      <c r="E403" s="5" t="s">
        <v>2860</v>
      </c>
    </row>
    <row r="404" spans="1:5" x14ac:dyDescent="0.3">
      <c r="A404" s="26">
        <v>2243</v>
      </c>
      <c r="B404" s="1">
        <v>0</v>
      </c>
      <c r="C404" s="1" t="s">
        <v>2235</v>
      </c>
      <c r="D404" s="1" t="s">
        <v>280</v>
      </c>
      <c r="E404" s="5" t="s">
        <v>2860</v>
      </c>
    </row>
    <row r="405" spans="1:5" x14ac:dyDescent="0.3">
      <c r="A405" s="26">
        <v>2258</v>
      </c>
      <c r="B405" s="1">
        <v>0</v>
      </c>
      <c r="C405" s="1" t="s">
        <v>372</v>
      </c>
      <c r="D405" s="1" t="s">
        <v>34</v>
      </c>
      <c r="E405" s="5" t="s">
        <v>2860</v>
      </c>
    </row>
    <row r="406" spans="1:5" x14ac:dyDescent="0.3">
      <c r="A406" s="26">
        <v>2271</v>
      </c>
      <c r="B406" s="1">
        <v>0</v>
      </c>
      <c r="C406" s="1" t="s">
        <v>2814</v>
      </c>
      <c r="D406" s="1" t="s">
        <v>1347</v>
      </c>
      <c r="E406" s="5" t="s">
        <v>2860</v>
      </c>
    </row>
    <row r="407" spans="1:5" x14ac:dyDescent="0.3">
      <c r="A407" s="26">
        <v>2272</v>
      </c>
      <c r="B407" s="1">
        <v>0</v>
      </c>
      <c r="C407" s="1" t="s">
        <v>2837</v>
      </c>
      <c r="D407" s="1" t="s">
        <v>2409</v>
      </c>
      <c r="E407" s="5" t="s">
        <v>2860</v>
      </c>
    </row>
    <row r="408" spans="1:5" x14ac:dyDescent="0.3">
      <c r="A408" s="26">
        <v>2297</v>
      </c>
      <c r="B408" s="1">
        <v>0</v>
      </c>
      <c r="C408" s="1" t="s">
        <v>451</v>
      </c>
      <c r="D408" s="1" t="s">
        <v>89</v>
      </c>
      <c r="E408" s="5" t="s">
        <v>2860</v>
      </c>
    </row>
    <row r="409" spans="1:5" x14ac:dyDescent="0.3">
      <c r="A409" s="26">
        <v>2319</v>
      </c>
      <c r="B409" s="1">
        <v>0</v>
      </c>
      <c r="C409" s="1" t="s">
        <v>394</v>
      </c>
      <c r="D409" s="1" t="s">
        <v>284</v>
      </c>
      <c r="E409" s="5" t="s">
        <v>2860</v>
      </c>
    </row>
    <row r="410" spans="1:5" x14ac:dyDescent="0.3">
      <c r="A410" s="26">
        <v>2365</v>
      </c>
      <c r="B410" s="1">
        <v>0</v>
      </c>
      <c r="C410" s="1" t="s">
        <v>2830</v>
      </c>
      <c r="D410" s="1" t="s">
        <v>34</v>
      </c>
      <c r="E410" s="5" t="s">
        <v>2860</v>
      </c>
    </row>
  </sheetData>
  <mergeCells count="2">
    <mergeCell ref="A3:E3"/>
    <mergeCell ref="C4:D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276"/>
  <sheetViews>
    <sheetView topLeftCell="A1804" workbookViewId="0">
      <selection activeCell="A1169" sqref="A1:A1048576"/>
    </sheetView>
  </sheetViews>
  <sheetFormatPr baseColWidth="10" defaultRowHeight="14.4" x14ac:dyDescent="0.3"/>
  <cols>
    <col min="1" max="1" width="10.33203125" bestFit="1" customWidth="1"/>
    <col min="2" max="2" width="6.44140625" bestFit="1" customWidth="1"/>
    <col min="3" max="3" width="17.109375" customWidth="1"/>
    <col min="4" max="4" width="21.33203125" customWidth="1"/>
    <col min="5" max="5" width="10.6640625" bestFit="1" customWidth="1"/>
    <col min="6" max="6" width="6" bestFit="1" customWidth="1"/>
    <col min="7" max="7" width="10" bestFit="1" customWidth="1"/>
    <col min="8" max="9" width="11.6640625" bestFit="1" customWidth="1"/>
    <col min="10" max="10" width="27.5546875" bestFit="1" customWidth="1"/>
    <col min="11" max="11" width="12.33203125" bestFit="1" customWidth="1"/>
    <col min="14" max="14" width="25" bestFit="1" customWidth="1"/>
    <col min="15" max="15" width="21.33203125" style="9" bestFit="1" customWidth="1"/>
    <col min="16" max="16" width="21.109375" customWidth="1"/>
  </cols>
  <sheetData>
    <row r="1" spans="1:15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7" t="s">
        <v>14</v>
      </c>
    </row>
    <row r="2" spans="1:15" x14ac:dyDescent="0.3">
      <c r="A2" s="1">
        <v>100</v>
      </c>
      <c r="B2" s="1">
        <v>0</v>
      </c>
      <c r="C2" s="1" t="str">
        <f>IF(B2=0,VLOOKUP(A2,Feuil2!$A$2:$M$1241,2,FALSE)," ")</f>
        <v>JARRAR</v>
      </c>
      <c r="D2" s="1" t="str">
        <f>IF(B2=0,VLOOKUP(A2,Feuil2!$A$2:$M$1241,3,FALSE)," ")</f>
        <v>JALEL BEN ALI</v>
      </c>
      <c r="E2" s="5">
        <f>IF(B2=0,VLOOKUP(A2,Feuil2!$A$2:$M$1241,6,FALSE)," ")</f>
        <v>23125</v>
      </c>
      <c r="F2" s="1" t="str">
        <f>IF(B2=0,VLOOKUP(A2,Feuil2!$A$2:$M$1241,12,FALSE)," ")</f>
        <v>H</v>
      </c>
      <c r="G2" s="1" t="str">
        <f>IF(B2=0,VLOOKUP(A2,Feuil2!$A$2:$M$1241,11,FALSE)," ")</f>
        <v>M</v>
      </c>
      <c r="H2" s="1" t="s">
        <v>16</v>
      </c>
      <c r="I2" s="6">
        <f>IF(B2=0,VLOOKUP(A2,Feuil2!$A$2:$M$1241,7,FALSE)," ")</f>
        <v>2961061</v>
      </c>
      <c r="J2" s="1" t="str">
        <f>IF(B2=0,VLOOKUP(A2,Feuil2!$A$2:$M$1241,9,FALSE)," ")</f>
        <v>55 Route de Sfax</v>
      </c>
      <c r="K2" s="1" t="str">
        <f>IF(B2=0,VLOOKUP(A2,Feuil2!$A$2:$M$1241,10,FALSE)," ")</f>
        <v>Msaken 4070</v>
      </c>
      <c r="L2" s="1">
        <v>4070</v>
      </c>
      <c r="M2" s="1">
        <v>98793700</v>
      </c>
      <c r="N2" s="1"/>
      <c r="O2" s="8" t="str">
        <f>IF(B2=0,VLOOKUP(A2,Feuil2!$A$2:$M$1241,13,FALSE)," ")</f>
        <v>11020002050700878842</v>
      </c>
    </row>
    <row r="3" spans="1:15" x14ac:dyDescent="0.3">
      <c r="A3" s="1">
        <v>100</v>
      </c>
      <c r="B3" s="1">
        <v>1</v>
      </c>
      <c r="C3" s="1" t="s">
        <v>317</v>
      </c>
      <c r="D3" s="1" t="s">
        <v>2570</v>
      </c>
      <c r="E3" s="5">
        <v>26310</v>
      </c>
      <c r="F3" s="1" t="s">
        <v>17</v>
      </c>
      <c r="G3" s="1" t="s">
        <v>15</v>
      </c>
      <c r="H3" s="1" t="s">
        <v>16</v>
      </c>
      <c r="I3" s="6" t="str">
        <f>IF(B3=0,VLOOKUP(A3,Feuil2!$A$2:$M$1241,7,FALSE)," ")</f>
        <v xml:space="preserve"> </v>
      </c>
      <c r="J3" s="1" t="str">
        <f>IF(B3=0,VLOOKUP(A3,Feuil2!$A$2:$M$1241,9,FALSE)," ")</f>
        <v xml:space="preserve"> </v>
      </c>
      <c r="K3" s="1" t="str">
        <f>IF(B3=0,VLOOKUP(A3,Feuil2!$A$2:$M$1241,10,FALSE)," ")</f>
        <v xml:space="preserve"> </v>
      </c>
      <c r="L3" s="1"/>
      <c r="M3" s="1"/>
      <c r="N3" s="1"/>
      <c r="O3" s="8" t="str">
        <f>IF(B3=0,VLOOKUP(A3,Feuil2!$A$2:$M$1241,13,FALSE)," ")</f>
        <v xml:space="preserve"> </v>
      </c>
    </row>
    <row r="4" spans="1:15" x14ac:dyDescent="0.3">
      <c r="A4" s="1">
        <v>100</v>
      </c>
      <c r="B4" s="1">
        <v>2</v>
      </c>
      <c r="C4" s="1" t="s">
        <v>33</v>
      </c>
      <c r="D4" s="1" t="s">
        <v>139</v>
      </c>
      <c r="E4" s="5">
        <v>35702</v>
      </c>
      <c r="F4" s="1" t="s">
        <v>506</v>
      </c>
      <c r="G4" s="1" t="str">
        <f>IF(B4=0,VLOOKUP(A4,Feuil2!$A$2:$M$1241,11,FALSE)," ")</f>
        <v xml:space="preserve"> </v>
      </c>
      <c r="H4" s="1" t="s">
        <v>16</v>
      </c>
      <c r="I4" s="6" t="str">
        <f>IF(B4=0,VLOOKUP(A4,Feuil2!$A$2:$M$1241,7,FALSE)," ")</f>
        <v xml:space="preserve"> </v>
      </c>
      <c r="J4" s="1" t="str">
        <f>IF(B4=0,VLOOKUP(A4,Feuil2!$A$2:$M$1241,9,FALSE)," ")</f>
        <v xml:space="preserve"> </v>
      </c>
      <c r="K4" s="1" t="str">
        <f>IF(B4=0,VLOOKUP(A4,Feuil2!$A$2:$M$1241,10,FALSE)," ")</f>
        <v xml:space="preserve"> </v>
      </c>
      <c r="L4" s="1"/>
      <c r="M4" s="1"/>
      <c r="N4" s="1"/>
      <c r="O4" s="8" t="str">
        <f>IF(B4=0,VLOOKUP(A4,Feuil2!$A$2:$M$1241,13,FALSE)," ")</f>
        <v xml:space="preserve"> </v>
      </c>
    </row>
    <row r="5" spans="1:15" x14ac:dyDescent="0.3">
      <c r="A5" s="1">
        <v>100</v>
      </c>
      <c r="B5" s="1">
        <v>3</v>
      </c>
      <c r="C5" s="1" t="s">
        <v>33</v>
      </c>
      <c r="D5" s="1" t="s">
        <v>749</v>
      </c>
      <c r="E5" s="5">
        <v>36388</v>
      </c>
      <c r="F5" s="1" t="s">
        <v>17</v>
      </c>
      <c r="G5" s="1" t="str">
        <f>IF(B5=0,VLOOKUP(A5,Feuil2!$A$2:$M$1241,11,FALSE)," ")</f>
        <v xml:space="preserve"> </v>
      </c>
      <c r="H5" s="1" t="s">
        <v>16</v>
      </c>
      <c r="I5" s="6" t="str">
        <f>IF(B5=0,VLOOKUP(A5,Feuil2!$A$2:$M$1241,7,FALSE)," ")</f>
        <v xml:space="preserve"> </v>
      </c>
      <c r="J5" s="1" t="str">
        <f>IF(B5=0,VLOOKUP(A5,Feuil2!$A$2:$M$1241,9,FALSE)," ")</f>
        <v xml:space="preserve"> </v>
      </c>
      <c r="K5" s="1" t="str">
        <f>IF(B5=0,VLOOKUP(A5,Feuil2!$A$2:$M$1241,10,FALSE)," ")</f>
        <v xml:space="preserve"> </v>
      </c>
      <c r="L5" s="1"/>
      <c r="M5" s="1"/>
      <c r="N5" s="1"/>
      <c r="O5" s="8" t="str">
        <f>IF(B5=0,VLOOKUP(A5,Feuil2!$A$2:$M$1241,13,FALSE)," ")</f>
        <v xml:space="preserve"> </v>
      </c>
    </row>
    <row r="6" spans="1:15" x14ac:dyDescent="0.3">
      <c r="A6" s="1">
        <v>100</v>
      </c>
      <c r="B6" s="1">
        <v>4</v>
      </c>
      <c r="C6" s="1" t="s">
        <v>33</v>
      </c>
      <c r="D6" s="1" t="s">
        <v>77</v>
      </c>
      <c r="E6" s="5">
        <v>38394</v>
      </c>
      <c r="F6" s="1" t="s">
        <v>506</v>
      </c>
      <c r="G6" s="1" t="str">
        <f>IF(B6=0,VLOOKUP(A6,Feuil2!$A$2:$M$1241,11,FALSE)," ")</f>
        <v xml:space="preserve"> </v>
      </c>
      <c r="H6" s="1" t="s">
        <v>16</v>
      </c>
      <c r="I6" s="6" t="str">
        <f>IF(B6=0,VLOOKUP(A6,Feuil2!$A$2:$M$1241,7,FALSE)," ")</f>
        <v xml:space="preserve"> </v>
      </c>
      <c r="J6" s="1" t="str">
        <f>IF(B6=0,VLOOKUP(A6,Feuil2!$A$2:$M$1241,9,FALSE)," ")</f>
        <v xml:space="preserve"> </v>
      </c>
      <c r="K6" s="1" t="str">
        <f>IF(B6=0,VLOOKUP(A6,Feuil2!$A$2:$M$1241,10,FALSE)," ")</f>
        <v xml:space="preserve"> </v>
      </c>
      <c r="L6" s="1"/>
      <c r="M6" s="1"/>
      <c r="N6" s="1"/>
      <c r="O6" s="8" t="str">
        <f>IF(B6=0,VLOOKUP(A6,Feuil2!$A$2:$M$1241,13,FALSE)," ")</f>
        <v xml:space="preserve"> </v>
      </c>
    </row>
    <row r="7" spans="1:15" x14ac:dyDescent="0.3">
      <c r="A7" s="1">
        <v>100</v>
      </c>
      <c r="B7" s="1">
        <v>5</v>
      </c>
      <c r="C7" s="1" t="s">
        <v>33</v>
      </c>
      <c r="D7" s="1" t="s">
        <v>2571</v>
      </c>
      <c r="E7" s="5">
        <v>38909</v>
      </c>
      <c r="F7" s="1" t="s">
        <v>506</v>
      </c>
      <c r="G7" s="1" t="str">
        <f>IF(B7=0,VLOOKUP(A7,Feuil2!$A$2:$M$1241,11,FALSE)," ")</f>
        <v xml:space="preserve"> </v>
      </c>
      <c r="H7" s="1" t="s">
        <v>16</v>
      </c>
      <c r="I7" s="6" t="str">
        <f>IF(B7=0,VLOOKUP(A7,Feuil2!$A$2:$M$1241,7,FALSE)," ")</f>
        <v xml:space="preserve"> </v>
      </c>
      <c r="J7" s="1" t="str">
        <f>IF(B7=0,VLOOKUP(A7,Feuil2!$A$2:$M$1241,9,FALSE)," ")</f>
        <v xml:space="preserve"> </v>
      </c>
      <c r="K7" s="1" t="str">
        <f>IF(B7=0,VLOOKUP(A7,Feuil2!$A$2:$M$1241,10,FALSE)," ")</f>
        <v xml:space="preserve"> </v>
      </c>
      <c r="L7" s="1"/>
      <c r="M7" s="1"/>
      <c r="N7" s="1"/>
      <c r="O7" s="8" t="str">
        <f>IF(B7=0,VLOOKUP(A7,Feuil2!$A$2:$M$1241,13,FALSE)," ")</f>
        <v xml:space="preserve"> </v>
      </c>
    </row>
    <row r="8" spans="1:15" x14ac:dyDescent="0.3">
      <c r="A8" s="1">
        <v>134</v>
      </c>
      <c r="B8" s="1">
        <v>1</v>
      </c>
      <c r="C8" s="1" t="s">
        <v>33</v>
      </c>
      <c r="D8" s="1" t="s">
        <v>48</v>
      </c>
      <c r="E8" s="5">
        <v>34599</v>
      </c>
      <c r="F8" s="1" t="s">
        <v>506</v>
      </c>
      <c r="G8" s="1" t="str">
        <f>IF(B8=0,VLOOKUP(A8,Feuil2!$A$2:$M$1241,11,FALSE)," ")</f>
        <v xml:space="preserve"> </v>
      </c>
      <c r="H8" s="1" t="s">
        <v>16</v>
      </c>
      <c r="I8" s="6" t="str">
        <f>IF(B8=0,VLOOKUP(A8,Feuil2!$A$2:$M$1241,7,FALSE)," ")</f>
        <v xml:space="preserve"> </v>
      </c>
      <c r="J8" s="1" t="str">
        <f>IF(B8=0,VLOOKUP(A8,Feuil2!$A$2:$M$1241,9,FALSE)," ")</f>
        <v xml:space="preserve"> </v>
      </c>
      <c r="K8" s="1" t="str">
        <f>IF(B8=0,VLOOKUP(A8,Feuil2!$A$2:$M$1241,10,FALSE)," ")</f>
        <v xml:space="preserve"> </v>
      </c>
      <c r="L8" s="1"/>
      <c r="M8" s="1"/>
      <c r="N8" s="1"/>
      <c r="O8" s="8"/>
    </row>
    <row r="9" spans="1:15" x14ac:dyDescent="0.3">
      <c r="A9" s="1">
        <v>185</v>
      </c>
      <c r="B9" s="1">
        <v>0</v>
      </c>
      <c r="C9" s="1" t="str">
        <f>IF(B9=0,VLOOKUP(A9,Feuil2!$A$2:$M$1241,2,FALSE)," ")</f>
        <v>MAHJOUB NOUIR</v>
      </c>
      <c r="D9" s="1" t="str">
        <f>IF(B9=0,VLOOKUP(A9,Feuil2!$A$2:$M$1241,3,FALSE)," ")</f>
        <v>MONCEF</v>
      </c>
      <c r="E9" s="5">
        <f>IF(B9=0,VLOOKUP(A9,Feuil2!$A$2:$M$1241,6,FALSE)," ")</f>
        <v>23612</v>
      </c>
      <c r="F9" s="1" t="str">
        <f>IF(B9=0,VLOOKUP(A9,Feuil2!$A$2:$M$1241,12,FALSE)," ")</f>
        <v>H</v>
      </c>
      <c r="G9" s="1" t="str">
        <f>IF(B9=0,VLOOKUP(A9,Feuil2!$A$2:$M$1241,11,FALSE)," ")</f>
        <v>M</v>
      </c>
      <c r="H9" s="1" t="s">
        <v>16</v>
      </c>
      <c r="I9" s="6">
        <f>IF(B9=0,VLOOKUP(A9,Feuil2!$A$2:$M$1241,7,FALSE)," ")</f>
        <v>2959720</v>
      </c>
      <c r="J9" s="1" t="str">
        <f>IF(B9=0,VLOOKUP(A9,Feuil2!$A$2:$M$1241,9,FALSE)," ")</f>
        <v>37 rue Ibn Rochd</v>
      </c>
      <c r="K9" s="1" t="str">
        <f>IF(B9=0,VLOOKUP(A9,Feuil2!$A$2:$M$1241,10,FALSE)," ")</f>
        <v>Msaken 4070</v>
      </c>
      <c r="L9" s="1">
        <v>4070</v>
      </c>
      <c r="M9" s="1">
        <v>26836854</v>
      </c>
      <c r="N9" s="1"/>
      <c r="O9" s="8" t="str">
        <f>IF(B9=0,VLOOKUP(A9,Feuil2!$A$2:$M$1241,13,FALSE)," ")</f>
        <v>03508056010100247580</v>
      </c>
    </row>
    <row r="10" spans="1:15" x14ac:dyDescent="0.3">
      <c r="A10" s="1">
        <v>185</v>
      </c>
      <c r="B10" s="1">
        <v>1</v>
      </c>
      <c r="C10" s="1" t="s">
        <v>2420</v>
      </c>
      <c r="D10" s="1" t="s">
        <v>1049</v>
      </c>
      <c r="E10" s="5">
        <v>26829</v>
      </c>
      <c r="F10" s="1" t="s">
        <v>17</v>
      </c>
      <c r="G10" s="1" t="s">
        <v>15</v>
      </c>
      <c r="H10" s="1" t="s">
        <v>16</v>
      </c>
      <c r="I10" s="6" t="str">
        <f>IF(B10=0,VLOOKUP(A10,Feuil2!$A$2:$M$1241,7,FALSE)," ")</f>
        <v xml:space="preserve"> </v>
      </c>
      <c r="J10" s="1" t="str">
        <f>IF(B10=0,VLOOKUP(A10,Feuil2!$A$2:$M$1241,9,FALSE)," ")</f>
        <v xml:space="preserve"> </v>
      </c>
      <c r="K10" s="1" t="str">
        <f>IF(B10=0,VLOOKUP(A10,Feuil2!$A$2:$M$1241,10,FALSE)," ")</f>
        <v xml:space="preserve"> </v>
      </c>
      <c r="L10" s="1"/>
      <c r="M10" s="1"/>
      <c r="N10" s="1"/>
      <c r="O10" s="8" t="str">
        <f>IF(B10=0,VLOOKUP(A10,Feuil2!$A$2:$M$1241,13,FALSE)," ")</f>
        <v xml:space="preserve"> </v>
      </c>
    </row>
    <row r="11" spans="1:15" x14ac:dyDescent="0.3">
      <c r="A11" s="1">
        <v>185</v>
      </c>
      <c r="B11" s="1">
        <v>2</v>
      </c>
      <c r="C11" s="1" t="s">
        <v>695</v>
      </c>
      <c r="D11" s="1" t="s">
        <v>2347</v>
      </c>
      <c r="E11" s="5">
        <v>37775</v>
      </c>
      <c r="F11" s="1" t="s">
        <v>506</v>
      </c>
      <c r="G11" s="1" t="str">
        <f>IF(B11=0,VLOOKUP(A11,Feuil2!$A$2:$M$1241,11,FALSE)," ")</f>
        <v xml:space="preserve"> </v>
      </c>
      <c r="H11" s="1" t="s">
        <v>16</v>
      </c>
      <c r="I11" s="6" t="str">
        <f>IF(B11=0,VLOOKUP(A11,Feuil2!$A$2:$M$1241,7,FALSE)," ")</f>
        <v xml:space="preserve"> </v>
      </c>
      <c r="J11" s="1" t="str">
        <f>IF(B11=0,VLOOKUP(A11,Feuil2!$A$2:$M$1241,9,FALSE)," ")</f>
        <v xml:space="preserve"> </v>
      </c>
      <c r="K11" s="1" t="str">
        <f>IF(B11=0,VLOOKUP(A11,Feuil2!$A$2:$M$1241,10,FALSE)," ")</f>
        <v xml:space="preserve"> </v>
      </c>
      <c r="L11" s="1"/>
      <c r="M11" s="1"/>
      <c r="N11" s="1"/>
      <c r="O11" s="8" t="str">
        <f>IF(B11=0,VLOOKUP(A11,Feuil2!$A$2:$M$1241,13,FALSE)," ")</f>
        <v xml:space="preserve"> </v>
      </c>
    </row>
    <row r="12" spans="1:15" x14ac:dyDescent="0.3">
      <c r="A12" s="1">
        <v>212</v>
      </c>
      <c r="B12" s="1">
        <v>0</v>
      </c>
      <c r="C12" s="1" t="str">
        <f>IF(B12=0,VLOOKUP(A12,Feuil2!$A$2:$M$1241,2,FALSE)," ")</f>
        <v>BOUHLEL</v>
      </c>
      <c r="D12" s="1" t="str">
        <f>IF(B12=0,VLOOKUP(A12,Feuil2!$A$2:$M$1241,3,FALSE)," ")</f>
        <v>BECHIR</v>
      </c>
      <c r="E12" s="5">
        <f>IF(B12=0,VLOOKUP(A12,Feuil2!$A$2:$M$1241,6,FALSE)," ")</f>
        <v>23594</v>
      </c>
      <c r="F12" s="1" t="str">
        <f>IF(B12=0,VLOOKUP(A12,Feuil2!$A$2:$M$1241,12,FALSE)," ")</f>
        <v>H</v>
      </c>
      <c r="G12" s="1" t="str">
        <f>IF(B12=0,VLOOKUP(A12,Feuil2!$A$2:$M$1241,11,FALSE)," ")</f>
        <v>M</v>
      </c>
      <c r="H12" s="1" t="s">
        <v>16</v>
      </c>
      <c r="I12" s="6">
        <f>IF(B12=0,VLOOKUP(A12,Feuil2!$A$2:$M$1241,7,FALSE)," ")</f>
        <v>2954309</v>
      </c>
      <c r="J12" s="1" t="str">
        <f>IF(B12=0,VLOOKUP(A12,Feuil2!$A$2:$M$1241,9,FALSE)," ")</f>
        <v>Rue de Iran</v>
      </c>
      <c r="K12" s="1" t="str">
        <f>IF(B12=0,VLOOKUP(A12,Feuil2!$A$2:$M$1241,10,FALSE)," ")</f>
        <v>Msaken 4070</v>
      </c>
      <c r="L12" s="1">
        <v>4070</v>
      </c>
      <c r="M12" s="1">
        <v>98793620</v>
      </c>
      <c r="N12" s="1"/>
      <c r="O12" s="8" t="str">
        <f>IF(B12=0,VLOOKUP(A12,Feuil2!$A$2:$M$1241,13,FALSE)," ")</f>
        <v>08507000262001609096</v>
      </c>
    </row>
    <row r="13" spans="1:15" x14ac:dyDescent="0.3">
      <c r="A13" s="1">
        <v>212</v>
      </c>
      <c r="B13" s="1">
        <v>1</v>
      </c>
      <c r="C13" s="1" t="s">
        <v>176</v>
      </c>
      <c r="D13" s="1" t="s">
        <v>596</v>
      </c>
      <c r="E13" s="5">
        <v>26636</v>
      </c>
      <c r="F13" s="1" t="s">
        <v>17</v>
      </c>
      <c r="G13" s="1" t="s">
        <v>15</v>
      </c>
      <c r="H13" s="1" t="s">
        <v>16</v>
      </c>
      <c r="I13" s="6" t="str">
        <f>IF(B13=0,VLOOKUP(A13,Feuil2!$A$2:$M$1241,7,FALSE)," ")</f>
        <v xml:space="preserve"> </v>
      </c>
      <c r="J13" s="1" t="str">
        <f>IF(B13=0,VLOOKUP(A13,Feuil2!$A$2:$M$1241,9,FALSE)," ")</f>
        <v xml:space="preserve"> </v>
      </c>
      <c r="K13" s="1" t="str">
        <f>IF(B13=0,VLOOKUP(A13,Feuil2!$A$2:$M$1241,10,FALSE)," ")</f>
        <v xml:space="preserve"> </v>
      </c>
      <c r="L13" s="1"/>
      <c r="M13" s="1"/>
      <c r="N13" s="1"/>
      <c r="O13" s="8" t="str">
        <f>IF(B13=0,VLOOKUP(A13,Feuil2!$A$2:$M$1241,13,FALSE)," ")</f>
        <v xml:space="preserve"> </v>
      </c>
    </row>
    <row r="14" spans="1:15" x14ac:dyDescent="0.3">
      <c r="A14" s="1">
        <v>212</v>
      </c>
      <c r="B14" s="1">
        <v>2</v>
      </c>
      <c r="C14" s="1" t="s">
        <v>83</v>
      </c>
      <c r="D14" s="1" t="s">
        <v>61</v>
      </c>
      <c r="E14" s="5">
        <v>40328</v>
      </c>
      <c r="F14" s="1" t="s">
        <v>17</v>
      </c>
      <c r="G14" s="1" t="str">
        <f>IF(B14=0,VLOOKUP(A14,Feuil2!$A$2:$M$1241,11,FALSE)," ")</f>
        <v xml:space="preserve"> </v>
      </c>
      <c r="H14" s="1" t="s">
        <v>16</v>
      </c>
      <c r="I14" s="6" t="str">
        <f>IF(B14=0,VLOOKUP(A14,Feuil2!$A$2:$M$1241,7,FALSE)," ")</f>
        <v xml:space="preserve"> </v>
      </c>
      <c r="J14" s="1" t="str">
        <f>IF(B14=0,VLOOKUP(A14,Feuil2!$A$2:$M$1241,9,FALSE)," ")</f>
        <v xml:space="preserve"> </v>
      </c>
      <c r="K14" s="1" t="str">
        <f>IF(B14=0,VLOOKUP(A14,Feuil2!$A$2:$M$1241,10,FALSE)," ")</f>
        <v xml:space="preserve"> </v>
      </c>
      <c r="L14" s="1"/>
      <c r="M14" s="1"/>
      <c r="N14" s="1"/>
      <c r="O14" s="8" t="str">
        <f>IF(B14=0,VLOOKUP(A14,Feuil2!$A$2:$M$1241,13,FALSE)," ")</f>
        <v xml:space="preserve"> </v>
      </c>
    </row>
    <row r="15" spans="1:15" x14ac:dyDescent="0.3">
      <c r="A15" s="17">
        <v>225</v>
      </c>
      <c r="B15" s="17">
        <v>0</v>
      </c>
      <c r="C15" s="17" t="str">
        <f>IF(B15=0,VLOOKUP(A15,Feuil2!$A$2:$M$1241,2,FALSE)," ")</f>
        <v>LAYOUNI</v>
      </c>
      <c r="D15" s="17" t="str">
        <f>IF(B15=0,VLOOKUP(A15,Feuil2!$A$2:$M$1241,3,FALSE)," ")</f>
        <v>ABDELKARIM</v>
      </c>
      <c r="E15" s="18">
        <f>IF(B15=0,VLOOKUP(A15,Feuil2!$A$2:$M$1241,6,FALSE)," ")</f>
        <v>24122</v>
      </c>
      <c r="F15" s="17" t="str">
        <f>IF(B15=0,VLOOKUP(A15,Feuil2!$A$2:$M$1241,12,FALSE)," ")</f>
        <v>H</v>
      </c>
      <c r="G15" s="17" t="str">
        <f>IF(B15=0,VLOOKUP(A15,Feuil2!$A$2:$M$1241,11,FALSE)," ")</f>
        <v>M</v>
      </c>
      <c r="H15" s="17" t="s">
        <v>16</v>
      </c>
      <c r="I15" s="19">
        <f>IF(B15=0,VLOOKUP(A15,Feuil2!$A$2:$M$1241,7,FALSE)," ")</f>
        <v>2966905</v>
      </c>
      <c r="J15" s="17" t="str">
        <f>IF(B15=0,VLOOKUP(A15,Feuil2!$A$2:$M$1241,9,FALSE)," ")</f>
        <v>86 R 1er juin 1955</v>
      </c>
      <c r="K15" s="17" t="str">
        <f>IF(B15=0,VLOOKUP(A15,Feuil2!$A$2:$M$1241,10,FALSE)," ")</f>
        <v>Msaken 4070</v>
      </c>
      <c r="L15" s="17">
        <v>4070</v>
      </c>
      <c r="M15" s="17">
        <v>98793641</v>
      </c>
      <c r="N15" s="17"/>
      <c r="O15" s="20" t="str">
        <f>IF(B15=0,VLOOKUP(A15,Feuil2!$A$2:$M$1241,13,FALSE)," ")</f>
        <v>12505000000214557279</v>
      </c>
    </row>
    <row r="16" spans="1:15" x14ac:dyDescent="0.3">
      <c r="A16" s="1">
        <v>225</v>
      </c>
      <c r="B16" s="1">
        <v>1</v>
      </c>
      <c r="C16" s="1" t="s">
        <v>760</v>
      </c>
      <c r="D16" s="1" t="s">
        <v>1301</v>
      </c>
      <c r="E16" s="5">
        <v>25586</v>
      </c>
      <c r="F16" s="1" t="s">
        <v>17</v>
      </c>
      <c r="G16" s="1" t="s">
        <v>15</v>
      </c>
      <c r="H16" s="1" t="s">
        <v>16</v>
      </c>
      <c r="I16" s="6" t="str">
        <f>IF(B16=0,VLOOKUP(A16,Feuil2!$A$2:$M$1241,7,FALSE)," ")</f>
        <v xml:space="preserve"> </v>
      </c>
      <c r="J16" s="1" t="str">
        <f>IF(B16=0,VLOOKUP(A16,Feuil2!$A$2:$M$1241,9,FALSE)," ")</f>
        <v xml:space="preserve"> </v>
      </c>
      <c r="K16" s="1" t="str">
        <f>IF(B16=0,VLOOKUP(A16,Feuil2!$A$2:$M$1241,10,FALSE)," ")</f>
        <v xml:space="preserve"> </v>
      </c>
      <c r="L16" s="1"/>
      <c r="M16" s="1"/>
      <c r="N16" s="1"/>
      <c r="O16" s="8" t="str">
        <f>IF(B16=0,VLOOKUP(A16,Feuil2!$A$2:$M$1241,13,FALSE)," ")</f>
        <v xml:space="preserve"> </v>
      </c>
    </row>
    <row r="17" spans="1:16" x14ac:dyDescent="0.3">
      <c r="A17" s="1">
        <v>225</v>
      </c>
      <c r="B17" s="1">
        <v>2</v>
      </c>
      <c r="C17" s="1" t="s">
        <v>250</v>
      </c>
      <c r="D17" s="1" t="s">
        <v>2367</v>
      </c>
      <c r="E17" s="5">
        <v>34440</v>
      </c>
      <c r="F17" s="1" t="s">
        <v>17</v>
      </c>
      <c r="G17" s="1" t="str">
        <f>IF(B17=0,VLOOKUP(A17,Feuil2!$A$2:$M$1241,11,FALSE)," ")</f>
        <v xml:space="preserve"> </v>
      </c>
      <c r="H17" s="1" t="s">
        <v>16</v>
      </c>
      <c r="I17" s="6" t="str">
        <f>IF(B17=0,VLOOKUP(A17,Feuil2!$A$2:$M$1241,7,FALSE)," ")</f>
        <v xml:space="preserve"> </v>
      </c>
      <c r="J17" s="1" t="str">
        <f>IF(B17=0,VLOOKUP(A17,Feuil2!$A$2:$M$1241,9,FALSE)," ")</f>
        <v xml:space="preserve"> </v>
      </c>
      <c r="K17" s="1" t="str">
        <f>IF(B17=0,VLOOKUP(A17,Feuil2!$A$2:$M$1241,10,FALSE)," ")</f>
        <v xml:space="preserve"> </v>
      </c>
      <c r="L17" s="1"/>
      <c r="M17" s="1"/>
      <c r="N17" s="1"/>
      <c r="O17" s="8" t="str">
        <f>IF(B17=0,VLOOKUP(A17,Feuil2!$A$2:$M$1241,13,FALSE)," ")</f>
        <v xml:space="preserve"> </v>
      </c>
    </row>
    <row r="18" spans="1:16" x14ac:dyDescent="0.3">
      <c r="A18" s="1">
        <v>225</v>
      </c>
      <c r="B18" s="1">
        <v>3</v>
      </c>
      <c r="C18" s="1" t="s">
        <v>250</v>
      </c>
      <c r="D18" s="1" t="s">
        <v>2354</v>
      </c>
      <c r="E18" s="5">
        <v>36496</v>
      </c>
      <c r="F18" s="1" t="s">
        <v>17</v>
      </c>
      <c r="G18" s="1" t="str">
        <f>IF(B18=0,VLOOKUP(A18,Feuil2!$A$2:$M$1241,11,FALSE)," ")</f>
        <v xml:space="preserve"> </v>
      </c>
      <c r="H18" s="1" t="s">
        <v>16</v>
      </c>
      <c r="I18" s="6" t="str">
        <f>IF(B18=0,VLOOKUP(A18,Feuil2!$A$2:$M$1241,7,FALSE)," ")</f>
        <v xml:space="preserve"> </v>
      </c>
      <c r="J18" s="1" t="str">
        <f>IF(B18=0,VLOOKUP(A18,Feuil2!$A$2:$M$1241,9,FALSE)," ")</f>
        <v xml:space="preserve"> </v>
      </c>
      <c r="K18" s="1" t="str">
        <f>IF(B18=0,VLOOKUP(A18,Feuil2!$A$2:$M$1241,10,FALSE)," ")</f>
        <v xml:space="preserve"> </v>
      </c>
      <c r="L18" s="1"/>
      <c r="M18" s="1"/>
      <c r="N18" s="1"/>
      <c r="O18" s="8" t="str">
        <f>IF(B18=0,VLOOKUP(A18,Feuil2!$A$2:$M$1241,13,FALSE)," ")</f>
        <v xml:space="preserve"> </v>
      </c>
    </row>
    <row r="19" spans="1:16" x14ac:dyDescent="0.3">
      <c r="A19" s="17">
        <v>280</v>
      </c>
      <c r="B19" s="17">
        <v>0</v>
      </c>
      <c r="C19" s="17" t="str">
        <f>IF(B19=0,VLOOKUP(A19,Feuil2!$A$2:$M$1241,2,FALSE)," ")</f>
        <v>LAYOUNI</v>
      </c>
      <c r="D19" s="17" t="str">
        <f>IF(B19=0,VLOOKUP(A19,Feuil2!$A$2:$M$1241,3,FALSE)," ")</f>
        <v>GHAZI</v>
      </c>
      <c r="E19" s="18">
        <f>IF(B19=0,VLOOKUP(A19,Feuil2!$A$2:$M$1241,6,FALSE)," ")</f>
        <v>24181</v>
      </c>
      <c r="F19" s="17" t="str">
        <f>IF(B19=0,VLOOKUP(A19,Feuil2!$A$2:$M$1241,12,FALSE)," ")</f>
        <v>H</v>
      </c>
      <c r="G19" s="17" t="str">
        <f>IF(B19=0,VLOOKUP(A19,Feuil2!$A$2:$M$1241,11,FALSE)," ")</f>
        <v>M</v>
      </c>
      <c r="H19" s="17" t="s">
        <v>16</v>
      </c>
      <c r="I19" s="19">
        <f>IF(B19=0,VLOOKUP(A19,Feuil2!$A$2:$M$1241,7,FALSE)," ")</f>
        <v>3370974</v>
      </c>
      <c r="J19" s="17" t="str">
        <f>IF(B19=0,VLOOKUP(A19,Feuil2!$A$2:$M$1241,9,FALSE)," ")</f>
        <v>Rue 1er juin 1955</v>
      </c>
      <c r="K19" s="17" t="str">
        <f>IF(B19=0,VLOOKUP(A19,Feuil2!$A$2:$M$1241,10,FALSE)," ")</f>
        <v>Msaken 4070</v>
      </c>
      <c r="L19" s="17">
        <v>4070</v>
      </c>
      <c r="M19" s="17">
        <v>98257075</v>
      </c>
      <c r="N19" s="17"/>
      <c r="O19" s="20" t="str">
        <f>IF(B19=0,VLOOKUP(A19,Feuil2!$A$2:$M$1241,13,FALSE)," ")</f>
        <v>20009090001145941227</v>
      </c>
    </row>
    <row r="20" spans="1:16" x14ac:dyDescent="0.3">
      <c r="A20" s="1">
        <v>280</v>
      </c>
      <c r="B20" s="1">
        <v>1</v>
      </c>
      <c r="C20" s="1" t="s">
        <v>2522</v>
      </c>
      <c r="D20" s="1" t="s">
        <v>2403</v>
      </c>
      <c r="E20" s="5">
        <v>29790</v>
      </c>
      <c r="F20" s="1" t="s">
        <v>17</v>
      </c>
      <c r="G20" s="1" t="s">
        <v>15</v>
      </c>
      <c r="H20" s="1" t="s">
        <v>16</v>
      </c>
      <c r="I20" s="6" t="str">
        <f>IF(B20=0,VLOOKUP(A20,Feuil2!$A$2:$M$1241,7,FALSE)," ")</f>
        <v xml:space="preserve"> </v>
      </c>
      <c r="J20" s="1" t="str">
        <f>IF(B20=0,VLOOKUP(A20,Feuil2!$A$2:$M$1241,9,FALSE)," ")</f>
        <v xml:space="preserve"> </v>
      </c>
      <c r="K20" s="1" t="str">
        <f>IF(B20=0,VLOOKUP(A20,Feuil2!$A$2:$M$1241,10,FALSE)," ")</f>
        <v xml:space="preserve"> </v>
      </c>
      <c r="L20" s="1"/>
      <c r="M20" s="1"/>
      <c r="N20" s="1"/>
      <c r="O20" s="8" t="str">
        <f>IF(B20=0,VLOOKUP(A20,Feuil2!$A$2:$M$1241,13,FALSE)," ")</f>
        <v xml:space="preserve"> </v>
      </c>
      <c r="P20" t="s">
        <v>2805</v>
      </c>
    </row>
    <row r="21" spans="1:16" x14ac:dyDescent="0.3">
      <c r="A21" s="1">
        <v>280</v>
      </c>
      <c r="B21" s="1">
        <v>2</v>
      </c>
      <c r="C21" s="1" t="s">
        <v>250</v>
      </c>
      <c r="D21" s="1" t="s">
        <v>465</v>
      </c>
      <c r="E21" s="5">
        <v>39776</v>
      </c>
      <c r="F21" s="1" t="s">
        <v>506</v>
      </c>
      <c r="G21" s="1" t="str">
        <f>IF(B21=0,VLOOKUP(A21,Feuil2!$A$2:$M$1241,11,FALSE)," ")</f>
        <v xml:space="preserve"> </v>
      </c>
      <c r="H21" s="1" t="s">
        <v>16</v>
      </c>
      <c r="I21" s="6" t="str">
        <f>IF(B21=0,VLOOKUP(A21,Feuil2!$A$2:$M$1241,7,FALSE)," ")</f>
        <v xml:space="preserve"> </v>
      </c>
      <c r="J21" s="1" t="str">
        <f>IF(B21=0,VLOOKUP(A21,Feuil2!$A$2:$M$1241,9,FALSE)," ")</f>
        <v xml:space="preserve"> </v>
      </c>
      <c r="K21" s="1" t="str">
        <f>IF(B21=0,VLOOKUP(A21,Feuil2!$A$2:$M$1241,10,FALSE)," ")</f>
        <v xml:space="preserve"> </v>
      </c>
      <c r="L21" s="1"/>
      <c r="M21" s="1"/>
      <c r="N21" s="1"/>
      <c r="O21" s="8" t="str">
        <f>IF(B21=0,VLOOKUP(A21,Feuil2!$A$2:$M$1241,13,FALSE)," ")</f>
        <v xml:space="preserve"> </v>
      </c>
    </row>
    <row r="22" spans="1:16" x14ac:dyDescent="0.3">
      <c r="A22" s="1">
        <v>280</v>
      </c>
      <c r="B22" s="1">
        <v>3</v>
      </c>
      <c r="C22" s="1" t="s">
        <v>250</v>
      </c>
      <c r="D22" s="1" t="s">
        <v>2523</v>
      </c>
      <c r="E22" s="5">
        <v>41199</v>
      </c>
      <c r="F22" s="1" t="s">
        <v>17</v>
      </c>
      <c r="G22" s="1" t="str">
        <f>IF(B22=0,VLOOKUP(A22,Feuil2!$A$2:$M$1241,11,FALSE)," ")</f>
        <v xml:space="preserve"> </v>
      </c>
      <c r="H22" s="1" t="s">
        <v>16</v>
      </c>
      <c r="I22" s="6" t="str">
        <f>IF(B22=0,VLOOKUP(A22,Feuil2!$A$2:$M$1241,7,FALSE)," ")</f>
        <v xml:space="preserve"> </v>
      </c>
      <c r="J22" s="1" t="str">
        <f>IF(B22=0,VLOOKUP(A22,Feuil2!$A$2:$M$1241,9,FALSE)," ")</f>
        <v xml:space="preserve"> </v>
      </c>
      <c r="K22" s="1" t="str">
        <f>IF(B22=0,VLOOKUP(A22,Feuil2!$A$2:$M$1241,10,FALSE)," ")</f>
        <v xml:space="preserve"> </v>
      </c>
      <c r="L22" s="1"/>
      <c r="M22" s="1"/>
      <c r="N22" s="1"/>
      <c r="O22" s="8" t="str">
        <f>IF(B22=0,VLOOKUP(A22,Feuil2!$A$2:$M$1241,13,FALSE)," ")</f>
        <v xml:space="preserve"> </v>
      </c>
    </row>
    <row r="23" spans="1:16" x14ac:dyDescent="0.3">
      <c r="A23" s="17">
        <v>344</v>
      </c>
      <c r="B23" s="17">
        <v>0</v>
      </c>
      <c r="C23" s="17" t="str">
        <f>IF(B23=0,VLOOKUP(A23,Feuil2!$A$2:$M$1241,2,FALSE)," ")</f>
        <v>TERZAG EL BHIRI</v>
      </c>
      <c r="D23" s="17" t="str">
        <f>IF(B23=0,VLOOKUP(A23,Feuil2!$A$2:$M$1241,3,FALSE)," ")</f>
        <v>CHEDLY</v>
      </c>
      <c r="E23" s="18">
        <f>IF(B23=0,VLOOKUP(A23,Feuil2!$A$2:$M$1241,6,FALSE)," ")</f>
        <v>23694</v>
      </c>
      <c r="F23" s="17" t="str">
        <f>IF(B23=0,VLOOKUP(A23,Feuil2!$A$2:$M$1241,12,FALSE)," ")</f>
        <v>H</v>
      </c>
      <c r="G23" s="17" t="str">
        <f>IF(B23=0,VLOOKUP(A23,Feuil2!$A$2:$M$1241,11,FALSE)," ")</f>
        <v>M</v>
      </c>
      <c r="H23" s="17" t="s">
        <v>16</v>
      </c>
      <c r="I23" s="19">
        <f>IF(B23=0,VLOOKUP(A23,Feuil2!$A$2:$M$1241,7,FALSE)," ")</f>
        <v>2952362</v>
      </c>
      <c r="J23" s="17" t="str">
        <f>IF(B23=0,VLOOKUP(A23,Feuil2!$A$2:$M$1241,9,FALSE)," ")</f>
        <v>68 Rue Essomaa</v>
      </c>
      <c r="K23" s="17" t="str">
        <f>IF(B23=0,VLOOKUP(A23,Feuil2!$A$2:$M$1241,10,FALSE)," ")</f>
        <v>Msaken 4070</v>
      </c>
      <c r="L23" s="17">
        <v>4070</v>
      </c>
      <c r="M23" s="17">
        <v>98793754</v>
      </c>
      <c r="N23" s="17"/>
      <c r="O23" s="21" t="s">
        <v>2386</v>
      </c>
    </row>
    <row r="24" spans="1:16" x14ac:dyDescent="0.3">
      <c r="A24" s="1">
        <v>344</v>
      </c>
      <c r="B24" s="1">
        <v>1</v>
      </c>
      <c r="C24" s="1" t="s">
        <v>193</v>
      </c>
      <c r="D24" s="1" t="s">
        <v>1541</v>
      </c>
      <c r="E24" s="5">
        <v>27213</v>
      </c>
      <c r="F24" s="1" t="s">
        <v>17</v>
      </c>
      <c r="G24" s="1" t="s">
        <v>15</v>
      </c>
      <c r="H24" s="1" t="s">
        <v>16</v>
      </c>
      <c r="I24" s="6" t="str">
        <f>IF(B24=0,VLOOKUP(A24,Feuil2!$A$2:$M$1241,7,FALSE)," ")</f>
        <v xml:space="preserve"> </v>
      </c>
      <c r="J24" s="1" t="str">
        <f>IF(B24=0,VLOOKUP(A24,Feuil2!$A$2:$M$1241,9,FALSE)," ")</f>
        <v xml:space="preserve"> </v>
      </c>
      <c r="K24" s="1" t="str">
        <f>IF(B24=0,VLOOKUP(A24,Feuil2!$A$2:$M$1241,10,FALSE)," ")</f>
        <v xml:space="preserve"> </v>
      </c>
      <c r="L24" s="1"/>
      <c r="M24" s="1"/>
      <c r="N24" s="1"/>
      <c r="O24" s="8" t="str">
        <f>IF(B24=0,VLOOKUP(A24,Feuil2!$A$2:$M$1241,13,FALSE)," ")</f>
        <v xml:space="preserve"> </v>
      </c>
    </row>
    <row r="25" spans="1:16" x14ac:dyDescent="0.3">
      <c r="A25" s="1">
        <v>344</v>
      </c>
      <c r="B25" s="1">
        <v>2</v>
      </c>
      <c r="C25" s="1" t="s">
        <v>851</v>
      </c>
      <c r="D25" s="1" t="s">
        <v>107</v>
      </c>
      <c r="E25" s="5">
        <v>36333</v>
      </c>
      <c r="F25" s="1" t="s">
        <v>506</v>
      </c>
      <c r="G25" s="1" t="str">
        <f>IF(B25=0,VLOOKUP(A25,Feuil2!$A$2:$M$1241,11,FALSE)," ")</f>
        <v xml:space="preserve"> </v>
      </c>
      <c r="H25" s="1" t="s">
        <v>16</v>
      </c>
      <c r="I25" s="6" t="str">
        <f>IF(B25=0,VLOOKUP(A25,Feuil2!$A$2:$M$1241,7,FALSE)," ")</f>
        <v xml:space="preserve"> </v>
      </c>
      <c r="J25" s="1" t="str">
        <f>IF(B25=0,VLOOKUP(A25,Feuil2!$A$2:$M$1241,9,FALSE)," ")</f>
        <v xml:space="preserve"> </v>
      </c>
      <c r="K25" s="1" t="str">
        <f>IF(B25=0,VLOOKUP(A25,Feuil2!$A$2:$M$1241,10,FALSE)," ")</f>
        <v xml:space="preserve"> </v>
      </c>
      <c r="L25" s="1"/>
      <c r="M25" s="1"/>
      <c r="N25" s="1"/>
      <c r="O25" s="8" t="str">
        <f>IF(B25=0,VLOOKUP(A25,Feuil2!$A$2:$M$1241,13,FALSE)," ")</f>
        <v xml:space="preserve"> </v>
      </c>
    </row>
    <row r="26" spans="1:16" x14ac:dyDescent="0.3">
      <c r="A26" s="1">
        <v>344</v>
      </c>
      <c r="B26" s="1">
        <v>3</v>
      </c>
      <c r="C26" s="1" t="s">
        <v>851</v>
      </c>
      <c r="D26" s="1" t="s">
        <v>326</v>
      </c>
      <c r="E26" s="5">
        <v>42349</v>
      </c>
      <c r="F26" s="1" t="s">
        <v>506</v>
      </c>
      <c r="G26" s="1" t="str">
        <f>IF(B26=0,VLOOKUP(A26,Feuil2!$A$2:$M$1241,11,FALSE)," ")</f>
        <v xml:space="preserve"> </v>
      </c>
      <c r="H26" s="1" t="s">
        <v>16</v>
      </c>
      <c r="I26" s="6" t="str">
        <f>IF(B26=0,VLOOKUP(A26,Feuil2!$A$2:$M$1241,7,FALSE)," ")</f>
        <v xml:space="preserve"> </v>
      </c>
      <c r="J26" s="1" t="str">
        <f>IF(B26=0,VLOOKUP(A26,Feuil2!$A$2:$M$1241,9,FALSE)," ")</f>
        <v xml:space="preserve"> </v>
      </c>
      <c r="K26" s="1" t="str">
        <f>IF(B26=0,VLOOKUP(A26,Feuil2!$A$2:$M$1241,10,FALSE)," ")</f>
        <v xml:space="preserve"> </v>
      </c>
      <c r="L26" s="1"/>
      <c r="M26" s="1"/>
      <c r="N26" s="1"/>
      <c r="O26" s="8" t="str">
        <f>IF(B26=0,VLOOKUP(A26,Feuil2!$A$2:$M$1241,13,FALSE)," ")</f>
        <v xml:space="preserve"> </v>
      </c>
    </row>
    <row r="27" spans="1:16" x14ac:dyDescent="0.3">
      <c r="A27" s="1">
        <v>368</v>
      </c>
      <c r="B27" s="1">
        <v>0</v>
      </c>
      <c r="C27" s="1" t="str">
        <f>IF(B27=0,VLOOKUP(A27,Feuil2!$A$2:$M$1241,2,FALSE)," ")</f>
        <v>AJROUD</v>
      </c>
      <c r="D27" s="1" t="str">
        <f>IF(B27=0,VLOOKUP(A27,Feuil2!$A$2:$M$1241,3,FALSE)," ")</f>
        <v>RIDHA</v>
      </c>
      <c r="E27" s="5">
        <f>IF(B27=0,VLOOKUP(A27,Feuil2!$A$2:$M$1241,6,FALSE)," ")</f>
        <v>23531</v>
      </c>
      <c r="F27" s="1" t="str">
        <f>IF(B27=0,VLOOKUP(A27,Feuil2!$A$2:$M$1241,12,FALSE)," ")</f>
        <v>H</v>
      </c>
      <c r="G27" s="1" t="str">
        <f>IF(B27=0,VLOOKUP(A27,Feuil2!$A$2:$M$1241,11,FALSE)," ")</f>
        <v>M</v>
      </c>
      <c r="H27" s="1" t="s">
        <v>16</v>
      </c>
      <c r="I27" s="6">
        <f>IF(B27=0,VLOOKUP(A27,Feuil2!$A$2:$M$1241,7,FALSE)," ")</f>
        <v>2952022</v>
      </c>
      <c r="J27" s="1" t="str">
        <f>IF(B27=0,VLOOKUP(A27,Feuil2!$A$2:$M$1241,9,FALSE)," ")</f>
        <v>53 Rue de Bizert</v>
      </c>
      <c r="K27" s="1" t="str">
        <f>IF(B27=0,VLOOKUP(A27,Feuil2!$A$2:$M$1241,10,FALSE)," ")</f>
        <v>Msaken 4070</v>
      </c>
      <c r="L27" s="1">
        <v>4070</v>
      </c>
      <c r="M27" s="1">
        <v>96327094</v>
      </c>
      <c r="N27" s="1"/>
      <c r="O27" s="8" t="str">
        <f>IF(B27=0,VLOOKUP(A27,Feuil2!$A$2:$M$1241,13,FALSE)," ")</f>
        <v>10506040203075578841</v>
      </c>
    </row>
    <row r="28" spans="1:16" x14ac:dyDescent="0.3">
      <c r="A28" s="1">
        <v>368</v>
      </c>
      <c r="B28" s="1">
        <v>1</v>
      </c>
      <c r="C28" s="1" t="s">
        <v>2476</v>
      </c>
      <c r="D28" s="1" t="s">
        <v>2219</v>
      </c>
      <c r="E28" s="5">
        <v>28084</v>
      </c>
      <c r="F28" s="1" t="s">
        <v>17</v>
      </c>
      <c r="G28" s="1" t="s">
        <v>15</v>
      </c>
      <c r="H28" s="1" t="s">
        <v>16</v>
      </c>
      <c r="I28" s="6" t="str">
        <f>IF(B28=0,VLOOKUP(A28,Feuil2!$A$2:$M$1241,7,FALSE)," ")</f>
        <v xml:space="preserve"> </v>
      </c>
      <c r="J28" s="1" t="str">
        <f>IF(B28=0,VLOOKUP(A28,Feuil2!$A$2:$M$1241,9,FALSE)," ")</f>
        <v xml:space="preserve"> </v>
      </c>
      <c r="K28" s="1" t="str">
        <f>IF(B28=0,VLOOKUP(A28,Feuil2!$A$2:$M$1241,10,FALSE)," ")</f>
        <v xml:space="preserve"> </v>
      </c>
      <c r="L28" s="1"/>
      <c r="M28" s="1"/>
      <c r="N28" s="1"/>
      <c r="O28" s="8" t="str">
        <f>IF(B28=0,VLOOKUP(A28,Feuil2!$A$2:$M$1241,13,FALSE)," ")</f>
        <v xml:space="preserve"> </v>
      </c>
    </row>
    <row r="29" spans="1:16" x14ac:dyDescent="0.3">
      <c r="A29" s="1">
        <v>368</v>
      </c>
      <c r="B29" s="1">
        <v>2</v>
      </c>
      <c r="C29" s="1" t="s">
        <v>356</v>
      </c>
      <c r="D29" s="1" t="s">
        <v>2477</v>
      </c>
      <c r="E29" s="5">
        <v>35694</v>
      </c>
      <c r="F29" s="1" t="s">
        <v>17</v>
      </c>
      <c r="G29" s="1" t="str">
        <f>IF(B29=0,VLOOKUP(A29,Feuil2!$A$2:$M$1241,11,FALSE)," ")</f>
        <v xml:space="preserve"> </v>
      </c>
      <c r="H29" s="1" t="s">
        <v>16</v>
      </c>
      <c r="I29" s="6" t="str">
        <f>IF(B29=0,VLOOKUP(A29,Feuil2!$A$2:$M$1241,7,FALSE)," ")</f>
        <v xml:space="preserve"> </v>
      </c>
      <c r="J29" s="1" t="str">
        <f>IF(B29=0,VLOOKUP(A29,Feuil2!$A$2:$M$1241,9,FALSE)," ")</f>
        <v xml:space="preserve"> </v>
      </c>
      <c r="K29" s="1" t="str">
        <f>IF(B29=0,VLOOKUP(A29,Feuil2!$A$2:$M$1241,10,FALSE)," ")</f>
        <v xml:space="preserve"> </v>
      </c>
      <c r="L29" s="1"/>
      <c r="M29" s="1"/>
      <c r="N29" s="1"/>
      <c r="O29" s="8" t="str">
        <f>IF(B29=0,VLOOKUP(A29,Feuil2!$A$2:$M$1241,13,FALSE)," ")</f>
        <v xml:space="preserve"> </v>
      </c>
    </row>
    <row r="30" spans="1:16" x14ac:dyDescent="0.3">
      <c r="A30" s="1">
        <v>368</v>
      </c>
      <c r="B30" s="1">
        <v>3</v>
      </c>
      <c r="C30" s="1" t="s">
        <v>356</v>
      </c>
      <c r="D30" s="1" t="s">
        <v>89</v>
      </c>
      <c r="E30" s="5">
        <v>37819</v>
      </c>
      <c r="F30" s="1" t="s">
        <v>506</v>
      </c>
      <c r="G30" s="1" t="str">
        <f>IF(B30=0,VLOOKUP(A30,Feuil2!$A$2:$M$1241,11,FALSE)," ")</f>
        <v xml:space="preserve"> </v>
      </c>
      <c r="H30" s="1" t="s">
        <v>16</v>
      </c>
      <c r="I30" s="6" t="str">
        <f>IF(B30=0,VLOOKUP(A30,Feuil2!$A$2:$M$1241,7,FALSE)," ")</f>
        <v xml:space="preserve"> </v>
      </c>
      <c r="J30" s="1" t="str">
        <f>IF(B30=0,VLOOKUP(A30,Feuil2!$A$2:$M$1241,9,FALSE)," ")</f>
        <v xml:space="preserve"> </v>
      </c>
      <c r="K30" s="1" t="str">
        <f>IF(B30=0,VLOOKUP(A30,Feuil2!$A$2:$M$1241,10,FALSE)," ")</f>
        <v xml:space="preserve"> </v>
      </c>
      <c r="L30" s="1"/>
      <c r="M30" s="1"/>
      <c r="N30" s="1"/>
      <c r="O30" s="8" t="str">
        <f>IF(B30=0,VLOOKUP(A30,Feuil2!$A$2:$M$1241,13,FALSE)," ")</f>
        <v xml:space="preserve"> </v>
      </c>
    </row>
    <row r="31" spans="1:16" x14ac:dyDescent="0.3">
      <c r="A31" s="1">
        <v>368</v>
      </c>
      <c r="B31" s="1">
        <v>4</v>
      </c>
      <c r="C31" s="1" t="s">
        <v>356</v>
      </c>
      <c r="D31" s="1" t="s">
        <v>2331</v>
      </c>
      <c r="E31" s="5">
        <v>40271</v>
      </c>
      <c r="F31" s="1" t="s">
        <v>17</v>
      </c>
      <c r="G31" s="1" t="str">
        <f>IF(B31=0,VLOOKUP(A31,Feuil2!$A$2:$M$1241,11,FALSE)," ")</f>
        <v xml:space="preserve"> </v>
      </c>
      <c r="H31" s="1" t="s">
        <v>16</v>
      </c>
      <c r="I31" s="6" t="str">
        <f>IF(B31=0,VLOOKUP(A31,Feuil2!$A$2:$M$1241,7,FALSE)," ")</f>
        <v xml:space="preserve"> </v>
      </c>
      <c r="J31" s="1" t="str">
        <f>IF(B31=0,VLOOKUP(A31,Feuil2!$A$2:$M$1241,9,FALSE)," ")</f>
        <v xml:space="preserve"> </v>
      </c>
      <c r="K31" s="1" t="str">
        <f>IF(B31=0,VLOOKUP(A31,Feuil2!$A$2:$M$1241,10,FALSE)," ")</f>
        <v xml:space="preserve"> </v>
      </c>
      <c r="L31" s="1"/>
      <c r="M31" s="1"/>
      <c r="N31" s="1"/>
      <c r="O31" s="8" t="str">
        <f>IF(B31=0,VLOOKUP(A31,Feuil2!$A$2:$M$1241,13,FALSE)," ")</f>
        <v xml:space="preserve"> </v>
      </c>
    </row>
    <row r="32" spans="1:16" x14ac:dyDescent="0.3">
      <c r="A32" s="1">
        <v>369</v>
      </c>
      <c r="B32" s="1">
        <v>0</v>
      </c>
      <c r="C32" s="1" t="str">
        <f>IF(B32=0,VLOOKUP(A32,Feuil2!$A$2:$M$1241,2,FALSE)," ")</f>
        <v>KECHICHE</v>
      </c>
      <c r="D32" s="1" t="str">
        <f>IF(B32=0,VLOOKUP(A32,Feuil2!$A$2:$M$1241,3,FALSE)," ")</f>
        <v>BECHIR</v>
      </c>
      <c r="E32" s="5">
        <f>IF(B32=0,VLOOKUP(A32,Feuil2!$A$2:$M$1241,6,FALSE)," ")</f>
        <v>23172</v>
      </c>
      <c r="F32" s="1" t="str">
        <f>IF(B32=0,VLOOKUP(A32,Feuil2!$A$2:$M$1241,12,FALSE)," ")</f>
        <v>H</v>
      </c>
      <c r="G32" s="1" t="str">
        <f>IF(B32=0,VLOOKUP(A32,Feuil2!$A$2:$M$1241,11,FALSE)," ")</f>
        <v>M</v>
      </c>
      <c r="H32" s="1" t="s">
        <v>16</v>
      </c>
      <c r="I32" s="6">
        <f>IF(B32=0,VLOOKUP(A32,Feuil2!$A$2:$M$1241,7,FALSE)," ")</f>
        <v>2947387</v>
      </c>
      <c r="J32" s="1" t="str">
        <f>IF(B32=0,VLOOKUP(A32,Feuil2!$A$2:$M$1241,9,FALSE)," ")</f>
        <v>233 Rue Habib Thameur</v>
      </c>
      <c r="K32" s="1" t="str">
        <f>IF(B32=0,VLOOKUP(A32,Feuil2!$A$2:$M$1241,10,FALSE)," ")</f>
        <v>Msaken 4070</v>
      </c>
      <c r="L32" s="1">
        <v>4070</v>
      </c>
      <c r="M32" s="1">
        <v>95236558</v>
      </c>
      <c r="N32" s="1"/>
      <c r="O32" s="8" t="str">
        <f>IF(B32=0,VLOOKUP(A32,Feuil2!$A$2:$M$1241,13,FALSE)," ")</f>
        <v>03508056010100091895</v>
      </c>
    </row>
    <row r="33" spans="1:15" x14ac:dyDescent="0.3">
      <c r="A33" s="1">
        <v>369</v>
      </c>
      <c r="B33" s="1">
        <v>1</v>
      </c>
      <c r="C33" s="1" t="s">
        <v>475</v>
      </c>
      <c r="D33" s="1" t="s">
        <v>596</v>
      </c>
      <c r="E33" s="5">
        <v>25610</v>
      </c>
      <c r="F33" s="1" t="s">
        <v>17</v>
      </c>
      <c r="G33" s="1" t="s">
        <v>15</v>
      </c>
      <c r="H33" s="1" t="s">
        <v>16</v>
      </c>
      <c r="I33" s="6" t="str">
        <f>IF(B33=0,VLOOKUP(A33,Feuil2!$A$2:$M$1241,7,FALSE)," ")</f>
        <v xml:space="preserve"> </v>
      </c>
      <c r="J33" s="1" t="str">
        <f>IF(B33=0,VLOOKUP(A33,Feuil2!$A$2:$M$1241,9,FALSE)," ")</f>
        <v xml:space="preserve"> </v>
      </c>
      <c r="K33" s="1" t="str">
        <f>IF(B33=0,VLOOKUP(A33,Feuil2!$A$2:$M$1241,10,FALSE)," ")</f>
        <v xml:space="preserve"> </v>
      </c>
      <c r="L33" s="1"/>
      <c r="M33" s="1"/>
      <c r="N33" s="1"/>
      <c r="O33" s="8" t="str">
        <f>IF(B33=0,VLOOKUP(A33,Feuil2!$A$2:$M$1241,13,FALSE)," ")</f>
        <v xml:space="preserve"> </v>
      </c>
    </row>
    <row r="34" spans="1:15" x14ac:dyDescent="0.3">
      <c r="A34" s="1">
        <v>369</v>
      </c>
      <c r="B34" s="1">
        <v>2</v>
      </c>
      <c r="C34" s="1" t="s">
        <v>266</v>
      </c>
      <c r="D34" s="1" t="s">
        <v>2485</v>
      </c>
      <c r="E34" s="5">
        <v>34933</v>
      </c>
      <c r="F34" s="1" t="s">
        <v>506</v>
      </c>
      <c r="G34" s="1" t="str">
        <f>IF(B34=0,VLOOKUP(A34,Feuil2!$A$2:$M$1241,11,FALSE)," ")</f>
        <v xml:space="preserve"> </v>
      </c>
      <c r="H34" s="1" t="s">
        <v>16</v>
      </c>
      <c r="I34" s="6" t="str">
        <f>IF(B34=0,VLOOKUP(A34,Feuil2!$A$2:$M$1241,7,FALSE)," ")</f>
        <v xml:space="preserve"> </v>
      </c>
      <c r="J34" s="1" t="str">
        <f>IF(B34=0,VLOOKUP(A34,Feuil2!$A$2:$M$1241,9,FALSE)," ")</f>
        <v xml:space="preserve"> </v>
      </c>
      <c r="K34" s="1" t="str">
        <f>IF(B34=0,VLOOKUP(A34,Feuil2!$A$2:$M$1241,10,FALSE)," ")</f>
        <v xml:space="preserve"> </v>
      </c>
      <c r="L34" s="1"/>
      <c r="M34" s="1"/>
      <c r="N34" s="1"/>
      <c r="O34" s="8" t="str">
        <f>IF(B34=0,VLOOKUP(A34,Feuil2!$A$2:$M$1241,13,FALSE)," ")</f>
        <v xml:space="preserve"> </v>
      </c>
    </row>
    <row r="35" spans="1:15" x14ac:dyDescent="0.3">
      <c r="A35" s="1">
        <v>369</v>
      </c>
      <c r="B35" s="1">
        <v>3</v>
      </c>
      <c r="C35" s="1" t="s">
        <v>266</v>
      </c>
      <c r="D35" s="1" t="s">
        <v>749</v>
      </c>
      <c r="E35" s="5">
        <v>35301</v>
      </c>
      <c r="F35" s="1" t="s">
        <v>17</v>
      </c>
      <c r="G35" s="1" t="str">
        <f>IF(B35=0,VLOOKUP(A35,Feuil2!$A$2:$M$1241,11,FALSE)," ")</f>
        <v xml:space="preserve"> </v>
      </c>
      <c r="H35" s="1" t="s">
        <v>16</v>
      </c>
      <c r="I35" s="6" t="str">
        <f>IF(B35=0,VLOOKUP(A35,Feuil2!$A$2:$M$1241,7,FALSE)," ")</f>
        <v xml:space="preserve"> </v>
      </c>
      <c r="J35" s="1" t="str">
        <f>IF(B35=0,VLOOKUP(A35,Feuil2!$A$2:$M$1241,9,FALSE)," ")</f>
        <v xml:space="preserve"> </v>
      </c>
      <c r="K35" s="1" t="str">
        <f>IF(B35=0,VLOOKUP(A35,Feuil2!$A$2:$M$1241,10,FALSE)," ")</f>
        <v xml:space="preserve"> </v>
      </c>
      <c r="L35" s="1"/>
      <c r="M35" s="1"/>
      <c r="N35" s="1"/>
      <c r="O35" s="8" t="str">
        <f>IF(B35=0,VLOOKUP(A35,Feuil2!$A$2:$M$1241,13,FALSE)," ")</f>
        <v xml:space="preserve"> </v>
      </c>
    </row>
    <row r="36" spans="1:15" x14ac:dyDescent="0.3">
      <c r="A36" s="1">
        <v>369</v>
      </c>
      <c r="B36" s="1">
        <v>4</v>
      </c>
      <c r="C36" s="1" t="s">
        <v>266</v>
      </c>
      <c r="D36" s="1" t="s">
        <v>2219</v>
      </c>
      <c r="E36" s="5">
        <v>38491</v>
      </c>
      <c r="F36" s="1" t="s">
        <v>17</v>
      </c>
      <c r="G36" s="1" t="str">
        <f>IF(B36=0,VLOOKUP(A36,Feuil2!$A$2:$M$1241,11,FALSE)," ")</f>
        <v xml:space="preserve"> </v>
      </c>
      <c r="H36" s="1" t="s">
        <v>16</v>
      </c>
      <c r="I36" s="6" t="str">
        <f>IF(B36=0,VLOOKUP(A36,Feuil2!$A$2:$M$1241,7,FALSE)," ")</f>
        <v xml:space="preserve"> </v>
      </c>
      <c r="J36" s="1" t="str">
        <f>IF(B36=0,VLOOKUP(A36,Feuil2!$A$2:$M$1241,9,FALSE)," ")</f>
        <v xml:space="preserve"> </v>
      </c>
      <c r="K36" s="1" t="str">
        <f>IF(B36=0,VLOOKUP(A36,Feuil2!$A$2:$M$1241,10,FALSE)," ")</f>
        <v xml:space="preserve"> </v>
      </c>
      <c r="L36" s="1"/>
      <c r="M36" s="1"/>
      <c r="N36" s="1"/>
      <c r="O36" s="8" t="str">
        <f>IF(B36=0,VLOOKUP(A36,Feuil2!$A$2:$M$1241,13,FALSE)," ")</f>
        <v xml:space="preserve"> </v>
      </c>
    </row>
    <row r="37" spans="1:15" x14ac:dyDescent="0.3">
      <c r="A37" s="1">
        <v>369</v>
      </c>
      <c r="B37" s="1">
        <v>5</v>
      </c>
      <c r="C37" s="1" t="s">
        <v>266</v>
      </c>
      <c r="D37" s="1" t="s">
        <v>61</v>
      </c>
      <c r="E37" s="5">
        <v>40383</v>
      </c>
      <c r="F37" s="1" t="s">
        <v>506</v>
      </c>
      <c r="G37" s="1" t="str">
        <f>IF(B37=0,VLOOKUP(A37,Feuil2!$A$2:$M$1241,11,FALSE)," ")</f>
        <v xml:space="preserve"> </v>
      </c>
      <c r="H37" s="1" t="s">
        <v>16</v>
      </c>
      <c r="I37" s="6" t="str">
        <f>IF(B37=0,VLOOKUP(A37,Feuil2!$A$2:$M$1241,7,FALSE)," ")</f>
        <v xml:space="preserve"> </v>
      </c>
      <c r="J37" s="1" t="str">
        <f>IF(B37=0,VLOOKUP(A37,Feuil2!$A$2:$M$1241,9,FALSE)," ")</f>
        <v xml:space="preserve"> </v>
      </c>
      <c r="K37" s="1" t="str">
        <f>IF(B37=0,VLOOKUP(A37,Feuil2!$A$2:$M$1241,10,FALSE)," ")</f>
        <v xml:space="preserve"> </v>
      </c>
      <c r="L37" s="1"/>
      <c r="M37" s="1"/>
      <c r="N37" s="1"/>
      <c r="O37" s="8" t="str">
        <f>IF(B37=0,VLOOKUP(A37,Feuil2!$A$2:$M$1241,13,FALSE)," ")</f>
        <v xml:space="preserve"> </v>
      </c>
    </row>
    <row r="38" spans="1:15" x14ac:dyDescent="0.3">
      <c r="A38" s="17">
        <v>382</v>
      </c>
      <c r="B38" s="17">
        <v>0</v>
      </c>
      <c r="C38" s="17" t="str">
        <f>IF(B38=0,VLOOKUP(A38,Feuil2!$A$2:$M$1241,2,FALSE)," ")</f>
        <v>HAMILA</v>
      </c>
      <c r="D38" s="17" t="str">
        <f>IF(B38=0,VLOOKUP(A38,Feuil2!$A$2:$M$1241,3,FALSE)," ")</f>
        <v>KHALED</v>
      </c>
      <c r="E38" s="18">
        <f>IF(B38=0,VLOOKUP(A38,Feuil2!$A$2:$M$1241,6,FALSE)," ")</f>
        <v>23821</v>
      </c>
      <c r="F38" s="17" t="str">
        <f>IF(B38=0,VLOOKUP(A38,Feuil2!$A$2:$M$1241,12,FALSE)," ")</f>
        <v>H</v>
      </c>
      <c r="G38" s="17" t="str">
        <f>IF(B38=0,VLOOKUP(A38,Feuil2!$A$2:$M$1241,11,FALSE)," ")</f>
        <v>M</v>
      </c>
      <c r="H38" s="17" t="s">
        <v>16</v>
      </c>
      <c r="I38" s="19">
        <f>IF(B38=0,VLOOKUP(A38,Feuil2!$A$2:$M$1241,7,FALSE)," ")</f>
        <v>2969788</v>
      </c>
      <c r="J38" s="17" t="str">
        <f>IF(B38=0,VLOOKUP(A38,Feuil2!$A$2:$M$1241,9,FALSE)," ")</f>
        <v>18 bis Rue Bilel Ben Ribeh</v>
      </c>
      <c r="K38" s="17" t="str">
        <f>IF(B38=0,VLOOKUP(A38,Feuil2!$A$2:$M$1241,10,FALSE)," ")</f>
        <v>Msaken 4070</v>
      </c>
      <c r="L38" s="17">
        <v>4070</v>
      </c>
      <c r="M38" s="17">
        <v>98547800</v>
      </c>
      <c r="N38" s="17"/>
      <c r="O38" s="20" t="str">
        <f>IF(B38=0,VLOOKUP(A38,Feuil2!$A$2:$M$1241,13,FALSE)," ")</f>
        <v>03508056010100157952</v>
      </c>
    </row>
    <row r="39" spans="1:15" x14ac:dyDescent="0.3">
      <c r="A39" s="1">
        <v>382</v>
      </c>
      <c r="B39" s="1">
        <v>1</v>
      </c>
      <c r="C39" s="1" t="s">
        <v>2796</v>
      </c>
      <c r="D39" s="1" t="s">
        <v>2219</v>
      </c>
      <c r="E39" s="5">
        <v>27809</v>
      </c>
      <c r="F39" s="1" t="s">
        <v>17</v>
      </c>
      <c r="G39" s="1" t="s">
        <v>15</v>
      </c>
      <c r="H39" s="1" t="s">
        <v>16</v>
      </c>
      <c r="I39" s="6" t="str">
        <f>IF(B39=0,VLOOKUP(A39,Feuil2!$A$2:$M$1241,7,FALSE)," ")</f>
        <v xml:space="preserve"> </v>
      </c>
      <c r="J39" s="1" t="str">
        <f>IF(B39=0,VLOOKUP(A39,Feuil2!$A$2:$M$1241,9,FALSE)," ")</f>
        <v xml:space="preserve"> </v>
      </c>
      <c r="K39" s="1" t="str">
        <f>IF(B39=0,VLOOKUP(A39,Feuil2!$A$2:$M$1241,10,FALSE)," ")</f>
        <v xml:space="preserve"> </v>
      </c>
      <c r="L39" s="1"/>
      <c r="M39" s="1"/>
      <c r="N39" s="1"/>
      <c r="O39" s="8" t="str">
        <f>IF(B39=0,VLOOKUP(A39,Feuil2!$A$2:$M$1241,13,FALSE)," ")</f>
        <v xml:space="preserve"> </v>
      </c>
    </row>
    <row r="40" spans="1:15" x14ac:dyDescent="0.3">
      <c r="A40" s="1">
        <v>382</v>
      </c>
      <c r="B40" s="1">
        <v>2</v>
      </c>
      <c r="C40" s="1" t="s">
        <v>103</v>
      </c>
      <c r="D40" s="1" t="s">
        <v>61</v>
      </c>
      <c r="E40" s="5">
        <v>38330</v>
      </c>
      <c r="F40" s="1" t="s">
        <v>506</v>
      </c>
      <c r="G40" s="1" t="str">
        <f>IF(B40=0,VLOOKUP(A40,Feuil2!$A$2:$M$1241,11,FALSE)," ")</f>
        <v xml:space="preserve"> </v>
      </c>
      <c r="H40" s="1" t="s">
        <v>16</v>
      </c>
      <c r="I40" s="6" t="str">
        <f>IF(B40=0,VLOOKUP(A40,Feuil2!$A$2:$M$1241,7,FALSE)," ")</f>
        <v xml:space="preserve"> </v>
      </c>
      <c r="J40" s="1" t="str">
        <f>IF(B40=0,VLOOKUP(A40,Feuil2!$A$2:$M$1241,9,FALSE)," ")</f>
        <v xml:space="preserve"> </v>
      </c>
      <c r="K40" s="1" t="str">
        <f>IF(B40=0,VLOOKUP(A40,Feuil2!$A$2:$M$1241,10,FALSE)," ")</f>
        <v xml:space="preserve"> </v>
      </c>
      <c r="L40" s="1"/>
      <c r="M40" s="1"/>
      <c r="N40" s="1"/>
      <c r="O40" s="8" t="str">
        <f>IF(B40=0,VLOOKUP(A40,Feuil2!$A$2:$M$1241,13,FALSE)," ")</f>
        <v xml:space="preserve"> </v>
      </c>
    </row>
    <row r="41" spans="1:15" x14ac:dyDescent="0.3">
      <c r="A41" s="1">
        <v>382</v>
      </c>
      <c r="B41" s="1">
        <v>3</v>
      </c>
      <c r="C41" s="1" t="s">
        <v>103</v>
      </c>
      <c r="D41" s="1" t="s">
        <v>2447</v>
      </c>
      <c r="E41" s="5">
        <v>41600</v>
      </c>
      <c r="F41" s="1" t="s">
        <v>17</v>
      </c>
      <c r="G41" s="1" t="str">
        <f>IF(B41=0,VLOOKUP(A41,Feuil2!$A$2:$M$1241,11,FALSE)," ")</f>
        <v xml:space="preserve"> </v>
      </c>
      <c r="H41" s="1" t="s">
        <v>16</v>
      </c>
      <c r="I41" s="6" t="str">
        <f>IF(B41=0,VLOOKUP(A41,Feuil2!$A$2:$M$1241,7,FALSE)," ")</f>
        <v xml:space="preserve"> </v>
      </c>
      <c r="J41" s="1" t="str">
        <f>IF(B41=0,VLOOKUP(A41,Feuil2!$A$2:$M$1241,9,FALSE)," ")</f>
        <v xml:space="preserve"> </v>
      </c>
      <c r="K41" s="1" t="str">
        <f>IF(B41=0,VLOOKUP(A41,Feuil2!$A$2:$M$1241,10,FALSE)," ")</f>
        <v xml:space="preserve"> </v>
      </c>
      <c r="L41" s="1"/>
      <c r="M41" s="1"/>
      <c r="N41" s="1"/>
      <c r="O41" s="8" t="str">
        <f>IF(B41=0,VLOOKUP(A41,Feuil2!$A$2:$M$1241,13,FALSE)," ")</f>
        <v xml:space="preserve"> </v>
      </c>
    </row>
    <row r="42" spans="1:15" x14ac:dyDescent="0.3">
      <c r="A42" s="17">
        <v>426</v>
      </c>
      <c r="B42" s="17">
        <v>0</v>
      </c>
      <c r="C42" s="17" t="str">
        <f>IF(B42=0,VLOOKUP(A42,Feuil2!$A$2:$M$1241,2,FALSE)," ")</f>
        <v>AFRIT</v>
      </c>
      <c r="D42" s="17" t="str">
        <f>IF(B42=0,VLOOKUP(A42,Feuil2!$A$2:$M$1241,3,FALSE)," ")</f>
        <v>RIDHA</v>
      </c>
      <c r="E42" s="18">
        <f>IF(B42=0,VLOOKUP(A42,Feuil2!$A$2:$M$1241,6,FALSE)," ")</f>
        <v>24576</v>
      </c>
      <c r="F42" s="17" t="str">
        <f>IF(B42=0,VLOOKUP(A42,Feuil2!$A$2:$M$1241,12,FALSE)," ")</f>
        <v>H</v>
      </c>
      <c r="G42" s="17" t="str">
        <f>IF(B42=0,VLOOKUP(A42,Feuil2!$A$2:$M$1241,11,FALSE)," ")</f>
        <v>M</v>
      </c>
      <c r="H42" s="17" t="s">
        <v>16</v>
      </c>
      <c r="I42" s="19">
        <f>IF(B42=0,VLOOKUP(A42,Feuil2!$A$2:$M$1241,7,FALSE)," ")</f>
        <v>2969655</v>
      </c>
      <c r="J42" s="17" t="str">
        <f>IF(B42=0,VLOOKUP(A42,Feuil2!$A$2:$M$1241,9,FALSE)," ")</f>
        <v>129 Rue de Caire</v>
      </c>
      <c r="K42" s="17" t="str">
        <f>IF(B42=0,VLOOKUP(A42,Feuil2!$A$2:$M$1241,10,FALSE)," ")</f>
        <v>Msaken 4070</v>
      </c>
      <c r="L42" s="17">
        <v>4070</v>
      </c>
      <c r="M42" s="17">
        <v>97224625</v>
      </c>
      <c r="N42" s="17"/>
      <c r="O42" s="20" t="str">
        <f>IF(B42=0,VLOOKUP(A42,Feuil2!$A$2:$M$1241,13,FALSE)," ")</f>
        <v>12505000580100968019</v>
      </c>
    </row>
    <row r="43" spans="1:15" x14ac:dyDescent="0.3">
      <c r="A43" s="1">
        <v>426</v>
      </c>
      <c r="B43" s="1">
        <v>1</v>
      </c>
      <c r="C43" s="1" t="s">
        <v>2399</v>
      </c>
      <c r="D43" s="1" t="s">
        <v>1925</v>
      </c>
      <c r="E43" s="5">
        <v>27659</v>
      </c>
      <c r="F43" s="1" t="s">
        <v>17</v>
      </c>
      <c r="G43" s="1" t="s">
        <v>15</v>
      </c>
      <c r="H43" s="1" t="s">
        <v>16</v>
      </c>
      <c r="I43" s="6" t="str">
        <f>IF(B43=0,VLOOKUP(A43,Feuil2!$A$2:$M$1241,7,FALSE)," ")</f>
        <v xml:space="preserve"> </v>
      </c>
      <c r="J43" s="1" t="str">
        <f>IF(B43=0,VLOOKUP(A43,Feuil2!$A$2:$M$1241,9,FALSE)," ")</f>
        <v xml:space="preserve"> </v>
      </c>
      <c r="K43" s="1" t="str">
        <f>IF(B43=0,VLOOKUP(A43,Feuil2!$A$2:$M$1241,10,FALSE)," ")</f>
        <v xml:space="preserve"> </v>
      </c>
      <c r="L43" s="1"/>
      <c r="M43" s="1"/>
      <c r="N43" s="1"/>
      <c r="O43" s="8" t="str">
        <f>IF(B43=0,VLOOKUP(A43,Feuil2!$A$2:$M$1241,13,FALSE)," ")</f>
        <v xml:space="preserve"> </v>
      </c>
    </row>
    <row r="44" spans="1:15" x14ac:dyDescent="0.3">
      <c r="A44" s="1">
        <v>426</v>
      </c>
      <c r="B44" s="1">
        <v>2</v>
      </c>
      <c r="C44" s="1" t="s">
        <v>476</v>
      </c>
      <c r="D44" s="1" t="s">
        <v>2362</v>
      </c>
      <c r="E44" s="5">
        <v>36987</v>
      </c>
      <c r="F44" s="1" t="s">
        <v>17</v>
      </c>
      <c r="G44" s="1" t="str">
        <f>IF(B44=0,VLOOKUP(A44,Feuil2!$A$2:$M$1241,11,FALSE)," ")</f>
        <v xml:space="preserve"> </v>
      </c>
      <c r="H44" s="1" t="s">
        <v>16</v>
      </c>
      <c r="I44" s="6" t="str">
        <f>IF(B44=0,VLOOKUP(A44,Feuil2!$A$2:$M$1241,7,FALSE)," ")</f>
        <v xml:space="preserve"> </v>
      </c>
      <c r="J44" s="1" t="str">
        <f>IF(B44=0,VLOOKUP(A44,Feuil2!$A$2:$M$1241,9,FALSE)," ")</f>
        <v xml:space="preserve"> </v>
      </c>
      <c r="K44" s="1" t="str">
        <f>IF(B44=0,VLOOKUP(A44,Feuil2!$A$2:$M$1241,10,FALSE)," ")</f>
        <v xml:space="preserve"> </v>
      </c>
      <c r="L44" s="1"/>
      <c r="M44" s="1"/>
      <c r="N44" s="1"/>
      <c r="O44" s="8" t="str">
        <f>IF(B44=0,VLOOKUP(A44,Feuil2!$A$2:$M$1241,13,FALSE)," ")</f>
        <v xml:space="preserve"> </v>
      </c>
    </row>
    <row r="45" spans="1:15" x14ac:dyDescent="0.3">
      <c r="A45" s="1">
        <v>426</v>
      </c>
      <c r="B45" s="1">
        <v>3</v>
      </c>
      <c r="C45" s="1" t="s">
        <v>476</v>
      </c>
      <c r="D45" s="1" t="s">
        <v>2371</v>
      </c>
      <c r="E45" s="5">
        <v>37364</v>
      </c>
      <c r="F45" s="1" t="s">
        <v>17</v>
      </c>
      <c r="G45" s="1" t="str">
        <f>IF(B45=0,VLOOKUP(A45,Feuil2!$A$2:$M$1241,11,FALSE)," ")</f>
        <v xml:space="preserve"> </v>
      </c>
      <c r="H45" s="1" t="s">
        <v>16</v>
      </c>
      <c r="I45" s="6" t="str">
        <f>IF(B45=0,VLOOKUP(A45,Feuil2!$A$2:$M$1241,7,FALSE)," ")</f>
        <v xml:space="preserve"> </v>
      </c>
      <c r="J45" s="1" t="str">
        <f>IF(B45=0,VLOOKUP(A45,Feuil2!$A$2:$M$1241,9,FALSE)," ")</f>
        <v xml:space="preserve"> </v>
      </c>
      <c r="K45" s="1" t="str">
        <f>IF(B45=0,VLOOKUP(A45,Feuil2!$A$2:$M$1241,10,FALSE)," ")</f>
        <v xml:space="preserve"> </v>
      </c>
      <c r="L45" s="1"/>
      <c r="M45" s="1"/>
      <c r="N45" s="1"/>
      <c r="O45" s="8" t="str">
        <f>IF(B45=0,VLOOKUP(A45,Feuil2!$A$2:$M$1241,13,FALSE)," ")</f>
        <v xml:space="preserve"> </v>
      </c>
    </row>
    <row r="46" spans="1:15" x14ac:dyDescent="0.3">
      <c r="A46" s="1">
        <v>426</v>
      </c>
      <c r="B46" s="1">
        <v>4</v>
      </c>
      <c r="C46" s="1" t="s">
        <v>476</v>
      </c>
      <c r="D46" s="1" t="s">
        <v>384</v>
      </c>
      <c r="E46" s="5">
        <v>38752</v>
      </c>
      <c r="F46" s="1" t="s">
        <v>506</v>
      </c>
      <c r="G46" s="1" t="str">
        <f>IF(B46=0,VLOOKUP(A46,Feuil2!$A$2:$M$1241,11,FALSE)," ")</f>
        <v xml:space="preserve"> </v>
      </c>
      <c r="H46" s="1" t="s">
        <v>16</v>
      </c>
      <c r="I46" s="6" t="str">
        <f>IF(B46=0,VLOOKUP(A46,Feuil2!$A$2:$M$1241,7,FALSE)," ")</f>
        <v xml:space="preserve"> </v>
      </c>
      <c r="J46" s="1" t="str">
        <f>IF(B46=0,VLOOKUP(A46,Feuil2!$A$2:$M$1241,9,FALSE)," ")</f>
        <v xml:space="preserve"> </v>
      </c>
      <c r="K46" s="1" t="str">
        <f>IF(B46=0,VLOOKUP(A46,Feuil2!$A$2:$M$1241,10,FALSE)," ")</f>
        <v xml:space="preserve"> </v>
      </c>
      <c r="L46" s="1"/>
      <c r="M46" s="1"/>
      <c r="N46" s="1"/>
      <c r="O46" s="8" t="str">
        <f>IF(B46=0,VLOOKUP(A46,Feuil2!$A$2:$M$1241,13,FALSE)," ")</f>
        <v xml:space="preserve"> </v>
      </c>
    </row>
    <row r="47" spans="1:15" x14ac:dyDescent="0.3">
      <c r="A47" s="1">
        <v>498</v>
      </c>
      <c r="B47" s="1">
        <v>0</v>
      </c>
      <c r="C47" s="1" t="str">
        <f>IF(B47=0,VLOOKUP(A47,Feuil2!$A$2:$M$1241,2,FALSE)," ")</f>
        <v>DHIB</v>
      </c>
      <c r="D47" s="1" t="str">
        <f>IF(B47=0,VLOOKUP(A47,Feuil2!$A$2:$M$1241,3,FALSE)," ")</f>
        <v>TAOUFIK</v>
      </c>
      <c r="E47" s="5">
        <f>IF(B47=0,VLOOKUP(A47,Feuil2!$A$2:$M$1241,6,FALSE)," ")</f>
        <v>24007</v>
      </c>
      <c r="F47" s="1" t="str">
        <f>IF(B47=0,VLOOKUP(A47,Feuil2!$A$2:$M$1241,12,FALSE)," ")</f>
        <v>H</v>
      </c>
      <c r="G47" s="1" t="str">
        <f>IF(B47=0,VLOOKUP(A47,Feuil2!$A$2:$M$1241,11,FALSE)," ")</f>
        <v>M</v>
      </c>
      <c r="H47" s="1" t="s">
        <v>16</v>
      </c>
      <c r="I47" s="6">
        <f>IF(B47=0,VLOOKUP(A47,Feuil2!$A$2:$M$1241,7,FALSE)," ")</f>
        <v>2957779</v>
      </c>
      <c r="J47" s="1" t="str">
        <f>IF(B47=0,VLOOKUP(A47,Feuil2!$A$2:$M$1241,9,FALSE)," ")</f>
        <v>4014 Knaies</v>
      </c>
      <c r="K47" s="1" t="str">
        <f>IF(B47=0,VLOOKUP(A47,Feuil2!$A$2:$M$1241,10,FALSE)," ")</f>
        <v>Knaies 4014</v>
      </c>
      <c r="L47" s="1">
        <v>4070</v>
      </c>
      <c r="M47" s="1">
        <v>43351639</v>
      </c>
      <c r="N47" s="1"/>
      <c r="O47" s="8" t="str">
        <f>IF(B47=0,VLOOKUP(A47,Feuil2!$A$2:$M$1241,13,FALSE)," ")</f>
        <v>12505000000213607746</v>
      </c>
    </row>
    <row r="48" spans="1:15" x14ac:dyDescent="0.3">
      <c r="A48" s="1">
        <v>498</v>
      </c>
      <c r="B48" s="1">
        <v>1</v>
      </c>
      <c r="C48" s="1" t="s">
        <v>2563</v>
      </c>
      <c r="D48" s="1" t="s">
        <v>2099</v>
      </c>
      <c r="E48" s="5">
        <v>26336</v>
      </c>
      <c r="F48" s="1" t="s">
        <v>17</v>
      </c>
      <c r="G48" s="1" t="s">
        <v>15</v>
      </c>
      <c r="H48" s="1" t="s">
        <v>16</v>
      </c>
      <c r="I48" s="6" t="str">
        <f>IF(B48=0,VLOOKUP(A48,Feuil2!$A$2:$M$1241,7,FALSE)," ")</f>
        <v xml:space="preserve"> </v>
      </c>
      <c r="J48" s="1" t="str">
        <f>IF(B48=0,VLOOKUP(A48,Feuil2!$A$2:$M$1241,9,FALSE)," ")</f>
        <v xml:space="preserve"> </v>
      </c>
      <c r="K48" s="1" t="str">
        <f>IF(B48=0,VLOOKUP(A48,Feuil2!$A$2:$M$1241,10,FALSE)," ")</f>
        <v xml:space="preserve"> </v>
      </c>
      <c r="L48" s="1"/>
      <c r="M48" s="1"/>
      <c r="N48" s="1"/>
      <c r="O48" s="8" t="str">
        <f>IF(B48=0,VLOOKUP(A48,Feuil2!$A$2:$M$1241,13,FALSE)," ")</f>
        <v xml:space="preserve"> </v>
      </c>
    </row>
    <row r="49" spans="1:15" x14ac:dyDescent="0.3">
      <c r="A49" s="1">
        <v>498</v>
      </c>
      <c r="B49" s="1">
        <v>2</v>
      </c>
      <c r="C49" s="1" t="s">
        <v>427</v>
      </c>
      <c r="D49" s="1" t="s">
        <v>2564</v>
      </c>
      <c r="E49" s="5">
        <v>37711</v>
      </c>
      <c r="F49" s="1" t="s">
        <v>506</v>
      </c>
      <c r="G49" s="1" t="str">
        <f>IF(B49=0,VLOOKUP(A49,Feuil2!$A$2:$M$1241,11,FALSE)," ")</f>
        <v xml:space="preserve"> </v>
      </c>
      <c r="H49" s="1" t="s">
        <v>16</v>
      </c>
      <c r="I49" s="6" t="str">
        <f>IF(B49=0,VLOOKUP(A49,Feuil2!$A$2:$M$1241,7,FALSE)," ")</f>
        <v xml:space="preserve"> </v>
      </c>
      <c r="J49" s="1" t="str">
        <f>IF(B49=0,VLOOKUP(A49,Feuil2!$A$2:$M$1241,9,FALSE)," ")</f>
        <v xml:space="preserve"> </v>
      </c>
      <c r="K49" s="1" t="str">
        <f>IF(B49=0,VLOOKUP(A49,Feuil2!$A$2:$M$1241,10,FALSE)," ")</f>
        <v xml:space="preserve"> </v>
      </c>
      <c r="L49" s="1"/>
      <c r="M49" s="1"/>
      <c r="N49" s="1"/>
      <c r="O49" s="8" t="str">
        <f>IF(B49=0,VLOOKUP(A49,Feuil2!$A$2:$M$1241,13,FALSE)," ")</f>
        <v xml:space="preserve"> </v>
      </c>
    </row>
    <row r="50" spans="1:15" x14ac:dyDescent="0.3">
      <c r="A50" s="17">
        <v>503</v>
      </c>
      <c r="B50" s="17">
        <v>0</v>
      </c>
      <c r="C50" s="17" t="str">
        <f>IF(B50=0,VLOOKUP(A50,Feuil2!$A$2:$M$1241,2,FALSE)," ")</f>
        <v>BOUHLEL</v>
      </c>
      <c r="D50" s="17" t="str">
        <f>IF(B50=0,VLOOKUP(A50,Feuil2!$A$2:$M$1241,3,FALSE)," ")</f>
        <v>ABDELHAFIDH</v>
      </c>
      <c r="E50" s="18">
        <f>IF(B50=0,VLOOKUP(A50,Feuil2!$A$2:$M$1241,6,FALSE)," ")</f>
        <v>24306</v>
      </c>
      <c r="F50" s="17" t="str">
        <f>IF(B50=0,VLOOKUP(A50,Feuil2!$A$2:$M$1241,12,FALSE)," ")</f>
        <v>H</v>
      </c>
      <c r="G50" s="17" t="str">
        <f>IF(B50=0,VLOOKUP(A50,Feuil2!$A$2:$M$1241,11,FALSE)," ")</f>
        <v>M</v>
      </c>
      <c r="H50" s="17" t="s">
        <v>16</v>
      </c>
      <c r="I50" s="19">
        <f>IF(B50=0,VLOOKUP(A50,Feuil2!$A$2:$M$1241,7,FALSE)," ")</f>
        <v>2966511</v>
      </c>
      <c r="J50" s="17" t="str">
        <f>IF(B50=0,VLOOKUP(A50,Feuil2!$A$2:$M$1241,9,FALSE)," ")</f>
        <v>13, Rue des Oranges</v>
      </c>
      <c r="K50" s="17" t="str">
        <f>IF(B50=0,VLOOKUP(A50,Feuil2!$A$2:$M$1241,10,FALSE)," ")</f>
        <v>Msaken 4070</v>
      </c>
      <c r="L50" s="17">
        <v>4070</v>
      </c>
      <c r="M50" s="17">
        <v>53730054</v>
      </c>
      <c r="N50" s="17"/>
      <c r="O50" s="20" t="str">
        <f>IF(B50=0,VLOOKUP(A50,Feuil2!$A$2:$M$1241,13,FALSE)," ")</f>
        <v>10506040203259578820</v>
      </c>
    </row>
    <row r="51" spans="1:15" x14ac:dyDescent="0.3">
      <c r="A51" s="1">
        <v>503</v>
      </c>
      <c r="B51" s="1">
        <v>1</v>
      </c>
      <c r="C51" s="1" t="s">
        <v>2416</v>
      </c>
      <c r="D51" s="1" t="s">
        <v>1387</v>
      </c>
      <c r="E51" s="5">
        <v>27622</v>
      </c>
      <c r="F51" s="1" t="s">
        <v>17</v>
      </c>
      <c r="G51" s="1" t="s">
        <v>15</v>
      </c>
      <c r="H51" s="1" t="s">
        <v>16</v>
      </c>
      <c r="I51" s="6" t="str">
        <f>IF(B51=0,VLOOKUP(A51,Feuil2!$A$2:$M$1241,7,FALSE)," ")</f>
        <v xml:space="preserve"> </v>
      </c>
      <c r="J51" s="1" t="str">
        <f>IF(B51=0,VLOOKUP(A51,Feuil2!$A$2:$M$1241,9,FALSE)," ")</f>
        <v xml:space="preserve"> </v>
      </c>
      <c r="K51" s="1" t="str">
        <f>IF(B51=0,VLOOKUP(A51,Feuil2!$A$2:$M$1241,10,FALSE)," ")</f>
        <v xml:space="preserve"> </v>
      </c>
      <c r="L51" s="1"/>
      <c r="M51" s="1"/>
      <c r="N51" s="1"/>
      <c r="O51" s="8" t="str">
        <f>IF(B51=0,VLOOKUP(A51,Feuil2!$A$2:$M$1241,13,FALSE)," ")</f>
        <v xml:space="preserve"> </v>
      </c>
    </row>
    <row r="52" spans="1:15" x14ac:dyDescent="0.3">
      <c r="A52" s="1">
        <v>503</v>
      </c>
      <c r="B52" s="1">
        <v>2</v>
      </c>
      <c r="C52" s="1" t="s">
        <v>83</v>
      </c>
      <c r="D52" s="1" t="s">
        <v>237</v>
      </c>
      <c r="E52" s="5">
        <v>35627</v>
      </c>
      <c r="F52" s="1" t="s">
        <v>506</v>
      </c>
      <c r="G52" s="1" t="str">
        <f>IF(B52=0,VLOOKUP(A52,Feuil2!$A$2:$M$1241,11,FALSE)," ")</f>
        <v xml:space="preserve"> </v>
      </c>
      <c r="H52" s="1" t="s">
        <v>16</v>
      </c>
      <c r="I52" s="6" t="str">
        <f>IF(B52=0,VLOOKUP(A52,Feuil2!$A$2:$M$1241,7,FALSE)," ")</f>
        <v xml:space="preserve"> </v>
      </c>
      <c r="J52" s="1" t="str">
        <f>IF(B52=0,VLOOKUP(A52,Feuil2!$A$2:$M$1241,9,FALSE)," ")</f>
        <v xml:space="preserve"> </v>
      </c>
      <c r="K52" s="1" t="str">
        <f>IF(B52=0,VLOOKUP(A52,Feuil2!$A$2:$M$1241,10,FALSE)," ")</f>
        <v xml:space="preserve"> </v>
      </c>
      <c r="L52" s="1"/>
      <c r="M52" s="1"/>
      <c r="N52" s="1"/>
      <c r="O52" s="8" t="str">
        <f>IF(B52=0,VLOOKUP(A52,Feuil2!$A$2:$M$1241,13,FALSE)," ")</f>
        <v xml:space="preserve"> </v>
      </c>
    </row>
    <row r="53" spans="1:15" x14ac:dyDescent="0.3">
      <c r="A53" s="1">
        <v>503</v>
      </c>
      <c r="B53" s="1">
        <v>3</v>
      </c>
      <c r="C53" s="1" t="s">
        <v>83</v>
      </c>
      <c r="D53" s="1" t="s">
        <v>63</v>
      </c>
      <c r="E53" s="5">
        <v>39902</v>
      </c>
      <c r="F53" s="1" t="s">
        <v>506</v>
      </c>
      <c r="G53" s="1" t="str">
        <f>IF(B53=0,VLOOKUP(A53,Feuil2!$A$2:$M$1241,11,FALSE)," ")</f>
        <v xml:space="preserve"> </v>
      </c>
      <c r="H53" s="1" t="s">
        <v>16</v>
      </c>
      <c r="I53" s="6" t="str">
        <f>IF(B53=0,VLOOKUP(A53,Feuil2!$A$2:$M$1241,7,FALSE)," ")</f>
        <v xml:space="preserve"> </v>
      </c>
      <c r="J53" s="1" t="str">
        <f>IF(B53=0,VLOOKUP(A53,Feuil2!$A$2:$M$1241,9,FALSE)," ")</f>
        <v xml:space="preserve"> </v>
      </c>
      <c r="K53" s="1" t="str">
        <f>IF(B53=0,VLOOKUP(A53,Feuil2!$A$2:$M$1241,10,FALSE)," ")</f>
        <v xml:space="preserve"> </v>
      </c>
      <c r="L53" s="1"/>
      <c r="M53" s="1"/>
      <c r="N53" s="1"/>
      <c r="O53" s="8" t="str">
        <f>IF(B53=0,VLOOKUP(A53,Feuil2!$A$2:$M$1241,13,FALSE)," ")</f>
        <v xml:space="preserve"> </v>
      </c>
    </row>
    <row r="54" spans="1:15" x14ac:dyDescent="0.3">
      <c r="A54" s="1">
        <v>524</v>
      </c>
      <c r="B54" s="1">
        <v>0</v>
      </c>
      <c r="C54" s="1" t="str">
        <f>IF(B54=0,VLOOKUP(A54,Feuil2!$A$2:$M$1241,2,FALSE)," ")</f>
        <v>EL MAHFOUDH</v>
      </c>
      <c r="D54" s="1" t="str">
        <f>IF(B54=0,VLOOKUP(A54,Feuil2!$A$2:$M$1241,3,FALSE)," ")</f>
        <v>TAREK</v>
      </c>
      <c r="E54" s="5">
        <f>IF(B54=0,VLOOKUP(A54,Feuil2!$A$2:$M$1241,6,FALSE)," ")</f>
        <v>23044</v>
      </c>
      <c r="F54" s="1" t="str">
        <f>IF(B54=0,VLOOKUP(A54,Feuil2!$A$2:$M$1241,12,FALSE)," ")</f>
        <v>H</v>
      </c>
      <c r="G54" s="1" t="str">
        <f>IF(B54=0,VLOOKUP(A54,Feuil2!$A$2:$M$1241,11,FALSE)," ")</f>
        <v>M</v>
      </c>
      <c r="H54" s="1" t="s">
        <v>16</v>
      </c>
      <c r="I54" s="6">
        <f>IF(B54=0,VLOOKUP(A54,Feuil2!$A$2:$M$1241,7,FALSE)," ")</f>
        <v>2899298</v>
      </c>
      <c r="J54" s="1" t="str">
        <f>IF(B54=0,VLOOKUP(A54,Feuil2!$A$2:$M$1241,9,FALSE)," ")</f>
        <v>NULL</v>
      </c>
      <c r="K54" s="1" t="str">
        <f>IF(B54=0,VLOOKUP(A54,Feuil2!$A$2:$M$1241,10,FALSE)," ")</f>
        <v>NULL</v>
      </c>
      <c r="L54" s="1"/>
      <c r="M54" s="1">
        <v>98793517</v>
      </c>
      <c r="N54" s="1"/>
      <c r="O54" s="8" t="str">
        <f>IF(B54=0,VLOOKUP(A54,Feuil2!$A$2:$M$1241,13,FALSE)," ")</f>
        <v>14500500100702024154</v>
      </c>
    </row>
    <row r="55" spans="1:15" x14ac:dyDescent="0.3">
      <c r="A55" s="1">
        <v>524</v>
      </c>
      <c r="B55" s="1">
        <v>1</v>
      </c>
      <c r="C55" s="1" t="s">
        <v>2459</v>
      </c>
      <c r="D55" s="1" t="s">
        <v>2460</v>
      </c>
      <c r="E55" s="5">
        <v>23459</v>
      </c>
      <c r="F55" s="1" t="s">
        <v>17</v>
      </c>
      <c r="G55" s="1" t="s">
        <v>15</v>
      </c>
      <c r="H55" s="1" t="s">
        <v>16</v>
      </c>
      <c r="I55" s="6" t="str">
        <f>IF(B55=0,VLOOKUP(A55,Feuil2!$A$2:$M$1241,7,FALSE)," ")</f>
        <v xml:space="preserve"> </v>
      </c>
      <c r="J55" s="1" t="str">
        <f>IF(B55=0,VLOOKUP(A55,Feuil2!$A$2:$M$1241,9,FALSE)," ")</f>
        <v xml:space="preserve"> </v>
      </c>
      <c r="K55" s="1" t="str">
        <f>IF(B55=0,VLOOKUP(A55,Feuil2!$A$2:$M$1241,10,FALSE)," ")</f>
        <v xml:space="preserve"> </v>
      </c>
      <c r="L55" s="1"/>
      <c r="M55" s="1"/>
      <c r="N55" s="1"/>
      <c r="O55" s="8" t="str">
        <f>IF(B55=0,VLOOKUP(A55,Feuil2!$A$2:$M$1241,13,FALSE)," ")</f>
        <v xml:space="preserve"> </v>
      </c>
    </row>
    <row r="56" spans="1:15" x14ac:dyDescent="0.3">
      <c r="A56" s="1">
        <v>551</v>
      </c>
      <c r="B56" s="1">
        <v>0</v>
      </c>
      <c r="C56" s="1" t="str">
        <f>IF(B56=0,VLOOKUP(A56,Feuil2!$A$2:$M$1241,2,FALSE)," ")</f>
        <v>EL GADHI</v>
      </c>
      <c r="D56" s="1" t="str">
        <f>IF(B56=0,VLOOKUP(A56,Feuil2!$A$2:$M$1241,3,FALSE)," ")</f>
        <v>SALAH</v>
      </c>
      <c r="E56" s="5">
        <f>IF(B56=0,VLOOKUP(A56,Feuil2!$A$2:$M$1241,6,FALSE)," ")</f>
        <v>23091</v>
      </c>
      <c r="F56" s="1" t="str">
        <f>IF(B56=0,VLOOKUP(A56,Feuil2!$A$2:$M$1241,12,FALSE)," ")</f>
        <v>H</v>
      </c>
      <c r="G56" s="1" t="str">
        <f>IF(B56=0,VLOOKUP(A56,Feuil2!$A$2:$M$1241,11,FALSE)," ")</f>
        <v>M</v>
      </c>
      <c r="H56" s="1" t="s">
        <v>16</v>
      </c>
      <c r="I56" s="6">
        <f>IF(B56=0,VLOOKUP(A56,Feuil2!$A$2:$M$1241,7,FALSE)," ")</f>
        <v>2947807</v>
      </c>
      <c r="J56" s="1" t="str">
        <f>IF(B56=0,VLOOKUP(A56,Feuil2!$A$2:$M$1241,9,FALSE)," ")</f>
        <v>179 Rue Ali Belahouane</v>
      </c>
      <c r="K56" s="1" t="str">
        <f>IF(B56=0,VLOOKUP(A56,Feuil2!$A$2:$M$1241,10,FALSE)," ")</f>
        <v>Msaken 4070</v>
      </c>
      <c r="L56" s="1">
        <v>4070</v>
      </c>
      <c r="M56" s="1">
        <v>50672859</v>
      </c>
      <c r="N56" s="1"/>
      <c r="O56" s="8" t="str">
        <f>IF(B56=0,VLOOKUP(A56,Feuil2!$A$2:$M$1241,13,FALSE)," ")</f>
        <v>08507000262000178637</v>
      </c>
    </row>
    <row r="57" spans="1:15" x14ac:dyDescent="0.3">
      <c r="A57" s="1">
        <v>551</v>
      </c>
      <c r="B57" s="1">
        <v>1</v>
      </c>
      <c r="C57" s="1" t="s">
        <v>43</v>
      </c>
      <c r="D57" s="1" t="s">
        <v>746</v>
      </c>
      <c r="E57" s="5">
        <v>24624</v>
      </c>
      <c r="F57" s="1" t="s">
        <v>17</v>
      </c>
      <c r="G57" s="1" t="s">
        <v>15</v>
      </c>
      <c r="H57" s="1" t="s">
        <v>16</v>
      </c>
      <c r="I57" s="6" t="str">
        <f>IF(B57=0,VLOOKUP(A57,Feuil2!$A$2:$M$1241,7,FALSE)," ")</f>
        <v xml:space="preserve"> </v>
      </c>
      <c r="J57" s="1" t="str">
        <f>IF(B57=0,VLOOKUP(A57,Feuil2!$A$2:$M$1241,9,FALSE)," ")</f>
        <v xml:space="preserve"> </v>
      </c>
      <c r="K57" s="1" t="str">
        <f>IF(B57=0,VLOOKUP(A57,Feuil2!$A$2:$M$1241,10,FALSE)," ")</f>
        <v xml:space="preserve"> </v>
      </c>
      <c r="L57" s="1"/>
      <c r="M57" s="1"/>
      <c r="N57" s="1"/>
      <c r="O57" s="8" t="str">
        <f>IF(B57=0,VLOOKUP(A57,Feuil2!$A$2:$M$1241,13,FALSE)," ")</f>
        <v xml:space="preserve"> </v>
      </c>
    </row>
    <row r="58" spans="1:15" x14ac:dyDescent="0.3">
      <c r="A58" s="1">
        <v>551</v>
      </c>
      <c r="B58" s="1">
        <v>2</v>
      </c>
      <c r="C58" s="1" t="s">
        <v>58</v>
      </c>
      <c r="D58" s="1" t="s">
        <v>2499</v>
      </c>
      <c r="E58" s="5">
        <v>35977</v>
      </c>
      <c r="F58" s="1" t="s">
        <v>506</v>
      </c>
      <c r="G58" s="1" t="str">
        <f>IF(B58=0,VLOOKUP(A58,Feuil2!$A$2:$M$1241,11,FALSE)," ")</f>
        <v xml:space="preserve"> </v>
      </c>
      <c r="H58" s="1" t="s">
        <v>16</v>
      </c>
      <c r="I58" s="6" t="str">
        <f>IF(B58=0,VLOOKUP(A58,Feuil2!$A$2:$M$1241,7,FALSE)," ")</f>
        <v xml:space="preserve"> </v>
      </c>
      <c r="J58" s="1" t="str">
        <f>IF(B58=0,VLOOKUP(A58,Feuil2!$A$2:$M$1241,9,FALSE)," ")</f>
        <v xml:space="preserve"> </v>
      </c>
      <c r="K58" s="1" t="str">
        <f>IF(B58=0,VLOOKUP(A58,Feuil2!$A$2:$M$1241,10,FALSE)," ")</f>
        <v xml:space="preserve"> </v>
      </c>
      <c r="L58" s="1"/>
      <c r="M58" s="1"/>
      <c r="N58" s="1"/>
      <c r="O58" s="8" t="str">
        <f>IF(B58=0,VLOOKUP(A58,Feuil2!$A$2:$M$1241,13,FALSE)," ")</f>
        <v xml:space="preserve"> </v>
      </c>
    </row>
    <row r="59" spans="1:15" x14ac:dyDescent="0.3">
      <c r="A59" s="1">
        <v>551</v>
      </c>
      <c r="B59" s="1">
        <v>3</v>
      </c>
      <c r="C59" s="1" t="s">
        <v>58</v>
      </c>
      <c r="D59" s="1" t="s">
        <v>2446</v>
      </c>
      <c r="E59" s="5">
        <v>36434</v>
      </c>
      <c r="F59" s="1" t="s">
        <v>17</v>
      </c>
      <c r="G59" s="1" t="str">
        <f>IF(B59=0,VLOOKUP(A59,Feuil2!$A$2:$M$1241,11,FALSE)," ")</f>
        <v xml:space="preserve"> </v>
      </c>
      <c r="H59" s="1" t="s">
        <v>16</v>
      </c>
      <c r="I59" s="6" t="str">
        <f>IF(B59=0,VLOOKUP(A59,Feuil2!$A$2:$M$1241,7,FALSE)," ")</f>
        <v xml:space="preserve"> </v>
      </c>
      <c r="J59" s="1" t="str">
        <f>IF(B59=0,VLOOKUP(A59,Feuil2!$A$2:$M$1241,9,FALSE)," ")</f>
        <v xml:space="preserve"> </v>
      </c>
      <c r="K59" s="1" t="str">
        <f>IF(B59=0,VLOOKUP(A59,Feuil2!$A$2:$M$1241,10,FALSE)," ")</f>
        <v xml:space="preserve"> </v>
      </c>
      <c r="L59" s="1"/>
      <c r="M59" s="1"/>
      <c r="N59" s="1"/>
      <c r="O59" s="8" t="str">
        <f>IF(B59=0,VLOOKUP(A59,Feuil2!$A$2:$M$1241,13,FALSE)," ")</f>
        <v xml:space="preserve"> </v>
      </c>
    </row>
    <row r="60" spans="1:15" x14ac:dyDescent="0.3">
      <c r="A60" s="1">
        <v>551</v>
      </c>
      <c r="B60" s="1">
        <v>4</v>
      </c>
      <c r="C60" s="1" t="s">
        <v>58</v>
      </c>
      <c r="D60" s="1" t="s">
        <v>2440</v>
      </c>
      <c r="E60" s="5">
        <v>38959</v>
      </c>
      <c r="F60" s="1" t="s">
        <v>17</v>
      </c>
      <c r="G60" s="1" t="str">
        <f>IF(B60=0,VLOOKUP(A60,Feuil2!$A$2:$M$1241,11,FALSE)," ")</f>
        <v xml:space="preserve"> </v>
      </c>
      <c r="H60" s="1" t="s">
        <v>16</v>
      </c>
      <c r="I60" s="6" t="str">
        <f>IF(B60=0,VLOOKUP(A60,Feuil2!$A$2:$M$1241,7,FALSE)," ")</f>
        <v xml:space="preserve"> </v>
      </c>
      <c r="J60" s="1" t="str">
        <f>IF(B60=0,VLOOKUP(A60,Feuil2!$A$2:$M$1241,9,FALSE)," ")</f>
        <v xml:space="preserve"> </v>
      </c>
      <c r="K60" s="1" t="str">
        <f>IF(B60=0,VLOOKUP(A60,Feuil2!$A$2:$M$1241,10,FALSE)," ")</f>
        <v xml:space="preserve"> </v>
      </c>
      <c r="L60" s="1"/>
      <c r="M60" s="1"/>
      <c r="N60" s="1"/>
      <c r="O60" s="8" t="str">
        <f>IF(B60=0,VLOOKUP(A60,Feuil2!$A$2:$M$1241,13,FALSE)," ")</f>
        <v xml:space="preserve"> </v>
      </c>
    </row>
    <row r="61" spans="1:15" x14ac:dyDescent="0.3">
      <c r="A61" s="1">
        <v>552</v>
      </c>
      <c r="B61" s="1">
        <v>0</v>
      </c>
      <c r="C61" s="1" t="str">
        <f>IF(B61=0,VLOOKUP(A61,Feuil2!$A$2:$M$1241,2,FALSE)," ")</f>
        <v>ACHOUR</v>
      </c>
      <c r="D61" s="1" t="str">
        <f>IF(B61=0,VLOOKUP(A61,Feuil2!$A$2:$M$1241,3,FALSE)," ")</f>
        <v>KAMEL</v>
      </c>
      <c r="E61" s="5">
        <f>IF(B61=0,VLOOKUP(A61,Feuil2!$A$2:$M$1241,6,FALSE)," ")</f>
        <v>22929</v>
      </c>
      <c r="F61" s="1" t="str">
        <f>IF(B61=0,VLOOKUP(A61,Feuil2!$A$2:$M$1241,12,FALSE)," ")</f>
        <v>H</v>
      </c>
      <c r="G61" s="1" t="str">
        <f>IF(B61=0,VLOOKUP(A61,Feuil2!$A$2:$M$1241,11,FALSE)," ")</f>
        <v>M</v>
      </c>
      <c r="H61" s="1" t="s">
        <v>16</v>
      </c>
      <c r="I61" s="6">
        <f>IF(B61=0,VLOOKUP(A61,Feuil2!$A$2:$M$1241,7,FALSE)," ")</f>
        <v>2943574</v>
      </c>
      <c r="J61" s="1" t="str">
        <f>IF(B61=0,VLOOKUP(A61,Feuil2!$A$2:$M$1241,9,FALSE)," ")</f>
        <v>32 RUE 2 MARS</v>
      </c>
      <c r="K61" s="1" t="str">
        <f>IF(B61=0,VLOOKUP(A61,Feuil2!$A$2:$M$1241,10,FALSE)," ")</f>
        <v>Msaken 4070</v>
      </c>
      <c r="L61" s="1">
        <v>4070</v>
      </c>
      <c r="M61" s="1">
        <v>98783220</v>
      </c>
      <c r="N61" s="1"/>
      <c r="O61" s="8" t="str">
        <f>IF(B61=0,VLOOKUP(A61,Feuil2!$A$2:$M$1241,13,FALSE)," ")</f>
        <v>08507000262001239720</v>
      </c>
    </row>
    <row r="62" spans="1:15" x14ac:dyDescent="0.3">
      <c r="A62" s="1">
        <v>552</v>
      </c>
      <c r="B62" s="1">
        <v>1</v>
      </c>
      <c r="C62" s="1" t="s">
        <v>264</v>
      </c>
      <c r="D62" s="1" t="s">
        <v>1541</v>
      </c>
      <c r="E62" s="5">
        <v>24878</v>
      </c>
      <c r="F62" s="1" t="s">
        <v>17</v>
      </c>
      <c r="G62" s="1" t="s">
        <v>15</v>
      </c>
      <c r="H62" s="1" t="s">
        <v>16</v>
      </c>
      <c r="I62" s="6" t="str">
        <f>IF(B62=0,VLOOKUP(A62,Feuil2!$A$2:$M$1241,7,FALSE)," ")</f>
        <v xml:space="preserve"> </v>
      </c>
      <c r="J62" s="1" t="str">
        <f>IF(B62=0,VLOOKUP(A62,Feuil2!$A$2:$M$1241,9,FALSE)," ")</f>
        <v xml:space="preserve"> </v>
      </c>
      <c r="K62" s="1" t="str">
        <f>IF(B62=0,VLOOKUP(A62,Feuil2!$A$2:$M$1241,10,FALSE)," ")</f>
        <v xml:space="preserve"> </v>
      </c>
      <c r="L62" s="1"/>
      <c r="M62" s="1"/>
      <c r="N62" s="1"/>
      <c r="O62" s="8" t="str">
        <f>IF(B62=0,VLOOKUP(A62,Feuil2!$A$2:$M$1241,13,FALSE)," ")</f>
        <v xml:space="preserve"> </v>
      </c>
    </row>
    <row r="63" spans="1:15" x14ac:dyDescent="0.3">
      <c r="A63" s="1">
        <v>552</v>
      </c>
      <c r="B63" s="1">
        <v>2</v>
      </c>
      <c r="C63" s="1" t="s">
        <v>264</v>
      </c>
      <c r="D63" s="1" t="s">
        <v>2337</v>
      </c>
      <c r="E63" s="5">
        <v>34858</v>
      </c>
      <c r="F63" s="1" t="s">
        <v>17</v>
      </c>
      <c r="G63" s="1" t="str">
        <f>IF(B63=0,VLOOKUP(A63,Feuil2!$A$2:$M$1241,11,FALSE)," ")</f>
        <v xml:space="preserve"> </v>
      </c>
      <c r="H63" s="1" t="s">
        <v>16</v>
      </c>
      <c r="I63" s="6" t="str">
        <f>IF(B63=0,VLOOKUP(A63,Feuil2!$A$2:$M$1241,7,FALSE)," ")</f>
        <v xml:space="preserve"> </v>
      </c>
      <c r="J63" s="1" t="str">
        <f>IF(B63=0,VLOOKUP(A63,Feuil2!$A$2:$M$1241,9,FALSE)," ")</f>
        <v xml:space="preserve"> </v>
      </c>
      <c r="K63" s="1" t="str">
        <f>IF(B63=0,VLOOKUP(A63,Feuil2!$A$2:$M$1241,10,FALSE)," ")</f>
        <v xml:space="preserve"> </v>
      </c>
      <c r="L63" s="1"/>
      <c r="M63" s="1"/>
      <c r="N63" s="1"/>
      <c r="O63" s="8" t="str">
        <f>IF(B63=0,VLOOKUP(A63,Feuil2!$A$2:$M$1241,13,FALSE)," ")</f>
        <v xml:space="preserve"> </v>
      </c>
    </row>
    <row r="64" spans="1:15" x14ac:dyDescent="0.3">
      <c r="A64" s="1">
        <v>552</v>
      </c>
      <c r="B64" s="1">
        <v>3</v>
      </c>
      <c r="C64" s="1" t="s">
        <v>264</v>
      </c>
      <c r="D64" s="1" t="s">
        <v>34</v>
      </c>
      <c r="E64" s="5">
        <v>37758</v>
      </c>
      <c r="F64" s="1" t="s">
        <v>506</v>
      </c>
      <c r="G64" s="1" t="str">
        <f>IF(B64=0,VLOOKUP(A64,Feuil2!$A$2:$M$1241,11,FALSE)," ")</f>
        <v xml:space="preserve"> </v>
      </c>
      <c r="H64" s="1" t="s">
        <v>16</v>
      </c>
      <c r="I64" s="6" t="str">
        <f>IF(B64=0,VLOOKUP(A64,Feuil2!$A$2:$M$1241,7,FALSE)," ")</f>
        <v xml:space="preserve"> </v>
      </c>
      <c r="J64" s="1" t="str">
        <f>IF(B64=0,VLOOKUP(A64,Feuil2!$A$2:$M$1241,9,FALSE)," ")</f>
        <v xml:space="preserve"> </v>
      </c>
      <c r="K64" s="1" t="str">
        <f>IF(B64=0,VLOOKUP(A64,Feuil2!$A$2:$M$1241,10,FALSE)," ")</f>
        <v xml:space="preserve"> </v>
      </c>
      <c r="L64" s="1"/>
      <c r="M64" s="1"/>
      <c r="N64" s="1"/>
      <c r="O64" s="8" t="str">
        <f>IF(B64=0,VLOOKUP(A64,Feuil2!$A$2:$M$1241,13,FALSE)," ")</f>
        <v xml:space="preserve"> </v>
      </c>
    </row>
    <row r="65" spans="1:16" x14ac:dyDescent="0.3">
      <c r="A65" s="1">
        <v>552</v>
      </c>
      <c r="B65" s="1">
        <v>4</v>
      </c>
      <c r="C65" s="1" t="s">
        <v>264</v>
      </c>
      <c r="D65" s="1" t="s">
        <v>2491</v>
      </c>
      <c r="E65" s="5">
        <v>38158</v>
      </c>
      <c r="F65" s="1" t="s">
        <v>17</v>
      </c>
      <c r="G65" s="1" t="str">
        <f>IF(B65=0,VLOOKUP(A65,Feuil2!$A$2:$M$1241,11,FALSE)," ")</f>
        <v xml:space="preserve"> </v>
      </c>
      <c r="H65" s="1" t="s">
        <v>16</v>
      </c>
      <c r="I65" s="6" t="str">
        <f>IF(B65=0,VLOOKUP(A65,Feuil2!$A$2:$M$1241,7,FALSE)," ")</f>
        <v xml:space="preserve"> </v>
      </c>
      <c r="J65" s="1" t="str">
        <f>IF(B65=0,VLOOKUP(A65,Feuil2!$A$2:$M$1241,9,FALSE)," ")</f>
        <v xml:space="preserve"> </v>
      </c>
      <c r="K65" s="1" t="str">
        <f>IF(B65=0,VLOOKUP(A65,Feuil2!$A$2:$M$1241,10,FALSE)," ")</f>
        <v xml:space="preserve"> </v>
      </c>
      <c r="L65" s="1"/>
      <c r="M65" s="1"/>
      <c r="N65" s="1"/>
      <c r="O65" s="8" t="str">
        <f>IF(B65=0,VLOOKUP(A65,Feuil2!$A$2:$M$1241,13,FALSE)," ")</f>
        <v xml:space="preserve"> </v>
      </c>
    </row>
    <row r="66" spans="1:16" x14ac:dyDescent="0.3">
      <c r="A66" s="1">
        <v>552</v>
      </c>
      <c r="B66" s="1">
        <v>5</v>
      </c>
      <c r="C66" s="1" t="s">
        <v>264</v>
      </c>
      <c r="D66" s="1" t="s">
        <v>1925</v>
      </c>
      <c r="E66" s="5">
        <v>38734</v>
      </c>
      <c r="F66" s="1" t="s">
        <v>17</v>
      </c>
      <c r="G66" s="1" t="str">
        <f>IF(B66=0,VLOOKUP(A66,Feuil2!$A$2:$M$1241,11,FALSE)," ")</f>
        <v xml:space="preserve"> </v>
      </c>
      <c r="H66" s="1" t="s">
        <v>16</v>
      </c>
      <c r="I66" s="6" t="str">
        <f>IF(B66=0,VLOOKUP(A66,Feuil2!$A$2:$M$1241,7,FALSE)," ")</f>
        <v xml:space="preserve"> </v>
      </c>
      <c r="J66" s="1" t="str">
        <f>IF(B66=0,VLOOKUP(A66,Feuil2!$A$2:$M$1241,9,FALSE)," ")</f>
        <v xml:space="preserve"> </v>
      </c>
      <c r="K66" s="1" t="str">
        <f>IF(B66=0,VLOOKUP(A66,Feuil2!$A$2:$M$1241,10,FALSE)," ")</f>
        <v xml:space="preserve"> </v>
      </c>
      <c r="L66" s="1"/>
      <c r="M66" s="1"/>
      <c r="N66" s="1"/>
      <c r="O66" s="8" t="str">
        <f>IF(B66=0,VLOOKUP(A66,Feuil2!$A$2:$M$1241,13,FALSE)," ")</f>
        <v xml:space="preserve"> </v>
      </c>
    </row>
    <row r="67" spans="1:16" x14ac:dyDescent="0.3">
      <c r="A67" s="1">
        <v>590</v>
      </c>
      <c r="B67" s="1">
        <v>0</v>
      </c>
      <c r="C67" s="1" t="str">
        <f>IF(B67=0,VLOOKUP(A67,Feuil2!$A$2:$M$1241,2,FALSE)," ")</f>
        <v>KHALFALLAH</v>
      </c>
      <c r="D67" s="1" t="str">
        <f>IF(B67=0,VLOOKUP(A67,Feuil2!$A$2:$M$1241,3,FALSE)," ")</f>
        <v>ABDELAZIZ</v>
      </c>
      <c r="E67" s="5">
        <f>IF(B67=0,VLOOKUP(A67,Feuil2!$A$2:$M$1241,6,FALSE)," ")</f>
        <v>23999</v>
      </c>
      <c r="F67" s="1" t="str">
        <f>IF(B67=0,VLOOKUP(A67,Feuil2!$A$2:$M$1241,12,FALSE)," ")</f>
        <v>H</v>
      </c>
      <c r="G67" s="1" t="str">
        <f>IF(B67=0,VLOOKUP(A67,Feuil2!$A$2:$M$1241,11,FALSE)," ")</f>
        <v>M</v>
      </c>
      <c r="H67" s="1" t="s">
        <v>16</v>
      </c>
      <c r="I67" s="6">
        <f>IF(B67=0,VLOOKUP(A67,Feuil2!$A$2:$M$1241,7,FALSE)," ")</f>
        <v>2966622</v>
      </c>
      <c r="J67" s="1" t="str">
        <f>IF(B67=0,VLOOKUP(A67,Feuil2!$A$2:$M$1241,9,FALSE)," ")</f>
        <v>172 R Elmalek FayÃ§al</v>
      </c>
      <c r="K67" s="1" t="str">
        <f>IF(B67=0,VLOOKUP(A67,Feuil2!$A$2:$M$1241,10,FALSE)," ")</f>
        <v>Msaken 4070</v>
      </c>
      <c r="L67" s="1">
        <v>4070</v>
      </c>
      <c r="M67" s="1">
        <v>26834154</v>
      </c>
      <c r="N67" s="1"/>
      <c r="O67" s="8" t="str">
        <f>IF(B67=0,VLOOKUP(A67,Feuil2!$A$2:$M$1241,13,FALSE)," ")</f>
        <v>05048000116500489977</v>
      </c>
    </row>
    <row r="68" spans="1:16" x14ac:dyDescent="0.3">
      <c r="A68" s="1">
        <v>590</v>
      </c>
      <c r="B68" s="1">
        <v>1</v>
      </c>
      <c r="C68" s="1" t="s">
        <v>1148</v>
      </c>
      <c r="D68" s="1" t="s">
        <v>24</v>
      </c>
      <c r="E68" s="5">
        <v>24437</v>
      </c>
      <c r="F68" s="1" t="s">
        <v>17</v>
      </c>
      <c r="G68" s="1" t="s">
        <v>15</v>
      </c>
      <c r="H68" s="1" t="s">
        <v>16</v>
      </c>
      <c r="I68" s="6" t="str">
        <f>IF(B68=0,VLOOKUP(A68,Feuil2!$A$2:$M$1241,7,FALSE)," ")</f>
        <v xml:space="preserve"> </v>
      </c>
      <c r="J68" s="1" t="str">
        <f>IF(B68=0,VLOOKUP(A68,Feuil2!$A$2:$M$1241,9,FALSE)," ")</f>
        <v xml:space="preserve"> </v>
      </c>
      <c r="K68" s="1" t="str">
        <f>IF(B68=0,VLOOKUP(A68,Feuil2!$A$2:$M$1241,10,FALSE)," ")</f>
        <v xml:space="preserve"> </v>
      </c>
      <c r="L68" s="1"/>
      <c r="M68" s="1"/>
      <c r="N68" s="1"/>
      <c r="O68" s="8" t="str">
        <f>IF(B68=0,VLOOKUP(A68,Feuil2!$A$2:$M$1241,13,FALSE)," ")</f>
        <v xml:space="preserve"> </v>
      </c>
    </row>
    <row r="69" spans="1:16" x14ac:dyDescent="0.3">
      <c r="A69" s="1">
        <v>590</v>
      </c>
      <c r="B69" s="1">
        <v>3</v>
      </c>
      <c r="C69" s="1" t="s">
        <v>660</v>
      </c>
      <c r="D69" s="1" t="s">
        <v>89</v>
      </c>
      <c r="E69" s="5">
        <v>36202</v>
      </c>
      <c r="F69" s="1" t="str">
        <f>IF(B69=0,VLOOKUP(A69,Feuil2!$A$2:$M$1241,12,FALSE)," ")</f>
        <v xml:space="preserve"> </v>
      </c>
      <c r="G69" s="1" t="str">
        <f>IF(B69=0,VLOOKUP(A69,Feuil2!$A$2:$M$1241,11,FALSE)," ")</f>
        <v xml:space="preserve"> </v>
      </c>
      <c r="H69" s="1" t="s">
        <v>16</v>
      </c>
      <c r="I69" s="6" t="str">
        <f>IF(B69=0,VLOOKUP(A69,Feuil2!$A$2:$M$1241,7,FALSE)," ")</f>
        <v xml:space="preserve"> </v>
      </c>
      <c r="J69" s="1" t="str">
        <f>IF(B69=0,VLOOKUP(A69,Feuil2!$A$2:$M$1241,9,FALSE)," ")</f>
        <v xml:space="preserve"> </v>
      </c>
      <c r="K69" s="1" t="str">
        <f>IF(B69=0,VLOOKUP(A69,Feuil2!$A$2:$M$1241,10,FALSE)," ")</f>
        <v xml:space="preserve"> </v>
      </c>
      <c r="L69" s="1"/>
      <c r="M69" s="1"/>
      <c r="N69" s="1"/>
      <c r="O69" s="8" t="str">
        <f>IF(B69=0,VLOOKUP(A69,Feuil2!$A$2:$M$1241,13,FALSE)," ")</f>
        <v xml:space="preserve"> </v>
      </c>
    </row>
    <row r="70" spans="1:16" x14ac:dyDescent="0.3">
      <c r="A70" s="1">
        <v>590</v>
      </c>
      <c r="B70" s="1">
        <v>4</v>
      </c>
      <c r="C70" s="1" t="s">
        <v>660</v>
      </c>
      <c r="D70" s="1" t="s">
        <v>149</v>
      </c>
      <c r="E70" s="5">
        <v>36882</v>
      </c>
      <c r="F70" s="1" t="str">
        <f>IF(B70=0,VLOOKUP(A70,Feuil2!$A$2:$M$1241,12,FALSE)," ")</f>
        <v xml:space="preserve"> </v>
      </c>
      <c r="G70" s="1" t="str">
        <f>IF(B70=0,VLOOKUP(A70,Feuil2!$A$2:$M$1241,11,FALSE)," ")</f>
        <v xml:space="preserve"> </v>
      </c>
      <c r="H70" s="1" t="s">
        <v>16</v>
      </c>
      <c r="I70" s="6" t="str">
        <f>IF(B70=0,VLOOKUP(A70,Feuil2!$A$2:$M$1241,7,FALSE)," ")</f>
        <v xml:space="preserve"> </v>
      </c>
      <c r="J70" s="1" t="str">
        <f>IF(B70=0,VLOOKUP(A70,Feuil2!$A$2:$M$1241,9,FALSE)," ")</f>
        <v xml:space="preserve"> </v>
      </c>
      <c r="K70" s="1" t="str">
        <f>IF(B70=0,VLOOKUP(A70,Feuil2!$A$2:$M$1241,10,FALSE)," ")</f>
        <v xml:space="preserve"> </v>
      </c>
      <c r="L70" s="1"/>
      <c r="M70" s="1"/>
      <c r="N70" s="1"/>
      <c r="O70" s="8" t="str">
        <f>IF(B70=0,VLOOKUP(A70,Feuil2!$A$2:$M$1241,13,FALSE)," ")</f>
        <v xml:space="preserve"> </v>
      </c>
    </row>
    <row r="71" spans="1:16" x14ac:dyDescent="0.3">
      <c r="A71" s="1">
        <v>590</v>
      </c>
      <c r="B71" s="1">
        <v>5</v>
      </c>
      <c r="C71" s="1" t="s">
        <v>660</v>
      </c>
      <c r="D71" s="1" t="s">
        <v>2331</v>
      </c>
      <c r="E71" s="5">
        <v>37976</v>
      </c>
      <c r="F71" s="1" t="str">
        <f>IF(B71=0,VLOOKUP(A71,Feuil2!$A$2:$M$1241,12,FALSE)," ")</f>
        <v xml:space="preserve"> </v>
      </c>
      <c r="G71" s="1" t="str">
        <f>IF(B71=0,VLOOKUP(A71,Feuil2!$A$2:$M$1241,11,FALSE)," ")</f>
        <v xml:space="preserve"> </v>
      </c>
      <c r="H71" s="1" t="s">
        <v>16</v>
      </c>
      <c r="I71" s="6" t="str">
        <f>IF(B71=0,VLOOKUP(A71,Feuil2!$A$2:$M$1241,7,FALSE)," ")</f>
        <v xml:space="preserve"> </v>
      </c>
      <c r="J71" s="1" t="str">
        <f>IF(B71=0,VLOOKUP(A71,Feuil2!$A$2:$M$1241,9,FALSE)," ")</f>
        <v xml:space="preserve"> </v>
      </c>
      <c r="K71" s="1" t="str">
        <f>IF(B71=0,VLOOKUP(A71,Feuil2!$A$2:$M$1241,10,FALSE)," ")</f>
        <v xml:space="preserve"> </v>
      </c>
      <c r="L71" s="1"/>
      <c r="M71" s="1"/>
      <c r="N71" s="1"/>
      <c r="O71" s="8" t="str">
        <f>IF(B71=0,VLOOKUP(A71,Feuil2!$A$2:$M$1241,13,FALSE)," ")</f>
        <v xml:space="preserve"> </v>
      </c>
    </row>
    <row r="72" spans="1:16" x14ac:dyDescent="0.3">
      <c r="A72" s="17">
        <v>599</v>
      </c>
      <c r="B72" s="17">
        <v>0</v>
      </c>
      <c r="C72" s="17" t="str">
        <f>IF(B72=0,VLOOKUP(A72,Feuil2!$A$2:$M$1241,2,FALSE)," ")</f>
        <v>LOGHMARI</v>
      </c>
      <c r="D72" s="17" t="str">
        <f>IF(B72=0,VLOOKUP(A72,Feuil2!$A$2:$M$1241,3,FALSE)," ")</f>
        <v>MOHAMED</v>
      </c>
      <c r="E72" s="18">
        <f>IF(B72=0,VLOOKUP(A72,Feuil2!$A$2:$M$1241,6,FALSE)," ")</f>
        <v>24432</v>
      </c>
      <c r="F72" s="17" t="str">
        <f>IF(B72=0,VLOOKUP(A72,Feuil2!$A$2:$M$1241,12,FALSE)," ")</f>
        <v>H</v>
      </c>
      <c r="G72" s="17" t="str">
        <f>IF(B72=0,VLOOKUP(A72,Feuil2!$A$2:$M$1241,11,FALSE)," ")</f>
        <v>M</v>
      </c>
      <c r="H72" s="17" t="s">
        <v>16</v>
      </c>
      <c r="I72" s="19">
        <f>IF(B72=0,VLOOKUP(A72,Feuil2!$A$2:$M$1241,7,FALSE)," ")</f>
        <v>2988440</v>
      </c>
      <c r="J72" s="17" t="str">
        <f>IF(B72=0,VLOOKUP(A72,Feuil2!$A$2:$M$1241,9,FALSE)," ")</f>
        <v>23 RUE ETIHAD</v>
      </c>
      <c r="K72" s="17" t="str">
        <f>IF(B72=0,VLOOKUP(A72,Feuil2!$A$2:$M$1241,10,FALSE)," ")</f>
        <v>Msaken 4070</v>
      </c>
      <c r="L72" s="17">
        <v>4070</v>
      </c>
      <c r="M72" s="17">
        <v>97479787</v>
      </c>
      <c r="N72" s="17"/>
      <c r="O72" s="21" t="s">
        <v>2361</v>
      </c>
      <c r="P72" t="s">
        <v>2805</v>
      </c>
    </row>
    <row r="73" spans="1:16" x14ac:dyDescent="0.3">
      <c r="A73" s="1">
        <v>599</v>
      </c>
      <c r="B73" s="1">
        <v>1</v>
      </c>
      <c r="C73" s="1" t="s">
        <v>190</v>
      </c>
      <c r="D73" s="1" t="s">
        <v>890</v>
      </c>
      <c r="E73" s="5">
        <v>26112</v>
      </c>
      <c r="F73" s="1" t="s">
        <v>17</v>
      </c>
      <c r="G73" s="1" t="s">
        <v>15</v>
      </c>
      <c r="H73" s="1" t="s">
        <v>16</v>
      </c>
      <c r="I73" s="6" t="str">
        <f>IF(B73=0,VLOOKUP(A73,Feuil2!$A$2:$M$1241,7,FALSE)," ")</f>
        <v xml:space="preserve"> </v>
      </c>
      <c r="J73" s="1" t="str">
        <f>IF(B73=0,VLOOKUP(A73,Feuil2!$A$2:$M$1241,9,FALSE)," ")</f>
        <v xml:space="preserve"> </v>
      </c>
      <c r="K73" s="1" t="str">
        <f>IF(B73=0,VLOOKUP(A73,Feuil2!$A$2:$M$1241,10,FALSE)," ")</f>
        <v xml:space="preserve"> </v>
      </c>
      <c r="L73" s="1"/>
      <c r="M73" s="1"/>
      <c r="N73" s="1"/>
      <c r="O73" s="8" t="str">
        <f>IF(B73=0,VLOOKUP(A73,Feuil2!$A$2:$M$1241,13,FALSE)," ")</f>
        <v xml:space="preserve"> </v>
      </c>
    </row>
    <row r="74" spans="1:16" x14ac:dyDescent="0.3">
      <c r="A74" s="1">
        <v>599</v>
      </c>
      <c r="B74" s="1">
        <v>2</v>
      </c>
      <c r="C74" s="1" t="s">
        <v>199</v>
      </c>
      <c r="D74" s="1" t="s">
        <v>402</v>
      </c>
      <c r="E74" s="5">
        <v>35692</v>
      </c>
      <c r="F74" s="1" t="s">
        <v>17</v>
      </c>
      <c r="G74" s="1" t="str">
        <f>IF(B74=0,VLOOKUP(A74,Feuil2!$A$2:$M$1241,11,FALSE)," ")</f>
        <v xml:space="preserve"> </v>
      </c>
      <c r="H74" s="1" t="s">
        <v>16</v>
      </c>
      <c r="I74" s="6" t="str">
        <f>IF(B74=0,VLOOKUP(A74,Feuil2!$A$2:$M$1241,7,FALSE)," ")</f>
        <v xml:space="preserve"> </v>
      </c>
      <c r="J74" s="1" t="str">
        <f>IF(B74=0,VLOOKUP(A74,Feuil2!$A$2:$M$1241,9,FALSE)," ")</f>
        <v xml:space="preserve"> </v>
      </c>
      <c r="K74" s="1" t="str">
        <f>IF(B74=0,VLOOKUP(A74,Feuil2!$A$2:$M$1241,10,FALSE)," ")</f>
        <v xml:space="preserve"> </v>
      </c>
      <c r="L74" s="1"/>
      <c r="M74" s="1"/>
      <c r="N74" s="1"/>
      <c r="O74" s="8" t="str">
        <f>IF(B74=0,VLOOKUP(A74,Feuil2!$A$2:$M$1241,13,FALSE)," ")</f>
        <v xml:space="preserve"> </v>
      </c>
    </row>
    <row r="75" spans="1:16" x14ac:dyDescent="0.3">
      <c r="A75" s="1">
        <v>599</v>
      </c>
      <c r="B75" s="1">
        <v>3</v>
      </c>
      <c r="C75" s="1" t="s">
        <v>199</v>
      </c>
      <c r="D75" s="1" t="s">
        <v>2345</v>
      </c>
      <c r="E75" s="5">
        <v>38394</v>
      </c>
      <c r="F75" s="1" t="s">
        <v>17</v>
      </c>
      <c r="G75" s="1" t="str">
        <f>IF(B75=0,VLOOKUP(A75,Feuil2!$A$2:$M$1241,11,FALSE)," ")</f>
        <v xml:space="preserve"> </v>
      </c>
      <c r="H75" s="1" t="s">
        <v>16</v>
      </c>
      <c r="I75" s="6" t="str">
        <f>IF(B75=0,VLOOKUP(A75,Feuil2!$A$2:$M$1241,7,FALSE)," ")</f>
        <v xml:space="preserve"> </v>
      </c>
      <c r="J75" s="1" t="str">
        <f>IF(B75=0,VLOOKUP(A75,Feuil2!$A$2:$M$1241,9,FALSE)," ")</f>
        <v xml:space="preserve"> </v>
      </c>
      <c r="K75" s="1" t="str">
        <f>IF(B75=0,VLOOKUP(A75,Feuil2!$A$2:$M$1241,10,FALSE)," ")</f>
        <v xml:space="preserve"> </v>
      </c>
      <c r="L75" s="1"/>
      <c r="M75" s="1"/>
      <c r="N75" s="1"/>
      <c r="O75" s="8" t="str">
        <f>IF(B75=0,VLOOKUP(A75,Feuil2!$A$2:$M$1241,13,FALSE)," ")</f>
        <v xml:space="preserve"> </v>
      </c>
    </row>
    <row r="76" spans="1:16" x14ac:dyDescent="0.3">
      <c r="A76" s="1">
        <v>599</v>
      </c>
      <c r="B76" s="1">
        <v>4</v>
      </c>
      <c r="C76" s="1" t="s">
        <v>199</v>
      </c>
      <c r="D76" s="1" t="s">
        <v>2346</v>
      </c>
      <c r="E76" s="5">
        <v>38394</v>
      </c>
      <c r="F76" s="1" t="s">
        <v>506</v>
      </c>
      <c r="G76" s="1" t="str">
        <f>IF(B76=0,VLOOKUP(A76,Feuil2!$A$2:$M$1241,11,FALSE)," ")</f>
        <v xml:space="preserve"> </v>
      </c>
      <c r="H76" s="1" t="s">
        <v>16</v>
      </c>
      <c r="I76" s="6" t="str">
        <f>IF(B76=0,VLOOKUP(A76,Feuil2!$A$2:$M$1241,7,FALSE)," ")</f>
        <v xml:space="preserve"> </v>
      </c>
      <c r="J76" s="1" t="str">
        <f>IF(B76=0,VLOOKUP(A76,Feuil2!$A$2:$M$1241,9,FALSE)," ")</f>
        <v xml:space="preserve"> </v>
      </c>
      <c r="K76" s="1" t="str">
        <f>IF(B76=0,VLOOKUP(A76,Feuil2!$A$2:$M$1241,10,FALSE)," ")</f>
        <v xml:space="preserve"> </v>
      </c>
      <c r="L76" s="1"/>
      <c r="M76" s="1"/>
      <c r="N76" s="1"/>
      <c r="O76" s="8" t="str">
        <f>IF(B76=0,VLOOKUP(A76,Feuil2!$A$2:$M$1241,13,FALSE)," ")</f>
        <v xml:space="preserve"> </v>
      </c>
    </row>
    <row r="77" spans="1:16" x14ac:dyDescent="0.3">
      <c r="A77" s="1">
        <v>599</v>
      </c>
      <c r="B77" s="1">
        <v>5</v>
      </c>
      <c r="C77" s="1" t="s">
        <v>199</v>
      </c>
      <c r="D77" s="1" t="s">
        <v>2347</v>
      </c>
      <c r="E77" s="5">
        <v>39780</v>
      </c>
      <c r="F77" s="1" t="s">
        <v>506</v>
      </c>
      <c r="G77" s="1" t="str">
        <f>IF(B77=0,VLOOKUP(A77,Feuil2!$A$2:$M$1241,11,FALSE)," ")</f>
        <v xml:space="preserve"> </v>
      </c>
      <c r="H77" s="1" t="s">
        <v>16</v>
      </c>
      <c r="I77" s="6" t="str">
        <f>IF(B77=0,VLOOKUP(A77,Feuil2!$A$2:$M$1241,7,FALSE)," ")</f>
        <v xml:space="preserve"> </v>
      </c>
      <c r="J77" s="1" t="str">
        <f>IF(B77=0,VLOOKUP(A77,Feuil2!$A$2:$M$1241,9,FALSE)," ")</f>
        <v xml:space="preserve"> </v>
      </c>
      <c r="K77" s="1" t="str">
        <f>IF(B77=0,VLOOKUP(A77,Feuil2!$A$2:$M$1241,10,FALSE)," ")</f>
        <v xml:space="preserve"> </v>
      </c>
      <c r="L77" s="1"/>
      <c r="M77" s="1"/>
      <c r="N77" s="1"/>
      <c r="O77" s="8" t="str">
        <f>IF(B77=0,VLOOKUP(A77,Feuil2!$A$2:$M$1241,13,FALSE)," ")</f>
        <v xml:space="preserve"> </v>
      </c>
    </row>
    <row r="78" spans="1:16" x14ac:dyDescent="0.3">
      <c r="A78" s="1">
        <v>606</v>
      </c>
      <c r="B78" s="1">
        <v>0</v>
      </c>
      <c r="C78" s="1" t="str">
        <f>IF(B78=0,VLOOKUP(A78,Feuil2!$A$2:$M$1241,2,FALSE)," ")</f>
        <v>MABROUK</v>
      </c>
      <c r="D78" s="1" t="str">
        <f>IF(B78=0,VLOOKUP(A78,Feuil2!$A$2:$M$1241,3,FALSE)," ")</f>
        <v>FREDJ</v>
      </c>
      <c r="E78" s="5">
        <f>IF(B78=0,VLOOKUP(A78,Feuil2!$A$2:$M$1241,6,FALSE)," ")</f>
        <v>23084</v>
      </c>
      <c r="F78" s="1" t="str">
        <f>IF(B78=0,VLOOKUP(A78,Feuil2!$A$2:$M$1241,12,FALSE)," ")</f>
        <v>H</v>
      </c>
      <c r="G78" s="1" t="str">
        <f>IF(B78=0,VLOOKUP(A78,Feuil2!$A$2:$M$1241,11,FALSE)," ")</f>
        <v>M</v>
      </c>
      <c r="H78" s="1" t="s">
        <v>16</v>
      </c>
      <c r="I78" s="6">
        <f>IF(B78=0,VLOOKUP(A78,Feuil2!$A$2:$M$1241,7,FALSE)," ")</f>
        <v>2945471</v>
      </c>
      <c r="J78" s="1" t="str">
        <f>IF(B78=0,VLOOKUP(A78,Feuil2!$A$2:$M$1241,9,FALSE)," ")</f>
        <v>Rue Abou Zamaa Elbelaoui</v>
      </c>
      <c r="K78" s="1" t="str">
        <f>IF(B78=0,VLOOKUP(A78,Feuil2!$A$2:$M$1241,10,FALSE)," ")</f>
        <v>Msaken 4070</v>
      </c>
      <c r="L78" s="1">
        <v>4070</v>
      </c>
      <c r="M78" s="1">
        <v>97122332</v>
      </c>
      <c r="N78" s="1"/>
      <c r="O78" s="8" t="str">
        <f>IF(B78=0,VLOOKUP(A78,Feuil2!$A$2:$M$1241,13,FALSE)," ")</f>
        <v>10506040511727378881</v>
      </c>
    </row>
    <row r="79" spans="1:16" x14ac:dyDescent="0.3">
      <c r="A79" s="1">
        <v>606</v>
      </c>
      <c r="B79" s="1">
        <v>1</v>
      </c>
      <c r="C79" s="1" t="s">
        <v>33</v>
      </c>
      <c r="D79" s="1" t="s">
        <v>413</v>
      </c>
      <c r="E79" s="5">
        <v>27779</v>
      </c>
      <c r="F79" s="1" t="s">
        <v>17</v>
      </c>
      <c r="G79" s="1" t="s">
        <v>15</v>
      </c>
      <c r="H79" s="1" t="s">
        <v>16</v>
      </c>
      <c r="I79" s="6" t="str">
        <f>IF(B79=0,VLOOKUP(A79,Feuil2!$A$2:$M$1241,7,FALSE)," ")</f>
        <v xml:space="preserve"> </v>
      </c>
      <c r="J79" s="1" t="str">
        <f>IF(B79=0,VLOOKUP(A79,Feuil2!$A$2:$M$1241,9,FALSE)," ")</f>
        <v xml:space="preserve"> </v>
      </c>
      <c r="K79" s="1" t="str">
        <f>IF(B79=0,VLOOKUP(A79,Feuil2!$A$2:$M$1241,10,FALSE)," ")</f>
        <v xml:space="preserve"> </v>
      </c>
      <c r="L79" s="1"/>
      <c r="M79" s="1"/>
      <c r="N79" s="1"/>
      <c r="O79" s="8" t="str">
        <f>IF(B79=0,VLOOKUP(A79,Feuil2!$A$2:$M$1241,13,FALSE)," ")</f>
        <v xml:space="preserve"> </v>
      </c>
    </row>
    <row r="80" spans="1:16" x14ac:dyDescent="0.3">
      <c r="A80" s="1">
        <v>606</v>
      </c>
      <c r="B80" s="1">
        <v>2</v>
      </c>
      <c r="C80" s="1" t="s">
        <v>251</v>
      </c>
      <c r="D80" s="1" t="s">
        <v>2407</v>
      </c>
      <c r="E80" s="5">
        <v>36031</v>
      </c>
      <c r="F80" s="1" t="s">
        <v>17</v>
      </c>
      <c r="G80" s="1" t="str">
        <f>IF(B80=0,VLOOKUP(A80,Feuil2!$A$2:$M$1241,11,FALSE)," ")</f>
        <v xml:space="preserve"> </v>
      </c>
      <c r="H80" s="1" t="s">
        <v>16</v>
      </c>
      <c r="I80" s="6" t="str">
        <f>IF(B80=0,VLOOKUP(A80,Feuil2!$A$2:$M$1241,7,FALSE)," ")</f>
        <v xml:space="preserve"> </v>
      </c>
      <c r="J80" s="1" t="str">
        <f>IF(B80=0,VLOOKUP(A80,Feuil2!$A$2:$M$1241,9,FALSE)," ")</f>
        <v xml:space="preserve"> </v>
      </c>
      <c r="K80" s="1" t="str">
        <f>IF(B80=0,VLOOKUP(A80,Feuil2!$A$2:$M$1241,10,FALSE)," ")</f>
        <v xml:space="preserve"> </v>
      </c>
      <c r="L80" s="1"/>
      <c r="M80" s="1"/>
      <c r="N80" s="1"/>
      <c r="O80" s="8" t="str">
        <f>IF(B80=0,VLOOKUP(A80,Feuil2!$A$2:$M$1241,13,FALSE)," ")</f>
        <v xml:space="preserve"> </v>
      </c>
    </row>
    <row r="81" spans="1:16" x14ac:dyDescent="0.3">
      <c r="A81" s="1">
        <v>606</v>
      </c>
      <c r="B81" s="1">
        <v>3</v>
      </c>
      <c r="C81" s="1" t="s">
        <v>251</v>
      </c>
      <c r="D81" s="1" t="s">
        <v>1596</v>
      </c>
      <c r="E81" s="5">
        <v>36506</v>
      </c>
      <c r="F81" s="1" t="s">
        <v>506</v>
      </c>
      <c r="G81" s="1" t="str">
        <f>IF(B81=0,VLOOKUP(A81,Feuil2!$A$2:$M$1241,11,FALSE)," ")</f>
        <v xml:space="preserve"> </v>
      </c>
      <c r="H81" s="1" t="s">
        <v>16</v>
      </c>
      <c r="I81" s="6" t="str">
        <f>IF(B81=0,VLOOKUP(A81,Feuil2!$A$2:$M$1241,7,FALSE)," ")</f>
        <v xml:space="preserve"> </v>
      </c>
      <c r="J81" s="1" t="str">
        <f>IF(B81=0,VLOOKUP(A81,Feuil2!$A$2:$M$1241,9,FALSE)," ")</f>
        <v xml:space="preserve"> </v>
      </c>
      <c r="K81" s="1" t="str">
        <f>IF(B81=0,VLOOKUP(A81,Feuil2!$A$2:$M$1241,10,FALSE)," ")</f>
        <v xml:space="preserve"> </v>
      </c>
      <c r="L81" s="1"/>
      <c r="M81" s="1"/>
      <c r="N81" s="1"/>
      <c r="O81" s="8" t="str">
        <f>IF(B81=0,VLOOKUP(A81,Feuil2!$A$2:$M$1241,13,FALSE)," ")</f>
        <v xml:space="preserve"> </v>
      </c>
    </row>
    <row r="82" spans="1:16" x14ac:dyDescent="0.3">
      <c r="A82" s="1">
        <v>606</v>
      </c>
      <c r="B82" s="1">
        <v>4</v>
      </c>
      <c r="C82" s="1" t="s">
        <v>251</v>
      </c>
      <c r="D82" s="1" t="s">
        <v>2408</v>
      </c>
      <c r="E82" s="5">
        <v>37450</v>
      </c>
      <c r="F82" s="1" t="s">
        <v>17</v>
      </c>
      <c r="G82" s="1" t="str">
        <f>IF(B82=0,VLOOKUP(A82,Feuil2!$A$2:$M$1241,11,FALSE)," ")</f>
        <v xml:space="preserve"> </v>
      </c>
      <c r="H82" s="1" t="s">
        <v>16</v>
      </c>
      <c r="I82" s="6" t="str">
        <f>IF(B82=0,VLOOKUP(A82,Feuil2!$A$2:$M$1241,7,FALSE)," ")</f>
        <v xml:space="preserve"> </v>
      </c>
      <c r="J82" s="1" t="str">
        <f>IF(B82=0,VLOOKUP(A82,Feuil2!$A$2:$M$1241,9,FALSE)," ")</f>
        <v xml:space="preserve"> </v>
      </c>
      <c r="K82" s="1" t="str">
        <f>IF(B82=0,VLOOKUP(A82,Feuil2!$A$2:$M$1241,10,FALSE)," ")</f>
        <v xml:space="preserve"> </v>
      </c>
      <c r="L82" s="1"/>
      <c r="M82" s="1"/>
      <c r="N82" s="1"/>
      <c r="O82" s="8" t="str">
        <f>IF(B82=0,VLOOKUP(A82,Feuil2!$A$2:$M$1241,13,FALSE)," ")</f>
        <v xml:space="preserve"> </v>
      </c>
    </row>
    <row r="83" spans="1:16" x14ac:dyDescent="0.3">
      <c r="A83" s="1">
        <v>606</v>
      </c>
      <c r="B83" s="1">
        <v>5</v>
      </c>
      <c r="C83" s="1" t="s">
        <v>251</v>
      </c>
      <c r="D83" s="1" t="s">
        <v>2409</v>
      </c>
      <c r="E83" s="5">
        <v>40477</v>
      </c>
      <c r="F83" s="1" t="s">
        <v>506</v>
      </c>
      <c r="G83" s="1" t="str">
        <f>IF(B83=0,VLOOKUP(A83,Feuil2!$A$2:$M$1241,11,FALSE)," ")</f>
        <v xml:space="preserve"> </v>
      </c>
      <c r="H83" s="1" t="s">
        <v>16</v>
      </c>
      <c r="I83" s="6" t="str">
        <f>IF(B83=0,VLOOKUP(A83,Feuil2!$A$2:$M$1241,7,FALSE)," ")</f>
        <v xml:space="preserve"> </v>
      </c>
      <c r="J83" s="1" t="str">
        <f>IF(B83=0,VLOOKUP(A83,Feuil2!$A$2:$M$1241,9,FALSE)," ")</f>
        <v xml:space="preserve"> </v>
      </c>
      <c r="K83" s="1" t="str">
        <f>IF(B83=0,VLOOKUP(A83,Feuil2!$A$2:$M$1241,10,FALSE)," ")</f>
        <v xml:space="preserve"> </v>
      </c>
      <c r="L83" s="1"/>
      <c r="M83" s="1"/>
      <c r="N83" s="1"/>
      <c r="O83" s="8" t="str">
        <f>IF(B83=0,VLOOKUP(A83,Feuil2!$A$2:$M$1241,13,FALSE)," ")</f>
        <v xml:space="preserve"> </v>
      </c>
    </row>
    <row r="84" spans="1:16" x14ac:dyDescent="0.3">
      <c r="A84" s="17">
        <v>645</v>
      </c>
      <c r="B84" s="17">
        <v>0</v>
      </c>
      <c r="C84" s="17" t="str">
        <f>IF(B84=0,VLOOKUP(A84,Feuil2!$A$2:$M$1241,2,FALSE)," ")</f>
        <v>MALLEH</v>
      </c>
      <c r="D84" s="17" t="str">
        <f>IF(B84=0,VLOOKUP(A84,Feuil2!$A$2:$M$1241,3,FALSE)," ")</f>
        <v>HATEM</v>
      </c>
      <c r="E84" s="18">
        <f>IF(B84=0,VLOOKUP(A84,Feuil2!$A$2:$M$1241,6,FALSE)," ")</f>
        <v>24447</v>
      </c>
      <c r="F84" s="17" t="str">
        <f>IF(B84=0,VLOOKUP(A84,Feuil2!$A$2:$M$1241,12,FALSE)," ")</f>
        <v>H</v>
      </c>
      <c r="G84" s="17" t="str">
        <f>IF(B84=0,VLOOKUP(A84,Feuil2!$A$2:$M$1241,11,FALSE)," ")</f>
        <v>M</v>
      </c>
      <c r="H84" s="17" t="s">
        <v>16</v>
      </c>
      <c r="I84" s="19">
        <f>IF(B84=0,VLOOKUP(A84,Feuil2!$A$2:$M$1241,7,FALSE)," ")</f>
        <v>2991373</v>
      </c>
      <c r="J84" s="17" t="str">
        <f>IF(B84=0,VLOOKUP(A84,Feuil2!$A$2:$M$1241,9,FALSE)," ")</f>
        <v>14 Rue Tarek Ibn Zied</v>
      </c>
      <c r="K84" s="17" t="str">
        <f>IF(B84=0,VLOOKUP(A84,Feuil2!$A$2:$M$1241,10,FALSE)," ")</f>
        <v>Moureddine</v>
      </c>
      <c r="L84" s="17"/>
      <c r="M84" s="17">
        <v>98793638</v>
      </c>
      <c r="N84" s="17"/>
      <c r="O84" s="20" t="str">
        <f>IF(B84=0,VLOOKUP(A84,Feuil2!$A$2:$M$1241,13,FALSE)," ")</f>
        <v>03508056010100104893</v>
      </c>
    </row>
    <row r="85" spans="1:16" x14ac:dyDescent="0.3">
      <c r="A85" s="1">
        <v>645</v>
      </c>
      <c r="B85" s="1">
        <v>1</v>
      </c>
      <c r="C85" s="1" t="s">
        <v>2489</v>
      </c>
      <c r="D85" s="1" t="s">
        <v>1005</v>
      </c>
      <c r="E85" s="5">
        <v>25894</v>
      </c>
      <c r="F85" s="1" t="s">
        <v>17</v>
      </c>
      <c r="G85" s="1" t="s">
        <v>15</v>
      </c>
      <c r="H85" s="1" t="s">
        <v>16</v>
      </c>
      <c r="I85" s="6" t="str">
        <f>IF(B85=0,VLOOKUP(A85,Feuil2!$A$2:$M$1241,7,FALSE)," ")</f>
        <v xml:space="preserve"> </v>
      </c>
      <c r="J85" s="1" t="str">
        <f>IF(B85=0,VLOOKUP(A85,Feuil2!$A$2:$M$1241,9,FALSE)," ")</f>
        <v xml:space="preserve"> </v>
      </c>
      <c r="K85" s="1" t="str">
        <f>IF(B85=0,VLOOKUP(A85,Feuil2!$A$2:$M$1241,10,FALSE)," ")</f>
        <v xml:space="preserve"> </v>
      </c>
      <c r="L85" s="1"/>
      <c r="M85" s="1"/>
      <c r="N85" s="1"/>
      <c r="O85" s="8" t="str">
        <f>IF(B85=0,VLOOKUP(A85,Feuil2!$A$2:$M$1241,13,FALSE)," ")</f>
        <v xml:space="preserve"> </v>
      </c>
    </row>
    <row r="86" spans="1:16" x14ac:dyDescent="0.3">
      <c r="A86" s="1">
        <v>645</v>
      </c>
      <c r="B86" s="1">
        <v>2</v>
      </c>
      <c r="C86" s="1" t="s">
        <v>458</v>
      </c>
      <c r="D86" s="1" t="s">
        <v>404</v>
      </c>
      <c r="E86" s="5">
        <v>35378</v>
      </c>
      <c r="F86" s="1" t="s">
        <v>17</v>
      </c>
      <c r="G86" s="1" t="str">
        <f>IF(B86=0,VLOOKUP(A86,Feuil2!$A$2:$M$1241,11,FALSE)," ")</f>
        <v xml:space="preserve"> </v>
      </c>
      <c r="H86" s="1" t="s">
        <v>16</v>
      </c>
      <c r="I86" s="6" t="str">
        <f>IF(B86=0,VLOOKUP(A86,Feuil2!$A$2:$M$1241,7,FALSE)," ")</f>
        <v xml:space="preserve"> </v>
      </c>
      <c r="J86" s="1" t="str">
        <f>IF(B86=0,VLOOKUP(A86,Feuil2!$A$2:$M$1241,9,FALSE)," ")</f>
        <v xml:space="preserve"> </v>
      </c>
      <c r="K86" s="1" t="str">
        <f>IF(B86=0,VLOOKUP(A86,Feuil2!$A$2:$M$1241,10,FALSE)," ")</f>
        <v xml:space="preserve"> </v>
      </c>
      <c r="L86" s="1"/>
      <c r="M86" s="1"/>
      <c r="N86" s="1"/>
      <c r="O86" s="8" t="str">
        <f>IF(B86=0,VLOOKUP(A86,Feuil2!$A$2:$M$1241,13,FALSE)," ")</f>
        <v xml:space="preserve"> </v>
      </c>
    </row>
    <row r="87" spans="1:16" x14ac:dyDescent="0.3">
      <c r="A87" s="1">
        <v>645</v>
      </c>
      <c r="B87" s="1">
        <v>3</v>
      </c>
      <c r="C87" s="1" t="s">
        <v>458</v>
      </c>
      <c r="D87" s="1" t="s">
        <v>2432</v>
      </c>
      <c r="E87" s="5">
        <v>36759</v>
      </c>
      <c r="F87" s="1" t="s">
        <v>17</v>
      </c>
      <c r="G87" s="1" t="str">
        <f>IF(B87=0,VLOOKUP(A87,Feuil2!$A$2:$M$1241,11,FALSE)," ")</f>
        <v xml:space="preserve"> </v>
      </c>
      <c r="H87" s="1" t="s">
        <v>16</v>
      </c>
      <c r="I87" s="6" t="str">
        <f>IF(B87=0,VLOOKUP(A87,Feuil2!$A$2:$M$1241,7,FALSE)," ")</f>
        <v xml:space="preserve"> </v>
      </c>
      <c r="J87" s="1" t="str">
        <f>IF(B87=0,VLOOKUP(A87,Feuil2!$A$2:$M$1241,9,FALSE)," ")</f>
        <v xml:space="preserve"> </v>
      </c>
      <c r="K87" s="1" t="str">
        <f>IF(B87=0,VLOOKUP(A87,Feuil2!$A$2:$M$1241,10,FALSE)," ")</f>
        <v xml:space="preserve"> </v>
      </c>
      <c r="L87" s="1"/>
      <c r="M87" s="1"/>
      <c r="N87" s="1"/>
      <c r="O87" s="8" t="str">
        <f>IF(B87=0,VLOOKUP(A87,Feuil2!$A$2:$M$1241,13,FALSE)," ")</f>
        <v xml:space="preserve"> </v>
      </c>
    </row>
    <row r="88" spans="1:16" x14ac:dyDescent="0.3">
      <c r="A88" s="1">
        <v>645</v>
      </c>
      <c r="B88" s="1">
        <v>4</v>
      </c>
      <c r="C88" s="1" t="s">
        <v>458</v>
      </c>
      <c r="D88" s="1" t="s">
        <v>2435</v>
      </c>
      <c r="E88" s="5">
        <v>38305</v>
      </c>
      <c r="F88" s="1" t="s">
        <v>17</v>
      </c>
      <c r="G88" s="1" t="str">
        <f>IF(B88=0,VLOOKUP(A88,Feuil2!$A$2:$M$1241,11,FALSE)," ")</f>
        <v xml:space="preserve"> </v>
      </c>
      <c r="H88" s="1" t="s">
        <v>16</v>
      </c>
      <c r="I88" s="6" t="str">
        <f>IF(B88=0,VLOOKUP(A88,Feuil2!$A$2:$M$1241,7,FALSE)," ")</f>
        <v xml:space="preserve"> </v>
      </c>
      <c r="J88" s="1" t="str">
        <f>IF(B88=0,VLOOKUP(A88,Feuil2!$A$2:$M$1241,9,FALSE)," ")</f>
        <v xml:space="preserve"> </v>
      </c>
      <c r="K88" s="1" t="str">
        <f>IF(B88=0,VLOOKUP(A88,Feuil2!$A$2:$M$1241,10,FALSE)," ")</f>
        <v xml:space="preserve"> </v>
      </c>
      <c r="L88" s="1"/>
      <c r="M88" s="1"/>
      <c r="N88" s="1"/>
      <c r="O88" s="8" t="str">
        <f>IF(B88=0,VLOOKUP(A88,Feuil2!$A$2:$M$1241,13,FALSE)," ")</f>
        <v xml:space="preserve"> </v>
      </c>
    </row>
    <row r="89" spans="1:16" x14ac:dyDescent="0.3">
      <c r="A89" s="1">
        <v>647</v>
      </c>
      <c r="B89" s="1">
        <v>0</v>
      </c>
      <c r="C89" s="1" t="str">
        <f>IF(B89=0,VLOOKUP(A89,Feuil2!$A$2:$M$1241,2,FALSE)," ")</f>
        <v>KHALIFA</v>
      </c>
      <c r="D89" s="1" t="str">
        <f>IF(B89=0,VLOOKUP(A89,Feuil2!$A$2:$M$1241,3,FALSE)," ")</f>
        <v>NACEUR</v>
      </c>
      <c r="E89" s="5">
        <f>IF(B89=0,VLOOKUP(A89,Feuil2!$A$2:$M$1241,6,FALSE)," ")</f>
        <v>24227</v>
      </c>
      <c r="F89" s="1" t="str">
        <f>IF(B89=0,VLOOKUP(A89,Feuil2!$A$2:$M$1241,12,FALSE)," ")</f>
        <v>H</v>
      </c>
      <c r="G89" s="1" t="str">
        <f>IF(B89=0,VLOOKUP(A89,Feuil2!$A$2:$M$1241,11,FALSE)," ")</f>
        <v>M</v>
      </c>
      <c r="H89" s="1" t="s">
        <v>16</v>
      </c>
      <c r="I89" s="6">
        <f>IF(B89=0,VLOOKUP(A89,Feuil2!$A$2:$M$1241,7,FALSE)," ")</f>
        <v>2970559</v>
      </c>
      <c r="J89" s="1" t="str">
        <f>IF(B89=0,VLOOKUP(A89,Feuil2!$A$2:$M$1241,9,FALSE)," ")</f>
        <v>10 Rue BÃ©chir Sfar</v>
      </c>
      <c r="K89" s="1" t="str">
        <f>IF(B89=0,VLOOKUP(A89,Feuil2!$A$2:$M$1241,10,FALSE)," ")</f>
        <v>Msaken 4070</v>
      </c>
      <c r="L89" s="1">
        <v>4070</v>
      </c>
      <c r="M89" s="1">
        <v>29151455</v>
      </c>
      <c r="N89" s="1"/>
      <c r="O89" s="8" t="str">
        <f>IF(B89=0,VLOOKUP(A89,Feuil2!$A$2:$M$1241,13,FALSE)," ")</f>
        <v>12505000580102810340</v>
      </c>
    </row>
    <row r="90" spans="1:16" x14ac:dyDescent="0.3">
      <c r="A90" s="1">
        <v>647</v>
      </c>
      <c r="B90" s="1">
        <v>1</v>
      </c>
      <c r="C90" s="1" t="s">
        <v>201</v>
      </c>
      <c r="D90" s="1" t="s">
        <v>600</v>
      </c>
      <c r="E90" s="5">
        <v>27525</v>
      </c>
      <c r="F90" s="1" t="s">
        <v>17</v>
      </c>
      <c r="G90" s="1" t="s">
        <v>15</v>
      </c>
      <c r="H90" s="1" t="s">
        <v>16</v>
      </c>
      <c r="I90" s="6" t="str">
        <f>IF(B90=0,VLOOKUP(A90,Feuil2!$A$2:$M$1241,7,FALSE)," ")</f>
        <v xml:space="preserve"> </v>
      </c>
      <c r="J90" s="1" t="str">
        <f>IF(B90=0,VLOOKUP(A90,Feuil2!$A$2:$M$1241,9,FALSE)," ")</f>
        <v xml:space="preserve"> </v>
      </c>
      <c r="K90" s="1" t="str">
        <f>IF(B90=0,VLOOKUP(A90,Feuil2!$A$2:$M$1241,10,FALSE)," ")</f>
        <v xml:space="preserve"> </v>
      </c>
      <c r="L90" s="1"/>
      <c r="M90" s="1"/>
      <c r="N90" s="1"/>
      <c r="O90" s="8" t="str">
        <f>IF(B90=0,VLOOKUP(A90,Feuil2!$A$2:$M$1241,13,FALSE)," ")</f>
        <v xml:space="preserve"> </v>
      </c>
    </row>
    <row r="91" spans="1:16" x14ac:dyDescent="0.3">
      <c r="A91" s="1">
        <v>647</v>
      </c>
      <c r="B91" s="1">
        <v>2</v>
      </c>
      <c r="C91" s="1" t="s">
        <v>201</v>
      </c>
      <c r="D91" s="1" t="s">
        <v>2387</v>
      </c>
      <c r="E91" s="5">
        <v>36248</v>
      </c>
      <c r="F91" s="1" t="s">
        <v>17</v>
      </c>
      <c r="G91" s="1" t="str">
        <f>IF(B91=0,VLOOKUP(A91,Feuil2!$A$2:$M$1241,11,FALSE)," ")</f>
        <v xml:space="preserve"> </v>
      </c>
      <c r="H91" s="1" t="s">
        <v>16</v>
      </c>
      <c r="I91" s="6" t="str">
        <f>IF(B91=0,VLOOKUP(A91,Feuil2!$A$2:$M$1241,7,FALSE)," ")</f>
        <v xml:space="preserve"> </v>
      </c>
      <c r="J91" s="1" t="str">
        <f>IF(B91=0,VLOOKUP(A91,Feuil2!$A$2:$M$1241,9,FALSE)," ")</f>
        <v xml:space="preserve"> </v>
      </c>
      <c r="K91" s="1" t="str">
        <f>IF(B91=0,VLOOKUP(A91,Feuil2!$A$2:$M$1241,10,FALSE)," ")</f>
        <v xml:space="preserve"> </v>
      </c>
      <c r="L91" s="1"/>
      <c r="M91" s="1"/>
      <c r="N91" s="1"/>
      <c r="O91" s="8" t="str">
        <f>IF(B91=0,VLOOKUP(A91,Feuil2!$A$2:$M$1241,13,FALSE)," ")</f>
        <v xml:space="preserve"> </v>
      </c>
    </row>
    <row r="92" spans="1:16" x14ac:dyDescent="0.3">
      <c r="A92" s="1">
        <v>647</v>
      </c>
      <c r="B92" s="1">
        <v>3</v>
      </c>
      <c r="C92" s="1" t="s">
        <v>201</v>
      </c>
      <c r="D92" s="1" t="s">
        <v>2388</v>
      </c>
      <c r="E92" s="5">
        <v>37941</v>
      </c>
      <c r="F92" s="1" t="s">
        <v>506</v>
      </c>
      <c r="G92" s="1" t="str">
        <f>IF(B92=0,VLOOKUP(A92,Feuil2!$A$2:$M$1241,11,FALSE)," ")</f>
        <v xml:space="preserve"> </v>
      </c>
      <c r="H92" s="1" t="s">
        <v>16</v>
      </c>
      <c r="I92" s="6" t="str">
        <f>IF(B92=0,VLOOKUP(A92,Feuil2!$A$2:$M$1241,7,FALSE)," ")</f>
        <v xml:space="preserve"> </v>
      </c>
      <c r="J92" s="1" t="str">
        <f>IF(B92=0,VLOOKUP(A92,Feuil2!$A$2:$M$1241,9,FALSE)," ")</f>
        <v xml:space="preserve"> </v>
      </c>
      <c r="K92" s="1" t="str">
        <f>IF(B92=0,VLOOKUP(A92,Feuil2!$A$2:$M$1241,10,FALSE)," ")</f>
        <v xml:space="preserve"> </v>
      </c>
      <c r="L92" s="1"/>
      <c r="M92" s="1"/>
      <c r="N92" s="1"/>
      <c r="O92" s="8" t="str">
        <f>IF(B92=0,VLOOKUP(A92,Feuil2!$A$2:$M$1241,13,FALSE)," ")</f>
        <v xml:space="preserve"> </v>
      </c>
    </row>
    <row r="93" spans="1:16" x14ac:dyDescent="0.3">
      <c r="A93" s="1">
        <v>647</v>
      </c>
      <c r="B93" s="1">
        <v>4</v>
      </c>
      <c r="C93" s="1" t="s">
        <v>201</v>
      </c>
      <c r="D93" s="1" t="s">
        <v>122</v>
      </c>
      <c r="E93" s="5">
        <v>39796</v>
      </c>
      <c r="F93" s="1" t="s">
        <v>506</v>
      </c>
      <c r="G93" s="1" t="str">
        <f>IF(B93=0,VLOOKUP(A93,Feuil2!$A$2:$M$1241,11,FALSE)," ")</f>
        <v xml:space="preserve"> </v>
      </c>
      <c r="H93" s="1" t="s">
        <v>16</v>
      </c>
      <c r="I93" s="6" t="str">
        <f>IF(B93=0,VLOOKUP(A93,Feuil2!$A$2:$M$1241,7,FALSE)," ")</f>
        <v xml:space="preserve"> </v>
      </c>
      <c r="J93" s="1" t="str">
        <f>IF(B93=0,VLOOKUP(A93,Feuil2!$A$2:$M$1241,9,FALSE)," ")</f>
        <v xml:space="preserve"> </v>
      </c>
      <c r="K93" s="1" t="str">
        <f>IF(B93=0,VLOOKUP(A93,Feuil2!$A$2:$M$1241,10,FALSE)," ")</f>
        <v xml:space="preserve"> </v>
      </c>
      <c r="L93" s="1"/>
      <c r="M93" s="1"/>
      <c r="N93" s="1"/>
      <c r="O93" s="8" t="str">
        <f>IF(B93=0,VLOOKUP(A93,Feuil2!$A$2:$M$1241,13,FALSE)," ")</f>
        <v xml:space="preserve"> </v>
      </c>
    </row>
    <row r="94" spans="1:16" x14ac:dyDescent="0.3">
      <c r="A94" s="1">
        <v>647</v>
      </c>
      <c r="B94" s="1">
        <v>5</v>
      </c>
      <c r="C94" s="1" t="s">
        <v>201</v>
      </c>
      <c r="D94" s="1" t="s">
        <v>2389</v>
      </c>
      <c r="E94" s="5">
        <v>40416</v>
      </c>
      <c r="F94" s="1" t="s">
        <v>17</v>
      </c>
      <c r="G94" s="1" t="str">
        <f>IF(B94=0,VLOOKUP(A94,Feuil2!$A$2:$M$1241,11,FALSE)," ")</f>
        <v xml:space="preserve"> </v>
      </c>
      <c r="H94" s="1" t="s">
        <v>16</v>
      </c>
      <c r="I94" s="6" t="str">
        <f>IF(B94=0,VLOOKUP(A94,Feuil2!$A$2:$M$1241,7,FALSE)," ")</f>
        <v xml:space="preserve"> </v>
      </c>
      <c r="J94" s="1" t="str">
        <f>IF(B94=0,VLOOKUP(A94,Feuil2!$A$2:$M$1241,9,FALSE)," ")</f>
        <v xml:space="preserve"> </v>
      </c>
      <c r="K94" s="1" t="str">
        <f>IF(B94=0,VLOOKUP(A94,Feuil2!$A$2:$M$1241,10,FALSE)," ")</f>
        <v xml:space="preserve"> </v>
      </c>
      <c r="L94" s="1"/>
      <c r="M94" s="1"/>
      <c r="N94" s="1"/>
      <c r="O94" s="8" t="str">
        <f>IF(B94=0,VLOOKUP(A94,Feuil2!$A$2:$M$1241,13,FALSE)," ")</f>
        <v xml:space="preserve"> </v>
      </c>
    </row>
    <row r="95" spans="1:16" x14ac:dyDescent="0.3">
      <c r="A95" s="17">
        <v>648</v>
      </c>
      <c r="B95" s="17">
        <v>0</v>
      </c>
      <c r="C95" s="17" t="str">
        <f>IF(B95=0,VLOOKUP(A95,Feuil2!$A$2:$M$1241,2,FALSE)," ")</f>
        <v>MANSOUR</v>
      </c>
      <c r="D95" s="17" t="str">
        <f>IF(B95=0,VLOOKUP(A95,Feuil2!$A$2:$M$1241,3,FALSE)," ")</f>
        <v>ABDELMEJID</v>
      </c>
      <c r="E95" s="18">
        <f>IF(B95=0,VLOOKUP(A95,Feuil2!$A$2:$M$1241,6,FALSE)," ")</f>
        <v>25362</v>
      </c>
      <c r="F95" s="17" t="str">
        <f>IF(B95=0,VLOOKUP(A95,Feuil2!$A$2:$M$1241,12,FALSE)," ")</f>
        <v>H</v>
      </c>
      <c r="G95" s="17" t="str">
        <f>IF(B95=0,VLOOKUP(A95,Feuil2!$A$2:$M$1241,11,FALSE)," ")</f>
        <v>M</v>
      </c>
      <c r="H95" s="17" t="s">
        <v>16</v>
      </c>
      <c r="I95" s="19">
        <f>IF(B95=0,VLOOKUP(A95,Feuil2!$A$2:$M$1241,7,FALSE)," ")</f>
        <v>2993666</v>
      </c>
      <c r="J95" s="17" t="str">
        <f>IF(B95=0,VLOOKUP(A95,Feuil2!$A$2:$M$1241,9,FALSE)," ")</f>
        <v>4015 Beni Rabiaa</v>
      </c>
      <c r="K95" s="17" t="str">
        <f>IF(B95=0,VLOOKUP(A95,Feuil2!$A$2:$M$1241,10,FALSE)," ")</f>
        <v>BÃ©ni Rabiaa 4015</v>
      </c>
      <c r="L95" s="17"/>
      <c r="M95" s="17">
        <v>98793710</v>
      </c>
      <c r="N95" s="17"/>
      <c r="O95" s="20" t="str">
        <f>IF(B95=0,VLOOKUP(A95,Feuil2!$A$2:$M$1241,13,FALSE)," ")</f>
        <v>12505000580101845093</v>
      </c>
      <c r="P95" t="s">
        <v>2805</v>
      </c>
    </row>
    <row r="96" spans="1:16" x14ac:dyDescent="0.3">
      <c r="A96" s="1">
        <v>648</v>
      </c>
      <c r="B96" s="1">
        <v>1</v>
      </c>
      <c r="C96" s="1" t="s">
        <v>2378</v>
      </c>
      <c r="D96" s="1" t="s">
        <v>629</v>
      </c>
      <c r="E96" s="5">
        <v>25872</v>
      </c>
      <c r="F96" s="1" t="s">
        <v>17</v>
      </c>
      <c r="G96" s="1" t="s">
        <v>15</v>
      </c>
      <c r="H96" s="1" t="s">
        <v>16</v>
      </c>
      <c r="I96" s="6" t="str">
        <f>IF(B96=0,VLOOKUP(A96,Feuil2!$A$2:$M$1241,7,FALSE)," ")</f>
        <v xml:space="preserve"> </v>
      </c>
      <c r="J96" s="1" t="str">
        <f>IF(B96=0,VLOOKUP(A96,Feuil2!$A$2:$M$1241,9,FALSE)," ")</f>
        <v xml:space="preserve"> </v>
      </c>
      <c r="K96" s="1" t="str">
        <f>IF(B96=0,VLOOKUP(A96,Feuil2!$A$2:$M$1241,10,FALSE)," ")</f>
        <v xml:space="preserve"> </v>
      </c>
      <c r="L96" s="1"/>
      <c r="M96" s="1"/>
      <c r="N96" s="1"/>
      <c r="O96" s="8" t="str">
        <f>IF(B96=0,VLOOKUP(A96,Feuil2!$A$2:$M$1241,13,FALSE)," ")</f>
        <v xml:space="preserve"> </v>
      </c>
    </row>
    <row r="97" spans="1:15" x14ac:dyDescent="0.3">
      <c r="A97" s="1">
        <v>648</v>
      </c>
      <c r="B97" s="1">
        <v>2</v>
      </c>
      <c r="C97" s="1" t="s">
        <v>197</v>
      </c>
      <c r="D97" s="1" t="s">
        <v>2379</v>
      </c>
      <c r="E97" s="5">
        <v>36600</v>
      </c>
      <c r="F97" s="1" t="s">
        <v>506</v>
      </c>
      <c r="G97" s="1" t="str">
        <f>IF(B97=0,VLOOKUP(A97,Feuil2!$A$2:$M$1241,11,FALSE)," ")</f>
        <v xml:space="preserve"> </v>
      </c>
      <c r="H97" s="1" t="s">
        <v>16</v>
      </c>
      <c r="I97" s="6" t="str">
        <f>IF(B97=0,VLOOKUP(A97,Feuil2!$A$2:$M$1241,7,FALSE)," ")</f>
        <v xml:space="preserve"> </v>
      </c>
      <c r="J97" s="1" t="str">
        <f>IF(B97=0,VLOOKUP(A97,Feuil2!$A$2:$M$1241,9,FALSE)," ")</f>
        <v xml:space="preserve"> </v>
      </c>
      <c r="K97" s="1" t="str">
        <f>IF(B97=0,VLOOKUP(A97,Feuil2!$A$2:$M$1241,10,FALSE)," ")</f>
        <v xml:space="preserve"> </v>
      </c>
      <c r="L97" s="1"/>
      <c r="M97" s="1"/>
      <c r="N97" s="1"/>
      <c r="O97" s="8" t="str">
        <f>IF(B97=0,VLOOKUP(A97,Feuil2!$A$2:$M$1241,13,FALSE)," ")</f>
        <v xml:space="preserve"> </v>
      </c>
    </row>
    <row r="98" spans="1:15" x14ac:dyDescent="0.3">
      <c r="A98" s="1">
        <v>648</v>
      </c>
      <c r="B98" s="1">
        <v>3</v>
      </c>
      <c r="C98" s="1" t="s">
        <v>197</v>
      </c>
      <c r="D98" s="1" t="s">
        <v>2380</v>
      </c>
      <c r="E98" s="5">
        <v>37097</v>
      </c>
      <c r="F98" s="1" t="s">
        <v>17</v>
      </c>
      <c r="G98" s="1" t="str">
        <f>IF(B98=0,VLOOKUP(A98,Feuil2!$A$2:$M$1241,11,FALSE)," ")</f>
        <v xml:space="preserve"> </v>
      </c>
      <c r="H98" s="1" t="s">
        <v>16</v>
      </c>
      <c r="I98" s="6" t="str">
        <f>IF(B98=0,VLOOKUP(A98,Feuil2!$A$2:$M$1241,7,FALSE)," ")</f>
        <v xml:space="preserve"> </v>
      </c>
      <c r="J98" s="1" t="str">
        <f>IF(B98=0,VLOOKUP(A98,Feuil2!$A$2:$M$1241,9,FALSE)," ")</f>
        <v xml:space="preserve"> </v>
      </c>
      <c r="K98" s="1" t="str">
        <f>IF(B98=0,VLOOKUP(A98,Feuil2!$A$2:$M$1241,10,FALSE)," ")</f>
        <v xml:space="preserve"> </v>
      </c>
      <c r="L98" s="1"/>
      <c r="M98" s="1"/>
      <c r="N98" s="1"/>
      <c r="O98" s="8" t="str">
        <f>IF(B98=0,VLOOKUP(A98,Feuil2!$A$2:$M$1241,13,FALSE)," ")</f>
        <v xml:space="preserve"> </v>
      </c>
    </row>
    <row r="99" spans="1:15" x14ac:dyDescent="0.3">
      <c r="A99" s="1">
        <v>648</v>
      </c>
      <c r="B99" s="1">
        <v>4</v>
      </c>
      <c r="C99" s="1" t="s">
        <v>197</v>
      </c>
      <c r="D99" s="1" t="s">
        <v>2384</v>
      </c>
      <c r="E99" s="5">
        <v>37911</v>
      </c>
      <c r="F99" s="1" t="s">
        <v>17</v>
      </c>
      <c r="G99" s="1" t="str">
        <f>IF(B99=0,VLOOKUP(A99,Feuil2!$A$2:$M$1241,11,FALSE)," ")</f>
        <v xml:space="preserve"> </v>
      </c>
      <c r="H99" s="1" t="s">
        <v>16</v>
      </c>
      <c r="I99" s="6" t="str">
        <f>IF(B99=0,VLOOKUP(A99,Feuil2!$A$2:$M$1241,7,FALSE)," ")</f>
        <v xml:space="preserve"> </v>
      </c>
      <c r="J99" s="1" t="str">
        <f>IF(B99=0,VLOOKUP(A99,Feuil2!$A$2:$M$1241,9,FALSE)," ")</f>
        <v xml:space="preserve"> </v>
      </c>
      <c r="K99" s="1" t="str">
        <f>IF(B99=0,VLOOKUP(A99,Feuil2!$A$2:$M$1241,10,FALSE)," ")</f>
        <v xml:space="preserve"> </v>
      </c>
      <c r="L99" s="1"/>
      <c r="M99" s="1"/>
      <c r="N99" s="1"/>
      <c r="O99" s="8" t="str">
        <f>IF(B99=0,VLOOKUP(A99,Feuil2!$A$2:$M$1241,13,FALSE)," ")</f>
        <v xml:space="preserve"> </v>
      </c>
    </row>
    <row r="100" spans="1:15" x14ac:dyDescent="0.3">
      <c r="A100" s="1">
        <v>648</v>
      </c>
      <c r="B100" s="1">
        <v>5</v>
      </c>
      <c r="C100" s="1" t="s">
        <v>197</v>
      </c>
      <c r="D100" s="1" t="s">
        <v>2381</v>
      </c>
      <c r="E100" s="5">
        <v>38867</v>
      </c>
      <c r="F100" s="1" t="s">
        <v>17</v>
      </c>
      <c r="G100" s="1" t="str">
        <f>IF(B100=0,VLOOKUP(A100,Feuil2!$A$2:$M$1241,11,FALSE)," ")</f>
        <v xml:space="preserve"> </v>
      </c>
      <c r="H100" s="1" t="s">
        <v>16</v>
      </c>
      <c r="I100" s="6" t="str">
        <f>IF(B100=0,VLOOKUP(A100,Feuil2!$A$2:$M$1241,7,FALSE)," ")</f>
        <v xml:space="preserve"> </v>
      </c>
      <c r="J100" s="1" t="str">
        <f>IF(B100=0,VLOOKUP(A100,Feuil2!$A$2:$M$1241,9,FALSE)," ")</f>
        <v xml:space="preserve"> </v>
      </c>
      <c r="K100" s="1" t="str">
        <f>IF(B100=0,VLOOKUP(A100,Feuil2!$A$2:$M$1241,10,FALSE)," ")</f>
        <v xml:space="preserve"> </v>
      </c>
      <c r="L100" s="1"/>
      <c r="M100" s="1"/>
      <c r="N100" s="1"/>
      <c r="O100" s="8" t="str">
        <f>IF(B100=0,VLOOKUP(A100,Feuil2!$A$2:$M$1241,13,FALSE)," ")</f>
        <v xml:space="preserve"> </v>
      </c>
    </row>
    <row r="101" spans="1:15" x14ac:dyDescent="0.3">
      <c r="A101" s="1">
        <v>648</v>
      </c>
      <c r="B101" s="1">
        <v>6</v>
      </c>
      <c r="C101" s="1" t="s">
        <v>197</v>
      </c>
      <c r="D101" s="1" t="s">
        <v>2382</v>
      </c>
      <c r="E101" s="5">
        <v>39393</v>
      </c>
      <c r="F101" s="1" t="s">
        <v>17</v>
      </c>
      <c r="G101" s="1" t="str">
        <f>IF(B101=0,VLOOKUP(A101,Feuil2!$A$2:$M$1241,11,FALSE)," ")</f>
        <v xml:space="preserve"> </v>
      </c>
      <c r="H101" s="1" t="s">
        <v>16</v>
      </c>
      <c r="I101" s="6" t="str">
        <f>IF(B101=0,VLOOKUP(A101,Feuil2!$A$2:$M$1241,7,FALSE)," ")</f>
        <v xml:space="preserve"> </v>
      </c>
      <c r="J101" s="1" t="str">
        <f>IF(B101=0,VLOOKUP(A101,Feuil2!$A$2:$M$1241,9,FALSE)," ")</f>
        <v xml:space="preserve"> </v>
      </c>
      <c r="K101" s="1" t="str">
        <f>IF(B101=0,VLOOKUP(A101,Feuil2!$A$2:$M$1241,10,FALSE)," ")</f>
        <v xml:space="preserve"> </v>
      </c>
      <c r="L101" s="1"/>
      <c r="M101" s="1"/>
      <c r="N101" s="1"/>
      <c r="O101" s="8" t="str">
        <f>IF(B101=0,VLOOKUP(A101,Feuil2!$A$2:$M$1241,13,FALSE)," ")</f>
        <v xml:space="preserve"> </v>
      </c>
    </row>
    <row r="102" spans="1:15" x14ac:dyDescent="0.3">
      <c r="A102" s="17">
        <v>659</v>
      </c>
      <c r="B102" s="17">
        <v>0</v>
      </c>
      <c r="C102" s="17" t="str">
        <f>IF(B102=0,VLOOKUP(A102,Feuil2!$A$2:$M$1241,2,FALSE)," ")</f>
        <v>NABLI</v>
      </c>
      <c r="D102" s="17" t="str">
        <f>IF(B102=0,VLOOKUP(A102,Feuil2!$A$2:$M$1241,3,FALSE)," ")</f>
        <v>SAYED</v>
      </c>
      <c r="E102" s="18">
        <f>IF(B102=0,VLOOKUP(A102,Feuil2!$A$2:$M$1241,6,FALSE)," ")</f>
        <v>23528</v>
      </c>
      <c r="F102" s="17" t="str">
        <f>IF(B102=0,VLOOKUP(A102,Feuil2!$A$2:$M$1241,12,FALSE)," ")</f>
        <v>H</v>
      </c>
      <c r="G102" s="17" t="str">
        <f>IF(B102=0,VLOOKUP(A102,Feuil2!$A$2:$M$1241,11,FALSE)," ")</f>
        <v>M</v>
      </c>
      <c r="H102" s="17" t="s">
        <v>16</v>
      </c>
      <c r="I102" s="19">
        <f>IF(B102=0,VLOOKUP(A102,Feuil2!$A$2:$M$1241,7,FALSE)," ")</f>
        <v>2952181</v>
      </c>
      <c r="J102" s="17" t="str">
        <f>IF(B102=0,VLOOKUP(A102,Feuil2!$A$2:$M$1241,9,FALSE)," ")</f>
        <v>79 R Abou Hamed El Ghazali Bou</v>
      </c>
      <c r="K102" s="17" t="str">
        <f>IF(B102=0,VLOOKUP(A102,Feuil2!$A$2:$M$1241,10,FALSE)," ")</f>
        <v>NULL</v>
      </c>
      <c r="L102" s="17"/>
      <c r="M102" s="17">
        <v>97523898</v>
      </c>
      <c r="N102" s="17"/>
      <c r="O102" s="20" t="str">
        <f>IF(B102=0,VLOOKUP(A102,Feuil2!$A$2:$M$1241,13,FALSE)," ")</f>
        <v>04500043404005457181</v>
      </c>
    </row>
    <row r="103" spans="1:15" x14ac:dyDescent="0.3">
      <c r="A103" s="1">
        <v>659</v>
      </c>
      <c r="B103" s="1">
        <v>1</v>
      </c>
      <c r="C103" s="1" t="s">
        <v>2439</v>
      </c>
      <c r="D103" s="1" t="s">
        <v>749</v>
      </c>
      <c r="E103" s="5">
        <v>26314</v>
      </c>
      <c r="F103" s="1" t="s">
        <v>17</v>
      </c>
      <c r="G103" s="1" t="s">
        <v>15</v>
      </c>
      <c r="H103" s="1" t="s">
        <v>16</v>
      </c>
      <c r="I103" s="6" t="str">
        <f>IF(B103=0,VLOOKUP(A103,Feuil2!$A$2:$M$1241,7,FALSE)," ")</f>
        <v xml:space="preserve"> </v>
      </c>
      <c r="J103" s="1" t="str">
        <f>IF(B103=0,VLOOKUP(A103,Feuil2!$A$2:$M$1241,9,FALSE)," ")</f>
        <v xml:space="preserve"> </v>
      </c>
      <c r="K103" s="1" t="str">
        <f>IF(B103=0,VLOOKUP(A103,Feuil2!$A$2:$M$1241,10,FALSE)," ")</f>
        <v xml:space="preserve"> </v>
      </c>
      <c r="L103" s="1"/>
      <c r="M103" s="1"/>
      <c r="N103" s="1"/>
      <c r="O103" s="8" t="str">
        <f>IF(B103=0,VLOOKUP(A103,Feuil2!$A$2:$M$1241,13,FALSE)," ")</f>
        <v xml:space="preserve"> </v>
      </c>
    </row>
    <row r="104" spans="1:15" x14ac:dyDescent="0.3">
      <c r="A104" s="1">
        <v>659</v>
      </c>
      <c r="B104" s="1">
        <v>2</v>
      </c>
      <c r="C104" s="1" t="s">
        <v>153</v>
      </c>
      <c r="D104" s="1" t="s">
        <v>2345</v>
      </c>
      <c r="E104" s="5">
        <v>36031</v>
      </c>
      <c r="F104" s="1" t="s">
        <v>17</v>
      </c>
      <c r="G104" s="1" t="str">
        <f>IF(B104=0,VLOOKUP(A104,Feuil2!$A$2:$M$1241,11,FALSE)," ")</f>
        <v xml:space="preserve"> </v>
      </c>
      <c r="H104" s="1" t="s">
        <v>16</v>
      </c>
      <c r="I104" s="6" t="str">
        <f>IF(B104=0,VLOOKUP(A104,Feuil2!$A$2:$M$1241,7,FALSE)," ")</f>
        <v xml:space="preserve"> </v>
      </c>
      <c r="J104" s="1" t="str">
        <f>IF(B104=0,VLOOKUP(A104,Feuil2!$A$2:$M$1241,9,FALSE)," ")</f>
        <v xml:space="preserve"> </v>
      </c>
      <c r="K104" s="1" t="str">
        <f>IF(B104=0,VLOOKUP(A104,Feuil2!$A$2:$M$1241,10,FALSE)," ")</f>
        <v xml:space="preserve"> </v>
      </c>
      <c r="L104" s="1"/>
      <c r="M104" s="1"/>
      <c r="N104" s="1"/>
      <c r="O104" s="8" t="str">
        <f>IF(B104=0,VLOOKUP(A104,Feuil2!$A$2:$M$1241,13,FALSE)," ")</f>
        <v xml:space="preserve"> </v>
      </c>
    </row>
    <row r="105" spans="1:15" x14ac:dyDescent="0.3">
      <c r="A105" s="1">
        <v>659</v>
      </c>
      <c r="B105" s="1">
        <v>3</v>
      </c>
      <c r="C105" s="1" t="s">
        <v>153</v>
      </c>
      <c r="D105" s="1" t="s">
        <v>2440</v>
      </c>
      <c r="E105" s="5">
        <v>38833</v>
      </c>
      <c r="F105" s="1" t="s">
        <v>17</v>
      </c>
      <c r="G105" s="1" t="str">
        <f>IF(B105=0,VLOOKUP(A105,Feuil2!$A$2:$M$1241,11,FALSE)," ")</f>
        <v xml:space="preserve"> </v>
      </c>
      <c r="H105" s="1" t="s">
        <v>16</v>
      </c>
      <c r="I105" s="6" t="str">
        <f>IF(B105=0,VLOOKUP(A105,Feuil2!$A$2:$M$1241,7,FALSE)," ")</f>
        <v xml:space="preserve"> </v>
      </c>
      <c r="J105" s="1" t="str">
        <f>IF(B105=0,VLOOKUP(A105,Feuil2!$A$2:$M$1241,9,FALSE)," ")</f>
        <v xml:space="preserve"> </v>
      </c>
      <c r="K105" s="1" t="str">
        <f>IF(B105=0,VLOOKUP(A105,Feuil2!$A$2:$M$1241,10,FALSE)," ")</f>
        <v xml:space="preserve"> </v>
      </c>
      <c r="L105" s="1"/>
      <c r="M105" s="1"/>
      <c r="N105" s="1"/>
      <c r="O105" s="8" t="str">
        <f>IF(B105=0,VLOOKUP(A105,Feuil2!$A$2:$M$1241,13,FALSE)," ")</f>
        <v xml:space="preserve"> </v>
      </c>
    </row>
    <row r="106" spans="1:15" x14ac:dyDescent="0.3">
      <c r="A106" s="1">
        <v>695</v>
      </c>
      <c r="B106" s="1">
        <v>0</v>
      </c>
      <c r="C106" s="1" t="str">
        <f>IF(B106=0,VLOOKUP(A106,Feuil2!$A$2:$M$1241,2,FALSE)," ")</f>
        <v>LAAJILI</v>
      </c>
      <c r="D106" s="1" t="str">
        <f>IF(B106=0,VLOOKUP(A106,Feuil2!$A$2:$M$1241,3,FALSE)," ")</f>
        <v>ABDELHAMID</v>
      </c>
      <c r="E106" s="5">
        <f>IF(B106=0,VLOOKUP(A106,Feuil2!$A$2:$M$1241,6,FALSE)," ")</f>
        <v>24753</v>
      </c>
      <c r="F106" s="1" t="str">
        <f>IF(B106=0,VLOOKUP(A106,Feuil2!$A$2:$M$1241,12,FALSE)," ")</f>
        <v>H</v>
      </c>
      <c r="G106" s="1" t="str">
        <f>IF(B106=0,VLOOKUP(A106,Feuil2!$A$2:$M$1241,11,FALSE)," ")</f>
        <v>M</v>
      </c>
      <c r="H106" s="1" t="s">
        <v>16</v>
      </c>
      <c r="I106" s="6">
        <f>IF(B106=0,VLOOKUP(A106,Feuil2!$A$2:$M$1241,7,FALSE)," ")</f>
        <v>5501436</v>
      </c>
      <c r="J106" s="1" t="str">
        <f>IF(B106=0,VLOOKUP(A106,Feuil2!$A$2:$M$1241,9,FALSE)," ")</f>
        <v>Rue du LycÃ©e</v>
      </c>
      <c r="K106" s="1" t="str">
        <f>IF(B106=0,VLOOKUP(A106,Feuil2!$A$2:$M$1241,10,FALSE)," ")</f>
        <v>Messadine 4013</v>
      </c>
      <c r="L106" s="1"/>
      <c r="M106" s="1">
        <v>26429541</v>
      </c>
      <c r="N106" s="1"/>
      <c r="O106" s="8" t="str">
        <f>IF(B106=0,VLOOKUP(A106,Feuil2!$A$2:$M$1241,13,FALSE)," ")</f>
        <v>10506040204305878826</v>
      </c>
    </row>
    <row r="107" spans="1:15" x14ac:dyDescent="0.3">
      <c r="A107" s="1">
        <v>695</v>
      </c>
      <c r="B107" s="1">
        <v>1</v>
      </c>
      <c r="C107" s="1" t="s">
        <v>79</v>
      </c>
      <c r="D107" s="1" t="s">
        <v>413</v>
      </c>
      <c r="E107" s="5">
        <v>28334</v>
      </c>
      <c r="F107" s="1" t="s">
        <v>17</v>
      </c>
      <c r="G107" s="1" t="s">
        <v>15</v>
      </c>
      <c r="H107" s="1" t="s">
        <v>16</v>
      </c>
      <c r="I107" s="6" t="str">
        <f>IF(B107=0,VLOOKUP(A107,Feuil2!$A$2:$M$1241,7,FALSE)," ")</f>
        <v xml:space="preserve"> </v>
      </c>
      <c r="J107" s="1" t="str">
        <f>IF(B107=0,VLOOKUP(A107,Feuil2!$A$2:$M$1241,9,FALSE)," ")</f>
        <v xml:space="preserve"> </v>
      </c>
      <c r="K107" s="1" t="str">
        <f>IF(B107=0,VLOOKUP(A107,Feuil2!$A$2:$M$1241,10,FALSE)," ")</f>
        <v xml:space="preserve"> </v>
      </c>
      <c r="L107" s="1"/>
      <c r="M107" s="1"/>
      <c r="N107" s="1"/>
      <c r="O107" s="8" t="str">
        <f>IF(B107=0,VLOOKUP(A107,Feuil2!$A$2:$M$1241,13,FALSE)," ")</f>
        <v xml:space="preserve"> </v>
      </c>
    </row>
    <row r="108" spans="1:15" x14ac:dyDescent="0.3">
      <c r="A108" s="1">
        <v>695</v>
      </c>
      <c r="B108" s="1">
        <v>2</v>
      </c>
      <c r="C108" s="1" t="s">
        <v>79</v>
      </c>
      <c r="D108" s="1" t="s">
        <v>2371</v>
      </c>
      <c r="E108" s="5">
        <v>36570</v>
      </c>
      <c r="F108" s="1" t="s">
        <v>17</v>
      </c>
      <c r="G108" s="1" t="str">
        <f>IF(B108=0,VLOOKUP(A108,Feuil2!$A$2:$M$1241,11,FALSE)," ")</f>
        <v xml:space="preserve"> </v>
      </c>
      <c r="H108" s="1" t="s">
        <v>16</v>
      </c>
      <c r="I108" s="6" t="str">
        <f>IF(B108=0,VLOOKUP(A108,Feuil2!$A$2:$M$1241,7,FALSE)," ")</f>
        <v xml:space="preserve"> </v>
      </c>
      <c r="J108" s="1" t="str">
        <f>IF(B108=0,VLOOKUP(A108,Feuil2!$A$2:$M$1241,9,FALSE)," ")</f>
        <v xml:space="preserve"> </v>
      </c>
      <c r="K108" s="1" t="str">
        <f>IF(B108=0,VLOOKUP(A108,Feuil2!$A$2:$M$1241,10,FALSE)," ")</f>
        <v xml:space="preserve"> </v>
      </c>
      <c r="L108" s="1"/>
      <c r="M108" s="1"/>
      <c r="N108" s="1"/>
      <c r="O108" s="8" t="str">
        <f>IF(B108=0,VLOOKUP(A108,Feuil2!$A$2:$M$1241,13,FALSE)," ")</f>
        <v xml:space="preserve"> </v>
      </c>
    </row>
    <row r="109" spans="1:15" x14ac:dyDescent="0.3">
      <c r="A109" s="1">
        <v>695</v>
      </c>
      <c r="B109" s="1">
        <v>3</v>
      </c>
      <c r="C109" s="1" t="s">
        <v>79</v>
      </c>
      <c r="D109" s="1" t="s">
        <v>2424</v>
      </c>
      <c r="E109" s="5">
        <v>37321</v>
      </c>
      <c r="F109" s="1" t="s">
        <v>506</v>
      </c>
      <c r="G109" s="1" t="str">
        <f>IF(B109=0,VLOOKUP(A109,Feuil2!$A$2:$M$1241,11,FALSE)," ")</f>
        <v xml:space="preserve"> </v>
      </c>
      <c r="H109" s="1" t="s">
        <v>16</v>
      </c>
      <c r="I109" s="6" t="str">
        <f>IF(B109=0,VLOOKUP(A109,Feuil2!$A$2:$M$1241,7,FALSE)," ")</f>
        <v xml:space="preserve"> </v>
      </c>
      <c r="J109" s="1" t="str">
        <f>IF(B109=0,VLOOKUP(A109,Feuil2!$A$2:$M$1241,9,FALSE)," ")</f>
        <v xml:space="preserve"> </v>
      </c>
      <c r="K109" s="1" t="str">
        <f>IF(B109=0,VLOOKUP(A109,Feuil2!$A$2:$M$1241,10,FALSE)," ")</f>
        <v xml:space="preserve"> </v>
      </c>
      <c r="L109" s="1"/>
      <c r="M109" s="1"/>
      <c r="N109" s="1"/>
      <c r="O109" s="8" t="str">
        <f>IF(B109=0,VLOOKUP(A109,Feuil2!$A$2:$M$1241,13,FALSE)," ")</f>
        <v xml:space="preserve"> </v>
      </c>
    </row>
    <row r="110" spans="1:15" x14ac:dyDescent="0.3">
      <c r="A110" s="1">
        <v>695</v>
      </c>
      <c r="B110" s="1">
        <v>4</v>
      </c>
      <c r="C110" s="1" t="s">
        <v>79</v>
      </c>
      <c r="D110" s="1" t="s">
        <v>235</v>
      </c>
      <c r="E110" s="5">
        <v>37931</v>
      </c>
      <c r="F110" s="1" t="s">
        <v>506</v>
      </c>
      <c r="G110" s="1" t="str">
        <f>IF(B110=0,VLOOKUP(A110,Feuil2!$A$2:$M$1241,11,FALSE)," ")</f>
        <v xml:space="preserve"> </v>
      </c>
      <c r="H110" s="1" t="s">
        <v>16</v>
      </c>
      <c r="I110" s="6" t="str">
        <f>IF(B110=0,VLOOKUP(A110,Feuil2!$A$2:$M$1241,7,FALSE)," ")</f>
        <v xml:space="preserve"> </v>
      </c>
      <c r="J110" s="1" t="str">
        <f>IF(B110=0,VLOOKUP(A110,Feuil2!$A$2:$M$1241,9,FALSE)," ")</f>
        <v xml:space="preserve"> </v>
      </c>
      <c r="K110" s="1" t="str">
        <f>IF(B110=0,VLOOKUP(A110,Feuil2!$A$2:$M$1241,10,FALSE)," ")</f>
        <v xml:space="preserve"> </v>
      </c>
      <c r="L110" s="1"/>
      <c r="M110" s="1"/>
      <c r="N110" s="1"/>
      <c r="O110" s="8" t="str">
        <f>IF(B110=0,VLOOKUP(A110,Feuil2!$A$2:$M$1241,13,FALSE)," ")</f>
        <v xml:space="preserve"> </v>
      </c>
    </row>
    <row r="111" spans="1:15" x14ac:dyDescent="0.3">
      <c r="A111" s="1">
        <v>700</v>
      </c>
      <c r="B111" s="1">
        <v>0</v>
      </c>
      <c r="C111" s="1" t="str">
        <f>IF(B111=0,VLOOKUP(A111,Feuil2!$A$2:$M$1241,2,FALSE)," ")</f>
        <v>ZORGATI</v>
      </c>
      <c r="D111" s="1" t="str">
        <f>IF(B111=0,VLOOKUP(A111,Feuil2!$A$2:$M$1241,3,FALSE)," ")</f>
        <v>ABDELFATTEH</v>
      </c>
      <c r="E111" s="5">
        <f>IF(B111=0,VLOOKUP(A111,Feuil2!$A$2:$M$1241,6,FALSE)," ")</f>
        <v>24231</v>
      </c>
      <c r="F111" s="1" t="str">
        <f>IF(B111=0,VLOOKUP(A111,Feuil2!$A$2:$M$1241,12,FALSE)," ")</f>
        <v>H</v>
      </c>
      <c r="G111" s="1" t="str">
        <f>IF(B111=0,VLOOKUP(A111,Feuil2!$A$2:$M$1241,11,FALSE)," ")</f>
        <v>M</v>
      </c>
      <c r="H111" s="1" t="s">
        <v>16</v>
      </c>
      <c r="I111" s="6">
        <f>IF(B111=0,VLOOKUP(A111,Feuil2!$A$2:$M$1241,7,FALSE)," ")</f>
        <v>2971965</v>
      </c>
      <c r="J111" s="1" t="str">
        <f>IF(B111=0,VLOOKUP(A111,Feuil2!$A$2:$M$1241,9,FALSE)," ")</f>
        <v>75 Rue El Falah</v>
      </c>
      <c r="K111" s="1" t="str">
        <f>IF(B111=0,VLOOKUP(A111,Feuil2!$A$2:$M$1241,10,FALSE)," ")</f>
        <v>Msaken 4070</v>
      </c>
      <c r="L111" s="1">
        <v>4070</v>
      </c>
      <c r="M111">
        <v>98793666</v>
      </c>
      <c r="N111" s="2"/>
      <c r="O111" s="8" t="str">
        <f>IF(B111=0,VLOOKUP(A111,Feuil2!$A$2:$M$1241,13,FALSE)," ")</f>
        <v>10506040204814278815</v>
      </c>
    </row>
    <row r="112" spans="1:15" x14ac:dyDescent="0.3">
      <c r="A112" s="1">
        <v>700</v>
      </c>
      <c r="B112" s="1">
        <v>1</v>
      </c>
      <c r="C112" s="1" t="s">
        <v>2326</v>
      </c>
      <c r="D112" s="1" t="s">
        <v>2327</v>
      </c>
      <c r="E112" s="5">
        <v>26330</v>
      </c>
      <c r="F112" s="1" t="s">
        <v>17</v>
      </c>
      <c r="G112" s="1" t="s">
        <v>15</v>
      </c>
      <c r="H112" s="1" t="s">
        <v>16</v>
      </c>
      <c r="I112" s="6" t="str">
        <f>IF(B112=0,VLOOKUP(A112,Feuil2!$A$2:$M$1241,7,FALSE)," ")</f>
        <v xml:space="preserve"> </v>
      </c>
      <c r="J112" s="1" t="str">
        <f>IF(B112=0,VLOOKUP(A112,Feuil2!$A$2:$M$1241,9,FALSE)," ")</f>
        <v xml:space="preserve"> </v>
      </c>
      <c r="K112" s="1" t="str">
        <f>IF(B112=0,VLOOKUP(A112,Feuil2!$A$2:$M$1241,10,FALSE)," ")</f>
        <v xml:space="preserve"> </v>
      </c>
      <c r="L112" s="1"/>
      <c r="M112" s="1"/>
      <c r="N112" s="1"/>
      <c r="O112" s="8" t="str">
        <f>IF(B112=0,VLOOKUP(A112,Feuil2!$A$2:$M$1241,13,FALSE)," ")</f>
        <v xml:space="preserve"> </v>
      </c>
    </row>
    <row r="113" spans="1:15" x14ac:dyDescent="0.3">
      <c r="A113" s="1">
        <v>700</v>
      </c>
      <c r="B113" s="1">
        <v>2</v>
      </c>
      <c r="C113" s="1" t="s">
        <v>179</v>
      </c>
      <c r="D113" s="1" t="s">
        <v>2328</v>
      </c>
      <c r="E113" s="5">
        <v>38275</v>
      </c>
      <c r="F113" s="1" t="s">
        <v>17</v>
      </c>
      <c r="G113" s="1" t="str">
        <f>IF(B113=0,VLOOKUP(A113,Feuil2!$A$2:$M$1241,11,FALSE)," ")</f>
        <v xml:space="preserve"> </v>
      </c>
      <c r="H113" s="1" t="s">
        <v>16</v>
      </c>
      <c r="I113" s="6" t="str">
        <f>IF(B113=0,VLOOKUP(A113,Feuil2!$A$2:$M$1241,7,FALSE)," ")</f>
        <v xml:space="preserve"> </v>
      </c>
      <c r="J113" s="1" t="str">
        <f>IF(B113=0,VLOOKUP(A113,Feuil2!$A$2:$M$1241,9,FALSE)," ")</f>
        <v xml:space="preserve"> </v>
      </c>
      <c r="K113" s="1" t="str">
        <f>IF(B113=0,VLOOKUP(A113,Feuil2!$A$2:$M$1241,10,FALSE)," ")</f>
        <v xml:space="preserve"> </v>
      </c>
      <c r="L113" s="1"/>
      <c r="M113" s="1"/>
      <c r="N113" s="1"/>
      <c r="O113" s="8" t="str">
        <f>IF(B113=0,VLOOKUP(A113,Feuil2!$A$2:$M$1241,13,FALSE)," ")</f>
        <v xml:space="preserve"> </v>
      </c>
    </row>
    <row r="114" spans="1:15" x14ac:dyDescent="0.3">
      <c r="A114" s="1">
        <v>721</v>
      </c>
      <c r="B114" s="1">
        <v>0</v>
      </c>
      <c r="C114" s="1" t="str">
        <f>IF(B114=0,VLOOKUP(A114,Feuil2!$A$2:$M$1241,2,FALSE)," ")</f>
        <v>BEN ABDELJELIL</v>
      </c>
      <c r="D114" s="1" t="str">
        <f>IF(B114=0,VLOOKUP(A114,Feuil2!$A$2:$M$1241,3,FALSE)," ")</f>
        <v>WAHID</v>
      </c>
      <c r="E114" s="5">
        <f>IF(B114=0,VLOOKUP(A114,Feuil2!$A$2:$M$1241,6,FALSE)," ")</f>
        <v>24231</v>
      </c>
      <c r="F114" s="1" t="str">
        <f>IF(B114=0,VLOOKUP(A114,Feuil2!$A$2:$M$1241,12,FALSE)," ")</f>
        <v>H</v>
      </c>
      <c r="G114" s="1" t="str">
        <f>IF(B114=0,VLOOKUP(A114,Feuil2!$A$2:$M$1241,11,FALSE)," ")</f>
        <v>M</v>
      </c>
      <c r="H114" s="1" t="s">
        <v>16</v>
      </c>
      <c r="I114" s="6">
        <f>IF(B114=0,VLOOKUP(A114,Feuil2!$A$2:$M$1241,7,FALSE)," ")</f>
        <v>2983061</v>
      </c>
      <c r="J114" s="1" t="str">
        <f>IF(B114=0,VLOOKUP(A114,Feuil2!$A$2:$M$1241,9,FALSE)," ")</f>
        <v>4 R de Bizerte</v>
      </c>
      <c r="K114" s="1" t="str">
        <f>IF(B114=0,VLOOKUP(A114,Feuil2!$A$2:$M$1241,10,FALSE)," ")</f>
        <v>Msaken 4070</v>
      </c>
      <c r="L114" s="1">
        <v>4070</v>
      </c>
      <c r="M114" s="1">
        <v>28312103</v>
      </c>
      <c r="N114" s="1"/>
      <c r="O114" s="8" t="str">
        <f>IF(B114=0,VLOOKUP(A114,Feuil2!$A$2:$M$1241,13,FALSE)," ")</f>
        <v>10506040203869378826</v>
      </c>
    </row>
    <row r="115" spans="1:15" x14ac:dyDescent="0.3">
      <c r="A115" s="1">
        <v>721</v>
      </c>
      <c r="B115" s="1">
        <v>1</v>
      </c>
      <c r="C115" s="1" t="s">
        <v>2510</v>
      </c>
      <c r="D115" s="1" t="s">
        <v>2353</v>
      </c>
      <c r="E115" s="5">
        <v>27812</v>
      </c>
      <c r="F115" s="1" t="s">
        <v>17</v>
      </c>
      <c r="G115" s="1" t="s">
        <v>15</v>
      </c>
      <c r="H115" s="1" t="s">
        <v>16</v>
      </c>
      <c r="I115" s="6" t="str">
        <f>IF(B115=0,VLOOKUP(A115,Feuil2!$A$2:$M$1241,7,FALSE)," ")</f>
        <v xml:space="preserve"> </v>
      </c>
      <c r="J115" s="1" t="str">
        <f>IF(B115=0,VLOOKUP(A115,Feuil2!$A$2:$M$1241,9,FALSE)," ")</f>
        <v xml:space="preserve"> </v>
      </c>
      <c r="K115" s="1" t="str">
        <f>IF(B115=0,VLOOKUP(A115,Feuil2!$A$2:$M$1241,10,FALSE)," ")</f>
        <v xml:space="preserve"> </v>
      </c>
      <c r="L115" s="1"/>
      <c r="M115" s="1"/>
      <c r="N115" s="1"/>
      <c r="O115" s="8" t="str">
        <f>IF(B115=0,VLOOKUP(A115,Feuil2!$A$2:$M$1241,13,FALSE)," ")</f>
        <v xml:space="preserve"> </v>
      </c>
    </row>
    <row r="116" spans="1:15" x14ac:dyDescent="0.3">
      <c r="A116" s="1">
        <v>721</v>
      </c>
      <c r="B116" s="1">
        <v>2</v>
      </c>
      <c r="C116" s="1" t="s">
        <v>2511</v>
      </c>
      <c r="D116" s="1" t="s">
        <v>2347</v>
      </c>
      <c r="E116" s="5">
        <v>38754</v>
      </c>
      <c r="F116" s="1" t="s">
        <v>506</v>
      </c>
      <c r="G116" s="1" t="str">
        <f>IF(B116=0,VLOOKUP(A116,Feuil2!$A$2:$M$1241,11,FALSE)," ")</f>
        <v xml:space="preserve"> </v>
      </c>
      <c r="H116" s="1" t="s">
        <v>16</v>
      </c>
      <c r="I116" s="6" t="str">
        <f>IF(B116=0,VLOOKUP(A116,Feuil2!$A$2:$M$1241,7,FALSE)," ")</f>
        <v xml:space="preserve"> </v>
      </c>
      <c r="J116" s="1" t="str">
        <f>IF(B116=0,VLOOKUP(A116,Feuil2!$A$2:$M$1241,9,FALSE)," ")</f>
        <v xml:space="preserve"> </v>
      </c>
      <c r="K116" s="1" t="str">
        <f>IF(B116=0,VLOOKUP(A116,Feuil2!$A$2:$M$1241,10,FALSE)," ")</f>
        <v xml:space="preserve"> </v>
      </c>
      <c r="L116" s="1"/>
      <c r="M116" s="1"/>
      <c r="N116" s="1"/>
      <c r="O116" s="8" t="str">
        <f>IF(B116=0,VLOOKUP(A116,Feuil2!$A$2:$M$1241,13,FALSE)," ")</f>
        <v xml:space="preserve"> </v>
      </c>
    </row>
    <row r="117" spans="1:15" x14ac:dyDescent="0.3">
      <c r="A117" s="1">
        <v>721</v>
      </c>
      <c r="B117" s="1">
        <v>3</v>
      </c>
      <c r="C117" s="1" t="s">
        <v>703</v>
      </c>
      <c r="D117" s="1" t="s">
        <v>2512</v>
      </c>
      <c r="E117" s="5">
        <v>39459</v>
      </c>
      <c r="F117" s="1" t="s">
        <v>17</v>
      </c>
      <c r="G117" s="1" t="str">
        <f>IF(B117=0,VLOOKUP(A117,Feuil2!$A$2:$M$1241,11,FALSE)," ")</f>
        <v xml:space="preserve"> </v>
      </c>
      <c r="H117" s="1" t="s">
        <v>16</v>
      </c>
      <c r="I117" s="6" t="str">
        <f>IF(B117=0,VLOOKUP(A117,Feuil2!$A$2:$M$1241,7,FALSE)," ")</f>
        <v xml:space="preserve"> </v>
      </c>
      <c r="J117" s="1" t="str">
        <f>IF(B117=0,VLOOKUP(A117,Feuil2!$A$2:$M$1241,9,FALSE)," ")</f>
        <v xml:space="preserve"> </v>
      </c>
      <c r="K117" s="1" t="str">
        <f>IF(B117=0,VLOOKUP(A117,Feuil2!$A$2:$M$1241,10,FALSE)," ")</f>
        <v xml:space="preserve"> </v>
      </c>
      <c r="L117" s="1"/>
      <c r="M117" s="1"/>
      <c r="N117" s="1"/>
      <c r="O117" s="8" t="str">
        <f>IF(B117=0,VLOOKUP(A117,Feuil2!$A$2:$M$1241,13,FALSE)," ")</f>
        <v xml:space="preserve"> </v>
      </c>
    </row>
    <row r="118" spans="1:15" x14ac:dyDescent="0.3">
      <c r="A118" s="1">
        <v>721</v>
      </c>
      <c r="B118" s="1">
        <v>4</v>
      </c>
      <c r="C118" s="1" t="s">
        <v>2494</v>
      </c>
      <c r="D118" s="1" t="s">
        <v>2367</v>
      </c>
      <c r="E118" s="5">
        <v>41978</v>
      </c>
      <c r="F118" s="1" t="s">
        <v>17</v>
      </c>
      <c r="G118" s="1" t="str">
        <f>IF(B118=0,VLOOKUP(A118,Feuil2!$A$2:$M$1241,11,FALSE)," ")</f>
        <v xml:space="preserve"> </v>
      </c>
      <c r="H118" s="1" t="s">
        <v>16</v>
      </c>
      <c r="I118" s="6" t="str">
        <f>IF(B118=0,VLOOKUP(A118,Feuil2!$A$2:$M$1241,7,FALSE)," ")</f>
        <v xml:space="preserve"> </v>
      </c>
      <c r="J118" s="1" t="str">
        <f>IF(B118=0,VLOOKUP(A118,Feuil2!$A$2:$M$1241,9,FALSE)," ")</f>
        <v xml:space="preserve"> </v>
      </c>
      <c r="K118" s="1" t="str">
        <f>IF(B118=0,VLOOKUP(A118,Feuil2!$A$2:$M$1241,10,FALSE)," ")</f>
        <v xml:space="preserve"> </v>
      </c>
      <c r="L118" s="1"/>
      <c r="M118" s="1"/>
      <c r="N118" s="1"/>
      <c r="O118" s="8" t="str">
        <f>IF(B118=0,VLOOKUP(A118,Feuil2!$A$2:$M$1241,13,FALSE)," ")</f>
        <v xml:space="preserve"> </v>
      </c>
    </row>
    <row r="119" spans="1:15" x14ac:dyDescent="0.3">
      <c r="A119" s="1">
        <v>725</v>
      </c>
      <c r="B119" s="1">
        <v>0</v>
      </c>
      <c r="C119" s="1" t="str">
        <f>IF(B119=0,VLOOKUP(A119,Feuil2!$A$2:$M$1241,2,FALSE)," ")</f>
        <v>BOUARGOUB</v>
      </c>
      <c r="D119" s="1" t="str">
        <f>IF(B119=0,VLOOKUP(A119,Feuil2!$A$2:$M$1241,3,FALSE)," ")</f>
        <v>MOURAD</v>
      </c>
      <c r="E119" s="5">
        <f>IF(B119=0,VLOOKUP(A119,Feuil2!$A$2:$M$1241,6,FALSE)," ")</f>
        <v>25433</v>
      </c>
      <c r="F119" s="1" t="str">
        <f>IF(B119=0,VLOOKUP(A119,Feuil2!$A$2:$M$1241,12,FALSE)," ")</f>
        <v>H</v>
      </c>
      <c r="G119" s="1" t="str">
        <f>IF(B119=0,VLOOKUP(A119,Feuil2!$A$2:$M$1241,11,FALSE)," ")</f>
        <v>M</v>
      </c>
      <c r="H119" s="1" t="s">
        <v>16</v>
      </c>
      <c r="I119" s="6">
        <f>IF(B119=0,VLOOKUP(A119,Feuil2!$A$2:$M$1241,7,FALSE)," ")</f>
        <v>2982816</v>
      </c>
      <c r="J119" s="1" t="str">
        <f>IF(B119=0,VLOOKUP(A119,Feuil2!$A$2:$M$1241,9,FALSE)," ")</f>
        <v>08 Rue Damas</v>
      </c>
      <c r="K119" s="1" t="str">
        <f>IF(B119=0,VLOOKUP(A119,Feuil2!$A$2:$M$1241,10,FALSE)," ")</f>
        <v>Msaken 4070</v>
      </c>
      <c r="L119" s="1">
        <v>4070</v>
      </c>
      <c r="M119" s="1">
        <v>97225289</v>
      </c>
      <c r="N119" s="1"/>
      <c r="O119" s="8" t="str">
        <f>IF(B119=0,VLOOKUP(A119,Feuil2!$A$2:$M$1241,13,FALSE)," ")</f>
        <v>08507000262002225240</v>
      </c>
    </row>
    <row r="120" spans="1:15" x14ac:dyDescent="0.3">
      <c r="A120" s="1">
        <v>725</v>
      </c>
      <c r="B120" s="1">
        <v>1</v>
      </c>
      <c r="C120" s="1" t="s">
        <v>776</v>
      </c>
      <c r="D120" s="1" t="s">
        <v>2544</v>
      </c>
      <c r="E120" s="5">
        <v>27805</v>
      </c>
      <c r="F120" s="1" t="s">
        <v>17</v>
      </c>
      <c r="G120" s="1" t="str">
        <f>IF(B120=0,VLOOKUP(A120,Feuil2!$A$2:$M$1241,11,FALSE)," ")</f>
        <v xml:space="preserve"> </v>
      </c>
      <c r="H120" s="1" t="s">
        <v>16</v>
      </c>
      <c r="I120" s="6" t="str">
        <f>IF(B120=0,VLOOKUP(A120,Feuil2!$A$2:$M$1241,7,FALSE)," ")</f>
        <v xml:space="preserve"> </v>
      </c>
      <c r="J120" s="1" t="str">
        <f>IF(B120=0,VLOOKUP(A120,Feuil2!$A$2:$M$1241,9,FALSE)," ")</f>
        <v xml:space="preserve"> </v>
      </c>
      <c r="K120" s="1" t="str">
        <f>IF(B120=0,VLOOKUP(A120,Feuil2!$A$2:$M$1241,10,FALSE)," ")</f>
        <v xml:space="preserve"> </v>
      </c>
      <c r="L120" s="1"/>
      <c r="M120" s="1"/>
      <c r="N120" s="1"/>
      <c r="O120" s="8" t="str">
        <f>IF(B120=0,VLOOKUP(A120,Feuil2!$A$2:$M$1241,13,FALSE)," ")</f>
        <v xml:space="preserve"> </v>
      </c>
    </row>
    <row r="121" spans="1:15" x14ac:dyDescent="0.3">
      <c r="A121" s="1">
        <v>725</v>
      </c>
      <c r="B121" s="1">
        <v>2</v>
      </c>
      <c r="C121" s="1" t="s">
        <v>446</v>
      </c>
      <c r="D121" s="1" t="s">
        <v>2443</v>
      </c>
      <c r="E121" s="5">
        <v>37755</v>
      </c>
      <c r="F121" s="1" t="s">
        <v>17</v>
      </c>
      <c r="G121" s="1" t="str">
        <f>IF(B121=0,VLOOKUP(A121,Feuil2!$A$2:$M$1241,11,FALSE)," ")</f>
        <v xml:space="preserve"> </v>
      </c>
      <c r="H121" s="1" t="s">
        <v>16</v>
      </c>
      <c r="I121" s="6" t="str">
        <f>IF(B121=0,VLOOKUP(A121,Feuil2!$A$2:$M$1241,7,FALSE)," ")</f>
        <v xml:space="preserve"> </v>
      </c>
      <c r="J121" s="1" t="str">
        <f>IF(B121=0,VLOOKUP(A121,Feuil2!$A$2:$M$1241,9,FALSE)," ")</f>
        <v xml:space="preserve"> </v>
      </c>
      <c r="K121" s="1" t="str">
        <f>IF(B121=0,VLOOKUP(A121,Feuil2!$A$2:$M$1241,10,FALSE)," ")</f>
        <v xml:space="preserve"> </v>
      </c>
      <c r="L121" s="1"/>
      <c r="M121" s="1"/>
      <c r="N121" s="1"/>
      <c r="O121" s="8" t="str">
        <f>IF(B121=0,VLOOKUP(A121,Feuil2!$A$2:$M$1241,13,FALSE)," ")</f>
        <v xml:space="preserve"> </v>
      </c>
    </row>
    <row r="122" spans="1:15" x14ac:dyDescent="0.3">
      <c r="A122" s="1">
        <v>725</v>
      </c>
      <c r="B122" s="1">
        <v>3</v>
      </c>
      <c r="C122" s="1" t="s">
        <v>446</v>
      </c>
      <c r="D122" s="1" t="s">
        <v>2465</v>
      </c>
      <c r="E122" s="5">
        <v>39177</v>
      </c>
      <c r="F122" s="1" t="s">
        <v>2504</v>
      </c>
      <c r="G122" s="1" t="str">
        <f>IF(B122=0,VLOOKUP(A122,Feuil2!$A$2:$M$1241,11,FALSE)," ")</f>
        <v xml:space="preserve"> </v>
      </c>
      <c r="H122" s="1" t="s">
        <v>16</v>
      </c>
      <c r="I122" s="6" t="str">
        <f>IF(B122=0,VLOOKUP(A122,Feuil2!$A$2:$M$1241,7,FALSE)," ")</f>
        <v xml:space="preserve"> </v>
      </c>
      <c r="J122" s="1" t="str">
        <f>IF(B122=0,VLOOKUP(A122,Feuil2!$A$2:$M$1241,9,FALSE)," ")</f>
        <v xml:space="preserve"> </v>
      </c>
      <c r="K122" s="1" t="str">
        <f>IF(B122=0,VLOOKUP(A122,Feuil2!$A$2:$M$1241,10,FALSE)," ")</f>
        <v xml:space="preserve"> </v>
      </c>
      <c r="L122" s="1"/>
      <c r="M122" s="1"/>
      <c r="N122" s="1"/>
      <c r="O122" s="8" t="str">
        <f>IF(B122=0,VLOOKUP(A122,Feuil2!$A$2:$M$1241,13,FALSE)," ")</f>
        <v xml:space="preserve"> </v>
      </c>
    </row>
    <row r="123" spans="1:15" x14ac:dyDescent="0.3">
      <c r="A123" s="17">
        <v>730</v>
      </c>
      <c r="B123" s="17">
        <v>0</v>
      </c>
      <c r="C123" s="17" t="str">
        <f>IF(B123=0,VLOOKUP(A123,Feuil2!$A$2:$M$1241,2,FALSE)," ")</f>
        <v>KILANI</v>
      </c>
      <c r="D123" s="17" t="str">
        <f>IF(B123=0,VLOOKUP(A123,Feuil2!$A$2:$M$1241,3,FALSE)," ")</f>
        <v>MOUNIR</v>
      </c>
      <c r="E123" s="18">
        <f>IF(B123=0,VLOOKUP(A123,Feuil2!$A$2:$M$1241,6,FALSE)," ")</f>
        <v>25185</v>
      </c>
      <c r="F123" s="17" t="str">
        <f>IF(B123=0,VLOOKUP(A123,Feuil2!$A$2:$M$1241,12,FALSE)," ")</f>
        <v>H</v>
      </c>
      <c r="G123" s="17" t="str">
        <f>IF(B123=0,VLOOKUP(A123,Feuil2!$A$2:$M$1241,11,FALSE)," ")</f>
        <v>M</v>
      </c>
      <c r="H123" s="17" t="s">
        <v>16</v>
      </c>
      <c r="I123" s="19">
        <f>IF(B123=0,VLOOKUP(A123,Feuil2!$A$2:$M$1241,7,FALSE)," ")</f>
        <v>2997505</v>
      </c>
      <c r="J123" s="17" t="str">
        <f>IF(B123=0,VLOOKUP(A123,Feuil2!$A$2:$M$1241,9,FALSE)," ")</f>
        <v>Rue 12 Mai</v>
      </c>
      <c r="K123" s="17" t="str">
        <f>IF(B123=0,VLOOKUP(A123,Feuil2!$A$2:$M$1241,10,FALSE)," ")</f>
        <v>Msaken 4070</v>
      </c>
      <c r="L123" s="17">
        <v>4070</v>
      </c>
      <c r="M123" s="17">
        <v>26733525</v>
      </c>
      <c r="N123" s="17"/>
      <c r="O123" s="20" t="str">
        <f>IF(B123=0,VLOOKUP(A123,Feuil2!$A$2:$M$1241,13,FALSE)," ")</f>
        <v>04204067404000633269</v>
      </c>
    </row>
    <row r="124" spans="1:15" x14ac:dyDescent="0.3">
      <c r="A124" s="1">
        <v>730</v>
      </c>
      <c r="B124" s="1">
        <v>1</v>
      </c>
      <c r="C124" s="1" t="s">
        <v>2339</v>
      </c>
      <c r="D124" s="1" t="s">
        <v>1301</v>
      </c>
      <c r="E124" s="5">
        <v>26758</v>
      </c>
      <c r="F124" s="1" t="s">
        <v>17</v>
      </c>
      <c r="G124" s="1" t="s">
        <v>15</v>
      </c>
      <c r="H124" s="1" t="s">
        <v>16</v>
      </c>
      <c r="I124" s="6" t="str">
        <f>IF(B124=0,VLOOKUP(A124,Feuil2!$A$2:$M$1241,7,FALSE)," ")</f>
        <v xml:space="preserve"> </v>
      </c>
      <c r="J124" s="1" t="str">
        <f>IF(B124=0,VLOOKUP(A124,Feuil2!$A$2:$M$1241,9,FALSE)," ")</f>
        <v xml:space="preserve"> </v>
      </c>
      <c r="K124" s="1" t="str">
        <f>IF(B124=0,VLOOKUP(A124,Feuil2!$A$2:$M$1241,10,FALSE)," ")</f>
        <v xml:space="preserve"> </v>
      </c>
      <c r="L124" s="1"/>
      <c r="M124" s="1"/>
      <c r="N124" s="1"/>
      <c r="O124" s="8" t="str">
        <f>IF(B124=0,VLOOKUP(A124,Feuil2!$A$2:$M$1241,13,FALSE)," ")</f>
        <v xml:space="preserve"> </v>
      </c>
    </row>
    <row r="125" spans="1:15" x14ac:dyDescent="0.3">
      <c r="A125" s="1">
        <v>730</v>
      </c>
      <c r="B125" s="1">
        <v>2</v>
      </c>
      <c r="C125" s="1" t="s">
        <v>213</v>
      </c>
      <c r="D125" s="1" t="s">
        <v>2340</v>
      </c>
      <c r="E125" s="5">
        <v>36785</v>
      </c>
      <c r="F125" s="1" t="s">
        <v>17</v>
      </c>
      <c r="G125" s="1" t="str">
        <f>IF(B125=0,VLOOKUP(A125,Feuil2!$A$2:$M$1241,11,FALSE)," ")</f>
        <v xml:space="preserve"> </v>
      </c>
      <c r="H125" s="1" t="s">
        <v>16</v>
      </c>
      <c r="I125" s="6" t="str">
        <f>IF(B125=0,VLOOKUP(A125,Feuil2!$A$2:$M$1241,7,FALSE)," ")</f>
        <v xml:space="preserve"> </v>
      </c>
      <c r="J125" s="1" t="str">
        <f>IF(B125=0,VLOOKUP(A125,Feuil2!$A$2:$M$1241,9,FALSE)," ")</f>
        <v xml:space="preserve"> </v>
      </c>
      <c r="K125" s="1" t="str">
        <f>IF(B125=0,VLOOKUP(A125,Feuil2!$A$2:$M$1241,10,FALSE)," ")</f>
        <v xml:space="preserve"> </v>
      </c>
      <c r="L125" s="1"/>
      <c r="M125" s="1"/>
      <c r="N125" s="1"/>
      <c r="O125" s="8" t="str">
        <f>IF(B125=0,VLOOKUP(A125,Feuil2!$A$2:$M$1241,13,FALSE)," ")</f>
        <v xml:space="preserve"> </v>
      </c>
    </row>
    <row r="126" spans="1:15" x14ac:dyDescent="0.3">
      <c r="A126" s="17">
        <v>758</v>
      </c>
      <c r="B126" s="17">
        <v>0</v>
      </c>
      <c r="C126" s="17" t="str">
        <f>IF(B126=0,VLOOKUP(A126,Feuil2!$A$2:$M$1241,2,FALSE)," ")</f>
        <v>BEN YAHIA</v>
      </c>
      <c r="D126" s="17" t="str">
        <f>IF(B126=0,VLOOKUP(A126,Feuil2!$A$2:$M$1241,3,FALSE)," ")</f>
        <v>KAMEL</v>
      </c>
      <c r="E126" s="18">
        <f>IF(B126=0,VLOOKUP(A126,Feuil2!$A$2:$M$1241,6,FALSE)," ")</f>
        <v>24088</v>
      </c>
      <c r="F126" s="17" t="str">
        <f>IF(B126=0,VLOOKUP(A126,Feuil2!$A$2:$M$1241,12,FALSE)," ")</f>
        <v>H</v>
      </c>
      <c r="G126" s="17" t="str">
        <f>IF(B126=0,VLOOKUP(A126,Feuil2!$A$2:$M$1241,11,FALSE)," ")</f>
        <v>M</v>
      </c>
      <c r="H126" s="17" t="s">
        <v>16</v>
      </c>
      <c r="I126" s="19">
        <f>IF(B126=0,VLOOKUP(A126,Feuil2!$A$2:$M$1241,7,FALSE)," ")</f>
        <v>2971647</v>
      </c>
      <c r="J126" s="17" t="str">
        <f>IF(B126=0,VLOOKUP(A126,Feuil2!$A$2:$M$1241,9,FALSE)," ")</f>
        <v>4025 Sidi El Hani</v>
      </c>
      <c r="K126" s="17" t="str">
        <f>IF(B126=0,VLOOKUP(A126,Feuil2!$A$2:$M$1241,10,FALSE)," ")</f>
        <v>Sidi El HÃ©ni 4025</v>
      </c>
      <c r="L126" s="17"/>
      <c r="M126" s="17">
        <v>98558839</v>
      </c>
      <c r="N126" s="17"/>
      <c r="O126" s="20" t="str">
        <f>IF(B126=0,VLOOKUP(A126,Feuil2!$A$2:$M$1241,13,FALSE)," ")</f>
        <v>12505000580101147275</v>
      </c>
    </row>
    <row r="127" spans="1:15" x14ac:dyDescent="0.3">
      <c r="A127" s="1">
        <v>758</v>
      </c>
      <c r="B127" s="1">
        <v>1</v>
      </c>
      <c r="C127" s="1" t="s">
        <v>2453</v>
      </c>
      <c r="D127" s="1" t="s">
        <v>2454</v>
      </c>
      <c r="E127" s="5">
        <v>24579</v>
      </c>
      <c r="F127" s="1" t="s">
        <v>17</v>
      </c>
      <c r="G127" s="1" t="s">
        <v>15</v>
      </c>
      <c r="H127" s="1" t="s">
        <v>16</v>
      </c>
      <c r="I127" s="6" t="str">
        <f>IF(B127=0,VLOOKUP(A127,Feuil2!$A$2:$M$1241,7,FALSE)," ")</f>
        <v xml:space="preserve"> </v>
      </c>
      <c r="J127" s="1" t="str">
        <f>IF(B127=0,VLOOKUP(A127,Feuil2!$A$2:$M$1241,9,FALSE)," ")</f>
        <v xml:space="preserve"> </v>
      </c>
      <c r="K127" s="1" t="str">
        <f>IF(B127=0,VLOOKUP(A127,Feuil2!$A$2:$M$1241,10,FALSE)," ")</f>
        <v xml:space="preserve"> </v>
      </c>
      <c r="L127" s="1"/>
      <c r="M127" s="1"/>
      <c r="N127" s="1"/>
      <c r="O127" s="8" t="str">
        <f>IF(B127=0,VLOOKUP(A127,Feuil2!$A$2:$M$1241,13,FALSE)," ")</f>
        <v xml:space="preserve"> </v>
      </c>
    </row>
    <row r="128" spans="1:15" x14ac:dyDescent="0.3">
      <c r="A128" s="1">
        <v>758</v>
      </c>
      <c r="B128" s="1">
        <v>2</v>
      </c>
      <c r="C128" s="1" t="s">
        <v>1212</v>
      </c>
      <c r="D128" s="1" t="s">
        <v>2431</v>
      </c>
      <c r="E128" s="5">
        <v>39057</v>
      </c>
      <c r="F128" s="1" t="s">
        <v>506</v>
      </c>
      <c r="G128" s="1" t="str">
        <f>IF(B128=0,VLOOKUP(A128,Feuil2!$A$2:$M$1241,11,FALSE)," ")</f>
        <v xml:space="preserve"> </v>
      </c>
      <c r="H128" s="1" t="s">
        <v>16</v>
      </c>
      <c r="I128" s="6" t="str">
        <f>IF(B128=0,VLOOKUP(A128,Feuil2!$A$2:$M$1241,7,FALSE)," ")</f>
        <v xml:space="preserve"> </v>
      </c>
      <c r="J128" s="1" t="str">
        <f>IF(B128=0,VLOOKUP(A128,Feuil2!$A$2:$M$1241,9,FALSE)," ")</f>
        <v xml:space="preserve"> </v>
      </c>
      <c r="K128" s="1" t="str">
        <f>IF(B128=0,VLOOKUP(A128,Feuil2!$A$2:$M$1241,10,FALSE)," ")</f>
        <v xml:space="preserve"> </v>
      </c>
      <c r="L128" s="1"/>
      <c r="M128" s="1"/>
      <c r="N128" s="1"/>
      <c r="O128" s="8" t="str">
        <f>IF(B128=0,VLOOKUP(A128,Feuil2!$A$2:$M$1241,13,FALSE)," ")</f>
        <v xml:space="preserve"> </v>
      </c>
    </row>
    <row r="129" spans="1:16" x14ac:dyDescent="0.3">
      <c r="A129" s="1">
        <v>761</v>
      </c>
      <c r="B129" s="1">
        <v>0</v>
      </c>
      <c r="C129" s="1" t="str">
        <f>IF(B129=0,VLOOKUP(A129,Feuil2!$A$2:$M$1241,2,FALSE)," ")</f>
        <v>SLIMENE</v>
      </c>
      <c r="D129" s="1" t="str">
        <f>IF(B129=0,VLOOKUP(A129,Feuil2!$A$2:$M$1241,3,FALSE)," ")</f>
        <v>RIDHA</v>
      </c>
      <c r="E129" s="5">
        <f>IF(B129=0,VLOOKUP(A129,Feuil2!$A$2:$M$1241,6,FALSE)," ")</f>
        <v>24632</v>
      </c>
      <c r="F129" s="1" t="str">
        <f>IF(B129=0,VLOOKUP(A129,Feuil2!$A$2:$M$1241,12,FALSE)," ")</f>
        <v>H</v>
      </c>
      <c r="G129" s="1" t="str">
        <f>IF(B129=0,VLOOKUP(A129,Feuil2!$A$2:$M$1241,11,FALSE)," ")</f>
        <v>M</v>
      </c>
      <c r="H129" s="1" t="s">
        <v>16</v>
      </c>
      <c r="I129" s="6">
        <f>IF(B129=0,VLOOKUP(A129,Feuil2!$A$2:$M$1241,7,FALSE)," ")</f>
        <v>2977964</v>
      </c>
      <c r="J129" s="1" t="str">
        <f>IF(B129=0,VLOOKUP(A129,Feuil2!$A$2:$M$1241,9,FALSE)," ")</f>
        <v>4015 Beni Rabiaa</v>
      </c>
      <c r="K129" s="1" t="str">
        <f>IF(B129=0,VLOOKUP(A129,Feuil2!$A$2:$M$1241,10,FALSE)," ")</f>
        <v>BÃ©ni Rabiaa 4015</v>
      </c>
      <c r="L129" s="1"/>
      <c r="M129" s="1">
        <v>95488691</v>
      </c>
      <c r="N129" s="1"/>
      <c r="O129" s="8" t="str">
        <f>IF(B129=0,VLOOKUP(A129,Feuil2!$A$2:$M$1241,13,FALSE)," ")</f>
        <v>10506040203732578853</v>
      </c>
    </row>
    <row r="130" spans="1:16" x14ac:dyDescent="0.3">
      <c r="A130" s="1">
        <v>761</v>
      </c>
      <c r="B130" s="1">
        <v>1</v>
      </c>
      <c r="C130" s="1" t="s">
        <v>329</v>
      </c>
      <c r="D130" s="1" t="s">
        <v>2468</v>
      </c>
      <c r="E130" s="5">
        <v>28026</v>
      </c>
      <c r="F130" s="1" t="s">
        <v>17</v>
      </c>
      <c r="G130" s="1" t="s">
        <v>15</v>
      </c>
      <c r="H130" s="1" t="s">
        <v>16</v>
      </c>
      <c r="I130" s="6" t="str">
        <f>IF(B130=0,VLOOKUP(A130,Feuil2!$A$2:$M$1241,7,FALSE)," ")</f>
        <v xml:space="preserve"> </v>
      </c>
      <c r="J130" s="1" t="str">
        <f>IF(B130=0,VLOOKUP(A130,Feuil2!$A$2:$M$1241,9,FALSE)," ")</f>
        <v xml:space="preserve"> </v>
      </c>
      <c r="K130" s="1" t="str">
        <f>IF(B130=0,VLOOKUP(A130,Feuil2!$A$2:$M$1241,10,FALSE)," ")</f>
        <v xml:space="preserve"> </v>
      </c>
      <c r="L130" s="1"/>
      <c r="M130" s="1"/>
      <c r="N130" s="1"/>
      <c r="O130" s="8" t="str">
        <f>IF(B130=0,VLOOKUP(A130,Feuil2!$A$2:$M$1241,13,FALSE)," ")</f>
        <v xml:space="preserve"> </v>
      </c>
    </row>
    <row r="131" spans="1:16" x14ac:dyDescent="0.3">
      <c r="A131" s="1">
        <v>761</v>
      </c>
      <c r="B131" s="1">
        <v>2</v>
      </c>
      <c r="C131" s="1" t="s">
        <v>329</v>
      </c>
      <c r="D131" s="1" t="s">
        <v>2377</v>
      </c>
      <c r="E131" s="5">
        <v>40172</v>
      </c>
      <c r="F131" s="1" t="s">
        <v>17</v>
      </c>
      <c r="G131" s="1" t="str">
        <f>IF(B131=0,VLOOKUP(A131,Feuil2!$A$2:$M$1241,11,FALSE)," ")</f>
        <v xml:space="preserve"> </v>
      </c>
      <c r="H131" s="1" t="s">
        <v>16</v>
      </c>
      <c r="I131" s="6" t="str">
        <f>IF(B131=0,VLOOKUP(A131,Feuil2!$A$2:$M$1241,7,FALSE)," ")</f>
        <v xml:space="preserve"> </v>
      </c>
      <c r="J131" s="1" t="str">
        <f>IF(B131=0,VLOOKUP(A131,Feuil2!$A$2:$M$1241,9,FALSE)," ")</f>
        <v xml:space="preserve"> </v>
      </c>
      <c r="K131" s="1" t="str">
        <f>IF(B131=0,VLOOKUP(A131,Feuil2!$A$2:$M$1241,10,FALSE)," ")</f>
        <v xml:space="preserve"> </v>
      </c>
      <c r="L131" s="1"/>
      <c r="M131" s="1"/>
      <c r="N131" s="1"/>
      <c r="O131" s="8" t="str">
        <f>IF(B131=0,VLOOKUP(A131,Feuil2!$A$2:$M$1241,13,FALSE)," ")</f>
        <v xml:space="preserve"> </v>
      </c>
    </row>
    <row r="132" spans="1:16" x14ac:dyDescent="0.3">
      <c r="A132" s="1">
        <v>772</v>
      </c>
      <c r="B132" s="1">
        <v>0</v>
      </c>
      <c r="C132" s="1" t="str">
        <f>IF(B132=0,VLOOKUP(A132,Feuil2!$A$2:$M$1241,2,FALSE)," ")</f>
        <v>BOUHLEL</v>
      </c>
      <c r="D132" s="1" t="str">
        <f>IF(B132=0,VLOOKUP(A132,Feuil2!$A$2:$M$1241,3,FALSE)," ")</f>
        <v>LOTFI</v>
      </c>
      <c r="E132" s="5">
        <f>IF(B132=0,VLOOKUP(A132,Feuil2!$A$2:$M$1241,6,FALSE)," ")</f>
        <v>23635</v>
      </c>
      <c r="F132" s="1" t="str">
        <f>IF(B132=0,VLOOKUP(A132,Feuil2!$A$2:$M$1241,12,FALSE)," ")</f>
        <v>H</v>
      </c>
      <c r="G132" s="1" t="str">
        <f>IF(B132=0,VLOOKUP(A132,Feuil2!$A$2:$M$1241,11,FALSE)," ")</f>
        <v>M</v>
      </c>
      <c r="H132" s="1" t="s">
        <v>16</v>
      </c>
      <c r="I132" s="6">
        <f>IF(B132=0,VLOOKUP(A132,Feuil2!$A$2:$M$1241,7,FALSE)," ")</f>
        <v>2953127</v>
      </c>
      <c r="J132" s="1" t="str">
        <f>IF(B132=0,VLOOKUP(A132,Feuil2!$A$2:$M$1241,9,FALSE)," ")</f>
        <v>221 Rue Ali Belahouane</v>
      </c>
      <c r="K132" s="1" t="str">
        <f>IF(B132=0,VLOOKUP(A132,Feuil2!$A$2:$M$1241,10,FALSE)," ")</f>
        <v>Msaken 4070</v>
      </c>
      <c r="L132" s="1">
        <v>4070</v>
      </c>
      <c r="M132" s="1">
        <v>22436667</v>
      </c>
      <c r="N132" s="1"/>
      <c r="O132" s="8" t="str">
        <f>IF(B132=0,VLOOKUP(A132,Feuil2!$A$2:$M$1241,13,FALSE)," ")</f>
        <v>12505000000220481457</v>
      </c>
    </row>
    <row r="133" spans="1:16" x14ac:dyDescent="0.3">
      <c r="A133" s="1">
        <v>772</v>
      </c>
      <c r="B133" s="1">
        <v>1</v>
      </c>
      <c r="C133" s="1" t="s">
        <v>703</v>
      </c>
      <c r="D133" s="1" t="s">
        <v>596</v>
      </c>
      <c r="E133" s="5">
        <v>23542</v>
      </c>
      <c r="F133" s="1" t="s">
        <v>17</v>
      </c>
      <c r="G133" s="1" t="s">
        <v>15</v>
      </c>
      <c r="H133" s="1" t="s">
        <v>16</v>
      </c>
      <c r="I133" s="6" t="str">
        <f>IF(B133=0,VLOOKUP(A133,Feuil2!$A$2:$M$1241,7,FALSE)," ")</f>
        <v xml:space="preserve"> </v>
      </c>
      <c r="J133" s="1" t="str">
        <f>IF(B133=0,VLOOKUP(A133,Feuil2!$A$2:$M$1241,9,FALSE)," ")</f>
        <v xml:space="preserve"> </v>
      </c>
      <c r="K133" s="1" t="str">
        <f>IF(B133=0,VLOOKUP(A133,Feuil2!$A$2:$M$1241,10,FALSE)," ")</f>
        <v xml:space="preserve"> </v>
      </c>
      <c r="L133" s="1"/>
      <c r="M133" s="1"/>
      <c r="N133" s="1"/>
      <c r="O133" s="8" t="str">
        <f>IF(B133=0,VLOOKUP(A133,Feuil2!$A$2:$M$1241,13,FALSE)," ")</f>
        <v xml:space="preserve"> </v>
      </c>
    </row>
    <row r="134" spans="1:16" x14ac:dyDescent="0.3">
      <c r="A134" s="1">
        <v>775</v>
      </c>
      <c r="B134" s="1">
        <v>0</v>
      </c>
      <c r="C134" s="1" t="str">
        <f>IF(B134=0,VLOOKUP(A134,Feuil2!$A$2:$M$1241,2,FALSE)," ")</f>
        <v>ZORGATI</v>
      </c>
      <c r="D134" s="1" t="str">
        <f>IF(B134=0,VLOOKUP(A134,Feuil2!$A$2:$M$1241,3,FALSE)," ")</f>
        <v>MONDHER</v>
      </c>
      <c r="E134" s="5">
        <f>IF(B134=0,VLOOKUP(A134,Feuil2!$A$2:$M$1241,6,FALSE)," ")</f>
        <v>25687</v>
      </c>
      <c r="F134" s="1" t="str">
        <f>IF(B134=0,VLOOKUP(A134,Feuil2!$A$2:$M$1241,12,FALSE)," ")</f>
        <v>H</v>
      </c>
      <c r="G134" s="1" t="str">
        <f>IF(B134=0,VLOOKUP(A134,Feuil2!$A$2:$M$1241,11,FALSE)," ")</f>
        <v>M</v>
      </c>
      <c r="H134" s="1" t="s">
        <v>16</v>
      </c>
      <c r="I134" s="6">
        <f>IF(B134=0,VLOOKUP(A134,Feuil2!$A$2:$M$1241,7,FALSE)," ")</f>
        <v>2994760</v>
      </c>
      <c r="J134" s="1" t="str">
        <f>IF(B134=0,VLOOKUP(A134,Feuil2!$A$2:$M$1241,9,FALSE)," ")</f>
        <v>122 Rue Hamda Hamila</v>
      </c>
      <c r="K134" s="1" t="str">
        <f>IF(B134=0,VLOOKUP(A134,Feuil2!$A$2:$M$1241,10,FALSE)," ")</f>
        <v>Msaken 4070</v>
      </c>
      <c r="L134" s="1">
        <v>4070</v>
      </c>
      <c r="M134" s="1">
        <v>24600345</v>
      </c>
      <c r="N134" s="1"/>
      <c r="O134" s="10" t="s">
        <v>2458</v>
      </c>
    </row>
    <row r="135" spans="1:16" x14ac:dyDescent="0.3">
      <c r="A135" s="1">
        <v>775</v>
      </c>
      <c r="B135" s="1">
        <v>1</v>
      </c>
      <c r="C135" s="1" t="s">
        <v>1029</v>
      </c>
      <c r="D135" s="1" t="s">
        <v>449</v>
      </c>
      <c r="E135" s="5">
        <v>35785</v>
      </c>
      <c r="F135" s="1" t="s">
        <v>17</v>
      </c>
      <c r="G135" s="1" t="s">
        <v>15</v>
      </c>
      <c r="H135" s="1" t="s">
        <v>16</v>
      </c>
      <c r="I135" s="6" t="str">
        <f>IF(B135=0,VLOOKUP(A135,Feuil2!$A$2:$M$1241,7,FALSE)," ")</f>
        <v xml:space="preserve"> </v>
      </c>
      <c r="J135" s="1" t="str">
        <f>IF(B135=0,VLOOKUP(A135,Feuil2!$A$2:$M$1241,9,FALSE)," ")</f>
        <v xml:space="preserve"> </v>
      </c>
      <c r="K135" s="1" t="str">
        <f>IF(B135=0,VLOOKUP(A135,Feuil2!$A$2:$M$1241,10,FALSE)," ")</f>
        <v xml:space="preserve"> </v>
      </c>
      <c r="L135" s="1"/>
      <c r="M135" s="1"/>
      <c r="N135" s="1"/>
      <c r="O135" s="8" t="str">
        <f>IF(B135=0,VLOOKUP(A135,Feuil2!$A$2:$M$1241,13,FALSE)," ")</f>
        <v xml:space="preserve"> </v>
      </c>
    </row>
    <row r="136" spans="1:16" x14ac:dyDescent="0.3">
      <c r="A136" s="1">
        <v>775</v>
      </c>
      <c r="B136" s="1">
        <v>2</v>
      </c>
      <c r="C136" s="1" t="s">
        <v>179</v>
      </c>
      <c r="D136" s="1" t="s">
        <v>2347</v>
      </c>
      <c r="E136" s="5">
        <v>36801</v>
      </c>
      <c r="F136" s="1" t="s">
        <v>506</v>
      </c>
      <c r="G136" s="1" t="str">
        <f>IF(B136=0,VLOOKUP(A136,Feuil2!$A$2:$M$1241,11,FALSE)," ")</f>
        <v xml:space="preserve"> </v>
      </c>
      <c r="H136" s="1" t="s">
        <v>16</v>
      </c>
      <c r="I136" s="6" t="str">
        <f>IF(B136=0,VLOOKUP(A136,Feuil2!$A$2:$M$1241,7,FALSE)," ")</f>
        <v xml:space="preserve"> </v>
      </c>
      <c r="J136" s="1" t="str">
        <f>IF(B136=0,VLOOKUP(A136,Feuil2!$A$2:$M$1241,9,FALSE)," ")</f>
        <v xml:space="preserve"> </v>
      </c>
      <c r="K136" s="1" t="str">
        <f>IF(B136=0,VLOOKUP(A136,Feuil2!$A$2:$M$1241,10,FALSE)," ")</f>
        <v xml:space="preserve"> </v>
      </c>
      <c r="L136" s="1"/>
      <c r="M136" s="1"/>
      <c r="N136" s="1"/>
      <c r="O136" s="8" t="str">
        <f>IF(B136=0,VLOOKUP(A136,Feuil2!$A$2:$M$1241,13,FALSE)," ")</f>
        <v xml:space="preserve"> </v>
      </c>
    </row>
    <row r="137" spans="1:16" x14ac:dyDescent="0.3">
      <c r="A137" s="1">
        <v>775</v>
      </c>
      <c r="B137" s="1">
        <v>3</v>
      </c>
      <c r="C137" s="1" t="s">
        <v>179</v>
      </c>
      <c r="D137" s="1" t="s">
        <v>2357</v>
      </c>
      <c r="E137" s="5">
        <v>37559</v>
      </c>
      <c r="F137" s="1" t="s">
        <v>17</v>
      </c>
      <c r="G137" s="1" t="str">
        <f>IF(B137=0,VLOOKUP(A137,Feuil2!$A$2:$M$1241,11,FALSE)," ")</f>
        <v xml:space="preserve"> </v>
      </c>
      <c r="H137" s="1" t="s">
        <v>16</v>
      </c>
      <c r="I137" s="6" t="str">
        <f>IF(B137=0,VLOOKUP(A137,Feuil2!$A$2:$M$1241,7,FALSE)," ")</f>
        <v xml:space="preserve"> </v>
      </c>
      <c r="J137" s="1" t="str">
        <f>IF(B137=0,VLOOKUP(A137,Feuil2!$A$2:$M$1241,9,FALSE)," ")</f>
        <v xml:space="preserve"> </v>
      </c>
      <c r="K137" s="1" t="str">
        <f>IF(B137=0,VLOOKUP(A137,Feuil2!$A$2:$M$1241,10,FALSE)," ")</f>
        <v xml:space="preserve"> </v>
      </c>
      <c r="L137" s="1"/>
      <c r="M137" s="1"/>
      <c r="N137" s="1"/>
      <c r="O137" s="8" t="str">
        <f>IF(B137=0,VLOOKUP(A137,Feuil2!$A$2:$M$1241,13,FALSE)," ")</f>
        <v xml:space="preserve"> </v>
      </c>
    </row>
    <row r="138" spans="1:16" x14ac:dyDescent="0.3">
      <c r="A138" s="1">
        <v>787</v>
      </c>
      <c r="B138" s="1">
        <v>0</v>
      </c>
      <c r="C138" s="1" t="str">
        <f>IF(B138=0,VLOOKUP(A138,Feuil2!$A$2:$M$1241,2,FALSE)," ")</f>
        <v>SASSI</v>
      </c>
      <c r="D138" s="1" t="str">
        <f>IF(B138=0,VLOOKUP(A138,Feuil2!$A$2:$M$1241,3,FALSE)," ")</f>
        <v>HABIB</v>
      </c>
      <c r="E138" s="5">
        <f>IF(B138=0,VLOOKUP(A138,Feuil2!$A$2:$M$1241,6,FALSE)," ")</f>
        <v>24519</v>
      </c>
      <c r="F138" s="1" t="str">
        <f>IF(B138=0,VLOOKUP(A138,Feuil2!$A$2:$M$1241,12,FALSE)," ")</f>
        <v>H</v>
      </c>
      <c r="G138" s="1" t="str">
        <f>IF(B138=0,VLOOKUP(A138,Feuil2!$A$2:$M$1241,11,FALSE)," ")</f>
        <v>M</v>
      </c>
      <c r="H138" s="1" t="s">
        <v>16</v>
      </c>
      <c r="I138" s="6">
        <f>IF(B138=0,VLOOKUP(A138,Feuil2!$A$2:$M$1241,7,FALSE)," ")</f>
        <v>2992656</v>
      </c>
      <c r="J138" s="1" t="str">
        <f>IF(B138=0,VLOOKUP(A138,Feuil2!$A$2:$M$1241,9,FALSE)," ")</f>
        <v>Rue Hassen Ben  Noomen</v>
      </c>
      <c r="K138" s="1" t="str">
        <f>IF(B138=0,VLOOKUP(A138,Feuil2!$A$2:$M$1241,10,FALSE)," ")</f>
        <v>Msaken 4070</v>
      </c>
      <c r="L138" s="1">
        <v>4070</v>
      </c>
      <c r="M138" s="1">
        <v>29098127</v>
      </c>
      <c r="N138" s="1"/>
      <c r="O138" s="8" t="str">
        <f>IF(B138=0,VLOOKUP(A138,Feuil2!$A$2:$M$1241,13,FALSE)," ")</f>
        <v>04204067404000717368</v>
      </c>
      <c r="P138" t="s">
        <v>2805</v>
      </c>
    </row>
    <row r="139" spans="1:16" x14ac:dyDescent="0.3">
      <c r="A139" s="1">
        <v>787</v>
      </c>
      <c r="B139" s="1">
        <v>1</v>
      </c>
      <c r="C139" s="1" t="s">
        <v>1486</v>
      </c>
      <c r="D139" s="1" t="s">
        <v>596</v>
      </c>
      <c r="E139" s="5">
        <v>25532</v>
      </c>
      <c r="F139" s="1" t="s">
        <v>17</v>
      </c>
      <c r="G139" s="1" t="s">
        <v>15</v>
      </c>
      <c r="H139" s="1" t="s">
        <v>16</v>
      </c>
      <c r="I139" s="6" t="str">
        <f>IF(B139=0,VLOOKUP(A139,Feuil2!$A$2:$M$1241,7,FALSE)," ")</f>
        <v xml:space="preserve"> </v>
      </c>
      <c r="J139" s="1" t="str">
        <f>IF(B139=0,VLOOKUP(A139,Feuil2!$A$2:$M$1241,9,FALSE)," ")</f>
        <v xml:space="preserve"> </v>
      </c>
      <c r="K139" s="1" t="str">
        <f>IF(B139=0,VLOOKUP(A139,Feuil2!$A$2:$M$1241,10,FALSE)," ")</f>
        <v xml:space="preserve"> </v>
      </c>
      <c r="L139" s="1"/>
      <c r="M139" s="1"/>
      <c r="N139" s="1"/>
      <c r="O139" s="8" t="str">
        <f>IF(B139=0,VLOOKUP(A139,Feuil2!$A$2:$M$1241,13,FALSE)," ")</f>
        <v xml:space="preserve"> </v>
      </c>
    </row>
    <row r="140" spans="1:16" x14ac:dyDescent="0.3">
      <c r="A140" s="1">
        <v>787</v>
      </c>
      <c r="B140" s="1">
        <v>2</v>
      </c>
      <c r="C140" s="1" t="s">
        <v>104</v>
      </c>
      <c r="D140" s="1" t="s">
        <v>2350</v>
      </c>
      <c r="E140" s="5">
        <v>38187</v>
      </c>
      <c r="F140" s="1" t="s">
        <v>506</v>
      </c>
      <c r="G140" s="1" t="str">
        <f>IF(B140=0,VLOOKUP(A140,Feuil2!$A$2:$M$1241,11,FALSE)," ")</f>
        <v xml:space="preserve"> </v>
      </c>
      <c r="H140" s="1" t="s">
        <v>16</v>
      </c>
      <c r="I140" s="6" t="str">
        <f>IF(B140=0,VLOOKUP(A140,Feuil2!$A$2:$M$1241,7,FALSE)," ")</f>
        <v xml:space="preserve"> </v>
      </c>
      <c r="J140" s="1" t="str">
        <f>IF(B140=0,VLOOKUP(A140,Feuil2!$A$2:$M$1241,9,FALSE)," ")</f>
        <v xml:space="preserve"> </v>
      </c>
      <c r="K140" s="1" t="str">
        <f>IF(B140=0,VLOOKUP(A140,Feuil2!$A$2:$M$1241,10,FALSE)," ")</f>
        <v xml:space="preserve"> </v>
      </c>
      <c r="L140" s="1"/>
      <c r="M140" s="1"/>
      <c r="N140" s="1"/>
      <c r="O140" s="8" t="str">
        <f>IF(B140=0,VLOOKUP(A140,Feuil2!$A$2:$M$1241,13,FALSE)," ")</f>
        <v xml:space="preserve"> </v>
      </c>
    </row>
    <row r="141" spans="1:16" x14ac:dyDescent="0.3">
      <c r="A141" s="1">
        <v>787</v>
      </c>
      <c r="B141" s="1">
        <v>3</v>
      </c>
      <c r="C141" s="1" t="s">
        <v>104</v>
      </c>
      <c r="D141" s="1" t="s">
        <v>2351</v>
      </c>
      <c r="E141" s="5">
        <v>37443</v>
      </c>
      <c r="F141" s="1" t="s">
        <v>506</v>
      </c>
      <c r="G141" s="1" t="str">
        <f>IF(B141=0,VLOOKUP(A141,Feuil2!$A$2:$M$1241,11,FALSE)," ")</f>
        <v xml:space="preserve"> </v>
      </c>
      <c r="H141" s="1" t="s">
        <v>16</v>
      </c>
      <c r="I141" s="6" t="str">
        <f>IF(B141=0,VLOOKUP(A141,Feuil2!$A$2:$M$1241,7,FALSE)," ")</f>
        <v xml:space="preserve"> </v>
      </c>
      <c r="J141" s="1" t="str">
        <f>IF(B141=0,VLOOKUP(A141,Feuil2!$A$2:$M$1241,9,FALSE)," ")</f>
        <v xml:space="preserve"> </v>
      </c>
      <c r="K141" s="1" t="str">
        <f>IF(B141=0,VLOOKUP(A141,Feuil2!$A$2:$M$1241,10,FALSE)," ")</f>
        <v xml:space="preserve"> </v>
      </c>
      <c r="L141" s="1"/>
      <c r="M141" s="1"/>
      <c r="N141" s="1"/>
      <c r="O141" s="8" t="str">
        <f>IF(B141=0,VLOOKUP(A141,Feuil2!$A$2:$M$1241,13,FALSE)," ")</f>
        <v xml:space="preserve"> </v>
      </c>
    </row>
    <row r="142" spans="1:16" x14ac:dyDescent="0.3">
      <c r="A142" s="1">
        <v>790</v>
      </c>
      <c r="B142" s="1">
        <v>0</v>
      </c>
      <c r="C142" s="1" t="str">
        <f>IF(B142=0,VLOOKUP(A142,Feuil2!$A$2:$M$1241,2,FALSE)," ")</f>
        <v>ATTIA</v>
      </c>
      <c r="D142" s="1" t="str">
        <f>IF(B142=0,VLOOKUP(A142,Feuil2!$A$2:$M$1241,3,FALSE)," ")</f>
        <v>HAFEDH</v>
      </c>
      <c r="E142" s="5">
        <f>IF(B142=0,VLOOKUP(A142,Feuil2!$A$2:$M$1241,6,FALSE)," ")</f>
        <v>24391</v>
      </c>
      <c r="F142" s="1" t="str">
        <f>IF(B142=0,VLOOKUP(A142,Feuil2!$A$2:$M$1241,12,FALSE)," ")</f>
        <v>H</v>
      </c>
      <c r="G142" s="1" t="str">
        <f>IF(B142=0,VLOOKUP(A142,Feuil2!$A$2:$M$1241,11,FALSE)," ")</f>
        <v>M</v>
      </c>
      <c r="H142" s="1" t="s">
        <v>16</v>
      </c>
      <c r="I142" s="6">
        <f>IF(B142=0,VLOOKUP(A142,Feuil2!$A$2:$M$1241,7,FALSE)," ")</f>
        <v>2969515</v>
      </c>
      <c r="J142" s="1" t="str">
        <f>IF(B142=0,VLOOKUP(A142,Feuil2!$A$2:$M$1241,9,FALSE)," ")</f>
        <v>17 Rue de la Gare</v>
      </c>
      <c r="K142" s="1" t="str">
        <f>IF(B142=0,VLOOKUP(A142,Feuil2!$A$2:$M$1241,10,FALSE)," ")</f>
        <v>Msaken 4070</v>
      </c>
      <c r="L142" s="1">
        <v>4070</v>
      </c>
      <c r="M142" s="1">
        <v>98297673</v>
      </c>
      <c r="N142" s="1"/>
      <c r="O142" s="8" t="str">
        <f>IF(B142=0,VLOOKUP(A142,Feuil2!$A$2:$M$1241,13,FALSE)," ")</f>
        <v>04204067404000678762</v>
      </c>
    </row>
    <row r="143" spans="1:16" x14ac:dyDescent="0.3">
      <c r="A143" s="1">
        <v>790</v>
      </c>
      <c r="B143" s="1">
        <v>1</v>
      </c>
      <c r="C143" s="1" t="s">
        <v>2365</v>
      </c>
      <c r="D143" s="1" t="s">
        <v>1809</v>
      </c>
      <c r="E143" s="5">
        <v>25637</v>
      </c>
      <c r="F143" s="1" t="s">
        <v>17</v>
      </c>
      <c r="G143" s="1" t="s">
        <v>15</v>
      </c>
      <c r="H143" s="1" t="s">
        <v>16</v>
      </c>
      <c r="I143" s="6" t="str">
        <f>IF(B143=0,VLOOKUP(A143,Feuil2!$A$2:$M$1241,7,FALSE)," ")</f>
        <v xml:space="preserve"> </v>
      </c>
      <c r="J143" s="1" t="str">
        <f>IF(B143=0,VLOOKUP(A143,Feuil2!$A$2:$M$1241,9,FALSE)," ")</f>
        <v xml:space="preserve"> </v>
      </c>
      <c r="K143" s="1" t="str">
        <f>IF(B143=0,VLOOKUP(A143,Feuil2!$A$2:$M$1241,10,FALSE)," ")</f>
        <v xml:space="preserve"> </v>
      </c>
      <c r="L143" s="1"/>
      <c r="M143" s="1"/>
      <c r="N143" s="1"/>
      <c r="O143" s="8" t="str">
        <f>IF(B143=0,VLOOKUP(A143,Feuil2!$A$2:$M$1241,13,FALSE)," ")</f>
        <v xml:space="preserve"> </v>
      </c>
    </row>
    <row r="144" spans="1:16" x14ac:dyDescent="0.3">
      <c r="A144" s="1">
        <v>790</v>
      </c>
      <c r="B144" s="1">
        <v>2</v>
      </c>
      <c r="C144" s="1" t="s">
        <v>57</v>
      </c>
      <c r="D144" s="1" t="s">
        <v>34</v>
      </c>
      <c r="E144" s="5">
        <v>34591</v>
      </c>
      <c r="F144" s="1" t="s">
        <v>506</v>
      </c>
      <c r="G144" s="1" t="str">
        <f>IF(B144=0,VLOOKUP(A144,Feuil2!$A$2:$M$1241,11,FALSE)," ")</f>
        <v xml:space="preserve"> </v>
      </c>
      <c r="H144" s="1" t="s">
        <v>16</v>
      </c>
      <c r="I144" s="6" t="str">
        <f>IF(B144=0,VLOOKUP(A144,Feuil2!$A$2:$M$1241,7,FALSE)," ")</f>
        <v xml:space="preserve"> </v>
      </c>
      <c r="J144" s="1" t="str">
        <f>IF(B144=0,VLOOKUP(A144,Feuil2!$A$2:$M$1241,9,FALSE)," ")</f>
        <v xml:space="preserve"> </v>
      </c>
      <c r="K144" s="1" t="str">
        <f>IF(B144=0,VLOOKUP(A144,Feuil2!$A$2:$M$1241,10,FALSE)," ")</f>
        <v xml:space="preserve"> </v>
      </c>
      <c r="L144" s="1"/>
      <c r="M144" s="1"/>
      <c r="N144" s="1"/>
      <c r="O144" s="8" t="str">
        <f>IF(B144=0,VLOOKUP(A144,Feuil2!$A$2:$M$1241,13,FALSE)," ")</f>
        <v xml:space="preserve"> </v>
      </c>
    </row>
    <row r="145" spans="1:15" x14ac:dyDescent="0.3">
      <c r="A145" s="1">
        <v>790</v>
      </c>
      <c r="B145" s="1">
        <v>3</v>
      </c>
      <c r="C145" s="1" t="s">
        <v>57</v>
      </c>
      <c r="D145" s="1" t="s">
        <v>2677</v>
      </c>
      <c r="E145" s="5">
        <v>35401</v>
      </c>
      <c r="F145" s="1" t="s">
        <v>17</v>
      </c>
      <c r="G145" s="1" t="str">
        <f>IF(B145=0,VLOOKUP(A145,Feuil2!$A$2:$M$1241,11,FALSE)," ")</f>
        <v xml:space="preserve"> </v>
      </c>
      <c r="H145" s="1" t="s">
        <v>16</v>
      </c>
      <c r="I145" s="6" t="str">
        <f>IF(B145=0,VLOOKUP(A145,Feuil2!$A$2:$M$1241,7,FALSE)," ")</f>
        <v xml:space="preserve"> </v>
      </c>
      <c r="J145" s="1" t="str">
        <f>IF(B145=0,VLOOKUP(A145,Feuil2!$A$2:$M$1241,9,FALSE)," ")</f>
        <v xml:space="preserve"> </v>
      </c>
      <c r="K145" s="1" t="str">
        <f>IF(B145=0,VLOOKUP(A145,Feuil2!$A$2:$M$1241,10,FALSE)," ")</f>
        <v xml:space="preserve"> </v>
      </c>
      <c r="L145" s="1"/>
      <c r="M145" s="1"/>
      <c r="N145" s="1"/>
      <c r="O145" s="8" t="str">
        <f>IF(B145=0,VLOOKUP(A145,Feuil2!$A$2:$M$1241,13,FALSE)," ")</f>
        <v xml:space="preserve"> </v>
      </c>
    </row>
    <row r="146" spans="1:15" x14ac:dyDescent="0.3">
      <c r="A146" s="1">
        <v>790</v>
      </c>
      <c r="B146" s="1">
        <v>4</v>
      </c>
      <c r="C146" s="1" t="s">
        <v>57</v>
      </c>
      <c r="D146" s="1" t="s">
        <v>2367</v>
      </c>
      <c r="E146" s="5">
        <v>36432</v>
      </c>
      <c r="F146" s="1" t="s">
        <v>17</v>
      </c>
      <c r="G146" s="1" t="str">
        <f>IF(B146=0,VLOOKUP(A146,Feuil2!$A$2:$M$1241,11,FALSE)," ")</f>
        <v xml:space="preserve"> </v>
      </c>
      <c r="H146" s="1" t="s">
        <v>16</v>
      </c>
      <c r="I146" s="6" t="str">
        <f>IF(B146=0,VLOOKUP(A146,Feuil2!$A$2:$M$1241,7,FALSE)," ")</f>
        <v xml:space="preserve"> </v>
      </c>
      <c r="J146" s="1" t="str">
        <f>IF(B146=0,VLOOKUP(A146,Feuil2!$A$2:$M$1241,9,FALSE)," ")</f>
        <v xml:space="preserve"> </v>
      </c>
      <c r="K146" s="1" t="str">
        <f>IF(B146=0,VLOOKUP(A146,Feuil2!$A$2:$M$1241,10,FALSE)," ")</f>
        <v xml:space="preserve"> </v>
      </c>
      <c r="L146" s="1"/>
      <c r="M146" s="1"/>
      <c r="N146" s="1"/>
      <c r="O146" s="8" t="str">
        <f>IF(B146=0,VLOOKUP(A146,Feuil2!$A$2:$M$1241,13,FALSE)," ")</f>
        <v xml:space="preserve"> </v>
      </c>
    </row>
    <row r="147" spans="1:15" x14ac:dyDescent="0.3">
      <c r="A147" s="1">
        <v>815</v>
      </c>
      <c r="B147" s="1">
        <v>0</v>
      </c>
      <c r="C147" s="1" t="str">
        <f>IF(B147=0,VLOOKUP(A147,Feuil2!$A$2:$M$1241,2,FALSE)," ")</f>
        <v>DAHMANI</v>
      </c>
      <c r="D147" s="1" t="str">
        <f>IF(B147=0,VLOOKUP(A147,Feuil2!$A$2:$M$1241,3,FALSE)," ")</f>
        <v>HAFSI</v>
      </c>
      <c r="E147" s="5">
        <f>IF(B147=0,VLOOKUP(A147,Feuil2!$A$2:$M$1241,6,FALSE)," ")</f>
        <v>24682</v>
      </c>
      <c r="F147" s="1" t="str">
        <f>IF(B147=0,VLOOKUP(A147,Feuil2!$A$2:$M$1241,12,FALSE)," ")</f>
        <v>H</v>
      </c>
      <c r="G147" s="1" t="str">
        <f>IF(B147=0,VLOOKUP(A147,Feuil2!$A$2:$M$1241,11,FALSE)," ")</f>
        <v>M</v>
      </c>
      <c r="H147" s="1" t="s">
        <v>16</v>
      </c>
      <c r="I147" s="6">
        <f>IF(B147=0,VLOOKUP(A147,Feuil2!$A$2:$M$1241,7,FALSE)," ")</f>
        <v>4168240</v>
      </c>
      <c r="J147" s="1" t="str">
        <f>IF(B147=0,VLOOKUP(A147,Feuil2!$A$2:$M$1241,9,FALSE)," ")</f>
        <v>Rue El Wifek N 19</v>
      </c>
      <c r="K147" s="1" t="str">
        <f>IF(B147=0,VLOOKUP(A147,Feuil2!$A$2:$M$1241,10,FALSE)," ")</f>
        <v>Msaken 4070</v>
      </c>
      <c r="L147" s="1">
        <v>4070</v>
      </c>
      <c r="M147" s="1">
        <v>95142239</v>
      </c>
      <c r="N147" s="1"/>
      <c r="O147" s="8" t="str">
        <f>IF(B147=0,VLOOKUP(A147,Feuil2!$A$2:$M$1241,13,FALSE)," ")</f>
        <v>04204067404000648013</v>
      </c>
    </row>
    <row r="148" spans="1:15" x14ac:dyDescent="0.3">
      <c r="A148" s="1">
        <v>815</v>
      </c>
      <c r="B148" s="1">
        <v>1</v>
      </c>
      <c r="C148" s="1" t="s">
        <v>201</v>
      </c>
      <c r="D148" s="1" t="s">
        <v>2461</v>
      </c>
      <c r="E148" s="5">
        <v>27563</v>
      </c>
      <c r="F148" s="1" t="s">
        <v>17</v>
      </c>
      <c r="G148" s="1" t="s">
        <v>15</v>
      </c>
      <c r="H148" s="1" t="s">
        <v>16</v>
      </c>
      <c r="I148" s="6" t="str">
        <f>IF(B148=0,VLOOKUP(A148,Feuil2!$A$2:$M$1241,7,FALSE)," ")</f>
        <v xml:space="preserve"> </v>
      </c>
      <c r="J148" s="1" t="str">
        <f>IF(B148=0,VLOOKUP(A148,Feuil2!$A$2:$M$1241,9,FALSE)," ")</f>
        <v xml:space="preserve"> </v>
      </c>
      <c r="K148" s="1" t="str">
        <f>IF(B148=0,VLOOKUP(A148,Feuil2!$A$2:$M$1241,10,FALSE)," ")</f>
        <v xml:space="preserve"> </v>
      </c>
      <c r="L148" s="1"/>
      <c r="M148" s="1"/>
      <c r="N148" s="1"/>
      <c r="O148" s="8" t="str">
        <f>IF(B148=0,VLOOKUP(A148,Feuil2!$A$2:$M$1241,13,FALSE)," ")</f>
        <v xml:space="preserve"> </v>
      </c>
    </row>
    <row r="149" spans="1:15" x14ac:dyDescent="0.3">
      <c r="A149" s="1">
        <v>815</v>
      </c>
      <c r="B149" s="1">
        <v>2</v>
      </c>
      <c r="C149" s="1" t="s">
        <v>46</v>
      </c>
      <c r="D149" s="1" t="s">
        <v>2345</v>
      </c>
      <c r="E149" s="5">
        <v>37634</v>
      </c>
      <c r="F149" s="1" t="s">
        <v>17</v>
      </c>
      <c r="G149" s="1" t="str">
        <f>IF(B149=0,VLOOKUP(A149,Feuil2!$A$2:$M$1241,11,FALSE)," ")</f>
        <v xml:space="preserve"> </v>
      </c>
      <c r="H149" s="1" t="s">
        <v>16</v>
      </c>
      <c r="I149" s="6" t="str">
        <f>IF(B149=0,VLOOKUP(A149,Feuil2!$A$2:$M$1241,7,FALSE)," ")</f>
        <v xml:space="preserve"> </v>
      </c>
      <c r="J149" s="1" t="str">
        <f>IF(B149=0,VLOOKUP(A149,Feuil2!$A$2:$M$1241,9,FALSE)," ")</f>
        <v xml:space="preserve"> </v>
      </c>
      <c r="K149" s="1" t="str">
        <f>IF(B149=0,VLOOKUP(A149,Feuil2!$A$2:$M$1241,10,FALSE)," ")</f>
        <v xml:space="preserve"> </v>
      </c>
      <c r="L149" s="1"/>
      <c r="M149" s="1"/>
      <c r="N149" s="1"/>
      <c r="O149" s="8" t="str">
        <f>IF(B149=0,VLOOKUP(A149,Feuil2!$A$2:$M$1241,13,FALSE)," ")</f>
        <v xml:space="preserve"> </v>
      </c>
    </row>
    <row r="150" spans="1:15" x14ac:dyDescent="0.3">
      <c r="A150" s="1">
        <v>815</v>
      </c>
      <c r="B150" s="1">
        <v>3</v>
      </c>
      <c r="C150" s="1" t="s">
        <v>46</v>
      </c>
      <c r="D150" s="1" t="s">
        <v>2451</v>
      </c>
      <c r="E150" s="5">
        <v>38926</v>
      </c>
      <c r="F150" s="1" t="s">
        <v>17</v>
      </c>
      <c r="G150" s="1" t="str">
        <f>IF(B150=0,VLOOKUP(A150,Feuil2!$A$2:$M$1241,11,FALSE)," ")</f>
        <v xml:space="preserve"> </v>
      </c>
      <c r="H150" s="1" t="s">
        <v>16</v>
      </c>
      <c r="I150" s="6" t="str">
        <f>IF(B150=0,VLOOKUP(A150,Feuil2!$A$2:$M$1241,7,FALSE)," ")</f>
        <v xml:space="preserve"> </v>
      </c>
      <c r="J150" s="1" t="str">
        <f>IF(B150=0,VLOOKUP(A150,Feuil2!$A$2:$M$1241,9,FALSE)," ")</f>
        <v xml:space="preserve"> </v>
      </c>
      <c r="K150" s="1" t="str">
        <f>IF(B150=0,VLOOKUP(A150,Feuil2!$A$2:$M$1241,10,FALSE)," ")</f>
        <v xml:space="preserve"> </v>
      </c>
      <c r="L150" s="1"/>
      <c r="M150" s="1"/>
      <c r="N150" s="1"/>
      <c r="O150" s="8" t="str">
        <f>IF(B150=0,VLOOKUP(A150,Feuil2!$A$2:$M$1241,13,FALSE)," ")</f>
        <v xml:space="preserve"> </v>
      </c>
    </row>
    <row r="151" spans="1:15" x14ac:dyDescent="0.3">
      <c r="A151" s="1">
        <v>832</v>
      </c>
      <c r="B151" s="1">
        <v>0</v>
      </c>
      <c r="C151" s="1" t="str">
        <f>IF(B151=0,VLOOKUP(A151,Feuil2!$A$2:$M$1241,2,FALSE)," ")</f>
        <v>ABBASSI</v>
      </c>
      <c r="D151" s="1" t="str">
        <f>IF(B151=0,VLOOKUP(A151,Feuil2!$A$2:$M$1241,3,FALSE)," ")</f>
        <v>LOTFI</v>
      </c>
      <c r="E151" s="5">
        <f>IF(B151=0,VLOOKUP(A151,Feuil2!$A$2:$M$1241,6,FALSE)," ")</f>
        <v>24985</v>
      </c>
      <c r="F151" s="1" t="str">
        <f>IF(B151=0,VLOOKUP(A151,Feuil2!$A$2:$M$1241,12,FALSE)," ")</f>
        <v>H</v>
      </c>
      <c r="G151" s="1" t="str">
        <f>IF(B151=0,VLOOKUP(A151,Feuil2!$A$2:$M$1241,11,FALSE)," ")</f>
        <v>M</v>
      </c>
      <c r="H151" s="1" t="s">
        <v>16</v>
      </c>
      <c r="I151" s="6">
        <f>IF(B151=0,VLOOKUP(A151,Feuil2!$A$2:$M$1241,7,FALSE)," ")</f>
        <v>2992681</v>
      </c>
      <c r="J151" s="1" t="str">
        <f>IF(B151=0,VLOOKUP(A151,Feuil2!$A$2:$M$1241,9,FALSE)," ")</f>
        <v>12 Rue Ibn Rochd</v>
      </c>
      <c r="K151" s="1" t="str">
        <f>IF(B151=0,VLOOKUP(A151,Feuil2!$A$2:$M$1241,10,FALSE)," ")</f>
        <v>Msaken 4070</v>
      </c>
      <c r="L151" s="1">
        <v>4070</v>
      </c>
      <c r="M151" s="1">
        <v>98793634</v>
      </c>
      <c r="N151" s="1"/>
      <c r="O151" s="8" t="str">
        <f>IF(B151=0,VLOOKUP(A151,Feuil2!$A$2:$M$1241,13,FALSE)," ")</f>
        <v>10506040203881378890</v>
      </c>
    </row>
    <row r="152" spans="1:15" x14ac:dyDescent="0.3">
      <c r="A152" s="1">
        <v>832</v>
      </c>
      <c r="B152" s="1">
        <v>1</v>
      </c>
      <c r="C152" s="1" t="s">
        <v>819</v>
      </c>
      <c r="D152" s="1" t="s">
        <v>596</v>
      </c>
      <c r="E152" s="5">
        <v>28676</v>
      </c>
      <c r="F152" s="1" t="s">
        <v>17</v>
      </c>
      <c r="G152" s="1" t="s">
        <v>15</v>
      </c>
      <c r="H152" s="1" t="s">
        <v>16</v>
      </c>
      <c r="I152" s="6" t="str">
        <f>IF(B152=0,VLOOKUP(A152,Feuil2!$A$2:$M$1241,7,FALSE)," ")</f>
        <v xml:space="preserve"> </v>
      </c>
      <c r="J152" s="1" t="str">
        <f>IF(B152=0,VLOOKUP(A152,Feuil2!$A$2:$M$1241,9,FALSE)," ")</f>
        <v xml:space="preserve"> </v>
      </c>
      <c r="K152" s="1" t="str">
        <f>IF(B152=0,VLOOKUP(A152,Feuil2!$A$2:$M$1241,10,FALSE)," ")</f>
        <v xml:space="preserve"> </v>
      </c>
      <c r="L152" s="1"/>
      <c r="M152" s="1"/>
      <c r="N152" s="1"/>
      <c r="O152" s="8" t="str">
        <f>IF(B152=0,VLOOKUP(A152,Feuil2!$A$2:$M$1241,13,FALSE)," ")</f>
        <v xml:space="preserve"> </v>
      </c>
    </row>
    <row r="153" spans="1:15" x14ac:dyDescent="0.3">
      <c r="A153" s="1">
        <v>832</v>
      </c>
      <c r="B153" s="1">
        <v>2</v>
      </c>
      <c r="C153" s="1" t="s">
        <v>254</v>
      </c>
      <c r="D153" s="1" t="s">
        <v>441</v>
      </c>
      <c r="E153" s="5">
        <v>37136</v>
      </c>
      <c r="F153" s="1" t="s">
        <v>506</v>
      </c>
      <c r="G153" s="1" t="str">
        <f>IF(B153=0,VLOOKUP(A153,Feuil2!$A$2:$M$1241,11,FALSE)," ")</f>
        <v xml:space="preserve"> </v>
      </c>
      <c r="H153" s="1" t="s">
        <v>16</v>
      </c>
      <c r="I153" s="6" t="str">
        <f>IF(B153=0,VLOOKUP(A153,Feuil2!$A$2:$M$1241,7,FALSE)," ")</f>
        <v xml:space="preserve"> </v>
      </c>
      <c r="J153" s="1" t="str">
        <f>IF(B153=0,VLOOKUP(A153,Feuil2!$A$2:$M$1241,9,FALSE)," ")</f>
        <v xml:space="preserve"> </v>
      </c>
      <c r="K153" s="1" t="str">
        <f>IF(B153=0,VLOOKUP(A153,Feuil2!$A$2:$M$1241,10,FALSE)," ")</f>
        <v xml:space="preserve"> </v>
      </c>
      <c r="L153" s="1"/>
      <c r="M153" s="1"/>
      <c r="N153" s="1"/>
      <c r="O153" s="8" t="str">
        <f>IF(B153=0,VLOOKUP(A153,Feuil2!$A$2:$M$1241,13,FALSE)," ")</f>
        <v xml:space="preserve"> </v>
      </c>
    </row>
    <row r="154" spans="1:15" x14ac:dyDescent="0.3">
      <c r="A154" s="1">
        <v>832</v>
      </c>
      <c r="B154" s="1">
        <v>3</v>
      </c>
      <c r="C154" s="1" t="s">
        <v>254</v>
      </c>
      <c r="D154" s="1" t="s">
        <v>2383</v>
      </c>
      <c r="E154" s="5">
        <v>37859</v>
      </c>
      <c r="F154" s="1" t="s">
        <v>17</v>
      </c>
      <c r="G154" s="1" t="str">
        <f>IF(B154=0,VLOOKUP(A154,Feuil2!$A$2:$M$1241,11,FALSE)," ")</f>
        <v xml:space="preserve"> </v>
      </c>
      <c r="H154" s="1" t="s">
        <v>16</v>
      </c>
      <c r="I154" s="6" t="str">
        <f>IF(B154=0,VLOOKUP(A154,Feuil2!$A$2:$M$1241,7,FALSE)," ")</f>
        <v xml:space="preserve"> </v>
      </c>
      <c r="J154" s="1" t="str">
        <f>IF(B154=0,VLOOKUP(A154,Feuil2!$A$2:$M$1241,9,FALSE)," ")</f>
        <v xml:space="preserve"> </v>
      </c>
      <c r="K154" s="1" t="str">
        <f>IF(B154=0,VLOOKUP(A154,Feuil2!$A$2:$M$1241,10,FALSE)," ")</f>
        <v xml:space="preserve"> </v>
      </c>
      <c r="L154" s="1"/>
      <c r="M154" s="1"/>
      <c r="N154" s="1"/>
      <c r="O154" s="8" t="str">
        <f>IF(B154=0,VLOOKUP(A154,Feuil2!$A$2:$M$1241,13,FALSE)," ")</f>
        <v xml:space="preserve"> </v>
      </c>
    </row>
    <row r="155" spans="1:15" x14ac:dyDescent="0.3">
      <c r="A155" s="1">
        <v>832</v>
      </c>
      <c r="B155" s="1">
        <v>4</v>
      </c>
      <c r="C155" s="1" t="s">
        <v>254</v>
      </c>
      <c r="D155" s="1" t="s">
        <v>2385</v>
      </c>
      <c r="E155" s="5">
        <v>40546</v>
      </c>
      <c r="F155" s="1" t="s">
        <v>17</v>
      </c>
      <c r="G155" s="1" t="str">
        <f>IF(B155=0,VLOOKUP(A155,Feuil2!$A$2:$M$1241,11,FALSE)," ")</f>
        <v xml:space="preserve"> </v>
      </c>
      <c r="H155" s="1" t="s">
        <v>16</v>
      </c>
      <c r="I155" s="6" t="str">
        <f>IF(B155=0,VLOOKUP(A155,Feuil2!$A$2:$M$1241,7,FALSE)," ")</f>
        <v xml:space="preserve"> </v>
      </c>
      <c r="J155" s="1" t="str">
        <f>IF(B155=0,VLOOKUP(A155,Feuil2!$A$2:$M$1241,9,FALSE)," ")</f>
        <v xml:space="preserve"> </v>
      </c>
      <c r="K155" s="1" t="str">
        <f>IF(B155=0,VLOOKUP(A155,Feuil2!$A$2:$M$1241,10,FALSE)," ")</f>
        <v xml:space="preserve"> </v>
      </c>
      <c r="L155" s="1"/>
      <c r="M155" s="1"/>
      <c r="N155" s="1"/>
      <c r="O155" s="8" t="str">
        <f>IF(B155=0,VLOOKUP(A155,Feuil2!$A$2:$M$1241,13,FALSE)," ")</f>
        <v xml:space="preserve"> </v>
      </c>
    </row>
    <row r="156" spans="1:15" x14ac:dyDescent="0.3">
      <c r="A156" s="17">
        <v>847</v>
      </c>
      <c r="B156" s="17">
        <v>0</v>
      </c>
      <c r="C156" s="17" t="str">
        <f>IF(B156=0,VLOOKUP(A156,Feuil2!$A$2:$M$1241,2,FALSE)," ")</f>
        <v>BABAY ROUIS</v>
      </c>
      <c r="D156" s="17" t="str">
        <f>IF(B156=0,VLOOKUP(A156,Feuil2!$A$2:$M$1241,3,FALSE)," ")</f>
        <v>ABDERRAZEK</v>
      </c>
      <c r="E156" s="18">
        <f>IF(B156=0,VLOOKUP(A156,Feuil2!$A$2:$M$1241,6,FALSE)," ")</f>
        <v>24951</v>
      </c>
      <c r="F156" s="17" t="str">
        <f>IF(B156=0,VLOOKUP(A156,Feuil2!$A$2:$M$1241,12,FALSE)," ")</f>
        <v>H</v>
      </c>
      <c r="G156" s="17" t="str">
        <f>IF(B156=0,VLOOKUP(A156,Feuil2!$A$2:$M$1241,11,FALSE)," ")</f>
        <v>M</v>
      </c>
      <c r="H156" s="17" t="s">
        <v>16</v>
      </c>
      <c r="I156" s="19">
        <f>IF(B156=0,VLOOKUP(A156,Feuil2!$A$2:$M$1241,7,FALSE)," ")</f>
        <v>2996274</v>
      </c>
      <c r="J156" s="17" t="str">
        <f>IF(B156=0,VLOOKUP(A156,Feuil2!$A$2:$M$1241,9,FALSE)," ")</f>
        <v>272 R Farhat Hached</v>
      </c>
      <c r="K156" s="17" t="str">
        <f>IF(B156=0,VLOOKUP(A156,Feuil2!$A$2:$M$1241,10,FALSE)," ")</f>
        <v>Msaken 4070</v>
      </c>
      <c r="L156" s="17">
        <v>4070</v>
      </c>
      <c r="M156" s="17">
        <v>98793704</v>
      </c>
      <c r="N156" s="17"/>
      <c r="O156" s="20" t="str">
        <f>IF(B156=0,VLOOKUP(A156,Feuil2!$A$2:$M$1241,13,FALSE)," ")</f>
        <v>10506040203899978834</v>
      </c>
    </row>
    <row r="157" spans="1:15" x14ac:dyDescent="0.3">
      <c r="A157" s="1">
        <v>847</v>
      </c>
      <c r="B157" s="1">
        <v>1</v>
      </c>
      <c r="C157" s="1" t="s">
        <v>342</v>
      </c>
      <c r="D157" s="1" t="s">
        <v>2425</v>
      </c>
      <c r="E157" s="5">
        <v>26434</v>
      </c>
      <c r="F157" s="1" t="s">
        <v>17</v>
      </c>
      <c r="G157" s="1" t="s">
        <v>15</v>
      </c>
      <c r="H157" s="1" t="s">
        <v>16</v>
      </c>
      <c r="I157" s="6" t="str">
        <f>IF(B157=0,VLOOKUP(A157,Feuil2!$A$2:$M$1241,7,FALSE)," ")</f>
        <v xml:space="preserve"> </v>
      </c>
      <c r="J157" s="1" t="str">
        <f>IF(B157=0,VLOOKUP(A157,Feuil2!$A$2:$M$1241,9,FALSE)," ")</f>
        <v xml:space="preserve"> </v>
      </c>
      <c r="K157" s="1" t="str">
        <f>IF(B157=0,VLOOKUP(A157,Feuil2!$A$2:$M$1241,10,FALSE)," ")</f>
        <v xml:space="preserve"> </v>
      </c>
      <c r="L157" s="1"/>
      <c r="M157" s="1"/>
      <c r="N157" s="1"/>
      <c r="O157" s="8" t="str">
        <f>IF(B157=0,VLOOKUP(A157,Feuil2!$A$2:$M$1241,13,FALSE)," ")</f>
        <v xml:space="preserve"> </v>
      </c>
    </row>
    <row r="158" spans="1:15" x14ac:dyDescent="0.3">
      <c r="A158" s="1">
        <v>847</v>
      </c>
      <c r="B158" s="1">
        <v>2</v>
      </c>
      <c r="C158" s="1" t="s">
        <v>614</v>
      </c>
      <c r="D158" s="1" t="s">
        <v>449</v>
      </c>
      <c r="E158" s="5">
        <v>35547</v>
      </c>
      <c r="F158" s="1" t="s">
        <v>17</v>
      </c>
      <c r="G158" s="1" t="str">
        <f>IF(B158=0,VLOOKUP(A158,Feuil2!$A$2:$M$1241,11,FALSE)," ")</f>
        <v xml:space="preserve"> </v>
      </c>
      <c r="H158" s="1" t="s">
        <v>16</v>
      </c>
      <c r="I158" s="6" t="str">
        <f>IF(B158=0,VLOOKUP(A158,Feuil2!$A$2:$M$1241,7,FALSE)," ")</f>
        <v xml:space="preserve"> </v>
      </c>
      <c r="J158" s="1" t="str">
        <f>IF(B158=0,VLOOKUP(A158,Feuil2!$A$2:$M$1241,9,FALSE)," ")</f>
        <v xml:space="preserve"> </v>
      </c>
      <c r="K158" s="1" t="str">
        <f>IF(B158=0,VLOOKUP(A158,Feuil2!$A$2:$M$1241,10,FALSE)," ")</f>
        <v xml:space="preserve"> </v>
      </c>
      <c r="L158" s="1"/>
      <c r="M158" s="1"/>
      <c r="N158" s="1"/>
      <c r="O158" s="8" t="str">
        <f>IF(B158=0,VLOOKUP(A158,Feuil2!$A$2:$M$1241,13,FALSE)," ")</f>
        <v xml:space="preserve"> </v>
      </c>
    </row>
    <row r="159" spans="1:15" x14ac:dyDescent="0.3">
      <c r="A159" s="1">
        <v>847</v>
      </c>
      <c r="B159" s="1">
        <v>3</v>
      </c>
      <c r="C159" s="1" t="s">
        <v>614</v>
      </c>
      <c r="D159" s="1" t="s">
        <v>2347</v>
      </c>
      <c r="E159" s="5">
        <v>38529</v>
      </c>
      <c r="F159" s="1" t="s">
        <v>506</v>
      </c>
      <c r="G159" s="1" t="str">
        <f>IF(B159=0,VLOOKUP(A159,Feuil2!$A$2:$M$1241,11,FALSE)," ")</f>
        <v xml:space="preserve"> </v>
      </c>
      <c r="H159" s="1" t="s">
        <v>16</v>
      </c>
      <c r="I159" s="6" t="str">
        <f>IF(B159=0,VLOOKUP(A159,Feuil2!$A$2:$M$1241,7,FALSE)," ")</f>
        <v xml:space="preserve"> </v>
      </c>
      <c r="J159" s="1" t="str">
        <f>IF(B159=0,VLOOKUP(A159,Feuil2!$A$2:$M$1241,9,FALSE)," ")</f>
        <v xml:space="preserve"> </v>
      </c>
      <c r="K159" s="1" t="str">
        <f>IF(B159=0,VLOOKUP(A159,Feuil2!$A$2:$M$1241,10,FALSE)," ")</f>
        <v xml:space="preserve"> </v>
      </c>
      <c r="L159" s="1"/>
      <c r="M159" s="1"/>
      <c r="N159" s="1"/>
      <c r="O159" s="8" t="str">
        <f>IF(B159=0,VLOOKUP(A159,Feuil2!$A$2:$M$1241,13,FALSE)," ")</f>
        <v xml:space="preserve"> </v>
      </c>
    </row>
    <row r="160" spans="1:15" x14ac:dyDescent="0.3">
      <c r="A160" s="1">
        <v>849</v>
      </c>
      <c r="B160" s="1">
        <v>0</v>
      </c>
      <c r="C160" s="1" t="str">
        <f>IF(B160=0,VLOOKUP(A160,Feuil2!$A$2:$M$1241,2,FALSE)," ")</f>
        <v>KAIBI</v>
      </c>
      <c r="D160" s="1" t="str">
        <f>IF(B160=0,VLOOKUP(A160,Feuil2!$A$2:$M$1241,3,FALSE)," ")</f>
        <v>RIDHA</v>
      </c>
      <c r="E160" s="5">
        <f>IF(B160=0,VLOOKUP(A160,Feuil2!$A$2:$M$1241,6,FALSE)," ")</f>
        <v>24531</v>
      </c>
      <c r="F160" s="1" t="str">
        <f>IF(B160=0,VLOOKUP(A160,Feuil2!$A$2:$M$1241,12,FALSE)," ")</f>
        <v>H</v>
      </c>
      <c r="G160" s="1" t="str">
        <f>IF(B160=0,VLOOKUP(A160,Feuil2!$A$2:$M$1241,11,FALSE)," ")</f>
        <v>M</v>
      </c>
      <c r="H160" s="1" t="s">
        <v>16</v>
      </c>
      <c r="I160" s="6">
        <f>IF(B160=0,VLOOKUP(A160,Feuil2!$A$2:$M$1241,7,FALSE)," ")</f>
        <v>2984770</v>
      </c>
      <c r="J160" s="1" t="str">
        <f>IF(B160=0,VLOOKUP(A160,Feuil2!$A$2:$M$1241,9,FALSE)," ")</f>
        <v>50 R Chedli Mahjoub</v>
      </c>
      <c r="K160" s="1" t="str">
        <f>IF(B160=0,VLOOKUP(A160,Feuil2!$A$2:$M$1241,10,FALSE)," ")</f>
        <v>Msaken 4070</v>
      </c>
      <c r="L160" s="1">
        <v>4070</v>
      </c>
      <c r="M160" s="1">
        <v>985634450</v>
      </c>
      <c r="N160" s="1"/>
      <c r="O160" s="8" t="str">
        <f>IF(B160=0,VLOOKUP(A160,Feuil2!$A$2:$M$1241,13,FALSE)," ")</f>
        <v>04204067404000159812</v>
      </c>
    </row>
    <row r="161" spans="1:15" x14ac:dyDescent="0.3">
      <c r="A161" s="1">
        <v>849</v>
      </c>
      <c r="B161" s="1">
        <v>1</v>
      </c>
      <c r="C161" s="1" t="s">
        <v>386</v>
      </c>
      <c r="D161" s="1" t="s">
        <v>2480</v>
      </c>
      <c r="E161" s="5">
        <v>28762</v>
      </c>
      <c r="F161" s="1" t="s">
        <v>17</v>
      </c>
      <c r="G161" s="1" t="s">
        <v>15</v>
      </c>
      <c r="H161" s="1" t="s">
        <v>16</v>
      </c>
      <c r="I161" s="6" t="str">
        <f>IF(B161=0,VLOOKUP(A161,Feuil2!$A$2:$M$1241,7,FALSE)," ")</f>
        <v xml:space="preserve"> </v>
      </c>
      <c r="J161" s="1" t="str">
        <f>IF(B161=0,VLOOKUP(A161,Feuil2!$A$2:$M$1241,9,FALSE)," ")</f>
        <v xml:space="preserve"> </v>
      </c>
      <c r="K161" s="1" t="str">
        <f>IF(B161=0,VLOOKUP(A161,Feuil2!$A$2:$M$1241,10,FALSE)," ")</f>
        <v xml:space="preserve"> </v>
      </c>
      <c r="L161" s="1"/>
      <c r="M161" s="1"/>
      <c r="N161" s="1"/>
      <c r="O161" s="8" t="str">
        <f>IF(B161=0,VLOOKUP(A161,Feuil2!$A$2:$M$1241,13,FALSE)," ")</f>
        <v xml:space="preserve"> </v>
      </c>
    </row>
    <row r="162" spans="1:15" x14ac:dyDescent="0.3">
      <c r="A162" s="1">
        <v>849</v>
      </c>
      <c r="B162" s="1">
        <v>2</v>
      </c>
      <c r="C162" s="1" t="s">
        <v>188</v>
      </c>
      <c r="D162" s="1" t="s">
        <v>2336</v>
      </c>
      <c r="E162" s="5">
        <v>36716</v>
      </c>
      <c r="F162" s="1" t="s">
        <v>17</v>
      </c>
      <c r="G162" s="1" t="str">
        <f>IF(B162=0,VLOOKUP(A162,Feuil2!$A$2:$M$1241,11,FALSE)," ")</f>
        <v xml:space="preserve"> </v>
      </c>
      <c r="H162" s="1" t="s">
        <v>16</v>
      </c>
      <c r="I162" s="6" t="str">
        <f>IF(B162=0,VLOOKUP(A162,Feuil2!$A$2:$M$1241,7,FALSE)," ")</f>
        <v xml:space="preserve"> </v>
      </c>
      <c r="J162" s="1" t="str">
        <f>IF(B162=0,VLOOKUP(A162,Feuil2!$A$2:$M$1241,9,FALSE)," ")</f>
        <v xml:space="preserve"> </v>
      </c>
      <c r="K162" s="1" t="str">
        <f>IF(B162=0,VLOOKUP(A162,Feuil2!$A$2:$M$1241,10,FALSE)," ")</f>
        <v xml:space="preserve"> </v>
      </c>
      <c r="L162" s="1"/>
      <c r="M162" s="1"/>
      <c r="N162" s="1"/>
      <c r="O162" s="8" t="str">
        <f>IF(B162=0,VLOOKUP(A162,Feuil2!$A$2:$M$1241,13,FALSE)," ")</f>
        <v xml:space="preserve"> </v>
      </c>
    </row>
    <row r="163" spans="1:15" x14ac:dyDescent="0.3">
      <c r="A163" s="1">
        <v>849</v>
      </c>
      <c r="B163" s="1">
        <v>3</v>
      </c>
      <c r="C163" s="1" t="s">
        <v>188</v>
      </c>
      <c r="D163" s="1" t="s">
        <v>404</v>
      </c>
      <c r="E163" s="5">
        <v>37183</v>
      </c>
      <c r="F163" s="1" t="s">
        <v>17</v>
      </c>
      <c r="G163" s="1" t="str">
        <f>IF(B163=0,VLOOKUP(A163,Feuil2!$A$2:$M$1241,11,FALSE)," ")</f>
        <v xml:space="preserve"> </v>
      </c>
      <c r="H163" s="1" t="s">
        <v>16</v>
      </c>
      <c r="I163" s="6" t="str">
        <f>IF(B163=0,VLOOKUP(A163,Feuil2!$A$2:$M$1241,7,FALSE)," ")</f>
        <v xml:space="preserve"> </v>
      </c>
      <c r="J163" s="1" t="str">
        <f>IF(B163=0,VLOOKUP(A163,Feuil2!$A$2:$M$1241,9,FALSE)," ")</f>
        <v xml:space="preserve"> </v>
      </c>
      <c r="K163" s="1" t="str">
        <f>IF(B163=0,VLOOKUP(A163,Feuil2!$A$2:$M$1241,10,FALSE)," ")</f>
        <v xml:space="preserve"> </v>
      </c>
      <c r="L163" s="1"/>
      <c r="M163" s="1"/>
      <c r="N163" s="1"/>
      <c r="O163" s="8" t="str">
        <f>IF(B163=0,VLOOKUP(A163,Feuil2!$A$2:$M$1241,13,FALSE)," ")</f>
        <v xml:space="preserve"> </v>
      </c>
    </row>
    <row r="164" spans="1:15" x14ac:dyDescent="0.3">
      <c r="A164" s="1">
        <v>849</v>
      </c>
      <c r="B164" s="1">
        <v>4</v>
      </c>
      <c r="C164" s="1" t="s">
        <v>188</v>
      </c>
      <c r="D164" s="1" t="s">
        <v>441</v>
      </c>
      <c r="E164" s="5">
        <v>38111</v>
      </c>
      <c r="F164" s="1" t="s">
        <v>506</v>
      </c>
      <c r="G164" s="1" t="str">
        <f>IF(B164=0,VLOOKUP(A164,Feuil2!$A$2:$M$1241,11,FALSE)," ")</f>
        <v xml:space="preserve"> </v>
      </c>
      <c r="H164" s="1" t="s">
        <v>16</v>
      </c>
      <c r="I164" s="6" t="str">
        <f>IF(B164=0,VLOOKUP(A164,Feuil2!$A$2:$M$1241,7,FALSE)," ")</f>
        <v xml:space="preserve"> </v>
      </c>
      <c r="J164" s="1" t="str">
        <f>IF(B164=0,VLOOKUP(A164,Feuil2!$A$2:$M$1241,9,FALSE)," ")</f>
        <v xml:space="preserve"> </v>
      </c>
      <c r="K164" s="1" t="str">
        <f>IF(B164=0,VLOOKUP(A164,Feuil2!$A$2:$M$1241,10,FALSE)," ")</f>
        <v xml:space="preserve"> </v>
      </c>
      <c r="L164" s="1"/>
      <c r="M164" s="1"/>
      <c r="N164" s="1"/>
      <c r="O164" s="8" t="str">
        <f>IF(B164=0,VLOOKUP(A164,Feuil2!$A$2:$M$1241,13,FALSE)," ")</f>
        <v xml:space="preserve"> </v>
      </c>
    </row>
    <row r="165" spans="1:15" x14ac:dyDescent="0.3">
      <c r="A165" s="1">
        <v>849</v>
      </c>
      <c r="B165" s="1">
        <v>5</v>
      </c>
      <c r="C165" s="1" t="s">
        <v>188</v>
      </c>
      <c r="D165" s="1" t="s">
        <v>287</v>
      </c>
      <c r="E165" s="5">
        <v>41991</v>
      </c>
      <c r="F165" s="1" t="s">
        <v>506</v>
      </c>
      <c r="G165" s="1" t="str">
        <f>IF(B165=0,VLOOKUP(A165,Feuil2!$A$2:$M$1241,11,FALSE)," ")</f>
        <v xml:space="preserve"> </v>
      </c>
      <c r="H165" s="1" t="s">
        <v>16</v>
      </c>
      <c r="I165" s="6" t="str">
        <f>IF(B165=0,VLOOKUP(A165,Feuil2!$A$2:$M$1241,7,FALSE)," ")</f>
        <v xml:space="preserve"> </v>
      </c>
      <c r="J165" s="1" t="str">
        <f>IF(B165=0,VLOOKUP(A165,Feuil2!$A$2:$M$1241,9,FALSE)," ")</f>
        <v xml:space="preserve"> </v>
      </c>
      <c r="K165" s="1" t="str">
        <f>IF(B165=0,VLOOKUP(A165,Feuil2!$A$2:$M$1241,10,FALSE)," ")</f>
        <v xml:space="preserve"> </v>
      </c>
      <c r="L165" s="1"/>
      <c r="M165" s="1"/>
      <c r="N165" s="1"/>
      <c r="O165" s="8" t="str">
        <f>IF(B165=0,VLOOKUP(A165,Feuil2!$A$2:$M$1241,13,FALSE)," ")</f>
        <v xml:space="preserve"> </v>
      </c>
    </row>
    <row r="166" spans="1:15" x14ac:dyDescent="0.3">
      <c r="A166" s="1">
        <v>859</v>
      </c>
      <c r="B166" s="1">
        <v>0</v>
      </c>
      <c r="C166" s="1" t="str">
        <f>IF(B166=0,VLOOKUP(A166,Feuil2!$A$2:$M$1241,2,FALSE)," ")</f>
        <v>ZRELLI</v>
      </c>
      <c r="D166" s="1" t="str">
        <f>IF(B166=0,VLOOKUP(A166,Feuil2!$A$2:$M$1241,3,FALSE)," ")</f>
        <v>MOHAMED</v>
      </c>
      <c r="E166" s="5">
        <f>IF(B166=0,VLOOKUP(A166,Feuil2!$A$2:$M$1241,6,FALSE)," ")</f>
        <v>25818</v>
      </c>
      <c r="F166" s="1" t="str">
        <f>IF(B166=0,VLOOKUP(A166,Feuil2!$A$2:$M$1241,12,FALSE)," ")</f>
        <v>H</v>
      </c>
      <c r="G166" s="1" t="str">
        <f>IF(B166=0,VLOOKUP(A166,Feuil2!$A$2:$M$1241,11,FALSE)," ")</f>
        <v>M</v>
      </c>
      <c r="H166" s="1" t="s">
        <v>16</v>
      </c>
      <c r="I166" s="6">
        <f>IF(B166=0,VLOOKUP(A166,Feuil2!$A$2:$M$1241,7,FALSE)," ")</f>
        <v>2993411</v>
      </c>
      <c r="J166" s="1" t="str">
        <f>IF(B166=0,VLOOKUP(A166,Feuil2!$A$2:$M$1241,9,FALSE)," ")</f>
        <v>118 Rue M Hamda Hamila</v>
      </c>
      <c r="K166" s="1" t="str">
        <f>IF(B166=0,VLOOKUP(A166,Feuil2!$A$2:$M$1241,10,FALSE)," ")</f>
        <v>Msaken 4070</v>
      </c>
      <c r="L166" s="1">
        <v>4070</v>
      </c>
      <c r="M166" s="1">
        <v>97225247</v>
      </c>
      <c r="N166" s="1"/>
      <c r="O166" s="8" t="str">
        <f>IF(B166=0,VLOOKUP(A166,Feuil2!$A$2:$M$1241,13,FALSE)," ")</f>
        <v>03508056010100216249</v>
      </c>
    </row>
    <row r="167" spans="1:15" x14ac:dyDescent="0.3">
      <c r="A167" s="1">
        <v>859</v>
      </c>
      <c r="B167" s="1">
        <v>1</v>
      </c>
      <c r="C167" s="1" t="s">
        <v>2402</v>
      </c>
      <c r="D167" s="1" t="s">
        <v>1007</v>
      </c>
      <c r="E167" s="5">
        <v>28238</v>
      </c>
      <c r="F167" s="1" t="s">
        <v>17</v>
      </c>
      <c r="G167" s="1" t="s">
        <v>15</v>
      </c>
      <c r="H167" s="1" t="s">
        <v>16</v>
      </c>
      <c r="I167" s="6" t="str">
        <f>IF(B167=0,VLOOKUP(A167,Feuil2!$A$2:$M$1241,7,FALSE)," ")</f>
        <v xml:space="preserve"> </v>
      </c>
      <c r="J167" s="1" t="str">
        <f>IF(B167=0,VLOOKUP(A167,Feuil2!$A$2:$M$1241,9,FALSE)," ")</f>
        <v xml:space="preserve"> </v>
      </c>
      <c r="K167" s="1" t="str">
        <f>IF(B167=0,VLOOKUP(A167,Feuil2!$A$2:$M$1241,10,FALSE)," ")</f>
        <v xml:space="preserve"> </v>
      </c>
      <c r="L167" s="1"/>
      <c r="M167" s="1"/>
      <c r="N167" s="1"/>
      <c r="O167" s="8" t="str">
        <f>IF(B167=0,VLOOKUP(A167,Feuil2!$A$2:$M$1241,13,FALSE)," ")</f>
        <v xml:space="preserve"> </v>
      </c>
    </row>
    <row r="168" spans="1:15" x14ac:dyDescent="0.3">
      <c r="A168" s="1">
        <v>859</v>
      </c>
      <c r="B168" s="1">
        <v>2</v>
      </c>
      <c r="C168" s="1" t="s">
        <v>180</v>
      </c>
      <c r="D168" s="1" t="s">
        <v>2388</v>
      </c>
      <c r="E168" s="5">
        <v>35972</v>
      </c>
      <c r="F168" s="1" t="s">
        <v>506</v>
      </c>
      <c r="G168" s="1" t="str">
        <f>IF(B168=0,VLOOKUP(A168,Feuil2!$A$2:$M$1241,11,FALSE)," ")</f>
        <v xml:space="preserve"> </v>
      </c>
      <c r="H168" s="1" t="s">
        <v>16</v>
      </c>
      <c r="I168" s="6" t="str">
        <f>IF(B168=0,VLOOKUP(A168,Feuil2!$A$2:$M$1241,7,FALSE)," ")</f>
        <v xml:space="preserve"> </v>
      </c>
      <c r="J168" s="1" t="str">
        <f>IF(B168=0,VLOOKUP(A168,Feuil2!$A$2:$M$1241,9,FALSE)," ")</f>
        <v xml:space="preserve"> </v>
      </c>
      <c r="K168" s="1" t="str">
        <f>IF(B168=0,VLOOKUP(A168,Feuil2!$A$2:$M$1241,10,FALSE)," ")</f>
        <v xml:space="preserve"> </v>
      </c>
      <c r="L168" s="1"/>
      <c r="M168" s="1"/>
      <c r="N168" s="1"/>
      <c r="O168" s="8" t="str">
        <f>IF(B168=0,VLOOKUP(A168,Feuil2!$A$2:$M$1241,13,FALSE)," ")</f>
        <v xml:space="preserve"> </v>
      </c>
    </row>
    <row r="169" spans="1:15" x14ac:dyDescent="0.3">
      <c r="A169" s="1">
        <v>859</v>
      </c>
      <c r="B169" s="1">
        <v>3</v>
      </c>
      <c r="C169" s="1" t="s">
        <v>180</v>
      </c>
      <c r="D169" s="1" t="s">
        <v>2403</v>
      </c>
      <c r="E169" s="5">
        <v>36531</v>
      </c>
      <c r="F169" s="1" t="s">
        <v>17</v>
      </c>
      <c r="G169" s="1" t="str">
        <f>IF(B169=0,VLOOKUP(A169,Feuil2!$A$2:$M$1241,11,FALSE)," ")</f>
        <v xml:space="preserve"> </v>
      </c>
      <c r="H169" s="1" t="s">
        <v>16</v>
      </c>
      <c r="I169" s="6" t="str">
        <f>IF(B169=0,VLOOKUP(A169,Feuil2!$A$2:$M$1241,7,FALSE)," ")</f>
        <v xml:space="preserve"> </v>
      </c>
      <c r="J169" s="1" t="str">
        <f>IF(B169=0,VLOOKUP(A169,Feuil2!$A$2:$M$1241,9,FALSE)," ")</f>
        <v xml:space="preserve"> </v>
      </c>
      <c r="K169" s="1" t="str">
        <f>IF(B169=0,VLOOKUP(A169,Feuil2!$A$2:$M$1241,10,FALSE)," ")</f>
        <v xml:space="preserve"> </v>
      </c>
      <c r="L169" s="1"/>
      <c r="M169" s="1"/>
      <c r="N169" s="1"/>
      <c r="O169" s="8" t="str">
        <f>IF(B169=0,VLOOKUP(A169,Feuil2!$A$2:$M$1241,13,FALSE)," ")</f>
        <v xml:space="preserve"> </v>
      </c>
    </row>
    <row r="170" spans="1:15" x14ac:dyDescent="0.3">
      <c r="A170" s="1">
        <v>859</v>
      </c>
      <c r="B170" s="1">
        <v>4</v>
      </c>
      <c r="C170" s="1" t="s">
        <v>180</v>
      </c>
      <c r="D170" s="1" t="s">
        <v>384</v>
      </c>
      <c r="E170" s="5">
        <v>38736</v>
      </c>
      <c r="F170" s="1" t="s">
        <v>506</v>
      </c>
      <c r="G170" s="1" t="str">
        <f>IF(B170=0,VLOOKUP(A170,Feuil2!$A$2:$M$1241,11,FALSE)," ")</f>
        <v xml:space="preserve"> </v>
      </c>
      <c r="H170" s="1" t="s">
        <v>16</v>
      </c>
      <c r="I170" s="6" t="str">
        <f>IF(B170=0,VLOOKUP(A170,Feuil2!$A$2:$M$1241,7,FALSE)," ")</f>
        <v xml:space="preserve"> </v>
      </c>
      <c r="J170" s="1" t="str">
        <f>IF(B170=0,VLOOKUP(A170,Feuil2!$A$2:$M$1241,9,FALSE)," ")</f>
        <v xml:space="preserve"> </v>
      </c>
      <c r="K170" s="1" t="str">
        <f>IF(B170=0,VLOOKUP(A170,Feuil2!$A$2:$M$1241,10,FALSE)," ")</f>
        <v xml:space="preserve"> </v>
      </c>
      <c r="L170" s="1"/>
      <c r="M170" s="1"/>
      <c r="N170" s="1"/>
      <c r="O170" s="8" t="str">
        <f>IF(B170=0,VLOOKUP(A170,Feuil2!$A$2:$M$1241,13,FALSE)," ")</f>
        <v xml:space="preserve"> </v>
      </c>
    </row>
    <row r="171" spans="1:15" x14ac:dyDescent="0.3">
      <c r="A171" s="1">
        <v>920</v>
      </c>
      <c r="B171" s="1">
        <v>0</v>
      </c>
      <c r="C171" s="1" t="str">
        <f>IF(B171=0,VLOOKUP(A171,Feuil2!$A$2:$M$1241,2,FALSE)," ")</f>
        <v>BEL HADJ MEFTAH</v>
      </c>
      <c r="D171" s="1" t="str">
        <f>IF(B171=0,VLOOKUP(A171,Feuil2!$A$2:$M$1241,3,FALSE)," ")</f>
        <v>ABDERRAOUF</v>
      </c>
      <c r="E171" s="5">
        <f>IF(B171=0,VLOOKUP(A171,Feuil2!$A$2:$M$1241,6,FALSE)," ")</f>
        <v>24767</v>
      </c>
      <c r="F171" s="1" t="str">
        <f>IF(B171=0,VLOOKUP(A171,Feuil2!$A$2:$M$1241,12,FALSE)," ")</f>
        <v>H</v>
      </c>
      <c r="G171" s="1" t="str">
        <f>IF(B171=0,VLOOKUP(A171,Feuil2!$A$2:$M$1241,11,FALSE)," ")</f>
        <v>M</v>
      </c>
      <c r="H171" s="1" t="s">
        <v>16</v>
      </c>
      <c r="I171" s="6">
        <f>IF(B171=0,VLOOKUP(A171,Feuil2!$A$2:$M$1241,7,FALSE)," ")</f>
        <v>3944638</v>
      </c>
      <c r="J171" s="1" t="str">
        <f>IF(B171=0,VLOOKUP(A171,Feuil2!$A$2:$M$1241,9,FALSE)," ")</f>
        <v>935, Rue Echbilia</v>
      </c>
      <c r="K171" s="1" t="str">
        <f>IF(B171=0,VLOOKUP(A171,Feuil2!$A$2:$M$1241,10,FALSE)," ")</f>
        <v>CitÃ© Ezzouhour</v>
      </c>
      <c r="L171" s="1"/>
      <c r="M171" s="1">
        <v>98827702</v>
      </c>
      <c r="N171" s="1"/>
      <c r="O171" s="8" t="str">
        <f>IF(B171=0,VLOOKUP(A171,Feuil2!$A$2:$M$1241,13,FALSE)," ")</f>
        <v>04204067404000879164</v>
      </c>
    </row>
    <row r="172" spans="1:15" x14ac:dyDescent="0.3">
      <c r="A172" s="1">
        <v>920</v>
      </c>
      <c r="B172" s="1">
        <v>1</v>
      </c>
      <c r="C172" s="1" t="s">
        <v>2390</v>
      </c>
      <c r="D172" s="1" t="s">
        <v>2391</v>
      </c>
      <c r="E172" s="5">
        <v>27273</v>
      </c>
      <c r="F172" s="1" t="s">
        <v>17</v>
      </c>
      <c r="G172" s="1" t="s">
        <v>15</v>
      </c>
      <c r="H172" s="1" t="s">
        <v>16</v>
      </c>
      <c r="I172" s="6" t="str">
        <f>IF(B172=0,VLOOKUP(A172,Feuil2!$A$2:$M$1241,7,FALSE)," ")</f>
        <v xml:space="preserve"> </v>
      </c>
      <c r="J172" s="1" t="str">
        <f>IF(B172=0,VLOOKUP(A172,Feuil2!$A$2:$M$1241,9,FALSE)," ")</f>
        <v xml:space="preserve"> </v>
      </c>
      <c r="K172" s="1" t="str">
        <f>IF(B172=0,VLOOKUP(A172,Feuil2!$A$2:$M$1241,10,FALSE)," ")</f>
        <v xml:space="preserve"> </v>
      </c>
      <c r="L172" s="1"/>
      <c r="M172" s="1"/>
      <c r="N172" s="1"/>
      <c r="O172" s="8" t="str">
        <f>IF(B172=0,VLOOKUP(A172,Feuil2!$A$2:$M$1241,13,FALSE)," ")</f>
        <v xml:space="preserve"> </v>
      </c>
    </row>
    <row r="173" spans="1:15" x14ac:dyDescent="0.3">
      <c r="A173" s="1">
        <v>920</v>
      </c>
      <c r="B173" s="1">
        <v>2</v>
      </c>
      <c r="C173" s="1" t="s">
        <v>1331</v>
      </c>
      <c r="D173" s="1" t="s">
        <v>2392</v>
      </c>
      <c r="E173" s="5">
        <v>34981</v>
      </c>
      <c r="F173" s="1" t="s">
        <v>17</v>
      </c>
      <c r="G173" s="1" t="str">
        <f>IF(B173=0,VLOOKUP(A173,Feuil2!$A$2:$M$1241,11,FALSE)," ")</f>
        <v xml:space="preserve"> </v>
      </c>
      <c r="H173" s="1" t="s">
        <v>16</v>
      </c>
      <c r="I173" s="6" t="str">
        <f>IF(B173=0,VLOOKUP(A173,Feuil2!$A$2:$M$1241,7,FALSE)," ")</f>
        <v xml:space="preserve"> </v>
      </c>
      <c r="J173" s="1" t="str">
        <f>IF(B173=0,VLOOKUP(A173,Feuil2!$A$2:$M$1241,9,FALSE)," ")</f>
        <v xml:space="preserve"> </v>
      </c>
      <c r="K173" s="1" t="str">
        <f>IF(B173=0,VLOOKUP(A173,Feuil2!$A$2:$M$1241,10,FALSE)," ")</f>
        <v xml:space="preserve"> </v>
      </c>
      <c r="L173" s="1"/>
      <c r="M173" s="1"/>
      <c r="N173" s="1"/>
      <c r="O173" s="8" t="str">
        <f>IF(B173=0,VLOOKUP(A173,Feuil2!$A$2:$M$1241,13,FALSE)," ")</f>
        <v xml:space="preserve"> </v>
      </c>
    </row>
    <row r="174" spans="1:15" x14ac:dyDescent="0.3">
      <c r="A174" s="1">
        <v>920</v>
      </c>
      <c r="B174" s="1">
        <v>3</v>
      </c>
      <c r="C174" s="1" t="s">
        <v>1331</v>
      </c>
      <c r="D174" s="1" t="s">
        <v>2338</v>
      </c>
      <c r="E174" s="5">
        <v>38731</v>
      </c>
      <c r="F174" s="1" t="s">
        <v>17</v>
      </c>
      <c r="G174" s="1" t="str">
        <f>IF(B174=0,VLOOKUP(A174,Feuil2!$A$2:$M$1241,11,FALSE)," ")</f>
        <v xml:space="preserve"> </v>
      </c>
      <c r="H174" s="1" t="s">
        <v>16</v>
      </c>
      <c r="I174" s="6" t="str">
        <f>IF(B174=0,VLOOKUP(A174,Feuil2!$A$2:$M$1241,7,FALSE)," ")</f>
        <v xml:space="preserve"> </v>
      </c>
      <c r="J174" s="1" t="str">
        <f>IF(B174=0,VLOOKUP(A174,Feuil2!$A$2:$M$1241,9,FALSE)," ")</f>
        <v xml:space="preserve"> </v>
      </c>
      <c r="K174" s="1" t="str">
        <f>IF(B174=0,VLOOKUP(A174,Feuil2!$A$2:$M$1241,10,FALSE)," ")</f>
        <v xml:space="preserve"> </v>
      </c>
      <c r="L174" s="1"/>
      <c r="M174" s="1"/>
      <c r="N174" s="1"/>
      <c r="O174" s="8" t="str">
        <f>IF(B174=0,VLOOKUP(A174,Feuil2!$A$2:$M$1241,13,FALSE)," ")</f>
        <v xml:space="preserve"> </v>
      </c>
    </row>
    <row r="175" spans="1:15" x14ac:dyDescent="0.3">
      <c r="A175" s="1">
        <v>920</v>
      </c>
      <c r="B175" s="1">
        <v>4</v>
      </c>
      <c r="C175" s="1" t="s">
        <v>1331</v>
      </c>
      <c r="D175" s="1" t="s">
        <v>2393</v>
      </c>
      <c r="E175" s="5">
        <v>39466</v>
      </c>
      <c r="F175" s="1" t="s">
        <v>506</v>
      </c>
      <c r="G175" s="1" t="str">
        <f>IF(B175=0,VLOOKUP(A175,Feuil2!$A$2:$M$1241,11,FALSE)," ")</f>
        <v xml:space="preserve"> </v>
      </c>
      <c r="H175" s="1" t="s">
        <v>16</v>
      </c>
      <c r="I175" s="6" t="str">
        <f>IF(B175=0,VLOOKUP(A175,Feuil2!$A$2:$M$1241,7,FALSE)," ")</f>
        <v xml:space="preserve"> </v>
      </c>
      <c r="J175" s="1" t="str">
        <f>IF(B175=0,VLOOKUP(A175,Feuil2!$A$2:$M$1241,9,FALSE)," ")</f>
        <v xml:space="preserve"> </v>
      </c>
      <c r="K175" s="1" t="str">
        <f>IF(B175=0,VLOOKUP(A175,Feuil2!$A$2:$M$1241,10,FALSE)," ")</f>
        <v xml:space="preserve"> </v>
      </c>
      <c r="L175" s="1"/>
      <c r="M175" s="1"/>
      <c r="N175" s="1"/>
      <c r="O175" s="8" t="str">
        <f>IF(B175=0,VLOOKUP(A175,Feuil2!$A$2:$M$1241,13,FALSE)," ")</f>
        <v xml:space="preserve"> </v>
      </c>
    </row>
    <row r="176" spans="1:15" x14ac:dyDescent="0.3">
      <c r="A176" s="1">
        <v>935</v>
      </c>
      <c r="B176" s="1">
        <v>0</v>
      </c>
      <c r="C176" s="1" t="str">
        <f>IF(B176=0,VLOOKUP(A176,Feuil2!$A$2:$M$1241,2,FALSE)," ")</f>
        <v>HAOUAS ZAHOUANI</v>
      </c>
      <c r="D176" s="1" t="str">
        <f>IF(B176=0,VLOOKUP(A176,Feuil2!$A$2:$M$1241,3,FALSE)," ")</f>
        <v>MOHAMED AMEN</v>
      </c>
      <c r="E176" s="5">
        <f>IF(B176=0,VLOOKUP(A176,Feuil2!$A$2:$M$1241,6,FALSE)," ")</f>
        <v>25139</v>
      </c>
      <c r="F176" s="1" t="str">
        <f>IF(B176=0,VLOOKUP(A176,Feuil2!$A$2:$M$1241,12,FALSE)," ")</f>
        <v>H</v>
      </c>
      <c r="G176" s="1" t="str">
        <f>IF(B176=0,VLOOKUP(A176,Feuil2!$A$2:$M$1241,11,FALSE)," ")</f>
        <v>M</v>
      </c>
      <c r="H176" s="1" t="s">
        <v>16</v>
      </c>
      <c r="I176" s="6">
        <f>IF(B176=0,VLOOKUP(A176,Feuil2!$A$2:$M$1241,7,FALSE)," ")</f>
        <v>5509729</v>
      </c>
      <c r="J176" s="1" t="str">
        <f>IF(B176=0,VLOOKUP(A176,Feuil2!$A$2:$M$1241,9,FALSE)," ")</f>
        <v>60 Rue 12 Mai</v>
      </c>
      <c r="K176" s="1" t="str">
        <f>IF(B176=0,VLOOKUP(A176,Feuil2!$A$2:$M$1241,10,FALSE)," ")</f>
        <v>Msaken 4070</v>
      </c>
      <c r="L176" s="1">
        <v>4070</v>
      </c>
      <c r="M176" s="1">
        <v>25001632</v>
      </c>
      <c r="N176" s="1"/>
      <c r="O176" s="8" t="str">
        <f>IF(B176=0,VLOOKUP(A176,Feuil2!$A$2:$M$1241,13,FALSE)," ")</f>
        <v>03508056010100132829</v>
      </c>
    </row>
    <row r="177" spans="1:16" x14ac:dyDescent="0.3">
      <c r="A177" s="1">
        <v>935</v>
      </c>
      <c r="B177" s="1">
        <v>1</v>
      </c>
      <c r="C177" s="1" t="s">
        <v>839</v>
      </c>
      <c r="D177" s="1" t="s">
        <v>746</v>
      </c>
      <c r="E177" s="5">
        <v>25019</v>
      </c>
      <c r="F177" s="1" t="s">
        <v>17</v>
      </c>
      <c r="G177" s="1" t="s">
        <v>15</v>
      </c>
      <c r="H177" s="1" t="s">
        <v>16</v>
      </c>
      <c r="I177" s="6" t="str">
        <f>IF(B177=0,VLOOKUP(A177,Feuil2!$A$2:$M$1241,7,FALSE)," ")</f>
        <v xml:space="preserve"> </v>
      </c>
      <c r="J177" s="1" t="str">
        <f>IF(B177=0,VLOOKUP(A177,Feuil2!$A$2:$M$1241,9,FALSE)," ")</f>
        <v xml:space="preserve"> </v>
      </c>
      <c r="K177" s="1" t="str">
        <f>IF(B177=0,VLOOKUP(A177,Feuil2!$A$2:$M$1241,10,FALSE)," ")</f>
        <v xml:space="preserve"> </v>
      </c>
      <c r="L177" s="1"/>
      <c r="M177" s="1"/>
      <c r="N177" s="2"/>
      <c r="O177" s="8" t="str">
        <f>IF(B177=0,VLOOKUP(A177,Feuil2!$A$2:$M$1241,13,FALSE)," ")</f>
        <v xml:space="preserve"> </v>
      </c>
    </row>
    <row r="178" spans="1:16" x14ac:dyDescent="0.3">
      <c r="A178" s="1">
        <v>935</v>
      </c>
      <c r="B178" s="1">
        <v>2</v>
      </c>
      <c r="C178" s="1" t="s">
        <v>1343</v>
      </c>
      <c r="D178" s="1" t="s">
        <v>2335</v>
      </c>
      <c r="E178" s="5">
        <v>34874</v>
      </c>
      <c r="F178" s="1" t="s">
        <v>506</v>
      </c>
      <c r="G178" s="1" t="str">
        <f>IF(B178=0,VLOOKUP(A178,Feuil2!$A$2:$M$1241,11,FALSE)," ")</f>
        <v xml:space="preserve"> </v>
      </c>
      <c r="H178" s="1" t="s">
        <v>16</v>
      </c>
      <c r="I178" s="6" t="str">
        <f>IF(B178=0,VLOOKUP(A178,Feuil2!$A$2:$M$1241,7,FALSE)," ")</f>
        <v xml:space="preserve"> </v>
      </c>
      <c r="J178" s="1" t="str">
        <f>IF(B178=0,VLOOKUP(A178,Feuil2!$A$2:$M$1241,9,FALSE)," ")</f>
        <v xml:space="preserve"> </v>
      </c>
      <c r="K178" s="1" t="str">
        <f>IF(B178=0,VLOOKUP(A178,Feuil2!$A$2:$M$1241,10,FALSE)," ")</f>
        <v xml:space="preserve"> </v>
      </c>
      <c r="L178" s="1"/>
      <c r="M178" s="1"/>
      <c r="N178" s="1"/>
      <c r="O178" s="8" t="str">
        <f>IF(B178=0,VLOOKUP(A178,Feuil2!$A$2:$M$1241,13,FALSE)," ")</f>
        <v xml:space="preserve"> </v>
      </c>
    </row>
    <row r="179" spans="1:16" x14ac:dyDescent="0.3">
      <c r="A179" s="1">
        <v>935</v>
      </c>
      <c r="B179" s="1">
        <v>3</v>
      </c>
      <c r="C179" s="1" t="s">
        <v>1343</v>
      </c>
      <c r="D179" s="1" t="s">
        <v>2336</v>
      </c>
      <c r="E179" s="5">
        <v>35629</v>
      </c>
      <c r="F179" s="1" t="s">
        <v>17</v>
      </c>
      <c r="G179" s="1" t="str">
        <f>IF(B179=0,VLOOKUP(A179,Feuil2!$A$2:$M$1241,11,FALSE)," ")</f>
        <v xml:space="preserve"> </v>
      </c>
      <c r="H179" s="1" t="s">
        <v>16</v>
      </c>
      <c r="I179" s="6" t="str">
        <f>IF(B179=0,VLOOKUP(A179,Feuil2!$A$2:$M$1241,7,FALSE)," ")</f>
        <v xml:space="preserve"> </v>
      </c>
      <c r="J179" s="1" t="str">
        <f>IF(B179=0,VLOOKUP(A179,Feuil2!$A$2:$M$1241,9,FALSE)," ")</f>
        <v xml:space="preserve"> </v>
      </c>
      <c r="K179" s="1" t="str">
        <f>IF(B179=0,VLOOKUP(A179,Feuil2!$A$2:$M$1241,10,FALSE)," ")</f>
        <v xml:space="preserve"> </v>
      </c>
      <c r="L179" s="1"/>
      <c r="M179" s="1"/>
      <c r="N179" s="1"/>
      <c r="O179" s="8" t="str">
        <f>IF(B179=0,VLOOKUP(A179,Feuil2!$A$2:$M$1241,13,FALSE)," ")</f>
        <v xml:space="preserve"> </v>
      </c>
      <c r="P179" t="s">
        <v>2805</v>
      </c>
    </row>
    <row r="180" spans="1:16" x14ac:dyDescent="0.3">
      <c r="A180" s="1">
        <v>935</v>
      </c>
      <c r="B180" s="1">
        <v>4</v>
      </c>
      <c r="C180" s="1" t="s">
        <v>1343</v>
      </c>
      <c r="D180" s="1" t="s">
        <v>1925</v>
      </c>
      <c r="E180" s="5">
        <v>36365</v>
      </c>
      <c r="F180" s="1" t="s">
        <v>17</v>
      </c>
      <c r="G180" s="1" t="str">
        <f>IF(B180=0,VLOOKUP(A180,Feuil2!$A$2:$M$1241,11,FALSE)," ")</f>
        <v xml:space="preserve"> </v>
      </c>
      <c r="H180" s="1" t="s">
        <v>16</v>
      </c>
      <c r="I180" s="6" t="str">
        <f>IF(B180=0,VLOOKUP(A180,Feuil2!$A$2:$M$1241,7,FALSE)," ")</f>
        <v xml:space="preserve"> </v>
      </c>
      <c r="J180" s="1" t="str">
        <f>IF(B180=0,VLOOKUP(A180,Feuil2!$A$2:$M$1241,9,FALSE)," ")</f>
        <v xml:space="preserve"> </v>
      </c>
      <c r="K180" s="1" t="str">
        <f>IF(B180=0,VLOOKUP(A180,Feuil2!$A$2:$M$1241,10,FALSE)," ")</f>
        <v xml:space="preserve"> </v>
      </c>
      <c r="L180" s="1"/>
      <c r="M180" s="1"/>
      <c r="N180" s="1"/>
      <c r="O180" s="8" t="str">
        <f>IF(B180=0,VLOOKUP(A180,Feuil2!$A$2:$M$1241,13,FALSE)," ")</f>
        <v xml:space="preserve"> </v>
      </c>
    </row>
    <row r="181" spans="1:16" x14ac:dyDescent="0.3">
      <c r="A181" s="1">
        <v>935</v>
      </c>
      <c r="B181" s="1">
        <v>5</v>
      </c>
      <c r="C181" s="1" t="s">
        <v>1343</v>
      </c>
      <c r="D181" s="1" t="s">
        <v>2337</v>
      </c>
      <c r="E181" s="5">
        <v>36920</v>
      </c>
      <c r="F181" s="1" t="s">
        <v>17</v>
      </c>
      <c r="G181" s="1" t="str">
        <f>IF(B181=0,VLOOKUP(A181,Feuil2!$A$2:$M$1241,11,FALSE)," ")</f>
        <v xml:space="preserve"> </v>
      </c>
      <c r="H181" s="1" t="s">
        <v>16</v>
      </c>
      <c r="I181" s="6" t="str">
        <f>IF(B181=0,VLOOKUP(A181,Feuil2!$A$2:$M$1241,7,FALSE)," ")</f>
        <v xml:space="preserve"> </v>
      </c>
      <c r="J181" s="1" t="str">
        <f>IF(B181=0,VLOOKUP(A181,Feuil2!$A$2:$M$1241,9,FALSE)," ")</f>
        <v xml:space="preserve"> </v>
      </c>
      <c r="K181" s="1" t="str">
        <f>IF(B181=0,VLOOKUP(A181,Feuil2!$A$2:$M$1241,10,FALSE)," ")</f>
        <v xml:space="preserve"> </v>
      </c>
      <c r="L181" s="1"/>
      <c r="M181" s="1"/>
      <c r="N181" s="2"/>
      <c r="O181" s="8" t="str">
        <f>IF(B181=0,VLOOKUP(A181,Feuil2!$A$2:$M$1241,13,FALSE)," ")</f>
        <v xml:space="preserve"> </v>
      </c>
    </row>
    <row r="182" spans="1:16" x14ac:dyDescent="0.3">
      <c r="A182" s="1">
        <v>935</v>
      </c>
      <c r="B182" s="1">
        <v>6</v>
      </c>
      <c r="C182" s="1" t="s">
        <v>1343</v>
      </c>
      <c r="D182" s="1" t="s">
        <v>2338</v>
      </c>
      <c r="E182" s="5">
        <v>39256</v>
      </c>
      <c r="F182" s="1" t="s">
        <v>17</v>
      </c>
      <c r="G182" s="1" t="str">
        <f>IF(B182=0,VLOOKUP(A182,Feuil2!$A$2:$M$1241,11,FALSE)," ")</f>
        <v xml:space="preserve"> </v>
      </c>
      <c r="H182" s="1" t="s">
        <v>16</v>
      </c>
      <c r="I182" s="6" t="str">
        <f>IF(B182=0,VLOOKUP(A182,Feuil2!$A$2:$M$1241,7,FALSE)," ")</f>
        <v xml:space="preserve"> </v>
      </c>
      <c r="J182" s="1" t="str">
        <f>IF(B182=0,VLOOKUP(A182,Feuil2!$A$2:$M$1241,9,FALSE)," ")</f>
        <v xml:space="preserve"> </v>
      </c>
      <c r="K182" s="1" t="str">
        <f>IF(B182=0,VLOOKUP(A182,Feuil2!$A$2:$M$1241,10,FALSE)," ")</f>
        <v xml:space="preserve"> </v>
      </c>
      <c r="L182" s="1"/>
      <c r="M182" s="1"/>
      <c r="N182" s="1"/>
      <c r="O182" s="8" t="str">
        <f>IF(B182=0,VLOOKUP(A182,Feuil2!$A$2:$M$1241,13,FALSE)," ")</f>
        <v xml:space="preserve"> </v>
      </c>
    </row>
    <row r="183" spans="1:16" x14ac:dyDescent="0.3">
      <c r="A183" s="1">
        <v>935</v>
      </c>
      <c r="B183" s="1">
        <v>7</v>
      </c>
      <c r="C183" s="1" t="s">
        <v>1343</v>
      </c>
      <c r="D183" s="1" t="s">
        <v>472</v>
      </c>
      <c r="E183" s="5">
        <v>39982</v>
      </c>
      <c r="F183" s="1" t="s">
        <v>506</v>
      </c>
      <c r="G183" s="1" t="str">
        <f>IF(B183=0,VLOOKUP(A183,Feuil2!$A$2:$M$1241,11,FALSE)," ")</f>
        <v xml:space="preserve"> </v>
      </c>
      <c r="H183" s="1" t="s">
        <v>16</v>
      </c>
      <c r="I183" s="6" t="str">
        <f>IF(B183=0,VLOOKUP(A183,Feuil2!$A$2:$M$1241,7,FALSE)," ")</f>
        <v xml:space="preserve"> </v>
      </c>
      <c r="J183" s="1" t="str">
        <f>IF(B183=0,VLOOKUP(A183,Feuil2!$A$2:$M$1241,9,FALSE)," ")</f>
        <v xml:space="preserve"> </v>
      </c>
      <c r="K183" s="1" t="str">
        <f>IF(B183=0,VLOOKUP(A183,Feuil2!$A$2:$M$1241,10,FALSE)," ")</f>
        <v xml:space="preserve"> </v>
      </c>
      <c r="L183" s="1"/>
      <c r="M183" s="1"/>
      <c r="N183" s="1"/>
      <c r="O183" s="8" t="str">
        <f>IF(B183=0,VLOOKUP(A183,Feuil2!$A$2:$M$1241,13,FALSE)," ")</f>
        <v xml:space="preserve"> </v>
      </c>
    </row>
    <row r="184" spans="1:16" x14ac:dyDescent="0.3">
      <c r="A184" s="1">
        <v>957</v>
      </c>
      <c r="B184" s="1">
        <v>0</v>
      </c>
      <c r="C184" s="1" t="str">
        <f>IF(B184=0,VLOOKUP(A184,Feuil2!$A$2:$M$1241,2,FALSE)," ")</f>
        <v>GAZZAH</v>
      </c>
      <c r="D184" s="1" t="str">
        <f>IF(B184=0,VLOOKUP(A184,Feuil2!$A$2:$M$1241,3,FALSE)," ")</f>
        <v>NIZAR</v>
      </c>
      <c r="E184" s="5">
        <f>IF(B184=0,VLOOKUP(A184,Feuil2!$A$2:$M$1241,6,FALSE)," ")</f>
        <v>25575</v>
      </c>
      <c r="F184" s="1" t="str">
        <f>IF(B184=0,VLOOKUP(A184,Feuil2!$A$2:$M$1241,12,FALSE)," ")</f>
        <v>H</v>
      </c>
      <c r="G184" s="1" t="str">
        <f>IF(B184=0,VLOOKUP(A184,Feuil2!$A$2:$M$1241,11,FALSE)," ")</f>
        <v>M</v>
      </c>
      <c r="H184" s="1" t="s">
        <v>16</v>
      </c>
      <c r="I184" s="6">
        <f>IF(B184=0,VLOOKUP(A184,Feuil2!$A$2:$M$1241,7,FALSE)," ")</f>
        <v>2990282</v>
      </c>
      <c r="J184" s="1" t="str">
        <f>IF(B184=0,VLOOKUP(A184,Feuil2!$A$2:$M$1241,9,FALSE)," ")</f>
        <v>29 R Abdelh El Gadhi</v>
      </c>
      <c r="K184" s="1" t="str">
        <f>IF(B184=0,VLOOKUP(A184,Feuil2!$A$2:$M$1241,10,FALSE)," ")</f>
        <v>Msaken 4070</v>
      </c>
      <c r="L184" s="1">
        <v>4070</v>
      </c>
      <c r="M184" s="1">
        <v>98685834</v>
      </c>
      <c r="N184" s="1"/>
      <c r="O184" s="10" t="s">
        <v>2360</v>
      </c>
    </row>
    <row r="185" spans="1:16" x14ac:dyDescent="0.3">
      <c r="A185" s="1">
        <v>957</v>
      </c>
      <c r="B185" s="1">
        <v>1</v>
      </c>
      <c r="C185" s="1" t="s">
        <v>275</v>
      </c>
      <c r="D185" s="1" t="s">
        <v>1361</v>
      </c>
      <c r="E185" s="5">
        <v>27349</v>
      </c>
      <c r="F185" s="1" t="s">
        <v>17</v>
      </c>
      <c r="G185" s="1" t="s">
        <v>15</v>
      </c>
      <c r="H185" s="1" t="s">
        <v>16</v>
      </c>
      <c r="I185" s="6" t="str">
        <f>IF(B185=0,VLOOKUP(A185,Feuil2!$A$2:$M$1241,7,FALSE)," ")</f>
        <v xml:space="preserve"> </v>
      </c>
      <c r="J185" s="1" t="str">
        <f>IF(B185=0,VLOOKUP(A185,Feuil2!$A$2:$M$1241,9,FALSE)," ")</f>
        <v xml:space="preserve"> </v>
      </c>
      <c r="K185" s="1" t="str">
        <f>IF(B185=0,VLOOKUP(A185,Feuil2!$A$2:$M$1241,10,FALSE)," ")</f>
        <v xml:space="preserve"> </v>
      </c>
      <c r="L185" s="1"/>
      <c r="M185" s="1"/>
      <c r="N185" s="1"/>
      <c r="O185" s="8" t="str">
        <f>IF(B185=0,VLOOKUP(A185,Feuil2!$A$2:$M$1241,13,FALSE)," ")</f>
        <v xml:space="preserve"> </v>
      </c>
    </row>
    <row r="186" spans="1:16" x14ac:dyDescent="0.3">
      <c r="A186" s="1">
        <v>957</v>
      </c>
      <c r="B186" s="1">
        <v>2</v>
      </c>
      <c r="C186" s="1" t="s">
        <v>121</v>
      </c>
      <c r="D186" s="1" t="s">
        <v>61</v>
      </c>
      <c r="E186" s="5">
        <v>39410</v>
      </c>
      <c r="F186" s="1" t="s">
        <v>506</v>
      </c>
      <c r="G186" s="1" t="str">
        <f>IF(B186=0,VLOOKUP(A186,Feuil2!$A$2:$M$1241,11,FALSE)," ")</f>
        <v xml:space="preserve"> </v>
      </c>
      <c r="H186" s="1" t="s">
        <v>16</v>
      </c>
      <c r="I186" s="6" t="str">
        <f>IF(B186=0,VLOOKUP(A186,Feuil2!$A$2:$M$1241,7,FALSE)," ")</f>
        <v xml:space="preserve"> </v>
      </c>
      <c r="J186" s="1" t="str">
        <f>IF(B186=0,VLOOKUP(A186,Feuil2!$A$2:$M$1241,9,FALSE)," ")</f>
        <v xml:space="preserve"> </v>
      </c>
      <c r="K186" s="1" t="str">
        <f>IF(B186=0,VLOOKUP(A186,Feuil2!$A$2:$M$1241,10,FALSE)," ")</f>
        <v xml:space="preserve"> </v>
      </c>
      <c r="L186" s="1"/>
      <c r="M186" s="1"/>
      <c r="N186" s="1"/>
      <c r="O186" s="8" t="str">
        <f>IF(B186=0,VLOOKUP(A186,Feuil2!$A$2:$M$1241,13,FALSE)," ")</f>
        <v xml:space="preserve"> </v>
      </c>
    </row>
    <row r="187" spans="1:16" x14ac:dyDescent="0.3">
      <c r="A187" s="1">
        <v>957</v>
      </c>
      <c r="B187" s="1">
        <v>3</v>
      </c>
      <c r="C187" s="1" t="s">
        <v>121</v>
      </c>
      <c r="D187" s="1" t="s">
        <v>2408</v>
      </c>
      <c r="E187" s="5">
        <v>34169</v>
      </c>
      <c r="F187" s="1" t="s">
        <v>17</v>
      </c>
      <c r="G187" s="1"/>
      <c r="H187" s="1"/>
      <c r="I187" s="6"/>
      <c r="J187" s="1"/>
      <c r="K187" s="1"/>
      <c r="L187" s="1"/>
      <c r="M187" s="1"/>
      <c r="N187" s="1"/>
      <c r="O187" s="8"/>
    </row>
    <row r="188" spans="1:16" x14ac:dyDescent="0.3">
      <c r="A188" s="1">
        <v>967</v>
      </c>
      <c r="B188" s="1">
        <v>0</v>
      </c>
      <c r="C188" s="1" t="str">
        <f>IF(B188=0,VLOOKUP(A188,Feuil2!$A$2:$M$1241,2,FALSE)," ")</f>
        <v>SOUISSI</v>
      </c>
      <c r="D188" s="1" t="str">
        <f>IF(B188=0,VLOOKUP(A188,Feuil2!$A$2:$M$1241,3,FALSE)," ")</f>
        <v>MOHAMED</v>
      </c>
      <c r="E188" s="5">
        <f>IF(B188=0,VLOOKUP(A188,Feuil2!$A$2:$M$1241,6,FALSE)," ")</f>
        <v>24310</v>
      </c>
      <c r="F188" s="1" t="str">
        <f>IF(B188=0,VLOOKUP(A188,Feuil2!$A$2:$M$1241,12,FALSE)," ")</f>
        <v>H</v>
      </c>
      <c r="G188" s="1" t="str">
        <f>IF(B188=0,VLOOKUP(A188,Feuil2!$A$2:$M$1241,11,FALSE)," ")</f>
        <v>M</v>
      </c>
      <c r="H188" s="1" t="s">
        <v>16</v>
      </c>
      <c r="I188" s="6">
        <f>IF(B188=0,VLOOKUP(A188,Feuil2!$A$2:$M$1241,7,FALSE)," ")</f>
        <v>1347567</v>
      </c>
      <c r="J188" s="1" t="str">
        <f>IF(B188=0,VLOOKUP(A188,Feuil2!$A$2:$M$1241,9,FALSE)," ")</f>
        <v>NULL</v>
      </c>
      <c r="K188" s="1" t="str">
        <f>IF(B188=0,VLOOKUP(A188,Feuil2!$A$2:$M$1241,10,FALSE)," ")</f>
        <v>NULL</v>
      </c>
      <c r="L188" s="1"/>
      <c r="M188" s="1">
        <v>98793526</v>
      </c>
      <c r="N188" s="1"/>
      <c r="O188" s="8" t="str">
        <f>IF(B188=0,VLOOKUP(A188,Feuil2!$A$2:$M$1241,13,FALSE)," ")</f>
        <v>10609089100853078855</v>
      </c>
    </row>
    <row r="189" spans="1:16" x14ac:dyDescent="0.3">
      <c r="A189" s="1">
        <v>967</v>
      </c>
      <c r="B189" s="1">
        <v>1</v>
      </c>
      <c r="C189" s="1" t="s">
        <v>2528</v>
      </c>
      <c r="D189" s="1" t="s">
        <v>2529</v>
      </c>
      <c r="E189" s="5">
        <v>27834</v>
      </c>
      <c r="F189" s="1" t="s">
        <v>17</v>
      </c>
      <c r="G189" s="1" t="s">
        <v>15</v>
      </c>
      <c r="H189" s="1" t="s">
        <v>16</v>
      </c>
      <c r="I189" s="6" t="str">
        <f>IF(B189=0,VLOOKUP(A189,Feuil2!$A$2:$M$1241,7,FALSE)," ")</f>
        <v xml:space="preserve"> </v>
      </c>
      <c r="J189" s="1" t="str">
        <f>IF(B189=0,VLOOKUP(A189,Feuil2!$A$2:$M$1241,9,FALSE)," ")</f>
        <v xml:space="preserve"> </v>
      </c>
      <c r="K189" s="1" t="str">
        <f>IF(B189=0,VLOOKUP(A189,Feuil2!$A$2:$M$1241,10,FALSE)," ")</f>
        <v xml:space="preserve"> </v>
      </c>
      <c r="L189" s="1"/>
      <c r="M189" s="1"/>
      <c r="N189" s="1"/>
      <c r="O189" s="8" t="str">
        <f>IF(B189=0,VLOOKUP(A189,Feuil2!$A$2:$M$1241,13,FALSE)," ")</f>
        <v xml:space="preserve"> </v>
      </c>
    </row>
    <row r="190" spans="1:16" x14ac:dyDescent="0.3">
      <c r="A190" s="1">
        <v>967</v>
      </c>
      <c r="B190" s="1">
        <v>2</v>
      </c>
      <c r="C190" s="1" t="s">
        <v>399</v>
      </c>
      <c r="D190" s="1" t="s">
        <v>2530</v>
      </c>
      <c r="E190" s="5">
        <v>37839</v>
      </c>
      <c r="F190" s="1" t="s">
        <v>506</v>
      </c>
      <c r="G190" s="1" t="str">
        <f>IF(B190=0,VLOOKUP(A190,Feuil2!$A$2:$M$1241,11,FALSE)," ")</f>
        <v xml:space="preserve"> </v>
      </c>
      <c r="H190" s="1" t="s">
        <v>16</v>
      </c>
      <c r="I190" s="6" t="str">
        <f>IF(B190=0,VLOOKUP(A190,Feuil2!$A$2:$M$1241,7,FALSE)," ")</f>
        <v xml:space="preserve"> </v>
      </c>
      <c r="J190" s="1" t="str">
        <f>IF(B190=0,VLOOKUP(A190,Feuil2!$A$2:$M$1241,9,FALSE)," ")</f>
        <v xml:space="preserve"> </v>
      </c>
      <c r="K190" s="1" t="str">
        <f>IF(B190=0,VLOOKUP(A190,Feuil2!$A$2:$M$1241,10,FALSE)," ")</f>
        <v xml:space="preserve"> </v>
      </c>
      <c r="L190" s="1"/>
      <c r="M190" s="1"/>
      <c r="N190" s="1"/>
      <c r="O190" s="8" t="str">
        <f>IF(B190=0,VLOOKUP(A190,Feuil2!$A$2:$M$1241,13,FALSE)," ")</f>
        <v xml:space="preserve"> </v>
      </c>
    </row>
    <row r="191" spans="1:16" x14ac:dyDescent="0.3">
      <c r="A191" s="1">
        <v>967</v>
      </c>
      <c r="B191" s="1">
        <v>3</v>
      </c>
      <c r="C191" s="1" t="s">
        <v>399</v>
      </c>
      <c r="D191" s="1" t="s">
        <v>2499</v>
      </c>
      <c r="E191" s="5">
        <v>38809</v>
      </c>
      <c r="F191" s="1" t="s">
        <v>506</v>
      </c>
      <c r="G191" s="1" t="str">
        <f>IF(B191=0,VLOOKUP(A191,Feuil2!$A$2:$M$1241,11,FALSE)," ")</f>
        <v xml:space="preserve"> </v>
      </c>
      <c r="H191" s="1" t="s">
        <v>16</v>
      </c>
      <c r="I191" s="6" t="str">
        <f>IF(B191=0,VLOOKUP(A191,Feuil2!$A$2:$M$1241,7,FALSE)," ")</f>
        <v xml:space="preserve"> </v>
      </c>
      <c r="J191" s="1" t="str">
        <f>IF(B191=0,VLOOKUP(A191,Feuil2!$A$2:$M$1241,9,FALSE)," ")</f>
        <v xml:space="preserve"> </v>
      </c>
      <c r="K191" s="1" t="str">
        <f>IF(B191=0,VLOOKUP(A191,Feuil2!$A$2:$M$1241,10,FALSE)," ")</f>
        <v xml:space="preserve"> </v>
      </c>
      <c r="L191" s="1"/>
      <c r="M191" s="1"/>
      <c r="N191" s="1"/>
      <c r="O191" s="8" t="str">
        <f>IF(B191=0,VLOOKUP(A191,Feuil2!$A$2:$M$1241,13,FALSE)," ")</f>
        <v xml:space="preserve"> </v>
      </c>
    </row>
    <row r="192" spans="1:16" x14ac:dyDescent="0.3">
      <c r="A192" s="1">
        <v>967</v>
      </c>
      <c r="B192" s="1">
        <v>4</v>
      </c>
      <c r="C192" s="1" t="s">
        <v>399</v>
      </c>
      <c r="D192" s="1" t="s">
        <v>2367</v>
      </c>
      <c r="E192" s="5">
        <v>41075</v>
      </c>
      <c r="F192" s="1" t="s">
        <v>17</v>
      </c>
      <c r="G192" s="1" t="str">
        <f>IF(B192=0,VLOOKUP(A192,Feuil2!$A$2:$M$1241,11,FALSE)," ")</f>
        <v xml:space="preserve"> </v>
      </c>
      <c r="H192" s="1" t="s">
        <v>16</v>
      </c>
      <c r="I192" s="6" t="str">
        <f>IF(B192=0,VLOOKUP(A192,Feuil2!$A$2:$M$1241,7,FALSE)," ")</f>
        <v xml:space="preserve"> </v>
      </c>
      <c r="J192" s="1" t="str">
        <f>IF(B192=0,VLOOKUP(A192,Feuil2!$A$2:$M$1241,9,FALSE)," ")</f>
        <v xml:space="preserve"> </v>
      </c>
      <c r="K192" s="1" t="str">
        <f>IF(B192=0,VLOOKUP(A192,Feuil2!$A$2:$M$1241,10,FALSE)," ")</f>
        <v xml:space="preserve"> </v>
      </c>
      <c r="L192" s="1"/>
      <c r="M192" s="1"/>
      <c r="N192" s="1"/>
      <c r="O192" s="8" t="str">
        <f>IF(B192=0,VLOOKUP(A192,Feuil2!$A$2:$M$1241,13,FALSE)," ")</f>
        <v xml:space="preserve"> </v>
      </c>
    </row>
    <row r="193" spans="1:16" x14ac:dyDescent="0.3">
      <c r="A193" s="17">
        <v>986</v>
      </c>
      <c r="B193" s="17">
        <v>0</v>
      </c>
      <c r="C193" s="17" t="str">
        <f>IF(B193=0,VLOOKUP(A193,Feuil2!$A$2:$M$1241,2,FALSE)," ")</f>
        <v>BOUZIR</v>
      </c>
      <c r="D193" s="17" t="str">
        <f>IF(B193=0,VLOOKUP(A193,Feuil2!$A$2:$M$1241,3,FALSE)," ")</f>
        <v>SAMIR</v>
      </c>
      <c r="E193" s="18">
        <f>IF(B193=0,VLOOKUP(A193,Feuil2!$A$2:$M$1241,6,FALSE)," ")</f>
        <v>23233</v>
      </c>
      <c r="F193" s="17" t="str">
        <f>IF(B193=0,VLOOKUP(A193,Feuil2!$A$2:$M$1241,12,FALSE)," ")</f>
        <v>H</v>
      </c>
      <c r="G193" s="17" t="str">
        <f>IF(B193=0,VLOOKUP(A193,Feuil2!$A$2:$M$1241,11,FALSE)," ")</f>
        <v>M</v>
      </c>
      <c r="H193" s="17" t="s">
        <v>16</v>
      </c>
      <c r="I193" s="19">
        <f>IF(B193=0,VLOOKUP(A193,Feuil2!$A$2:$M$1241,7,FALSE)," ")</f>
        <v>2950449</v>
      </c>
      <c r="J193" s="17" t="str">
        <f>IF(B193=0,VLOOKUP(A193,Feuil2!$A$2:$M$1241,9,FALSE)," ")</f>
        <v>Rue  Asma Bint Abi Baker</v>
      </c>
      <c r="K193" s="17" t="str">
        <f>IF(B193=0,VLOOKUP(A193,Feuil2!$A$2:$M$1241,10,FALSE)," ")</f>
        <v>Kalaa Sghira</v>
      </c>
      <c r="L193" s="17"/>
      <c r="M193" s="17">
        <v>98547880</v>
      </c>
      <c r="N193" s="17"/>
      <c r="O193" s="21" t="s">
        <v>2556</v>
      </c>
    </row>
    <row r="194" spans="1:16" x14ac:dyDescent="0.3">
      <c r="A194" s="1">
        <v>986</v>
      </c>
      <c r="B194" s="1">
        <v>1</v>
      </c>
      <c r="C194" s="1" t="s">
        <v>2555</v>
      </c>
      <c r="D194" s="1" t="s">
        <v>629</v>
      </c>
      <c r="E194" s="5">
        <v>23437</v>
      </c>
      <c r="F194" s="1" t="s">
        <v>17</v>
      </c>
      <c r="G194" s="1" t="s">
        <v>15</v>
      </c>
      <c r="H194" s="1" t="s">
        <v>16</v>
      </c>
      <c r="I194" s="6" t="str">
        <f>IF(B194=0,VLOOKUP(A194,Feuil2!$A$2:$M$1241,7,FALSE)," ")</f>
        <v xml:space="preserve"> </v>
      </c>
      <c r="J194" s="1" t="str">
        <f>IF(B194=0,VLOOKUP(A194,Feuil2!$A$2:$M$1241,9,FALSE)," ")</f>
        <v xml:space="preserve"> </v>
      </c>
      <c r="K194" s="1" t="str">
        <f>IF(B194=0,VLOOKUP(A194,Feuil2!$A$2:$M$1241,10,FALSE)," ")</f>
        <v xml:space="preserve"> </v>
      </c>
      <c r="L194" s="1"/>
      <c r="M194" s="1"/>
      <c r="N194" s="1"/>
      <c r="O194" s="8" t="str">
        <f>IF(B194=0,VLOOKUP(A194,Feuil2!$A$2:$M$1241,13,FALSE)," ")</f>
        <v xml:space="preserve"> </v>
      </c>
    </row>
    <row r="195" spans="1:16" x14ac:dyDescent="0.3">
      <c r="A195" s="1">
        <v>986</v>
      </c>
      <c r="B195" s="1">
        <v>2</v>
      </c>
      <c r="C195" s="1" t="s">
        <v>135</v>
      </c>
      <c r="D195" s="1" t="s">
        <v>285</v>
      </c>
      <c r="E195" s="5">
        <v>33122</v>
      </c>
      <c r="F195" s="1" t="s">
        <v>506</v>
      </c>
      <c r="G195" s="1" t="str">
        <f>IF(B195=0,VLOOKUP(A195,Feuil2!$A$2:$M$1241,11,FALSE)," ")</f>
        <v xml:space="preserve"> </v>
      </c>
      <c r="H195" s="1" t="s">
        <v>16</v>
      </c>
      <c r="I195" s="6" t="str">
        <f>IF(B195=0,VLOOKUP(A195,Feuil2!$A$2:$M$1241,7,FALSE)," ")</f>
        <v xml:space="preserve"> </v>
      </c>
      <c r="J195" s="1" t="str">
        <f>IF(B195=0,VLOOKUP(A195,Feuil2!$A$2:$M$1241,9,FALSE)," ")</f>
        <v xml:space="preserve"> </v>
      </c>
      <c r="K195" s="1" t="str">
        <f>IF(B195=0,VLOOKUP(A195,Feuil2!$A$2:$M$1241,10,FALSE)," ")</f>
        <v xml:space="preserve"> </v>
      </c>
      <c r="L195" s="1"/>
      <c r="M195" s="1"/>
      <c r="N195" s="1"/>
      <c r="O195" s="8" t="str">
        <f>IF(B195=0,VLOOKUP(A195,Feuil2!$A$2:$M$1241,13,FALSE)," ")</f>
        <v xml:space="preserve"> </v>
      </c>
    </row>
    <row r="196" spans="1:16" x14ac:dyDescent="0.3">
      <c r="A196" s="1">
        <v>986</v>
      </c>
      <c r="B196" s="1">
        <v>3</v>
      </c>
      <c r="C196" s="1" t="s">
        <v>135</v>
      </c>
      <c r="D196" s="1" t="s">
        <v>2367</v>
      </c>
      <c r="E196" s="5">
        <v>34427</v>
      </c>
      <c r="F196" s="1" t="s">
        <v>17</v>
      </c>
      <c r="G196" s="1" t="str">
        <f>IF(B196=0,VLOOKUP(A196,Feuil2!$A$2:$M$1241,11,FALSE)," ")</f>
        <v xml:space="preserve"> </v>
      </c>
      <c r="H196" s="1" t="s">
        <v>16</v>
      </c>
      <c r="I196" s="6" t="str">
        <f>IF(B196=0,VLOOKUP(A196,Feuil2!$A$2:$M$1241,7,FALSE)," ")</f>
        <v xml:space="preserve"> </v>
      </c>
      <c r="J196" s="1" t="str">
        <f>IF(B196=0,VLOOKUP(A196,Feuil2!$A$2:$M$1241,9,FALSE)," ")</f>
        <v xml:space="preserve"> </v>
      </c>
      <c r="K196" s="1" t="str">
        <f>IF(B196=0,VLOOKUP(A196,Feuil2!$A$2:$M$1241,10,FALSE)," ")</f>
        <v xml:space="preserve"> </v>
      </c>
      <c r="L196" s="1"/>
      <c r="M196" s="1"/>
      <c r="N196" s="1"/>
      <c r="O196" s="8" t="str">
        <f>IF(B196=0,VLOOKUP(A196,Feuil2!$A$2:$M$1241,13,FALSE)," ")</f>
        <v xml:space="preserve"> </v>
      </c>
    </row>
    <row r="197" spans="1:16" x14ac:dyDescent="0.3">
      <c r="A197" s="1">
        <v>1504</v>
      </c>
      <c r="B197" s="1">
        <v>0</v>
      </c>
      <c r="C197" s="1" t="str">
        <f>IF(B197=0,VLOOKUP(A197,Feuil2!$A$2:$M$1241,2,FALSE)," ")</f>
        <v>ABBADI</v>
      </c>
      <c r="D197" s="1" t="str">
        <f>IF(B197=0,VLOOKUP(A197,Feuil2!$A$2:$M$1241,3,FALSE)," ")</f>
        <v>HABIB</v>
      </c>
      <c r="E197" s="5">
        <f>IF(B197=0,VLOOKUP(A197,Feuil2!$A$2:$M$1241,6,FALSE)," ")</f>
        <v>25366</v>
      </c>
      <c r="F197" s="1" t="str">
        <f>IF(B197=0,VLOOKUP(A197,Feuil2!$A$2:$M$1241,12,FALSE)," ")</f>
        <v>H</v>
      </c>
      <c r="G197" s="1" t="str">
        <f>IF(B197=0,VLOOKUP(A197,Feuil2!$A$2:$M$1241,11,FALSE)," ")</f>
        <v>M</v>
      </c>
      <c r="H197" s="1" t="s">
        <v>16</v>
      </c>
      <c r="I197" s="6">
        <f>IF(B197=0,VLOOKUP(A197,Feuil2!$A$2:$M$1241,7,FALSE)," ")</f>
        <v>2993547</v>
      </c>
      <c r="J197" s="1" t="str">
        <f>IF(B197=0,VLOOKUP(A197,Feuil2!$A$2:$M$1241,9,FALSE)," ")</f>
        <v>Route de Kairouan</v>
      </c>
      <c r="K197" s="1" t="str">
        <f>IF(B197=0,VLOOKUP(A197,Feuil2!$A$2:$M$1241,10,FALSE)," ")</f>
        <v>Msaken 4070</v>
      </c>
      <c r="L197" s="1">
        <v>4070</v>
      </c>
      <c r="M197" s="1">
        <v>98563425</v>
      </c>
      <c r="N197" s="2"/>
      <c r="O197" s="8" t="str">
        <f>IF(B197=0,VLOOKUP(A197,Feuil2!$A$2:$M$1241,13,FALSE)," ")</f>
        <v>05048000116500049403</v>
      </c>
    </row>
    <row r="198" spans="1:16" x14ac:dyDescent="0.3">
      <c r="A198" s="1">
        <v>1504</v>
      </c>
      <c r="B198" s="1">
        <v>1</v>
      </c>
      <c r="C198" s="1" t="s">
        <v>2333</v>
      </c>
      <c r="D198" s="1" t="s">
        <v>2334</v>
      </c>
      <c r="E198" s="5">
        <v>25195</v>
      </c>
      <c r="F198" s="1" t="s">
        <v>17</v>
      </c>
      <c r="G198" s="1" t="s">
        <v>15</v>
      </c>
      <c r="H198" s="1" t="s">
        <v>16</v>
      </c>
      <c r="I198" s="6" t="str">
        <f>IF(B198=0,VLOOKUP(A198,Feuil2!$A$2:$M$1241,7,FALSE)," ")</f>
        <v xml:space="preserve"> </v>
      </c>
      <c r="J198" s="1" t="str">
        <f>IF(B198=0,VLOOKUP(A198,Feuil2!$A$2:$M$1241,9,FALSE)," ")</f>
        <v xml:space="preserve"> </v>
      </c>
      <c r="K198" s="1" t="str">
        <f>IF(B198=0,VLOOKUP(A198,Feuil2!$A$2:$M$1241,10,FALSE)," ")</f>
        <v xml:space="preserve"> </v>
      </c>
      <c r="L198" s="1"/>
      <c r="M198" s="1"/>
      <c r="N198" s="1"/>
      <c r="O198" s="8" t="str">
        <f>IF(B198=0,VLOOKUP(A198,Feuil2!$A$2:$M$1241,13,FALSE)," ")</f>
        <v xml:space="preserve"> </v>
      </c>
    </row>
    <row r="199" spans="1:16" x14ac:dyDescent="0.3">
      <c r="A199" s="1">
        <v>1504</v>
      </c>
      <c r="B199" s="1">
        <v>2</v>
      </c>
      <c r="C199" s="1" t="s">
        <v>350</v>
      </c>
      <c r="D199" s="1" t="s">
        <v>1519</v>
      </c>
      <c r="E199" s="5">
        <v>34331</v>
      </c>
      <c r="F199" s="1" t="s">
        <v>17</v>
      </c>
      <c r="G199" s="1" t="str">
        <f>IF(B199=0,VLOOKUP(A199,Feuil2!$A$2:$M$1241,11,FALSE)," ")</f>
        <v xml:space="preserve"> </v>
      </c>
      <c r="H199" s="1" t="s">
        <v>16</v>
      </c>
      <c r="I199" s="6" t="str">
        <f>IF(B199=0,VLOOKUP(A199,Feuil2!$A$2:$M$1241,7,FALSE)," ")</f>
        <v xml:space="preserve"> </v>
      </c>
      <c r="J199" s="1" t="str">
        <f>IF(B199=0,VLOOKUP(A199,Feuil2!$A$2:$M$1241,9,FALSE)," ")</f>
        <v xml:space="preserve"> </v>
      </c>
      <c r="K199" s="1" t="str">
        <f>IF(B199=0,VLOOKUP(A199,Feuil2!$A$2:$M$1241,10,FALSE)," ")</f>
        <v xml:space="preserve"> </v>
      </c>
      <c r="L199" s="1"/>
      <c r="M199" s="1"/>
      <c r="N199" s="1"/>
      <c r="O199" s="8" t="str">
        <f>IF(B199=0,VLOOKUP(A199,Feuil2!$A$2:$M$1241,13,FALSE)," ")</f>
        <v xml:space="preserve"> </v>
      </c>
    </row>
    <row r="200" spans="1:16" x14ac:dyDescent="0.3">
      <c r="A200" s="1">
        <v>1511</v>
      </c>
      <c r="B200" s="1">
        <v>0</v>
      </c>
      <c r="C200" s="1" t="str">
        <f>IF(B200=0,VLOOKUP(A200,Feuil2!$A$2:$M$1241,2,FALSE)," ")</f>
        <v>SOYAH</v>
      </c>
      <c r="D200" s="1" t="str">
        <f>IF(B200=0,VLOOKUP(A200,Feuil2!$A$2:$M$1241,3,FALSE)," ")</f>
        <v>NEJIB</v>
      </c>
      <c r="E200" s="5">
        <f>IF(B200=0,VLOOKUP(A200,Feuil2!$A$2:$M$1241,6,FALSE)," ")</f>
        <v>24954</v>
      </c>
      <c r="F200" s="1" t="str">
        <f>IF(B200=0,VLOOKUP(A200,Feuil2!$A$2:$M$1241,12,FALSE)," ")</f>
        <v>H</v>
      </c>
      <c r="G200" s="1" t="str">
        <f>IF(B200=0,VLOOKUP(A200,Feuil2!$A$2:$M$1241,11,FALSE)," ")</f>
        <v>M</v>
      </c>
      <c r="H200" s="1" t="s">
        <v>16</v>
      </c>
      <c r="I200" s="6">
        <f>IF(B200=0,VLOOKUP(A200,Feuil2!$A$2:$M$1241,7,FALSE)," ")</f>
        <v>2993963</v>
      </c>
      <c r="J200" s="1" t="str">
        <f>IF(B200=0,VLOOKUP(A200,Feuil2!$A$2:$M$1241,9,FALSE)," ")</f>
        <v>NULL</v>
      </c>
      <c r="K200" s="1" t="str">
        <f>IF(B200=0,VLOOKUP(A200,Feuil2!$A$2:$M$1241,10,FALSE)," ")</f>
        <v>NULL</v>
      </c>
      <c r="L200" s="1"/>
      <c r="M200" s="1">
        <v>98793520</v>
      </c>
      <c r="N200" s="1"/>
      <c r="O200" s="8" t="str">
        <f>IF(B200=0,VLOOKUP(A200,Feuil2!$A$2:$M$1241,13,FALSE)," ")</f>
        <v>08506000252000603979</v>
      </c>
      <c r="P200" t="s">
        <v>2805</v>
      </c>
    </row>
    <row r="201" spans="1:16" x14ac:dyDescent="0.3">
      <c r="A201" s="1">
        <v>1511</v>
      </c>
      <c r="B201" s="1">
        <v>1</v>
      </c>
      <c r="C201" s="1" t="s">
        <v>2123</v>
      </c>
      <c r="D201" s="1" t="s">
        <v>2175</v>
      </c>
      <c r="E201" s="5">
        <v>29625</v>
      </c>
      <c r="F201" s="1" t="s">
        <v>17</v>
      </c>
      <c r="G201" s="1" t="s">
        <v>15</v>
      </c>
      <c r="H201" s="1" t="s">
        <v>16</v>
      </c>
      <c r="I201" s="6" t="str">
        <f>IF(B201=0,VLOOKUP(A201,Feuil2!$A$2:$M$1241,7,FALSE)," ")</f>
        <v xml:space="preserve"> </v>
      </c>
      <c r="J201" s="1" t="str">
        <f>IF(B201=0,VLOOKUP(A201,Feuil2!$A$2:$M$1241,9,FALSE)," ")</f>
        <v xml:space="preserve"> </v>
      </c>
      <c r="K201" s="1" t="str">
        <f>IF(B201=0,VLOOKUP(A201,Feuil2!$A$2:$M$1241,10,FALSE)," ")</f>
        <v xml:space="preserve"> </v>
      </c>
      <c r="L201" s="1"/>
      <c r="M201" s="1"/>
      <c r="N201" s="1"/>
      <c r="O201" s="8" t="str">
        <f>IF(B201=0,VLOOKUP(A201,Feuil2!$A$2:$M$1241,13,FALSE)," ")</f>
        <v xml:space="preserve"> </v>
      </c>
    </row>
    <row r="202" spans="1:16" x14ac:dyDescent="0.3">
      <c r="A202" s="1">
        <v>1511</v>
      </c>
      <c r="B202" s="1">
        <v>2</v>
      </c>
      <c r="C202" s="1" t="s">
        <v>124</v>
      </c>
      <c r="D202" s="1" t="s">
        <v>2389</v>
      </c>
      <c r="E202" s="5">
        <v>39805</v>
      </c>
      <c r="F202" s="1" t="s">
        <v>17</v>
      </c>
      <c r="G202" s="1" t="str">
        <f>IF(B202=0,VLOOKUP(A202,Feuil2!$A$2:$M$1241,11,FALSE)," ")</f>
        <v xml:space="preserve"> </v>
      </c>
      <c r="H202" s="1" t="s">
        <v>16</v>
      </c>
      <c r="I202" s="6" t="str">
        <f>IF(B202=0,VLOOKUP(A202,Feuil2!$A$2:$M$1241,7,FALSE)," ")</f>
        <v xml:space="preserve"> </v>
      </c>
      <c r="J202" s="1" t="str">
        <f>IF(B202=0,VLOOKUP(A202,Feuil2!$A$2:$M$1241,9,FALSE)," ")</f>
        <v xml:space="preserve"> </v>
      </c>
      <c r="K202" s="1" t="str">
        <f>IF(B202=0,VLOOKUP(A202,Feuil2!$A$2:$M$1241,10,FALSE)," ")</f>
        <v xml:space="preserve"> </v>
      </c>
      <c r="L202" s="1"/>
      <c r="M202" s="1"/>
      <c r="N202" s="1"/>
      <c r="O202" s="8" t="str">
        <f>IF(B202=0,VLOOKUP(A202,Feuil2!$A$2:$M$1241,13,FALSE)," ")</f>
        <v xml:space="preserve"> </v>
      </c>
    </row>
    <row r="203" spans="1:16" x14ac:dyDescent="0.3">
      <c r="A203" s="1">
        <v>1511</v>
      </c>
      <c r="B203" s="1">
        <v>3</v>
      </c>
      <c r="C203" s="1" t="s">
        <v>124</v>
      </c>
      <c r="D203" s="1" t="s">
        <v>2527</v>
      </c>
      <c r="E203" s="5">
        <v>40667</v>
      </c>
      <c r="F203" s="1" t="s">
        <v>506</v>
      </c>
      <c r="G203" s="1" t="str">
        <f>IF(B203=0,VLOOKUP(A203,Feuil2!$A$2:$M$1241,11,FALSE)," ")</f>
        <v xml:space="preserve"> </v>
      </c>
      <c r="H203" s="1" t="s">
        <v>16</v>
      </c>
      <c r="I203" s="6" t="str">
        <f>IF(B203=0,VLOOKUP(A203,Feuil2!$A$2:$M$1241,7,FALSE)," ")</f>
        <v xml:space="preserve"> </v>
      </c>
      <c r="J203" s="1" t="str">
        <f>IF(B203=0,VLOOKUP(A203,Feuil2!$A$2:$M$1241,9,FALSE)," ")</f>
        <v xml:space="preserve"> </v>
      </c>
      <c r="K203" s="1" t="str">
        <f>IF(B203=0,VLOOKUP(A203,Feuil2!$A$2:$M$1241,10,FALSE)," ")</f>
        <v xml:space="preserve"> </v>
      </c>
      <c r="L203" s="1"/>
      <c r="M203" s="1"/>
      <c r="N203" s="1"/>
      <c r="O203" s="8" t="str">
        <f>IF(B203=0,VLOOKUP(A203,Feuil2!$A$2:$M$1241,13,FALSE)," ")</f>
        <v xml:space="preserve"> </v>
      </c>
    </row>
    <row r="204" spans="1:16" x14ac:dyDescent="0.3">
      <c r="A204" s="1">
        <v>1518</v>
      </c>
      <c r="B204" s="1">
        <v>0</v>
      </c>
      <c r="C204" s="1" t="str">
        <f>IF(B204=0,VLOOKUP(A204,Feuil2!$A$2:$M$1241,2,FALSE)," ")</f>
        <v>HOUIJ</v>
      </c>
      <c r="D204" s="1" t="str">
        <f>IF(B204=0,VLOOKUP(A204,Feuil2!$A$2:$M$1241,3,FALSE)," ")</f>
        <v>CHIHEB</v>
      </c>
      <c r="E204" s="5">
        <f>IF(B204=0,VLOOKUP(A204,Feuil2!$A$2:$M$1241,6,FALSE)," ")</f>
        <v>25111</v>
      </c>
      <c r="F204" s="1" t="str">
        <f>IF(B204=0,VLOOKUP(A204,Feuil2!$A$2:$M$1241,12,FALSE)," ")</f>
        <v>H</v>
      </c>
      <c r="G204" s="1" t="str">
        <f>IF(B204=0,VLOOKUP(A204,Feuil2!$A$2:$M$1241,11,FALSE)," ")</f>
        <v>M</v>
      </c>
      <c r="H204" s="1" t="s">
        <v>16</v>
      </c>
      <c r="I204" s="6">
        <f>IF(B204=0,VLOOKUP(A204,Feuil2!$A$2:$M$1241,7,FALSE)," ")</f>
        <v>2981646</v>
      </c>
      <c r="J204" s="1" t="str">
        <f>IF(B204=0,VLOOKUP(A204,Feuil2!$A$2:$M$1241,9,FALSE)," ")</f>
        <v>Rue Habib Bourguiba 4041</v>
      </c>
      <c r="K204" s="1" t="str">
        <f>IF(B204=0,VLOOKUP(A204,Feuil2!$A$2:$M$1241,10,FALSE)," ")</f>
        <v>NULL</v>
      </c>
      <c r="L204" s="1"/>
      <c r="M204" s="1">
        <v>98793648</v>
      </c>
      <c r="N204" s="1"/>
      <c r="O204" s="10" t="s">
        <v>2415</v>
      </c>
    </row>
    <row r="205" spans="1:16" x14ac:dyDescent="0.3">
      <c r="A205" s="1">
        <v>1518</v>
      </c>
      <c r="B205" s="1">
        <v>1</v>
      </c>
      <c r="C205" s="1" t="s">
        <v>2414</v>
      </c>
      <c r="D205" s="1" t="s">
        <v>2367</v>
      </c>
      <c r="E205" s="5">
        <v>28742</v>
      </c>
      <c r="F205" s="1" t="s">
        <v>17</v>
      </c>
      <c r="G205" s="1" t="s">
        <v>15</v>
      </c>
      <c r="H205" s="1" t="s">
        <v>16</v>
      </c>
      <c r="I205" s="6" t="str">
        <f>IF(B205=0,VLOOKUP(A205,Feuil2!$A$2:$M$1241,7,FALSE)," ")</f>
        <v xml:space="preserve"> </v>
      </c>
      <c r="J205" s="1" t="str">
        <f>IF(B205=0,VLOOKUP(A205,Feuil2!$A$2:$M$1241,9,FALSE)," ")</f>
        <v xml:space="preserve"> </v>
      </c>
      <c r="K205" s="1" t="str">
        <f>IF(B205=0,VLOOKUP(A205,Feuil2!$A$2:$M$1241,10,FALSE)," ")</f>
        <v xml:space="preserve"> </v>
      </c>
      <c r="L205" s="1"/>
      <c r="M205" s="1"/>
      <c r="N205" s="1"/>
      <c r="O205" s="8" t="str">
        <f>IF(B205=0,VLOOKUP(A205,Feuil2!$A$2:$M$1241,13,FALSE)," ")</f>
        <v xml:space="preserve"> </v>
      </c>
    </row>
    <row r="206" spans="1:16" x14ac:dyDescent="0.3">
      <c r="A206" s="1">
        <v>1518</v>
      </c>
      <c r="B206" s="1">
        <v>2</v>
      </c>
      <c r="C206" s="1" t="s">
        <v>437</v>
      </c>
      <c r="D206" s="1" t="s">
        <v>89</v>
      </c>
      <c r="E206" s="5">
        <v>39644</v>
      </c>
      <c r="F206" s="1" t="s">
        <v>506</v>
      </c>
      <c r="G206" s="1" t="str">
        <f>IF(B206=0,VLOOKUP(A206,Feuil2!$A$2:$M$1241,11,FALSE)," ")</f>
        <v xml:space="preserve"> </v>
      </c>
      <c r="H206" s="1" t="s">
        <v>16</v>
      </c>
      <c r="I206" s="6" t="str">
        <f>IF(B206=0,VLOOKUP(A206,Feuil2!$A$2:$M$1241,7,FALSE)," ")</f>
        <v xml:space="preserve"> </v>
      </c>
      <c r="J206" s="1" t="str">
        <f>IF(B206=0,VLOOKUP(A206,Feuil2!$A$2:$M$1241,9,FALSE)," ")</f>
        <v xml:space="preserve"> </v>
      </c>
      <c r="K206" s="1" t="str">
        <f>IF(B206=0,VLOOKUP(A206,Feuil2!$A$2:$M$1241,10,FALSE)," ")</f>
        <v xml:space="preserve"> </v>
      </c>
      <c r="L206" s="1"/>
      <c r="M206" s="1"/>
      <c r="N206" s="1"/>
      <c r="O206" s="8" t="str">
        <f>IF(B206=0,VLOOKUP(A206,Feuil2!$A$2:$M$1241,13,FALSE)," ")</f>
        <v xml:space="preserve"> </v>
      </c>
    </row>
    <row r="207" spans="1:16" x14ac:dyDescent="0.3">
      <c r="A207" s="1">
        <v>1518</v>
      </c>
      <c r="B207" s="1">
        <v>3</v>
      </c>
      <c r="C207" s="1" t="s">
        <v>437</v>
      </c>
      <c r="D207" s="1" t="s">
        <v>402</v>
      </c>
      <c r="E207" s="5">
        <v>40261</v>
      </c>
      <c r="F207" s="1" t="s">
        <v>17</v>
      </c>
      <c r="G207" s="1" t="str">
        <f>IF(B207=0,VLOOKUP(A207,Feuil2!$A$2:$M$1241,11,FALSE)," ")</f>
        <v xml:space="preserve"> </v>
      </c>
      <c r="H207" s="1" t="s">
        <v>16</v>
      </c>
      <c r="I207" s="6" t="str">
        <f>IF(B207=0,VLOOKUP(A207,Feuil2!$A$2:$M$1241,7,FALSE)," ")</f>
        <v xml:space="preserve"> </v>
      </c>
      <c r="J207" s="1" t="str">
        <f>IF(B207=0,VLOOKUP(A207,Feuil2!$A$2:$M$1241,9,FALSE)," ")</f>
        <v xml:space="preserve"> </v>
      </c>
      <c r="K207" s="1" t="str">
        <f>IF(B207=0,VLOOKUP(A207,Feuil2!$A$2:$M$1241,10,FALSE)," ")</f>
        <v xml:space="preserve"> </v>
      </c>
      <c r="L207" s="1"/>
      <c r="M207" s="1"/>
      <c r="N207" s="1"/>
      <c r="O207" s="8" t="str">
        <f>IF(B207=0,VLOOKUP(A207,Feuil2!$A$2:$M$1241,13,FALSE)," ")</f>
        <v xml:space="preserve"> </v>
      </c>
    </row>
    <row r="208" spans="1:16" x14ac:dyDescent="0.3">
      <c r="A208" s="1">
        <v>1530</v>
      </c>
      <c r="B208" s="1">
        <v>0</v>
      </c>
      <c r="C208" s="1" t="str">
        <f>IF(B208=0,VLOOKUP(A208,Feuil2!$A$2:$M$1241,2,FALSE)," ")</f>
        <v>MAHJOUB</v>
      </c>
      <c r="D208" s="1" t="str">
        <f>IF(B208=0,VLOOKUP(A208,Feuil2!$A$2:$M$1241,3,FALSE)," ")</f>
        <v>KHALED</v>
      </c>
      <c r="E208" s="5">
        <f>IF(B208=0,VLOOKUP(A208,Feuil2!$A$2:$M$1241,6,FALSE)," ")</f>
        <v>24729</v>
      </c>
      <c r="F208" s="1" t="str">
        <f>IF(B208=0,VLOOKUP(A208,Feuil2!$A$2:$M$1241,12,FALSE)," ")</f>
        <v>H</v>
      </c>
      <c r="G208" s="1" t="str">
        <f>IF(B208=0,VLOOKUP(A208,Feuil2!$A$2:$M$1241,11,FALSE)," ")</f>
        <v>M</v>
      </c>
      <c r="H208" s="1" t="s">
        <v>16</v>
      </c>
      <c r="I208" s="6">
        <f>IF(B208=0,VLOOKUP(A208,Feuil2!$A$2:$M$1241,7,FALSE)," ")</f>
        <v>2975287</v>
      </c>
      <c r="J208" s="1" t="str">
        <f>IF(B208=0,VLOOKUP(A208,Feuil2!$A$2:$M$1241,9,FALSE)," ")</f>
        <v>Lot 271 A.F.H C.Sahloul.III</v>
      </c>
      <c r="K208" s="1" t="str">
        <f>IF(B208=0,VLOOKUP(A208,Feuil2!$A$2:$M$1241,10,FALSE)," ")</f>
        <v>Sousse</v>
      </c>
      <c r="L208" s="1"/>
      <c r="M208" s="1">
        <v>98793548</v>
      </c>
      <c r="N208" s="1"/>
      <c r="O208" s="8" t="str">
        <f>IF(B208=0,VLOOKUP(A208,Feuil2!$A$2:$M$1241,13,FALSE)," ")</f>
        <v>03508056010100214794</v>
      </c>
    </row>
    <row r="209" spans="1:15" x14ac:dyDescent="0.3">
      <c r="A209" s="1">
        <v>1530</v>
      </c>
      <c r="B209" s="1">
        <v>1</v>
      </c>
      <c r="C209" s="1" t="s">
        <v>2516</v>
      </c>
      <c r="D209" s="1" t="s">
        <v>402</v>
      </c>
      <c r="E209" s="5">
        <v>26073</v>
      </c>
      <c r="F209" s="1" t="s">
        <v>17</v>
      </c>
      <c r="G209" s="1" t="s">
        <v>15</v>
      </c>
      <c r="H209" s="1" t="s">
        <v>16</v>
      </c>
      <c r="I209" s="6" t="str">
        <f>IF(B209=0,VLOOKUP(A209,Feuil2!$A$2:$M$1241,7,FALSE)," ")</f>
        <v xml:space="preserve"> </v>
      </c>
      <c r="J209" s="1" t="str">
        <f>IF(B209=0,VLOOKUP(A209,Feuil2!$A$2:$M$1241,9,FALSE)," ")</f>
        <v xml:space="preserve"> </v>
      </c>
      <c r="K209" s="1" t="str">
        <f>IF(B209=0,VLOOKUP(A209,Feuil2!$A$2:$M$1241,10,FALSE)," ")</f>
        <v xml:space="preserve"> </v>
      </c>
      <c r="L209" s="1"/>
      <c r="M209" s="1"/>
      <c r="N209" s="1"/>
      <c r="O209" s="8" t="str">
        <f>IF(B209=0,VLOOKUP(A209,Feuil2!$A$2:$M$1241,13,FALSE)," ")</f>
        <v xml:space="preserve"> </v>
      </c>
    </row>
    <row r="210" spans="1:15" x14ac:dyDescent="0.3">
      <c r="A210" s="1">
        <v>1530</v>
      </c>
      <c r="B210" s="1">
        <v>2</v>
      </c>
      <c r="C210" s="1" t="s">
        <v>19</v>
      </c>
      <c r="D210" s="1" t="s">
        <v>2517</v>
      </c>
      <c r="E210" s="5">
        <v>34451</v>
      </c>
      <c r="F210" s="1" t="s">
        <v>17</v>
      </c>
      <c r="G210" s="1" t="str">
        <f>IF(B210=0,VLOOKUP(A210,Feuil2!$A$2:$M$1241,11,FALSE)," ")</f>
        <v xml:space="preserve"> </v>
      </c>
      <c r="H210" s="1" t="s">
        <v>16</v>
      </c>
      <c r="I210" s="6" t="str">
        <f>IF(B210=0,VLOOKUP(A210,Feuil2!$A$2:$M$1241,7,FALSE)," ")</f>
        <v xml:space="preserve"> </v>
      </c>
      <c r="J210" s="1" t="str">
        <f>IF(B210=0,VLOOKUP(A210,Feuil2!$A$2:$M$1241,9,FALSE)," ")</f>
        <v xml:space="preserve"> </v>
      </c>
      <c r="K210" s="1" t="str">
        <f>IF(B210=0,VLOOKUP(A210,Feuil2!$A$2:$M$1241,10,FALSE)," ")</f>
        <v xml:space="preserve"> </v>
      </c>
      <c r="L210" s="1"/>
      <c r="M210" s="1"/>
      <c r="N210" s="1"/>
      <c r="O210" s="8" t="str">
        <f>IF(B210=0,VLOOKUP(A210,Feuil2!$A$2:$M$1241,13,FALSE)," ")</f>
        <v xml:space="preserve"> </v>
      </c>
    </row>
    <row r="211" spans="1:15" x14ac:dyDescent="0.3">
      <c r="A211" s="1">
        <v>1530</v>
      </c>
      <c r="B211" s="1">
        <v>3</v>
      </c>
      <c r="C211" s="1" t="s">
        <v>19</v>
      </c>
      <c r="D211" s="1" t="s">
        <v>2446</v>
      </c>
      <c r="E211" s="5">
        <v>36767</v>
      </c>
      <c r="F211" s="1" t="s">
        <v>17</v>
      </c>
      <c r="G211" s="1" t="str">
        <f>IF(B211=0,VLOOKUP(A211,Feuil2!$A$2:$M$1241,11,FALSE)," ")</f>
        <v xml:space="preserve"> </v>
      </c>
      <c r="H211" s="1" t="s">
        <v>16</v>
      </c>
      <c r="I211" s="6" t="str">
        <f>IF(B211=0,VLOOKUP(A211,Feuil2!$A$2:$M$1241,7,FALSE)," ")</f>
        <v xml:space="preserve"> </v>
      </c>
      <c r="J211" s="1" t="str">
        <f>IF(B211=0,VLOOKUP(A211,Feuil2!$A$2:$M$1241,9,FALSE)," ")</f>
        <v xml:space="preserve"> </v>
      </c>
      <c r="K211" s="1" t="str">
        <f>IF(B211=0,VLOOKUP(A211,Feuil2!$A$2:$M$1241,10,FALSE)," ")</f>
        <v xml:space="preserve"> </v>
      </c>
      <c r="L211" s="1"/>
      <c r="M211" s="1"/>
      <c r="N211" s="1"/>
      <c r="O211" s="8" t="str">
        <f>IF(B211=0,VLOOKUP(A211,Feuil2!$A$2:$M$1241,13,FALSE)," ")</f>
        <v xml:space="preserve"> </v>
      </c>
    </row>
    <row r="212" spans="1:15" x14ac:dyDescent="0.3">
      <c r="A212" s="1">
        <v>1535</v>
      </c>
      <c r="B212" s="1">
        <v>0</v>
      </c>
      <c r="C212" s="1" t="str">
        <f>IF(B212=0,VLOOKUP(A212,Feuil2!$A$2:$M$1241,2,FALSE)," ")</f>
        <v>ROUIS</v>
      </c>
      <c r="D212" s="1" t="str">
        <f>IF(B212=0,VLOOKUP(A212,Feuil2!$A$2:$M$1241,3,FALSE)," ")</f>
        <v>LOTFI</v>
      </c>
      <c r="E212" s="5">
        <f>IF(B212=0,VLOOKUP(A212,Feuil2!$A$2:$M$1241,6,FALSE)," ")</f>
        <v>24933</v>
      </c>
      <c r="F212" s="1" t="str">
        <f>IF(B212=0,VLOOKUP(A212,Feuil2!$A$2:$M$1241,12,FALSE)," ")</f>
        <v>H</v>
      </c>
      <c r="G212" s="1" t="str">
        <f>IF(B212=0,VLOOKUP(A212,Feuil2!$A$2:$M$1241,11,FALSE)," ")</f>
        <v>M</v>
      </c>
      <c r="H212" s="1" t="s">
        <v>16</v>
      </c>
      <c r="I212" s="6">
        <f>IF(B212=0,VLOOKUP(A212,Feuil2!$A$2:$M$1241,7,FALSE)," ")</f>
        <v>2994632</v>
      </c>
      <c r="J212" s="1" t="str">
        <f>IF(B212=0,VLOOKUP(A212,Feuil2!$A$2:$M$1241,9,FALSE)," ")</f>
        <v>50 rue de la gare</v>
      </c>
      <c r="K212" s="1" t="str">
        <f>IF(B212=0,VLOOKUP(A212,Feuil2!$A$2:$M$1241,10,FALSE)," ")</f>
        <v>Msaken 4070</v>
      </c>
      <c r="L212" s="1">
        <v>4070</v>
      </c>
      <c r="M212" s="1">
        <v>98793553</v>
      </c>
      <c r="N212" s="1"/>
      <c r="O212" s="8" t="str">
        <f>IF(B212=0,VLOOKUP(A212,Feuil2!$A$2:$M$1241,13,FALSE)," ")</f>
        <v>04204067404006923137</v>
      </c>
    </row>
    <row r="213" spans="1:15" x14ac:dyDescent="0.3">
      <c r="A213" s="1">
        <v>1535</v>
      </c>
      <c r="B213" s="1">
        <v>1</v>
      </c>
      <c r="C213" s="1" t="s">
        <v>121</v>
      </c>
      <c r="D213" s="1" t="s">
        <v>2372</v>
      </c>
      <c r="E213" s="5">
        <v>27475</v>
      </c>
      <c r="F213" s="1" t="s">
        <v>17</v>
      </c>
      <c r="G213" s="1" t="s">
        <v>15</v>
      </c>
      <c r="H213" s="1" t="s">
        <v>16</v>
      </c>
      <c r="I213" s="6" t="str">
        <f>IF(B213=0,VLOOKUP(A213,Feuil2!$A$2:$M$1241,7,FALSE)," ")</f>
        <v xml:space="preserve"> </v>
      </c>
      <c r="J213" s="1" t="str">
        <f>IF(B213=0,VLOOKUP(A213,Feuil2!$A$2:$M$1241,9,FALSE)," ")</f>
        <v xml:space="preserve"> </v>
      </c>
      <c r="K213" s="1" t="str">
        <f>IF(B213=0,VLOOKUP(A213,Feuil2!$A$2:$M$1241,10,FALSE)," ")</f>
        <v xml:space="preserve"> </v>
      </c>
      <c r="L213" s="1"/>
      <c r="M213" s="1"/>
      <c r="N213" s="1"/>
      <c r="O213" s="8" t="str">
        <f>IF(B213=0,VLOOKUP(A213,Feuil2!$A$2:$M$1241,13,FALSE)," ")</f>
        <v xml:space="preserve"> </v>
      </c>
    </row>
    <row r="214" spans="1:15" x14ac:dyDescent="0.3">
      <c r="A214" s="1">
        <v>1535</v>
      </c>
      <c r="B214" s="1">
        <v>2</v>
      </c>
      <c r="C214" s="1" t="s">
        <v>342</v>
      </c>
      <c r="D214" s="1" t="s">
        <v>2447</v>
      </c>
      <c r="E214" s="5">
        <v>39466</v>
      </c>
      <c r="F214" s="1" t="s">
        <v>17</v>
      </c>
      <c r="G214" s="1" t="str">
        <f>IF(B214=0,VLOOKUP(A214,Feuil2!$A$2:$M$1241,11,FALSE)," ")</f>
        <v xml:space="preserve"> </v>
      </c>
      <c r="H214" s="1" t="s">
        <v>16</v>
      </c>
      <c r="I214" s="6" t="str">
        <f>IF(B214=0,VLOOKUP(A214,Feuil2!$A$2:$M$1241,7,FALSE)," ")</f>
        <v xml:space="preserve"> </v>
      </c>
      <c r="J214" s="1" t="str">
        <f>IF(B214=0,VLOOKUP(A214,Feuil2!$A$2:$M$1241,9,FALSE)," ")</f>
        <v xml:space="preserve"> </v>
      </c>
      <c r="K214" s="1" t="str">
        <f>IF(B214=0,VLOOKUP(A214,Feuil2!$A$2:$M$1241,10,FALSE)," ")</f>
        <v xml:space="preserve"> </v>
      </c>
      <c r="L214" s="1"/>
      <c r="M214" s="1"/>
      <c r="N214" s="1"/>
      <c r="O214" s="8" t="str">
        <f>IF(B214=0,VLOOKUP(A214,Feuil2!$A$2:$M$1241,13,FALSE)," ")</f>
        <v xml:space="preserve"> </v>
      </c>
    </row>
    <row r="215" spans="1:15" x14ac:dyDescent="0.3">
      <c r="A215" s="1">
        <v>1535</v>
      </c>
      <c r="B215" s="1">
        <v>3</v>
      </c>
      <c r="C215" s="1" t="s">
        <v>342</v>
      </c>
      <c r="D215" s="1" t="s">
        <v>2448</v>
      </c>
      <c r="E215" s="5">
        <v>39903</v>
      </c>
      <c r="F215" s="1" t="s">
        <v>506</v>
      </c>
      <c r="G215" s="1" t="str">
        <f>IF(B215=0,VLOOKUP(A215,Feuil2!$A$2:$M$1241,11,FALSE)," ")</f>
        <v xml:space="preserve"> </v>
      </c>
      <c r="H215" s="1" t="s">
        <v>16</v>
      </c>
      <c r="I215" s="6" t="str">
        <f>IF(B215=0,VLOOKUP(A215,Feuil2!$A$2:$M$1241,7,FALSE)," ")</f>
        <v xml:space="preserve"> </v>
      </c>
      <c r="J215" s="1" t="str">
        <f>IF(B215=0,VLOOKUP(A215,Feuil2!$A$2:$M$1241,9,FALSE)," ")</f>
        <v xml:space="preserve"> </v>
      </c>
      <c r="K215" s="1" t="str">
        <f>IF(B215=0,VLOOKUP(A215,Feuil2!$A$2:$M$1241,10,FALSE)," ")</f>
        <v xml:space="preserve"> </v>
      </c>
      <c r="L215" s="1"/>
      <c r="M215" s="1"/>
      <c r="N215" s="1"/>
      <c r="O215" s="8" t="str">
        <f>IF(B215=0,VLOOKUP(A215,Feuil2!$A$2:$M$1241,13,FALSE)," ")</f>
        <v xml:space="preserve"> </v>
      </c>
    </row>
    <row r="216" spans="1:15" x14ac:dyDescent="0.3">
      <c r="A216" s="1">
        <v>1535</v>
      </c>
      <c r="B216" s="1">
        <v>4</v>
      </c>
      <c r="C216" s="1" t="s">
        <v>342</v>
      </c>
      <c r="D216" s="1" t="s">
        <v>439</v>
      </c>
      <c r="E216" s="5">
        <v>40805</v>
      </c>
      <c r="F216" s="1" t="s">
        <v>17</v>
      </c>
      <c r="G216" s="1" t="str">
        <f>IF(B216=0,VLOOKUP(A216,Feuil2!$A$2:$M$1241,11,FALSE)," ")</f>
        <v xml:space="preserve"> </v>
      </c>
      <c r="H216" s="1" t="s">
        <v>16</v>
      </c>
      <c r="I216" s="6" t="str">
        <f>IF(B216=0,VLOOKUP(A216,Feuil2!$A$2:$M$1241,7,FALSE)," ")</f>
        <v xml:space="preserve"> </v>
      </c>
      <c r="J216" s="1" t="str">
        <f>IF(B216=0,VLOOKUP(A216,Feuil2!$A$2:$M$1241,9,FALSE)," ")</f>
        <v xml:space="preserve"> </v>
      </c>
      <c r="K216" s="1" t="str">
        <f>IF(B216=0,VLOOKUP(A216,Feuil2!$A$2:$M$1241,10,FALSE)," ")</f>
        <v xml:space="preserve"> </v>
      </c>
      <c r="L216" s="1"/>
      <c r="M216" s="1"/>
      <c r="N216" s="1"/>
      <c r="O216" s="8" t="str">
        <f>IF(B216=0,VLOOKUP(A216,Feuil2!$A$2:$M$1241,13,FALSE)," ")</f>
        <v xml:space="preserve"> </v>
      </c>
    </row>
    <row r="217" spans="1:15" x14ac:dyDescent="0.3">
      <c r="A217" s="1">
        <v>1535</v>
      </c>
      <c r="B217" s="1">
        <v>5</v>
      </c>
      <c r="C217" s="1" t="s">
        <v>342</v>
      </c>
      <c r="D217" s="1" t="s">
        <v>2449</v>
      </c>
      <c r="E217" s="5">
        <v>42739</v>
      </c>
      <c r="F217" s="1" t="s">
        <v>506</v>
      </c>
      <c r="G217" s="1" t="str">
        <f>IF(B217=0,VLOOKUP(A217,Feuil2!$A$2:$M$1241,11,FALSE)," ")</f>
        <v xml:space="preserve"> </v>
      </c>
      <c r="H217" s="1" t="s">
        <v>16</v>
      </c>
      <c r="I217" s="6" t="str">
        <f>IF(B217=0,VLOOKUP(A217,Feuil2!$A$2:$M$1241,7,FALSE)," ")</f>
        <v xml:space="preserve"> </v>
      </c>
      <c r="J217" s="1" t="str">
        <f>IF(B217=0,VLOOKUP(A217,Feuil2!$A$2:$M$1241,9,FALSE)," ")</f>
        <v xml:space="preserve"> </v>
      </c>
      <c r="K217" s="1" t="str">
        <f>IF(B217=0,VLOOKUP(A217,Feuil2!$A$2:$M$1241,10,FALSE)," ")</f>
        <v xml:space="preserve"> </v>
      </c>
      <c r="L217" s="1"/>
      <c r="M217" s="1"/>
      <c r="N217" s="1"/>
      <c r="O217" s="8" t="str">
        <f>IF(B217=0,VLOOKUP(A217,Feuil2!$A$2:$M$1241,13,FALSE)," ")</f>
        <v xml:space="preserve"> </v>
      </c>
    </row>
    <row r="218" spans="1:15" x14ac:dyDescent="0.3">
      <c r="A218" s="1">
        <v>1542</v>
      </c>
      <c r="B218" s="1">
        <v>0</v>
      </c>
      <c r="C218" s="1" t="str">
        <f>IF(B218=0,VLOOKUP(A218,Feuil2!$A$2:$M$1241,2,FALSE)," ")</f>
        <v>MABROUK</v>
      </c>
      <c r="D218" s="1" t="str">
        <f>IF(B218=0,VLOOKUP(A218,Feuil2!$A$2:$M$1241,3,FALSE)," ")</f>
        <v>JAMEL</v>
      </c>
      <c r="E218" s="5">
        <f>IF(B218=0,VLOOKUP(A218,Feuil2!$A$2:$M$1241,6,FALSE)," ")</f>
        <v>26151</v>
      </c>
      <c r="F218" s="1" t="str">
        <f>IF(B218=0,VLOOKUP(A218,Feuil2!$A$2:$M$1241,12,FALSE)," ")</f>
        <v>H</v>
      </c>
      <c r="G218" s="1" t="str">
        <f>IF(B218=0,VLOOKUP(A218,Feuil2!$A$2:$M$1241,11,FALSE)," ")</f>
        <v>M</v>
      </c>
      <c r="H218" s="1" t="s">
        <v>16</v>
      </c>
      <c r="I218" s="6">
        <f>IF(B218=0,VLOOKUP(A218,Feuil2!$A$2:$M$1241,7,FALSE)," ")</f>
        <v>5519256</v>
      </c>
      <c r="J218" s="1" t="str">
        <f>IF(B218=0,VLOOKUP(A218,Feuil2!$A$2:$M$1241,9,FALSE)," ")</f>
        <v>277 Rue Mohamed Ali</v>
      </c>
      <c r="K218" s="1" t="str">
        <f>IF(B218=0,VLOOKUP(A218,Feuil2!$A$2:$M$1241,10,FALSE)," ")</f>
        <v>Msaken 4070</v>
      </c>
      <c r="L218" s="1">
        <v>4070</v>
      </c>
      <c r="M218" s="1">
        <v>21188824</v>
      </c>
      <c r="N218" s="1"/>
      <c r="O218" s="8" t="str">
        <f>IF(B218=0,VLOOKUP(A218,Feuil2!$A$2:$M$1241,13,FALSE)," ")</f>
        <v>25018000000003114351</v>
      </c>
    </row>
    <row r="219" spans="1:15" x14ac:dyDescent="0.3">
      <c r="A219" s="1">
        <v>1542</v>
      </c>
      <c r="B219" s="1">
        <v>1</v>
      </c>
      <c r="C219" s="1" t="s">
        <v>366</v>
      </c>
      <c r="D219" s="1" t="s">
        <v>2421</v>
      </c>
      <c r="E219" s="5">
        <v>28699</v>
      </c>
      <c r="F219" s="1" t="s">
        <v>17</v>
      </c>
      <c r="G219" s="1" t="s">
        <v>15</v>
      </c>
      <c r="H219" s="1" t="s">
        <v>16</v>
      </c>
      <c r="I219" s="6" t="str">
        <f>IF(B219=0,VLOOKUP(A219,Feuil2!$A$2:$M$1241,7,FALSE)," ")</f>
        <v xml:space="preserve"> </v>
      </c>
      <c r="J219" s="1" t="str">
        <f>IF(B219=0,VLOOKUP(A219,Feuil2!$A$2:$M$1241,9,FALSE)," ")</f>
        <v xml:space="preserve"> </v>
      </c>
      <c r="K219" s="1" t="str">
        <f>IF(B219=0,VLOOKUP(A219,Feuil2!$A$2:$M$1241,10,FALSE)," ")</f>
        <v xml:space="preserve"> </v>
      </c>
      <c r="L219" s="1"/>
      <c r="M219" s="1"/>
      <c r="N219" s="1"/>
      <c r="O219" s="8" t="str">
        <f>IF(B219=0,VLOOKUP(A219,Feuil2!$A$2:$M$1241,13,FALSE)," ")</f>
        <v xml:space="preserve"> </v>
      </c>
    </row>
    <row r="220" spans="1:15" x14ac:dyDescent="0.3">
      <c r="A220" s="1">
        <v>1542</v>
      </c>
      <c r="B220" s="1">
        <v>2</v>
      </c>
      <c r="C220" s="1" t="s">
        <v>251</v>
      </c>
      <c r="D220" s="1" t="s">
        <v>2422</v>
      </c>
      <c r="E220" s="5">
        <v>38924</v>
      </c>
      <c r="F220" s="1" t="s">
        <v>17</v>
      </c>
      <c r="G220" s="1" t="str">
        <f>IF(B220=0,VLOOKUP(A220,Feuil2!$A$2:$M$1241,11,FALSE)," ")</f>
        <v xml:space="preserve"> </v>
      </c>
      <c r="H220" s="1" t="s">
        <v>16</v>
      </c>
      <c r="I220" s="6" t="str">
        <f>IF(B220=0,VLOOKUP(A220,Feuil2!$A$2:$M$1241,7,FALSE)," ")</f>
        <v xml:space="preserve"> </v>
      </c>
      <c r="J220" s="1" t="str">
        <f>IF(B220=0,VLOOKUP(A220,Feuil2!$A$2:$M$1241,9,FALSE)," ")</f>
        <v xml:space="preserve"> </v>
      </c>
      <c r="K220" s="1" t="str">
        <f>IF(B220=0,VLOOKUP(A220,Feuil2!$A$2:$M$1241,10,FALSE)," ")</f>
        <v xml:space="preserve"> </v>
      </c>
      <c r="L220" s="1"/>
      <c r="M220" s="1"/>
      <c r="N220" s="1"/>
      <c r="O220" s="8" t="str">
        <f>IF(B220=0,VLOOKUP(A220,Feuil2!$A$2:$M$1241,13,FALSE)," ")</f>
        <v xml:space="preserve"> </v>
      </c>
    </row>
    <row r="221" spans="1:15" x14ac:dyDescent="0.3">
      <c r="A221" s="1">
        <v>1542</v>
      </c>
      <c r="B221" s="1">
        <v>3</v>
      </c>
      <c r="C221" s="1" t="s">
        <v>251</v>
      </c>
      <c r="D221" s="1" t="s">
        <v>2423</v>
      </c>
      <c r="E221" s="5">
        <v>39440</v>
      </c>
      <c r="F221" s="1" t="s">
        <v>506</v>
      </c>
      <c r="G221" s="1" t="str">
        <f>IF(B221=0,VLOOKUP(A221,Feuil2!$A$2:$M$1241,11,FALSE)," ")</f>
        <v xml:space="preserve"> </v>
      </c>
      <c r="H221" s="1" t="s">
        <v>16</v>
      </c>
      <c r="I221" s="6" t="str">
        <f>IF(B221=0,VLOOKUP(A221,Feuil2!$A$2:$M$1241,7,FALSE)," ")</f>
        <v xml:space="preserve"> </v>
      </c>
      <c r="J221" s="1" t="str">
        <f>IF(B221=0,VLOOKUP(A221,Feuil2!$A$2:$M$1241,9,FALSE)," ")</f>
        <v xml:space="preserve"> </v>
      </c>
      <c r="K221" s="1" t="str">
        <f>IF(B221=0,VLOOKUP(A221,Feuil2!$A$2:$M$1241,10,FALSE)," ")</f>
        <v xml:space="preserve"> </v>
      </c>
      <c r="L221" s="1"/>
      <c r="M221" s="1"/>
      <c r="N221" s="1"/>
      <c r="O221" s="8" t="str">
        <f>IF(B221=0,VLOOKUP(A221,Feuil2!$A$2:$M$1241,13,FALSE)," ")</f>
        <v xml:space="preserve"> </v>
      </c>
    </row>
    <row r="222" spans="1:15" x14ac:dyDescent="0.3">
      <c r="A222" s="1">
        <v>1542</v>
      </c>
      <c r="B222" s="1">
        <v>4</v>
      </c>
      <c r="C222" s="1" t="s">
        <v>251</v>
      </c>
      <c r="D222" s="1" t="s">
        <v>77</v>
      </c>
      <c r="E222" s="5">
        <v>41295</v>
      </c>
      <c r="F222" s="1" t="s">
        <v>506</v>
      </c>
      <c r="G222" s="1" t="str">
        <f>IF(B222=0,VLOOKUP(A222,Feuil2!$A$2:$M$1241,11,FALSE)," ")</f>
        <v xml:space="preserve"> </v>
      </c>
      <c r="H222" s="1" t="s">
        <v>16</v>
      </c>
      <c r="I222" s="6" t="str">
        <f>IF(B222=0,VLOOKUP(A222,Feuil2!$A$2:$M$1241,7,FALSE)," ")</f>
        <v xml:space="preserve"> </v>
      </c>
      <c r="J222" s="1" t="str">
        <f>IF(B222=0,VLOOKUP(A222,Feuil2!$A$2:$M$1241,9,FALSE)," ")</f>
        <v xml:space="preserve"> </v>
      </c>
      <c r="K222" s="1" t="str">
        <f>IF(B222=0,VLOOKUP(A222,Feuil2!$A$2:$M$1241,10,FALSE)," ")</f>
        <v xml:space="preserve"> </v>
      </c>
      <c r="L222" s="1"/>
      <c r="M222" s="1"/>
      <c r="N222" s="1"/>
      <c r="O222" s="8" t="str">
        <f>IF(B222=0,VLOOKUP(A222,Feuil2!$A$2:$M$1241,13,FALSE)," ")</f>
        <v xml:space="preserve"> </v>
      </c>
    </row>
    <row r="223" spans="1:15" x14ac:dyDescent="0.3">
      <c r="A223" s="1">
        <v>1548</v>
      </c>
      <c r="B223" s="1">
        <v>0</v>
      </c>
      <c r="C223" s="1" t="str">
        <f>IF(B223=0,VLOOKUP(A223,Feuil2!$A$2:$M$1241,2,FALSE)," ")</f>
        <v>YOUSSEF</v>
      </c>
      <c r="D223" s="1" t="str">
        <f>IF(B223=0,VLOOKUP(A223,Feuil2!$A$2:$M$1241,3,FALSE)," ")</f>
        <v>WAHID</v>
      </c>
      <c r="E223" s="5">
        <f>IF(B223=0,VLOOKUP(A223,Feuil2!$A$2:$M$1241,6,FALSE)," ")</f>
        <v>25440</v>
      </c>
      <c r="F223" s="1" t="str">
        <f>IF(B223=0,VLOOKUP(A223,Feuil2!$A$2:$M$1241,12,FALSE)," ")</f>
        <v>H</v>
      </c>
      <c r="G223" s="1" t="str">
        <f>IF(B223=0,VLOOKUP(A223,Feuil2!$A$2:$M$1241,11,FALSE)," ")</f>
        <v>M</v>
      </c>
      <c r="H223" s="1" t="s">
        <v>16</v>
      </c>
      <c r="I223" s="6">
        <f>IF(B223=0,VLOOKUP(A223,Feuil2!$A$2:$M$1241,7,FALSE)," ")</f>
        <v>2982608</v>
      </c>
      <c r="J223" s="1" t="str">
        <f>IF(B223=0,VLOOKUP(A223,Feuil2!$A$2:$M$1241,9,FALSE)," ")</f>
        <v>40 Rue Abdelhamid El Gadhi</v>
      </c>
      <c r="K223" s="1" t="str">
        <f>IF(B223=0,VLOOKUP(A223,Feuil2!$A$2:$M$1241,10,FALSE)," ")</f>
        <v>Msaken 4070</v>
      </c>
      <c r="L223" s="1">
        <v>4070</v>
      </c>
      <c r="M223" s="1">
        <v>98793670</v>
      </c>
      <c r="N223" s="1"/>
      <c r="O223" s="8" t="str">
        <f>IF(B223=0,VLOOKUP(A223,Feuil2!$A$2:$M$1241,13,FALSE)," ")</f>
        <v>10506040206332378867</v>
      </c>
    </row>
    <row r="224" spans="1:15" x14ac:dyDescent="0.3">
      <c r="A224" s="1">
        <v>1548</v>
      </c>
      <c r="B224" s="1">
        <v>1</v>
      </c>
      <c r="C224" s="1" t="s">
        <v>33</v>
      </c>
      <c r="D224" s="1" t="s">
        <v>1008</v>
      </c>
      <c r="E224" s="5">
        <v>28890</v>
      </c>
      <c r="F224" s="1" t="s">
        <v>17</v>
      </c>
      <c r="G224" s="1" t="s">
        <v>15</v>
      </c>
      <c r="H224" s="1" t="s">
        <v>16</v>
      </c>
      <c r="I224" s="6" t="str">
        <f>IF(B224=0,VLOOKUP(A224,Feuil2!$A$2:$M$1241,7,FALSE)," ")</f>
        <v xml:space="preserve"> </v>
      </c>
      <c r="J224" s="1" t="str">
        <f>IF(B224=0,VLOOKUP(A224,Feuil2!$A$2:$M$1241,9,FALSE)," ")</f>
        <v xml:space="preserve"> </v>
      </c>
      <c r="K224" s="1" t="str">
        <f>IF(B224=0,VLOOKUP(A224,Feuil2!$A$2:$M$1241,10,FALSE)," ")</f>
        <v xml:space="preserve"> </v>
      </c>
      <c r="L224" s="1"/>
      <c r="M224" s="1"/>
      <c r="N224" s="1"/>
      <c r="O224" s="8" t="str">
        <f>IF(B224=0,VLOOKUP(A224,Feuil2!$A$2:$M$1241,13,FALSE)," ")</f>
        <v xml:space="preserve"> </v>
      </c>
    </row>
    <row r="225" spans="1:15" x14ac:dyDescent="0.3">
      <c r="A225" s="1">
        <v>1548</v>
      </c>
      <c r="B225" s="1">
        <v>2</v>
      </c>
      <c r="C225" s="1" t="s">
        <v>61</v>
      </c>
      <c r="D225" s="1" t="s">
        <v>2354</v>
      </c>
      <c r="E225" s="5">
        <v>42370</v>
      </c>
      <c r="F225" s="1" t="s">
        <v>17</v>
      </c>
      <c r="G225" s="1" t="str">
        <f>IF(B225=0,VLOOKUP(A225,Feuil2!$A$2:$M$1241,11,FALSE)," ")</f>
        <v xml:space="preserve"> </v>
      </c>
      <c r="H225" s="1" t="s">
        <v>16</v>
      </c>
      <c r="I225" s="6" t="str">
        <f>IF(B225=0,VLOOKUP(A225,Feuil2!$A$2:$M$1241,7,FALSE)," ")</f>
        <v xml:space="preserve"> </v>
      </c>
      <c r="J225" s="1" t="str">
        <f>IF(B225=0,VLOOKUP(A225,Feuil2!$A$2:$M$1241,9,FALSE)," ")</f>
        <v xml:space="preserve"> </v>
      </c>
      <c r="K225" s="1" t="str">
        <f>IF(B225=0,VLOOKUP(A225,Feuil2!$A$2:$M$1241,10,FALSE)," ")</f>
        <v xml:space="preserve"> </v>
      </c>
      <c r="L225" s="1"/>
      <c r="M225" s="1"/>
      <c r="N225" s="1"/>
      <c r="O225" s="8" t="str">
        <f>IF(B225=0,VLOOKUP(A225,Feuil2!$A$2:$M$1241,13,FALSE)," ")</f>
        <v xml:space="preserve"> </v>
      </c>
    </row>
    <row r="226" spans="1:15" x14ac:dyDescent="0.3">
      <c r="A226" s="1">
        <v>1553</v>
      </c>
      <c r="B226" s="1">
        <v>0</v>
      </c>
      <c r="C226" s="1" t="str">
        <f>IF(B226=0,VLOOKUP(A226,Feuil2!$A$2:$M$1241,2,FALSE)," ")</f>
        <v>BOUNEB</v>
      </c>
      <c r="D226" s="1" t="str">
        <f>IF(B226=0,VLOOKUP(A226,Feuil2!$A$2:$M$1241,3,FALSE)," ")</f>
        <v>MOHAMED</v>
      </c>
      <c r="E226" s="5">
        <f>IF(B226=0,VLOOKUP(A226,Feuil2!$A$2:$M$1241,6,FALSE)," ")</f>
        <v>27523</v>
      </c>
      <c r="F226" s="1" t="str">
        <f>IF(B226=0,VLOOKUP(A226,Feuil2!$A$2:$M$1241,12,FALSE)," ")</f>
        <v>H</v>
      </c>
      <c r="G226" s="1" t="str">
        <f>IF(B226=0,VLOOKUP(A226,Feuil2!$A$2:$M$1241,11,FALSE)," ")</f>
        <v>M</v>
      </c>
      <c r="H226" s="1" t="s">
        <v>16</v>
      </c>
      <c r="I226" s="6">
        <f>IF(B226=0,VLOOKUP(A226,Feuil2!$A$2:$M$1241,7,FALSE)," ")</f>
        <v>5530662</v>
      </c>
      <c r="J226" s="1" t="str">
        <f>IF(B226=0,VLOOKUP(A226,Feuil2!$A$2:$M$1241,9,FALSE)," ")</f>
        <v>4 Rue de l'Oasis</v>
      </c>
      <c r="K226" s="1" t="str">
        <f>IF(B226=0,VLOOKUP(A226,Feuil2!$A$2:$M$1241,10,FALSE)," ")</f>
        <v>Msaken 4070</v>
      </c>
      <c r="L226" s="1">
        <v>4070</v>
      </c>
      <c r="M226" s="1">
        <v>98793744</v>
      </c>
      <c r="N226" s="1"/>
      <c r="O226" s="8" t="str">
        <f>IF(B226=0,VLOOKUP(A226,Feuil2!$A$2:$M$1241,13,FALSE)," ")</f>
        <v>04204067001287484895</v>
      </c>
    </row>
    <row r="227" spans="1:15" x14ac:dyDescent="0.3">
      <c r="A227" s="1">
        <v>1553</v>
      </c>
      <c r="B227" s="1">
        <v>1</v>
      </c>
      <c r="C227" s="1" t="s">
        <v>2538</v>
      </c>
      <c r="D227" s="1" t="s">
        <v>2219</v>
      </c>
      <c r="E227" s="5">
        <v>27851</v>
      </c>
      <c r="F227" s="1" t="s">
        <v>17</v>
      </c>
      <c r="G227" s="1" t="s">
        <v>15</v>
      </c>
      <c r="H227" s="1" t="s">
        <v>16</v>
      </c>
      <c r="I227" s="6" t="str">
        <f>IF(B227=0,VLOOKUP(A227,Feuil2!$A$2:$M$1241,7,FALSE)," ")</f>
        <v xml:space="preserve"> </v>
      </c>
      <c r="J227" s="1" t="str">
        <f>IF(B227=0,VLOOKUP(A227,Feuil2!$A$2:$M$1241,9,FALSE)," ")</f>
        <v xml:space="preserve"> </v>
      </c>
      <c r="K227" s="1" t="str">
        <f>IF(B227=0,VLOOKUP(A227,Feuil2!$A$2:$M$1241,10,FALSE)," ")</f>
        <v xml:space="preserve"> </v>
      </c>
      <c r="L227" s="1"/>
      <c r="M227" s="1"/>
      <c r="N227" s="1"/>
      <c r="O227" s="8" t="str">
        <f>IF(B227=0,VLOOKUP(A227,Feuil2!$A$2:$M$1241,13,FALSE)," ")</f>
        <v xml:space="preserve"> </v>
      </c>
    </row>
    <row r="228" spans="1:15" x14ac:dyDescent="0.3">
      <c r="A228" s="1">
        <v>1553</v>
      </c>
      <c r="B228" s="1">
        <v>2</v>
      </c>
      <c r="C228" s="1" t="s">
        <v>51</v>
      </c>
      <c r="D228" s="1" t="s">
        <v>2337</v>
      </c>
      <c r="E228" s="5">
        <v>37781</v>
      </c>
      <c r="F228" s="1" t="s">
        <v>17</v>
      </c>
      <c r="G228" s="1" t="str">
        <f>IF(B228=0,VLOOKUP(A228,Feuil2!$A$2:$M$1241,11,FALSE)," ")</f>
        <v xml:space="preserve"> </v>
      </c>
      <c r="H228" s="1" t="s">
        <v>16</v>
      </c>
      <c r="I228" s="6" t="str">
        <f>IF(B228=0,VLOOKUP(A228,Feuil2!$A$2:$M$1241,7,FALSE)," ")</f>
        <v xml:space="preserve"> </v>
      </c>
      <c r="J228" s="1" t="str">
        <f>IF(B228=0,VLOOKUP(A228,Feuil2!$A$2:$M$1241,9,FALSE)," ")</f>
        <v xml:space="preserve"> </v>
      </c>
      <c r="K228" s="1" t="str">
        <f>IF(B228=0,VLOOKUP(A228,Feuil2!$A$2:$M$1241,10,FALSE)," ")</f>
        <v xml:space="preserve"> </v>
      </c>
      <c r="L228" s="1"/>
      <c r="M228" s="1"/>
      <c r="N228" s="1"/>
      <c r="O228" s="8" t="str">
        <f>IF(B228=0,VLOOKUP(A228,Feuil2!$A$2:$M$1241,13,FALSE)," ")</f>
        <v xml:space="preserve"> </v>
      </c>
    </row>
    <row r="229" spans="1:15" x14ac:dyDescent="0.3">
      <c r="A229" s="1">
        <v>1553</v>
      </c>
      <c r="B229" s="1">
        <v>3</v>
      </c>
      <c r="C229" s="1" t="s">
        <v>51</v>
      </c>
      <c r="D229" s="1" t="s">
        <v>2345</v>
      </c>
      <c r="E229" s="5">
        <v>38808</v>
      </c>
      <c r="F229" s="1" t="s">
        <v>17</v>
      </c>
      <c r="G229" s="1" t="str">
        <f>IF(B229=0,VLOOKUP(A229,Feuil2!$A$2:$M$1241,11,FALSE)," ")</f>
        <v xml:space="preserve"> </v>
      </c>
      <c r="H229" s="1" t="s">
        <v>16</v>
      </c>
      <c r="I229" s="6" t="str">
        <f>IF(B229=0,VLOOKUP(A229,Feuil2!$A$2:$M$1241,7,FALSE)," ")</f>
        <v xml:space="preserve"> </v>
      </c>
      <c r="J229" s="1" t="str">
        <f>IF(B229=0,VLOOKUP(A229,Feuil2!$A$2:$M$1241,9,FALSE)," ")</f>
        <v xml:space="preserve"> </v>
      </c>
      <c r="K229" s="1" t="str">
        <f>IF(B229=0,VLOOKUP(A229,Feuil2!$A$2:$M$1241,10,FALSE)," ")</f>
        <v xml:space="preserve"> </v>
      </c>
      <c r="L229" s="1"/>
      <c r="M229" s="1"/>
      <c r="N229" s="1"/>
      <c r="O229" s="8" t="str">
        <f>IF(B229=0,VLOOKUP(A229,Feuil2!$A$2:$M$1241,13,FALSE)," ")</f>
        <v xml:space="preserve"> </v>
      </c>
    </row>
    <row r="230" spans="1:15" x14ac:dyDescent="0.3">
      <c r="A230" s="1">
        <v>1553</v>
      </c>
      <c r="B230" s="1">
        <v>4</v>
      </c>
      <c r="C230" s="1" t="s">
        <v>51</v>
      </c>
      <c r="D230" s="1" t="s">
        <v>2443</v>
      </c>
      <c r="E230" s="5">
        <v>40745</v>
      </c>
      <c r="F230" s="1" t="s">
        <v>17</v>
      </c>
      <c r="G230" s="1" t="str">
        <f>IF(B230=0,VLOOKUP(A230,Feuil2!$A$2:$M$1241,11,FALSE)," ")</f>
        <v xml:space="preserve"> </v>
      </c>
      <c r="H230" s="1" t="s">
        <v>16</v>
      </c>
      <c r="I230" s="6" t="str">
        <f>IF(B230=0,VLOOKUP(A230,Feuil2!$A$2:$M$1241,7,FALSE)," ")</f>
        <v xml:space="preserve"> </v>
      </c>
      <c r="J230" s="1" t="str">
        <f>IF(B230=0,VLOOKUP(A230,Feuil2!$A$2:$M$1241,9,FALSE)," ")</f>
        <v xml:space="preserve"> </v>
      </c>
      <c r="K230" s="1" t="str">
        <f>IF(B230=0,VLOOKUP(A230,Feuil2!$A$2:$M$1241,10,FALSE)," ")</f>
        <v xml:space="preserve"> </v>
      </c>
      <c r="L230" s="1"/>
      <c r="M230" s="1"/>
      <c r="N230" s="1"/>
      <c r="O230" s="8" t="str">
        <f>IF(B230=0,VLOOKUP(A230,Feuil2!$A$2:$M$1241,13,FALSE)," ")</f>
        <v xml:space="preserve"> </v>
      </c>
    </row>
    <row r="231" spans="1:15" x14ac:dyDescent="0.3">
      <c r="A231" s="1">
        <v>1553</v>
      </c>
      <c r="B231" s="1">
        <v>5</v>
      </c>
      <c r="C231" s="1" t="s">
        <v>51</v>
      </c>
      <c r="D231" s="1" t="s">
        <v>149</v>
      </c>
      <c r="E231" s="5">
        <v>41342</v>
      </c>
      <c r="F231" s="1" t="s">
        <v>506</v>
      </c>
      <c r="G231" s="1" t="str">
        <f>IF(B231=0,VLOOKUP(A231,Feuil2!$A$2:$M$1241,11,FALSE)," ")</f>
        <v xml:space="preserve"> </v>
      </c>
      <c r="H231" s="1" t="s">
        <v>16</v>
      </c>
      <c r="I231" s="6" t="str">
        <f>IF(B231=0,VLOOKUP(A231,Feuil2!$A$2:$M$1241,7,FALSE)," ")</f>
        <v xml:space="preserve"> </v>
      </c>
      <c r="J231" s="1" t="str">
        <f>IF(B231=0,VLOOKUP(A231,Feuil2!$A$2:$M$1241,9,FALSE)," ")</f>
        <v xml:space="preserve"> </v>
      </c>
      <c r="K231" s="1" t="str">
        <f>IF(B231=0,VLOOKUP(A231,Feuil2!$A$2:$M$1241,10,FALSE)," ")</f>
        <v xml:space="preserve"> </v>
      </c>
      <c r="L231" s="1"/>
      <c r="M231" s="1"/>
      <c r="N231" s="1"/>
      <c r="O231" s="8" t="str">
        <f>IF(B231=0,VLOOKUP(A231,Feuil2!$A$2:$M$1241,13,FALSE)," ")</f>
        <v xml:space="preserve"> </v>
      </c>
    </row>
    <row r="232" spans="1:15" x14ac:dyDescent="0.3">
      <c r="A232" s="1">
        <v>1556</v>
      </c>
      <c r="B232" s="1">
        <v>0</v>
      </c>
      <c r="C232" s="1" t="str">
        <f>IF(B232=0,VLOOKUP(A232,Feuil2!$A$2:$M$1241,2,FALSE)," ")</f>
        <v>LOGHMARI</v>
      </c>
      <c r="D232" s="1" t="str">
        <f>IF(B232=0,VLOOKUP(A232,Feuil2!$A$2:$M$1241,3,FALSE)," ")</f>
        <v>KHELIL</v>
      </c>
      <c r="E232" s="5">
        <f>IF(B232=0,VLOOKUP(A232,Feuil2!$A$2:$M$1241,6,FALSE)," ")</f>
        <v>27345</v>
      </c>
      <c r="F232" s="1" t="str">
        <f>IF(B232=0,VLOOKUP(A232,Feuil2!$A$2:$M$1241,12,FALSE)," ")</f>
        <v>H</v>
      </c>
      <c r="G232" s="1" t="str">
        <f>IF(B232=0,VLOOKUP(A232,Feuil2!$A$2:$M$1241,11,FALSE)," ")</f>
        <v>M</v>
      </c>
      <c r="H232" s="1" t="s">
        <v>16</v>
      </c>
      <c r="I232" s="6">
        <f>IF(B232=0,VLOOKUP(A232,Feuil2!$A$2:$M$1241,7,FALSE)," ")</f>
        <v>5537946</v>
      </c>
      <c r="J232" s="1" t="str">
        <f>IF(B232=0,VLOOKUP(A232,Feuil2!$A$2:$M$1241,9,FALSE)," ")</f>
        <v>23Rue Lettihed</v>
      </c>
      <c r="K232" s="1" t="str">
        <f>IF(B232=0,VLOOKUP(A232,Feuil2!$A$2:$M$1241,10,FALSE)," ")</f>
        <v>Msaken 4070</v>
      </c>
      <c r="L232" s="1">
        <v>4070</v>
      </c>
      <c r="M232" s="1">
        <v>55020767</v>
      </c>
      <c r="N232" s="1"/>
      <c r="O232" s="8" t="str">
        <f>IF(B232=0,VLOOKUP(A232,Feuil2!$A$2:$M$1241,13,FALSE)," ")</f>
        <v>08050020052000691409</v>
      </c>
    </row>
    <row r="233" spans="1:15" x14ac:dyDescent="0.3">
      <c r="A233" s="1">
        <v>1556</v>
      </c>
      <c r="B233" s="1">
        <v>1</v>
      </c>
      <c r="C233" s="1" t="s">
        <v>2459</v>
      </c>
      <c r="D233" s="1" t="s">
        <v>1356</v>
      </c>
      <c r="E233" s="5">
        <v>29644</v>
      </c>
      <c r="F233" s="1" t="s">
        <v>17</v>
      </c>
      <c r="G233" s="1" t="s">
        <v>15</v>
      </c>
      <c r="H233" s="1" t="s">
        <v>16</v>
      </c>
      <c r="I233" s="6" t="str">
        <f>IF(B233=0,VLOOKUP(A233,Feuil2!$A$2:$M$1241,7,FALSE)," ")</f>
        <v xml:space="preserve"> </v>
      </c>
      <c r="J233" s="1" t="str">
        <f>IF(B233=0,VLOOKUP(A233,Feuil2!$A$2:$M$1241,9,FALSE)," ")</f>
        <v xml:space="preserve"> </v>
      </c>
      <c r="K233" s="1" t="str">
        <f>IF(B233=0,VLOOKUP(A233,Feuil2!$A$2:$M$1241,10,FALSE)," ")</f>
        <v xml:space="preserve"> </v>
      </c>
      <c r="L233" s="1"/>
      <c r="M233" s="1"/>
      <c r="N233" s="1"/>
      <c r="O233" s="8" t="str">
        <f>IF(B233=0,VLOOKUP(A233,Feuil2!$A$2:$M$1241,13,FALSE)," ")</f>
        <v xml:space="preserve"> </v>
      </c>
    </row>
    <row r="234" spans="1:15" x14ac:dyDescent="0.3">
      <c r="A234" s="1">
        <v>1556</v>
      </c>
      <c r="B234" s="1">
        <v>2</v>
      </c>
      <c r="C234" s="1" t="s">
        <v>199</v>
      </c>
      <c r="D234" s="1" t="s">
        <v>54</v>
      </c>
      <c r="E234" s="5">
        <v>37080</v>
      </c>
      <c r="F234" s="1" t="s">
        <v>17</v>
      </c>
      <c r="G234" s="1" t="str">
        <f>IF(B234=0,VLOOKUP(A234,Feuil2!$A$2:$M$1241,11,FALSE)," ")</f>
        <v xml:space="preserve"> </v>
      </c>
      <c r="H234" s="1" t="s">
        <v>16</v>
      </c>
      <c r="I234" s="6" t="str">
        <f>IF(B234=0,VLOOKUP(A234,Feuil2!$A$2:$M$1241,7,FALSE)," ")</f>
        <v xml:space="preserve"> </v>
      </c>
      <c r="J234" s="1" t="str">
        <f>IF(B234=0,VLOOKUP(A234,Feuil2!$A$2:$M$1241,9,FALSE)," ")</f>
        <v xml:space="preserve"> </v>
      </c>
      <c r="K234" s="1" t="str">
        <f>IF(B234=0,VLOOKUP(A234,Feuil2!$A$2:$M$1241,10,FALSE)," ")</f>
        <v xml:space="preserve"> </v>
      </c>
      <c r="L234" s="1"/>
      <c r="M234" s="1"/>
      <c r="N234" s="1"/>
      <c r="O234" s="8" t="str">
        <f>IF(B234=0,VLOOKUP(A234,Feuil2!$A$2:$M$1241,13,FALSE)," ")</f>
        <v xml:space="preserve"> </v>
      </c>
    </row>
    <row r="235" spans="1:15" x14ac:dyDescent="0.3">
      <c r="A235" s="1">
        <v>1556</v>
      </c>
      <c r="B235" s="1">
        <v>3</v>
      </c>
      <c r="C235" s="1" t="s">
        <v>199</v>
      </c>
      <c r="D235" s="1" t="s">
        <v>2447</v>
      </c>
      <c r="E235" s="5">
        <v>37680</v>
      </c>
      <c r="F235" s="1" t="s">
        <v>17</v>
      </c>
      <c r="G235" s="1" t="str">
        <f>IF(B235=0,VLOOKUP(A235,Feuil2!$A$2:$M$1241,11,FALSE)," ")</f>
        <v xml:space="preserve"> </v>
      </c>
      <c r="H235" s="1" t="s">
        <v>16</v>
      </c>
      <c r="I235" s="6" t="str">
        <f>IF(B235=0,VLOOKUP(A235,Feuil2!$A$2:$M$1241,7,FALSE)," ")</f>
        <v xml:space="preserve"> </v>
      </c>
      <c r="J235" s="1" t="str">
        <f>IF(B235=0,VLOOKUP(A235,Feuil2!$A$2:$M$1241,9,FALSE)," ")</f>
        <v xml:space="preserve"> </v>
      </c>
      <c r="K235" s="1" t="str">
        <f>IF(B235=0,VLOOKUP(A235,Feuil2!$A$2:$M$1241,10,FALSE)," ")</f>
        <v xml:space="preserve"> </v>
      </c>
      <c r="L235" s="1"/>
      <c r="M235" s="1"/>
      <c r="N235" s="1"/>
      <c r="O235" s="8" t="str">
        <f>IF(B235=0,VLOOKUP(A235,Feuil2!$A$2:$M$1241,13,FALSE)," ")</f>
        <v xml:space="preserve"> </v>
      </c>
    </row>
    <row r="236" spans="1:15" x14ac:dyDescent="0.3">
      <c r="A236" s="1">
        <v>1556</v>
      </c>
      <c r="B236" s="1">
        <v>4</v>
      </c>
      <c r="C236" s="1" t="s">
        <v>199</v>
      </c>
      <c r="D236" s="1" t="s">
        <v>105</v>
      </c>
      <c r="E236" s="5">
        <v>40335</v>
      </c>
      <c r="F236" s="1" t="s">
        <v>506</v>
      </c>
      <c r="G236" s="1" t="str">
        <f>IF(B236=0,VLOOKUP(A236,Feuil2!$A$2:$M$1241,11,FALSE)," ")</f>
        <v xml:space="preserve"> </v>
      </c>
      <c r="H236" s="1" t="s">
        <v>16</v>
      </c>
      <c r="I236" s="6" t="str">
        <f>IF(B236=0,VLOOKUP(A236,Feuil2!$A$2:$M$1241,7,FALSE)," ")</f>
        <v xml:space="preserve"> </v>
      </c>
      <c r="J236" s="1" t="str">
        <f>IF(B236=0,VLOOKUP(A236,Feuil2!$A$2:$M$1241,9,FALSE)," ")</f>
        <v xml:space="preserve"> </v>
      </c>
      <c r="K236" s="1" t="str">
        <f>IF(B236=0,VLOOKUP(A236,Feuil2!$A$2:$M$1241,10,FALSE)," ")</f>
        <v xml:space="preserve"> </v>
      </c>
      <c r="L236" s="1"/>
      <c r="M236" s="1"/>
      <c r="N236" s="1"/>
      <c r="O236" s="8" t="str">
        <f>IF(B236=0,VLOOKUP(A236,Feuil2!$A$2:$M$1241,13,FALSE)," ")</f>
        <v xml:space="preserve"> </v>
      </c>
    </row>
    <row r="237" spans="1:15" x14ac:dyDescent="0.3">
      <c r="A237" s="1">
        <v>1559</v>
      </c>
      <c r="B237" s="1">
        <v>0</v>
      </c>
      <c r="C237" s="1" t="str">
        <f>IF(B237=0,VLOOKUP(A237,Feuil2!$A$2:$M$1241,2,FALSE)," ")</f>
        <v>BEN KHELIFA</v>
      </c>
      <c r="D237" s="1" t="str">
        <f>IF(B237=0,VLOOKUP(A237,Feuil2!$A$2:$M$1241,3,FALSE)," ")</f>
        <v>MED FREDJ</v>
      </c>
      <c r="E237" s="5">
        <f>IF(B237=0,VLOOKUP(A237,Feuil2!$A$2:$M$1241,6,FALSE)," ")</f>
        <v>27107</v>
      </c>
      <c r="F237" s="1" t="str">
        <f>IF(B237=0,VLOOKUP(A237,Feuil2!$A$2:$M$1241,12,FALSE)," ")</f>
        <v>H</v>
      </c>
      <c r="G237" s="1" t="str">
        <f>IF(B237=0,VLOOKUP(A237,Feuil2!$A$2:$M$1241,11,FALSE)," ")</f>
        <v>M</v>
      </c>
      <c r="H237" s="1" t="s">
        <v>16</v>
      </c>
      <c r="I237" s="6">
        <f>IF(B237=0,VLOOKUP(A237,Feuil2!$A$2:$M$1241,7,FALSE)," ")</f>
        <v>5536880</v>
      </c>
      <c r="J237" s="1" t="str">
        <f>IF(B237=0,VLOOKUP(A237,Feuil2!$A$2:$M$1241,9,FALSE)," ")</f>
        <v>1 R Ibn Zaidoun</v>
      </c>
      <c r="K237" s="1" t="str">
        <f>IF(B237=0,VLOOKUP(A237,Feuil2!$A$2:$M$1241,10,FALSE)," ")</f>
        <v>Msaken 4070</v>
      </c>
      <c r="L237" s="1">
        <v>4070</v>
      </c>
      <c r="M237" s="1">
        <v>97225123</v>
      </c>
      <c r="N237" s="1"/>
      <c r="O237" s="8" t="str">
        <f>IF(B237=0,VLOOKUP(A237,Feuil2!$A$2:$M$1241,13,FALSE)," ")</f>
        <v>04204067404000634045</v>
      </c>
    </row>
    <row r="238" spans="1:15" x14ac:dyDescent="0.3">
      <c r="A238" s="1">
        <v>1559</v>
      </c>
      <c r="B238" s="1">
        <v>1</v>
      </c>
      <c r="C238" s="1" t="s">
        <v>563</v>
      </c>
      <c r="D238" s="1" t="s">
        <v>2373</v>
      </c>
      <c r="E238" s="5">
        <v>31217</v>
      </c>
      <c r="F238" s="1" t="s">
        <v>17</v>
      </c>
      <c r="G238" s="1" t="s">
        <v>15</v>
      </c>
      <c r="H238" s="1" t="s">
        <v>16</v>
      </c>
      <c r="I238" s="6" t="str">
        <f>IF(B238=0,VLOOKUP(A238,Feuil2!$A$2:$M$1241,7,FALSE)," ")</f>
        <v xml:space="preserve"> </v>
      </c>
      <c r="J238" s="1" t="str">
        <f>IF(B238=0,VLOOKUP(A238,Feuil2!$A$2:$M$1241,9,FALSE)," ")</f>
        <v xml:space="preserve"> </v>
      </c>
      <c r="K238" s="1" t="str">
        <f>IF(B238=0,VLOOKUP(A238,Feuil2!$A$2:$M$1241,10,FALSE)," ")</f>
        <v xml:space="preserve"> </v>
      </c>
      <c r="L238" s="1"/>
      <c r="M238" s="1"/>
      <c r="N238" s="1"/>
      <c r="O238" s="8" t="str">
        <f>IF(B238=0,VLOOKUP(A238,Feuil2!$A$2:$M$1241,13,FALSE)," ")</f>
        <v xml:space="preserve"> </v>
      </c>
    </row>
    <row r="239" spans="1:15" x14ac:dyDescent="0.3">
      <c r="A239" s="1">
        <v>1559</v>
      </c>
      <c r="B239" s="1">
        <v>2</v>
      </c>
      <c r="C239" s="1" t="s">
        <v>869</v>
      </c>
      <c r="D239" s="1" t="s">
        <v>402</v>
      </c>
      <c r="E239" s="5">
        <v>39972</v>
      </c>
      <c r="F239" s="1" t="s">
        <v>17</v>
      </c>
      <c r="G239" s="1" t="str">
        <f>IF(B239=0,VLOOKUP(A239,Feuil2!$A$2:$M$1241,11,FALSE)," ")</f>
        <v xml:space="preserve"> </v>
      </c>
      <c r="H239" s="1" t="s">
        <v>16</v>
      </c>
      <c r="I239" s="6" t="str">
        <f>IF(B239=0,VLOOKUP(A239,Feuil2!$A$2:$M$1241,7,FALSE)," ")</f>
        <v xml:space="preserve"> </v>
      </c>
      <c r="J239" s="1" t="str">
        <f>IF(B239=0,VLOOKUP(A239,Feuil2!$A$2:$M$1241,9,FALSE)," ")</f>
        <v xml:space="preserve"> </v>
      </c>
      <c r="K239" s="1" t="str">
        <f>IF(B239=0,VLOOKUP(A239,Feuil2!$A$2:$M$1241,10,FALSE)," ")</f>
        <v xml:space="preserve"> </v>
      </c>
      <c r="L239" s="1"/>
      <c r="M239" s="1"/>
      <c r="N239" s="1"/>
      <c r="O239" s="8" t="str">
        <f>IF(B239=0,VLOOKUP(A239,Feuil2!$A$2:$M$1241,13,FALSE)," ")</f>
        <v xml:space="preserve"> </v>
      </c>
    </row>
    <row r="240" spans="1:15" x14ac:dyDescent="0.3">
      <c r="A240" s="1">
        <v>1559</v>
      </c>
      <c r="B240" s="1">
        <v>3</v>
      </c>
      <c r="C240" s="1" t="s">
        <v>869</v>
      </c>
      <c r="D240" s="1" t="s">
        <v>230</v>
      </c>
      <c r="E240" s="5">
        <v>41091</v>
      </c>
      <c r="F240" s="1" t="s">
        <v>506</v>
      </c>
      <c r="G240" s="1" t="str">
        <f>IF(B240=0,VLOOKUP(A240,Feuil2!$A$2:$M$1241,11,FALSE)," ")</f>
        <v xml:space="preserve"> </v>
      </c>
      <c r="H240" s="1" t="s">
        <v>16</v>
      </c>
      <c r="I240" s="6" t="str">
        <f>IF(B240=0,VLOOKUP(A240,Feuil2!$A$2:$M$1241,7,FALSE)," ")</f>
        <v xml:space="preserve"> </v>
      </c>
      <c r="J240" s="1" t="str">
        <f>IF(B240=0,VLOOKUP(A240,Feuil2!$A$2:$M$1241,9,FALSE)," ")</f>
        <v xml:space="preserve"> </v>
      </c>
      <c r="K240" s="1" t="str">
        <f>IF(B240=0,VLOOKUP(A240,Feuil2!$A$2:$M$1241,10,FALSE)," ")</f>
        <v xml:space="preserve"> </v>
      </c>
      <c r="L240" s="1"/>
      <c r="M240" s="1"/>
      <c r="N240" s="1"/>
      <c r="O240" s="8" t="str">
        <f>IF(B240=0,VLOOKUP(A240,Feuil2!$A$2:$M$1241,13,FALSE)," ")</f>
        <v xml:space="preserve"> </v>
      </c>
    </row>
    <row r="241" spans="1:16" x14ac:dyDescent="0.3">
      <c r="A241" s="1">
        <v>1572</v>
      </c>
      <c r="B241" s="1">
        <v>0</v>
      </c>
      <c r="C241" s="1" t="str">
        <f>IF(B241=0,VLOOKUP(A241,Feuil2!$A$2:$M$1241,2,FALSE)," ")</f>
        <v>MIMOUNA</v>
      </c>
      <c r="D241" s="1" t="str">
        <f>IF(B241=0,VLOOKUP(A241,Feuil2!$A$2:$M$1241,3,FALSE)," ")</f>
        <v>MEHDI</v>
      </c>
      <c r="E241" s="5">
        <f>IF(B241=0,VLOOKUP(A241,Feuil2!$A$2:$M$1241,6,FALSE)," ")</f>
        <v>26781</v>
      </c>
      <c r="F241" s="1" t="str">
        <f>IF(B241=0,VLOOKUP(A241,Feuil2!$A$2:$M$1241,12,FALSE)," ")</f>
        <v>H</v>
      </c>
      <c r="G241" s="1" t="str">
        <f>IF(B241=0,VLOOKUP(A241,Feuil2!$A$2:$M$1241,11,FALSE)," ")</f>
        <v>M</v>
      </c>
      <c r="H241" s="1" t="s">
        <v>16</v>
      </c>
      <c r="I241" s="6">
        <f>IF(B241=0,VLOOKUP(A241,Feuil2!$A$2:$M$1241,7,FALSE)," ")</f>
        <v>5549827</v>
      </c>
      <c r="J241" s="1" t="str">
        <f>IF(B241=0,VLOOKUP(A241,Feuil2!$A$2:$M$1241,9,FALSE)," ")</f>
        <v>Rue Jammel</v>
      </c>
      <c r="K241" s="1" t="str">
        <f>IF(B241=0,VLOOKUP(A241,Feuil2!$A$2:$M$1241,10,FALSE)," ")</f>
        <v>Msaken 4070</v>
      </c>
      <c r="L241" s="1">
        <v>4070</v>
      </c>
      <c r="M241" s="1">
        <v>93854400</v>
      </c>
      <c r="N241" s="1"/>
      <c r="O241" s="8" t="str">
        <f>IF(B241=0,VLOOKUP(A241,Feuil2!$A$2:$M$1241,13,FALSE)," ")</f>
        <v>11020002157500878858</v>
      </c>
    </row>
    <row r="242" spans="1:16" x14ac:dyDescent="0.3">
      <c r="A242" s="1">
        <v>1572</v>
      </c>
      <c r="B242" s="1">
        <v>1</v>
      </c>
      <c r="C242" s="1" t="s">
        <v>2538</v>
      </c>
      <c r="D242" s="1" t="s">
        <v>2539</v>
      </c>
      <c r="E242" s="5">
        <v>28240</v>
      </c>
      <c r="F242" s="1" t="s">
        <v>17</v>
      </c>
      <c r="G242" s="1" t="s">
        <v>15</v>
      </c>
      <c r="H242" s="1" t="s">
        <v>16</v>
      </c>
      <c r="I242" s="6" t="str">
        <f>IF(B242=0,VLOOKUP(A242,Feuil2!$A$2:$M$1241,7,FALSE)," ")</f>
        <v xml:space="preserve"> </v>
      </c>
      <c r="J242" s="1" t="str">
        <f>IF(B242=0,VLOOKUP(A242,Feuil2!$A$2:$M$1241,9,FALSE)," ")</f>
        <v xml:space="preserve"> </v>
      </c>
      <c r="K242" s="1" t="str">
        <f>IF(B242=0,VLOOKUP(A242,Feuil2!$A$2:$M$1241,10,FALSE)," ")</f>
        <v xml:space="preserve"> </v>
      </c>
      <c r="L242" s="1"/>
      <c r="M242" s="1"/>
      <c r="N242" s="1"/>
      <c r="O242" s="8" t="str">
        <f>IF(B242=0,VLOOKUP(A242,Feuil2!$A$2:$M$1241,13,FALSE)," ")</f>
        <v xml:space="preserve"> </v>
      </c>
      <c r="P242" t="s">
        <v>2805</v>
      </c>
    </row>
    <row r="243" spans="1:16" x14ac:dyDescent="0.3">
      <c r="A243" s="1">
        <v>1572</v>
      </c>
      <c r="B243" s="1">
        <v>2</v>
      </c>
      <c r="C243" s="1" t="s">
        <v>376</v>
      </c>
      <c r="D243" s="1" t="s">
        <v>34</v>
      </c>
      <c r="E243" s="5">
        <v>40796</v>
      </c>
      <c r="F243" s="1" t="s">
        <v>506</v>
      </c>
      <c r="G243" s="1" t="str">
        <f>IF(B243=0,VLOOKUP(A243,Feuil2!$A$2:$M$1241,11,FALSE)," ")</f>
        <v xml:space="preserve"> </v>
      </c>
      <c r="H243" s="1" t="s">
        <v>16</v>
      </c>
      <c r="I243" s="6" t="str">
        <f>IF(B243=0,VLOOKUP(A243,Feuil2!$A$2:$M$1241,7,FALSE)," ")</f>
        <v xml:space="preserve"> </v>
      </c>
      <c r="J243" s="1" t="str">
        <f>IF(B243=0,VLOOKUP(A243,Feuil2!$A$2:$M$1241,9,FALSE)," ")</f>
        <v xml:space="preserve"> </v>
      </c>
      <c r="K243" s="1" t="str">
        <f>IF(B243=0,VLOOKUP(A243,Feuil2!$A$2:$M$1241,10,FALSE)," ")</f>
        <v xml:space="preserve"> </v>
      </c>
      <c r="L243" s="1"/>
      <c r="M243" s="1"/>
      <c r="N243" s="1"/>
      <c r="O243" s="8" t="str">
        <f>IF(B243=0,VLOOKUP(A243,Feuil2!$A$2:$M$1241,13,FALSE)," ")</f>
        <v xml:space="preserve"> </v>
      </c>
    </row>
    <row r="244" spans="1:16" x14ac:dyDescent="0.3">
      <c r="A244" s="1">
        <v>1572</v>
      </c>
      <c r="B244" s="1">
        <v>3</v>
      </c>
      <c r="C244" s="1" t="s">
        <v>376</v>
      </c>
      <c r="D244" s="1" t="s">
        <v>402</v>
      </c>
      <c r="E244" s="5">
        <v>41173</v>
      </c>
      <c r="F244" s="1" t="s">
        <v>17</v>
      </c>
      <c r="G244" s="1" t="str">
        <f>IF(B244=0,VLOOKUP(A244,Feuil2!$A$2:$M$1241,11,FALSE)," ")</f>
        <v xml:space="preserve"> </v>
      </c>
      <c r="H244" s="1" t="s">
        <v>16</v>
      </c>
      <c r="I244" s="6" t="str">
        <f>IF(B244=0,VLOOKUP(A244,Feuil2!$A$2:$M$1241,7,FALSE)," ")</f>
        <v xml:space="preserve"> </v>
      </c>
      <c r="J244" s="1" t="str">
        <f>IF(B244=0,VLOOKUP(A244,Feuil2!$A$2:$M$1241,9,FALSE)," ")</f>
        <v xml:space="preserve"> </v>
      </c>
      <c r="K244" s="1" t="str">
        <f>IF(B244=0,VLOOKUP(A244,Feuil2!$A$2:$M$1241,10,FALSE)," ")</f>
        <v xml:space="preserve"> </v>
      </c>
      <c r="L244" s="1"/>
      <c r="M244" s="1"/>
      <c r="N244" s="1"/>
      <c r="O244" s="8" t="str">
        <f>IF(B244=0,VLOOKUP(A244,Feuil2!$A$2:$M$1241,13,FALSE)," ")</f>
        <v xml:space="preserve"> </v>
      </c>
    </row>
    <row r="245" spans="1:16" x14ac:dyDescent="0.3">
      <c r="A245" s="1">
        <v>1573</v>
      </c>
      <c r="B245" s="1">
        <v>0</v>
      </c>
      <c r="C245" s="1" t="str">
        <f>IF(B245=0,VLOOKUP(A245,Feuil2!$A$2:$M$1241,2,FALSE)," ")</f>
        <v>SALLAH</v>
      </c>
      <c r="D245" s="1" t="str">
        <f>IF(B245=0,VLOOKUP(A245,Feuil2!$A$2:$M$1241,3,FALSE)," ")</f>
        <v>IMED</v>
      </c>
      <c r="E245" s="5">
        <f>IF(B245=0,VLOOKUP(A245,Feuil2!$A$2:$M$1241,6,FALSE)," ")</f>
        <v>26723</v>
      </c>
      <c r="F245" s="1" t="str">
        <f>IF(B245=0,VLOOKUP(A245,Feuil2!$A$2:$M$1241,12,FALSE)," ")</f>
        <v>H</v>
      </c>
      <c r="G245" s="1" t="str">
        <f>IF(B245=0,VLOOKUP(A245,Feuil2!$A$2:$M$1241,11,FALSE)," ")</f>
        <v>M</v>
      </c>
      <c r="H245" s="1" t="s">
        <v>16</v>
      </c>
      <c r="I245" s="6">
        <f>IF(B245=0,VLOOKUP(A245,Feuil2!$A$2:$M$1241,7,FALSE)," ")</f>
        <v>5525500</v>
      </c>
      <c r="J245" s="1" t="str">
        <f>IF(B245=0,VLOOKUP(A245,Feuil2!$A$2:$M$1241,9,FALSE)," ")</f>
        <v>4015 Borjine</v>
      </c>
      <c r="K245" s="1" t="str">
        <f>IF(B245=0,VLOOKUP(A245,Feuil2!$A$2:$M$1241,10,FALSE)," ")</f>
        <v>Borjine 4015</v>
      </c>
      <c r="L245" s="1">
        <v>4015</v>
      </c>
      <c r="M245" s="1">
        <v>96526210</v>
      </c>
      <c r="N245" s="1"/>
      <c r="O245" s="8" t="str">
        <f>IF(B245=0,VLOOKUP(A245,Feuil2!$A$2:$M$1241,13,FALSE)," ")</f>
        <v>04204067404000643163</v>
      </c>
    </row>
    <row r="246" spans="1:16" x14ac:dyDescent="0.3">
      <c r="A246" s="1">
        <v>1573</v>
      </c>
      <c r="B246" s="1">
        <v>1</v>
      </c>
      <c r="C246" s="1" t="s">
        <v>422</v>
      </c>
      <c r="D246" s="1" t="s">
        <v>2541</v>
      </c>
      <c r="E246" s="5">
        <v>29607</v>
      </c>
      <c r="F246" s="1" t="s">
        <v>17</v>
      </c>
      <c r="G246" s="1" t="s">
        <v>15</v>
      </c>
      <c r="H246" s="1" t="s">
        <v>16</v>
      </c>
      <c r="I246" s="6" t="str">
        <f>IF(B246=0,VLOOKUP(A246,Feuil2!$A$2:$M$1241,7,FALSE)," ")</f>
        <v xml:space="preserve"> </v>
      </c>
      <c r="J246" s="1" t="str">
        <f>IF(B246=0,VLOOKUP(A246,Feuil2!$A$2:$M$1241,9,FALSE)," ")</f>
        <v xml:space="preserve"> </v>
      </c>
      <c r="K246" s="1" t="str">
        <f>IF(B246=0,VLOOKUP(A246,Feuil2!$A$2:$M$1241,10,FALSE)," ")</f>
        <v xml:space="preserve"> </v>
      </c>
      <c r="L246" s="1"/>
      <c r="M246" s="1"/>
      <c r="N246" s="1"/>
      <c r="O246" s="8" t="str">
        <f>IF(B246=0,VLOOKUP(A246,Feuil2!$A$2:$M$1241,13,FALSE)," ")</f>
        <v xml:space="preserve"> </v>
      </c>
    </row>
    <row r="247" spans="1:16" x14ac:dyDescent="0.3">
      <c r="A247" s="1">
        <v>1573</v>
      </c>
      <c r="B247" s="1">
        <v>2</v>
      </c>
      <c r="C247" s="1" t="s">
        <v>422</v>
      </c>
      <c r="D247" s="1" t="s">
        <v>2475</v>
      </c>
      <c r="E247" s="5">
        <v>38183</v>
      </c>
      <c r="F247" s="1" t="s">
        <v>506</v>
      </c>
      <c r="G247" s="1" t="str">
        <f>IF(B247=0,VLOOKUP(A247,Feuil2!$A$2:$M$1241,11,FALSE)," ")</f>
        <v xml:space="preserve"> </v>
      </c>
      <c r="H247" s="1" t="s">
        <v>16</v>
      </c>
      <c r="I247" s="6" t="str">
        <f>IF(B247=0,VLOOKUP(A247,Feuil2!$A$2:$M$1241,7,FALSE)," ")</f>
        <v xml:space="preserve"> </v>
      </c>
      <c r="J247" s="1" t="str">
        <f>IF(B247=0,VLOOKUP(A247,Feuil2!$A$2:$M$1241,9,FALSE)," ")</f>
        <v xml:space="preserve"> </v>
      </c>
      <c r="K247" s="1" t="str">
        <f>IF(B247=0,VLOOKUP(A247,Feuil2!$A$2:$M$1241,10,FALSE)," ")</f>
        <v xml:space="preserve"> </v>
      </c>
      <c r="L247" s="1"/>
      <c r="M247" s="1"/>
      <c r="N247" s="1"/>
      <c r="O247" s="8" t="str">
        <f>IF(B247=0,VLOOKUP(A247,Feuil2!$A$2:$M$1241,13,FALSE)," ")</f>
        <v xml:space="preserve"> </v>
      </c>
    </row>
    <row r="248" spans="1:16" x14ac:dyDescent="0.3">
      <c r="A248" s="1">
        <v>1573</v>
      </c>
      <c r="B248" s="1">
        <v>3</v>
      </c>
      <c r="C248" s="1" t="s">
        <v>422</v>
      </c>
      <c r="D248" s="1" t="s">
        <v>287</v>
      </c>
      <c r="E248" s="5">
        <v>38623</v>
      </c>
      <c r="F248" s="1" t="s">
        <v>506</v>
      </c>
      <c r="G248" s="1" t="str">
        <f>IF(B248=0,VLOOKUP(A248,Feuil2!$A$2:$M$1241,11,FALSE)," ")</f>
        <v xml:space="preserve"> </v>
      </c>
      <c r="H248" s="1" t="s">
        <v>16</v>
      </c>
      <c r="I248" s="6" t="str">
        <f>IF(B248=0,VLOOKUP(A248,Feuil2!$A$2:$M$1241,7,FALSE)," ")</f>
        <v xml:space="preserve"> </v>
      </c>
      <c r="J248" s="1" t="str">
        <f>IF(B248=0,VLOOKUP(A248,Feuil2!$A$2:$M$1241,9,FALSE)," ")</f>
        <v xml:space="preserve"> </v>
      </c>
      <c r="K248" s="1" t="str">
        <f>IF(B248=0,VLOOKUP(A248,Feuil2!$A$2:$M$1241,10,FALSE)," ")</f>
        <v xml:space="preserve"> </v>
      </c>
      <c r="L248" s="1"/>
      <c r="M248" s="1"/>
      <c r="N248" s="1"/>
      <c r="O248" s="8" t="str">
        <f>IF(B248=0,VLOOKUP(A248,Feuil2!$A$2:$M$1241,13,FALSE)," ")</f>
        <v xml:space="preserve"> </v>
      </c>
    </row>
    <row r="249" spans="1:16" x14ac:dyDescent="0.3">
      <c r="A249" s="1">
        <v>1573</v>
      </c>
      <c r="B249" s="1">
        <v>4</v>
      </c>
      <c r="C249" s="1" t="s">
        <v>422</v>
      </c>
      <c r="D249" s="1" t="s">
        <v>2503</v>
      </c>
      <c r="E249" s="5">
        <v>39312</v>
      </c>
      <c r="F249" s="1" t="s">
        <v>506</v>
      </c>
      <c r="G249" s="1" t="str">
        <f>IF(B249=0,VLOOKUP(A249,Feuil2!$A$2:$M$1241,11,FALSE)," ")</f>
        <v xml:space="preserve"> </v>
      </c>
      <c r="H249" s="1" t="s">
        <v>16</v>
      </c>
      <c r="I249" s="6" t="str">
        <f>IF(B249=0,VLOOKUP(A249,Feuil2!$A$2:$M$1241,7,FALSE)," ")</f>
        <v xml:space="preserve"> </v>
      </c>
      <c r="J249" s="1" t="str">
        <f>IF(B249=0,VLOOKUP(A249,Feuil2!$A$2:$M$1241,9,FALSE)," ")</f>
        <v xml:space="preserve"> </v>
      </c>
      <c r="K249" s="1" t="str">
        <f>IF(B249=0,VLOOKUP(A249,Feuil2!$A$2:$M$1241,10,FALSE)," ")</f>
        <v xml:space="preserve"> </v>
      </c>
      <c r="L249" s="1"/>
      <c r="M249" s="1"/>
      <c r="N249" s="1"/>
      <c r="O249" s="8" t="str">
        <f>IF(B249=0,VLOOKUP(A249,Feuil2!$A$2:$M$1241,13,FALSE)," ")</f>
        <v xml:space="preserve"> </v>
      </c>
    </row>
    <row r="250" spans="1:16" x14ac:dyDescent="0.3">
      <c r="A250" s="1">
        <v>1591</v>
      </c>
      <c r="B250" s="1">
        <v>0</v>
      </c>
      <c r="C250" s="1" t="str">
        <f>IF(B250=0,VLOOKUP(A250,Feuil2!$A$2:$M$1241,2,FALSE)," ")</f>
        <v>BDAY</v>
      </c>
      <c r="D250" s="1" t="str">
        <f>IF(B250=0,VLOOKUP(A250,Feuil2!$A$2:$M$1241,3,FALSE)," ")</f>
        <v>KARIM</v>
      </c>
      <c r="E250" s="5">
        <f>IF(B250=0,VLOOKUP(A250,Feuil2!$A$2:$M$1241,6,FALSE)," ")</f>
        <v>26304</v>
      </c>
      <c r="F250" s="1" t="str">
        <f>IF(B250=0,VLOOKUP(A250,Feuil2!$A$2:$M$1241,12,FALSE)," ")</f>
        <v>H</v>
      </c>
      <c r="G250" s="1" t="str">
        <f>IF(B250=0,VLOOKUP(A250,Feuil2!$A$2:$M$1241,11,FALSE)," ")</f>
        <v>M</v>
      </c>
      <c r="H250" s="1" t="s">
        <v>16</v>
      </c>
      <c r="I250" s="6">
        <f>IF(B250=0,VLOOKUP(A250,Feuil2!$A$2:$M$1241,7,FALSE)," ")</f>
        <v>5524655</v>
      </c>
      <c r="J250" s="1" t="str">
        <f>IF(B250=0,VLOOKUP(A250,Feuil2!$A$2:$M$1241,9,FALSE)," ")</f>
        <v>75 Rue Rekeb</v>
      </c>
      <c r="K250" s="1" t="str">
        <f>IF(B250=0,VLOOKUP(A250,Feuil2!$A$2:$M$1241,10,FALSE)," ")</f>
        <v>Msaken 4070</v>
      </c>
      <c r="L250" s="1">
        <v>4070</v>
      </c>
      <c r="M250" s="1">
        <v>43303491</v>
      </c>
      <c r="N250" s="1"/>
      <c r="O250" s="8" t="str">
        <f>IF(B250=0,VLOOKUP(A250,Feuil2!$A$2:$M$1241,13,FALSE)," ")</f>
        <v>04204067000891208176</v>
      </c>
    </row>
    <row r="251" spans="1:16" x14ac:dyDescent="0.3">
      <c r="A251" s="1">
        <v>1591</v>
      </c>
      <c r="B251" s="1">
        <v>1</v>
      </c>
      <c r="C251" s="1" t="s">
        <v>2426</v>
      </c>
      <c r="D251" s="1" t="s">
        <v>2175</v>
      </c>
      <c r="E251" s="5">
        <v>27837</v>
      </c>
      <c r="F251" s="1" t="s">
        <v>17</v>
      </c>
      <c r="G251" s="1" t="s">
        <v>15</v>
      </c>
      <c r="H251" s="1" t="s">
        <v>16</v>
      </c>
      <c r="I251" s="6" t="str">
        <f>IF(B251=0,VLOOKUP(A251,Feuil2!$A$2:$M$1241,7,FALSE)," ")</f>
        <v xml:space="preserve"> </v>
      </c>
      <c r="J251" s="1" t="str">
        <f>IF(B251=0,VLOOKUP(A251,Feuil2!$A$2:$M$1241,9,FALSE)," ")</f>
        <v xml:space="preserve"> </v>
      </c>
      <c r="K251" s="1" t="str">
        <f>IF(B251=0,VLOOKUP(A251,Feuil2!$A$2:$M$1241,10,FALSE)," ")</f>
        <v xml:space="preserve"> </v>
      </c>
      <c r="L251" s="1"/>
      <c r="M251" s="1"/>
      <c r="N251" s="1"/>
      <c r="O251" s="8" t="str">
        <f>IF(B251=0,VLOOKUP(A251,Feuil2!$A$2:$M$1241,13,FALSE)," ")</f>
        <v xml:space="preserve"> </v>
      </c>
    </row>
    <row r="252" spans="1:16" x14ac:dyDescent="0.3">
      <c r="A252" s="1">
        <v>1591</v>
      </c>
      <c r="B252" s="1">
        <v>2</v>
      </c>
      <c r="C252" s="1" t="s">
        <v>252</v>
      </c>
      <c r="D252" s="1" t="s">
        <v>2427</v>
      </c>
      <c r="E252" s="5">
        <v>37249</v>
      </c>
      <c r="F252" s="1" t="s">
        <v>17</v>
      </c>
      <c r="G252" s="1" t="str">
        <f>IF(B252=0,VLOOKUP(A252,Feuil2!$A$2:$M$1241,11,FALSE)," ")</f>
        <v xml:space="preserve"> </v>
      </c>
      <c r="H252" s="1" t="s">
        <v>16</v>
      </c>
      <c r="I252" s="6" t="str">
        <f>IF(B252=0,VLOOKUP(A252,Feuil2!$A$2:$M$1241,7,FALSE)," ")</f>
        <v xml:space="preserve"> </v>
      </c>
      <c r="J252" s="1" t="str">
        <f>IF(B252=0,VLOOKUP(A252,Feuil2!$A$2:$M$1241,9,FALSE)," ")</f>
        <v xml:space="preserve"> </v>
      </c>
      <c r="K252" s="1" t="str">
        <f>IF(B252=0,VLOOKUP(A252,Feuil2!$A$2:$M$1241,10,FALSE)," ")</f>
        <v xml:space="preserve"> </v>
      </c>
      <c r="L252" s="1"/>
      <c r="M252" s="1"/>
      <c r="N252" s="1"/>
      <c r="O252" s="8" t="str">
        <f>IF(B252=0,VLOOKUP(A252,Feuil2!$A$2:$M$1241,13,FALSE)," ")</f>
        <v xml:space="preserve"> </v>
      </c>
    </row>
    <row r="253" spans="1:16" x14ac:dyDescent="0.3">
      <c r="A253" s="1">
        <v>1591</v>
      </c>
      <c r="B253" s="1">
        <v>3</v>
      </c>
      <c r="C253" s="1" t="s">
        <v>252</v>
      </c>
      <c r="D253" s="1" t="s">
        <v>2383</v>
      </c>
      <c r="E253" s="5">
        <v>37592</v>
      </c>
      <c r="F253" s="1" t="s">
        <v>17</v>
      </c>
      <c r="G253" s="1" t="str">
        <f>IF(B253=0,VLOOKUP(A253,Feuil2!$A$2:$M$1241,11,FALSE)," ")</f>
        <v xml:space="preserve"> </v>
      </c>
      <c r="H253" s="1" t="s">
        <v>16</v>
      </c>
      <c r="I253" s="6" t="str">
        <f>IF(B253=0,VLOOKUP(A253,Feuil2!$A$2:$M$1241,7,FALSE)," ")</f>
        <v xml:space="preserve"> </v>
      </c>
      <c r="J253" s="1" t="str">
        <f>IF(B253=0,VLOOKUP(A253,Feuil2!$A$2:$M$1241,9,FALSE)," ")</f>
        <v xml:space="preserve"> </v>
      </c>
      <c r="K253" s="1" t="str">
        <f>IF(B253=0,VLOOKUP(A253,Feuil2!$A$2:$M$1241,10,FALSE)," ")</f>
        <v xml:space="preserve"> </v>
      </c>
      <c r="L253" s="1"/>
      <c r="M253" s="1"/>
      <c r="N253" s="1"/>
      <c r="O253" s="8" t="str">
        <f>IF(B253=0,VLOOKUP(A253,Feuil2!$A$2:$M$1241,13,FALSE)," ")</f>
        <v xml:space="preserve"> </v>
      </c>
    </row>
    <row r="254" spans="1:16" x14ac:dyDescent="0.3">
      <c r="A254" s="1">
        <v>1591</v>
      </c>
      <c r="B254" s="1">
        <v>4</v>
      </c>
      <c r="C254" s="1" t="s">
        <v>252</v>
      </c>
      <c r="D254" s="1" t="s">
        <v>402</v>
      </c>
      <c r="E254" s="5">
        <v>40103</v>
      </c>
      <c r="F254" s="1" t="s">
        <v>17</v>
      </c>
      <c r="G254" s="1" t="str">
        <f>IF(B254=0,VLOOKUP(A254,Feuil2!$A$2:$M$1241,11,FALSE)," ")</f>
        <v xml:space="preserve"> </v>
      </c>
      <c r="H254" s="1" t="s">
        <v>16</v>
      </c>
      <c r="I254" s="6" t="str">
        <f>IF(B254=0,VLOOKUP(A254,Feuil2!$A$2:$M$1241,7,FALSE)," ")</f>
        <v xml:space="preserve"> </v>
      </c>
      <c r="J254" s="1" t="str">
        <f>IF(B254=0,VLOOKUP(A254,Feuil2!$A$2:$M$1241,9,FALSE)," ")</f>
        <v xml:space="preserve"> </v>
      </c>
      <c r="K254" s="1" t="str">
        <f>IF(B254=0,VLOOKUP(A254,Feuil2!$A$2:$M$1241,10,FALSE)," ")</f>
        <v xml:space="preserve"> </v>
      </c>
      <c r="L254" s="1"/>
      <c r="M254" s="1"/>
      <c r="N254" s="1"/>
      <c r="O254" s="8" t="str">
        <f>IF(B254=0,VLOOKUP(A254,Feuil2!$A$2:$M$1241,13,FALSE)," ")</f>
        <v xml:space="preserve"> </v>
      </c>
    </row>
    <row r="255" spans="1:16" x14ac:dyDescent="0.3">
      <c r="A255" s="1">
        <v>1591</v>
      </c>
      <c r="B255" s="1">
        <v>5</v>
      </c>
      <c r="C255" s="1" t="s">
        <v>252</v>
      </c>
      <c r="D255" s="1" t="s">
        <v>2428</v>
      </c>
      <c r="E255" s="5">
        <v>42014</v>
      </c>
      <c r="F255" s="1" t="s">
        <v>506</v>
      </c>
      <c r="G255" s="1" t="str">
        <f>IF(B255=0,VLOOKUP(A255,Feuil2!$A$2:$M$1241,11,FALSE)," ")</f>
        <v xml:space="preserve"> </v>
      </c>
      <c r="H255" s="1" t="s">
        <v>16</v>
      </c>
      <c r="I255" s="6" t="str">
        <f>IF(B255=0,VLOOKUP(A255,Feuil2!$A$2:$M$1241,7,FALSE)," ")</f>
        <v xml:space="preserve"> </v>
      </c>
      <c r="J255" s="1" t="str">
        <f>IF(B255=0,VLOOKUP(A255,Feuil2!$A$2:$M$1241,9,FALSE)," ")</f>
        <v xml:space="preserve"> </v>
      </c>
      <c r="K255" s="1" t="str">
        <f>IF(B255=0,VLOOKUP(A255,Feuil2!$A$2:$M$1241,10,FALSE)," ")</f>
        <v xml:space="preserve"> </v>
      </c>
      <c r="L255" s="1"/>
      <c r="M255" s="1"/>
      <c r="N255" s="1"/>
      <c r="O255" s="8" t="str">
        <f>IF(B255=0,VLOOKUP(A255,Feuil2!$A$2:$M$1241,13,FALSE)," ")</f>
        <v xml:space="preserve"> </v>
      </c>
    </row>
    <row r="256" spans="1:16" x14ac:dyDescent="0.3">
      <c r="A256" s="1">
        <v>1594</v>
      </c>
      <c r="B256" s="1">
        <v>0</v>
      </c>
      <c r="C256" s="1" t="str">
        <f>IF(B256=0,VLOOKUP(A256,Feuil2!$A$2:$M$1241,2,FALSE)," ")</f>
        <v>MKHININI</v>
      </c>
      <c r="D256" s="1" t="str">
        <f>IF(B256=0,VLOOKUP(A256,Feuil2!$A$2:$M$1241,3,FALSE)," ")</f>
        <v>HABIB</v>
      </c>
      <c r="E256" s="5">
        <f>IF(B256=0,VLOOKUP(A256,Feuil2!$A$2:$M$1241,6,FALSE)," ")</f>
        <v>26710</v>
      </c>
      <c r="F256" s="1" t="str">
        <f>IF(B256=0,VLOOKUP(A256,Feuil2!$A$2:$M$1241,12,FALSE)," ")</f>
        <v>H</v>
      </c>
      <c r="G256" s="1" t="str">
        <f>IF(B256=0,VLOOKUP(A256,Feuil2!$A$2:$M$1241,11,FALSE)," ")</f>
        <v>M</v>
      </c>
      <c r="H256" s="1" t="s">
        <v>16</v>
      </c>
      <c r="I256" s="6">
        <f>IF(B256=0,VLOOKUP(A256,Feuil2!$A$2:$M$1241,7,FALSE)," ")</f>
        <v>5526377</v>
      </c>
      <c r="J256" s="1" t="str">
        <f>IF(B256=0,VLOOKUP(A256,Feuil2!$A$2:$M$1241,9,FALSE)," ")</f>
        <v>21 Rue Salah Gragueb</v>
      </c>
      <c r="K256" s="1" t="str">
        <f>IF(B256=0,VLOOKUP(A256,Feuil2!$A$2:$M$1241,10,FALSE)," ")</f>
        <v>Msaken 4070</v>
      </c>
      <c r="L256" s="1">
        <v>4070</v>
      </c>
      <c r="M256" s="1">
        <v>26509795</v>
      </c>
      <c r="N256" s="1"/>
      <c r="O256" s="8" t="str">
        <f>IF(B256=0,VLOOKUP(A256,Feuil2!$A$2:$M$1241,13,FALSE)," ")</f>
        <v>04204067002718254295</v>
      </c>
    </row>
    <row r="257" spans="1:15" x14ac:dyDescent="0.3">
      <c r="A257" s="1">
        <v>1594</v>
      </c>
      <c r="B257" s="1">
        <v>1</v>
      </c>
      <c r="C257" s="1" t="s">
        <v>2471</v>
      </c>
      <c r="D257" s="1" t="s">
        <v>2175</v>
      </c>
      <c r="E257" s="5">
        <v>27108</v>
      </c>
      <c r="F257" s="1" t="s">
        <v>17</v>
      </c>
      <c r="G257" s="1" t="s">
        <v>15</v>
      </c>
      <c r="H257" s="1" t="s">
        <v>16</v>
      </c>
      <c r="I257" s="6" t="str">
        <f>IF(B257=0,VLOOKUP(A257,Feuil2!$A$2:$M$1241,7,FALSE)," ")</f>
        <v xml:space="preserve"> </v>
      </c>
      <c r="J257" s="1" t="str">
        <f>IF(B257=0,VLOOKUP(A257,Feuil2!$A$2:$M$1241,9,FALSE)," ")</f>
        <v xml:space="preserve"> </v>
      </c>
      <c r="K257" s="1" t="str">
        <f>IF(B257=0,VLOOKUP(A257,Feuil2!$A$2:$M$1241,10,FALSE)," ")</f>
        <v xml:space="preserve"> </v>
      </c>
      <c r="L257" s="1"/>
      <c r="M257" s="1"/>
      <c r="N257" s="1"/>
      <c r="O257" s="8" t="str">
        <f>IF(B257=0,VLOOKUP(A257,Feuil2!$A$2:$M$1241,13,FALSE)," ")</f>
        <v xml:space="preserve"> </v>
      </c>
    </row>
    <row r="258" spans="1:15" x14ac:dyDescent="0.3">
      <c r="A258" s="1">
        <v>1597</v>
      </c>
      <c r="B258" s="1">
        <v>0</v>
      </c>
      <c r="C258" s="1" t="str">
        <f>IF(B258=0,VLOOKUP(A258,Feuil2!$A$2:$M$1241,2,FALSE)," ")</f>
        <v>AMARA</v>
      </c>
      <c r="D258" s="1" t="str">
        <f>IF(B258=0,VLOOKUP(A258,Feuil2!$A$2:$M$1241,3,FALSE)," ")</f>
        <v>KARIM</v>
      </c>
      <c r="E258" s="5">
        <f>IF(B258=0,VLOOKUP(A258,Feuil2!$A$2:$M$1241,6,FALSE)," ")</f>
        <v>27398</v>
      </c>
      <c r="F258" s="1" t="str">
        <f>IF(B258=0,VLOOKUP(A258,Feuil2!$A$2:$M$1241,12,FALSE)," ")</f>
        <v>H</v>
      </c>
      <c r="G258" s="1" t="str">
        <f>IF(B258=0,VLOOKUP(A258,Feuil2!$A$2:$M$1241,11,FALSE)," ")</f>
        <v>M</v>
      </c>
      <c r="H258" s="1" t="s">
        <v>16</v>
      </c>
      <c r="I258" s="6">
        <f>IF(B258=0,VLOOKUP(A258,Feuil2!$A$2:$M$1241,7,FALSE)," ")</f>
        <v>5541522</v>
      </c>
      <c r="J258" s="1" t="str">
        <f>IF(B258=0,VLOOKUP(A258,Feuil2!$A$2:$M$1241,9,FALSE)," ")</f>
        <v>156 Rue Mohamed Ali</v>
      </c>
      <c r="K258" s="1" t="str">
        <f>IF(B258=0,VLOOKUP(A258,Feuil2!$A$2:$M$1241,10,FALSE)," ")</f>
        <v>Msaken 4070</v>
      </c>
      <c r="L258" s="1">
        <v>4070</v>
      </c>
      <c r="M258" s="1">
        <v>98483017</v>
      </c>
      <c r="N258" s="1"/>
      <c r="O258" s="10" t="s">
        <v>2359</v>
      </c>
    </row>
    <row r="259" spans="1:15" x14ac:dyDescent="0.3">
      <c r="A259" s="1">
        <v>1597</v>
      </c>
      <c r="B259" s="1">
        <v>1</v>
      </c>
      <c r="C259" s="1" t="s">
        <v>268</v>
      </c>
      <c r="D259" s="1" t="s">
        <v>439</v>
      </c>
      <c r="E259" s="5">
        <v>32073</v>
      </c>
      <c r="F259" s="1" t="s">
        <v>17</v>
      </c>
      <c r="G259" s="1" t="s">
        <v>15</v>
      </c>
      <c r="H259" s="1" t="s">
        <v>16</v>
      </c>
      <c r="I259" s="6" t="str">
        <f>IF(B259=0,VLOOKUP(A259,Feuil2!$A$2:$M$1241,7,FALSE)," ")</f>
        <v xml:space="preserve"> </v>
      </c>
      <c r="J259" s="1" t="str">
        <f>IF(B259=0,VLOOKUP(A259,Feuil2!$A$2:$M$1241,9,FALSE)," ")</f>
        <v xml:space="preserve"> </v>
      </c>
      <c r="K259" s="1" t="str">
        <f>IF(B259=0,VLOOKUP(A259,Feuil2!$A$2:$M$1241,10,FALSE)," ")</f>
        <v xml:space="preserve"> </v>
      </c>
      <c r="L259" s="1"/>
      <c r="M259" s="1"/>
      <c r="N259" s="1"/>
      <c r="O259" s="8" t="str">
        <f>IF(B259=0,VLOOKUP(A259,Feuil2!$A$2:$M$1241,13,FALSE)," ")</f>
        <v xml:space="preserve"> </v>
      </c>
    </row>
    <row r="260" spans="1:15" x14ac:dyDescent="0.3">
      <c r="A260" s="1">
        <v>1597</v>
      </c>
      <c r="B260" s="1">
        <v>2</v>
      </c>
      <c r="C260" s="1" t="s">
        <v>163</v>
      </c>
      <c r="D260" s="1" t="s">
        <v>235</v>
      </c>
      <c r="E260" s="5">
        <v>38878</v>
      </c>
      <c r="F260" s="1" t="s">
        <v>506</v>
      </c>
      <c r="G260" s="1" t="str">
        <f>IF(B260=0,VLOOKUP(A260,Feuil2!$A$2:$M$1241,11,FALSE)," ")</f>
        <v xml:space="preserve"> </v>
      </c>
      <c r="H260" s="1" t="s">
        <v>16</v>
      </c>
      <c r="I260" s="6" t="str">
        <f>IF(B260=0,VLOOKUP(A260,Feuil2!$A$2:$M$1241,7,FALSE)," ")</f>
        <v xml:space="preserve"> </v>
      </c>
      <c r="J260" s="1" t="str">
        <f>IF(B260=0,VLOOKUP(A260,Feuil2!$A$2:$M$1241,9,FALSE)," ")</f>
        <v xml:space="preserve"> </v>
      </c>
      <c r="K260" s="1" t="str">
        <f>IF(B260=0,VLOOKUP(A260,Feuil2!$A$2:$M$1241,10,FALSE)," ")</f>
        <v xml:space="preserve"> </v>
      </c>
      <c r="L260" s="1"/>
      <c r="M260" s="1"/>
      <c r="N260" s="1"/>
      <c r="O260" s="8" t="str">
        <f>IF(B260=0,VLOOKUP(A260,Feuil2!$A$2:$M$1241,13,FALSE)," ")</f>
        <v xml:space="preserve"> </v>
      </c>
    </row>
    <row r="261" spans="1:15" x14ac:dyDescent="0.3">
      <c r="A261" s="1">
        <v>1597</v>
      </c>
      <c r="B261" s="1">
        <v>3</v>
      </c>
      <c r="C261" s="1" t="s">
        <v>163</v>
      </c>
      <c r="D261" s="1" t="s">
        <v>122</v>
      </c>
      <c r="E261" s="5">
        <v>39861</v>
      </c>
      <c r="F261" s="1" t="s">
        <v>506</v>
      </c>
      <c r="G261" s="1" t="str">
        <f>IF(B261=0,VLOOKUP(A261,Feuil2!$A$2:$M$1241,11,FALSE)," ")</f>
        <v xml:space="preserve"> </v>
      </c>
      <c r="H261" s="1" t="s">
        <v>16</v>
      </c>
      <c r="I261" s="6" t="str">
        <f>IF(B261=0,VLOOKUP(A261,Feuil2!$A$2:$M$1241,7,FALSE)," ")</f>
        <v xml:space="preserve"> </v>
      </c>
      <c r="J261" s="1" t="str">
        <f>IF(B261=0,VLOOKUP(A261,Feuil2!$A$2:$M$1241,9,FALSE)," ")</f>
        <v xml:space="preserve"> </v>
      </c>
      <c r="K261" s="1" t="str">
        <f>IF(B261=0,VLOOKUP(A261,Feuil2!$A$2:$M$1241,10,FALSE)," ")</f>
        <v xml:space="preserve"> </v>
      </c>
      <c r="L261" s="1"/>
      <c r="M261" s="1"/>
      <c r="N261" s="1"/>
      <c r="O261" s="8" t="str">
        <f>IF(B261=0,VLOOKUP(A261,Feuil2!$A$2:$M$1241,13,FALSE)," ")</f>
        <v xml:space="preserve"> </v>
      </c>
    </row>
    <row r="262" spans="1:15" x14ac:dyDescent="0.3">
      <c r="A262" s="1">
        <v>1597</v>
      </c>
      <c r="B262" s="1">
        <v>4</v>
      </c>
      <c r="C262" s="1" t="s">
        <v>163</v>
      </c>
      <c r="D262" s="1" t="s">
        <v>2338</v>
      </c>
      <c r="E262" s="5">
        <v>41123</v>
      </c>
      <c r="F262" s="1" t="s">
        <v>17</v>
      </c>
      <c r="G262" s="1" t="str">
        <f>IF(B262=0,VLOOKUP(A262,Feuil2!$A$2:$M$1241,11,FALSE)," ")</f>
        <v xml:space="preserve"> </v>
      </c>
      <c r="H262" s="1" t="s">
        <v>16</v>
      </c>
      <c r="I262" s="6" t="str">
        <f>IF(B262=0,VLOOKUP(A262,Feuil2!$A$2:$M$1241,7,FALSE)," ")</f>
        <v xml:space="preserve"> </v>
      </c>
      <c r="J262" s="1" t="str">
        <f>IF(B262=0,VLOOKUP(A262,Feuil2!$A$2:$M$1241,9,FALSE)," ")</f>
        <v xml:space="preserve"> </v>
      </c>
      <c r="K262" s="1" t="str">
        <f>IF(B262=0,VLOOKUP(A262,Feuil2!$A$2:$M$1241,10,FALSE)," ")</f>
        <v xml:space="preserve"> </v>
      </c>
      <c r="L262" s="1"/>
      <c r="M262" s="1"/>
      <c r="N262" s="1"/>
      <c r="O262" s="8" t="str">
        <f>IF(B262=0,VLOOKUP(A262,Feuil2!$A$2:$M$1241,13,FALSE)," ")</f>
        <v xml:space="preserve"> </v>
      </c>
    </row>
    <row r="263" spans="1:15" x14ac:dyDescent="0.3">
      <c r="A263" s="1">
        <v>1597</v>
      </c>
      <c r="B263" s="1">
        <v>5</v>
      </c>
      <c r="C263" s="1" t="s">
        <v>163</v>
      </c>
      <c r="D263" s="1" t="s">
        <v>2358</v>
      </c>
      <c r="E263" s="5">
        <v>42901</v>
      </c>
      <c r="F263" s="1" t="s">
        <v>17</v>
      </c>
      <c r="G263" s="1" t="str">
        <f>IF(B263=0,VLOOKUP(A263,Feuil2!$A$2:$M$1241,11,FALSE)," ")</f>
        <v xml:space="preserve"> </v>
      </c>
      <c r="H263" s="1" t="s">
        <v>16</v>
      </c>
      <c r="I263" s="6" t="str">
        <f>IF(B263=0,VLOOKUP(A263,Feuil2!$A$2:$M$1241,7,FALSE)," ")</f>
        <v xml:space="preserve"> </v>
      </c>
      <c r="J263" s="1" t="str">
        <f>IF(B263=0,VLOOKUP(A263,Feuil2!$A$2:$M$1241,9,FALSE)," ")</f>
        <v xml:space="preserve"> </v>
      </c>
      <c r="K263" s="1" t="str">
        <f>IF(B263=0,VLOOKUP(A263,Feuil2!$A$2:$M$1241,10,FALSE)," ")</f>
        <v xml:space="preserve"> </v>
      </c>
      <c r="L263" s="1"/>
      <c r="M263" s="1"/>
      <c r="N263" s="1"/>
      <c r="O263" s="8" t="str">
        <f>IF(B263=0,VLOOKUP(A263,Feuil2!$A$2:$M$1241,13,FALSE)," ")</f>
        <v xml:space="preserve"> </v>
      </c>
    </row>
    <row r="264" spans="1:15" x14ac:dyDescent="0.3">
      <c r="A264" s="1">
        <v>1598</v>
      </c>
      <c r="B264" s="1">
        <v>0</v>
      </c>
      <c r="C264" s="1" t="str">
        <f>IF(B264=0,VLOOKUP(A264,Feuil2!$A$2:$M$1241,2,FALSE)," ")</f>
        <v>SOUILEM</v>
      </c>
      <c r="D264" s="1" t="str">
        <f>IF(B264=0,VLOOKUP(A264,Feuil2!$A$2:$M$1241,3,FALSE)," ")</f>
        <v>FAKER</v>
      </c>
      <c r="E264" s="5">
        <f>IF(B264=0,VLOOKUP(A264,Feuil2!$A$2:$M$1241,6,FALSE)," ")</f>
        <v>26314</v>
      </c>
      <c r="F264" s="1" t="str">
        <f>IF(B264=0,VLOOKUP(A264,Feuil2!$A$2:$M$1241,12,FALSE)," ")</f>
        <v>H</v>
      </c>
      <c r="G264" s="1" t="str">
        <f>IF(B264=0,VLOOKUP(A264,Feuil2!$A$2:$M$1241,11,FALSE)," ")</f>
        <v>M</v>
      </c>
      <c r="H264" s="1" t="s">
        <v>16</v>
      </c>
      <c r="I264" s="6">
        <f>IF(B264=0,VLOOKUP(A264,Feuil2!$A$2:$M$1241,7,FALSE)," ")</f>
        <v>5514480</v>
      </c>
      <c r="J264" s="1" t="str">
        <f>IF(B264=0,VLOOKUP(A264,Feuil2!$A$2:$M$1241,9,FALSE)," ")</f>
        <v>Rue 20 Mars</v>
      </c>
      <c r="K264" s="1" t="str">
        <f>IF(B264=0,VLOOKUP(A264,Feuil2!$A$2:$M$1241,10,FALSE)," ")</f>
        <v>Kalaa Kebira</v>
      </c>
      <c r="L264" s="1"/>
      <c r="M264" s="1">
        <v>98793672</v>
      </c>
      <c r="N264" s="1"/>
      <c r="O264" s="8" t="str">
        <f>IF(B264=0,VLOOKUP(A264,Feuil2!$A$2:$M$1241,13,FALSE)," ")</f>
        <v>05015000086501197090</v>
      </c>
    </row>
    <row r="265" spans="1:15" x14ac:dyDescent="0.3">
      <c r="A265" s="1">
        <v>1598</v>
      </c>
      <c r="B265" s="1">
        <v>1</v>
      </c>
      <c r="C265" s="1" t="s">
        <v>2433</v>
      </c>
      <c r="D265" s="1" t="s">
        <v>1301</v>
      </c>
      <c r="E265" s="5">
        <v>27139</v>
      </c>
      <c r="F265" s="1" t="s">
        <v>17</v>
      </c>
      <c r="G265" s="1" t="s">
        <v>15</v>
      </c>
      <c r="H265" s="1" t="s">
        <v>16</v>
      </c>
      <c r="I265" s="6" t="str">
        <f>IF(B265=0,VLOOKUP(A265,Feuil2!$A$2:$M$1241,7,FALSE)," ")</f>
        <v xml:space="preserve"> </v>
      </c>
      <c r="J265" s="1" t="str">
        <f>IF(B265=0,VLOOKUP(A265,Feuil2!$A$2:$M$1241,9,FALSE)," ")</f>
        <v xml:space="preserve"> </v>
      </c>
      <c r="K265" s="1" t="str">
        <f>IF(B265=0,VLOOKUP(A265,Feuil2!$A$2:$M$1241,10,FALSE)," ")</f>
        <v xml:space="preserve"> </v>
      </c>
      <c r="L265" s="1"/>
      <c r="M265" s="1"/>
      <c r="N265" s="1"/>
      <c r="O265" s="8" t="str">
        <f>IF(B265=0,VLOOKUP(A265,Feuil2!$A$2:$M$1241,13,FALSE)," ")</f>
        <v xml:space="preserve"> </v>
      </c>
    </row>
    <row r="266" spans="1:15" x14ac:dyDescent="0.3">
      <c r="A266" s="1">
        <v>1598</v>
      </c>
      <c r="B266" s="1">
        <v>2</v>
      </c>
      <c r="C266" s="1" t="s">
        <v>253</v>
      </c>
      <c r="D266" s="1" t="s">
        <v>2335</v>
      </c>
      <c r="E266" s="5">
        <v>37703</v>
      </c>
      <c r="F266" s="1" t="s">
        <v>506</v>
      </c>
      <c r="G266" s="1" t="str">
        <f>IF(B266=0,VLOOKUP(A266,Feuil2!$A$2:$M$1241,11,FALSE)," ")</f>
        <v xml:space="preserve"> </v>
      </c>
      <c r="H266" s="1" t="s">
        <v>16</v>
      </c>
      <c r="I266" s="6" t="str">
        <f>IF(B266=0,VLOOKUP(A266,Feuil2!$A$2:$M$1241,7,FALSE)," ")</f>
        <v xml:space="preserve"> </v>
      </c>
      <c r="J266" s="1" t="str">
        <f>IF(B266=0,VLOOKUP(A266,Feuil2!$A$2:$M$1241,9,FALSE)," ")</f>
        <v xml:space="preserve"> </v>
      </c>
      <c r="K266" s="1" t="str">
        <f>IF(B266=0,VLOOKUP(A266,Feuil2!$A$2:$M$1241,10,FALSE)," ")</f>
        <v xml:space="preserve"> </v>
      </c>
      <c r="L266" s="1"/>
      <c r="M266" s="1"/>
      <c r="N266" s="1"/>
      <c r="O266" s="8" t="str">
        <f>IF(B266=0,VLOOKUP(A266,Feuil2!$A$2:$M$1241,13,FALSE)," ")</f>
        <v xml:space="preserve"> </v>
      </c>
    </row>
    <row r="267" spans="1:15" x14ac:dyDescent="0.3">
      <c r="A267" s="1">
        <v>1598</v>
      </c>
      <c r="B267" s="1">
        <v>3</v>
      </c>
      <c r="C267" s="1" t="s">
        <v>253</v>
      </c>
      <c r="D267" s="1" t="s">
        <v>2434</v>
      </c>
      <c r="E267" s="5">
        <v>38715</v>
      </c>
      <c r="F267" s="1" t="s">
        <v>506</v>
      </c>
      <c r="G267" s="1" t="str">
        <f>IF(B267=0,VLOOKUP(A267,Feuil2!$A$2:$M$1241,11,FALSE)," ")</f>
        <v xml:space="preserve"> </v>
      </c>
      <c r="H267" s="1" t="s">
        <v>16</v>
      </c>
      <c r="I267" s="6" t="str">
        <f>IF(B267=0,VLOOKUP(A267,Feuil2!$A$2:$M$1241,7,FALSE)," ")</f>
        <v xml:space="preserve"> </v>
      </c>
      <c r="J267" s="1" t="str">
        <f>IF(B267=0,VLOOKUP(A267,Feuil2!$A$2:$M$1241,9,FALSE)," ")</f>
        <v xml:space="preserve"> </v>
      </c>
      <c r="K267" s="1" t="str">
        <f>IF(B267=0,VLOOKUP(A267,Feuil2!$A$2:$M$1241,10,FALSE)," ")</f>
        <v xml:space="preserve"> </v>
      </c>
      <c r="L267" s="1"/>
      <c r="M267" s="1"/>
      <c r="N267" s="1"/>
      <c r="O267" s="8" t="str">
        <f>IF(B267=0,VLOOKUP(A267,Feuil2!$A$2:$M$1241,13,FALSE)," ")</f>
        <v xml:space="preserve"> </v>
      </c>
    </row>
    <row r="268" spans="1:15" x14ac:dyDescent="0.3">
      <c r="A268" s="1">
        <v>1598</v>
      </c>
      <c r="B268" s="1">
        <v>4</v>
      </c>
      <c r="C268" s="1" t="s">
        <v>253</v>
      </c>
      <c r="D268" s="1" t="s">
        <v>2060</v>
      </c>
      <c r="E268" s="5">
        <v>39694</v>
      </c>
      <c r="F268" s="1" t="s">
        <v>17</v>
      </c>
      <c r="G268" s="1" t="str">
        <f>IF(B268=0,VLOOKUP(A268,Feuil2!$A$2:$M$1241,11,FALSE)," ")</f>
        <v xml:space="preserve"> </v>
      </c>
      <c r="H268" s="1" t="s">
        <v>16</v>
      </c>
      <c r="I268" s="6" t="str">
        <f>IF(B268=0,VLOOKUP(A268,Feuil2!$A$2:$M$1241,7,FALSE)," ")</f>
        <v xml:space="preserve"> </v>
      </c>
      <c r="J268" s="1" t="str">
        <f>IF(B268=0,VLOOKUP(A268,Feuil2!$A$2:$M$1241,9,FALSE)," ")</f>
        <v xml:space="preserve"> </v>
      </c>
      <c r="K268" s="1" t="str">
        <f>IF(B268=0,VLOOKUP(A268,Feuil2!$A$2:$M$1241,10,FALSE)," ")</f>
        <v xml:space="preserve"> </v>
      </c>
      <c r="L268" s="1"/>
      <c r="M268" s="1"/>
      <c r="N268" s="1"/>
      <c r="O268" s="8" t="str">
        <f>IF(B268=0,VLOOKUP(A268,Feuil2!$A$2:$M$1241,13,FALSE)," ")</f>
        <v xml:space="preserve"> </v>
      </c>
    </row>
    <row r="269" spans="1:15" x14ac:dyDescent="0.3">
      <c r="A269" s="1">
        <v>1598</v>
      </c>
      <c r="B269" s="1">
        <v>5</v>
      </c>
      <c r="C269" s="1" t="s">
        <v>253</v>
      </c>
      <c r="D269" s="1" t="s">
        <v>2435</v>
      </c>
      <c r="E269" s="5">
        <v>42100</v>
      </c>
      <c r="F269" s="1" t="s">
        <v>17</v>
      </c>
      <c r="G269" s="1" t="str">
        <f>IF(B269=0,VLOOKUP(A269,Feuil2!$A$2:$M$1241,11,FALSE)," ")</f>
        <v xml:space="preserve"> </v>
      </c>
      <c r="H269" s="1" t="s">
        <v>16</v>
      </c>
      <c r="I269" s="6" t="str">
        <f>IF(B269=0,VLOOKUP(A269,Feuil2!$A$2:$M$1241,7,FALSE)," ")</f>
        <v xml:space="preserve"> </v>
      </c>
      <c r="J269" s="1" t="str">
        <f>IF(B269=0,VLOOKUP(A269,Feuil2!$A$2:$M$1241,9,FALSE)," ")</f>
        <v xml:space="preserve"> </v>
      </c>
      <c r="K269" s="1" t="str">
        <f>IF(B269=0,VLOOKUP(A269,Feuil2!$A$2:$M$1241,10,FALSE)," ")</f>
        <v xml:space="preserve"> </v>
      </c>
      <c r="L269" s="1"/>
      <c r="M269" s="1"/>
      <c r="N269" s="1"/>
      <c r="O269" s="8" t="str">
        <f>IF(B269=0,VLOOKUP(A269,Feuil2!$A$2:$M$1241,13,FALSE)," ")</f>
        <v xml:space="preserve"> </v>
      </c>
    </row>
    <row r="270" spans="1:15" x14ac:dyDescent="0.3">
      <c r="A270" s="17">
        <v>1599</v>
      </c>
      <c r="B270" s="17">
        <v>0</v>
      </c>
      <c r="C270" s="17" t="str">
        <f>IF(B270=0,VLOOKUP(A270,Feuil2!$A$2:$M$1241,2,FALSE)," ")</f>
        <v>CHANTOU JMEGUER</v>
      </c>
      <c r="D270" s="17" t="str">
        <f>IF(B270=0,VLOOKUP(A270,Feuil2!$A$2:$M$1241,3,FALSE)," ")</f>
        <v>ADEL</v>
      </c>
      <c r="E270" s="18">
        <f>IF(B270=0,VLOOKUP(A270,Feuil2!$A$2:$M$1241,6,FALSE)," ")</f>
        <v>26201</v>
      </c>
      <c r="F270" s="17" t="str">
        <f>IF(B270=0,VLOOKUP(A270,Feuil2!$A$2:$M$1241,12,FALSE)," ")</f>
        <v>H</v>
      </c>
      <c r="G270" s="17" t="str">
        <f>IF(B270=0,VLOOKUP(A270,Feuil2!$A$2:$M$1241,11,FALSE)," ")</f>
        <v>M</v>
      </c>
      <c r="H270" s="17" t="s">
        <v>16</v>
      </c>
      <c r="I270" s="19">
        <f>IF(B270=0,VLOOKUP(A270,Feuil2!$A$2:$M$1241,7,FALSE)," ")</f>
        <v>5508498</v>
      </c>
      <c r="J270" s="17" t="str">
        <f>IF(B270=0,VLOOKUP(A270,Feuil2!$A$2:$M$1241,9,FALSE)," ")</f>
        <v>5 Rue Omar Al Mokhtar</v>
      </c>
      <c r="K270" s="17" t="str">
        <f>IF(B270=0,VLOOKUP(A270,Feuil2!$A$2:$M$1241,10,FALSE)," ")</f>
        <v>Msaken 4070</v>
      </c>
      <c r="L270" s="17">
        <v>4070</v>
      </c>
      <c r="M270" s="17">
        <v>21964578</v>
      </c>
      <c r="N270" s="17"/>
      <c r="O270" s="20" t="str">
        <f>IF(B270=0,VLOOKUP(A270,Feuil2!$A$2:$M$1241,13,FALSE)," ")</f>
        <v>04204067404002116690</v>
      </c>
    </row>
    <row r="271" spans="1:15" x14ac:dyDescent="0.3">
      <c r="A271" s="1">
        <v>1599</v>
      </c>
      <c r="B271" s="1">
        <v>1</v>
      </c>
      <c r="C271" s="1" t="s">
        <v>2520</v>
      </c>
      <c r="D271" s="1" t="s">
        <v>746</v>
      </c>
      <c r="E271" s="5">
        <v>28177</v>
      </c>
      <c r="F271" s="1" t="s">
        <v>17</v>
      </c>
      <c r="G271" s="1" t="s">
        <v>15</v>
      </c>
      <c r="H271" s="1" t="s">
        <v>16</v>
      </c>
      <c r="I271" s="6" t="str">
        <f>IF(B271=0,VLOOKUP(A271,Feuil2!$A$2:$M$1241,7,FALSE)," ")</f>
        <v xml:space="preserve"> </v>
      </c>
      <c r="J271" s="1" t="str">
        <f>IF(B271=0,VLOOKUP(A271,Feuil2!$A$2:$M$1241,9,FALSE)," ")</f>
        <v xml:space="preserve"> </v>
      </c>
      <c r="K271" s="1" t="str">
        <f>IF(B271=0,VLOOKUP(A271,Feuil2!$A$2:$M$1241,10,FALSE)," ")</f>
        <v xml:space="preserve"> </v>
      </c>
      <c r="L271" s="1"/>
      <c r="M271" s="1"/>
      <c r="N271" s="1"/>
      <c r="O271" s="8" t="str">
        <f>IF(B271=0,VLOOKUP(A271,Feuil2!$A$2:$M$1241,13,FALSE)," ")</f>
        <v xml:space="preserve"> </v>
      </c>
    </row>
    <row r="272" spans="1:15" x14ac:dyDescent="0.3">
      <c r="A272" s="1">
        <v>1599</v>
      </c>
      <c r="B272" s="1">
        <v>2</v>
      </c>
      <c r="C272" s="1" t="s">
        <v>1483</v>
      </c>
      <c r="D272" s="1" t="s">
        <v>54</v>
      </c>
      <c r="E272" s="5">
        <v>38256</v>
      </c>
      <c r="F272" s="1" t="s">
        <v>17</v>
      </c>
      <c r="G272" s="1" t="str">
        <f>IF(B272=0,VLOOKUP(A272,Feuil2!$A$2:$M$1241,11,FALSE)," ")</f>
        <v xml:space="preserve"> </v>
      </c>
      <c r="H272" s="1" t="s">
        <v>16</v>
      </c>
      <c r="I272" s="6" t="str">
        <f>IF(B272=0,VLOOKUP(A272,Feuil2!$A$2:$M$1241,7,FALSE)," ")</f>
        <v xml:space="preserve"> </v>
      </c>
      <c r="J272" s="1" t="str">
        <f>IF(B272=0,VLOOKUP(A272,Feuil2!$A$2:$M$1241,9,FALSE)," ")</f>
        <v xml:space="preserve"> </v>
      </c>
      <c r="K272" s="1" t="str">
        <f>IF(B272=0,VLOOKUP(A272,Feuil2!$A$2:$M$1241,10,FALSE)," ")</f>
        <v xml:space="preserve"> </v>
      </c>
      <c r="L272" s="1"/>
      <c r="M272" s="1"/>
      <c r="N272" s="1"/>
      <c r="O272" s="8" t="str">
        <f>IF(B272=0,VLOOKUP(A272,Feuil2!$A$2:$M$1241,13,FALSE)," ")</f>
        <v xml:space="preserve"> </v>
      </c>
    </row>
    <row r="273" spans="1:16" x14ac:dyDescent="0.3">
      <c r="A273" s="1">
        <v>1599</v>
      </c>
      <c r="B273" s="1">
        <v>3</v>
      </c>
      <c r="C273" s="1" t="s">
        <v>1483</v>
      </c>
      <c r="D273" s="1" t="s">
        <v>107</v>
      </c>
      <c r="E273" s="5">
        <v>38959</v>
      </c>
      <c r="F273" s="1" t="s">
        <v>506</v>
      </c>
      <c r="G273" s="1" t="str">
        <f>IF(B273=0,VLOOKUP(A273,Feuil2!$A$2:$M$1241,11,FALSE)," ")</f>
        <v xml:space="preserve"> </v>
      </c>
      <c r="H273" s="1" t="s">
        <v>16</v>
      </c>
      <c r="I273" s="6" t="str">
        <f>IF(B273=0,VLOOKUP(A273,Feuil2!$A$2:$M$1241,7,FALSE)," ")</f>
        <v xml:space="preserve"> </v>
      </c>
      <c r="J273" s="1" t="str">
        <f>IF(B273=0,VLOOKUP(A273,Feuil2!$A$2:$M$1241,9,FALSE)," ")</f>
        <v xml:space="preserve"> </v>
      </c>
      <c r="K273" s="1" t="str">
        <f>IF(B273=0,VLOOKUP(A273,Feuil2!$A$2:$M$1241,10,FALSE)," ")</f>
        <v xml:space="preserve"> </v>
      </c>
      <c r="L273" s="1"/>
      <c r="M273" s="1"/>
      <c r="N273" s="1"/>
      <c r="O273" s="8" t="str">
        <f>IF(B273=0,VLOOKUP(A273,Feuil2!$A$2:$M$1241,13,FALSE)," ")</f>
        <v xml:space="preserve"> </v>
      </c>
    </row>
    <row r="274" spans="1:16" x14ac:dyDescent="0.3">
      <c r="A274" s="1">
        <v>1599</v>
      </c>
      <c r="B274" s="1">
        <v>4</v>
      </c>
      <c r="C274" s="1" t="s">
        <v>1483</v>
      </c>
      <c r="D274" s="1" t="s">
        <v>2521</v>
      </c>
      <c r="E274" s="5">
        <v>40063</v>
      </c>
      <c r="F274" s="1" t="s">
        <v>506</v>
      </c>
      <c r="G274" s="1" t="str">
        <f>IF(B274=0,VLOOKUP(A274,Feuil2!$A$2:$M$1241,11,FALSE)," ")</f>
        <v xml:space="preserve"> </v>
      </c>
      <c r="H274" s="1" t="s">
        <v>16</v>
      </c>
      <c r="I274" s="6" t="str">
        <f>IF(B274=0,VLOOKUP(A274,Feuil2!$A$2:$M$1241,7,FALSE)," ")</f>
        <v xml:space="preserve"> </v>
      </c>
      <c r="J274" s="1" t="str">
        <f>IF(B274=0,VLOOKUP(A274,Feuil2!$A$2:$M$1241,9,FALSE)," ")</f>
        <v xml:space="preserve"> </v>
      </c>
      <c r="K274" s="1" t="str">
        <f>IF(B274=0,VLOOKUP(A274,Feuil2!$A$2:$M$1241,10,FALSE)," ")</f>
        <v xml:space="preserve"> </v>
      </c>
      <c r="L274" s="1"/>
      <c r="M274" s="1"/>
      <c r="N274" s="1"/>
      <c r="O274" s="8" t="str">
        <f>IF(B274=0,VLOOKUP(A274,Feuil2!$A$2:$M$1241,13,FALSE)," ")</f>
        <v xml:space="preserve"> </v>
      </c>
    </row>
    <row r="275" spans="1:16" x14ac:dyDescent="0.3">
      <c r="A275" s="1">
        <v>1602</v>
      </c>
      <c r="B275" s="1">
        <v>0</v>
      </c>
      <c r="C275" s="1" t="str">
        <f>IF(B275=0,VLOOKUP(A275,Feuil2!$A$2:$M$1241,2,FALSE)," ")</f>
        <v>MAMIA</v>
      </c>
      <c r="D275" s="1" t="str">
        <f>IF(B275=0,VLOOKUP(A275,Feuil2!$A$2:$M$1241,3,FALSE)," ")</f>
        <v>RAMZI</v>
      </c>
      <c r="E275" s="5">
        <f>IF(B275=0,VLOOKUP(A275,Feuil2!$A$2:$M$1241,6,FALSE)," ")</f>
        <v>28367</v>
      </c>
      <c r="F275" s="1" t="str">
        <f>IF(B275=0,VLOOKUP(A275,Feuil2!$A$2:$M$1241,12,FALSE)," ")</f>
        <v>H</v>
      </c>
      <c r="G275" s="1" t="str">
        <f>IF(B275=0,VLOOKUP(A275,Feuil2!$A$2:$M$1241,11,FALSE)," ")</f>
        <v>M</v>
      </c>
      <c r="H275" s="1" t="s">
        <v>16</v>
      </c>
      <c r="I275" s="6">
        <f>IF(B275=0,VLOOKUP(A275,Feuil2!$A$2:$M$1241,7,FALSE)," ")</f>
        <v>5573108</v>
      </c>
      <c r="J275" s="1" t="str">
        <f>IF(B275=0,VLOOKUP(A275,Feuil2!$A$2:$M$1241,9,FALSE)," ")</f>
        <v>Garde Nationale</v>
      </c>
      <c r="K275" s="1" t="str">
        <f>IF(B275=0,VLOOKUP(A275,Feuil2!$A$2:$M$1241,10,FALSE)," ")</f>
        <v>Msaken 4070</v>
      </c>
      <c r="L275" s="1">
        <v>4070</v>
      </c>
      <c r="M275" s="1">
        <v>27070896</v>
      </c>
      <c r="N275" s="1"/>
      <c r="O275" s="10" t="s">
        <v>2452</v>
      </c>
    </row>
    <row r="276" spans="1:16" x14ac:dyDescent="0.3">
      <c r="A276" s="1">
        <v>1602</v>
      </c>
      <c r="B276" s="1">
        <v>1</v>
      </c>
      <c r="C276" s="1" t="s">
        <v>344</v>
      </c>
      <c r="D276" s="1" t="s">
        <v>2282</v>
      </c>
      <c r="E276" s="5">
        <v>29229</v>
      </c>
      <c r="F276" s="1" t="s">
        <v>17</v>
      </c>
      <c r="G276" s="1" t="s">
        <v>15</v>
      </c>
      <c r="H276" s="1" t="s">
        <v>16</v>
      </c>
      <c r="I276" s="6" t="str">
        <f>IF(B276=0,VLOOKUP(A276,Feuil2!$A$2:$M$1241,7,FALSE)," ")</f>
        <v xml:space="preserve"> </v>
      </c>
      <c r="J276" s="1" t="str">
        <f>IF(B276=0,VLOOKUP(A276,Feuil2!$A$2:$M$1241,9,FALSE)," ")</f>
        <v xml:space="preserve"> </v>
      </c>
      <c r="K276" s="1" t="str">
        <f>IF(B276=0,VLOOKUP(A276,Feuil2!$A$2:$M$1241,10,FALSE)," ")</f>
        <v xml:space="preserve"> </v>
      </c>
      <c r="L276" s="1"/>
      <c r="M276" s="1"/>
      <c r="N276" s="1"/>
      <c r="O276" s="8" t="str">
        <f>IF(B276=0,VLOOKUP(A276,Feuil2!$A$2:$M$1241,13,FALSE)," ")</f>
        <v xml:space="preserve"> </v>
      </c>
      <c r="P276" t="s">
        <v>2805</v>
      </c>
    </row>
    <row r="277" spans="1:16" x14ac:dyDescent="0.3">
      <c r="A277" s="1">
        <v>1602</v>
      </c>
      <c r="B277" s="1">
        <v>2</v>
      </c>
      <c r="C277" s="1" t="s">
        <v>165</v>
      </c>
      <c r="D277" s="1" t="s">
        <v>2451</v>
      </c>
      <c r="E277" s="5">
        <v>38903</v>
      </c>
      <c r="F277" s="1" t="s">
        <v>17</v>
      </c>
      <c r="G277" s="1" t="str">
        <f>IF(B277=0,VLOOKUP(A277,Feuil2!$A$2:$M$1241,11,FALSE)," ")</f>
        <v xml:space="preserve"> </v>
      </c>
      <c r="H277" s="1" t="s">
        <v>16</v>
      </c>
      <c r="I277" s="6" t="str">
        <f>IF(B277=0,VLOOKUP(A277,Feuil2!$A$2:$M$1241,7,FALSE)," ")</f>
        <v xml:space="preserve"> </v>
      </c>
      <c r="J277" s="1" t="str">
        <f>IF(B277=0,VLOOKUP(A277,Feuil2!$A$2:$M$1241,9,FALSE)," ")</f>
        <v xml:space="preserve"> </v>
      </c>
      <c r="K277" s="1" t="str">
        <f>IF(B277=0,VLOOKUP(A277,Feuil2!$A$2:$M$1241,10,FALSE)," ")</f>
        <v xml:space="preserve"> </v>
      </c>
      <c r="L277" s="1"/>
      <c r="M277" s="1"/>
      <c r="N277" s="1"/>
      <c r="O277" s="8" t="str">
        <f>IF(B277=0,VLOOKUP(A277,Feuil2!$A$2:$M$1241,13,FALSE)," ")</f>
        <v xml:space="preserve"> </v>
      </c>
    </row>
    <row r="278" spans="1:16" x14ac:dyDescent="0.3">
      <c r="A278" s="1">
        <v>1602</v>
      </c>
      <c r="B278" s="1">
        <v>3</v>
      </c>
      <c r="C278" s="1" t="s">
        <v>165</v>
      </c>
      <c r="D278" s="1" t="s">
        <v>2338</v>
      </c>
      <c r="E278" s="5">
        <v>39499</v>
      </c>
      <c r="F278" s="1" t="s">
        <v>17</v>
      </c>
      <c r="G278" s="1" t="str">
        <f>IF(B278=0,VLOOKUP(A278,Feuil2!$A$2:$M$1241,11,FALSE)," ")</f>
        <v xml:space="preserve"> </v>
      </c>
      <c r="H278" s="1" t="s">
        <v>16</v>
      </c>
      <c r="I278" s="6" t="str">
        <f>IF(B278=0,VLOOKUP(A278,Feuil2!$A$2:$M$1241,7,FALSE)," ")</f>
        <v xml:space="preserve"> </v>
      </c>
      <c r="J278" s="1" t="str">
        <f>IF(B278=0,VLOOKUP(A278,Feuil2!$A$2:$M$1241,9,FALSE)," ")</f>
        <v xml:space="preserve"> </v>
      </c>
      <c r="K278" s="1" t="str">
        <f>IF(B278=0,VLOOKUP(A278,Feuil2!$A$2:$M$1241,10,FALSE)," ")</f>
        <v xml:space="preserve"> </v>
      </c>
      <c r="L278" s="1"/>
      <c r="M278" s="1"/>
      <c r="N278" s="1"/>
      <c r="O278" s="8" t="str">
        <f>IF(B278=0,VLOOKUP(A278,Feuil2!$A$2:$M$1241,13,FALSE)," ")</f>
        <v xml:space="preserve"> </v>
      </c>
    </row>
    <row r="279" spans="1:16" x14ac:dyDescent="0.3">
      <c r="A279" s="1">
        <v>1602</v>
      </c>
      <c r="B279" s="1">
        <v>4</v>
      </c>
      <c r="C279" s="1" t="s">
        <v>165</v>
      </c>
      <c r="D279" s="1" t="s">
        <v>2367</v>
      </c>
      <c r="E279" s="5">
        <v>41917</v>
      </c>
      <c r="F279" s="1" t="s">
        <v>17</v>
      </c>
      <c r="G279" s="1" t="str">
        <f>IF(B279=0,VLOOKUP(A279,Feuil2!$A$2:$M$1241,11,FALSE)," ")</f>
        <v xml:space="preserve"> </v>
      </c>
      <c r="H279" s="1" t="s">
        <v>16</v>
      </c>
      <c r="I279" s="6" t="str">
        <f>IF(B279=0,VLOOKUP(A279,Feuil2!$A$2:$M$1241,7,FALSE)," ")</f>
        <v xml:space="preserve"> </v>
      </c>
      <c r="J279" s="1" t="str">
        <f>IF(B279=0,VLOOKUP(A279,Feuil2!$A$2:$M$1241,9,FALSE)," ")</f>
        <v xml:space="preserve"> </v>
      </c>
      <c r="K279" s="1" t="str">
        <f>IF(B279=0,VLOOKUP(A279,Feuil2!$A$2:$M$1241,10,FALSE)," ")</f>
        <v xml:space="preserve"> </v>
      </c>
      <c r="L279" s="1"/>
      <c r="M279" s="1"/>
      <c r="N279" s="1"/>
      <c r="O279" s="8" t="str">
        <f>IF(B279=0,VLOOKUP(A279,Feuil2!$A$2:$M$1241,13,FALSE)," ")</f>
        <v xml:space="preserve"> </v>
      </c>
    </row>
    <row r="280" spans="1:16" x14ac:dyDescent="0.3">
      <c r="A280" s="1">
        <v>1616</v>
      </c>
      <c r="B280" s="1">
        <v>0</v>
      </c>
      <c r="C280" s="1" t="str">
        <f>IF(B280=0,VLOOKUP(A280,Feuil2!$A$2:$M$1241,2,FALSE)," ")</f>
        <v>MOUSSA</v>
      </c>
      <c r="D280" s="1" t="str">
        <f>IF(B280=0,VLOOKUP(A280,Feuil2!$A$2:$M$1241,3,FALSE)," ")</f>
        <v>FETHI</v>
      </c>
      <c r="E280" s="5">
        <f>IF(B280=0,VLOOKUP(A280,Feuil2!$A$2:$M$1241,6,FALSE)," ")</f>
        <v>24133</v>
      </c>
      <c r="F280" s="1" t="str">
        <f>IF(B280=0,VLOOKUP(A280,Feuil2!$A$2:$M$1241,12,FALSE)," ")</f>
        <v>H</v>
      </c>
      <c r="G280" s="1" t="str">
        <f>IF(B280=0,VLOOKUP(A280,Feuil2!$A$2:$M$1241,11,FALSE)," ")</f>
        <v>M</v>
      </c>
      <c r="H280" s="1" t="s">
        <v>16</v>
      </c>
      <c r="I280" s="6">
        <f>IF(B280=0,VLOOKUP(A280,Feuil2!$A$2:$M$1241,7,FALSE)," ")</f>
        <v>2971447</v>
      </c>
      <c r="J280" s="1" t="str">
        <f>IF(B280=0,VLOOKUP(A280,Feuil2!$A$2:$M$1241,9,FALSE)," ")</f>
        <v>4015 Borjine</v>
      </c>
      <c r="K280" s="1" t="str">
        <f>IF(B280=0,VLOOKUP(A280,Feuil2!$A$2:$M$1241,10,FALSE)," ")</f>
        <v>Borjine 4015</v>
      </c>
      <c r="L280" s="1">
        <v>4015</v>
      </c>
      <c r="M280" s="1">
        <v>97451777</v>
      </c>
      <c r="N280" s="1"/>
      <c r="O280" s="10" t="s">
        <v>2554</v>
      </c>
    </row>
    <row r="281" spans="1:16" x14ac:dyDescent="0.3">
      <c r="A281" s="1">
        <v>1616</v>
      </c>
      <c r="B281" s="1">
        <v>1</v>
      </c>
      <c r="C281" s="1" t="s">
        <v>2549</v>
      </c>
      <c r="D281" s="1" t="s">
        <v>2541</v>
      </c>
      <c r="E281" s="5">
        <v>26857</v>
      </c>
      <c r="F281" s="1" t="s">
        <v>17</v>
      </c>
      <c r="G281" s="1" t="s">
        <v>15</v>
      </c>
      <c r="H281" s="1" t="s">
        <v>16</v>
      </c>
      <c r="I281" s="6" t="str">
        <f>IF(B281=0,VLOOKUP(A281,Feuil2!$A$2:$M$1241,7,FALSE)," ")</f>
        <v xml:space="preserve"> </v>
      </c>
      <c r="J281" s="1" t="str">
        <f>IF(B281=0,VLOOKUP(A281,Feuil2!$A$2:$M$1241,9,FALSE)," ")</f>
        <v xml:space="preserve"> </v>
      </c>
      <c r="K281" s="1" t="str">
        <f>IF(B281=0,VLOOKUP(A281,Feuil2!$A$2:$M$1241,10,FALSE)," ")</f>
        <v xml:space="preserve"> </v>
      </c>
      <c r="L281" s="1"/>
      <c r="M281" s="1"/>
      <c r="N281" s="1"/>
      <c r="O281" s="8" t="str">
        <f>IF(B281=0,VLOOKUP(A281,Feuil2!$A$2:$M$1241,13,FALSE)," ")</f>
        <v xml:space="preserve"> </v>
      </c>
    </row>
    <row r="282" spans="1:16" x14ac:dyDescent="0.3">
      <c r="A282" s="1">
        <v>1616</v>
      </c>
      <c r="B282" s="1">
        <v>2</v>
      </c>
      <c r="C282" s="1" t="s">
        <v>67</v>
      </c>
      <c r="D282" s="1" t="s">
        <v>2550</v>
      </c>
      <c r="E282" s="5">
        <v>38320</v>
      </c>
      <c r="F282" s="1" t="s">
        <v>17</v>
      </c>
      <c r="G282" s="1" t="str">
        <f>IF(B282=0,VLOOKUP(A282,Feuil2!$A$2:$M$1241,11,FALSE)," ")</f>
        <v xml:space="preserve"> </v>
      </c>
      <c r="H282" s="1" t="s">
        <v>16</v>
      </c>
      <c r="I282" s="6" t="str">
        <f>IF(B282=0,VLOOKUP(A282,Feuil2!$A$2:$M$1241,7,FALSE)," ")</f>
        <v xml:space="preserve"> </v>
      </c>
      <c r="J282" s="1" t="str">
        <f>IF(B282=0,VLOOKUP(A282,Feuil2!$A$2:$M$1241,9,FALSE)," ")</f>
        <v xml:space="preserve"> </v>
      </c>
      <c r="K282" s="1" t="str">
        <f>IF(B282=0,VLOOKUP(A282,Feuil2!$A$2:$M$1241,10,FALSE)," ")</f>
        <v xml:space="preserve"> </v>
      </c>
      <c r="L282" s="1"/>
      <c r="M282" s="1"/>
      <c r="N282" s="1"/>
      <c r="O282" s="8" t="str">
        <f>IF(B282=0,VLOOKUP(A282,Feuil2!$A$2:$M$1241,13,FALSE)," ")</f>
        <v xml:space="preserve"> </v>
      </c>
    </row>
    <row r="283" spans="1:16" x14ac:dyDescent="0.3">
      <c r="A283" s="1">
        <v>1616</v>
      </c>
      <c r="B283" s="1">
        <v>3</v>
      </c>
      <c r="C283" s="1" t="s">
        <v>67</v>
      </c>
      <c r="D283" s="1" t="s">
        <v>2551</v>
      </c>
      <c r="E283" s="5">
        <v>39931</v>
      </c>
      <c r="F283" s="1" t="s">
        <v>17</v>
      </c>
      <c r="G283" s="1" t="str">
        <f>IF(B283=0,VLOOKUP(A283,Feuil2!$A$2:$M$1241,11,FALSE)," ")</f>
        <v xml:space="preserve"> </v>
      </c>
      <c r="H283" s="1" t="s">
        <v>16</v>
      </c>
      <c r="I283" s="6" t="str">
        <f>IF(B283=0,VLOOKUP(A283,Feuil2!$A$2:$M$1241,7,FALSE)," ")</f>
        <v xml:space="preserve"> </v>
      </c>
      <c r="J283" s="1" t="str">
        <f>IF(B283=0,VLOOKUP(A283,Feuil2!$A$2:$M$1241,9,FALSE)," ")</f>
        <v xml:space="preserve"> </v>
      </c>
      <c r="K283" s="1" t="str">
        <f>IF(B283=0,VLOOKUP(A283,Feuil2!$A$2:$M$1241,10,FALSE)," ")</f>
        <v xml:space="preserve"> </v>
      </c>
      <c r="L283" s="1"/>
      <c r="M283" s="1"/>
      <c r="N283" s="1"/>
      <c r="O283" s="8" t="str">
        <f>IF(B283=0,VLOOKUP(A283,Feuil2!$A$2:$M$1241,13,FALSE)," ")</f>
        <v xml:space="preserve"> </v>
      </c>
    </row>
    <row r="284" spans="1:16" x14ac:dyDescent="0.3">
      <c r="A284" s="1">
        <v>1616</v>
      </c>
      <c r="B284" s="1">
        <v>4</v>
      </c>
      <c r="C284" s="1" t="s">
        <v>67</v>
      </c>
      <c r="D284" s="1" t="s">
        <v>2385</v>
      </c>
      <c r="E284" s="5">
        <v>40646</v>
      </c>
      <c r="F284" s="1" t="s">
        <v>17</v>
      </c>
      <c r="G284" s="1" t="str">
        <f>IF(B284=0,VLOOKUP(A284,Feuil2!$A$2:$M$1241,11,FALSE)," ")</f>
        <v xml:space="preserve"> </v>
      </c>
      <c r="H284" s="1" t="s">
        <v>16</v>
      </c>
      <c r="I284" s="6" t="str">
        <f>IF(B284=0,VLOOKUP(A284,Feuil2!$A$2:$M$1241,7,FALSE)," ")</f>
        <v xml:space="preserve"> </v>
      </c>
      <c r="J284" s="1" t="str">
        <f>IF(B284=0,VLOOKUP(A284,Feuil2!$A$2:$M$1241,9,FALSE)," ")</f>
        <v xml:space="preserve"> </v>
      </c>
      <c r="K284" s="1" t="str">
        <f>IF(B284=0,VLOOKUP(A284,Feuil2!$A$2:$M$1241,10,FALSE)," ")</f>
        <v xml:space="preserve"> </v>
      </c>
      <c r="L284" s="1"/>
      <c r="M284" s="1"/>
      <c r="N284" s="1"/>
      <c r="O284" s="8" t="str">
        <f>IF(B284=0,VLOOKUP(A284,Feuil2!$A$2:$M$1241,13,FALSE)," ")</f>
        <v xml:space="preserve"> </v>
      </c>
    </row>
    <row r="285" spans="1:16" x14ac:dyDescent="0.3">
      <c r="A285" s="1">
        <v>1616</v>
      </c>
      <c r="B285" s="1">
        <v>5</v>
      </c>
      <c r="C285" s="1" t="s">
        <v>67</v>
      </c>
      <c r="D285" s="1" t="s">
        <v>2552</v>
      </c>
      <c r="E285" s="5">
        <v>37484</v>
      </c>
      <c r="F285" s="1" t="s">
        <v>17</v>
      </c>
      <c r="G285" s="1" t="str">
        <f>IF(B285=0,VLOOKUP(A285,Feuil2!$A$2:$M$1241,11,FALSE)," ")</f>
        <v xml:space="preserve"> </v>
      </c>
      <c r="H285" s="1" t="s">
        <v>16</v>
      </c>
      <c r="I285" s="6" t="str">
        <f>IF(B285=0,VLOOKUP(A285,Feuil2!$A$2:$M$1241,7,FALSE)," ")</f>
        <v xml:space="preserve"> </v>
      </c>
      <c r="J285" s="1" t="str">
        <f>IF(B285=0,VLOOKUP(A285,Feuil2!$A$2:$M$1241,9,FALSE)," ")</f>
        <v xml:space="preserve"> </v>
      </c>
      <c r="K285" s="1" t="str">
        <f>IF(B285=0,VLOOKUP(A285,Feuil2!$A$2:$M$1241,10,FALSE)," ")</f>
        <v xml:space="preserve"> </v>
      </c>
      <c r="L285" s="1"/>
      <c r="M285" s="1"/>
      <c r="N285" s="1"/>
      <c r="O285" s="8" t="str">
        <f>IF(B285=0,VLOOKUP(A285,Feuil2!$A$2:$M$1241,13,FALSE)," ")</f>
        <v xml:space="preserve"> </v>
      </c>
    </row>
    <row r="286" spans="1:16" x14ac:dyDescent="0.3">
      <c r="A286" s="1">
        <v>1616</v>
      </c>
      <c r="B286" s="1">
        <v>6</v>
      </c>
      <c r="C286" s="1" t="s">
        <v>67</v>
      </c>
      <c r="D286" s="1" t="s">
        <v>2553</v>
      </c>
      <c r="E286" s="5">
        <v>35945</v>
      </c>
      <c r="F286" s="1" t="s">
        <v>17</v>
      </c>
      <c r="G286" s="1" t="str">
        <f>IF(B286=0,VLOOKUP(A286,Feuil2!$A$2:$M$1241,11,FALSE)," ")</f>
        <v xml:space="preserve"> </v>
      </c>
      <c r="H286" s="1" t="s">
        <v>16</v>
      </c>
      <c r="I286" s="6" t="str">
        <f>IF(B286=0,VLOOKUP(A286,Feuil2!$A$2:$M$1241,7,FALSE)," ")</f>
        <v xml:space="preserve"> </v>
      </c>
      <c r="J286" s="1" t="str">
        <f>IF(B286=0,VLOOKUP(A286,Feuil2!$A$2:$M$1241,9,FALSE)," ")</f>
        <v xml:space="preserve"> </v>
      </c>
      <c r="K286" s="1" t="str">
        <f>IF(B286=0,VLOOKUP(A286,Feuil2!$A$2:$M$1241,10,FALSE)," ")</f>
        <v xml:space="preserve"> </v>
      </c>
      <c r="L286" s="1"/>
      <c r="M286" s="1"/>
      <c r="N286" s="1"/>
      <c r="O286" s="8" t="str">
        <f>IF(B286=0,VLOOKUP(A286,Feuil2!$A$2:$M$1241,13,FALSE)," ")</f>
        <v xml:space="preserve"> </v>
      </c>
    </row>
    <row r="287" spans="1:16" x14ac:dyDescent="0.3">
      <c r="A287" s="1">
        <v>1618</v>
      </c>
      <c r="B287" s="1">
        <v>0</v>
      </c>
      <c r="C287" s="1" t="str">
        <f>IF(B287=0,VLOOKUP(A287,Feuil2!$A$2:$M$1241,2,FALSE)," ")</f>
        <v>SLAMA</v>
      </c>
      <c r="D287" s="1" t="str">
        <f>IF(B287=0,VLOOKUP(A287,Feuil2!$A$2:$M$1241,3,FALSE)," ")</f>
        <v>MAHER</v>
      </c>
      <c r="E287" s="5">
        <f>IF(B287=0,VLOOKUP(A287,Feuil2!$A$2:$M$1241,6,FALSE)," ")</f>
        <v>24772</v>
      </c>
      <c r="F287" s="1" t="str">
        <f>IF(B287=0,VLOOKUP(A287,Feuil2!$A$2:$M$1241,12,FALSE)," ")</f>
        <v>H</v>
      </c>
      <c r="G287" s="1" t="str">
        <f>IF(B287=0,VLOOKUP(A287,Feuil2!$A$2:$M$1241,11,FALSE)," ")</f>
        <v>M</v>
      </c>
      <c r="H287" s="1" t="s">
        <v>16</v>
      </c>
      <c r="I287" s="6">
        <f>IF(B287=0,VLOOKUP(A287,Feuil2!$A$2:$M$1241,7,FALSE)," ")</f>
        <v>2978827</v>
      </c>
      <c r="J287" s="1">
        <f>IF(B287=0,VLOOKUP(A287,Feuil2!$A$2:$M$1241,9,FALSE)," ")</f>
        <v>372</v>
      </c>
      <c r="K287" s="1" t="str">
        <f>IF(B287=0,VLOOKUP(A287,Feuil2!$A$2:$M$1241,10,FALSE)," ")</f>
        <v>Borjine 4015</v>
      </c>
      <c r="L287" s="1">
        <v>4015</v>
      </c>
      <c r="M287" s="1">
        <v>51920081</v>
      </c>
      <c r="N287" s="1"/>
      <c r="O287" s="8" t="str">
        <f>IF(B287=0,VLOOKUP(A287,Feuil2!$A$2:$M$1241,13,FALSE)," ")</f>
        <v>10506040511024778878</v>
      </c>
    </row>
    <row r="288" spans="1:16" x14ac:dyDescent="0.3">
      <c r="A288" s="1">
        <v>1618</v>
      </c>
      <c r="B288" s="1">
        <v>1</v>
      </c>
      <c r="C288" s="1" t="s">
        <v>2463</v>
      </c>
      <c r="D288" s="1" t="s">
        <v>1049</v>
      </c>
      <c r="E288" s="5">
        <v>26951</v>
      </c>
      <c r="F288" s="1" t="s">
        <v>17</v>
      </c>
      <c r="G288" s="1" t="s">
        <v>15</v>
      </c>
      <c r="H288" s="1" t="s">
        <v>16</v>
      </c>
      <c r="I288" s="6" t="str">
        <f>IF(B288=0,VLOOKUP(A288,Feuil2!$A$2:$M$1241,7,FALSE)," ")</f>
        <v xml:space="preserve"> </v>
      </c>
      <c r="J288" s="1" t="str">
        <f>IF(B288=0,VLOOKUP(A288,Feuil2!$A$2:$M$1241,9,FALSE)," ")</f>
        <v xml:space="preserve"> </v>
      </c>
      <c r="K288" s="1" t="str">
        <f>IF(B288=0,VLOOKUP(A288,Feuil2!$A$2:$M$1241,10,FALSE)," ")</f>
        <v xml:space="preserve"> </v>
      </c>
      <c r="L288" s="1"/>
      <c r="M288" s="1"/>
      <c r="N288" s="1"/>
      <c r="O288" s="8" t="str">
        <f>IF(B288=0,VLOOKUP(A288,Feuil2!$A$2:$M$1241,13,FALSE)," ")</f>
        <v xml:space="preserve"> </v>
      </c>
    </row>
    <row r="289" spans="1:15" x14ac:dyDescent="0.3">
      <c r="A289" s="1">
        <v>1618</v>
      </c>
      <c r="B289" s="1">
        <v>2</v>
      </c>
      <c r="C289" s="1" t="s">
        <v>111</v>
      </c>
      <c r="D289" s="1" t="s">
        <v>2464</v>
      </c>
      <c r="E289" s="5">
        <v>35551</v>
      </c>
      <c r="F289" s="1" t="s">
        <v>17</v>
      </c>
      <c r="G289" s="1" t="str">
        <f>IF(B289=0,VLOOKUP(A289,Feuil2!$A$2:$M$1241,11,FALSE)," ")</f>
        <v xml:space="preserve"> </v>
      </c>
      <c r="H289" s="1" t="s">
        <v>16</v>
      </c>
      <c r="I289" s="6" t="str">
        <f>IF(B289=0,VLOOKUP(A289,Feuil2!$A$2:$M$1241,7,FALSE)," ")</f>
        <v xml:space="preserve"> </v>
      </c>
      <c r="J289" s="1" t="str">
        <f>IF(B289=0,VLOOKUP(A289,Feuil2!$A$2:$M$1241,9,FALSE)," ")</f>
        <v xml:space="preserve"> </v>
      </c>
      <c r="K289" s="1" t="str">
        <f>IF(B289=0,VLOOKUP(A289,Feuil2!$A$2:$M$1241,10,FALSE)," ")</f>
        <v xml:space="preserve"> </v>
      </c>
      <c r="L289" s="1"/>
      <c r="M289" s="1"/>
      <c r="N289" s="1"/>
      <c r="O289" s="8" t="str">
        <f>IF(B289=0,VLOOKUP(A289,Feuil2!$A$2:$M$1241,13,FALSE)," ")</f>
        <v xml:space="preserve"> </v>
      </c>
    </row>
    <row r="290" spans="1:15" x14ac:dyDescent="0.3">
      <c r="A290" s="1">
        <v>1618</v>
      </c>
      <c r="B290" s="1">
        <v>3</v>
      </c>
      <c r="C290" s="1" t="s">
        <v>111</v>
      </c>
      <c r="D290" s="1" t="s">
        <v>392</v>
      </c>
      <c r="E290" s="5">
        <v>38061</v>
      </c>
      <c r="F290" s="1" t="s">
        <v>506</v>
      </c>
      <c r="G290" s="1" t="str">
        <f>IF(B290=0,VLOOKUP(A290,Feuil2!$A$2:$M$1241,11,FALSE)," ")</f>
        <v xml:space="preserve"> </v>
      </c>
      <c r="H290" s="1" t="s">
        <v>16</v>
      </c>
      <c r="I290" s="6" t="str">
        <f>IF(B290=0,VLOOKUP(A290,Feuil2!$A$2:$M$1241,7,FALSE)," ")</f>
        <v xml:space="preserve"> </v>
      </c>
      <c r="J290" s="1" t="str">
        <f>IF(B290=0,VLOOKUP(A290,Feuil2!$A$2:$M$1241,9,FALSE)," ")</f>
        <v xml:space="preserve"> </v>
      </c>
      <c r="K290" s="1" t="str">
        <f>IF(B290=0,VLOOKUP(A290,Feuil2!$A$2:$M$1241,10,FALSE)," ")</f>
        <v xml:space="preserve"> </v>
      </c>
      <c r="L290" s="1"/>
      <c r="M290" s="1"/>
      <c r="N290" s="1"/>
      <c r="O290" s="8" t="str">
        <f>IF(B290=0,VLOOKUP(A290,Feuil2!$A$2:$M$1241,13,FALSE)," ")</f>
        <v xml:space="preserve"> </v>
      </c>
    </row>
    <row r="291" spans="1:15" x14ac:dyDescent="0.3">
      <c r="A291" s="1">
        <v>1634</v>
      </c>
      <c r="B291" s="1">
        <v>0</v>
      </c>
      <c r="C291" s="1" t="str">
        <f>IF(B291=0,VLOOKUP(A291,Feuil2!$A$2:$M$1241,2,FALSE)," ")</f>
        <v>BEN AMOR</v>
      </c>
      <c r="D291" s="1" t="str">
        <f>IF(B291=0,VLOOKUP(A291,Feuil2!$A$2:$M$1241,3,FALSE)," ")</f>
        <v>RIADH</v>
      </c>
      <c r="E291" s="5">
        <f>IF(B291=0,VLOOKUP(A291,Feuil2!$A$2:$M$1241,6,FALSE)," ")</f>
        <v>24681</v>
      </c>
      <c r="F291" s="1" t="str">
        <f>IF(B291=0,VLOOKUP(A291,Feuil2!$A$2:$M$1241,12,FALSE)," ")</f>
        <v>H</v>
      </c>
      <c r="G291" s="1" t="str">
        <f>IF(B291=0,VLOOKUP(A291,Feuil2!$A$2:$M$1241,11,FALSE)," ")</f>
        <v>M</v>
      </c>
      <c r="H291" s="1" t="s">
        <v>16</v>
      </c>
      <c r="I291" s="6">
        <f>IF(B291=0,VLOOKUP(A291,Feuil2!$A$2:$M$1241,7,FALSE)," ")</f>
        <v>2978145</v>
      </c>
      <c r="J291" s="1" t="str">
        <f>IF(B291=0,VLOOKUP(A291,Feuil2!$A$2:$M$1241,9,FALSE)," ")</f>
        <v>12 Impasse Baghdad</v>
      </c>
      <c r="K291" s="1" t="str">
        <f>IF(B291=0,VLOOKUP(A291,Feuil2!$A$2:$M$1241,10,FALSE)," ")</f>
        <v>Messadine 4013</v>
      </c>
      <c r="L291" s="1"/>
      <c r="M291" s="1">
        <v>26363001</v>
      </c>
      <c r="N291" s="1"/>
      <c r="O291" s="8" t="str">
        <f>IF(B291=0,VLOOKUP(A291,Feuil2!$A$2:$M$1241,13,FALSE)," ")</f>
        <v>03508056010100267659</v>
      </c>
    </row>
    <row r="292" spans="1:15" x14ac:dyDescent="0.3">
      <c r="A292" s="1">
        <v>1634</v>
      </c>
      <c r="B292" s="1">
        <v>1</v>
      </c>
      <c r="C292" s="1" t="s">
        <v>660</v>
      </c>
      <c r="D292" s="1" t="s">
        <v>1007</v>
      </c>
      <c r="E292" s="5">
        <v>26162</v>
      </c>
      <c r="F292" s="1" t="s">
        <v>17</v>
      </c>
      <c r="G292" s="1" t="s">
        <v>15</v>
      </c>
      <c r="H292" s="1" t="s">
        <v>16</v>
      </c>
      <c r="I292" s="6" t="str">
        <f>IF(B292=0,VLOOKUP(A292,Feuil2!$A$2:$M$1241,7,FALSE)," ")</f>
        <v xml:space="preserve"> </v>
      </c>
      <c r="J292" s="1" t="str">
        <f>IF(B292=0,VLOOKUP(A292,Feuil2!$A$2:$M$1241,9,FALSE)," ")</f>
        <v xml:space="preserve"> </v>
      </c>
      <c r="K292" s="1" t="str">
        <f>IF(B292=0,VLOOKUP(A292,Feuil2!$A$2:$M$1241,10,FALSE)," ")</f>
        <v xml:space="preserve"> </v>
      </c>
      <c r="L292" s="1"/>
      <c r="M292" s="1"/>
      <c r="N292" s="1"/>
      <c r="O292" s="8" t="str">
        <f>IF(B292=0,VLOOKUP(A292,Feuil2!$A$2:$M$1241,13,FALSE)," ")</f>
        <v xml:space="preserve"> </v>
      </c>
    </row>
    <row r="293" spans="1:15" x14ac:dyDescent="0.3">
      <c r="A293" s="1">
        <v>1634</v>
      </c>
      <c r="B293" s="1">
        <v>2</v>
      </c>
      <c r="C293" s="1" t="s">
        <v>217</v>
      </c>
      <c r="D293" s="1" t="s">
        <v>2362</v>
      </c>
      <c r="E293" s="5">
        <v>35894</v>
      </c>
      <c r="F293" s="1" t="s">
        <v>17</v>
      </c>
      <c r="G293" s="1" t="str">
        <f>IF(B293=0,VLOOKUP(A293,Feuil2!$A$2:$M$1241,11,FALSE)," ")</f>
        <v xml:space="preserve"> </v>
      </c>
      <c r="H293" s="1" t="s">
        <v>16</v>
      </c>
      <c r="I293" s="6" t="str">
        <f>IF(B293=0,VLOOKUP(A293,Feuil2!$A$2:$M$1241,7,FALSE)," ")</f>
        <v xml:space="preserve"> </v>
      </c>
      <c r="J293" s="1" t="str">
        <f>IF(B293=0,VLOOKUP(A293,Feuil2!$A$2:$M$1241,9,FALSE)," ")</f>
        <v xml:space="preserve"> </v>
      </c>
      <c r="K293" s="1" t="str">
        <f>IF(B293=0,VLOOKUP(A293,Feuil2!$A$2:$M$1241,10,FALSE)," ")</f>
        <v xml:space="preserve"> </v>
      </c>
      <c r="L293" s="1"/>
      <c r="M293" s="1"/>
      <c r="N293" s="1"/>
      <c r="O293" s="8" t="str">
        <f>IF(B293=0,VLOOKUP(A293,Feuil2!$A$2:$M$1241,13,FALSE)," ")</f>
        <v xml:space="preserve"> </v>
      </c>
    </row>
    <row r="294" spans="1:15" x14ac:dyDescent="0.3">
      <c r="A294" s="1">
        <v>1634</v>
      </c>
      <c r="B294" s="1">
        <v>3</v>
      </c>
      <c r="C294" s="1" t="s">
        <v>217</v>
      </c>
      <c r="D294" s="1" t="s">
        <v>2363</v>
      </c>
      <c r="E294" s="5">
        <v>37972</v>
      </c>
      <c r="F294" s="1" t="s">
        <v>2364</v>
      </c>
      <c r="G294" s="1" t="str">
        <f>IF(B294=0,VLOOKUP(A294,Feuil2!$A$2:$M$1241,11,FALSE)," ")</f>
        <v xml:space="preserve"> </v>
      </c>
      <c r="H294" s="1" t="s">
        <v>16</v>
      </c>
      <c r="I294" s="6" t="str">
        <f>IF(B294=0,VLOOKUP(A294,Feuil2!$A$2:$M$1241,7,FALSE)," ")</f>
        <v xml:space="preserve"> </v>
      </c>
      <c r="J294" s="1" t="str">
        <f>IF(B294=0,VLOOKUP(A294,Feuil2!$A$2:$M$1241,9,FALSE)," ")</f>
        <v xml:space="preserve"> </v>
      </c>
      <c r="K294" s="1" t="str">
        <f>IF(B294=0,VLOOKUP(A294,Feuil2!$A$2:$M$1241,10,FALSE)," ")</f>
        <v xml:space="preserve"> </v>
      </c>
      <c r="L294" s="1"/>
      <c r="M294" s="1"/>
      <c r="N294" s="1"/>
      <c r="O294" s="8" t="str">
        <f>IF(B294=0,VLOOKUP(A294,Feuil2!$A$2:$M$1241,13,FALSE)," ")</f>
        <v xml:space="preserve"> </v>
      </c>
    </row>
    <row r="295" spans="1:15" x14ac:dyDescent="0.3">
      <c r="A295" s="1">
        <v>1638</v>
      </c>
      <c r="B295" s="1">
        <v>0</v>
      </c>
      <c r="C295" s="1" t="str">
        <f>IF(B295=0,VLOOKUP(A295,Feuil2!$A$2:$M$1241,2,FALSE)," ")</f>
        <v>ROMDHANE</v>
      </c>
      <c r="D295" s="1" t="str">
        <f>IF(B295=0,VLOOKUP(A295,Feuil2!$A$2:$M$1241,3,FALSE)," ")</f>
        <v>NAJEH</v>
      </c>
      <c r="E295" s="5">
        <f>IF(B295=0,VLOOKUP(A295,Feuil2!$A$2:$M$1241,6,FALSE)," ")</f>
        <v>27337</v>
      </c>
      <c r="F295" s="1" t="str">
        <f>IF(B295=0,VLOOKUP(A295,Feuil2!$A$2:$M$1241,12,FALSE)," ")</f>
        <v>H</v>
      </c>
      <c r="G295" s="1" t="str">
        <f>IF(B295=0,VLOOKUP(A295,Feuil2!$A$2:$M$1241,11,FALSE)," ")</f>
        <v>M</v>
      </c>
      <c r="H295" s="1" t="s">
        <v>16</v>
      </c>
      <c r="I295" s="6">
        <f>IF(B295=0,VLOOKUP(A295,Feuil2!$A$2:$M$1241,7,FALSE)," ")</f>
        <v>5539994</v>
      </c>
      <c r="J295" s="1" t="str">
        <f>IF(B295=0,VLOOKUP(A295,Feuil2!$A$2:$M$1241,9,FALSE)," ")</f>
        <v>N224</v>
      </c>
      <c r="K295" s="1" t="str">
        <f>IF(B295=0,VLOOKUP(A295,Feuil2!$A$2:$M$1241,10,FALSE)," ")</f>
        <v>BÃ©ni Kalthoum 4016</v>
      </c>
      <c r="L295" s="1"/>
      <c r="M295" s="1">
        <v>98793523</v>
      </c>
      <c r="N295" s="1"/>
      <c r="O295" s="8" t="str">
        <f>IF(B295=0,VLOOKUP(A295,Feuil2!$A$2:$M$1241,13,FALSE)," ")</f>
        <v>04204067001370394772</v>
      </c>
    </row>
    <row r="296" spans="1:15" x14ac:dyDescent="0.3">
      <c r="A296" s="1">
        <v>1638</v>
      </c>
      <c r="B296" s="1">
        <v>1</v>
      </c>
      <c r="C296" s="1" t="s">
        <v>2329</v>
      </c>
      <c r="D296" s="1" t="s">
        <v>2330</v>
      </c>
      <c r="E296" s="5">
        <v>30677</v>
      </c>
      <c r="F296" s="1" t="s">
        <v>17</v>
      </c>
      <c r="G296" s="1" t="s">
        <v>15</v>
      </c>
      <c r="H296" s="1" t="s">
        <v>16</v>
      </c>
      <c r="I296" s="6" t="str">
        <f>IF(B296=0,VLOOKUP(A296,Feuil2!$A$2:$M$1241,7,FALSE)," ")</f>
        <v xml:space="preserve"> </v>
      </c>
      <c r="J296" s="1" t="str">
        <f>IF(B296=0,VLOOKUP(A296,Feuil2!$A$2:$M$1241,9,FALSE)," ")</f>
        <v xml:space="preserve"> </v>
      </c>
      <c r="K296" s="1" t="str">
        <f>IF(B296=0,VLOOKUP(A296,Feuil2!$A$2:$M$1241,10,FALSE)," ")</f>
        <v xml:space="preserve"> </v>
      </c>
      <c r="L296" s="1"/>
      <c r="M296" s="1"/>
      <c r="N296" s="2"/>
      <c r="O296" s="8" t="str">
        <f>IF(B296=0,VLOOKUP(A296,Feuil2!$A$2:$M$1241,13,FALSE)," ")</f>
        <v xml:space="preserve"> </v>
      </c>
    </row>
    <row r="297" spans="1:15" x14ac:dyDescent="0.3">
      <c r="A297" s="1">
        <v>1638</v>
      </c>
      <c r="B297" s="1">
        <v>2</v>
      </c>
      <c r="C297" s="1" t="s">
        <v>62</v>
      </c>
      <c r="D297" s="1" t="s">
        <v>2331</v>
      </c>
      <c r="E297" s="5">
        <v>39596</v>
      </c>
      <c r="F297" s="1" t="s">
        <v>17</v>
      </c>
      <c r="G297" s="1" t="str">
        <f>IF(B297=0,VLOOKUP(A297,Feuil2!$A$2:$M$1241,11,FALSE)," ")</f>
        <v xml:space="preserve"> </v>
      </c>
      <c r="H297" s="1" t="s">
        <v>16</v>
      </c>
      <c r="I297" s="6" t="str">
        <f>IF(B297=0,VLOOKUP(A297,Feuil2!$A$2:$M$1241,7,FALSE)," ")</f>
        <v xml:space="preserve"> </v>
      </c>
      <c r="J297" s="1" t="str">
        <f>IF(B297=0,VLOOKUP(A297,Feuil2!$A$2:$M$1241,9,FALSE)," ")</f>
        <v xml:space="preserve"> </v>
      </c>
      <c r="K297" s="1" t="str">
        <f>IF(B297=0,VLOOKUP(A297,Feuil2!$A$2:$M$1241,10,FALSE)," ")</f>
        <v xml:space="preserve"> </v>
      </c>
      <c r="L297" s="1"/>
      <c r="M297" s="1"/>
      <c r="N297" s="1"/>
      <c r="O297" s="8" t="str">
        <f>IF(B297=0,VLOOKUP(A297,Feuil2!$A$2:$M$1241,13,FALSE)," ")</f>
        <v xml:space="preserve"> </v>
      </c>
    </row>
    <row r="298" spans="1:15" x14ac:dyDescent="0.3">
      <c r="A298" s="1">
        <v>1638</v>
      </c>
      <c r="B298" s="1">
        <v>3</v>
      </c>
      <c r="C298" s="1" t="s">
        <v>62</v>
      </c>
      <c r="D298" s="1" t="s">
        <v>2332</v>
      </c>
      <c r="E298" s="5">
        <v>40496</v>
      </c>
      <c r="F298" s="1" t="s">
        <v>17</v>
      </c>
      <c r="G298" s="1" t="str">
        <f>IF(B298=0,VLOOKUP(A298,Feuil2!$A$2:$M$1241,11,FALSE)," ")</f>
        <v xml:space="preserve"> </v>
      </c>
      <c r="H298" s="1" t="s">
        <v>16</v>
      </c>
      <c r="I298" s="6" t="str">
        <f>IF(B298=0,VLOOKUP(A298,Feuil2!$A$2:$M$1241,7,FALSE)," ")</f>
        <v xml:space="preserve"> </v>
      </c>
      <c r="J298" s="1" t="str">
        <f>IF(B298=0,VLOOKUP(A298,Feuil2!$A$2:$M$1241,9,FALSE)," ")</f>
        <v xml:space="preserve"> </v>
      </c>
      <c r="K298" s="1" t="str">
        <f>IF(B298=0,VLOOKUP(A298,Feuil2!$A$2:$M$1241,10,FALSE)," ")</f>
        <v xml:space="preserve"> </v>
      </c>
      <c r="L298" s="1"/>
      <c r="M298" s="1"/>
      <c r="N298" s="1"/>
      <c r="O298" s="8" t="str">
        <f>IF(B298=0,VLOOKUP(A298,Feuil2!$A$2:$M$1241,13,FALSE)," ")</f>
        <v xml:space="preserve"> </v>
      </c>
    </row>
    <row r="299" spans="1:15" x14ac:dyDescent="0.3">
      <c r="A299" s="1">
        <v>1638</v>
      </c>
      <c r="B299" s="1">
        <v>4</v>
      </c>
      <c r="C299" s="1" t="s">
        <v>62</v>
      </c>
      <c r="D299" s="1" t="s">
        <v>34</v>
      </c>
      <c r="E299" s="5">
        <v>40994</v>
      </c>
      <c r="F299" s="1" t="s">
        <v>506</v>
      </c>
      <c r="G299" s="1" t="str">
        <f>IF(B299=0,VLOOKUP(A299,Feuil2!$A$2:$M$1241,11,FALSE)," ")</f>
        <v xml:space="preserve"> </v>
      </c>
      <c r="H299" s="1" t="s">
        <v>16</v>
      </c>
      <c r="I299" s="6" t="str">
        <f>IF(B299=0,VLOOKUP(A299,Feuil2!$A$2:$M$1241,7,FALSE)," ")</f>
        <v xml:space="preserve"> </v>
      </c>
      <c r="J299" s="1" t="str">
        <f>IF(B299=0,VLOOKUP(A299,Feuil2!$A$2:$M$1241,9,FALSE)," ")</f>
        <v xml:space="preserve"> </v>
      </c>
      <c r="K299" s="1" t="str">
        <f>IF(B299=0,VLOOKUP(A299,Feuil2!$A$2:$M$1241,10,FALSE)," ")</f>
        <v xml:space="preserve"> </v>
      </c>
      <c r="L299" s="1"/>
      <c r="M299" s="1"/>
      <c r="N299" s="1"/>
      <c r="O299" s="8" t="str">
        <f>IF(B299=0,VLOOKUP(A299,Feuil2!$A$2:$M$1241,13,FALSE)," ")</f>
        <v xml:space="preserve"> </v>
      </c>
    </row>
    <row r="300" spans="1:15" x14ac:dyDescent="0.3">
      <c r="A300" s="1">
        <v>1651</v>
      </c>
      <c r="B300" s="1">
        <v>0</v>
      </c>
      <c r="C300" s="1" t="str">
        <f>IF(B300=0,VLOOKUP(A300,Feuil2!$A$2:$M$1241,2,FALSE)," ")</f>
        <v>BEL HADJ</v>
      </c>
      <c r="D300" s="1" t="str">
        <f>IF(B300=0,VLOOKUP(A300,Feuil2!$A$2:$M$1241,3,FALSE)," ")</f>
        <v>MOHAMED</v>
      </c>
      <c r="E300" s="5">
        <f>IF(B300=0,VLOOKUP(A300,Feuil2!$A$2:$M$1241,6,FALSE)," ")</f>
        <v>24271</v>
      </c>
      <c r="F300" s="1" t="str">
        <f>IF(B300=0,VLOOKUP(A300,Feuil2!$A$2:$M$1241,12,FALSE)," ")</f>
        <v>H</v>
      </c>
      <c r="G300" s="1" t="str">
        <f>IF(B300=0,VLOOKUP(A300,Feuil2!$A$2:$M$1241,11,FALSE)," ")</f>
        <v>M</v>
      </c>
      <c r="H300" s="1" t="s">
        <v>16</v>
      </c>
      <c r="I300" s="6">
        <f>IF(B300=0,VLOOKUP(A300,Feuil2!$A$2:$M$1241,7,FALSE)," ")</f>
        <v>5501844</v>
      </c>
      <c r="J300" s="1" t="str">
        <f>IF(B300=0,VLOOKUP(A300,Feuil2!$A$2:$M$1241,9,FALSE)," ")</f>
        <v>274 Rue Arafat</v>
      </c>
      <c r="K300" s="1" t="str">
        <f>IF(B300=0,VLOOKUP(A300,Feuil2!$A$2:$M$1241,10,FALSE)," ")</f>
        <v>Msaken 4070</v>
      </c>
      <c r="L300" s="1">
        <v>4070</v>
      </c>
      <c r="M300" s="1">
        <v>22770971</v>
      </c>
      <c r="N300" s="1"/>
      <c r="O300" s="8" t="str">
        <f>IF(B300=0,VLOOKUP(A300,Feuil2!$A$2:$M$1241,13,FALSE)," ")</f>
        <v>08507000262001253203</v>
      </c>
    </row>
    <row r="301" spans="1:15" x14ac:dyDescent="0.3">
      <c r="A301" s="1">
        <v>1651</v>
      </c>
      <c r="B301" s="1">
        <v>1</v>
      </c>
      <c r="C301" s="1" t="s">
        <v>2343</v>
      </c>
      <c r="D301" s="1" t="s">
        <v>600</v>
      </c>
      <c r="E301" s="5">
        <v>30107</v>
      </c>
      <c r="F301" s="1" t="s">
        <v>17</v>
      </c>
      <c r="G301" s="1" t="s">
        <v>15</v>
      </c>
      <c r="H301" s="1" t="s">
        <v>16</v>
      </c>
      <c r="I301" s="6" t="str">
        <f>IF(B301=0,VLOOKUP(A301,Feuil2!$A$2:$M$1241,7,FALSE)," ")</f>
        <v xml:space="preserve"> </v>
      </c>
      <c r="J301" s="1" t="str">
        <f>IF(B301=0,VLOOKUP(A301,Feuil2!$A$2:$M$1241,9,FALSE)," ")</f>
        <v xml:space="preserve"> </v>
      </c>
      <c r="K301" s="1" t="str">
        <f>IF(B301=0,VLOOKUP(A301,Feuil2!$A$2:$M$1241,10,FALSE)," ")</f>
        <v xml:space="preserve"> </v>
      </c>
      <c r="L301" s="1"/>
      <c r="M301" s="1"/>
      <c r="N301" s="1"/>
      <c r="O301" s="8" t="str">
        <f>IF(B301=0,VLOOKUP(A301,Feuil2!$A$2:$M$1241,13,FALSE)," ")</f>
        <v xml:space="preserve"> </v>
      </c>
    </row>
    <row r="302" spans="1:15" x14ac:dyDescent="0.3">
      <c r="A302" s="1">
        <v>1651</v>
      </c>
      <c r="B302" s="1">
        <v>2</v>
      </c>
      <c r="C302" s="1" t="s">
        <v>35</v>
      </c>
      <c r="D302" s="1" t="s">
        <v>2332</v>
      </c>
      <c r="E302" s="5">
        <v>40995</v>
      </c>
      <c r="F302" s="1" t="s">
        <v>17</v>
      </c>
      <c r="G302" s="1" t="str">
        <f>IF(B302=0,VLOOKUP(A302,Feuil2!$A$2:$M$1241,11,FALSE)," ")</f>
        <v xml:space="preserve"> </v>
      </c>
      <c r="H302" s="1" t="s">
        <v>16</v>
      </c>
      <c r="I302" s="6" t="str">
        <f>IF(B302=0,VLOOKUP(A302,Feuil2!$A$2:$M$1241,7,FALSE)," ")</f>
        <v xml:space="preserve"> </v>
      </c>
      <c r="J302" s="1" t="str">
        <f>IF(B302=0,VLOOKUP(A302,Feuil2!$A$2:$M$1241,9,FALSE)," ")</f>
        <v xml:space="preserve"> </v>
      </c>
      <c r="K302" s="1" t="str">
        <f>IF(B302=0,VLOOKUP(A302,Feuil2!$A$2:$M$1241,10,FALSE)," ")</f>
        <v xml:space="preserve"> </v>
      </c>
      <c r="L302" s="1"/>
      <c r="M302" s="1"/>
      <c r="N302" s="1"/>
      <c r="O302" s="8" t="str">
        <f>IF(B302=0,VLOOKUP(A302,Feuil2!$A$2:$M$1241,13,FALSE)," ")</f>
        <v xml:space="preserve"> </v>
      </c>
    </row>
    <row r="303" spans="1:15" x14ac:dyDescent="0.3">
      <c r="A303" s="1">
        <v>1651</v>
      </c>
      <c r="B303" s="1">
        <v>3</v>
      </c>
      <c r="C303" s="1" t="s">
        <v>35</v>
      </c>
      <c r="D303" s="1" t="s">
        <v>2344</v>
      </c>
      <c r="E303" s="5">
        <v>41624</v>
      </c>
      <c r="F303" s="1" t="s">
        <v>17</v>
      </c>
      <c r="G303" s="1" t="str">
        <f>IF(B303=0,VLOOKUP(A303,Feuil2!$A$2:$M$1241,11,FALSE)," ")</f>
        <v xml:space="preserve"> </v>
      </c>
      <c r="H303" s="1" t="s">
        <v>16</v>
      </c>
      <c r="I303" s="6" t="str">
        <f>IF(B303=0,VLOOKUP(A303,Feuil2!$A$2:$M$1241,7,FALSE)," ")</f>
        <v xml:space="preserve"> </v>
      </c>
      <c r="J303" s="1" t="str">
        <f>IF(B303=0,VLOOKUP(A303,Feuil2!$A$2:$M$1241,9,FALSE)," ")</f>
        <v xml:space="preserve"> </v>
      </c>
      <c r="K303" s="1" t="str">
        <f>IF(B303=0,VLOOKUP(A303,Feuil2!$A$2:$M$1241,10,FALSE)," ")</f>
        <v xml:space="preserve"> </v>
      </c>
      <c r="L303" s="1"/>
      <c r="M303" s="1"/>
      <c r="N303" s="1"/>
      <c r="O303" s="8" t="str">
        <f>IF(B303=0,VLOOKUP(A303,Feuil2!$A$2:$M$1241,13,FALSE)," ")</f>
        <v xml:space="preserve"> </v>
      </c>
    </row>
    <row r="304" spans="1:15" x14ac:dyDescent="0.3">
      <c r="A304" s="1">
        <v>1651</v>
      </c>
      <c r="B304" s="1">
        <v>4</v>
      </c>
      <c r="C304" s="1" t="s">
        <v>35</v>
      </c>
      <c r="D304" s="1" t="s">
        <v>122</v>
      </c>
      <c r="E304" s="5">
        <v>42121</v>
      </c>
      <c r="F304" s="1" t="s">
        <v>506</v>
      </c>
      <c r="G304" s="1" t="str">
        <f>IF(B304=0,VLOOKUP(A304,Feuil2!$A$2:$M$1241,11,FALSE)," ")</f>
        <v xml:space="preserve"> </v>
      </c>
      <c r="H304" s="1" t="s">
        <v>16</v>
      </c>
      <c r="I304" s="6" t="str">
        <f>IF(B304=0,VLOOKUP(A304,Feuil2!$A$2:$M$1241,7,FALSE)," ")</f>
        <v xml:space="preserve"> </v>
      </c>
      <c r="J304" s="1" t="str">
        <f>IF(B304=0,VLOOKUP(A304,Feuil2!$A$2:$M$1241,9,FALSE)," ")</f>
        <v xml:space="preserve"> </v>
      </c>
      <c r="K304" s="1" t="str">
        <f>IF(B304=0,VLOOKUP(A304,Feuil2!$A$2:$M$1241,10,FALSE)," ")</f>
        <v xml:space="preserve"> </v>
      </c>
      <c r="L304" s="1"/>
      <c r="M304" s="1"/>
      <c r="N304" s="1"/>
      <c r="O304" s="8" t="str">
        <f>IF(B304=0,VLOOKUP(A304,Feuil2!$A$2:$M$1241,13,FALSE)," ")</f>
        <v xml:space="preserve"> </v>
      </c>
    </row>
    <row r="305" spans="1:15" x14ac:dyDescent="0.3">
      <c r="A305" s="1">
        <v>1657</v>
      </c>
      <c r="B305" s="1">
        <v>0</v>
      </c>
      <c r="C305" s="1" t="str">
        <f>IF(B305=0,VLOOKUP(A305,Feuil2!$A$2:$M$1241,2,FALSE)," ")</f>
        <v>BELLALOUNA</v>
      </c>
      <c r="D305" s="1" t="str">
        <f>IF(B305=0,VLOOKUP(A305,Feuil2!$A$2:$M$1241,3,FALSE)," ")</f>
        <v>NIDHAL</v>
      </c>
      <c r="E305" s="5">
        <f>IF(B305=0,VLOOKUP(A305,Feuil2!$A$2:$M$1241,6,FALSE)," ")</f>
        <v>29054</v>
      </c>
      <c r="F305" s="1" t="str">
        <f>IF(B305=0,VLOOKUP(A305,Feuil2!$A$2:$M$1241,12,FALSE)," ")</f>
        <v>H</v>
      </c>
      <c r="G305" s="1" t="str">
        <f>IF(B305=0,VLOOKUP(A305,Feuil2!$A$2:$M$1241,11,FALSE)," ")</f>
        <v>M</v>
      </c>
      <c r="H305" s="1" t="s">
        <v>16</v>
      </c>
      <c r="I305" s="6">
        <f>IF(B305=0,VLOOKUP(A305,Feuil2!$A$2:$M$1241,7,FALSE)," ")</f>
        <v>8427397</v>
      </c>
      <c r="J305" s="1" t="str">
        <f>IF(B305=0,VLOOKUP(A305,Feuil2!$A$2:$M$1241,9,FALSE)," ")</f>
        <v>4025 Sidi El Hani</v>
      </c>
      <c r="K305" s="1" t="str">
        <f>IF(B305=0,VLOOKUP(A305,Feuil2!$A$2:$M$1241,10,FALSE)," ")</f>
        <v>Sidi El HÃ©ni 4025</v>
      </c>
      <c r="L305" s="1"/>
      <c r="M305" s="1">
        <v>28103278</v>
      </c>
      <c r="N305" s="1"/>
      <c r="O305" s="8" t="str">
        <f>IF(B305=0,VLOOKUP(A305,Feuil2!$A$2:$M$1241,13,FALSE)," ")</f>
        <v>05048000116500468637</v>
      </c>
    </row>
    <row r="306" spans="1:15" x14ac:dyDescent="0.3">
      <c r="A306" s="1">
        <v>1657</v>
      </c>
      <c r="B306" s="1">
        <v>1</v>
      </c>
      <c r="C306" s="1" t="s">
        <v>2518</v>
      </c>
      <c r="D306" s="1" t="s">
        <v>402</v>
      </c>
      <c r="E306" s="5">
        <v>30084</v>
      </c>
      <c r="F306" s="1" t="s">
        <v>17</v>
      </c>
      <c r="G306" s="1" t="s">
        <v>15</v>
      </c>
      <c r="H306" s="1" t="s">
        <v>16</v>
      </c>
      <c r="I306" s="6" t="str">
        <f>IF(B306=0,VLOOKUP(A306,Feuil2!$A$2:$M$1241,7,FALSE)," ")</f>
        <v xml:space="preserve"> </v>
      </c>
      <c r="J306" s="1" t="str">
        <f>IF(B306=0,VLOOKUP(A306,Feuil2!$A$2:$M$1241,9,FALSE)," ")</f>
        <v xml:space="preserve"> </v>
      </c>
      <c r="K306" s="1" t="str">
        <f>IF(B306=0,VLOOKUP(A306,Feuil2!$A$2:$M$1241,10,FALSE)," ")</f>
        <v xml:space="preserve"> </v>
      </c>
      <c r="L306" s="1"/>
      <c r="M306" s="1"/>
      <c r="N306" s="1"/>
      <c r="O306" s="8" t="str">
        <f>IF(B306=0,VLOOKUP(A306,Feuil2!$A$2:$M$1241,13,FALSE)," ")</f>
        <v xml:space="preserve"> </v>
      </c>
    </row>
    <row r="307" spans="1:15" x14ac:dyDescent="0.3">
      <c r="A307" s="1">
        <v>1657</v>
      </c>
      <c r="B307" s="1">
        <v>2</v>
      </c>
      <c r="C307" s="1" t="s">
        <v>286</v>
      </c>
      <c r="D307" s="1" t="s">
        <v>2512</v>
      </c>
      <c r="E307" s="5">
        <v>37682</v>
      </c>
      <c r="F307" s="1" t="s">
        <v>17</v>
      </c>
      <c r="G307" s="1" t="str">
        <f>IF(B307=0,VLOOKUP(A307,Feuil2!$A$2:$M$1241,11,FALSE)," ")</f>
        <v xml:space="preserve"> </v>
      </c>
      <c r="H307" s="1" t="s">
        <v>16</v>
      </c>
      <c r="I307" s="6" t="str">
        <f>IF(B307=0,VLOOKUP(A307,Feuil2!$A$2:$M$1241,7,FALSE)," ")</f>
        <v xml:space="preserve"> </v>
      </c>
      <c r="J307" s="1" t="str">
        <f>IF(B307=0,VLOOKUP(A307,Feuil2!$A$2:$M$1241,9,FALSE)," ")</f>
        <v xml:space="preserve"> </v>
      </c>
      <c r="K307" s="1" t="str">
        <f>IF(B307=0,VLOOKUP(A307,Feuil2!$A$2:$M$1241,10,FALSE)," ")</f>
        <v xml:space="preserve"> </v>
      </c>
      <c r="L307" s="1"/>
      <c r="M307" s="1"/>
      <c r="N307" s="1"/>
      <c r="O307" s="8" t="str">
        <f>IF(B307=0,VLOOKUP(A307,Feuil2!$A$2:$M$1241,13,FALSE)," ")</f>
        <v xml:space="preserve"> </v>
      </c>
    </row>
    <row r="308" spans="1:15" x14ac:dyDescent="0.3">
      <c r="A308" s="1">
        <v>1657</v>
      </c>
      <c r="B308" s="1">
        <v>3</v>
      </c>
      <c r="C308" s="1" t="s">
        <v>286</v>
      </c>
      <c r="D308" s="1" t="s">
        <v>2089</v>
      </c>
      <c r="E308" s="5">
        <v>38429</v>
      </c>
      <c r="F308" s="1" t="s">
        <v>17</v>
      </c>
      <c r="G308" s="1" t="str">
        <f>IF(B308=0,VLOOKUP(A308,Feuil2!$A$2:$M$1241,11,FALSE)," ")</f>
        <v xml:space="preserve"> </v>
      </c>
      <c r="H308" s="1" t="s">
        <v>16</v>
      </c>
      <c r="I308" s="6" t="str">
        <f>IF(B308=0,VLOOKUP(A308,Feuil2!$A$2:$M$1241,7,FALSE)," ")</f>
        <v xml:space="preserve"> </v>
      </c>
      <c r="J308" s="1" t="str">
        <f>IF(B308=0,VLOOKUP(A308,Feuil2!$A$2:$M$1241,9,FALSE)," ")</f>
        <v xml:space="preserve"> </v>
      </c>
      <c r="K308" s="1" t="str">
        <f>IF(B308=0,VLOOKUP(A308,Feuil2!$A$2:$M$1241,10,FALSE)," ")</f>
        <v xml:space="preserve"> </v>
      </c>
      <c r="L308" s="1"/>
      <c r="M308" s="1"/>
      <c r="N308" s="1"/>
      <c r="O308" s="8" t="str">
        <f>IF(B308=0,VLOOKUP(A308,Feuil2!$A$2:$M$1241,13,FALSE)," ")</f>
        <v xml:space="preserve"> </v>
      </c>
    </row>
    <row r="309" spans="1:15" x14ac:dyDescent="0.3">
      <c r="A309" s="1">
        <v>1657</v>
      </c>
      <c r="B309" s="1">
        <v>4</v>
      </c>
      <c r="C309" s="1" t="s">
        <v>286</v>
      </c>
      <c r="D309" s="1" t="s">
        <v>2388</v>
      </c>
      <c r="E309" s="5">
        <v>39413</v>
      </c>
      <c r="F309" s="1" t="s">
        <v>506</v>
      </c>
      <c r="G309" s="1" t="str">
        <f>IF(B309=0,VLOOKUP(A309,Feuil2!$A$2:$M$1241,11,FALSE)," ")</f>
        <v xml:space="preserve"> </v>
      </c>
      <c r="H309" s="1" t="s">
        <v>16</v>
      </c>
      <c r="I309" s="6" t="str">
        <f>IF(B309=0,VLOOKUP(A309,Feuil2!$A$2:$M$1241,7,FALSE)," ")</f>
        <v xml:space="preserve"> </v>
      </c>
      <c r="J309" s="1" t="str">
        <f>IF(B309=0,VLOOKUP(A309,Feuil2!$A$2:$M$1241,9,FALSE)," ")</f>
        <v xml:space="preserve"> </v>
      </c>
      <c r="K309" s="1" t="str">
        <f>IF(B309=0,VLOOKUP(A309,Feuil2!$A$2:$M$1241,10,FALSE)," ")</f>
        <v xml:space="preserve"> </v>
      </c>
      <c r="L309" s="1"/>
      <c r="M309" s="1"/>
      <c r="N309" s="1"/>
      <c r="O309" s="8" t="str">
        <f>IF(B309=0,VLOOKUP(A309,Feuil2!$A$2:$M$1241,13,FALSE)," ")</f>
        <v xml:space="preserve"> </v>
      </c>
    </row>
    <row r="310" spans="1:15" x14ac:dyDescent="0.3">
      <c r="A310" s="1">
        <v>1657</v>
      </c>
      <c r="B310" s="1">
        <v>5</v>
      </c>
      <c r="C310" s="1" t="s">
        <v>286</v>
      </c>
      <c r="D310" s="1" t="s">
        <v>2519</v>
      </c>
      <c r="E310" s="5">
        <v>43671</v>
      </c>
      <c r="F310" s="1" t="s">
        <v>17</v>
      </c>
      <c r="G310" s="1" t="str">
        <f>IF(B310=0,VLOOKUP(A310,Feuil2!$A$2:$M$1241,11,FALSE)," ")</f>
        <v xml:space="preserve"> </v>
      </c>
      <c r="H310" s="1" t="s">
        <v>16</v>
      </c>
      <c r="I310" s="6" t="str">
        <f>IF(B310=0,VLOOKUP(A310,Feuil2!$A$2:$M$1241,7,FALSE)," ")</f>
        <v xml:space="preserve"> </v>
      </c>
      <c r="J310" s="1" t="str">
        <f>IF(B310=0,VLOOKUP(A310,Feuil2!$A$2:$M$1241,9,FALSE)," ")</f>
        <v xml:space="preserve"> </v>
      </c>
      <c r="K310" s="1" t="str">
        <f>IF(B310=0,VLOOKUP(A310,Feuil2!$A$2:$M$1241,10,FALSE)," ")</f>
        <v xml:space="preserve"> </v>
      </c>
      <c r="L310" s="1"/>
      <c r="M310" s="1"/>
      <c r="N310" s="1"/>
      <c r="O310" s="8" t="str">
        <f>IF(B310=0,VLOOKUP(A310,Feuil2!$A$2:$M$1241,13,FALSE)," ")</f>
        <v xml:space="preserve"> </v>
      </c>
    </row>
    <row r="311" spans="1:15" x14ac:dyDescent="0.3">
      <c r="A311" s="1">
        <v>1659</v>
      </c>
      <c r="B311" s="1">
        <v>0</v>
      </c>
      <c r="C311" s="1" t="str">
        <f>IF(B311=0,VLOOKUP(A311,Feuil2!$A$2:$M$1241,2,FALSE)," ")</f>
        <v>BEN ABDALLAH</v>
      </c>
      <c r="D311" s="1" t="str">
        <f>IF(B311=0,VLOOKUP(A311,Feuil2!$A$2:$M$1241,3,FALSE)," ")</f>
        <v>FAOUZI</v>
      </c>
      <c r="E311" s="5">
        <f>IF(B311=0,VLOOKUP(A311,Feuil2!$A$2:$M$1241,6,FALSE)," ")</f>
        <v>27814</v>
      </c>
      <c r="F311" s="1" t="str">
        <f>IF(B311=0,VLOOKUP(A311,Feuil2!$A$2:$M$1241,12,FALSE)," ")</f>
        <v>H</v>
      </c>
      <c r="G311" s="1" t="str">
        <f>IF(B311=0,VLOOKUP(A311,Feuil2!$A$2:$M$1241,11,FALSE)," ")</f>
        <v>M</v>
      </c>
      <c r="H311" s="1" t="s">
        <v>16</v>
      </c>
      <c r="I311" s="6">
        <f>IF(B311=0,VLOOKUP(A311,Feuil2!$A$2:$M$1241,7,FALSE)," ")</f>
        <v>5538237</v>
      </c>
      <c r="J311" s="1" t="str">
        <f>IF(B311=0,VLOOKUP(A311,Feuil2!$A$2:$M$1241,9,FALSE)," ")</f>
        <v>Cite Ibn Khaldoun</v>
      </c>
      <c r="K311" s="1" t="str">
        <f>IF(B311=0,VLOOKUP(A311,Feuil2!$A$2:$M$1241,10,FALSE)," ")</f>
        <v>Msaken 4070</v>
      </c>
      <c r="L311" s="1">
        <v>4070</v>
      </c>
      <c r="M311" s="1">
        <v>97339122</v>
      </c>
      <c r="N311" s="1"/>
      <c r="O311" s="8" t="str">
        <f>IF(B311=0,VLOOKUP(A311,Feuil2!$A$2:$M$1241,13,FALSE)," ")</f>
        <v>10506040206132178821</v>
      </c>
    </row>
    <row r="312" spans="1:15" x14ac:dyDescent="0.3">
      <c r="A312" s="1">
        <v>1659</v>
      </c>
      <c r="B312" s="1">
        <v>1</v>
      </c>
      <c r="C312" s="1" t="s">
        <v>703</v>
      </c>
      <c r="D312" s="1" t="s">
        <v>2352</v>
      </c>
      <c r="E312" s="5">
        <v>28139</v>
      </c>
      <c r="F312" s="1" t="s">
        <v>17</v>
      </c>
      <c r="G312" s="1" t="s">
        <v>15</v>
      </c>
      <c r="H312" s="1" t="s">
        <v>16</v>
      </c>
      <c r="I312" s="6" t="str">
        <f>IF(B312=0,VLOOKUP(A312,Feuil2!$A$2:$M$1241,7,FALSE)," ")</f>
        <v xml:space="preserve"> </v>
      </c>
      <c r="J312" s="1" t="str">
        <f>IF(B312=0,VLOOKUP(A312,Feuil2!$A$2:$M$1241,9,FALSE)," ")</f>
        <v xml:space="preserve"> </v>
      </c>
      <c r="K312" s="1" t="str">
        <f>IF(B312=0,VLOOKUP(A312,Feuil2!$A$2:$M$1241,10,FALSE)," ")</f>
        <v xml:space="preserve"> </v>
      </c>
      <c r="L312" s="1"/>
      <c r="M312" s="1"/>
      <c r="N312" s="1"/>
      <c r="O312" s="8" t="str">
        <f>IF(B312=0,VLOOKUP(A312,Feuil2!$A$2:$M$1241,13,FALSE)," ")</f>
        <v xml:space="preserve"> </v>
      </c>
    </row>
    <row r="313" spans="1:15" x14ac:dyDescent="0.3">
      <c r="A313" s="1">
        <v>1659</v>
      </c>
      <c r="B313" s="1">
        <v>2</v>
      </c>
      <c r="C313" s="1" t="s">
        <v>582</v>
      </c>
      <c r="D313" s="1" t="s">
        <v>449</v>
      </c>
      <c r="E313" s="5">
        <v>39816</v>
      </c>
      <c r="F313" s="1" t="s">
        <v>17</v>
      </c>
      <c r="G313" s="1" t="str">
        <f>IF(B313=0,VLOOKUP(A313,Feuil2!$A$2:$M$1241,11,FALSE)," ")</f>
        <v xml:space="preserve"> </v>
      </c>
      <c r="H313" s="1" t="s">
        <v>16</v>
      </c>
      <c r="I313" s="6" t="str">
        <f>IF(B313=0,VLOOKUP(A313,Feuil2!$A$2:$M$1241,7,FALSE)," ")</f>
        <v xml:space="preserve"> </v>
      </c>
      <c r="J313" s="1" t="str">
        <f>IF(B313=0,VLOOKUP(A313,Feuil2!$A$2:$M$1241,9,FALSE)," ")</f>
        <v xml:space="preserve"> </v>
      </c>
      <c r="K313" s="1" t="str">
        <f>IF(B313=0,VLOOKUP(A313,Feuil2!$A$2:$M$1241,10,FALSE)," ")</f>
        <v xml:space="preserve"> </v>
      </c>
      <c r="L313" s="1"/>
      <c r="M313" s="1"/>
      <c r="N313" s="1"/>
      <c r="O313" s="8" t="str">
        <f>IF(B313=0,VLOOKUP(A313,Feuil2!$A$2:$M$1241,13,FALSE)," ")</f>
        <v xml:space="preserve"> </v>
      </c>
    </row>
    <row r="314" spans="1:15" x14ac:dyDescent="0.3">
      <c r="A314" s="1">
        <v>1659</v>
      </c>
      <c r="B314" s="1">
        <v>3</v>
      </c>
      <c r="C314" s="1" t="s">
        <v>582</v>
      </c>
      <c r="D314" s="1" t="s">
        <v>2353</v>
      </c>
      <c r="E314" s="5">
        <v>40837</v>
      </c>
      <c r="F314" s="1" t="s">
        <v>17</v>
      </c>
      <c r="G314" s="1" t="str">
        <f>IF(B314=0,VLOOKUP(A314,Feuil2!$A$2:$M$1241,11,FALSE)," ")</f>
        <v xml:space="preserve"> </v>
      </c>
      <c r="H314" s="1" t="s">
        <v>16</v>
      </c>
      <c r="I314" s="6" t="str">
        <f>IF(B314=0,VLOOKUP(A314,Feuil2!$A$2:$M$1241,7,FALSE)," ")</f>
        <v xml:space="preserve"> </v>
      </c>
      <c r="J314" s="1" t="str">
        <f>IF(B314=0,VLOOKUP(A314,Feuil2!$A$2:$M$1241,9,FALSE)," ")</f>
        <v xml:space="preserve"> </v>
      </c>
      <c r="K314" s="1" t="str">
        <f>IF(B314=0,VLOOKUP(A314,Feuil2!$A$2:$M$1241,10,FALSE)," ")</f>
        <v xml:space="preserve"> </v>
      </c>
      <c r="L314" s="1"/>
      <c r="M314" s="1"/>
      <c r="N314" s="1"/>
      <c r="O314" s="8" t="str">
        <f>IF(B314=0,VLOOKUP(A314,Feuil2!$A$2:$M$1241,13,FALSE)," ")</f>
        <v xml:space="preserve"> </v>
      </c>
    </row>
    <row r="315" spans="1:15" x14ac:dyDescent="0.3">
      <c r="A315" s="1">
        <v>1659</v>
      </c>
      <c r="B315" s="1">
        <v>4</v>
      </c>
      <c r="C315" s="1" t="s">
        <v>582</v>
      </c>
      <c r="D315" s="1" t="s">
        <v>110</v>
      </c>
      <c r="E315" s="5">
        <v>40837</v>
      </c>
      <c r="F315" s="1" t="s">
        <v>506</v>
      </c>
      <c r="G315" s="1" t="str">
        <f>IF(B315=0,VLOOKUP(A315,Feuil2!$A$2:$M$1241,11,FALSE)," ")</f>
        <v xml:space="preserve"> </v>
      </c>
      <c r="H315" s="1" t="s">
        <v>16</v>
      </c>
      <c r="I315" s="6" t="str">
        <f>IF(B315=0,VLOOKUP(A315,Feuil2!$A$2:$M$1241,7,FALSE)," ")</f>
        <v xml:space="preserve"> </v>
      </c>
      <c r="J315" s="1" t="str">
        <f>IF(B315=0,VLOOKUP(A315,Feuil2!$A$2:$M$1241,9,FALSE)," ")</f>
        <v xml:space="preserve"> </v>
      </c>
      <c r="K315" s="1" t="str">
        <f>IF(B315=0,VLOOKUP(A315,Feuil2!$A$2:$M$1241,10,FALSE)," ")</f>
        <v xml:space="preserve"> </v>
      </c>
      <c r="L315" s="1"/>
      <c r="M315" s="1"/>
      <c r="N315" s="1"/>
      <c r="O315" s="8" t="str">
        <f>IF(B315=0,VLOOKUP(A315,Feuil2!$A$2:$M$1241,13,FALSE)," ")</f>
        <v xml:space="preserve"> </v>
      </c>
    </row>
    <row r="316" spans="1:15" x14ac:dyDescent="0.3">
      <c r="A316" s="1">
        <v>1659</v>
      </c>
      <c r="B316" s="1">
        <v>5</v>
      </c>
      <c r="C316" s="1" t="s">
        <v>582</v>
      </c>
      <c r="D316" s="1" t="s">
        <v>2338</v>
      </c>
      <c r="E316" s="5">
        <v>42850</v>
      </c>
      <c r="F316" s="1" t="s">
        <v>17</v>
      </c>
      <c r="G316" s="1" t="str">
        <f>IF(B316=0,VLOOKUP(A316,Feuil2!$A$2:$M$1241,11,FALSE)," ")</f>
        <v xml:space="preserve"> </v>
      </c>
      <c r="H316" s="1" t="s">
        <v>16</v>
      </c>
      <c r="I316" s="6" t="str">
        <f>IF(B316=0,VLOOKUP(A316,Feuil2!$A$2:$M$1241,7,FALSE)," ")</f>
        <v xml:space="preserve"> </v>
      </c>
      <c r="J316" s="1" t="str">
        <f>IF(B316=0,VLOOKUP(A316,Feuil2!$A$2:$M$1241,9,FALSE)," ")</f>
        <v xml:space="preserve"> </v>
      </c>
      <c r="K316" s="1" t="str">
        <f>IF(B316=0,VLOOKUP(A316,Feuil2!$A$2:$M$1241,10,FALSE)," ")</f>
        <v xml:space="preserve"> </v>
      </c>
      <c r="L316" s="1"/>
      <c r="M316" s="1"/>
      <c r="N316" s="1"/>
      <c r="O316" s="8" t="str">
        <f>IF(B316=0,VLOOKUP(A316,Feuil2!$A$2:$M$1241,13,FALSE)," ")</f>
        <v xml:space="preserve"> </v>
      </c>
    </row>
    <row r="317" spans="1:15" x14ac:dyDescent="0.3">
      <c r="A317" s="1">
        <v>1663</v>
      </c>
      <c r="B317" s="1">
        <v>0</v>
      </c>
      <c r="C317" s="1" t="str">
        <f>IF(B317=0,VLOOKUP(A317,Feuil2!$A$2:$M$1241,2,FALSE)," ")</f>
        <v>ACHOUR</v>
      </c>
      <c r="D317" s="1" t="str">
        <f>IF(B317=0,VLOOKUP(A317,Feuil2!$A$2:$M$1241,3,FALSE)," ")</f>
        <v>NAOUFEL</v>
      </c>
      <c r="E317" s="5">
        <f>IF(B317=0,VLOOKUP(A317,Feuil2!$A$2:$M$1241,6,FALSE)," ")</f>
        <v>27760</v>
      </c>
      <c r="F317" s="1" t="str">
        <f>IF(B317=0,VLOOKUP(A317,Feuil2!$A$2:$M$1241,12,FALSE)," ")</f>
        <v>H</v>
      </c>
      <c r="G317" s="1" t="str">
        <f>IF(B317=0,VLOOKUP(A317,Feuil2!$A$2:$M$1241,11,FALSE)," ")</f>
        <v>M</v>
      </c>
      <c r="H317" s="1" t="s">
        <v>16</v>
      </c>
      <c r="I317" s="6">
        <f>IF(B317=0,VLOOKUP(A317,Feuil2!$A$2:$M$1241,7,FALSE)," ")</f>
        <v>5597309</v>
      </c>
      <c r="J317" s="1" t="str">
        <f>IF(B317=0,VLOOKUP(A317,Feuil2!$A$2:$M$1241,9,FALSE)," ")</f>
        <v>23 Rue El Imam Mezri</v>
      </c>
      <c r="K317" s="1" t="str">
        <f>IF(B317=0,VLOOKUP(A317,Feuil2!$A$2:$M$1241,10,FALSE)," ")</f>
        <v>Msaken 4070</v>
      </c>
      <c r="L317" s="1">
        <v>4070</v>
      </c>
      <c r="M317" s="1">
        <v>23557377</v>
      </c>
      <c r="N317" s="1"/>
      <c r="O317" s="8" t="str">
        <f>IF(B317=0,VLOOKUP(A317,Feuil2!$A$2:$M$1241,13,FALSE)," ")</f>
        <v>04204067404000823971</v>
      </c>
    </row>
    <row r="318" spans="1:15" x14ac:dyDescent="0.3">
      <c r="A318" s="1">
        <v>1663</v>
      </c>
      <c r="B318" s="1">
        <v>1</v>
      </c>
      <c r="C318" s="1" t="s">
        <v>229</v>
      </c>
      <c r="D318" s="1" t="s">
        <v>1787</v>
      </c>
      <c r="E318" s="5">
        <v>27892</v>
      </c>
      <c r="F318" s="1" t="s">
        <v>17</v>
      </c>
      <c r="G318" s="1" t="s">
        <v>15</v>
      </c>
      <c r="H318" s="1" t="s">
        <v>16</v>
      </c>
      <c r="I318" s="6" t="str">
        <f>IF(B318=0,VLOOKUP(A318,Feuil2!$A$2:$M$1241,7,FALSE)," ")</f>
        <v xml:space="preserve"> </v>
      </c>
      <c r="J318" s="1" t="str">
        <f>IF(B318=0,VLOOKUP(A318,Feuil2!$A$2:$M$1241,9,FALSE)," ")</f>
        <v xml:space="preserve"> </v>
      </c>
      <c r="K318" s="1" t="str">
        <f>IF(B318=0,VLOOKUP(A318,Feuil2!$A$2:$M$1241,10,FALSE)," ")</f>
        <v xml:space="preserve"> </v>
      </c>
      <c r="L318" s="1"/>
      <c r="M318" s="1"/>
      <c r="N318" s="1"/>
      <c r="O318" s="8" t="str">
        <f>IF(B318=0,VLOOKUP(A318,Feuil2!$A$2:$M$1241,13,FALSE)," ")</f>
        <v xml:space="preserve"> </v>
      </c>
    </row>
    <row r="319" spans="1:15" x14ac:dyDescent="0.3">
      <c r="A319" s="1">
        <v>1663</v>
      </c>
      <c r="B319" s="1">
        <v>2</v>
      </c>
      <c r="C319" s="1" t="s">
        <v>264</v>
      </c>
      <c r="D319" s="1" t="s">
        <v>2477</v>
      </c>
      <c r="E319" s="5">
        <v>37862</v>
      </c>
      <c r="F319" s="1" t="s">
        <v>17</v>
      </c>
      <c r="G319" s="1" t="str">
        <f>IF(B319=0,VLOOKUP(A319,Feuil2!$A$2:$M$1241,11,FALSE)," ")</f>
        <v xml:space="preserve"> </v>
      </c>
      <c r="H319" s="1" t="s">
        <v>16</v>
      </c>
      <c r="I319" s="6" t="str">
        <f>IF(B319=0,VLOOKUP(A319,Feuil2!$A$2:$M$1241,7,FALSE)," ")</f>
        <v xml:space="preserve"> </v>
      </c>
      <c r="J319" s="1" t="str">
        <f>IF(B319=0,VLOOKUP(A319,Feuil2!$A$2:$M$1241,9,FALSE)," ")</f>
        <v xml:space="preserve"> </v>
      </c>
      <c r="K319" s="1" t="str">
        <f>IF(B319=0,VLOOKUP(A319,Feuil2!$A$2:$M$1241,10,FALSE)," ")</f>
        <v xml:space="preserve"> </v>
      </c>
      <c r="L319" s="1"/>
      <c r="M319" s="1"/>
      <c r="N319" s="1"/>
      <c r="O319" s="8" t="str">
        <f>IF(B319=0,VLOOKUP(A319,Feuil2!$A$2:$M$1241,13,FALSE)," ")</f>
        <v xml:space="preserve"> </v>
      </c>
    </row>
    <row r="320" spans="1:15" x14ac:dyDescent="0.3">
      <c r="A320" s="1">
        <v>1663</v>
      </c>
      <c r="B320" s="1">
        <v>3</v>
      </c>
      <c r="C320" s="1" t="s">
        <v>264</v>
      </c>
      <c r="D320" s="1" t="s">
        <v>2432</v>
      </c>
      <c r="E320" s="5">
        <v>38813</v>
      </c>
      <c r="F320" s="1" t="s">
        <v>17</v>
      </c>
      <c r="G320" s="1" t="str">
        <f>IF(B320=0,VLOOKUP(A320,Feuil2!$A$2:$M$1241,11,FALSE)," ")</f>
        <v xml:space="preserve"> </v>
      </c>
      <c r="H320" s="1" t="s">
        <v>16</v>
      </c>
      <c r="I320" s="6" t="str">
        <f>IF(B320=0,VLOOKUP(A320,Feuil2!$A$2:$M$1241,7,FALSE)," ")</f>
        <v xml:space="preserve"> </v>
      </c>
      <c r="J320" s="1" t="str">
        <f>IF(B320=0,VLOOKUP(A320,Feuil2!$A$2:$M$1241,9,FALSE)," ")</f>
        <v xml:space="preserve"> </v>
      </c>
      <c r="K320" s="1" t="str">
        <f>IF(B320=0,VLOOKUP(A320,Feuil2!$A$2:$M$1241,10,FALSE)," ")</f>
        <v xml:space="preserve"> </v>
      </c>
      <c r="L320" s="1"/>
      <c r="M320" s="1"/>
      <c r="N320" s="1"/>
      <c r="O320" s="8" t="str">
        <f>IF(B320=0,VLOOKUP(A320,Feuil2!$A$2:$M$1241,13,FALSE)," ")</f>
        <v xml:space="preserve"> </v>
      </c>
    </row>
    <row r="321" spans="1:15" x14ac:dyDescent="0.3">
      <c r="A321" s="1">
        <v>1663</v>
      </c>
      <c r="B321" s="1">
        <v>4</v>
      </c>
      <c r="C321" s="1" t="s">
        <v>264</v>
      </c>
      <c r="D321" s="1" t="s">
        <v>2492</v>
      </c>
      <c r="E321" s="5">
        <v>39974</v>
      </c>
      <c r="F321" s="1" t="s">
        <v>17</v>
      </c>
      <c r="G321" s="1" t="str">
        <f>IF(B321=0,VLOOKUP(A321,Feuil2!$A$2:$M$1241,11,FALSE)," ")</f>
        <v xml:space="preserve"> </v>
      </c>
      <c r="H321" s="1" t="s">
        <v>16</v>
      </c>
      <c r="I321" s="6" t="str">
        <f>IF(B321=0,VLOOKUP(A321,Feuil2!$A$2:$M$1241,7,FALSE)," ")</f>
        <v xml:space="preserve"> </v>
      </c>
      <c r="J321" s="1" t="str">
        <f>IF(B321=0,VLOOKUP(A321,Feuil2!$A$2:$M$1241,9,FALSE)," ")</f>
        <v xml:space="preserve"> </v>
      </c>
      <c r="K321" s="1" t="str">
        <f>IF(B321=0,VLOOKUP(A321,Feuil2!$A$2:$M$1241,10,FALSE)," ")</f>
        <v xml:space="preserve"> </v>
      </c>
      <c r="L321" s="1"/>
      <c r="M321" s="1"/>
      <c r="N321" s="1"/>
      <c r="O321" s="8" t="str">
        <f>IF(B321=0,VLOOKUP(A321,Feuil2!$A$2:$M$1241,13,FALSE)," ")</f>
        <v xml:space="preserve"> </v>
      </c>
    </row>
    <row r="322" spans="1:15" x14ac:dyDescent="0.3">
      <c r="A322" s="1">
        <v>1663</v>
      </c>
      <c r="B322" s="1">
        <v>5</v>
      </c>
      <c r="C322" s="1" t="s">
        <v>264</v>
      </c>
      <c r="D322" s="1" t="s">
        <v>2493</v>
      </c>
      <c r="E322" s="5">
        <v>40799</v>
      </c>
      <c r="F322" s="1" t="s">
        <v>506</v>
      </c>
      <c r="G322" s="1" t="str">
        <f>IF(B322=0,VLOOKUP(A322,Feuil2!$A$2:$M$1241,11,FALSE)," ")</f>
        <v xml:space="preserve"> </v>
      </c>
      <c r="H322" s="1" t="s">
        <v>16</v>
      </c>
      <c r="I322" s="6" t="str">
        <f>IF(B322=0,VLOOKUP(A322,Feuil2!$A$2:$M$1241,7,FALSE)," ")</f>
        <v xml:space="preserve"> </v>
      </c>
      <c r="J322" s="1" t="str">
        <f>IF(B322=0,VLOOKUP(A322,Feuil2!$A$2:$M$1241,9,FALSE)," ")</f>
        <v xml:space="preserve"> </v>
      </c>
      <c r="K322" s="1" t="str">
        <f>IF(B322=0,VLOOKUP(A322,Feuil2!$A$2:$M$1241,10,FALSE)," ")</f>
        <v xml:space="preserve"> </v>
      </c>
      <c r="L322" s="1"/>
      <c r="M322" s="1"/>
      <c r="N322" s="1"/>
      <c r="O322" s="8" t="str">
        <f>IF(B322=0,VLOOKUP(A322,Feuil2!$A$2:$M$1241,13,FALSE)," ")</f>
        <v xml:space="preserve"> </v>
      </c>
    </row>
    <row r="323" spans="1:15" x14ac:dyDescent="0.3">
      <c r="A323" s="1">
        <v>1664</v>
      </c>
      <c r="B323" s="1">
        <v>0</v>
      </c>
      <c r="C323" s="1" t="str">
        <f>IF(B323=0,VLOOKUP(A323,Feuil2!$A$2:$M$1241,2,FALSE)," ")</f>
        <v>BEN SAOUD</v>
      </c>
      <c r="D323" s="1" t="str">
        <f>IF(B323=0,VLOOKUP(A323,Feuil2!$A$2:$M$1241,3,FALSE)," ")</f>
        <v>SOFIANE</v>
      </c>
      <c r="E323" s="5">
        <f>IF(B323=0,VLOOKUP(A323,Feuil2!$A$2:$M$1241,6,FALSE)," ")</f>
        <v>27938</v>
      </c>
      <c r="F323" s="1" t="str">
        <f>IF(B323=0,VLOOKUP(A323,Feuil2!$A$2:$M$1241,12,FALSE)," ")</f>
        <v>H</v>
      </c>
      <c r="G323" s="1" t="str">
        <f>IF(B323=0,VLOOKUP(A323,Feuil2!$A$2:$M$1241,11,FALSE)," ")</f>
        <v>M</v>
      </c>
      <c r="H323" s="1" t="s">
        <v>16</v>
      </c>
      <c r="I323" s="6">
        <f>IF(B323=0,VLOOKUP(A323,Feuil2!$A$2:$M$1241,7,FALSE)," ")</f>
        <v>5581921</v>
      </c>
      <c r="J323" s="1" t="str">
        <f>IF(B323=0,VLOOKUP(A323,Feuil2!$A$2:$M$1241,9,FALSE)," ")</f>
        <v>4025 Sidi El Hani</v>
      </c>
      <c r="K323" s="1" t="str">
        <f>IF(B323=0,VLOOKUP(A323,Feuil2!$A$2:$M$1241,10,FALSE)," ")</f>
        <v>Sidi El HÃ©ni 4025</v>
      </c>
      <c r="L323" s="1"/>
      <c r="M323" s="1">
        <v>98983470</v>
      </c>
      <c r="N323" s="1"/>
      <c r="O323" s="8" t="str">
        <f>IF(B323=0,VLOOKUP(A323,Feuil2!$A$2:$M$1241,13,FALSE)," ")</f>
        <v>17503000000137755137</v>
      </c>
    </row>
    <row r="324" spans="1:15" x14ac:dyDescent="0.3">
      <c r="A324" s="1">
        <v>1664</v>
      </c>
      <c r="B324" s="1">
        <v>1</v>
      </c>
      <c r="C324" s="1" t="s">
        <v>2413</v>
      </c>
      <c r="D324" s="1" t="s">
        <v>2372</v>
      </c>
      <c r="E324" s="5">
        <v>33254</v>
      </c>
      <c r="F324" s="1" t="s">
        <v>17</v>
      </c>
      <c r="G324" s="1" t="s">
        <v>15</v>
      </c>
      <c r="H324" s="1" t="s">
        <v>16</v>
      </c>
      <c r="I324" s="6" t="str">
        <f>IF(B324=0,VLOOKUP(A324,Feuil2!$A$2:$M$1241,7,FALSE)," ")</f>
        <v xml:space="preserve"> </v>
      </c>
      <c r="J324" s="1" t="str">
        <f>IF(B324=0,VLOOKUP(A324,Feuil2!$A$2:$M$1241,9,FALSE)," ")</f>
        <v xml:space="preserve"> </v>
      </c>
      <c r="K324" s="1" t="str">
        <f>IF(B324=0,VLOOKUP(A324,Feuil2!$A$2:$M$1241,10,FALSE)," ")</f>
        <v xml:space="preserve"> </v>
      </c>
      <c r="L324" s="1"/>
      <c r="M324" s="1"/>
      <c r="N324" s="1"/>
      <c r="O324" s="8" t="str">
        <f>IF(B324=0,VLOOKUP(A324,Feuil2!$A$2:$M$1241,13,FALSE)," ")</f>
        <v xml:space="preserve"> </v>
      </c>
    </row>
    <row r="325" spans="1:15" x14ac:dyDescent="0.3">
      <c r="A325" s="1">
        <v>1664</v>
      </c>
      <c r="B325" s="1">
        <v>2</v>
      </c>
      <c r="C325" s="1" t="s">
        <v>1553</v>
      </c>
      <c r="D325" s="1" t="s">
        <v>2377</v>
      </c>
      <c r="E325" s="5">
        <v>41799</v>
      </c>
      <c r="F325" s="1" t="s">
        <v>17</v>
      </c>
      <c r="G325" s="1" t="str">
        <f>IF(B325=0,VLOOKUP(A325,Feuil2!$A$2:$M$1241,11,FALSE)," ")</f>
        <v xml:space="preserve"> </v>
      </c>
      <c r="H325" s="1" t="s">
        <v>16</v>
      </c>
      <c r="I325" s="6" t="str">
        <f>IF(B325=0,VLOOKUP(A325,Feuil2!$A$2:$M$1241,7,FALSE)," ")</f>
        <v xml:space="preserve"> </v>
      </c>
      <c r="J325" s="1" t="str">
        <f>IF(B325=0,VLOOKUP(A325,Feuil2!$A$2:$M$1241,9,FALSE)," ")</f>
        <v xml:space="preserve"> </v>
      </c>
      <c r="K325" s="1" t="str">
        <f>IF(B325=0,VLOOKUP(A325,Feuil2!$A$2:$M$1241,10,FALSE)," ")</f>
        <v xml:space="preserve"> </v>
      </c>
      <c r="L325" s="1"/>
      <c r="M325" s="1"/>
      <c r="N325" s="1"/>
      <c r="O325" s="8" t="str">
        <f>IF(B325=0,VLOOKUP(A325,Feuil2!$A$2:$M$1241,13,FALSE)," ")</f>
        <v xml:space="preserve"> </v>
      </c>
    </row>
    <row r="326" spans="1:15" x14ac:dyDescent="0.3">
      <c r="A326" s="1">
        <v>1664</v>
      </c>
      <c r="B326" s="1">
        <v>3</v>
      </c>
      <c r="C326" s="1" t="s">
        <v>1553</v>
      </c>
      <c r="D326" s="1" t="s">
        <v>2347</v>
      </c>
      <c r="E326" s="5">
        <v>42473</v>
      </c>
      <c r="F326" s="1" t="s">
        <v>506</v>
      </c>
      <c r="G326" s="1" t="str">
        <f>IF(B326=0,VLOOKUP(A326,Feuil2!$A$2:$M$1241,11,FALSE)," ")</f>
        <v xml:space="preserve"> </v>
      </c>
      <c r="H326" s="1" t="s">
        <v>16</v>
      </c>
      <c r="I326" s="6" t="str">
        <f>IF(B326=0,VLOOKUP(A326,Feuil2!$A$2:$M$1241,7,FALSE)," ")</f>
        <v xml:space="preserve"> </v>
      </c>
      <c r="J326" s="1" t="str">
        <f>IF(B326=0,VLOOKUP(A326,Feuil2!$A$2:$M$1241,9,FALSE)," ")</f>
        <v xml:space="preserve"> </v>
      </c>
      <c r="K326" s="1" t="str">
        <f>IF(B326=0,VLOOKUP(A326,Feuil2!$A$2:$M$1241,10,FALSE)," ")</f>
        <v xml:space="preserve"> </v>
      </c>
      <c r="L326" s="1"/>
      <c r="M326" s="1"/>
      <c r="N326" s="1"/>
      <c r="O326" s="8" t="str">
        <f>IF(B326=0,VLOOKUP(A326,Feuil2!$A$2:$M$1241,13,FALSE)," ")</f>
        <v xml:space="preserve"> </v>
      </c>
    </row>
    <row r="327" spans="1:15" x14ac:dyDescent="0.3">
      <c r="A327" s="1">
        <v>1666</v>
      </c>
      <c r="B327" s="1">
        <v>0</v>
      </c>
      <c r="C327" s="1" t="str">
        <f>IF(B327=0,VLOOKUP(A327,Feuil2!$A$2:$M$1241,2,FALSE)," ")</f>
        <v>BOUZIR</v>
      </c>
      <c r="D327" s="1" t="str">
        <f>IF(B327=0,VLOOKUP(A327,Feuil2!$A$2:$M$1241,3,FALSE)," ")</f>
        <v>SAHBI</v>
      </c>
      <c r="E327" s="5">
        <f>IF(B327=0,VLOOKUP(A327,Feuil2!$A$2:$M$1241,6,FALSE)," ")</f>
        <v>27900</v>
      </c>
      <c r="F327" s="1" t="str">
        <f>IF(B327=0,VLOOKUP(A327,Feuil2!$A$2:$M$1241,12,FALSE)," ")</f>
        <v>H</v>
      </c>
      <c r="G327" s="1" t="str">
        <f>IF(B327=0,VLOOKUP(A327,Feuil2!$A$2:$M$1241,11,FALSE)," ")</f>
        <v>M</v>
      </c>
      <c r="H327" s="1" t="s">
        <v>16</v>
      </c>
      <c r="I327" s="6">
        <f>IF(B327=0,VLOOKUP(A327,Feuil2!$A$2:$M$1241,7,FALSE)," ")</f>
        <v>5583952</v>
      </c>
      <c r="J327" s="1" t="str">
        <f>IF(B327=0,VLOOKUP(A327,Feuil2!$A$2:$M$1241,9,FALSE)," ")</f>
        <v>25 Rue Aboubaker Elkhouarezmi</v>
      </c>
      <c r="K327" s="1" t="str">
        <f>IF(B327=0,VLOOKUP(A327,Feuil2!$A$2:$M$1241,10,FALSE)," ")</f>
        <v>Kalaa Sghira</v>
      </c>
      <c r="L327" s="1"/>
      <c r="M327" s="1">
        <v>98783248</v>
      </c>
      <c r="N327" s="1"/>
      <c r="O327" s="8" t="str">
        <f>IF(B327=0,VLOOKUP(A327,Feuil2!$A$2:$M$1241,13,FALSE)," ")</f>
        <v>04204067001134753157</v>
      </c>
    </row>
    <row r="328" spans="1:15" x14ac:dyDescent="0.3">
      <c r="A328" s="1">
        <v>1666</v>
      </c>
      <c r="B328" s="1">
        <v>1</v>
      </c>
      <c r="C328" s="1" t="s">
        <v>251</v>
      </c>
      <c r="D328" s="1" t="s">
        <v>2429</v>
      </c>
      <c r="E328" s="5">
        <v>30638</v>
      </c>
      <c r="F328" s="1" t="s">
        <v>17</v>
      </c>
      <c r="G328" s="1" t="s">
        <v>15</v>
      </c>
      <c r="H328" s="1" t="s">
        <v>16</v>
      </c>
      <c r="I328" s="6" t="str">
        <f>IF(B328=0,VLOOKUP(A328,Feuil2!$A$2:$M$1241,7,FALSE)," ")</f>
        <v xml:space="preserve"> </v>
      </c>
      <c r="J328" s="1" t="str">
        <f>IF(B328=0,VLOOKUP(A328,Feuil2!$A$2:$M$1241,9,FALSE)," ")</f>
        <v xml:space="preserve"> </v>
      </c>
      <c r="K328" s="1" t="str">
        <f>IF(B328=0,VLOOKUP(A328,Feuil2!$A$2:$M$1241,10,FALSE)," ")</f>
        <v xml:space="preserve"> </v>
      </c>
      <c r="L328" s="1"/>
      <c r="M328" s="1"/>
      <c r="N328" s="1"/>
      <c r="O328" s="8" t="str">
        <f>IF(B328=0,VLOOKUP(A328,Feuil2!$A$2:$M$1241,13,FALSE)," ")</f>
        <v xml:space="preserve"> </v>
      </c>
    </row>
    <row r="329" spans="1:15" x14ac:dyDescent="0.3">
      <c r="A329" s="1">
        <v>1666</v>
      </c>
      <c r="B329" s="1">
        <v>2</v>
      </c>
      <c r="C329" s="1" t="s">
        <v>135</v>
      </c>
      <c r="D329" s="1" t="s">
        <v>2384</v>
      </c>
      <c r="E329" s="5">
        <v>39332</v>
      </c>
      <c r="F329" s="1" t="s">
        <v>17</v>
      </c>
      <c r="G329" s="1" t="str">
        <f>IF(B329=0,VLOOKUP(A329,Feuil2!$A$2:$M$1241,11,FALSE)," ")</f>
        <v xml:space="preserve"> </v>
      </c>
      <c r="H329" s="1" t="s">
        <v>16</v>
      </c>
      <c r="I329" s="6" t="str">
        <f>IF(B329=0,VLOOKUP(A329,Feuil2!$A$2:$M$1241,7,FALSE)," ")</f>
        <v xml:space="preserve"> </v>
      </c>
      <c r="J329" s="1" t="str">
        <f>IF(B329=0,VLOOKUP(A329,Feuil2!$A$2:$M$1241,9,FALSE)," ")</f>
        <v xml:space="preserve"> </v>
      </c>
      <c r="K329" s="1" t="str">
        <f>IF(B329=0,VLOOKUP(A329,Feuil2!$A$2:$M$1241,10,FALSE)," ")</f>
        <v xml:space="preserve"> </v>
      </c>
      <c r="L329" s="1"/>
      <c r="M329" s="1"/>
      <c r="N329" s="1"/>
      <c r="O329" s="8" t="str">
        <f>IF(B329=0,VLOOKUP(A329,Feuil2!$A$2:$M$1241,13,FALSE)," ")</f>
        <v xml:space="preserve"> </v>
      </c>
    </row>
    <row r="330" spans="1:15" x14ac:dyDescent="0.3">
      <c r="A330" s="1">
        <v>1666</v>
      </c>
      <c r="B330" s="1">
        <v>3</v>
      </c>
      <c r="C330" s="1" t="s">
        <v>135</v>
      </c>
      <c r="D330" s="1" t="s">
        <v>61</v>
      </c>
      <c r="E330" s="5">
        <v>41785</v>
      </c>
      <c r="F330" s="1" t="s">
        <v>506</v>
      </c>
      <c r="G330" s="1" t="str">
        <f>IF(B330=0,VLOOKUP(A330,Feuil2!$A$2:$M$1241,11,FALSE)," ")</f>
        <v xml:space="preserve"> </v>
      </c>
      <c r="H330" s="1" t="s">
        <v>16</v>
      </c>
      <c r="I330" s="6" t="str">
        <f>IF(B330=0,VLOOKUP(A330,Feuil2!$A$2:$M$1241,7,FALSE)," ")</f>
        <v xml:space="preserve"> </v>
      </c>
      <c r="J330" s="1" t="str">
        <f>IF(B330=0,VLOOKUP(A330,Feuil2!$A$2:$M$1241,9,FALSE)," ")</f>
        <v xml:space="preserve"> </v>
      </c>
      <c r="K330" s="1" t="str">
        <f>IF(B330=0,VLOOKUP(A330,Feuil2!$A$2:$M$1241,10,FALSE)," ")</f>
        <v xml:space="preserve"> </v>
      </c>
      <c r="L330" s="1"/>
      <c r="M330" s="1"/>
      <c r="N330" s="1"/>
      <c r="O330" s="8" t="str">
        <f>IF(B330=0,VLOOKUP(A330,Feuil2!$A$2:$M$1241,13,FALSE)," ")</f>
        <v xml:space="preserve"> </v>
      </c>
    </row>
    <row r="331" spans="1:15" x14ac:dyDescent="0.3">
      <c r="A331" s="1">
        <v>1667</v>
      </c>
      <c r="B331" s="1">
        <v>0</v>
      </c>
      <c r="C331" s="1" t="str">
        <f>IF(B331=0,VLOOKUP(A331,Feuil2!$A$2:$M$1241,2,FALSE)," ")</f>
        <v>MRIZEK</v>
      </c>
      <c r="D331" s="1" t="str">
        <f>IF(B331=0,VLOOKUP(A331,Feuil2!$A$2:$M$1241,3,FALSE)," ")</f>
        <v>TAOUFIK</v>
      </c>
      <c r="E331" s="5">
        <f>IF(B331=0,VLOOKUP(A331,Feuil2!$A$2:$M$1241,6,FALSE)," ")</f>
        <v>27017</v>
      </c>
      <c r="F331" s="1" t="str">
        <f>IF(B331=0,VLOOKUP(A331,Feuil2!$A$2:$M$1241,12,FALSE)," ")</f>
        <v>H</v>
      </c>
      <c r="G331" s="1" t="str">
        <f>IF(B331=0,VLOOKUP(A331,Feuil2!$A$2:$M$1241,11,FALSE)," ")</f>
        <v>M</v>
      </c>
      <c r="H331" s="1" t="s">
        <v>16</v>
      </c>
      <c r="I331" s="6">
        <f>IF(B331=0,VLOOKUP(A331,Feuil2!$A$2:$M$1241,7,FALSE)," ")</f>
        <v>5589553</v>
      </c>
      <c r="J331" s="1" t="str">
        <f>IF(B331=0,VLOOKUP(A331,Feuil2!$A$2:$M$1241,9,FALSE)," ")</f>
        <v>36 Rue El Imam Mezri</v>
      </c>
      <c r="K331" s="1" t="str">
        <f>IF(B331=0,VLOOKUP(A331,Feuil2!$A$2:$M$1241,10,FALSE)," ")</f>
        <v>Msaken 4070</v>
      </c>
      <c r="L331" s="1">
        <v>4070</v>
      </c>
      <c r="M331" s="1">
        <v>27257984</v>
      </c>
      <c r="N331" s="1"/>
      <c r="O331" s="8" t="str">
        <f>IF(B331=0,VLOOKUP(A331,Feuil2!$A$2:$M$1241,13,FALSE)," ")</f>
        <v>04204067404000813010</v>
      </c>
    </row>
    <row r="332" spans="1:15" x14ac:dyDescent="0.3">
      <c r="A332" s="1">
        <v>1667</v>
      </c>
      <c r="B332" s="1">
        <v>1</v>
      </c>
      <c r="C332" s="1" t="s">
        <v>2561</v>
      </c>
      <c r="D332" s="1" t="s">
        <v>2371</v>
      </c>
      <c r="E332" s="5">
        <v>31574</v>
      </c>
      <c r="F332" s="1" t="s">
        <v>17</v>
      </c>
      <c r="G332" s="1" t="s">
        <v>15</v>
      </c>
      <c r="H332" s="1" t="s">
        <v>16</v>
      </c>
      <c r="I332" s="6" t="str">
        <f>IF(B332=0,VLOOKUP(A332,Feuil2!$A$2:$M$1241,7,FALSE)," ")</f>
        <v xml:space="preserve"> </v>
      </c>
      <c r="J332" s="1" t="str">
        <f>IF(B332=0,VLOOKUP(A332,Feuil2!$A$2:$M$1241,9,FALSE)," ")</f>
        <v xml:space="preserve"> </v>
      </c>
      <c r="K332" s="1" t="str">
        <f>IF(B332=0,VLOOKUP(A332,Feuil2!$A$2:$M$1241,10,FALSE)," ")</f>
        <v xml:space="preserve"> </v>
      </c>
      <c r="L332" s="1"/>
      <c r="M332" s="1"/>
      <c r="N332" s="1"/>
      <c r="O332" s="8" t="str">
        <f>IF(B332=0,VLOOKUP(A332,Feuil2!$A$2:$M$1241,13,FALSE)," ")</f>
        <v xml:space="preserve"> </v>
      </c>
    </row>
    <row r="333" spans="1:15" x14ac:dyDescent="0.3">
      <c r="A333" s="1">
        <v>1667</v>
      </c>
      <c r="B333" s="1">
        <v>2</v>
      </c>
      <c r="C333" s="1" t="s">
        <v>381</v>
      </c>
      <c r="D333" s="1" t="s">
        <v>34</v>
      </c>
      <c r="E333" s="5">
        <v>40795</v>
      </c>
      <c r="F333" s="1" t="s">
        <v>506</v>
      </c>
      <c r="G333" s="1" t="str">
        <f>IF(B333=0,VLOOKUP(A333,Feuil2!$A$2:$M$1241,11,FALSE)," ")</f>
        <v xml:space="preserve"> </v>
      </c>
      <c r="H333" s="1" t="s">
        <v>16</v>
      </c>
      <c r="I333" s="6" t="str">
        <f>IF(B333=0,VLOOKUP(A333,Feuil2!$A$2:$M$1241,7,FALSE)," ")</f>
        <v xml:space="preserve"> </v>
      </c>
      <c r="J333" s="1" t="str">
        <f>IF(B333=0,VLOOKUP(A333,Feuil2!$A$2:$M$1241,9,FALSE)," ")</f>
        <v xml:space="preserve"> </v>
      </c>
      <c r="K333" s="1" t="str">
        <f>IF(B333=0,VLOOKUP(A333,Feuil2!$A$2:$M$1241,10,FALSE)," ")</f>
        <v xml:space="preserve"> </v>
      </c>
      <c r="L333" s="1"/>
      <c r="M333" s="1"/>
      <c r="N333" s="1"/>
      <c r="O333" s="8" t="str">
        <f>IF(B333=0,VLOOKUP(A333,Feuil2!$A$2:$M$1241,13,FALSE)," ")</f>
        <v xml:space="preserve"> </v>
      </c>
    </row>
    <row r="334" spans="1:15" x14ac:dyDescent="0.3">
      <c r="A334" s="1">
        <v>1667</v>
      </c>
      <c r="B334" s="1">
        <v>3</v>
      </c>
      <c r="C334" s="1" t="s">
        <v>381</v>
      </c>
      <c r="D334" s="1" t="s">
        <v>89</v>
      </c>
      <c r="E334" s="5">
        <v>41819</v>
      </c>
      <c r="F334" s="1" t="s">
        <v>506</v>
      </c>
      <c r="G334" s="1" t="str">
        <f>IF(B334=0,VLOOKUP(A334,Feuil2!$A$2:$M$1241,11,FALSE)," ")</f>
        <v xml:space="preserve"> </v>
      </c>
      <c r="H334" s="1" t="s">
        <v>16</v>
      </c>
      <c r="I334" s="6" t="str">
        <f>IF(B334=0,VLOOKUP(A334,Feuil2!$A$2:$M$1241,7,FALSE)," ")</f>
        <v xml:space="preserve"> </v>
      </c>
      <c r="J334" s="1" t="str">
        <f>IF(B334=0,VLOOKUP(A334,Feuil2!$A$2:$M$1241,9,FALSE)," ")</f>
        <v xml:space="preserve"> </v>
      </c>
      <c r="K334" s="1" t="str">
        <f>IF(B334=0,VLOOKUP(A334,Feuil2!$A$2:$M$1241,10,FALSE)," ")</f>
        <v xml:space="preserve"> </v>
      </c>
      <c r="L334" s="1"/>
      <c r="M334" s="1"/>
      <c r="N334" s="1"/>
      <c r="O334" s="8" t="str">
        <f>IF(B334=0,VLOOKUP(A334,Feuil2!$A$2:$M$1241,13,FALSE)," ")</f>
        <v xml:space="preserve"> </v>
      </c>
    </row>
    <row r="335" spans="1:15" x14ac:dyDescent="0.3">
      <c r="A335" s="1">
        <v>1667</v>
      </c>
      <c r="B335" s="1">
        <v>4</v>
      </c>
      <c r="C335" s="1" t="s">
        <v>381</v>
      </c>
      <c r="D335" s="1" t="s">
        <v>61</v>
      </c>
      <c r="E335" s="5">
        <v>43056</v>
      </c>
      <c r="F335" s="1" t="s">
        <v>506</v>
      </c>
      <c r="G335" s="1" t="str">
        <f>IF(B335=0,VLOOKUP(A335,Feuil2!$A$2:$M$1241,11,FALSE)," ")</f>
        <v xml:space="preserve"> </v>
      </c>
      <c r="H335" s="1" t="s">
        <v>16</v>
      </c>
      <c r="I335" s="6" t="str">
        <f>IF(B335=0,VLOOKUP(A335,Feuil2!$A$2:$M$1241,7,FALSE)," ")</f>
        <v xml:space="preserve"> </v>
      </c>
      <c r="J335" s="1" t="str">
        <f>IF(B335=0,VLOOKUP(A335,Feuil2!$A$2:$M$1241,9,FALSE)," ")</f>
        <v xml:space="preserve"> </v>
      </c>
      <c r="K335" s="1" t="str">
        <f>IF(B335=0,VLOOKUP(A335,Feuil2!$A$2:$M$1241,10,FALSE)," ")</f>
        <v xml:space="preserve"> </v>
      </c>
      <c r="L335" s="1"/>
      <c r="M335" s="1"/>
      <c r="N335" s="1"/>
      <c r="O335" s="8" t="str">
        <f>IF(B335=0,VLOOKUP(A335,Feuil2!$A$2:$M$1241,13,FALSE)," ")</f>
        <v xml:space="preserve"> </v>
      </c>
    </row>
    <row r="336" spans="1:15" x14ac:dyDescent="0.3">
      <c r="A336" s="1">
        <v>1667</v>
      </c>
      <c r="B336" s="1">
        <v>5</v>
      </c>
      <c r="C336" s="1" t="s">
        <v>381</v>
      </c>
      <c r="D336" s="1" t="s">
        <v>2562</v>
      </c>
      <c r="E336" s="5">
        <v>43743</v>
      </c>
      <c r="F336" s="1" t="s">
        <v>17</v>
      </c>
      <c r="G336" s="1" t="str">
        <f>IF(B336=0,VLOOKUP(A336,Feuil2!$A$2:$M$1241,11,FALSE)," ")</f>
        <v xml:space="preserve"> </v>
      </c>
      <c r="H336" s="1" t="s">
        <v>16</v>
      </c>
      <c r="I336" s="6" t="str">
        <f>IF(B336=0,VLOOKUP(A336,Feuil2!$A$2:$M$1241,7,FALSE)," ")</f>
        <v xml:space="preserve"> </v>
      </c>
      <c r="J336" s="1" t="str">
        <f>IF(B336=0,VLOOKUP(A336,Feuil2!$A$2:$M$1241,9,FALSE)," ")</f>
        <v xml:space="preserve"> </v>
      </c>
      <c r="K336" s="1" t="str">
        <f>IF(B336=0,VLOOKUP(A336,Feuil2!$A$2:$M$1241,10,FALSE)," ")</f>
        <v xml:space="preserve"> </v>
      </c>
      <c r="L336" s="1"/>
      <c r="M336" s="1"/>
      <c r="N336" s="1"/>
      <c r="O336" s="8" t="str">
        <f>IF(B336=0,VLOOKUP(A336,Feuil2!$A$2:$M$1241,13,FALSE)," ")</f>
        <v xml:space="preserve"> </v>
      </c>
    </row>
    <row r="337" spans="1:15" x14ac:dyDescent="0.3">
      <c r="A337" s="1">
        <v>1668</v>
      </c>
      <c r="B337" s="1">
        <v>0</v>
      </c>
      <c r="C337" s="1" t="str">
        <f>IF(B337=0,VLOOKUP(A337,Feuil2!$A$2:$M$1241,2,FALSE)," ")</f>
        <v>BOUGADDOUHA</v>
      </c>
      <c r="D337" s="1" t="str">
        <f>IF(B337=0,VLOOKUP(A337,Feuil2!$A$2:$M$1241,3,FALSE)," ")</f>
        <v>MOURAD</v>
      </c>
      <c r="E337" s="5">
        <f>IF(B337=0,VLOOKUP(A337,Feuil2!$A$2:$M$1241,6,FALSE)," ")</f>
        <v>24679</v>
      </c>
      <c r="F337" s="1" t="str">
        <f>IF(B337=0,VLOOKUP(A337,Feuil2!$A$2:$M$1241,12,FALSE)," ")</f>
        <v>H</v>
      </c>
      <c r="G337" s="1" t="str">
        <f>IF(B337=0,VLOOKUP(A337,Feuil2!$A$2:$M$1241,11,FALSE)," ")</f>
        <v>M</v>
      </c>
      <c r="H337" s="1" t="s">
        <v>16</v>
      </c>
      <c r="I337" s="6">
        <f>IF(B337=0,VLOOKUP(A337,Feuil2!$A$2:$M$1241,7,FALSE)," ")</f>
        <v>2991650</v>
      </c>
      <c r="J337" s="1" t="str">
        <f>IF(B337=0,VLOOKUP(A337,Feuil2!$A$2:$M$1241,9,FALSE)," ")</f>
        <v>256 Rue Farhat Hached</v>
      </c>
      <c r="K337" s="1" t="str">
        <f>IF(B337=0,VLOOKUP(A337,Feuil2!$A$2:$M$1241,10,FALSE)," ")</f>
        <v>Msaken 4070</v>
      </c>
      <c r="L337" s="1">
        <v>4070</v>
      </c>
      <c r="M337" s="1">
        <v>26749447</v>
      </c>
      <c r="N337" s="1"/>
      <c r="O337" s="10" t="s">
        <v>2636</v>
      </c>
    </row>
    <row r="338" spans="1:15" x14ac:dyDescent="0.3">
      <c r="A338" s="1">
        <v>1668</v>
      </c>
      <c r="B338" s="1">
        <v>1</v>
      </c>
      <c r="C338" s="1" t="s">
        <v>861</v>
      </c>
      <c r="D338" s="1" t="s">
        <v>2635</v>
      </c>
      <c r="E338" s="5">
        <v>25907</v>
      </c>
      <c r="F338" s="1" t="s">
        <v>17</v>
      </c>
      <c r="G338" s="1" t="s">
        <v>15</v>
      </c>
      <c r="H338" s="1" t="s">
        <v>16</v>
      </c>
      <c r="I338" s="6" t="str">
        <f>IF(B338=0,VLOOKUP(A338,Feuil2!$A$2:$M$1241,7,FALSE)," ")</f>
        <v xml:space="preserve"> </v>
      </c>
      <c r="J338" s="1" t="str">
        <f>IF(B338=0,VLOOKUP(A338,Feuil2!$A$2:$M$1241,9,FALSE)," ")</f>
        <v xml:space="preserve"> </v>
      </c>
      <c r="K338" s="1" t="str">
        <f>IF(B338=0,VLOOKUP(A338,Feuil2!$A$2:$M$1241,10,FALSE)," ")</f>
        <v xml:space="preserve"> </v>
      </c>
      <c r="L338" s="1"/>
      <c r="M338" s="1"/>
      <c r="N338" s="1"/>
      <c r="O338" s="8"/>
    </row>
    <row r="339" spans="1:15" x14ac:dyDescent="0.3">
      <c r="A339" s="1">
        <v>1668</v>
      </c>
      <c r="B339" s="1">
        <v>2</v>
      </c>
      <c r="C339" s="1" t="s">
        <v>861</v>
      </c>
      <c r="D339" s="1" t="s">
        <v>1596</v>
      </c>
      <c r="E339" s="5">
        <v>36595</v>
      </c>
      <c r="F339" s="1" t="s">
        <v>506</v>
      </c>
      <c r="G339" s="1" t="str">
        <f>IF(B339=0,VLOOKUP(A339,Feuil2!$A$2:$M$1241,11,FALSE)," ")</f>
        <v xml:space="preserve"> </v>
      </c>
      <c r="H339" s="1" t="s">
        <v>16</v>
      </c>
      <c r="I339" s="6" t="str">
        <f>IF(B339=0,VLOOKUP(A339,Feuil2!$A$2:$M$1241,7,FALSE)," ")</f>
        <v xml:space="preserve"> </v>
      </c>
      <c r="J339" s="1" t="str">
        <f>IF(B339=0,VLOOKUP(A339,Feuil2!$A$2:$M$1241,9,FALSE)," ")</f>
        <v xml:space="preserve"> </v>
      </c>
      <c r="K339" s="1" t="str">
        <f>IF(B339=0,VLOOKUP(A339,Feuil2!$A$2:$M$1241,10,FALSE)," ")</f>
        <v xml:space="preserve"> </v>
      </c>
      <c r="L339" s="1"/>
      <c r="M339" s="1"/>
      <c r="N339" s="1"/>
      <c r="O339" s="8"/>
    </row>
    <row r="340" spans="1:15" x14ac:dyDescent="0.3">
      <c r="A340" s="1">
        <v>1668</v>
      </c>
      <c r="B340" s="1">
        <v>3</v>
      </c>
      <c r="C340" s="1" t="s">
        <v>861</v>
      </c>
      <c r="D340" s="1" t="s">
        <v>70</v>
      </c>
      <c r="E340" s="5">
        <v>37135</v>
      </c>
      <c r="F340" s="1" t="s">
        <v>506</v>
      </c>
      <c r="G340" s="1" t="str">
        <f>IF(B340=0,VLOOKUP(A340,Feuil2!$A$2:$M$1241,11,FALSE)," ")</f>
        <v xml:space="preserve"> </v>
      </c>
      <c r="H340" s="1" t="s">
        <v>16</v>
      </c>
      <c r="I340" s="6" t="str">
        <f>IF(B340=0,VLOOKUP(A340,Feuil2!$A$2:$M$1241,7,FALSE)," ")</f>
        <v xml:space="preserve"> </v>
      </c>
      <c r="J340" s="1" t="str">
        <f>IF(B340=0,VLOOKUP(A340,Feuil2!$A$2:$M$1241,9,FALSE)," ")</f>
        <v xml:space="preserve"> </v>
      </c>
      <c r="K340" s="1" t="str">
        <f>IF(B340=0,VLOOKUP(A340,Feuil2!$A$2:$M$1241,10,FALSE)," ")</f>
        <v xml:space="preserve"> </v>
      </c>
      <c r="L340" s="1"/>
      <c r="M340" s="1"/>
      <c r="N340" s="1"/>
      <c r="O340" s="8"/>
    </row>
    <row r="341" spans="1:15" x14ac:dyDescent="0.3">
      <c r="A341" s="1">
        <v>1668</v>
      </c>
      <c r="B341" s="1">
        <v>4</v>
      </c>
      <c r="C341" s="1" t="s">
        <v>861</v>
      </c>
      <c r="D341" s="1" t="s">
        <v>2370</v>
      </c>
      <c r="E341" s="5">
        <v>38160</v>
      </c>
      <c r="F341" s="1" t="s">
        <v>17</v>
      </c>
      <c r="G341" s="1" t="str">
        <f>IF(B341=0,VLOOKUP(A341,Feuil2!$A$2:$M$1241,11,FALSE)," ")</f>
        <v xml:space="preserve"> </v>
      </c>
      <c r="H341" s="1" t="s">
        <v>16</v>
      </c>
      <c r="I341" s="6" t="str">
        <f>IF(B341=0,VLOOKUP(A341,Feuil2!$A$2:$M$1241,7,FALSE)," ")</f>
        <v xml:space="preserve"> </v>
      </c>
      <c r="J341" s="1" t="str">
        <f>IF(B341=0,VLOOKUP(A341,Feuil2!$A$2:$M$1241,9,FALSE)," ")</f>
        <v xml:space="preserve"> </v>
      </c>
      <c r="K341" s="1" t="str">
        <f>IF(B341=0,VLOOKUP(A341,Feuil2!$A$2:$M$1241,10,FALSE)," ")</f>
        <v xml:space="preserve"> </v>
      </c>
      <c r="L341" s="1"/>
      <c r="M341" s="1"/>
      <c r="N341" s="1"/>
      <c r="O341" s="8"/>
    </row>
    <row r="342" spans="1:15" x14ac:dyDescent="0.3">
      <c r="A342" s="1">
        <v>1668</v>
      </c>
      <c r="B342" s="1">
        <v>5</v>
      </c>
      <c r="C342" s="1" t="s">
        <v>861</v>
      </c>
      <c r="D342" s="1" t="s">
        <v>230</v>
      </c>
      <c r="E342" s="5">
        <v>40228</v>
      </c>
      <c r="F342" s="1" t="s">
        <v>506</v>
      </c>
      <c r="G342" s="1" t="str">
        <f>IF(B342=0,VLOOKUP(A342,Feuil2!$A$2:$M$1241,11,FALSE)," ")</f>
        <v xml:space="preserve"> </v>
      </c>
      <c r="H342" s="1" t="s">
        <v>16</v>
      </c>
      <c r="I342" s="6" t="str">
        <f>IF(B342=0,VLOOKUP(A342,Feuil2!$A$2:$M$1241,7,FALSE)," ")</f>
        <v xml:space="preserve"> </v>
      </c>
      <c r="J342" s="1" t="str">
        <f>IF(B342=0,VLOOKUP(A342,Feuil2!$A$2:$M$1241,9,FALSE)," ")</f>
        <v xml:space="preserve"> </v>
      </c>
      <c r="K342" s="1" t="str">
        <f>IF(B342=0,VLOOKUP(A342,Feuil2!$A$2:$M$1241,10,FALSE)," ")</f>
        <v xml:space="preserve"> </v>
      </c>
      <c r="L342" s="1"/>
      <c r="M342" s="1"/>
      <c r="N342" s="1"/>
      <c r="O342" s="8"/>
    </row>
    <row r="343" spans="1:15" x14ac:dyDescent="0.3">
      <c r="A343" s="1">
        <v>1676</v>
      </c>
      <c r="B343" s="1">
        <v>0</v>
      </c>
      <c r="C343" s="1" t="str">
        <f>IF(B343=0,VLOOKUP(A343,Feuil2!$A$2:$M$1241,2,FALSE)," ")</f>
        <v>GUELLIM</v>
      </c>
      <c r="D343" s="1" t="str">
        <f>IF(B343=0,VLOOKUP(A343,Feuil2!$A$2:$M$1241,3,FALSE)," ")</f>
        <v>FETHI</v>
      </c>
      <c r="E343" s="5">
        <f>IF(B343=0,VLOOKUP(A343,Feuil2!$A$2:$M$1241,6,FALSE)," ")</f>
        <v>26881</v>
      </c>
      <c r="F343" s="1" t="str">
        <f>IF(B343=0,VLOOKUP(A343,Feuil2!$A$2:$M$1241,12,FALSE)," ")</f>
        <v>H</v>
      </c>
      <c r="G343" s="1" t="str">
        <f>IF(B343=0,VLOOKUP(A343,Feuil2!$A$2:$M$1241,11,FALSE)," ")</f>
        <v>M</v>
      </c>
      <c r="H343" s="1" t="s">
        <v>16</v>
      </c>
      <c r="I343" s="6">
        <f>IF(B343=0,VLOOKUP(A343,Feuil2!$A$2:$M$1241,7,FALSE)," ")</f>
        <v>5525291</v>
      </c>
      <c r="J343" s="1" t="str">
        <f>IF(B343=0,VLOOKUP(A343,Feuil2!$A$2:$M$1241,9,FALSE)," ")</f>
        <v>224 Rue Arafat</v>
      </c>
      <c r="K343" s="1" t="str">
        <f>IF(B343=0,VLOOKUP(A343,Feuil2!$A$2:$M$1241,10,FALSE)," ")</f>
        <v>Msaken 4070</v>
      </c>
      <c r="L343" s="1">
        <v>4070</v>
      </c>
      <c r="M343" s="1">
        <v>43095033</v>
      </c>
      <c r="N343" s="1"/>
      <c r="O343" s="8" t="str">
        <f>IF(B343=0,VLOOKUP(A343,Feuil2!$A$2:$M$1241,13,FALSE)," ")</f>
        <v>08507000262003849311</v>
      </c>
    </row>
    <row r="344" spans="1:15" x14ac:dyDescent="0.3">
      <c r="A344" s="1">
        <v>1676</v>
      </c>
      <c r="B344" s="1">
        <v>1</v>
      </c>
      <c r="C344" s="1" t="s">
        <v>184</v>
      </c>
      <c r="D344" s="1" t="s">
        <v>1361</v>
      </c>
      <c r="E344" s="5">
        <v>29080</v>
      </c>
      <c r="F344" s="1" t="s">
        <v>17</v>
      </c>
      <c r="G344" s="1" t="s">
        <v>15</v>
      </c>
      <c r="H344" s="1" t="s">
        <v>16</v>
      </c>
      <c r="I344" s="6" t="str">
        <f>IF(B344=0,VLOOKUP(A344,Feuil2!$A$2:$M$1241,7,FALSE)," ")</f>
        <v xml:space="preserve"> </v>
      </c>
      <c r="J344" s="1" t="str">
        <f>IF(B344=0,VLOOKUP(A344,Feuil2!$A$2:$M$1241,9,FALSE)," ")</f>
        <v xml:space="preserve"> </v>
      </c>
      <c r="K344" s="1" t="str">
        <f>IF(B344=0,VLOOKUP(A344,Feuil2!$A$2:$M$1241,10,FALSE)," ")</f>
        <v xml:space="preserve"> </v>
      </c>
      <c r="L344" s="1"/>
      <c r="M344" s="1"/>
      <c r="N344" s="1"/>
      <c r="O344" s="8" t="str">
        <f>IF(B344=0,VLOOKUP(A344,Feuil2!$A$2:$M$1241,13,FALSE)," ")</f>
        <v xml:space="preserve"> </v>
      </c>
    </row>
    <row r="345" spans="1:15" x14ac:dyDescent="0.3">
      <c r="A345" s="1">
        <v>1676</v>
      </c>
      <c r="B345" s="1">
        <v>2</v>
      </c>
      <c r="C345" s="1" t="s">
        <v>184</v>
      </c>
      <c r="D345" s="1" t="s">
        <v>77</v>
      </c>
      <c r="E345" s="5">
        <v>38691</v>
      </c>
      <c r="F345" s="1" t="s">
        <v>506</v>
      </c>
      <c r="G345" s="1" t="str">
        <f>IF(B345=0,VLOOKUP(A345,Feuil2!$A$2:$M$1241,11,FALSE)," ")</f>
        <v xml:space="preserve"> </v>
      </c>
      <c r="H345" s="1" t="s">
        <v>16</v>
      </c>
      <c r="I345" s="6" t="str">
        <f>IF(B345=0,VLOOKUP(A345,Feuil2!$A$2:$M$1241,7,FALSE)," ")</f>
        <v xml:space="preserve"> </v>
      </c>
      <c r="J345" s="1" t="str">
        <f>IF(B345=0,VLOOKUP(A345,Feuil2!$A$2:$M$1241,9,FALSE)," ")</f>
        <v xml:space="preserve"> </v>
      </c>
      <c r="K345" s="1" t="str">
        <f>IF(B345=0,VLOOKUP(A345,Feuil2!$A$2:$M$1241,10,FALSE)," ")</f>
        <v xml:space="preserve"> </v>
      </c>
      <c r="L345" s="1"/>
      <c r="M345" s="1"/>
      <c r="N345" s="1"/>
      <c r="O345" s="8" t="str">
        <f>IF(B345=0,VLOOKUP(A345,Feuil2!$A$2:$M$1241,13,FALSE)," ")</f>
        <v xml:space="preserve"> </v>
      </c>
    </row>
    <row r="346" spans="1:15" x14ac:dyDescent="0.3">
      <c r="A346" s="1">
        <v>1676</v>
      </c>
      <c r="B346" s="1">
        <v>3</v>
      </c>
      <c r="C346" s="1" t="s">
        <v>184</v>
      </c>
      <c r="D346" s="1" t="s">
        <v>296</v>
      </c>
      <c r="E346" s="5">
        <v>39397</v>
      </c>
      <c r="F346" s="1" t="s">
        <v>506</v>
      </c>
      <c r="G346" s="1" t="str">
        <f>IF(B346=0,VLOOKUP(A346,Feuil2!$A$2:$M$1241,11,FALSE)," ")</f>
        <v xml:space="preserve"> </v>
      </c>
      <c r="H346" s="1" t="s">
        <v>16</v>
      </c>
      <c r="I346" s="6" t="str">
        <f>IF(B346=0,VLOOKUP(A346,Feuil2!$A$2:$M$1241,7,FALSE)," ")</f>
        <v xml:space="preserve"> </v>
      </c>
      <c r="J346" s="1" t="str">
        <f>IF(B346=0,VLOOKUP(A346,Feuil2!$A$2:$M$1241,9,FALSE)," ")</f>
        <v xml:space="preserve"> </v>
      </c>
      <c r="K346" s="1" t="str">
        <f>IF(B346=0,VLOOKUP(A346,Feuil2!$A$2:$M$1241,10,FALSE)," ")</f>
        <v xml:space="preserve"> </v>
      </c>
      <c r="L346" s="1"/>
      <c r="M346" s="1"/>
      <c r="N346" s="1"/>
      <c r="O346" s="8" t="str">
        <f>IF(B346=0,VLOOKUP(A346,Feuil2!$A$2:$M$1241,13,FALSE)," ")</f>
        <v xml:space="preserve"> </v>
      </c>
    </row>
    <row r="347" spans="1:15" x14ac:dyDescent="0.3">
      <c r="A347" s="1">
        <v>1676</v>
      </c>
      <c r="B347" s="1">
        <v>4</v>
      </c>
      <c r="C347" s="1" t="s">
        <v>184</v>
      </c>
      <c r="D347" s="1" t="s">
        <v>26</v>
      </c>
      <c r="E347" s="5">
        <v>39397</v>
      </c>
      <c r="F347" s="1" t="s">
        <v>506</v>
      </c>
      <c r="G347" s="1" t="str">
        <f>IF(B347=0,VLOOKUP(A347,Feuil2!$A$2:$M$1241,11,FALSE)," ")</f>
        <v xml:space="preserve"> </v>
      </c>
      <c r="H347" s="1" t="s">
        <v>16</v>
      </c>
      <c r="I347" s="6" t="str">
        <f>IF(B347=0,VLOOKUP(A347,Feuil2!$A$2:$M$1241,7,FALSE)," ")</f>
        <v xml:space="preserve"> </v>
      </c>
      <c r="J347" s="1" t="str">
        <f>IF(B347=0,VLOOKUP(A347,Feuil2!$A$2:$M$1241,9,FALSE)," ")</f>
        <v xml:space="preserve"> </v>
      </c>
      <c r="K347" s="1" t="str">
        <f>IF(B347=0,VLOOKUP(A347,Feuil2!$A$2:$M$1241,10,FALSE)," ")</f>
        <v xml:space="preserve"> </v>
      </c>
      <c r="L347" s="1"/>
      <c r="M347" s="1"/>
      <c r="N347" s="1"/>
      <c r="O347" s="8" t="str">
        <f>IF(B347=0,VLOOKUP(A347,Feuil2!$A$2:$M$1241,13,FALSE)," ")</f>
        <v xml:space="preserve"> </v>
      </c>
    </row>
    <row r="348" spans="1:15" x14ac:dyDescent="0.3">
      <c r="A348" s="1">
        <v>1682</v>
      </c>
      <c r="B348" s="1">
        <v>0</v>
      </c>
      <c r="C348" s="1" t="str">
        <f>IF(B348=0,VLOOKUP(A348,Feuil2!$A$2:$M$1241,2,FALSE)," ")</f>
        <v>LASSOUAD</v>
      </c>
      <c r="D348" s="1" t="str">
        <f>IF(B348=0,VLOOKUP(A348,Feuil2!$A$2:$M$1241,3,FALSE)," ")</f>
        <v>ABDELJELIL</v>
      </c>
      <c r="E348" s="5">
        <f>IF(B348=0,VLOOKUP(A348,Feuil2!$A$2:$M$1241,6,FALSE)," ")</f>
        <v>27288</v>
      </c>
      <c r="F348" s="1" t="str">
        <f>IF(B348=0,VLOOKUP(A348,Feuil2!$A$2:$M$1241,12,FALSE)," ")</f>
        <v>H</v>
      </c>
      <c r="G348" s="1" t="str">
        <f>IF(B348=0,VLOOKUP(A348,Feuil2!$A$2:$M$1241,11,FALSE)," ")</f>
        <v>M</v>
      </c>
      <c r="H348" s="1" t="s">
        <v>16</v>
      </c>
      <c r="I348" s="6">
        <f>IF(B348=0,VLOOKUP(A348,Feuil2!$A$2:$M$1241,7,FALSE)," ")</f>
        <v>5563446</v>
      </c>
      <c r="J348" s="1" t="str">
        <f>IF(B348=0,VLOOKUP(A348,Feuil2!$A$2:$M$1241,9,FALSE)," ")</f>
        <v>DOUAR OULED ABDALLAH</v>
      </c>
      <c r="K348" s="1" t="str">
        <f>IF(B348=0,VLOOKUP(A348,Feuil2!$A$2:$M$1241,10,FALSE)," ")</f>
        <v>Sidi El HÃ©ni 4025</v>
      </c>
      <c r="L348" s="1"/>
      <c r="M348" s="1">
        <v>96765947</v>
      </c>
      <c r="N348" s="1"/>
      <c r="O348" s="8" t="str">
        <f>IF(B348=0,VLOOKUP(A348,Feuil2!$A$2:$M$1241,13,FALSE)," ")</f>
        <v>04204067404002062273</v>
      </c>
    </row>
    <row r="349" spans="1:15" x14ac:dyDescent="0.3">
      <c r="A349" s="1">
        <v>1682</v>
      </c>
      <c r="B349" s="1">
        <v>1</v>
      </c>
      <c r="C349" s="1" t="s">
        <v>2368</v>
      </c>
      <c r="D349" s="1" t="s">
        <v>2369</v>
      </c>
      <c r="E349" s="5">
        <v>31356</v>
      </c>
      <c r="F349" s="1" t="s">
        <v>17</v>
      </c>
      <c r="G349" s="1" t="s">
        <v>15</v>
      </c>
      <c r="H349" s="1" t="s">
        <v>16</v>
      </c>
      <c r="I349" s="6" t="str">
        <f>IF(B349=0,VLOOKUP(A349,Feuil2!$A$2:$M$1241,7,FALSE)," ")</f>
        <v xml:space="preserve"> </v>
      </c>
      <c r="J349" s="1" t="str">
        <f>IF(B349=0,VLOOKUP(A349,Feuil2!$A$2:$M$1241,9,FALSE)," ")</f>
        <v xml:space="preserve"> </v>
      </c>
      <c r="K349" s="1" t="str">
        <f>IF(B349=0,VLOOKUP(A349,Feuil2!$A$2:$M$1241,10,FALSE)," ")</f>
        <v xml:space="preserve"> </v>
      </c>
      <c r="L349" s="1"/>
      <c r="M349" s="1"/>
      <c r="N349" s="1"/>
      <c r="O349" s="8" t="str">
        <f>IF(B349=0,VLOOKUP(A349,Feuil2!$A$2:$M$1241,13,FALSE)," ")</f>
        <v xml:space="preserve"> </v>
      </c>
    </row>
    <row r="350" spans="1:15" x14ac:dyDescent="0.3">
      <c r="A350" s="1">
        <v>1682</v>
      </c>
      <c r="B350" s="1">
        <v>2</v>
      </c>
      <c r="C350" s="1" t="s">
        <v>256</v>
      </c>
      <c r="D350" s="1" t="s">
        <v>2370</v>
      </c>
      <c r="E350" s="5">
        <v>40103</v>
      </c>
      <c r="F350" s="1" t="s">
        <v>17</v>
      </c>
      <c r="G350" s="1" t="str">
        <f>IF(B350=0,VLOOKUP(A350,Feuil2!$A$2:$M$1241,11,FALSE)," ")</f>
        <v xml:space="preserve"> </v>
      </c>
      <c r="H350" s="1" t="s">
        <v>16</v>
      </c>
      <c r="I350" s="6" t="str">
        <f>IF(B350=0,VLOOKUP(A350,Feuil2!$A$2:$M$1241,7,FALSE)," ")</f>
        <v xml:space="preserve"> </v>
      </c>
      <c r="J350" s="1" t="str">
        <f>IF(B350=0,VLOOKUP(A350,Feuil2!$A$2:$M$1241,9,FALSE)," ")</f>
        <v xml:space="preserve"> </v>
      </c>
      <c r="K350" s="1" t="str">
        <f>IF(B350=0,VLOOKUP(A350,Feuil2!$A$2:$M$1241,10,FALSE)," ")</f>
        <v xml:space="preserve"> </v>
      </c>
      <c r="L350" s="1"/>
      <c r="M350" s="1"/>
      <c r="N350" s="1"/>
      <c r="O350" s="8" t="str">
        <f>IF(B350=0,VLOOKUP(A350,Feuil2!$A$2:$M$1241,13,FALSE)," ")</f>
        <v xml:space="preserve"> </v>
      </c>
    </row>
    <row r="351" spans="1:15" x14ac:dyDescent="0.3">
      <c r="A351" s="1">
        <v>1682</v>
      </c>
      <c r="B351" s="1">
        <v>3</v>
      </c>
      <c r="C351" s="1" t="s">
        <v>256</v>
      </c>
      <c r="D351" s="1" t="s">
        <v>2371</v>
      </c>
      <c r="E351" s="5">
        <v>40547</v>
      </c>
      <c r="F351" s="1" t="s">
        <v>17</v>
      </c>
      <c r="G351" s="1" t="str">
        <f>IF(B351=0,VLOOKUP(A351,Feuil2!$A$2:$M$1241,11,FALSE)," ")</f>
        <v xml:space="preserve"> </v>
      </c>
      <c r="H351" s="1" t="s">
        <v>16</v>
      </c>
      <c r="I351" s="6" t="str">
        <f>IF(B351=0,VLOOKUP(A351,Feuil2!$A$2:$M$1241,7,FALSE)," ")</f>
        <v xml:space="preserve"> </v>
      </c>
      <c r="J351" s="1" t="str">
        <f>IF(B351=0,VLOOKUP(A351,Feuil2!$A$2:$M$1241,9,FALSE)," ")</f>
        <v xml:space="preserve"> </v>
      </c>
      <c r="K351" s="1" t="str">
        <f>IF(B351=0,VLOOKUP(A351,Feuil2!$A$2:$M$1241,10,FALSE)," ")</f>
        <v xml:space="preserve"> </v>
      </c>
      <c r="L351" s="1"/>
      <c r="M351" s="1"/>
      <c r="N351" s="1"/>
      <c r="O351" s="8" t="str">
        <f>IF(B351=0,VLOOKUP(A351,Feuil2!$A$2:$M$1241,13,FALSE)," ")</f>
        <v xml:space="preserve"> </v>
      </c>
    </row>
    <row r="352" spans="1:15" x14ac:dyDescent="0.3">
      <c r="A352" s="1">
        <v>1682</v>
      </c>
      <c r="B352" s="1">
        <v>4</v>
      </c>
      <c r="C352" s="1" t="s">
        <v>256</v>
      </c>
      <c r="D352" s="1" t="s">
        <v>230</v>
      </c>
      <c r="E352" s="5">
        <v>41113</v>
      </c>
      <c r="F352" s="1" t="s">
        <v>506</v>
      </c>
      <c r="G352" s="1" t="str">
        <f>IF(B352=0,VLOOKUP(A352,Feuil2!$A$2:$M$1241,11,FALSE)," ")</f>
        <v xml:space="preserve"> </v>
      </c>
      <c r="H352" s="1" t="s">
        <v>16</v>
      </c>
      <c r="I352" s="6" t="str">
        <f>IF(B352=0,VLOOKUP(A352,Feuil2!$A$2:$M$1241,7,FALSE)," ")</f>
        <v xml:space="preserve"> </v>
      </c>
      <c r="J352" s="1" t="str">
        <f>IF(B352=0,VLOOKUP(A352,Feuil2!$A$2:$M$1241,9,FALSE)," ")</f>
        <v xml:space="preserve"> </v>
      </c>
      <c r="K352" s="1" t="str">
        <f>IF(B352=0,VLOOKUP(A352,Feuil2!$A$2:$M$1241,10,FALSE)," ")</f>
        <v xml:space="preserve"> </v>
      </c>
      <c r="L352" s="1"/>
      <c r="M352" s="1"/>
      <c r="N352" s="1"/>
      <c r="O352" s="8" t="str">
        <f>IF(B352=0,VLOOKUP(A352,Feuil2!$A$2:$M$1241,13,FALSE)," ")</f>
        <v xml:space="preserve"> </v>
      </c>
    </row>
    <row r="353" spans="1:15" x14ac:dyDescent="0.3">
      <c r="A353" s="1">
        <v>1683</v>
      </c>
      <c r="B353" s="1">
        <v>0</v>
      </c>
      <c r="C353" s="1" t="str">
        <f>IF(B353=0,VLOOKUP(A353,Feuil2!$A$2:$M$1241,2,FALSE)," ")</f>
        <v>HEDHILI</v>
      </c>
      <c r="D353" s="1" t="str">
        <f>IF(B353=0,VLOOKUP(A353,Feuil2!$A$2:$M$1241,3,FALSE)," ")</f>
        <v>MOHAMED</v>
      </c>
      <c r="E353" s="5">
        <f>IF(B353=0,VLOOKUP(A353,Feuil2!$A$2:$M$1241,6,FALSE)," ")</f>
        <v>26811</v>
      </c>
      <c r="F353" s="1" t="str">
        <f>IF(B353=0,VLOOKUP(A353,Feuil2!$A$2:$M$1241,12,FALSE)," ")</f>
        <v>H</v>
      </c>
      <c r="G353" s="1" t="str">
        <f>IF(B353=0,VLOOKUP(A353,Feuil2!$A$2:$M$1241,11,FALSE)," ")</f>
        <v>M</v>
      </c>
      <c r="H353" s="1" t="s">
        <v>16</v>
      </c>
      <c r="I353" s="6">
        <f>IF(B353=0,VLOOKUP(A353,Feuil2!$A$2:$M$1241,7,FALSE)," ")</f>
        <v>5537739</v>
      </c>
      <c r="J353" s="1" t="str">
        <f>IF(B353=0,VLOOKUP(A353,Feuil2!$A$2:$M$1241,9,FALSE)," ")</f>
        <v>1 Rue Mohamed Ali</v>
      </c>
      <c r="K353" s="1" t="str">
        <f>IF(B353=0,VLOOKUP(A353,Feuil2!$A$2:$M$1241,10,FALSE)," ")</f>
        <v>Msaken 4070</v>
      </c>
      <c r="L353" s="1">
        <v>4070</v>
      </c>
      <c r="M353" s="1">
        <v>53241128</v>
      </c>
      <c r="N353" s="1"/>
      <c r="O353" s="8" t="str">
        <f>IF(B353=0,VLOOKUP(A353,Feuil2!$A$2:$M$1241,13,FALSE)," ")</f>
        <v>03508056010100324792</v>
      </c>
    </row>
    <row r="354" spans="1:15" x14ac:dyDescent="0.3">
      <c r="A354" s="1">
        <v>1683</v>
      </c>
      <c r="B354" s="1">
        <v>1</v>
      </c>
      <c r="C354" s="1" t="s">
        <v>67</v>
      </c>
      <c r="D354" s="1" t="s">
        <v>2418</v>
      </c>
      <c r="E354" s="5">
        <v>30329</v>
      </c>
      <c r="F354" s="1" t="s">
        <v>17</v>
      </c>
      <c r="G354" s="1" t="s">
        <v>15</v>
      </c>
      <c r="H354" s="1" t="s">
        <v>16</v>
      </c>
      <c r="I354" s="6" t="str">
        <f>IF(B354=0,VLOOKUP(A354,Feuil2!$A$2:$M$1241,7,FALSE)," ")</f>
        <v xml:space="preserve"> </v>
      </c>
      <c r="J354" s="1" t="str">
        <f>IF(B354=0,VLOOKUP(A354,Feuil2!$A$2:$M$1241,9,FALSE)," ")</f>
        <v xml:space="preserve"> </v>
      </c>
      <c r="K354" s="1" t="str">
        <f>IF(B354=0,VLOOKUP(A354,Feuil2!$A$2:$M$1241,10,FALSE)," ")</f>
        <v xml:space="preserve"> </v>
      </c>
      <c r="L354" s="1"/>
      <c r="M354" s="1"/>
      <c r="N354" s="1"/>
      <c r="O354" s="8" t="str">
        <f>IF(B354=0,VLOOKUP(A354,Feuil2!$A$2:$M$1241,13,FALSE)," ")</f>
        <v xml:space="preserve"> </v>
      </c>
    </row>
    <row r="355" spans="1:15" x14ac:dyDescent="0.3">
      <c r="A355" s="1">
        <v>1683</v>
      </c>
      <c r="B355" s="1">
        <v>2</v>
      </c>
      <c r="C355" s="1" t="s">
        <v>78</v>
      </c>
      <c r="D355" s="1" t="s">
        <v>2500</v>
      </c>
      <c r="E355" s="5">
        <v>39970</v>
      </c>
      <c r="F355" s="1" t="s">
        <v>17</v>
      </c>
      <c r="G355" s="1" t="str">
        <f>IF(B355=0,VLOOKUP(A355,Feuil2!$A$2:$M$1241,11,FALSE)," ")</f>
        <v xml:space="preserve"> </v>
      </c>
      <c r="H355" s="1" t="s">
        <v>16</v>
      </c>
      <c r="I355" s="6" t="str">
        <f>IF(B355=0,VLOOKUP(A355,Feuil2!$A$2:$M$1241,7,FALSE)," ")</f>
        <v xml:space="preserve"> </v>
      </c>
      <c r="J355" s="1" t="str">
        <f>IF(B355=0,VLOOKUP(A355,Feuil2!$A$2:$M$1241,9,FALSE)," ")</f>
        <v xml:space="preserve"> </v>
      </c>
      <c r="K355" s="1" t="str">
        <f>IF(B355=0,VLOOKUP(A355,Feuil2!$A$2:$M$1241,10,FALSE)," ")</f>
        <v xml:space="preserve"> </v>
      </c>
      <c r="L355" s="1"/>
      <c r="M355" s="1"/>
      <c r="N355" s="1"/>
      <c r="O355" s="8" t="str">
        <f>IF(B355=0,VLOOKUP(A355,Feuil2!$A$2:$M$1241,13,FALSE)," ")</f>
        <v xml:space="preserve"> </v>
      </c>
    </row>
    <row r="356" spans="1:15" x14ac:dyDescent="0.3">
      <c r="A356" s="1">
        <v>1683</v>
      </c>
      <c r="B356" s="1">
        <v>3</v>
      </c>
      <c r="C356" s="1" t="s">
        <v>78</v>
      </c>
      <c r="D356" s="1" t="s">
        <v>2345</v>
      </c>
      <c r="E356" s="5">
        <v>40500</v>
      </c>
      <c r="F356" s="1" t="s">
        <v>17</v>
      </c>
      <c r="G356" s="1" t="str">
        <f>IF(B356=0,VLOOKUP(A356,Feuil2!$A$2:$M$1241,11,FALSE)," ")</f>
        <v xml:space="preserve"> </v>
      </c>
      <c r="H356" s="1" t="s">
        <v>16</v>
      </c>
      <c r="I356" s="6" t="str">
        <f>IF(B356=0,VLOOKUP(A356,Feuil2!$A$2:$M$1241,7,FALSE)," ")</f>
        <v xml:space="preserve"> </v>
      </c>
      <c r="J356" s="1" t="str">
        <f>IF(B356=0,VLOOKUP(A356,Feuil2!$A$2:$M$1241,9,FALSE)," ")</f>
        <v xml:space="preserve"> </v>
      </c>
      <c r="K356" s="1" t="str">
        <f>IF(B356=0,VLOOKUP(A356,Feuil2!$A$2:$M$1241,10,FALSE)," ")</f>
        <v xml:space="preserve"> </v>
      </c>
      <c r="L356" s="1"/>
      <c r="M356" s="1"/>
      <c r="N356" s="1"/>
      <c r="O356" s="8" t="str">
        <f>IF(B356=0,VLOOKUP(A356,Feuil2!$A$2:$M$1241,13,FALSE)," ")</f>
        <v xml:space="preserve"> </v>
      </c>
    </row>
    <row r="357" spans="1:15" x14ac:dyDescent="0.3">
      <c r="A357" s="1">
        <v>1683</v>
      </c>
      <c r="B357" s="1">
        <v>4</v>
      </c>
      <c r="C357" s="1" t="s">
        <v>78</v>
      </c>
      <c r="D357" s="1" t="s">
        <v>2501</v>
      </c>
      <c r="E357" s="5">
        <v>42118</v>
      </c>
      <c r="F357" s="1" t="s">
        <v>17</v>
      </c>
      <c r="G357" s="1" t="str">
        <f>IF(B357=0,VLOOKUP(A357,Feuil2!$A$2:$M$1241,11,FALSE)," ")</f>
        <v xml:space="preserve"> </v>
      </c>
      <c r="H357" s="1" t="s">
        <v>16</v>
      </c>
      <c r="I357" s="6" t="str">
        <f>IF(B357=0,VLOOKUP(A357,Feuil2!$A$2:$M$1241,7,FALSE)," ")</f>
        <v xml:space="preserve"> </v>
      </c>
      <c r="J357" s="1" t="str">
        <f>IF(B357=0,VLOOKUP(A357,Feuil2!$A$2:$M$1241,9,FALSE)," ")</f>
        <v xml:space="preserve"> </v>
      </c>
      <c r="K357" s="1" t="str">
        <f>IF(B357=0,VLOOKUP(A357,Feuil2!$A$2:$M$1241,10,FALSE)," ")</f>
        <v xml:space="preserve"> </v>
      </c>
      <c r="L357" s="1"/>
      <c r="M357" s="1"/>
      <c r="N357" s="1"/>
      <c r="O357" s="8" t="str">
        <f>IF(B357=0,VLOOKUP(A357,Feuil2!$A$2:$M$1241,13,FALSE)," ")</f>
        <v xml:space="preserve"> </v>
      </c>
    </row>
    <row r="358" spans="1:15" x14ac:dyDescent="0.3">
      <c r="A358" s="1">
        <v>1685</v>
      </c>
      <c r="B358" s="1">
        <v>0</v>
      </c>
      <c r="C358" s="1" t="str">
        <f>IF(B358=0,VLOOKUP(A358,Feuil2!$A$2:$M$1241,2,FALSE)," ")</f>
        <v>MAHJOUB</v>
      </c>
      <c r="D358" s="1" t="str">
        <f>IF(B358=0,VLOOKUP(A358,Feuil2!$A$2:$M$1241,3,FALSE)," ")</f>
        <v>MOHAMED KARIM</v>
      </c>
      <c r="E358" s="5">
        <f>IF(B358=0,VLOOKUP(A358,Feuil2!$A$2:$M$1241,6,FALSE)," ")</f>
        <v>26679</v>
      </c>
      <c r="F358" s="1" t="str">
        <f>IF(B358=0,VLOOKUP(A358,Feuil2!$A$2:$M$1241,12,FALSE)," ")</f>
        <v>H</v>
      </c>
      <c r="G358" s="1" t="str">
        <f>IF(B358=0,VLOOKUP(A358,Feuil2!$A$2:$M$1241,11,FALSE)," ")</f>
        <v>M</v>
      </c>
      <c r="H358" s="1" t="s">
        <v>16</v>
      </c>
      <c r="I358" s="6">
        <f>IF(B358=0,VLOOKUP(A358,Feuil2!$A$2:$M$1241,7,FALSE)," ")</f>
        <v>5529699</v>
      </c>
      <c r="J358" s="1" t="str">
        <f>IF(B358=0,VLOOKUP(A358,Feuil2!$A$2:$M$1241,9,FALSE)," ")</f>
        <v>216 Rue 1er Juin</v>
      </c>
      <c r="K358" s="1" t="str">
        <f>IF(B358=0,VLOOKUP(A358,Feuil2!$A$2:$M$1241,10,FALSE)," ")</f>
        <v>Msaken 4070</v>
      </c>
      <c r="L358" s="1">
        <v>4070</v>
      </c>
      <c r="M358" s="1">
        <v>98783225</v>
      </c>
      <c r="N358" s="1"/>
      <c r="O358" s="8" t="str">
        <f>IF(B358=0,VLOOKUP(A358,Feuil2!$A$2:$M$1241,13,FALSE)," ")</f>
        <v>05048000116500033883</v>
      </c>
    </row>
    <row r="359" spans="1:15" x14ac:dyDescent="0.3">
      <c r="A359" s="1">
        <v>1685</v>
      </c>
      <c r="B359" s="1">
        <v>1</v>
      </c>
      <c r="C359" s="1" t="s">
        <v>38</v>
      </c>
      <c r="D359" s="1" t="s">
        <v>1007</v>
      </c>
      <c r="E359" s="5">
        <v>35578</v>
      </c>
      <c r="F359" s="1" t="s">
        <v>17</v>
      </c>
      <c r="G359" s="1" t="s">
        <v>15</v>
      </c>
      <c r="H359" s="1" t="s">
        <v>16</v>
      </c>
      <c r="I359" s="6" t="str">
        <f>IF(B359=0,VLOOKUP(A359,Feuil2!$A$2:$M$1241,7,FALSE)," ")</f>
        <v xml:space="preserve"> </v>
      </c>
      <c r="J359" s="1" t="str">
        <f>IF(B359=0,VLOOKUP(A359,Feuil2!$A$2:$M$1241,9,FALSE)," ")</f>
        <v xml:space="preserve"> </v>
      </c>
      <c r="K359" s="1" t="str">
        <f>IF(B359=0,VLOOKUP(A359,Feuil2!$A$2:$M$1241,10,FALSE)," ")</f>
        <v xml:space="preserve"> </v>
      </c>
      <c r="L359" s="1"/>
      <c r="M359" s="1"/>
      <c r="N359" s="1"/>
      <c r="O359" s="8" t="str">
        <f>IF(B359=0,VLOOKUP(A359,Feuil2!$A$2:$M$1241,13,FALSE)," ")</f>
        <v xml:space="preserve"> </v>
      </c>
    </row>
    <row r="360" spans="1:15" x14ac:dyDescent="0.3">
      <c r="A360" s="1">
        <v>1685</v>
      </c>
      <c r="B360" s="1">
        <v>2</v>
      </c>
      <c r="C360" s="1" t="s">
        <v>19</v>
      </c>
      <c r="D360" s="1" t="s">
        <v>441</v>
      </c>
      <c r="E360" s="5">
        <v>37740</v>
      </c>
      <c r="F360" s="1" t="s">
        <v>506</v>
      </c>
      <c r="G360" s="1" t="str">
        <f>IF(B360=0,VLOOKUP(A360,Feuil2!$A$2:$M$1241,11,FALSE)," ")</f>
        <v xml:space="preserve"> </v>
      </c>
      <c r="H360" s="1" t="s">
        <v>16</v>
      </c>
      <c r="I360" s="6" t="str">
        <f>IF(B360=0,VLOOKUP(A360,Feuil2!$A$2:$M$1241,7,FALSE)," ")</f>
        <v xml:space="preserve"> </v>
      </c>
      <c r="J360" s="1" t="str">
        <f>IF(B360=0,VLOOKUP(A360,Feuil2!$A$2:$M$1241,9,FALSE)," ")</f>
        <v xml:space="preserve"> </v>
      </c>
      <c r="K360" s="1" t="str">
        <f>IF(B360=0,VLOOKUP(A360,Feuil2!$A$2:$M$1241,10,FALSE)," ")</f>
        <v xml:space="preserve"> </v>
      </c>
      <c r="L360" s="1"/>
      <c r="M360" s="1"/>
      <c r="N360" s="1"/>
      <c r="O360" s="8" t="str">
        <f>IF(B360=0,VLOOKUP(A360,Feuil2!$A$2:$M$1241,13,FALSE)," ")</f>
        <v xml:space="preserve"> </v>
      </c>
    </row>
    <row r="361" spans="1:15" x14ac:dyDescent="0.3">
      <c r="A361" s="1">
        <v>1685</v>
      </c>
      <c r="B361" s="1">
        <v>3</v>
      </c>
      <c r="C361" s="1" t="s">
        <v>19</v>
      </c>
      <c r="D361" s="1" t="s">
        <v>2462</v>
      </c>
      <c r="E361" s="5">
        <v>38945</v>
      </c>
      <c r="F361" s="1" t="s">
        <v>506</v>
      </c>
      <c r="G361" s="1" t="str">
        <f>IF(B361=0,VLOOKUP(A361,Feuil2!$A$2:$M$1241,11,FALSE)," ")</f>
        <v xml:space="preserve"> </v>
      </c>
      <c r="H361" s="1" t="s">
        <v>16</v>
      </c>
      <c r="I361" s="6" t="str">
        <f>IF(B361=0,VLOOKUP(A361,Feuil2!$A$2:$M$1241,7,FALSE)," ")</f>
        <v xml:space="preserve"> </v>
      </c>
      <c r="J361" s="1" t="str">
        <f>IF(B361=0,VLOOKUP(A361,Feuil2!$A$2:$M$1241,9,FALSE)," ")</f>
        <v xml:space="preserve"> </v>
      </c>
      <c r="K361" s="1" t="str">
        <f>IF(B361=0,VLOOKUP(A361,Feuil2!$A$2:$M$1241,10,FALSE)," ")</f>
        <v xml:space="preserve"> </v>
      </c>
      <c r="L361" s="1"/>
      <c r="M361" s="1"/>
      <c r="N361" s="1"/>
      <c r="O361" s="8" t="str">
        <f>IF(B361=0,VLOOKUP(A361,Feuil2!$A$2:$M$1241,13,FALSE)," ")</f>
        <v xml:space="preserve"> </v>
      </c>
    </row>
    <row r="362" spans="1:15" x14ac:dyDescent="0.3">
      <c r="A362" s="1">
        <v>1685</v>
      </c>
      <c r="B362" s="1">
        <v>4</v>
      </c>
      <c r="C362" s="1" t="s">
        <v>19</v>
      </c>
      <c r="D362" s="1" t="s">
        <v>2337</v>
      </c>
      <c r="E362" s="5">
        <v>40138</v>
      </c>
      <c r="F362" s="1" t="s">
        <v>17</v>
      </c>
      <c r="G362" s="1" t="str">
        <f>IF(B362=0,VLOOKUP(A362,Feuil2!$A$2:$M$1241,11,FALSE)," ")</f>
        <v xml:space="preserve"> </v>
      </c>
      <c r="H362" s="1" t="s">
        <v>16</v>
      </c>
      <c r="I362" s="6" t="str">
        <f>IF(B362=0,VLOOKUP(A362,Feuil2!$A$2:$M$1241,7,FALSE)," ")</f>
        <v xml:space="preserve"> </v>
      </c>
      <c r="J362" s="1" t="str">
        <f>IF(B362=0,VLOOKUP(A362,Feuil2!$A$2:$M$1241,9,FALSE)," ")</f>
        <v xml:space="preserve"> </v>
      </c>
      <c r="K362" s="1" t="str">
        <f>IF(B362=0,VLOOKUP(A362,Feuil2!$A$2:$M$1241,10,FALSE)," ")</f>
        <v xml:space="preserve"> </v>
      </c>
      <c r="L362" s="1"/>
      <c r="M362" s="1"/>
      <c r="N362" s="1"/>
      <c r="O362" s="8" t="str">
        <f>IF(B362=0,VLOOKUP(A362,Feuil2!$A$2:$M$1241,13,FALSE)," ")</f>
        <v xml:space="preserve"> </v>
      </c>
    </row>
    <row r="363" spans="1:15" x14ac:dyDescent="0.3">
      <c r="A363" s="1">
        <v>1693</v>
      </c>
      <c r="B363" s="1">
        <v>0</v>
      </c>
      <c r="C363" s="1" t="str">
        <f>IF(B363=0,VLOOKUP(A363,Feuil2!$A$2:$M$1241,2,FALSE)," ")</f>
        <v>REBAI</v>
      </c>
      <c r="D363" s="1" t="str">
        <f>IF(B363=0,VLOOKUP(A363,Feuil2!$A$2:$M$1241,3,FALSE)," ")</f>
        <v>MOHAMED</v>
      </c>
      <c r="E363" s="5">
        <f>IF(B363=0,VLOOKUP(A363,Feuil2!$A$2:$M$1241,6,FALSE)," ")</f>
        <v>28295</v>
      </c>
      <c r="F363" s="1" t="str">
        <f>IF(B363=0,VLOOKUP(A363,Feuil2!$A$2:$M$1241,12,FALSE)," ")</f>
        <v>H</v>
      </c>
      <c r="G363" s="1" t="str">
        <f>IF(B363=0,VLOOKUP(A363,Feuil2!$A$2:$M$1241,11,FALSE)," ")</f>
        <v>M</v>
      </c>
      <c r="H363" s="1" t="s">
        <v>16</v>
      </c>
      <c r="I363" s="6">
        <f>IF(B363=0,VLOOKUP(A363,Feuil2!$A$2:$M$1241,7,FALSE)," ")</f>
        <v>8426699</v>
      </c>
      <c r="J363" s="1" t="str">
        <f>IF(B363=0,VLOOKUP(A363,Feuil2!$A$2:$M$1241,9,FALSE)," ")</f>
        <v>40 Cite Roumania</v>
      </c>
      <c r="K363" s="1" t="str">
        <f>IF(B363=0,VLOOKUP(A363,Feuil2!$A$2:$M$1241,10,FALSE)," ")</f>
        <v>Kalaa Kebira</v>
      </c>
      <c r="L363" s="1"/>
      <c r="M363" s="1">
        <v>56376791</v>
      </c>
      <c r="N363" s="1"/>
      <c r="O363" s="8" t="str">
        <f>IF(B363=0,VLOOKUP(A363,Feuil2!$A$2:$M$1241,13,FALSE)," ")</f>
        <v>08506000252001578053</v>
      </c>
    </row>
    <row r="364" spans="1:15" x14ac:dyDescent="0.3">
      <c r="A364" s="1">
        <v>1693</v>
      </c>
      <c r="B364" s="1">
        <v>1</v>
      </c>
      <c r="C364" s="1" t="s">
        <v>257</v>
      </c>
      <c r="D364" s="1" t="s">
        <v>2348</v>
      </c>
      <c r="E364" s="5">
        <v>30542</v>
      </c>
      <c r="F364" s="1" t="s">
        <v>17</v>
      </c>
      <c r="G364" s="1" t="s">
        <v>15</v>
      </c>
      <c r="H364" s="1" t="s">
        <v>16</v>
      </c>
      <c r="I364" s="6" t="str">
        <f>IF(B364=0,VLOOKUP(A364,Feuil2!$A$2:$M$1241,7,FALSE)," ")</f>
        <v xml:space="preserve"> </v>
      </c>
      <c r="J364" s="1" t="str">
        <f>IF(B364=0,VLOOKUP(A364,Feuil2!$A$2:$M$1241,9,FALSE)," ")</f>
        <v xml:space="preserve"> </v>
      </c>
      <c r="K364" s="1" t="str">
        <f>IF(B364=0,VLOOKUP(A364,Feuil2!$A$2:$M$1241,10,FALSE)," ")</f>
        <v xml:space="preserve"> </v>
      </c>
      <c r="L364" s="1"/>
      <c r="M364" s="1"/>
      <c r="N364" s="1"/>
      <c r="O364" s="8" t="str">
        <f>IF(B364=0,VLOOKUP(A364,Feuil2!$A$2:$M$1241,13,FALSE)," ")</f>
        <v xml:space="preserve"> </v>
      </c>
    </row>
    <row r="365" spans="1:15" x14ac:dyDescent="0.3">
      <c r="A365" s="1">
        <v>1693</v>
      </c>
      <c r="B365" s="1">
        <v>2</v>
      </c>
      <c r="C365" s="1" t="s">
        <v>257</v>
      </c>
      <c r="D365" s="1" t="s">
        <v>2431</v>
      </c>
      <c r="E365" s="5">
        <v>39292</v>
      </c>
      <c r="F365" s="1" t="s">
        <v>506</v>
      </c>
      <c r="G365" s="1" t="str">
        <f>IF(B365=0,VLOOKUP(A365,Feuil2!$A$2:$M$1241,11,FALSE)," ")</f>
        <v xml:space="preserve"> </v>
      </c>
      <c r="H365" s="1" t="s">
        <v>16</v>
      </c>
      <c r="I365" s="6" t="str">
        <f>IF(B365=0,VLOOKUP(A365,Feuil2!$A$2:$M$1241,7,FALSE)," ")</f>
        <v xml:space="preserve"> </v>
      </c>
      <c r="J365" s="1" t="str">
        <f>IF(B365=0,VLOOKUP(A365,Feuil2!$A$2:$M$1241,9,FALSE)," ")</f>
        <v xml:space="preserve"> </v>
      </c>
      <c r="K365" s="1" t="str">
        <f>IF(B365=0,VLOOKUP(A365,Feuil2!$A$2:$M$1241,10,FALSE)," ")</f>
        <v xml:space="preserve"> </v>
      </c>
      <c r="L365" s="1"/>
      <c r="M365" s="1"/>
      <c r="N365" s="1"/>
      <c r="O365" s="8" t="str">
        <f>IF(B365=0,VLOOKUP(A365,Feuil2!$A$2:$M$1241,13,FALSE)," ")</f>
        <v xml:space="preserve"> </v>
      </c>
    </row>
    <row r="366" spans="1:15" x14ac:dyDescent="0.3">
      <c r="A366" s="1">
        <v>1693</v>
      </c>
      <c r="B366" s="1">
        <v>3</v>
      </c>
      <c r="C366" s="1" t="s">
        <v>257</v>
      </c>
      <c r="D366" s="1" t="s">
        <v>2366</v>
      </c>
      <c r="E366" s="5">
        <v>39292</v>
      </c>
      <c r="F366" s="1" t="s">
        <v>17</v>
      </c>
      <c r="G366" s="1" t="str">
        <f>IF(B366=0,VLOOKUP(A366,Feuil2!$A$2:$M$1241,11,FALSE)," ")</f>
        <v xml:space="preserve"> </v>
      </c>
      <c r="H366" s="1" t="s">
        <v>16</v>
      </c>
      <c r="I366" s="6" t="str">
        <f>IF(B366=0,VLOOKUP(A366,Feuil2!$A$2:$M$1241,7,FALSE)," ")</f>
        <v xml:space="preserve"> </v>
      </c>
      <c r="J366" s="1" t="str">
        <f>IF(B366=0,VLOOKUP(A366,Feuil2!$A$2:$M$1241,9,FALSE)," ")</f>
        <v xml:space="preserve"> </v>
      </c>
      <c r="K366" s="1" t="str">
        <f>IF(B366=0,VLOOKUP(A366,Feuil2!$A$2:$M$1241,10,FALSE)," ")</f>
        <v xml:space="preserve"> </v>
      </c>
      <c r="L366" s="1"/>
      <c r="M366" s="1"/>
      <c r="N366" s="1"/>
      <c r="O366" s="8" t="str">
        <f>IF(B366=0,VLOOKUP(A366,Feuil2!$A$2:$M$1241,13,FALSE)," ")</f>
        <v xml:space="preserve"> </v>
      </c>
    </row>
    <row r="367" spans="1:15" x14ac:dyDescent="0.3">
      <c r="A367" s="1">
        <v>1693</v>
      </c>
      <c r="B367" s="1">
        <v>4</v>
      </c>
      <c r="C367" s="1" t="s">
        <v>257</v>
      </c>
      <c r="D367" s="1" t="s">
        <v>2432</v>
      </c>
      <c r="E367" s="5">
        <v>42147</v>
      </c>
      <c r="F367" s="1" t="s">
        <v>17</v>
      </c>
      <c r="G367" s="1" t="str">
        <f>IF(B367=0,VLOOKUP(A367,Feuil2!$A$2:$M$1241,11,FALSE)," ")</f>
        <v xml:space="preserve"> </v>
      </c>
      <c r="H367" s="1" t="s">
        <v>16</v>
      </c>
      <c r="I367" s="6" t="str">
        <f>IF(B367=0,VLOOKUP(A367,Feuil2!$A$2:$M$1241,7,FALSE)," ")</f>
        <v xml:space="preserve"> </v>
      </c>
      <c r="J367" s="1" t="str">
        <f>IF(B367=0,VLOOKUP(A367,Feuil2!$A$2:$M$1241,9,FALSE)," ")</f>
        <v xml:space="preserve"> </v>
      </c>
      <c r="K367" s="1" t="str">
        <f>IF(B367=0,VLOOKUP(A367,Feuil2!$A$2:$M$1241,10,FALSE)," ")</f>
        <v xml:space="preserve"> </v>
      </c>
      <c r="L367" s="1"/>
      <c r="M367" s="1"/>
      <c r="N367" s="1"/>
      <c r="O367" s="8" t="str">
        <f>IF(B367=0,VLOOKUP(A367,Feuil2!$A$2:$M$1241,13,FALSE)," ")</f>
        <v xml:space="preserve"> </v>
      </c>
    </row>
    <row r="368" spans="1:15" x14ac:dyDescent="0.3">
      <c r="A368" s="1">
        <v>1704</v>
      </c>
      <c r="B368" s="1">
        <v>0</v>
      </c>
      <c r="C368" s="1" t="str">
        <f>IF(B368=0,VLOOKUP(A368,Feuil2!$A$2:$M$1241,2,FALSE)," ")</f>
        <v>EL GAZZAH</v>
      </c>
      <c r="D368" s="1" t="str">
        <f>IF(B368=0,VLOOKUP(A368,Feuil2!$A$2:$M$1241,3,FALSE)," ")</f>
        <v>RIADH</v>
      </c>
      <c r="E368" s="5">
        <f>IF(B368=0,VLOOKUP(A368,Feuil2!$A$2:$M$1241,6,FALSE)," ")</f>
        <v>28904</v>
      </c>
      <c r="F368" s="1" t="str">
        <f>IF(B368=0,VLOOKUP(A368,Feuil2!$A$2:$M$1241,12,FALSE)," ")</f>
        <v>H</v>
      </c>
      <c r="G368" s="1" t="str">
        <f>IF(B368=0,VLOOKUP(A368,Feuil2!$A$2:$M$1241,11,FALSE)," ")</f>
        <v>M</v>
      </c>
      <c r="H368" s="1" t="s">
        <v>16</v>
      </c>
      <c r="I368" s="6">
        <f>IF(B368=0,VLOOKUP(A368,Feuil2!$A$2:$M$1241,7,FALSE)," ")</f>
        <v>5563290</v>
      </c>
      <c r="J368" s="1" t="str">
        <f>IF(B368=0,VLOOKUP(A368,Feuil2!$A$2:$M$1241,9,FALSE)," ")</f>
        <v>112,Rue El MÃ¢arri</v>
      </c>
      <c r="K368" s="1" t="str">
        <f>IF(B368=0,VLOOKUP(A368,Feuil2!$A$2:$M$1241,10,FALSE)," ")</f>
        <v>Msaken 4070</v>
      </c>
      <c r="L368" s="1">
        <v>4070</v>
      </c>
      <c r="M368" s="1">
        <v>53310211</v>
      </c>
      <c r="N368" s="1"/>
      <c r="O368" s="10" t="s">
        <v>2515</v>
      </c>
    </row>
    <row r="369" spans="1:15" x14ac:dyDescent="0.3">
      <c r="A369" s="1">
        <v>1704</v>
      </c>
      <c r="B369" s="1">
        <v>1</v>
      </c>
      <c r="C369" s="1" t="s">
        <v>61</v>
      </c>
      <c r="D369" s="1" t="s">
        <v>2514</v>
      </c>
      <c r="E369" s="5">
        <v>29029</v>
      </c>
      <c r="F369" s="1" t="s">
        <v>17</v>
      </c>
      <c r="G369" s="1" t="s">
        <v>15</v>
      </c>
      <c r="H369" s="1" t="s">
        <v>16</v>
      </c>
      <c r="I369" s="6" t="str">
        <f>IF(B369=0,VLOOKUP(A369,Feuil2!$A$2:$M$1241,7,FALSE)," ")</f>
        <v xml:space="preserve"> </v>
      </c>
      <c r="J369" s="1" t="str">
        <f>IF(B369=0,VLOOKUP(A369,Feuil2!$A$2:$M$1241,9,FALSE)," ")</f>
        <v xml:space="preserve"> </v>
      </c>
      <c r="K369" s="1" t="str">
        <f>IF(B369=0,VLOOKUP(A369,Feuil2!$A$2:$M$1241,10,FALSE)," ")</f>
        <v xml:space="preserve"> </v>
      </c>
      <c r="L369" s="1"/>
      <c r="M369" s="1"/>
      <c r="N369" s="1"/>
      <c r="O369" s="8" t="str">
        <f>IF(B369=0,VLOOKUP(A369,Feuil2!$A$2:$M$1241,13,FALSE)," ")</f>
        <v xml:space="preserve"> </v>
      </c>
    </row>
    <row r="370" spans="1:15" x14ac:dyDescent="0.3">
      <c r="A370" s="1">
        <v>1704</v>
      </c>
      <c r="B370" s="1">
        <v>2</v>
      </c>
      <c r="C370" s="1" t="s">
        <v>121</v>
      </c>
      <c r="D370" s="1" t="s">
        <v>441</v>
      </c>
      <c r="E370" s="5">
        <v>39203</v>
      </c>
      <c r="F370" s="1" t="s">
        <v>506</v>
      </c>
      <c r="G370" s="1" t="str">
        <f>IF(B370=0,VLOOKUP(A370,Feuil2!$A$2:$M$1241,11,FALSE)," ")</f>
        <v xml:space="preserve"> </v>
      </c>
      <c r="H370" s="1" t="s">
        <v>16</v>
      </c>
      <c r="I370" s="6" t="str">
        <f>IF(B370=0,VLOOKUP(A370,Feuil2!$A$2:$M$1241,7,FALSE)," ")</f>
        <v xml:space="preserve"> </v>
      </c>
      <c r="J370" s="1" t="str">
        <f>IF(B370=0,VLOOKUP(A370,Feuil2!$A$2:$M$1241,9,FALSE)," ")</f>
        <v xml:space="preserve"> </v>
      </c>
      <c r="K370" s="1" t="str">
        <f>IF(B370=0,VLOOKUP(A370,Feuil2!$A$2:$M$1241,10,FALSE)," ")</f>
        <v xml:space="preserve"> </v>
      </c>
      <c r="L370" s="1"/>
      <c r="M370" s="1"/>
      <c r="N370" s="1"/>
      <c r="O370" s="8" t="str">
        <f>IF(B370=0,VLOOKUP(A370,Feuil2!$A$2:$M$1241,13,FALSE)," ")</f>
        <v xml:space="preserve"> </v>
      </c>
    </row>
    <row r="371" spans="1:15" x14ac:dyDescent="0.3">
      <c r="A371" s="1">
        <v>1704</v>
      </c>
      <c r="B371" s="1">
        <v>3</v>
      </c>
      <c r="C371" s="1" t="s">
        <v>121</v>
      </c>
      <c r="D371" s="1" t="s">
        <v>122</v>
      </c>
      <c r="E371" s="5">
        <v>39700</v>
      </c>
      <c r="F371" s="1" t="s">
        <v>506</v>
      </c>
      <c r="G371" s="1" t="str">
        <f>IF(B371=0,VLOOKUP(A371,Feuil2!$A$2:$M$1241,11,FALSE)," ")</f>
        <v xml:space="preserve"> </v>
      </c>
      <c r="H371" s="1" t="s">
        <v>16</v>
      </c>
      <c r="I371" s="6" t="str">
        <f>IF(B371=0,VLOOKUP(A371,Feuil2!$A$2:$M$1241,7,FALSE)," ")</f>
        <v xml:space="preserve"> </v>
      </c>
      <c r="J371" s="1" t="str">
        <f>IF(B371=0,VLOOKUP(A371,Feuil2!$A$2:$M$1241,9,FALSE)," ")</f>
        <v xml:space="preserve"> </v>
      </c>
      <c r="K371" s="1" t="str">
        <f>IF(B371=0,VLOOKUP(A371,Feuil2!$A$2:$M$1241,10,FALSE)," ")</f>
        <v xml:space="preserve"> </v>
      </c>
      <c r="L371" s="1"/>
      <c r="M371" s="1"/>
      <c r="N371" s="1"/>
      <c r="O371" s="8" t="str">
        <f>IF(B371=0,VLOOKUP(A371,Feuil2!$A$2:$M$1241,13,FALSE)," ")</f>
        <v xml:space="preserve"> </v>
      </c>
    </row>
    <row r="372" spans="1:15" x14ac:dyDescent="0.3">
      <c r="A372" s="1">
        <v>1704</v>
      </c>
      <c r="B372" s="1">
        <v>4</v>
      </c>
      <c r="C372" s="1" t="s">
        <v>121</v>
      </c>
      <c r="D372" s="1" t="s">
        <v>2332</v>
      </c>
      <c r="E372" s="5">
        <v>41374</v>
      </c>
      <c r="F372" s="1" t="s">
        <v>17</v>
      </c>
      <c r="G372" s="1" t="str">
        <f>IF(B372=0,VLOOKUP(A372,Feuil2!$A$2:$M$1241,11,FALSE)," ")</f>
        <v xml:space="preserve"> </v>
      </c>
      <c r="H372" s="1" t="s">
        <v>16</v>
      </c>
      <c r="I372" s="6" t="str">
        <f>IF(B372=0,VLOOKUP(A372,Feuil2!$A$2:$M$1241,7,FALSE)," ")</f>
        <v xml:space="preserve"> </v>
      </c>
      <c r="J372" s="1" t="str">
        <f>IF(B372=0,VLOOKUP(A372,Feuil2!$A$2:$M$1241,9,FALSE)," ")</f>
        <v xml:space="preserve"> </v>
      </c>
      <c r="K372" s="1" t="str">
        <f>IF(B372=0,VLOOKUP(A372,Feuil2!$A$2:$M$1241,10,FALSE)," ")</f>
        <v xml:space="preserve"> </v>
      </c>
      <c r="L372" s="1"/>
      <c r="M372" s="1"/>
      <c r="N372" s="1"/>
      <c r="O372" s="8" t="str">
        <f>IF(B372=0,VLOOKUP(A372,Feuil2!$A$2:$M$1241,13,FALSE)," ")</f>
        <v xml:space="preserve"> </v>
      </c>
    </row>
    <row r="373" spans="1:15" x14ac:dyDescent="0.3">
      <c r="A373" s="1">
        <v>1710</v>
      </c>
      <c r="B373" s="1">
        <v>0</v>
      </c>
      <c r="C373" s="1" t="str">
        <f>IF(B373=0,VLOOKUP(A373,Feuil2!$A$2:$M$1241,2,FALSE)," ")</f>
        <v>AYADI</v>
      </c>
      <c r="D373" s="1" t="str">
        <f>IF(B373=0,VLOOKUP(A373,Feuil2!$A$2:$M$1241,3,FALSE)," ")</f>
        <v>NEBIL</v>
      </c>
      <c r="E373" s="5">
        <f>IF(B373=0,VLOOKUP(A373,Feuil2!$A$2:$M$1241,6,FALSE)," ")</f>
        <v>27824</v>
      </c>
      <c r="F373" s="1" t="str">
        <f>IF(B373=0,VLOOKUP(A373,Feuil2!$A$2:$M$1241,12,FALSE)," ")</f>
        <v>H</v>
      </c>
      <c r="G373" s="1" t="str">
        <f>IF(B373=0,VLOOKUP(A373,Feuil2!$A$2:$M$1241,11,FALSE)," ")</f>
        <v>C</v>
      </c>
      <c r="H373" s="1" t="s">
        <v>16</v>
      </c>
      <c r="I373" s="6">
        <f>IF(B373=0,VLOOKUP(A373,Feuil2!$A$2:$M$1241,7,FALSE)," ")</f>
        <v>7533107</v>
      </c>
      <c r="J373" s="1" t="str">
        <f>IF(B373=0,VLOOKUP(A373,Feuil2!$A$2:$M$1241,9,FALSE)," ")</f>
        <v>7 Rue Ezzouhour</v>
      </c>
      <c r="K373" s="1" t="str">
        <f>IF(B373=0,VLOOKUP(A373,Feuil2!$A$2:$M$1241,10,FALSE)," ")</f>
        <v>Msaken 4070</v>
      </c>
      <c r="L373" s="1">
        <v>4070</v>
      </c>
      <c r="M373" s="1">
        <v>20410397</v>
      </c>
      <c r="N373" s="1"/>
      <c r="O373" s="8" t="str">
        <f>IF(B373=0,VLOOKUP(A373,Feuil2!$A$2:$M$1241,13,FALSE)," ")</f>
        <v>12505000580104694274</v>
      </c>
    </row>
    <row r="374" spans="1:15" x14ac:dyDescent="0.3">
      <c r="A374" s="1">
        <v>1712</v>
      </c>
      <c r="B374" s="1">
        <v>0</v>
      </c>
      <c r="C374" s="1" t="str">
        <f>IF(B374=0,VLOOKUP(A374,Feuil2!$A$2:$M$1241,2,FALSE)," ")</f>
        <v>MKHININI ZAATOUT</v>
      </c>
      <c r="D374" s="1" t="str">
        <f>IF(B374=0,VLOOKUP(A374,Feuil2!$A$2:$M$1241,3,FALSE)," ")</f>
        <v>MOHAMED</v>
      </c>
      <c r="E374" s="5">
        <f>IF(B374=0,VLOOKUP(A374,Feuil2!$A$2:$M$1241,6,FALSE)," ")</f>
        <v>26056</v>
      </c>
      <c r="F374" s="1" t="str">
        <f>IF(B374=0,VLOOKUP(A374,Feuil2!$A$2:$M$1241,12,FALSE)," ")</f>
        <v>H</v>
      </c>
      <c r="G374" s="1" t="str">
        <f>IF(B374=0,VLOOKUP(A374,Feuil2!$A$2:$M$1241,11,FALSE)," ")</f>
        <v>M</v>
      </c>
      <c r="H374" s="1" t="s">
        <v>16</v>
      </c>
      <c r="I374" s="6">
        <f>IF(B374=0,VLOOKUP(A374,Feuil2!$A$2:$M$1241,7,FALSE)," ")</f>
        <v>5503297</v>
      </c>
      <c r="J374" s="1" t="str">
        <f>IF(B374=0,VLOOKUP(A374,Feuil2!$A$2:$M$1241,9,FALSE)," ")</f>
        <v>109 Rue de la mosquÃ©e</v>
      </c>
      <c r="K374" s="1" t="str">
        <f>IF(B374=0,VLOOKUP(A374,Feuil2!$A$2:$M$1241,10,FALSE)," ")</f>
        <v>Msaken 4070</v>
      </c>
      <c r="L374" s="1">
        <v>4070</v>
      </c>
      <c r="M374" s="1">
        <v>22939191</v>
      </c>
      <c r="N374" s="1"/>
      <c r="O374" s="8" t="str">
        <f>IF(B374=0,VLOOKUP(A374,Feuil2!$A$2:$M$1241,13,FALSE)," ")</f>
        <v>10506040206206878812</v>
      </c>
    </row>
    <row r="375" spans="1:15" x14ac:dyDescent="0.3">
      <c r="A375" s="1">
        <v>1712</v>
      </c>
      <c r="B375" s="1">
        <v>1</v>
      </c>
      <c r="C375" s="1" t="s">
        <v>1317</v>
      </c>
      <c r="D375" s="1" t="s">
        <v>2372</v>
      </c>
      <c r="E375" s="5">
        <v>29572</v>
      </c>
      <c r="F375" s="1" t="s">
        <v>17</v>
      </c>
      <c r="G375" s="1" t="s">
        <v>15</v>
      </c>
      <c r="H375" s="1" t="s">
        <v>16</v>
      </c>
      <c r="I375" s="6" t="str">
        <f>IF(B375=0,VLOOKUP(A375,Feuil2!$A$2:$M$1241,7,FALSE)," ")</f>
        <v xml:space="preserve"> </v>
      </c>
      <c r="J375" s="1" t="str">
        <f>IF(B375=0,VLOOKUP(A375,Feuil2!$A$2:$M$1241,9,FALSE)," ")</f>
        <v xml:space="preserve"> </v>
      </c>
      <c r="K375" s="1" t="str">
        <f>IF(B375=0,VLOOKUP(A375,Feuil2!$A$2:$M$1241,10,FALSE)," ")</f>
        <v xml:space="preserve"> </v>
      </c>
      <c r="L375" s="1"/>
      <c r="M375" s="1"/>
      <c r="N375" s="1"/>
      <c r="O375" s="8" t="str">
        <f>IF(B375=0,VLOOKUP(A375,Feuil2!$A$2:$M$1241,13,FALSE)," ")</f>
        <v xml:space="preserve"> </v>
      </c>
    </row>
    <row r="376" spans="1:15" x14ac:dyDescent="0.3">
      <c r="A376" s="1">
        <v>1712</v>
      </c>
      <c r="B376" s="1">
        <v>2</v>
      </c>
      <c r="C376" s="1" t="s">
        <v>1608</v>
      </c>
      <c r="D376" s="1" t="s">
        <v>2345</v>
      </c>
      <c r="E376" s="5">
        <v>38134</v>
      </c>
      <c r="F376" s="1" t="s">
        <v>17</v>
      </c>
      <c r="G376" s="1" t="str">
        <f>IF(B376=0,VLOOKUP(A376,Feuil2!$A$2:$M$1241,11,FALSE)," ")</f>
        <v xml:space="preserve"> </v>
      </c>
      <c r="H376" s="1" t="s">
        <v>16</v>
      </c>
      <c r="I376" s="6" t="str">
        <f>IF(B376=0,VLOOKUP(A376,Feuil2!$A$2:$M$1241,7,FALSE)," ")</f>
        <v xml:space="preserve"> </v>
      </c>
      <c r="J376" s="1" t="str">
        <f>IF(B376=0,VLOOKUP(A376,Feuil2!$A$2:$M$1241,9,FALSE)," ")</f>
        <v xml:space="preserve"> </v>
      </c>
      <c r="K376" s="1" t="str">
        <f>IF(B376=0,VLOOKUP(A376,Feuil2!$A$2:$M$1241,10,FALSE)," ")</f>
        <v xml:space="preserve"> </v>
      </c>
      <c r="L376" s="1"/>
      <c r="M376" s="1"/>
      <c r="N376" s="1"/>
      <c r="O376" s="8" t="str">
        <f>IF(B376=0,VLOOKUP(A376,Feuil2!$A$2:$M$1241,13,FALSE)," ")</f>
        <v xml:space="preserve"> </v>
      </c>
    </row>
    <row r="377" spans="1:15" x14ac:dyDescent="0.3">
      <c r="A377" s="1">
        <v>1712</v>
      </c>
      <c r="B377" s="1">
        <v>3</v>
      </c>
      <c r="C377" s="1" t="s">
        <v>1608</v>
      </c>
      <c r="D377" s="1" t="s">
        <v>2337</v>
      </c>
      <c r="E377" s="5">
        <v>38717</v>
      </c>
      <c r="F377" s="1" t="s">
        <v>17</v>
      </c>
      <c r="G377" s="1" t="str">
        <f>IF(B377=0,VLOOKUP(A377,Feuil2!$A$2:$M$1241,11,FALSE)," ")</f>
        <v xml:space="preserve"> </v>
      </c>
      <c r="H377" s="1" t="s">
        <v>16</v>
      </c>
      <c r="I377" s="6" t="str">
        <f>IF(B377=0,VLOOKUP(A377,Feuil2!$A$2:$M$1241,7,FALSE)," ")</f>
        <v xml:space="preserve"> </v>
      </c>
      <c r="J377" s="1" t="str">
        <f>IF(B377=0,VLOOKUP(A377,Feuil2!$A$2:$M$1241,9,FALSE)," ")</f>
        <v xml:space="preserve"> </v>
      </c>
      <c r="K377" s="1" t="str">
        <f>IF(B377=0,VLOOKUP(A377,Feuil2!$A$2:$M$1241,10,FALSE)," ")</f>
        <v xml:space="preserve"> </v>
      </c>
      <c r="L377" s="1"/>
      <c r="M377" s="1"/>
      <c r="N377" s="1"/>
      <c r="O377" s="8" t="str">
        <f>IF(B377=0,VLOOKUP(A377,Feuil2!$A$2:$M$1241,13,FALSE)," ")</f>
        <v xml:space="preserve"> </v>
      </c>
    </row>
    <row r="378" spans="1:15" x14ac:dyDescent="0.3">
      <c r="A378" s="1">
        <v>1712</v>
      </c>
      <c r="B378" s="1">
        <v>4</v>
      </c>
      <c r="C378" s="1" t="s">
        <v>1608</v>
      </c>
      <c r="D378" s="1" t="s">
        <v>61</v>
      </c>
      <c r="E378" s="5">
        <v>41967</v>
      </c>
      <c r="F378" s="1" t="s">
        <v>506</v>
      </c>
      <c r="G378" s="1" t="str">
        <f>IF(B378=0,VLOOKUP(A378,Feuil2!$A$2:$M$1241,11,FALSE)," ")</f>
        <v xml:space="preserve"> </v>
      </c>
      <c r="H378" s="1" t="s">
        <v>16</v>
      </c>
      <c r="I378" s="6" t="str">
        <f>IF(B378=0,VLOOKUP(A378,Feuil2!$A$2:$M$1241,7,FALSE)," ")</f>
        <v xml:space="preserve"> </v>
      </c>
      <c r="J378" s="1" t="str">
        <f>IF(B378=0,VLOOKUP(A378,Feuil2!$A$2:$M$1241,9,FALSE)," ")</f>
        <v xml:space="preserve"> </v>
      </c>
      <c r="K378" s="1" t="str">
        <f>IF(B378=0,VLOOKUP(A378,Feuil2!$A$2:$M$1241,10,FALSE)," ")</f>
        <v xml:space="preserve"> </v>
      </c>
      <c r="L378" s="1"/>
      <c r="M378" s="1"/>
      <c r="N378" s="1"/>
      <c r="O378" s="8" t="str">
        <f>IF(B378=0,VLOOKUP(A378,Feuil2!$A$2:$M$1241,13,FALSE)," ")</f>
        <v xml:space="preserve"> </v>
      </c>
    </row>
    <row r="379" spans="1:15" x14ac:dyDescent="0.3">
      <c r="A379" s="17">
        <v>1721</v>
      </c>
      <c r="B379" s="17">
        <v>0</v>
      </c>
      <c r="C379" s="17" t="str">
        <f>IF(B379=0,VLOOKUP(A379,Feuil2!$A$2:$M$1241,2,FALSE)," ")</f>
        <v>CHAARANA</v>
      </c>
      <c r="D379" s="17" t="str">
        <f>IF(B379=0,VLOOKUP(A379,Feuil2!$A$2:$M$1241,3,FALSE)," ")</f>
        <v>ABDELKERIM</v>
      </c>
      <c r="E379" s="18">
        <f>IF(B379=0,VLOOKUP(A379,Feuil2!$A$2:$M$1241,6,FALSE)," ")</f>
        <v>29223</v>
      </c>
      <c r="F379" s="17" t="str">
        <f>IF(B379=0,VLOOKUP(A379,Feuil2!$A$2:$M$1241,12,FALSE)," ")</f>
        <v>H</v>
      </c>
      <c r="G379" s="17" t="str">
        <f>IF(B379=0,VLOOKUP(A379,Feuil2!$A$2:$M$1241,11,FALSE)," ")</f>
        <v>M</v>
      </c>
      <c r="H379" s="17" t="s">
        <v>16</v>
      </c>
      <c r="I379" s="19">
        <f>IF(B379=0,VLOOKUP(A379,Feuil2!$A$2:$M$1241,7,FALSE)," ")</f>
        <v>5581097</v>
      </c>
      <c r="J379" s="17" t="str">
        <f>IF(B379=0,VLOOKUP(A379,Feuil2!$A$2:$M$1241,9,FALSE)," ")</f>
        <v>68 Rue du Soudan</v>
      </c>
      <c r="K379" s="17" t="str">
        <f>IF(B379=0,VLOOKUP(A379,Feuil2!$A$2:$M$1241,10,FALSE)," ")</f>
        <v>Msaken 4070</v>
      </c>
      <c r="L379" s="17">
        <v>4070</v>
      </c>
      <c r="M379" s="17">
        <v>97584170</v>
      </c>
      <c r="N379" s="17"/>
      <c r="O379" s="20" t="str">
        <f>IF(B379=0,VLOOKUP(A379,Feuil2!$A$2:$M$1241,13,FALSE)," ")</f>
        <v>04204067404001934330</v>
      </c>
    </row>
    <row r="380" spans="1:15" x14ac:dyDescent="0.3">
      <c r="A380" s="1">
        <v>1721</v>
      </c>
      <c r="B380" s="1">
        <v>1</v>
      </c>
      <c r="C380" s="1" t="s">
        <v>83</v>
      </c>
      <c r="D380" s="1" t="s">
        <v>1787</v>
      </c>
      <c r="E380" s="5">
        <v>32112</v>
      </c>
      <c r="F380" s="1" t="s">
        <v>17</v>
      </c>
      <c r="G380" s="1" t="s">
        <v>15</v>
      </c>
      <c r="H380" s="1" t="s">
        <v>16</v>
      </c>
      <c r="I380" s="6" t="str">
        <f>IF(B380=0,VLOOKUP(A380,Feuil2!$A$2:$M$1241,7,FALSE)," ")</f>
        <v xml:space="preserve"> </v>
      </c>
      <c r="J380" s="1" t="str">
        <f>IF(B380=0,VLOOKUP(A380,Feuil2!$A$2:$M$1241,9,FALSE)," ")</f>
        <v xml:space="preserve"> </v>
      </c>
      <c r="K380" s="1" t="str">
        <f>IF(B380=0,VLOOKUP(A380,Feuil2!$A$2:$M$1241,10,FALSE)," ")</f>
        <v xml:space="preserve"> </v>
      </c>
      <c r="L380" s="1"/>
      <c r="M380" s="1"/>
      <c r="N380" s="1"/>
      <c r="O380" s="8" t="str">
        <f>IF(B380=0,VLOOKUP(A380,Feuil2!$A$2:$M$1241,13,FALSE)," ")</f>
        <v xml:space="preserve"> </v>
      </c>
    </row>
    <row r="381" spans="1:15" x14ac:dyDescent="0.3">
      <c r="A381" s="1">
        <v>1721</v>
      </c>
      <c r="B381" s="1">
        <v>2</v>
      </c>
      <c r="C381" s="1" t="s">
        <v>84</v>
      </c>
      <c r="D381" s="1" t="s">
        <v>2347</v>
      </c>
      <c r="E381" s="5">
        <v>40743</v>
      </c>
      <c r="F381" s="1" t="s">
        <v>506</v>
      </c>
      <c r="G381" s="1" t="str">
        <f>IF(B381=0,VLOOKUP(A381,Feuil2!$A$2:$M$1241,11,FALSE)," ")</f>
        <v xml:space="preserve"> </v>
      </c>
      <c r="H381" s="1" t="s">
        <v>16</v>
      </c>
      <c r="I381" s="6" t="str">
        <f>IF(B381=0,VLOOKUP(A381,Feuil2!$A$2:$M$1241,7,FALSE)," ")</f>
        <v xml:space="preserve"> </v>
      </c>
      <c r="J381" s="1" t="str">
        <f>IF(B381=0,VLOOKUP(A381,Feuil2!$A$2:$M$1241,9,FALSE)," ")</f>
        <v xml:space="preserve"> </v>
      </c>
      <c r="K381" s="1" t="str">
        <f>IF(B381=0,VLOOKUP(A381,Feuil2!$A$2:$M$1241,10,FALSE)," ")</f>
        <v xml:space="preserve"> </v>
      </c>
      <c r="L381" s="1"/>
      <c r="M381" s="1"/>
      <c r="N381" s="1"/>
      <c r="O381" s="8" t="str">
        <f>IF(B381=0,VLOOKUP(A381,Feuil2!$A$2:$M$1241,13,FALSE)," ")</f>
        <v xml:space="preserve"> </v>
      </c>
    </row>
    <row r="382" spans="1:15" x14ac:dyDescent="0.3">
      <c r="A382" s="1">
        <v>1721</v>
      </c>
      <c r="B382" s="1">
        <v>3</v>
      </c>
      <c r="C382" s="1" t="s">
        <v>84</v>
      </c>
      <c r="D382" s="1" t="s">
        <v>2367</v>
      </c>
      <c r="E382" s="5">
        <v>42009</v>
      </c>
      <c r="F382" s="1" t="s">
        <v>17</v>
      </c>
      <c r="G382" s="1" t="str">
        <f>IF(B382=0,VLOOKUP(A382,Feuil2!$A$2:$M$1241,11,FALSE)," ")</f>
        <v xml:space="preserve"> </v>
      </c>
      <c r="H382" s="1" t="s">
        <v>16</v>
      </c>
      <c r="I382" s="6" t="str">
        <f>IF(B382=0,VLOOKUP(A382,Feuil2!$A$2:$M$1241,7,FALSE)," ")</f>
        <v xml:space="preserve"> </v>
      </c>
      <c r="J382" s="1" t="str">
        <f>IF(B382=0,VLOOKUP(A382,Feuil2!$A$2:$M$1241,9,FALSE)," ")</f>
        <v xml:space="preserve"> </v>
      </c>
      <c r="K382" s="1" t="str">
        <f>IF(B382=0,VLOOKUP(A382,Feuil2!$A$2:$M$1241,10,FALSE)," ")</f>
        <v xml:space="preserve"> </v>
      </c>
      <c r="L382" s="1"/>
      <c r="M382" s="1"/>
      <c r="N382" s="1"/>
      <c r="O382" s="8" t="str">
        <f>IF(B382=0,VLOOKUP(A382,Feuil2!$A$2:$M$1241,13,FALSE)," ")</f>
        <v xml:space="preserve"> </v>
      </c>
    </row>
    <row r="383" spans="1:15" x14ac:dyDescent="0.3">
      <c r="A383" s="1">
        <v>1721</v>
      </c>
      <c r="B383" s="1">
        <v>4</v>
      </c>
      <c r="C383" s="1" t="s">
        <v>84</v>
      </c>
      <c r="D383" s="1" t="s">
        <v>402</v>
      </c>
      <c r="E383" s="5">
        <v>43045</v>
      </c>
      <c r="F383" s="1" t="s">
        <v>17</v>
      </c>
      <c r="G383" s="1" t="str">
        <f>IF(B383=0,VLOOKUP(A383,Feuil2!$A$2:$M$1241,11,FALSE)," ")</f>
        <v xml:space="preserve"> </v>
      </c>
      <c r="H383" s="1" t="s">
        <v>16</v>
      </c>
      <c r="I383" s="6" t="str">
        <f>IF(B383=0,VLOOKUP(A383,Feuil2!$A$2:$M$1241,7,FALSE)," ")</f>
        <v xml:space="preserve"> </v>
      </c>
      <c r="J383" s="1" t="str">
        <f>IF(B383=0,VLOOKUP(A383,Feuil2!$A$2:$M$1241,9,FALSE)," ")</f>
        <v xml:space="preserve"> </v>
      </c>
      <c r="K383" s="1" t="str">
        <f>IF(B383=0,VLOOKUP(A383,Feuil2!$A$2:$M$1241,10,FALSE)," ")</f>
        <v xml:space="preserve"> </v>
      </c>
      <c r="L383" s="1"/>
      <c r="M383" s="1"/>
      <c r="N383" s="1"/>
      <c r="O383" s="8" t="str">
        <f>IF(B383=0,VLOOKUP(A383,Feuil2!$A$2:$M$1241,13,FALSE)," ")</f>
        <v xml:space="preserve"> </v>
      </c>
    </row>
    <row r="384" spans="1:15" x14ac:dyDescent="0.3">
      <c r="A384" s="1">
        <v>1724</v>
      </c>
      <c r="B384" s="1">
        <v>0</v>
      </c>
      <c r="C384" s="1" t="str">
        <f>IF(B384=0,VLOOKUP(A384,Feuil2!$A$2:$M$1241,2,FALSE)," ")</f>
        <v>KAIBI</v>
      </c>
      <c r="D384" s="1" t="str">
        <f>IF(B384=0,VLOOKUP(A384,Feuil2!$A$2:$M$1241,3,FALSE)," ")</f>
        <v>ANIS</v>
      </c>
      <c r="E384" s="5">
        <f>IF(B384=0,VLOOKUP(A384,Feuil2!$A$2:$M$1241,6,FALSE)," ")</f>
        <v>29739</v>
      </c>
      <c r="F384" s="1" t="str">
        <f>IF(B384=0,VLOOKUP(A384,Feuil2!$A$2:$M$1241,12,FALSE)," ")</f>
        <v>H</v>
      </c>
      <c r="G384" s="1" t="str">
        <f>IF(B384=0,VLOOKUP(A384,Feuil2!$A$2:$M$1241,11,FALSE)," ")</f>
        <v>M</v>
      </c>
      <c r="H384" s="1" t="s">
        <v>16</v>
      </c>
      <c r="I384" s="6">
        <f>IF(B384=0,VLOOKUP(A384,Feuil2!$A$2:$M$1241,7,FALSE)," ")</f>
        <v>8440062</v>
      </c>
      <c r="J384" s="1" t="str">
        <f>IF(B384=0,VLOOKUP(A384,Feuil2!$A$2:$M$1241,9,FALSE)," ")</f>
        <v>126 Rue Djebline</v>
      </c>
      <c r="K384" s="1" t="str">
        <f>IF(B384=0,VLOOKUP(A384,Feuil2!$A$2:$M$1241,10,FALSE)," ")</f>
        <v>Msaken 4070</v>
      </c>
      <c r="L384" s="1">
        <v>4070</v>
      </c>
      <c r="M384" s="1">
        <v>97339007</v>
      </c>
      <c r="N384" s="1"/>
      <c r="O384" s="8" t="str">
        <f>IF(B384=0,VLOOKUP(A384,Feuil2!$A$2:$M$1241,13,FALSE)," ")</f>
        <v>12505000580102580547</v>
      </c>
    </row>
    <row r="385" spans="1:15" x14ac:dyDescent="0.3">
      <c r="A385" s="1">
        <v>1724</v>
      </c>
      <c r="B385" s="1">
        <v>1</v>
      </c>
      <c r="C385" s="1" t="s">
        <v>2494</v>
      </c>
      <c r="D385" s="1" t="s">
        <v>2418</v>
      </c>
      <c r="E385" s="5">
        <v>31795</v>
      </c>
      <c r="F385" s="1" t="s">
        <v>17</v>
      </c>
      <c r="G385" s="1" t="s">
        <v>15</v>
      </c>
      <c r="H385" s="1" t="s">
        <v>16</v>
      </c>
      <c r="I385" s="6" t="str">
        <f>IF(B385=0,VLOOKUP(A385,Feuil2!$A$2:$M$1241,7,FALSE)," ")</f>
        <v xml:space="preserve"> </v>
      </c>
      <c r="J385" s="1" t="str">
        <f>IF(B385=0,VLOOKUP(A385,Feuil2!$A$2:$M$1241,9,FALSE)," ")</f>
        <v xml:space="preserve"> </v>
      </c>
      <c r="K385" s="1" t="str">
        <f>IF(B385=0,VLOOKUP(A385,Feuil2!$A$2:$M$1241,10,FALSE)," ")</f>
        <v xml:space="preserve"> </v>
      </c>
      <c r="L385" s="1"/>
      <c r="M385" s="1"/>
      <c r="N385" s="1"/>
      <c r="O385" s="8" t="str">
        <f>IF(B385=0,VLOOKUP(A385,Feuil2!$A$2:$M$1241,13,FALSE)," ")</f>
        <v xml:space="preserve"> </v>
      </c>
    </row>
    <row r="386" spans="1:15" x14ac:dyDescent="0.3">
      <c r="A386" s="1">
        <v>1724</v>
      </c>
      <c r="B386" s="1">
        <v>2</v>
      </c>
      <c r="C386" s="1" t="s">
        <v>188</v>
      </c>
      <c r="D386" s="1" t="s">
        <v>2495</v>
      </c>
      <c r="E386" s="5">
        <v>41071</v>
      </c>
      <c r="F386" s="1" t="s">
        <v>17</v>
      </c>
      <c r="G386" s="1" t="str">
        <f>IF(B386=0,VLOOKUP(A386,Feuil2!$A$2:$M$1241,11,FALSE)," ")</f>
        <v xml:space="preserve"> </v>
      </c>
      <c r="H386" s="1" t="s">
        <v>16</v>
      </c>
      <c r="I386" s="6" t="str">
        <f>IF(B386=0,VLOOKUP(A386,Feuil2!$A$2:$M$1241,7,FALSE)," ")</f>
        <v xml:space="preserve"> </v>
      </c>
      <c r="J386" s="1" t="str">
        <f>IF(B386=0,VLOOKUP(A386,Feuil2!$A$2:$M$1241,9,FALSE)," ")</f>
        <v xml:space="preserve"> </v>
      </c>
      <c r="K386" s="1" t="str">
        <f>IF(B386=0,VLOOKUP(A386,Feuil2!$A$2:$M$1241,10,FALSE)," ")</f>
        <v xml:space="preserve"> </v>
      </c>
      <c r="L386" s="1"/>
      <c r="M386" s="1"/>
      <c r="N386" s="1"/>
      <c r="O386" s="8" t="str">
        <f>IF(B386=0,VLOOKUP(A386,Feuil2!$A$2:$M$1241,13,FALSE)," ")</f>
        <v xml:space="preserve"> </v>
      </c>
    </row>
    <row r="387" spans="1:15" x14ac:dyDescent="0.3">
      <c r="A387" s="1">
        <v>1724</v>
      </c>
      <c r="B387" s="1">
        <v>3</v>
      </c>
      <c r="C387" s="1" t="s">
        <v>188</v>
      </c>
      <c r="D387" s="1" t="s">
        <v>2496</v>
      </c>
      <c r="E387" s="5">
        <v>41825</v>
      </c>
      <c r="F387" s="1" t="s">
        <v>506</v>
      </c>
      <c r="G387" s="1" t="str">
        <f>IF(B387=0,VLOOKUP(A387,Feuil2!$A$2:$M$1241,11,FALSE)," ")</f>
        <v xml:space="preserve"> </v>
      </c>
      <c r="H387" s="1" t="s">
        <v>16</v>
      </c>
      <c r="I387" s="6" t="str">
        <f>IF(B387=0,VLOOKUP(A387,Feuil2!$A$2:$M$1241,7,FALSE)," ")</f>
        <v xml:space="preserve"> </v>
      </c>
      <c r="J387" s="1" t="str">
        <f>IF(B387=0,VLOOKUP(A387,Feuil2!$A$2:$M$1241,9,FALSE)," ")</f>
        <v xml:space="preserve"> </v>
      </c>
      <c r="K387" s="1" t="str">
        <f>IF(B387=0,VLOOKUP(A387,Feuil2!$A$2:$M$1241,10,FALSE)," ")</f>
        <v xml:space="preserve"> </v>
      </c>
      <c r="L387" s="1"/>
      <c r="M387" s="1"/>
      <c r="N387" s="1"/>
      <c r="O387" s="8" t="str">
        <f>IF(B387=0,VLOOKUP(A387,Feuil2!$A$2:$M$1241,13,FALSE)," ")</f>
        <v xml:space="preserve"> </v>
      </c>
    </row>
    <row r="388" spans="1:15" x14ac:dyDescent="0.3">
      <c r="A388" s="1">
        <v>1724</v>
      </c>
      <c r="B388" s="1">
        <v>4</v>
      </c>
      <c r="C388" s="1" t="s">
        <v>188</v>
      </c>
      <c r="D388" s="1" t="s">
        <v>2497</v>
      </c>
      <c r="E388" s="5">
        <v>43435</v>
      </c>
      <c r="F388" s="1" t="s">
        <v>506</v>
      </c>
      <c r="G388" s="1" t="str">
        <f>IF(B388=0,VLOOKUP(A388,Feuil2!$A$2:$M$1241,11,FALSE)," ")</f>
        <v xml:space="preserve"> </v>
      </c>
      <c r="H388" s="1" t="s">
        <v>16</v>
      </c>
      <c r="I388" s="6" t="str">
        <f>IF(B388=0,VLOOKUP(A388,Feuil2!$A$2:$M$1241,7,FALSE)," ")</f>
        <v xml:space="preserve"> </v>
      </c>
      <c r="J388" s="1" t="str">
        <f>IF(B388=0,VLOOKUP(A388,Feuil2!$A$2:$M$1241,9,FALSE)," ")</f>
        <v xml:space="preserve"> </v>
      </c>
      <c r="K388" s="1" t="str">
        <f>IF(B388=0,VLOOKUP(A388,Feuil2!$A$2:$M$1241,10,FALSE)," ")</f>
        <v xml:space="preserve"> </v>
      </c>
      <c r="L388" s="1"/>
      <c r="M388" s="1"/>
      <c r="N388" s="1"/>
      <c r="O388" s="8" t="str">
        <f>IF(B388=0,VLOOKUP(A388,Feuil2!$A$2:$M$1241,13,FALSE)," ")</f>
        <v xml:space="preserve"> </v>
      </c>
    </row>
    <row r="389" spans="1:15" x14ac:dyDescent="0.3">
      <c r="A389" s="1">
        <v>1724</v>
      </c>
      <c r="B389" s="1">
        <v>5</v>
      </c>
      <c r="C389" s="1" t="s">
        <v>188</v>
      </c>
      <c r="D389" s="1" t="s">
        <v>2498</v>
      </c>
      <c r="E389" s="5">
        <v>43982</v>
      </c>
      <c r="F389" s="1" t="s">
        <v>17</v>
      </c>
      <c r="G389" s="1" t="str">
        <f>IF(B389=0,VLOOKUP(A389,Feuil2!$A$2:$M$1241,11,FALSE)," ")</f>
        <v xml:space="preserve"> </v>
      </c>
      <c r="H389" s="1" t="s">
        <v>16</v>
      </c>
      <c r="I389" s="6" t="str">
        <f>IF(B389=0,VLOOKUP(A389,Feuil2!$A$2:$M$1241,7,FALSE)," ")</f>
        <v xml:space="preserve"> </v>
      </c>
      <c r="J389" s="1" t="str">
        <f>IF(B389=0,VLOOKUP(A389,Feuil2!$A$2:$M$1241,9,FALSE)," ")</f>
        <v xml:space="preserve"> </v>
      </c>
      <c r="K389" s="1" t="str">
        <f>IF(B389=0,VLOOKUP(A389,Feuil2!$A$2:$M$1241,10,FALSE)," ")</f>
        <v xml:space="preserve"> </v>
      </c>
      <c r="L389" s="1"/>
      <c r="M389" s="1"/>
      <c r="N389" s="1"/>
      <c r="O389" s="8" t="str">
        <f>IF(B389=0,VLOOKUP(A389,Feuil2!$A$2:$M$1241,13,FALSE)," ")</f>
        <v xml:space="preserve"> </v>
      </c>
    </row>
    <row r="390" spans="1:15" x14ac:dyDescent="0.3">
      <c r="A390" s="1">
        <v>1733</v>
      </c>
      <c r="B390" s="1">
        <v>0</v>
      </c>
      <c r="C390" s="1" t="str">
        <f>IF(B390=0,VLOOKUP(A390,Feuil2!$A$2:$M$1241,2,FALSE)," ")</f>
        <v>BEN ABDELJELIL</v>
      </c>
      <c r="D390" s="1" t="str">
        <f>IF(B390=0,VLOOKUP(A390,Feuil2!$A$2:$M$1241,3,FALSE)," ")</f>
        <v>MED RIDHA</v>
      </c>
      <c r="E390" s="5">
        <f>IF(B390=0,VLOOKUP(A390,Feuil2!$A$2:$M$1241,6,FALSE)," ")</f>
        <v>28399</v>
      </c>
      <c r="F390" s="1" t="str">
        <f>IF(B390=0,VLOOKUP(A390,Feuil2!$A$2:$M$1241,12,FALSE)," ")</f>
        <v>H</v>
      </c>
      <c r="G390" s="1" t="str">
        <f>IF(B390=0,VLOOKUP(A390,Feuil2!$A$2:$M$1241,11,FALSE)," ")</f>
        <v>M</v>
      </c>
      <c r="H390" s="1" t="s">
        <v>16</v>
      </c>
      <c r="I390" s="6">
        <f>IF(B390=0,VLOOKUP(A390,Feuil2!$A$2:$M$1241,7,FALSE)," ")</f>
        <v>5585736</v>
      </c>
      <c r="J390" s="1" t="str">
        <f>IF(B390=0,VLOOKUP(A390,Feuil2!$A$2:$M$1241,9,FALSE)," ")</f>
        <v>4 Rue El Kram</v>
      </c>
      <c r="K390" s="1" t="str">
        <f>IF(B390=0,VLOOKUP(A390,Feuil2!$A$2:$M$1241,10,FALSE)," ")</f>
        <v>Msaken 4070</v>
      </c>
      <c r="L390" s="1">
        <v>4070</v>
      </c>
      <c r="M390" s="1">
        <v>55340784</v>
      </c>
      <c r="N390" s="1"/>
      <c r="O390" s="8" t="str">
        <f>IF(B390=0,VLOOKUP(A390,Feuil2!$A$2:$M$1241,13,FALSE)," ")</f>
        <v>08507000262001862072</v>
      </c>
    </row>
    <row r="391" spans="1:15" x14ac:dyDescent="0.3">
      <c r="A391" s="1">
        <v>1733</v>
      </c>
      <c r="B391" s="1">
        <v>1</v>
      </c>
      <c r="C391" s="1" t="s">
        <v>123</v>
      </c>
      <c r="D391" s="1" t="s">
        <v>2547</v>
      </c>
      <c r="E391" s="5">
        <v>32639</v>
      </c>
      <c r="F391" s="1" t="s">
        <v>17</v>
      </c>
      <c r="G391" s="1" t="s">
        <v>15</v>
      </c>
      <c r="H391" s="1" t="s">
        <v>16</v>
      </c>
      <c r="I391" s="6" t="str">
        <f>IF(B391=0,VLOOKUP(A391,Feuil2!$A$2:$M$1241,7,FALSE)," ")</f>
        <v xml:space="preserve"> </v>
      </c>
      <c r="J391" s="1" t="str">
        <f>IF(B391=0,VLOOKUP(A391,Feuil2!$A$2:$M$1241,9,FALSE)," ")</f>
        <v xml:space="preserve"> </v>
      </c>
      <c r="K391" s="1" t="str">
        <f>IF(B391=0,VLOOKUP(A391,Feuil2!$A$2:$M$1241,10,FALSE)," ")</f>
        <v xml:space="preserve"> </v>
      </c>
      <c r="L391" s="1"/>
      <c r="M391" s="1"/>
      <c r="N391" s="1"/>
      <c r="O391" s="8" t="str">
        <f>IF(B391=0,VLOOKUP(A391,Feuil2!$A$2:$M$1241,13,FALSE)," ")</f>
        <v xml:space="preserve"> </v>
      </c>
    </row>
    <row r="392" spans="1:15" x14ac:dyDescent="0.3">
      <c r="A392" s="1">
        <v>1733</v>
      </c>
      <c r="B392" s="1">
        <v>2</v>
      </c>
      <c r="C392" s="1" t="s">
        <v>703</v>
      </c>
      <c r="D392" s="1" t="s">
        <v>149</v>
      </c>
      <c r="E392" s="5">
        <v>39322</v>
      </c>
      <c r="F392" s="1" t="s">
        <v>506</v>
      </c>
      <c r="G392" s="1" t="str">
        <f>IF(B392=0,VLOOKUP(A392,Feuil2!$A$2:$M$1241,11,FALSE)," ")</f>
        <v xml:space="preserve"> </v>
      </c>
      <c r="H392" s="1" t="s">
        <v>16</v>
      </c>
      <c r="I392" s="6" t="str">
        <f>IF(B392=0,VLOOKUP(A392,Feuil2!$A$2:$M$1241,7,FALSE)," ")</f>
        <v xml:space="preserve"> </v>
      </c>
      <c r="J392" s="1" t="str">
        <f>IF(B392=0,VLOOKUP(A392,Feuil2!$A$2:$M$1241,9,FALSE)," ")</f>
        <v xml:space="preserve"> </v>
      </c>
      <c r="K392" s="1" t="str">
        <f>IF(B392=0,VLOOKUP(A392,Feuil2!$A$2:$M$1241,10,FALSE)," ")</f>
        <v xml:space="preserve"> </v>
      </c>
      <c r="L392" s="1"/>
      <c r="M392" s="1"/>
      <c r="N392" s="1"/>
      <c r="O392" s="8" t="str">
        <f>IF(B392=0,VLOOKUP(A392,Feuil2!$A$2:$M$1241,13,FALSE)," ")</f>
        <v xml:space="preserve"> </v>
      </c>
    </row>
    <row r="393" spans="1:15" x14ac:dyDescent="0.3">
      <c r="A393" s="1">
        <v>1733</v>
      </c>
      <c r="B393" s="1">
        <v>3</v>
      </c>
      <c r="C393" s="1" t="s">
        <v>703</v>
      </c>
      <c r="D393" s="1" t="s">
        <v>61</v>
      </c>
      <c r="E393" s="5">
        <v>39829</v>
      </c>
      <c r="F393" s="1" t="s">
        <v>506</v>
      </c>
      <c r="G393" s="1" t="str">
        <f>IF(B393=0,VLOOKUP(A393,Feuil2!$A$2:$M$1241,11,FALSE)," ")</f>
        <v xml:space="preserve"> </v>
      </c>
      <c r="H393" s="1" t="s">
        <v>16</v>
      </c>
      <c r="I393" s="6" t="str">
        <f>IF(B393=0,VLOOKUP(A393,Feuil2!$A$2:$M$1241,7,FALSE)," ")</f>
        <v xml:space="preserve"> </v>
      </c>
      <c r="J393" s="1" t="str">
        <f>IF(B393=0,VLOOKUP(A393,Feuil2!$A$2:$M$1241,9,FALSE)," ")</f>
        <v xml:space="preserve"> </v>
      </c>
      <c r="K393" s="1" t="str">
        <f>IF(B393=0,VLOOKUP(A393,Feuil2!$A$2:$M$1241,10,FALSE)," ")</f>
        <v xml:space="preserve"> </v>
      </c>
      <c r="L393" s="1"/>
      <c r="M393" s="1"/>
      <c r="N393" s="1"/>
      <c r="O393" s="8" t="str">
        <f>IF(B393=0,VLOOKUP(A393,Feuil2!$A$2:$M$1241,13,FALSE)," ")</f>
        <v xml:space="preserve"> </v>
      </c>
    </row>
    <row r="394" spans="1:15" x14ac:dyDescent="0.3">
      <c r="A394" s="1">
        <v>1733</v>
      </c>
      <c r="B394" s="1">
        <v>4</v>
      </c>
      <c r="C394" s="1" t="s">
        <v>703</v>
      </c>
      <c r="D394" s="1" t="s">
        <v>2548</v>
      </c>
      <c r="E394" s="5">
        <v>42635</v>
      </c>
      <c r="F394" s="1" t="s">
        <v>506</v>
      </c>
      <c r="G394" s="1" t="str">
        <f>IF(B394=0,VLOOKUP(A394,Feuil2!$A$2:$M$1241,11,FALSE)," ")</f>
        <v xml:space="preserve"> </v>
      </c>
      <c r="H394" s="1" t="s">
        <v>16</v>
      </c>
      <c r="I394" s="6" t="str">
        <f>IF(B394=0,VLOOKUP(A394,Feuil2!$A$2:$M$1241,7,FALSE)," ")</f>
        <v xml:space="preserve"> </v>
      </c>
      <c r="J394" s="1" t="str">
        <f>IF(B394=0,VLOOKUP(A394,Feuil2!$A$2:$M$1241,9,FALSE)," ")</f>
        <v xml:space="preserve"> </v>
      </c>
      <c r="K394" s="1" t="str">
        <f>IF(B394=0,VLOOKUP(A394,Feuil2!$A$2:$M$1241,10,FALSE)," ")</f>
        <v xml:space="preserve"> </v>
      </c>
      <c r="L394" s="1"/>
      <c r="M394" s="1"/>
      <c r="N394" s="1"/>
      <c r="O394" s="8" t="str">
        <f>IF(B394=0,VLOOKUP(A394,Feuil2!$A$2:$M$1241,13,FALSE)," ")</f>
        <v xml:space="preserve"> </v>
      </c>
    </row>
    <row r="395" spans="1:15" x14ac:dyDescent="0.3">
      <c r="A395" s="1">
        <v>1735</v>
      </c>
      <c r="B395" s="1">
        <v>0</v>
      </c>
      <c r="C395" s="1" t="str">
        <f>IF(B395=0,VLOOKUP(A395,Feuil2!$A$2:$M$1241,2,FALSE)," ")</f>
        <v>SAKKA ROUIS</v>
      </c>
      <c r="D395" s="1" t="str">
        <f>IF(B395=0,VLOOKUP(A395,Feuil2!$A$2:$M$1241,3,FALSE)," ")</f>
        <v>MED HAFEDH</v>
      </c>
      <c r="E395" s="5">
        <f>IF(B395=0,VLOOKUP(A395,Feuil2!$A$2:$M$1241,6,FALSE)," ")</f>
        <v>27290</v>
      </c>
      <c r="F395" s="1" t="str">
        <f>IF(B395=0,VLOOKUP(A395,Feuil2!$A$2:$M$1241,12,FALSE)," ")</f>
        <v>H</v>
      </c>
      <c r="G395" s="1" t="str">
        <f>IF(B395=0,VLOOKUP(A395,Feuil2!$A$2:$M$1241,11,FALSE)," ")</f>
        <v>M</v>
      </c>
      <c r="H395" s="1" t="s">
        <v>16</v>
      </c>
      <c r="I395" s="6">
        <f>IF(B395=0,VLOOKUP(A395,Feuil2!$A$2:$M$1241,7,FALSE)," ")</f>
        <v>5538425</v>
      </c>
      <c r="J395" s="1" t="str">
        <f>IF(B395=0,VLOOKUP(A395,Feuil2!$A$2:$M$1241,9,FALSE)," ")</f>
        <v>10 Rue Ammene</v>
      </c>
      <c r="K395" s="1" t="str">
        <f>IF(B395=0,VLOOKUP(A395,Feuil2!$A$2:$M$1241,10,FALSE)," ")</f>
        <v>Msaken 4070</v>
      </c>
      <c r="L395" s="1">
        <v>4070</v>
      </c>
      <c r="M395" s="1">
        <v>98793522</v>
      </c>
      <c r="N395" s="1"/>
      <c r="O395" s="8" t="str">
        <f>IF(B395=0,VLOOKUP(A395,Feuil2!$A$2:$M$1241,13,FALSE)," ")</f>
        <v>11020002007800878865</v>
      </c>
    </row>
    <row r="396" spans="1:15" x14ac:dyDescent="0.3">
      <c r="A396" s="1">
        <v>1735</v>
      </c>
      <c r="B396" s="1">
        <v>1</v>
      </c>
      <c r="C396" s="1" t="s">
        <v>1486</v>
      </c>
      <c r="D396" s="1" t="s">
        <v>2537</v>
      </c>
      <c r="E396" s="5">
        <v>30804</v>
      </c>
      <c r="F396" s="1" t="s">
        <v>17</v>
      </c>
      <c r="G396" s="1" t="s">
        <v>15</v>
      </c>
      <c r="H396" s="1" t="s">
        <v>16</v>
      </c>
      <c r="I396" s="6" t="str">
        <f>IF(B396=0,VLOOKUP(A396,Feuil2!$A$2:$M$1241,7,FALSE)," ")</f>
        <v xml:space="preserve"> </v>
      </c>
      <c r="J396" s="1" t="str">
        <f>IF(B396=0,VLOOKUP(A396,Feuil2!$A$2:$M$1241,9,FALSE)," ")</f>
        <v xml:space="preserve"> </v>
      </c>
      <c r="K396" s="1" t="str">
        <f>IF(B396=0,VLOOKUP(A396,Feuil2!$A$2:$M$1241,10,FALSE)," ")</f>
        <v xml:space="preserve"> </v>
      </c>
      <c r="L396" s="1"/>
      <c r="M396" s="1"/>
      <c r="N396" s="1"/>
      <c r="O396" s="8" t="str">
        <f>IF(B396=0,VLOOKUP(A396,Feuil2!$A$2:$M$1241,13,FALSE)," ")</f>
        <v xml:space="preserve"> </v>
      </c>
    </row>
    <row r="397" spans="1:15" x14ac:dyDescent="0.3">
      <c r="A397" s="1">
        <v>1735</v>
      </c>
      <c r="B397" s="1">
        <v>2</v>
      </c>
      <c r="C397" s="1" t="s">
        <v>1610</v>
      </c>
      <c r="D397" s="1" t="s">
        <v>2465</v>
      </c>
      <c r="E397" s="5">
        <v>40685</v>
      </c>
      <c r="F397" s="1" t="s">
        <v>506</v>
      </c>
      <c r="G397" s="1" t="str">
        <f>IF(B397=0,VLOOKUP(A397,Feuil2!$A$2:$M$1241,11,FALSE)," ")</f>
        <v xml:space="preserve"> </v>
      </c>
      <c r="H397" s="1" t="s">
        <v>16</v>
      </c>
      <c r="I397" s="6" t="str">
        <f>IF(B397=0,VLOOKUP(A397,Feuil2!$A$2:$M$1241,7,FALSE)," ")</f>
        <v xml:space="preserve"> </v>
      </c>
      <c r="J397" s="1" t="str">
        <f>IF(B397=0,VLOOKUP(A397,Feuil2!$A$2:$M$1241,9,FALSE)," ")</f>
        <v xml:space="preserve"> </v>
      </c>
      <c r="K397" s="1" t="str">
        <f>IF(B397=0,VLOOKUP(A397,Feuil2!$A$2:$M$1241,10,FALSE)," ")</f>
        <v xml:space="preserve"> </v>
      </c>
      <c r="L397" s="1"/>
      <c r="M397" s="1"/>
      <c r="N397" s="1"/>
      <c r="O397" s="8" t="str">
        <f>IF(B397=0,VLOOKUP(A397,Feuil2!$A$2:$M$1241,13,FALSE)," ")</f>
        <v xml:space="preserve"> </v>
      </c>
    </row>
    <row r="398" spans="1:15" x14ac:dyDescent="0.3">
      <c r="A398" s="1">
        <v>1735</v>
      </c>
      <c r="B398" s="1">
        <v>3</v>
      </c>
      <c r="C398" s="1" t="s">
        <v>1610</v>
      </c>
      <c r="D398" s="1" t="s">
        <v>2345</v>
      </c>
      <c r="E398" s="5">
        <v>41873</v>
      </c>
      <c r="F398" s="1" t="s">
        <v>17</v>
      </c>
      <c r="G398" s="1" t="str">
        <f>IF(B398=0,VLOOKUP(A398,Feuil2!$A$2:$M$1241,11,FALSE)," ")</f>
        <v xml:space="preserve"> </v>
      </c>
      <c r="H398" s="1" t="s">
        <v>16</v>
      </c>
      <c r="I398" s="6" t="str">
        <f>IF(B398=0,VLOOKUP(A398,Feuil2!$A$2:$M$1241,7,FALSE)," ")</f>
        <v xml:space="preserve"> </v>
      </c>
      <c r="J398" s="1" t="str">
        <f>IF(B398=0,VLOOKUP(A398,Feuil2!$A$2:$M$1241,9,FALSE)," ")</f>
        <v xml:space="preserve"> </v>
      </c>
      <c r="K398" s="1" t="str">
        <f>IF(B398=0,VLOOKUP(A398,Feuil2!$A$2:$M$1241,10,FALSE)," ")</f>
        <v xml:space="preserve"> </v>
      </c>
      <c r="L398" s="1"/>
      <c r="M398" s="1"/>
      <c r="N398" s="1"/>
      <c r="O398" s="8" t="str">
        <f>IF(B398=0,VLOOKUP(A398,Feuil2!$A$2:$M$1241,13,FALSE)," ")</f>
        <v xml:space="preserve"> </v>
      </c>
    </row>
    <row r="399" spans="1:15" x14ac:dyDescent="0.3">
      <c r="A399" s="1">
        <v>1739</v>
      </c>
      <c r="B399" s="1">
        <v>0</v>
      </c>
      <c r="C399" s="1" t="str">
        <f>IF(B399=0,VLOOKUP(A399,Feuil2!$A$2:$M$1241,2,FALSE)," ")</f>
        <v>ENGAZZOU</v>
      </c>
      <c r="D399" s="1" t="str">
        <f>IF(B399=0,VLOOKUP(A399,Feuil2!$A$2:$M$1241,3,FALSE)," ")</f>
        <v>SLAHEDDINE</v>
      </c>
      <c r="E399" s="5">
        <f>IF(B399=0,VLOOKUP(A399,Feuil2!$A$2:$M$1241,6,FALSE)," ")</f>
        <v>26390</v>
      </c>
      <c r="F399" s="1" t="str">
        <f>IF(B399=0,VLOOKUP(A399,Feuil2!$A$2:$M$1241,12,FALSE)," ")</f>
        <v>H</v>
      </c>
      <c r="G399" s="1" t="str">
        <f>IF(B399=0,VLOOKUP(A399,Feuil2!$A$2:$M$1241,11,FALSE)," ")</f>
        <v>M</v>
      </c>
      <c r="H399" s="1" t="s">
        <v>16</v>
      </c>
      <c r="I399" s="6">
        <f>IF(B399=0,VLOOKUP(A399,Feuil2!$A$2:$M$1241,7,FALSE)," ")</f>
        <v>5509598</v>
      </c>
      <c r="J399" s="1" t="str">
        <f>IF(B399=0,VLOOKUP(A399,Feuil2!$A$2:$M$1241,9,FALSE)," ")</f>
        <v>17 Rue Essafsaf</v>
      </c>
      <c r="K399" s="1" t="str">
        <f>IF(B399=0,VLOOKUP(A399,Feuil2!$A$2:$M$1241,10,FALSE)," ")</f>
        <v>Msaken 4070</v>
      </c>
      <c r="L399" s="1">
        <v>4070</v>
      </c>
      <c r="M399" s="1">
        <v>98826287</v>
      </c>
      <c r="N399" s="1"/>
      <c r="O399" s="8" t="str">
        <f>IF(B399=0,VLOOKUP(A399,Feuil2!$A$2:$M$1241,13,FALSE)," ")</f>
        <v>08050020052000220086</v>
      </c>
    </row>
    <row r="400" spans="1:15" x14ac:dyDescent="0.3">
      <c r="A400" s="1">
        <v>1739</v>
      </c>
      <c r="B400" s="1">
        <v>1</v>
      </c>
      <c r="C400" s="1" t="s">
        <v>2417</v>
      </c>
      <c r="D400" s="1" t="s">
        <v>2418</v>
      </c>
      <c r="E400" s="5">
        <v>30554</v>
      </c>
      <c r="F400" s="1" t="s">
        <v>17</v>
      </c>
      <c r="G400" s="1" t="s">
        <v>15</v>
      </c>
      <c r="H400" s="1" t="s">
        <v>16</v>
      </c>
      <c r="I400" s="6" t="str">
        <f>IF(B400=0,VLOOKUP(A400,Feuil2!$A$2:$M$1241,7,FALSE)," ")</f>
        <v xml:space="preserve"> </v>
      </c>
      <c r="J400" s="1" t="str">
        <f>IF(B400=0,VLOOKUP(A400,Feuil2!$A$2:$M$1241,9,FALSE)," ")</f>
        <v xml:space="preserve"> </v>
      </c>
      <c r="K400" s="1" t="str">
        <f>IF(B400=0,VLOOKUP(A400,Feuil2!$A$2:$M$1241,10,FALSE)," ")</f>
        <v xml:space="preserve"> </v>
      </c>
      <c r="L400" s="1"/>
      <c r="M400" s="1"/>
      <c r="N400" s="1"/>
      <c r="O400" s="8" t="str">
        <f>IF(B400=0,VLOOKUP(A400,Feuil2!$A$2:$M$1241,13,FALSE)," ")</f>
        <v xml:space="preserve"> </v>
      </c>
    </row>
    <row r="401" spans="1:15" x14ac:dyDescent="0.3">
      <c r="A401" s="1">
        <v>1739</v>
      </c>
      <c r="B401" s="1">
        <v>2</v>
      </c>
      <c r="C401" s="1" t="s">
        <v>260</v>
      </c>
      <c r="D401" s="1" t="s">
        <v>2419</v>
      </c>
      <c r="E401" s="5">
        <v>43027</v>
      </c>
      <c r="F401" s="1" t="s">
        <v>506</v>
      </c>
      <c r="G401" s="1" t="str">
        <f>IF(B401=0,VLOOKUP(A401,Feuil2!$A$2:$M$1241,11,FALSE)," ")</f>
        <v xml:space="preserve"> </v>
      </c>
      <c r="H401" s="1" t="s">
        <v>16</v>
      </c>
      <c r="I401" s="6" t="str">
        <f>IF(B401=0,VLOOKUP(A401,Feuil2!$A$2:$M$1241,7,FALSE)," ")</f>
        <v xml:space="preserve"> </v>
      </c>
      <c r="J401" s="1" t="str">
        <f>IF(B401=0,VLOOKUP(A401,Feuil2!$A$2:$M$1241,9,FALSE)," ")</f>
        <v xml:space="preserve"> </v>
      </c>
      <c r="K401" s="1" t="str">
        <f>IF(B401=0,VLOOKUP(A401,Feuil2!$A$2:$M$1241,10,FALSE)," ")</f>
        <v xml:space="preserve"> </v>
      </c>
      <c r="L401" s="1"/>
      <c r="M401" s="1"/>
      <c r="N401" s="1"/>
      <c r="O401" s="8" t="str">
        <f>IF(B401=0,VLOOKUP(A401,Feuil2!$A$2:$M$1241,13,FALSE)," ")</f>
        <v xml:space="preserve"> </v>
      </c>
    </row>
    <row r="402" spans="1:15" x14ac:dyDescent="0.3">
      <c r="A402" s="1">
        <v>1745</v>
      </c>
      <c r="B402" s="1">
        <v>0</v>
      </c>
      <c r="C402" s="1" t="str">
        <f>IF(B402=0,VLOOKUP(A402,Feuil2!$A$2:$M$1241,2,FALSE)," ")</f>
        <v>CHATTI</v>
      </c>
      <c r="D402" s="1" t="str">
        <f>IF(B402=0,VLOOKUP(A402,Feuil2!$A$2:$M$1241,3,FALSE)," ")</f>
        <v>EZZEDDINE</v>
      </c>
      <c r="E402" s="5">
        <f>IF(B402=0,VLOOKUP(A402,Feuil2!$A$2:$M$1241,6,FALSE)," ")</f>
        <v>26238</v>
      </c>
      <c r="F402" s="1" t="str">
        <f>IF(B402=0,VLOOKUP(A402,Feuil2!$A$2:$M$1241,12,FALSE)," ")</f>
        <v>H</v>
      </c>
      <c r="G402" s="1" t="str">
        <f>IF(B402=0,VLOOKUP(A402,Feuil2!$A$2:$M$1241,11,FALSE)," ")</f>
        <v>M</v>
      </c>
      <c r="H402" s="1" t="s">
        <v>16</v>
      </c>
      <c r="I402" s="6">
        <f>IF(B402=0,VLOOKUP(A402,Feuil2!$A$2:$M$1241,7,FALSE)," ")</f>
        <v>5508990</v>
      </c>
      <c r="J402" s="1" t="str">
        <f>IF(B402=0,VLOOKUP(A402,Feuil2!$A$2:$M$1241,9,FALSE)," ")</f>
        <v>Rue de la MosquÃ©e</v>
      </c>
      <c r="K402" s="1" t="str">
        <f>IF(B402=0,VLOOKUP(A402,Feuil2!$A$2:$M$1241,10,FALSE)," ")</f>
        <v>Msaken 4070</v>
      </c>
      <c r="L402" s="1">
        <v>4070</v>
      </c>
      <c r="M402" s="1">
        <v>56733444</v>
      </c>
      <c r="N402" s="1"/>
      <c r="O402" s="10" t="s">
        <v>2542</v>
      </c>
    </row>
    <row r="403" spans="1:15" x14ac:dyDescent="0.3">
      <c r="A403" s="1">
        <v>1745</v>
      </c>
      <c r="B403" s="1">
        <v>1</v>
      </c>
      <c r="C403" s="1" t="s">
        <v>414</v>
      </c>
      <c r="D403" s="1" t="s">
        <v>1094</v>
      </c>
      <c r="E403" s="5">
        <v>27436</v>
      </c>
      <c r="F403" s="1" t="s">
        <v>17</v>
      </c>
      <c r="G403" s="1" t="s">
        <v>15</v>
      </c>
      <c r="H403" s="1" t="s">
        <v>16</v>
      </c>
      <c r="I403" s="6" t="str">
        <f>IF(B403=0,VLOOKUP(A403,Feuil2!$A$2:$M$1241,7,FALSE)," ")</f>
        <v xml:space="preserve"> </v>
      </c>
      <c r="J403" s="1" t="str">
        <f>IF(B403=0,VLOOKUP(A403,Feuil2!$A$2:$M$1241,9,FALSE)," ")</f>
        <v xml:space="preserve"> </v>
      </c>
      <c r="K403" s="1" t="str">
        <f>IF(B403=0,VLOOKUP(A403,Feuil2!$A$2:$M$1241,10,FALSE)," ")</f>
        <v xml:space="preserve"> </v>
      </c>
      <c r="L403" s="1"/>
      <c r="M403" s="1"/>
      <c r="N403" s="1"/>
      <c r="O403" s="8" t="str">
        <f>IF(B403=0,VLOOKUP(A403,Feuil2!$A$2:$M$1241,13,FALSE)," ")</f>
        <v xml:space="preserve"> </v>
      </c>
    </row>
    <row r="404" spans="1:15" x14ac:dyDescent="0.3">
      <c r="A404" s="1">
        <v>1745</v>
      </c>
      <c r="B404" s="1">
        <v>2</v>
      </c>
      <c r="C404" s="1" t="s">
        <v>71</v>
      </c>
      <c r="D404" s="1" t="s">
        <v>2540</v>
      </c>
      <c r="E404" s="5">
        <v>36665</v>
      </c>
      <c r="F404" s="1" t="s">
        <v>17</v>
      </c>
      <c r="G404" s="1" t="str">
        <f>IF(B404=0,VLOOKUP(A404,Feuil2!$A$2:$M$1241,11,FALSE)," ")</f>
        <v xml:space="preserve"> </v>
      </c>
      <c r="H404" s="1" t="s">
        <v>16</v>
      </c>
      <c r="I404" s="6" t="str">
        <f>IF(B404=0,VLOOKUP(A404,Feuil2!$A$2:$M$1241,7,FALSE)," ")</f>
        <v xml:space="preserve"> </v>
      </c>
      <c r="J404" s="1" t="str">
        <f>IF(B404=0,VLOOKUP(A404,Feuil2!$A$2:$M$1241,9,FALSE)," ")</f>
        <v xml:space="preserve"> </v>
      </c>
      <c r="K404" s="1" t="str">
        <f>IF(B404=0,VLOOKUP(A404,Feuil2!$A$2:$M$1241,10,FALSE)," ")</f>
        <v xml:space="preserve"> </v>
      </c>
      <c r="L404" s="1"/>
      <c r="M404" s="1"/>
      <c r="N404" s="1"/>
      <c r="O404" s="8" t="str">
        <f>IF(B404=0,VLOOKUP(A404,Feuil2!$A$2:$M$1241,13,FALSE)," ")</f>
        <v xml:space="preserve"> </v>
      </c>
    </row>
    <row r="405" spans="1:15" x14ac:dyDescent="0.3">
      <c r="A405" s="1">
        <v>1745</v>
      </c>
      <c r="B405" s="1">
        <v>3</v>
      </c>
      <c r="C405" s="1" t="s">
        <v>71</v>
      </c>
      <c r="D405" s="1" t="s">
        <v>2371</v>
      </c>
      <c r="E405" s="5">
        <v>37032</v>
      </c>
      <c r="F405" s="1" t="s">
        <v>17</v>
      </c>
      <c r="G405" s="1" t="str">
        <f>IF(B405=0,VLOOKUP(A405,Feuil2!$A$2:$M$1241,11,FALSE)," ")</f>
        <v xml:space="preserve"> </v>
      </c>
      <c r="H405" s="1" t="s">
        <v>16</v>
      </c>
      <c r="I405" s="6" t="str">
        <f>IF(B405=0,VLOOKUP(A405,Feuil2!$A$2:$M$1241,7,FALSE)," ")</f>
        <v xml:space="preserve"> </v>
      </c>
      <c r="J405" s="1" t="str">
        <f>IF(B405=0,VLOOKUP(A405,Feuil2!$A$2:$M$1241,9,FALSE)," ")</f>
        <v xml:space="preserve"> </v>
      </c>
      <c r="K405" s="1" t="str">
        <f>IF(B405=0,VLOOKUP(A405,Feuil2!$A$2:$M$1241,10,FALSE)," ")</f>
        <v xml:space="preserve"> </v>
      </c>
      <c r="L405" s="1"/>
      <c r="M405" s="1"/>
      <c r="N405" s="1"/>
      <c r="O405" s="8" t="str">
        <f>IF(B405=0,VLOOKUP(A405,Feuil2!$A$2:$M$1241,13,FALSE)," ")</f>
        <v xml:space="preserve"> </v>
      </c>
    </row>
    <row r="406" spans="1:15" x14ac:dyDescent="0.3">
      <c r="A406" s="1">
        <v>1745</v>
      </c>
      <c r="B406" s="1">
        <v>4</v>
      </c>
      <c r="C406" s="1" t="s">
        <v>71</v>
      </c>
      <c r="D406" s="1" t="s">
        <v>105</v>
      </c>
      <c r="E406" s="5">
        <v>38169</v>
      </c>
      <c r="F406" s="1" t="s">
        <v>506</v>
      </c>
      <c r="G406" s="1" t="str">
        <f>IF(B406=0,VLOOKUP(A406,Feuil2!$A$2:$M$1241,11,FALSE)," ")</f>
        <v xml:space="preserve"> </v>
      </c>
      <c r="H406" s="1" t="s">
        <v>16</v>
      </c>
      <c r="I406" s="6" t="str">
        <f>IF(B406=0,VLOOKUP(A406,Feuil2!$A$2:$M$1241,7,FALSE)," ")</f>
        <v xml:space="preserve"> </v>
      </c>
      <c r="J406" s="1" t="str">
        <f>IF(B406=0,VLOOKUP(A406,Feuil2!$A$2:$M$1241,9,FALSE)," ")</f>
        <v xml:space="preserve"> </v>
      </c>
      <c r="K406" s="1" t="str">
        <f>IF(B406=0,VLOOKUP(A406,Feuil2!$A$2:$M$1241,10,FALSE)," ")</f>
        <v xml:space="preserve"> </v>
      </c>
      <c r="L406" s="1"/>
      <c r="M406" s="1"/>
      <c r="N406" s="1"/>
      <c r="O406" s="8" t="str">
        <f>IF(B406=0,VLOOKUP(A406,Feuil2!$A$2:$M$1241,13,FALSE)," ")</f>
        <v xml:space="preserve"> </v>
      </c>
    </row>
    <row r="407" spans="1:15" x14ac:dyDescent="0.3">
      <c r="A407" s="1">
        <v>1745</v>
      </c>
      <c r="B407" s="1">
        <v>5</v>
      </c>
      <c r="C407" s="1" t="s">
        <v>71</v>
      </c>
      <c r="D407" s="1" t="s">
        <v>149</v>
      </c>
      <c r="E407" s="5">
        <v>40082</v>
      </c>
      <c r="F407" s="1" t="s">
        <v>506</v>
      </c>
      <c r="G407" s="1" t="str">
        <f>IF(B407=0,VLOOKUP(A407,Feuil2!$A$2:$M$1241,11,FALSE)," ")</f>
        <v xml:space="preserve"> </v>
      </c>
      <c r="H407" s="1" t="s">
        <v>16</v>
      </c>
      <c r="I407" s="6" t="str">
        <f>IF(B407=0,VLOOKUP(A407,Feuil2!$A$2:$M$1241,7,FALSE)," ")</f>
        <v xml:space="preserve"> </v>
      </c>
      <c r="J407" s="1" t="str">
        <f>IF(B407=0,VLOOKUP(A407,Feuil2!$A$2:$M$1241,9,FALSE)," ")</f>
        <v xml:space="preserve"> </v>
      </c>
      <c r="K407" s="1" t="str">
        <f>IF(B407=0,VLOOKUP(A407,Feuil2!$A$2:$M$1241,10,FALSE)," ")</f>
        <v xml:space="preserve"> </v>
      </c>
      <c r="L407" s="1"/>
      <c r="M407" s="1"/>
      <c r="N407" s="1"/>
      <c r="O407" s="8" t="str">
        <f>IF(B407=0,VLOOKUP(A407,Feuil2!$A$2:$M$1241,13,FALSE)," ")</f>
        <v xml:space="preserve"> </v>
      </c>
    </row>
    <row r="408" spans="1:15" x14ac:dyDescent="0.3">
      <c r="A408" s="1">
        <v>1745</v>
      </c>
      <c r="B408" s="1">
        <v>6</v>
      </c>
      <c r="C408" s="1" t="s">
        <v>71</v>
      </c>
      <c r="D408" s="1" t="s">
        <v>2541</v>
      </c>
      <c r="E408" s="5">
        <v>41975</v>
      </c>
      <c r="F408" s="1" t="s">
        <v>17</v>
      </c>
      <c r="G408" s="1" t="str">
        <f>IF(B408=0,VLOOKUP(A408,Feuil2!$A$2:$M$1241,11,FALSE)," ")</f>
        <v xml:space="preserve"> </v>
      </c>
      <c r="H408" s="1" t="s">
        <v>16</v>
      </c>
      <c r="I408" s="6" t="str">
        <f>IF(B408=0,VLOOKUP(A408,Feuil2!$A$2:$M$1241,7,FALSE)," ")</f>
        <v xml:space="preserve"> </v>
      </c>
      <c r="J408" s="1" t="str">
        <f>IF(B408=0,VLOOKUP(A408,Feuil2!$A$2:$M$1241,9,FALSE)," ")</f>
        <v xml:space="preserve"> </v>
      </c>
      <c r="K408" s="1" t="str">
        <f>IF(B408=0,VLOOKUP(A408,Feuil2!$A$2:$M$1241,10,FALSE)," ")</f>
        <v xml:space="preserve"> </v>
      </c>
      <c r="L408" s="1"/>
      <c r="M408" s="1"/>
      <c r="N408" s="1"/>
      <c r="O408" s="8" t="str">
        <f>IF(B408=0,VLOOKUP(A408,Feuil2!$A$2:$M$1241,13,FALSE)," ")</f>
        <v xml:space="preserve"> </v>
      </c>
    </row>
    <row r="409" spans="1:15" x14ac:dyDescent="0.3">
      <c r="A409" s="1">
        <v>1745</v>
      </c>
      <c r="B409" s="1">
        <v>7</v>
      </c>
      <c r="C409" s="1" t="s">
        <v>71</v>
      </c>
      <c r="D409" s="1" t="s">
        <v>34</v>
      </c>
      <c r="E409" s="5">
        <v>42343</v>
      </c>
      <c r="F409" s="1" t="s">
        <v>506</v>
      </c>
      <c r="G409" s="1" t="str">
        <f>IF(B409=0,VLOOKUP(A409,Feuil2!$A$2:$M$1241,11,FALSE)," ")</f>
        <v xml:space="preserve"> </v>
      </c>
      <c r="H409" s="1" t="s">
        <v>16</v>
      </c>
      <c r="I409" s="6" t="str">
        <f>IF(B409=0,VLOOKUP(A409,Feuil2!$A$2:$M$1241,7,FALSE)," ")</f>
        <v xml:space="preserve"> </v>
      </c>
      <c r="J409" s="1" t="str">
        <f>IF(B409=0,VLOOKUP(A409,Feuil2!$A$2:$M$1241,9,FALSE)," ")</f>
        <v xml:space="preserve"> </v>
      </c>
      <c r="K409" s="1" t="str">
        <f>IF(B409=0,VLOOKUP(A409,Feuil2!$A$2:$M$1241,10,FALSE)," ")</f>
        <v xml:space="preserve"> </v>
      </c>
      <c r="L409" s="1"/>
      <c r="M409" s="1"/>
      <c r="N409" s="1"/>
      <c r="O409" s="8" t="str">
        <f>IF(B409=0,VLOOKUP(A409,Feuil2!$A$2:$M$1241,13,FALSE)," ")</f>
        <v xml:space="preserve"> </v>
      </c>
    </row>
    <row r="410" spans="1:15" x14ac:dyDescent="0.3">
      <c r="A410" s="1">
        <v>1746</v>
      </c>
      <c r="B410" s="1">
        <v>0</v>
      </c>
      <c r="C410" s="1" t="str">
        <f>IF(B410=0,VLOOKUP(A410,Feuil2!$A$2:$M$1241,2,FALSE)," ")</f>
        <v>BEL ARBIA</v>
      </c>
      <c r="D410" s="1" t="str">
        <f>IF(B410=0,VLOOKUP(A410,Feuil2!$A$2:$M$1241,3,FALSE)," ")</f>
        <v>KAMEL</v>
      </c>
      <c r="E410" s="5">
        <f>IF(B410=0,VLOOKUP(A410,Feuil2!$A$2:$M$1241,6,FALSE)," ")</f>
        <v>27290</v>
      </c>
      <c r="F410" s="1" t="str">
        <f>IF(B410=0,VLOOKUP(A410,Feuil2!$A$2:$M$1241,12,FALSE)," ")</f>
        <v>H</v>
      </c>
      <c r="G410" s="1" t="str">
        <f>IF(B410=0,VLOOKUP(A410,Feuil2!$A$2:$M$1241,11,FALSE)," ")</f>
        <v>M</v>
      </c>
      <c r="H410" s="1" t="s">
        <v>16</v>
      </c>
      <c r="I410" s="6">
        <f>IF(B410=0,VLOOKUP(A410,Feuil2!$A$2:$M$1241,7,FALSE)," ")</f>
        <v>5538591</v>
      </c>
      <c r="J410" s="1" t="str">
        <f>IF(B410=0,VLOOKUP(A410,Feuil2!$A$2:$M$1241,9,FALSE)," ")</f>
        <v>Rue Haroun Errachid</v>
      </c>
      <c r="K410" s="1" t="str">
        <f>IF(B410=0,VLOOKUP(A410,Feuil2!$A$2:$M$1241,10,FALSE)," ")</f>
        <v>Msaken 4070</v>
      </c>
      <c r="L410" s="1">
        <v>4070</v>
      </c>
      <c r="M410" s="1">
        <v>96083016</v>
      </c>
      <c r="N410" s="1"/>
      <c r="O410" s="8" t="str">
        <f>IF(B410=0,VLOOKUP(A410,Feuil2!$A$2:$M$1241,13,FALSE)," ")</f>
        <v>12505000580103722625</v>
      </c>
    </row>
    <row r="411" spans="1:15" x14ac:dyDescent="0.3">
      <c r="A411" s="1">
        <v>1746</v>
      </c>
      <c r="B411" s="1">
        <v>1</v>
      </c>
      <c r="C411" s="1" t="s">
        <v>2469</v>
      </c>
      <c r="D411" s="1" t="s">
        <v>2470</v>
      </c>
      <c r="E411" s="5">
        <v>29505</v>
      </c>
      <c r="F411" s="1" t="s">
        <v>17</v>
      </c>
      <c r="G411" s="1" t="s">
        <v>15</v>
      </c>
      <c r="H411" s="1" t="s">
        <v>16</v>
      </c>
      <c r="I411" s="6" t="str">
        <f>IF(B411=0,VLOOKUP(A411,Feuil2!$A$2:$M$1241,7,FALSE)," ")</f>
        <v xml:space="preserve"> </v>
      </c>
      <c r="J411" s="1" t="str">
        <f>IF(B411=0,VLOOKUP(A411,Feuil2!$A$2:$M$1241,9,FALSE)," ")</f>
        <v xml:space="preserve"> </v>
      </c>
      <c r="K411" s="1" t="str">
        <f>IF(B411=0,VLOOKUP(A411,Feuil2!$A$2:$M$1241,10,FALSE)," ")</f>
        <v xml:space="preserve"> </v>
      </c>
      <c r="L411" s="1"/>
      <c r="M411" s="1"/>
      <c r="N411" s="1"/>
      <c r="O411" s="8" t="str">
        <f>IF(B411=0,VLOOKUP(A411,Feuil2!$A$2:$M$1241,13,FALSE)," ")</f>
        <v xml:space="preserve"> </v>
      </c>
    </row>
    <row r="412" spans="1:15" x14ac:dyDescent="0.3">
      <c r="A412" s="1">
        <v>1746</v>
      </c>
      <c r="B412" s="1">
        <v>2</v>
      </c>
      <c r="C412" s="1" t="s">
        <v>1651</v>
      </c>
      <c r="D412" s="1" t="s">
        <v>441</v>
      </c>
      <c r="E412" s="5">
        <v>37846</v>
      </c>
      <c r="F412" s="1" t="s">
        <v>506</v>
      </c>
      <c r="G412" s="1" t="str">
        <f>IF(B412=0,VLOOKUP(A412,Feuil2!$A$2:$M$1241,11,FALSE)," ")</f>
        <v xml:space="preserve"> </v>
      </c>
      <c r="H412" s="1" t="s">
        <v>16</v>
      </c>
      <c r="I412" s="6" t="str">
        <f>IF(B412=0,VLOOKUP(A412,Feuil2!$A$2:$M$1241,7,FALSE)," ")</f>
        <v xml:space="preserve"> </v>
      </c>
      <c r="J412" s="1" t="str">
        <f>IF(B412=0,VLOOKUP(A412,Feuil2!$A$2:$M$1241,9,FALSE)," ")</f>
        <v xml:space="preserve"> </v>
      </c>
      <c r="K412" s="1" t="str">
        <f>IF(B412=0,VLOOKUP(A412,Feuil2!$A$2:$M$1241,10,FALSE)," ")</f>
        <v xml:space="preserve"> </v>
      </c>
      <c r="L412" s="1"/>
      <c r="M412" s="1"/>
      <c r="N412" s="1"/>
      <c r="O412" s="8" t="str">
        <f>IF(B412=0,VLOOKUP(A412,Feuil2!$A$2:$M$1241,13,FALSE)," ")</f>
        <v xml:space="preserve"> </v>
      </c>
    </row>
    <row r="413" spans="1:15" x14ac:dyDescent="0.3">
      <c r="A413" s="1">
        <v>1746</v>
      </c>
      <c r="B413" s="1">
        <v>3</v>
      </c>
      <c r="C413" s="1" t="s">
        <v>1651</v>
      </c>
      <c r="D413" s="1" t="s">
        <v>109</v>
      </c>
      <c r="E413" s="5">
        <v>39042</v>
      </c>
      <c r="F413" s="1" t="s">
        <v>506</v>
      </c>
      <c r="G413" s="1" t="str">
        <f>IF(B413=0,VLOOKUP(A413,Feuil2!$A$2:$M$1241,11,FALSE)," ")</f>
        <v xml:space="preserve"> </v>
      </c>
      <c r="H413" s="1" t="s">
        <v>16</v>
      </c>
      <c r="I413" s="6" t="str">
        <f>IF(B413=0,VLOOKUP(A413,Feuil2!$A$2:$M$1241,7,FALSE)," ")</f>
        <v xml:space="preserve"> </v>
      </c>
      <c r="J413" s="1" t="str">
        <f>IF(B413=0,VLOOKUP(A413,Feuil2!$A$2:$M$1241,9,FALSE)," ")</f>
        <v xml:space="preserve"> </v>
      </c>
      <c r="K413" s="1" t="str">
        <f>IF(B413=0,VLOOKUP(A413,Feuil2!$A$2:$M$1241,10,FALSE)," ")</f>
        <v xml:space="preserve"> </v>
      </c>
      <c r="L413" s="1"/>
      <c r="M413" s="1"/>
      <c r="N413" s="1"/>
      <c r="O413" s="8" t="str">
        <f>IF(B413=0,VLOOKUP(A413,Feuil2!$A$2:$M$1241,13,FALSE)," ")</f>
        <v xml:space="preserve"> </v>
      </c>
    </row>
    <row r="414" spans="1:15" x14ac:dyDescent="0.3">
      <c r="A414" s="1">
        <v>1746</v>
      </c>
      <c r="B414" s="1">
        <v>4</v>
      </c>
      <c r="C414" s="1" t="s">
        <v>1651</v>
      </c>
      <c r="D414" s="1" t="s">
        <v>149</v>
      </c>
      <c r="E414" s="5">
        <v>39532</v>
      </c>
      <c r="F414" s="1" t="s">
        <v>506</v>
      </c>
      <c r="G414" s="1" t="str">
        <f>IF(B414=0,VLOOKUP(A414,Feuil2!$A$2:$M$1241,11,FALSE)," ")</f>
        <v xml:space="preserve"> </v>
      </c>
      <c r="H414" s="1" t="s">
        <v>16</v>
      </c>
      <c r="I414" s="6" t="str">
        <f>IF(B414=0,VLOOKUP(A414,Feuil2!$A$2:$M$1241,7,FALSE)," ")</f>
        <v xml:space="preserve"> </v>
      </c>
      <c r="J414" s="1" t="str">
        <f>IF(B414=0,VLOOKUP(A414,Feuil2!$A$2:$M$1241,9,FALSE)," ")</f>
        <v xml:space="preserve"> </v>
      </c>
      <c r="K414" s="1" t="str">
        <f>IF(B414=0,VLOOKUP(A414,Feuil2!$A$2:$M$1241,10,FALSE)," ")</f>
        <v xml:space="preserve"> </v>
      </c>
      <c r="L414" s="1"/>
      <c r="M414" s="1"/>
      <c r="N414" s="1"/>
      <c r="O414" s="8" t="str">
        <f>IF(B414=0,VLOOKUP(A414,Feuil2!$A$2:$M$1241,13,FALSE)," ")</f>
        <v xml:space="preserve"> </v>
      </c>
    </row>
    <row r="415" spans="1:15" x14ac:dyDescent="0.3">
      <c r="A415" s="1">
        <v>1746</v>
      </c>
      <c r="B415" s="1">
        <v>5</v>
      </c>
      <c r="C415" s="1" t="s">
        <v>1651</v>
      </c>
      <c r="D415" s="1" t="s">
        <v>89</v>
      </c>
      <c r="E415" s="5">
        <v>42893</v>
      </c>
      <c r="F415" s="1" t="str">
        <f>IF(B415=0,VLOOKUP(A415,Feuil2!$A$2:$M$1241,12,FALSE)," ")</f>
        <v xml:space="preserve"> </v>
      </c>
      <c r="G415" s="1" t="str">
        <f>IF(B415=0,VLOOKUP(A415,Feuil2!$A$2:$M$1241,11,FALSE)," ")</f>
        <v xml:space="preserve"> </v>
      </c>
      <c r="H415" s="1" t="s">
        <v>16</v>
      </c>
      <c r="I415" s="6" t="str">
        <f>IF(B415=0,VLOOKUP(A415,Feuil2!$A$2:$M$1241,7,FALSE)," ")</f>
        <v xml:space="preserve"> </v>
      </c>
      <c r="J415" s="1" t="str">
        <f>IF(B415=0,VLOOKUP(A415,Feuil2!$A$2:$M$1241,9,FALSE)," ")</f>
        <v xml:space="preserve"> </v>
      </c>
      <c r="K415" s="1" t="str">
        <f>IF(B415=0,VLOOKUP(A415,Feuil2!$A$2:$M$1241,10,FALSE)," ")</f>
        <v xml:space="preserve"> </v>
      </c>
      <c r="L415" s="1"/>
      <c r="M415" s="1"/>
      <c r="N415" s="1"/>
      <c r="O415" s="8" t="str">
        <f>IF(B415=0,VLOOKUP(A415,Feuil2!$A$2:$M$1241,13,FALSE)," ")</f>
        <v xml:space="preserve"> </v>
      </c>
    </row>
    <row r="416" spans="1:15" x14ac:dyDescent="0.3">
      <c r="A416" s="1">
        <v>1747</v>
      </c>
      <c r="B416" s="1">
        <v>0</v>
      </c>
      <c r="C416" s="1" t="str">
        <f>IF(B416=0,VLOOKUP(A416,Feuil2!$A$2:$M$1241,2,FALSE)," ")</f>
        <v>BRAHIM</v>
      </c>
      <c r="D416" s="1" t="str">
        <f>IF(B416=0,VLOOKUP(A416,Feuil2!$A$2:$M$1241,3,FALSE)," ")</f>
        <v>THEMEUR</v>
      </c>
      <c r="E416" s="5">
        <f>IF(B416=0,VLOOKUP(A416,Feuil2!$A$2:$M$1241,6,FALSE)," ")</f>
        <v>29424</v>
      </c>
      <c r="F416" s="1" t="str">
        <f>IF(B416=0,VLOOKUP(A416,Feuil2!$A$2:$M$1241,12,FALSE)," ")</f>
        <v>H</v>
      </c>
      <c r="G416" s="1" t="str">
        <f>IF(B416=0,VLOOKUP(A416,Feuil2!$A$2:$M$1241,11,FALSE)," ")</f>
        <v>M</v>
      </c>
      <c r="H416" s="1" t="s">
        <v>16</v>
      </c>
      <c r="I416" s="6">
        <f>IF(B416=0,VLOOKUP(A416,Feuil2!$A$2:$M$1241,7,FALSE)," ")</f>
        <v>5586304</v>
      </c>
      <c r="J416" s="1" t="str">
        <f>IF(B416=0,VLOOKUP(A416,Feuil2!$A$2:$M$1241,9,FALSE)," ")</f>
        <v>396 Rue 1er juin</v>
      </c>
      <c r="K416" s="1" t="str">
        <f>IF(B416=0,VLOOKUP(A416,Feuil2!$A$2:$M$1241,10,FALSE)," ")</f>
        <v>Msaken 4070</v>
      </c>
      <c r="L416" s="1">
        <v>4070</v>
      </c>
      <c r="M416" s="1">
        <v>23262774</v>
      </c>
      <c r="N416" s="1"/>
      <c r="O416" s="8" t="str">
        <f>IF(B416=0,VLOOKUP(A416,Feuil2!$A$2:$M$1241,13,FALSE)," ")</f>
        <v>10506040206151278897</v>
      </c>
    </row>
    <row r="417" spans="1:15" x14ac:dyDescent="0.3">
      <c r="A417" s="1">
        <v>1747</v>
      </c>
      <c r="B417" s="1">
        <v>1</v>
      </c>
      <c r="C417" s="1" t="s">
        <v>2490</v>
      </c>
      <c r="D417" s="1" t="s">
        <v>2371</v>
      </c>
      <c r="E417" s="5">
        <v>31540</v>
      </c>
      <c r="F417" s="1" t="s">
        <v>17</v>
      </c>
      <c r="G417" s="1" t="s">
        <v>15</v>
      </c>
      <c r="H417" s="1" t="s">
        <v>16</v>
      </c>
      <c r="I417" s="6" t="str">
        <f>IF(B417=0,VLOOKUP(A417,Feuil2!$A$2:$M$1241,7,FALSE)," ")</f>
        <v xml:space="preserve"> </v>
      </c>
      <c r="J417" s="1" t="str">
        <f>IF(B417=0,VLOOKUP(A417,Feuil2!$A$2:$M$1241,9,FALSE)," ")</f>
        <v xml:space="preserve"> </v>
      </c>
      <c r="K417" s="1" t="str">
        <f>IF(B417=0,VLOOKUP(A417,Feuil2!$A$2:$M$1241,10,FALSE)," ")</f>
        <v xml:space="preserve"> </v>
      </c>
      <c r="L417" s="1"/>
      <c r="M417" s="1"/>
      <c r="N417" s="1"/>
      <c r="O417" s="8" t="str">
        <f>IF(B417=0,VLOOKUP(A417,Feuil2!$A$2:$M$1241,13,FALSE)," ")</f>
        <v xml:space="preserve"> </v>
      </c>
    </row>
    <row r="418" spans="1:15" x14ac:dyDescent="0.3">
      <c r="A418" s="1">
        <v>1747</v>
      </c>
      <c r="B418" s="1">
        <v>2</v>
      </c>
      <c r="C418" s="1" t="s">
        <v>43</v>
      </c>
      <c r="D418" s="1" t="s">
        <v>2491</v>
      </c>
      <c r="E418" s="5">
        <v>42593</v>
      </c>
      <c r="F418" s="1" t="s">
        <v>17</v>
      </c>
      <c r="G418" s="1" t="str">
        <f>IF(B418=0,VLOOKUP(A418,Feuil2!$A$2:$M$1241,11,FALSE)," ")</f>
        <v xml:space="preserve"> </v>
      </c>
      <c r="H418" s="1" t="s">
        <v>16</v>
      </c>
      <c r="I418" s="6" t="str">
        <f>IF(B418=0,VLOOKUP(A418,Feuil2!$A$2:$M$1241,7,FALSE)," ")</f>
        <v xml:space="preserve"> </v>
      </c>
      <c r="J418" s="1" t="str">
        <f>IF(B418=0,VLOOKUP(A418,Feuil2!$A$2:$M$1241,9,FALSE)," ")</f>
        <v xml:space="preserve"> </v>
      </c>
      <c r="K418" s="1" t="str">
        <f>IF(B418=0,VLOOKUP(A418,Feuil2!$A$2:$M$1241,10,FALSE)," ")</f>
        <v xml:space="preserve"> </v>
      </c>
      <c r="L418" s="1"/>
      <c r="M418" s="1"/>
      <c r="N418" s="1"/>
      <c r="O418" s="8" t="str">
        <f>IF(B418=0,VLOOKUP(A418,Feuil2!$A$2:$M$1241,13,FALSE)," ")</f>
        <v xml:space="preserve"> </v>
      </c>
    </row>
    <row r="419" spans="1:15" x14ac:dyDescent="0.3">
      <c r="A419" s="1">
        <v>1747</v>
      </c>
      <c r="B419" s="1">
        <v>3</v>
      </c>
      <c r="C419" s="1" t="s">
        <v>43</v>
      </c>
      <c r="D419" s="1" t="s">
        <v>416</v>
      </c>
      <c r="E419" s="5">
        <v>43553</v>
      </c>
      <c r="F419" s="1" t="s">
        <v>17</v>
      </c>
      <c r="G419" s="1" t="str">
        <f>IF(B419=0,VLOOKUP(A419,Feuil2!$A$2:$M$1241,11,FALSE)," ")</f>
        <v xml:space="preserve"> </v>
      </c>
      <c r="H419" s="1" t="s">
        <v>16</v>
      </c>
      <c r="I419" s="6" t="str">
        <f>IF(B419=0,VLOOKUP(A419,Feuil2!$A$2:$M$1241,7,FALSE)," ")</f>
        <v xml:space="preserve"> </v>
      </c>
      <c r="J419" s="1" t="str">
        <f>IF(B419=0,VLOOKUP(A419,Feuil2!$A$2:$M$1241,9,FALSE)," ")</f>
        <v xml:space="preserve"> </v>
      </c>
      <c r="K419" s="1" t="str">
        <f>IF(B419=0,VLOOKUP(A419,Feuil2!$A$2:$M$1241,10,FALSE)," ")</f>
        <v xml:space="preserve"> </v>
      </c>
      <c r="L419" s="1"/>
      <c r="M419" s="1"/>
      <c r="N419" s="1"/>
      <c r="O419" s="8" t="str">
        <f>IF(B419=0,VLOOKUP(A419,Feuil2!$A$2:$M$1241,13,FALSE)," ")</f>
        <v xml:space="preserve"> </v>
      </c>
    </row>
    <row r="420" spans="1:15" x14ac:dyDescent="0.3">
      <c r="A420" s="1">
        <v>1770</v>
      </c>
      <c r="B420" s="1">
        <v>0</v>
      </c>
      <c r="C420" s="1" t="str">
        <f>IF(B420=0,VLOOKUP(A420,Feuil2!$A$2:$M$1241,2,FALSE)," ")</f>
        <v>ZANINA</v>
      </c>
      <c r="D420" s="1" t="str">
        <f>IF(B420=0,VLOOKUP(A420,Feuil2!$A$2:$M$1241,3,FALSE)," ")</f>
        <v>HICHEM</v>
      </c>
      <c r="E420" s="5">
        <f>IF(B420=0,VLOOKUP(A420,Feuil2!$A$2:$M$1241,6,FALSE)," ")</f>
        <v>29205</v>
      </c>
      <c r="F420" s="1" t="str">
        <f>IF(B420=0,VLOOKUP(A420,Feuil2!$A$2:$M$1241,12,FALSE)," ")</f>
        <v>H</v>
      </c>
      <c r="G420" s="1" t="str">
        <f>IF(B420=0,VLOOKUP(A420,Feuil2!$A$2:$M$1241,11,FALSE)," ")</f>
        <v>M</v>
      </c>
      <c r="H420" s="1" t="s">
        <v>16</v>
      </c>
      <c r="I420" s="6">
        <f>IF(B420=0,VLOOKUP(A420,Feuil2!$A$2:$M$1241,7,FALSE)," ")</f>
        <v>5577042</v>
      </c>
      <c r="J420" s="1" t="str">
        <f>IF(B420=0,VLOOKUP(A420,Feuil2!$A$2:$M$1241,9,FALSE)," ")</f>
        <v>Rue du Liban</v>
      </c>
      <c r="K420" s="1" t="str">
        <f>IF(B420=0,VLOOKUP(A420,Feuil2!$A$2:$M$1241,10,FALSE)," ")</f>
        <v>Msaken 4070</v>
      </c>
      <c r="L420" s="1">
        <v>4070</v>
      </c>
      <c r="M420" s="1">
        <v>22618056</v>
      </c>
      <c r="N420" s="1"/>
      <c r="O420" s="8" t="str">
        <f>IF(B420=0,VLOOKUP(A420,Feuil2!$A$2:$M$1241,13,FALSE)," ")</f>
        <v>10506040206241178885</v>
      </c>
    </row>
    <row r="421" spans="1:15" x14ac:dyDescent="0.3">
      <c r="A421" s="1">
        <v>1770</v>
      </c>
      <c r="B421" s="1">
        <v>1</v>
      </c>
      <c r="C421" s="1" t="s">
        <v>2397</v>
      </c>
      <c r="D421" s="1" t="s">
        <v>2367</v>
      </c>
      <c r="E421" s="5">
        <v>30902</v>
      </c>
      <c r="F421" s="1" t="s">
        <v>17</v>
      </c>
      <c r="G421" s="1" t="s">
        <v>15</v>
      </c>
      <c r="H421" s="1" t="s">
        <v>16</v>
      </c>
      <c r="I421" s="6" t="str">
        <f>IF(B421=0,VLOOKUP(A421,Feuil2!$A$2:$M$1241,7,FALSE)," ")</f>
        <v xml:space="preserve"> </v>
      </c>
      <c r="J421" s="1" t="str">
        <f>IF(B421=0,VLOOKUP(A421,Feuil2!$A$2:$M$1241,9,FALSE)," ")</f>
        <v xml:space="preserve"> </v>
      </c>
      <c r="K421" s="1" t="str">
        <f>IF(B421=0,VLOOKUP(A421,Feuil2!$A$2:$M$1241,10,FALSE)," ")</f>
        <v xml:space="preserve"> </v>
      </c>
      <c r="L421" s="1"/>
      <c r="M421" s="1"/>
      <c r="N421" s="1"/>
      <c r="O421" s="8" t="str">
        <f>IF(B421=0,VLOOKUP(A421,Feuil2!$A$2:$M$1241,13,FALSE)," ")</f>
        <v xml:space="preserve"> </v>
      </c>
    </row>
    <row r="422" spans="1:15" x14ac:dyDescent="0.3">
      <c r="A422" s="1">
        <v>1770</v>
      </c>
      <c r="B422" s="1">
        <v>2</v>
      </c>
      <c r="C422" s="1" t="s">
        <v>344</v>
      </c>
      <c r="D422" s="1" t="s">
        <v>445</v>
      </c>
      <c r="E422" s="5">
        <v>40932</v>
      </c>
      <c r="F422" s="1" t="s">
        <v>506</v>
      </c>
      <c r="G422" s="1" t="str">
        <f>IF(B422=0,VLOOKUP(A422,Feuil2!$A$2:$M$1241,11,FALSE)," ")</f>
        <v xml:space="preserve"> </v>
      </c>
      <c r="H422" s="1" t="s">
        <v>16</v>
      </c>
      <c r="I422" s="6" t="str">
        <f>IF(B422=0,VLOOKUP(A422,Feuil2!$A$2:$M$1241,7,FALSE)," ")</f>
        <v xml:space="preserve"> </v>
      </c>
      <c r="J422" s="1" t="str">
        <f>IF(B422=0,VLOOKUP(A422,Feuil2!$A$2:$M$1241,9,FALSE)," ")</f>
        <v xml:space="preserve"> </v>
      </c>
      <c r="K422" s="1" t="str">
        <f>IF(B422=0,VLOOKUP(A422,Feuil2!$A$2:$M$1241,10,FALSE)," ")</f>
        <v xml:space="preserve"> </v>
      </c>
      <c r="L422" s="1"/>
      <c r="M422" s="1"/>
      <c r="N422" s="1"/>
      <c r="O422" s="8" t="str">
        <f>IF(B422=0,VLOOKUP(A422,Feuil2!$A$2:$M$1241,13,FALSE)," ")</f>
        <v xml:space="preserve"> </v>
      </c>
    </row>
    <row r="423" spans="1:15" x14ac:dyDescent="0.3">
      <c r="A423" s="1">
        <v>1770</v>
      </c>
      <c r="B423" s="1">
        <v>3</v>
      </c>
      <c r="C423" s="1" t="s">
        <v>344</v>
      </c>
      <c r="D423" s="1" t="s">
        <v>107</v>
      </c>
      <c r="E423" s="5">
        <v>41664</v>
      </c>
      <c r="F423" s="1" t="s">
        <v>506</v>
      </c>
      <c r="G423" s="1" t="str">
        <f>IF(B423=0,VLOOKUP(A423,Feuil2!$A$2:$M$1241,11,FALSE)," ")</f>
        <v xml:space="preserve"> </v>
      </c>
      <c r="H423" s="1" t="s">
        <v>16</v>
      </c>
      <c r="I423" s="6" t="str">
        <f>IF(B423=0,VLOOKUP(A423,Feuil2!$A$2:$M$1241,7,FALSE)," ")</f>
        <v xml:space="preserve"> </v>
      </c>
      <c r="J423" s="1" t="str">
        <f>IF(B423=0,VLOOKUP(A423,Feuil2!$A$2:$M$1241,9,FALSE)," ")</f>
        <v xml:space="preserve"> </v>
      </c>
      <c r="K423" s="1" t="str">
        <f>IF(B423=0,VLOOKUP(A423,Feuil2!$A$2:$M$1241,10,FALSE)," ")</f>
        <v xml:space="preserve"> </v>
      </c>
      <c r="L423" s="1"/>
      <c r="M423" s="1"/>
      <c r="N423" s="1"/>
      <c r="O423" s="8" t="str">
        <f>IF(B423=0,VLOOKUP(A423,Feuil2!$A$2:$M$1241,13,FALSE)," ")</f>
        <v xml:space="preserve"> </v>
      </c>
    </row>
    <row r="424" spans="1:15" x14ac:dyDescent="0.3">
      <c r="A424" s="1">
        <v>1770</v>
      </c>
      <c r="B424" s="1">
        <v>4</v>
      </c>
      <c r="C424" s="1" t="s">
        <v>344</v>
      </c>
      <c r="D424" s="1" t="s">
        <v>2398</v>
      </c>
      <c r="E424" s="5">
        <v>43036</v>
      </c>
      <c r="F424" s="1" t="s">
        <v>506</v>
      </c>
      <c r="G424" s="1" t="str">
        <f>IF(B424=0,VLOOKUP(A424,Feuil2!$A$2:$M$1241,11,FALSE)," ")</f>
        <v xml:space="preserve"> </v>
      </c>
      <c r="H424" s="1" t="s">
        <v>16</v>
      </c>
      <c r="I424" s="6" t="str">
        <f>IF(B424=0,VLOOKUP(A424,Feuil2!$A$2:$M$1241,7,FALSE)," ")</f>
        <v xml:space="preserve"> </v>
      </c>
      <c r="J424" s="1" t="str">
        <f>IF(B424=0,VLOOKUP(A424,Feuil2!$A$2:$M$1241,9,FALSE)," ")</f>
        <v xml:space="preserve"> </v>
      </c>
      <c r="K424" s="1" t="str">
        <f>IF(B424=0,VLOOKUP(A424,Feuil2!$A$2:$M$1241,10,FALSE)," ")</f>
        <v xml:space="preserve"> </v>
      </c>
      <c r="L424" s="1"/>
      <c r="M424" s="1"/>
      <c r="N424" s="1"/>
      <c r="O424" s="8" t="str">
        <f>IF(B424=0,VLOOKUP(A424,Feuil2!$A$2:$M$1241,13,FALSE)," ")</f>
        <v xml:space="preserve"> </v>
      </c>
    </row>
    <row r="425" spans="1:15" x14ac:dyDescent="0.3">
      <c r="A425" s="1">
        <v>1774</v>
      </c>
      <c r="B425" s="1">
        <v>0</v>
      </c>
      <c r="C425" s="1" t="str">
        <f>IF(B425=0,VLOOKUP(A425,Feuil2!$A$2:$M$1241,2,FALSE)," ")</f>
        <v>BEN SALEM</v>
      </c>
      <c r="D425" s="1" t="str">
        <f>IF(B425=0,VLOOKUP(A425,Feuil2!$A$2:$M$1241,3,FALSE)," ")</f>
        <v>FAOUZI</v>
      </c>
      <c r="E425" s="5">
        <f>IF(B425=0,VLOOKUP(A425,Feuil2!$A$2:$M$1241,6,FALSE)," ")</f>
        <v>28232</v>
      </c>
      <c r="F425" s="1" t="str">
        <f>IF(B425=0,VLOOKUP(A425,Feuil2!$A$2:$M$1241,12,FALSE)," ")</f>
        <v>H</v>
      </c>
      <c r="G425" s="1" t="str">
        <f>IF(B425=0,VLOOKUP(A425,Feuil2!$A$2:$M$1241,11,FALSE)," ")</f>
        <v>M</v>
      </c>
      <c r="H425" s="1" t="s">
        <v>16</v>
      </c>
      <c r="I425" s="6">
        <f>IF(B425=0,VLOOKUP(A425,Feuil2!$A$2:$M$1241,7,FALSE)," ")</f>
        <v>3783941</v>
      </c>
      <c r="J425" s="1" t="str">
        <f>IF(B425=0,VLOOKUP(A425,Feuil2!$A$2:$M$1241,9,FALSE)," ")</f>
        <v>NULL</v>
      </c>
      <c r="K425" s="1" t="str">
        <f>IF(B425=0,VLOOKUP(A425,Feuil2!$A$2:$M$1241,10,FALSE)," ")</f>
        <v>BÃ©ni Rabiaa 4015</v>
      </c>
      <c r="L425" s="1"/>
      <c r="M425" s="1">
        <v>50254302</v>
      </c>
      <c r="N425" s="1"/>
      <c r="O425" s="8" t="str">
        <f>IF(B425=0,VLOOKUP(A425,Feuil2!$A$2:$M$1241,13,FALSE)," ")</f>
        <v>12505000580102672018</v>
      </c>
    </row>
    <row r="426" spans="1:15" x14ac:dyDescent="0.3">
      <c r="A426" s="1">
        <v>1774</v>
      </c>
      <c r="B426" s="1">
        <v>1</v>
      </c>
      <c r="C426" s="1" t="s">
        <v>2486</v>
      </c>
      <c r="D426" s="1" t="s">
        <v>2370</v>
      </c>
      <c r="E426" s="5">
        <v>30265</v>
      </c>
      <c r="F426" s="1" t="s">
        <v>17</v>
      </c>
      <c r="G426" s="1" t="s">
        <v>15</v>
      </c>
      <c r="H426" s="1" t="s">
        <v>16</v>
      </c>
      <c r="I426" s="6" t="str">
        <f>IF(B426=0,VLOOKUP(A426,Feuil2!$A$2:$M$1241,7,FALSE)," ")</f>
        <v xml:space="preserve"> </v>
      </c>
      <c r="J426" s="1" t="str">
        <f>IF(B426=0,VLOOKUP(A426,Feuil2!$A$2:$M$1241,9,FALSE)," ")</f>
        <v xml:space="preserve"> </v>
      </c>
      <c r="K426" s="1" t="str">
        <f>IF(B426=0,VLOOKUP(A426,Feuil2!$A$2:$M$1241,10,FALSE)," ")</f>
        <v xml:space="preserve"> </v>
      </c>
      <c r="L426" s="1"/>
      <c r="M426" s="1"/>
      <c r="N426" s="1"/>
      <c r="O426" s="8" t="str">
        <f>IF(B426=0,VLOOKUP(A426,Feuil2!$A$2:$M$1241,13,FALSE)," ")</f>
        <v xml:space="preserve"> </v>
      </c>
    </row>
    <row r="427" spans="1:15" x14ac:dyDescent="0.3">
      <c r="A427" s="1">
        <v>1774</v>
      </c>
      <c r="B427" s="1">
        <v>2</v>
      </c>
      <c r="C427" s="1" t="s">
        <v>283</v>
      </c>
      <c r="D427" s="1" t="s">
        <v>402</v>
      </c>
      <c r="E427" s="5">
        <v>40342</v>
      </c>
      <c r="F427" s="1" t="s">
        <v>17</v>
      </c>
      <c r="G427" s="1" t="str">
        <f>IF(B427=0,VLOOKUP(A427,Feuil2!$A$2:$M$1241,11,FALSE)," ")</f>
        <v xml:space="preserve"> </v>
      </c>
      <c r="H427" s="1" t="s">
        <v>16</v>
      </c>
      <c r="I427" s="6" t="str">
        <f>IF(B427=0,VLOOKUP(A427,Feuil2!$A$2:$M$1241,7,FALSE)," ")</f>
        <v xml:space="preserve"> </v>
      </c>
      <c r="J427" s="1" t="str">
        <f>IF(B427=0,VLOOKUP(A427,Feuil2!$A$2:$M$1241,9,FALSE)," ")</f>
        <v xml:space="preserve"> </v>
      </c>
      <c r="K427" s="1" t="str">
        <f>IF(B427=0,VLOOKUP(A427,Feuil2!$A$2:$M$1241,10,FALSE)," ")</f>
        <v xml:space="preserve"> </v>
      </c>
      <c r="L427" s="1"/>
      <c r="M427" s="1"/>
      <c r="N427" s="1"/>
      <c r="O427" s="8" t="str">
        <f>IF(B427=0,VLOOKUP(A427,Feuil2!$A$2:$M$1241,13,FALSE)," ")</f>
        <v xml:space="preserve"> </v>
      </c>
    </row>
    <row r="428" spans="1:15" x14ac:dyDescent="0.3">
      <c r="A428" s="1">
        <v>1774</v>
      </c>
      <c r="B428" s="1">
        <v>3</v>
      </c>
      <c r="C428" s="1" t="s">
        <v>283</v>
      </c>
      <c r="D428" s="1" t="s">
        <v>2487</v>
      </c>
      <c r="E428" s="5">
        <v>41073</v>
      </c>
      <c r="F428" s="1" t="s">
        <v>506</v>
      </c>
      <c r="G428" s="1" t="str">
        <f>IF(B428=0,VLOOKUP(A428,Feuil2!$A$2:$M$1241,11,FALSE)," ")</f>
        <v xml:space="preserve"> </v>
      </c>
      <c r="H428" s="1" t="s">
        <v>16</v>
      </c>
      <c r="I428" s="6" t="str">
        <f>IF(B428=0,VLOOKUP(A428,Feuil2!$A$2:$M$1241,7,FALSE)," ")</f>
        <v xml:space="preserve"> </v>
      </c>
      <c r="J428" s="1" t="str">
        <f>IF(B428=0,VLOOKUP(A428,Feuil2!$A$2:$M$1241,9,FALSE)," ")</f>
        <v xml:space="preserve"> </v>
      </c>
      <c r="K428" s="1" t="str">
        <f>IF(B428=0,VLOOKUP(A428,Feuil2!$A$2:$M$1241,10,FALSE)," ")</f>
        <v xml:space="preserve"> </v>
      </c>
      <c r="L428" s="1"/>
      <c r="M428" s="1"/>
      <c r="N428" s="1"/>
      <c r="O428" s="8" t="str">
        <f>IF(B428=0,VLOOKUP(A428,Feuil2!$A$2:$M$1241,13,FALSE)," ")</f>
        <v xml:space="preserve"> </v>
      </c>
    </row>
    <row r="429" spans="1:15" x14ac:dyDescent="0.3">
      <c r="A429" s="1">
        <v>1774</v>
      </c>
      <c r="B429" s="1">
        <v>4</v>
      </c>
      <c r="C429" s="1" t="s">
        <v>283</v>
      </c>
      <c r="D429" s="1" t="s">
        <v>2488</v>
      </c>
      <c r="E429" s="5">
        <v>42257</v>
      </c>
      <c r="F429" s="1" t="s">
        <v>17</v>
      </c>
      <c r="G429" s="1" t="str">
        <f>IF(B429=0,VLOOKUP(A429,Feuil2!$A$2:$M$1241,11,FALSE)," ")</f>
        <v xml:space="preserve"> </v>
      </c>
      <c r="H429" s="1" t="s">
        <v>16</v>
      </c>
      <c r="I429" s="6" t="str">
        <f>IF(B429=0,VLOOKUP(A429,Feuil2!$A$2:$M$1241,7,FALSE)," ")</f>
        <v xml:space="preserve"> </v>
      </c>
      <c r="J429" s="1" t="str">
        <f>IF(B429=0,VLOOKUP(A429,Feuil2!$A$2:$M$1241,9,FALSE)," ")</f>
        <v xml:space="preserve"> </v>
      </c>
      <c r="K429" s="1" t="str">
        <f>IF(B429=0,VLOOKUP(A429,Feuil2!$A$2:$M$1241,10,FALSE)," ")</f>
        <v xml:space="preserve"> </v>
      </c>
      <c r="L429" s="1"/>
      <c r="M429" s="1"/>
      <c r="N429" s="1"/>
      <c r="O429" s="8" t="str">
        <f>IF(B429=0,VLOOKUP(A429,Feuil2!$A$2:$M$1241,13,FALSE)," ")</f>
        <v xml:space="preserve"> </v>
      </c>
    </row>
    <row r="430" spans="1:15" x14ac:dyDescent="0.3">
      <c r="A430" s="1">
        <v>1777</v>
      </c>
      <c r="B430" s="1">
        <v>0</v>
      </c>
      <c r="C430" s="1" t="str">
        <f>IF(B430=0,VLOOKUP(A430,Feuil2!$A$2:$M$1241,2,FALSE)," ")</f>
        <v>JARRAR</v>
      </c>
      <c r="D430" s="1" t="str">
        <f>IF(B430=0,VLOOKUP(A430,Feuil2!$A$2:$M$1241,3,FALSE)," ")</f>
        <v>MOHAMED FAOUZI</v>
      </c>
      <c r="E430" s="5">
        <f>IF(B430=0,VLOOKUP(A430,Feuil2!$A$2:$M$1241,6,FALSE)," ")</f>
        <v>27871</v>
      </c>
      <c r="F430" s="1" t="str">
        <f>IF(B430=0,VLOOKUP(A430,Feuil2!$A$2:$M$1241,12,FALSE)," ")</f>
        <v>H</v>
      </c>
      <c r="G430" s="1" t="str">
        <f>IF(B430=0,VLOOKUP(A430,Feuil2!$A$2:$M$1241,11,FALSE)," ")</f>
        <v>M</v>
      </c>
      <c r="H430" s="1" t="s">
        <v>16</v>
      </c>
      <c r="I430" s="6">
        <f>IF(B430=0,VLOOKUP(A430,Feuil2!$A$2:$M$1241,7,FALSE)," ")</f>
        <v>5537230</v>
      </c>
      <c r="J430" s="1" t="str">
        <f>IF(B430=0,VLOOKUP(A430,Feuil2!$A$2:$M$1241,9,FALSE)," ")</f>
        <v>58, Rue Ali Bach Hamba</v>
      </c>
      <c r="K430" s="1" t="str">
        <f>IF(B430=0,VLOOKUP(A430,Feuil2!$A$2:$M$1241,10,FALSE)," ")</f>
        <v>Msaken 4070</v>
      </c>
      <c r="L430" s="1">
        <v>4070</v>
      </c>
      <c r="M430" s="1">
        <v>24622133</v>
      </c>
      <c r="N430" s="1"/>
      <c r="O430" s="8" t="str">
        <f>IF(B430=0,VLOOKUP(A430,Feuil2!$A$2:$M$1241,13,FALSE)," ")</f>
        <v>04204067404000994885</v>
      </c>
    </row>
    <row r="431" spans="1:15" x14ac:dyDescent="0.3">
      <c r="A431" s="1">
        <v>1777</v>
      </c>
      <c r="B431" s="1">
        <v>1</v>
      </c>
      <c r="C431" s="1" t="s">
        <v>2565</v>
      </c>
      <c r="D431" s="1" t="s">
        <v>629</v>
      </c>
      <c r="E431" s="5">
        <v>29230</v>
      </c>
      <c r="F431" s="1" t="s">
        <v>17</v>
      </c>
      <c r="G431" s="1" t="s">
        <v>15</v>
      </c>
      <c r="H431" s="1" t="s">
        <v>16</v>
      </c>
      <c r="I431" s="6" t="str">
        <f>IF(B431=0,VLOOKUP(A431,Feuil2!$A$2:$M$1241,7,FALSE)," ")</f>
        <v xml:space="preserve"> </v>
      </c>
      <c r="J431" s="1" t="str">
        <f>IF(B431=0,VLOOKUP(A431,Feuil2!$A$2:$M$1241,9,FALSE)," ")</f>
        <v xml:space="preserve"> </v>
      </c>
      <c r="K431" s="1" t="str">
        <f>IF(B431=0,VLOOKUP(A431,Feuil2!$A$2:$M$1241,10,FALSE)," ")</f>
        <v xml:space="preserve"> </v>
      </c>
      <c r="L431" s="1"/>
      <c r="M431" s="1"/>
      <c r="N431" s="1"/>
      <c r="O431" s="8" t="str">
        <f>IF(B431=0,VLOOKUP(A431,Feuil2!$A$2:$M$1241,13,FALSE)," ")</f>
        <v xml:space="preserve"> </v>
      </c>
    </row>
    <row r="432" spans="1:15" x14ac:dyDescent="0.3">
      <c r="A432" s="1">
        <v>1777</v>
      </c>
      <c r="B432" s="1">
        <v>2</v>
      </c>
      <c r="C432" s="1" t="s">
        <v>33</v>
      </c>
      <c r="D432" s="1" t="s">
        <v>2566</v>
      </c>
      <c r="E432" s="5">
        <v>39825</v>
      </c>
      <c r="F432" s="1" t="s">
        <v>506</v>
      </c>
      <c r="G432" s="1" t="str">
        <f>IF(B432=0,VLOOKUP(A432,Feuil2!$A$2:$M$1241,11,FALSE)," ")</f>
        <v xml:space="preserve"> </v>
      </c>
      <c r="H432" s="1" t="s">
        <v>16</v>
      </c>
      <c r="I432" s="6" t="str">
        <f>IF(B432=0,VLOOKUP(A432,Feuil2!$A$2:$M$1241,7,FALSE)," ")</f>
        <v xml:space="preserve"> </v>
      </c>
      <c r="J432" s="1" t="str">
        <f>IF(B432=0,VLOOKUP(A432,Feuil2!$A$2:$M$1241,9,FALSE)," ")</f>
        <v xml:space="preserve"> </v>
      </c>
      <c r="K432" s="1" t="str">
        <f>IF(B432=0,VLOOKUP(A432,Feuil2!$A$2:$M$1241,10,FALSE)," ")</f>
        <v xml:space="preserve"> </v>
      </c>
      <c r="L432" s="1"/>
      <c r="M432" s="1"/>
      <c r="N432" s="1"/>
      <c r="O432" s="8" t="str">
        <f>IF(B432=0,VLOOKUP(A432,Feuil2!$A$2:$M$1241,13,FALSE)," ")</f>
        <v xml:space="preserve"> </v>
      </c>
    </row>
    <row r="433" spans="1:15" x14ac:dyDescent="0.3">
      <c r="A433" s="1">
        <v>1777</v>
      </c>
      <c r="B433" s="1">
        <v>3</v>
      </c>
      <c r="C433" s="1" t="s">
        <v>33</v>
      </c>
      <c r="D433" s="1" t="s">
        <v>2567</v>
      </c>
      <c r="E433" s="5">
        <v>40283</v>
      </c>
      <c r="F433" s="1" t="s">
        <v>506</v>
      </c>
      <c r="G433" s="1" t="str">
        <f>IF(B433=0,VLOOKUP(A433,Feuil2!$A$2:$M$1241,11,FALSE)," ")</f>
        <v xml:space="preserve"> </v>
      </c>
      <c r="H433" s="1" t="s">
        <v>16</v>
      </c>
      <c r="I433" s="6" t="str">
        <f>IF(B433=0,VLOOKUP(A433,Feuil2!$A$2:$M$1241,7,FALSE)," ")</f>
        <v xml:space="preserve"> </v>
      </c>
      <c r="J433" s="1" t="str">
        <f>IF(B433=0,VLOOKUP(A433,Feuil2!$A$2:$M$1241,9,FALSE)," ")</f>
        <v xml:space="preserve"> </v>
      </c>
      <c r="K433" s="1" t="str">
        <f>IF(B433=0,VLOOKUP(A433,Feuil2!$A$2:$M$1241,10,FALSE)," ")</f>
        <v xml:space="preserve"> </v>
      </c>
      <c r="L433" s="1"/>
      <c r="M433" s="1"/>
      <c r="N433" s="1"/>
      <c r="O433" s="8" t="str">
        <f>IF(B433=0,VLOOKUP(A433,Feuil2!$A$2:$M$1241,13,FALSE)," ")</f>
        <v xml:space="preserve"> </v>
      </c>
    </row>
    <row r="434" spans="1:15" x14ac:dyDescent="0.3">
      <c r="A434" s="1">
        <v>1781</v>
      </c>
      <c r="B434" s="1">
        <v>0</v>
      </c>
      <c r="C434" s="1" t="str">
        <f>IF(B434=0,VLOOKUP(A434,Feuil2!$A$2:$M$1241,2,FALSE)," ")</f>
        <v>KEMIMECH</v>
      </c>
      <c r="D434" s="1" t="str">
        <f>IF(B434=0,VLOOKUP(A434,Feuil2!$A$2:$M$1241,3,FALSE)," ")</f>
        <v>MOHAMED</v>
      </c>
      <c r="E434" s="5">
        <f>IF(B434=0,VLOOKUP(A434,Feuil2!$A$2:$M$1241,6,FALSE)," ")</f>
        <v>25568</v>
      </c>
      <c r="F434" s="1" t="str">
        <f>IF(B434=0,VLOOKUP(A434,Feuil2!$A$2:$M$1241,12,FALSE)," ")</f>
        <v>H</v>
      </c>
      <c r="G434" s="1" t="str">
        <f>IF(B434=0,VLOOKUP(A434,Feuil2!$A$2:$M$1241,11,FALSE)," ")</f>
        <v>M</v>
      </c>
      <c r="H434" s="1" t="s">
        <v>16</v>
      </c>
      <c r="I434" s="6">
        <f>IF(B434=0,VLOOKUP(A434,Feuil2!$A$2:$M$1241,7,FALSE)," ")</f>
        <v>5512526</v>
      </c>
      <c r="J434" s="1" t="str">
        <f>IF(B434=0,VLOOKUP(A434,Feuil2!$A$2:$M$1241,9,FALSE)," ")</f>
        <v>137 Rue Ali Belhouane</v>
      </c>
      <c r="K434" s="1" t="str">
        <f>IF(B434=0,VLOOKUP(A434,Feuil2!$A$2:$M$1241,10,FALSE)," ")</f>
        <v>Msaken 4070</v>
      </c>
      <c r="L434" s="1">
        <v>4070</v>
      </c>
      <c r="M434" s="1">
        <v>29248710</v>
      </c>
      <c r="N434" s="1"/>
      <c r="O434" s="8" t="str">
        <f>IF(B434=0,VLOOKUP(A434,Feuil2!$A$2:$M$1241,13,FALSE)," ")</f>
        <v>17503000000232428689</v>
      </c>
    </row>
    <row r="435" spans="1:15" x14ac:dyDescent="0.3">
      <c r="A435" s="1">
        <v>1781</v>
      </c>
      <c r="B435" s="1">
        <v>1</v>
      </c>
      <c r="C435" s="1" t="s">
        <v>2481</v>
      </c>
      <c r="D435" s="1" t="s">
        <v>2370</v>
      </c>
      <c r="E435" s="5">
        <v>29597</v>
      </c>
      <c r="F435" s="1" t="s">
        <v>17</v>
      </c>
      <c r="G435" s="1" t="s">
        <v>15</v>
      </c>
      <c r="H435" s="1" t="s">
        <v>16</v>
      </c>
      <c r="I435" s="6" t="str">
        <f>IF(B435=0,VLOOKUP(A435,Feuil2!$A$2:$M$1241,7,FALSE)," ")</f>
        <v xml:space="preserve"> </v>
      </c>
      <c r="J435" s="1" t="str">
        <f>IF(B435=0,VLOOKUP(A435,Feuil2!$A$2:$M$1241,9,FALSE)," ")</f>
        <v xml:space="preserve"> </v>
      </c>
      <c r="K435" s="1" t="str">
        <f>IF(B435=0,VLOOKUP(A435,Feuil2!$A$2:$M$1241,10,FALSE)," ")</f>
        <v xml:space="preserve"> </v>
      </c>
      <c r="L435" s="1"/>
      <c r="M435" s="1"/>
      <c r="N435" s="1"/>
      <c r="O435" s="8" t="str">
        <f>IF(B435=0,VLOOKUP(A435,Feuil2!$A$2:$M$1241,13,FALSE)," ")</f>
        <v xml:space="preserve"> </v>
      </c>
    </row>
    <row r="436" spans="1:15" x14ac:dyDescent="0.3">
      <c r="A436" s="1">
        <v>1781</v>
      </c>
      <c r="B436" s="1">
        <v>2</v>
      </c>
      <c r="C436" s="1" t="s">
        <v>147</v>
      </c>
      <c r="D436" s="1" t="s">
        <v>441</v>
      </c>
      <c r="E436" s="5">
        <v>38346</v>
      </c>
      <c r="F436" s="1" t="s">
        <v>506</v>
      </c>
      <c r="G436" s="1" t="str">
        <f>IF(B436=0,VLOOKUP(A436,Feuil2!$A$2:$M$1241,11,FALSE)," ")</f>
        <v xml:space="preserve"> </v>
      </c>
      <c r="H436" s="1" t="s">
        <v>16</v>
      </c>
      <c r="I436" s="6" t="str">
        <f>IF(B436=0,VLOOKUP(A436,Feuil2!$A$2:$M$1241,7,FALSE)," ")</f>
        <v xml:space="preserve"> </v>
      </c>
      <c r="J436" s="1" t="str">
        <f>IF(B436=0,VLOOKUP(A436,Feuil2!$A$2:$M$1241,9,FALSE)," ")</f>
        <v xml:space="preserve"> </v>
      </c>
      <c r="K436" s="1" t="str">
        <f>IF(B436=0,VLOOKUP(A436,Feuil2!$A$2:$M$1241,10,FALSE)," ")</f>
        <v xml:space="preserve"> </v>
      </c>
      <c r="L436" s="1"/>
      <c r="M436" s="1"/>
      <c r="N436" s="1"/>
      <c r="O436" s="8" t="str">
        <f>IF(B436=0,VLOOKUP(A436,Feuil2!$A$2:$M$1241,13,FALSE)," ")</f>
        <v xml:space="preserve"> </v>
      </c>
    </row>
    <row r="437" spans="1:15" x14ac:dyDescent="0.3">
      <c r="A437" s="1">
        <v>1781</v>
      </c>
      <c r="B437" s="1">
        <v>3</v>
      </c>
      <c r="C437" s="1" t="s">
        <v>147</v>
      </c>
      <c r="D437" s="1" t="s">
        <v>2338</v>
      </c>
      <c r="E437" s="5">
        <v>39316</v>
      </c>
      <c r="F437" s="1" t="s">
        <v>17</v>
      </c>
      <c r="G437" s="1" t="str">
        <f>IF(B437=0,VLOOKUP(A437,Feuil2!$A$2:$M$1241,11,FALSE)," ")</f>
        <v xml:space="preserve"> </v>
      </c>
      <c r="H437" s="1" t="s">
        <v>16</v>
      </c>
      <c r="I437" s="6" t="str">
        <f>IF(B437=0,VLOOKUP(A437,Feuil2!$A$2:$M$1241,7,FALSE)," ")</f>
        <v xml:space="preserve"> </v>
      </c>
      <c r="J437" s="1" t="str">
        <f>IF(B437=0,VLOOKUP(A437,Feuil2!$A$2:$M$1241,9,FALSE)," ")</f>
        <v xml:space="preserve"> </v>
      </c>
      <c r="K437" s="1" t="str">
        <f>IF(B437=0,VLOOKUP(A437,Feuil2!$A$2:$M$1241,10,FALSE)," ")</f>
        <v xml:space="preserve"> </v>
      </c>
      <c r="L437" s="1"/>
      <c r="M437" s="1"/>
      <c r="N437" s="1"/>
      <c r="O437" s="8" t="str">
        <f>IF(B437=0,VLOOKUP(A437,Feuil2!$A$2:$M$1241,13,FALSE)," ")</f>
        <v xml:space="preserve"> </v>
      </c>
    </row>
    <row r="438" spans="1:15" x14ac:dyDescent="0.3">
      <c r="A438" s="1">
        <v>1781</v>
      </c>
      <c r="B438" s="1">
        <v>4</v>
      </c>
      <c r="C438" s="1" t="s">
        <v>147</v>
      </c>
      <c r="D438" s="1" t="s">
        <v>2482</v>
      </c>
      <c r="E438" s="5">
        <v>39769</v>
      </c>
      <c r="F438" s="1" t="s">
        <v>17</v>
      </c>
      <c r="G438" s="1" t="str">
        <f>IF(B438=0,VLOOKUP(A438,Feuil2!$A$2:$M$1241,11,FALSE)," ")</f>
        <v xml:space="preserve"> </v>
      </c>
      <c r="H438" s="1" t="s">
        <v>16</v>
      </c>
      <c r="I438" s="6" t="str">
        <f>IF(B438=0,VLOOKUP(A438,Feuil2!$A$2:$M$1241,7,FALSE)," ")</f>
        <v xml:space="preserve"> </v>
      </c>
      <c r="J438" s="1" t="str">
        <f>IF(B438=0,VLOOKUP(A438,Feuil2!$A$2:$M$1241,9,FALSE)," ")</f>
        <v xml:space="preserve"> </v>
      </c>
      <c r="K438" s="1" t="str">
        <f>IF(B438=0,VLOOKUP(A438,Feuil2!$A$2:$M$1241,10,FALSE)," ")</f>
        <v xml:space="preserve"> </v>
      </c>
      <c r="L438" s="1"/>
      <c r="M438" s="1"/>
      <c r="N438" s="1"/>
      <c r="O438" s="8" t="str">
        <f>IF(B438=0,VLOOKUP(A438,Feuil2!$A$2:$M$1241,13,FALSE)," ")</f>
        <v xml:space="preserve"> </v>
      </c>
    </row>
    <row r="439" spans="1:15" x14ac:dyDescent="0.3">
      <c r="A439" s="1">
        <v>1781</v>
      </c>
      <c r="B439" s="1">
        <v>5</v>
      </c>
      <c r="C439" s="1" t="s">
        <v>147</v>
      </c>
      <c r="D439" s="1" t="s">
        <v>2363</v>
      </c>
      <c r="E439" s="5">
        <v>39769</v>
      </c>
      <c r="F439" s="1" t="s">
        <v>17</v>
      </c>
      <c r="G439" s="1" t="str">
        <f>IF(B439=0,VLOOKUP(A439,Feuil2!$A$2:$M$1241,11,FALSE)," ")</f>
        <v xml:space="preserve"> </v>
      </c>
      <c r="H439" s="1" t="s">
        <v>16</v>
      </c>
      <c r="I439" s="6" t="str">
        <f>IF(B439=0,VLOOKUP(A439,Feuil2!$A$2:$M$1241,7,FALSE)," ")</f>
        <v xml:space="preserve"> </v>
      </c>
      <c r="J439" s="1" t="str">
        <f>IF(B439=0,VLOOKUP(A439,Feuil2!$A$2:$M$1241,9,FALSE)," ")</f>
        <v xml:space="preserve"> </v>
      </c>
      <c r="K439" s="1" t="str">
        <f>IF(B439=0,VLOOKUP(A439,Feuil2!$A$2:$M$1241,10,FALSE)," ")</f>
        <v xml:space="preserve"> </v>
      </c>
      <c r="L439" s="1"/>
      <c r="M439" s="1"/>
      <c r="N439" s="1"/>
      <c r="O439" s="8" t="str">
        <f>IF(B439=0,VLOOKUP(A439,Feuil2!$A$2:$M$1241,13,FALSE)," ")</f>
        <v xml:space="preserve"> </v>
      </c>
    </row>
    <row r="440" spans="1:15" x14ac:dyDescent="0.3">
      <c r="A440" s="1">
        <v>1781</v>
      </c>
      <c r="B440" s="1">
        <v>6</v>
      </c>
      <c r="C440" s="1" t="s">
        <v>147</v>
      </c>
      <c r="D440" s="1" t="s">
        <v>2332</v>
      </c>
      <c r="E440" s="5">
        <v>40769</v>
      </c>
      <c r="F440" s="1" t="s">
        <v>17</v>
      </c>
      <c r="G440" s="1" t="str">
        <f>IF(B440=0,VLOOKUP(A440,Feuil2!$A$2:$M$1241,11,FALSE)," ")</f>
        <v xml:space="preserve"> </v>
      </c>
      <c r="H440" s="1" t="s">
        <v>16</v>
      </c>
      <c r="I440" s="6" t="str">
        <f>IF(B440=0,VLOOKUP(A440,Feuil2!$A$2:$M$1241,7,FALSE)," ")</f>
        <v xml:space="preserve"> </v>
      </c>
      <c r="J440" s="1" t="str">
        <f>IF(B440=0,VLOOKUP(A440,Feuil2!$A$2:$M$1241,9,FALSE)," ")</f>
        <v xml:space="preserve"> </v>
      </c>
      <c r="K440" s="1" t="str">
        <f>IF(B440=0,VLOOKUP(A440,Feuil2!$A$2:$M$1241,10,FALSE)," ")</f>
        <v xml:space="preserve"> </v>
      </c>
      <c r="L440" s="1"/>
      <c r="M440" s="1"/>
      <c r="N440" s="1"/>
      <c r="O440" s="8" t="str">
        <f>IF(B440=0,VLOOKUP(A440,Feuil2!$A$2:$M$1241,13,FALSE)," ")</f>
        <v xml:space="preserve"> </v>
      </c>
    </row>
    <row r="441" spans="1:15" x14ac:dyDescent="0.3">
      <c r="A441" s="1">
        <v>1781</v>
      </c>
      <c r="B441" s="1">
        <v>7</v>
      </c>
      <c r="C441" s="1" t="s">
        <v>147</v>
      </c>
      <c r="D441" s="1" t="s">
        <v>2099</v>
      </c>
      <c r="E441" s="5">
        <v>42450</v>
      </c>
      <c r="F441" s="1" t="s">
        <v>17</v>
      </c>
      <c r="G441" s="1" t="str">
        <f>IF(B441=0,VLOOKUP(A441,Feuil2!$A$2:$M$1241,11,FALSE)," ")</f>
        <v xml:space="preserve"> </v>
      </c>
      <c r="H441" s="1" t="s">
        <v>16</v>
      </c>
      <c r="I441" s="6" t="str">
        <f>IF(B441=0,VLOOKUP(A441,Feuil2!$A$2:$M$1241,7,FALSE)," ")</f>
        <v xml:space="preserve"> </v>
      </c>
      <c r="J441" s="1" t="str">
        <f>IF(B441=0,VLOOKUP(A441,Feuil2!$A$2:$M$1241,9,FALSE)," ")</f>
        <v xml:space="preserve"> </v>
      </c>
      <c r="K441" s="1" t="str">
        <f>IF(B441=0,VLOOKUP(A441,Feuil2!$A$2:$M$1241,10,FALSE)," ")</f>
        <v xml:space="preserve"> </v>
      </c>
      <c r="L441" s="1"/>
      <c r="M441" s="1"/>
      <c r="N441" s="1"/>
      <c r="O441" s="8" t="str">
        <f>IF(B441=0,VLOOKUP(A441,Feuil2!$A$2:$M$1241,13,FALSE)," ")</f>
        <v xml:space="preserve"> </v>
      </c>
    </row>
    <row r="442" spans="1:15" x14ac:dyDescent="0.3">
      <c r="A442" s="1">
        <v>1789</v>
      </c>
      <c r="B442" s="1">
        <v>0</v>
      </c>
      <c r="C442" s="1" t="str">
        <f>IF(B442=0,VLOOKUP(A442,Feuil2!$A$2:$M$1241,2,FALSE)," ")</f>
        <v>CHIHI</v>
      </c>
      <c r="D442" s="1" t="str">
        <f>IF(B442=0,VLOOKUP(A442,Feuil2!$A$2:$M$1241,3,FALSE)," ")</f>
        <v>MOHAMED SALAH</v>
      </c>
      <c r="E442" s="5">
        <f>IF(B442=0,VLOOKUP(A442,Feuil2!$A$2:$M$1241,6,FALSE)," ")</f>
        <v>29854</v>
      </c>
      <c r="F442" s="1" t="str">
        <f>IF(B442=0,VLOOKUP(A442,Feuil2!$A$2:$M$1241,12,FALSE)," ")</f>
        <v>H</v>
      </c>
      <c r="G442" s="1" t="str">
        <f>IF(B442=0,VLOOKUP(A442,Feuil2!$A$2:$M$1241,11,FALSE)," ")</f>
        <v>M</v>
      </c>
      <c r="H442" s="1" t="s">
        <v>16</v>
      </c>
      <c r="I442" s="6">
        <f>IF(B442=0,VLOOKUP(A442,Feuil2!$A$2:$M$1241,7,FALSE)," ")</f>
        <v>5597866</v>
      </c>
      <c r="J442" s="1" t="str">
        <f>IF(B442=0,VLOOKUP(A442,Feuil2!$A$2:$M$1241,9,FALSE)," ")</f>
        <v>14 Nouvelle CitÃ©</v>
      </c>
      <c r="K442" s="1" t="str">
        <f>IF(B442=0,VLOOKUP(A442,Feuil2!$A$2:$M$1241,10,FALSE)," ")</f>
        <v>BÃ©ni Kalthoum 4016</v>
      </c>
      <c r="L442" s="1"/>
      <c r="M442" s="1">
        <v>97225601</v>
      </c>
      <c r="N442" s="1"/>
      <c r="O442" s="8" t="str">
        <f>IF(B442=0,VLOOKUP(A442,Feuil2!$A$2:$M$1241,13,FALSE)," ")</f>
        <v>12505000580103770640</v>
      </c>
    </row>
    <row r="443" spans="1:15" x14ac:dyDescent="0.3">
      <c r="A443" s="1">
        <v>1789</v>
      </c>
      <c r="B443" s="1">
        <v>1</v>
      </c>
      <c r="C443" s="1" t="s">
        <v>582</v>
      </c>
      <c r="D443" s="1" t="s">
        <v>2372</v>
      </c>
      <c r="E443" s="5">
        <v>30950</v>
      </c>
      <c r="F443" s="1" t="s">
        <v>17</v>
      </c>
      <c r="G443" s="1" t="s">
        <v>15</v>
      </c>
      <c r="H443" s="1" t="s">
        <v>16</v>
      </c>
      <c r="I443" s="6" t="str">
        <f>IF(B443=0,VLOOKUP(A443,Feuil2!$A$2:$M$1241,7,FALSE)," ")</f>
        <v xml:space="preserve"> </v>
      </c>
      <c r="J443" s="1" t="str">
        <f>IF(B443=0,VLOOKUP(A443,Feuil2!$A$2:$M$1241,9,FALSE)," ")</f>
        <v xml:space="preserve"> </v>
      </c>
      <c r="K443" s="1" t="str">
        <f>IF(B443=0,VLOOKUP(A443,Feuil2!$A$2:$M$1241,10,FALSE)," ")</f>
        <v xml:space="preserve"> </v>
      </c>
      <c r="L443" s="1"/>
      <c r="M443" s="1"/>
      <c r="N443" s="1"/>
      <c r="O443" s="8" t="str">
        <f>IF(B443=0,VLOOKUP(A443,Feuil2!$A$2:$M$1241,13,FALSE)," ")</f>
        <v xml:space="preserve"> </v>
      </c>
    </row>
    <row r="444" spans="1:15" x14ac:dyDescent="0.3">
      <c r="A444" s="1">
        <v>1789</v>
      </c>
      <c r="B444" s="1">
        <v>2</v>
      </c>
      <c r="C444" s="1" t="s">
        <v>238</v>
      </c>
      <c r="D444" s="1" t="s">
        <v>2347</v>
      </c>
      <c r="E444" s="5">
        <v>38197</v>
      </c>
      <c r="F444" s="1" t="s">
        <v>506</v>
      </c>
      <c r="G444" s="1" t="str">
        <f>IF(B444=0,VLOOKUP(A444,Feuil2!$A$2:$M$1241,11,FALSE)," ")</f>
        <v xml:space="preserve"> </v>
      </c>
      <c r="H444" s="1" t="s">
        <v>16</v>
      </c>
      <c r="I444" s="6" t="str">
        <f>IF(B444=0,VLOOKUP(A444,Feuil2!$A$2:$M$1241,7,FALSE)," ")</f>
        <v xml:space="preserve"> </v>
      </c>
      <c r="J444" s="1" t="str">
        <f>IF(B444=0,VLOOKUP(A444,Feuil2!$A$2:$M$1241,9,FALSE)," ")</f>
        <v xml:space="preserve"> </v>
      </c>
      <c r="K444" s="1" t="str">
        <f>IF(B444=0,VLOOKUP(A444,Feuil2!$A$2:$M$1241,10,FALSE)," ")</f>
        <v xml:space="preserve"> </v>
      </c>
      <c r="L444" s="1"/>
      <c r="M444" s="1"/>
      <c r="N444" s="1"/>
      <c r="O444" s="8" t="str">
        <f>IF(B444=0,VLOOKUP(A444,Feuil2!$A$2:$M$1241,13,FALSE)," ")</f>
        <v xml:space="preserve"> </v>
      </c>
    </row>
    <row r="445" spans="1:15" x14ac:dyDescent="0.3">
      <c r="A445" s="1">
        <v>1789</v>
      </c>
      <c r="B445" s="1">
        <v>3</v>
      </c>
      <c r="C445" s="1" t="s">
        <v>238</v>
      </c>
      <c r="D445" s="1" t="s">
        <v>2373</v>
      </c>
      <c r="E445" s="5">
        <v>39248</v>
      </c>
      <c r="F445" s="1" t="s">
        <v>17</v>
      </c>
      <c r="G445" s="1" t="str">
        <f>IF(B445=0,VLOOKUP(A445,Feuil2!$A$2:$M$1241,11,FALSE)," ")</f>
        <v xml:space="preserve"> </v>
      </c>
      <c r="H445" s="1" t="s">
        <v>16</v>
      </c>
      <c r="I445" s="6" t="str">
        <f>IF(B445=0,VLOOKUP(A445,Feuil2!$A$2:$M$1241,7,FALSE)," ")</f>
        <v xml:space="preserve"> </v>
      </c>
      <c r="J445" s="1" t="str">
        <f>IF(B445=0,VLOOKUP(A445,Feuil2!$A$2:$M$1241,9,FALSE)," ")</f>
        <v xml:space="preserve"> </v>
      </c>
      <c r="K445" s="1" t="str">
        <f>IF(B445=0,VLOOKUP(A445,Feuil2!$A$2:$M$1241,10,FALSE)," ")</f>
        <v xml:space="preserve"> </v>
      </c>
      <c r="L445" s="1"/>
      <c r="M445" s="1"/>
      <c r="N445" s="1"/>
      <c r="O445" s="8" t="str">
        <f>IF(B445=0,VLOOKUP(A445,Feuil2!$A$2:$M$1241,13,FALSE)," ")</f>
        <v xml:space="preserve"> </v>
      </c>
    </row>
    <row r="446" spans="1:15" x14ac:dyDescent="0.3">
      <c r="A446" s="1">
        <v>1789</v>
      </c>
      <c r="B446" s="1">
        <v>4</v>
      </c>
      <c r="C446" s="1" t="s">
        <v>238</v>
      </c>
      <c r="D446" s="1" t="s">
        <v>2331</v>
      </c>
      <c r="E446" s="5">
        <v>40920</v>
      </c>
      <c r="F446" s="1" t="s">
        <v>17</v>
      </c>
      <c r="G446" s="1" t="str">
        <f>IF(B446=0,VLOOKUP(A446,Feuil2!$A$2:$M$1241,11,FALSE)," ")</f>
        <v xml:space="preserve"> </v>
      </c>
      <c r="H446" s="1" t="s">
        <v>16</v>
      </c>
      <c r="I446" s="6" t="str">
        <f>IF(B446=0,VLOOKUP(A446,Feuil2!$A$2:$M$1241,7,FALSE)," ")</f>
        <v xml:space="preserve"> </v>
      </c>
      <c r="J446" s="1" t="str">
        <f>IF(B446=0,VLOOKUP(A446,Feuil2!$A$2:$M$1241,9,FALSE)," ")</f>
        <v xml:space="preserve"> </v>
      </c>
      <c r="K446" s="1" t="str">
        <f>IF(B446=0,VLOOKUP(A446,Feuil2!$A$2:$M$1241,10,FALSE)," ")</f>
        <v xml:space="preserve"> </v>
      </c>
      <c r="L446" s="1"/>
      <c r="M446" s="1"/>
      <c r="N446" s="1"/>
      <c r="O446" s="8" t="str">
        <f>IF(B446=0,VLOOKUP(A446,Feuil2!$A$2:$M$1241,13,FALSE)," ")</f>
        <v xml:space="preserve"> </v>
      </c>
    </row>
    <row r="447" spans="1:15" x14ac:dyDescent="0.3">
      <c r="A447" s="1">
        <v>1789</v>
      </c>
      <c r="B447" s="1">
        <v>5</v>
      </c>
      <c r="C447" s="1" t="s">
        <v>238</v>
      </c>
      <c r="D447" s="1" t="s">
        <v>287</v>
      </c>
      <c r="E447" s="5">
        <v>42884</v>
      </c>
      <c r="F447" s="1" t="s">
        <v>506</v>
      </c>
      <c r="G447" s="1" t="str">
        <f>IF(B447=0,VLOOKUP(A447,Feuil2!$A$2:$M$1241,11,FALSE)," ")</f>
        <v xml:space="preserve"> </v>
      </c>
      <c r="H447" s="1" t="s">
        <v>16</v>
      </c>
      <c r="I447" s="6" t="str">
        <f>IF(B447=0,VLOOKUP(A447,Feuil2!$A$2:$M$1241,7,FALSE)," ")</f>
        <v xml:space="preserve"> </v>
      </c>
      <c r="J447" s="1" t="str">
        <f>IF(B447=0,VLOOKUP(A447,Feuil2!$A$2:$M$1241,9,FALSE)," ")</f>
        <v xml:space="preserve"> </v>
      </c>
      <c r="K447" s="1" t="str">
        <f>IF(B447=0,VLOOKUP(A447,Feuil2!$A$2:$M$1241,10,FALSE)," ")</f>
        <v xml:space="preserve"> </v>
      </c>
      <c r="L447" s="1"/>
      <c r="M447" s="1"/>
      <c r="N447" s="1"/>
      <c r="O447" s="8" t="str">
        <f>IF(B447=0,VLOOKUP(A447,Feuil2!$A$2:$M$1241,13,FALSE)," ")</f>
        <v xml:space="preserve"> </v>
      </c>
    </row>
    <row r="448" spans="1:15" x14ac:dyDescent="0.3">
      <c r="A448" s="1">
        <v>1793</v>
      </c>
      <c r="B448" s="1">
        <v>0</v>
      </c>
      <c r="C448" s="1" t="str">
        <f>IF(B448=0,VLOOKUP(A448,Feuil2!$A$2:$M$1241,2,FALSE)," ")</f>
        <v>MIMOUNA</v>
      </c>
      <c r="D448" s="1" t="str">
        <f>IF(B448=0,VLOOKUP(A448,Feuil2!$A$2:$M$1241,3,FALSE)," ")</f>
        <v>RAOUF</v>
      </c>
      <c r="E448" s="5">
        <f>IF(B448=0,VLOOKUP(A448,Feuil2!$A$2:$M$1241,6,FALSE)," ")</f>
        <v>29382</v>
      </c>
      <c r="F448" s="1" t="str">
        <f>IF(B448=0,VLOOKUP(A448,Feuil2!$A$2:$M$1241,12,FALSE)," ")</f>
        <v>H</v>
      </c>
      <c r="G448" s="1" t="str">
        <f>IF(B448=0,VLOOKUP(A448,Feuil2!$A$2:$M$1241,11,FALSE)," ")</f>
        <v>M</v>
      </c>
      <c r="H448" s="1" t="s">
        <v>16</v>
      </c>
      <c r="I448" s="6">
        <f>IF(B448=0,VLOOKUP(A448,Feuil2!$A$2:$M$1241,7,FALSE)," ")</f>
        <v>5592737</v>
      </c>
      <c r="J448" s="1" t="str">
        <f>IF(B448=0,VLOOKUP(A448,Feuil2!$A$2:$M$1241,9,FALSE)," ")</f>
        <v>02 Rue El Imam Mezri</v>
      </c>
      <c r="K448" s="1" t="str">
        <f>IF(B448=0,VLOOKUP(A448,Feuil2!$A$2:$M$1241,10,FALSE)," ")</f>
        <v>Msaken 4070</v>
      </c>
      <c r="L448" s="1">
        <v>4070</v>
      </c>
      <c r="M448" s="1">
        <v>55481130</v>
      </c>
      <c r="N448" s="1"/>
      <c r="O448" s="8" t="str">
        <f>IF(B448=0,VLOOKUP(A448,Feuil2!$A$2:$M$1241,13,FALSE)," ")</f>
        <v>12505000580103392146</v>
      </c>
    </row>
    <row r="449" spans="1:16" x14ac:dyDescent="0.3">
      <c r="A449" s="1">
        <v>1793</v>
      </c>
      <c r="B449" s="1">
        <v>1</v>
      </c>
      <c r="C449" s="1" t="s">
        <v>381</v>
      </c>
      <c r="D449" s="1" t="s">
        <v>2371</v>
      </c>
      <c r="E449" s="5">
        <v>32967</v>
      </c>
      <c r="F449" s="1" t="s">
        <v>17</v>
      </c>
      <c r="G449" s="1" t="s">
        <v>15</v>
      </c>
      <c r="H449" s="1" t="s">
        <v>16</v>
      </c>
      <c r="I449" s="6" t="str">
        <f>IF(B449=0,VLOOKUP(A449,Feuil2!$A$2:$M$1241,7,FALSE)," ")</f>
        <v xml:space="preserve"> </v>
      </c>
      <c r="J449" s="1" t="str">
        <f>IF(B449=0,VLOOKUP(A449,Feuil2!$A$2:$M$1241,9,FALSE)," ")</f>
        <v xml:space="preserve"> </v>
      </c>
      <c r="K449" s="1" t="str">
        <f>IF(B449=0,VLOOKUP(A449,Feuil2!$A$2:$M$1241,10,FALSE)," ")</f>
        <v xml:space="preserve"> </v>
      </c>
      <c r="L449" s="1"/>
      <c r="M449" s="1"/>
      <c r="N449" s="1"/>
      <c r="O449" s="8" t="str">
        <f>IF(B449=0,VLOOKUP(A449,Feuil2!$A$2:$M$1241,13,FALSE)," ")</f>
        <v xml:space="preserve"> </v>
      </c>
    </row>
    <row r="450" spans="1:16" x14ac:dyDescent="0.3">
      <c r="A450" s="1">
        <v>1793</v>
      </c>
      <c r="B450" s="1">
        <v>2</v>
      </c>
      <c r="C450" s="1" t="s">
        <v>376</v>
      </c>
      <c r="D450" s="1" t="s">
        <v>2465</v>
      </c>
      <c r="E450" s="5">
        <v>41071</v>
      </c>
      <c r="F450" s="1" t="s">
        <v>506</v>
      </c>
      <c r="G450" s="1" t="str">
        <f>IF(B450=0,VLOOKUP(A450,Feuil2!$A$2:$M$1241,11,FALSE)," ")</f>
        <v xml:space="preserve"> </v>
      </c>
      <c r="H450" s="1" t="s">
        <v>16</v>
      </c>
      <c r="I450" s="6" t="str">
        <f>IF(B450=0,VLOOKUP(A450,Feuil2!$A$2:$M$1241,7,FALSE)," ")</f>
        <v xml:space="preserve"> </v>
      </c>
      <c r="J450" s="1" t="str">
        <f>IF(B450=0,VLOOKUP(A450,Feuil2!$A$2:$M$1241,9,FALSE)," ")</f>
        <v xml:space="preserve"> </v>
      </c>
      <c r="K450" s="1" t="str">
        <f>IF(B450=0,VLOOKUP(A450,Feuil2!$A$2:$M$1241,10,FALSE)," ")</f>
        <v xml:space="preserve"> </v>
      </c>
      <c r="L450" s="1"/>
      <c r="M450" s="1"/>
      <c r="N450" s="1"/>
      <c r="O450" s="8" t="str">
        <f>IF(B450=0,VLOOKUP(A450,Feuil2!$A$2:$M$1241,13,FALSE)," ")</f>
        <v xml:space="preserve"> </v>
      </c>
    </row>
    <row r="451" spans="1:16" x14ac:dyDescent="0.3">
      <c r="A451" s="1">
        <v>1793</v>
      </c>
      <c r="B451" s="1">
        <v>3</v>
      </c>
      <c r="C451" s="1" t="s">
        <v>376</v>
      </c>
      <c r="D451" s="1" t="s">
        <v>553</v>
      </c>
      <c r="E451" s="5">
        <v>41566</v>
      </c>
      <c r="F451" s="1" t="s">
        <v>506</v>
      </c>
      <c r="G451" s="1" t="str">
        <f>IF(B451=0,VLOOKUP(A451,Feuil2!$A$2:$M$1241,11,FALSE)," ")</f>
        <v xml:space="preserve"> </v>
      </c>
      <c r="H451" s="1" t="s">
        <v>16</v>
      </c>
      <c r="I451" s="6" t="str">
        <f>IF(B451=0,VLOOKUP(A451,Feuil2!$A$2:$M$1241,7,FALSE)," ")</f>
        <v xml:space="preserve"> </v>
      </c>
      <c r="J451" s="1" t="str">
        <f>IF(B451=0,VLOOKUP(A451,Feuil2!$A$2:$M$1241,9,FALSE)," ")</f>
        <v xml:space="preserve"> </v>
      </c>
      <c r="K451" s="1" t="str">
        <f>IF(B451=0,VLOOKUP(A451,Feuil2!$A$2:$M$1241,10,FALSE)," ")</f>
        <v xml:space="preserve"> </v>
      </c>
      <c r="L451" s="1"/>
      <c r="M451" s="1"/>
      <c r="N451" s="1"/>
      <c r="O451" s="8" t="str">
        <f>IF(B451=0,VLOOKUP(A451,Feuil2!$A$2:$M$1241,13,FALSE)," ")</f>
        <v xml:space="preserve"> </v>
      </c>
    </row>
    <row r="452" spans="1:16" x14ac:dyDescent="0.3">
      <c r="A452" s="1">
        <v>1793</v>
      </c>
      <c r="B452" s="1">
        <v>4</v>
      </c>
      <c r="C452" s="1" t="s">
        <v>376</v>
      </c>
      <c r="D452" s="1" t="s">
        <v>2383</v>
      </c>
      <c r="E452" s="5">
        <v>42247</v>
      </c>
      <c r="F452" s="1" t="s">
        <v>17</v>
      </c>
      <c r="G452" s="1" t="str">
        <f>IF(B452=0,VLOOKUP(A452,Feuil2!$A$2:$M$1241,11,FALSE)," ")</f>
        <v xml:space="preserve"> </v>
      </c>
      <c r="H452" s="1" t="s">
        <v>16</v>
      </c>
      <c r="I452" s="6" t="str">
        <f>IF(B452=0,VLOOKUP(A452,Feuil2!$A$2:$M$1241,7,FALSE)," ")</f>
        <v xml:space="preserve"> </v>
      </c>
      <c r="J452" s="1" t="str">
        <f>IF(B452=0,VLOOKUP(A452,Feuil2!$A$2:$M$1241,9,FALSE)," ")</f>
        <v xml:space="preserve"> </v>
      </c>
      <c r="K452" s="1" t="str">
        <f>IF(B452=0,VLOOKUP(A452,Feuil2!$A$2:$M$1241,10,FALSE)," ")</f>
        <v xml:space="preserve"> </v>
      </c>
      <c r="L452" s="1"/>
      <c r="M452" s="1"/>
      <c r="N452" s="1"/>
      <c r="O452" s="8" t="str">
        <f>IF(B452=0,VLOOKUP(A452,Feuil2!$A$2:$M$1241,13,FALSE)," ")</f>
        <v xml:space="preserve"> </v>
      </c>
    </row>
    <row r="453" spans="1:16" x14ac:dyDescent="0.3">
      <c r="A453" s="1">
        <v>1796</v>
      </c>
      <c r="B453" s="1">
        <v>0</v>
      </c>
      <c r="C453" s="1" t="str">
        <f>IF(B453=0,VLOOKUP(A453,Feuil2!$A$2:$M$1241,2,FALSE)," ")</f>
        <v>BEL HADJ HASSINE</v>
      </c>
      <c r="D453" s="1" t="str">
        <f>IF(B453=0,VLOOKUP(A453,Feuil2!$A$2:$M$1241,3,FALSE)," ")</f>
        <v>IMED</v>
      </c>
      <c r="E453" s="5">
        <f>IF(B453=0,VLOOKUP(A453,Feuil2!$A$2:$M$1241,6,FALSE)," ")</f>
        <v>27670</v>
      </c>
      <c r="F453" s="1" t="str">
        <f>IF(B453=0,VLOOKUP(A453,Feuil2!$A$2:$M$1241,12,FALSE)," ")</f>
        <v>H</v>
      </c>
      <c r="G453" s="1" t="str">
        <f>IF(B453=0,VLOOKUP(A453,Feuil2!$A$2:$M$1241,11,FALSE)," ")</f>
        <v>M</v>
      </c>
      <c r="H453" s="1" t="s">
        <v>16</v>
      </c>
      <c r="I453" s="6">
        <f>IF(B453=0,VLOOKUP(A453,Feuil2!$A$2:$M$1241,7,FALSE)," ")</f>
        <v>5572753</v>
      </c>
      <c r="J453" s="1" t="str">
        <f>IF(B453=0,VLOOKUP(A453,Feuil2!$A$2:$M$1241,9,FALSE)," ")</f>
        <v>NULL</v>
      </c>
      <c r="K453" s="1" t="str">
        <f>IF(B453=0,VLOOKUP(A453,Feuil2!$A$2:$M$1241,10,FALSE)," ")</f>
        <v>Sidi El HÃ©ni 4025</v>
      </c>
      <c r="L453" s="1"/>
      <c r="M453" s="1">
        <v>98960861</v>
      </c>
      <c r="N453" s="1"/>
      <c r="O453" s="8" t="str">
        <f>IF(B453=0,VLOOKUP(A453,Feuil2!$A$2:$M$1241,13,FALSE)," ")</f>
        <v>17503000000203383688</v>
      </c>
    </row>
    <row r="454" spans="1:16" x14ac:dyDescent="0.3">
      <c r="A454" s="1">
        <v>1796</v>
      </c>
      <c r="B454" s="1">
        <v>1</v>
      </c>
      <c r="C454" s="1" t="s">
        <v>2568</v>
      </c>
      <c r="D454" s="1" t="s">
        <v>1286</v>
      </c>
      <c r="E454" s="5">
        <v>30694</v>
      </c>
      <c r="F454" s="1" t="s">
        <v>17</v>
      </c>
      <c r="G454" s="1" t="s">
        <v>15</v>
      </c>
      <c r="H454" s="1" t="s">
        <v>16</v>
      </c>
      <c r="I454" s="6" t="str">
        <f>IF(B454=0,VLOOKUP(A454,Feuil2!$A$2:$M$1241,7,FALSE)," ")</f>
        <v xml:space="preserve"> </v>
      </c>
      <c r="J454" s="1" t="str">
        <f>IF(B454=0,VLOOKUP(A454,Feuil2!$A$2:$M$1241,9,FALSE)," ")</f>
        <v xml:space="preserve"> </v>
      </c>
      <c r="K454" s="1" t="str">
        <f>IF(B454=0,VLOOKUP(A454,Feuil2!$A$2:$M$1241,10,FALSE)," ")</f>
        <v xml:space="preserve"> </v>
      </c>
      <c r="L454" s="1"/>
      <c r="M454" s="1"/>
      <c r="N454" s="1"/>
      <c r="O454" s="8" t="str">
        <f>IF(B454=0,VLOOKUP(A454,Feuil2!$A$2:$M$1241,13,FALSE)," ")</f>
        <v xml:space="preserve"> </v>
      </c>
    </row>
    <row r="455" spans="1:16" x14ac:dyDescent="0.3">
      <c r="A455" s="1">
        <v>1796</v>
      </c>
      <c r="B455" s="1">
        <v>2</v>
      </c>
      <c r="C455" s="1" t="s">
        <v>1706</v>
      </c>
      <c r="D455" s="1" t="s">
        <v>2569</v>
      </c>
      <c r="E455" s="5">
        <v>40383</v>
      </c>
      <c r="F455" s="1" t="s">
        <v>17</v>
      </c>
      <c r="G455" s="1" t="str">
        <f>IF(B455=0,VLOOKUP(A455,Feuil2!$A$2:$M$1241,11,FALSE)," ")</f>
        <v xml:space="preserve"> </v>
      </c>
      <c r="H455" s="1" t="s">
        <v>16</v>
      </c>
      <c r="I455" s="6" t="str">
        <f>IF(B455=0,VLOOKUP(A455,Feuil2!$A$2:$M$1241,7,FALSE)," ")</f>
        <v xml:space="preserve"> </v>
      </c>
      <c r="J455" s="1" t="str">
        <f>IF(B455=0,VLOOKUP(A455,Feuil2!$A$2:$M$1241,9,FALSE)," ")</f>
        <v xml:space="preserve"> </v>
      </c>
      <c r="K455" s="1" t="str">
        <f>IF(B455=0,VLOOKUP(A455,Feuil2!$A$2:$M$1241,10,FALSE)," ")</f>
        <v xml:space="preserve"> </v>
      </c>
      <c r="L455" s="1"/>
      <c r="M455" s="1"/>
      <c r="N455" s="1"/>
      <c r="O455" s="8" t="str">
        <f>IF(B455=0,VLOOKUP(A455,Feuil2!$A$2:$M$1241,13,FALSE)," ")</f>
        <v xml:space="preserve"> </v>
      </c>
    </row>
    <row r="456" spans="1:16" x14ac:dyDescent="0.3">
      <c r="A456" s="1">
        <v>1796</v>
      </c>
      <c r="B456" s="1">
        <v>3</v>
      </c>
      <c r="C456" s="1" t="s">
        <v>1706</v>
      </c>
      <c r="D456" s="1" t="s">
        <v>2389</v>
      </c>
      <c r="E456" s="5">
        <v>41187</v>
      </c>
      <c r="F456" s="1" t="s">
        <v>17</v>
      </c>
      <c r="G456" s="1" t="str">
        <f>IF(B456=0,VLOOKUP(A456,Feuil2!$A$2:$M$1241,11,FALSE)," ")</f>
        <v xml:space="preserve"> </v>
      </c>
      <c r="H456" s="1" t="s">
        <v>16</v>
      </c>
      <c r="I456" s="6" t="str">
        <f>IF(B456=0,VLOOKUP(A456,Feuil2!$A$2:$M$1241,7,FALSE)," ")</f>
        <v xml:space="preserve"> </v>
      </c>
      <c r="J456" s="1" t="str">
        <f>IF(B456=0,VLOOKUP(A456,Feuil2!$A$2:$M$1241,9,FALSE)," ")</f>
        <v xml:space="preserve"> </v>
      </c>
      <c r="K456" s="1" t="str">
        <f>IF(B456=0,VLOOKUP(A456,Feuil2!$A$2:$M$1241,10,FALSE)," ")</f>
        <v xml:space="preserve"> </v>
      </c>
      <c r="L456" s="1"/>
      <c r="M456" s="1"/>
      <c r="N456" s="1"/>
      <c r="O456" s="8" t="str">
        <f>IF(B456=0,VLOOKUP(A456,Feuil2!$A$2:$M$1241,13,FALSE)," ")</f>
        <v xml:space="preserve"> </v>
      </c>
    </row>
    <row r="457" spans="1:16" x14ac:dyDescent="0.3">
      <c r="A457" s="1">
        <v>1796</v>
      </c>
      <c r="B457" s="1">
        <v>4</v>
      </c>
      <c r="C457" s="1" t="s">
        <v>1706</v>
      </c>
      <c r="D457" s="1" t="s">
        <v>2337</v>
      </c>
      <c r="E457" s="5">
        <v>42270</v>
      </c>
      <c r="F457" s="1" t="s">
        <v>17</v>
      </c>
      <c r="G457" s="1" t="str">
        <f>IF(B457=0,VLOOKUP(A457,Feuil2!$A$2:$M$1241,11,FALSE)," ")</f>
        <v xml:space="preserve"> </v>
      </c>
      <c r="H457" s="1" t="s">
        <v>16</v>
      </c>
      <c r="I457" s="6" t="str">
        <f>IF(B457=0,VLOOKUP(A457,Feuil2!$A$2:$M$1241,7,FALSE)," ")</f>
        <v xml:space="preserve"> </v>
      </c>
      <c r="J457" s="1" t="str">
        <f>IF(B457=0,VLOOKUP(A457,Feuil2!$A$2:$M$1241,9,FALSE)," ")</f>
        <v xml:space="preserve"> </v>
      </c>
      <c r="K457" s="1" t="str">
        <f>IF(B457=0,VLOOKUP(A457,Feuil2!$A$2:$M$1241,10,FALSE)," ")</f>
        <v xml:space="preserve"> </v>
      </c>
      <c r="L457" s="1"/>
      <c r="M457" s="1"/>
      <c r="N457" s="1"/>
      <c r="O457" s="8" t="str">
        <f>IF(B457=0,VLOOKUP(A457,Feuil2!$A$2:$M$1241,13,FALSE)," ")</f>
        <v xml:space="preserve"> </v>
      </c>
    </row>
    <row r="458" spans="1:16" x14ac:dyDescent="0.3">
      <c r="A458" s="1">
        <v>1796</v>
      </c>
      <c r="B458" s="1">
        <v>5</v>
      </c>
      <c r="C458" s="1" t="s">
        <v>1706</v>
      </c>
      <c r="D458" s="1" t="s">
        <v>2797</v>
      </c>
      <c r="E458" s="5">
        <v>44114</v>
      </c>
      <c r="F458" s="1" t="s">
        <v>506</v>
      </c>
      <c r="G458" s="1"/>
      <c r="H458" s="1"/>
      <c r="I458" s="6"/>
      <c r="J458" s="1"/>
      <c r="K458" s="1"/>
      <c r="L458" s="1"/>
      <c r="M458" s="1"/>
      <c r="N458" s="1"/>
      <c r="O458" s="8"/>
    </row>
    <row r="459" spans="1:16" x14ac:dyDescent="0.3">
      <c r="A459" s="1">
        <v>1797</v>
      </c>
      <c r="B459" s="1">
        <v>0</v>
      </c>
      <c r="C459" s="1" t="str">
        <f>IF(B459=0,VLOOKUP(A459,Feuil2!$A$2:$M$1241,2,FALSE)," ")</f>
        <v>ABBADI</v>
      </c>
      <c r="D459" s="1" t="str">
        <f>IF(B459=0,VLOOKUP(A459,Feuil2!$A$2:$M$1241,3,FALSE)," ")</f>
        <v>MOHAMED</v>
      </c>
      <c r="E459" s="5">
        <f>IF(B459=0,VLOOKUP(A459,Feuil2!$A$2:$M$1241,6,FALSE)," ")</f>
        <v>29161</v>
      </c>
      <c r="F459" s="1" t="str">
        <f>IF(B459=0,VLOOKUP(A459,Feuil2!$A$2:$M$1241,12,FALSE)," ")</f>
        <v>H</v>
      </c>
      <c r="G459" s="1" t="str">
        <f>IF(B459=0,VLOOKUP(A459,Feuil2!$A$2:$M$1241,11,FALSE)," ")</f>
        <v>M</v>
      </c>
      <c r="H459" s="1" t="s">
        <v>16</v>
      </c>
      <c r="I459" s="6">
        <f>IF(B459=0,VLOOKUP(A459,Feuil2!$A$2:$M$1241,7,FALSE)," ")</f>
        <v>8446243</v>
      </c>
      <c r="J459" s="1" t="str">
        <f>IF(B459=0,VLOOKUP(A459,Feuil2!$A$2:$M$1241,9,FALSE)," ")</f>
        <v>Route de kairouan</v>
      </c>
      <c r="K459" s="1" t="str">
        <f>IF(B459=0,VLOOKUP(A459,Feuil2!$A$2:$M$1241,10,FALSE)," ")</f>
        <v>Msaken 4070</v>
      </c>
      <c r="L459" s="1">
        <v>4070</v>
      </c>
      <c r="M459" s="1">
        <v>27772134</v>
      </c>
      <c r="N459" s="1"/>
      <c r="O459" s="8" t="str">
        <f>IF(B459=0,VLOOKUP(A459,Feuil2!$A$2:$M$1241,13,FALSE)," ")</f>
        <v>10506040206524978866</v>
      </c>
    </row>
    <row r="460" spans="1:16" x14ac:dyDescent="0.3">
      <c r="A460" s="1">
        <v>1797</v>
      </c>
      <c r="B460" s="1">
        <v>1</v>
      </c>
      <c r="C460" s="1" t="s">
        <v>2506</v>
      </c>
      <c r="D460" s="1" t="s">
        <v>2408</v>
      </c>
      <c r="E460" s="5">
        <v>31307</v>
      </c>
      <c r="F460" s="1" t="s">
        <v>17</v>
      </c>
      <c r="G460" s="1" t="s">
        <v>15</v>
      </c>
      <c r="H460" s="1" t="s">
        <v>16</v>
      </c>
      <c r="I460" s="6" t="str">
        <f>IF(B460=0,VLOOKUP(A460,Feuil2!$A$2:$M$1241,7,FALSE)," ")</f>
        <v xml:space="preserve"> </v>
      </c>
      <c r="J460" s="1" t="str">
        <f>IF(B460=0,VLOOKUP(A460,Feuil2!$A$2:$M$1241,9,FALSE)," ")</f>
        <v xml:space="preserve"> </v>
      </c>
      <c r="K460" s="1" t="str">
        <f>IF(B460=0,VLOOKUP(A460,Feuil2!$A$2:$M$1241,10,FALSE)," ")</f>
        <v xml:space="preserve"> </v>
      </c>
      <c r="L460" s="1"/>
      <c r="M460" s="1"/>
      <c r="N460" s="1"/>
      <c r="O460" s="8" t="str">
        <f>IF(B460=0,VLOOKUP(A460,Feuil2!$A$2:$M$1241,13,FALSE)," ")</f>
        <v xml:space="preserve"> </v>
      </c>
    </row>
    <row r="461" spans="1:16" x14ac:dyDescent="0.3">
      <c r="A461" s="1">
        <v>1797</v>
      </c>
      <c r="B461" s="1">
        <v>2</v>
      </c>
      <c r="C461" s="1" t="s">
        <v>350</v>
      </c>
      <c r="D461" s="1" t="s">
        <v>2345</v>
      </c>
      <c r="E461" s="5">
        <v>40553</v>
      </c>
      <c r="F461" s="1" t="s">
        <v>17</v>
      </c>
      <c r="G461" s="1" t="str">
        <f>IF(B461=0,VLOOKUP(A461,Feuil2!$A$2:$M$1241,11,FALSE)," ")</f>
        <v xml:space="preserve"> </v>
      </c>
      <c r="H461" s="1" t="s">
        <v>16</v>
      </c>
      <c r="I461" s="6" t="str">
        <f>IF(B461=0,VLOOKUP(A461,Feuil2!$A$2:$M$1241,7,FALSE)," ")</f>
        <v xml:space="preserve"> </v>
      </c>
      <c r="J461" s="1" t="str">
        <f>IF(B461=0,VLOOKUP(A461,Feuil2!$A$2:$M$1241,9,FALSE)," ")</f>
        <v xml:space="preserve"> </v>
      </c>
      <c r="K461" s="1" t="str">
        <f>IF(B461=0,VLOOKUP(A461,Feuil2!$A$2:$M$1241,10,FALSE)," ")</f>
        <v xml:space="preserve"> </v>
      </c>
      <c r="L461" s="1"/>
      <c r="M461" s="1"/>
      <c r="N461" s="1"/>
      <c r="O461" s="8" t="str">
        <f>IF(B461=0,VLOOKUP(A461,Feuil2!$A$2:$M$1241,13,FALSE)," ")</f>
        <v xml:space="preserve"> </v>
      </c>
      <c r="P461" t="s">
        <v>2805</v>
      </c>
    </row>
    <row r="462" spans="1:16" x14ac:dyDescent="0.3">
      <c r="A462" s="1">
        <v>1801</v>
      </c>
      <c r="B462" s="1">
        <v>0</v>
      </c>
      <c r="C462" s="1" t="str">
        <f>IF(B462=0,VLOOKUP(A462,Feuil2!$A$2:$M$1241,2,FALSE)," ")</f>
        <v>MAHJOUB</v>
      </c>
      <c r="D462" s="1" t="str">
        <f>IF(B462=0,VLOOKUP(A462,Feuil2!$A$2:$M$1241,3,FALSE)," ")</f>
        <v>MOHAMED</v>
      </c>
      <c r="E462" s="5">
        <f>IF(B462=0,VLOOKUP(A462,Feuil2!$A$2:$M$1241,6,FALSE)," ")</f>
        <v>26880</v>
      </c>
      <c r="F462" s="1" t="str">
        <f>IF(B462=0,VLOOKUP(A462,Feuil2!$A$2:$M$1241,12,FALSE)," ")</f>
        <v>H</v>
      </c>
      <c r="G462" s="1" t="str">
        <f>IF(B462=0,VLOOKUP(A462,Feuil2!$A$2:$M$1241,11,FALSE)," ")</f>
        <v>M</v>
      </c>
      <c r="H462" s="1" t="s">
        <v>16</v>
      </c>
      <c r="I462" s="6">
        <f>IF(B462=0,VLOOKUP(A462,Feuil2!$A$2:$M$1241,7,FALSE)," ")</f>
        <v>5516034</v>
      </c>
      <c r="J462" s="1" t="str">
        <f>IF(B462=0,VLOOKUP(A462,Feuil2!$A$2:$M$1241,9,FALSE)," ")</f>
        <v>Route de Knaies</v>
      </c>
      <c r="K462" s="1" t="str">
        <f>IF(B462=0,VLOOKUP(A462,Feuil2!$A$2:$M$1241,10,FALSE)," ")</f>
        <v>Msaken 4070</v>
      </c>
      <c r="L462" s="1">
        <v>4070</v>
      </c>
      <c r="M462" s="1">
        <v>92151805</v>
      </c>
      <c r="N462" s="1"/>
      <c r="O462" s="8" t="str">
        <f>IF(B462=0,VLOOKUP(A462,Feuil2!$A$2:$M$1241,13,FALSE)," ")</f>
        <v>12505000580102617892</v>
      </c>
    </row>
    <row r="463" spans="1:16" x14ac:dyDescent="0.3">
      <c r="A463" s="1">
        <v>1801</v>
      </c>
      <c r="B463" s="1">
        <v>1</v>
      </c>
      <c r="C463" s="1" t="s">
        <v>19</v>
      </c>
      <c r="D463" s="1" t="s">
        <v>2582</v>
      </c>
      <c r="E463" s="5">
        <v>28745</v>
      </c>
      <c r="F463" s="1" t="s">
        <v>17</v>
      </c>
      <c r="G463" s="1" t="s">
        <v>15</v>
      </c>
      <c r="H463" s="1" t="s">
        <v>16</v>
      </c>
      <c r="I463" s="6" t="str">
        <f>IF(B463=0,VLOOKUP(A463,Feuil2!$A$2:$M$1241,7,FALSE)," ")</f>
        <v xml:space="preserve"> </v>
      </c>
      <c r="J463" s="1" t="str">
        <f>IF(B463=0,VLOOKUP(A463,Feuil2!$A$2:$M$1241,9,FALSE)," ")</f>
        <v xml:space="preserve"> </v>
      </c>
      <c r="K463" s="1" t="str">
        <f>IF(B463=0,VLOOKUP(A463,Feuil2!$A$2:$M$1241,10,FALSE)," ")</f>
        <v xml:space="preserve"> </v>
      </c>
      <c r="L463" s="1"/>
      <c r="M463" s="1"/>
      <c r="N463" s="1"/>
      <c r="O463" s="8" t="str">
        <f>IF(B463=0,VLOOKUP(A463,Feuil2!$A$2:$M$1241,13,FALSE)," ")</f>
        <v xml:space="preserve"> </v>
      </c>
    </row>
    <row r="464" spans="1:16" x14ac:dyDescent="0.3">
      <c r="A464" s="1">
        <v>1801</v>
      </c>
      <c r="B464" s="1">
        <v>2</v>
      </c>
      <c r="C464" s="1" t="s">
        <v>19</v>
      </c>
      <c r="D464" s="1" t="s">
        <v>2451</v>
      </c>
      <c r="E464" s="5">
        <v>36987</v>
      </c>
      <c r="F464" s="1" t="s">
        <v>17</v>
      </c>
      <c r="G464" s="1" t="str">
        <f>IF(B464=0,VLOOKUP(A464,Feuil2!$A$2:$M$1241,11,FALSE)," ")</f>
        <v xml:space="preserve"> </v>
      </c>
      <c r="H464" s="1" t="s">
        <v>16</v>
      </c>
      <c r="I464" s="6" t="str">
        <f>IF(B464=0,VLOOKUP(A464,Feuil2!$A$2:$M$1241,7,FALSE)," ")</f>
        <v xml:space="preserve"> </v>
      </c>
      <c r="J464" s="1" t="str">
        <f>IF(B464=0,VLOOKUP(A464,Feuil2!$A$2:$M$1241,9,FALSE)," ")</f>
        <v xml:space="preserve"> </v>
      </c>
      <c r="K464" s="1" t="str">
        <f>IF(B464=0,VLOOKUP(A464,Feuil2!$A$2:$M$1241,10,FALSE)," ")</f>
        <v xml:space="preserve"> </v>
      </c>
      <c r="L464" s="1"/>
      <c r="M464" s="1"/>
      <c r="N464" s="1"/>
      <c r="O464" s="8" t="str">
        <f>IF(B464=0,VLOOKUP(A464,Feuil2!$A$2:$M$1241,13,FALSE)," ")</f>
        <v xml:space="preserve"> </v>
      </c>
    </row>
    <row r="465" spans="1:19" x14ac:dyDescent="0.3">
      <c r="A465" s="1">
        <v>1801</v>
      </c>
      <c r="B465" s="1">
        <v>3</v>
      </c>
      <c r="C465" s="1" t="s">
        <v>19</v>
      </c>
      <c r="D465" s="1" t="s">
        <v>2532</v>
      </c>
      <c r="E465" s="5">
        <v>37574</v>
      </c>
      <c r="F465" s="1" t="s">
        <v>506</v>
      </c>
      <c r="G465" s="1" t="str">
        <f>IF(B465=0,VLOOKUP(A465,Feuil2!$A$2:$M$1241,11,FALSE)," ")</f>
        <v xml:space="preserve"> </v>
      </c>
      <c r="H465" s="1" t="s">
        <v>16</v>
      </c>
      <c r="I465" s="6" t="str">
        <f>IF(B465=0,VLOOKUP(A465,Feuil2!$A$2:$M$1241,7,FALSE)," ")</f>
        <v xml:space="preserve"> </v>
      </c>
      <c r="J465" s="1" t="str">
        <f>IF(B465=0,VLOOKUP(A465,Feuil2!$A$2:$M$1241,9,FALSE)," ")</f>
        <v xml:space="preserve"> </v>
      </c>
      <c r="K465" s="1" t="str">
        <f>IF(B465=0,VLOOKUP(A465,Feuil2!$A$2:$M$1241,10,FALSE)," ")</f>
        <v xml:space="preserve"> </v>
      </c>
      <c r="L465" s="1"/>
      <c r="M465" s="1"/>
      <c r="N465" s="1"/>
      <c r="O465" s="8" t="str">
        <f>IF(B465=0,VLOOKUP(A465,Feuil2!$A$2:$M$1241,13,FALSE)," ")</f>
        <v xml:space="preserve"> </v>
      </c>
    </row>
    <row r="466" spans="1:19" x14ac:dyDescent="0.3">
      <c r="A466" s="1">
        <v>1801</v>
      </c>
      <c r="B466" s="1">
        <v>4</v>
      </c>
      <c r="C466" s="1" t="s">
        <v>19</v>
      </c>
      <c r="D466" s="1" t="s">
        <v>2338</v>
      </c>
      <c r="E466" s="5">
        <v>39086</v>
      </c>
      <c r="F466" s="1" t="s">
        <v>17</v>
      </c>
      <c r="G466" s="1" t="str">
        <f>IF(B466=0,VLOOKUP(A466,Feuil2!$A$2:$M$1241,11,FALSE)," ")</f>
        <v xml:space="preserve"> </v>
      </c>
      <c r="H466" s="1" t="s">
        <v>16</v>
      </c>
      <c r="I466" s="6" t="str">
        <f>IF(B466=0,VLOOKUP(A466,Feuil2!$A$2:$M$1241,7,FALSE)," ")</f>
        <v xml:space="preserve"> </v>
      </c>
      <c r="J466" s="1" t="str">
        <f>IF(B466=0,VLOOKUP(A466,Feuil2!$A$2:$M$1241,9,FALSE)," ")</f>
        <v xml:space="preserve"> </v>
      </c>
      <c r="K466" s="1" t="str">
        <f>IF(B466=0,VLOOKUP(A466,Feuil2!$A$2:$M$1241,10,FALSE)," ")</f>
        <v xml:space="preserve"> </v>
      </c>
      <c r="L466" s="1"/>
      <c r="M466" s="1"/>
      <c r="N466" s="1"/>
      <c r="O466" s="8" t="str">
        <f>IF(B466=0,VLOOKUP(A466,Feuil2!$A$2:$M$1241,13,FALSE)," ")</f>
        <v xml:space="preserve"> </v>
      </c>
      <c r="P466" t="s">
        <v>2805</v>
      </c>
      <c r="R466" s="22"/>
      <c r="S466" s="22"/>
    </row>
    <row r="467" spans="1:19" x14ac:dyDescent="0.3">
      <c r="A467" s="1">
        <v>1801</v>
      </c>
      <c r="B467" s="1">
        <v>5</v>
      </c>
      <c r="C467" s="1" t="s">
        <v>19</v>
      </c>
      <c r="D467" s="1" t="s">
        <v>2533</v>
      </c>
      <c r="E467" s="5">
        <v>42927</v>
      </c>
      <c r="F467" s="1" t="s">
        <v>506</v>
      </c>
      <c r="G467" s="1" t="str">
        <f>IF(B467=0,VLOOKUP(A467,Feuil2!$A$2:$M$1241,11,FALSE)," ")</f>
        <v xml:space="preserve"> </v>
      </c>
      <c r="H467" s="1" t="s">
        <v>16</v>
      </c>
      <c r="I467" s="6" t="str">
        <f>IF(B467=0,VLOOKUP(A467,Feuil2!$A$2:$M$1241,7,FALSE)," ")</f>
        <v xml:space="preserve"> </v>
      </c>
      <c r="J467" s="1" t="str">
        <f>IF(B467=0,VLOOKUP(A467,Feuil2!$A$2:$M$1241,9,FALSE)," ")</f>
        <v xml:space="preserve"> </v>
      </c>
      <c r="K467" s="1" t="str">
        <f>IF(B467=0,VLOOKUP(A467,Feuil2!$A$2:$M$1241,10,FALSE)," ")</f>
        <v xml:space="preserve"> </v>
      </c>
      <c r="L467" s="1"/>
      <c r="M467" s="1"/>
      <c r="N467" s="1"/>
      <c r="O467" s="8" t="str">
        <f>IF(B467=0,VLOOKUP(A467,Feuil2!$A$2:$M$1241,13,FALSE)," ")</f>
        <v xml:space="preserve"> </v>
      </c>
    </row>
    <row r="468" spans="1:19" x14ac:dyDescent="0.3">
      <c r="A468" s="1">
        <v>1809</v>
      </c>
      <c r="B468" s="1">
        <v>0</v>
      </c>
      <c r="C468" s="1" t="str">
        <f>IF(B468=0,VLOOKUP(A468,Feuil2!$A$2:$M$1241,2,FALSE)," ")</f>
        <v>JUILI</v>
      </c>
      <c r="D468" s="1" t="str">
        <f>IF(B468=0,VLOOKUP(A468,Feuil2!$A$2:$M$1241,3,FALSE)," ")</f>
        <v>AFIF</v>
      </c>
      <c r="E468" s="5">
        <f>IF(B468=0,VLOOKUP(A468,Feuil2!$A$2:$M$1241,6,FALSE)," ")</f>
        <v>25441</v>
      </c>
      <c r="F468" s="1" t="str">
        <f>IF(B468=0,VLOOKUP(A468,Feuil2!$A$2:$M$1241,12,FALSE)," ")</f>
        <v>H</v>
      </c>
      <c r="G468" s="1" t="str">
        <f>IF(B468=0,VLOOKUP(A468,Feuil2!$A$2:$M$1241,11,FALSE)," ")</f>
        <v>M</v>
      </c>
      <c r="H468" s="1" t="s">
        <v>16</v>
      </c>
      <c r="I468" s="6">
        <f>IF(B468=0,VLOOKUP(A468,Feuil2!$A$2:$M$1241,7,FALSE)," ")</f>
        <v>4178138</v>
      </c>
      <c r="J468" s="1" t="str">
        <f>IF(B468=0,VLOOKUP(A468,Feuil2!$A$2:$M$1241,9,FALSE)," ")</f>
        <v>1, Rue de la libertÃ©</v>
      </c>
      <c r="K468" s="1" t="str">
        <f>IF(B468=0,VLOOKUP(A468,Feuil2!$A$2:$M$1241,10,FALSE)," ")</f>
        <v>Ksour Essef</v>
      </c>
      <c r="L468" s="1"/>
      <c r="M468" s="1">
        <v>98793642</v>
      </c>
      <c r="N468" s="1"/>
      <c r="O468" s="8" t="str">
        <f>IF(B468=0,VLOOKUP(A468,Feuil2!$A$2:$M$1241,13,FALSE)," ")</f>
        <v>04204067404001607537</v>
      </c>
    </row>
    <row r="469" spans="1:19" x14ac:dyDescent="0.3">
      <c r="A469" s="1">
        <v>1809</v>
      </c>
      <c r="B469" s="1">
        <v>1</v>
      </c>
      <c r="C469" s="1" t="s">
        <v>2545</v>
      </c>
      <c r="D469" s="1" t="s">
        <v>1787</v>
      </c>
      <c r="E469" s="5">
        <v>28345</v>
      </c>
      <c r="F469" s="1" t="s">
        <v>17</v>
      </c>
      <c r="G469" s="1" t="s">
        <v>15</v>
      </c>
      <c r="H469" s="1" t="s">
        <v>16</v>
      </c>
      <c r="I469" s="6" t="str">
        <f>IF(B469=0,VLOOKUP(A469,Feuil2!$A$2:$M$1241,7,FALSE)," ")</f>
        <v xml:space="preserve"> </v>
      </c>
      <c r="J469" s="1" t="str">
        <f>IF(B469=0,VLOOKUP(A469,Feuil2!$A$2:$M$1241,9,FALSE)," ")</f>
        <v xml:space="preserve"> </v>
      </c>
      <c r="K469" s="1" t="str">
        <f>IF(B469=0,VLOOKUP(A469,Feuil2!$A$2:$M$1241,10,FALSE)," ")</f>
        <v xml:space="preserve"> </v>
      </c>
      <c r="L469" s="1"/>
      <c r="M469" s="1"/>
      <c r="N469" s="1"/>
      <c r="O469" s="8" t="str">
        <f>IF(B469=0,VLOOKUP(A469,Feuil2!$A$2:$M$1241,13,FALSE)," ")</f>
        <v xml:space="preserve"> </v>
      </c>
    </row>
    <row r="470" spans="1:19" x14ac:dyDescent="0.3">
      <c r="A470" s="1">
        <v>1809</v>
      </c>
      <c r="B470" s="1">
        <v>2</v>
      </c>
      <c r="C470" s="1" t="s">
        <v>460</v>
      </c>
      <c r="D470" s="1" t="s">
        <v>2546</v>
      </c>
      <c r="E470" s="5">
        <v>38026</v>
      </c>
      <c r="F470" s="1" t="s">
        <v>17</v>
      </c>
      <c r="G470" s="1" t="str">
        <f>IF(B470=0,VLOOKUP(A470,Feuil2!$A$2:$M$1241,11,FALSE)," ")</f>
        <v xml:space="preserve"> </v>
      </c>
      <c r="H470" s="1" t="s">
        <v>16</v>
      </c>
      <c r="I470" s="6" t="str">
        <f>IF(B470=0,VLOOKUP(A470,Feuil2!$A$2:$M$1241,7,FALSE)," ")</f>
        <v xml:space="preserve"> </v>
      </c>
      <c r="J470" s="1" t="str">
        <f>IF(B470=0,VLOOKUP(A470,Feuil2!$A$2:$M$1241,9,FALSE)," ")</f>
        <v xml:space="preserve"> </v>
      </c>
      <c r="K470" s="1" t="str">
        <f>IF(B470=0,VLOOKUP(A470,Feuil2!$A$2:$M$1241,10,FALSE)," ")</f>
        <v xml:space="preserve"> </v>
      </c>
      <c r="L470" s="1"/>
      <c r="M470" s="1"/>
      <c r="N470" s="1"/>
      <c r="O470" s="8" t="str">
        <f>IF(B470=0,VLOOKUP(A470,Feuil2!$A$2:$M$1241,13,FALSE)," ")</f>
        <v xml:space="preserve"> </v>
      </c>
    </row>
    <row r="471" spans="1:19" x14ac:dyDescent="0.3">
      <c r="A471" s="1">
        <v>1809</v>
      </c>
      <c r="B471" s="1">
        <v>3</v>
      </c>
      <c r="C471" s="1" t="s">
        <v>460</v>
      </c>
      <c r="D471" s="1" t="s">
        <v>149</v>
      </c>
      <c r="E471" s="5">
        <v>38564</v>
      </c>
      <c r="F471" s="1" t="s">
        <v>506</v>
      </c>
      <c r="G471" s="1" t="str">
        <f>IF(B471=0,VLOOKUP(A471,Feuil2!$A$2:$M$1241,11,FALSE)," ")</f>
        <v xml:space="preserve"> </v>
      </c>
      <c r="H471" s="1" t="s">
        <v>16</v>
      </c>
      <c r="I471" s="6" t="str">
        <f>IF(B471=0,VLOOKUP(A471,Feuil2!$A$2:$M$1241,7,FALSE)," ")</f>
        <v xml:space="preserve"> </v>
      </c>
      <c r="J471" s="1" t="str">
        <f>IF(B471=0,VLOOKUP(A471,Feuil2!$A$2:$M$1241,9,FALSE)," ")</f>
        <v xml:space="preserve"> </v>
      </c>
      <c r="K471" s="1" t="str">
        <f>IF(B471=0,VLOOKUP(A471,Feuil2!$A$2:$M$1241,10,FALSE)," ")</f>
        <v xml:space="preserve"> </v>
      </c>
      <c r="L471" s="1"/>
      <c r="M471" s="1"/>
      <c r="N471" s="1"/>
      <c r="O471" s="8" t="str">
        <f>IF(B471=0,VLOOKUP(A471,Feuil2!$A$2:$M$1241,13,FALSE)," ")</f>
        <v xml:space="preserve"> </v>
      </c>
    </row>
    <row r="472" spans="1:19" x14ac:dyDescent="0.3">
      <c r="A472" s="1">
        <v>1809</v>
      </c>
      <c r="B472" s="1">
        <v>4</v>
      </c>
      <c r="C472" s="1" t="s">
        <v>460</v>
      </c>
      <c r="D472" s="1" t="s">
        <v>61</v>
      </c>
      <c r="E472" s="5">
        <v>40170</v>
      </c>
      <c r="F472" s="1" t="s">
        <v>506</v>
      </c>
      <c r="G472" s="1" t="str">
        <f>IF(B472=0,VLOOKUP(A472,Feuil2!$A$2:$M$1241,11,FALSE)," ")</f>
        <v xml:space="preserve"> </v>
      </c>
      <c r="H472" s="1" t="s">
        <v>16</v>
      </c>
      <c r="I472" s="6" t="str">
        <f>IF(B472=0,VLOOKUP(A472,Feuil2!$A$2:$M$1241,7,FALSE)," ")</f>
        <v xml:space="preserve"> </v>
      </c>
      <c r="J472" s="1" t="str">
        <f>IF(B472=0,VLOOKUP(A472,Feuil2!$A$2:$M$1241,9,FALSE)," ")</f>
        <v xml:space="preserve"> </v>
      </c>
      <c r="K472" s="1" t="str">
        <f>IF(B472=0,VLOOKUP(A472,Feuil2!$A$2:$M$1241,10,FALSE)," ")</f>
        <v xml:space="preserve"> </v>
      </c>
      <c r="L472" s="1"/>
      <c r="M472" s="1"/>
      <c r="N472" s="1"/>
      <c r="O472" s="8" t="str">
        <f>IF(B472=0,VLOOKUP(A472,Feuil2!$A$2:$M$1241,13,FALSE)," ")</f>
        <v xml:space="preserve"> </v>
      </c>
    </row>
    <row r="473" spans="1:19" x14ac:dyDescent="0.3">
      <c r="A473" s="1">
        <v>1814</v>
      </c>
      <c r="B473" s="1">
        <v>0</v>
      </c>
      <c r="C473" s="1" t="str">
        <f>IF(B473=0,VLOOKUP(A473,Feuil2!$A$2:$M$1241,2,FALSE)," ")</f>
        <v>BEL ARBIA</v>
      </c>
      <c r="D473" s="1" t="str">
        <f>IF(B473=0,VLOOKUP(A473,Feuil2!$A$2:$M$1241,3,FALSE)," ")</f>
        <v>SLAH</v>
      </c>
      <c r="E473" s="5">
        <f>IF(B473=0,VLOOKUP(A473,Feuil2!$A$2:$M$1241,6,FALSE)," ")</f>
        <v>24110</v>
      </c>
      <c r="F473" s="1" t="str">
        <f>IF(B473=0,VLOOKUP(A473,Feuil2!$A$2:$M$1241,12,FALSE)," ")</f>
        <v>H</v>
      </c>
      <c r="G473" s="1" t="str">
        <f>IF(B473=0,VLOOKUP(A473,Feuil2!$A$2:$M$1241,11,FALSE)," ")</f>
        <v>M</v>
      </c>
      <c r="H473" s="1" t="s">
        <v>16</v>
      </c>
      <c r="I473" s="6">
        <f>IF(B473=0,VLOOKUP(A473,Feuil2!$A$2:$M$1241,7,FALSE)," ")</f>
        <v>2968827</v>
      </c>
      <c r="J473" s="1" t="str">
        <f>IF(B473=0,VLOOKUP(A473,Feuil2!$A$2:$M$1241,9,FALSE)," ")</f>
        <v>Route de Sfax</v>
      </c>
      <c r="K473" s="1" t="str">
        <f>IF(B473=0,VLOOKUP(A473,Feuil2!$A$2:$M$1241,10,FALSE)," ")</f>
        <v>Msaken 4070</v>
      </c>
      <c r="L473" s="1">
        <v>4070</v>
      </c>
      <c r="M473" s="1">
        <v>98981859</v>
      </c>
      <c r="N473" s="1"/>
      <c r="O473" s="8" t="str">
        <f>IF(B473=0,VLOOKUP(A473,Feuil2!$A$2:$M$1241,13,FALSE)," ")</f>
        <v>03508056010100393080</v>
      </c>
    </row>
    <row r="474" spans="1:19" x14ac:dyDescent="0.3">
      <c r="A474" s="1">
        <v>1814</v>
      </c>
      <c r="B474" s="1">
        <v>1</v>
      </c>
      <c r="C474" s="1" t="s">
        <v>2394</v>
      </c>
      <c r="D474" s="1" t="s">
        <v>1049</v>
      </c>
      <c r="E474" s="5">
        <v>26816</v>
      </c>
      <c r="F474" s="1" t="s">
        <v>17</v>
      </c>
      <c r="G474" s="1" t="s">
        <v>15</v>
      </c>
      <c r="H474" s="1" t="s">
        <v>16</v>
      </c>
      <c r="I474" s="6" t="str">
        <f>IF(B474=0,VLOOKUP(A474,Feuil2!$A$2:$M$1241,7,FALSE)," ")</f>
        <v xml:space="preserve"> </v>
      </c>
      <c r="J474" s="1" t="str">
        <f>IF(B474=0,VLOOKUP(A474,Feuil2!$A$2:$M$1241,9,FALSE)," ")</f>
        <v xml:space="preserve"> </v>
      </c>
      <c r="K474" s="1" t="str">
        <f>IF(B474=0,VLOOKUP(A474,Feuil2!$A$2:$M$1241,10,FALSE)," ")</f>
        <v xml:space="preserve"> </v>
      </c>
      <c r="L474" s="1"/>
      <c r="M474" s="1"/>
      <c r="N474" s="1"/>
      <c r="O474" s="8" t="str">
        <f>IF(B474=0,VLOOKUP(A474,Feuil2!$A$2:$M$1241,13,FALSE)," ")</f>
        <v xml:space="preserve"> </v>
      </c>
    </row>
    <row r="475" spans="1:19" x14ac:dyDescent="0.3">
      <c r="A475" s="1">
        <v>1814</v>
      </c>
      <c r="B475" s="1">
        <v>2</v>
      </c>
      <c r="C475" s="1" t="s">
        <v>1651</v>
      </c>
      <c r="D475" s="1" t="s">
        <v>2395</v>
      </c>
      <c r="E475" s="5">
        <v>35446</v>
      </c>
      <c r="F475" s="1" t="s">
        <v>506</v>
      </c>
      <c r="G475" s="1" t="str">
        <f>IF(B475=0,VLOOKUP(A475,Feuil2!$A$2:$M$1241,11,FALSE)," ")</f>
        <v xml:space="preserve"> </v>
      </c>
      <c r="H475" s="1" t="s">
        <v>16</v>
      </c>
      <c r="I475" s="6" t="str">
        <f>IF(B475=0,VLOOKUP(A475,Feuil2!$A$2:$M$1241,7,FALSE)," ")</f>
        <v xml:space="preserve"> </v>
      </c>
      <c r="J475" s="1" t="str">
        <f>IF(B475=0,VLOOKUP(A475,Feuil2!$A$2:$M$1241,9,FALSE)," ")</f>
        <v xml:space="preserve"> </v>
      </c>
      <c r="K475" s="1" t="str">
        <f>IF(B475=0,VLOOKUP(A475,Feuil2!$A$2:$M$1241,10,FALSE)," ")</f>
        <v xml:space="preserve"> </v>
      </c>
      <c r="L475" s="1"/>
      <c r="M475" s="1"/>
      <c r="N475" s="1"/>
      <c r="O475" s="8" t="str">
        <f>IF(B475=0,VLOOKUP(A475,Feuil2!$A$2:$M$1241,13,FALSE)," ")</f>
        <v xml:space="preserve"> </v>
      </c>
    </row>
    <row r="476" spans="1:19" x14ac:dyDescent="0.3">
      <c r="A476" s="1">
        <v>1814</v>
      </c>
      <c r="B476" s="1">
        <v>3</v>
      </c>
      <c r="C476" s="1" t="s">
        <v>1651</v>
      </c>
      <c r="D476" s="1" t="s">
        <v>1925</v>
      </c>
      <c r="E476" s="5">
        <v>35446</v>
      </c>
      <c r="F476" s="1" t="s">
        <v>17</v>
      </c>
      <c r="G476" s="1" t="str">
        <f>IF(B476=0,VLOOKUP(A476,Feuil2!$A$2:$M$1241,11,FALSE)," ")</f>
        <v xml:space="preserve"> </v>
      </c>
      <c r="H476" s="1" t="s">
        <v>16</v>
      </c>
      <c r="I476" s="6" t="str">
        <f>IF(B476=0,VLOOKUP(A476,Feuil2!$A$2:$M$1241,7,FALSE)," ")</f>
        <v xml:space="preserve"> </v>
      </c>
      <c r="J476" s="1" t="str">
        <f>IF(B476=0,VLOOKUP(A476,Feuil2!$A$2:$M$1241,9,FALSE)," ")</f>
        <v xml:space="preserve"> </v>
      </c>
      <c r="K476" s="1" t="str">
        <f>IF(B476=0,VLOOKUP(A476,Feuil2!$A$2:$M$1241,10,FALSE)," ")</f>
        <v xml:space="preserve"> </v>
      </c>
      <c r="L476" s="1"/>
      <c r="M476" s="1"/>
      <c r="N476" s="1"/>
      <c r="O476" s="8" t="str">
        <f>IF(B476=0,VLOOKUP(A476,Feuil2!$A$2:$M$1241,13,FALSE)," ")</f>
        <v xml:space="preserve"> </v>
      </c>
    </row>
    <row r="477" spans="1:19" x14ac:dyDescent="0.3">
      <c r="A477" s="1">
        <v>1814</v>
      </c>
      <c r="B477" s="1">
        <v>4</v>
      </c>
      <c r="C477" s="1" t="s">
        <v>1651</v>
      </c>
      <c r="D477" s="1" t="s">
        <v>2362</v>
      </c>
      <c r="E477" s="5">
        <v>36839</v>
      </c>
      <c r="F477" s="1" t="s">
        <v>17</v>
      </c>
      <c r="G477" s="1" t="str">
        <f>IF(B477=0,VLOOKUP(A477,Feuil2!$A$2:$M$1241,11,FALSE)," ")</f>
        <v xml:space="preserve"> </v>
      </c>
      <c r="H477" s="1" t="s">
        <v>16</v>
      </c>
      <c r="I477" s="6" t="str">
        <f>IF(B477=0,VLOOKUP(A477,Feuil2!$A$2:$M$1241,7,FALSE)," ")</f>
        <v xml:space="preserve"> </v>
      </c>
      <c r="J477" s="1" t="str">
        <f>IF(B477=0,VLOOKUP(A477,Feuil2!$A$2:$M$1241,9,FALSE)," ")</f>
        <v xml:space="preserve"> </v>
      </c>
      <c r="K477" s="1" t="str">
        <f>IF(B477=0,VLOOKUP(A477,Feuil2!$A$2:$M$1241,10,FALSE)," ")</f>
        <v xml:space="preserve"> </v>
      </c>
      <c r="L477" s="1"/>
      <c r="M477" s="1"/>
      <c r="N477" s="1"/>
      <c r="O477" s="8" t="str">
        <f>IF(B477=0,VLOOKUP(A477,Feuil2!$A$2:$M$1241,13,FALSE)," ")</f>
        <v xml:space="preserve"> </v>
      </c>
    </row>
    <row r="478" spans="1:19" x14ac:dyDescent="0.3">
      <c r="A478" s="1">
        <v>1814</v>
      </c>
      <c r="B478" s="1">
        <v>5</v>
      </c>
      <c r="C478" s="1" t="s">
        <v>1651</v>
      </c>
      <c r="D478" s="1" t="s">
        <v>2396</v>
      </c>
      <c r="E478" s="5">
        <v>38091</v>
      </c>
      <c r="F478" s="1" t="s">
        <v>17</v>
      </c>
      <c r="G478" s="1" t="str">
        <f>IF(B478=0,VLOOKUP(A478,Feuil2!$A$2:$M$1241,11,FALSE)," ")</f>
        <v xml:space="preserve"> </v>
      </c>
      <c r="H478" s="1" t="s">
        <v>16</v>
      </c>
      <c r="I478" s="6" t="str">
        <f>IF(B478=0,VLOOKUP(A478,Feuil2!$A$2:$M$1241,7,FALSE)," ")</f>
        <v xml:space="preserve"> </v>
      </c>
      <c r="J478" s="1" t="str">
        <f>IF(B478=0,VLOOKUP(A478,Feuil2!$A$2:$M$1241,9,FALSE)," ")</f>
        <v xml:space="preserve"> </v>
      </c>
      <c r="K478" s="1" t="str">
        <f>IF(B478=0,VLOOKUP(A478,Feuil2!$A$2:$M$1241,10,FALSE)," ")</f>
        <v xml:space="preserve"> </v>
      </c>
      <c r="L478" s="1"/>
      <c r="M478" s="1"/>
      <c r="N478" s="1"/>
      <c r="O478" s="8" t="str">
        <f>IF(B478=0,VLOOKUP(A478,Feuil2!$A$2:$M$1241,13,FALSE)," ")</f>
        <v xml:space="preserve"> </v>
      </c>
    </row>
    <row r="479" spans="1:19" x14ac:dyDescent="0.3">
      <c r="A479" s="1">
        <v>1814</v>
      </c>
      <c r="B479" s="1">
        <v>6</v>
      </c>
      <c r="C479" s="1" t="s">
        <v>1651</v>
      </c>
      <c r="D479" s="1" t="s">
        <v>30</v>
      </c>
      <c r="E479" s="5">
        <v>41941</v>
      </c>
      <c r="F479" s="1" t="s">
        <v>506</v>
      </c>
      <c r="G479" s="1" t="str">
        <f>IF(B479=0,VLOOKUP(A479,Feuil2!$A$2:$M$1241,11,FALSE)," ")</f>
        <v xml:space="preserve"> </v>
      </c>
      <c r="H479" s="1" t="s">
        <v>16</v>
      </c>
      <c r="I479" s="6" t="str">
        <f>IF(B479=0,VLOOKUP(A479,Feuil2!$A$2:$M$1241,7,FALSE)," ")</f>
        <v xml:space="preserve"> </v>
      </c>
      <c r="J479" s="1" t="str">
        <f>IF(B479=0,VLOOKUP(A479,Feuil2!$A$2:$M$1241,9,FALSE)," ")</f>
        <v xml:space="preserve"> </v>
      </c>
      <c r="K479" s="1" t="str">
        <f>IF(B479=0,VLOOKUP(A479,Feuil2!$A$2:$M$1241,10,FALSE)," ")</f>
        <v xml:space="preserve"> </v>
      </c>
      <c r="L479" s="1"/>
      <c r="M479" s="1"/>
      <c r="N479" s="1"/>
      <c r="O479" s="8" t="str">
        <f>IF(B479=0,VLOOKUP(A479,Feuil2!$A$2:$M$1241,13,FALSE)," ")</f>
        <v xml:space="preserve"> </v>
      </c>
    </row>
    <row r="480" spans="1:19" x14ac:dyDescent="0.3">
      <c r="A480" s="1">
        <v>1819</v>
      </c>
      <c r="B480" s="1">
        <v>0</v>
      </c>
      <c r="C480" s="1" t="str">
        <f>IF(B480=0,VLOOKUP(A480,Feuil2!$A$2:$M$1241,2,FALSE)," ")</f>
        <v>SASSI</v>
      </c>
      <c r="D480" s="1" t="str">
        <f>IF(B480=0,VLOOKUP(A480,Feuil2!$A$2:$M$1241,3,FALSE)," ")</f>
        <v>MOHAMED WALID</v>
      </c>
      <c r="E480" s="5">
        <f>IF(B480=0,VLOOKUP(A480,Feuil2!$A$2:$M$1241,6,FALSE)," ")</f>
        <v>29542</v>
      </c>
      <c r="F480" s="1" t="str">
        <f>IF(B480=0,VLOOKUP(A480,Feuil2!$A$2:$M$1241,12,FALSE)," ")</f>
        <v>H</v>
      </c>
      <c r="G480" s="1" t="str">
        <f>IF(B480=0,VLOOKUP(A480,Feuil2!$A$2:$M$1241,11,FALSE)," ")</f>
        <v>M</v>
      </c>
      <c r="H480" s="1" t="s">
        <v>16</v>
      </c>
      <c r="I480" s="6">
        <f>IF(B480=0,VLOOKUP(A480,Feuil2!$A$2:$M$1241,7,FALSE)," ")</f>
        <v>5591427</v>
      </c>
      <c r="J480" s="1" t="str">
        <f>IF(B480=0,VLOOKUP(A480,Feuil2!$A$2:$M$1241,9,FALSE)," ")</f>
        <v>25 Rue Mohamed Ali</v>
      </c>
      <c r="K480" s="1" t="str">
        <f>IF(B480=0,VLOOKUP(A480,Feuil2!$A$2:$M$1241,10,FALSE)," ")</f>
        <v>Msaken 4070</v>
      </c>
      <c r="L480" s="1">
        <v>4070</v>
      </c>
      <c r="M480" s="1">
        <v>29189709</v>
      </c>
      <c r="N480" s="1"/>
      <c r="O480" s="8" t="str">
        <f>IF(B480=0,VLOOKUP(A480,Feuil2!$A$2:$M$1241,13,FALSE)," ")</f>
        <v>24010042257251110167</v>
      </c>
    </row>
    <row r="481" spans="1:16" x14ac:dyDescent="0.3">
      <c r="A481" s="1">
        <v>1819</v>
      </c>
      <c r="B481" s="1">
        <v>1</v>
      </c>
      <c r="C481" s="1" t="s">
        <v>2355</v>
      </c>
      <c r="D481" s="1" t="s">
        <v>439</v>
      </c>
      <c r="E481" s="5">
        <v>31943</v>
      </c>
      <c r="F481" s="1" t="s">
        <v>17</v>
      </c>
      <c r="G481" s="1" t="s">
        <v>2356</v>
      </c>
      <c r="H481" s="1" t="s">
        <v>16</v>
      </c>
      <c r="I481" s="6" t="str">
        <f>IF(B481=0,VLOOKUP(A481,Feuil2!$A$2:$M$1241,7,FALSE)," ")</f>
        <v xml:space="preserve"> </v>
      </c>
      <c r="J481" s="1" t="str">
        <f>IF(B481=0,VLOOKUP(A481,Feuil2!$A$2:$M$1241,9,FALSE)," ")</f>
        <v xml:space="preserve"> </v>
      </c>
      <c r="K481" s="1" t="str">
        <f>IF(B481=0,VLOOKUP(A481,Feuil2!$A$2:$M$1241,10,FALSE)," ")</f>
        <v xml:space="preserve"> </v>
      </c>
      <c r="L481" s="1"/>
      <c r="M481" s="1"/>
      <c r="N481" s="1"/>
      <c r="O481" s="8" t="str">
        <f>IF(B481=0,VLOOKUP(A481,Feuil2!$A$2:$M$1241,13,FALSE)," ")</f>
        <v xml:space="preserve"> </v>
      </c>
      <c r="P481" t="s">
        <v>2805</v>
      </c>
    </row>
    <row r="482" spans="1:16" x14ac:dyDescent="0.3">
      <c r="A482" s="1">
        <v>1819</v>
      </c>
      <c r="B482" s="1">
        <v>2</v>
      </c>
      <c r="C482" s="1" t="s">
        <v>104</v>
      </c>
      <c r="D482" s="1" t="s">
        <v>2357</v>
      </c>
      <c r="E482" s="5">
        <v>40298</v>
      </c>
      <c r="F482" s="1" t="s">
        <v>17</v>
      </c>
      <c r="G482" s="1" t="str">
        <f>IF(B482=0,VLOOKUP(A482,Feuil2!$A$2:$M$1241,11,FALSE)," ")</f>
        <v xml:space="preserve"> </v>
      </c>
      <c r="H482" s="1" t="s">
        <v>16</v>
      </c>
      <c r="I482" s="6" t="str">
        <f>IF(B482=0,VLOOKUP(A482,Feuil2!$A$2:$M$1241,7,FALSE)," ")</f>
        <v xml:space="preserve"> </v>
      </c>
      <c r="J482" s="1" t="str">
        <f>IF(B482=0,VLOOKUP(A482,Feuil2!$A$2:$M$1241,9,FALSE)," ")</f>
        <v xml:space="preserve"> </v>
      </c>
      <c r="K482" s="1" t="str">
        <f>IF(B482=0,VLOOKUP(A482,Feuil2!$A$2:$M$1241,10,FALSE)," ")</f>
        <v xml:space="preserve"> </v>
      </c>
      <c r="L482" s="1"/>
      <c r="M482" s="1"/>
      <c r="N482" s="1"/>
      <c r="O482" s="8" t="str">
        <f>IF(B482=0,VLOOKUP(A482,Feuil2!$A$2:$M$1241,13,FALSE)," ")</f>
        <v xml:space="preserve"> </v>
      </c>
    </row>
    <row r="483" spans="1:16" x14ac:dyDescent="0.3">
      <c r="A483" s="1">
        <v>1819</v>
      </c>
      <c r="B483" s="1">
        <v>3</v>
      </c>
      <c r="C483" s="1" t="s">
        <v>104</v>
      </c>
      <c r="D483" s="1" t="s">
        <v>2332</v>
      </c>
      <c r="E483" s="5">
        <v>41285</v>
      </c>
      <c r="F483" s="1" t="s">
        <v>17</v>
      </c>
      <c r="G483" s="1" t="str">
        <f>IF(B483=0,VLOOKUP(A483,Feuil2!$A$2:$M$1241,11,FALSE)," ")</f>
        <v xml:space="preserve"> </v>
      </c>
      <c r="H483" s="1" t="s">
        <v>16</v>
      </c>
      <c r="I483" s="6" t="str">
        <f>IF(B483=0,VLOOKUP(A483,Feuil2!$A$2:$M$1241,7,FALSE)," ")</f>
        <v xml:space="preserve"> </v>
      </c>
      <c r="J483" s="1" t="str">
        <f>IF(B483=0,VLOOKUP(A483,Feuil2!$A$2:$M$1241,9,FALSE)," ")</f>
        <v xml:space="preserve"> </v>
      </c>
      <c r="K483" s="1" t="str">
        <f>IF(B483=0,VLOOKUP(A483,Feuil2!$A$2:$M$1241,10,FALSE)," ")</f>
        <v xml:space="preserve"> </v>
      </c>
      <c r="L483" s="1"/>
      <c r="M483" s="1"/>
      <c r="N483" s="1"/>
      <c r="O483" s="8" t="str">
        <f>IF(B483=0,VLOOKUP(A483,Feuil2!$A$2:$M$1241,13,FALSE)," ")</f>
        <v xml:space="preserve"> </v>
      </c>
    </row>
    <row r="484" spans="1:16" x14ac:dyDescent="0.3">
      <c r="A484" s="1">
        <v>1819</v>
      </c>
      <c r="B484" s="1">
        <v>4</v>
      </c>
      <c r="C484" s="1" t="s">
        <v>104</v>
      </c>
      <c r="D484" s="1" t="s">
        <v>2338</v>
      </c>
      <c r="E484" s="5">
        <v>42717</v>
      </c>
      <c r="F484" s="1" t="s">
        <v>17</v>
      </c>
      <c r="G484" s="1" t="str">
        <f>IF(B484=0,VLOOKUP(A484,Feuil2!$A$2:$M$1241,11,FALSE)," ")</f>
        <v xml:space="preserve"> </v>
      </c>
      <c r="H484" s="1" t="s">
        <v>16</v>
      </c>
      <c r="I484" s="6" t="str">
        <f>IF(B484=0,VLOOKUP(A484,Feuil2!$A$2:$M$1241,7,FALSE)," ")</f>
        <v xml:space="preserve"> </v>
      </c>
      <c r="J484" s="1" t="str">
        <f>IF(B484=0,VLOOKUP(A484,Feuil2!$A$2:$M$1241,9,FALSE)," ")</f>
        <v xml:space="preserve"> </v>
      </c>
      <c r="K484" s="1" t="str">
        <f>IF(B484=0,VLOOKUP(A484,Feuil2!$A$2:$M$1241,10,FALSE)," ")</f>
        <v xml:space="preserve"> </v>
      </c>
      <c r="L484" s="1"/>
      <c r="M484" s="1"/>
      <c r="N484" s="1"/>
      <c r="O484" s="8" t="str">
        <f>IF(B484=0,VLOOKUP(A484,Feuil2!$A$2:$M$1241,13,FALSE)," ")</f>
        <v xml:space="preserve"> </v>
      </c>
    </row>
    <row r="485" spans="1:16" x14ac:dyDescent="0.3">
      <c r="A485" s="1">
        <v>1820</v>
      </c>
      <c r="B485" s="1">
        <v>0</v>
      </c>
      <c r="C485" s="1" t="str">
        <f>IF(B485=0,VLOOKUP(A485,Feuil2!$A$2:$M$1241,2,FALSE)," ")</f>
        <v>MKHININI</v>
      </c>
      <c r="D485" s="1" t="str">
        <f>IF(B485=0,VLOOKUP(A485,Feuil2!$A$2:$M$1241,3,FALSE)," ")</f>
        <v>MOHAMED RIMEH</v>
      </c>
      <c r="E485" s="5">
        <f>IF(B485=0,VLOOKUP(A485,Feuil2!$A$2:$M$1241,6,FALSE)," ")</f>
        <v>28052</v>
      </c>
      <c r="F485" s="1" t="str">
        <f>IF(B485=0,VLOOKUP(A485,Feuil2!$A$2:$M$1241,12,FALSE)," ")</f>
        <v>H</v>
      </c>
      <c r="G485" s="1" t="str">
        <f>IF(B485=0,VLOOKUP(A485,Feuil2!$A$2:$M$1241,11,FALSE)," ")</f>
        <v>M</v>
      </c>
      <c r="H485" s="1" t="s">
        <v>16</v>
      </c>
      <c r="I485" s="6">
        <f>IF(B485=0,VLOOKUP(A485,Feuil2!$A$2:$M$1241,7,FALSE)," ")</f>
        <v>5551152</v>
      </c>
      <c r="J485" s="1" t="str">
        <f>IF(B485=0,VLOOKUP(A485,Feuil2!$A$2:$M$1241,9,FALSE)," ")</f>
        <v>10 Rue Ibn Hambel</v>
      </c>
      <c r="K485" s="1" t="str">
        <f>IF(B485=0,VLOOKUP(A485,Feuil2!$A$2:$M$1241,10,FALSE)," ")</f>
        <v>Msaken 4070</v>
      </c>
      <c r="L485" s="1">
        <v>4070</v>
      </c>
      <c r="M485" s="1">
        <v>98581623</v>
      </c>
      <c r="N485" s="1"/>
      <c r="O485" s="8" t="str">
        <f>IF(B485=0,VLOOKUP(A485,Feuil2!$A$2:$M$1241,13,FALSE)," ")</f>
        <v>04204067002852614330</v>
      </c>
    </row>
    <row r="486" spans="1:16" x14ac:dyDescent="0.3">
      <c r="A486" s="1">
        <v>1820</v>
      </c>
      <c r="B486" s="1">
        <v>1</v>
      </c>
      <c r="C486" s="1" t="s">
        <v>660</v>
      </c>
      <c r="D486" s="1" t="s">
        <v>1094</v>
      </c>
      <c r="E486" s="5">
        <v>27168</v>
      </c>
      <c r="F486" s="1" t="s">
        <v>17</v>
      </c>
      <c r="G486" s="1" t="s">
        <v>15</v>
      </c>
      <c r="H486" s="1" t="s">
        <v>16</v>
      </c>
      <c r="I486" s="6" t="str">
        <f>IF(B486=0,VLOOKUP(A486,Feuil2!$A$2:$M$1241,7,FALSE)," ")</f>
        <v xml:space="preserve"> </v>
      </c>
      <c r="J486" s="1" t="str">
        <f>IF(B486=0,VLOOKUP(A486,Feuil2!$A$2:$M$1241,9,FALSE)," ")</f>
        <v xml:space="preserve"> </v>
      </c>
      <c r="K486" s="1" t="str">
        <f>IF(B486=0,VLOOKUP(A486,Feuil2!$A$2:$M$1241,10,FALSE)," ")</f>
        <v xml:space="preserve"> </v>
      </c>
      <c r="L486" s="1"/>
      <c r="M486" s="1"/>
      <c r="N486" s="1"/>
      <c r="O486" s="8" t="str">
        <f>IF(B486=0,VLOOKUP(A486,Feuil2!$A$2:$M$1241,13,FALSE)," ")</f>
        <v xml:space="preserve"> </v>
      </c>
    </row>
    <row r="487" spans="1:16" x14ac:dyDescent="0.3">
      <c r="A487" s="1">
        <v>1820</v>
      </c>
      <c r="B487" s="1">
        <v>2</v>
      </c>
      <c r="C487" s="1" t="s">
        <v>182</v>
      </c>
      <c r="D487" s="1" t="s">
        <v>2507</v>
      </c>
      <c r="E487" s="5">
        <v>37846</v>
      </c>
      <c r="F487" s="1" t="s">
        <v>17</v>
      </c>
      <c r="G487" s="1" t="str">
        <f>IF(B487=0,VLOOKUP(A487,Feuil2!$A$2:$M$1241,11,FALSE)," ")</f>
        <v xml:space="preserve"> </v>
      </c>
      <c r="H487" s="1" t="s">
        <v>16</v>
      </c>
      <c r="I487" s="6" t="str">
        <f>IF(B487=0,VLOOKUP(A487,Feuil2!$A$2:$M$1241,7,FALSE)," ")</f>
        <v xml:space="preserve"> </v>
      </c>
      <c r="J487" s="1" t="str">
        <f>IF(B487=0,VLOOKUP(A487,Feuil2!$A$2:$M$1241,9,FALSE)," ")</f>
        <v xml:space="preserve"> </v>
      </c>
      <c r="K487" s="1" t="str">
        <f>IF(B487=0,VLOOKUP(A487,Feuil2!$A$2:$M$1241,10,FALSE)," ")</f>
        <v xml:space="preserve"> </v>
      </c>
      <c r="L487" s="1"/>
      <c r="M487" s="1"/>
      <c r="N487" s="1"/>
      <c r="O487" s="8" t="str">
        <f>IF(B487=0,VLOOKUP(A487,Feuil2!$A$2:$M$1241,13,FALSE)," ")</f>
        <v xml:space="preserve"> </v>
      </c>
    </row>
    <row r="488" spans="1:16" x14ac:dyDescent="0.3">
      <c r="A488" s="1">
        <v>1820</v>
      </c>
      <c r="B488" s="1">
        <v>3</v>
      </c>
      <c r="C488" s="1" t="s">
        <v>182</v>
      </c>
      <c r="D488" s="1" t="s">
        <v>2508</v>
      </c>
      <c r="E488" s="5">
        <v>38315</v>
      </c>
      <c r="F488" s="1" t="s">
        <v>506</v>
      </c>
      <c r="G488" s="1" t="str">
        <f>IF(B488=0,VLOOKUP(A488,Feuil2!$A$2:$M$1241,11,FALSE)," ")</f>
        <v xml:space="preserve"> </v>
      </c>
      <c r="H488" s="1" t="s">
        <v>16</v>
      </c>
      <c r="I488" s="6" t="str">
        <f>IF(B488=0,VLOOKUP(A488,Feuil2!$A$2:$M$1241,7,FALSE)," ")</f>
        <v xml:space="preserve"> </v>
      </c>
      <c r="J488" s="1" t="str">
        <f>IF(B488=0,VLOOKUP(A488,Feuil2!$A$2:$M$1241,9,FALSE)," ")</f>
        <v xml:space="preserve"> </v>
      </c>
      <c r="K488" s="1" t="str">
        <f>IF(B488=0,VLOOKUP(A488,Feuil2!$A$2:$M$1241,10,FALSE)," ")</f>
        <v xml:space="preserve"> </v>
      </c>
      <c r="L488" s="1"/>
      <c r="M488" s="1"/>
      <c r="N488" s="1"/>
      <c r="O488" s="8" t="str">
        <f>IF(B488=0,VLOOKUP(A488,Feuil2!$A$2:$M$1241,13,FALSE)," ")</f>
        <v xml:space="preserve"> </v>
      </c>
    </row>
    <row r="489" spans="1:16" x14ac:dyDescent="0.3">
      <c r="A489" s="1">
        <v>1820</v>
      </c>
      <c r="B489" s="1">
        <v>4</v>
      </c>
      <c r="C489" s="1" t="s">
        <v>182</v>
      </c>
      <c r="D489" s="1" t="s">
        <v>2509</v>
      </c>
      <c r="E489" s="5">
        <v>40156</v>
      </c>
      <c r="F489" s="1" t="s">
        <v>506</v>
      </c>
      <c r="G489" s="1" t="str">
        <f>IF(B489=0,VLOOKUP(A489,Feuil2!$A$2:$M$1241,11,FALSE)," ")</f>
        <v xml:space="preserve"> </v>
      </c>
      <c r="H489" s="1" t="s">
        <v>16</v>
      </c>
      <c r="I489" s="6" t="str">
        <f>IF(B489=0,VLOOKUP(A489,Feuil2!$A$2:$M$1241,7,FALSE)," ")</f>
        <v xml:space="preserve"> </v>
      </c>
      <c r="J489" s="1" t="str">
        <f>IF(B489=0,VLOOKUP(A489,Feuil2!$A$2:$M$1241,9,FALSE)," ")</f>
        <v xml:space="preserve"> </v>
      </c>
      <c r="K489" s="1" t="str">
        <f>IF(B489=0,VLOOKUP(A489,Feuil2!$A$2:$M$1241,10,FALSE)," ")</f>
        <v xml:space="preserve"> </v>
      </c>
      <c r="L489" s="1"/>
      <c r="M489" s="1"/>
      <c r="N489" s="1"/>
      <c r="O489" s="8" t="str">
        <f>IF(B489=0,VLOOKUP(A489,Feuil2!$A$2:$M$1241,13,FALSE)," ")</f>
        <v xml:space="preserve"> </v>
      </c>
    </row>
    <row r="490" spans="1:16" x14ac:dyDescent="0.3">
      <c r="A490" s="1">
        <v>1822</v>
      </c>
      <c r="B490" s="1">
        <v>0</v>
      </c>
      <c r="C490" s="1" t="str">
        <f>IF(B490=0,VLOOKUP(A490,Feuil2!$A$2:$M$1241,2,FALSE)," ")</f>
        <v>BOUHLEL</v>
      </c>
      <c r="D490" s="1" t="str">
        <f>IF(B490=0,VLOOKUP(A490,Feuil2!$A$2:$M$1241,3,FALSE)," ")</f>
        <v>MEJDI</v>
      </c>
      <c r="E490" s="5">
        <f>IF(B490=0,VLOOKUP(A490,Feuil2!$A$2:$M$1241,6,FALSE)," ")</f>
        <v>30101</v>
      </c>
      <c r="F490" s="1" t="str">
        <f>IF(B490=0,VLOOKUP(A490,Feuil2!$A$2:$M$1241,12,FALSE)," ")</f>
        <v>H</v>
      </c>
      <c r="G490" s="1" t="str">
        <f>IF(B490=0,VLOOKUP(A490,Feuil2!$A$2:$M$1241,11,FALSE)," ")</f>
        <v>M</v>
      </c>
      <c r="H490" s="1" t="s">
        <v>16</v>
      </c>
      <c r="I490" s="6">
        <f>IF(B490=0,VLOOKUP(A490,Feuil2!$A$2:$M$1241,7,FALSE)," ")</f>
        <v>8427008</v>
      </c>
      <c r="J490" s="1" t="str">
        <f>IF(B490=0,VLOOKUP(A490,Feuil2!$A$2:$M$1241,9,FALSE)," ")</f>
        <v>29 Rue Ain Draham</v>
      </c>
      <c r="K490" s="1" t="str">
        <f>IF(B490=0,VLOOKUP(A490,Feuil2!$A$2:$M$1241,10,FALSE)," ")</f>
        <v>Msaken 4070</v>
      </c>
      <c r="L490" s="1">
        <v>4070</v>
      </c>
      <c r="M490" s="1">
        <v>55972482</v>
      </c>
      <c r="N490" s="1"/>
      <c r="O490" s="10" t="s">
        <v>2479</v>
      </c>
    </row>
    <row r="491" spans="1:16" x14ac:dyDescent="0.3">
      <c r="A491" s="1">
        <v>1822</v>
      </c>
      <c r="B491" s="1">
        <v>1</v>
      </c>
      <c r="C491" s="1" t="s">
        <v>104</v>
      </c>
      <c r="D491" s="1" t="s">
        <v>2478</v>
      </c>
      <c r="E491" s="5">
        <v>29408</v>
      </c>
      <c r="F491" s="1" t="s">
        <v>17</v>
      </c>
      <c r="G491" s="1" t="s">
        <v>15</v>
      </c>
      <c r="H491" s="1" t="s">
        <v>16</v>
      </c>
      <c r="I491" s="6" t="str">
        <f>IF(B491=0,VLOOKUP(A491,Feuil2!$A$2:$M$1241,7,FALSE)," ")</f>
        <v xml:space="preserve"> </v>
      </c>
      <c r="J491" s="1" t="str">
        <f>IF(B491=0,VLOOKUP(A491,Feuil2!$A$2:$M$1241,9,FALSE)," ")</f>
        <v xml:space="preserve"> </v>
      </c>
      <c r="K491" s="1" t="str">
        <f>IF(B491=0,VLOOKUP(A491,Feuil2!$A$2:$M$1241,10,FALSE)," ")</f>
        <v xml:space="preserve"> </v>
      </c>
      <c r="L491" s="1"/>
      <c r="M491" s="1"/>
      <c r="N491" s="1"/>
      <c r="O491" s="8" t="str">
        <f>IF(B491=0,VLOOKUP(A491,Feuil2!$A$2:$M$1241,13,FALSE)," ")</f>
        <v xml:space="preserve"> </v>
      </c>
    </row>
    <row r="492" spans="1:16" x14ac:dyDescent="0.3">
      <c r="A492" s="1">
        <v>1823</v>
      </c>
      <c r="B492" s="1">
        <v>0</v>
      </c>
      <c r="C492" s="1" t="str">
        <f>IF(B492=0,VLOOKUP(A492,Feuil2!$A$2:$M$1241,2,FALSE)," ")</f>
        <v>ACHOUR</v>
      </c>
      <c r="D492" s="1" t="str">
        <f>IF(B492=0,VLOOKUP(A492,Feuil2!$A$2:$M$1241,3,FALSE)," ")</f>
        <v>RAOUF</v>
      </c>
      <c r="E492" s="5">
        <f>IF(B492=0,VLOOKUP(A492,Feuil2!$A$2:$M$1241,6,FALSE)," ")</f>
        <v>30258</v>
      </c>
      <c r="F492" s="1" t="str">
        <f>IF(B492=0,VLOOKUP(A492,Feuil2!$A$2:$M$1241,12,FALSE)," ")</f>
        <v>H</v>
      </c>
      <c r="G492" s="1" t="s">
        <v>15</v>
      </c>
      <c r="H492" s="1" t="s">
        <v>16</v>
      </c>
      <c r="I492" s="6">
        <f>IF(B492=0,VLOOKUP(A492,Feuil2!$A$2:$M$1241,7,FALSE)," ")</f>
        <v>8451437</v>
      </c>
      <c r="J492" s="1" t="str">
        <f>IF(B492=0,VLOOKUP(A492,Feuil2!$A$2:$M$1241,9,FALSE)," ")</f>
        <v>Rue El Hidaya</v>
      </c>
      <c r="K492" s="1" t="str">
        <f>IF(B492=0,VLOOKUP(A492,Feuil2!$A$2:$M$1241,10,FALSE)," ")</f>
        <v>Msaken 4070</v>
      </c>
      <c r="L492" s="1">
        <v>4070</v>
      </c>
      <c r="M492" s="1">
        <v>46203303</v>
      </c>
      <c r="N492" s="1"/>
      <c r="O492" s="10" t="s">
        <v>2801</v>
      </c>
    </row>
    <row r="493" spans="1:16" x14ac:dyDescent="0.3">
      <c r="A493" s="1">
        <v>1823</v>
      </c>
      <c r="B493" s="1">
        <v>1</v>
      </c>
      <c r="C493" s="1" t="s">
        <v>83</v>
      </c>
      <c r="D493" s="1" t="s">
        <v>1925</v>
      </c>
      <c r="E493" s="5">
        <v>31830</v>
      </c>
      <c r="F493" s="1" t="s">
        <v>17</v>
      </c>
      <c r="G493" s="1" t="s">
        <v>15</v>
      </c>
      <c r="H493" s="1" t="s">
        <v>16</v>
      </c>
      <c r="I493" s="6" t="str">
        <f>IF(B493=0,VLOOKUP(A493,Feuil2!$A$2:$M$1241,7,FALSE)," ")</f>
        <v xml:space="preserve"> </v>
      </c>
      <c r="J493" s="1" t="str">
        <f>IF(B493=0,VLOOKUP(A493,Feuil2!$A$2:$M$1241,9,FALSE)," ")</f>
        <v xml:space="preserve"> </v>
      </c>
      <c r="K493" s="1" t="str">
        <f>IF(B493=0,VLOOKUP(A493,Feuil2!$A$2:$M$1241,10,FALSE)," ")</f>
        <v xml:space="preserve"> </v>
      </c>
      <c r="L493" s="1"/>
      <c r="M493" s="1"/>
      <c r="N493" s="1"/>
      <c r="O493" s="8" t="str">
        <f>IF(B493=0,VLOOKUP(A493,Feuil2!$A$2:$M$1241,13,FALSE)," ")</f>
        <v xml:space="preserve"> </v>
      </c>
    </row>
    <row r="494" spans="1:16" x14ac:dyDescent="0.3">
      <c r="A494" s="1">
        <v>1823</v>
      </c>
      <c r="B494" s="1">
        <v>2</v>
      </c>
      <c r="C494" s="1" t="s">
        <v>264</v>
      </c>
      <c r="D494" s="1" t="s">
        <v>2474</v>
      </c>
      <c r="E494" s="5">
        <v>42550</v>
      </c>
      <c r="F494" s="1" t="s">
        <v>506</v>
      </c>
      <c r="G494" s="1" t="str">
        <f>IF(B494=0,VLOOKUP(A494,Feuil2!$A$2:$M$1241,11,FALSE)," ")</f>
        <v xml:space="preserve"> </v>
      </c>
      <c r="H494" s="1" t="s">
        <v>16</v>
      </c>
      <c r="I494" s="6" t="str">
        <f>IF(B494=0,VLOOKUP(A494,Feuil2!$A$2:$M$1241,7,FALSE)," ")</f>
        <v xml:space="preserve"> </v>
      </c>
      <c r="J494" s="1" t="str">
        <f>IF(B494=0,VLOOKUP(A494,Feuil2!$A$2:$M$1241,9,FALSE)," ")</f>
        <v xml:space="preserve"> </v>
      </c>
      <c r="K494" s="1" t="str">
        <f>IF(B494=0,VLOOKUP(A494,Feuil2!$A$2:$M$1241,10,FALSE)," ")</f>
        <v xml:space="preserve"> </v>
      </c>
      <c r="L494" s="1"/>
      <c r="M494" s="1"/>
      <c r="N494" s="1"/>
      <c r="O494" s="8" t="str">
        <f>IF(B494=0,VLOOKUP(A494,Feuil2!$A$2:$M$1241,13,FALSE)," ")</f>
        <v xml:space="preserve"> </v>
      </c>
    </row>
    <row r="495" spans="1:16" x14ac:dyDescent="0.3">
      <c r="A495" s="1">
        <v>1823</v>
      </c>
      <c r="B495" s="1">
        <v>3</v>
      </c>
      <c r="C495" s="1" t="s">
        <v>264</v>
      </c>
      <c r="D495" s="1" t="s">
        <v>2475</v>
      </c>
      <c r="E495" s="5">
        <v>41494</v>
      </c>
      <c r="F495" s="1" t="s">
        <v>506</v>
      </c>
      <c r="G495" s="1" t="str">
        <f>IF(B495=0,VLOOKUP(A495,Feuil2!$A$2:$M$1241,11,FALSE)," ")</f>
        <v xml:space="preserve"> </v>
      </c>
      <c r="H495" s="1" t="s">
        <v>16</v>
      </c>
      <c r="I495" s="6" t="str">
        <f>IF(B495=0,VLOOKUP(A495,Feuil2!$A$2:$M$1241,7,FALSE)," ")</f>
        <v xml:space="preserve"> </v>
      </c>
      <c r="J495" s="1" t="str">
        <f>IF(B495=0,VLOOKUP(A495,Feuil2!$A$2:$M$1241,9,FALSE)," ")</f>
        <v xml:space="preserve"> </v>
      </c>
      <c r="K495" s="1" t="str">
        <f>IF(B495=0,VLOOKUP(A495,Feuil2!$A$2:$M$1241,10,FALSE)," ")</f>
        <v xml:space="preserve"> </v>
      </c>
      <c r="L495" s="1"/>
      <c r="M495" s="1"/>
      <c r="N495" s="1"/>
      <c r="O495" s="8" t="str">
        <f>IF(B495=0,VLOOKUP(A495,Feuil2!$A$2:$M$1241,13,FALSE)," ")</f>
        <v xml:space="preserve"> </v>
      </c>
    </row>
    <row r="496" spans="1:16" x14ac:dyDescent="0.3">
      <c r="A496" s="1">
        <v>1823</v>
      </c>
      <c r="B496" s="1">
        <v>4</v>
      </c>
      <c r="C496" s="1" t="s">
        <v>264</v>
      </c>
      <c r="D496" s="1" t="s">
        <v>77</v>
      </c>
      <c r="E496" s="5">
        <v>44032</v>
      </c>
      <c r="F496" s="1" t="s">
        <v>506</v>
      </c>
      <c r="G496" s="1" t="str">
        <f>IF(B496=0,VLOOKUP(A496,Feuil2!$A$2:$M$1241,11,FALSE)," ")</f>
        <v xml:space="preserve"> </v>
      </c>
      <c r="H496" s="1" t="s">
        <v>16</v>
      </c>
      <c r="I496" s="6" t="str">
        <f>IF(B496=0,VLOOKUP(A496,Feuil2!$A$2:$M$1241,7,FALSE)," ")</f>
        <v xml:space="preserve"> </v>
      </c>
      <c r="J496" s="1" t="str">
        <f>IF(B496=0,VLOOKUP(A496,Feuil2!$A$2:$M$1241,9,FALSE)," ")</f>
        <v xml:space="preserve"> </v>
      </c>
      <c r="K496" s="1" t="str">
        <f>IF(B496=0,VLOOKUP(A496,Feuil2!$A$2:$M$1241,10,FALSE)," ")</f>
        <v xml:space="preserve"> </v>
      </c>
      <c r="L496" s="1"/>
      <c r="M496" s="1"/>
      <c r="N496" s="1"/>
      <c r="O496" s="8" t="str">
        <f>IF(B496=0,VLOOKUP(A496,Feuil2!$A$2:$M$1241,13,FALSE)," ")</f>
        <v xml:space="preserve"> </v>
      </c>
    </row>
    <row r="497" spans="1:15" x14ac:dyDescent="0.3">
      <c r="A497" s="1">
        <v>1824</v>
      </c>
      <c r="B497" s="1">
        <v>0</v>
      </c>
      <c r="C497" s="1" t="str">
        <f>IF(B497=0,VLOOKUP(A497,Feuil2!$A$2:$M$1241,2,FALSE)," ")</f>
        <v>ESSAFI</v>
      </c>
      <c r="D497" s="1" t="str">
        <f>IF(B497=0,VLOOKUP(A497,Feuil2!$A$2:$M$1241,3,FALSE)," ")</f>
        <v>BECHIR</v>
      </c>
      <c r="E497" s="5">
        <f>IF(B497=0,VLOOKUP(A497,Feuil2!$A$2:$M$1241,6,FALSE)," ")</f>
        <v>25466</v>
      </c>
      <c r="F497" s="1" t="str">
        <f>IF(B497=0,VLOOKUP(A497,Feuil2!$A$2:$M$1241,12,FALSE)," ")</f>
        <v>H</v>
      </c>
      <c r="G497" s="1" t="str">
        <f>IF(B497=0,VLOOKUP(A497,Feuil2!$A$2:$M$1241,11,FALSE)," ")</f>
        <v>M</v>
      </c>
      <c r="H497" s="1" t="s">
        <v>16</v>
      </c>
      <c r="I497" s="6">
        <f>IF(B497=0,VLOOKUP(A497,Feuil2!$A$2:$M$1241,7,FALSE)," ")</f>
        <v>5517142</v>
      </c>
      <c r="J497" s="1" t="str">
        <f>IF(B497=0,VLOOKUP(A497,Feuil2!$A$2:$M$1241,9,FALSE)," ")</f>
        <v>NULL</v>
      </c>
      <c r="K497" s="1" t="str">
        <f>IF(B497=0,VLOOKUP(A497,Feuil2!$A$2:$M$1241,10,FALSE)," ")</f>
        <v>Sidi El HÃ©ni 4025</v>
      </c>
      <c r="L497" s="1"/>
      <c r="M497" s="1">
        <v>95779742</v>
      </c>
      <c r="N497" s="1"/>
      <c r="O497" s="8" t="str">
        <f>IF(B497=0,VLOOKUP(A497,Feuil2!$A$2:$M$1241,13,FALSE)," ")</f>
        <v>14014014100700234890</v>
      </c>
    </row>
    <row r="498" spans="1:15" x14ac:dyDescent="0.3">
      <c r="A498" s="1">
        <v>1824</v>
      </c>
      <c r="B498" s="1">
        <v>1</v>
      </c>
      <c r="C498" s="1" t="s">
        <v>2341</v>
      </c>
      <c r="D498" s="1" t="s">
        <v>1094</v>
      </c>
      <c r="E498" s="5">
        <v>27124</v>
      </c>
      <c r="F498" s="1" t="s">
        <v>17</v>
      </c>
      <c r="G498" s="1" t="s">
        <v>15</v>
      </c>
      <c r="H498" s="1" t="s">
        <v>16</v>
      </c>
      <c r="I498" s="6" t="str">
        <f>IF(B498=0,VLOOKUP(A498,Feuil2!$A$2:$M$1241,7,FALSE)," ")</f>
        <v xml:space="preserve"> </v>
      </c>
      <c r="J498" s="1" t="str">
        <f>IF(B498=0,VLOOKUP(A498,Feuil2!$A$2:$M$1241,9,FALSE)," ")</f>
        <v xml:space="preserve"> </v>
      </c>
      <c r="K498" s="1" t="str">
        <f>IF(B498=0,VLOOKUP(A498,Feuil2!$A$2:$M$1241,10,FALSE)," ")</f>
        <v xml:space="preserve"> </v>
      </c>
      <c r="L498" s="1"/>
      <c r="M498" s="1"/>
      <c r="N498" s="1"/>
      <c r="O498" s="8" t="str">
        <f>IF(B498=0,VLOOKUP(A498,Feuil2!$A$2:$M$1241,13,FALSE)," ")</f>
        <v xml:space="preserve"> </v>
      </c>
    </row>
    <row r="499" spans="1:15" x14ac:dyDescent="0.3">
      <c r="A499" s="1">
        <v>1824</v>
      </c>
      <c r="B499" s="1">
        <v>2</v>
      </c>
      <c r="C499" s="1" t="s">
        <v>97</v>
      </c>
      <c r="D499" s="1" t="s">
        <v>2342</v>
      </c>
      <c r="E499" s="5">
        <v>37070</v>
      </c>
      <c r="F499" s="1" t="s">
        <v>17</v>
      </c>
      <c r="G499" s="1" t="str">
        <f>IF(B499=0,VLOOKUP(A499,Feuil2!$A$2:$M$1241,11,FALSE)," ")</f>
        <v xml:space="preserve"> </v>
      </c>
      <c r="H499" s="1" t="s">
        <v>16</v>
      </c>
      <c r="I499" s="6" t="str">
        <f>IF(B499=0,VLOOKUP(A499,Feuil2!$A$2:$M$1241,7,FALSE)," ")</f>
        <v xml:space="preserve"> </v>
      </c>
      <c r="J499" s="1" t="str">
        <f>IF(B499=0,VLOOKUP(A499,Feuil2!$A$2:$M$1241,9,FALSE)," ")</f>
        <v xml:space="preserve"> </v>
      </c>
      <c r="K499" s="1" t="str">
        <f>IF(B499=0,VLOOKUP(A499,Feuil2!$A$2:$M$1241,10,FALSE)," ")</f>
        <v xml:space="preserve"> </v>
      </c>
      <c r="L499" s="1"/>
      <c r="M499" s="1"/>
      <c r="N499" s="1"/>
      <c r="O499" s="8" t="str">
        <f>IF(B499=0,VLOOKUP(A499,Feuil2!$A$2:$M$1241,13,FALSE)," ")</f>
        <v xml:space="preserve"> </v>
      </c>
    </row>
    <row r="500" spans="1:15" x14ac:dyDescent="0.3">
      <c r="A500" s="1">
        <v>1824</v>
      </c>
      <c r="B500" s="1">
        <v>3</v>
      </c>
      <c r="C500" s="1" t="s">
        <v>97</v>
      </c>
      <c r="D500" s="1" t="s">
        <v>296</v>
      </c>
      <c r="E500" s="5">
        <v>37704</v>
      </c>
      <c r="F500" s="1" t="s">
        <v>506</v>
      </c>
      <c r="G500" s="1" t="str">
        <f>IF(B500=0,VLOOKUP(A500,Feuil2!$A$2:$M$1241,11,FALSE)," ")</f>
        <v xml:space="preserve"> </v>
      </c>
      <c r="H500" s="1" t="s">
        <v>16</v>
      </c>
      <c r="I500" s="6" t="str">
        <f>IF(B500=0,VLOOKUP(A500,Feuil2!$A$2:$M$1241,7,FALSE)," ")</f>
        <v xml:space="preserve"> </v>
      </c>
      <c r="J500" s="1" t="str">
        <f>IF(B500=0,VLOOKUP(A500,Feuil2!$A$2:$M$1241,9,FALSE)," ")</f>
        <v xml:space="preserve"> </v>
      </c>
      <c r="K500" s="1" t="str">
        <f>IF(B500=0,VLOOKUP(A500,Feuil2!$A$2:$M$1241,10,FALSE)," ")</f>
        <v xml:space="preserve"> </v>
      </c>
      <c r="L500" s="1"/>
      <c r="M500" s="1"/>
      <c r="N500" s="1"/>
      <c r="O500" s="8" t="str">
        <f>IF(B500=0,VLOOKUP(A500,Feuil2!$A$2:$M$1241,13,FALSE)," ")</f>
        <v xml:space="preserve"> </v>
      </c>
    </row>
    <row r="501" spans="1:15" x14ac:dyDescent="0.3">
      <c r="A501" s="1">
        <v>1829</v>
      </c>
      <c r="B501" s="1">
        <v>0</v>
      </c>
      <c r="C501" s="1" t="str">
        <f>IF(B501=0,VLOOKUP(A501,Feuil2!$A$2:$M$1241,2,FALSE)," ")</f>
        <v>ATROUS</v>
      </c>
      <c r="D501" s="1" t="str">
        <f>IF(B501=0,VLOOKUP(A501,Feuil2!$A$2:$M$1241,3,FALSE)," ")</f>
        <v>ANIS</v>
      </c>
      <c r="E501" s="5">
        <f>IF(B501=0,VLOOKUP(A501,Feuil2!$A$2:$M$1241,6,FALSE)," ")</f>
        <v>28317</v>
      </c>
      <c r="F501" s="1" t="str">
        <f>IF(B501=0,VLOOKUP(A501,Feuil2!$A$2:$M$1241,12,FALSE)," ")</f>
        <v>H</v>
      </c>
      <c r="G501" s="1" t="str">
        <f>IF(B501=0,VLOOKUP(A501,Feuil2!$A$2:$M$1241,11,FALSE)," ")</f>
        <v>M</v>
      </c>
      <c r="H501" s="1" t="s">
        <v>16</v>
      </c>
      <c r="I501" s="6">
        <f>IF(B501=0,VLOOKUP(A501,Feuil2!$A$2:$M$1241,7,FALSE)," ")</f>
        <v>5534826</v>
      </c>
      <c r="J501" s="1" t="str">
        <f>IF(B501=0,VLOOKUP(A501,Feuil2!$A$2:$M$1241,9,FALSE)," ")</f>
        <v>NULL</v>
      </c>
      <c r="K501" s="1" t="str">
        <f>IF(B501=0,VLOOKUP(A501,Feuil2!$A$2:$M$1241,10,FALSE)," ")</f>
        <v>Knaies 4014</v>
      </c>
      <c r="L501" s="1">
        <v>4014</v>
      </c>
      <c r="M501" s="1">
        <v>22858588</v>
      </c>
      <c r="N501" s="1"/>
      <c r="O501" s="8" t="str">
        <f>IF(B501=0,VLOOKUP(A501,Feuil2!$A$2:$M$1241,13,FALSE)," ")</f>
        <v>08050020052000541156</v>
      </c>
    </row>
    <row r="502" spans="1:15" x14ac:dyDescent="0.3">
      <c r="A502" s="1">
        <v>1829</v>
      </c>
      <c r="B502" s="1">
        <v>1</v>
      </c>
      <c r="C502" s="1" t="s">
        <v>2543</v>
      </c>
      <c r="D502" s="1" t="s">
        <v>1541</v>
      </c>
      <c r="E502" s="5">
        <v>33605</v>
      </c>
      <c r="F502" s="1" t="s">
        <v>17</v>
      </c>
      <c r="G502" s="1" t="s">
        <v>15</v>
      </c>
      <c r="H502" s="1" t="s">
        <v>16</v>
      </c>
      <c r="I502" s="6" t="str">
        <f>IF(B502=0,VLOOKUP(A502,Feuil2!$A$2:$M$1241,7,FALSE)," ")</f>
        <v xml:space="preserve"> </v>
      </c>
      <c r="J502" s="1" t="str">
        <f>IF(B502=0,VLOOKUP(A502,Feuil2!$A$2:$M$1241,9,FALSE)," ")</f>
        <v xml:space="preserve"> </v>
      </c>
      <c r="K502" s="1" t="str">
        <f>IF(B502=0,VLOOKUP(A502,Feuil2!$A$2:$M$1241,10,FALSE)," ")</f>
        <v xml:space="preserve"> </v>
      </c>
      <c r="L502" s="1"/>
      <c r="M502" s="1"/>
      <c r="N502" s="1"/>
      <c r="O502" s="8" t="str">
        <f>IF(B502=0,VLOOKUP(A502,Feuil2!$A$2:$M$1241,13,FALSE)," ")</f>
        <v xml:space="preserve"> </v>
      </c>
    </row>
    <row r="503" spans="1:15" x14ac:dyDescent="0.3">
      <c r="A503" s="1">
        <v>1829</v>
      </c>
      <c r="B503" s="1">
        <v>2</v>
      </c>
      <c r="C503" s="1" t="s">
        <v>467</v>
      </c>
      <c r="D503" s="1" t="s">
        <v>2404</v>
      </c>
      <c r="E503" s="5">
        <v>42002</v>
      </c>
      <c r="F503" s="1" t="s">
        <v>506</v>
      </c>
      <c r="G503" s="1" t="str">
        <f>IF(B503=0,VLOOKUP(A503,Feuil2!$A$2:$M$1241,11,FALSE)," ")</f>
        <v xml:space="preserve"> </v>
      </c>
      <c r="H503" s="1" t="s">
        <v>16</v>
      </c>
      <c r="I503" s="6" t="str">
        <f>IF(B503=0,VLOOKUP(A503,Feuil2!$A$2:$M$1241,7,FALSE)," ")</f>
        <v xml:space="preserve"> </v>
      </c>
      <c r="J503" s="1" t="str">
        <f>IF(B503=0,VLOOKUP(A503,Feuil2!$A$2:$M$1241,9,FALSE)," ")</f>
        <v xml:space="preserve"> </v>
      </c>
      <c r="K503" s="1" t="str">
        <f>IF(B503=0,VLOOKUP(A503,Feuil2!$A$2:$M$1241,10,FALSE)," ")</f>
        <v xml:space="preserve"> </v>
      </c>
      <c r="L503" s="1"/>
      <c r="M503" s="1"/>
      <c r="N503" s="1"/>
      <c r="O503" s="8" t="str">
        <f>IF(B503=0,VLOOKUP(A503,Feuil2!$A$2:$M$1241,13,FALSE)," ")</f>
        <v xml:space="preserve"> </v>
      </c>
    </row>
    <row r="504" spans="1:15" x14ac:dyDescent="0.3">
      <c r="A504" s="1">
        <v>1829</v>
      </c>
      <c r="B504" s="1">
        <v>3</v>
      </c>
      <c r="C504" s="1" t="s">
        <v>467</v>
      </c>
      <c r="D504" s="1" t="s">
        <v>2501</v>
      </c>
      <c r="E504" s="5">
        <v>43303</v>
      </c>
      <c r="F504" s="1" t="s">
        <v>17</v>
      </c>
      <c r="G504" s="1" t="str">
        <f>IF(B504=0,VLOOKUP(A504,Feuil2!$A$2:$M$1241,11,FALSE)," ")</f>
        <v xml:space="preserve"> </v>
      </c>
      <c r="H504" s="1" t="s">
        <v>16</v>
      </c>
      <c r="I504" s="6" t="str">
        <f>IF(B504=0,VLOOKUP(A504,Feuil2!$A$2:$M$1241,7,FALSE)," ")</f>
        <v xml:space="preserve"> </v>
      </c>
      <c r="J504" s="1" t="str">
        <f>IF(B504=0,VLOOKUP(A504,Feuil2!$A$2:$M$1241,9,FALSE)," ")</f>
        <v xml:space="preserve"> </v>
      </c>
      <c r="K504" s="1" t="str">
        <f>IF(B504=0,VLOOKUP(A504,Feuil2!$A$2:$M$1241,10,FALSE)," ")</f>
        <v xml:space="preserve"> </v>
      </c>
      <c r="L504" s="1"/>
      <c r="M504" s="1"/>
      <c r="N504" s="1"/>
      <c r="O504" s="8" t="str">
        <f>IF(B504=0,VLOOKUP(A504,Feuil2!$A$2:$M$1241,13,FALSE)," ")</f>
        <v xml:space="preserve"> </v>
      </c>
    </row>
    <row r="505" spans="1:15" x14ac:dyDescent="0.3">
      <c r="A505" s="1">
        <v>1834</v>
      </c>
      <c r="B505" s="1">
        <v>0</v>
      </c>
      <c r="C505" s="1" t="str">
        <f>IF(B505=0,VLOOKUP(A505,Feuil2!$A$2:$M$1241,2,FALSE)," ")</f>
        <v>SMIDA</v>
      </c>
      <c r="D505" s="1" t="str">
        <f>IF(B505=0,VLOOKUP(A505,Feuil2!$A$2:$M$1241,3,FALSE)," ")</f>
        <v>ZIED</v>
      </c>
      <c r="E505" s="5">
        <f>IF(B505=0,VLOOKUP(A505,Feuil2!$A$2:$M$1241,6,FALSE)," ")</f>
        <v>27639</v>
      </c>
      <c r="F505" s="1" t="str">
        <f>IF(B505=0,VLOOKUP(A505,Feuil2!$A$2:$M$1241,12,FALSE)," ")</f>
        <v>H</v>
      </c>
      <c r="G505" s="1" t="str">
        <f>IF(B505=0,VLOOKUP(A505,Feuil2!$A$2:$M$1241,11,FALSE)," ")</f>
        <v>M</v>
      </c>
      <c r="H505" s="1" t="s">
        <v>16</v>
      </c>
      <c r="I505" s="6">
        <f>IF(B505=0,VLOOKUP(A505,Feuil2!$A$2:$M$1241,7,FALSE)," ")</f>
        <v>5561347</v>
      </c>
      <c r="J505" s="1" t="str">
        <f>IF(B505=0,VLOOKUP(A505,Feuil2!$A$2:$M$1241,9,FALSE)," ")</f>
        <v>NULL</v>
      </c>
      <c r="K505" s="1" t="str">
        <f>IF(B505=0,VLOOKUP(A505,Feuil2!$A$2:$M$1241,10,FALSE)," ")</f>
        <v>Knaies 4014</v>
      </c>
      <c r="L505" s="1">
        <v>4014</v>
      </c>
      <c r="M505" s="1">
        <v>28333756</v>
      </c>
      <c r="N505" s="1"/>
      <c r="O505" s="8" t="str">
        <f>IF(B505=0,VLOOKUP(A505,Feuil2!$A$2:$M$1241,13,FALSE)," ")</f>
        <v>04204067404001336131</v>
      </c>
    </row>
    <row r="506" spans="1:15" x14ac:dyDescent="0.3">
      <c r="A506" s="1">
        <v>1834</v>
      </c>
      <c r="B506" s="1">
        <v>1</v>
      </c>
      <c r="C506" s="1" t="s">
        <v>148</v>
      </c>
      <c r="D506" s="1" t="s">
        <v>1541</v>
      </c>
      <c r="E506" s="5">
        <v>30501</v>
      </c>
      <c r="F506" s="1" t="s">
        <v>17</v>
      </c>
      <c r="G506" s="1" t="s">
        <v>15</v>
      </c>
      <c r="H506" s="1" t="s">
        <v>16</v>
      </c>
      <c r="I506" s="6" t="str">
        <f>IF(B506=0,VLOOKUP(A506,Feuil2!$A$2:$M$1241,7,FALSE)," ")</f>
        <v xml:space="preserve"> </v>
      </c>
      <c r="J506" s="1" t="str">
        <f>IF(B506=0,VLOOKUP(A506,Feuil2!$A$2:$M$1241,9,FALSE)," ")</f>
        <v xml:space="preserve"> </v>
      </c>
      <c r="K506" s="1" t="str">
        <f>IF(B506=0,VLOOKUP(A506,Feuil2!$A$2:$M$1241,10,FALSE)," ")</f>
        <v xml:space="preserve"> </v>
      </c>
      <c r="L506" s="1"/>
      <c r="M506" s="1"/>
      <c r="N506" s="1"/>
      <c r="O506" s="8" t="str">
        <f>IF(B506=0,VLOOKUP(A506,Feuil2!$A$2:$M$1241,13,FALSE)," ")</f>
        <v xml:space="preserve"> </v>
      </c>
    </row>
    <row r="507" spans="1:15" x14ac:dyDescent="0.3">
      <c r="A507" s="1">
        <v>1834</v>
      </c>
      <c r="B507" s="1">
        <v>2</v>
      </c>
      <c r="C507" s="1" t="s">
        <v>310</v>
      </c>
      <c r="D507" s="1" t="s">
        <v>2384</v>
      </c>
      <c r="E507" s="5">
        <v>39152</v>
      </c>
      <c r="F507" s="1" t="s">
        <v>17</v>
      </c>
      <c r="G507" s="1" t="str">
        <f>IF(B507=0,VLOOKUP(A507,Feuil2!$A$2:$M$1241,11,FALSE)," ")</f>
        <v xml:space="preserve"> </v>
      </c>
      <c r="H507" s="1" t="s">
        <v>16</v>
      </c>
      <c r="I507" s="6" t="str">
        <f>IF(B507=0,VLOOKUP(A507,Feuil2!$A$2:$M$1241,7,FALSE)," ")</f>
        <v xml:space="preserve"> </v>
      </c>
      <c r="J507" s="1" t="str">
        <f>IF(B507=0,VLOOKUP(A507,Feuil2!$A$2:$M$1241,9,FALSE)," ")</f>
        <v xml:space="preserve"> </v>
      </c>
      <c r="K507" s="1" t="str">
        <f>IF(B507=0,VLOOKUP(A507,Feuil2!$A$2:$M$1241,10,FALSE)," ")</f>
        <v xml:space="preserve"> </v>
      </c>
      <c r="L507" s="1"/>
      <c r="M507" s="1"/>
      <c r="N507" s="1"/>
      <c r="O507" s="8" t="str">
        <f>IF(B507=0,VLOOKUP(A507,Feuil2!$A$2:$M$1241,13,FALSE)," ")</f>
        <v xml:space="preserve"> </v>
      </c>
    </row>
    <row r="508" spans="1:15" x14ac:dyDescent="0.3">
      <c r="A508" s="1">
        <v>1834</v>
      </c>
      <c r="B508" s="1">
        <v>3</v>
      </c>
      <c r="C508" s="1" t="s">
        <v>310</v>
      </c>
      <c r="D508" s="1" t="s">
        <v>2423</v>
      </c>
      <c r="E508" s="5">
        <v>39713</v>
      </c>
      <c r="F508" s="1" t="s">
        <v>506</v>
      </c>
      <c r="G508" s="1" t="str">
        <f>IF(B508=0,VLOOKUP(A508,Feuil2!$A$2:$M$1241,11,FALSE)," ")</f>
        <v xml:space="preserve"> </v>
      </c>
      <c r="H508" s="1" t="s">
        <v>16</v>
      </c>
      <c r="I508" s="6" t="str">
        <f>IF(B508=0,VLOOKUP(A508,Feuil2!$A$2:$M$1241,7,FALSE)," ")</f>
        <v xml:space="preserve"> </v>
      </c>
      <c r="J508" s="1" t="str">
        <f>IF(B508=0,VLOOKUP(A508,Feuil2!$A$2:$M$1241,9,FALSE)," ")</f>
        <v xml:space="preserve"> </v>
      </c>
      <c r="K508" s="1" t="str">
        <f>IF(B508=0,VLOOKUP(A508,Feuil2!$A$2:$M$1241,10,FALSE)," ")</f>
        <v xml:space="preserve"> </v>
      </c>
      <c r="L508" s="1"/>
      <c r="M508" s="1"/>
      <c r="N508" s="1"/>
      <c r="O508" s="8" t="str">
        <f>IF(B508=0,VLOOKUP(A508,Feuil2!$A$2:$M$1241,13,FALSE)," ")</f>
        <v xml:space="preserve"> </v>
      </c>
    </row>
    <row r="509" spans="1:15" x14ac:dyDescent="0.3">
      <c r="A509" s="1">
        <v>1834</v>
      </c>
      <c r="B509" s="1">
        <v>4</v>
      </c>
      <c r="C509" s="1" t="s">
        <v>310</v>
      </c>
      <c r="D509" s="1" t="s">
        <v>2446</v>
      </c>
      <c r="E509" s="5">
        <v>41219</v>
      </c>
      <c r="F509" s="1" t="s">
        <v>17</v>
      </c>
      <c r="G509" s="1" t="str">
        <f>IF(B509=0,VLOOKUP(A509,Feuil2!$A$2:$M$1241,11,FALSE)," ")</f>
        <v xml:space="preserve"> </v>
      </c>
      <c r="H509" s="1" t="s">
        <v>16</v>
      </c>
      <c r="I509" s="6" t="str">
        <f>IF(B509=0,VLOOKUP(A509,Feuil2!$A$2:$M$1241,7,FALSE)," ")</f>
        <v xml:space="preserve"> </v>
      </c>
      <c r="J509" s="1" t="str">
        <f>IF(B509=0,VLOOKUP(A509,Feuil2!$A$2:$M$1241,9,FALSE)," ")</f>
        <v xml:space="preserve"> </v>
      </c>
      <c r="K509" s="1" t="str">
        <f>IF(B509=0,VLOOKUP(A509,Feuil2!$A$2:$M$1241,10,FALSE)," ")</f>
        <v xml:space="preserve"> </v>
      </c>
      <c r="L509" s="1"/>
      <c r="M509" s="1"/>
      <c r="N509" s="1"/>
      <c r="O509" s="8" t="str">
        <f>IF(B509=0,VLOOKUP(A509,Feuil2!$A$2:$M$1241,13,FALSE)," ")</f>
        <v xml:space="preserve"> </v>
      </c>
    </row>
    <row r="510" spans="1:15" x14ac:dyDescent="0.3">
      <c r="A510" s="1">
        <v>1836</v>
      </c>
      <c r="B510" s="1">
        <v>0</v>
      </c>
      <c r="C510" s="1" t="str">
        <f>IF(B510=0,VLOOKUP(A510,Feuil2!$A$2:$M$1241,2,FALSE)," ")</f>
        <v>BEN KALIA</v>
      </c>
      <c r="D510" s="1" t="str">
        <f>IF(B510=0,VLOOKUP(A510,Feuil2!$A$2:$M$1241,3,FALSE)," ")</f>
        <v>LOTFI</v>
      </c>
      <c r="E510" s="5">
        <f>IF(B510=0,VLOOKUP(A510,Feuil2!$A$2:$M$1241,6,FALSE)," ")</f>
        <v>26525</v>
      </c>
      <c r="F510" s="1" t="str">
        <f>IF(B510=0,VLOOKUP(A510,Feuil2!$A$2:$M$1241,12,FALSE)," ")</f>
        <v>H</v>
      </c>
      <c r="G510" s="1" t="str">
        <f>IF(B510=0,VLOOKUP(A510,Feuil2!$A$2:$M$1241,11,FALSE)," ")</f>
        <v>M</v>
      </c>
      <c r="H510" s="1" t="s">
        <v>16</v>
      </c>
      <c r="I510" s="6">
        <f>IF(B510=0,VLOOKUP(A510,Feuil2!$A$2:$M$1241,7,FALSE)," ")</f>
        <v>5511684</v>
      </c>
      <c r="J510" s="1" t="str">
        <f>IF(B510=0,VLOOKUP(A510,Feuil2!$A$2:$M$1241,9,FALSE)," ")</f>
        <v>19, Rue Omar El Mokhtar</v>
      </c>
      <c r="K510" s="1" t="str">
        <f>IF(B510=0,VLOOKUP(A510,Feuil2!$A$2:$M$1241,10,FALSE)," ")</f>
        <v>Msaken 4070</v>
      </c>
      <c r="L510" s="1">
        <v>4070</v>
      </c>
      <c r="M510" s="1">
        <v>97451615</v>
      </c>
      <c r="N510" s="1"/>
      <c r="O510" s="8" t="str">
        <f>IF(B510=0,VLOOKUP(A510,Feuil2!$A$2:$M$1241,13,FALSE)," ")</f>
        <v>12505000580103514269</v>
      </c>
    </row>
    <row r="511" spans="1:15" x14ac:dyDescent="0.3">
      <c r="A511" s="1">
        <v>1836</v>
      </c>
      <c r="B511" s="1">
        <v>1</v>
      </c>
      <c r="C511" s="1" t="s">
        <v>475</v>
      </c>
      <c r="D511" s="1" t="s">
        <v>2513</v>
      </c>
      <c r="E511" s="5">
        <v>28434</v>
      </c>
      <c r="F511" s="1" t="s">
        <v>17</v>
      </c>
      <c r="G511" s="1" t="s">
        <v>15</v>
      </c>
      <c r="H511" s="1" t="s">
        <v>16</v>
      </c>
      <c r="I511" s="6" t="str">
        <f>IF(B511=0,VLOOKUP(A511,Feuil2!$A$2:$M$1241,7,FALSE)," ")</f>
        <v xml:space="preserve"> </v>
      </c>
      <c r="J511" s="1" t="str">
        <f>IF(B511=0,VLOOKUP(A511,Feuil2!$A$2:$M$1241,9,FALSE)," ")</f>
        <v xml:space="preserve"> </v>
      </c>
      <c r="K511" s="1" t="str">
        <f>IF(B511=0,VLOOKUP(A511,Feuil2!$A$2:$M$1241,10,FALSE)," ")</f>
        <v xml:space="preserve"> </v>
      </c>
      <c r="L511" s="1"/>
      <c r="M511" s="1"/>
      <c r="N511" s="1"/>
      <c r="O511" s="8" t="str">
        <f>IF(B511=0,VLOOKUP(A511,Feuil2!$A$2:$M$1241,13,FALSE)," ")</f>
        <v xml:space="preserve"> </v>
      </c>
    </row>
    <row r="512" spans="1:15" x14ac:dyDescent="0.3">
      <c r="A512" s="1">
        <v>1836</v>
      </c>
      <c r="B512" s="1">
        <v>2</v>
      </c>
      <c r="C512" s="1" t="s">
        <v>1754</v>
      </c>
      <c r="D512" s="1" t="s">
        <v>122</v>
      </c>
      <c r="E512" s="5">
        <v>36272</v>
      </c>
      <c r="F512" s="1" t="s">
        <v>506</v>
      </c>
      <c r="G512" s="1" t="str">
        <f>IF(B512=0,VLOOKUP(A512,Feuil2!$A$2:$M$1241,11,FALSE)," ")</f>
        <v xml:space="preserve"> </v>
      </c>
      <c r="H512" s="1" t="s">
        <v>16</v>
      </c>
      <c r="I512" s="6" t="str">
        <f>IF(B512=0,VLOOKUP(A512,Feuil2!$A$2:$M$1241,7,FALSE)," ")</f>
        <v xml:space="preserve"> </v>
      </c>
      <c r="J512" s="1" t="str">
        <f>IF(B512=0,VLOOKUP(A512,Feuil2!$A$2:$M$1241,9,FALSE)," ")</f>
        <v xml:space="preserve"> </v>
      </c>
      <c r="K512" s="1" t="str">
        <f>IF(B512=0,VLOOKUP(A512,Feuil2!$A$2:$M$1241,10,FALSE)," ")</f>
        <v xml:space="preserve"> </v>
      </c>
      <c r="L512" s="1"/>
      <c r="M512" s="1"/>
      <c r="N512" s="1"/>
      <c r="O512" s="8" t="str">
        <f>IF(B512=0,VLOOKUP(A512,Feuil2!$A$2:$M$1241,13,FALSE)," ")</f>
        <v xml:space="preserve"> </v>
      </c>
    </row>
    <row r="513" spans="1:15" x14ac:dyDescent="0.3">
      <c r="A513" s="1">
        <v>1836</v>
      </c>
      <c r="B513" s="1">
        <v>3</v>
      </c>
      <c r="C513" s="1" t="s">
        <v>1754</v>
      </c>
      <c r="D513" s="1" t="s">
        <v>2388</v>
      </c>
      <c r="E513" s="5">
        <v>37376</v>
      </c>
      <c r="F513" s="1" t="s">
        <v>506</v>
      </c>
      <c r="G513" s="1" t="str">
        <f>IF(B513=0,VLOOKUP(A513,Feuil2!$A$2:$M$1241,11,FALSE)," ")</f>
        <v xml:space="preserve"> </v>
      </c>
      <c r="H513" s="1" t="s">
        <v>16</v>
      </c>
      <c r="I513" s="6" t="str">
        <f>IF(B513=0,VLOOKUP(A513,Feuil2!$A$2:$M$1241,7,FALSE)," ")</f>
        <v xml:space="preserve"> </v>
      </c>
      <c r="J513" s="1" t="str">
        <f>IF(B513=0,VLOOKUP(A513,Feuil2!$A$2:$M$1241,9,FALSE)," ")</f>
        <v xml:space="preserve"> </v>
      </c>
      <c r="K513" s="1" t="str">
        <f>IF(B513=0,VLOOKUP(A513,Feuil2!$A$2:$M$1241,10,FALSE)," ")</f>
        <v xml:space="preserve"> </v>
      </c>
      <c r="L513" s="1"/>
      <c r="M513" s="1"/>
      <c r="N513" s="1"/>
      <c r="O513" s="8" t="str">
        <f>IF(B513=0,VLOOKUP(A513,Feuil2!$A$2:$M$1241,13,FALSE)," ")</f>
        <v xml:space="preserve"> </v>
      </c>
    </row>
    <row r="514" spans="1:15" x14ac:dyDescent="0.3">
      <c r="A514" s="1">
        <v>1836</v>
      </c>
      <c r="B514" s="1">
        <v>4</v>
      </c>
      <c r="C514" s="1" t="s">
        <v>1754</v>
      </c>
      <c r="D514" s="1" t="s">
        <v>404</v>
      </c>
      <c r="E514" s="5">
        <v>40131</v>
      </c>
      <c r="F514" s="1" t="s">
        <v>17</v>
      </c>
      <c r="G514" s="1" t="str">
        <f>IF(B514=0,VLOOKUP(A514,Feuil2!$A$2:$M$1241,11,FALSE)," ")</f>
        <v xml:space="preserve"> </v>
      </c>
      <c r="H514" s="1" t="s">
        <v>16</v>
      </c>
      <c r="I514" s="6" t="str">
        <f>IF(B514=0,VLOOKUP(A514,Feuil2!$A$2:$M$1241,7,FALSE)," ")</f>
        <v xml:space="preserve"> </v>
      </c>
      <c r="J514" s="1" t="str">
        <f>IF(B514=0,VLOOKUP(A514,Feuil2!$A$2:$M$1241,9,FALSE)," ")</f>
        <v xml:space="preserve"> </v>
      </c>
      <c r="K514" s="1" t="str">
        <f>IF(B514=0,VLOOKUP(A514,Feuil2!$A$2:$M$1241,10,FALSE)," ")</f>
        <v xml:space="preserve"> </v>
      </c>
      <c r="L514" s="1"/>
      <c r="M514" s="1"/>
      <c r="N514" s="1"/>
      <c r="O514" s="8" t="str">
        <f>IF(B514=0,VLOOKUP(A514,Feuil2!$A$2:$M$1241,13,FALSE)," ")</f>
        <v xml:space="preserve"> </v>
      </c>
    </row>
    <row r="515" spans="1:15" x14ac:dyDescent="0.3">
      <c r="A515" s="1">
        <v>1851</v>
      </c>
      <c r="B515" s="1">
        <v>0</v>
      </c>
      <c r="C515" s="1" t="str">
        <f>IF(B515=0,VLOOKUP(A515,Feuil2!$A$2:$M$1241,2,FALSE)," ")</f>
        <v>ATTIA</v>
      </c>
      <c r="D515" s="1" t="str">
        <f>IF(B515=0,VLOOKUP(A515,Feuil2!$A$2:$M$1241,3,FALSE)," ")</f>
        <v>FAYCAL</v>
      </c>
      <c r="E515" s="5">
        <f>IF(B515=0,VLOOKUP(A515,Feuil2!$A$2:$M$1241,6,FALSE)," ")</f>
        <v>25778</v>
      </c>
      <c r="F515" s="1" t="str">
        <f>IF(B515=0,VLOOKUP(A515,Feuil2!$A$2:$M$1241,12,FALSE)," ")</f>
        <v>H</v>
      </c>
      <c r="G515" s="1" t="str">
        <f>IF(B515=0,VLOOKUP(A515,Feuil2!$A$2:$M$1241,11,FALSE)," ")</f>
        <v>M</v>
      </c>
      <c r="H515" s="1" t="s">
        <v>16</v>
      </c>
      <c r="I515" s="6">
        <f>IF(B515=0,VLOOKUP(A515,Feuil2!$A$2:$M$1241,7,FALSE)," ")</f>
        <v>5505959</v>
      </c>
      <c r="J515" s="1" t="str">
        <f>IF(B515=0,VLOOKUP(A515,Feuil2!$A$2:$M$1241,9,FALSE)," ")</f>
        <v>63 Rue Tahar Sfar</v>
      </c>
      <c r="K515" s="1" t="str">
        <f>IF(B515=0,VLOOKUP(A515,Feuil2!$A$2:$M$1241,10,FALSE)," ")</f>
        <v>Msaken 4070</v>
      </c>
      <c r="L515" s="1">
        <v>4070</v>
      </c>
      <c r="M515" s="1">
        <v>98783245</v>
      </c>
      <c r="N515" s="1"/>
      <c r="O515" s="8" t="str">
        <f>IF(B515=0,VLOOKUP(A515,Feuil2!$A$2:$M$1241,13,FALSE)," ")</f>
        <v>05048000116500060558</v>
      </c>
    </row>
    <row r="516" spans="1:15" x14ac:dyDescent="0.3">
      <c r="A516" s="1">
        <v>1851</v>
      </c>
      <c r="B516" s="1">
        <v>1</v>
      </c>
      <c r="C516" s="1" t="s">
        <v>2472</v>
      </c>
      <c r="D516" s="1" t="s">
        <v>2473</v>
      </c>
      <c r="E516" s="5">
        <v>30373</v>
      </c>
      <c r="F516" s="1" t="s">
        <v>17</v>
      </c>
      <c r="G516" s="1" t="s">
        <v>15</v>
      </c>
      <c r="H516" s="1" t="s">
        <v>16</v>
      </c>
      <c r="I516" s="6" t="str">
        <f>IF(B516=0,VLOOKUP(A516,Feuil2!$A$2:$M$1241,7,FALSE)," ")</f>
        <v xml:space="preserve"> </v>
      </c>
      <c r="J516" s="1" t="str">
        <f>IF(B516=0,VLOOKUP(A516,Feuil2!$A$2:$M$1241,9,FALSE)," ")</f>
        <v xml:space="preserve"> </v>
      </c>
      <c r="K516" s="1" t="str">
        <f>IF(B516=0,VLOOKUP(A516,Feuil2!$A$2:$M$1241,10,FALSE)," ")</f>
        <v xml:space="preserve"> </v>
      </c>
      <c r="L516" s="1"/>
      <c r="M516" s="1"/>
      <c r="N516" s="1"/>
      <c r="O516" s="8" t="str">
        <f>IF(B516=0,VLOOKUP(A516,Feuil2!$A$2:$M$1241,13,FALSE)," ")</f>
        <v xml:space="preserve"> </v>
      </c>
    </row>
    <row r="517" spans="1:15" x14ac:dyDescent="0.3">
      <c r="A517" s="1">
        <v>1851</v>
      </c>
      <c r="B517" s="1">
        <v>2</v>
      </c>
      <c r="C517" s="1" t="s">
        <v>57</v>
      </c>
      <c r="D517" s="1" t="s">
        <v>416</v>
      </c>
      <c r="E517" s="5">
        <v>38531</v>
      </c>
      <c r="F517" s="1" t="s">
        <v>17</v>
      </c>
      <c r="G517" s="1" t="str">
        <f>IF(B517=0,VLOOKUP(A517,Feuil2!$A$2:$M$1241,11,FALSE)," ")</f>
        <v xml:space="preserve"> </v>
      </c>
      <c r="H517" s="1" t="s">
        <v>16</v>
      </c>
      <c r="I517" s="6" t="str">
        <f>IF(B517=0,VLOOKUP(A517,Feuil2!$A$2:$M$1241,7,FALSE)," ")</f>
        <v xml:space="preserve"> </v>
      </c>
      <c r="J517" s="1" t="str">
        <f>IF(B517=0,VLOOKUP(A517,Feuil2!$A$2:$M$1241,9,FALSE)," ")</f>
        <v xml:space="preserve"> </v>
      </c>
      <c r="K517" s="1" t="str">
        <f>IF(B517=0,VLOOKUP(A517,Feuil2!$A$2:$M$1241,10,FALSE)," ")</f>
        <v xml:space="preserve"> </v>
      </c>
      <c r="L517" s="1"/>
      <c r="M517" s="1"/>
      <c r="N517" s="1"/>
      <c r="O517" s="8" t="str">
        <f>IF(B517=0,VLOOKUP(A517,Feuil2!$A$2:$M$1241,13,FALSE)," ")</f>
        <v xml:space="preserve"> </v>
      </c>
    </row>
    <row r="518" spans="1:15" x14ac:dyDescent="0.3">
      <c r="A518" s="1">
        <v>1851</v>
      </c>
      <c r="B518" s="1">
        <v>3</v>
      </c>
      <c r="C518" s="1" t="s">
        <v>57</v>
      </c>
      <c r="D518" s="1" t="s">
        <v>61</v>
      </c>
      <c r="E518" s="5">
        <v>40455</v>
      </c>
      <c r="F518" s="1" t="s">
        <v>506</v>
      </c>
      <c r="G518" s="1" t="str">
        <f>IF(B518=0,VLOOKUP(A518,Feuil2!$A$2:$M$1241,11,FALSE)," ")</f>
        <v xml:space="preserve"> </v>
      </c>
      <c r="H518" s="1" t="s">
        <v>16</v>
      </c>
      <c r="I518" s="6" t="str">
        <f>IF(B518=0,VLOOKUP(A518,Feuil2!$A$2:$M$1241,7,FALSE)," ")</f>
        <v xml:space="preserve"> </v>
      </c>
      <c r="J518" s="1" t="str">
        <f>IF(B518=0,VLOOKUP(A518,Feuil2!$A$2:$M$1241,9,FALSE)," ")</f>
        <v xml:space="preserve"> </v>
      </c>
      <c r="K518" s="1" t="str">
        <f>IF(B518=0,VLOOKUP(A518,Feuil2!$A$2:$M$1241,10,FALSE)," ")</f>
        <v xml:space="preserve"> </v>
      </c>
      <c r="L518" s="1"/>
      <c r="M518" s="1"/>
      <c r="N518" s="1"/>
      <c r="O518" s="8" t="str">
        <f>IF(B518=0,VLOOKUP(A518,Feuil2!$A$2:$M$1241,13,FALSE)," ")</f>
        <v xml:space="preserve"> </v>
      </c>
    </row>
    <row r="519" spans="1:15" x14ac:dyDescent="0.3">
      <c r="A519" s="1">
        <v>1851</v>
      </c>
      <c r="B519" s="1">
        <v>4</v>
      </c>
      <c r="C519" s="1" t="s">
        <v>57</v>
      </c>
      <c r="D519" s="1" t="s">
        <v>89</v>
      </c>
      <c r="E519" s="5">
        <v>41535</v>
      </c>
      <c r="F519" s="1" t="s">
        <v>506</v>
      </c>
      <c r="G519" s="1" t="str">
        <f>IF(B519=0,VLOOKUP(A519,Feuil2!$A$2:$M$1241,11,FALSE)," ")</f>
        <v xml:space="preserve"> </v>
      </c>
      <c r="H519" s="1" t="s">
        <v>16</v>
      </c>
      <c r="I519" s="6" t="str">
        <f>IF(B519=0,VLOOKUP(A519,Feuil2!$A$2:$M$1241,7,FALSE)," ")</f>
        <v xml:space="preserve"> </v>
      </c>
      <c r="J519" s="1" t="str">
        <f>IF(B519=0,VLOOKUP(A519,Feuil2!$A$2:$M$1241,9,FALSE)," ")</f>
        <v xml:space="preserve"> </v>
      </c>
      <c r="K519" s="1" t="str">
        <f>IF(B519=0,VLOOKUP(A519,Feuil2!$A$2:$M$1241,10,FALSE)," ")</f>
        <v xml:space="preserve"> </v>
      </c>
      <c r="L519" s="1"/>
      <c r="M519" s="1"/>
      <c r="N519" s="1"/>
      <c r="O519" s="8" t="str">
        <f>IF(B519=0,VLOOKUP(A519,Feuil2!$A$2:$M$1241,13,FALSE)," ")</f>
        <v xml:space="preserve"> </v>
      </c>
    </row>
    <row r="520" spans="1:15" x14ac:dyDescent="0.3">
      <c r="A520" s="1">
        <v>1861</v>
      </c>
      <c r="B520" s="1">
        <v>0</v>
      </c>
      <c r="C520" s="1" t="str">
        <f>IF(B520=0,VLOOKUP(A520,Feuil2!$A$2:$M$1241,2,FALSE)," ")</f>
        <v>BOUHLEL</v>
      </c>
      <c r="D520" s="1" t="str">
        <f>IF(B520=0,VLOOKUP(A520,Feuil2!$A$2:$M$1241,3,FALSE)," ")</f>
        <v>ANIS BEN MUSTAPHA</v>
      </c>
      <c r="E520" s="5">
        <f>IF(B520=0,VLOOKUP(A520,Feuil2!$A$2:$M$1241,6,FALSE)," ")</f>
        <v>29470</v>
      </c>
      <c r="F520" s="1" t="str">
        <f>IF(B520=0,VLOOKUP(A520,Feuil2!$A$2:$M$1241,12,FALSE)," ")</f>
        <v>H</v>
      </c>
      <c r="G520" s="1" t="str">
        <f>IF(B520=0,VLOOKUP(A520,Feuil2!$A$2:$M$1241,11,FALSE)," ")</f>
        <v>M</v>
      </c>
      <c r="H520" s="1" t="s">
        <v>16</v>
      </c>
      <c r="I520" s="6">
        <f>IF(B520=0,VLOOKUP(A520,Feuil2!$A$2:$M$1241,7,FALSE)," ")</f>
        <v>8451166</v>
      </c>
      <c r="J520" s="1" t="str">
        <f>IF(B520=0,VLOOKUP(A520,Feuil2!$A$2:$M$1241,9,FALSE)," ")</f>
        <v>Rue Ksar Helal</v>
      </c>
      <c r="K520" s="1" t="str">
        <f>IF(B520=0,VLOOKUP(A520,Feuil2!$A$2:$M$1241,10,FALSE)," ")</f>
        <v>Msaken 4070</v>
      </c>
      <c r="L520" s="1">
        <v>4070</v>
      </c>
      <c r="M520" s="1">
        <v>50678905</v>
      </c>
      <c r="N520" s="1"/>
      <c r="O520" s="8" t="str">
        <f>IF(B520=0,VLOOKUP(A520,Feuil2!$A$2:$M$1241,13,FALSE)," ")</f>
        <v>12505000580103222493</v>
      </c>
    </row>
    <row r="521" spans="1:15" x14ac:dyDescent="0.3">
      <c r="A521" s="1">
        <v>1861</v>
      </c>
      <c r="B521" s="1">
        <v>1</v>
      </c>
      <c r="C521" s="1" t="s">
        <v>2441</v>
      </c>
      <c r="D521" s="1" t="s">
        <v>2442</v>
      </c>
      <c r="E521" s="5">
        <v>32673</v>
      </c>
      <c r="F521" s="1" t="s">
        <v>17</v>
      </c>
      <c r="G521" s="1" t="s">
        <v>15</v>
      </c>
      <c r="H521" s="1" t="s">
        <v>16</v>
      </c>
      <c r="I521" s="6" t="str">
        <f>IF(B521=0,VLOOKUP(A521,Feuil2!$A$2:$M$1241,7,FALSE)," ")</f>
        <v xml:space="preserve"> </v>
      </c>
      <c r="J521" s="1" t="str">
        <f>IF(B521=0,VLOOKUP(A521,Feuil2!$A$2:$M$1241,9,FALSE)," ")</f>
        <v xml:space="preserve"> </v>
      </c>
      <c r="K521" s="1" t="str">
        <f>IF(B521=0,VLOOKUP(A521,Feuil2!$A$2:$M$1241,10,FALSE)," ")</f>
        <v xml:space="preserve"> </v>
      </c>
      <c r="L521" s="1"/>
      <c r="M521" s="1"/>
      <c r="N521" s="1"/>
      <c r="O521" s="8" t="str">
        <f>IF(B521=0,VLOOKUP(A521,Feuil2!$A$2:$M$1241,13,FALSE)," ")</f>
        <v xml:space="preserve"> </v>
      </c>
    </row>
    <row r="522" spans="1:15" x14ac:dyDescent="0.3">
      <c r="A522" s="1">
        <v>1861</v>
      </c>
      <c r="B522" s="1">
        <v>2</v>
      </c>
      <c r="C522" s="1" t="s">
        <v>83</v>
      </c>
      <c r="D522" s="1" t="s">
        <v>2443</v>
      </c>
      <c r="E522" s="5">
        <v>40885</v>
      </c>
      <c r="F522" s="1" t="s">
        <v>17</v>
      </c>
      <c r="G522" s="1" t="str">
        <f>IF(B522=0,VLOOKUP(A522,Feuil2!$A$2:$M$1241,11,FALSE)," ")</f>
        <v xml:space="preserve"> </v>
      </c>
      <c r="H522" s="1" t="s">
        <v>16</v>
      </c>
      <c r="I522" s="6" t="str">
        <f>IF(B522=0,VLOOKUP(A522,Feuil2!$A$2:$M$1241,7,FALSE)," ")</f>
        <v xml:space="preserve"> </v>
      </c>
      <c r="J522" s="1" t="str">
        <f>IF(B522=0,VLOOKUP(A522,Feuil2!$A$2:$M$1241,9,FALSE)," ")</f>
        <v xml:space="preserve"> </v>
      </c>
      <c r="K522" s="1" t="str">
        <f>IF(B522=0,VLOOKUP(A522,Feuil2!$A$2:$M$1241,10,FALSE)," ")</f>
        <v xml:space="preserve"> </v>
      </c>
      <c r="L522" s="1"/>
      <c r="M522" s="1"/>
      <c r="N522" s="1"/>
      <c r="O522" s="8" t="str">
        <f>IF(B522=0,VLOOKUP(A522,Feuil2!$A$2:$M$1241,13,FALSE)," ")</f>
        <v xml:space="preserve"> </v>
      </c>
    </row>
    <row r="523" spans="1:15" x14ac:dyDescent="0.3">
      <c r="A523" s="1">
        <v>1861</v>
      </c>
      <c r="B523" s="1">
        <v>3</v>
      </c>
      <c r="C523" s="1" t="s">
        <v>83</v>
      </c>
      <c r="D523" s="1" t="s">
        <v>2377</v>
      </c>
      <c r="E523" s="5">
        <v>41441</v>
      </c>
      <c r="F523" s="1" t="s">
        <v>17</v>
      </c>
      <c r="G523" s="1" t="str">
        <f>IF(B523=0,VLOOKUP(A523,Feuil2!$A$2:$M$1241,11,FALSE)," ")</f>
        <v xml:space="preserve"> </v>
      </c>
      <c r="H523" s="1" t="s">
        <v>16</v>
      </c>
      <c r="I523" s="6" t="str">
        <f>IF(B523=0,VLOOKUP(A523,Feuil2!$A$2:$M$1241,7,FALSE)," ")</f>
        <v xml:space="preserve"> </v>
      </c>
      <c r="J523" s="1" t="str">
        <f>IF(B523=0,VLOOKUP(A523,Feuil2!$A$2:$M$1241,9,FALSE)," ")</f>
        <v xml:space="preserve"> </v>
      </c>
      <c r="K523" s="1" t="str">
        <f>IF(B523=0,VLOOKUP(A523,Feuil2!$A$2:$M$1241,10,FALSE)," ")</f>
        <v xml:space="preserve"> </v>
      </c>
      <c r="L523" s="1"/>
      <c r="M523" s="1"/>
      <c r="N523" s="1"/>
      <c r="O523" s="8" t="str">
        <f>IF(B523=0,VLOOKUP(A523,Feuil2!$A$2:$M$1241,13,FALSE)," ")</f>
        <v xml:space="preserve"> </v>
      </c>
    </row>
    <row r="524" spans="1:15" x14ac:dyDescent="0.3">
      <c r="A524" s="1">
        <v>1861</v>
      </c>
      <c r="B524" s="1">
        <v>4</v>
      </c>
      <c r="C524" s="1" t="s">
        <v>83</v>
      </c>
      <c r="D524" s="1" t="s">
        <v>2444</v>
      </c>
      <c r="E524" s="5">
        <v>42440</v>
      </c>
      <c r="F524" s="1" t="s">
        <v>506</v>
      </c>
      <c r="G524" s="1" t="str">
        <f>IF(B524=0,VLOOKUP(A524,Feuil2!$A$2:$M$1241,11,FALSE)," ")</f>
        <v xml:space="preserve"> </v>
      </c>
      <c r="H524" s="1" t="s">
        <v>16</v>
      </c>
      <c r="I524" s="6" t="str">
        <f>IF(B524=0,VLOOKUP(A524,Feuil2!$A$2:$M$1241,7,FALSE)," ")</f>
        <v xml:space="preserve"> </v>
      </c>
      <c r="J524" s="1" t="str">
        <f>IF(B524=0,VLOOKUP(A524,Feuil2!$A$2:$M$1241,9,FALSE)," ")</f>
        <v xml:space="preserve"> </v>
      </c>
      <c r="K524" s="1" t="str">
        <f>IF(B524=0,VLOOKUP(A524,Feuil2!$A$2:$M$1241,10,FALSE)," ")</f>
        <v xml:space="preserve"> </v>
      </c>
      <c r="L524" s="1"/>
      <c r="M524" s="1"/>
      <c r="N524" s="1"/>
      <c r="O524" s="8" t="str">
        <f>IF(B524=0,VLOOKUP(A524,Feuil2!$A$2:$M$1241,13,FALSE)," ")</f>
        <v xml:space="preserve"> </v>
      </c>
    </row>
    <row r="525" spans="1:15" x14ac:dyDescent="0.3">
      <c r="A525" s="1">
        <v>1864</v>
      </c>
      <c r="B525" s="1">
        <v>0</v>
      </c>
      <c r="C525" s="1" t="str">
        <f>IF(B525=0,VLOOKUP(A525,Feuil2!$A$2:$M$1241,2,FALSE)," ")</f>
        <v>BOUSOBINE</v>
      </c>
      <c r="D525" s="1" t="str">
        <f>IF(B525=0,VLOOKUP(A525,Feuil2!$A$2:$M$1241,3,FALSE)," ")</f>
        <v>SAFOUANE</v>
      </c>
      <c r="E525" s="5">
        <f>IF(B525=0,VLOOKUP(A525,Feuil2!$A$2:$M$1241,6,FALSE)," ")</f>
        <v>30474</v>
      </c>
      <c r="F525" s="1" t="str">
        <f>IF(B525=0,VLOOKUP(A525,Feuil2!$A$2:$M$1241,12,FALSE)," ")</f>
        <v>H</v>
      </c>
      <c r="G525" s="1" t="str">
        <f>IF(B525=0,VLOOKUP(A525,Feuil2!$A$2:$M$1241,11,FALSE)," ")</f>
        <v>M</v>
      </c>
      <c r="H525" s="1" t="s">
        <v>16</v>
      </c>
      <c r="I525" s="6">
        <f>IF(B525=0,VLOOKUP(A525,Feuil2!$A$2:$M$1241,7,FALSE)," ")</f>
        <v>8445623</v>
      </c>
      <c r="J525" s="1" t="str">
        <f>IF(B525=0,VLOOKUP(A525,Feuil2!$A$2:$M$1241,9,FALSE)," ")</f>
        <v>18 Rue Farhat Hached</v>
      </c>
      <c r="K525" s="1" t="str">
        <f>IF(B525=0,VLOOKUP(A525,Feuil2!$A$2:$M$1241,10,FALSE)," ")</f>
        <v>Msaken 4070</v>
      </c>
      <c r="L525" s="1">
        <v>4070</v>
      </c>
      <c r="M525" s="1">
        <v>54992917</v>
      </c>
      <c r="N525" s="1"/>
      <c r="O525" s="10" t="s">
        <v>2467</v>
      </c>
    </row>
    <row r="526" spans="1:15" x14ac:dyDescent="0.3">
      <c r="A526" s="1">
        <v>1864</v>
      </c>
      <c r="B526" s="1">
        <v>1</v>
      </c>
      <c r="C526" s="1" t="s">
        <v>2466</v>
      </c>
      <c r="D526" s="1" t="s">
        <v>1925</v>
      </c>
      <c r="E526" s="5">
        <v>31701</v>
      </c>
      <c r="F526" s="1" t="s">
        <v>17</v>
      </c>
      <c r="G526" s="1" t="s">
        <v>15</v>
      </c>
      <c r="H526" s="1" t="s">
        <v>16</v>
      </c>
      <c r="I526" s="6" t="str">
        <f>IF(B526=0,VLOOKUP(A526,Feuil2!$A$2:$M$1241,7,FALSE)," ")</f>
        <v xml:space="preserve"> </v>
      </c>
      <c r="J526" s="1" t="str">
        <f>IF(B526=0,VLOOKUP(A526,Feuil2!$A$2:$M$1241,9,FALSE)," ")</f>
        <v xml:space="preserve"> </v>
      </c>
      <c r="K526" s="1" t="str">
        <f>IF(B526=0,VLOOKUP(A526,Feuil2!$A$2:$M$1241,10,FALSE)," ")</f>
        <v xml:space="preserve"> </v>
      </c>
      <c r="L526" s="1"/>
      <c r="M526" s="1"/>
      <c r="N526" s="1"/>
      <c r="O526" s="8" t="str">
        <f>IF(B526=0,VLOOKUP(A526,Feuil2!$A$2:$M$1241,13,FALSE)," ")</f>
        <v xml:space="preserve"> </v>
      </c>
    </row>
    <row r="527" spans="1:15" x14ac:dyDescent="0.3">
      <c r="A527" s="1">
        <v>1864</v>
      </c>
      <c r="B527" s="1">
        <v>2</v>
      </c>
      <c r="C527" s="1" t="s">
        <v>1794</v>
      </c>
      <c r="D527" s="1" t="s">
        <v>61</v>
      </c>
      <c r="E527" s="5">
        <v>42069</v>
      </c>
      <c r="F527" s="1" t="s">
        <v>506</v>
      </c>
      <c r="G527" s="1" t="str">
        <f>IF(B527=0,VLOOKUP(A527,Feuil2!$A$2:$M$1241,11,FALSE)," ")</f>
        <v xml:space="preserve"> </v>
      </c>
      <c r="H527" s="1" t="s">
        <v>16</v>
      </c>
      <c r="I527" s="6" t="str">
        <f>IF(B527=0,VLOOKUP(A527,Feuil2!$A$2:$M$1241,7,FALSE)," ")</f>
        <v xml:space="preserve"> </v>
      </c>
      <c r="J527" s="1" t="str">
        <f>IF(B527=0,VLOOKUP(A527,Feuil2!$A$2:$M$1241,9,FALSE)," ")</f>
        <v xml:space="preserve"> </v>
      </c>
      <c r="K527" s="1" t="str">
        <f>IF(B527=0,VLOOKUP(A527,Feuil2!$A$2:$M$1241,10,FALSE)," ")</f>
        <v xml:space="preserve"> </v>
      </c>
      <c r="L527" s="1"/>
      <c r="M527" s="1"/>
      <c r="N527" s="1"/>
      <c r="O527" s="8" t="str">
        <f>IF(B527=0,VLOOKUP(A527,Feuil2!$A$2:$M$1241,13,FALSE)," ")</f>
        <v xml:space="preserve"> </v>
      </c>
    </row>
    <row r="528" spans="1:15" x14ac:dyDescent="0.3">
      <c r="A528" s="1">
        <v>1864</v>
      </c>
      <c r="B528" s="1">
        <v>3</v>
      </c>
      <c r="C528" s="1" t="s">
        <v>1794</v>
      </c>
      <c r="D528" s="1" t="s">
        <v>2367</v>
      </c>
      <c r="E528" s="5">
        <v>43176</v>
      </c>
      <c r="F528" s="1" t="s">
        <v>17</v>
      </c>
      <c r="G528" s="1" t="str">
        <f>IF(B528=0,VLOOKUP(A528,Feuil2!$A$2:$M$1241,11,FALSE)," ")</f>
        <v xml:space="preserve"> </v>
      </c>
      <c r="H528" s="1" t="s">
        <v>16</v>
      </c>
      <c r="I528" s="6" t="str">
        <f>IF(B528=0,VLOOKUP(A528,Feuil2!$A$2:$M$1241,7,FALSE)," ")</f>
        <v xml:space="preserve"> </v>
      </c>
      <c r="J528" s="1" t="str">
        <f>IF(B528=0,VLOOKUP(A528,Feuil2!$A$2:$M$1241,9,FALSE)," ")</f>
        <v xml:space="preserve"> </v>
      </c>
      <c r="K528" s="1" t="str">
        <f>IF(B528=0,VLOOKUP(A528,Feuil2!$A$2:$M$1241,10,FALSE)," ")</f>
        <v xml:space="preserve"> </v>
      </c>
      <c r="L528" s="1"/>
      <c r="M528" s="1"/>
      <c r="N528" s="1"/>
      <c r="O528" s="8" t="str">
        <f>IF(B528=0,VLOOKUP(A528,Feuil2!$A$2:$M$1241,13,FALSE)," ")</f>
        <v xml:space="preserve"> </v>
      </c>
    </row>
    <row r="529" spans="1:15" x14ac:dyDescent="0.3">
      <c r="A529" s="1">
        <v>1864</v>
      </c>
      <c r="B529" s="1">
        <v>4</v>
      </c>
      <c r="C529" s="1" t="s">
        <v>1794</v>
      </c>
      <c r="D529" s="1" t="s">
        <v>2799</v>
      </c>
      <c r="E529" s="5">
        <v>44529</v>
      </c>
      <c r="F529" s="1" t="s">
        <v>17</v>
      </c>
      <c r="G529" s="1"/>
      <c r="H529" s="1" t="s">
        <v>16</v>
      </c>
      <c r="I529" s="6"/>
      <c r="J529" s="1"/>
      <c r="K529" s="1"/>
      <c r="L529" s="1"/>
      <c r="M529" s="1"/>
      <c r="N529" s="1"/>
      <c r="O529" s="8"/>
    </row>
    <row r="530" spans="1:15" x14ac:dyDescent="0.3">
      <c r="A530" s="1">
        <v>1872</v>
      </c>
      <c r="B530" s="1">
        <v>0</v>
      </c>
      <c r="C530" s="1" t="str">
        <f>IF(B530=0,VLOOKUP(A530,Feuil2!$A$2:$M$1241,2,FALSE)," ")</f>
        <v>DAHAY CHATTI</v>
      </c>
      <c r="D530" s="1" t="str">
        <f>IF(B530=0,VLOOKUP(A530,Feuil2!$A$2:$M$1241,3,FALSE)," ")</f>
        <v>BECHIR</v>
      </c>
      <c r="E530" s="5">
        <f>IF(B530=0,VLOOKUP(A530,Feuil2!$A$2:$M$1241,6,FALSE)," ")</f>
        <v>25994</v>
      </c>
      <c r="F530" s="1" t="str">
        <f>IF(B530=0,VLOOKUP(A530,Feuil2!$A$2:$M$1241,12,FALSE)," ")</f>
        <v>H</v>
      </c>
      <c r="G530" s="1" t="str">
        <f>IF(B530=0,VLOOKUP(A530,Feuil2!$A$2:$M$1241,11,FALSE)," ")</f>
        <v>M</v>
      </c>
      <c r="H530" s="1" t="s">
        <v>16</v>
      </c>
      <c r="I530" s="6">
        <f>IF(B530=0,VLOOKUP(A530,Feuil2!$A$2:$M$1241,7,FALSE)," ")</f>
        <v>2997919</v>
      </c>
      <c r="J530" s="1" t="str">
        <f>IF(B530=0,VLOOKUP(A530,Feuil2!$A$2:$M$1241,9,FALSE)," ")</f>
        <v>73 Rue 1er Juin</v>
      </c>
      <c r="K530" s="1" t="str">
        <f>IF(B530=0,VLOOKUP(A530,Feuil2!$A$2:$M$1241,10,FALSE)," ")</f>
        <v>Msaken 4070</v>
      </c>
      <c r="L530" s="1">
        <v>4070</v>
      </c>
      <c r="M530" s="1">
        <v>21748718</v>
      </c>
      <c r="N530" s="1"/>
      <c r="O530" s="8" t="str">
        <f>IF(B530=0,VLOOKUP(A530,Feuil2!$A$2:$M$1241,13,FALSE)," ")</f>
        <v>04204067404001194414</v>
      </c>
    </row>
    <row r="531" spans="1:15" x14ac:dyDescent="0.3">
      <c r="A531" s="1">
        <v>1872</v>
      </c>
      <c r="B531" s="1">
        <v>1</v>
      </c>
      <c r="C531" s="1" t="s">
        <v>2483</v>
      </c>
      <c r="D531" s="1" t="s">
        <v>1301</v>
      </c>
      <c r="E531" s="5">
        <v>29045</v>
      </c>
      <c r="F531" s="1" t="s">
        <v>17</v>
      </c>
      <c r="G531" s="1" t="s">
        <v>15</v>
      </c>
      <c r="H531" s="1" t="s">
        <v>16</v>
      </c>
      <c r="I531" s="6" t="str">
        <f>IF(B531=0,VLOOKUP(A531,Feuil2!$A$2:$M$1241,7,FALSE)," ")</f>
        <v xml:space="preserve"> </v>
      </c>
      <c r="J531" s="1" t="str">
        <f>IF(B531=0,VLOOKUP(A531,Feuil2!$A$2:$M$1241,9,FALSE)," ")</f>
        <v xml:space="preserve"> </v>
      </c>
      <c r="K531" s="1" t="str">
        <f>IF(B531=0,VLOOKUP(A531,Feuil2!$A$2:$M$1241,10,FALSE)," ")</f>
        <v xml:space="preserve"> </v>
      </c>
      <c r="L531" s="1"/>
      <c r="M531" s="1"/>
      <c r="N531" s="1"/>
      <c r="O531" s="8" t="str">
        <f>IF(B531=0,VLOOKUP(A531,Feuil2!$A$2:$M$1241,13,FALSE)," ")</f>
        <v xml:space="preserve"> </v>
      </c>
    </row>
    <row r="532" spans="1:15" x14ac:dyDescent="0.3">
      <c r="A532" s="1">
        <v>1872</v>
      </c>
      <c r="B532" s="1">
        <v>2</v>
      </c>
      <c r="C532" s="1" t="s">
        <v>1804</v>
      </c>
      <c r="D532" s="1" t="s">
        <v>2465</v>
      </c>
      <c r="E532" s="5">
        <v>37957</v>
      </c>
      <c r="F532" s="1" t="s">
        <v>506</v>
      </c>
      <c r="G532" s="1" t="str">
        <f>IF(B532=0,VLOOKUP(A532,Feuil2!$A$2:$M$1241,11,FALSE)," ")</f>
        <v xml:space="preserve"> </v>
      </c>
      <c r="H532" s="1" t="s">
        <v>16</v>
      </c>
      <c r="I532" s="6" t="str">
        <f>IF(B532=0,VLOOKUP(A532,Feuil2!$A$2:$M$1241,7,FALSE)," ")</f>
        <v xml:space="preserve"> </v>
      </c>
      <c r="J532" s="1" t="str">
        <f>IF(B532=0,VLOOKUP(A532,Feuil2!$A$2:$M$1241,9,FALSE)," ")</f>
        <v xml:space="preserve"> </v>
      </c>
      <c r="K532" s="1" t="str">
        <f>IF(B532=0,VLOOKUP(A532,Feuil2!$A$2:$M$1241,10,FALSE)," ")</f>
        <v xml:space="preserve"> </v>
      </c>
      <c r="L532" s="1"/>
      <c r="M532" s="1"/>
      <c r="N532" s="1"/>
      <c r="O532" s="8" t="str">
        <f>IF(B532=0,VLOOKUP(A532,Feuil2!$A$2:$M$1241,13,FALSE)," ")</f>
        <v xml:space="preserve"> </v>
      </c>
    </row>
    <row r="533" spans="1:15" x14ac:dyDescent="0.3">
      <c r="A533" s="1">
        <v>1872</v>
      </c>
      <c r="B533" s="1">
        <v>3</v>
      </c>
      <c r="C533" s="1" t="s">
        <v>1804</v>
      </c>
      <c r="D533" s="1" t="s">
        <v>2484</v>
      </c>
      <c r="E533" s="5">
        <v>39240</v>
      </c>
      <c r="F533" s="1" t="s">
        <v>17</v>
      </c>
      <c r="G533" s="1" t="str">
        <f>IF(B533=0,VLOOKUP(A533,Feuil2!$A$2:$M$1241,11,FALSE)," ")</f>
        <v xml:space="preserve"> </v>
      </c>
      <c r="H533" s="1" t="s">
        <v>16</v>
      </c>
      <c r="I533" s="6" t="str">
        <f>IF(B533=0,VLOOKUP(A533,Feuil2!$A$2:$M$1241,7,FALSE)," ")</f>
        <v xml:space="preserve"> </v>
      </c>
      <c r="J533" s="1" t="str">
        <f>IF(B533=0,VLOOKUP(A533,Feuil2!$A$2:$M$1241,9,FALSE)," ")</f>
        <v xml:space="preserve"> </v>
      </c>
      <c r="K533" s="1" t="str">
        <f>IF(B533=0,VLOOKUP(A533,Feuil2!$A$2:$M$1241,10,FALSE)," ")</f>
        <v xml:space="preserve"> </v>
      </c>
      <c r="L533" s="1"/>
      <c r="M533" s="1"/>
      <c r="N533" s="1"/>
      <c r="O533" s="8" t="str">
        <f>IF(B533=0,VLOOKUP(A533,Feuil2!$A$2:$M$1241,13,FALSE)," ")</f>
        <v xml:space="preserve"> </v>
      </c>
    </row>
    <row r="534" spans="1:15" x14ac:dyDescent="0.3">
      <c r="A534" s="1">
        <v>1878</v>
      </c>
      <c r="B534" s="1">
        <v>0</v>
      </c>
      <c r="C534" s="1" t="str">
        <f>IF(B534=0,VLOOKUP(A534,Feuil2!$A$2:$M$1241,2,FALSE)," ")</f>
        <v>BOUHLEL</v>
      </c>
      <c r="D534" s="1" t="str">
        <f>IF(B534=0,VLOOKUP(A534,Feuil2!$A$2:$M$1241,3,FALSE)," ")</f>
        <v>MED ALI</v>
      </c>
      <c r="E534" s="5">
        <f>IF(B534=0,VLOOKUP(A534,Feuil2!$A$2:$M$1241,6,FALSE)," ")</f>
        <v>29727</v>
      </c>
      <c r="F534" s="1" t="str">
        <f>IF(B534=0,VLOOKUP(A534,Feuil2!$A$2:$M$1241,12,FALSE)," ")</f>
        <v>H</v>
      </c>
      <c r="G534" s="1" t="str">
        <f>IF(B534=0,VLOOKUP(A534,Feuil2!$A$2:$M$1241,11,FALSE)," ")</f>
        <v>M</v>
      </c>
      <c r="H534" s="1" t="s">
        <v>16</v>
      </c>
      <c r="I534" s="6">
        <f>IF(B534=0,VLOOKUP(A534,Feuil2!$A$2:$M$1241,7,FALSE)," ")</f>
        <v>8427725</v>
      </c>
      <c r="J534" s="1" t="str">
        <f>IF(B534=0,VLOOKUP(A534,Feuil2!$A$2:$M$1241,9,FALSE)," ")</f>
        <v>29 Rue Ain Draham</v>
      </c>
      <c r="K534" s="1" t="str">
        <f>IF(B534=0,VLOOKUP(A534,Feuil2!$A$2:$M$1241,10,FALSE)," ")</f>
        <v>Msaken 4070</v>
      </c>
      <c r="L534" s="1">
        <v>4070</v>
      </c>
      <c r="M534" s="1">
        <v>54125300</v>
      </c>
      <c r="N534" s="1"/>
      <c r="O534" s="8" t="str">
        <f>IF(B534=0,VLOOKUP(A534,Feuil2!$A$2:$M$1241,13,FALSE)," ")</f>
        <v>25018000000024016590</v>
      </c>
    </row>
    <row r="535" spans="1:15" x14ac:dyDescent="0.3">
      <c r="A535" s="1">
        <v>1878</v>
      </c>
      <c r="B535" s="1">
        <v>1</v>
      </c>
      <c r="C535" s="1" t="s">
        <v>103</v>
      </c>
      <c r="D535" s="1" t="s">
        <v>2547</v>
      </c>
      <c r="E535" s="5">
        <v>32428</v>
      </c>
      <c r="F535" s="1" t="s">
        <v>17</v>
      </c>
      <c r="G535" s="1" t="s">
        <v>15</v>
      </c>
      <c r="H535" s="1" t="s">
        <v>16</v>
      </c>
      <c r="I535" s="6" t="str">
        <f>IF(B535=0,VLOOKUP(A535,Feuil2!$A$2:$M$1241,7,FALSE)," ")</f>
        <v xml:space="preserve"> </v>
      </c>
      <c r="J535" s="1" t="str">
        <f>IF(B535=0,VLOOKUP(A535,Feuil2!$A$2:$M$1241,9,FALSE)," ")</f>
        <v xml:space="preserve"> </v>
      </c>
      <c r="K535" s="1" t="str">
        <f>IF(B535=0,VLOOKUP(A535,Feuil2!$A$2:$M$1241,10,FALSE)," ")</f>
        <v xml:space="preserve"> </v>
      </c>
      <c r="L535" s="1"/>
      <c r="M535" s="1"/>
      <c r="N535" s="1"/>
      <c r="O535" s="8" t="str">
        <f>IF(B535=0,VLOOKUP(A535,Feuil2!$A$2:$M$1241,13,FALSE)," ")</f>
        <v xml:space="preserve"> </v>
      </c>
    </row>
    <row r="536" spans="1:15" x14ac:dyDescent="0.3">
      <c r="A536" s="1">
        <v>1878</v>
      </c>
      <c r="B536" s="1">
        <v>2</v>
      </c>
      <c r="C536" s="1" t="s">
        <v>83</v>
      </c>
      <c r="D536" s="1" t="s">
        <v>212</v>
      </c>
      <c r="E536" s="5">
        <v>41576</v>
      </c>
      <c r="F536" s="1" t="s">
        <v>506</v>
      </c>
      <c r="G536" s="1" t="str">
        <f>IF(B536=0,VLOOKUP(A536,Feuil2!$A$2:$M$1241,11,FALSE)," ")</f>
        <v xml:space="preserve"> </v>
      </c>
      <c r="H536" s="1" t="s">
        <v>16</v>
      </c>
      <c r="I536" s="6" t="str">
        <f>IF(B536=0,VLOOKUP(A536,Feuil2!$A$2:$M$1241,7,FALSE)," ")</f>
        <v xml:space="preserve"> </v>
      </c>
      <c r="J536" s="1" t="str">
        <f>IF(B536=0,VLOOKUP(A536,Feuil2!$A$2:$M$1241,9,FALSE)," ")</f>
        <v xml:space="preserve"> </v>
      </c>
      <c r="K536" s="1" t="str">
        <f>IF(B536=0,VLOOKUP(A536,Feuil2!$A$2:$M$1241,10,FALSE)," ")</f>
        <v xml:space="preserve"> </v>
      </c>
      <c r="L536" s="1"/>
      <c r="M536" s="1"/>
      <c r="N536" s="1"/>
      <c r="O536" s="8" t="str">
        <f>IF(B536=0,VLOOKUP(A536,Feuil2!$A$2:$M$1241,13,FALSE)," ")</f>
        <v xml:space="preserve"> </v>
      </c>
    </row>
    <row r="537" spans="1:15" x14ac:dyDescent="0.3">
      <c r="A537" s="1">
        <v>1878</v>
      </c>
      <c r="B537" s="1">
        <v>3</v>
      </c>
      <c r="C537" s="1" t="s">
        <v>83</v>
      </c>
      <c r="D537" s="1" t="s">
        <v>2347</v>
      </c>
      <c r="E537" s="5">
        <v>43202</v>
      </c>
      <c r="F537" s="1" t="s">
        <v>506</v>
      </c>
      <c r="G537" s="1" t="str">
        <f>IF(B537=0,VLOOKUP(A537,Feuil2!$A$2:$M$1241,11,FALSE)," ")</f>
        <v xml:space="preserve"> </v>
      </c>
      <c r="H537" s="1" t="s">
        <v>16</v>
      </c>
      <c r="I537" s="6" t="str">
        <f>IF(B537=0,VLOOKUP(A537,Feuil2!$A$2:$M$1241,7,FALSE)," ")</f>
        <v xml:space="preserve"> </v>
      </c>
      <c r="J537" s="1" t="str">
        <f>IF(B537=0,VLOOKUP(A537,Feuil2!$A$2:$M$1241,9,FALSE)," ")</f>
        <v xml:space="preserve"> </v>
      </c>
      <c r="K537" s="1" t="str">
        <f>IF(B537=0,VLOOKUP(A537,Feuil2!$A$2:$M$1241,10,FALSE)," ")</f>
        <v xml:space="preserve"> </v>
      </c>
      <c r="L537" s="1"/>
      <c r="M537" s="1"/>
      <c r="N537" s="1"/>
      <c r="O537" s="8" t="str">
        <f>IF(B537=0,VLOOKUP(A537,Feuil2!$A$2:$M$1241,13,FALSE)," ")</f>
        <v xml:space="preserve"> </v>
      </c>
    </row>
    <row r="538" spans="1:15" x14ac:dyDescent="0.3">
      <c r="A538" s="1">
        <v>1881</v>
      </c>
      <c r="B538" s="1">
        <v>0</v>
      </c>
      <c r="C538" s="1" t="str">
        <f>IF(B538=0,VLOOKUP(A538,Feuil2!$A$2:$M$1241,2,FALSE)," ")</f>
        <v>ARFAOUI</v>
      </c>
      <c r="D538" s="1" t="str">
        <f>IF(B538=0,VLOOKUP(A538,Feuil2!$A$2:$M$1241,3,FALSE)," ")</f>
        <v>BECHIR</v>
      </c>
      <c r="E538" s="5">
        <f>IF(B538=0,VLOOKUP(A538,Feuil2!$A$2:$M$1241,6,FALSE)," ")</f>
        <v>26946</v>
      </c>
      <c r="F538" s="1" t="str">
        <f>IF(B538=0,VLOOKUP(A538,Feuil2!$A$2:$M$1241,12,FALSE)," ")</f>
        <v>H</v>
      </c>
      <c r="G538" s="1" t="str">
        <f>IF(B538=0,VLOOKUP(A538,Feuil2!$A$2:$M$1241,11,FALSE)," ")</f>
        <v>M</v>
      </c>
      <c r="H538" s="1" t="s">
        <v>16</v>
      </c>
      <c r="I538" s="6">
        <f>IF(B538=0,VLOOKUP(A538,Feuil2!$A$2:$M$1241,7,FALSE)," ")</f>
        <v>7513014</v>
      </c>
      <c r="J538" s="1" t="str">
        <f>IF(B538=0,VLOOKUP(A538,Feuil2!$A$2:$M$1241,9,FALSE)," ")</f>
        <v>Rue 5146 nÂ° 560</v>
      </c>
      <c r="K538" s="1" t="str">
        <f>IF(B538=0,VLOOKUP(A538,Feuil2!$A$2:$M$1241,10,FALSE)," ")</f>
        <v>CitÃ© Erriadh</v>
      </c>
      <c r="L538" s="1"/>
      <c r="M538" s="1">
        <v>97499172</v>
      </c>
      <c r="N538" s="1"/>
      <c r="O538" s="8" t="str">
        <f>IF(B538=0,VLOOKUP(A538,Feuil2!$A$2:$M$1241,13,FALSE)," ")</f>
        <v>12015000960100861816</v>
      </c>
    </row>
    <row r="539" spans="1:15" x14ac:dyDescent="0.3">
      <c r="A539" s="1">
        <v>1881</v>
      </c>
      <c r="B539" s="1">
        <v>1</v>
      </c>
      <c r="C539" s="1" t="s">
        <v>2534</v>
      </c>
      <c r="D539" s="1" t="s">
        <v>2535</v>
      </c>
      <c r="E539" s="5">
        <v>28873</v>
      </c>
      <c r="F539" s="1" t="s">
        <v>17</v>
      </c>
      <c r="G539" s="1" t="s">
        <v>15</v>
      </c>
      <c r="H539" s="1" t="s">
        <v>16</v>
      </c>
      <c r="I539" s="6" t="str">
        <f>IF(B539=0,VLOOKUP(A539,Feuil2!$A$2:$M$1241,7,FALSE)," ")</f>
        <v xml:space="preserve"> </v>
      </c>
      <c r="J539" s="1" t="str">
        <f>IF(B539=0,VLOOKUP(A539,Feuil2!$A$2:$M$1241,9,FALSE)," ")</f>
        <v xml:space="preserve"> </v>
      </c>
      <c r="K539" s="1" t="str">
        <f>IF(B539=0,VLOOKUP(A539,Feuil2!$A$2:$M$1241,10,FALSE)," ")</f>
        <v xml:space="preserve"> </v>
      </c>
      <c r="L539" s="1"/>
      <c r="M539" s="1"/>
      <c r="N539" s="1"/>
      <c r="O539" s="8" t="str">
        <f>IF(B539=0,VLOOKUP(A539,Feuil2!$A$2:$M$1241,13,FALSE)," ")</f>
        <v xml:space="preserve"> </v>
      </c>
    </row>
    <row r="540" spans="1:15" x14ac:dyDescent="0.3">
      <c r="A540" s="1">
        <v>1881</v>
      </c>
      <c r="B540" s="1">
        <v>2</v>
      </c>
      <c r="C540" s="1" t="s">
        <v>27</v>
      </c>
      <c r="D540" s="1" t="s">
        <v>2497</v>
      </c>
      <c r="E540" s="5">
        <v>39541</v>
      </c>
      <c r="F540" s="1" t="s">
        <v>506</v>
      </c>
      <c r="G540" s="1" t="str">
        <f>IF(B540=0,VLOOKUP(A540,Feuil2!$A$2:$M$1241,11,FALSE)," ")</f>
        <v xml:space="preserve"> </v>
      </c>
      <c r="H540" s="1" t="s">
        <v>16</v>
      </c>
      <c r="I540" s="6" t="str">
        <f>IF(B540=0,VLOOKUP(A540,Feuil2!$A$2:$M$1241,7,FALSE)," ")</f>
        <v xml:space="preserve"> </v>
      </c>
      <c r="J540" s="1" t="str">
        <f>IF(B540=0,VLOOKUP(A540,Feuil2!$A$2:$M$1241,9,FALSE)," ")</f>
        <v xml:space="preserve"> </v>
      </c>
      <c r="K540" s="1" t="str">
        <f>IF(B540=0,VLOOKUP(A540,Feuil2!$A$2:$M$1241,10,FALSE)," ")</f>
        <v xml:space="preserve"> </v>
      </c>
      <c r="L540" s="1"/>
      <c r="M540" s="1"/>
      <c r="N540" s="1"/>
      <c r="O540" s="8" t="str">
        <f>IF(B540=0,VLOOKUP(A540,Feuil2!$A$2:$M$1241,13,FALSE)," ")</f>
        <v xml:space="preserve"> </v>
      </c>
    </row>
    <row r="541" spans="1:15" x14ac:dyDescent="0.3">
      <c r="A541" s="1">
        <v>1881</v>
      </c>
      <c r="B541" s="1">
        <v>3</v>
      </c>
      <c r="C541" s="1" t="s">
        <v>27</v>
      </c>
      <c r="D541" s="1" t="s">
        <v>2536</v>
      </c>
      <c r="E541" s="5">
        <v>40472</v>
      </c>
      <c r="F541" s="1" t="s">
        <v>506</v>
      </c>
      <c r="G541" s="1" t="str">
        <f>IF(B541=0,VLOOKUP(A541,Feuil2!$A$2:$M$1241,11,FALSE)," ")</f>
        <v xml:space="preserve"> </v>
      </c>
      <c r="H541" s="1" t="s">
        <v>16</v>
      </c>
      <c r="I541" s="6" t="str">
        <f>IF(B541=0,VLOOKUP(A541,Feuil2!$A$2:$M$1241,7,FALSE)," ")</f>
        <v xml:space="preserve"> </v>
      </c>
      <c r="J541" s="1" t="str">
        <f>IF(B541=0,VLOOKUP(A541,Feuil2!$A$2:$M$1241,9,FALSE)," ")</f>
        <v xml:space="preserve"> </v>
      </c>
      <c r="K541" s="1" t="str">
        <f>IF(B541=0,VLOOKUP(A541,Feuil2!$A$2:$M$1241,10,FALSE)," ")</f>
        <v xml:space="preserve"> </v>
      </c>
      <c r="L541" s="1"/>
      <c r="M541" s="1"/>
      <c r="N541" s="1"/>
      <c r="O541" s="8" t="str">
        <f>IF(B541=0,VLOOKUP(A541,Feuil2!$A$2:$M$1241,13,FALSE)," ")</f>
        <v xml:space="preserve"> </v>
      </c>
    </row>
    <row r="542" spans="1:15" x14ac:dyDescent="0.3">
      <c r="A542" s="1">
        <v>1881</v>
      </c>
      <c r="B542" s="1">
        <v>4</v>
      </c>
      <c r="C542" s="1" t="s">
        <v>27</v>
      </c>
      <c r="D542" s="1" t="s">
        <v>321</v>
      </c>
      <c r="E542" s="5">
        <v>40940</v>
      </c>
      <c r="F542" s="1" t="s">
        <v>506</v>
      </c>
      <c r="G542" s="1" t="str">
        <f>IF(B542=0,VLOOKUP(A542,Feuil2!$A$2:$M$1241,11,FALSE)," ")</f>
        <v xml:space="preserve"> </v>
      </c>
      <c r="H542" s="1" t="s">
        <v>16</v>
      </c>
      <c r="I542" s="6" t="str">
        <f>IF(B542=0,VLOOKUP(A542,Feuil2!$A$2:$M$1241,7,FALSE)," ")</f>
        <v xml:space="preserve"> </v>
      </c>
      <c r="J542" s="1" t="str">
        <f>IF(B542=0,VLOOKUP(A542,Feuil2!$A$2:$M$1241,9,FALSE)," ")</f>
        <v xml:space="preserve"> </v>
      </c>
      <c r="K542" s="1" t="str">
        <f>IF(B542=0,VLOOKUP(A542,Feuil2!$A$2:$M$1241,10,FALSE)," ")</f>
        <v xml:space="preserve"> </v>
      </c>
      <c r="L542" s="1"/>
      <c r="M542" s="1"/>
      <c r="N542" s="1"/>
      <c r="O542" s="8" t="str">
        <f>IF(B542=0,VLOOKUP(A542,Feuil2!$A$2:$M$1241,13,FALSE)," ")</f>
        <v xml:space="preserve"> </v>
      </c>
    </row>
    <row r="543" spans="1:15" x14ac:dyDescent="0.3">
      <c r="A543" s="1">
        <v>1882</v>
      </c>
      <c r="B543" s="1">
        <v>0</v>
      </c>
      <c r="C543" s="1" t="str">
        <f>IF(B543=0,VLOOKUP(A543,Feuil2!$A$2:$M$1241,2,FALSE)," ")</f>
        <v>AMARA</v>
      </c>
      <c r="D543" s="1" t="str">
        <f>IF(B543=0,VLOOKUP(A543,Feuil2!$A$2:$M$1241,3,FALSE)," ")</f>
        <v>SOFIANE</v>
      </c>
      <c r="E543" s="5">
        <f>IF(B543=0,VLOOKUP(A543,Feuil2!$A$2:$M$1241,6,FALSE)," ")</f>
        <v>28129</v>
      </c>
      <c r="F543" s="1" t="str">
        <f>IF(B543=0,VLOOKUP(A543,Feuil2!$A$2:$M$1241,12,FALSE)," ")</f>
        <v>H</v>
      </c>
      <c r="G543" s="1" t="str">
        <f>IF(B543=0,VLOOKUP(A543,Feuil2!$A$2:$M$1241,11,FALSE)," ")</f>
        <v>M</v>
      </c>
      <c r="H543" s="1" t="s">
        <v>16</v>
      </c>
      <c r="I543" s="6">
        <f>IF(B543=0,VLOOKUP(A543,Feuil2!$A$2:$M$1241,7,FALSE)," ")</f>
        <v>5583203</v>
      </c>
      <c r="J543" s="1" t="str">
        <f>IF(B543=0,VLOOKUP(A543,Feuil2!$A$2:$M$1241,9,FALSE)," ")</f>
        <v>156 Rue Mohamed Ali</v>
      </c>
      <c r="K543" s="1" t="str">
        <f>IF(B543=0,VLOOKUP(A543,Feuil2!$A$2:$M$1241,10,FALSE)," ")</f>
        <v>Msaken 4070</v>
      </c>
      <c r="L543" s="1">
        <v>4070</v>
      </c>
      <c r="M543" s="1">
        <v>98783241</v>
      </c>
      <c r="N543" s="1"/>
      <c r="O543" s="8" t="str">
        <f>IF(B543=0,VLOOKUP(A543,Feuil2!$A$2:$M$1241,13,FALSE)," ")</f>
        <v>03508056010110008205</v>
      </c>
    </row>
    <row r="544" spans="1:15" x14ac:dyDescent="0.3">
      <c r="A544" s="1">
        <v>1882</v>
      </c>
      <c r="B544" s="1">
        <v>1</v>
      </c>
      <c r="C544" s="1" t="s">
        <v>2436</v>
      </c>
      <c r="D544" s="1" t="s">
        <v>2348</v>
      </c>
      <c r="E544" s="5">
        <v>31108</v>
      </c>
      <c r="F544" s="1" t="s">
        <v>17</v>
      </c>
      <c r="G544" s="1" t="s">
        <v>15</v>
      </c>
      <c r="H544" s="1" t="s">
        <v>16</v>
      </c>
      <c r="I544" s="6" t="str">
        <f>IF(B544=0,VLOOKUP(A544,Feuil2!$A$2:$M$1241,7,FALSE)," ")</f>
        <v xml:space="preserve"> </v>
      </c>
      <c r="J544" s="1" t="str">
        <f>IF(B544=0,VLOOKUP(A544,Feuil2!$A$2:$M$1241,9,FALSE)," ")</f>
        <v xml:space="preserve"> </v>
      </c>
      <c r="K544" s="1" t="str">
        <f>IF(B544=0,VLOOKUP(A544,Feuil2!$A$2:$M$1241,10,FALSE)," ")</f>
        <v xml:space="preserve"> </v>
      </c>
      <c r="L544" s="1"/>
      <c r="M544" s="1"/>
      <c r="N544" s="1"/>
      <c r="O544" s="8" t="str">
        <f>IF(B544=0,VLOOKUP(A544,Feuil2!$A$2:$M$1241,13,FALSE)," ")</f>
        <v xml:space="preserve"> </v>
      </c>
    </row>
    <row r="545" spans="1:15" x14ac:dyDescent="0.3">
      <c r="A545" s="1">
        <v>1882</v>
      </c>
      <c r="B545" s="1">
        <v>2</v>
      </c>
      <c r="C545" s="1" t="s">
        <v>163</v>
      </c>
      <c r="D545" s="1" t="s">
        <v>2437</v>
      </c>
      <c r="E545" s="5">
        <v>40492</v>
      </c>
      <c r="F545" s="1" t="s">
        <v>17</v>
      </c>
      <c r="G545" s="1" t="str">
        <f>IF(B545=0,VLOOKUP(A545,Feuil2!$A$2:$M$1241,11,FALSE)," ")</f>
        <v xml:space="preserve"> </v>
      </c>
      <c r="H545" s="1" t="s">
        <v>16</v>
      </c>
      <c r="I545" s="6" t="str">
        <f>IF(B545=0,VLOOKUP(A545,Feuil2!$A$2:$M$1241,7,FALSE)," ")</f>
        <v xml:space="preserve"> </v>
      </c>
      <c r="J545" s="1" t="str">
        <f>IF(B545=0,VLOOKUP(A545,Feuil2!$A$2:$M$1241,9,FALSE)," ")</f>
        <v xml:space="preserve"> </v>
      </c>
      <c r="K545" s="1" t="str">
        <f>IF(B545=0,VLOOKUP(A545,Feuil2!$A$2:$M$1241,10,FALSE)," ")</f>
        <v xml:space="preserve"> </v>
      </c>
      <c r="L545" s="1"/>
      <c r="M545" s="1"/>
      <c r="N545" s="1"/>
      <c r="O545" s="8" t="str">
        <f>IF(B545=0,VLOOKUP(A545,Feuil2!$A$2:$M$1241,13,FALSE)," ")</f>
        <v xml:space="preserve"> </v>
      </c>
    </row>
    <row r="546" spans="1:15" x14ac:dyDescent="0.3">
      <c r="A546" s="1">
        <v>1882</v>
      </c>
      <c r="B546" s="1">
        <v>3</v>
      </c>
      <c r="C546" s="1" t="s">
        <v>163</v>
      </c>
      <c r="D546" s="1" t="s">
        <v>2349</v>
      </c>
      <c r="E546" s="5">
        <v>41463</v>
      </c>
      <c r="F546" s="1" t="s">
        <v>506</v>
      </c>
      <c r="G546" s="1" t="str">
        <f>IF(B546=0,VLOOKUP(A546,Feuil2!$A$2:$M$1241,11,FALSE)," ")</f>
        <v xml:space="preserve"> </v>
      </c>
      <c r="H546" s="1" t="s">
        <v>16</v>
      </c>
      <c r="I546" s="6" t="str">
        <f>IF(B546=0,VLOOKUP(A546,Feuil2!$A$2:$M$1241,7,FALSE)," ")</f>
        <v xml:space="preserve"> </v>
      </c>
      <c r="J546" s="1" t="str">
        <f>IF(B546=0,VLOOKUP(A546,Feuil2!$A$2:$M$1241,9,FALSE)," ")</f>
        <v xml:space="preserve"> </v>
      </c>
      <c r="K546" s="1" t="str">
        <f>IF(B546=0,VLOOKUP(A546,Feuil2!$A$2:$M$1241,10,FALSE)," ")</f>
        <v xml:space="preserve"> </v>
      </c>
      <c r="L546" s="1"/>
      <c r="M546" s="1"/>
      <c r="N546" s="1"/>
      <c r="O546" s="8" t="str">
        <f>IF(B546=0,VLOOKUP(A546,Feuil2!$A$2:$M$1241,13,FALSE)," ")</f>
        <v xml:space="preserve"> </v>
      </c>
    </row>
    <row r="547" spans="1:15" x14ac:dyDescent="0.3">
      <c r="A547" s="1">
        <v>1897</v>
      </c>
      <c r="B547" s="1">
        <v>0</v>
      </c>
      <c r="C547" s="1" t="str">
        <f>IF(B547=0,VLOOKUP(A547,Feuil2!$A$2:$M$1241,2,FALSE)," ")</f>
        <v>BOHLI</v>
      </c>
      <c r="D547" s="1" t="str">
        <f>IF(B547=0,VLOOKUP(A547,Feuil2!$A$2:$M$1241,3,FALSE)," ")</f>
        <v>AMOR</v>
      </c>
      <c r="E547" s="5">
        <f>IF(B547=0,VLOOKUP(A547,Feuil2!$A$2:$M$1241,6,FALSE)," ")</f>
        <v>29735</v>
      </c>
      <c r="F547" s="1" t="str">
        <f>IF(B547=0,VLOOKUP(A547,Feuil2!$A$2:$M$1241,12,FALSE)," ")</f>
        <v>H</v>
      </c>
      <c r="G547" s="1" t="str">
        <f>IF(B547=0,VLOOKUP(A547,Feuil2!$A$2:$M$1241,11,FALSE)," ")</f>
        <v>M</v>
      </c>
      <c r="H547" s="1" t="s">
        <v>16</v>
      </c>
      <c r="I547" s="6">
        <f>IF(B547=0,VLOOKUP(A547,Feuil2!$A$2:$M$1241,7,FALSE)," ")</f>
        <v>8456541</v>
      </c>
      <c r="J547" s="1" t="str">
        <f>IF(B547=0,VLOOKUP(A547,Feuil2!$A$2:$M$1241,9,FALSE)," ")</f>
        <v>571, Rue Taha Hassine</v>
      </c>
      <c r="K547" s="1" t="str">
        <f>IF(B547=0,VLOOKUP(A547,Feuil2!$A$2:$M$1241,10,FALSE)," ")</f>
        <v>CitÃ© Ezzouhour</v>
      </c>
      <c r="L547" s="1"/>
      <c r="M547" s="1">
        <v>53869307</v>
      </c>
      <c r="N547" s="1"/>
      <c r="O547" s="8" t="str">
        <f>IF(B547=0,VLOOKUP(A547,Feuil2!$A$2:$M$1241,13,FALSE)," ")</f>
        <v>08507000262004911849</v>
      </c>
    </row>
    <row r="548" spans="1:15" x14ac:dyDescent="0.3">
      <c r="A548" s="1">
        <v>1897</v>
      </c>
      <c r="B548" s="1">
        <v>1</v>
      </c>
      <c r="C548" s="1" t="s">
        <v>2410</v>
      </c>
      <c r="D548" s="1" t="s">
        <v>2411</v>
      </c>
      <c r="E548" s="5">
        <v>31698</v>
      </c>
      <c r="F548" s="1" t="s">
        <v>17</v>
      </c>
      <c r="G548" s="1" t="s">
        <v>15</v>
      </c>
      <c r="H548" s="1" t="s">
        <v>16</v>
      </c>
      <c r="I548" s="6" t="str">
        <f>IF(B548=0,VLOOKUP(A548,Feuil2!$A$2:$M$1241,7,FALSE)," ")</f>
        <v xml:space="preserve"> </v>
      </c>
      <c r="J548" s="1" t="str">
        <f>IF(B548=0,VLOOKUP(A548,Feuil2!$A$2:$M$1241,9,FALSE)," ")</f>
        <v xml:space="preserve"> </v>
      </c>
      <c r="K548" s="1" t="str">
        <f>IF(B548=0,VLOOKUP(A548,Feuil2!$A$2:$M$1241,10,FALSE)," ")</f>
        <v xml:space="preserve"> </v>
      </c>
      <c r="L548" s="1"/>
      <c r="M548" s="1"/>
      <c r="N548" s="1"/>
      <c r="O548" s="8" t="str">
        <f>IF(B548=0,VLOOKUP(A548,Feuil2!$A$2:$M$1241,13,FALSE)," ")</f>
        <v xml:space="preserve"> </v>
      </c>
    </row>
    <row r="549" spans="1:15" x14ac:dyDescent="0.3">
      <c r="A549" s="1">
        <v>1897</v>
      </c>
      <c r="B549" s="1">
        <v>2</v>
      </c>
      <c r="C549" s="1" t="s">
        <v>473</v>
      </c>
      <c r="D549" s="1" t="s">
        <v>2412</v>
      </c>
      <c r="E549" s="5">
        <v>41719</v>
      </c>
      <c r="F549" s="1" t="s">
        <v>17</v>
      </c>
      <c r="G549" s="1" t="str">
        <f>IF(B549=0,VLOOKUP(A549,Feuil2!$A$2:$M$1241,11,FALSE)," ")</f>
        <v xml:space="preserve"> </v>
      </c>
      <c r="H549" s="1" t="s">
        <v>16</v>
      </c>
      <c r="I549" s="6" t="str">
        <f>IF(B549=0,VLOOKUP(A549,Feuil2!$A$2:$M$1241,7,FALSE)," ")</f>
        <v xml:space="preserve"> </v>
      </c>
      <c r="J549" s="1" t="str">
        <f>IF(B549=0,VLOOKUP(A549,Feuil2!$A$2:$M$1241,9,FALSE)," ")</f>
        <v xml:space="preserve"> </v>
      </c>
      <c r="K549" s="1" t="str">
        <f>IF(B549=0,VLOOKUP(A549,Feuil2!$A$2:$M$1241,10,FALSE)," ")</f>
        <v xml:space="preserve"> </v>
      </c>
      <c r="L549" s="1"/>
      <c r="M549" s="1"/>
      <c r="N549" s="1"/>
      <c r="O549" s="8" t="str">
        <f>IF(B549=0,VLOOKUP(A549,Feuil2!$A$2:$M$1241,13,FALSE)," ")</f>
        <v xml:space="preserve"> </v>
      </c>
    </row>
    <row r="550" spans="1:15" x14ac:dyDescent="0.3">
      <c r="A550" s="1">
        <v>1897</v>
      </c>
      <c r="B550" s="1">
        <v>3</v>
      </c>
      <c r="C550" s="1" t="s">
        <v>473</v>
      </c>
      <c r="D550" s="1" t="s">
        <v>441</v>
      </c>
      <c r="E550" s="5">
        <v>42327</v>
      </c>
      <c r="F550" s="1" t="s">
        <v>506</v>
      </c>
      <c r="G550" s="1" t="str">
        <f>IF(B550=0,VLOOKUP(A550,Feuil2!$A$2:$M$1241,11,FALSE)," ")</f>
        <v xml:space="preserve"> </v>
      </c>
      <c r="H550" s="1" t="s">
        <v>16</v>
      </c>
      <c r="I550" s="6" t="str">
        <f>IF(B550=0,VLOOKUP(A550,Feuil2!$A$2:$M$1241,7,FALSE)," ")</f>
        <v xml:space="preserve"> </v>
      </c>
      <c r="J550" s="1" t="str">
        <f>IF(B550=0,VLOOKUP(A550,Feuil2!$A$2:$M$1241,9,FALSE)," ")</f>
        <v xml:space="preserve"> </v>
      </c>
      <c r="K550" s="1" t="str">
        <f>IF(B550=0,VLOOKUP(A550,Feuil2!$A$2:$M$1241,10,FALSE)," ")</f>
        <v xml:space="preserve"> </v>
      </c>
      <c r="L550" s="1"/>
      <c r="M550" s="1"/>
      <c r="N550" s="1"/>
      <c r="O550" s="8" t="str">
        <f>IF(B550=0,VLOOKUP(A550,Feuil2!$A$2:$M$1241,13,FALSE)," ")</f>
        <v xml:space="preserve"> </v>
      </c>
    </row>
    <row r="551" spans="1:15" x14ac:dyDescent="0.3">
      <c r="A551" s="1">
        <v>1898</v>
      </c>
      <c r="B551" s="1">
        <v>0</v>
      </c>
      <c r="C551" s="1" t="str">
        <f>IF(B551=0,VLOOKUP(A551,Feuil2!$A$2:$M$1241,2,FALSE)," ")</f>
        <v>BOUHLEL</v>
      </c>
      <c r="D551" s="1" t="str">
        <f>IF(B551=0,VLOOKUP(A551,Feuil2!$A$2:$M$1241,3,FALSE)," ")</f>
        <v>BILEL</v>
      </c>
      <c r="E551" s="5">
        <f>IF(B551=0,VLOOKUP(A551,Feuil2!$A$2:$M$1241,6,FALSE)," ")</f>
        <v>29931</v>
      </c>
      <c r="F551" s="1" t="str">
        <f>IF(B551=0,VLOOKUP(A551,Feuil2!$A$2:$M$1241,12,FALSE)," ")</f>
        <v>H</v>
      </c>
      <c r="G551" s="1" t="str">
        <f>IF(B551=0,VLOOKUP(A551,Feuil2!$A$2:$M$1241,11,FALSE)," ")</f>
        <v>M</v>
      </c>
      <c r="H551" s="1" t="s">
        <v>16</v>
      </c>
      <c r="I551" s="6">
        <f>IF(B551=0,VLOOKUP(A551,Feuil2!$A$2:$M$1241,7,FALSE)," ")</f>
        <v>8430357</v>
      </c>
      <c r="J551" s="1" t="str">
        <f>IF(B551=0,VLOOKUP(A551,Feuil2!$A$2:$M$1241,9,FALSE)," ")</f>
        <v>71, Rue El Jahedh</v>
      </c>
      <c r="K551" s="1" t="str">
        <f>IF(B551=0,VLOOKUP(A551,Feuil2!$A$2:$M$1241,10,FALSE)," ")</f>
        <v>Msaken 4070</v>
      </c>
      <c r="L551" s="1">
        <v>4070</v>
      </c>
      <c r="M551" s="1">
        <v>22213355</v>
      </c>
      <c r="N551" s="1"/>
      <c r="O551" s="8" t="str">
        <f>IF(B551=0,VLOOKUP(A551,Feuil2!$A$2:$M$1241,13,FALSE)," ")</f>
        <v>12505000580103396414</v>
      </c>
    </row>
    <row r="552" spans="1:15" x14ac:dyDescent="0.3">
      <c r="A552" s="1">
        <v>1898</v>
      </c>
      <c r="B552" s="1">
        <v>1</v>
      </c>
      <c r="C552" s="1" t="s">
        <v>83</v>
      </c>
      <c r="D552" s="1" t="s">
        <v>1301</v>
      </c>
      <c r="E552" s="5">
        <v>30350</v>
      </c>
      <c r="F552" s="1" t="s">
        <v>17</v>
      </c>
      <c r="G552" s="1" t="s">
        <v>15</v>
      </c>
      <c r="H552" s="1" t="s">
        <v>16</v>
      </c>
      <c r="I552" s="6" t="str">
        <f>IF(B552=0,VLOOKUP(A552,Feuil2!$A$2:$M$1241,7,FALSE)," ")</f>
        <v xml:space="preserve"> </v>
      </c>
      <c r="J552" s="1" t="str">
        <f>IF(B552=0,VLOOKUP(A552,Feuil2!$A$2:$M$1241,9,FALSE)," ")</f>
        <v xml:space="preserve"> </v>
      </c>
      <c r="K552" s="1" t="str">
        <f>IF(B552=0,VLOOKUP(A552,Feuil2!$A$2:$M$1241,10,FALSE)," ")</f>
        <v xml:space="preserve"> </v>
      </c>
      <c r="L552" s="1"/>
      <c r="M552" s="1"/>
      <c r="N552" s="1"/>
      <c r="O552" s="8" t="str">
        <f>IF(B552=0,VLOOKUP(A552,Feuil2!$A$2:$M$1241,13,FALSE)," ")</f>
        <v xml:space="preserve"> </v>
      </c>
    </row>
    <row r="553" spans="1:15" x14ac:dyDescent="0.3">
      <c r="A553" s="1">
        <v>1898</v>
      </c>
      <c r="B553" s="1">
        <v>2</v>
      </c>
      <c r="C553" s="1" t="s">
        <v>83</v>
      </c>
      <c r="D553" s="1" t="s">
        <v>2404</v>
      </c>
      <c r="E553" s="5">
        <v>40672</v>
      </c>
      <c r="F553" s="1" t="s">
        <v>506</v>
      </c>
      <c r="G553" s="1" t="str">
        <f>IF(B553=0,VLOOKUP(A553,Feuil2!$A$2:$M$1241,11,FALSE)," ")</f>
        <v xml:space="preserve"> </v>
      </c>
      <c r="H553" s="1" t="s">
        <v>16</v>
      </c>
      <c r="I553" s="6" t="str">
        <f>IF(B553=0,VLOOKUP(A553,Feuil2!$A$2:$M$1241,7,FALSE)," ")</f>
        <v xml:space="preserve"> </v>
      </c>
      <c r="J553" s="1" t="str">
        <f>IF(B553=0,VLOOKUP(A553,Feuil2!$A$2:$M$1241,9,FALSE)," ")</f>
        <v xml:space="preserve"> </v>
      </c>
      <c r="K553" s="1" t="str">
        <f>IF(B553=0,VLOOKUP(A553,Feuil2!$A$2:$M$1241,10,FALSE)," ")</f>
        <v xml:space="preserve"> </v>
      </c>
      <c r="L553" s="1"/>
      <c r="M553" s="1"/>
      <c r="N553" s="1"/>
      <c r="O553" s="8" t="str">
        <f>IF(B553=0,VLOOKUP(A553,Feuil2!$A$2:$M$1241,13,FALSE)," ")</f>
        <v xml:space="preserve"> </v>
      </c>
    </row>
    <row r="554" spans="1:15" x14ac:dyDescent="0.3">
      <c r="A554" s="1">
        <v>1898</v>
      </c>
      <c r="B554" s="1">
        <v>3</v>
      </c>
      <c r="C554" s="1" t="s">
        <v>83</v>
      </c>
      <c r="D554" s="1" t="s">
        <v>2405</v>
      </c>
      <c r="E554" s="5">
        <v>41673</v>
      </c>
      <c r="F554" s="1" t="s">
        <v>506</v>
      </c>
      <c r="G554" s="1" t="str">
        <f>IF(B554=0,VLOOKUP(A554,Feuil2!$A$2:$M$1241,11,FALSE)," ")</f>
        <v xml:space="preserve"> </v>
      </c>
      <c r="H554" s="1" t="s">
        <v>16</v>
      </c>
      <c r="I554" s="6" t="str">
        <f>IF(B554=0,VLOOKUP(A554,Feuil2!$A$2:$M$1241,7,FALSE)," ")</f>
        <v xml:space="preserve"> </v>
      </c>
      <c r="J554" s="1" t="str">
        <f>IF(B554=0,VLOOKUP(A554,Feuil2!$A$2:$M$1241,9,FALSE)," ")</f>
        <v xml:space="preserve"> </v>
      </c>
      <c r="K554" s="1" t="str">
        <f>IF(B554=0,VLOOKUP(A554,Feuil2!$A$2:$M$1241,10,FALSE)," ")</f>
        <v xml:space="preserve"> </v>
      </c>
      <c r="L554" s="1"/>
      <c r="M554" s="1"/>
      <c r="N554" s="1"/>
      <c r="O554" s="8" t="str">
        <f>IF(B554=0,VLOOKUP(A554,Feuil2!$A$2:$M$1241,13,FALSE)," ")</f>
        <v xml:space="preserve"> </v>
      </c>
    </row>
    <row r="555" spans="1:15" x14ac:dyDescent="0.3">
      <c r="A555" s="1">
        <v>1898</v>
      </c>
      <c r="B555" s="1">
        <v>4</v>
      </c>
      <c r="C555" s="1" t="s">
        <v>83</v>
      </c>
      <c r="D555" s="1" t="s">
        <v>2406</v>
      </c>
      <c r="E555" s="5">
        <v>43677</v>
      </c>
      <c r="F555" s="1" t="s">
        <v>17</v>
      </c>
      <c r="G555" s="1" t="str">
        <f>IF(B555=0,VLOOKUP(A555,Feuil2!$A$2:$M$1241,11,FALSE)," ")</f>
        <v xml:space="preserve"> </v>
      </c>
      <c r="H555" s="1" t="s">
        <v>16</v>
      </c>
      <c r="I555" s="6" t="str">
        <f>IF(B555=0,VLOOKUP(A555,Feuil2!$A$2:$M$1241,7,FALSE)," ")</f>
        <v xml:space="preserve"> </v>
      </c>
      <c r="J555" s="1" t="str">
        <f>IF(B555=0,VLOOKUP(A555,Feuil2!$A$2:$M$1241,9,FALSE)," ")</f>
        <v xml:space="preserve"> </v>
      </c>
      <c r="K555" s="1" t="str">
        <f>IF(B555=0,VLOOKUP(A555,Feuil2!$A$2:$M$1241,10,FALSE)," ")</f>
        <v xml:space="preserve"> </v>
      </c>
      <c r="L555" s="1"/>
      <c r="M555" s="1"/>
      <c r="N555" s="1"/>
      <c r="O555" s="8" t="str">
        <f>IF(B555=0,VLOOKUP(A555,Feuil2!$A$2:$M$1241,13,FALSE)," ")</f>
        <v xml:space="preserve"> </v>
      </c>
    </row>
    <row r="556" spans="1:15" x14ac:dyDescent="0.3">
      <c r="A556" s="1">
        <v>1904</v>
      </c>
      <c r="B556" s="1">
        <v>0</v>
      </c>
      <c r="C556" s="1" t="str">
        <f>IF(B556=0,VLOOKUP(A556,Feuil2!$A$2:$M$1241,2,FALSE)," ")</f>
        <v>GLOULOU</v>
      </c>
      <c r="D556" s="1" t="str">
        <f>IF(B556=0,VLOOKUP(A556,Feuil2!$A$2:$M$1241,3,FALSE)," ")</f>
        <v>LOTFI</v>
      </c>
      <c r="E556" s="5">
        <f>IF(B556=0,VLOOKUP(A556,Feuil2!$A$2:$M$1241,6,FALSE)," ")</f>
        <v>26735</v>
      </c>
      <c r="F556" s="1" t="str">
        <f>IF(B556=0,VLOOKUP(A556,Feuil2!$A$2:$M$1241,12,FALSE)," ")</f>
        <v>H</v>
      </c>
      <c r="G556" s="1" t="str">
        <f>IF(B556=0,VLOOKUP(A556,Feuil2!$A$2:$M$1241,11,FALSE)," ")</f>
        <v>M</v>
      </c>
      <c r="H556" s="1" t="s">
        <v>16</v>
      </c>
      <c r="I556" s="6">
        <f>IF(B556=0,VLOOKUP(A556,Feuil2!$A$2:$M$1241,7,FALSE)," ")</f>
        <v>5529342</v>
      </c>
      <c r="J556" s="1" t="str">
        <f>IF(B556=0,VLOOKUP(A556,Feuil2!$A$2:$M$1241,9,FALSE)," ")</f>
        <v>322,rue Farhat Hached</v>
      </c>
      <c r="K556" s="1" t="str">
        <f>IF(B556=0,VLOOKUP(A556,Feuil2!$A$2:$M$1241,10,FALSE)," ")</f>
        <v>Msaken 4070</v>
      </c>
      <c r="L556" s="1">
        <v>4070</v>
      </c>
      <c r="M556" s="1">
        <v>25559558</v>
      </c>
      <c r="N556" s="1"/>
      <c r="O556" s="8" t="str">
        <f>IF(B556=0,VLOOKUP(A556,Feuil2!$A$2:$M$1241,13,FALSE)," ")</f>
        <v>08507000262006521079</v>
      </c>
    </row>
    <row r="557" spans="1:15" x14ac:dyDescent="0.3">
      <c r="A557" s="1">
        <v>1904</v>
      </c>
      <c r="B557" s="1">
        <v>1</v>
      </c>
      <c r="C557" s="1" t="s">
        <v>2525</v>
      </c>
      <c r="D557" s="1" t="s">
        <v>746</v>
      </c>
      <c r="E557" s="5">
        <v>30942</v>
      </c>
      <c r="F557" s="1" t="s">
        <v>17</v>
      </c>
      <c r="G557" s="1" t="s">
        <v>15</v>
      </c>
      <c r="H557" s="1" t="s">
        <v>16</v>
      </c>
      <c r="I557" s="6" t="str">
        <f>IF(B557=0,VLOOKUP(A557,Feuil2!$A$2:$M$1241,7,FALSE)," ")</f>
        <v xml:space="preserve"> </v>
      </c>
      <c r="J557" s="1" t="str">
        <f>IF(B557=0,VLOOKUP(A557,Feuil2!$A$2:$M$1241,9,FALSE)," ")</f>
        <v xml:space="preserve"> </v>
      </c>
      <c r="K557" s="1" t="str">
        <f>IF(B557=0,VLOOKUP(A557,Feuil2!$A$2:$M$1241,10,FALSE)," ")</f>
        <v xml:space="preserve"> </v>
      </c>
      <c r="L557" s="1"/>
      <c r="M557" s="1"/>
      <c r="N557" s="1"/>
      <c r="O557" s="8" t="str">
        <f>IF(B557=0,VLOOKUP(A557,Feuil2!$A$2:$M$1241,13,FALSE)," ")</f>
        <v xml:space="preserve"> </v>
      </c>
    </row>
    <row r="558" spans="1:15" x14ac:dyDescent="0.3">
      <c r="A558" s="1">
        <v>1904</v>
      </c>
      <c r="B558" s="1">
        <v>2</v>
      </c>
      <c r="C558" s="1" t="s">
        <v>229</v>
      </c>
      <c r="D558" s="1" t="s">
        <v>2376</v>
      </c>
      <c r="E558" s="5">
        <v>38417</v>
      </c>
      <c r="F558" s="1" t="s">
        <v>506</v>
      </c>
      <c r="G558" s="1" t="str">
        <f>IF(B558=0,VLOOKUP(A558,Feuil2!$A$2:$M$1241,11,FALSE)," ")</f>
        <v xml:space="preserve"> </v>
      </c>
      <c r="H558" s="1" t="s">
        <v>16</v>
      </c>
      <c r="I558" s="6" t="str">
        <f>IF(B558=0,VLOOKUP(A558,Feuil2!$A$2:$M$1241,7,FALSE)," ")</f>
        <v xml:space="preserve"> </v>
      </c>
      <c r="J558" s="1" t="str">
        <f>IF(B558=0,VLOOKUP(A558,Feuil2!$A$2:$M$1241,9,FALSE)," ")</f>
        <v xml:space="preserve"> </v>
      </c>
      <c r="K558" s="1" t="str">
        <f>IF(B558=0,VLOOKUP(A558,Feuil2!$A$2:$M$1241,10,FALSE)," ")</f>
        <v xml:space="preserve"> </v>
      </c>
      <c r="L558" s="1"/>
      <c r="M558" s="1"/>
      <c r="N558" s="1"/>
      <c r="O558" s="8" t="str">
        <f>IF(B558=0,VLOOKUP(A558,Feuil2!$A$2:$M$1241,13,FALSE)," ")</f>
        <v xml:space="preserve"> </v>
      </c>
    </row>
    <row r="559" spans="1:15" x14ac:dyDescent="0.3">
      <c r="A559" s="1">
        <v>1904</v>
      </c>
      <c r="B559" s="1">
        <v>3</v>
      </c>
      <c r="C559" s="1" t="s">
        <v>229</v>
      </c>
      <c r="D559" s="1" t="s">
        <v>2526</v>
      </c>
      <c r="E559" s="5">
        <v>40086</v>
      </c>
      <c r="F559" s="1" t="s">
        <v>506</v>
      </c>
      <c r="G559" s="1" t="str">
        <f>IF(B559=0,VLOOKUP(A559,Feuil2!$A$2:$M$1241,11,FALSE)," ")</f>
        <v xml:space="preserve"> </v>
      </c>
      <c r="H559" s="1" t="s">
        <v>16</v>
      </c>
      <c r="I559" s="6" t="str">
        <f>IF(B559=0,VLOOKUP(A559,Feuil2!$A$2:$M$1241,7,FALSE)," ")</f>
        <v xml:space="preserve"> </v>
      </c>
      <c r="J559" s="1" t="str">
        <f>IF(B559=0,VLOOKUP(A559,Feuil2!$A$2:$M$1241,9,FALSE)," ")</f>
        <v xml:space="preserve"> </v>
      </c>
      <c r="K559" s="1" t="str">
        <f>IF(B559=0,VLOOKUP(A559,Feuil2!$A$2:$M$1241,10,FALSE)," ")</f>
        <v xml:space="preserve"> </v>
      </c>
      <c r="L559" s="1"/>
      <c r="M559" s="1"/>
      <c r="N559" s="1"/>
      <c r="O559" s="8" t="str">
        <f>IF(B559=0,VLOOKUP(A559,Feuil2!$A$2:$M$1241,13,FALSE)," ")</f>
        <v xml:space="preserve"> </v>
      </c>
    </row>
    <row r="560" spans="1:15" x14ac:dyDescent="0.3">
      <c r="A560" s="1">
        <v>1904</v>
      </c>
      <c r="B560" s="1">
        <v>4</v>
      </c>
      <c r="C560" s="1" t="s">
        <v>229</v>
      </c>
      <c r="D560" s="1" t="s">
        <v>2503</v>
      </c>
      <c r="E560" s="5">
        <v>40549</v>
      </c>
      <c r="F560" s="1" t="s">
        <v>506</v>
      </c>
      <c r="G560" s="1" t="str">
        <f>IF(B560=0,VLOOKUP(A560,Feuil2!$A$2:$M$1241,11,FALSE)," ")</f>
        <v xml:space="preserve"> </v>
      </c>
      <c r="H560" s="1" t="s">
        <v>16</v>
      </c>
      <c r="I560" s="6" t="str">
        <f>IF(B560=0,VLOOKUP(A560,Feuil2!$A$2:$M$1241,7,FALSE)," ")</f>
        <v xml:space="preserve"> </v>
      </c>
      <c r="J560" s="1" t="str">
        <f>IF(B560=0,VLOOKUP(A560,Feuil2!$A$2:$M$1241,9,FALSE)," ")</f>
        <v xml:space="preserve"> </v>
      </c>
      <c r="K560" s="1" t="str">
        <f>IF(B560=0,VLOOKUP(A560,Feuil2!$A$2:$M$1241,10,FALSE)," ")</f>
        <v xml:space="preserve"> </v>
      </c>
      <c r="L560" s="1"/>
      <c r="M560" s="1"/>
      <c r="N560" s="1"/>
      <c r="O560" s="8" t="str">
        <f>IF(B560=0,VLOOKUP(A560,Feuil2!$A$2:$M$1241,13,FALSE)," ")</f>
        <v xml:space="preserve"> </v>
      </c>
    </row>
    <row r="561" spans="1:15" x14ac:dyDescent="0.3">
      <c r="A561" s="1">
        <v>1905</v>
      </c>
      <c r="B561" s="1">
        <v>0</v>
      </c>
      <c r="C561" s="1" t="str">
        <f>IF(B561=0,VLOOKUP(A561,Feuil2!$A$2:$M$1241,2,FALSE)," ")</f>
        <v>LADHARI</v>
      </c>
      <c r="D561" s="1" t="str">
        <f>IF(B561=0,VLOOKUP(A561,Feuil2!$A$2:$M$1241,3,FALSE)," ")</f>
        <v>MOHAMED</v>
      </c>
      <c r="E561" s="5">
        <f>IF(B561=0,VLOOKUP(A561,Feuil2!$A$2:$M$1241,6,FALSE)," ")</f>
        <v>26106</v>
      </c>
      <c r="F561" s="1" t="str">
        <f>IF(B561=0,VLOOKUP(A561,Feuil2!$A$2:$M$1241,12,FALSE)," ")</f>
        <v>H</v>
      </c>
      <c r="G561" s="1" t="str">
        <f>IF(B561=0,VLOOKUP(A561,Feuil2!$A$2:$M$1241,11,FALSE)," ")</f>
        <v>M</v>
      </c>
      <c r="H561" s="1" t="s">
        <v>16</v>
      </c>
      <c r="I561" s="6">
        <f>IF(B561=0,VLOOKUP(A561,Feuil2!$A$2:$M$1241,7,FALSE)," ")</f>
        <v>5525298</v>
      </c>
      <c r="J561" s="1" t="str">
        <f>IF(B561=0,VLOOKUP(A561,Feuil2!$A$2:$M$1241,9,FALSE)," ")</f>
        <v>Rue Ahmed Amine</v>
      </c>
      <c r="K561" s="1" t="str">
        <f>IF(B561=0,VLOOKUP(A561,Feuil2!$A$2:$M$1241,10,FALSE)," ")</f>
        <v>Msaken 4070</v>
      </c>
      <c r="L561" s="1">
        <v>4070</v>
      </c>
      <c r="M561" s="1">
        <v>99313089</v>
      </c>
      <c r="N561" s="1"/>
      <c r="O561" s="8" t="str">
        <f>IF(B561=0,VLOOKUP(A561,Feuil2!$A$2:$M$1241,13,FALSE)," ")</f>
        <v>12505000000211321165</v>
      </c>
    </row>
    <row r="562" spans="1:15" x14ac:dyDescent="0.3">
      <c r="A562" s="1">
        <v>1905</v>
      </c>
      <c r="B562" s="1">
        <v>1</v>
      </c>
      <c r="C562" s="1" t="s">
        <v>819</v>
      </c>
      <c r="D562" s="1" t="s">
        <v>1541</v>
      </c>
      <c r="E562" s="5">
        <v>28095</v>
      </c>
      <c r="F562" s="1" t="s">
        <v>17</v>
      </c>
      <c r="G562" s="1" t="s">
        <v>15</v>
      </c>
      <c r="H562" s="1" t="s">
        <v>16</v>
      </c>
      <c r="I562" s="6" t="str">
        <f>IF(B562=0,VLOOKUP(A562,Feuil2!$A$2:$M$1241,7,FALSE)," ")</f>
        <v xml:space="preserve"> </v>
      </c>
      <c r="J562" s="1" t="str">
        <f>IF(B562=0,VLOOKUP(A562,Feuil2!$A$2:$M$1241,9,FALSE)," ")</f>
        <v xml:space="preserve"> </v>
      </c>
      <c r="K562" s="1" t="str">
        <f>IF(B562=0,VLOOKUP(A562,Feuil2!$A$2:$M$1241,10,FALSE)," ")</f>
        <v xml:space="preserve"> </v>
      </c>
      <c r="L562" s="1"/>
      <c r="M562" s="1"/>
      <c r="N562" s="1"/>
      <c r="O562" s="8" t="str">
        <f>IF(B562=0,VLOOKUP(A562,Feuil2!$A$2:$M$1241,13,FALSE)," ")</f>
        <v xml:space="preserve"> </v>
      </c>
    </row>
    <row r="563" spans="1:15" x14ac:dyDescent="0.3">
      <c r="A563" s="1">
        <v>1905</v>
      </c>
      <c r="B563" s="1">
        <v>2</v>
      </c>
      <c r="C563" s="1" t="s">
        <v>190</v>
      </c>
      <c r="D563" s="1" t="s">
        <v>2557</v>
      </c>
      <c r="E563" s="5">
        <v>38860</v>
      </c>
      <c r="F563" s="1" t="s">
        <v>506</v>
      </c>
      <c r="G563" s="1" t="str">
        <f>IF(B563=0,VLOOKUP(A563,Feuil2!$A$2:$M$1241,11,FALSE)," ")</f>
        <v xml:space="preserve"> </v>
      </c>
      <c r="H563" s="1" t="s">
        <v>16</v>
      </c>
      <c r="I563" s="6" t="str">
        <f>IF(B563=0,VLOOKUP(A563,Feuil2!$A$2:$M$1241,7,FALSE)," ")</f>
        <v xml:space="preserve"> </v>
      </c>
      <c r="J563" s="1" t="str">
        <f>IF(B563=0,VLOOKUP(A563,Feuil2!$A$2:$M$1241,9,FALSE)," ")</f>
        <v xml:space="preserve"> </v>
      </c>
      <c r="K563" s="1" t="str">
        <f>IF(B563=0,VLOOKUP(A563,Feuil2!$A$2:$M$1241,10,FALSE)," ")</f>
        <v xml:space="preserve"> </v>
      </c>
      <c r="L563" s="1"/>
      <c r="M563" s="1"/>
      <c r="N563" s="1"/>
      <c r="O563" s="8" t="str">
        <f>IF(B563=0,VLOOKUP(A563,Feuil2!$A$2:$M$1241,13,FALSE)," ")</f>
        <v xml:space="preserve"> </v>
      </c>
    </row>
    <row r="564" spans="1:15" x14ac:dyDescent="0.3">
      <c r="A564" s="1">
        <v>1905</v>
      </c>
      <c r="B564" s="1">
        <v>3</v>
      </c>
      <c r="C564" s="1" t="s">
        <v>190</v>
      </c>
      <c r="D564" s="1" t="s">
        <v>600</v>
      </c>
      <c r="E564" s="5">
        <v>39438</v>
      </c>
      <c r="F564" s="1" t="s">
        <v>17</v>
      </c>
      <c r="G564" s="1" t="str">
        <f>IF(B564=0,VLOOKUP(A564,Feuil2!$A$2:$M$1241,11,FALSE)," ")</f>
        <v xml:space="preserve"> </v>
      </c>
      <c r="H564" s="1" t="s">
        <v>16</v>
      </c>
      <c r="I564" s="6" t="str">
        <f>IF(B564=0,VLOOKUP(A564,Feuil2!$A$2:$M$1241,7,FALSE)," ")</f>
        <v xml:space="preserve"> </v>
      </c>
      <c r="J564" s="1" t="str">
        <f>IF(B564=0,VLOOKUP(A564,Feuil2!$A$2:$M$1241,9,FALSE)," ")</f>
        <v xml:space="preserve"> </v>
      </c>
      <c r="K564" s="1" t="str">
        <f>IF(B564=0,VLOOKUP(A564,Feuil2!$A$2:$M$1241,10,FALSE)," ")</f>
        <v xml:space="preserve"> </v>
      </c>
      <c r="L564" s="1"/>
      <c r="M564" s="1"/>
      <c r="N564" s="1"/>
      <c r="O564" s="8" t="str">
        <f>IF(B564=0,VLOOKUP(A564,Feuil2!$A$2:$M$1241,13,FALSE)," ")</f>
        <v xml:space="preserve"> </v>
      </c>
    </row>
    <row r="565" spans="1:15" x14ac:dyDescent="0.3">
      <c r="A565" s="1">
        <v>1905</v>
      </c>
      <c r="B565" s="1">
        <v>4</v>
      </c>
      <c r="C565" s="1" t="s">
        <v>190</v>
      </c>
      <c r="D565" s="1" t="s">
        <v>61</v>
      </c>
      <c r="E565" s="5">
        <v>40799</v>
      </c>
      <c r="F565" s="1" t="s">
        <v>506</v>
      </c>
      <c r="G565" s="1" t="str">
        <f>IF(B565=0,VLOOKUP(A565,Feuil2!$A$2:$M$1241,11,FALSE)," ")</f>
        <v xml:space="preserve"> </v>
      </c>
      <c r="H565" s="1" t="s">
        <v>16</v>
      </c>
      <c r="I565" s="6" t="str">
        <f>IF(B565=0,VLOOKUP(A565,Feuil2!$A$2:$M$1241,7,FALSE)," ")</f>
        <v xml:space="preserve"> </v>
      </c>
      <c r="J565" s="1" t="str">
        <f>IF(B565=0,VLOOKUP(A565,Feuil2!$A$2:$M$1241,9,FALSE)," ")</f>
        <v xml:space="preserve"> </v>
      </c>
      <c r="K565" s="1" t="str">
        <f>IF(B565=0,VLOOKUP(A565,Feuil2!$A$2:$M$1241,10,FALSE)," ")</f>
        <v xml:space="preserve"> </v>
      </c>
      <c r="L565" s="1"/>
      <c r="M565" s="1"/>
      <c r="N565" s="1"/>
      <c r="O565" s="8" t="str">
        <f>IF(B565=0,VLOOKUP(A565,Feuil2!$A$2:$M$1241,13,FALSE)," ")</f>
        <v xml:space="preserve"> </v>
      </c>
    </row>
    <row r="566" spans="1:15" x14ac:dyDescent="0.3">
      <c r="A566" s="1">
        <v>1907</v>
      </c>
      <c r="B566" s="1">
        <v>0</v>
      </c>
      <c r="C566" s="1" t="str">
        <f>IF(B566=0,VLOOKUP(A566,Feuil2!$A$2:$M$1241,2,FALSE)," ")</f>
        <v>MAMIA</v>
      </c>
      <c r="D566" s="1" t="str">
        <f>IF(B566=0,VLOOKUP(A566,Feuil2!$A$2:$M$1241,3,FALSE)," ")</f>
        <v>NEJMEDDINE</v>
      </c>
      <c r="E566" s="5">
        <f>IF(B566=0,VLOOKUP(A566,Feuil2!$A$2:$M$1241,6,FALSE)," ")</f>
        <v>29304</v>
      </c>
      <c r="F566" s="1" t="str">
        <f>IF(B566=0,VLOOKUP(A566,Feuil2!$A$2:$M$1241,12,FALSE)," ")</f>
        <v>H</v>
      </c>
      <c r="G566" s="1" t="str">
        <f>IF(B566=0,VLOOKUP(A566,Feuil2!$A$2:$M$1241,11,FALSE)," ")</f>
        <v>M</v>
      </c>
      <c r="H566" s="1" t="s">
        <v>16</v>
      </c>
      <c r="I566" s="6">
        <f>IF(B566=0,VLOOKUP(A566,Feuil2!$A$2:$M$1241,7,FALSE)," ")</f>
        <v>5586528</v>
      </c>
      <c r="J566" s="1" t="str">
        <f>IF(B566=0,VLOOKUP(A566,Feuil2!$A$2:$M$1241,9,FALSE)," ")</f>
        <v>Rue Katar</v>
      </c>
      <c r="K566" s="1" t="str">
        <f>IF(B566=0,VLOOKUP(A566,Feuil2!$A$2:$M$1241,10,FALSE)," ")</f>
        <v>Msaken 4070</v>
      </c>
      <c r="L566" s="1">
        <v>4070</v>
      </c>
      <c r="M566" s="1">
        <v>25142034</v>
      </c>
      <c r="N566" s="1"/>
      <c r="O566" s="8" t="str">
        <f>IF(B566=0,VLOOKUP(A566,Feuil2!$A$2:$M$1241,13,FALSE)," ")</f>
        <v>32026788101064025140</v>
      </c>
    </row>
    <row r="567" spans="1:15" x14ac:dyDescent="0.3">
      <c r="A567" s="1">
        <v>1907</v>
      </c>
      <c r="B567" s="1">
        <v>1</v>
      </c>
      <c r="C567" s="1" t="s">
        <v>934</v>
      </c>
      <c r="D567" s="1" t="s">
        <v>2371</v>
      </c>
      <c r="E567" s="5">
        <v>28845</v>
      </c>
      <c r="F567" s="1" t="s">
        <v>17</v>
      </c>
      <c r="G567" s="1" t="s">
        <v>15</v>
      </c>
      <c r="H567" s="1" t="s">
        <v>16</v>
      </c>
      <c r="I567" s="6" t="str">
        <f>IF(B567=0,VLOOKUP(A567,Feuil2!$A$2:$M$1241,7,FALSE)," ")</f>
        <v xml:space="preserve"> </v>
      </c>
      <c r="J567" s="1" t="str">
        <f>IF(B567=0,VLOOKUP(A567,Feuil2!$A$2:$M$1241,9,FALSE)," ")</f>
        <v xml:space="preserve"> </v>
      </c>
      <c r="K567" s="1" t="str">
        <f>IF(B567=0,VLOOKUP(A567,Feuil2!$A$2:$M$1241,10,FALSE)," ")</f>
        <v xml:space="preserve"> </v>
      </c>
      <c r="L567" s="1"/>
      <c r="M567" s="1"/>
      <c r="N567" s="1"/>
      <c r="O567" s="8" t="str">
        <f>IF(B567=0,VLOOKUP(A567,Feuil2!$A$2:$M$1241,13,FALSE)," ")</f>
        <v xml:space="preserve"> </v>
      </c>
    </row>
    <row r="568" spans="1:15" x14ac:dyDescent="0.3">
      <c r="A568" s="1">
        <v>1907</v>
      </c>
      <c r="B568" s="1">
        <v>2</v>
      </c>
      <c r="C568" s="1" t="s">
        <v>165</v>
      </c>
      <c r="D568" s="1" t="s">
        <v>2447</v>
      </c>
      <c r="E568" s="5">
        <v>41401</v>
      </c>
      <c r="F568" s="1" t="s">
        <v>17</v>
      </c>
      <c r="G568" s="1" t="str">
        <f>IF(B568=0,VLOOKUP(A568,Feuil2!$A$2:$M$1241,11,FALSE)," ")</f>
        <v xml:space="preserve"> </v>
      </c>
      <c r="H568" s="1" t="s">
        <v>16</v>
      </c>
      <c r="I568" s="6" t="str">
        <f>IF(B568=0,VLOOKUP(A568,Feuil2!$A$2:$M$1241,7,FALSE)," ")</f>
        <v xml:space="preserve"> </v>
      </c>
      <c r="J568" s="1" t="str">
        <f>IF(B568=0,VLOOKUP(A568,Feuil2!$A$2:$M$1241,9,FALSE)," ")</f>
        <v xml:space="preserve"> </v>
      </c>
      <c r="K568" s="1" t="str">
        <f>IF(B568=0,VLOOKUP(A568,Feuil2!$A$2:$M$1241,10,FALSE)," ")</f>
        <v xml:space="preserve"> </v>
      </c>
      <c r="L568" s="1"/>
      <c r="M568" s="1"/>
      <c r="N568" s="1"/>
      <c r="O568" s="8" t="str">
        <f>IF(B568=0,VLOOKUP(A568,Feuil2!$A$2:$M$1241,13,FALSE)," ")</f>
        <v xml:space="preserve"> </v>
      </c>
    </row>
    <row r="569" spans="1:15" x14ac:dyDescent="0.3">
      <c r="A569" s="1">
        <v>1907</v>
      </c>
      <c r="B569" s="1">
        <v>3</v>
      </c>
      <c r="C569" s="1" t="s">
        <v>165</v>
      </c>
      <c r="D569" s="1" t="s">
        <v>2443</v>
      </c>
      <c r="E569" s="5">
        <v>41401</v>
      </c>
      <c r="F569" s="1" t="s">
        <v>17</v>
      </c>
      <c r="G569" s="1" t="str">
        <f>IF(B569=0,VLOOKUP(A569,Feuil2!$A$2:$M$1241,11,FALSE)," ")</f>
        <v xml:space="preserve"> </v>
      </c>
      <c r="H569" s="1" t="s">
        <v>16</v>
      </c>
      <c r="I569" s="6" t="str">
        <f>IF(B569=0,VLOOKUP(A569,Feuil2!$A$2:$M$1241,7,FALSE)," ")</f>
        <v xml:space="preserve"> </v>
      </c>
      <c r="J569" s="1" t="str">
        <f>IF(B569=0,VLOOKUP(A569,Feuil2!$A$2:$M$1241,9,FALSE)," ")</f>
        <v xml:space="preserve"> </v>
      </c>
      <c r="K569" s="1" t="str">
        <f>IF(B569=0,VLOOKUP(A569,Feuil2!$A$2:$M$1241,10,FALSE)," ")</f>
        <v xml:space="preserve"> </v>
      </c>
      <c r="L569" s="1"/>
      <c r="M569" s="1"/>
      <c r="N569" s="1"/>
      <c r="O569" s="8" t="str">
        <f>IF(B569=0,VLOOKUP(A569,Feuil2!$A$2:$M$1241,13,FALSE)," ")</f>
        <v xml:space="preserve"> </v>
      </c>
    </row>
    <row r="570" spans="1:15" x14ac:dyDescent="0.3">
      <c r="A570" s="1">
        <v>1908</v>
      </c>
      <c r="B570" s="1">
        <v>0</v>
      </c>
      <c r="C570" s="1" t="str">
        <f>IF(B570=0,VLOOKUP(A570,Feuil2!$A$2:$M$1241,2,FALSE)," ")</f>
        <v>ZMERLI</v>
      </c>
      <c r="D570" s="1" t="str">
        <f>IF(B570=0,VLOOKUP(A570,Feuil2!$A$2:$M$1241,3,FALSE)," ")</f>
        <v>JAOUHAR</v>
      </c>
      <c r="E570" s="5">
        <f>IF(B570=0,VLOOKUP(A570,Feuil2!$A$2:$M$1241,6,FALSE)," ")</f>
        <v>29340</v>
      </c>
      <c r="F570" s="1" t="str">
        <f>IF(B570=0,VLOOKUP(A570,Feuil2!$A$2:$M$1241,12,FALSE)," ")</f>
        <v>H</v>
      </c>
      <c r="G570" s="1" t="str">
        <f>IF(B570=0,VLOOKUP(A570,Feuil2!$A$2:$M$1241,11,FALSE)," ")</f>
        <v>M</v>
      </c>
      <c r="H570" s="1" t="s">
        <v>16</v>
      </c>
      <c r="I570" s="6">
        <f>IF(B570=0,VLOOKUP(A570,Feuil2!$A$2:$M$1241,7,FALSE)," ")</f>
        <v>5582073</v>
      </c>
      <c r="J570" s="1" t="str">
        <f>IF(B570=0,VLOOKUP(A570,Feuil2!$A$2:$M$1241,9,FALSE)," ")</f>
        <v>126,Rue Carthage</v>
      </c>
      <c r="K570" s="1" t="str">
        <f>IF(B570=0,VLOOKUP(A570,Feuil2!$A$2:$M$1241,10,FALSE)," ")</f>
        <v>Msaken 4070</v>
      </c>
      <c r="L570" s="1">
        <v>4070</v>
      </c>
      <c r="M570" s="1">
        <v>23950365</v>
      </c>
      <c r="N570" s="1"/>
      <c r="O570" s="8" t="str">
        <f>IF(B570=0,VLOOKUP(A570,Feuil2!$A$2:$M$1241,13,FALSE)," ")</f>
        <v>04204067000535840334</v>
      </c>
    </row>
    <row r="571" spans="1:15" x14ac:dyDescent="0.3">
      <c r="A571" s="1">
        <v>1908</v>
      </c>
      <c r="B571" s="1">
        <v>1</v>
      </c>
      <c r="C571" s="1" t="s">
        <v>83</v>
      </c>
      <c r="D571" s="1" t="s">
        <v>402</v>
      </c>
      <c r="E571" s="5">
        <v>31755</v>
      </c>
      <c r="F571" s="1" t="s">
        <v>17</v>
      </c>
      <c r="G571" s="1" t="s">
        <v>15</v>
      </c>
      <c r="H571" s="1" t="s">
        <v>16</v>
      </c>
      <c r="I571" s="6" t="str">
        <f>IF(B571=0,VLOOKUP(A571,Feuil2!$A$2:$M$1241,7,FALSE)," ")</f>
        <v xml:space="preserve"> </v>
      </c>
      <c r="J571" s="1" t="str">
        <f>IF(B571=0,VLOOKUP(A571,Feuil2!$A$2:$M$1241,9,FALSE)," ")</f>
        <v xml:space="preserve"> </v>
      </c>
      <c r="K571" s="1" t="str">
        <f>IF(B571=0,VLOOKUP(A571,Feuil2!$A$2:$M$1241,10,FALSE)," ")</f>
        <v xml:space="preserve"> </v>
      </c>
      <c r="L571" s="1"/>
      <c r="M571" s="1"/>
      <c r="N571" s="1"/>
      <c r="O571" s="8" t="str">
        <f>IF(B571=0,VLOOKUP(A571,Feuil2!$A$2:$M$1241,13,FALSE)," ")</f>
        <v xml:space="preserve"> </v>
      </c>
    </row>
    <row r="572" spans="1:15" x14ac:dyDescent="0.3">
      <c r="A572" s="1">
        <v>1908</v>
      </c>
      <c r="B572" s="1">
        <v>2</v>
      </c>
      <c r="C572" s="1" t="s">
        <v>277</v>
      </c>
      <c r="D572" s="1" t="s">
        <v>2531</v>
      </c>
      <c r="E572" s="5">
        <v>41066</v>
      </c>
      <c r="F572" s="1" t="s">
        <v>506</v>
      </c>
      <c r="G572" s="1" t="str">
        <f>IF(B572=0,VLOOKUP(A572,Feuil2!$A$2:$M$1241,11,FALSE)," ")</f>
        <v xml:space="preserve"> </v>
      </c>
      <c r="H572" s="1" t="s">
        <v>16</v>
      </c>
      <c r="I572" s="6" t="str">
        <f>IF(B572=0,VLOOKUP(A572,Feuil2!$A$2:$M$1241,7,FALSE)," ")</f>
        <v xml:space="preserve"> </v>
      </c>
      <c r="J572" s="1" t="str">
        <f>IF(B572=0,VLOOKUP(A572,Feuil2!$A$2:$M$1241,9,FALSE)," ")</f>
        <v xml:space="preserve"> </v>
      </c>
      <c r="K572" s="1" t="str">
        <f>IF(B572=0,VLOOKUP(A572,Feuil2!$A$2:$M$1241,10,FALSE)," ")</f>
        <v xml:space="preserve"> </v>
      </c>
      <c r="L572" s="1"/>
      <c r="M572" s="1"/>
      <c r="N572" s="1"/>
      <c r="O572" s="8" t="str">
        <f>IF(B572=0,VLOOKUP(A572,Feuil2!$A$2:$M$1241,13,FALSE)," ")</f>
        <v xml:space="preserve"> </v>
      </c>
    </row>
    <row r="573" spans="1:15" x14ac:dyDescent="0.3">
      <c r="A573" s="1">
        <v>1908</v>
      </c>
      <c r="B573" s="1">
        <v>3</v>
      </c>
      <c r="C573" s="1" t="s">
        <v>277</v>
      </c>
      <c r="D573" s="1" t="s">
        <v>48</v>
      </c>
      <c r="E573" s="5">
        <v>41783</v>
      </c>
      <c r="F573" s="1" t="s">
        <v>506</v>
      </c>
      <c r="G573" s="1" t="str">
        <f>IF(B573=0,VLOOKUP(A573,Feuil2!$A$2:$M$1241,11,FALSE)," ")</f>
        <v xml:space="preserve"> </v>
      </c>
      <c r="H573" s="1" t="s">
        <v>16</v>
      </c>
      <c r="I573" s="6" t="str">
        <f>IF(B573=0,VLOOKUP(A573,Feuil2!$A$2:$M$1241,7,FALSE)," ")</f>
        <v xml:space="preserve"> </v>
      </c>
      <c r="J573" s="1" t="str">
        <f>IF(B573=0,VLOOKUP(A573,Feuil2!$A$2:$M$1241,9,FALSE)," ")</f>
        <v xml:space="preserve"> </v>
      </c>
      <c r="K573" s="1" t="str">
        <f>IF(B573=0,VLOOKUP(A573,Feuil2!$A$2:$M$1241,10,FALSE)," ")</f>
        <v xml:space="preserve"> </v>
      </c>
      <c r="L573" s="1"/>
      <c r="M573" s="1"/>
      <c r="N573" s="1"/>
      <c r="O573" s="8" t="str">
        <f>IF(B573=0,VLOOKUP(A573,Feuil2!$A$2:$M$1241,13,FALSE)," ")</f>
        <v xml:space="preserve"> </v>
      </c>
    </row>
    <row r="574" spans="1:15" x14ac:dyDescent="0.3">
      <c r="A574" s="1">
        <v>1909</v>
      </c>
      <c r="B574" s="1">
        <v>0</v>
      </c>
      <c r="C574" s="1" t="str">
        <f>IF(B574=0,VLOOKUP(A574,Feuil2!$A$2:$M$1241,2,FALSE)," ")</f>
        <v>BHIRI</v>
      </c>
      <c r="D574" s="1" t="str">
        <f>IF(B574=0,VLOOKUP(A574,Feuil2!$A$2:$M$1241,3,FALSE)," ")</f>
        <v>ADLI</v>
      </c>
      <c r="E574" s="5">
        <f>IF(B574=0,VLOOKUP(A574,Feuil2!$A$2:$M$1241,6,FALSE)," ")</f>
        <v>30922</v>
      </c>
      <c r="F574" s="1" t="str">
        <f>IF(B574=0,VLOOKUP(A574,Feuil2!$A$2:$M$1241,12,FALSE)," ")</f>
        <v>H</v>
      </c>
      <c r="G574" s="1" t="str">
        <f>IF(B574=0,VLOOKUP(A574,Feuil2!$A$2:$M$1241,11,FALSE)," ")</f>
        <v>M</v>
      </c>
      <c r="H574" s="1" t="s">
        <v>16</v>
      </c>
      <c r="I574" s="6">
        <f>IF(B574=0,VLOOKUP(A574,Feuil2!$A$2:$M$1241,7,FALSE)," ")</f>
        <v>8466097</v>
      </c>
      <c r="J574" s="1" t="str">
        <f>IF(B574=0,VLOOKUP(A574,Feuil2!$A$2:$M$1241,9,FALSE)," ")</f>
        <v>48,Rue el Imem Ibn Arfa</v>
      </c>
      <c r="K574" s="1" t="str">
        <f>IF(B574=0,VLOOKUP(A574,Feuil2!$A$2:$M$1241,10,FALSE)," ")</f>
        <v>Msaken 4070</v>
      </c>
      <c r="L574" s="1">
        <v>4070</v>
      </c>
      <c r="M574" s="1">
        <v>98783251</v>
      </c>
      <c r="N574" s="1"/>
      <c r="O574" s="8" t="str">
        <f>IF(B574=0,VLOOKUP(A574,Feuil2!$A$2:$M$1241,13,FALSE)," ")</f>
        <v>05048000116500152029</v>
      </c>
    </row>
    <row r="575" spans="1:15" x14ac:dyDescent="0.3">
      <c r="A575" s="1">
        <v>1909</v>
      </c>
      <c r="B575" s="1">
        <v>1</v>
      </c>
      <c r="C575" s="1" t="s">
        <v>2524</v>
      </c>
      <c r="D575" s="1" t="s">
        <v>2322</v>
      </c>
      <c r="E575" s="5">
        <v>32666</v>
      </c>
      <c r="F575" s="1" t="s">
        <v>17</v>
      </c>
      <c r="G575" s="1" t="s">
        <v>15</v>
      </c>
      <c r="H575" s="1" t="s">
        <v>16</v>
      </c>
      <c r="I575" s="6" t="str">
        <f>IF(B575=0,VLOOKUP(A575,Feuil2!$A$2:$M$1241,7,FALSE)," ")</f>
        <v xml:space="preserve"> </v>
      </c>
      <c r="J575" s="1" t="str">
        <f>IF(B575=0,VLOOKUP(A575,Feuil2!$A$2:$M$1241,9,FALSE)," ")</f>
        <v xml:space="preserve"> </v>
      </c>
      <c r="K575" s="1" t="str">
        <f>IF(B575=0,VLOOKUP(A575,Feuil2!$A$2:$M$1241,10,FALSE)," ")</f>
        <v xml:space="preserve"> </v>
      </c>
      <c r="L575" s="1"/>
      <c r="M575" s="1"/>
      <c r="N575" s="1"/>
      <c r="O575" s="8" t="str">
        <f>IF(B575=0,VLOOKUP(A575,Feuil2!$A$2:$M$1241,13,FALSE)," ")</f>
        <v xml:space="preserve"> </v>
      </c>
    </row>
    <row r="576" spans="1:15" x14ac:dyDescent="0.3">
      <c r="A576" s="1">
        <v>1909</v>
      </c>
      <c r="B576" s="1">
        <v>2</v>
      </c>
      <c r="C576" s="1" t="s">
        <v>193</v>
      </c>
      <c r="D576" s="1" t="s">
        <v>107</v>
      </c>
      <c r="E576" s="5">
        <v>42307</v>
      </c>
      <c r="F576" s="1" t="s">
        <v>506</v>
      </c>
      <c r="G576" s="1" t="str">
        <f>IF(B576=0,VLOOKUP(A576,Feuil2!$A$2:$M$1241,11,FALSE)," ")</f>
        <v xml:space="preserve"> </v>
      </c>
      <c r="H576" s="1" t="s">
        <v>16</v>
      </c>
      <c r="I576" s="6" t="str">
        <f>IF(B576=0,VLOOKUP(A576,Feuil2!$A$2:$M$1241,7,FALSE)," ")</f>
        <v xml:space="preserve"> </v>
      </c>
      <c r="J576" s="1" t="str">
        <f>IF(B576=0,VLOOKUP(A576,Feuil2!$A$2:$M$1241,9,FALSE)," ")</f>
        <v xml:space="preserve"> </v>
      </c>
      <c r="K576" s="1" t="str">
        <f>IF(B576=0,VLOOKUP(A576,Feuil2!$A$2:$M$1241,10,FALSE)," ")</f>
        <v xml:space="preserve"> </v>
      </c>
      <c r="L576" s="1"/>
      <c r="M576" s="1"/>
      <c r="N576" s="1"/>
      <c r="O576" s="8" t="str">
        <f>IF(B576=0,VLOOKUP(A576,Feuil2!$A$2:$M$1241,13,FALSE)," ")</f>
        <v xml:space="preserve"> </v>
      </c>
    </row>
    <row r="577" spans="1:15" x14ac:dyDescent="0.3">
      <c r="A577" s="1">
        <v>1909</v>
      </c>
      <c r="B577" s="1">
        <v>3</v>
      </c>
      <c r="C577" s="1" t="s">
        <v>193</v>
      </c>
      <c r="D577" s="1" t="s">
        <v>479</v>
      </c>
      <c r="E577" s="5">
        <v>44372</v>
      </c>
      <c r="F577" s="1" t="s">
        <v>506</v>
      </c>
      <c r="G577" s="1"/>
      <c r="H577" s="1"/>
      <c r="I577" s="6"/>
      <c r="J577" s="1"/>
      <c r="K577" s="1"/>
      <c r="L577" s="1"/>
      <c r="M577" s="1"/>
      <c r="N577" s="1"/>
      <c r="O577" s="8"/>
    </row>
    <row r="578" spans="1:15" x14ac:dyDescent="0.3">
      <c r="A578" s="1">
        <v>1910</v>
      </c>
      <c r="B578" s="1">
        <v>0</v>
      </c>
      <c r="C578" s="1" t="str">
        <f>IF(B578=0,VLOOKUP(A578,Feuil2!$A$2:$M$1241,2,FALSE)," ")</f>
        <v>YOUSFI</v>
      </c>
      <c r="D578" s="1" t="str">
        <f>IF(B578=0,VLOOKUP(A578,Feuil2!$A$2:$M$1241,3,FALSE)," ")</f>
        <v>MEHDI</v>
      </c>
      <c r="E578" s="5">
        <f>IF(B578=0,VLOOKUP(A578,Feuil2!$A$2:$M$1241,6,FALSE)," ")</f>
        <v>31335</v>
      </c>
      <c r="F578" s="1" t="str">
        <f>IF(B578=0,VLOOKUP(A578,Feuil2!$A$2:$M$1241,12,FALSE)," ")</f>
        <v>H</v>
      </c>
      <c r="G578" s="1" t="str">
        <f>IF(B578=0,VLOOKUP(A578,Feuil2!$A$2:$M$1241,11,FALSE)," ")</f>
        <v>M</v>
      </c>
      <c r="H578" s="1" t="s">
        <v>16</v>
      </c>
      <c r="I578" s="6">
        <f>IF(B578=0,VLOOKUP(A578,Feuil2!$A$2:$M$1241,7,FALSE)," ")</f>
        <v>8471747</v>
      </c>
      <c r="J578" s="1" t="str">
        <f>IF(B578=0,VLOOKUP(A578,Feuil2!$A$2:$M$1241,9,FALSE)," ")</f>
        <v>184, Rue HÃ©di Chaker</v>
      </c>
      <c r="K578" s="1" t="str">
        <f>IF(B578=0,VLOOKUP(A578,Feuil2!$A$2:$M$1241,10,FALSE)," ")</f>
        <v>Msaken 4070</v>
      </c>
      <c r="L578" s="1">
        <v>4070</v>
      </c>
      <c r="M578" s="1">
        <v>23670249</v>
      </c>
      <c r="N578" s="1"/>
      <c r="O578" s="8" t="str">
        <f>IF(B578=0,VLOOKUP(A578,Feuil2!$A$2:$M$1241,13,FALSE)," ")</f>
        <v>05048000116500151253</v>
      </c>
    </row>
    <row r="579" spans="1:15" x14ac:dyDescent="0.3">
      <c r="A579" s="1">
        <v>1910</v>
      </c>
      <c r="B579" s="1">
        <v>1</v>
      </c>
      <c r="C579" s="1" t="s">
        <v>161</v>
      </c>
      <c r="D579" s="1" t="s">
        <v>2429</v>
      </c>
      <c r="E579" s="5">
        <v>33182</v>
      </c>
      <c r="F579" s="1" t="s">
        <v>17</v>
      </c>
      <c r="G579" s="1" t="str">
        <f>IF(B579=0,VLOOKUP(A579,Feuil2!$A$2:$M$1241,11,FALSE)," ")</f>
        <v xml:space="preserve"> </v>
      </c>
      <c r="H579" s="1" t="s">
        <v>16</v>
      </c>
      <c r="I579" s="6" t="str">
        <f>IF(B579=0,VLOOKUP(A579,Feuil2!$A$2:$M$1241,7,FALSE)," ")</f>
        <v xml:space="preserve"> </v>
      </c>
      <c r="J579" s="1" t="str">
        <f>IF(B579=0,VLOOKUP(A579,Feuil2!$A$2:$M$1241,9,FALSE)," ")</f>
        <v xml:space="preserve"> </v>
      </c>
      <c r="K579" s="1" t="str">
        <f>IF(B579=0,VLOOKUP(A579,Feuil2!$A$2:$M$1241,10,FALSE)," ")</f>
        <v xml:space="preserve"> </v>
      </c>
      <c r="L579" s="1"/>
      <c r="M579" s="1"/>
      <c r="N579" s="1"/>
      <c r="O579" s="8" t="str">
        <f>IF(B579=0,VLOOKUP(A579,Feuil2!$A$2:$M$1241,13,FALSE)," ")</f>
        <v xml:space="preserve"> </v>
      </c>
    </row>
    <row r="580" spans="1:15" x14ac:dyDescent="0.3">
      <c r="A580" s="1">
        <v>1910</v>
      </c>
      <c r="B580" s="1">
        <v>2</v>
      </c>
      <c r="C580" s="1" t="s">
        <v>210</v>
      </c>
      <c r="D580" s="1" t="s">
        <v>2332</v>
      </c>
      <c r="E580" s="5">
        <v>43291</v>
      </c>
      <c r="F580" s="1" t="s">
        <v>17</v>
      </c>
      <c r="G580" s="1"/>
      <c r="H580" s="1" t="s">
        <v>16</v>
      </c>
      <c r="I580" s="6"/>
      <c r="J580" s="1"/>
      <c r="K580" s="1"/>
      <c r="L580" s="1"/>
      <c r="M580" s="1"/>
      <c r="N580" s="1"/>
      <c r="O580" s="8"/>
    </row>
    <row r="581" spans="1:15" x14ac:dyDescent="0.3">
      <c r="A581" s="1">
        <v>1910</v>
      </c>
      <c r="B581" s="1">
        <v>3</v>
      </c>
      <c r="C581" s="1" t="s">
        <v>210</v>
      </c>
      <c r="D581" s="1" t="s">
        <v>2424</v>
      </c>
      <c r="E581" s="5">
        <v>44452</v>
      </c>
      <c r="F581" s="5" t="s">
        <v>15</v>
      </c>
      <c r="G581" s="1" t="s">
        <v>17</v>
      </c>
      <c r="H581" s="1" t="s">
        <v>16</v>
      </c>
      <c r="I581" s="6" t="str">
        <f>IF(B581=0,VLOOKUP(A581,Feuil2!$A$2:$M$1241,7,FALSE)," ")</f>
        <v xml:space="preserve"> </v>
      </c>
      <c r="J581" s="1" t="str">
        <f>IF(B581=0,VLOOKUP(A581,Feuil2!$A$2:$M$1241,9,FALSE)," ")</f>
        <v xml:space="preserve"> </v>
      </c>
      <c r="K581" s="1" t="str">
        <f>IF(B581=0,VLOOKUP(A581,Feuil2!$A$2:$M$1241,10,FALSE)," ")</f>
        <v xml:space="preserve"> </v>
      </c>
      <c r="L581" s="1"/>
      <c r="M581" s="1"/>
      <c r="N581" s="1"/>
      <c r="O581" s="8" t="str">
        <f>IF(B581=0,VLOOKUP(A581,Feuil2!$A$2:$M$1241,13,FALSE)," ")</f>
        <v xml:space="preserve"> </v>
      </c>
    </row>
    <row r="582" spans="1:15" x14ac:dyDescent="0.3">
      <c r="A582" s="1">
        <v>1917</v>
      </c>
      <c r="B582" s="1">
        <v>0</v>
      </c>
      <c r="C582" s="1" t="str">
        <f>IF(B582=0,VLOOKUP(A582,Feuil2!$A$2:$M$1241,2,FALSE)," ")</f>
        <v>HAMILA</v>
      </c>
      <c r="D582" s="1" t="str">
        <f>IF(B582=0,VLOOKUP(A582,Feuil2!$A$2:$M$1241,3,FALSE)," ")</f>
        <v>JAMEL</v>
      </c>
      <c r="E582" s="5">
        <f>IF(B582=0,VLOOKUP(A582,Feuil2!$A$2:$M$1241,6,FALSE)," ")</f>
        <v>25690</v>
      </c>
      <c r="F582" s="1" t="str">
        <f>IF(B582=0,VLOOKUP(A582,Feuil2!$A$2:$M$1241,12,FALSE)," ")</f>
        <v>H</v>
      </c>
      <c r="G582" s="1" t="str">
        <f>IF(B582=0,VLOOKUP(A582,Feuil2!$A$2:$M$1241,11,FALSE)," ")</f>
        <v>M</v>
      </c>
      <c r="H582" s="1" t="s">
        <v>16</v>
      </c>
      <c r="I582" s="6">
        <f>IF(B582=0,VLOOKUP(A582,Feuil2!$A$2:$M$1241,7,FALSE)," ")</f>
        <v>2994183</v>
      </c>
      <c r="J582" s="1" t="str">
        <f>IF(B582=0,VLOOKUP(A582,Feuil2!$A$2:$M$1241,9,FALSE)," ")</f>
        <v>44 Rue Achour</v>
      </c>
      <c r="K582" s="1" t="str">
        <f>IF(B582=0,VLOOKUP(A582,Feuil2!$A$2:$M$1241,10,FALSE)," ")</f>
        <v>Msaken 4070</v>
      </c>
      <c r="L582" s="1">
        <v>4070</v>
      </c>
      <c r="M582" s="1">
        <v>93229007</v>
      </c>
      <c r="N582" s="1"/>
      <c r="O582" s="8" t="str">
        <f>IF(B582=0,VLOOKUP(A582,Feuil2!$A$2:$M$1241,13,FALSE)," ")</f>
        <v>12505000000211620701</v>
      </c>
    </row>
    <row r="583" spans="1:15" x14ac:dyDescent="0.3">
      <c r="A583" s="1">
        <v>1917</v>
      </c>
      <c r="B583" s="1">
        <v>1</v>
      </c>
      <c r="C583" s="1" t="s">
        <v>2430</v>
      </c>
      <c r="D583" s="1" t="s">
        <v>629</v>
      </c>
      <c r="E583" s="5">
        <v>26439</v>
      </c>
      <c r="F583" s="1" t="s">
        <v>17</v>
      </c>
      <c r="G583" s="1" t="s">
        <v>15</v>
      </c>
      <c r="H583" s="1" t="s">
        <v>16</v>
      </c>
      <c r="I583" s="6" t="str">
        <f>IF(B583=0,VLOOKUP(A583,Feuil2!$A$2:$M$1241,7,FALSE)," ")</f>
        <v xml:space="preserve"> </v>
      </c>
      <c r="J583" s="1" t="str">
        <f>IF(B583=0,VLOOKUP(A583,Feuil2!$A$2:$M$1241,9,FALSE)," ")</f>
        <v xml:space="preserve"> </v>
      </c>
      <c r="K583" s="1" t="str">
        <f>IF(B583=0,VLOOKUP(A583,Feuil2!$A$2:$M$1241,10,FALSE)," ")</f>
        <v xml:space="preserve"> </v>
      </c>
      <c r="L583" s="1"/>
      <c r="M583" s="1"/>
      <c r="N583" s="1"/>
      <c r="O583" s="8" t="str">
        <f>IF(B583=0,VLOOKUP(A583,Feuil2!$A$2:$M$1241,13,FALSE)," ")</f>
        <v xml:space="preserve"> </v>
      </c>
    </row>
    <row r="584" spans="1:15" x14ac:dyDescent="0.3">
      <c r="A584" s="1">
        <v>1917</v>
      </c>
      <c r="B584" s="1">
        <v>2</v>
      </c>
      <c r="C584" s="1" t="s">
        <v>103</v>
      </c>
      <c r="D584" s="1" t="s">
        <v>296</v>
      </c>
      <c r="E584" s="5">
        <v>37315</v>
      </c>
      <c r="F584" s="1" t="s">
        <v>506</v>
      </c>
      <c r="G584" s="1" t="str">
        <f>IF(B584=0,VLOOKUP(A584,Feuil2!$A$2:$M$1241,11,FALSE)," ")</f>
        <v xml:space="preserve"> </v>
      </c>
      <c r="H584" s="1" t="s">
        <v>16</v>
      </c>
      <c r="I584" s="6" t="str">
        <f>IF(B584=0,VLOOKUP(A584,Feuil2!$A$2:$M$1241,7,FALSE)," ")</f>
        <v xml:space="preserve"> </v>
      </c>
      <c r="J584" s="1" t="str">
        <f>IF(B584=0,VLOOKUP(A584,Feuil2!$A$2:$M$1241,9,FALSE)," ")</f>
        <v xml:space="preserve"> </v>
      </c>
      <c r="K584" s="1" t="str">
        <f>IF(B584=0,VLOOKUP(A584,Feuil2!$A$2:$M$1241,10,FALSE)," ")</f>
        <v xml:space="preserve"> </v>
      </c>
      <c r="L584" s="1"/>
      <c r="M584" s="1"/>
      <c r="N584" s="1"/>
      <c r="O584" s="8" t="str">
        <f>IF(B584=0,VLOOKUP(A584,Feuil2!$A$2:$M$1241,13,FALSE)," ")</f>
        <v xml:space="preserve"> </v>
      </c>
    </row>
    <row r="585" spans="1:15" x14ac:dyDescent="0.3">
      <c r="A585" s="1">
        <v>1917</v>
      </c>
      <c r="B585" s="1">
        <v>3</v>
      </c>
      <c r="C585" s="1" t="s">
        <v>103</v>
      </c>
      <c r="D585" s="1" t="s">
        <v>2389</v>
      </c>
      <c r="E585" s="5">
        <v>38407</v>
      </c>
      <c r="F585" s="1" t="s">
        <v>17</v>
      </c>
      <c r="G585" s="1" t="str">
        <f>IF(B585=0,VLOOKUP(A585,Feuil2!$A$2:$M$1241,11,FALSE)," ")</f>
        <v xml:space="preserve"> </v>
      </c>
      <c r="H585" s="1" t="s">
        <v>16</v>
      </c>
      <c r="I585" s="6" t="str">
        <f>IF(B585=0,VLOOKUP(A585,Feuil2!$A$2:$M$1241,7,FALSE)," ")</f>
        <v xml:space="preserve"> </v>
      </c>
      <c r="J585" s="1" t="str">
        <f>IF(B585=0,VLOOKUP(A585,Feuil2!$A$2:$M$1241,9,FALSE)," ")</f>
        <v xml:space="preserve"> </v>
      </c>
      <c r="K585" s="1" t="str">
        <f>IF(B585=0,VLOOKUP(A585,Feuil2!$A$2:$M$1241,10,FALSE)," ")</f>
        <v xml:space="preserve"> </v>
      </c>
      <c r="L585" s="1"/>
      <c r="M585" s="1"/>
      <c r="N585" s="1"/>
      <c r="O585" s="8" t="str">
        <f>IF(B585=0,VLOOKUP(A585,Feuil2!$A$2:$M$1241,13,FALSE)," ")</f>
        <v xml:space="preserve"> </v>
      </c>
    </row>
    <row r="586" spans="1:15" x14ac:dyDescent="0.3">
      <c r="A586" s="1">
        <v>1918</v>
      </c>
      <c r="B586" s="1">
        <v>0</v>
      </c>
      <c r="C586" s="1" t="str">
        <f>IF(B586=0,VLOOKUP(A586,Feuil2!$A$2:$M$1241,2,FALSE)," ")</f>
        <v>BOURIGUA</v>
      </c>
      <c r="D586" s="1" t="str">
        <f>IF(B586=0,VLOOKUP(A586,Feuil2!$A$2:$M$1241,3,FALSE)," ")</f>
        <v>MOHAMED ALI</v>
      </c>
      <c r="E586" s="5">
        <f>IF(B586=0,VLOOKUP(A586,Feuil2!$A$2:$M$1241,6,FALSE)," ")</f>
        <v>23865</v>
      </c>
      <c r="F586" s="1" t="str">
        <f>IF(B586=0,VLOOKUP(A586,Feuil2!$A$2:$M$1241,12,FALSE)," ")</f>
        <v>H</v>
      </c>
      <c r="G586" s="1" t="str">
        <f>IF(B586=0,VLOOKUP(A586,Feuil2!$A$2:$M$1241,11,FALSE)," ")</f>
        <v>M</v>
      </c>
      <c r="H586" s="1" t="s">
        <v>16</v>
      </c>
      <c r="I586" s="6">
        <f>IF(B586=0,VLOOKUP(A586,Feuil2!$A$2:$M$1241,7,FALSE)," ")</f>
        <v>2977136</v>
      </c>
      <c r="J586" s="1" t="str">
        <f>IF(B586=0,VLOOKUP(A586,Feuil2!$A$2:$M$1241,9,FALSE)," ")</f>
        <v>28 Rue Abdelhamid El Gadhi</v>
      </c>
      <c r="K586" s="1" t="str">
        <f>IF(B586=0,VLOOKUP(A586,Feuil2!$A$2:$M$1241,10,FALSE)," ")</f>
        <v>Msaken 4070</v>
      </c>
      <c r="L586" s="1">
        <v>4070</v>
      </c>
      <c r="M586" s="1">
        <v>92283049</v>
      </c>
      <c r="N586" s="1"/>
      <c r="O586" s="8" t="str">
        <f>IF(B586=0,VLOOKUP(A586,Feuil2!$A$2:$M$1241,13,FALSE)," ")</f>
        <v>08507000262003259260</v>
      </c>
    </row>
    <row r="587" spans="1:15" x14ac:dyDescent="0.3">
      <c r="A587" s="1">
        <v>1918</v>
      </c>
      <c r="B587" s="1">
        <v>1</v>
      </c>
      <c r="C587" s="1" t="s">
        <v>2632</v>
      </c>
      <c r="D587" s="1" t="s">
        <v>2597</v>
      </c>
      <c r="E587" s="5">
        <v>28474</v>
      </c>
      <c r="F587" s="1" t="s">
        <v>17</v>
      </c>
      <c r="G587" s="1" t="s">
        <v>15</v>
      </c>
      <c r="H587" s="1" t="s">
        <v>16</v>
      </c>
      <c r="I587" s="6" t="str">
        <f>IF(B587=0,VLOOKUP(A587,Feuil2!$A$2:$M$1241,7,FALSE)," ")</f>
        <v xml:space="preserve"> </v>
      </c>
      <c r="J587" s="1" t="str">
        <f>IF(B587=0,VLOOKUP(A587,Feuil2!$A$2:$M$1241,9,FALSE)," ")</f>
        <v xml:space="preserve"> </v>
      </c>
      <c r="K587" s="1" t="str">
        <f>IF(B587=0,VLOOKUP(A587,Feuil2!$A$2:$M$1241,10,FALSE)," ")</f>
        <v xml:space="preserve"> </v>
      </c>
      <c r="L587" s="1"/>
      <c r="M587" s="1"/>
      <c r="N587" s="1"/>
      <c r="O587" s="8"/>
    </row>
    <row r="588" spans="1:15" x14ac:dyDescent="0.3">
      <c r="A588" s="1">
        <v>1918</v>
      </c>
      <c r="B588" s="1">
        <v>2</v>
      </c>
      <c r="C588" s="1" t="s">
        <v>360</v>
      </c>
      <c r="D588" s="1" t="s">
        <v>2345</v>
      </c>
      <c r="E588" s="5">
        <v>36992</v>
      </c>
      <c r="F588" s="1" t="s">
        <v>17</v>
      </c>
      <c r="G588" s="1" t="str">
        <f>IF(B588=0,VLOOKUP(A588,Feuil2!$A$2:$M$1241,11,FALSE)," ")</f>
        <v xml:space="preserve"> </v>
      </c>
      <c r="H588" s="1" t="s">
        <v>16</v>
      </c>
      <c r="I588" s="6" t="str">
        <f>IF(B588=0,VLOOKUP(A588,Feuil2!$A$2:$M$1241,7,FALSE)," ")</f>
        <v xml:space="preserve"> </v>
      </c>
      <c r="J588" s="1" t="str">
        <f>IF(B588=0,VLOOKUP(A588,Feuil2!$A$2:$M$1241,9,FALSE)," ")</f>
        <v xml:space="preserve"> </v>
      </c>
      <c r="K588" s="1" t="str">
        <f>IF(B588=0,VLOOKUP(A588,Feuil2!$A$2:$M$1241,10,FALSE)," ")</f>
        <v xml:space="preserve"> </v>
      </c>
      <c r="L588" s="1"/>
      <c r="M588" s="1"/>
      <c r="N588" s="1"/>
      <c r="O588" s="8"/>
    </row>
    <row r="589" spans="1:15" x14ac:dyDescent="0.3">
      <c r="A589" s="1">
        <v>1918</v>
      </c>
      <c r="B589" s="1">
        <v>3</v>
      </c>
      <c r="C589" s="1" t="s">
        <v>360</v>
      </c>
      <c r="D589" s="1" t="s">
        <v>1925</v>
      </c>
      <c r="E589" s="5">
        <v>37633</v>
      </c>
      <c r="F589" s="1" t="s">
        <v>17</v>
      </c>
      <c r="G589" s="1" t="str">
        <f>IF(B589=0,VLOOKUP(A589,Feuil2!$A$2:$M$1241,11,FALSE)," ")</f>
        <v xml:space="preserve"> </v>
      </c>
      <c r="H589" s="1" t="s">
        <v>16</v>
      </c>
      <c r="I589" s="6" t="str">
        <f>IF(B589=0,VLOOKUP(A589,Feuil2!$A$2:$M$1241,7,FALSE)," ")</f>
        <v xml:space="preserve"> </v>
      </c>
      <c r="J589" s="1" t="str">
        <f>IF(B589=0,VLOOKUP(A589,Feuil2!$A$2:$M$1241,9,FALSE)," ")</f>
        <v xml:space="preserve"> </v>
      </c>
      <c r="K589" s="1" t="str">
        <f>IF(B589=0,VLOOKUP(A589,Feuil2!$A$2:$M$1241,10,FALSE)," ")</f>
        <v xml:space="preserve"> </v>
      </c>
      <c r="L589" s="1"/>
      <c r="M589" s="1"/>
      <c r="N589" s="1"/>
      <c r="O589" s="8"/>
    </row>
    <row r="590" spans="1:15" x14ac:dyDescent="0.3">
      <c r="A590" s="1">
        <v>1918</v>
      </c>
      <c r="B590" s="1">
        <v>4</v>
      </c>
      <c r="C590" s="1" t="s">
        <v>360</v>
      </c>
      <c r="D590" s="1" t="s">
        <v>2633</v>
      </c>
      <c r="E590" s="5">
        <v>39485</v>
      </c>
      <c r="F590" s="1" t="s">
        <v>17</v>
      </c>
      <c r="G590" s="1" t="str">
        <f>IF(B590=0,VLOOKUP(A590,Feuil2!$A$2:$M$1241,11,FALSE)," ")</f>
        <v xml:space="preserve"> </v>
      </c>
      <c r="H590" s="1" t="s">
        <v>16</v>
      </c>
      <c r="I590" s="6" t="str">
        <f>IF(B590=0,VLOOKUP(A590,Feuil2!$A$2:$M$1241,7,FALSE)," ")</f>
        <v xml:space="preserve"> </v>
      </c>
      <c r="J590" s="1" t="str">
        <f>IF(B590=0,VLOOKUP(A590,Feuil2!$A$2:$M$1241,9,FALSE)," ")</f>
        <v xml:space="preserve"> </v>
      </c>
      <c r="K590" s="1" t="str">
        <f>IF(B590=0,VLOOKUP(A590,Feuil2!$A$2:$M$1241,10,FALSE)," ")</f>
        <v xml:space="preserve"> </v>
      </c>
      <c r="L590" s="1"/>
      <c r="M590" s="1"/>
      <c r="N590" s="1"/>
      <c r="O590" s="8"/>
    </row>
    <row r="591" spans="1:15" x14ac:dyDescent="0.3">
      <c r="A591" s="1">
        <v>1918</v>
      </c>
      <c r="B591" s="1">
        <v>5</v>
      </c>
      <c r="C591" s="1" t="s">
        <v>360</v>
      </c>
      <c r="D591" s="1" t="s">
        <v>2634</v>
      </c>
      <c r="E591" s="5">
        <v>40597</v>
      </c>
      <c r="F591" s="1" t="s">
        <v>17</v>
      </c>
      <c r="G591" s="1" t="str">
        <f>IF(B591=0,VLOOKUP(A591,Feuil2!$A$2:$M$1241,11,FALSE)," ")</f>
        <v xml:space="preserve"> </v>
      </c>
      <c r="H591" s="1" t="s">
        <v>16</v>
      </c>
      <c r="I591" s="6" t="str">
        <f>IF(B591=0,VLOOKUP(A591,Feuil2!$A$2:$M$1241,7,FALSE)," ")</f>
        <v xml:space="preserve"> </v>
      </c>
      <c r="J591" s="1" t="str">
        <f>IF(B591=0,VLOOKUP(A591,Feuil2!$A$2:$M$1241,9,FALSE)," ")</f>
        <v xml:space="preserve"> </v>
      </c>
      <c r="K591" s="1" t="str">
        <f>IF(B591=0,VLOOKUP(A591,Feuil2!$A$2:$M$1241,10,FALSE)," ")</f>
        <v xml:space="preserve"> </v>
      </c>
      <c r="L591" s="1"/>
      <c r="M591" s="1"/>
      <c r="N591" s="1"/>
      <c r="O591" s="8"/>
    </row>
    <row r="592" spans="1:15" x14ac:dyDescent="0.3">
      <c r="A592" s="1">
        <v>1919</v>
      </c>
      <c r="B592" s="1">
        <v>0</v>
      </c>
      <c r="C592" s="1" t="str">
        <f>IF(B592=0,VLOOKUP(A592,Feuil2!$A$2:$M$1241,2,FALSE)," ")</f>
        <v>SOUA LAYOUNI</v>
      </c>
      <c r="D592" s="1" t="str">
        <f>IF(B592=0,VLOOKUP(A592,Feuil2!$A$2:$M$1241,3,FALSE)," ")</f>
        <v>MOHAMED</v>
      </c>
      <c r="E592" s="5">
        <f>IF(B592=0,VLOOKUP(A592,Feuil2!$A$2:$M$1241,6,FALSE)," ")</f>
        <v>28592</v>
      </c>
      <c r="F592" s="1" t="str">
        <f>IF(B592=0,VLOOKUP(A592,Feuil2!$A$2:$M$1241,12,FALSE)," ")</f>
        <v>H</v>
      </c>
      <c r="G592" s="1" t="s">
        <v>15</v>
      </c>
      <c r="H592" s="1" t="s">
        <v>16</v>
      </c>
      <c r="I592" s="6">
        <f>IF(B592=0,VLOOKUP(A592,Feuil2!$A$2:$M$1241,7,FALSE)," ")</f>
        <v>5591868</v>
      </c>
      <c r="J592" s="1" t="str">
        <f>IF(B592=0,VLOOKUP(A592,Feuil2!$A$2:$M$1241,9,FALSE)," ")</f>
        <v>13 Rue 20 Mars</v>
      </c>
      <c r="K592" s="1" t="str">
        <f>IF(B592=0,VLOOKUP(A592,Feuil2!$A$2:$M$1241,10,FALSE)," ")</f>
        <v>Msaken 4070</v>
      </c>
      <c r="L592" s="1">
        <v>4070</v>
      </c>
      <c r="M592" s="1">
        <v>26081814</v>
      </c>
      <c r="N592" s="1"/>
      <c r="O592" s="8" t="str">
        <f>IF(B592=0,VLOOKUP(A592,Feuil2!$A$2:$M$1241,13,FALSE)," ")</f>
        <v>04204067001486583603</v>
      </c>
    </row>
    <row r="593" spans="1:15" x14ac:dyDescent="0.3">
      <c r="A593" s="1">
        <v>1919</v>
      </c>
      <c r="B593" s="1">
        <v>1</v>
      </c>
      <c r="C593" s="1" t="s">
        <v>1857</v>
      </c>
      <c r="D593" s="1" t="s">
        <v>2544</v>
      </c>
      <c r="E593" s="5">
        <v>30424</v>
      </c>
      <c r="F593" s="1" t="s">
        <v>17</v>
      </c>
      <c r="G593" s="1" t="s">
        <v>15</v>
      </c>
      <c r="H593" s="1" t="s">
        <v>16</v>
      </c>
      <c r="I593" s="6" t="str">
        <f>IF(B593=0,VLOOKUP(A593,Feuil2!$A$2:$M$1241,7,FALSE)," ")</f>
        <v xml:space="preserve"> </v>
      </c>
      <c r="J593" s="1" t="str">
        <f>IF(B593=0,VLOOKUP(A593,Feuil2!$A$2:$M$1241,9,FALSE)," ")</f>
        <v xml:space="preserve"> </v>
      </c>
      <c r="K593" s="1" t="str">
        <f>IF(B593=0,VLOOKUP(A593,Feuil2!$A$2:$M$1241,10,FALSE)," ")</f>
        <v xml:space="preserve"> </v>
      </c>
      <c r="L593" s="1"/>
      <c r="M593" s="1"/>
      <c r="N593" s="1"/>
      <c r="O593" s="8" t="str">
        <f>IF(B593=0,VLOOKUP(A593,Feuil2!$A$2:$M$1241,13,FALSE)," ")</f>
        <v xml:space="preserve"> </v>
      </c>
    </row>
    <row r="594" spans="1:15" x14ac:dyDescent="0.3">
      <c r="A594" s="1">
        <v>1919</v>
      </c>
      <c r="B594" s="1">
        <v>2</v>
      </c>
      <c r="C594" s="1" t="s">
        <v>1857</v>
      </c>
      <c r="D594" s="1" t="s">
        <v>404</v>
      </c>
      <c r="E594" s="5">
        <v>42744</v>
      </c>
      <c r="F594" s="1" t="s">
        <v>17</v>
      </c>
      <c r="G594" s="1" t="str">
        <f>IF(B594=0,VLOOKUP(A594,Feuil2!$A$2:$M$1241,11,FALSE)," ")</f>
        <v xml:space="preserve"> </v>
      </c>
      <c r="H594" s="1" t="s">
        <v>16</v>
      </c>
      <c r="I594" s="6" t="str">
        <f>IF(B594=0,VLOOKUP(A594,Feuil2!$A$2:$M$1241,7,FALSE)," ")</f>
        <v xml:space="preserve"> </v>
      </c>
      <c r="J594" s="1" t="str">
        <f>IF(B594=0,VLOOKUP(A594,Feuil2!$A$2:$M$1241,9,FALSE)," ")</f>
        <v xml:space="preserve"> </v>
      </c>
      <c r="K594" s="1" t="str">
        <f>IF(B594=0,VLOOKUP(A594,Feuil2!$A$2:$M$1241,10,FALSE)," ")</f>
        <v xml:space="preserve"> </v>
      </c>
      <c r="L594" s="1"/>
      <c r="M594" s="1"/>
      <c r="N594" s="1"/>
      <c r="O594" s="8" t="str">
        <f>IF(B594=0,VLOOKUP(A594,Feuil2!$A$2:$M$1241,13,FALSE)," ")</f>
        <v xml:space="preserve"> </v>
      </c>
    </row>
    <row r="595" spans="1:15" x14ac:dyDescent="0.3">
      <c r="A595" s="1">
        <v>1919</v>
      </c>
      <c r="B595" s="1">
        <v>3</v>
      </c>
      <c r="C595" s="1" t="s">
        <v>1857</v>
      </c>
      <c r="D595" s="1" t="s">
        <v>60</v>
      </c>
      <c r="E595" s="5">
        <v>43243</v>
      </c>
      <c r="F595" s="1" t="s">
        <v>506</v>
      </c>
      <c r="G595" s="1" t="str">
        <f>IF(B595=0,VLOOKUP(A595,Feuil2!$A$2:$M$1241,11,FALSE)," ")</f>
        <v xml:space="preserve"> </v>
      </c>
      <c r="H595" s="1" t="s">
        <v>16</v>
      </c>
      <c r="I595" s="6" t="str">
        <f>IF(B595=0,VLOOKUP(A595,Feuil2!$A$2:$M$1241,7,FALSE)," ")</f>
        <v xml:space="preserve"> </v>
      </c>
      <c r="J595" s="1" t="str">
        <f>IF(B595=0,VLOOKUP(A595,Feuil2!$A$2:$M$1241,9,FALSE)," ")</f>
        <v xml:space="preserve"> </v>
      </c>
      <c r="K595" s="1" t="str">
        <f>IF(B595=0,VLOOKUP(A595,Feuil2!$A$2:$M$1241,10,FALSE)," ")</f>
        <v xml:space="preserve"> </v>
      </c>
      <c r="L595" s="1"/>
      <c r="M595" s="1"/>
      <c r="N595" s="1"/>
      <c r="O595" s="8" t="str">
        <f>IF(B595=0,VLOOKUP(A595,Feuil2!$A$2:$M$1241,13,FALSE)," ")</f>
        <v xml:space="preserve"> </v>
      </c>
    </row>
    <row r="596" spans="1:15" x14ac:dyDescent="0.3">
      <c r="A596" s="1">
        <v>1924</v>
      </c>
      <c r="B596" s="1">
        <v>0</v>
      </c>
      <c r="C596" s="1" t="str">
        <f>IF(B596=0,VLOOKUP(A596,Feuil2!$A$2:$M$1241,2,FALSE)," ")</f>
        <v>BRAHIM</v>
      </c>
      <c r="D596" s="1" t="str">
        <f>IF(B596=0,VLOOKUP(A596,Feuil2!$A$2:$M$1241,3,FALSE)," ")</f>
        <v>Wahiba</v>
      </c>
      <c r="E596" s="5">
        <f>IF(B596=0,VLOOKUP(A596,Feuil2!$A$2:$M$1241,6,FALSE)," ")</f>
        <v>26396</v>
      </c>
      <c r="F596" s="1" t="str">
        <f>IF(B596=0,VLOOKUP(A596,Feuil2!$A$2:$M$1241,12,FALSE)," ")</f>
        <v>F</v>
      </c>
      <c r="G596" s="1" t="str">
        <f>IF(B596=0,VLOOKUP(A596,Feuil2!$A$2:$M$1241,11,FALSE)," ")</f>
        <v>M</v>
      </c>
      <c r="H596" s="1" t="s">
        <v>16</v>
      </c>
      <c r="I596" s="6">
        <f>IF(B596=0,VLOOKUP(A596,Feuil2!$A$2:$M$1241,7,FALSE)," ")</f>
        <v>5524699</v>
      </c>
      <c r="J596" s="1" t="str">
        <f>IF(B596=0,VLOOKUP(A596,Feuil2!$A$2:$M$1241,9,FALSE)," ")</f>
        <v>Route de Moureddine</v>
      </c>
      <c r="K596" s="1" t="str">
        <f>IF(B596=0,VLOOKUP(A596,Feuil2!$A$2:$M$1241,10,FALSE)," ")</f>
        <v>Msaken 4070</v>
      </c>
      <c r="L596" s="1">
        <v>4070</v>
      </c>
      <c r="M596" s="1">
        <v>98793771</v>
      </c>
      <c r="N596" s="1"/>
      <c r="O596" s="8" t="str">
        <f>IF(B596=0,VLOOKUP(A596,Feuil2!$A$2:$M$1241,13,FALSE)," ")</f>
        <v>25018000000020569307</v>
      </c>
    </row>
    <row r="597" spans="1:15" x14ac:dyDescent="0.3">
      <c r="A597" s="1">
        <v>1924</v>
      </c>
      <c r="B597" s="1">
        <v>1</v>
      </c>
      <c r="C597" s="1" t="s">
        <v>745</v>
      </c>
      <c r="D597" s="1" t="s">
        <v>2455</v>
      </c>
      <c r="E597" s="5">
        <v>25745</v>
      </c>
      <c r="F597" s="1" t="s">
        <v>506</v>
      </c>
      <c r="G597" s="1" t="s">
        <v>15</v>
      </c>
      <c r="H597" s="1" t="s">
        <v>16</v>
      </c>
      <c r="I597" s="6" t="str">
        <f>IF(B597=0,VLOOKUP(A597,Feuil2!$A$2:$M$1241,7,FALSE)," ")</f>
        <v xml:space="preserve"> </v>
      </c>
      <c r="J597" s="1" t="str">
        <f>IF(B597=0,VLOOKUP(A597,Feuil2!$A$2:$M$1241,9,FALSE)," ")</f>
        <v xml:space="preserve"> </v>
      </c>
      <c r="K597" s="1" t="str">
        <f>IF(B597=0,VLOOKUP(A597,Feuil2!$A$2:$M$1241,10,FALSE)," ")</f>
        <v xml:space="preserve"> </v>
      </c>
      <c r="L597" s="1"/>
      <c r="M597" s="1"/>
      <c r="N597" s="1"/>
      <c r="O597" s="8" t="str">
        <f>IF(B597=0,VLOOKUP(A597,Feuil2!$A$2:$M$1241,13,FALSE)," ")</f>
        <v xml:space="preserve"> </v>
      </c>
    </row>
    <row r="598" spans="1:15" x14ac:dyDescent="0.3">
      <c r="A598" s="1">
        <v>1925</v>
      </c>
      <c r="B598" s="1">
        <v>0</v>
      </c>
      <c r="C598" s="1" t="str">
        <f>IF(B598=0,VLOOKUP(A598,Feuil2!$A$2:$M$1241,2,FALSE)," ")</f>
        <v>HACHICHA</v>
      </c>
      <c r="D598" s="1" t="str">
        <f>IF(B598=0,VLOOKUP(A598,Feuil2!$A$2:$M$1241,3,FALSE)," ")</f>
        <v>MOHAMED</v>
      </c>
      <c r="E598" s="5">
        <f>IF(B598=0,VLOOKUP(A598,Feuil2!$A$2:$M$1241,6,FALSE)," ")</f>
        <v>27692</v>
      </c>
      <c r="F598" s="1" t="str">
        <f>IF(B598=0,VLOOKUP(A598,Feuil2!$A$2:$M$1241,12,FALSE)," ")</f>
        <v>H</v>
      </c>
      <c r="G598" s="1" t="str">
        <f>IF(B598=0,VLOOKUP(A598,Feuil2!$A$2:$M$1241,11,FALSE)," ")</f>
        <v>M</v>
      </c>
      <c r="H598" s="1" t="s">
        <v>16</v>
      </c>
      <c r="I598" s="6">
        <f>IF(B598=0,VLOOKUP(A598,Feuil2!$A$2:$M$1241,7,FALSE)," ")</f>
        <v>4658212</v>
      </c>
      <c r="J598" s="1" t="str">
        <f>IF(B598=0,VLOOKUP(A598,Feuil2!$A$2:$M$1241,9,FALSE)," ")</f>
        <v>Route de Gremda km2 Ain Cheikh Rouhou</v>
      </c>
      <c r="K598" s="1" t="str">
        <f>IF(B598=0,VLOOKUP(A598,Feuil2!$A$2:$M$1241,10,FALSE)," ")</f>
        <v>Tunis</v>
      </c>
      <c r="L598" s="1"/>
      <c r="M598" s="1">
        <v>55587692</v>
      </c>
      <c r="N598" s="1"/>
      <c r="O598" s="8" t="str">
        <f>IF(B598=0,VLOOKUP(A598,Feuil2!$A$2:$M$1241,13,FALSE)," ")</f>
        <v>20009092229994195077</v>
      </c>
    </row>
    <row r="599" spans="1:15" x14ac:dyDescent="0.3">
      <c r="A599" s="1">
        <v>1925</v>
      </c>
      <c r="B599" s="1">
        <v>1</v>
      </c>
      <c r="C599" s="1" t="s">
        <v>2374</v>
      </c>
      <c r="D599" s="1" t="s">
        <v>2375</v>
      </c>
      <c r="E599" s="5">
        <v>29291</v>
      </c>
      <c r="F599" s="1" t="s">
        <v>17</v>
      </c>
      <c r="G599" s="1" t="s">
        <v>15</v>
      </c>
      <c r="H599" s="1" t="s">
        <v>16</v>
      </c>
      <c r="I599" s="6" t="str">
        <f>IF(B599=0,VLOOKUP(A599,Feuil2!$A$2:$M$1241,7,FALSE)," ")</f>
        <v xml:space="preserve"> </v>
      </c>
      <c r="J599" s="1" t="str">
        <f>IF(B599=0,VLOOKUP(A599,Feuil2!$A$2:$M$1241,9,FALSE)," ")</f>
        <v xml:space="preserve"> </v>
      </c>
      <c r="K599" s="1" t="str">
        <f>IF(B599=0,VLOOKUP(A599,Feuil2!$A$2:$M$1241,10,FALSE)," ")</f>
        <v xml:space="preserve"> </v>
      </c>
      <c r="L599" s="1"/>
      <c r="M599" s="1"/>
      <c r="N599" s="1"/>
      <c r="O599" s="8" t="str">
        <f>IF(B599=0,VLOOKUP(A599,Feuil2!$A$2:$M$1241,13,FALSE)," ")</f>
        <v xml:space="preserve"> </v>
      </c>
    </row>
    <row r="600" spans="1:15" x14ac:dyDescent="0.3">
      <c r="A600" s="1">
        <v>1925</v>
      </c>
      <c r="B600" s="1">
        <v>2</v>
      </c>
      <c r="C600" s="1" t="s">
        <v>304</v>
      </c>
      <c r="D600" s="1" t="s">
        <v>2376</v>
      </c>
      <c r="E600" s="5">
        <v>39811</v>
      </c>
      <c r="F600" s="1" t="s">
        <v>506</v>
      </c>
      <c r="G600" s="1" t="str">
        <f>IF(B600=0,VLOOKUP(A600,Feuil2!$A$2:$M$1241,11,FALSE)," ")</f>
        <v xml:space="preserve"> </v>
      </c>
      <c r="H600" s="1" t="s">
        <v>16</v>
      </c>
      <c r="I600" s="6" t="str">
        <f>IF(B600=0,VLOOKUP(A600,Feuil2!$A$2:$M$1241,7,FALSE)," ")</f>
        <v xml:space="preserve"> </v>
      </c>
      <c r="J600" s="1" t="str">
        <f>IF(B600=0,VLOOKUP(A600,Feuil2!$A$2:$M$1241,9,FALSE)," ")</f>
        <v xml:space="preserve"> </v>
      </c>
      <c r="K600" s="1" t="str">
        <f>IF(B600=0,VLOOKUP(A600,Feuil2!$A$2:$M$1241,10,FALSE)," ")</f>
        <v xml:space="preserve"> </v>
      </c>
      <c r="L600" s="1"/>
      <c r="M600" s="1"/>
      <c r="N600" s="1"/>
      <c r="O600" s="8" t="str">
        <f>IF(B600=0,VLOOKUP(A600,Feuil2!$A$2:$M$1241,13,FALSE)," ")</f>
        <v xml:space="preserve"> </v>
      </c>
    </row>
    <row r="601" spans="1:15" x14ac:dyDescent="0.3">
      <c r="A601" s="1">
        <v>1925</v>
      </c>
      <c r="B601" s="1">
        <v>3</v>
      </c>
      <c r="C601" s="1" t="s">
        <v>304</v>
      </c>
      <c r="D601" s="1" t="s">
        <v>2377</v>
      </c>
      <c r="E601" s="5">
        <v>42234</v>
      </c>
      <c r="F601" s="1" t="s">
        <v>17</v>
      </c>
      <c r="G601" s="1" t="str">
        <f>IF(B601=0,VLOOKUP(A601,Feuil2!$A$2:$M$1241,11,FALSE)," ")</f>
        <v xml:space="preserve"> </v>
      </c>
      <c r="H601" s="1" t="s">
        <v>16</v>
      </c>
      <c r="I601" s="6" t="str">
        <f>IF(B601=0,VLOOKUP(A601,Feuil2!$A$2:$M$1241,7,FALSE)," ")</f>
        <v xml:space="preserve"> </v>
      </c>
      <c r="J601" s="1" t="str">
        <f>IF(B601=0,VLOOKUP(A601,Feuil2!$A$2:$M$1241,9,FALSE)," ")</f>
        <v xml:space="preserve"> </v>
      </c>
      <c r="K601" s="1" t="str">
        <f>IF(B601=0,VLOOKUP(A601,Feuil2!$A$2:$M$1241,10,FALSE)," ")</f>
        <v xml:space="preserve"> </v>
      </c>
      <c r="L601" s="1"/>
      <c r="M601" s="1"/>
      <c r="N601" s="1"/>
      <c r="O601" s="8" t="str">
        <f>IF(B601=0,VLOOKUP(A601,Feuil2!$A$2:$M$1241,13,FALSE)," ")</f>
        <v xml:space="preserve"> </v>
      </c>
    </row>
    <row r="602" spans="1:15" x14ac:dyDescent="0.3">
      <c r="A602" s="1">
        <v>1930</v>
      </c>
      <c r="B602" s="1">
        <v>0</v>
      </c>
      <c r="C602" s="1" t="str">
        <f>IF(B602=0,VLOOKUP(A602,Feuil2!$A$2:$M$1241,2,FALSE)," ")</f>
        <v>EL HAMDI</v>
      </c>
      <c r="D602" s="1" t="str">
        <f>IF(B602=0,VLOOKUP(A602,Feuil2!$A$2:$M$1241,3,FALSE)," ")</f>
        <v>AHMED</v>
      </c>
      <c r="E602" s="5">
        <f>IF(B602=0,VLOOKUP(A602,Feuil2!$A$2:$M$1241,6,FALSE)," ")</f>
        <v>32218</v>
      </c>
      <c r="F602" s="1" t="str">
        <f>IF(B602=0,VLOOKUP(A602,Feuil2!$A$2:$M$1241,12,FALSE)," ")</f>
        <v>H</v>
      </c>
      <c r="G602" s="1" t="str">
        <f>IF(B602=0,VLOOKUP(A602,Feuil2!$A$2:$M$1241,11,FALSE)," ")</f>
        <v>C</v>
      </c>
      <c r="H602" s="1" t="s">
        <v>16</v>
      </c>
      <c r="I602" s="6">
        <f>IF(B602=0,VLOOKUP(A602,Feuil2!$A$2:$M$1241,7,FALSE)," ")</f>
        <v>8498976</v>
      </c>
      <c r="J602" s="1" t="str">
        <f>IF(B602=0,VLOOKUP(A602,Feuil2!$A$2:$M$1241,9,FALSE)," ")</f>
        <v>Aouled Lakhchine</v>
      </c>
      <c r="K602" s="1" t="str">
        <f>IF(B602=0,VLOOKUP(A602,Feuil2!$A$2:$M$1241,10,FALSE)," ")</f>
        <v>Sidi El HÃ©ni 4025</v>
      </c>
      <c r="L602" s="1"/>
      <c r="M602" s="1">
        <v>95380495</v>
      </c>
      <c r="N602" s="1"/>
      <c r="O602" s="8" t="str">
        <f>IF(B602=0,VLOOKUP(A602,Feuil2!$A$2:$M$1241,13,FALSE)," ")</f>
        <v>17503000000169340665</v>
      </c>
    </row>
    <row r="603" spans="1:15" x14ac:dyDescent="0.3">
      <c r="A603" s="1">
        <v>1938</v>
      </c>
      <c r="B603" s="1">
        <v>0</v>
      </c>
      <c r="C603" s="1" t="str">
        <f>IF(B603=0,VLOOKUP(A603,Feuil2!$A$2:$M$1241,2,FALSE)," ")</f>
        <v>NAFFATI</v>
      </c>
      <c r="D603" s="1" t="str">
        <f>IF(B603=0,VLOOKUP(A603,Feuil2!$A$2:$M$1241,3,FALSE)," ")</f>
        <v>SOFIENE</v>
      </c>
      <c r="E603" s="5">
        <f>IF(B603=0,VLOOKUP(A603,Feuil2!$A$2:$M$1241,6,FALSE)," ")</f>
        <v>30665</v>
      </c>
      <c r="F603" s="1" t="str">
        <f>IF(B603=0,VLOOKUP(A603,Feuil2!$A$2:$M$1241,12,FALSE)," ")</f>
        <v>H</v>
      </c>
      <c r="G603" s="1" t="str">
        <f>IF(B603=0,VLOOKUP(A603,Feuil2!$A$2:$M$1241,11,FALSE)," ")</f>
        <v>C</v>
      </c>
      <c r="H603" s="1" t="s">
        <v>16</v>
      </c>
      <c r="I603" s="6">
        <f>IF(B603=0,VLOOKUP(A603,Feuil2!$A$2:$M$1241,7,FALSE)," ")</f>
        <v>8463413</v>
      </c>
      <c r="J603" s="1" t="str">
        <f>IF(B603=0,VLOOKUP(A603,Feuil2!$A$2:$M$1241,9,FALSE)," ")</f>
        <v>Aouled Boubaker</v>
      </c>
      <c r="K603" s="1" t="str">
        <f>IF(B603=0,VLOOKUP(A603,Feuil2!$A$2:$M$1241,10,FALSE)," ")</f>
        <v>Sidi El HÃ©ni 4025</v>
      </c>
      <c r="L603" s="1"/>
      <c r="M603" s="1">
        <v>27903583</v>
      </c>
      <c r="N603" s="1"/>
      <c r="O603" s="8" t="str">
        <f>IF(B603=0,VLOOKUP(A603,Feuil2!$A$2:$M$1241,13,FALSE)," ")</f>
        <v>24010028020251110195</v>
      </c>
    </row>
    <row r="604" spans="1:15" x14ac:dyDescent="0.3">
      <c r="A604" s="1">
        <v>1938</v>
      </c>
      <c r="B604" s="1">
        <v>1</v>
      </c>
      <c r="C604" s="1" t="s">
        <v>2836</v>
      </c>
      <c r="D604" s="1" t="s">
        <v>629</v>
      </c>
      <c r="E604" s="5">
        <v>34148</v>
      </c>
      <c r="F604" s="1" t="s">
        <v>17</v>
      </c>
      <c r="G604" s="1"/>
      <c r="H604" s="1"/>
      <c r="I604" s="6"/>
      <c r="J604" s="1"/>
      <c r="K604" s="1"/>
      <c r="L604" s="1"/>
      <c r="M604" s="1"/>
      <c r="N604" s="1"/>
      <c r="O604" s="8"/>
    </row>
    <row r="605" spans="1:15" x14ac:dyDescent="0.3">
      <c r="A605" s="1">
        <v>1956</v>
      </c>
      <c r="B605" s="1">
        <v>0</v>
      </c>
      <c r="C605" s="1" t="s">
        <v>1889</v>
      </c>
      <c r="D605" s="1" t="str">
        <f>IF(B605=0,VLOOKUP(A605,Feuil2!$A$2:$M$1241,3,FALSE)," ")</f>
        <v>NEJI</v>
      </c>
      <c r="E605" s="5">
        <f>IF(B605=0,VLOOKUP(A605,Feuil2!$A$2:$M$1241,6,FALSE)," ")</f>
        <v>25399</v>
      </c>
      <c r="F605" s="1" t="str">
        <f>IF(B605=0,VLOOKUP(A605,Feuil2!$A$2:$M$1241,12,FALSE)," ")</f>
        <v>H</v>
      </c>
      <c r="G605" s="1" t="str">
        <f>IF(B605=0,VLOOKUP(A605,Feuil2!$A$2:$M$1241,11,FALSE)," ")</f>
        <v>M</v>
      </c>
      <c r="H605" s="1" t="s">
        <v>16</v>
      </c>
      <c r="I605" s="6">
        <f>IF(B605=0,VLOOKUP(A605,Feuil2!$A$2:$M$1241,7,FALSE)," ")</f>
        <v>2994776</v>
      </c>
      <c r="J605" s="1" t="str">
        <f>IF(B605=0,VLOOKUP(A605,Feuil2!$A$2:$M$1241,9,FALSE)," ")</f>
        <v>Aouled Alouane</v>
      </c>
      <c r="K605" s="1" t="str">
        <f>IF(B605=0,VLOOKUP(A605,Feuil2!$A$2:$M$1241,10,FALSE)," ")</f>
        <v>Sidi El HÃ©ni 4025</v>
      </c>
      <c r="L605" s="1"/>
      <c r="M605" s="1">
        <v>98793656</v>
      </c>
      <c r="N605" s="1"/>
      <c r="O605" s="8" t="str">
        <f>IF(B605=0,VLOOKUP(A605,Feuil2!$A$2:$M$1241,13,FALSE)," ")</f>
        <v>12505000013301860426</v>
      </c>
    </row>
    <row r="606" spans="1:15" x14ac:dyDescent="0.3">
      <c r="A606" s="1">
        <v>1956</v>
      </c>
      <c r="B606" s="1">
        <v>1</v>
      </c>
      <c r="C606" s="1" t="s">
        <v>2400</v>
      </c>
      <c r="D606" s="1" t="s">
        <v>2401</v>
      </c>
      <c r="E606" s="5">
        <v>27590</v>
      </c>
      <c r="F606" s="1" t="s">
        <v>17</v>
      </c>
      <c r="G606" s="1" t="s">
        <v>15</v>
      </c>
      <c r="H606" s="1" t="s">
        <v>16</v>
      </c>
      <c r="I606" s="6" t="str">
        <f>IF(B606=0,VLOOKUP(A606,Feuil2!$A$2:$M$1241,7,FALSE)," ")</f>
        <v xml:space="preserve"> </v>
      </c>
      <c r="J606" s="1" t="str">
        <f>IF(B606=0,VLOOKUP(A606,Feuil2!$A$2:$M$1241,9,FALSE)," ")</f>
        <v xml:space="preserve"> </v>
      </c>
      <c r="K606" s="1" t="str">
        <f>IF(B606=0,VLOOKUP(A606,Feuil2!$A$2:$M$1241,10,FALSE)," ")</f>
        <v xml:space="preserve"> </v>
      </c>
      <c r="L606" s="1"/>
      <c r="M606" s="1"/>
      <c r="N606" s="1"/>
      <c r="O606" s="8" t="str">
        <f>IF(B606=0,VLOOKUP(A606,Feuil2!$A$2:$M$1241,13,FALSE)," ")</f>
        <v xml:space="preserve"> </v>
      </c>
    </row>
    <row r="607" spans="1:15" x14ac:dyDescent="0.3">
      <c r="A607" s="1">
        <v>1956</v>
      </c>
      <c r="B607" s="1">
        <v>2</v>
      </c>
      <c r="C607" s="1" t="s">
        <v>1889</v>
      </c>
      <c r="D607" s="1" t="s">
        <v>2362</v>
      </c>
      <c r="E607" s="5">
        <v>42145</v>
      </c>
      <c r="F607" s="1" t="s">
        <v>17</v>
      </c>
      <c r="G607" s="1" t="str">
        <f>IF(B607=0,VLOOKUP(A607,Feuil2!$A$2:$M$1241,11,FALSE)," ")</f>
        <v xml:space="preserve"> </v>
      </c>
      <c r="H607" s="1" t="s">
        <v>16</v>
      </c>
      <c r="I607" s="6" t="str">
        <f>IF(B607=0,VLOOKUP(A607,Feuil2!$A$2:$M$1241,7,FALSE)," ")</f>
        <v xml:space="preserve"> </v>
      </c>
      <c r="J607" s="1" t="str">
        <f>IF(B607=0,VLOOKUP(A607,Feuil2!$A$2:$M$1241,9,FALSE)," ")</f>
        <v xml:space="preserve"> </v>
      </c>
      <c r="K607" s="1" t="str">
        <f>IF(B607=0,VLOOKUP(A607,Feuil2!$A$2:$M$1241,10,FALSE)," ")</f>
        <v xml:space="preserve"> </v>
      </c>
      <c r="L607" s="1"/>
      <c r="M607" s="1"/>
      <c r="N607" s="1"/>
      <c r="O607" s="8" t="str">
        <f>IF(B607=0,VLOOKUP(A607,Feuil2!$A$2:$M$1241,13,FALSE)," ")</f>
        <v xml:space="preserve"> </v>
      </c>
    </row>
    <row r="608" spans="1:15" x14ac:dyDescent="0.3">
      <c r="A608" s="1">
        <v>1962</v>
      </c>
      <c r="B608" s="1">
        <v>0</v>
      </c>
      <c r="C608" s="1" t="str">
        <f>IF(B608=0,VLOOKUP(A608,Feuil2!$A$2:$M$1241,2,FALSE)," ")</f>
        <v>HADDAJI</v>
      </c>
      <c r="D608" s="1" t="str">
        <f>IF(B608=0,VLOOKUP(A608,Feuil2!$A$2:$M$1241,3,FALSE)," ")</f>
        <v>ELYES</v>
      </c>
      <c r="E608" s="5">
        <f>IF(B608=0,VLOOKUP(A608,Feuil2!$A$2:$M$1241,6,FALSE)," ")</f>
        <v>33552</v>
      </c>
      <c r="F608" s="1" t="str">
        <f>IF(B608=0,VLOOKUP(A608,Feuil2!$A$2:$M$1241,12,FALSE)," ")</f>
        <v>H</v>
      </c>
      <c r="G608" s="1" t="str">
        <f>IF(B608=0,VLOOKUP(A608,Feuil2!$A$2:$M$1241,11,FALSE)," ")</f>
        <v>C</v>
      </c>
      <c r="H608" s="1" t="s">
        <v>16</v>
      </c>
      <c r="I608" s="6">
        <f>IF(B608=0,VLOOKUP(A608,Feuil2!$A$2:$M$1241,7,FALSE)," ")</f>
        <v>11858767</v>
      </c>
      <c r="J608" s="1" t="str">
        <f>IF(B608=0,VLOOKUP(A608,Feuil2!$A$2:$M$1241,9,FALSE)," ")</f>
        <v>Khazzazia</v>
      </c>
      <c r="K608" s="1" t="str">
        <f>IF(B608=0,VLOOKUP(A608,Feuil2!$A$2:$M$1241,10,FALSE)," ")</f>
        <v>Kairouan</v>
      </c>
      <c r="L608" s="1"/>
      <c r="M608" s="1">
        <v>98793664</v>
      </c>
      <c r="N608" s="1"/>
      <c r="O608" s="10" t="s">
        <v>2505</v>
      </c>
    </row>
    <row r="609" spans="1:15" x14ac:dyDescent="0.3">
      <c r="A609" s="1">
        <v>1980</v>
      </c>
      <c r="B609" s="1">
        <v>0</v>
      </c>
      <c r="C609" s="1" t="str">
        <f>IF(B609=0,VLOOKUP(A609,Feuil2!$A$2:$M$1241,2,FALSE)," ")</f>
        <v>MLAYEH</v>
      </c>
      <c r="D609" s="1" t="str">
        <f>IF(B609=0,VLOOKUP(A609,Feuil2!$A$2:$M$1241,3,FALSE)," ")</f>
        <v>YOUSSEF</v>
      </c>
      <c r="E609" s="5">
        <f>IF(B609=0,VLOOKUP(A609,Feuil2!$A$2:$M$1241,6,FALSE)," ")</f>
        <v>30060</v>
      </c>
      <c r="F609" s="1" t="str">
        <f>IF(B609=0,VLOOKUP(A609,Feuil2!$A$2:$M$1241,12,FALSE)," ")</f>
        <v>H</v>
      </c>
      <c r="G609" s="1" t="str">
        <f>IF(B609=0,VLOOKUP(A609,Feuil2!$A$2:$M$1241,11,FALSE)," ")</f>
        <v>M</v>
      </c>
      <c r="H609" s="1" t="s">
        <v>16</v>
      </c>
      <c r="I609" s="6">
        <f>IF(B609=0,VLOOKUP(A609,Feuil2!$A$2:$M$1241,7,FALSE)," ")</f>
        <v>8467776</v>
      </c>
      <c r="J609" s="1" t="str">
        <f>IF(B609=0,VLOOKUP(A609,Feuil2!$A$2:$M$1241,9,FALSE)," ")</f>
        <v>Route de Sfax</v>
      </c>
      <c r="K609" s="1" t="str">
        <f>IF(B609=0,VLOOKUP(A609,Feuil2!$A$2:$M$1241,10,FALSE)," ")</f>
        <v>Msaken 4070</v>
      </c>
      <c r="L609" s="1">
        <v>4070</v>
      </c>
      <c r="M609" s="1">
        <v>22638376</v>
      </c>
      <c r="N609" s="1"/>
      <c r="O609" s="10" t="s">
        <v>2560</v>
      </c>
    </row>
    <row r="610" spans="1:15" x14ac:dyDescent="0.3">
      <c r="A610" s="1">
        <v>1980</v>
      </c>
      <c r="B610" s="1">
        <v>1</v>
      </c>
      <c r="C610" s="1" t="s">
        <v>2558</v>
      </c>
      <c r="D610" s="1" t="s">
        <v>2322</v>
      </c>
      <c r="E610" s="5">
        <v>31843</v>
      </c>
      <c r="F610" s="1" t="s">
        <v>17</v>
      </c>
      <c r="G610" s="1" t="s">
        <v>15</v>
      </c>
      <c r="H610" s="1" t="s">
        <v>16</v>
      </c>
      <c r="I610" s="6" t="str">
        <f>IF(B610=0,VLOOKUP(A610,Feuil2!$A$2:$M$1241,7,FALSE)," ")</f>
        <v xml:space="preserve"> </v>
      </c>
      <c r="J610" s="1" t="str">
        <f>IF(B610=0,VLOOKUP(A610,Feuil2!$A$2:$M$1241,9,FALSE)," ")</f>
        <v xml:space="preserve"> </v>
      </c>
      <c r="K610" s="1" t="str">
        <f>IF(B610=0,VLOOKUP(A610,Feuil2!$A$2:$M$1241,10,FALSE)," ")</f>
        <v xml:space="preserve"> </v>
      </c>
      <c r="L610" s="1"/>
      <c r="M610" s="1"/>
      <c r="N610" s="1"/>
      <c r="O610" s="8" t="str">
        <f>IF(B610=0,VLOOKUP(A610,Feuil2!$A$2:$M$1241,13,FALSE)," ")</f>
        <v xml:space="preserve"> </v>
      </c>
    </row>
    <row r="611" spans="1:15" x14ac:dyDescent="0.3">
      <c r="A611" s="1">
        <v>1980</v>
      </c>
      <c r="B611" s="1">
        <v>2</v>
      </c>
      <c r="C611" s="1" t="s">
        <v>317</v>
      </c>
      <c r="D611" s="1" t="s">
        <v>2559</v>
      </c>
      <c r="E611" s="5">
        <v>42014</v>
      </c>
      <c r="F611" s="1" t="s">
        <v>17</v>
      </c>
      <c r="G611" s="1" t="str">
        <f>IF(B611=0,VLOOKUP(A611,Feuil2!$A$2:$M$1241,11,FALSE)," ")</f>
        <v xml:space="preserve"> </v>
      </c>
      <c r="H611" s="1" t="s">
        <v>16</v>
      </c>
      <c r="I611" s="6" t="str">
        <f>IF(B611=0,VLOOKUP(A611,Feuil2!$A$2:$M$1241,7,FALSE)," ")</f>
        <v xml:space="preserve"> </v>
      </c>
      <c r="J611" s="1" t="str">
        <f>IF(B611=0,VLOOKUP(A611,Feuil2!$A$2:$M$1241,9,FALSE)," ")</f>
        <v xml:space="preserve"> </v>
      </c>
      <c r="K611" s="1" t="str">
        <f>IF(B611=0,VLOOKUP(A611,Feuil2!$A$2:$M$1241,10,FALSE)," ")</f>
        <v xml:space="preserve"> </v>
      </c>
      <c r="L611" s="1"/>
      <c r="M611" s="1"/>
      <c r="N611" s="1"/>
      <c r="O611" s="8" t="str">
        <f>IF(B611=0,VLOOKUP(A611,Feuil2!$A$2:$M$1241,13,FALSE)," ")</f>
        <v xml:space="preserve"> </v>
      </c>
    </row>
    <row r="612" spans="1:15" x14ac:dyDescent="0.3">
      <c r="A612" s="1">
        <v>1980</v>
      </c>
      <c r="B612" s="1">
        <v>3</v>
      </c>
      <c r="C612" s="1" t="s">
        <v>317</v>
      </c>
      <c r="D612" s="1" t="s">
        <v>2451</v>
      </c>
      <c r="E612" s="5">
        <v>43014</v>
      </c>
      <c r="F612" s="1" t="s">
        <v>17</v>
      </c>
      <c r="G612" s="1" t="str">
        <f>IF(B612=0,VLOOKUP(A612,Feuil2!$A$2:$M$1241,11,FALSE)," ")</f>
        <v xml:space="preserve"> </v>
      </c>
      <c r="H612" s="1" t="s">
        <v>16</v>
      </c>
      <c r="I612" s="6" t="str">
        <f>IF(B612=0,VLOOKUP(A612,Feuil2!$A$2:$M$1241,7,FALSE)," ")</f>
        <v xml:space="preserve"> </v>
      </c>
      <c r="J612" s="1" t="str">
        <f>IF(B612=0,VLOOKUP(A612,Feuil2!$A$2:$M$1241,9,FALSE)," ")</f>
        <v xml:space="preserve"> </v>
      </c>
      <c r="K612" s="1" t="str">
        <f>IF(B612=0,VLOOKUP(A612,Feuil2!$A$2:$M$1241,10,FALSE)," ")</f>
        <v xml:space="preserve"> </v>
      </c>
      <c r="L612" s="1"/>
      <c r="M612" s="1"/>
      <c r="N612" s="1"/>
      <c r="O612" s="8" t="str">
        <f>IF(B612=0,VLOOKUP(A612,Feuil2!$A$2:$M$1241,13,FALSE)," ")</f>
        <v xml:space="preserve"> </v>
      </c>
    </row>
    <row r="613" spans="1:15" x14ac:dyDescent="0.3">
      <c r="A613" s="1">
        <v>1983</v>
      </c>
      <c r="B613" s="1">
        <v>0</v>
      </c>
      <c r="C613" s="1" t="str">
        <f>IF(B613=0,VLOOKUP(A613,Feuil2!$A$2:$M$1241,2,FALSE)," ")</f>
        <v>GOUIDER</v>
      </c>
      <c r="D613" s="1" t="str">
        <f>IF(B613=0,VLOOKUP(A613,Feuil2!$A$2:$M$1241,3,FALSE)," ")</f>
        <v>SLAHEDDINE</v>
      </c>
      <c r="E613" s="5">
        <f>IF(B613=0,VLOOKUP(A613,Feuil2!$A$2:$M$1241,6,FALSE)," ")</f>
        <v>31968</v>
      </c>
      <c r="F613" s="1" t="str">
        <f>IF(B613=0,VLOOKUP(A613,Feuil2!$A$2:$M$1241,12,FALSE)," ")</f>
        <v>H</v>
      </c>
      <c r="G613" s="1" t="s">
        <v>15</v>
      </c>
      <c r="H613" s="1" t="s">
        <v>16</v>
      </c>
      <c r="I613" s="6">
        <f>IF(B613=0,VLOOKUP(A613,Feuil2!$A$2:$M$1241,7,FALSE)," ")</f>
        <v>9269061</v>
      </c>
      <c r="J613" s="1" t="str">
        <f>IF(B613=0,VLOOKUP(A613,Feuil2!$A$2:$M$1241,9,FALSE)," ")</f>
        <v>133, Rue Rekeb</v>
      </c>
      <c r="K613" s="1" t="str">
        <f>IF(B613=0,VLOOKUP(A613,Feuil2!$A$2:$M$1241,10,FALSE)," ")</f>
        <v>Msaken 4070</v>
      </c>
      <c r="L613" s="1">
        <v>4070</v>
      </c>
      <c r="M613" s="1">
        <v>20598890</v>
      </c>
      <c r="N613" s="1"/>
      <c r="O613" s="8" t="str">
        <f>IF(B613=0,VLOOKUP(A613,Feuil2!$A$2:$M$1241,13,FALSE)," ")</f>
        <v>14014014100703343934</v>
      </c>
    </row>
    <row r="614" spans="1:15" x14ac:dyDescent="0.3">
      <c r="A614" s="1">
        <v>1983</v>
      </c>
      <c r="B614" s="1">
        <v>1</v>
      </c>
      <c r="C614" s="1" t="s">
        <v>1486</v>
      </c>
      <c r="D614" s="1" t="s">
        <v>2327</v>
      </c>
      <c r="E614" s="5">
        <v>32547</v>
      </c>
      <c r="F614" s="1" t="s">
        <v>17</v>
      </c>
      <c r="G614" s="1" t="s">
        <v>15</v>
      </c>
      <c r="H614" s="1" t="s">
        <v>16</v>
      </c>
      <c r="I614" s="6" t="str">
        <f>IF(B614=0,VLOOKUP(A614,Feuil2!$A$2:$M$1241,7,FALSE)," ")</f>
        <v xml:space="preserve"> </v>
      </c>
      <c r="J614" s="1" t="str">
        <f>IF(B614=0,VLOOKUP(A614,Feuil2!$A$2:$M$1241,9,FALSE)," ")</f>
        <v xml:space="preserve"> </v>
      </c>
      <c r="K614" s="1" t="str">
        <f>IF(B614=0,VLOOKUP(A614,Feuil2!$A$2:$M$1241,10,FALSE)," ")</f>
        <v xml:space="preserve"> </v>
      </c>
      <c r="L614" s="1"/>
      <c r="M614" s="1"/>
      <c r="N614" s="1"/>
      <c r="O614" s="8" t="str">
        <f>IF(B614=0,VLOOKUP(A614,Feuil2!$A$2:$M$1241,13,FALSE)," ")</f>
        <v xml:space="preserve"> </v>
      </c>
    </row>
    <row r="615" spans="1:15" x14ac:dyDescent="0.3">
      <c r="A615" s="1">
        <v>1983</v>
      </c>
      <c r="B615" s="1">
        <v>2</v>
      </c>
      <c r="C615" s="1" t="s">
        <v>483</v>
      </c>
      <c r="D615" s="1" t="s">
        <v>61</v>
      </c>
      <c r="E615" s="5">
        <v>43251</v>
      </c>
      <c r="F615" s="1" t="s">
        <v>506</v>
      </c>
      <c r="G615" s="1" t="str">
        <f>IF(B615=0,VLOOKUP(A615,Feuil2!$A$2:$M$1241,11,FALSE)," ")</f>
        <v xml:space="preserve"> </v>
      </c>
      <c r="H615" s="1" t="s">
        <v>16</v>
      </c>
      <c r="I615" s="6"/>
      <c r="J615" s="1"/>
      <c r="K615" s="1"/>
      <c r="L615" s="1"/>
      <c r="M615" s="1"/>
      <c r="N615" s="1"/>
      <c r="O615" s="8"/>
    </row>
    <row r="616" spans="1:15" x14ac:dyDescent="0.3">
      <c r="A616" s="1">
        <v>1983</v>
      </c>
      <c r="B616" s="1">
        <v>3</v>
      </c>
      <c r="C616" s="1" t="s">
        <v>483</v>
      </c>
      <c r="D616" s="1" t="s">
        <v>2807</v>
      </c>
      <c r="E616" s="5">
        <v>44195</v>
      </c>
      <c r="F616" s="1" t="s">
        <v>506</v>
      </c>
      <c r="G616" s="1" t="str">
        <f>IF(B616=0,VLOOKUP(A616,Feuil2!$A$2:$M$1241,11,FALSE)," ")</f>
        <v xml:space="preserve"> </v>
      </c>
      <c r="H616" s="1" t="s">
        <v>16</v>
      </c>
      <c r="I616" s="6" t="str">
        <f>IF(B616=0,VLOOKUP(A616,Feuil2!$A$2:$M$1241,7,FALSE)," ")</f>
        <v xml:space="preserve"> </v>
      </c>
      <c r="J616" s="1" t="str">
        <f>IF(B616=0,VLOOKUP(A616,Feuil2!$A$2:$M$1241,9,FALSE)," ")</f>
        <v xml:space="preserve"> </v>
      </c>
      <c r="K616" s="1" t="str">
        <f>IF(B616=0,VLOOKUP(A616,Feuil2!$A$2:$M$1241,10,FALSE)," ")</f>
        <v xml:space="preserve"> </v>
      </c>
      <c r="L616" s="1"/>
      <c r="M616" s="1"/>
      <c r="N616" s="1"/>
      <c r="O616" s="8" t="str">
        <f>IF(B616=0,VLOOKUP(A616,Feuil2!$A$2:$M$1241,13,FALSE)," ")</f>
        <v xml:space="preserve"> </v>
      </c>
    </row>
    <row r="617" spans="1:15" x14ac:dyDescent="0.3">
      <c r="A617" s="17">
        <v>1985</v>
      </c>
      <c r="B617" s="17">
        <v>0</v>
      </c>
      <c r="C617" s="17" t="str">
        <f>IF(B617=0,VLOOKUP(A617,Feuil2!$A$2:$M$1241,2,FALSE)," ")</f>
        <v>MAHJOUB</v>
      </c>
      <c r="D617" s="17" t="str">
        <f>IF(B617=0,VLOOKUP(A617,Feuil2!$A$2:$M$1241,3,FALSE)," ")</f>
        <v>HAMZA</v>
      </c>
      <c r="E617" s="18">
        <f>IF(B617=0,VLOOKUP(A617,Feuil2!$A$2:$M$1241,6,FALSE)," ")</f>
        <v>32749</v>
      </c>
      <c r="F617" s="17" t="str">
        <f>IF(B617=0,VLOOKUP(A617,Feuil2!$A$2:$M$1241,12,FALSE)," ")</f>
        <v>H</v>
      </c>
      <c r="G617" s="17" t="str">
        <f>IF(B617=0,VLOOKUP(A617,Feuil2!$A$2:$M$1241,11,FALSE)," ")</f>
        <v>M</v>
      </c>
      <c r="H617" s="17" t="s">
        <v>16</v>
      </c>
      <c r="I617" s="19">
        <f>IF(B617=0,VLOOKUP(A617,Feuil2!$A$2:$M$1241,7,FALSE)," ")</f>
        <v>9296325</v>
      </c>
      <c r="J617" s="17" t="str">
        <f>IF(B617=0,VLOOKUP(A617,Feuil2!$A$2:$M$1241,9,FALSE)," ")</f>
        <v>Rue Mongi Zribi</v>
      </c>
      <c r="K617" s="17" t="str">
        <f>IF(B617=0,VLOOKUP(A617,Feuil2!$A$2:$M$1241,10,FALSE)," ")</f>
        <v>Msaken 4070</v>
      </c>
      <c r="L617" s="17">
        <v>4070</v>
      </c>
      <c r="M617" s="17">
        <v>26077478</v>
      </c>
      <c r="N617" s="17"/>
      <c r="O617" s="20" t="str">
        <f>IF(B617=0,VLOOKUP(A617,Feuil2!$A$2:$M$1241,13,FALSE)," ")</f>
        <v>14014014100703345874</v>
      </c>
    </row>
    <row r="618" spans="1:15" x14ac:dyDescent="0.3">
      <c r="A618" s="1">
        <v>1985</v>
      </c>
      <c r="B618" s="1">
        <v>1</v>
      </c>
      <c r="C618" s="1" t="s">
        <v>19</v>
      </c>
      <c r="D618" s="1" t="s">
        <v>2438</v>
      </c>
      <c r="E618" s="5">
        <v>43158</v>
      </c>
      <c r="F618" s="1" t="s">
        <v>506</v>
      </c>
      <c r="G618" s="1" t="str">
        <f>IF(B618=0,VLOOKUP(A618,Feuil2!$A$2:$M$1241,11,FALSE)," ")</f>
        <v xml:space="preserve"> </v>
      </c>
      <c r="H618" s="1" t="s">
        <v>16</v>
      </c>
      <c r="I618" s="6" t="str">
        <f>IF(B618=0,VLOOKUP(A618,Feuil2!$A$2:$M$1241,7,FALSE)," ")</f>
        <v xml:space="preserve"> </v>
      </c>
      <c r="J618" s="1" t="str">
        <f>IF(B618=0,VLOOKUP(A618,Feuil2!$A$2:$M$1241,9,FALSE)," ")</f>
        <v xml:space="preserve"> </v>
      </c>
      <c r="K618" s="1" t="str">
        <f>IF(B618=0,VLOOKUP(A618,Feuil2!$A$2:$M$1241,10,FALSE)," ")</f>
        <v xml:space="preserve"> </v>
      </c>
      <c r="L618" s="1"/>
      <c r="M618" s="1"/>
      <c r="N618" s="1"/>
      <c r="O618" s="8" t="str">
        <f>IF(B618=0,VLOOKUP(A618,Feuil2!$A$2:$M$1241,13,FALSE)," ")</f>
        <v xml:space="preserve"> </v>
      </c>
    </row>
    <row r="619" spans="1:15" x14ac:dyDescent="0.3">
      <c r="A619" s="1">
        <v>2004</v>
      </c>
      <c r="B619" s="1">
        <v>0</v>
      </c>
      <c r="C619" s="1" t="str">
        <f>IF(B619=0,VLOOKUP(A619,Feuil2!$A$2:$M$1241,2,FALSE)," ")</f>
        <v>LAAJILI</v>
      </c>
      <c r="D619" s="1" t="str">
        <f>IF(B619=0,VLOOKUP(A619,Feuil2!$A$2:$M$1241,3,FALSE)," ")</f>
        <v>LOTFI</v>
      </c>
      <c r="E619" s="5">
        <f>IF(B619=0,VLOOKUP(A619,Feuil2!$A$2:$M$1241,6,FALSE)," ")</f>
        <v>26344</v>
      </c>
      <c r="F619" s="1" t="str">
        <f>IF(B619=0,VLOOKUP(A619,Feuil2!$A$2:$M$1241,12,FALSE)," ")</f>
        <v>H</v>
      </c>
      <c r="G619" s="1" t="str">
        <f>IF(B619=0,VLOOKUP(A619,Feuil2!$A$2:$M$1241,11,FALSE)," ")</f>
        <v>M</v>
      </c>
      <c r="H619" s="1" t="s">
        <v>16</v>
      </c>
      <c r="I619" s="6">
        <f>IF(B619=0,VLOOKUP(A619,Feuil2!$A$2:$M$1241,7,FALSE)," ")</f>
        <v>5520371</v>
      </c>
      <c r="J619" s="1" t="str">
        <f>IF(B619=0,VLOOKUP(A619,Feuil2!$A$2:$M$1241,9,FALSE)," ")</f>
        <v>Azzouz</v>
      </c>
      <c r="K619" s="1" t="str">
        <f>IF(B619=0,VLOOKUP(A619,Feuil2!$A$2:$M$1241,10,FALSE)," ")</f>
        <v>Knaies 4014</v>
      </c>
      <c r="L619" s="1">
        <v>4014</v>
      </c>
      <c r="M619" s="1">
        <v>98981095</v>
      </c>
      <c r="N619" s="1"/>
      <c r="O619" s="8" t="str">
        <f>IF(B619=0,VLOOKUP(A619,Feuil2!$A$2:$M$1241,13,FALSE)," ")</f>
        <v>10506040507756578830</v>
      </c>
    </row>
    <row r="620" spans="1:15" x14ac:dyDescent="0.3">
      <c r="A620" s="1">
        <v>2004</v>
      </c>
      <c r="B620" s="1">
        <v>1</v>
      </c>
      <c r="C620" s="1" t="s">
        <v>2502</v>
      </c>
      <c r="D620" s="1" t="s">
        <v>2322</v>
      </c>
      <c r="E620" s="5">
        <v>31382</v>
      </c>
      <c r="F620" s="1" t="s">
        <v>17</v>
      </c>
      <c r="G620" s="1" t="s">
        <v>2356</v>
      </c>
      <c r="H620" s="1" t="s">
        <v>16</v>
      </c>
      <c r="I620" s="6" t="str">
        <f>IF(B620=0,VLOOKUP(A620,Feuil2!$A$2:$M$1241,7,FALSE)," ")</f>
        <v xml:space="preserve"> </v>
      </c>
      <c r="J620" s="1" t="str">
        <f>IF(B620=0,VLOOKUP(A620,Feuil2!$A$2:$M$1241,9,FALSE)," ")</f>
        <v xml:space="preserve"> </v>
      </c>
      <c r="K620" s="1" t="str">
        <f>IF(B620=0,VLOOKUP(A620,Feuil2!$A$2:$M$1241,10,FALSE)," ")</f>
        <v xml:space="preserve"> </v>
      </c>
      <c r="L620" s="1"/>
      <c r="M620" s="1"/>
      <c r="N620" s="1"/>
      <c r="O620" s="8" t="str">
        <f>IF(B620=0,VLOOKUP(A620,Feuil2!$A$2:$M$1241,13,FALSE)," ")</f>
        <v xml:space="preserve"> </v>
      </c>
    </row>
    <row r="621" spans="1:15" x14ac:dyDescent="0.3">
      <c r="A621" s="1">
        <v>2004</v>
      </c>
      <c r="B621" s="1">
        <v>2</v>
      </c>
      <c r="C621" s="1" t="s">
        <v>79</v>
      </c>
      <c r="D621" s="1" t="s">
        <v>2503</v>
      </c>
      <c r="E621" s="5">
        <v>39860</v>
      </c>
      <c r="F621" s="1" t="s">
        <v>2504</v>
      </c>
      <c r="G621" s="1" t="str">
        <f>IF(B621=0,VLOOKUP(A621,Feuil2!$A$2:$M$1241,11,FALSE)," ")</f>
        <v xml:space="preserve"> </v>
      </c>
      <c r="H621" s="1" t="s">
        <v>16</v>
      </c>
      <c r="I621" s="6" t="str">
        <f>IF(B621=0,VLOOKUP(A621,Feuil2!$A$2:$M$1241,7,FALSE)," ")</f>
        <v xml:space="preserve"> </v>
      </c>
      <c r="J621" s="1" t="str">
        <f>IF(B621=0,VLOOKUP(A621,Feuil2!$A$2:$M$1241,9,FALSE)," ")</f>
        <v xml:space="preserve"> </v>
      </c>
      <c r="K621" s="1" t="str">
        <f>IF(B621=0,VLOOKUP(A621,Feuil2!$A$2:$M$1241,10,FALSE)," ")</f>
        <v xml:space="preserve"> </v>
      </c>
      <c r="L621" s="1"/>
      <c r="M621" s="1"/>
      <c r="N621" s="1"/>
      <c r="O621" s="8" t="str">
        <f>IF(B621=0,VLOOKUP(A621,Feuil2!$A$2:$M$1241,13,FALSE)," ")</f>
        <v xml:space="preserve"> </v>
      </c>
    </row>
    <row r="622" spans="1:15" x14ac:dyDescent="0.3">
      <c r="A622" s="1">
        <v>2004</v>
      </c>
      <c r="B622" s="1">
        <v>3</v>
      </c>
      <c r="C622" s="1" t="s">
        <v>79</v>
      </c>
      <c r="D622" s="1" t="s">
        <v>2442</v>
      </c>
      <c r="E622" s="5">
        <v>40868</v>
      </c>
      <c r="F622" s="1" t="s">
        <v>17</v>
      </c>
      <c r="G622" s="1" t="str">
        <f>IF(B622=0,VLOOKUP(A622,Feuil2!$A$2:$M$1241,11,FALSE)," ")</f>
        <v xml:space="preserve"> </v>
      </c>
      <c r="H622" s="1" t="s">
        <v>16</v>
      </c>
      <c r="I622" s="6" t="str">
        <f>IF(B622=0,VLOOKUP(A622,Feuil2!$A$2:$M$1241,7,FALSE)," ")</f>
        <v xml:space="preserve"> </v>
      </c>
      <c r="J622" s="1" t="str">
        <f>IF(B622=0,VLOOKUP(A622,Feuil2!$A$2:$M$1241,9,FALSE)," ")</f>
        <v xml:space="preserve"> </v>
      </c>
      <c r="K622" s="1" t="str">
        <f>IF(B622=0,VLOOKUP(A622,Feuil2!$A$2:$M$1241,10,FALSE)," ")</f>
        <v xml:space="preserve"> </v>
      </c>
      <c r="L622" s="1"/>
      <c r="M622" s="1"/>
      <c r="N622" s="1"/>
      <c r="O622" s="8" t="str">
        <f>IF(B622=0,VLOOKUP(A622,Feuil2!$A$2:$M$1241,13,FALSE)," ")</f>
        <v xml:space="preserve"> </v>
      </c>
    </row>
    <row r="623" spans="1:15" x14ac:dyDescent="0.3">
      <c r="A623" s="1">
        <v>2004</v>
      </c>
      <c r="B623" s="1">
        <v>4</v>
      </c>
      <c r="C623" s="1" t="s">
        <v>79</v>
      </c>
      <c r="D623" s="1" t="s">
        <v>122</v>
      </c>
      <c r="E623" s="5">
        <v>41645</v>
      </c>
      <c r="F623" s="1" t="s">
        <v>506</v>
      </c>
      <c r="G623" s="1" t="str">
        <f>IF(B623=0,VLOOKUP(A623,Feuil2!$A$2:$M$1241,11,FALSE)," ")</f>
        <v xml:space="preserve"> </v>
      </c>
      <c r="H623" s="1" t="s">
        <v>16</v>
      </c>
      <c r="I623" s="6" t="str">
        <f>IF(B623=0,VLOOKUP(A623,Feuil2!$A$2:$M$1241,7,FALSE)," ")</f>
        <v xml:space="preserve"> </v>
      </c>
      <c r="J623" s="1" t="str">
        <f>IF(B623=0,VLOOKUP(A623,Feuil2!$A$2:$M$1241,9,FALSE)," ")</f>
        <v xml:space="preserve"> </v>
      </c>
      <c r="K623" s="1" t="str">
        <f>IF(B623=0,VLOOKUP(A623,Feuil2!$A$2:$M$1241,10,FALSE)," ")</f>
        <v xml:space="preserve"> </v>
      </c>
      <c r="L623" s="1"/>
      <c r="M623" s="1"/>
      <c r="N623" s="1"/>
      <c r="O623" s="8" t="str">
        <f>IF(B623=0,VLOOKUP(A623,Feuil2!$A$2:$M$1241,13,FALSE)," ")</f>
        <v xml:space="preserve"> </v>
      </c>
    </row>
    <row r="624" spans="1:15" x14ac:dyDescent="0.3">
      <c r="A624" s="1">
        <v>2009</v>
      </c>
      <c r="B624" s="1">
        <v>0</v>
      </c>
      <c r="C624" s="1" t="str">
        <f>IF(B624=0,VLOOKUP(A624,Feuil2!$A$2:$M$1241,2,FALSE)," ")</f>
        <v>BEN SAAD</v>
      </c>
      <c r="D624" s="1" t="str">
        <f>IF(B624=0,VLOOKUP(A624,Feuil2!$A$2:$M$1241,3,FALSE)," ")</f>
        <v>MOHAMED AMINE</v>
      </c>
      <c r="E624" s="5">
        <f>IF(B624=0,VLOOKUP(A624,Feuil2!$A$2:$M$1241,6,FALSE)," ")</f>
        <v>32329</v>
      </c>
      <c r="F624" s="1" t="str">
        <f>IF(B624=0,VLOOKUP(A624,Feuil2!$A$2:$M$1241,12,FALSE)," ")</f>
        <v>H</v>
      </c>
      <c r="G624" s="1" t="s">
        <v>15</v>
      </c>
      <c r="H624" s="1" t="s">
        <v>16</v>
      </c>
      <c r="I624" s="6">
        <f>IF(B624=0,VLOOKUP(A624,Feuil2!$A$2:$M$1241,7,FALSE)," ")</f>
        <v>9293217</v>
      </c>
      <c r="J624" s="1" t="str">
        <f>IF(B624=0,VLOOKUP(A624,Feuil2!$A$2:$M$1241,9,FALSE)," ")</f>
        <v>Knaies</v>
      </c>
      <c r="K624" s="1" t="str">
        <f>IF(B624=0,VLOOKUP(A624,Feuil2!$A$2:$M$1241,10,FALSE)," ")</f>
        <v>Knaies 4014</v>
      </c>
      <c r="L624" s="1">
        <v>4014</v>
      </c>
      <c r="M624" s="1">
        <v>22664032</v>
      </c>
      <c r="N624" s="1"/>
      <c r="O624" s="8" t="str">
        <f>IF(B624=0,VLOOKUP(A624,Feuil2!$A$2:$M$1241,13,FALSE)," ")</f>
        <v>12505000013304954435</v>
      </c>
    </row>
    <row r="625" spans="1:15" x14ac:dyDescent="0.3">
      <c r="A625" s="1">
        <v>2009</v>
      </c>
      <c r="B625" s="1">
        <v>1</v>
      </c>
      <c r="C625" s="1" t="s">
        <v>223</v>
      </c>
      <c r="D625" s="1" t="s">
        <v>1008</v>
      </c>
      <c r="E625" s="5">
        <v>34488</v>
      </c>
      <c r="F625" s="1" t="s">
        <v>17</v>
      </c>
      <c r="G625" s="1" t="s">
        <v>15</v>
      </c>
      <c r="H625" s="1" t="s">
        <v>16</v>
      </c>
      <c r="I625" s="6" t="str">
        <f>IF(B625=0,VLOOKUP(A625,Feuil2!$A$2:$M$1241,7,FALSE)," ")</f>
        <v xml:space="preserve"> </v>
      </c>
      <c r="J625" s="1" t="str">
        <f>IF(B625=0,VLOOKUP(A625,Feuil2!$A$2:$M$1241,9,FALSE)," ")</f>
        <v xml:space="preserve"> </v>
      </c>
      <c r="K625" s="1" t="str">
        <f>IF(B625=0,VLOOKUP(A625,Feuil2!$A$2:$M$1241,10,FALSE)," ")</f>
        <v xml:space="preserve"> </v>
      </c>
      <c r="L625" s="1"/>
      <c r="M625" s="1"/>
      <c r="N625" s="1"/>
      <c r="O625" s="8" t="str">
        <f>IF(B625=0,VLOOKUP(A625,Feuil2!$A$2:$M$1241,13,FALSE)," ")</f>
        <v xml:space="preserve"> </v>
      </c>
    </row>
    <row r="626" spans="1:15" x14ac:dyDescent="0.3">
      <c r="A626" s="1">
        <v>2025</v>
      </c>
      <c r="B626" s="1">
        <v>0</v>
      </c>
      <c r="C626" s="1" t="str">
        <f>IF(B626=0,VLOOKUP(A626,Feuil2!$A$2:$M$1241,2,FALSE)," ")</f>
        <v>MAHJOUB</v>
      </c>
      <c r="D626" s="1" t="str">
        <f>IF(B626=0,VLOOKUP(A626,Feuil2!$A$2:$M$1241,3,FALSE)," ")</f>
        <v>MOHAMED RAMZI</v>
      </c>
      <c r="E626" s="5">
        <f>IF(B626=0,VLOOKUP(A626,Feuil2!$A$2:$M$1241,6,FALSE)," ")</f>
        <v>33570</v>
      </c>
      <c r="F626" s="1" t="str">
        <f>IF(B626=0,VLOOKUP(A626,Feuil2!$A$2:$M$1241,12,FALSE)," ")</f>
        <v>H</v>
      </c>
      <c r="G626" s="1" t="s">
        <v>15</v>
      </c>
      <c r="H626" s="1" t="s">
        <v>16</v>
      </c>
      <c r="I626" s="6">
        <f>IF(B626=0,VLOOKUP(A626,Feuil2!$A$2:$M$1241,7,FALSE)," ")</f>
        <v>9279389</v>
      </c>
      <c r="J626" s="1" t="str">
        <f>IF(B626=0,VLOOKUP(A626,Feuil2!$A$2:$M$1241,9,FALSE)," ")</f>
        <v>139, Rue Omene</v>
      </c>
      <c r="K626" s="1" t="str">
        <f>IF(B626=0,VLOOKUP(A626,Feuil2!$A$2:$M$1241,10,FALSE)," ")</f>
        <v>Msaken 4070</v>
      </c>
      <c r="L626" s="1">
        <v>4070</v>
      </c>
      <c r="M626" s="1">
        <v>28592465</v>
      </c>
      <c r="N626" s="1"/>
      <c r="O626" s="8" t="str">
        <f>IF(B626=0,VLOOKUP(A626,Feuil2!$A$2:$M$1241,13,FALSE)," ")</f>
        <v>12058000000224698277</v>
      </c>
    </row>
    <row r="627" spans="1:15" x14ac:dyDescent="0.3">
      <c r="A627" s="1">
        <v>2025</v>
      </c>
      <c r="B627" s="1">
        <v>1</v>
      </c>
      <c r="C627" s="1" t="s">
        <v>1913</v>
      </c>
      <c r="D627" s="1" t="s">
        <v>2348</v>
      </c>
      <c r="E627" s="5">
        <v>34669</v>
      </c>
      <c r="F627" s="1" t="s">
        <v>17</v>
      </c>
      <c r="G627" s="1" t="s">
        <v>15</v>
      </c>
      <c r="H627" s="1" t="s">
        <v>16</v>
      </c>
      <c r="I627" s="6" t="str">
        <f>IF(B627=0,VLOOKUP(A627,Feuil2!$A$2:$M$1241,7,FALSE)," ")</f>
        <v xml:space="preserve"> </v>
      </c>
      <c r="J627" s="1" t="str">
        <f>IF(B627=0,VLOOKUP(A627,Feuil2!$A$2:$M$1241,9,FALSE)," ")</f>
        <v xml:space="preserve"> </v>
      </c>
      <c r="K627" s="1" t="str">
        <f>IF(B627=0,VLOOKUP(A627,Feuil2!$A$2:$M$1241,10,FALSE)," ")</f>
        <v xml:space="preserve"> </v>
      </c>
      <c r="L627" s="1"/>
      <c r="M627" s="1"/>
      <c r="N627" s="1"/>
      <c r="O627" s="8" t="str">
        <f>IF(B627=0,VLOOKUP(A627,Feuil2!$A$2:$M$1241,13,FALSE)," ")</f>
        <v xml:space="preserve"> </v>
      </c>
    </row>
    <row r="628" spans="1:15" x14ac:dyDescent="0.3">
      <c r="A628" s="1">
        <v>2025</v>
      </c>
      <c r="B628" s="1">
        <v>2</v>
      </c>
      <c r="C628" s="1" t="s">
        <v>19</v>
      </c>
      <c r="D628" s="1" t="s">
        <v>2349</v>
      </c>
      <c r="E628" s="5">
        <v>43633</v>
      </c>
      <c r="F628" s="1" t="s">
        <v>506</v>
      </c>
      <c r="G628" s="1" t="str">
        <f>IF(B628=0,VLOOKUP(A628,Feuil2!$A$2:$M$1241,11,FALSE)," ")</f>
        <v xml:space="preserve"> </v>
      </c>
      <c r="H628" s="1" t="s">
        <v>16</v>
      </c>
      <c r="I628" s="6" t="str">
        <f>IF(B628=0,VLOOKUP(A628,Feuil2!$A$2:$M$1241,7,FALSE)," ")</f>
        <v xml:space="preserve"> </v>
      </c>
      <c r="J628" s="1" t="str">
        <f>IF(B628=0,VLOOKUP(A628,Feuil2!$A$2:$M$1241,9,FALSE)," ")</f>
        <v xml:space="preserve"> </v>
      </c>
      <c r="K628" s="1" t="str">
        <f>IF(B628=0,VLOOKUP(A628,Feuil2!$A$2:$M$1241,10,FALSE)," ")</f>
        <v xml:space="preserve"> </v>
      </c>
      <c r="L628" s="1"/>
      <c r="M628" s="1"/>
      <c r="N628" s="1"/>
      <c r="O628" s="8" t="str">
        <f>IF(B628=0,VLOOKUP(A628,Feuil2!$A$2:$M$1241,13,FALSE)," ")</f>
        <v xml:space="preserve"> </v>
      </c>
    </row>
    <row r="629" spans="1:15" x14ac:dyDescent="0.3">
      <c r="A629" s="1">
        <v>2032</v>
      </c>
      <c r="B629" s="1">
        <v>0</v>
      </c>
      <c r="C629" s="1" t="str">
        <f>IF(B629=0,VLOOKUP(A629,Feuil2!$A$2:$M$1241,2,FALSE)," ")</f>
        <v>ELOUNI</v>
      </c>
      <c r="D629" s="1" t="str">
        <f>IF(B629=0,VLOOKUP(A629,Feuil2!$A$2:$M$1241,3,FALSE)," ")</f>
        <v>ABDELKERIM</v>
      </c>
      <c r="E629" s="5">
        <f>IF(B629=0,VLOOKUP(A629,Feuil2!$A$2:$M$1241,6,FALSE)," ")</f>
        <v>31107</v>
      </c>
      <c r="F629" s="1" t="str">
        <f>IF(B629=0,VLOOKUP(A629,Feuil2!$A$2:$M$1241,12,FALSE)," ")</f>
        <v>H</v>
      </c>
      <c r="G629" s="1" t="s">
        <v>15</v>
      </c>
      <c r="H629" s="1" t="s">
        <v>16</v>
      </c>
      <c r="I629" s="6">
        <f>IF(B629=0,VLOOKUP(A629,Feuil2!$A$2:$M$1241,7,FALSE)," ")</f>
        <v>9256297</v>
      </c>
      <c r="J629" s="1" t="str">
        <f>IF(B629=0,VLOOKUP(A629,Feuil2!$A$2:$M$1241,9,FALSE)," ")</f>
        <v>Rue 3004, CitÃ© El Ghodran</v>
      </c>
      <c r="K629" s="1" t="str">
        <f>IF(B629=0,VLOOKUP(A629,Feuil2!$A$2:$M$1241,10,FALSE)," ")</f>
        <v>Sousse</v>
      </c>
      <c r="L629" s="1"/>
      <c r="M629" s="1">
        <v>98793785</v>
      </c>
      <c r="N629" s="1"/>
      <c r="O629" s="8" t="str">
        <f>IF(B629=0,VLOOKUP(A629,Feuil2!$A$2:$M$1241,13,FALSE)," ")</f>
        <v>07408005310559917762</v>
      </c>
    </row>
    <row r="630" spans="1:15" x14ac:dyDescent="0.3">
      <c r="A630" s="1">
        <v>2032</v>
      </c>
      <c r="B630" s="1">
        <v>1</v>
      </c>
      <c r="C630" s="1" t="s">
        <v>2445</v>
      </c>
      <c r="D630" s="1" t="s">
        <v>2334</v>
      </c>
      <c r="E630" s="5">
        <v>31421</v>
      </c>
      <c r="F630" s="1" t="s">
        <v>17</v>
      </c>
      <c r="G630" s="1" t="s">
        <v>15</v>
      </c>
      <c r="H630" s="1" t="s">
        <v>16</v>
      </c>
      <c r="I630" s="6" t="str">
        <f>IF(B630=0,VLOOKUP(A630,Feuil2!$A$2:$M$1241,7,FALSE)," ")</f>
        <v xml:space="preserve"> </v>
      </c>
      <c r="J630" s="1" t="str">
        <f>IF(B630=0,VLOOKUP(A630,Feuil2!$A$2:$M$1241,9,FALSE)," ")</f>
        <v xml:space="preserve"> </v>
      </c>
      <c r="K630" s="1" t="str">
        <f>IF(B630=0,VLOOKUP(A630,Feuil2!$A$2:$M$1241,10,FALSE)," ")</f>
        <v xml:space="preserve"> </v>
      </c>
      <c r="L630" s="1"/>
      <c r="M630" s="1"/>
      <c r="N630" s="1"/>
      <c r="O630" s="8" t="str">
        <f>IF(B630=0,VLOOKUP(A630,Feuil2!$A$2:$M$1241,13,FALSE)," ")</f>
        <v xml:space="preserve"> </v>
      </c>
    </row>
    <row r="631" spans="1:15" x14ac:dyDescent="0.3">
      <c r="A631" s="1">
        <v>2032</v>
      </c>
      <c r="B631" s="1">
        <v>2</v>
      </c>
      <c r="C631" s="1" t="s">
        <v>448</v>
      </c>
      <c r="D631" s="1" t="s">
        <v>2446</v>
      </c>
      <c r="E631" s="5">
        <v>42653</v>
      </c>
      <c r="F631" s="1" t="s">
        <v>17</v>
      </c>
      <c r="G631" s="1" t="str">
        <f>IF(B631=0,VLOOKUP(A631,Feuil2!$A$2:$M$1241,11,FALSE)," ")</f>
        <v xml:space="preserve"> </v>
      </c>
      <c r="H631" s="1" t="s">
        <v>16</v>
      </c>
      <c r="I631" s="6" t="str">
        <f>IF(B631=0,VLOOKUP(A631,Feuil2!$A$2:$M$1241,7,FALSE)," ")</f>
        <v xml:space="preserve"> </v>
      </c>
      <c r="J631" s="1" t="str">
        <f>IF(B631=0,VLOOKUP(A631,Feuil2!$A$2:$M$1241,9,FALSE)," ")</f>
        <v xml:space="preserve"> </v>
      </c>
      <c r="K631" s="1" t="str">
        <f>IF(B631=0,VLOOKUP(A631,Feuil2!$A$2:$M$1241,10,FALSE)," ")</f>
        <v xml:space="preserve"> </v>
      </c>
      <c r="L631" s="1"/>
      <c r="M631" s="1"/>
      <c r="N631" s="1"/>
      <c r="O631" s="8" t="str">
        <f>IF(B631=0,VLOOKUP(A631,Feuil2!$A$2:$M$1241,13,FALSE)," ")</f>
        <v xml:space="preserve"> </v>
      </c>
    </row>
    <row r="632" spans="1:15" x14ac:dyDescent="0.3">
      <c r="A632" s="1">
        <v>2032</v>
      </c>
      <c r="B632" s="1">
        <v>3</v>
      </c>
      <c r="C632" s="1" t="s">
        <v>448</v>
      </c>
      <c r="D632" s="1" t="s">
        <v>2383</v>
      </c>
      <c r="E632" s="5">
        <v>43151</v>
      </c>
      <c r="F632" s="1" t="s">
        <v>17</v>
      </c>
      <c r="G632" s="1" t="str">
        <f>IF(B632=0,VLOOKUP(A632,Feuil2!$A$2:$M$1241,11,FALSE)," ")</f>
        <v xml:space="preserve"> </v>
      </c>
      <c r="H632" s="1" t="s">
        <v>16</v>
      </c>
      <c r="I632" s="6" t="str">
        <f>IF(B632=0,VLOOKUP(A632,Feuil2!$A$2:$M$1241,7,FALSE)," ")</f>
        <v xml:space="preserve"> </v>
      </c>
      <c r="J632" s="1" t="str">
        <f>IF(B632=0,VLOOKUP(A632,Feuil2!$A$2:$M$1241,9,FALSE)," ")</f>
        <v xml:space="preserve"> </v>
      </c>
      <c r="K632" s="1" t="str">
        <f>IF(B632=0,VLOOKUP(A632,Feuil2!$A$2:$M$1241,10,FALSE)," ")</f>
        <v xml:space="preserve"> </v>
      </c>
      <c r="L632" s="1"/>
      <c r="M632" s="1"/>
      <c r="N632" s="1"/>
      <c r="O632" s="8" t="str">
        <f>IF(B632=0,VLOOKUP(A632,Feuil2!$A$2:$M$1241,13,FALSE)," ")</f>
        <v xml:space="preserve"> </v>
      </c>
    </row>
    <row r="633" spans="1:15" x14ac:dyDescent="0.3">
      <c r="A633" s="1">
        <v>2052</v>
      </c>
      <c r="B633" s="1">
        <v>0</v>
      </c>
      <c r="C633" s="1" t="str">
        <f>IF(B633=0,VLOOKUP(A633,Feuil2!$A$2:$M$1241,2,FALSE)," ")</f>
        <v>BEN RAJEH</v>
      </c>
      <c r="D633" s="1" t="str">
        <f>IF(B633=0,VLOOKUP(A633,Feuil2!$A$2:$M$1241,3,FALSE)," ")</f>
        <v>MOHAMED</v>
      </c>
      <c r="E633" s="5">
        <f>IF(B633=0,VLOOKUP(A633,Feuil2!$A$2:$M$1241,6,FALSE)," ")</f>
        <v>32163</v>
      </c>
      <c r="F633" s="1" t="str">
        <f>IF(B633=0,VLOOKUP(A633,Feuil2!$A$2:$M$1241,12,FALSE)," ")</f>
        <v>H</v>
      </c>
      <c r="G633" s="1" t="str">
        <f>IF(B633=0,VLOOKUP(A633,Feuil2!$A$2:$M$1241,11,FALSE)," ")</f>
        <v>C</v>
      </c>
      <c r="H633" s="1" t="s">
        <v>16</v>
      </c>
      <c r="I633" s="6">
        <f>IF(B633=0,VLOOKUP(A633,Feuil2!$A$2:$M$1241,7,FALSE)," ")</f>
        <v>8498038</v>
      </c>
      <c r="J633" s="1" t="str">
        <f>IF(B633=0,VLOOKUP(A633,Feuil2!$A$2:$M$1241,9,FALSE)," ")</f>
        <v>Chrachir Kroussia</v>
      </c>
      <c r="K633" s="1" t="str">
        <f>IF(B633=0,VLOOKUP(A633,Feuil2!$A$2:$M$1241,10,FALSE)," ")</f>
        <v>Sidi El HÃ©ni 4025</v>
      </c>
      <c r="L633" s="1"/>
      <c r="M633" s="1">
        <v>95589285</v>
      </c>
      <c r="N633" s="1"/>
      <c r="O633" s="8" t="str">
        <f>IF(B633=0,VLOOKUP(A633,Feuil2!$A$2:$M$1241,13,FALSE)," ")</f>
        <v>47013000000006569601</v>
      </c>
    </row>
    <row r="634" spans="1:15" x14ac:dyDescent="0.3">
      <c r="A634" s="1">
        <v>2055</v>
      </c>
      <c r="B634" s="1">
        <v>0</v>
      </c>
      <c r="C634" s="1" t="str">
        <f>IF(B634=0,VLOOKUP(A634,Feuil2!$A$2:$M$1241,2,FALSE)," ")</f>
        <v>BEN YAHIA</v>
      </c>
      <c r="D634" s="1" t="str">
        <f>IF(B634=0,VLOOKUP(A634,Feuil2!$A$2:$M$1241,3,FALSE)," ")</f>
        <v>AHMED</v>
      </c>
      <c r="E634" s="5">
        <f>IF(B634=0,VLOOKUP(A634,Feuil2!$A$2:$M$1241,6,FALSE)," ")</f>
        <v>33382</v>
      </c>
      <c r="F634" s="1" t="str">
        <f>IF(B634=0,VLOOKUP(A634,Feuil2!$A$2:$M$1241,12,FALSE)," ")</f>
        <v>H</v>
      </c>
      <c r="G634" s="1" t="s">
        <v>15</v>
      </c>
      <c r="H634" s="1" t="s">
        <v>16</v>
      </c>
      <c r="I634" s="6">
        <f>IF(B634=0,VLOOKUP(A634,Feuil2!$A$2:$M$1241,7,FALSE)," ")</f>
        <v>9310815</v>
      </c>
      <c r="J634" s="1" t="str">
        <f>IF(B634=0,VLOOKUP(A634,Feuil2!$A$2:$M$1241,9,FALSE)," ")</f>
        <v>Chrachir Kroussia</v>
      </c>
      <c r="K634" s="1" t="str">
        <f>IF(B634=0,VLOOKUP(A634,Feuil2!$A$2:$M$1241,10,FALSE)," ")</f>
        <v>Sidi El HÃ©ni 4025</v>
      </c>
      <c r="L634" s="1"/>
      <c r="M634" s="1">
        <v>55324797</v>
      </c>
      <c r="N634" s="1"/>
      <c r="O634" s="8" t="str">
        <f>IF(B634=0,VLOOKUP(A634,Feuil2!$A$2:$M$1241,13,FALSE)," ")</f>
        <v>12505000000227091231</v>
      </c>
    </row>
    <row r="635" spans="1:15" x14ac:dyDescent="0.3">
      <c r="A635" s="1">
        <v>2055</v>
      </c>
      <c r="B635" s="1">
        <v>1</v>
      </c>
      <c r="C635" s="1" t="s">
        <v>2456</v>
      </c>
      <c r="D635" s="1" t="s">
        <v>2457</v>
      </c>
      <c r="E635" s="5">
        <v>34728</v>
      </c>
      <c r="F635" s="1" t="s">
        <v>17</v>
      </c>
      <c r="G635" s="1" t="s">
        <v>15</v>
      </c>
      <c r="H635" s="1" t="s">
        <v>16</v>
      </c>
      <c r="I635" s="6" t="str">
        <f>IF(B635=0,VLOOKUP(A635,Feuil2!$A$2:$M$1241,7,FALSE)," ")</f>
        <v xml:space="preserve"> </v>
      </c>
      <c r="J635" s="1" t="str">
        <f>IF(B635=0,VLOOKUP(A635,Feuil2!$A$2:$M$1241,9,FALSE)," ")</f>
        <v xml:space="preserve"> </v>
      </c>
      <c r="K635" s="1" t="str">
        <f>IF(B635=0,VLOOKUP(A635,Feuil2!$A$2:$M$1241,10,FALSE)," ")</f>
        <v xml:space="preserve"> </v>
      </c>
      <c r="L635" s="1"/>
      <c r="M635" s="1"/>
      <c r="N635" s="1"/>
      <c r="O635" s="8" t="str">
        <f>IF(B635=0,VLOOKUP(A635,Feuil2!$A$2:$M$1241,13,FALSE)," ")</f>
        <v xml:space="preserve"> </v>
      </c>
    </row>
    <row r="636" spans="1:15" x14ac:dyDescent="0.3">
      <c r="A636" s="1">
        <v>2061</v>
      </c>
      <c r="B636" s="1">
        <v>0</v>
      </c>
      <c r="C636" s="1" t="str">
        <f>IF(B636=0,VLOOKUP(A636,Feuil2!$A$2:$M$1241,2,FALSE)," ")</f>
        <v>KECHCICHE</v>
      </c>
      <c r="D636" s="1" t="str">
        <f>IF(B636=0,VLOOKUP(A636,Feuil2!$A$2:$M$1241,3,FALSE)," ")</f>
        <v>YASSINE</v>
      </c>
      <c r="E636" s="5">
        <f>IF(B636=0,VLOOKUP(A636,Feuil2!$A$2:$M$1241,6,FALSE)," ")</f>
        <v>34114</v>
      </c>
      <c r="F636" s="1" t="str">
        <f>IF(B636=0,VLOOKUP(A636,Feuil2!$A$2:$M$1241,12,FALSE)," ")</f>
        <v>H</v>
      </c>
      <c r="G636" s="1" t="str">
        <f>IF(B636=0,VLOOKUP(A636,Feuil2!$A$2:$M$1241,11,FALSE)," ")</f>
        <v>C</v>
      </c>
      <c r="H636" s="1" t="s">
        <v>16</v>
      </c>
      <c r="I636" s="6">
        <f>IF(B636=0,VLOOKUP(A636,Feuil2!$A$2:$M$1241,7,FALSE)," ")</f>
        <v>9321745</v>
      </c>
      <c r="J636" s="1" t="str">
        <f>IF(B636=0,VLOOKUP(A636,Feuil2!$A$2:$M$1241,9,FALSE)," ")</f>
        <v>225, Rue Habib Thameur</v>
      </c>
      <c r="K636" s="1" t="str">
        <f>IF(B636=0,VLOOKUP(A636,Feuil2!$A$2:$M$1241,10,FALSE)," ")</f>
        <v>Msaken 4070</v>
      </c>
      <c r="L636" s="1">
        <v>4070</v>
      </c>
      <c r="M636" s="1">
        <v>27256140</v>
      </c>
      <c r="N636" s="1"/>
      <c r="O636" s="8" t="str">
        <f>IF(B636=0,VLOOKUP(A636,Feuil2!$A$2:$M$1241,13,FALSE)," ")</f>
        <v>08507000262005111281</v>
      </c>
    </row>
    <row r="637" spans="1:15" x14ac:dyDescent="0.3">
      <c r="A637" s="1">
        <v>2061</v>
      </c>
      <c r="B637" s="1">
        <v>1</v>
      </c>
      <c r="C637" s="1" t="s">
        <v>100</v>
      </c>
      <c r="D637" s="1" t="s">
        <v>2484</v>
      </c>
      <c r="E637" s="5">
        <v>35733</v>
      </c>
      <c r="F637" s="1" t="s">
        <v>17</v>
      </c>
      <c r="G637" s="1"/>
      <c r="H637" s="1"/>
      <c r="I637" s="6"/>
      <c r="J637" s="1"/>
      <c r="K637" s="1"/>
      <c r="L637" s="1"/>
      <c r="M637" s="1"/>
      <c r="N637" s="1"/>
      <c r="O637" s="8"/>
    </row>
    <row r="638" spans="1:15" x14ac:dyDescent="0.3">
      <c r="A638" s="1">
        <v>2066</v>
      </c>
      <c r="B638" s="1">
        <v>0</v>
      </c>
      <c r="C638" s="1" t="str">
        <f>IF(B638=0,VLOOKUP(A638,Feuil2!$A$2:$M$1241,2,FALSE)," ")</f>
        <v>GRAA</v>
      </c>
      <c r="D638" s="1" t="str">
        <f>IF(B638=0,VLOOKUP(A638,Feuil2!$A$2:$M$1241,3,FALSE)," ")</f>
        <v>SAIFEDDINE</v>
      </c>
      <c r="E638" s="5">
        <f>IF(B638=0,VLOOKUP(A638,Feuil2!$A$2:$M$1241,6,FALSE)," ")</f>
        <v>34611</v>
      </c>
      <c r="F638" s="1" t="str">
        <f>IF(B638=0,VLOOKUP(A638,Feuil2!$A$2:$M$1241,12,FALSE)," ")</f>
        <v>H</v>
      </c>
      <c r="G638" s="1" t="str">
        <f>IF(B638=0,VLOOKUP(A638,Feuil2!$A$2:$M$1241,11,FALSE)," ")</f>
        <v>C</v>
      </c>
      <c r="H638" s="1" t="s">
        <v>16</v>
      </c>
      <c r="I638" s="6">
        <f>IF(B638=0,VLOOKUP(A638,Feuil2!$A$2:$M$1241,7,FALSE)," ")</f>
        <v>9346503</v>
      </c>
      <c r="J638" s="1" t="str">
        <f>IF(B638=0,VLOOKUP(A638,Feuil2!$A$2:$M$1241,9,FALSE)," ")</f>
        <v>Rue Habib Bougatfa</v>
      </c>
      <c r="K638" s="1" t="str">
        <f>IF(B638=0,VLOOKUP(A638,Feuil2!$A$2:$M$1241,10,FALSE)," ")</f>
        <v>Msaken 4070</v>
      </c>
      <c r="L638" s="1">
        <v>4070</v>
      </c>
      <c r="M638" s="1">
        <v>22599128</v>
      </c>
      <c r="N638" s="1"/>
      <c r="O638" s="8" t="str">
        <f>IF(B638=0,VLOOKUP(A638,Feuil2!$A$2:$M$1241,13,FALSE)," ")</f>
        <v>10506040208093378850</v>
      </c>
    </row>
    <row r="639" spans="1:15" x14ac:dyDescent="0.3">
      <c r="A639" s="1">
        <v>2083</v>
      </c>
      <c r="B639" s="1">
        <v>0</v>
      </c>
      <c r="C639" s="1" t="str">
        <f>IF(B639=0,VLOOKUP(A639,Feuil2!$A$2:$M$1241,2,FALSE)," ")</f>
        <v>BEN OTHMEN</v>
      </c>
      <c r="D639" s="1" t="str">
        <f>IF(B639=0,VLOOKUP(A639,Feuil2!$A$2:$M$1241,3,FALSE)," ")</f>
        <v>Mohamed Karim</v>
      </c>
      <c r="E639" s="5">
        <f>IF(B639=0,VLOOKUP(A639,Feuil2!$A$2:$M$1241,6,FALSE)," ")</f>
        <v>29220</v>
      </c>
      <c r="F639" s="1" t="str">
        <f>IF(B639=0,VLOOKUP(A639,Feuil2!$A$2:$M$1241,12,FALSE)," ")</f>
        <v>H</v>
      </c>
      <c r="G639" s="1" t="s">
        <v>639</v>
      </c>
      <c r="H639" s="1" t="s">
        <v>16</v>
      </c>
      <c r="I639" s="6">
        <f>IF(B639=0,VLOOKUP(A639,Feuil2!$A$2:$M$1241,7,FALSE)," ")</f>
        <v>8541141</v>
      </c>
      <c r="J639" s="1" t="str">
        <f>IF(B639=0,VLOOKUP(A639,Feuil2!$A$2:$M$1241,9,FALSE)," ")</f>
        <v>Nabeul</v>
      </c>
      <c r="K639" s="1" t="str">
        <f>IF(B639=0,VLOOKUP(A639,Feuil2!$A$2:$M$1241,10,FALSE)," ")</f>
        <v>Bizert</v>
      </c>
      <c r="L639" s="1"/>
      <c r="M639" s="1">
        <v>98793838</v>
      </c>
      <c r="N639" s="1"/>
      <c r="O639" s="8" t="str">
        <f>IF(B639=0,VLOOKUP(A639,Feuil2!$A$2:$M$1241,13,FALSE)," ")</f>
        <v>03603077010110728440</v>
      </c>
    </row>
    <row r="640" spans="1:15" x14ac:dyDescent="0.3">
      <c r="A640" s="1">
        <v>2083</v>
      </c>
      <c r="B640" s="1">
        <v>1</v>
      </c>
      <c r="C640" s="1" t="s">
        <v>38</v>
      </c>
      <c r="D640" s="1" t="s">
        <v>2450</v>
      </c>
      <c r="E640" s="5">
        <v>43050</v>
      </c>
      <c r="F640" s="1" t="s">
        <v>17</v>
      </c>
      <c r="G640" s="1" t="str">
        <f>IF(B640=0,VLOOKUP(A640,Feuil2!$A$2:$M$1241,11,FALSE)," ")</f>
        <v xml:space="preserve"> </v>
      </c>
      <c r="H640" s="1" t="s">
        <v>16</v>
      </c>
      <c r="I640" s="6" t="str">
        <f>IF(B640=0,VLOOKUP(A640,Feuil2!$A$2:$M$1241,7,FALSE)," ")</f>
        <v xml:space="preserve"> </v>
      </c>
      <c r="J640" s="1" t="str">
        <f>IF(B640=0,VLOOKUP(A640,Feuil2!$A$2:$M$1241,9,FALSE)," ")</f>
        <v xml:space="preserve"> </v>
      </c>
      <c r="K640" s="1" t="str">
        <f>IF(B640=0,VLOOKUP(A640,Feuil2!$A$2:$M$1241,10,FALSE)," ")</f>
        <v xml:space="preserve"> </v>
      </c>
      <c r="L640" s="1"/>
      <c r="M640" s="1"/>
      <c r="N640" s="1"/>
      <c r="O640" s="8" t="str">
        <f>IF(B640=0,VLOOKUP(A640,Feuil2!$A$2:$M$1241,13,FALSE)," ")</f>
        <v xml:space="preserve"> </v>
      </c>
    </row>
    <row r="641" spans="1:16" x14ac:dyDescent="0.3">
      <c r="A641" s="1">
        <v>2085</v>
      </c>
      <c r="B641" s="1">
        <v>0</v>
      </c>
      <c r="C641" s="1" t="str">
        <f>IF(B641=0,VLOOKUP(A641,Feuil2!$A$2:$M$1241,2,FALSE)," ")</f>
        <v>Khaoula</v>
      </c>
      <c r="D641" s="1" t="str">
        <f>IF(B641=0,VLOOKUP(A641,Feuil2!$A$2:$M$1241,3,FALSE)," ")</f>
        <v>Jebali</v>
      </c>
      <c r="E641" s="5">
        <f>IF(B641=0,VLOOKUP(A641,Feuil2!$A$2:$M$1241,6,FALSE)," ")</f>
        <v>34367</v>
      </c>
      <c r="F641" s="1" t="str">
        <f>IF(B641=0,VLOOKUP(A641,Feuil2!$A$2:$M$1241,12,FALSE)," ")</f>
        <v>F</v>
      </c>
      <c r="G641" s="1" t="str">
        <f>IF(B641=0,VLOOKUP(A641,Feuil2!$A$2:$M$1241,11,FALSE)," ")</f>
        <v>C</v>
      </c>
      <c r="H641" s="1" t="s">
        <v>16</v>
      </c>
      <c r="I641" s="6">
        <f>IF(B641=0,VLOOKUP(A641,Feuil2!$A$2:$M$1241,7,FALSE)," ")</f>
        <v>11883533</v>
      </c>
      <c r="J641" s="1" t="str">
        <f>IF(B641=0,VLOOKUP(A641,Feuil2!$A$2:$M$1241,9,FALSE)," ")</f>
        <v>Rue hached 3120 ousletia</v>
      </c>
      <c r="K641" s="1" t="str">
        <f>IF(B641=0,VLOOKUP(A641,Feuil2!$A$2:$M$1241,10,FALSE)," ")</f>
        <v>Kairouan</v>
      </c>
      <c r="L641" s="1"/>
      <c r="M641" s="1">
        <v>98793840</v>
      </c>
      <c r="N641" s="1"/>
      <c r="O641" s="8" t="str">
        <f>IF(B641=0,VLOOKUP(A641,Feuil2!$A$2:$M$1241,13,FALSE)," ")</f>
        <v>08035012084002769039</v>
      </c>
    </row>
    <row r="642" spans="1:16" x14ac:dyDescent="0.3">
      <c r="A642" s="1">
        <v>2113</v>
      </c>
      <c r="B642" s="1">
        <v>0</v>
      </c>
      <c r="C642" s="1" t="str">
        <f>IF(B642=0,VLOOKUP(A642,Feuil2!$A$2:$M$1241,2,FALSE)," ")</f>
        <v>BEN HADJ AMOR</v>
      </c>
      <c r="D642" s="1" t="str">
        <f>IF(B642=0,VLOOKUP(A642,Feuil2!$A$2:$M$1241,3,FALSE)," ")</f>
        <v>MOHAMED ALI</v>
      </c>
      <c r="E642" s="5">
        <f>IF(B642=0,VLOOKUP(A642,Feuil2!$A$2:$M$1241,6,FALSE)," ")</f>
        <v>33942</v>
      </c>
      <c r="F642" s="1" t="str">
        <f>IF(B642=0,VLOOKUP(A642,Feuil2!$A$2:$M$1241,12,FALSE)," ")</f>
        <v>H</v>
      </c>
      <c r="G642" s="1" t="str">
        <f>IF(B642=0,VLOOKUP(A642,Feuil2!$A$2:$M$1241,11,FALSE)," ")</f>
        <v>C</v>
      </c>
      <c r="H642" s="1" t="s">
        <v>16</v>
      </c>
      <c r="I642" s="6">
        <f>IF(B642=0,VLOOKUP(A642,Feuil2!$A$2:$M$1241,7,FALSE)," ")</f>
        <v>9319168</v>
      </c>
      <c r="J642" s="1" t="str">
        <f>IF(B642=0,VLOOKUP(A642,Feuil2!$A$2:$M$1241,9,FALSE)," ")</f>
        <v>Rue Ennakhil</v>
      </c>
      <c r="K642" s="1" t="str">
        <f>IF(B642=0,VLOOKUP(A642,Feuil2!$A$2:$M$1241,10,FALSE)," ")</f>
        <v>Sidi El HÃ©ni 4025</v>
      </c>
      <c r="L642" s="1"/>
      <c r="M642" s="1">
        <v>98793834</v>
      </c>
      <c r="N642" s="1"/>
      <c r="O642" s="8" t="str">
        <f>IF(B642=0,VLOOKUP(A642,Feuil2!$A$2:$M$1241,13,FALSE)," ")</f>
        <v>03508056010110301048</v>
      </c>
    </row>
    <row r="643" spans="1:16" x14ac:dyDescent="0.3">
      <c r="A643" s="1">
        <v>2124</v>
      </c>
      <c r="B643" s="1">
        <v>0</v>
      </c>
      <c r="C643" s="1" t="str">
        <f>IF(B643=0,VLOOKUP(A643,Feuil2!$A$2:$M$1241,2,FALSE)," ")</f>
        <v>AHMED</v>
      </c>
      <c r="D643" s="1" t="str">
        <f>IF(B643=0,VLOOKUP(A643,Feuil2!$A$2:$M$1241,3,FALSE)," ")</f>
        <v>BEN HADJ MESSAOUD</v>
      </c>
      <c r="E643" s="5">
        <f>IF(B643=0,VLOOKUP(A643,Feuil2!$A$2:$M$1241,6,FALSE)," ")</f>
        <v>33362</v>
      </c>
      <c r="F643" s="1" t="str">
        <f>IF(B643=0,VLOOKUP(A643,Feuil2!$A$2:$M$1241,12,FALSE)," ")</f>
        <v>H</v>
      </c>
      <c r="G643" s="1" t="s">
        <v>15</v>
      </c>
      <c r="H643" s="1" t="s">
        <v>16</v>
      </c>
      <c r="I643" s="6">
        <f>IF(B643=0,VLOOKUP(A643,Feuil2!$A$2:$M$1241,7,FALSE)," ")</f>
        <v>9320401</v>
      </c>
      <c r="J643" s="1" t="str">
        <f>IF(B643=0,VLOOKUP(A643,Feuil2!$A$2:$M$1241,9,FALSE)," ")</f>
        <v>AOULED ABDALLAH SIDI EL HENI</v>
      </c>
      <c r="K643" s="1" t="str">
        <f>IF(B643=0,VLOOKUP(A643,Feuil2!$A$2:$M$1241,10,FALSE)," ")</f>
        <v>Sousse</v>
      </c>
      <c r="L643" s="1"/>
      <c r="M643" s="1">
        <v>26619732</v>
      </c>
      <c r="N643" s="1"/>
      <c r="O643" s="8" t="str">
        <f>IF(B643=0,VLOOKUP(A643,Feuil2!$A$2:$M$1241,13,FALSE)," ")</f>
        <v>17503000000255093418</v>
      </c>
    </row>
    <row r="644" spans="1:16" x14ac:dyDescent="0.3">
      <c r="A644" s="1">
        <v>2124</v>
      </c>
      <c r="B644" s="1">
        <v>1</v>
      </c>
      <c r="C644" s="1" t="s">
        <v>2840</v>
      </c>
      <c r="D644" s="1" t="s">
        <v>2841</v>
      </c>
      <c r="E644" s="5">
        <v>33775</v>
      </c>
      <c r="F644" s="1" t="s">
        <v>17</v>
      </c>
      <c r="G644" s="1"/>
      <c r="H644" s="1"/>
      <c r="I644" s="6"/>
      <c r="J644" s="1"/>
      <c r="K644" s="1"/>
      <c r="L644" s="1"/>
      <c r="M644" s="1"/>
      <c r="N644" s="1"/>
      <c r="O644" s="8"/>
    </row>
    <row r="645" spans="1:16" x14ac:dyDescent="0.3">
      <c r="A645" s="1">
        <v>2138</v>
      </c>
      <c r="B645" s="1">
        <v>0</v>
      </c>
      <c r="C645" s="1" t="str">
        <f>IF(B645=0,VLOOKUP(A645,Feuil2!$A$2:$M$1241,2,FALSE)," ")</f>
        <v>MOHAMED CHIHEB EDDIN</v>
      </c>
      <c r="D645" s="1" t="str">
        <f>IF(B645=0,VLOOKUP(A645,Feuil2!$A$2:$M$1241,3,FALSE)," ")</f>
        <v>HAMILA</v>
      </c>
      <c r="E645" s="5">
        <f>IF(B645=0,VLOOKUP(A645,Feuil2!$A$2:$M$1241,6,FALSE)," ")</f>
        <v>33137</v>
      </c>
      <c r="F645" s="1" t="str">
        <f>IF(B645=0,VLOOKUP(A645,Feuil2!$A$2:$M$1241,12,FALSE)," ")</f>
        <v>H</v>
      </c>
      <c r="G645" s="1" t="str">
        <f>IF(B645=0,VLOOKUP(A645,Feuil2!$A$2:$M$1241,11,FALSE)," ")</f>
        <v>C</v>
      </c>
      <c r="H645" s="1" t="s">
        <v>16</v>
      </c>
      <c r="I645" s="6">
        <f>IF(B645=0,VLOOKUP(A645,Feuil2!$A$2:$M$1241,7,FALSE)," ")</f>
        <v>9282967</v>
      </c>
      <c r="J645" s="1" t="str">
        <f>IF(B645=0,VLOOKUP(A645,Feuil2!$A$2:$M$1241,9,FALSE)," ")</f>
        <v>85 Rue SALAH EDDIN AYOUBI MSAKEN</v>
      </c>
      <c r="K645" s="1" t="str">
        <f>IF(B645=0,VLOOKUP(A645,Feuil2!$A$2:$M$1241,10,FALSE)," ")</f>
        <v>Msaken 4070</v>
      </c>
      <c r="L645" s="1">
        <v>4070</v>
      </c>
      <c r="M645" s="1">
        <v>21560046</v>
      </c>
      <c r="N645" s="1"/>
      <c r="O645" s="8" t="str">
        <f>IF(B645=0,VLOOKUP(A645,Feuil2!$A$2:$M$1241,13,FALSE)," ")</f>
        <v>17503000000268716001</v>
      </c>
    </row>
    <row r="646" spans="1:16" x14ac:dyDescent="0.3">
      <c r="A646" s="1">
        <v>2145</v>
      </c>
      <c r="B646" s="1">
        <v>0</v>
      </c>
      <c r="C646" s="1" t="str">
        <f>IF(B646=0,VLOOKUP(A646,Feuil2!$A$2:$M$1241,2,FALSE)," ")</f>
        <v>MRIBAH</v>
      </c>
      <c r="D646" s="1" t="str">
        <f>IF(B646=0,VLOOKUP(A646,Feuil2!$A$2:$M$1241,3,FALSE)," ")</f>
        <v>HAMZA</v>
      </c>
      <c r="E646" s="5">
        <f>IF(B646=0,VLOOKUP(A646,Feuil2!$A$2:$M$1241,6,FALSE)," ")</f>
        <v>34503</v>
      </c>
      <c r="F646" s="1" t="str">
        <f>IF(B646=0,VLOOKUP(A646,Feuil2!$A$2:$M$1241,12,FALSE)," ")</f>
        <v>H</v>
      </c>
      <c r="G646" s="1" t="str">
        <f>IF(B646=0,VLOOKUP(A646,Feuil2!$A$2:$M$1241,11,FALSE)," ")</f>
        <v>C</v>
      </c>
      <c r="H646" s="1" t="s">
        <v>16</v>
      </c>
      <c r="I646" s="6">
        <f>IF(B646=0,VLOOKUP(A646,Feuil2!$A$2:$M$1241,7,FALSE)," ")</f>
        <v>12804882</v>
      </c>
      <c r="J646" s="1" t="str">
        <f>IF(B646=0,VLOOKUP(A646,Feuil2!$A$2:$M$1241,9,FALSE)," ")</f>
        <v>RUE FERHET HACHED</v>
      </c>
      <c r="K646" s="1" t="str">
        <f>IF(B646=0,VLOOKUP(A646,Feuil2!$A$2:$M$1241,10,FALSE)," ")</f>
        <v>Msaken 4070</v>
      </c>
      <c r="L646" s="1">
        <v>4070</v>
      </c>
      <c r="M646" s="1">
        <v>25183410</v>
      </c>
      <c r="N646" s="1"/>
      <c r="O646" s="8" t="str">
        <f>IF(B646=0,VLOOKUP(A646,Feuil2!$A$2:$M$1241,13,FALSE)," ")</f>
        <v>10506040208631178860</v>
      </c>
    </row>
    <row r="647" spans="1:16" x14ac:dyDescent="0.3">
      <c r="A647" s="1">
        <v>2147</v>
      </c>
      <c r="B647" s="1">
        <v>0</v>
      </c>
      <c r="C647" s="1" t="str">
        <f>IF(B647=0,VLOOKUP(A647,Feuil2!$A$2:$M$1241,2,FALSE)," ")</f>
        <v>LAJMI</v>
      </c>
      <c r="D647" s="1" t="str">
        <f>IF(B647=0,VLOOKUP(A647,Feuil2!$A$2:$M$1241,3,FALSE)," ")</f>
        <v>OUSSAMA</v>
      </c>
      <c r="E647" s="5">
        <f>IF(B647=0,VLOOKUP(A647,Feuil2!$A$2:$M$1241,6,FALSE)," ")</f>
        <v>34812</v>
      </c>
      <c r="F647" s="1" t="str">
        <f>IF(B647=0,VLOOKUP(A647,Feuil2!$A$2:$M$1241,12,FALSE)," ")</f>
        <v>H</v>
      </c>
      <c r="G647" s="1" t="str">
        <f>IF(B647=0,VLOOKUP(A647,Feuil2!$A$2:$M$1241,11,FALSE)," ")</f>
        <v>C</v>
      </c>
      <c r="H647" s="1" t="s">
        <v>16</v>
      </c>
      <c r="I647" s="6">
        <f>IF(B647=0,VLOOKUP(A647,Feuil2!$A$2:$M$1241,7,FALSE)," ")</f>
        <v>12817345</v>
      </c>
      <c r="J647" s="1" t="str">
        <f>IF(B647=0,VLOOKUP(A647,Feuil2!$A$2:$M$1241,9,FALSE)," ")</f>
        <v>23 Rue ALMADINA ALMONAWRA</v>
      </c>
      <c r="K647" s="1" t="str">
        <f>IF(B647=0,VLOOKUP(A647,Feuil2!$A$2:$M$1241,10,FALSE)," ")</f>
        <v>Msaken 4070</v>
      </c>
      <c r="L647" s="1">
        <v>4070</v>
      </c>
      <c r="M647" s="1">
        <v>55258201</v>
      </c>
      <c r="N647" s="1"/>
      <c r="O647" s="8" t="str">
        <f>IF(B647=0,VLOOKUP(A647,Feuil2!$A$2:$M$1241,13,FALSE)," ")</f>
        <v>10317123503184778894</v>
      </c>
    </row>
    <row r="648" spans="1:16" x14ac:dyDescent="0.3">
      <c r="A648" s="17">
        <v>2150</v>
      </c>
      <c r="B648" s="17">
        <v>0</v>
      </c>
      <c r="C648" s="17" t="str">
        <f>IF(B648=0,VLOOKUP(A648,Feuil2!$A$2:$M$1241,2,FALSE)," ")</f>
        <v>GAZZAH</v>
      </c>
      <c r="D648" s="17" t="str">
        <f>IF(B648=0,VLOOKUP(A648,Feuil2!$A$2:$M$1241,3,FALSE)," ")</f>
        <v>MOHAMED AMINE</v>
      </c>
      <c r="E648" s="18">
        <f>IF(B648=0,VLOOKUP(A648,Feuil2!$A$2:$M$1241,6,FALSE)," ")</f>
        <v>34879</v>
      </c>
      <c r="F648" s="17" t="str">
        <f>IF(B648=0,VLOOKUP(A648,Feuil2!$A$2:$M$1241,12,FALSE)," ")</f>
        <v>H</v>
      </c>
      <c r="G648" s="17" t="str">
        <f>IF(B648=0,VLOOKUP(A648,Feuil2!$A$2:$M$1241,11,FALSE)," ")</f>
        <v>C</v>
      </c>
      <c r="H648" s="17" t="s">
        <v>16</v>
      </c>
      <c r="I648" s="19">
        <f>IF(B648=0,VLOOKUP(A648,Feuil2!$A$2:$M$1241,7,FALSE)," ")</f>
        <v>12808000</v>
      </c>
      <c r="J648" s="17" t="str">
        <f>IF(B648=0,VLOOKUP(A648,Feuil2!$A$2:$M$1241,9,FALSE)," ")</f>
        <v>158 RUE HEDI CHAKER</v>
      </c>
      <c r="K648" s="17" t="str">
        <f>IF(B648=0,VLOOKUP(A648,Feuil2!$A$2:$M$1241,10,FALSE)," ")</f>
        <v>Msaken 4070</v>
      </c>
      <c r="L648" s="17">
        <v>4070</v>
      </c>
      <c r="M648" s="17">
        <v>99410968</v>
      </c>
      <c r="N648" s="17"/>
      <c r="O648" s="20" t="str">
        <f>IF(B648=0,VLOOKUP(A648,Feuil2!$A$2:$M$1241,13,FALSE)," ")</f>
        <v>17503000000284757279</v>
      </c>
    </row>
    <row r="649" spans="1:16" x14ac:dyDescent="0.3">
      <c r="A649" s="1">
        <v>2153</v>
      </c>
      <c r="B649" s="1">
        <v>0</v>
      </c>
      <c r="C649" s="1" t="str">
        <f>IF(B649=0,VLOOKUP(A649,Feuil2!$A$2:$M$1241,2,FALSE)," ")</f>
        <v>BABAY ROUIS</v>
      </c>
      <c r="D649" s="1" t="str">
        <f>IF(B649=0,VLOOKUP(A649,Feuil2!$A$2:$M$1241,3,FALSE)," ")</f>
        <v>ANOIR</v>
      </c>
      <c r="E649" s="5">
        <f>IF(B649=0,VLOOKUP(A649,Feuil2!$A$2:$M$1241,6,FALSE)," ")</f>
        <v>34118</v>
      </c>
      <c r="F649" s="1" t="str">
        <f>IF(B649=0,VLOOKUP(A649,Feuil2!$A$2:$M$1241,12,FALSE)," ")</f>
        <v>H</v>
      </c>
      <c r="G649" s="1" t="str">
        <f>IF(B649=0,VLOOKUP(A649,Feuil2!$A$2:$M$1241,11,FALSE)," ")</f>
        <v>C</v>
      </c>
      <c r="H649" s="1" t="s">
        <v>16</v>
      </c>
      <c r="I649" s="6">
        <f>IF(B649=0,VLOOKUP(A649,Feuil2!$A$2:$M$1241,7,FALSE)," ")</f>
        <v>9344915</v>
      </c>
      <c r="J649" s="1" t="str">
        <f>IF(B649=0,VLOOKUP(A649,Feuil2!$A$2:$M$1241,9,FALSE)," ")</f>
        <v>RUE FARHET HACHED</v>
      </c>
      <c r="K649" s="1" t="str">
        <f>IF(B649=0,VLOOKUP(A649,Feuil2!$A$2:$M$1241,10,FALSE)," ")</f>
        <v>Msaken 4070</v>
      </c>
      <c r="L649" s="1">
        <v>4070</v>
      </c>
      <c r="M649" s="1">
        <v>29745681</v>
      </c>
      <c r="N649" s="1"/>
      <c r="O649" s="8" t="str">
        <f>IF(B649=0,VLOOKUP(A649,Feuil2!$A$2:$M$1241,13,FALSE)," ")</f>
        <v>10506040208662078889</v>
      </c>
    </row>
    <row r="650" spans="1:16" x14ac:dyDescent="0.3">
      <c r="A650" s="1">
        <v>2155</v>
      </c>
      <c r="B650" s="1">
        <v>0</v>
      </c>
      <c r="C650" s="1" t="str">
        <f>IF(B650=0,VLOOKUP(A650,Feuil2!$A$2:$M$1241,2,FALSE)," ")</f>
        <v>MHIRI</v>
      </c>
      <c r="D650" s="1" t="str">
        <f>IF(B650=0,VLOOKUP(A650,Feuil2!$A$2:$M$1241,3,FALSE)," ")</f>
        <v>INES</v>
      </c>
      <c r="E650" s="5">
        <f>IF(B650=0,VLOOKUP(A650,Feuil2!$A$2:$M$1241,6,FALSE)," ")</f>
        <v>33351</v>
      </c>
      <c r="F650" s="1" t="str">
        <f>IF(B650=0,VLOOKUP(A650,Feuil2!$A$2:$M$1241,12,FALSE)," ")</f>
        <v>F</v>
      </c>
      <c r="G650" s="1" t="str">
        <f>IF(B650=0,VLOOKUP(A650,Feuil2!$A$2:$M$1241,11,FALSE)," ")</f>
        <v>C</v>
      </c>
      <c r="H650" s="1" t="s">
        <v>16</v>
      </c>
      <c r="I650" s="6">
        <f>IF(B650=0,VLOOKUP(A650,Feuil2!$A$2:$M$1241,7,FALSE)," ")</f>
        <v>9314714</v>
      </c>
      <c r="J650" s="1" t="str">
        <f>IF(B650=0,VLOOKUP(A650,Feuil2!$A$2:$M$1241,9,FALSE)," ")</f>
        <v>4 RUE RAJEH BRAHIM HAMMEM SOUSSE</v>
      </c>
      <c r="K650" s="1" t="str">
        <f>IF(B650=0,VLOOKUP(A650,Feuil2!$A$2:$M$1241,10,FALSE)," ")</f>
        <v>Sousse</v>
      </c>
      <c r="L650" s="1"/>
      <c r="M650" s="1">
        <v>98793820</v>
      </c>
      <c r="N650" s="1"/>
      <c r="O650" s="8" t="str">
        <f>IF(B650=0,VLOOKUP(A650,Feuil2!$A$2:$M$1241,13,FALSE)," ")</f>
        <v>17503000000274122490</v>
      </c>
    </row>
    <row r="651" spans="1:16" x14ac:dyDescent="0.3">
      <c r="A651" s="1">
        <v>2158</v>
      </c>
      <c r="B651" s="1">
        <v>0</v>
      </c>
      <c r="C651" s="1" t="str">
        <f>IF(B651=0,VLOOKUP(A651,Feuil2!$A$2:$M$1241,2,FALSE)," ")</f>
        <v>BEN MASSOUD</v>
      </c>
      <c r="D651" s="1" t="str">
        <f>IF(B651=0,VLOOKUP(A651,Feuil2!$A$2:$M$1241,3,FALSE)," ")</f>
        <v>MOHAMED ALI</v>
      </c>
      <c r="E651" s="5">
        <f>IF(B651=0,VLOOKUP(A651,Feuil2!$A$2:$M$1241,6,FALSE)," ")</f>
        <v>35023</v>
      </c>
      <c r="F651" s="1" t="str">
        <f>IF(B651=0,VLOOKUP(A651,Feuil2!$A$2:$M$1241,12,FALSE)," ")</f>
        <v>H</v>
      </c>
      <c r="G651" s="1" t="str">
        <f>IF(B651=0,VLOOKUP(A651,Feuil2!$A$2:$M$1241,11,FALSE)," ")</f>
        <v>C</v>
      </c>
      <c r="H651" s="1" t="s">
        <v>16</v>
      </c>
      <c r="I651" s="6">
        <f>IF(B651=0,VLOOKUP(A651,Feuil2!$A$2:$M$1241,7,FALSE)," ")</f>
        <v>12828850</v>
      </c>
      <c r="J651" s="1" t="str">
        <f>IF(B651=0,VLOOKUP(A651,Feuil2!$A$2:$M$1241,9,FALSE)," ")</f>
        <v>Borjine</v>
      </c>
      <c r="K651" s="1" t="str">
        <f>IF(B651=0,VLOOKUP(A651,Feuil2!$A$2:$M$1241,10,FALSE)," ")</f>
        <v>Borjine 4015</v>
      </c>
      <c r="L651" s="1">
        <v>4015</v>
      </c>
      <c r="M651" s="1">
        <v>98793820</v>
      </c>
      <c r="N651" s="1"/>
      <c r="O651" s="8" t="str">
        <f>IF(B651=0,VLOOKUP(A651,Feuil2!$A$2:$M$1241,13,FALSE)," ")</f>
        <v>01500023113081045892</v>
      </c>
    </row>
    <row r="652" spans="1:16" x14ac:dyDescent="0.3">
      <c r="A652" s="1">
        <v>2158</v>
      </c>
      <c r="B652" s="1">
        <v>0</v>
      </c>
      <c r="C652" s="1" t="str">
        <f>IF(B652=0,VLOOKUP(A652,Feuil2!$A$2:$M$1241,2,FALSE)," ")</f>
        <v>BEN MASSOUD</v>
      </c>
      <c r="D652" s="1" t="str">
        <f>IF(B652=0,VLOOKUP(A652,Feuil2!$A$2:$M$1241,3,FALSE)," ")</f>
        <v>MOHAMED ALI</v>
      </c>
      <c r="E652" s="5">
        <f>IF(B652=0,VLOOKUP(A652,Feuil2!$A$2:$M$1241,6,FALSE)," ")</f>
        <v>35023</v>
      </c>
      <c r="F652" s="1" t="str">
        <f>IF(B652=0,VLOOKUP(A652,Feuil2!$A$2:$M$1241,12,FALSE)," ")</f>
        <v>H</v>
      </c>
      <c r="G652" s="1" t="str">
        <f>IF(B652=0,VLOOKUP(A652,Feuil2!$A$2:$M$1241,11,FALSE)," ")</f>
        <v>C</v>
      </c>
      <c r="H652" s="1" t="s">
        <v>16</v>
      </c>
      <c r="I652" s="6">
        <f>IF(B652=0,VLOOKUP(A652,Feuil2!$A$2:$M$1241,7,FALSE)," ")</f>
        <v>12828850</v>
      </c>
      <c r="J652" s="1" t="str">
        <f>IF(B652=0,VLOOKUP(A652,Feuil2!$A$2:$M$1241,9,FALSE)," ")</f>
        <v>Borjine</v>
      </c>
      <c r="K652" s="1" t="str">
        <f>IF(B652=0,VLOOKUP(A652,Feuil2!$A$2:$M$1241,10,FALSE)," ")</f>
        <v>Borjine 4015</v>
      </c>
      <c r="L652" s="1">
        <v>4015</v>
      </c>
      <c r="M652" s="1">
        <v>98793820</v>
      </c>
      <c r="N652" s="1"/>
      <c r="O652" s="8" t="str">
        <f>IF(B652=0,VLOOKUP(A652,Feuil2!$A$2:$M$1241,13,FALSE)," ")</f>
        <v>01500023113081045892</v>
      </c>
    </row>
    <row r="653" spans="1:16" x14ac:dyDescent="0.3">
      <c r="A653" s="1">
        <v>2166</v>
      </c>
      <c r="B653" s="1">
        <v>0</v>
      </c>
      <c r="C653" s="1" t="str">
        <f>IF(B653=0,VLOOKUP(A653,Feuil2!$A$2:$M$1241,2,FALSE)," ")</f>
        <v>BEN CHIKH AMOR</v>
      </c>
      <c r="D653" s="1" t="str">
        <f>IF(B653=0,VLOOKUP(A653,Feuil2!$A$2:$M$1241,3,FALSE)," ")</f>
        <v>ADEL</v>
      </c>
      <c r="E653" s="5">
        <f>IF(B653=0,VLOOKUP(A653,Feuil2!$A$2:$M$1241,6,FALSE)," ")</f>
        <v>33822</v>
      </c>
      <c r="F653" s="1" t="str">
        <f>IF(B653=0,VLOOKUP(A653,Feuil2!$A$2:$M$1241,12,FALSE)," ")</f>
        <v>H</v>
      </c>
      <c r="G653" s="1" t="str">
        <f>IF(B653=0,VLOOKUP(A653,Feuil2!$A$2:$M$1241,11,FALSE)," ")</f>
        <v>C</v>
      </c>
      <c r="H653" s="1" t="s">
        <v>16</v>
      </c>
      <c r="I653" s="6">
        <f>IF(B653=0,VLOOKUP(A653,Feuil2!$A$2:$M$1241,7,FALSE)," ")</f>
        <v>9333372</v>
      </c>
      <c r="J653" s="1" t="str">
        <f>IF(B653=0,VLOOKUP(A653,Feuil2!$A$2:$M$1241,9,FALSE)," ")</f>
        <v>Rue Moez Ibn Badiss</v>
      </c>
      <c r="K653" s="1" t="str">
        <f>IF(B653=0,VLOOKUP(A653,Feuil2!$A$2:$M$1241,10,FALSE)," ")</f>
        <v>Msaken 4070</v>
      </c>
      <c r="L653" s="1">
        <v>4070</v>
      </c>
      <c r="M653" s="1">
        <v>98793820</v>
      </c>
      <c r="N653" s="1"/>
      <c r="O653" s="8" t="str">
        <f>IF(B653=0,VLOOKUP(A653,Feuil2!$A$2:$M$1241,13,FALSE)," ")</f>
        <v>05048000116500381725</v>
      </c>
      <c r="P653" t="s">
        <v>2805</v>
      </c>
    </row>
    <row r="654" spans="1:16" x14ac:dyDescent="0.3">
      <c r="A654" s="1"/>
      <c r="B654" s="1"/>
      <c r="C654" s="1"/>
      <c r="D654" s="1" t="e">
        <f>IF(B654=0,VLOOKUP(A654,Feuil2!$A$2:$M$1241,3,FALSE)," ")</f>
        <v>#N/A</v>
      </c>
      <c r="E654" s="5" t="e">
        <f>IF(B654=0,VLOOKUP(A654,Feuil2!$A$2:$M$1241,6,FALSE)," ")</f>
        <v>#N/A</v>
      </c>
      <c r="F654" s="1"/>
      <c r="G654" s="1"/>
      <c r="H654" s="1"/>
      <c r="I654" s="6" t="e">
        <f>IF(B654=0,VLOOKUP(A654,Feuil2!$A$2:$M$1241,7,FALSE)," ")</f>
        <v>#N/A</v>
      </c>
      <c r="J654" s="1" t="e">
        <f>IF(B654=0,VLOOKUP(A654,Feuil2!$A$2:$M$1241,9,FALSE)," ")</f>
        <v>#N/A</v>
      </c>
      <c r="K654" s="1" t="e">
        <f>IF(B654=0,VLOOKUP(A654,Feuil2!$A$2:$M$1241,10,FALSE)," ")</f>
        <v>#N/A</v>
      </c>
      <c r="L654" s="1"/>
      <c r="M654" s="1">
        <v>98793820</v>
      </c>
      <c r="N654" s="1"/>
      <c r="O654" s="8" t="e">
        <f>IF(B654=0,VLOOKUP(A654,Feuil2!$A$2:$M$1241,13,FALSE)," ")</f>
        <v>#N/A</v>
      </c>
    </row>
    <row r="655" spans="1:16" x14ac:dyDescent="0.3">
      <c r="A655" s="1">
        <v>2048</v>
      </c>
      <c r="B655" s="1">
        <v>0</v>
      </c>
      <c r="C655" s="1" t="s">
        <v>2833</v>
      </c>
      <c r="D655" s="1" t="str">
        <f>IF(B655=0,VLOOKUP(A655,Feuil2!$A$2:$M$1241,3,FALSE)," ")</f>
        <v>NOUREDDINE</v>
      </c>
      <c r="E655" s="5">
        <f>IF(B655=0,VLOOKUP(A655,Feuil2!$A$2:$M$1241,6,FALSE)," ")</f>
        <v>33331</v>
      </c>
      <c r="F655" s="1" t="s">
        <v>506</v>
      </c>
      <c r="G655" s="1" t="s">
        <v>15</v>
      </c>
      <c r="H655" s="1" t="s">
        <v>16</v>
      </c>
      <c r="I655" s="6">
        <f>IF(B655=0,VLOOKUP(A655,Feuil2!$A$2:$M$1241,7,FALSE)," ")</f>
        <v>9296641</v>
      </c>
      <c r="J655" s="1" t="str">
        <f>IF(B655=0,VLOOKUP(A655,Feuil2!$A$2:$M$1241,9,FALSE)," ")</f>
        <v>Knaies</v>
      </c>
      <c r="K655" s="1" t="str">
        <f>IF(B655=0,VLOOKUP(A655,Feuil2!$A$2:$M$1241,10,FALSE)," ")</f>
        <v>Knaies 4014</v>
      </c>
      <c r="L655" s="1"/>
      <c r="M655" s="1">
        <v>2225757</v>
      </c>
      <c r="N655" s="1"/>
      <c r="O655" s="8" t="str">
        <f>IF(B655=0,VLOOKUP(A655,Feuil2!$A$2:$M$1241,13,FALSE)," ")</f>
        <v>04204067003916957888</v>
      </c>
    </row>
    <row r="656" spans="1:16" x14ac:dyDescent="0.3">
      <c r="A656" s="1">
        <v>2048</v>
      </c>
      <c r="B656" s="1">
        <v>1</v>
      </c>
      <c r="C656" s="1" t="s">
        <v>310</v>
      </c>
      <c r="D656" s="1" t="s">
        <v>1824</v>
      </c>
      <c r="E656" s="5">
        <v>35057</v>
      </c>
      <c r="F656" s="1" t="s">
        <v>17</v>
      </c>
      <c r="G656" s="1"/>
      <c r="H656" s="1" t="s">
        <v>16</v>
      </c>
      <c r="I656" s="6"/>
      <c r="J656" s="1"/>
      <c r="K656" s="1"/>
      <c r="L656" s="1"/>
      <c r="M656" s="1"/>
      <c r="N656" s="1"/>
      <c r="O656" s="8"/>
    </row>
    <row r="657" spans="1:15" x14ac:dyDescent="0.3">
      <c r="A657" s="1">
        <v>2048</v>
      </c>
      <c r="B657" s="1">
        <v>2</v>
      </c>
      <c r="C657" s="1"/>
      <c r="D657" s="1"/>
      <c r="E657" s="5"/>
      <c r="F657" s="1"/>
      <c r="G657" s="1"/>
      <c r="H657" s="1"/>
      <c r="I657" s="6"/>
      <c r="J657" s="1"/>
      <c r="K657" s="1"/>
      <c r="L657" s="1"/>
      <c r="M657" s="1"/>
      <c r="N657" s="1"/>
      <c r="O657" s="8"/>
    </row>
    <row r="658" spans="1:15" x14ac:dyDescent="0.3">
      <c r="A658" s="17">
        <v>284</v>
      </c>
      <c r="B658" s="17">
        <v>0</v>
      </c>
      <c r="C658" s="17" t="str">
        <f>IF(B658=0,VLOOKUP(A658,Feuil2!$A$2:$M$1241,2,FALSE)," ")</f>
        <v>BEL HADJ ALI</v>
      </c>
      <c r="D658" s="17" t="str">
        <f>IF(B658=0,VLOOKUP(A658,Feuil2!$A$2:$M$1241,3,FALSE)," ")</f>
        <v>FETHI</v>
      </c>
      <c r="E658" s="18">
        <f>IF(B658=0,VLOOKUP(A658,Feuil2!$A$2:$M$1241,6,FALSE)," ")</f>
        <v>23705</v>
      </c>
      <c r="F658" s="17" t="str">
        <f>IF(B658=0,VLOOKUP(A658,Feuil2!$A$2:$M$1241,12,FALSE)," ")</f>
        <v>H</v>
      </c>
      <c r="G658" s="17" t="str">
        <f>IF(B658=0,VLOOKUP(A658,Feuil2!$A$2:$M$1241,11,FALSE)," ")</f>
        <v>M</v>
      </c>
      <c r="H658" s="17" t="s">
        <v>16</v>
      </c>
      <c r="I658" s="19">
        <f>IF(B658=0,VLOOKUP(A658,Feuil2!$A$2:$M$1241,7,FALSE)," ")</f>
        <v>2953286</v>
      </c>
      <c r="J658" s="17" t="str">
        <f>IF(B658=0,VLOOKUP(A658,Feuil2!$A$2:$M$1241,9,FALSE)," ")</f>
        <v>284 Messadine</v>
      </c>
      <c r="K658" s="17" t="str">
        <f>IF(B658=0,VLOOKUP(A658,Feuil2!$A$2:$M$1241,10,FALSE)," ")</f>
        <v>Messadine 4013</v>
      </c>
      <c r="L658" s="17"/>
      <c r="M658" s="17">
        <v>98793622</v>
      </c>
      <c r="N658" s="17"/>
      <c r="O658" s="21" t="s">
        <v>2772</v>
      </c>
    </row>
    <row r="659" spans="1:15" x14ac:dyDescent="0.3">
      <c r="A659" s="1">
        <v>284</v>
      </c>
      <c r="B659" s="1">
        <v>1</v>
      </c>
      <c r="C659" s="1" t="s">
        <v>1526</v>
      </c>
      <c r="D659" s="1" t="s">
        <v>2580</v>
      </c>
      <c r="E659" s="5">
        <v>24956</v>
      </c>
      <c r="F659" s="1" t="s">
        <v>17</v>
      </c>
      <c r="G659" s="1" t="s">
        <v>15</v>
      </c>
      <c r="H659" s="1" t="s">
        <v>16</v>
      </c>
      <c r="I659" s="6" t="str">
        <f>IF(B659=0,VLOOKUP(A659,Feuil2!$A$2:$M$1241,7,FALSE)," ")</f>
        <v xml:space="preserve"> </v>
      </c>
      <c r="J659" s="1" t="str">
        <f>IF(B659=0,VLOOKUP(A659,Feuil2!$A$2:$M$1241,9,FALSE)," ")</f>
        <v xml:space="preserve"> </v>
      </c>
      <c r="K659" s="1" t="str">
        <f>IF(B659=0,VLOOKUP(A659,Feuil2!$A$2:$M$1241,10,FALSE)," ")</f>
        <v xml:space="preserve"> </v>
      </c>
      <c r="L659" s="1"/>
      <c r="M659" s="1"/>
      <c r="N659" s="1"/>
      <c r="O659" s="8"/>
    </row>
    <row r="660" spans="1:15" x14ac:dyDescent="0.3">
      <c r="A660" s="1">
        <v>284</v>
      </c>
      <c r="B660" s="1">
        <v>2</v>
      </c>
      <c r="C660" s="1" t="s">
        <v>799</v>
      </c>
      <c r="D660" s="1" t="s">
        <v>2357</v>
      </c>
      <c r="E660" s="5">
        <v>35578</v>
      </c>
      <c r="F660" s="1" t="s">
        <v>17</v>
      </c>
      <c r="G660" s="1" t="str">
        <f>IF(B660=0,VLOOKUP(A660,Feuil2!$A$2:$M$1241,11,FALSE)," ")</f>
        <v xml:space="preserve"> </v>
      </c>
      <c r="H660" s="1" t="s">
        <v>16</v>
      </c>
      <c r="I660" s="6" t="str">
        <f>IF(B660=0,VLOOKUP(A660,Feuil2!$A$2:$M$1241,7,FALSE)," ")</f>
        <v xml:space="preserve"> </v>
      </c>
      <c r="J660" s="1" t="str">
        <f>IF(B660=0,VLOOKUP(A660,Feuil2!$A$2:$M$1241,9,FALSE)," ")</f>
        <v xml:space="preserve"> </v>
      </c>
      <c r="K660" s="1" t="str">
        <f>IF(B660=0,VLOOKUP(A660,Feuil2!$A$2:$M$1241,10,FALSE)," ")</f>
        <v xml:space="preserve"> </v>
      </c>
      <c r="L660" s="1"/>
      <c r="M660" s="1"/>
      <c r="N660" s="1"/>
      <c r="O660" s="8"/>
    </row>
    <row r="661" spans="1:15" x14ac:dyDescent="0.3">
      <c r="A661" s="1">
        <v>284</v>
      </c>
      <c r="B661" s="1">
        <v>3</v>
      </c>
      <c r="C661" s="1" t="s">
        <v>799</v>
      </c>
      <c r="D661" s="1" t="s">
        <v>2340</v>
      </c>
      <c r="E661" s="5">
        <v>35578</v>
      </c>
      <c r="F661" s="1" t="s">
        <v>17</v>
      </c>
      <c r="G661" s="1" t="str">
        <f>IF(B661=0,VLOOKUP(A661,Feuil2!$A$2:$M$1241,11,FALSE)," ")</f>
        <v xml:space="preserve"> </v>
      </c>
      <c r="H661" s="1" t="s">
        <v>16</v>
      </c>
      <c r="I661" s="6" t="str">
        <f>IF(B661=0,VLOOKUP(A661,Feuil2!$A$2:$M$1241,7,FALSE)," ")</f>
        <v xml:space="preserve"> </v>
      </c>
      <c r="J661" s="1" t="str">
        <f>IF(B661=0,VLOOKUP(A661,Feuil2!$A$2:$M$1241,9,FALSE)," ")</f>
        <v xml:space="preserve"> </v>
      </c>
      <c r="K661" s="1" t="str">
        <f>IF(B661=0,VLOOKUP(A661,Feuil2!$A$2:$M$1241,10,FALSE)," ")</f>
        <v xml:space="preserve"> </v>
      </c>
      <c r="L661" s="1"/>
      <c r="M661" s="1"/>
      <c r="N661" s="1"/>
      <c r="O661" s="8"/>
    </row>
    <row r="662" spans="1:15" x14ac:dyDescent="0.3">
      <c r="A662" s="1">
        <v>284</v>
      </c>
      <c r="B662" s="1">
        <v>4</v>
      </c>
      <c r="C662" s="1" t="s">
        <v>799</v>
      </c>
      <c r="D662" s="1" t="s">
        <v>2496</v>
      </c>
      <c r="E662" s="5">
        <v>38224</v>
      </c>
      <c r="F662" s="1" t="s">
        <v>506</v>
      </c>
      <c r="G662" s="1" t="str">
        <f>IF(B662=0,VLOOKUP(A662,Feuil2!$A$2:$M$1241,11,FALSE)," ")</f>
        <v xml:space="preserve"> </v>
      </c>
      <c r="H662" s="1" t="s">
        <v>16</v>
      </c>
      <c r="I662" s="6" t="str">
        <f>IF(B662=0,VLOOKUP(A662,Feuil2!$A$2:$M$1241,7,FALSE)," ")</f>
        <v xml:space="preserve"> </v>
      </c>
      <c r="J662" s="1" t="str">
        <f>IF(B662=0,VLOOKUP(A662,Feuil2!$A$2:$M$1241,9,FALSE)," ")</f>
        <v xml:space="preserve"> </v>
      </c>
      <c r="K662" s="1" t="str">
        <f>IF(B662=0,VLOOKUP(A662,Feuil2!$A$2:$M$1241,10,FALSE)," ")</f>
        <v xml:space="preserve"> </v>
      </c>
      <c r="L662" s="1"/>
      <c r="M662" s="1"/>
      <c r="N662" s="1"/>
      <c r="O662" s="8"/>
    </row>
    <row r="663" spans="1:15" x14ac:dyDescent="0.3">
      <c r="A663" s="1">
        <v>895</v>
      </c>
      <c r="B663" s="1">
        <v>0</v>
      </c>
      <c r="C663" s="1" t="str">
        <f>IF(B663=0,VLOOKUP(A663,Feuil2!$A$2:$M$1241,2,FALSE)," ")</f>
        <v>HAMILA</v>
      </c>
      <c r="D663" s="1" t="str">
        <f>IF(B663=0,VLOOKUP(A663,Feuil2!$A$2:$M$1241,3,FALSE)," ")</f>
        <v>RAFIK</v>
      </c>
      <c r="E663" s="5">
        <f>IF(B663=0,VLOOKUP(A663,Feuil2!$A$2:$M$1241,6,FALSE)," ")</f>
        <v>22846</v>
      </c>
      <c r="F663" s="1" t="str">
        <f>IF(B663=0,VLOOKUP(A663,Feuil2!$A$2:$M$1241,12,FALSE)," ")</f>
        <v>H</v>
      </c>
      <c r="G663" s="1" t="str">
        <f>IF(B663=0,VLOOKUP(A663,Feuil2!$A$2:$M$1241,11,FALSE)," ")</f>
        <v>M</v>
      </c>
      <c r="H663" s="1" t="s">
        <v>16</v>
      </c>
      <c r="I663" s="6">
        <f>IF(B663=0,VLOOKUP(A663,Feuil2!$A$2:$M$1241,7,FALSE)," ")</f>
        <v>3077589</v>
      </c>
      <c r="J663" s="1" t="str">
        <f>IF(B663=0,VLOOKUP(A663,Feuil2!$A$2:$M$1241,9,FALSE)," ")</f>
        <v>Route Monastir</v>
      </c>
      <c r="K663" s="1" t="str">
        <f>IF(B663=0,VLOOKUP(A663,Feuil2!$A$2:$M$1241,10,FALSE)," ")</f>
        <v>Msaken 4070</v>
      </c>
      <c r="L663" s="1">
        <v>4070</v>
      </c>
      <c r="M663" s="1">
        <v>98793543</v>
      </c>
      <c r="N663" s="1"/>
      <c r="O663" s="10" t="s">
        <v>2775</v>
      </c>
    </row>
    <row r="664" spans="1:15" x14ac:dyDescent="0.3">
      <c r="A664" s="1">
        <v>895</v>
      </c>
      <c r="B664" s="1">
        <v>1</v>
      </c>
      <c r="C664" s="1" t="s">
        <v>2773</v>
      </c>
      <c r="D664" s="1" t="s">
        <v>2774</v>
      </c>
      <c r="E664" s="5">
        <v>26825</v>
      </c>
      <c r="F664" s="1" t="s">
        <v>17</v>
      </c>
      <c r="G664" s="1" t="s">
        <v>15</v>
      </c>
      <c r="H664" s="1"/>
      <c r="I664" s="6"/>
      <c r="J664" s="1"/>
      <c r="K664" s="1"/>
      <c r="L664" s="1"/>
      <c r="M664" s="1"/>
      <c r="N664" s="1"/>
      <c r="O664" s="8"/>
    </row>
    <row r="665" spans="1:15" x14ac:dyDescent="0.3">
      <c r="A665" s="1">
        <v>895</v>
      </c>
      <c r="B665" s="1">
        <v>2</v>
      </c>
      <c r="C665" s="1" t="s">
        <v>103</v>
      </c>
      <c r="D665" s="1" t="s">
        <v>2667</v>
      </c>
      <c r="E665" s="5">
        <v>36802</v>
      </c>
      <c r="F665" s="1" t="s">
        <v>17</v>
      </c>
      <c r="G665" s="1"/>
      <c r="H665" s="1"/>
      <c r="I665" s="6"/>
      <c r="J665" s="1"/>
      <c r="K665" s="1"/>
      <c r="L665" s="1"/>
      <c r="M665" s="1"/>
      <c r="N665" s="1"/>
      <c r="O665" s="8"/>
    </row>
    <row r="666" spans="1:15" x14ac:dyDescent="0.3">
      <c r="A666" s="1">
        <v>895</v>
      </c>
      <c r="B666" s="1">
        <v>3</v>
      </c>
      <c r="C666" s="1" t="s">
        <v>103</v>
      </c>
      <c r="D666" s="1" t="s">
        <v>89</v>
      </c>
      <c r="E666" s="5">
        <v>38044</v>
      </c>
      <c r="F666" s="1" t="s">
        <v>506</v>
      </c>
      <c r="G666" s="1"/>
      <c r="H666" s="1"/>
      <c r="I666" s="6"/>
      <c r="J666" s="1"/>
      <c r="K666" s="1"/>
      <c r="L666" s="1"/>
      <c r="M666" s="1"/>
      <c r="N666" s="1"/>
      <c r="O666" s="8"/>
    </row>
    <row r="667" spans="1:15" x14ac:dyDescent="0.3">
      <c r="A667" s="1">
        <v>895</v>
      </c>
      <c r="B667" s="1">
        <v>4</v>
      </c>
      <c r="C667" s="1" t="s">
        <v>103</v>
      </c>
      <c r="D667" s="1" t="s">
        <v>2517</v>
      </c>
      <c r="E667" s="5">
        <v>39123</v>
      </c>
      <c r="F667" s="1" t="s">
        <v>17</v>
      </c>
      <c r="G667" s="1"/>
      <c r="H667" s="1"/>
      <c r="I667" s="6"/>
      <c r="J667" s="1"/>
      <c r="K667" s="1"/>
      <c r="L667" s="1"/>
      <c r="M667" s="1"/>
      <c r="N667" s="1"/>
      <c r="O667" s="8"/>
    </row>
    <row r="668" spans="1:15" x14ac:dyDescent="0.3">
      <c r="A668" s="1">
        <v>1525</v>
      </c>
      <c r="B668" s="1">
        <v>0</v>
      </c>
      <c r="C668" s="1" t="str">
        <f>IF(B668=0,VLOOKUP(A668,Feuil2!$A$2:$M$1241,2,FALSE)," ")</f>
        <v>HAMDAOUI</v>
      </c>
      <c r="D668" s="1" t="str">
        <f>IF(B668=0,VLOOKUP(A668,Feuil2!$A$2:$M$1241,3,FALSE)," ")</f>
        <v>MOKHTAR</v>
      </c>
      <c r="E668" s="5">
        <f>IF(B668=0,VLOOKUP(A668,Feuil2!$A$2:$M$1241,6,FALSE)," ")</f>
        <v>25627</v>
      </c>
      <c r="F668" s="1" t="str">
        <f>IF(B668=0,VLOOKUP(A668,Feuil2!$A$2:$M$1241,12,FALSE)," ")</f>
        <v>H</v>
      </c>
      <c r="G668" s="1" t="str">
        <f>IF(B668=0,VLOOKUP(A668,Feuil2!$A$2:$M$1241,11,FALSE)," ")</f>
        <v>M</v>
      </c>
      <c r="H668" s="1" t="s">
        <v>16</v>
      </c>
      <c r="I668" s="6">
        <f>IF(B668=0,VLOOKUP(A668,Feuil2!$A$2:$M$1241,7,FALSE)," ")</f>
        <v>7500595</v>
      </c>
      <c r="J668" s="1" t="str">
        <f>IF(B668=0,VLOOKUP(A668,Feuil2!$A$2:$M$1241,9,FALSE)," ")</f>
        <v>Rue Seliana</v>
      </c>
      <c r="K668" s="1" t="str">
        <f>IF(B668=0,VLOOKUP(A668,Feuil2!$A$2:$M$1241,10,FALSE)," ")</f>
        <v>Msaken 4070</v>
      </c>
      <c r="L668" s="1">
        <v>4070</v>
      </c>
      <c r="M668" s="1">
        <v>94594475</v>
      </c>
      <c r="N668" s="1"/>
      <c r="O668" s="10" t="s">
        <v>2777</v>
      </c>
    </row>
    <row r="669" spans="1:15" x14ac:dyDescent="0.3">
      <c r="A669" s="1">
        <v>1525</v>
      </c>
      <c r="B669" s="1">
        <v>1</v>
      </c>
      <c r="C669" s="1" t="s">
        <v>2776</v>
      </c>
      <c r="D669" s="1" t="s">
        <v>2865</v>
      </c>
      <c r="E669" s="5">
        <v>27025</v>
      </c>
      <c r="F669" s="1" t="s">
        <v>17</v>
      </c>
      <c r="G669" s="1" t="s">
        <v>15</v>
      </c>
      <c r="H669" s="1"/>
      <c r="I669" s="6"/>
      <c r="J669" s="1"/>
      <c r="K669" s="1"/>
      <c r="L669" s="1"/>
      <c r="M669" s="1"/>
      <c r="N669" s="1"/>
      <c r="O669" s="8"/>
    </row>
    <row r="670" spans="1:15" x14ac:dyDescent="0.3">
      <c r="A670" s="1">
        <v>1525</v>
      </c>
      <c r="B670" s="1">
        <v>2</v>
      </c>
      <c r="C670" s="1" t="s">
        <v>338</v>
      </c>
      <c r="D670" s="1" t="s">
        <v>2696</v>
      </c>
      <c r="E670" s="5">
        <v>38914</v>
      </c>
      <c r="F670" s="1" t="s">
        <v>17</v>
      </c>
      <c r="G670" s="1"/>
      <c r="H670" s="1"/>
      <c r="I670" s="6"/>
      <c r="J670" s="1"/>
      <c r="K670" s="1"/>
      <c r="L670" s="1"/>
      <c r="M670" s="1"/>
      <c r="N670" s="1"/>
      <c r="O670" s="8"/>
    </row>
    <row r="671" spans="1:15" x14ac:dyDescent="0.3">
      <c r="A671" s="1">
        <v>1525</v>
      </c>
      <c r="B671" s="1">
        <v>3</v>
      </c>
      <c r="C671" s="1" t="s">
        <v>338</v>
      </c>
      <c r="D671" s="1" t="s">
        <v>61</v>
      </c>
      <c r="E671" s="5">
        <v>40804</v>
      </c>
      <c r="F671" s="1" t="s">
        <v>506</v>
      </c>
      <c r="G671" s="1"/>
      <c r="H671" s="1"/>
      <c r="I671" s="6"/>
      <c r="J671" s="1"/>
      <c r="K671" s="1"/>
      <c r="L671" s="1"/>
      <c r="M671" s="1"/>
      <c r="N671" s="1"/>
      <c r="O671" s="8"/>
    </row>
    <row r="672" spans="1:15" x14ac:dyDescent="0.3">
      <c r="A672" s="1">
        <v>2058</v>
      </c>
      <c r="B672" s="1">
        <v>0</v>
      </c>
      <c r="C672" s="1" t="str">
        <f>IF(B672=0,VLOOKUP(A672,Feuil2!$A$2:$M$1241,2,FALSE)," ")</f>
        <v>GUEZGUEZ</v>
      </c>
      <c r="D672" s="1" t="str">
        <f>IF(B672=0,VLOOKUP(A672,Feuil2!$A$2:$M$1241,3,FALSE)," ")</f>
        <v>HICHEM</v>
      </c>
      <c r="E672" s="5">
        <f>IF(B672=0,VLOOKUP(A672,Feuil2!$A$2:$M$1241,6,FALSE)," ")</f>
        <v>32317</v>
      </c>
      <c r="F672" s="1" t="str">
        <f>IF(B672=0,VLOOKUP(A672,Feuil2!$A$2:$M$1241,12,FALSE)," ")</f>
        <v>H</v>
      </c>
      <c r="G672" s="1" t="s">
        <v>15</v>
      </c>
      <c r="H672" s="1" t="s">
        <v>16</v>
      </c>
      <c r="I672" s="6">
        <f>IF(B672=0,VLOOKUP(A672,Feuil2!$A$2:$M$1241,7,FALSE)," ")</f>
        <v>8498028</v>
      </c>
      <c r="J672" s="1" t="str">
        <f>IF(B672=0,VLOOKUP(A672,Feuil2!$A$2:$M$1241,9,FALSE)," ")</f>
        <v>52, Rue du Caire</v>
      </c>
      <c r="K672" s="1" t="str">
        <f>IF(B672=0,VLOOKUP(A672,Feuil2!$A$2:$M$1241,10,FALSE)," ")</f>
        <v>Msaken 4070</v>
      </c>
      <c r="L672" s="1">
        <v>4070</v>
      </c>
      <c r="M672" s="1">
        <v>26429181</v>
      </c>
      <c r="N672" s="1"/>
      <c r="O672" s="10" t="s">
        <v>2778</v>
      </c>
    </row>
    <row r="673" spans="1:16" x14ac:dyDescent="0.3">
      <c r="A673" s="1">
        <v>2058</v>
      </c>
      <c r="B673" s="1">
        <v>1</v>
      </c>
      <c r="C673" s="1" t="s">
        <v>42</v>
      </c>
      <c r="D673" s="1" t="s">
        <v>2367</v>
      </c>
      <c r="E673" s="5">
        <v>32567</v>
      </c>
      <c r="F673" s="1" t="s">
        <v>17</v>
      </c>
      <c r="G673" s="1" t="s">
        <v>15</v>
      </c>
      <c r="H673" s="1"/>
      <c r="I673" s="6"/>
      <c r="J673" s="1"/>
      <c r="K673" s="1"/>
      <c r="L673" s="1"/>
      <c r="M673" s="1"/>
      <c r="N673" s="1"/>
      <c r="O673" s="8"/>
    </row>
    <row r="674" spans="1:16" x14ac:dyDescent="0.3">
      <c r="A674" s="1">
        <v>2058</v>
      </c>
      <c r="B674" s="1">
        <v>2</v>
      </c>
      <c r="C674" s="1" t="s">
        <v>176</v>
      </c>
      <c r="D674" s="1" t="s">
        <v>2357</v>
      </c>
      <c r="E674" s="5">
        <v>43733</v>
      </c>
      <c r="F674" s="1" t="s">
        <v>17</v>
      </c>
      <c r="G674" s="1"/>
      <c r="H674" s="1"/>
      <c r="I674" s="6"/>
      <c r="J674" s="1"/>
      <c r="K674" s="1"/>
      <c r="L674" s="1"/>
      <c r="M674" s="1"/>
      <c r="N674" s="1"/>
      <c r="O674" s="8"/>
    </row>
    <row r="675" spans="1:16" x14ac:dyDescent="0.3">
      <c r="A675" s="1">
        <v>2058</v>
      </c>
      <c r="B675" s="1">
        <v>3</v>
      </c>
      <c r="C675" s="1" t="s">
        <v>176</v>
      </c>
      <c r="D675" s="1" t="s">
        <v>125</v>
      </c>
      <c r="E675" s="5">
        <v>44573</v>
      </c>
      <c r="F675" s="1" t="s">
        <v>506</v>
      </c>
      <c r="G675" s="1"/>
      <c r="H675" s="1"/>
      <c r="I675" s="6"/>
      <c r="J675" s="1"/>
      <c r="K675" s="1"/>
      <c r="L675" s="1"/>
      <c r="M675" s="1"/>
      <c r="N675" s="1"/>
      <c r="O675" s="8"/>
    </row>
    <row r="676" spans="1:16" x14ac:dyDescent="0.3">
      <c r="A676" s="1">
        <v>2067</v>
      </c>
      <c r="B676" s="1">
        <v>0</v>
      </c>
      <c r="C676" s="1" t="str">
        <f>IF(B676=0,VLOOKUP(A676,Feuil2!$A$2:$M$1241,2,FALSE)," ")</f>
        <v>CHOUAIEB</v>
      </c>
      <c r="D676" s="1" t="str">
        <f>IF(B676=0,VLOOKUP(A676,Feuil2!$A$2:$M$1241,3,FALSE)," ")</f>
        <v>MOUNIR</v>
      </c>
      <c r="E676" s="5">
        <f>IF(B676=0,VLOOKUP(A676,Feuil2!$A$2:$M$1241,6,FALSE)," ")</f>
        <v>33376</v>
      </c>
      <c r="F676" s="1" t="str">
        <f>IF(B676=0,VLOOKUP(A676,Feuil2!$A$2:$M$1241,12,FALSE)," ")</f>
        <v>H</v>
      </c>
      <c r="G676" s="1" t="s">
        <v>15</v>
      </c>
      <c r="H676" s="1" t="s">
        <v>16</v>
      </c>
      <c r="I676" s="6">
        <f>IF(B676=0,VLOOKUP(A676,Feuil2!$A$2:$M$1241,7,FALSE)," ")</f>
        <v>9318525</v>
      </c>
      <c r="J676" s="1" t="str">
        <f>IF(B676=0,VLOOKUP(A676,Feuil2!$A$2:$M$1241,9,FALSE)," ")</f>
        <v>Echrachir</v>
      </c>
      <c r="K676" s="1" t="str">
        <f>IF(B676=0,VLOOKUP(A676,Feuil2!$A$2:$M$1241,10,FALSE)," ")</f>
        <v>Sidi El HÃ©ni 4025</v>
      </c>
      <c r="L676" s="1"/>
      <c r="M676" s="1">
        <v>22529732</v>
      </c>
      <c r="N676" s="1"/>
      <c r="O676" s="10" t="s">
        <v>2780</v>
      </c>
    </row>
    <row r="677" spans="1:16" x14ac:dyDescent="0.3">
      <c r="A677" s="1">
        <v>2067</v>
      </c>
      <c r="B677" s="1">
        <v>1</v>
      </c>
      <c r="C677" s="1" t="s">
        <v>2779</v>
      </c>
      <c r="D677" s="11" t="s">
        <v>2764</v>
      </c>
      <c r="E677" s="5">
        <v>34873</v>
      </c>
      <c r="F677" s="1" t="s">
        <v>17</v>
      </c>
      <c r="G677" s="1" t="s">
        <v>15</v>
      </c>
      <c r="H677" s="1"/>
      <c r="I677" s="6"/>
      <c r="J677" s="1"/>
      <c r="K677" s="1"/>
      <c r="L677" s="1"/>
      <c r="M677" s="1"/>
      <c r="N677" s="1"/>
      <c r="O677" s="8"/>
    </row>
    <row r="678" spans="1:16" x14ac:dyDescent="0.3">
      <c r="A678" s="1">
        <v>2107</v>
      </c>
      <c r="B678" s="1">
        <v>0</v>
      </c>
      <c r="C678" s="1" t="str">
        <f>IF(B678=0,VLOOKUP(A678,Feuil2!$A$2:$M$1241,2,FALSE)," ")</f>
        <v>TRIMECH</v>
      </c>
      <c r="D678" s="1" t="str">
        <f>IF(B678=0,VLOOKUP(A678,Feuil2!$A$2:$M$1241,3,FALSE)," ")</f>
        <v>RAHMA</v>
      </c>
      <c r="E678" s="5">
        <f>IF(B678=0,VLOOKUP(A678,Feuil2!$A$2:$M$1241,6,FALSE)," ")</f>
        <v>34053</v>
      </c>
      <c r="F678" s="1" t="str">
        <f>IF(B678=0,VLOOKUP(A678,Feuil2!$A$2:$M$1241,12,FALSE)," ")</f>
        <v>F</v>
      </c>
      <c r="G678" s="1" t="s">
        <v>15</v>
      </c>
      <c r="H678" s="1" t="s">
        <v>16</v>
      </c>
      <c r="I678" s="6">
        <f>IF(B678=0,VLOOKUP(A678,Feuil2!$A$2:$M$1241,7,FALSE)," ")</f>
        <v>6948297</v>
      </c>
      <c r="J678" s="1" t="str">
        <f>IF(B678=0,VLOOKUP(A678,Feuil2!$A$2:$M$1241,9,FALSE)," ")</f>
        <v>Rue Mohamed Mhala</v>
      </c>
      <c r="K678" s="1" t="str">
        <f>IF(B678=0,VLOOKUP(A678,Feuil2!$A$2:$M$1241,10,FALSE)," ")</f>
        <v>Monastir</v>
      </c>
      <c r="L678" s="1"/>
      <c r="M678" s="1">
        <v>98793856</v>
      </c>
      <c r="N678" s="1"/>
      <c r="O678" s="10" t="s">
        <v>2783</v>
      </c>
    </row>
    <row r="679" spans="1:16" x14ac:dyDescent="0.3">
      <c r="A679" s="1">
        <v>2107</v>
      </c>
      <c r="B679" s="1">
        <v>1</v>
      </c>
      <c r="C679" s="1" t="s">
        <v>2781</v>
      </c>
      <c r="D679" s="1" t="s">
        <v>2782</v>
      </c>
      <c r="E679" s="5">
        <v>32480</v>
      </c>
      <c r="F679" s="1" t="s">
        <v>506</v>
      </c>
      <c r="G679" s="1" t="s">
        <v>15</v>
      </c>
      <c r="H679" s="1"/>
      <c r="I679" s="6"/>
      <c r="J679" s="1"/>
      <c r="K679" s="1"/>
      <c r="L679" s="1"/>
      <c r="M679" s="1"/>
      <c r="N679" s="1"/>
      <c r="O679" s="8"/>
    </row>
    <row r="680" spans="1:16" x14ac:dyDescent="0.3">
      <c r="A680" s="1">
        <v>2107</v>
      </c>
      <c r="B680" s="1">
        <v>2</v>
      </c>
      <c r="C680" s="1" t="s">
        <v>2781</v>
      </c>
      <c r="D680" s="1" t="s">
        <v>2465</v>
      </c>
      <c r="E680" s="5">
        <v>44321</v>
      </c>
      <c r="F680" s="1" t="s">
        <v>506</v>
      </c>
      <c r="G680" s="1"/>
      <c r="H680" s="1"/>
      <c r="I680" s="6"/>
      <c r="J680" s="1"/>
      <c r="K680" s="1"/>
      <c r="L680" s="1"/>
      <c r="M680" s="1"/>
      <c r="N680" s="1"/>
      <c r="O680" s="8"/>
    </row>
    <row r="681" spans="1:16" x14ac:dyDescent="0.3">
      <c r="A681" s="1">
        <v>36</v>
      </c>
      <c r="B681" s="1">
        <v>0</v>
      </c>
      <c r="C681" s="1" t="str">
        <f>IF(B681=0,VLOOKUP(A681,Feuil2!$A$2:$M$1241,2,FALSE)," ")</f>
        <v>BAYA</v>
      </c>
      <c r="D681" s="1" t="str">
        <f>IF(B681=0,VLOOKUP(A681,Feuil2!$A$2:$M$1241,3,FALSE)," ")</f>
        <v>ADEL</v>
      </c>
      <c r="E681" s="5">
        <f>IF(B681=0,VLOOKUP(A681,Feuil2!$A$2:$M$1241,6,FALSE)," ")</f>
        <v>23421</v>
      </c>
      <c r="F681" s="1" t="str">
        <f>IF(B681=0,VLOOKUP(A681,Feuil2!$A$2:$M$1241,12,FALSE)," ")</f>
        <v>H</v>
      </c>
      <c r="G681" s="1" t="str">
        <f>IF(B681=0,VLOOKUP(A681,Feuil2!$A$2:$M$1241,11,FALSE)," ")</f>
        <v>M</v>
      </c>
      <c r="H681" s="1" t="s">
        <v>16</v>
      </c>
      <c r="I681" s="6">
        <f>IF(B681=0,VLOOKUP(A681,Feuil2!$A$2:$M$1241,7,FALSE)," ")</f>
        <v>2867586</v>
      </c>
      <c r="J681" s="1" t="str">
        <f>IF(B681=0,VLOOKUP(A681,Feuil2!$A$2:$M$1241,9,FALSE)," ")</f>
        <v>467 Rue 1er juin</v>
      </c>
      <c r="K681" s="1" t="str">
        <f>IF(B681=0,VLOOKUP(A681,Feuil2!$A$2:$M$1241,10,FALSE)," ")</f>
        <v>Msaken 4070</v>
      </c>
      <c r="L681" s="1">
        <v>4070</v>
      </c>
      <c r="M681" s="1">
        <v>98793699</v>
      </c>
      <c r="N681" s="1"/>
      <c r="O681" s="8" t="str">
        <f>IF(B681=0,VLOOKUP(A681,Feuil2!$A$2:$M$1241,13,FALSE)," ")</f>
        <v>24010030679251100000</v>
      </c>
    </row>
    <row r="682" spans="1:16" x14ac:dyDescent="0.3">
      <c r="A682" s="1">
        <v>36</v>
      </c>
      <c r="B682" s="1">
        <v>1</v>
      </c>
      <c r="C682" s="1" t="s">
        <v>188</v>
      </c>
      <c r="D682" s="1" t="s">
        <v>746</v>
      </c>
      <c r="E682" s="5">
        <v>24582</v>
      </c>
      <c r="F682" s="1" t="s">
        <v>17</v>
      </c>
      <c r="G682" s="1" t="s">
        <v>15</v>
      </c>
      <c r="H682" s="1" t="s">
        <v>16</v>
      </c>
      <c r="I682" s="6" t="str">
        <f>IF(B682=0,VLOOKUP(A682,Feuil2!$A$2:$M$1241,7,FALSE)," ")</f>
        <v xml:space="preserve"> </v>
      </c>
      <c r="J682" s="1" t="str">
        <f>IF(B682=0,VLOOKUP(A682,Feuil2!$A$2:$M$1241,9,FALSE)," ")</f>
        <v xml:space="preserve"> </v>
      </c>
      <c r="K682" s="1" t="str">
        <f>IF(B682=0,VLOOKUP(A682,Feuil2!$A$2:$M$1241,10,FALSE)," ")</f>
        <v xml:space="preserve"> </v>
      </c>
      <c r="L682" s="1"/>
      <c r="M682" s="1"/>
      <c r="N682" s="1"/>
      <c r="O682" s="8" t="str">
        <f>IF(B682=0,VLOOKUP(A682,Feuil2!$A$2:$M$1241,13,FALSE)," ")</f>
        <v xml:space="preserve"> </v>
      </c>
    </row>
    <row r="683" spans="1:16" x14ac:dyDescent="0.3">
      <c r="A683" s="1">
        <v>36</v>
      </c>
      <c r="B683" s="1">
        <v>2</v>
      </c>
      <c r="C683" s="1" t="s">
        <v>29</v>
      </c>
      <c r="D683" s="1" t="s">
        <v>2446</v>
      </c>
      <c r="E683" s="5">
        <v>36776</v>
      </c>
      <c r="F683" s="1" t="s">
        <v>17</v>
      </c>
      <c r="G683" s="1" t="str">
        <f>IF(B683=0,VLOOKUP(A683,Feuil2!$A$2:$M$1241,11,FALSE)," ")</f>
        <v xml:space="preserve"> </v>
      </c>
      <c r="H683" s="1" t="s">
        <v>16</v>
      </c>
      <c r="I683" s="6" t="str">
        <f>IF(B683=0,VLOOKUP(A683,Feuil2!$A$2:$M$1241,7,FALSE)," ")</f>
        <v xml:space="preserve"> </v>
      </c>
      <c r="J683" s="1" t="str">
        <f>IF(B683=0,VLOOKUP(A683,Feuil2!$A$2:$M$1241,9,FALSE)," ")</f>
        <v xml:space="preserve"> </v>
      </c>
      <c r="K683" s="1" t="str">
        <f>IF(B683=0,VLOOKUP(A683,Feuil2!$A$2:$M$1241,10,FALSE)," ")</f>
        <v xml:space="preserve"> </v>
      </c>
      <c r="L683" s="1"/>
      <c r="M683" s="1"/>
      <c r="N683" s="1"/>
      <c r="O683" s="8" t="str">
        <f>IF(B683=0,VLOOKUP(A683,Feuil2!$A$2:$M$1241,13,FALSE)," ")</f>
        <v xml:space="preserve"> </v>
      </c>
    </row>
    <row r="684" spans="1:16" x14ac:dyDescent="0.3">
      <c r="A684" s="1">
        <v>36</v>
      </c>
      <c r="B684" s="1">
        <v>3</v>
      </c>
      <c r="C684" s="1" t="s">
        <v>29</v>
      </c>
      <c r="D684" s="1" t="s">
        <v>2388</v>
      </c>
      <c r="E684" s="5">
        <v>38676</v>
      </c>
      <c r="F684" s="1" t="s">
        <v>506</v>
      </c>
      <c r="G684" s="1" t="str">
        <f>IF(B684=0,VLOOKUP(A684,Feuil2!$A$2:$M$1241,11,FALSE)," ")</f>
        <v xml:space="preserve"> </v>
      </c>
      <c r="H684" s="1" t="s">
        <v>16</v>
      </c>
      <c r="I684" s="6" t="str">
        <f>IF(B684=0,VLOOKUP(A684,Feuil2!$A$2:$M$1241,7,FALSE)," ")</f>
        <v xml:space="preserve"> </v>
      </c>
      <c r="J684" s="1" t="str">
        <f>IF(B684=0,VLOOKUP(A684,Feuil2!$A$2:$M$1241,9,FALSE)," ")</f>
        <v xml:space="preserve"> </v>
      </c>
      <c r="K684" s="1" t="str">
        <f>IF(B684=0,VLOOKUP(A684,Feuil2!$A$2:$M$1241,10,FALSE)," ")</f>
        <v xml:space="preserve"> </v>
      </c>
      <c r="L684" s="1"/>
      <c r="M684" s="1"/>
      <c r="N684" s="1"/>
      <c r="O684" s="8" t="str">
        <f>IF(B684=0,VLOOKUP(A684,Feuil2!$A$2:$M$1241,13,FALSE)," ")</f>
        <v xml:space="preserve"> </v>
      </c>
    </row>
    <row r="685" spans="1:16" x14ac:dyDescent="0.3">
      <c r="A685" s="1">
        <v>58</v>
      </c>
      <c r="B685" s="1">
        <v>0</v>
      </c>
      <c r="C685" s="1" t="str">
        <f>IF(B685=0,VLOOKUP(A685,Feuil2!$A$2:$M$1241,2,FALSE)," ")</f>
        <v>BEN HAMOUDA</v>
      </c>
      <c r="D685" s="1" t="str">
        <f>IF(B685=0,VLOOKUP(A685,Feuil2!$A$2:$M$1241,3,FALSE)," ")</f>
        <v>MONDHER</v>
      </c>
      <c r="E685" s="5">
        <f>IF(B685=0,VLOOKUP(A685,Feuil2!$A$2:$M$1241,6,FALSE)," ")</f>
        <v>22824</v>
      </c>
      <c r="F685" s="1" t="str">
        <f>IF(B685=0,VLOOKUP(A685,Feuil2!$A$2:$M$1241,12,FALSE)," ")</f>
        <v>H</v>
      </c>
      <c r="G685" s="1" t="str">
        <f>IF(B685=0,VLOOKUP(A685,Feuil2!$A$2:$M$1241,11,FALSE)," ")</f>
        <v>M</v>
      </c>
      <c r="H685" s="1" t="s">
        <v>16</v>
      </c>
      <c r="I685" s="6">
        <f>IF(B685=0,VLOOKUP(A685,Feuil2!$A$2:$M$1241,7,FALSE)," ")</f>
        <v>2933895</v>
      </c>
      <c r="J685" s="1" t="str">
        <f>IF(B685=0,VLOOKUP(A685,Feuil2!$A$2:$M$1241,9,FALSE)," ")</f>
        <v>158 Rue Imam El Mezri</v>
      </c>
      <c r="K685" s="1" t="str">
        <f>IF(B685=0,VLOOKUP(A685,Feuil2!$A$2:$M$1241,10,FALSE)," ")</f>
        <v>Msaken 4070</v>
      </c>
      <c r="L685" s="1">
        <v>4070</v>
      </c>
      <c r="M685" s="1">
        <v>98793637</v>
      </c>
      <c r="N685" s="1"/>
      <c r="O685" s="8" t="str">
        <f>IF(B685=0,VLOOKUP(A685,Feuil2!$A$2:$M$1241,13,FALSE)," ")</f>
        <v>08507000262000767912</v>
      </c>
    </row>
    <row r="686" spans="1:16" x14ac:dyDescent="0.3">
      <c r="A686" s="1">
        <v>58</v>
      </c>
      <c r="B686" s="1">
        <v>1</v>
      </c>
      <c r="C686" s="1" t="str">
        <f>IF(B686=0,VLOOKUP(A686,Feuil2!$A$2:$M$1241,2,FALSE)," ")</f>
        <v xml:space="preserve"> </v>
      </c>
      <c r="D686" s="1" t="s">
        <v>2348</v>
      </c>
      <c r="E686" s="5">
        <v>24935</v>
      </c>
      <c r="F686" s="1" t="s">
        <v>17</v>
      </c>
      <c r="G686" s="1" t="s">
        <v>15</v>
      </c>
      <c r="H686" s="1" t="s">
        <v>16</v>
      </c>
      <c r="I686" s="6" t="str">
        <f>IF(B686=0,VLOOKUP(A686,Feuil2!$A$2:$M$1241,7,FALSE)," ")</f>
        <v xml:space="preserve"> </v>
      </c>
      <c r="J686" s="1" t="str">
        <f>IF(B686=0,VLOOKUP(A686,Feuil2!$A$2:$M$1241,9,FALSE)," ")</f>
        <v xml:space="preserve"> </v>
      </c>
      <c r="K686" s="1" t="str">
        <f>IF(B686=0,VLOOKUP(A686,Feuil2!$A$2:$M$1241,10,FALSE)," ")</f>
        <v xml:space="preserve"> </v>
      </c>
      <c r="L686" s="1"/>
      <c r="M686" s="1"/>
      <c r="N686" s="1"/>
      <c r="O686" s="8" t="str">
        <f>IF(B686=0,VLOOKUP(A686,Feuil2!$A$2:$M$1241,13,FALSE)," ")</f>
        <v xml:space="preserve"> </v>
      </c>
    </row>
    <row r="687" spans="1:16" x14ac:dyDescent="0.3">
      <c r="A687" s="1">
        <v>58</v>
      </c>
      <c r="B687" s="1">
        <v>2</v>
      </c>
      <c r="C687" s="1" t="s">
        <v>563</v>
      </c>
      <c r="D687" s="1" t="s">
        <v>216</v>
      </c>
      <c r="E687" s="5">
        <v>33022</v>
      </c>
      <c r="F687" s="1" t="s">
        <v>506</v>
      </c>
      <c r="G687" s="1" t="str">
        <f>IF(B687=0,VLOOKUP(A687,Feuil2!$A$2:$M$1241,11,FALSE)," ")</f>
        <v xml:space="preserve"> </v>
      </c>
      <c r="H687" s="1" t="s">
        <v>16</v>
      </c>
      <c r="I687" s="6" t="str">
        <f>IF(B687=0,VLOOKUP(A687,Feuil2!$A$2:$M$1241,7,FALSE)," ")</f>
        <v xml:space="preserve"> </v>
      </c>
      <c r="J687" s="1" t="str">
        <f>IF(B687=0,VLOOKUP(A687,Feuil2!$A$2:$M$1241,9,FALSE)," ")</f>
        <v xml:space="preserve"> </v>
      </c>
      <c r="K687" s="1" t="str">
        <f>IF(B687=0,VLOOKUP(A687,Feuil2!$A$2:$M$1241,10,FALSE)," ")</f>
        <v xml:space="preserve"> </v>
      </c>
      <c r="L687" s="1"/>
      <c r="M687" s="1"/>
      <c r="N687" s="1"/>
      <c r="O687" s="8" t="str">
        <f>IF(B687=0,VLOOKUP(A687,Feuil2!$A$2:$M$1241,13,FALSE)," ")</f>
        <v xml:space="preserve"> </v>
      </c>
    </row>
    <row r="688" spans="1:16" x14ac:dyDescent="0.3">
      <c r="A688" s="1">
        <v>58</v>
      </c>
      <c r="B688" s="1">
        <v>3</v>
      </c>
      <c r="C688" s="1" t="s">
        <v>563</v>
      </c>
      <c r="D688" s="1" t="s">
        <v>2572</v>
      </c>
      <c r="E688" s="5">
        <v>35606</v>
      </c>
      <c r="F688" s="1" t="s">
        <v>506</v>
      </c>
      <c r="G688" s="1" t="str">
        <f>IF(B688=0,VLOOKUP(A688,Feuil2!$A$2:$M$1241,11,FALSE)," ")</f>
        <v xml:space="preserve"> </v>
      </c>
      <c r="H688" s="1" t="s">
        <v>16</v>
      </c>
      <c r="I688" s="6" t="str">
        <f>IF(B688=0,VLOOKUP(A688,Feuil2!$A$2:$M$1241,7,FALSE)," ")</f>
        <v xml:space="preserve"> </v>
      </c>
      <c r="J688" s="1" t="str">
        <f>IF(B688=0,VLOOKUP(A688,Feuil2!$A$2:$M$1241,9,FALSE)," ")</f>
        <v xml:space="preserve"> </v>
      </c>
      <c r="K688" s="1" t="str">
        <f>IF(B688=0,VLOOKUP(A688,Feuil2!$A$2:$M$1241,10,FALSE)," ")</f>
        <v xml:space="preserve"> </v>
      </c>
      <c r="L688" s="1"/>
      <c r="M688" s="1"/>
      <c r="N688" s="1"/>
      <c r="O688" s="8" t="str">
        <f>IF(B688=0,VLOOKUP(A688,Feuil2!$A$2:$M$1241,13,FALSE)," ")</f>
        <v xml:space="preserve"> </v>
      </c>
      <c r="P688" t="s">
        <v>2805</v>
      </c>
    </row>
    <row r="689" spans="1:16" x14ac:dyDescent="0.3">
      <c r="A689" s="1">
        <v>58</v>
      </c>
      <c r="B689" s="1">
        <v>4</v>
      </c>
      <c r="C689" s="1" t="s">
        <v>563</v>
      </c>
      <c r="D689" s="1" t="s">
        <v>2573</v>
      </c>
      <c r="E689" s="5">
        <v>38349</v>
      </c>
      <c r="F689" s="1" t="s">
        <v>17</v>
      </c>
      <c r="G689" s="1" t="str">
        <f>IF(B689=0,VLOOKUP(A689,Feuil2!$A$2:$M$1241,11,FALSE)," ")</f>
        <v xml:space="preserve"> </v>
      </c>
      <c r="H689" s="1" t="s">
        <v>16</v>
      </c>
      <c r="I689" s="6" t="str">
        <f>IF(B689=0,VLOOKUP(A689,Feuil2!$A$2:$M$1241,7,FALSE)," ")</f>
        <v xml:space="preserve"> </v>
      </c>
      <c r="J689" s="1" t="str">
        <f>IF(B689=0,VLOOKUP(A689,Feuil2!$A$2:$M$1241,9,FALSE)," ")</f>
        <v xml:space="preserve"> </v>
      </c>
      <c r="K689" s="1" t="str">
        <f>IF(B689=0,VLOOKUP(A689,Feuil2!$A$2:$M$1241,10,FALSE)," ")</f>
        <v xml:space="preserve"> </v>
      </c>
      <c r="L689" s="1"/>
      <c r="M689" s="1"/>
      <c r="N689" s="1"/>
      <c r="O689" s="8" t="str">
        <f>IF(B689=0,VLOOKUP(A689,Feuil2!$A$2:$M$1241,13,FALSE)," ")</f>
        <v xml:space="preserve"> </v>
      </c>
    </row>
    <row r="690" spans="1:16" x14ac:dyDescent="0.3">
      <c r="A690" s="1">
        <v>144</v>
      </c>
      <c r="B690" s="1">
        <v>0</v>
      </c>
      <c r="C690" s="1" t="str">
        <f>IF(B690=0,VLOOKUP(A690,Feuil2!$A$2:$M$1241,2,FALSE)," ")</f>
        <v>DHIFALLAH</v>
      </c>
      <c r="D690" s="1" t="str">
        <f>IF(B690=0,VLOOKUP(A690,Feuil2!$A$2:$M$1241,3,FALSE)," ")</f>
        <v>MOHAMED</v>
      </c>
      <c r="E690" s="5">
        <f>IF(B690=0,VLOOKUP(A690,Feuil2!$A$2:$M$1241,6,FALSE)," ")</f>
        <v>23201</v>
      </c>
      <c r="F690" s="1" t="str">
        <f>IF(B690=0,VLOOKUP(A690,Feuil2!$A$2:$M$1241,12,FALSE)," ")</f>
        <v>H</v>
      </c>
      <c r="G690" s="1" t="str">
        <f>IF(B690=0,VLOOKUP(A690,Feuil2!$A$2:$M$1241,11,FALSE)," ")</f>
        <v>M</v>
      </c>
      <c r="H690" s="1" t="s">
        <v>16</v>
      </c>
      <c r="I690" s="6">
        <f>IF(B690=0,VLOOKUP(A690,Feuil2!$A$2:$M$1241,7,FALSE)," ")</f>
        <v>2950029</v>
      </c>
      <c r="J690" s="1" t="str">
        <f>IF(B690=0,VLOOKUP(A690,Feuil2!$A$2:$M$1241,9,FALSE)," ")</f>
        <v>CitÃ© Farhat Hached NÂ°30 Bouhssina</v>
      </c>
      <c r="K690" s="1" t="str">
        <f>IF(B690=0,VLOOKUP(A690,Feuil2!$A$2:$M$1241,10,FALSE)," ")</f>
        <v>Sousse</v>
      </c>
      <c r="L690" s="1"/>
      <c r="M690" s="1">
        <v>98793615</v>
      </c>
      <c r="N690" s="1"/>
      <c r="O690" s="8" t="str">
        <f>IF(B690=0,VLOOKUP(A690,Feuil2!$A$2:$M$1241,13,FALSE)," ")</f>
        <v>14500500100702065864</v>
      </c>
      <c r="P690" t="s">
        <v>2805</v>
      </c>
    </row>
    <row r="691" spans="1:16" x14ac:dyDescent="0.3">
      <c r="A691" s="1">
        <v>144</v>
      </c>
      <c r="B691" s="1">
        <v>1</v>
      </c>
      <c r="C691" s="1" t="s">
        <v>2574</v>
      </c>
      <c r="D691" s="1" t="s">
        <v>629</v>
      </c>
      <c r="E691" s="5">
        <v>27084</v>
      </c>
      <c r="F691" s="1" t="s">
        <v>17</v>
      </c>
      <c r="G691" s="1" t="s">
        <v>15</v>
      </c>
      <c r="H691" s="1" t="s">
        <v>16</v>
      </c>
      <c r="I691" s="6" t="str">
        <f>IF(B691=0,VLOOKUP(A691,Feuil2!$A$2:$M$1241,7,FALSE)," ")</f>
        <v xml:space="preserve"> </v>
      </c>
      <c r="J691" s="1" t="str">
        <f>IF(B691=0,VLOOKUP(A691,Feuil2!$A$2:$M$1241,9,FALSE)," ")</f>
        <v xml:space="preserve"> </v>
      </c>
      <c r="K691" s="1" t="str">
        <f>IF(B691=0,VLOOKUP(A691,Feuil2!$A$2:$M$1241,10,FALSE)," ")</f>
        <v xml:space="preserve"> </v>
      </c>
      <c r="L691" s="1"/>
      <c r="M691" s="1"/>
      <c r="N691" s="1"/>
      <c r="O691" s="8" t="str">
        <f>IF(B691=0,VLOOKUP(A691,Feuil2!$A$2:$M$1241,13,FALSE)," ")</f>
        <v xml:space="preserve"> </v>
      </c>
    </row>
    <row r="692" spans="1:16" x14ac:dyDescent="0.3">
      <c r="A692" s="1">
        <v>144</v>
      </c>
      <c r="B692" s="1">
        <v>2</v>
      </c>
      <c r="C692" s="1" t="s">
        <v>345</v>
      </c>
      <c r="D692" s="1" t="s">
        <v>109</v>
      </c>
      <c r="E692" s="5">
        <v>35601</v>
      </c>
      <c r="F692" s="1" t="s">
        <v>506</v>
      </c>
      <c r="G692" s="1" t="str">
        <f>IF(B692=0,VLOOKUP(A692,Feuil2!$A$2:$M$1241,11,FALSE)," ")</f>
        <v xml:space="preserve"> </v>
      </c>
      <c r="H692" s="1" t="s">
        <v>16</v>
      </c>
      <c r="I692" s="6" t="str">
        <f>IF(B692=0,VLOOKUP(A692,Feuil2!$A$2:$M$1241,7,FALSE)," ")</f>
        <v xml:space="preserve"> </v>
      </c>
      <c r="J692" s="1" t="str">
        <f>IF(B692=0,VLOOKUP(A692,Feuil2!$A$2:$M$1241,9,FALSE)," ")</f>
        <v xml:space="preserve"> </v>
      </c>
      <c r="K692" s="1" t="str">
        <f>IF(B692=0,VLOOKUP(A692,Feuil2!$A$2:$M$1241,10,FALSE)," ")</f>
        <v xml:space="preserve"> </v>
      </c>
      <c r="L692" s="1"/>
      <c r="M692" s="1"/>
      <c r="N692" s="1"/>
      <c r="O692" s="8" t="str">
        <f>IF(B692=0,VLOOKUP(A692,Feuil2!$A$2:$M$1241,13,FALSE)," ")</f>
        <v xml:space="preserve"> </v>
      </c>
    </row>
    <row r="693" spans="1:16" x14ac:dyDescent="0.3">
      <c r="A693" s="1">
        <v>144</v>
      </c>
      <c r="B693" s="1">
        <v>3</v>
      </c>
      <c r="C693" s="1" t="s">
        <v>345</v>
      </c>
      <c r="D693" s="1" t="s">
        <v>164</v>
      </c>
      <c r="E693" s="5">
        <v>38469</v>
      </c>
      <c r="F693" s="1" t="s">
        <v>506</v>
      </c>
      <c r="G693" s="1" t="str">
        <f>IF(B693=0,VLOOKUP(A693,Feuil2!$A$2:$M$1241,11,FALSE)," ")</f>
        <v xml:space="preserve"> </v>
      </c>
      <c r="H693" s="1" t="s">
        <v>16</v>
      </c>
      <c r="I693" s="6" t="str">
        <f>IF(B693=0,VLOOKUP(A693,Feuil2!$A$2:$M$1241,7,FALSE)," ")</f>
        <v xml:space="preserve"> </v>
      </c>
      <c r="J693" s="1" t="str">
        <f>IF(B693=0,VLOOKUP(A693,Feuil2!$A$2:$M$1241,9,FALSE)," ")</f>
        <v xml:space="preserve"> </v>
      </c>
      <c r="K693" s="1" t="str">
        <f>IF(B693=0,VLOOKUP(A693,Feuil2!$A$2:$M$1241,10,FALSE)," ")</f>
        <v xml:space="preserve"> </v>
      </c>
      <c r="L693" s="1"/>
      <c r="M693" s="1"/>
      <c r="N693" s="1"/>
      <c r="O693" s="8" t="str">
        <f>IF(B693=0,VLOOKUP(A693,Feuil2!$A$2:$M$1241,13,FALSE)," ")</f>
        <v xml:space="preserve"> </v>
      </c>
      <c r="P693" t="s">
        <v>2805</v>
      </c>
    </row>
    <row r="694" spans="1:16" x14ac:dyDescent="0.3">
      <c r="A694" s="1">
        <v>144</v>
      </c>
      <c r="B694" s="1">
        <v>4</v>
      </c>
      <c r="C694" s="1" t="s">
        <v>345</v>
      </c>
      <c r="D694" s="1" t="s">
        <v>2337</v>
      </c>
      <c r="E694" s="5">
        <v>40340</v>
      </c>
      <c r="F694" s="1" t="s">
        <v>17</v>
      </c>
      <c r="G694" s="1" t="str">
        <f>IF(B694=0,VLOOKUP(A694,Feuil2!$A$2:$M$1241,11,FALSE)," ")</f>
        <v xml:space="preserve"> </v>
      </c>
      <c r="H694" s="1" t="s">
        <v>16</v>
      </c>
      <c r="I694" s="6" t="str">
        <f>IF(B694=0,VLOOKUP(A694,Feuil2!$A$2:$M$1241,7,FALSE)," ")</f>
        <v xml:space="preserve"> </v>
      </c>
      <c r="J694" s="1" t="str">
        <f>IF(B694=0,VLOOKUP(A694,Feuil2!$A$2:$M$1241,9,FALSE)," ")</f>
        <v xml:space="preserve"> </v>
      </c>
      <c r="K694" s="1" t="str">
        <f>IF(B694=0,VLOOKUP(A694,Feuil2!$A$2:$M$1241,10,FALSE)," ")</f>
        <v xml:space="preserve"> </v>
      </c>
      <c r="L694" s="1"/>
      <c r="M694" s="1"/>
      <c r="N694" s="1"/>
      <c r="O694" s="8" t="str">
        <f>IF(B694=0,VLOOKUP(A694,Feuil2!$A$2:$M$1241,13,FALSE)," ")</f>
        <v xml:space="preserve"> </v>
      </c>
    </row>
    <row r="695" spans="1:16" x14ac:dyDescent="0.3">
      <c r="A695" s="17">
        <v>184</v>
      </c>
      <c r="B695" s="17">
        <v>0</v>
      </c>
      <c r="C695" s="17" t="str">
        <f>IF(B695=0,VLOOKUP(A695,Feuil2!$A$2:$M$1241,2,FALSE)," ")</f>
        <v>MOUSSA</v>
      </c>
      <c r="D695" s="17" t="str">
        <f>IF(B695=0,VLOOKUP(A695,Feuil2!$A$2:$M$1241,3,FALSE)," ")</f>
        <v>MOUNIR</v>
      </c>
      <c r="E695" s="18">
        <f>IF(B695=0,VLOOKUP(A695,Feuil2!$A$2:$M$1241,6,FALSE)," ")</f>
        <v>23498</v>
      </c>
      <c r="F695" s="17" t="str">
        <f>IF(B695=0,VLOOKUP(A695,Feuil2!$A$2:$M$1241,12,FALSE)," ")</f>
        <v>H</v>
      </c>
      <c r="G695" s="17" t="str">
        <f>IF(B695=0,VLOOKUP(A695,Feuil2!$A$2:$M$1241,11,FALSE)," ")</f>
        <v>M</v>
      </c>
      <c r="H695" s="17" t="s">
        <v>16</v>
      </c>
      <c r="I695" s="19">
        <f>IF(B695=0,VLOOKUP(A695,Feuil2!$A$2:$M$1241,7,FALSE)," ")</f>
        <v>2963971</v>
      </c>
      <c r="J695" s="17" t="str">
        <f>IF(B695=0,VLOOKUP(A695,Feuil2!$A$2:$M$1241,9,FALSE)," ")</f>
        <v>127 Rue de la mosquÃ©e</v>
      </c>
      <c r="K695" s="17" t="str">
        <f>IF(B695=0,VLOOKUP(A695,Feuil2!$A$2:$M$1241,10,FALSE)," ")</f>
        <v>Msaken 4070</v>
      </c>
      <c r="L695" s="17">
        <v>4070</v>
      </c>
      <c r="M695" s="17">
        <v>98570481</v>
      </c>
      <c r="N695" s="17"/>
      <c r="O695" s="20" t="str">
        <f>IF(B695=0,VLOOKUP(A695,Feuil2!$A$2:$M$1241,13,FALSE)," ")</f>
        <v>10506040202920578855</v>
      </c>
    </row>
    <row r="696" spans="1:16" x14ac:dyDescent="0.3">
      <c r="A696" s="1">
        <v>184</v>
      </c>
      <c r="B696" s="1">
        <v>1</v>
      </c>
      <c r="C696" s="1" t="s">
        <v>386</v>
      </c>
      <c r="D696" s="1" t="s">
        <v>2175</v>
      </c>
      <c r="E696" s="5">
        <v>25576</v>
      </c>
      <c r="F696" s="1" t="s">
        <v>17</v>
      </c>
      <c r="G696" s="1" t="s">
        <v>15</v>
      </c>
      <c r="H696" s="1" t="s">
        <v>16</v>
      </c>
      <c r="I696" s="6" t="str">
        <f>IF(B696=0,VLOOKUP(A696,Feuil2!$A$2:$M$1241,7,FALSE)," ")</f>
        <v xml:space="preserve"> </v>
      </c>
      <c r="J696" s="1" t="str">
        <f>IF(B696=0,VLOOKUP(A696,Feuil2!$A$2:$M$1241,9,FALSE)," ")</f>
        <v xml:space="preserve"> </v>
      </c>
      <c r="K696" s="1" t="str">
        <f>IF(B696=0,VLOOKUP(A696,Feuil2!$A$2:$M$1241,10,FALSE)," ")</f>
        <v xml:space="preserve"> </v>
      </c>
      <c r="L696" s="1"/>
      <c r="M696" s="1"/>
      <c r="N696" s="1"/>
      <c r="O696" s="8" t="str">
        <f>IF(B696=0,VLOOKUP(A696,Feuil2!$A$2:$M$1241,13,FALSE)," ")</f>
        <v xml:space="preserve"> </v>
      </c>
    </row>
    <row r="697" spans="1:16" x14ac:dyDescent="0.3">
      <c r="A697" s="17">
        <v>185</v>
      </c>
      <c r="B697" s="17">
        <v>0</v>
      </c>
      <c r="C697" s="17" t="str">
        <f>IF(B697=0,VLOOKUP(A697,Feuil2!$A$2:$M$1241,2,FALSE)," ")</f>
        <v>MAHJOUB NOUIR</v>
      </c>
      <c r="D697" s="17" t="str">
        <f>IF(B697=0,VLOOKUP(A697,Feuil2!$A$2:$M$1241,3,FALSE)," ")</f>
        <v>MONCEF</v>
      </c>
      <c r="E697" s="18">
        <f>IF(B697=0,VLOOKUP(A697,Feuil2!$A$2:$M$1241,6,FALSE)," ")</f>
        <v>23612</v>
      </c>
      <c r="F697" s="17" t="str">
        <f>IF(B697=0,VLOOKUP(A697,Feuil2!$A$2:$M$1241,12,FALSE)," ")</f>
        <v>H</v>
      </c>
      <c r="G697" s="17" t="str">
        <f>IF(B697=0,VLOOKUP(A697,Feuil2!$A$2:$M$1241,11,FALSE)," ")</f>
        <v>M</v>
      </c>
      <c r="H697" s="17" t="s">
        <v>16</v>
      </c>
      <c r="I697" s="19">
        <f>IF(B697=0,VLOOKUP(A697,Feuil2!$A$2:$M$1241,7,FALSE)," ")</f>
        <v>2959720</v>
      </c>
      <c r="J697" s="17" t="str">
        <f>IF(B697=0,VLOOKUP(A697,Feuil2!$A$2:$M$1241,9,FALSE)," ")</f>
        <v>37 rue Ibn Rochd</v>
      </c>
      <c r="K697" s="17" t="str">
        <f>IF(B697=0,VLOOKUP(A697,Feuil2!$A$2:$M$1241,10,FALSE)," ")</f>
        <v>Msaken 4070</v>
      </c>
      <c r="L697" s="17">
        <v>4070</v>
      </c>
      <c r="M697" s="17">
        <v>26836854</v>
      </c>
      <c r="N697" s="17"/>
      <c r="O697" s="20" t="str">
        <f>IF(B697=0,VLOOKUP(A697,Feuil2!$A$2:$M$1241,13,FALSE)," ")</f>
        <v>03508056010100247580</v>
      </c>
    </row>
    <row r="698" spans="1:16" x14ac:dyDescent="0.3">
      <c r="A698" s="1">
        <v>185</v>
      </c>
      <c r="B698" s="1">
        <v>1</v>
      </c>
      <c r="C698" s="1" t="s">
        <v>2575</v>
      </c>
      <c r="D698" s="1" t="s">
        <v>1049</v>
      </c>
      <c r="E698" s="5">
        <v>26829</v>
      </c>
      <c r="F698" s="1" t="s">
        <v>17</v>
      </c>
      <c r="G698" s="1" t="s">
        <v>15</v>
      </c>
      <c r="H698" s="1" t="s">
        <v>16</v>
      </c>
      <c r="I698" s="6" t="str">
        <f>IF(B698=0,VLOOKUP(A698,Feuil2!$A$2:$M$1241,7,FALSE)," ")</f>
        <v xml:space="preserve"> </v>
      </c>
      <c r="J698" s="1" t="str">
        <f>IF(B698=0,VLOOKUP(A698,Feuil2!$A$2:$M$1241,9,FALSE)," ")</f>
        <v xml:space="preserve"> </v>
      </c>
      <c r="K698" s="1" t="str">
        <f>IF(B698=0,VLOOKUP(A698,Feuil2!$A$2:$M$1241,10,FALSE)," ")</f>
        <v xml:space="preserve"> </v>
      </c>
      <c r="L698" s="1"/>
      <c r="M698" s="1"/>
      <c r="N698" s="1"/>
      <c r="O698" s="8" t="str">
        <f>IF(B698=0,VLOOKUP(A698,Feuil2!$A$2:$M$1241,13,FALSE)," ")</f>
        <v xml:space="preserve"> </v>
      </c>
    </row>
    <row r="699" spans="1:16" x14ac:dyDescent="0.3">
      <c r="A699" s="1">
        <v>185</v>
      </c>
      <c r="B699" s="1">
        <v>2</v>
      </c>
      <c r="C699" s="1" t="s">
        <v>695</v>
      </c>
      <c r="D699" s="1" t="s">
        <v>2347</v>
      </c>
      <c r="E699" s="5">
        <v>37775</v>
      </c>
      <c r="F699" s="1" t="s">
        <v>506</v>
      </c>
      <c r="G699" s="1" t="str">
        <f>IF(B699=0,VLOOKUP(A699,Feuil2!$A$2:$M$1241,11,FALSE)," ")</f>
        <v xml:space="preserve"> </v>
      </c>
      <c r="H699" s="1" t="s">
        <v>16</v>
      </c>
      <c r="I699" s="6" t="str">
        <f>IF(B699=0,VLOOKUP(A699,Feuil2!$A$2:$M$1241,7,FALSE)," ")</f>
        <v xml:space="preserve"> </v>
      </c>
      <c r="J699" s="1" t="str">
        <f>IF(B699=0,VLOOKUP(A699,Feuil2!$A$2:$M$1241,9,FALSE)," ")</f>
        <v xml:space="preserve"> </v>
      </c>
      <c r="K699" s="1" t="str">
        <f>IF(B699=0,VLOOKUP(A699,Feuil2!$A$2:$M$1241,10,FALSE)," ")</f>
        <v xml:space="preserve"> </v>
      </c>
      <c r="L699" s="1"/>
      <c r="M699" s="1"/>
      <c r="N699" s="1"/>
      <c r="O699" s="8" t="str">
        <f>IF(B699=0,VLOOKUP(A699,Feuil2!$A$2:$M$1241,13,FALSE)," ")</f>
        <v xml:space="preserve"> </v>
      </c>
    </row>
    <row r="700" spans="1:16" x14ac:dyDescent="0.3">
      <c r="A700" s="17">
        <v>247</v>
      </c>
      <c r="B700" s="17">
        <v>0</v>
      </c>
      <c r="C700" s="17" t="str">
        <f>IF(B700=0,VLOOKUP(A700,Feuil2!$A$2:$M$1241,2,FALSE)," ")</f>
        <v>BOUZAMMOUCHA</v>
      </c>
      <c r="D700" s="17" t="str">
        <f>IF(B700=0,VLOOKUP(A700,Feuil2!$A$2:$M$1241,3,FALSE)," ")</f>
        <v>MOURAD</v>
      </c>
      <c r="E700" s="18">
        <f>IF(B700=0,VLOOKUP(A700,Feuil2!$A$2:$M$1241,6,FALSE)," ")</f>
        <v>24163</v>
      </c>
      <c r="F700" s="17" t="str">
        <f>IF(B700=0,VLOOKUP(A700,Feuil2!$A$2:$M$1241,12,FALSE)," ")</f>
        <v>H</v>
      </c>
      <c r="G700" s="17" t="str">
        <f>IF(B700=0,VLOOKUP(A700,Feuil2!$A$2:$M$1241,11,FALSE)," ")</f>
        <v>M</v>
      </c>
      <c r="H700" s="17" t="s">
        <v>16</v>
      </c>
      <c r="I700" s="19">
        <f>IF(B700=0,VLOOKUP(A700,Feuil2!$A$2:$M$1241,7,FALSE)," ")</f>
        <v>2980121</v>
      </c>
      <c r="J700" s="17" t="str">
        <f>IF(B700=0,VLOOKUP(A700,Feuil2!$A$2:$M$1241,9,FALSE)," ")</f>
        <v>84 Rue Fadhel Ben Achour</v>
      </c>
      <c r="K700" s="17" t="str">
        <f>IF(B700=0,VLOOKUP(A700,Feuil2!$A$2:$M$1241,10,FALSE)," ")</f>
        <v>Msaken 4070</v>
      </c>
      <c r="L700" s="17">
        <v>4070</v>
      </c>
      <c r="M700" s="17">
        <v>99772549</v>
      </c>
      <c r="N700" s="17"/>
      <c r="O700" s="20" t="str">
        <f>IF(B700=0,VLOOKUP(A700,Feuil2!$A$2:$M$1241,13,FALSE)," ")</f>
        <v>25018000000016670586</v>
      </c>
    </row>
    <row r="701" spans="1:16" x14ac:dyDescent="0.3">
      <c r="A701" s="1">
        <v>247</v>
      </c>
      <c r="B701" s="1">
        <v>1</v>
      </c>
      <c r="C701" s="1" t="s">
        <v>2510</v>
      </c>
      <c r="D701" s="1" t="s">
        <v>2576</v>
      </c>
      <c r="E701" s="5">
        <v>27757</v>
      </c>
      <c r="F701" s="1" t="s">
        <v>17</v>
      </c>
      <c r="G701" s="1" t="s">
        <v>15</v>
      </c>
      <c r="H701" s="1" t="s">
        <v>16</v>
      </c>
      <c r="I701" s="6" t="str">
        <f>IF(B701=0,VLOOKUP(A701,Feuil2!$A$2:$M$1241,7,FALSE)," ")</f>
        <v xml:space="preserve"> </v>
      </c>
      <c r="J701" s="1" t="str">
        <f>IF(B701=0,VLOOKUP(A701,Feuil2!$A$2:$M$1241,9,FALSE)," ")</f>
        <v xml:space="preserve"> </v>
      </c>
      <c r="K701" s="1" t="str">
        <f>IF(B701=0,VLOOKUP(A701,Feuil2!$A$2:$M$1241,10,FALSE)," ")</f>
        <v xml:space="preserve"> </v>
      </c>
      <c r="L701" s="1"/>
      <c r="M701" s="1"/>
      <c r="N701" s="1"/>
      <c r="O701" s="8" t="str">
        <f>IF(B701=0,VLOOKUP(A701,Feuil2!$A$2:$M$1241,13,FALSE)," ")</f>
        <v xml:space="preserve"> </v>
      </c>
    </row>
    <row r="702" spans="1:16" x14ac:dyDescent="0.3">
      <c r="A702" s="1">
        <v>247</v>
      </c>
      <c r="B702" s="1">
        <v>2</v>
      </c>
      <c r="C702" s="1" t="s">
        <v>762</v>
      </c>
      <c r="D702" s="1" t="s">
        <v>2577</v>
      </c>
      <c r="E702" s="5">
        <v>35249</v>
      </c>
      <c r="F702" s="1" t="s">
        <v>506</v>
      </c>
      <c r="G702" s="1" t="str">
        <f>IF(B702=0,VLOOKUP(A702,Feuil2!$A$2:$M$1241,11,FALSE)," ")</f>
        <v xml:space="preserve"> </v>
      </c>
      <c r="H702" s="1" t="s">
        <v>16</v>
      </c>
      <c r="I702" s="6" t="str">
        <f>IF(B702=0,VLOOKUP(A702,Feuil2!$A$2:$M$1241,7,FALSE)," ")</f>
        <v xml:space="preserve"> </v>
      </c>
      <c r="J702" s="1" t="str">
        <f>IF(B702=0,VLOOKUP(A702,Feuil2!$A$2:$M$1241,9,FALSE)," ")</f>
        <v xml:space="preserve"> </v>
      </c>
      <c r="K702" s="1" t="str">
        <f>IF(B702=0,VLOOKUP(A702,Feuil2!$A$2:$M$1241,10,FALSE)," ")</f>
        <v xml:space="preserve"> </v>
      </c>
      <c r="L702" s="1"/>
      <c r="M702" s="1"/>
      <c r="N702" s="1"/>
      <c r="O702" s="8" t="str">
        <f>IF(B702=0,VLOOKUP(A702,Feuil2!$A$2:$M$1241,13,FALSE)," ")</f>
        <v xml:space="preserve"> </v>
      </c>
    </row>
    <row r="703" spans="1:16" x14ac:dyDescent="0.3">
      <c r="A703" s="1">
        <v>247</v>
      </c>
      <c r="B703" s="1">
        <v>3</v>
      </c>
      <c r="C703" s="1" t="s">
        <v>762</v>
      </c>
      <c r="D703" s="1" t="s">
        <v>2578</v>
      </c>
      <c r="E703" s="5">
        <v>36156</v>
      </c>
      <c r="F703" s="1" t="s">
        <v>506</v>
      </c>
      <c r="G703" s="1" t="str">
        <f>IF(B703=0,VLOOKUP(A703,Feuil2!$A$2:$M$1241,11,FALSE)," ")</f>
        <v xml:space="preserve"> </v>
      </c>
      <c r="H703" s="1" t="s">
        <v>16</v>
      </c>
      <c r="I703" s="6" t="str">
        <f>IF(B703=0,VLOOKUP(A703,Feuil2!$A$2:$M$1241,7,FALSE)," ")</f>
        <v xml:space="preserve"> </v>
      </c>
      <c r="J703" s="1" t="str">
        <f>IF(B703=0,VLOOKUP(A703,Feuil2!$A$2:$M$1241,9,FALSE)," ")</f>
        <v xml:space="preserve"> </v>
      </c>
      <c r="K703" s="1" t="str">
        <f>IF(B703=0,VLOOKUP(A703,Feuil2!$A$2:$M$1241,10,FALSE)," ")</f>
        <v xml:space="preserve"> </v>
      </c>
      <c r="L703" s="1"/>
      <c r="M703" s="1"/>
      <c r="N703" s="1"/>
      <c r="O703" s="8" t="str">
        <f>IF(B703=0,VLOOKUP(A703,Feuil2!$A$2:$M$1241,13,FALSE)," ")</f>
        <v xml:space="preserve"> </v>
      </c>
    </row>
    <row r="704" spans="1:16" x14ac:dyDescent="0.3">
      <c r="A704" s="1">
        <v>247</v>
      </c>
      <c r="B704" s="1">
        <v>4</v>
      </c>
      <c r="C704" s="1" t="s">
        <v>762</v>
      </c>
      <c r="D704" s="1" t="s">
        <v>2579</v>
      </c>
      <c r="E704" s="5">
        <v>36623</v>
      </c>
      <c r="F704" s="1" t="s">
        <v>17</v>
      </c>
      <c r="G704" s="1" t="str">
        <f>IF(B704=0,VLOOKUP(A704,Feuil2!$A$2:$M$1241,11,FALSE)," ")</f>
        <v xml:space="preserve"> </v>
      </c>
      <c r="H704" s="1" t="s">
        <v>16</v>
      </c>
      <c r="I704" s="6" t="str">
        <f>IF(B704=0,VLOOKUP(A704,Feuil2!$A$2:$M$1241,7,FALSE)," ")</f>
        <v xml:space="preserve"> </v>
      </c>
      <c r="J704" s="1" t="str">
        <f>IF(B704=0,VLOOKUP(A704,Feuil2!$A$2:$M$1241,9,FALSE)," ")</f>
        <v xml:space="preserve"> </v>
      </c>
      <c r="K704" s="1" t="str">
        <f>IF(B704=0,VLOOKUP(A704,Feuil2!$A$2:$M$1241,10,FALSE)," ")</f>
        <v xml:space="preserve"> </v>
      </c>
      <c r="L704" s="1"/>
      <c r="M704" s="1"/>
      <c r="N704" s="1"/>
      <c r="O704" s="8" t="str">
        <f>IF(B704=0,VLOOKUP(A704,Feuil2!$A$2:$M$1241,13,FALSE)," ")</f>
        <v xml:space="preserve"> </v>
      </c>
    </row>
    <row r="705" spans="1:16" x14ac:dyDescent="0.3">
      <c r="A705" s="1">
        <v>247</v>
      </c>
      <c r="B705" s="1">
        <v>5</v>
      </c>
      <c r="C705" s="1" t="s">
        <v>762</v>
      </c>
      <c r="D705" s="1" t="s">
        <v>2344</v>
      </c>
      <c r="E705" s="5">
        <v>37972</v>
      </c>
      <c r="F705" s="1" t="s">
        <v>17</v>
      </c>
      <c r="G705" s="1" t="str">
        <f>IF(B705=0,VLOOKUP(A705,Feuil2!$A$2:$M$1241,11,FALSE)," ")</f>
        <v xml:space="preserve"> </v>
      </c>
      <c r="H705" s="1" t="s">
        <v>16</v>
      </c>
      <c r="I705" s="6" t="str">
        <f>IF(B705=0,VLOOKUP(A705,Feuil2!$A$2:$M$1241,7,FALSE)," ")</f>
        <v xml:space="preserve"> </v>
      </c>
      <c r="J705" s="1" t="str">
        <f>IF(B705=0,VLOOKUP(A705,Feuil2!$A$2:$M$1241,9,FALSE)," ")</f>
        <v xml:space="preserve"> </v>
      </c>
      <c r="K705" s="1" t="str">
        <f>IF(B705=0,VLOOKUP(A705,Feuil2!$A$2:$M$1241,10,FALSE)," ")</f>
        <v xml:space="preserve"> </v>
      </c>
      <c r="L705" s="1"/>
      <c r="M705" s="1"/>
      <c r="N705" s="1"/>
      <c r="O705" s="8" t="str">
        <f>IF(B705=0,VLOOKUP(A705,Feuil2!$A$2:$M$1241,13,FALSE)," ")</f>
        <v xml:space="preserve"> </v>
      </c>
    </row>
    <row r="706" spans="1:16" x14ac:dyDescent="0.3">
      <c r="A706" s="1">
        <v>247</v>
      </c>
      <c r="B706" s="1">
        <v>6</v>
      </c>
      <c r="C706" s="1" t="s">
        <v>762</v>
      </c>
      <c r="D706" s="1" t="s">
        <v>2385</v>
      </c>
      <c r="E706" s="5">
        <v>38578</v>
      </c>
      <c r="F706" s="1" t="s">
        <v>17</v>
      </c>
      <c r="G706" s="1" t="str">
        <f>IF(B706=0,VLOOKUP(A706,Feuil2!$A$2:$M$1241,11,FALSE)," ")</f>
        <v xml:space="preserve"> </v>
      </c>
      <c r="H706" s="1" t="s">
        <v>16</v>
      </c>
      <c r="I706" s="6" t="str">
        <f>IF(B706=0,VLOOKUP(A706,Feuil2!$A$2:$M$1241,7,FALSE)," ")</f>
        <v xml:space="preserve"> </v>
      </c>
      <c r="J706" s="1" t="str">
        <f>IF(B706=0,VLOOKUP(A706,Feuil2!$A$2:$M$1241,9,FALSE)," ")</f>
        <v xml:space="preserve"> </v>
      </c>
      <c r="K706" s="1" t="str">
        <f>IF(B706=0,VLOOKUP(A706,Feuil2!$A$2:$M$1241,10,FALSE)," ")</f>
        <v xml:space="preserve"> </v>
      </c>
      <c r="L706" s="1"/>
      <c r="M706" s="1"/>
      <c r="N706" s="1"/>
      <c r="O706" s="8" t="str">
        <f>IF(B706=0,VLOOKUP(A706,Feuil2!$A$2:$M$1241,13,FALSE)," ")</f>
        <v xml:space="preserve"> </v>
      </c>
    </row>
    <row r="707" spans="1:16" x14ac:dyDescent="0.3">
      <c r="A707" s="17">
        <v>262</v>
      </c>
      <c r="B707" s="17">
        <v>0</v>
      </c>
      <c r="C707" s="17" t="str">
        <f>IF(B707=0,VLOOKUP(A707,Feuil2!$A$2:$M$1241,2,FALSE)," ")</f>
        <v>BEN HAMMOUDA</v>
      </c>
      <c r="D707" s="17" t="str">
        <f>IF(B707=0,VLOOKUP(A707,Feuil2!$A$2:$M$1241,3,FALSE)," ")</f>
        <v>TAOUFIK</v>
      </c>
      <c r="E707" s="18">
        <f>IF(B707=0,VLOOKUP(A707,Feuil2!$A$2:$M$1241,6,FALSE)," ")</f>
        <v>23531</v>
      </c>
      <c r="F707" s="17" t="str">
        <f>IF(B707=0,VLOOKUP(A707,Feuil2!$A$2:$M$1241,12,FALSE)," ")</f>
        <v>H</v>
      </c>
      <c r="G707" s="17" t="str">
        <f>IF(B707=0,VLOOKUP(A707,Feuil2!$A$2:$M$1241,11,FALSE)," ")</f>
        <v>M</v>
      </c>
      <c r="H707" s="17" t="s">
        <v>16</v>
      </c>
      <c r="I707" s="19">
        <f>IF(B707=0,VLOOKUP(A707,Feuil2!$A$2:$M$1241,7,FALSE)," ")</f>
        <v>2949348</v>
      </c>
      <c r="J707" s="17" t="str">
        <f>IF(B707=0,VLOOKUP(A707,Feuil2!$A$2:$M$1241,9,FALSE)," ")</f>
        <v>54 Rue Khaled Ibn El Walid</v>
      </c>
      <c r="K707" s="17" t="str">
        <f>IF(B707=0,VLOOKUP(A707,Feuil2!$A$2:$M$1241,10,FALSE)," ")</f>
        <v>Msaken 4070</v>
      </c>
      <c r="L707" s="17">
        <v>4070</v>
      </c>
      <c r="M707" s="17">
        <v>54650897</v>
      </c>
      <c r="N707" s="17"/>
      <c r="O707" s="20" t="str">
        <f>IF(B707=0,VLOOKUP(A707,Feuil2!$A$2:$M$1241,13,FALSE)," ")</f>
        <v>03508056010100088985</v>
      </c>
    </row>
    <row r="708" spans="1:16" x14ac:dyDescent="0.3">
      <c r="A708" s="1">
        <v>262</v>
      </c>
      <c r="B708" s="1">
        <v>1</v>
      </c>
      <c r="C708" s="1" t="str">
        <f>IF(B708=0,VLOOKUP(A708,Feuil2!$A$2:$M$1241,2,FALSE)," ")</f>
        <v xml:space="preserve"> </v>
      </c>
      <c r="D708" s="1" t="s">
        <v>2175</v>
      </c>
      <c r="E708" s="5">
        <v>26972</v>
      </c>
      <c r="F708" s="1" t="s">
        <v>17</v>
      </c>
      <c r="G708" s="1" t="s">
        <v>15</v>
      </c>
      <c r="H708" s="1" t="s">
        <v>16</v>
      </c>
      <c r="I708" s="6" t="str">
        <f>IF(B708=0,VLOOKUP(A708,Feuil2!$A$2:$M$1241,7,FALSE)," ")</f>
        <v xml:space="preserve"> </v>
      </c>
      <c r="J708" s="1" t="str">
        <f>IF(B708=0,VLOOKUP(A708,Feuil2!$A$2:$M$1241,9,FALSE)," ")</f>
        <v xml:space="preserve"> </v>
      </c>
      <c r="K708" s="1" t="str">
        <f>IF(B708=0,VLOOKUP(A708,Feuil2!$A$2:$M$1241,10,FALSE)," ")</f>
        <v xml:space="preserve"> </v>
      </c>
      <c r="L708" s="1"/>
      <c r="M708" s="1"/>
      <c r="N708" s="1"/>
      <c r="O708" s="8" t="str">
        <f>IF(B708=0,VLOOKUP(A708,Feuil2!$A$2:$M$1241,13,FALSE)," ")</f>
        <v xml:space="preserve"> </v>
      </c>
      <c r="P708" t="s">
        <v>2805</v>
      </c>
    </row>
    <row r="709" spans="1:16" x14ac:dyDescent="0.3">
      <c r="A709" s="1">
        <v>262</v>
      </c>
      <c r="B709" s="1">
        <v>2</v>
      </c>
      <c r="C709" s="1" t="s">
        <v>563</v>
      </c>
      <c r="D709" s="1" t="s">
        <v>2443</v>
      </c>
      <c r="E709" s="5">
        <v>39783</v>
      </c>
      <c r="F709" s="1" t="s">
        <v>17</v>
      </c>
      <c r="G709" s="1" t="str">
        <f>IF(B709=0,VLOOKUP(A709,Feuil2!$A$2:$M$1241,11,FALSE)," ")</f>
        <v xml:space="preserve"> </v>
      </c>
      <c r="H709" s="1" t="s">
        <v>16</v>
      </c>
      <c r="I709" s="6" t="str">
        <f>IF(B709=0,VLOOKUP(A709,Feuil2!$A$2:$M$1241,7,FALSE)," ")</f>
        <v xml:space="preserve"> </v>
      </c>
      <c r="J709" s="1" t="str">
        <f>IF(B709=0,VLOOKUP(A709,Feuil2!$A$2:$M$1241,9,FALSE)," ")</f>
        <v xml:space="preserve"> </v>
      </c>
      <c r="K709" s="1" t="str">
        <f>IF(B709=0,VLOOKUP(A709,Feuil2!$A$2:$M$1241,10,FALSE)," ")</f>
        <v xml:space="preserve"> </v>
      </c>
      <c r="L709" s="1"/>
      <c r="M709" s="1"/>
      <c r="N709" s="1"/>
      <c r="O709" s="8" t="str">
        <f>IF(B709=0,VLOOKUP(A709,Feuil2!$A$2:$M$1241,13,FALSE)," ")</f>
        <v xml:space="preserve"> </v>
      </c>
    </row>
    <row r="710" spans="1:16" x14ac:dyDescent="0.3">
      <c r="A710" s="1">
        <v>262</v>
      </c>
      <c r="B710" s="1">
        <v>3</v>
      </c>
      <c r="C710" s="1" t="s">
        <v>563</v>
      </c>
      <c r="D710" s="1" t="s">
        <v>2388</v>
      </c>
      <c r="E710" s="5">
        <v>40415</v>
      </c>
      <c r="F710" s="1" t="s">
        <v>506</v>
      </c>
      <c r="G710" s="1" t="str">
        <f>IF(B710=0,VLOOKUP(A710,Feuil2!$A$2:$M$1241,11,FALSE)," ")</f>
        <v xml:space="preserve"> </v>
      </c>
      <c r="H710" s="1" t="s">
        <v>16</v>
      </c>
      <c r="I710" s="6" t="str">
        <f>IF(B710=0,VLOOKUP(A710,Feuil2!$A$2:$M$1241,7,FALSE)," ")</f>
        <v xml:space="preserve"> </v>
      </c>
      <c r="J710" s="1" t="str">
        <f>IF(B710=0,VLOOKUP(A710,Feuil2!$A$2:$M$1241,9,FALSE)," ")</f>
        <v xml:space="preserve"> </v>
      </c>
      <c r="K710" s="1" t="str">
        <f>IF(B710=0,VLOOKUP(A710,Feuil2!$A$2:$M$1241,10,FALSE)," ")</f>
        <v xml:space="preserve"> </v>
      </c>
      <c r="L710" s="1"/>
      <c r="M710" s="1"/>
      <c r="N710" s="1"/>
      <c r="O710" s="8" t="str">
        <f>IF(B710=0,VLOOKUP(A710,Feuil2!$A$2:$M$1241,13,FALSE)," ")</f>
        <v xml:space="preserve"> </v>
      </c>
    </row>
    <row r="711" spans="1:16" x14ac:dyDescent="0.3">
      <c r="A711" s="17">
        <v>356</v>
      </c>
      <c r="B711" s="17">
        <v>0</v>
      </c>
      <c r="C711" s="17" t="str">
        <f>IF(B711=0,VLOOKUP(A711,Feuil2!$A$2:$M$1241,2,FALSE)," ")</f>
        <v>BAYA</v>
      </c>
      <c r="D711" s="17" t="str">
        <f>IF(B711=0,VLOOKUP(A711,Feuil2!$A$2:$M$1241,3,FALSE)," ")</f>
        <v>TAOUFIK</v>
      </c>
      <c r="E711" s="18">
        <f>IF(B711=0,VLOOKUP(A711,Feuil2!$A$2:$M$1241,6,FALSE)," ")</f>
        <v>23916</v>
      </c>
      <c r="F711" s="17" t="str">
        <f>IF(B711=0,VLOOKUP(A711,Feuil2!$A$2:$M$1241,12,FALSE)," ")</f>
        <v>H</v>
      </c>
      <c r="G711" s="17" t="str">
        <f>IF(B711=0,VLOOKUP(A711,Feuil2!$A$2:$M$1241,11,FALSE)," ")</f>
        <v>M</v>
      </c>
      <c r="H711" s="17" t="s">
        <v>16</v>
      </c>
      <c r="I711" s="19">
        <f>IF(B711=0,VLOOKUP(A711,Feuil2!$A$2:$M$1241,7,FALSE)," ")</f>
        <v>2972809</v>
      </c>
      <c r="J711" s="17" t="str">
        <f>IF(B711=0,VLOOKUP(A711,Feuil2!$A$2:$M$1241,9,FALSE)," ")</f>
        <v>Rue Sidi Ben Hassen</v>
      </c>
      <c r="K711" s="17" t="str">
        <f>IF(B711=0,VLOOKUP(A711,Feuil2!$A$2:$M$1241,10,FALSE)," ")</f>
        <v>Msaken 4070</v>
      </c>
      <c r="L711" s="17">
        <v>4070</v>
      </c>
      <c r="M711" s="17">
        <v>51733121</v>
      </c>
      <c r="N711" s="17"/>
      <c r="O711" s="20" t="str">
        <f>IF(B711=0,VLOOKUP(A711,Feuil2!$A$2:$M$1241,13,FALSE)," ")</f>
        <v>04204067404000631620</v>
      </c>
    </row>
    <row r="712" spans="1:16" x14ac:dyDescent="0.3">
      <c r="A712" s="1">
        <v>356</v>
      </c>
      <c r="B712" s="1">
        <v>1</v>
      </c>
      <c r="C712" s="1" t="s">
        <v>2426</v>
      </c>
      <c r="D712" s="1" t="s">
        <v>1361</v>
      </c>
      <c r="E712" s="5">
        <v>25912</v>
      </c>
      <c r="F712" s="1" t="s">
        <v>17</v>
      </c>
      <c r="G712" s="1" t="s">
        <v>15</v>
      </c>
      <c r="H712" s="1" t="s">
        <v>16</v>
      </c>
      <c r="I712" s="6" t="str">
        <f>IF(B712=0,VLOOKUP(A712,Feuil2!$A$2:$M$1241,7,FALSE)," ")</f>
        <v xml:space="preserve"> </v>
      </c>
      <c r="J712" s="1" t="str">
        <f>IF(B712=0,VLOOKUP(A712,Feuil2!$A$2:$M$1241,9,FALSE)," ")</f>
        <v xml:space="preserve"> </v>
      </c>
      <c r="K712" s="1" t="str">
        <f>IF(B712=0,VLOOKUP(A712,Feuil2!$A$2:$M$1241,10,FALSE)," ")</f>
        <v xml:space="preserve"> </v>
      </c>
      <c r="L712" s="1"/>
      <c r="M712" s="1"/>
      <c r="N712" s="1"/>
      <c r="O712" s="8" t="str">
        <f>IF(B712=0,VLOOKUP(A712,Feuil2!$A$2:$M$1241,13,FALSE)," ")</f>
        <v xml:space="preserve"> </v>
      </c>
    </row>
    <row r="713" spans="1:16" x14ac:dyDescent="0.3">
      <c r="A713" s="1">
        <v>356</v>
      </c>
      <c r="B713" s="1">
        <v>2</v>
      </c>
      <c r="C713" s="1" t="s">
        <v>29</v>
      </c>
      <c r="D713" s="1" t="s">
        <v>54</v>
      </c>
      <c r="E713" s="5">
        <v>36810</v>
      </c>
      <c r="F713" s="1" t="s">
        <v>17</v>
      </c>
      <c r="G713" s="1" t="str">
        <f>IF(B713=0,VLOOKUP(A713,Feuil2!$A$2:$M$1241,11,FALSE)," ")</f>
        <v xml:space="preserve"> </v>
      </c>
      <c r="H713" s="1" t="s">
        <v>16</v>
      </c>
      <c r="I713" s="6" t="str">
        <f>IF(B713=0,VLOOKUP(A713,Feuil2!$A$2:$M$1241,7,FALSE)," ")</f>
        <v xml:space="preserve"> </v>
      </c>
      <c r="J713" s="1" t="str">
        <f>IF(B713=0,VLOOKUP(A713,Feuil2!$A$2:$M$1241,9,FALSE)," ")</f>
        <v xml:space="preserve"> </v>
      </c>
      <c r="K713" s="1" t="str">
        <f>IF(B713=0,VLOOKUP(A713,Feuil2!$A$2:$M$1241,10,FALSE)," ")</f>
        <v xml:space="preserve"> </v>
      </c>
      <c r="L713" s="1"/>
      <c r="M713" s="1"/>
      <c r="N713" s="1"/>
      <c r="O713" s="8" t="str">
        <f>IF(B713=0,VLOOKUP(A713,Feuil2!$A$2:$M$1241,13,FALSE)," ")</f>
        <v xml:space="preserve"> </v>
      </c>
    </row>
    <row r="714" spans="1:16" x14ac:dyDescent="0.3">
      <c r="A714" s="1">
        <v>356</v>
      </c>
      <c r="B714" s="1">
        <v>3</v>
      </c>
      <c r="C714" s="1" t="s">
        <v>29</v>
      </c>
      <c r="D714" s="1" t="s">
        <v>2094</v>
      </c>
      <c r="E714" s="5">
        <v>37751</v>
      </c>
      <c r="F714" s="1" t="s">
        <v>506</v>
      </c>
      <c r="G714" s="1" t="str">
        <f>IF(B714=0,VLOOKUP(A714,Feuil2!$A$2:$M$1241,11,FALSE)," ")</f>
        <v xml:space="preserve"> </v>
      </c>
      <c r="H714" s="1" t="s">
        <v>16</v>
      </c>
      <c r="I714" s="6" t="str">
        <f>IF(B714=0,VLOOKUP(A714,Feuil2!$A$2:$M$1241,7,FALSE)," ")</f>
        <v xml:space="preserve"> </v>
      </c>
      <c r="J714" s="1" t="str">
        <f>IF(B714=0,VLOOKUP(A714,Feuil2!$A$2:$M$1241,9,FALSE)," ")</f>
        <v xml:space="preserve"> </v>
      </c>
      <c r="K714" s="1" t="str">
        <f>IF(B714=0,VLOOKUP(A714,Feuil2!$A$2:$M$1241,10,FALSE)," ")</f>
        <v xml:space="preserve"> </v>
      </c>
      <c r="L714" s="1"/>
      <c r="M714" s="1"/>
      <c r="N714" s="1"/>
      <c r="O714" s="8" t="str">
        <f>IF(B714=0,VLOOKUP(A714,Feuil2!$A$2:$M$1241,13,FALSE)," ")</f>
        <v xml:space="preserve"> </v>
      </c>
    </row>
    <row r="715" spans="1:16" x14ac:dyDescent="0.3">
      <c r="A715" s="17">
        <v>357</v>
      </c>
      <c r="B715" s="17">
        <v>0</v>
      </c>
      <c r="C715" s="17" t="str">
        <f>IF(B715=0,VLOOKUP(A715,Feuil2!$A$2:$M$1241,2,FALSE)," ")</f>
        <v>BOUGADDOUHA</v>
      </c>
      <c r="D715" s="17" t="str">
        <f>IF(B715=0,VLOOKUP(A715,Feuil2!$A$2:$M$1241,3,FALSE)," ")</f>
        <v>HABIB</v>
      </c>
      <c r="E715" s="18">
        <f>IF(B715=0,VLOOKUP(A715,Feuil2!$A$2:$M$1241,6,FALSE)," ")</f>
        <v>24383</v>
      </c>
      <c r="F715" s="17" t="str">
        <f>IF(B715=0,VLOOKUP(A715,Feuil2!$A$2:$M$1241,12,FALSE)," ")</f>
        <v>H</v>
      </c>
      <c r="G715" s="17" t="str">
        <f>IF(B715=0,VLOOKUP(A715,Feuil2!$A$2:$M$1241,11,FALSE)," ")</f>
        <v>M</v>
      </c>
      <c r="H715" s="17" t="s">
        <v>16</v>
      </c>
      <c r="I715" s="19">
        <f>IF(B715=0,VLOOKUP(A715,Feuil2!$A$2:$M$1241,7,FALSE)," ")</f>
        <v>2974610</v>
      </c>
      <c r="J715" s="17" t="str">
        <f>IF(B715=0,VLOOKUP(A715,Feuil2!$A$2:$M$1241,9,FALSE)," ")</f>
        <v>238 Rue Farhat Hached</v>
      </c>
      <c r="K715" s="17" t="str">
        <f>IF(B715=0,VLOOKUP(A715,Feuil2!$A$2:$M$1241,10,FALSE)," ")</f>
        <v>Msaken 4070</v>
      </c>
      <c r="L715" s="17">
        <v>4070</v>
      </c>
      <c r="M715" s="17">
        <v>98563504</v>
      </c>
      <c r="N715" s="17"/>
      <c r="O715" s="20" t="str">
        <f>IF(B715=0,VLOOKUP(A715,Feuil2!$A$2:$M$1241,13,FALSE)," ")</f>
        <v>25018000000014912267</v>
      </c>
    </row>
    <row r="716" spans="1:16" x14ac:dyDescent="0.3">
      <c r="A716" s="1">
        <v>357</v>
      </c>
      <c r="B716" s="1">
        <v>1</v>
      </c>
      <c r="C716" s="1" t="str">
        <f>IF(B716=0,VLOOKUP(A716,Feuil2!$A$2:$M$1241,2,FALSE)," ")</f>
        <v xml:space="preserve"> </v>
      </c>
      <c r="D716" s="1" t="s">
        <v>1049</v>
      </c>
      <c r="E716" s="5">
        <v>26737</v>
      </c>
      <c r="F716" s="1" t="s">
        <v>17</v>
      </c>
      <c r="G716" s="1" t="s">
        <v>15</v>
      </c>
      <c r="H716" s="1" t="s">
        <v>16</v>
      </c>
      <c r="I716" s="6" t="str">
        <f>IF(B716=0,VLOOKUP(A716,Feuil2!$A$2:$M$1241,7,FALSE)," ")</f>
        <v xml:space="preserve"> </v>
      </c>
      <c r="J716" s="1" t="str">
        <f>IF(B716=0,VLOOKUP(A716,Feuil2!$A$2:$M$1241,9,FALSE)," ")</f>
        <v xml:space="preserve"> </v>
      </c>
      <c r="K716" s="1" t="str">
        <f>IF(B716=0,VLOOKUP(A716,Feuil2!$A$2:$M$1241,10,FALSE)," ")</f>
        <v xml:space="preserve"> </v>
      </c>
      <c r="L716" s="1"/>
      <c r="M716" s="1"/>
      <c r="N716" s="1"/>
      <c r="O716" s="8" t="str">
        <f>IF(B716=0,VLOOKUP(A716,Feuil2!$A$2:$M$1241,13,FALSE)," ")</f>
        <v xml:space="preserve"> </v>
      </c>
    </row>
    <row r="717" spans="1:16" x14ac:dyDescent="0.3">
      <c r="A717" s="1">
        <v>357</v>
      </c>
      <c r="B717" s="1">
        <v>2</v>
      </c>
      <c r="C717" s="1" t="s">
        <v>861</v>
      </c>
      <c r="D717" s="1" t="s">
        <v>2362</v>
      </c>
      <c r="E717" s="5">
        <v>35382</v>
      </c>
      <c r="F717" s="1" t="s">
        <v>17</v>
      </c>
      <c r="G717" s="1" t="str">
        <f>IF(B717=0,VLOOKUP(A717,Feuil2!$A$2:$M$1241,11,FALSE)," ")</f>
        <v xml:space="preserve"> </v>
      </c>
      <c r="H717" s="1" t="s">
        <v>16</v>
      </c>
      <c r="I717" s="6" t="str">
        <f>IF(B717=0,VLOOKUP(A717,Feuil2!$A$2:$M$1241,7,FALSE)," ")</f>
        <v xml:space="preserve"> </v>
      </c>
      <c r="J717" s="1" t="str">
        <f>IF(B717=0,VLOOKUP(A717,Feuil2!$A$2:$M$1241,9,FALSE)," ")</f>
        <v xml:space="preserve"> </v>
      </c>
      <c r="K717" s="1" t="str">
        <f>IF(B717=0,VLOOKUP(A717,Feuil2!$A$2:$M$1241,10,FALSE)," ")</f>
        <v xml:space="preserve"> </v>
      </c>
      <c r="L717" s="1"/>
      <c r="M717" s="1"/>
      <c r="N717" s="1"/>
      <c r="O717" s="8" t="str">
        <f>IF(B717=0,VLOOKUP(A717,Feuil2!$A$2:$M$1241,13,FALSE)," ")</f>
        <v xml:space="preserve"> </v>
      </c>
    </row>
    <row r="718" spans="1:16" x14ac:dyDescent="0.3">
      <c r="A718" s="1">
        <v>357</v>
      </c>
      <c r="B718" s="1">
        <v>3</v>
      </c>
      <c r="C718" s="1" t="s">
        <v>861</v>
      </c>
      <c r="D718" s="1" t="s">
        <v>230</v>
      </c>
      <c r="E718" s="5">
        <v>37711</v>
      </c>
      <c r="F718" s="1" t="s">
        <v>506</v>
      </c>
      <c r="G718" s="1" t="str">
        <f>IF(B718=0,VLOOKUP(A718,Feuil2!$A$2:$M$1241,11,FALSE)," ")</f>
        <v xml:space="preserve"> </v>
      </c>
      <c r="H718" s="1" t="s">
        <v>16</v>
      </c>
      <c r="I718" s="6" t="str">
        <f>IF(B718=0,VLOOKUP(A718,Feuil2!$A$2:$M$1241,7,FALSE)," ")</f>
        <v xml:space="preserve"> </v>
      </c>
      <c r="J718" s="1" t="str">
        <f>IF(B718=0,VLOOKUP(A718,Feuil2!$A$2:$M$1241,9,FALSE)," ")</f>
        <v xml:space="preserve"> </v>
      </c>
      <c r="K718" s="1" t="str">
        <f>IF(B718=0,VLOOKUP(A718,Feuil2!$A$2:$M$1241,10,FALSE)," ")</f>
        <v xml:space="preserve"> </v>
      </c>
      <c r="L718" s="1"/>
      <c r="M718" s="1"/>
      <c r="N718" s="1"/>
      <c r="O718" s="8" t="str">
        <f>IF(B718=0,VLOOKUP(A718,Feuil2!$A$2:$M$1241,13,FALSE)," ")</f>
        <v xml:space="preserve"> </v>
      </c>
    </row>
    <row r="719" spans="1:16" x14ac:dyDescent="0.3">
      <c r="A719" s="1">
        <v>357</v>
      </c>
      <c r="B719" s="1">
        <v>4</v>
      </c>
      <c r="C719" s="1" t="s">
        <v>861</v>
      </c>
      <c r="D719" s="1" t="s">
        <v>2465</v>
      </c>
      <c r="E719" s="5">
        <v>38580</v>
      </c>
      <c r="F719" s="1" t="s">
        <v>506</v>
      </c>
      <c r="G719" s="1" t="str">
        <f>IF(B719=0,VLOOKUP(A719,Feuil2!$A$2:$M$1241,11,FALSE)," ")</f>
        <v xml:space="preserve"> </v>
      </c>
      <c r="H719" s="1" t="s">
        <v>16</v>
      </c>
      <c r="I719" s="6" t="str">
        <f>IF(B719=0,VLOOKUP(A719,Feuil2!$A$2:$M$1241,7,FALSE)," ")</f>
        <v xml:space="preserve"> </v>
      </c>
      <c r="J719" s="1" t="str">
        <f>IF(B719=0,VLOOKUP(A719,Feuil2!$A$2:$M$1241,9,FALSE)," ")</f>
        <v xml:space="preserve"> </v>
      </c>
      <c r="K719" s="1" t="str">
        <f>IF(B719=0,VLOOKUP(A719,Feuil2!$A$2:$M$1241,10,FALSE)," ")</f>
        <v xml:space="preserve"> </v>
      </c>
      <c r="L719" s="1"/>
      <c r="M719" s="1"/>
      <c r="N719" s="1"/>
      <c r="O719" s="8" t="str">
        <f>IF(B719=0,VLOOKUP(A719,Feuil2!$A$2:$M$1241,13,FALSE)," ")</f>
        <v xml:space="preserve"> </v>
      </c>
    </row>
    <row r="720" spans="1:16" x14ac:dyDescent="0.3">
      <c r="A720" s="17">
        <v>361</v>
      </c>
      <c r="B720" s="17">
        <v>0</v>
      </c>
      <c r="C720" s="17" t="str">
        <f>IF(B720=0,VLOOKUP(A720,Feuil2!$A$2:$M$1241,2,FALSE)," ")</f>
        <v>BEN KHELIFA</v>
      </c>
      <c r="D720" s="17" t="str">
        <f>IF(B720=0,VLOOKUP(A720,Feuil2!$A$2:$M$1241,3,FALSE)," ")</f>
        <v>RACHID</v>
      </c>
      <c r="E720" s="18">
        <f>IF(B720=0,VLOOKUP(A720,Feuil2!$A$2:$M$1241,6,FALSE)," ")</f>
        <v>24013</v>
      </c>
      <c r="F720" s="17" t="str">
        <f>IF(B720=0,VLOOKUP(A720,Feuil2!$A$2:$M$1241,12,FALSE)," ")</f>
        <v>H</v>
      </c>
      <c r="G720" s="17" t="str">
        <f>IF(B720=0,VLOOKUP(A720,Feuil2!$A$2:$M$1241,11,FALSE)," ")</f>
        <v>M</v>
      </c>
      <c r="H720" s="17" t="s">
        <v>16</v>
      </c>
      <c r="I720" s="19">
        <f>IF(B720=0,VLOOKUP(A720,Feuil2!$A$2:$M$1241,7,FALSE)," ")</f>
        <v>2986022</v>
      </c>
      <c r="J720" s="17" t="str">
        <f>IF(B720=0,VLOOKUP(A720,Feuil2!$A$2:$M$1241,9,FALSE)," ")</f>
        <v>4025 Sidi El Hani</v>
      </c>
      <c r="K720" s="17" t="str">
        <f>IF(B720=0,VLOOKUP(A720,Feuil2!$A$2:$M$1241,10,FALSE)," ")</f>
        <v>Sidi El HÃ©ni 4025</v>
      </c>
      <c r="L720" s="17"/>
      <c r="M720" s="17">
        <v>98793709</v>
      </c>
      <c r="N720" s="17"/>
      <c r="O720" s="20" t="str">
        <f>IF(B720=0,VLOOKUP(A720,Feuil2!$A$2:$M$1241,13,FALSE)," ")</f>
        <v>04204067404000917964</v>
      </c>
      <c r="P720" t="s">
        <v>2805</v>
      </c>
    </row>
    <row r="721" spans="1:15" x14ac:dyDescent="0.3">
      <c r="A721" s="1">
        <v>361</v>
      </c>
      <c r="B721" s="1">
        <v>1</v>
      </c>
      <c r="C721" s="1" t="s">
        <v>869</v>
      </c>
      <c r="D721" s="1" t="s">
        <v>2580</v>
      </c>
      <c r="E721" s="5">
        <v>27196</v>
      </c>
      <c r="F721" s="1" t="s">
        <v>506</v>
      </c>
      <c r="G721" s="1" t="s">
        <v>15</v>
      </c>
      <c r="H721" s="1" t="s">
        <v>16</v>
      </c>
      <c r="I721" s="6" t="str">
        <f>IF(B721=0,VLOOKUP(A721,Feuil2!$A$2:$M$1241,7,FALSE)," ")</f>
        <v xml:space="preserve"> </v>
      </c>
      <c r="J721" s="1" t="str">
        <f>IF(B721=0,VLOOKUP(A721,Feuil2!$A$2:$M$1241,9,FALSE)," ")</f>
        <v xml:space="preserve"> </v>
      </c>
      <c r="K721" s="1" t="str">
        <f>IF(B721=0,VLOOKUP(A721,Feuil2!$A$2:$M$1241,10,FALSE)," ")</f>
        <v xml:space="preserve"> </v>
      </c>
      <c r="L721" s="1"/>
      <c r="M721" s="1"/>
      <c r="N721" s="1"/>
      <c r="O721" s="8" t="str">
        <f>IF(B721=0,VLOOKUP(A721,Feuil2!$A$2:$M$1241,13,FALSE)," ")</f>
        <v xml:space="preserve"> </v>
      </c>
    </row>
    <row r="722" spans="1:15" x14ac:dyDescent="0.3">
      <c r="A722" s="1">
        <v>361</v>
      </c>
      <c r="B722" s="1">
        <v>2</v>
      </c>
      <c r="C722" s="1" t="s">
        <v>869</v>
      </c>
      <c r="D722" s="1" t="s">
        <v>2446</v>
      </c>
      <c r="E722" s="5">
        <v>36475</v>
      </c>
      <c r="F722" s="1" t="s">
        <v>17</v>
      </c>
      <c r="G722" s="1" t="str">
        <f>IF(B722=0,VLOOKUP(A722,Feuil2!$A$2:$M$1241,11,FALSE)," ")</f>
        <v xml:space="preserve"> </v>
      </c>
      <c r="H722" s="1" t="s">
        <v>16</v>
      </c>
      <c r="I722" s="6" t="str">
        <f>IF(B722=0,VLOOKUP(A722,Feuil2!$A$2:$M$1241,7,FALSE)," ")</f>
        <v xml:space="preserve"> </v>
      </c>
      <c r="J722" s="1" t="str">
        <f>IF(B722=0,VLOOKUP(A722,Feuil2!$A$2:$M$1241,9,FALSE)," ")</f>
        <v xml:space="preserve"> </v>
      </c>
      <c r="K722" s="1" t="str">
        <f>IF(B722=0,VLOOKUP(A722,Feuil2!$A$2:$M$1241,10,FALSE)," ")</f>
        <v xml:space="preserve"> </v>
      </c>
      <c r="L722" s="1"/>
      <c r="M722" s="1"/>
      <c r="N722" s="1"/>
      <c r="O722" s="8" t="str">
        <f>IF(B722=0,VLOOKUP(A722,Feuil2!$A$2:$M$1241,13,FALSE)," ")</f>
        <v xml:space="preserve"> </v>
      </c>
    </row>
    <row r="723" spans="1:15" x14ac:dyDescent="0.3">
      <c r="A723" s="1">
        <v>361</v>
      </c>
      <c r="B723" s="1">
        <v>3</v>
      </c>
      <c r="C723" s="1" t="s">
        <v>869</v>
      </c>
      <c r="D723" s="1" t="s">
        <v>2581</v>
      </c>
      <c r="E723" s="5">
        <v>36998</v>
      </c>
      <c r="F723" s="1" t="s">
        <v>17</v>
      </c>
      <c r="G723" s="1" t="str">
        <f>IF(B723=0,VLOOKUP(A723,Feuil2!$A$2:$M$1241,11,FALSE)," ")</f>
        <v xml:space="preserve"> </v>
      </c>
      <c r="H723" s="1" t="s">
        <v>16</v>
      </c>
      <c r="I723" s="6" t="str">
        <f>IF(B723=0,VLOOKUP(A723,Feuil2!$A$2:$M$1241,7,FALSE)," ")</f>
        <v xml:space="preserve"> </v>
      </c>
      <c r="J723" s="1" t="str">
        <f>IF(B723=0,VLOOKUP(A723,Feuil2!$A$2:$M$1241,9,FALSE)," ")</f>
        <v xml:space="preserve"> </v>
      </c>
      <c r="K723" s="1" t="str">
        <f>IF(B723=0,VLOOKUP(A723,Feuil2!$A$2:$M$1241,10,FALSE)," ")</f>
        <v xml:space="preserve"> </v>
      </c>
      <c r="L723" s="1"/>
      <c r="M723" s="1"/>
      <c r="N723" s="1"/>
      <c r="O723" s="8" t="str">
        <f>IF(B723=0,VLOOKUP(A723,Feuil2!$A$2:$M$1241,13,FALSE)," ")</f>
        <v xml:space="preserve"> </v>
      </c>
    </row>
    <row r="724" spans="1:15" x14ac:dyDescent="0.3">
      <c r="A724" s="1">
        <v>361</v>
      </c>
      <c r="B724" s="1">
        <v>4</v>
      </c>
      <c r="C724" s="1" t="s">
        <v>869</v>
      </c>
      <c r="D724" s="1" t="s">
        <v>2582</v>
      </c>
      <c r="E724" s="5">
        <v>37434</v>
      </c>
      <c r="F724" s="1" t="s">
        <v>17</v>
      </c>
      <c r="G724" s="1" t="str">
        <f>IF(B724=0,VLOOKUP(A724,Feuil2!$A$2:$M$1241,11,FALSE)," ")</f>
        <v xml:space="preserve"> </v>
      </c>
      <c r="H724" s="1" t="s">
        <v>16</v>
      </c>
      <c r="I724" s="6" t="str">
        <f>IF(B724=0,VLOOKUP(A724,Feuil2!$A$2:$M$1241,7,FALSE)," ")</f>
        <v xml:space="preserve"> </v>
      </c>
      <c r="J724" s="1" t="str">
        <f>IF(B724=0,VLOOKUP(A724,Feuil2!$A$2:$M$1241,9,FALSE)," ")</f>
        <v xml:space="preserve"> </v>
      </c>
      <c r="K724" s="1" t="str">
        <f>IF(B724=0,VLOOKUP(A724,Feuil2!$A$2:$M$1241,10,FALSE)," ")</f>
        <v xml:space="preserve"> </v>
      </c>
      <c r="L724" s="1"/>
      <c r="M724" s="1"/>
      <c r="N724" s="1"/>
      <c r="O724" s="8" t="str">
        <f>IF(B724=0,VLOOKUP(A724,Feuil2!$A$2:$M$1241,13,FALSE)," ")</f>
        <v xml:space="preserve"> </v>
      </c>
    </row>
    <row r="725" spans="1:15" x14ac:dyDescent="0.3">
      <c r="A725" s="1">
        <v>361</v>
      </c>
      <c r="B725" s="1">
        <v>5</v>
      </c>
      <c r="C725" s="1" t="s">
        <v>869</v>
      </c>
      <c r="D725" s="1" t="s">
        <v>2060</v>
      </c>
      <c r="E725" s="5">
        <v>38508</v>
      </c>
      <c r="F725" s="1" t="s">
        <v>17</v>
      </c>
      <c r="G725" s="1" t="str">
        <f>IF(B725=0,VLOOKUP(A725,Feuil2!$A$2:$M$1241,11,FALSE)," ")</f>
        <v xml:space="preserve"> </v>
      </c>
      <c r="H725" s="1" t="s">
        <v>16</v>
      </c>
      <c r="I725" s="6" t="str">
        <f>IF(B725=0,VLOOKUP(A725,Feuil2!$A$2:$M$1241,7,FALSE)," ")</f>
        <v xml:space="preserve"> </v>
      </c>
      <c r="J725" s="1" t="str">
        <f>IF(B725=0,VLOOKUP(A725,Feuil2!$A$2:$M$1241,9,FALSE)," ")</f>
        <v xml:space="preserve"> </v>
      </c>
      <c r="K725" s="1" t="str">
        <f>IF(B725=0,VLOOKUP(A725,Feuil2!$A$2:$M$1241,10,FALSE)," ")</f>
        <v xml:space="preserve"> </v>
      </c>
      <c r="L725" s="1"/>
      <c r="M725" s="1"/>
      <c r="N725" s="1"/>
      <c r="O725" s="8" t="str">
        <f>IF(B725=0,VLOOKUP(A725,Feuil2!$A$2:$M$1241,13,FALSE)," ")</f>
        <v xml:space="preserve"> </v>
      </c>
    </row>
    <row r="726" spans="1:15" x14ac:dyDescent="0.3">
      <c r="A726" s="1">
        <v>361</v>
      </c>
      <c r="B726" s="1">
        <v>6</v>
      </c>
      <c r="C726" s="1" t="s">
        <v>869</v>
      </c>
      <c r="D726" s="1" t="s">
        <v>2367</v>
      </c>
      <c r="E726" s="5">
        <v>40855</v>
      </c>
      <c r="F726" s="1" t="s">
        <v>17</v>
      </c>
      <c r="G726" s="1" t="str">
        <f>IF(B726=0,VLOOKUP(A726,Feuil2!$A$2:$M$1241,11,FALSE)," ")</f>
        <v xml:space="preserve"> </v>
      </c>
      <c r="H726" s="1" t="s">
        <v>16</v>
      </c>
      <c r="I726" s="6" t="str">
        <f>IF(B726=0,VLOOKUP(A726,Feuil2!$A$2:$M$1241,7,FALSE)," ")</f>
        <v xml:space="preserve"> </v>
      </c>
      <c r="J726" s="1" t="str">
        <f>IF(B726=0,VLOOKUP(A726,Feuil2!$A$2:$M$1241,9,FALSE)," ")</f>
        <v xml:space="preserve"> </v>
      </c>
      <c r="K726" s="1" t="str">
        <f>IF(B726=0,VLOOKUP(A726,Feuil2!$A$2:$M$1241,10,FALSE)," ")</f>
        <v xml:space="preserve"> </v>
      </c>
      <c r="L726" s="1"/>
      <c r="M726" s="1"/>
      <c r="N726" s="1"/>
      <c r="O726" s="8" t="str">
        <f>IF(B726=0,VLOOKUP(A726,Feuil2!$A$2:$M$1241,13,FALSE)," ")</f>
        <v xml:space="preserve"> </v>
      </c>
    </row>
    <row r="727" spans="1:15" x14ac:dyDescent="0.3">
      <c r="A727" s="17">
        <v>418</v>
      </c>
      <c r="B727" s="17">
        <v>0</v>
      </c>
      <c r="C727" s="17" t="str">
        <f>IF(B727=0,VLOOKUP(A727,Feuil2!$A$2:$M$1241,2,FALSE)," ")</f>
        <v>SASSI</v>
      </c>
      <c r="D727" s="17" t="str">
        <f>IF(B727=0,VLOOKUP(A727,Feuil2!$A$2:$M$1241,3,FALSE)," ")</f>
        <v>RIDHA</v>
      </c>
      <c r="E727" s="18">
        <f>IF(B727=0,VLOOKUP(A727,Feuil2!$A$2:$M$1241,6,FALSE)," ")</f>
        <v>23245</v>
      </c>
      <c r="F727" s="17" t="str">
        <f>IF(B727=0,VLOOKUP(A727,Feuil2!$A$2:$M$1241,12,FALSE)," ")</f>
        <v>H</v>
      </c>
      <c r="G727" s="17" t="str">
        <f>IF(B727=0,VLOOKUP(A727,Feuil2!$A$2:$M$1241,11,FALSE)," ")</f>
        <v>M</v>
      </c>
      <c r="H727" s="17" t="s">
        <v>16</v>
      </c>
      <c r="I727" s="19">
        <f>IF(B727=0,VLOOKUP(A727,Feuil2!$A$2:$M$1241,7,FALSE)," ")</f>
        <v>2946377</v>
      </c>
      <c r="J727" s="17" t="str">
        <f>IF(B727=0,VLOOKUP(A727,Feuil2!$A$2:$M$1241,9,FALSE)," ")</f>
        <v>28 Rue Khaled Ibn Walid</v>
      </c>
      <c r="K727" s="17" t="str">
        <f>IF(B727=0,VLOOKUP(A727,Feuil2!$A$2:$M$1241,10,FALSE)," ")</f>
        <v>Msaken 4070</v>
      </c>
      <c r="L727" s="17">
        <v>4070</v>
      </c>
      <c r="M727" s="17">
        <v>93421565</v>
      </c>
      <c r="N727" s="17"/>
      <c r="O727" s="20" t="str">
        <f>IF(B727=0,VLOOKUP(A727,Feuil2!$A$2:$M$1241,13,FALSE)," ")</f>
        <v>08507000262000756369</v>
      </c>
    </row>
    <row r="728" spans="1:15" x14ac:dyDescent="0.3">
      <c r="A728" s="1">
        <v>418</v>
      </c>
      <c r="B728" s="1">
        <v>1</v>
      </c>
      <c r="C728" s="1" t="s">
        <v>582</v>
      </c>
      <c r="D728" s="1" t="s">
        <v>2583</v>
      </c>
      <c r="E728" s="5">
        <v>25733</v>
      </c>
      <c r="F728" s="1" t="s">
        <v>17</v>
      </c>
      <c r="G728" s="1" t="s">
        <v>15</v>
      </c>
      <c r="H728" s="1" t="s">
        <v>16</v>
      </c>
      <c r="I728" s="6" t="str">
        <f>IF(B728=0,VLOOKUP(A728,Feuil2!$A$2:$M$1241,7,FALSE)," ")</f>
        <v xml:space="preserve"> </v>
      </c>
      <c r="J728" s="1" t="str">
        <f>IF(B728=0,VLOOKUP(A728,Feuil2!$A$2:$M$1241,9,FALSE)," ")</f>
        <v xml:space="preserve"> </v>
      </c>
      <c r="K728" s="1" t="str">
        <f>IF(B728=0,VLOOKUP(A728,Feuil2!$A$2:$M$1241,10,FALSE)," ")</f>
        <v xml:space="preserve"> </v>
      </c>
      <c r="L728" s="1"/>
      <c r="M728" s="1"/>
      <c r="N728" s="1"/>
      <c r="O728" s="8" t="str">
        <f>IF(B728=0,VLOOKUP(A728,Feuil2!$A$2:$M$1241,13,FALSE)," ")</f>
        <v xml:space="preserve"> </v>
      </c>
    </row>
    <row r="729" spans="1:15" x14ac:dyDescent="0.3">
      <c r="A729" s="1">
        <v>480</v>
      </c>
      <c r="B729" s="1">
        <v>0</v>
      </c>
      <c r="C729" s="1" t="str">
        <f>IF(B729=0,VLOOKUP(A729,Feuil2!$A$2:$M$1241,2,FALSE)," ")</f>
        <v>TOUMI</v>
      </c>
      <c r="D729" s="1" t="str">
        <f>IF(B729=0,VLOOKUP(A729,Feuil2!$A$2:$M$1241,3,FALSE)," ")</f>
        <v>CHOKRI</v>
      </c>
      <c r="E729" s="5">
        <f>IF(B729=0,VLOOKUP(A729,Feuil2!$A$2:$M$1241,6,FALSE)," ")</f>
        <v>24397</v>
      </c>
      <c r="F729" s="1" t="str">
        <f>IF(B729=0,VLOOKUP(A729,Feuil2!$A$2:$M$1241,12,FALSE)," ")</f>
        <v>H</v>
      </c>
      <c r="G729" s="1" t="str">
        <f>IF(B729=0,VLOOKUP(A729,Feuil2!$A$2:$M$1241,11,FALSE)," ")</f>
        <v>M</v>
      </c>
      <c r="H729" s="1" t="s">
        <v>16</v>
      </c>
      <c r="I729" s="6">
        <f>IF(B729=0,VLOOKUP(A729,Feuil2!$A$2:$M$1241,7,FALSE)," ")</f>
        <v>2965765</v>
      </c>
      <c r="J729" s="1" t="str">
        <f>IF(B729=0,VLOOKUP(A729,Feuil2!$A$2:$M$1241,9,FALSE)," ")</f>
        <v>28 Rue Achour</v>
      </c>
      <c r="K729" s="1" t="str">
        <f>IF(B729=0,VLOOKUP(A729,Feuil2!$A$2:$M$1241,10,FALSE)," ")</f>
        <v>Msaken 4070</v>
      </c>
      <c r="L729" s="1">
        <v>4070</v>
      </c>
      <c r="M729" s="1">
        <v>98793624</v>
      </c>
      <c r="N729" s="1"/>
      <c r="O729" s="8" t="str">
        <f>IF(B729=0,VLOOKUP(A729,Feuil2!$A$2:$M$1241,13,FALSE)," ")</f>
        <v>03508056010100097521</v>
      </c>
    </row>
    <row r="730" spans="1:15" x14ac:dyDescent="0.3">
      <c r="A730" s="1">
        <v>480</v>
      </c>
      <c r="B730" s="1">
        <v>1</v>
      </c>
      <c r="C730" s="1" t="s">
        <v>2584</v>
      </c>
      <c r="D730" s="1" t="s">
        <v>2372</v>
      </c>
      <c r="E730" s="5">
        <v>26730</v>
      </c>
      <c r="F730" s="1" t="s">
        <v>17</v>
      </c>
      <c r="G730" s="1" t="s">
        <v>15</v>
      </c>
      <c r="H730" s="1" t="s">
        <v>16</v>
      </c>
      <c r="I730" s="6" t="str">
        <f>IF(B730=0,VLOOKUP(A730,Feuil2!$A$2:$M$1241,7,FALSE)," ")</f>
        <v xml:space="preserve"> </v>
      </c>
      <c r="J730" s="1" t="str">
        <f>IF(B730=0,VLOOKUP(A730,Feuil2!$A$2:$M$1241,9,FALSE)," ")</f>
        <v xml:space="preserve"> </v>
      </c>
      <c r="K730" s="1" t="str">
        <f>IF(B730=0,VLOOKUP(A730,Feuil2!$A$2:$M$1241,10,FALSE)," ")</f>
        <v xml:space="preserve"> </v>
      </c>
      <c r="L730" s="1"/>
      <c r="M730" s="1"/>
      <c r="N730" s="1"/>
      <c r="O730" s="8" t="str">
        <f>IF(B730=0,VLOOKUP(A730,Feuil2!$A$2:$M$1241,13,FALSE)," ")</f>
        <v xml:space="preserve"> </v>
      </c>
    </row>
    <row r="731" spans="1:15" x14ac:dyDescent="0.3">
      <c r="A731" s="1">
        <v>480</v>
      </c>
      <c r="B731" s="1">
        <v>2</v>
      </c>
      <c r="C731" s="1" t="s">
        <v>369</v>
      </c>
      <c r="D731" s="1" t="s">
        <v>2585</v>
      </c>
      <c r="E731" s="5">
        <v>38848</v>
      </c>
      <c r="F731" s="1" t="s">
        <v>17</v>
      </c>
      <c r="G731" s="1" t="str">
        <f>IF(B731=0,VLOOKUP(A731,Feuil2!$A$2:$M$1241,11,FALSE)," ")</f>
        <v xml:space="preserve"> </v>
      </c>
      <c r="H731" s="1" t="s">
        <v>16</v>
      </c>
      <c r="I731" s="6" t="str">
        <f>IF(B731=0,VLOOKUP(A731,Feuil2!$A$2:$M$1241,7,FALSE)," ")</f>
        <v xml:space="preserve"> </v>
      </c>
      <c r="J731" s="1" t="str">
        <f>IF(B731=0,VLOOKUP(A731,Feuil2!$A$2:$M$1241,9,FALSE)," ")</f>
        <v xml:space="preserve"> </v>
      </c>
      <c r="K731" s="1" t="str">
        <f>IF(B731=0,VLOOKUP(A731,Feuil2!$A$2:$M$1241,10,FALSE)," ")</f>
        <v xml:space="preserve"> </v>
      </c>
      <c r="L731" s="1"/>
      <c r="M731" s="1"/>
      <c r="N731" s="1"/>
      <c r="O731" s="8" t="str">
        <f>IF(B731=0,VLOOKUP(A731,Feuil2!$A$2:$M$1241,13,FALSE)," ")</f>
        <v xml:space="preserve"> </v>
      </c>
    </row>
    <row r="732" spans="1:15" x14ac:dyDescent="0.3">
      <c r="A732" s="1">
        <v>480</v>
      </c>
      <c r="B732" s="1">
        <v>3</v>
      </c>
      <c r="C732" s="1" t="s">
        <v>369</v>
      </c>
      <c r="D732" s="1" t="s">
        <v>2385</v>
      </c>
      <c r="E732" s="5">
        <v>39681</v>
      </c>
      <c r="F732" s="1" t="s">
        <v>17</v>
      </c>
      <c r="G732" s="1" t="str">
        <f>IF(B732=0,VLOOKUP(A732,Feuil2!$A$2:$M$1241,11,FALSE)," ")</f>
        <v xml:space="preserve"> </v>
      </c>
      <c r="H732" s="1" t="s">
        <v>16</v>
      </c>
      <c r="I732" s="6" t="str">
        <f>IF(B732=0,VLOOKUP(A732,Feuil2!$A$2:$M$1241,7,FALSE)," ")</f>
        <v xml:space="preserve"> </v>
      </c>
      <c r="J732" s="1" t="str">
        <f>IF(B732=0,VLOOKUP(A732,Feuil2!$A$2:$M$1241,9,FALSE)," ")</f>
        <v xml:space="preserve"> </v>
      </c>
      <c r="K732" s="1" t="str">
        <f>IF(B732=0,VLOOKUP(A732,Feuil2!$A$2:$M$1241,10,FALSE)," ")</f>
        <v xml:space="preserve"> </v>
      </c>
      <c r="L732" s="1"/>
      <c r="M732" s="1"/>
      <c r="N732" s="1"/>
      <c r="O732" s="8" t="str">
        <f>IF(B732=0,VLOOKUP(A732,Feuil2!$A$2:$M$1241,13,FALSE)," ")</f>
        <v xml:space="preserve"> </v>
      </c>
    </row>
    <row r="733" spans="1:15" x14ac:dyDescent="0.3">
      <c r="A733" s="1">
        <v>482</v>
      </c>
      <c r="B733" s="1">
        <v>0</v>
      </c>
      <c r="C733" s="1" t="str">
        <f>IF(B733=0,VLOOKUP(A733,Feuil2!$A$2:$M$1241,2,FALSE)," ")</f>
        <v>MAATOUG</v>
      </c>
      <c r="D733" s="1" t="str">
        <f>IF(B733=0,VLOOKUP(A733,Feuil2!$A$2:$M$1241,3,FALSE)," ")</f>
        <v>HMAIED</v>
      </c>
      <c r="E733" s="5">
        <f>IF(B733=0,VLOOKUP(A733,Feuil2!$A$2:$M$1241,6,FALSE)," ")</f>
        <v>23390</v>
      </c>
      <c r="F733" s="1" t="str">
        <f>IF(B733=0,VLOOKUP(A733,Feuil2!$A$2:$M$1241,12,FALSE)," ")</f>
        <v>H</v>
      </c>
      <c r="G733" s="1" t="str">
        <f>IF(B733=0,VLOOKUP(A733,Feuil2!$A$2:$M$1241,11,FALSE)," ")</f>
        <v>M</v>
      </c>
      <c r="H733" s="1" t="s">
        <v>16</v>
      </c>
      <c r="I733" s="6">
        <f>IF(B733=0,VLOOKUP(A733,Feuil2!$A$2:$M$1241,7,FALSE)," ")</f>
        <v>4164812</v>
      </c>
      <c r="J733" s="1" t="str">
        <f>IF(B733=0,VLOOKUP(A733,Feuil2!$A$2:$M$1241,9,FALSE)," ")</f>
        <v>21 Rue Elouroud</v>
      </c>
      <c r="K733" s="1" t="str">
        <f>IF(B733=0,VLOOKUP(A733,Feuil2!$A$2:$M$1241,10,FALSE)," ")</f>
        <v>Msaken 4070</v>
      </c>
      <c r="L733" s="1">
        <v>4070</v>
      </c>
      <c r="M733" s="1">
        <v>27211620</v>
      </c>
      <c r="N733" s="1"/>
      <c r="O733" s="8" t="str">
        <f>IF(B733=0,VLOOKUP(A733,Feuil2!$A$2:$M$1241,13,FALSE)," ")</f>
        <v>05048000116500150477</v>
      </c>
    </row>
    <row r="734" spans="1:15" x14ac:dyDescent="0.3">
      <c r="A734" s="1">
        <v>482</v>
      </c>
      <c r="B734" s="1">
        <v>1</v>
      </c>
      <c r="C734" s="1" t="s">
        <v>2586</v>
      </c>
      <c r="D734" s="1" t="s">
        <v>2587</v>
      </c>
      <c r="E734" s="5">
        <v>24440</v>
      </c>
      <c r="F734" s="1" t="s">
        <v>17</v>
      </c>
      <c r="G734" s="1" t="s">
        <v>15</v>
      </c>
      <c r="H734" s="1" t="s">
        <v>16</v>
      </c>
      <c r="I734" s="6" t="str">
        <f>IF(B734=0,VLOOKUP(A734,Feuil2!$A$2:$M$1241,7,FALSE)," ")</f>
        <v xml:space="preserve"> </v>
      </c>
      <c r="J734" s="1" t="str">
        <f>IF(B734=0,VLOOKUP(A734,Feuil2!$A$2:$M$1241,9,FALSE)," ")</f>
        <v xml:space="preserve"> </v>
      </c>
      <c r="K734" s="1" t="str">
        <f>IF(B734=0,VLOOKUP(A734,Feuil2!$A$2:$M$1241,10,FALSE)," ")</f>
        <v xml:space="preserve"> </v>
      </c>
      <c r="L734" s="1"/>
      <c r="M734" s="1"/>
      <c r="N734" s="1"/>
      <c r="O734" s="8" t="str">
        <f>IF(B734=0,VLOOKUP(A734,Feuil2!$A$2:$M$1241,13,FALSE)," ")</f>
        <v xml:space="preserve"> </v>
      </c>
    </row>
    <row r="735" spans="1:15" x14ac:dyDescent="0.3">
      <c r="A735" s="1">
        <v>482</v>
      </c>
      <c r="B735" s="1">
        <v>2</v>
      </c>
      <c r="C735" s="1" t="s">
        <v>114</v>
      </c>
      <c r="D735" s="1" t="s">
        <v>2588</v>
      </c>
      <c r="E735" s="5">
        <v>33541</v>
      </c>
      <c r="F735" s="1" t="s">
        <v>17</v>
      </c>
      <c r="G735" s="1" t="str">
        <f>IF(B735=0,VLOOKUP(A735,Feuil2!$A$2:$M$1241,11,FALSE)," ")</f>
        <v xml:space="preserve"> </v>
      </c>
      <c r="H735" s="1" t="s">
        <v>16</v>
      </c>
      <c r="I735" s="6" t="str">
        <f>IF(B735=0,VLOOKUP(A735,Feuil2!$A$2:$M$1241,7,FALSE)," ")</f>
        <v xml:space="preserve"> </v>
      </c>
      <c r="J735" s="1" t="str">
        <f>IF(B735=0,VLOOKUP(A735,Feuil2!$A$2:$M$1241,9,FALSE)," ")</f>
        <v xml:space="preserve"> </v>
      </c>
      <c r="K735" s="1" t="str">
        <f>IF(B735=0,VLOOKUP(A735,Feuil2!$A$2:$M$1241,10,FALSE)," ")</f>
        <v xml:space="preserve"> </v>
      </c>
      <c r="L735" s="1"/>
      <c r="M735" s="1"/>
      <c r="N735" s="1"/>
      <c r="O735" s="8" t="str">
        <f>IF(B735=0,VLOOKUP(A735,Feuil2!$A$2:$M$1241,13,FALSE)," ")</f>
        <v xml:space="preserve"> </v>
      </c>
    </row>
    <row r="736" spans="1:15" x14ac:dyDescent="0.3">
      <c r="A736" s="1">
        <v>482</v>
      </c>
      <c r="B736" s="1">
        <v>3</v>
      </c>
      <c r="C736" s="1" t="s">
        <v>114</v>
      </c>
      <c r="D736" s="1" t="s">
        <v>363</v>
      </c>
      <c r="E736" s="5">
        <v>37665</v>
      </c>
      <c r="F736" s="1" t="s">
        <v>506</v>
      </c>
      <c r="G736" s="1" t="str">
        <f>IF(B736=0,VLOOKUP(A736,Feuil2!$A$2:$M$1241,11,FALSE)," ")</f>
        <v xml:space="preserve"> </v>
      </c>
      <c r="H736" s="1" t="s">
        <v>16</v>
      </c>
      <c r="I736" s="6" t="str">
        <f>IF(B736=0,VLOOKUP(A736,Feuil2!$A$2:$M$1241,7,FALSE)," ")</f>
        <v xml:space="preserve"> </v>
      </c>
      <c r="J736" s="1" t="str">
        <f>IF(B736=0,VLOOKUP(A736,Feuil2!$A$2:$M$1241,9,FALSE)," ")</f>
        <v xml:space="preserve"> </v>
      </c>
      <c r="K736" s="1" t="str">
        <f>IF(B736=0,VLOOKUP(A736,Feuil2!$A$2:$M$1241,10,FALSE)," ")</f>
        <v xml:space="preserve"> </v>
      </c>
      <c r="L736" s="1"/>
      <c r="M736" s="1"/>
      <c r="N736" s="1"/>
      <c r="O736" s="8" t="str">
        <f>IF(B736=0,VLOOKUP(A736,Feuil2!$A$2:$M$1241,13,FALSE)," ")</f>
        <v xml:space="preserve"> </v>
      </c>
    </row>
    <row r="737" spans="1:16" x14ac:dyDescent="0.3">
      <c r="A737" s="1">
        <v>482</v>
      </c>
      <c r="B737" s="1">
        <v>4</v>
      </c>
      <c r="C737" s="1" t="s">
        <v>114</v>
      </c>
      <c r="D737" s="1" t="s">
        <v>107</v>
      </c>
      <c r="E737" s="5">
        <v>38397</v>
      </c>
      <c r="F737" s="1" t="s">
        <v>506</v>
      </c>
      <c r="G737" s="1" t="str">
        <f>IF(B737=0,VLOOKUP(A737,Feuil2!$A$2:$M$1241,11,FALSE)," ")</f>
        <v xml:space="preserve"> </v>
      </c>
      <c r="H737" s="1" t="s">
        <v>16</v>
      </c>
      <c r="I737" s="6" t="str">
        <f>IF(B737=0,VLOOKUP(A737,Feuil2!$A$2:$M$1241,7,FALSE)," ")</f>
        <v xml:space="preserve"> </v>
      </c>
      <c r="J737" s="1" t="str">
        <f>IF(B737=0,VLOOKUP(A737,Feuil2!$A$2:$M$1241,9,FALSE)," ")</f>
        <v xml:space="preserve"> </v>
      </c>
      <c r="K737" s="1" t="str">
        <f>IF(B737=0,VLOOKUP(A737,Feuil2!$A$2:$M$1241,10,FALSE)," ")</f>
        <v xml:space="preserve"> </v>
      </c>
      <c r="L737" s="1"/>
      <c r="M737" s="1"/>
      <c r="N737" s="1"/>
      <c r="O737" s="8" t="str">
        <f>IF(B737=0,VLOOKUP(A737,Feuil2!$A$2:$M$1241,13,FALSE)," ")</f>
        <v xml:space="preserve"> </v>
      </c>
      <c r="P737" t="s">
        <v>2805</v>
      </c>
    </row>
    <row r="738" spans="1:16" x14ac:dyDescent="0.3">
      <c r="A738" s="1">
        <v>497</v>
      </c>
      <c r="B738" s="1">
        <v>0</v>
      </c>
      <c r="C738" s="1" t="str">
        <f>IF(B738=0,VLOOKUP(A738,Feuil2!$A$2:$M$1241,2,FALSE)," ")</f>
        <v>BEN ABDALLAH</v>
      </c>
      <c r="D738" s="1" t="str">
        <f>IF(B738=0,VLOOKUP(A738,Feuil2!$A$2:$M$1241,3,FALSE)," ")</f>
        <v>TAOUFIK</v>
      </c>
      <c r="E738" s="5">
        <f>IF(B738=0,VLOOKUP(A738,Feuil2!$A$2:$M$1241,6,FALSE)," ")</f>
        <v>24447</v>
      </c>
      <c r="F738" s="1" t="str">
        <f>IF(B738=0,VLOOKUP(A738,Feuil2!$A$2:$M$1241,12,FALSE)," ")</f>
        <v>H</v>
      </c>
      <c r="G738" s="1" t="str">
        <f>IF(B738=0,VLOOKUP(A738,Feuil2!$A$2:$M$1241,11,FALSE)," ")</f>
        <v>M</v>
      </c>
      <c r="H738" s="1" t="s">
        <v>16</v>
      </c>
      <c r="I738" s="6">
        <f>IF(B738=0,VLOOKUP(A738,Feuil2!$A$2:$M$1241,7,FALSE)," ")</f>
        <v>2986433</v>
      </c>
      <c r="J738" s="1" t="str">
        <f>IF(B738=0,VLOOKUP(A738,Feuil2!$A$2:$M$1241,9,FALSE)," ")</f>
        <v>22 Rue Omar Ibn Khattab</v>
      </c>
      <c r="K738" s="1" t="str">
        <f>IF(B738=0,VLOOKUP(A738,Feuil2!$A$2:$M$1241,10,FALSE)," ")</f>
        <v>Msaken 4070</v>
      </c>
      <c r="L738" s="1">
        <v>4070</v>
      </c>
      <c r="M738" s="1">
        <v>98793640</v>
      </c>
      <c r="N738" s="1"/>
      <c r="O738" s="8" t="str">
        <f>IF(B738=0,VLOOKUP(A738,Feuil2!$A$2:$M$1241,13,FALSE)," ")</f>
        <v>10506040203419978893</v>
      </c>
    </row>
    <row r="739" spans="1:16" x14ac:dyDescent="0.3">
      <c r="A739" s="1">
        <v>497</v>
      </c>
      <c r="B739" s="1">
        <v>1</v>
      </c>
      <c r="C739" s="1" t="s">
        <v>171</v>
      </c>
      <c r="D739" s="1" t="s">
        <v>1094</v>
      </c>
      <c r="E739" s="5">
        <v>27144</v>
      </c>
      <c r="F739" s="1" t="s">
        <v>17</v>
      </c>
      <c r="G739" s="1" t="s">
        <v>15</v>
      </c>
      <c r="H739" s="1" t="s">
        <v>16</v>
      </c>
      <c r="I739" s="6" t="str">
        <f>IF(B739=0,VLOOKUP(A739,Feuil2!$A$2:$M$1241,7,FALSE)," ")</f>
        <v xml:space="preserve"> </v>
      </c>
      <c r="J739" s="1" t="str">
        <f>IF(B739=0,VLOOKUP(A739,Feuil2!$A$2:$M$1241,9,FALSE)," ")</f>
        <v xml:space="preserve"> </v>
      </c>
      <c r="K739" s="1" t="str">
        <f>IF(B739=0,VLOOKUP(A739,Feuil2!$A$2:$M$1241,10,FALSE)," ")</f>
        <v xml:space="preserve"> </v>
      </c>
      <c r="L739" s="1"/>
      <c r="M739" s="1"/>
      <c r="N739" s="1"/>
      <c r="O739" s="8" t="str">
        <f>IF(B739=0,VLOOKUP(A739,Feuil2!$A$2:$M$1241,13,FALSE)," ")</f>
        <v xml:space="preserve"> </v>
      </c>
    </row>
    <row r="740" spans="1:16" x14ac:dyDescent="0.3">
      <c r="A740" s="17">
        <v>540</v>
      </c>
      <c r="B740" s="17">
        <v>0</v>
      </c>
      <c r="C740" s="17" t="str">
        <f>IF(B740=0,VLOOKUP(A740,Feuil2!$A$2:$M$1241,2,FALSE)," ")</f>
        <v>EL ABED</v>
      </c>
      <c r="D740" s="17" t="str">
        <f>IF(B740=0,VLOOKUP(A740,Feuil2!$A$2:$M$1241,3,FALSE)," ")</f>
        <v>FETHI</v>
      </c>
      <c r="E740" s="18">
        <f>IF(B740=0,VLOOKUP(A740,Feuil2!$A$2:$M$1241,6,FALSE)," ")</f>
        <v>22515</v>
      </c>
      <c r="F740" s="17" t="str">
        <f>IF(B740=0,VLOOKUP(A740,Feuil2!$A$2:$M$1241,12,FALSE)," ")</f>
        <v>H</v>
      </c>
      <c r="G740" s="17" t="str">
        <f>IF(B740=0,VLOOKUP(A740,Feuil2!$A$2:$M$1241,11,FALSE)," ")</f>
        <v>M</v>
      </c>
      <c r="H740" s="17" t="s">
        <v>16</v>
      </c>
      <c r="I740" s="19">
        <f>IF(B740=0,VLOOKUP(A740,Feuil2!$A$2:$M$1241,7,FALSE)," ")</f>
        <v>2861388</v>
      </c>
      <c r="J740" s="17" t="str">
        <f>IF(B740=0,VLOOKUP(A740,Feuil2!$A$2:$M$1241,9,FALSE)," ")</f>
        <v>Rue El Ouroud</v>
      </c>
      <c r="K740" s="17" t="str">
        <f>IF(B740=0,VLOOKUP(A740,Feuil2!$A$2:$M$1241,10,FALSE)," ")</f>
        <v>Msaken 4070</v>
      </c>
      <c r="L740" s="17">
        <v>4070</v>
      </c>
      <c r="M740" s="17">
        <v>98793518</v>
      </c>
      <c r="N740" s="17"/>
      <c r="O740" s="20" t="str">
        <f>IF(B740=0,VLOOKUP(A740,Feuil2!$A$2:$M$1241,13,FALSE)," ")</f>
        <v>08507000262000357602</v>
      </c>
    </row>
    <row r="741" spans="1:16" x14ac:dyDescent="0.3">
      <c r="A741" s="1">
        <v>540</v>
      </c>
      <c r="B741" s="1">
        <v>1</v>
      </c>
      <c r="C741" s="1" t="s">
        <v>2589</v>
      </c>
      <c r="D741" s="1" t="s">
        <v>2590</v>
      </c>
      <c r="E741" s="5">
        <v>25219</v>
      </c>
      <c r="F741" s="1" t="s">
        <v>17</v>
      </c>
      <c r="G741" s="1" t="s">
        <v>15</v>
      </c>
      <c r="H741" s="1" t="s">
        <v>16</v>
      </c>
      <c r="I741" s="6" t="str">
        <f>IF(B741=0,VLOOKUP(A741,Feuil2!$A$2:$M$1241,7,FALSE)," ")</f>
        <v xml:space="preserve"> </v>
      </c>
      <c r="J741" s="1" t="str">
        <f>IF(B741=0,VLOOKUP(A741,Feuil2!$A$2:$M$1241,9,FALSE)," ")</f>
        <v xml:space="preserve"> </v>
      </c>
      <c r="K741" s="1" t="str">
        <f>IF(B741=0,VLOOKUP(A741,Feuil2!$A$2:$M$1241,10,FALSE)," ")</f>
        <v xml:space="preserve"> </v>
      </c>
      <c r="L741" s="1"/>
      <c r="M741" s="1"/>
      <c r="N741" s="1"/>
      <c r="O741" s="8" t="str">
        <f>IF(B741=0,VLOOKUP(A741,Feuil2!$A$2:$M$1241,13,FALSE)," ")</f>
        <v xml:space="preserve"> </v>
      </c>
    </row>
    <row r="742" spans="1:16" x14ac:dyDescent="0.3">
      <c r="A742" s="1">
        <v>540</v>
      </c>
      <c r="B742" s="1">
        <v>2</v>
      </c>
      <c r="C742" s="1" t="s">
        <v>161</v>
      </c>
      <c r="D742" s="1" t="s">
        <v>2370</v>
      </c>
      <c r="E742" s="5">
        <v>33661</v>
      </c>
      <c r="F742" s="1" t="s">
        <v>17</v>
      </c>
      <c r="G742" s="1" t="str">
        <f>IF(B742=0,VLOOKUP(A742,Feuil2!$A$2:$M$1241,11,FALSE)," ")</f>
        <v xml:space="preserve"> </v>
      </c>
      <c r="H742" s="1" t="s">
        <v>16</v>
      </c>
      <c r="I742" s="6" t="str">
        <f>IF(B742=0,VLOOKUP(A742,Feuil2!$A$2:$M$1241,7,FALSE)," ")</f>
        <v xml:space="preserve"> </v>
      </c>
      <c r="J742" s="1" t="str">
        <f>IF(B742=0,VLOOKUP(A742,Feuil2!$A$2:$M$1241,9,FALSE)," ")</f>
        <v xml:space="preserve"> </v>
      </c>
      <c r="K742" s="1" t="str">
        <f>IF(B742=0,VLOOKUP(A742,Feuil2!$A$2:$M$1241,10,FALSE)," ")</f>
        <v xml:space="preserve"> </v>
      </c>
      <c r="L742" s="1"/>
      <c r="M742" s="1"/>
      <c r="N742" s="1"/>
      <c r="O742" s="8" t="str">
        <f>IF(B742=0,VLOOKUP(A742,Feuil2!$A$2:$M$1241,13,FALSE)," ")</f>
        <v xml:space="preserve"> </v>
      </c>
      <c r="P742" t="s">
        <v>2805</v>
      </c>
    </row>
    <row r="743" spans="1:16" x14ac:dyDescent="0.3">
      <c r="A743" s="1">
        <v>540</v>
      </c>
      <c r="B743" s="1">
        <v>3</v>
      </c>
      <c r="C743" s="1" t="s">
        <v>161</v>
      </c>
      <c r="D743" s="1" t="s">
        <v>2428</v>
      </c>
      <c r="E743" s="5">
        <v>36380</v>
      </c>
      <c r="F743" s="1" t="s">
        <v>506</v>
      </c>
      <c r="G743" s="1" t="str">
        <f>IF(B743=0,VLOOKUP(A743,Feuil2!$A$2:$M$1241,11,FALSE)," ")</f>
        <v xml:space="preserve"> </v>
      </c>
      <c r="H743" s="1" t="s">
        <v>16</v>
      </c>
      <c r="I743" s="6" t="str">
        <f>IF(B743=0,VLOOKUP(A743,Feuil2!$A$2:$M$1241,7,FALSE)," ")</f>
        <v xml:space="preserve"> </v>
      </c>
      <c r="J743" s="1" t="str">
        <f>IF(B743=0,VLOOKUP(A743,Feuil2!$A$2:$M$1241,9,FALSE)," ")</f>
        <v xml:space="preserve"> </v>
      </c>
      <c r="K743" s="1" t="str">
        <f>IF(B743=0,VLOOKUP(A743,Feuil2!$A$2:$M$1241,10,FALSE)," ")</f>
        <v xml:space="preserve"> </v>
      </c>
      <c r="L743" s="1"/>
      <c r="M743" s="1"/>
      <c r="N743" s="1"/>
      <c r="O743" s="8" t="str">
        <f>IF(B743=0,VLOOKUP(A743,Feuil2!$A$2:$M$1241,13,FALSE)," ")</f>
        <v xml:space="preserve"> </v>
      </c>
    </row>
    <row r="744" spans="1:16" x14ac:dyDescent="0.3">
      <c r="A744" s="17">
        <v>582</v>
      </c>
      <c r="B744" s="17">
        <v>0</v>
      </c>
      <c r="C744" s="17" t="str">
        <f>IF(B744=0,VLOOKUP(A744,Feuil2!$A$2:$M$1241,2,FALSE)," ")</f>
        <v>MATHLOUTHI</v>
      </c>
      <c r="D744" s="17" t="str">
        <f>IF(B744=0,VLOOKUP(A744,Feuil2!$A$2:$M$1241,3,FALSE)," ")</f>
        <v>TAIEB</v>
      </c>
      <c r="E744" s="18">
        <f>IF(B744=0,VLOOKUP(A744,Feuil2!$A$2:$M$1241,6,FALSE)," ")</f>
        <v>23804</v>
      </c>
      <c r="F744" s="17" t="str">
        <f>IF(B744=0,VLOOKUP(A744,Feuil2!$A$2:$M$1241,12,FALSE)," ")</f>
        <v>H</v>
      </c>
      <c r="G744" s="17" t="str">
        <f>IF(B744=0,VLOOKUP(A744,Feuil2!$A$2:$M$1241,11,FALSE)," ")</f>
        <v>M</v>
      </c>
      <c r="H744" s="17" t="s">
        <v>16</v>
      </c>
      <c r="I744" s="19">
        <f>IF(B744=0,VLOOKUP(A744,Feuil2!$A$2:$M$1241,7,FALSE)," ")</f>
        <v>2958465</v>
      </c>
      <c r="J744" s="17" t="str">
        <f>IF(B744=0,VLOOKUP(A744,Feuil2!$A$2:$M$1241,9,FALSE)," ")</f>
        <v>NULL</v>
      </c>
      <c r="K744" s="17" t="str">
        <f>IF(B744=0,VLOOKUP(A744,Feuil2!$A$2:$M$1241,10,FALSE)," ")</f>
        <v>BÃ©ni Rabiaa 4015</v>
      </c>
      <c r="L744" s="17"/>
      <c r="M744" s="17">
        <v>27829091</v>
      </c>
      <c r="N744" s="17"/>
      <c r="O744" s="20" t="str">
        <f>IF(B744=0,VLOOKUP(A744,Feuil2!$A$2:$M$1241,13,FALSE)," ")</f>
        <v>10506040203446678822</v>
      </c>
    </row>
    <row r="745" spans="1:16" x14ac:dyDescent="0.3">
      <c r="A745" s="1">
        <v>582</v>
      </c>
      <c r="B745" s="1">
        <v>1</v>
      </c>
      <c r="C745" s="1" t="s">
        <v>2591</v>
      </c>
      <c r="D745" s="1" t="s">
        <v>2367</v>
      </c>
      <c r="E745" s="5">
        <v>26193</v>
      </c>
      <c r="F745" s="1" t="s">
        <v>17</v>
      </c>
      <c r="G745" s="1" t="s">
        <v>15</v>
      </c>
      <c r="H745" s="1" t="s">
        <v>16</v>
      </c>
      <c r="I745" s="6" t="str">
        <f>IF(B745=0,VLOOKUP(A745,Feuil2!$A$2:$M$1241,7,FALSE)," ")</f>
        <v xml:space="preserve"> </v>
      </c>
      <c r="J745" s="1" t="str">
        <f>IF(B745=0,VLOOKUP(A745,Feuil2!$A$2:$M$1241,9,FALSE)," ")</f>
        <v xml:space="preserve"> </v>
      </c>
      <c r="K745" s="1" t="str">
        <f>IF(B745=0,VLOOKUP(A745,Feuil2!$A$2:$M$1241,10,FALSE)," ")</f>
        <v xml:space="preserve"> </v>
      </c>
      <c r="L745" s="1"/>
      <c r="M745" s="1"/>
      <c r="N745" s="1"/>
      <c r="O745" s="8" t="str">
        <f>IF(B745=0,VLOOKUP(A745,Feuil2!$A$2:$M$1241,13,FALSE)," ")</f>
        <v xml:space="preserve"> </v>
      </c>
    </row>
    <row r="746" spans="1:16" x14ac:dyDescent="0.3">
      <c r="A746" s="1">
        <v>582</v>
      </c>
      <c r="B746" s="1">
        <v>2</v>
      </c>
      <c r="C746" s="1" t="s">
        <v>173</v>
      </c>
      <c r="D746" s="1" t="s">
        <v>2480</v>
      </c>
      <c r="E746" s="5">
        <v>37280</v>
      </c>
      <c r="F746" s="1" t="s">
        <v>17</v>
      </c>
      <c r="G746" s="1" t="str">
        <f>IF(B746=0,VLOOKUP(A746,Feuil2!$A$2:$M$1241,11,FALSE)," ")</f>
        <v xml:space="preserve"> </v>
      </c>
      <c r="H746" s="1" t="s">
        <v>16</v>
      </c>
      <c r="I746" s="6" t="str">
        <f>IF(B746=0,VLOOKUP(A746,Feuil2!$A$2:$M$1241,7,FALSE)," ")</f>
        <v xml:space="preserve"> </v>
      </c>
      <c r="J746" s="1" t="str">
        <f>IF(B746=0,VLOOKUP(A746,Feuil2!$A$2:$M$1241,9,FALSE)," ")</f>
        <v xml:space="preserve"> </v>
      </c>
      <c r="K746" s="1" t="str">
        <f>IF(B746=0,VLOOKUP(A746,Feuil2!$A$2:$M$1241,10,FALSE)," ")</f>
        <v xml:space="preserve"> </v>
      </c>
      <c r="L746" s="1"/>
      <c r="M746" s="1"/>
      <c r="N746" s="1"/>
      <c r="O746" s="8" t="str">
        <f>IF(B746=0,VLOOKUP(A746,Feuil2!$A$2:$M$1241,13,FALSE)," ")</f>
        <v xml:space="preserve"> </v>
      </c>
    </row>
    <row r="747" spans="1:16" x14ac:dyDescent="0.3">
      <c r="A747" s="1">
        <v>582</v>
      </c>
      <c r="B747" s="1">
        <v>3</v>
      </c>
      <c r="C747" s="1" t="s">
        <v>173</v>
      </c>
      <c r="D747" s="1" t="s">
        <v>2592</v>
      </c>
      <c r="E747" s="5">
        <v>39005</v>
      </c>
      <c r="F747" s="1" t="s">
        <v>506</v>
      </c>
      <c r="G747" s="1" t="str">
        <f>IF(B747=0,VLOOKUP(A747,Feuil2!$A$2:$M$1241,11,FALSE)," ")</f>
        <v xml:space="preserve"> </v>
      </c>
      <c r="H747" s="1" t="s">
        <v>16</v>
      </c>
      <c r="I747" s="6" t="str">
        <f>IF(B747=0,VLOOKUP(A747,Feuil2!$A$2:$M$1241,7,FALSE)," ")</f>
        <v xml:space="preserve"> </v>
      </c>
      <c r="J747" s="1" t="str">
        <f>IF(B747=0,VLOOKUP(A747,Feuil2!$A$2:$M$1241,9,FALSE)," ")</f>
        <v xml:space="preserve"> </v>
      </c>
      <c r="K747" s="1" t="str">
        <f>IF(B747=0,VLOOKUP(A747,Feuil2!$A$2:$M$1241,10,FALSE)," ")</f>
        <v xml:space="preserve"> </v>
      </c>
      <c r="L747" s="1"/>
      <c r="M747" s="1"/>
      <c r="N747" s="1"/>
      <c r="O747" s="8" t="str">
        <f>IF(B747=0,VLOOKUP(A747,Feuil2!$A$2:$M$1241,13,FALSE)," ")</f>
        <v xml:space="preserve"> </v>
      </c>
    </row>
    <row r="748" spans="1:16" x14ac:dyDescent="0.3">
      <c r="A748" s="1">
        <v>582</v>
      </c>
      <c r="B748" s="1">
        <v>4</v>
      </c>
      <c r="C748" s="1" t="s">
        <v>173</v>
      </c>
      <c r="D748" s="1" t="s">
        <v>2332</v>
      </c>
      <c r="E748" s="5">
        <v>39528</v>
      </c>
      <c r="F748" s="1" t="s">
        <v>17</v>
      </c>
      <c r="G748" s="1" t="str">
        <f>IF(B748=0,VLOOKUP(A748,Feuil2!$A$2:$M$1241,11,FALSE)," ")</f>
        <v xml:space="preserve"> </v>
      </c>
      <c r="H748" s="1" t="s">
        <v>16</v>
      </c>
      <c r="I748" s="6" t="str">
        <f>IF(B748=0,VLOOKUP(A748,Feuil2!$A$2:$M$1241,7,FALSE)," ")</f>
        <v xml:space="preserve"> </v>
      </c>
      <c r="J748" s="1" t="str">
        <f>IF(B748=0,VLOOKUP(A748,Feuil2!$A$2:$M$1241,9,FALSE)," ")</f>
        <v xml:space="preserve"> </v>
      </c>
      <c r="K748" s="1" t="str">
        <f>IF(B748=0,VLOOKUP(A748,Feuil2!$A$2:$M$1241,10,FALSE)," ")</f>
        <v xml:space="preserve"> </v>
      </c>
      <c r="L748" s="1"/>
      <c r="M748" s="1"/>
      <c r="N748" s="1"/>
      <c r="O748" s="8" t="str">
        <f>IF(B748=0,VLOOKUP(A748,Feuil2!$A$2:$M$1241,13,FALSE)," ")</f>
        <v xml:space="preserve"> </v>
      </c>
      <c r="P748" t="s">
        <v>2805</v>
      </c>
    </row>
    <row r="749" spans="1:16" x14ac:dyDescent="0.3">
      <c r="A749" s="17">
        <v>599</v>
      </c>
      <c r="B749" s="17">
        <v>0</v>
      </c>
      <c r="C749" s="17" t="str">
        <f>IF(B749=0,VLOOKUP(A749,Feuil2!$A$2:$M$1241,2,FALSE)," ")</f>
        <v>LOGHMARI</v>
      </c>
      <c r="D749" s="17" t="str">
        <f>IF(B749=0,VLOOKUP(A749,Feuil2!$A$2:$M$1241,3,FALSE)," ")</f>
        <v>MOHAMED</v>
      </c>
      <c r="E749" s="18">
        <f>IF(B749=0,VLOOKUP(A749,Feuil2!$A$2:$M$1241,6,FALSE)," ")</f>
        <v>24432</v>
      </c>
      <c r="F749" s="17" t="str">
        <f>IF(B749=0,VLOOKUP(A749,Feuil2!$A$2:$M$1241,12,FALSE)," ")</f>
        <v>H</v>
      </c>
      <c r="G749" s="17" t="str">
        <f>IF(B749=0,VLOOKUP(A749,Feuil2!$A$2:$M$1241,11,FALSE)," ")</f>
        <v>M</v>
      </c>
      <c r="H749" s="17" t="s">
        <v>16</v>
      </c>
      <c r="I749" s="19">
        <f>IF(B749=0,VLOOKUP(A749,Feuil2!$A$2:$M$1241,7,FALSE)," ")</f>
        <v>2988440</v>
      </c>
      <c r="J749" s="17" t="str">
        <f>IF(B749=0,VLOOKUP(A749,Feuil2!$A$2:$M$1241,9,FALSE)," ")</f>
        <v>23 RUE ETIHAD</v>
      </c>
      <c r="K749" s="17" t="str">
        <f>IF(B749=0,VLOOKUP(A749,Feuil2!$A$2:$M$1241,10,FALSE)," ")</f>
        <v>Msaken 4070</v>
      </c>
      <c r="L749" s="17">
        <v>4070</v>
      </c>
      <c r="M749" s="17"/>
      <c r="N749" s="17"/>
      <c r="O749" s="20" t="str">
        <f>IF(B749=0,VLOOKUP(A749,Feuil2!$A$2:$M$1241,13,FALSE)," ")</f>
        <v>08507000262001386578</v>
      </c>
    </row>
    <row r="750" spans="1:16" x14ac:dyDescent="0.3">
      <c r="A750" s="1">
        <v>599</v>
      </c>
      <c r="B750" s="1">
        <v>1</v>
      </c>
      <c r="C750" s="1" t="s">
        <v>190</v>
      </c>
      <c r="D750" s="1" t="s">
        <v>2145</v>
      </c>
      <c r="E750" s="5">
        <v>26112</v>
      </c>
      <c r="F750" s="1" t="s">
        <v>17</v>
      </c>
      <c r="G750" s="1" t="s">
        <v>15</v>
      </c>
      <c r="H750" s="1" t="s">
        <v>16</v>
      </c>
      <c r="I750" s="6" t="str">
        <f>IF(B750=0,VLOOKUP(A750,Feuil2!$A$2:$M$1241,7,FALSE)," ")</f>
        <v xml:space="preserve"> </v>
      </c>
      <c r="J750" s="1" t="str">
        <f>IF(B750=0,VLOOKUP(A750,Feuil2!$A$2:$M$1241,9,FALSE)," ")</f>
        <v xml:space="preserve"> </v>
      </c>
      <c r="K750" s="1" t="str">
        <f>IF(B750=0,VLOOKUP(A750,Feuil2!$A$2:$M$1241,10,FALSE)," ")</f>
        <v xml:space="preserve"> </v>
      </c>
      <c r="L750" s="1"/>
      <c r="M750" s="1"/>
      <c r="N750" s="1"/>
      <c r="O750" s="8" t="str">
        <f>IF(B750=0,VLOOKUP(A750,Feuil2!$A$2:$M$1241,13,FALSE)," ")</f>
        <v xml:space="preserve"> </v>
      </c>
    </row>
    <row r="751" spans="1:16" x14ac:dyDescent="0.3">
      <c r="A751" s="1">
        <v>599</v>
      </c>
      <c r="B751" s="1">
        <v>2</v>
      </c>
      <c r="C751" s="1" t="s">
        <v>199</v>
      </c>
      <c r="D751" s="1" t="s">
        <v>402</v>
      </c>
      <c r="E751" s="5">
        <v>35692</v>
      </c>
      <c r="F751" s="1" t="s">
        <v>17</v>
      </c>
      <c r="G751" s="1" t="str">
        <f>IF(B751=0,VLOOKUP(A751,Feuil2!$A$2:$M$1241,11,FALSE)," ")</f>
        <v xml:space="preserve"> </v>
      </c>
      <c r="H751" s="1" t="s">
        <v>16</v>
      </c>
      <c r="I751" s="6" t="str">
        <f>IF(B751=0,VLOOKUP(A751,Feuil2!$A$2:$M$1241,7,FALSE)," ")</f>
        <v xml:space="preserve"> </v>
      </c>
      <c r="J751" s="1" t="str">
        <f>IF(B751=0,VLOOKUP(A751,Feuil2!$A$2:$M$1241,9,FALSE)," ")</f>
        <v xml:space="preserve"> </v>
      </c>
      <c r="K751" s="1" t="str">
        <f>IF(B751=0,VLOOKUP(A751,Feuil2!$A$2:$M$1241,10,FALSE)," ")</f>
        <v xml:space="preserve"> </v>
      </c>
      <c r="L751" s="1"/>
      <c r="M751" s="1"/>
      <c r="N751" s="1"/>
      <c r="O751" s="8" t="str">
        <f>IF(B751=0,VLOOKUP(A751,Feuil2!$A$2:$M$1241,13,FALSE)," ")</f>
        <v xml:space="preserve"> </v>
      </c>
    </row>
    <row r="752" spans="1:16" x14ac:dyDescent="0.3">
      <c r="A752" s="1">
        <v>599</v>
      </c>
      <c r="B752" s="1">
        <v>3</v>
      </c>
      <c r="C752" s="1" t="s">
        <v>199</v>
      </c>
      <c r="D752" s="1" t="s">
        <v>2345</v>
      </c>
      <c r="E752" s="5">
        <v>38394</v>
      </c>
      <c r="F752" s="1" t="s">
        <v>17</v>
      </c>
      <c r="G752" s="1" t="str">
        <f>IF(B752=0,VLOOKUP(A752,Feuil2!$A$2:$M$1241,11,FALSE)," ")</f>
        <v xml:space="preserve"> </v>
      </c>
      <c r="H752" s="1" t="s">
        <v>16</v>
      </c>
      <c r="I752" s="6" t="str">
        <f>IF(B752=0,VLOOKUP(A752,Feuil2!$A$2:$M$1241,7,FALSE)," ")</f>
        <v xml:space="preserve"> </v>
      </c>
      <c r="J752" s="1" t="str">
        <f>IF(B752=0,VLOOKUP(A752,Feuil2!$A$2:$M$1241,9,FALSE)," ")</f>
        <v xml:space="preserve"> </v>
      </c>
      <c r="K752" s="1" t="str">
        <f>IF(B752=0,VLOOKUP(A752,Feuil2!$A$2:$M$1241,10,FALSE)," ")</f>
        <v xml:space="preserve"> </v>
      </c>
      <c r="L752" s="1"/>
      <c r="M752" s="1"/>
      <c r="N752" s="1"/>
      <c r="O752" s="8" t="str">
        <f>IF(B752=0,VLOOKUP(A752,Feuil2!$A$2:$M$1241,13,FALSE)," ")</f>
        <v xml:space="preserve"> </v>
      </c>
    </row>
    <row r="753" spans="1:15" x14ac:dyDescent="0.3">
      <c r="A753" s="1">
        <v>599</v>
      </c>
      <c r="B753" s="1">
        <v>4</v>
      </c>
      <c r="C753" s="1" t="s">
        <v>199</v>
      </c>
      <c r="D753" s="1" t="s">
        <v>2593</v>
      </c>
      <c r="E753" s="5">
        <v>38394</v>
      </c>
      <c r="F753" s="1" t="s">
        <v>506</v>
      </c>
      <c r="G753" s="1" t="str">
        <f>IF(B753=0,VLOOKUP(A753,Feuil2!$A$2:$M$1241,11,FALSE)," ")</f>
        <v xml:space="preserve"> </v>
      </c>
      <c r="H753" s="1" t="s">
        <v>16</v>
      </c>
      <c r="I753" s="6" t="str">
        <f>IF(B753=0,VLOOKUP(A753,Feuil2!$A$2:$M$1241,7,FALSE)," ")</f>
        <v xml:space="preserve"> </v>
      </c>
      <c r="J753" s="1" t="str">
        <f>IF(B753=0,VLOOKUP(A753,Feuil2!$A$2:$M$1241,9,FALSE)," ")</f>
        <v xml:space="preserve"> </v>
      </c>
      <c r="K753" s="1" t="str">
        <f>IF(B753=0,VLOOKUP(A753,Feuil2!$A$2:$M$1241,10,FALSE)," ")</f>
        <v xml:space="preserve"> </v>
      </c>
      <c r="L753" s="1"/>
      <c r="M753" s="1"/>
      <c r="N753" s="1"/>
      <c r="O753" s="8" t="str">
        <f>IF(B753=0,VLOOKUP(A753,Feuil2!$A$2:$M$1241,13,FALSE)," ")</f>
        <v xml:space="preserve"> </v>
      </c>
    </row>
    <row r="754" spans="1:15" x14ac:dyDescent="0.3">
      <c r="A754" s="1">
        <v>599</v>
      </c>
      <c r="B754" s="1">
        <v>5</v>
      </c>
      <c r="C754" s="1" t="s">
        <v>199</v>
      </c>
      <c r="D754" s="1" t="s">
        <v>2347</v>
      </c>
      <c r="E754" s="5">
        <v>39780</v>
      </c>
      <c r="F754" s="1" t="s">
        <v>506</v>
      </c>
      <c r="G754" s="1" t="str">
        <f>IF(B754=0,VLOOKUP(A754,Feuil2!$A$2:$M$1241,11,FALSE)," ")</f>
        <v xml:space="preserve"> </v>
      </c>
      <c r="H754" s="1" t="s">
        <v>16</v>
      </c>
      <c r="I754" s="6" t="str">
        <f>IF(B754=0,VLOOKUP(A754,Feuil2!$A$2:$M$1241,7,FALSE)," ")</f>
        <v xml:space="preserve"> </v>
      </c>
      <c r="J754" s="1" t="str">
        <f>IF(B754=0,VLOOKUP(A754,Feuil2!$A$2:$M$1241,9,FALSE)," ")</f>
        <v xml:space="preserve"> </v>
      </c>
      <c r="K754" s="1" t="str">
        <f>IF(B754=0,VLOOKUP(A754,Feuil2!$A$2:$M$1241,10,FALSE)," ")</f>
        <v xml:space="preserve"> </v>
      </c>
      <c r="L754" s="1"/>
      <c r="M754" s="1"/>
      <c r="N754" s="1"/>
      <c r="O754" s="8" t="str">
        <f>IF(B754=0,VLOOKUP(A754,Feuil2!$A$2:$M$1241,13,FALSE)," ")</f>
        <v xml:space="preserve"> </v>
      </c>
    </row>
    <row r="755" spans="1:15" x14ac:dyDescent="0.3">
      <c r="A755" s="17">
        <v>640</v>
      </c>
      <c r="B755" s="17">
        <v>0</v>
      </c>
      <c r="C755" s="17" t="str">
        <f>IF(B755=0,VLOOKUP(A755,Feuil2!$A$2:$M$1241,2,FALSE)," ")</f>
        <v>JARRAR</v>
      </c>
      <c r="D755" s="17" t="str">
        <f>IF(B755=0,VLOOKUP(A755,Feuil2!$A$2:$M$1241,3,FALSE)," ")</f>
        <v>BECHIR</v>
      </c>
      <c r="E755" s="18">
        <f>IF(B755=0,VLOOKUP(A755,Feuil2!$A$2:$M$1241,6,FALSE)," ")</f>
        <v>25381</v>
      </c>
      <c r="F755" s="17" t="str">
        <f>IF(B755=0,VLOOKUP(A755,Feuil2!$A$2:$M$1241,12,FALSE)," ")</f>
        <v>H</v>
      </c>
      <c r="G755" s="17" t="str">
        <f>IF(B755=0,VLOOKUP(A755,Feuil2!$A$2:$M$1241,11,FALSE)," ")</f>
        <v>M</v>
      </c>
      <c r="H755" s="17" t="s">
        <v>16</v>
      </c>
      <c r="I755" s="19">
        <f>IF(B755=0,VLOOKUP(A755,Feuil2!$A$2:$M$1241,7,FALSE)," ")</f>
        <v>2985566</v>
      </c>
      <c r="J755" s="17" t="str">
        <f>IF(B755=0,VLOOKUP(A755,Feuil2!$A$2:$M$1241,9,FALSE)," ")</f>
        <v>247 R Mohamed Ali</v>
      </c>
      <c r="K755" s="17" t="str">
        <f>IF(B755=0,VLOOKUP(A755,Feuil2!$A$2:$M$1241,10,FALSE)," ")</f>
        <v>Msaken 4070</v>
      </c>
      <c r="L755" s="17">
        <v>4070</v>
      </c>
      <c r="M755" s="17">
        <v>20664960</v>
      </c>
      <c r="N755" s="17"/>
      <c r="O755" s="20" t="str">
        <f>IF(B755=0,VLOOKUP(A755,Feuil2!$A$2:$M$1241,13,FALSE)," ")</f>
        <v>03508056010100127397</v>
      </c>
    </row>
    <row r="756" spans="1:15" x14ac:dyDescent="0.3">
      <c r="A756" s="1">
        <v>640</v>
      </c>
      <c r="B756" s="1">
        <v>1</v>
      </c>
      <c r="C756" s="1" t="str">
        <f>IF(B756=0,VLOOKUP(A756,Feuil2!$A$2:$M$1241,2,FALSE)," ")</f>
        <v xml:space="preserve"> </v>
      </c>
      <c r="D756" s="1" t="s">
        <v>2381</v>
      </c>
      <c r="E756" s="5">
        <v>29837</v>
      </c>
      <c r="F756" s="1" t="s">
        <v>17</v>
      </c>
      <c r="G756" s="1" t="s">
        <v>15</v>
      </c>
      <c r="H756" s="1" t="s">
        <v>16</v>
      </c>
      <c r="I756" s="6" t="str">
        <f>IF(B756=0,VLOOKUP(A756,Feuil2!$A$2:$M$1241,7,FALSE)," ")</f>
        <v xml:space="preserve"> </v>
      </c>
      <c r="J756" s="1" t="str">
        <f>IF(B756=0,VLOOKUP(A756,Feuil2!$A$2:$M$1241,9,FALSE)," ")</f>
        <v xml:space="preserve"> </v>
      </c>
      <c r="K756" s="1" t="str">
        <f>IF(B756=0,VLOOKUP(A756,Feuil2!$A$2:$M$1241,10,FALSE)," ")</f>
        <v xml:space="preserve"> </v>
      </c>
      <c r="L756" s="1"/>
      <c r="M756" s="1"/>
      <c r="N756" s="1"/>
      <c r="O756" s="8" t="str">
        <f>IF(B756=0,VLOOKUP(A756,Feuil2!$A$2:$M$1241,13,FALSE)," ")</f>
        <v xml:space="preserve"> </v>
      </c>
    </row>
    <row r="757" spans="1:15" x14ac:dyDescent="0.3">
      <c r="A757" s="1">
        <v>640</v>
      </c>
      <c r="B757" s="1">
        <v>2</v>
      </c>
      <c r="C757" s="1" t="s">
        <v>33</v>
      </c>
      <c r="D757" s="1" t="s">
        <v>2367</v>
      </c>
      <c r="E757" s="5">
        <v>37425</v>
      </c>
      <c r="F757" s="1" t="s">
        <v>17</v>
      </c>
      <c r="G757" s="1" t="str">
        <f>IF(B757=0,VLOOKUP(A757,Feuil2!$A$2:$M$1241,11,FALSE)," ")</f>
        <v xml:space="preserve"> </v>
      </c>
      <c r="H757" s="1" t="s">
        <v>16</v>
      </c>
      <c r="I757" s="6" t="str">
        <f>IF(B757=0,VLOOKUP(A757,Feuil2!$A$2:$M$1241,7,FALSE)," ")</f>
        <v xml:space="preserve"> </v>
      </c>
      <c r="J757" s="1" t="str">
        <f>IF(B757=0,VLOOKUP(A757,Feuil2!$A$2:$M$1241,9,FALSE)," ")</f>
        <v xml:space="preserve"> </v>
      </c>
      <c r="K757" s="1" t="str">
        <f>IF(B757=0,VLOOKUP(A757,Feuil2!$A$2:$M$1241,10,FALSE)," ")</f>
        <v xml:space="preserve"> </v>
      </c>
      <c r="L757" s="1"/>
      <c r="M757" s="1"/>
      <c r="N757" s="1"/>
      <c r="O757" s="8" t="str">
        <f>IF(B757=0,VLOOKUP(A757,Feuil2!$A$2:$M$1241,13,FALSE)," ")</f>
        <v xml:space="preserve"> </v>
      </c>
    </row>
    <row r="758" spans="1:15" x14ac:dyDescent="0.3">
      <c r="A758" s="1">
        <v>640</v>
      </c>
      <c r="B758" s="1">
        <v>3</v>
      </c>
      <c r="C758" s="1" t="s">
        <v>33</v>
      </c>
      <c r="D758" s="1" t="s">
        <v>2362</v>
      </c>
      <c r="E758" s="5">
        <v>37979</v>
      </c>
      <c r="F758" s="1" t="s">
        <v>17</v>
      </c>
      <c r="G758" s="1" t="str">
        <f>IF(B758=0,VLOOKUP(A758,Feuil2!$A$2:$M$1241,11,FALSE)," ")</f>
        <v xml:space="preserve"> </v>
      </c>
      <c r="H758" s="1" t="s">
        <v>16</v>
      </c>
      <c r="I758" s="6" t="str">
        <f>IF(B758=0,VLOOKUP(A758,Feuil2!$A$2:$M$1241,7,FALSE)," ")</f>
        <v xml:space="preserve"> </v>
      </c>
      <c r="J758" s="1" t="str">
        <f>IF(B758=0,VLOOKUP(A758,Feuil2!$A$2:$M$1241,9,FALSE)," ")</f>
        <v xml:space="preserve"> </v>
      </c>
      <c r="K758" s="1" t="str">
        <f>IF(B758=0,VLOOKUP(A758,Feuil2!$A$2:$M$1241,10,FALSE)," ")</f>
        <v xml:space="preserve"> </v>
      </c>
      <c r="L758" s="1"/>
      <c r="M758" s="1"/>
      <c r="N758" s="1"/>
      <c r="O758" s="8" t="str">
        <f>IF(B758=0,VLOOKUP(A758,Feuil2!$A$2:$M$1241,13,FALSE)," ")</f>
        <v xml:space="preserve"> </v>
      </c>
    </row>
    <row r="759" spans="1:15" x14ac:dyDescent="0.3">
      <c r="A759" s="1">
        <v>640</v>
      </c>
      <c r="B759" s="1">
        <v>4</v>
      </c>
      <c r="C759" s="1" t="s">
        <v>33</v>
      </c>
      <c r="D759" s="1" t="s">
        <v>2594</v>
      </c>
      <c r="E759" s="5">
        <v>39329</v>
      </c>
      <c r="F759" s="1" t="s">
        <v>506</v>
      </c>
      <c r="G759" s="1" t="str">
        <f>IF(B759=0,VLOOKUP(A759,Feuil2!$A$2:$M$1241,11,FALSE)," ")</f>
        <v xml:space="preserve"> </v>
      </c>
      <c r="H759" s="1" t="s">
        <v>16</v>
      </c>
      <c r="I759" s="6" t="str">
        <f>IF(B759=0,VLOOKUP(A759,Feuil2!$A$2:$M$1241,7,FALSE)," ")</f>
        <v xml:space="preserve"> </v>
      </c>
      <c r="J759" s="1" t="str">
        <f>IF(B759=0,VLOOKUP(A759,Feuil2!$A$2:$M$1241,9,FALSE)," ")</f>
        <v xml:space="preserve"> </v>
      </c>
      <c r="K759" s="1" t="str">
        <f>IF(B759=0,VLOOKUP(A759,Feuil2!$A$2:$M$1241,10,FALSE)," ")</f>
        <v xml:space="preserve"> </v>
      </c>
      <c r="L759" s="1"/>
      <c r="M759" s="1"/>
      <c r="N759" s="1"/>
      <c r="O759" s="8" t="str">
        <f>IF(B759=0,VLOOKUP(A759,Feuil2!$A$2:$M$1241,13,FALSE)," ")</f>
        <v xml:space="preserve"> </v>
      </c>
    </row>
    <row r="760" spans="1:15" x14ac:dyDescent="0.3">
      <c r="A760" s="1">
        <v>656</v>
      </c>
      <c r="B760" s="1">
        <v>0</v>
      </c>
      <c r="C760" s="1" t="str">
        <f>IF(B760=0,VLOOKUP(A760,Feuil2!$A$2:$M$1241,2,FALSE)," ")</f>
        <v>CHEBIL</v>
      </c>
      <c r="D760" s="1" t="str">
        <f>IF(B760=0,VLOOKUP(A760,Feuil2!$A$2:$M$1241,3,FALSE)," ")</f>
        <v>MOHAMED MONCEF</v>
      </c>
      <c r="E760" s="5">
        <f>IF(B760=0,VLOOKUP(A760,Feuil2!$A$2:$M$1241,6,FALSE)," ")</f>
        <v>24939</v>
      </c>
      <c r="F760" s="1" t="str">
        <f>IF(B760=0,VLOOKUP(A760,Feuil2!$A$2:$M$1241,12,FALSE)," ")</f>
        <v>H</v>
      </c>
      <c r="G760" s="1" t="str">
        <f>IF(B760=0,VLOOKUP(A760,Feuil2!$A$2:$M$1241,11,FALSE)," ")</f>
        <v>M</v>
      </c>
      <c r="H760" s="1" t="s">
        <v>16</v>
      </c>
      <c r="I760" s="6">
        <f>IF(B760=0,VLOOKUP(A760,Feuil2!$A$2:$M$1241,7,FALSE)," ")</f>
        <v>2995824</v>
      </c>
      <c r="J760" s="1" t="str">
        <f>IF(B760=0,VLOOKUP(A760,Feuil2!$A$2:$M$1241,9,FALSE)," ")</f>
        <v>7 Rue Tarek Ibn Zied</v>
      </c>
      <c r="K760" s="1" t="str">
        <f>IF(B760=0,VLOOKUP(A760,Feuil2!$A$2:$M$1241,10,FALSE)," ")</f>
        <v>Msaken 4070</v>
      </c>
      <c r="L760" s="1">
        <v>4070</v>
      </c>
      <c r="M760" s="1">
        <v>98481056</v>
      </c>
      <c r="N760" s="1"/>
      <c r="O760" s="8" t="str">
        <f>IF(B760=0,VLOOKUP(A760,Feuil2!$A$2:$M$1241,13,FALSE)," ")</f>
        <v>05048000116500011767</v>
      </c>
    </row>
    <row r="761" spans="1:15" x14ac:dyDescent="0.3">
      <c r="A761" s="1">
        <v>656</v>
      </c>
      <c r="B761" s="1">
        <v>1</v>
      </c>
      <c r="C761" s="1" t="s">
        <v>161</v>
      </c>
      <c r="D761" s="1" t="s">
        <v>2595</v>
      </c>
      <c r="E761" s="5">
        <v>27198</v>
      </c>
      <c r="F761" s="1" t="s">
        <v>17</v>
      </c>
      <c r="G761" s="1" t="s">
        <v>15</v>
      </c>
      <c r="H761" s="1" t="s">
        <v>16</v>
      </c>
      <c r="I761" s="6" t="str">
        <f>IF(B761=0,VLOOKUP(A761,Feuil2!$A$2:$M$1241,7,FALSE)," ")</f>
        <v xml:space="preserve"> </v>
      </c>
      <c r="J761" s="1" t="str">
        <f>IF(B761=0,VLOOKUP(A761,Feuil2!$A$2:$M$1241,9,FALSE)," ")</f>
        <v xml:space="preserve"> </v>
      </c>
      <c r="K761" s="1" t="str">
        <f>IF(B761=0,VLOOKUP(A761,Feuil2!$A$2:$M$1241,10,FALSE)," ")</f>
        <v xml:space="preserve"> </v>
      </c>
      <c r="L761" s="1"/>
      <c r="M761" s="1"/>
      <c r="N761" s="1"/>
      <c r="O761" s="8" t="str">
        <f>IF(B761=0,VLOOKUP(A761,Feuil2!$A$2:$M$1241,13,FALSE)," ")</f>
        <v xml:space="preserve"> </v>
      </c>
    </row>
    <row r="762" spans="1:15" x14ac:dyDescent="0.3">
      <c r="A762" s="1">
        <v>656</v>
      </c>
      <c r="B762" s="1">
        <v>2</v>
      </c>
      <c r="C762" s="1" t="s">
        <v>394</v>
      </c>
      <c r="D762" s="1" t="s">
        <v>2596</v>
      </c>
      <c r="E762" s="5">
        <v>39964</v>
      </c>
      <c r="F762" s="1" t="s">
        <v>17</v>
      </c>
      <c r="G762" s="1" t="str">
        <f>IF(B762=0,VLOOKUP(A762,Feuil2!$A$2:$M$1241,11,FALSE)," ")</f>
        <v xml:space="preserve"> </v>
      </c>
      <c r="H762" s="1" t="s">
        <v>16</v>
      </c>
      <c r="I762" s="6" t="str">
        <f>IF(B762=0,VLOOKUP(A762,Feuil2!$A$2:$M$1241,7,FALSE)," ")</f>
        <v xml:space="preserve"> </v>
      </c>
      <c r="J762" s="1" t="str">
        <f>IF(B762=0,VLOOKUP(A762,Feuil2!$A$2:$M$1241,9,FALSE)," ")</f>
        <v xml:space="preserve"> </v>
      </c>
      <c r="K762" s="1" t="str">
        <f>IF(B762=0,VLOOKUP(A762,Feuil2!$A$2:$M$1241,10,FALSE)," ")</f>
        <v xml:space="preserve"> </v>
      </c>
      <c r="L762" s="1"/>
      <c r="M762" s="1"/>
      <c r="N762" s="1"/>
      <c r="O762" s="8" t="str">
        <f>IF(B762=0,VLOOKUP(A762,Feuil2!$A$2:$M$1241,13,FALSE)," ")</f>
        <v xml:space="preserve"> </v>
      </c>
    </row>
    <row r="763" spans="1:15" x14ac:dyDescent="0.3">
      <c r="A763" s="1">
        <v>661</v>
      </c>
      <c r="B763" s="1">
        <v>0</v>
      </c>
      <c r="C763" s="1" t="str">
        <f>IF(B763=0,VLOOKUP(A763,Feuil2!$A$2:$M$1241,2,FALSE)," ")</f>
        <v>BEN HMED</v>
      </c>
      <c r="D763" s="1" t="str">
        <f>IF(B763=0,VLOOKUP(A763,Feuil2!$A$2:$M$1241,3,FALSE)," ")</f>
        <v>MOHSEN</v>
      </c>
      <c r="E763" s="5">
        <f>IF(B763=0,VLOOKUP(A763,Feuil2!$A$2:$M$1241,6,FALSE)," ")</f>
        <v>25154</v>
      </c>
      <c r="F763" s="1" t="str">
        <f>IF(B763=0,VLOOKUP(A763,Feuil2!$A$2:$M$1241,12,FALSE)," ")</f>
        <v>H</v>
      </c>
      <c r="G763" s="1" t="str">
        <f>IF(B763=0,VLOOKUP(A763,Feuil2!$A$2:$M$1241,11,FALSE)," ")</f>
        <v>M</v>
      </c>
      <c r="H763" s="1" t="s">
        <v>16</v>
      </c>
      <c r="I763" s="6">
        <f>IF(B763=0,VLOOKUP(A763,Feuil2!$A$2:$M$1241,7,FALSE)," ")</f>
        <v>4162860</v>
      </c>
      <c r="J763" s="1" t="str">
        <f>IF(B763=0,VLOOKUP(A763,Feuil2!$A$2:$M$1241,9,FALSE)," ")</f>
        <v>4015 Beni Rabiaa</v>
      </c>
      <c r="K763" s="1" t="str">
        <f>IF(B763=0,VLOOKUP(A763,Feuil2!$A$2:$M$1241,10,FALSE)," ")</f>
        <v>BÃ©ni Rabiaa 4015</v>
      </c>
      <c r="L763" s="1"/>
      <c r="M763" s="1">
        <v>97225565</v>
      </c>
      <c r="N763" s="1"/>
      <c r="O763" s="8" t="str">
        <f>IF(B763=0,VLOOKUP(A763,Feuil2!$A$2:$M$1241,13,FALSE)," ")</f>
        <v>10506040203845778823</v>
      </c>
    </row>
    <row r="764" spans="1:15" x14ac:dyDescent="0.3">
      <c r="A764" s="1">
        <v>661</v>
      </c>
      <c r="B764" s="1">
        <v>1</v>
      </c>
      <c r="C764" s="1" t="s">
        <v>566</v>
      </c>
      <c r="D764" s="1" t="s">
        <v>1086</v>
      </c>
      <c r="E764" s="5">
        <v>27412</v>
      </c>
      <c r="F764" s="1" t="s">
        <v>17</v>
      </c>
      <c r="G764" s="1" t="s">
        <v>15</v>
      </c>
      <c r="H764" s="1" t="s">
        <v>16</v>
      </c>
      <c r="I764" s="6" t="str">
        <f>IF(B764=0,VLOOKUP(A764,Feuil2!$A$2:$M$1241,7,FALSE)," ")</f>
        <v xml:space="preserve"> </v>
      </c>
      <c r="J764" s="1" t="str">
        <f>IF(B764=0,VLOOKUP(A764,Feuil2!$A$2:$M$1241,9,FALSE)," ")</f>
        <v xml:space="preserve"> </v>
      </c>
      <c r="K764" s="1" t="str">
        <f>IF(B764=0,VLOOKUP(A764,Feuil2!$A$2:$M$1241,10,FALSE)," ")</f>
        <v xml:space="preserve"> </v>
      </c>
      <c r="L764" s="1"/>
      <c r="M764" s="1"/>
      <c r="N764" s="1"/>
      <c r="O764" s="8" t="str">
        <f>IF(B764=0,VLOOKUP(A764,Feuil2!$A$2:$M$1241,13,FALSE)," ")</f>
        <v xml:space="preserve"> </v>
      </c>
    </row>
    <row r="765" spans="1:15" x14ac:dyDescent="0.3">
      <c r="A765" s="1">
        <v>661</v>
      </c>
      <c r="B765" s="1">
        <v>2</v>
      </c>
      <c r="C765" s="1" t="s">
        <v>1131</v>
      </c>
      <c r="D765" s="1" t="s">
        <v>284</v>
      </c>
      <c r="E765" s="5">
        <v>36193</v>
      </c>
      <c r="F765" s="1" t="s">
        <v>506</v>
      </c>
      <c r="G765" s="1" t="str">
        <f>IF(B765=0,VLOOKUP(A765,Feuil2!$A$2:$M$1241,11,FALSE)," ")</f>
        <v xml:space="preserve"> </v>
      </c>
      <c r="H765" s="1" t="s">
        <v>16</v>
      </c>
      <c r="I765" s="6" t="str">
        <f>IF(B765=0,VLOOKUP(A765,Feuil2!$A$2:$M$1241,7,FALSE)," ")</f>
        <v xml:space="preserve"> </v>
      </c>
      <c r="J765" s="1" t="str">
        <f>IF(B765=0,VLOOKUP(A765,Feuil2!$A$2:$M$1241,9,FALSE)," ")</f>
        <v xml:space="preserve"> </v>
      </c>
      <c r="K765" s="1" t="str">
        <f>IF(B765=0,VLOOKUP(A765,Feuil2!$A$2:$M$1241,10,FALSE)," ")</f>
        <v xml:space="preserve"> </v>
      </c>
      <c r="L765" s="1"/>
      <c r="M765" s="1"/>
      <c r="N765" s="1"/>
      <c r="O765" s="8" t="str">
        <f>IF(B765=0,VLOOKUP(A765,Feuil2!$A$2:$M$1241,13,FALSE)," ")</f>
        <v xml:space="preserve"> </v>
      </c>
    </row>
    <row r="766" spans="1:15" x14ac:dyDescent="0.3">
      <c r="A766" s="1">
        <v>661</v>
      </c>
      <c r="B766" s="1">
        <v>3</v>
      </c>
      <c r="C766" s="1" t="s">
        <v>1131</v>
      </c>
      <c r="D766" s="1" t="s">
        <v>212</v>
      </c>
      <c r="E766" s="5">
        <v>37938</v>
      </c>
      <c r="F766" s="1" t="s">
        <v>506</v>
      </c>
      <c r="G766" s="1" t="str">
        <f>IF(B766=0,VLOOKUP(A766,Feuil2!$A$2:$M$1241,11,FALSE)," ")</f>
        <v xml:space="preserve"> </v>
      </c>
      <c r="H766" s="1" t="s">
        <v>16</v>
      </c>
      <c r="I766" s="6" t="str">
        <f>IF(B766=0,VLOOKUP(A766,Feuil2!$A$2:$M$1241,7,FALSE)," ")</f>
        <v xml:space="preserve"> </v>
      </c>
      <c r="J766" s="1" t="str">
        <f>IF(B766=0,VLOOKUP(A766,Feuil2!$A$2:$M$1241,9,FALSE)," ")</f>
        <v xml:space="preserve"> </v>
      </c>
      <c r="K766" s="1" t="str">
        <f>IF(B766=0,VLOOKUP(A766,Feuil2!$A$2:$M$1241,10,FALSE)," ")</f>
        <v xml:space="preserve"> </v>
      </c>
      <c r="L766" s="1"/>
      <c r="M766" s="1"/>
      <c r="N766" s="1"/>
      <c r="O766" s="8" t="str">
        <f>IF(B766=0,VLOOKUP(A766,Feuil2!$A$2:$M$1241,13,FALSE)," ")</f>
        <v xml:space="preserve"> </v>
      </c>
    </row>
    <row r="767" spans="1:15" x14ac:dyDescent="0.3">
      <c r="A767" s="1">
        <v>661</v>
      </c>
      <c r="B767" s="1">
        <v>4</v>
      </c>
      <c r="C767" s="1" t="s">
        <v>1131</v>
      </c>
      <c r="D767" s="1" t="s">
        <v>2332</v>
      </c>
      <c r="E767" s="5">
        <v>40430</v>
      </c>
      <c r="F767" s="1" t="s">
        <v>17</v>
      </c>
      <c r="G767" s="1" t="str">
        <f>IF(B767=0,VLOOKUP(A767,Feuil2!$A$2:$M$1241,11,FALSE)," ")</f>
        <v xml:space="preserve"> </v>
      </c>
      <c r="H767" s="1" t="s">
        <v>16</v>
      </c>
      <c r="I767" s="6" t="str">
        <f>IF(B767=0,VLOOKUP(A767,Feuil2!$A$2:$M$1241,7,FALSE)," ")</f>
        <v xml:space="preserve"> </v>
      </c>
      <c r="J767" s="1" t="str">
        <f>IF(B767=0,VLOOKUP(A767,Feuil2!$A$2:$M$1241,9,FALSE)," ")</f>
        <v xml:space="preserve"> </v>
      </c>
      <c r="K767" s="1" t="str">
        <f>IF(B767=0,VLOOKUP(A767,Feuil2!$A$2:$M$1241,10,FALSE)," ")</f>
        <v xml:space="preserve"> </v>
      </c>
      <c r="L767" s="1"/>
      <c r="M767" s="1"/>
      <c r="N767" s="1"/>
      <c r="O767" s="8" t="str">
        <f>IF(B767=0,VLOOKUP(A767,Feuil2!$A$2:$M$1241,13,FALSE)," ")</f>
        <v xml:space="preserve"> </v>
      </c>
    </row>
    <row r="768" spans="1:15" x14ac:dyDescent="0.3">
      <c r="A768" s="1">
        <v>662</v>
      </c>
      <c r="B768" s="1">
        <v>0</v>
      </c>
      <c r="C768" s="1" t="str">
        <f>IF(B768=0,VLOOKUP(A768,Feuil2!$A$2:$M$1241,2,FALSE)," ")</f>
        <v>BEN YOUSSEF</v>
      </c>
      <c r="D768" s="1" t="str">
        <f>IF(B768=0,VLOOKUP(A768,Feuil2!$A$2:$M$1241,3,FALSE)," ")</f>
        <v>RACHED</v>
      </c>
      <c r="E768" s="5">
        <f>IF(B768=0,VLOOKUP(A768,Feuil2!$A$2:$M$1241,6,FALSE)," ")</f>
        <v>24678</v>
      </c>
      <c r="F768" s="1" t="str">
        <f>IF(B768=0,VLOOKUP(A768,Feuil2!$A$2:$M$1241,12,FALSE)," ")</f>
        <v>H</v>
      </c>
      <c r="G768" s="1" t="str">
        <f>IF(B768=0,VLOOKUP(A768,Feuil2!$A$2:$M$1241,11,FALSE)," ")</f>
        <v>M</v>
      </c>
      <c r="H768" s="1" t="s">
        <v>16</v>
      </c>
      <c r="I768" s="6">
        <f>IF(B768=0,VLOOKUP(A768,Feuil2!$A$2:$M$1241,7,FALSE)," ")</f>
        <v>2981354</v>
      </c>
      <c r="J768" s="1" t="str">
        <f>IF(B768=0,VLOOKUP(A768,Feuil2!$A$2:$M$1241,9,FALSE)," ")</f>
        <v>8 Rue Ibn El Jazzar</v>
      </c>
      <c r="K768" s="1" t="str">
        <f>IF(B768=0,VLOOKUP(A768,Feuil2!$A$2:$M$1241,10,FALSE)," ")</f>
        <v>Messadine 4013</v>
      </c>
      <c r="L768" s="1"/>
      <c r="M768" s="1">
        <v>29073920</v>
      </c>
      <c r="N768" s="1"/>
      <c r="O768" s="8" t="str">
        <f>IF(B768=0,VLOOKUP(A768,Feuil2!$A$2:$M$1241,13,FALSE)," ")</f>
        <v>25018000000009849449</v>
      </c>
    </row>
    <row r="769" spans="1:15" x14ac:dyDescent="0.3">
      <c r="A769" s="1">
        <v>662</v>
      </c>
      <c r="B769" s="1">
        <v>1</v>
      </c>
      <c r="C769" s="1" t="str">
        <f>IF(B769=0,VLOOKUP(A769,Feuil2!$A$2:$M$1241,2,FALSE)," ")</f>
        <v xml:space="preserve"> </v>
      </c>
      <c r="D769" s="1" t="s">
        <v>2408</v>
      </c>
      <c r="E769" s="5">
        <v>28844</v>
      </c>
      <c r="F769" s="1" t="s">
        <v>17</v>
      </c>
      <c r="G769" s="1" t="s">
        <v>15</v>
      </c>
      <c r="H769" s="1" t="s">
        <v>16</v>
      </c>
      <c r="I769" s="6" t="str">
        <f>IF(B769=0,VLOOKUP(A769,Feuil2!$A$2:$M$1241,7,FALSE)," ")</f>
        <v xml:space="preserve"> </v>
      </c>
      <c r="J769" s="1" t="str">
        <f>IF(B769=0,VLOOKUP(A769,Feuil2!$A$2:$M$1241,9,FALSE)," ")</f>
        <v xml:space="preserve"> </v>
      </c>
      <c r="K769" s="1" t="str">
        <f>IF(B769=0,VLOOKUP(A769,Feuil2!$A$2:$M$1241,10,FALSE)," ")</f>
        <v xml:space="preserve"> </v>
      </c>
      <c r="L769" s="1"/>
      <c r="M769" s="1"/>
      <c r="N769" s="1"/>
      <c r="O769" s="8" t="str">
        <f>IF(B769=0,VLOOKUP(A769,Feuil2!$A$2:$M$1241,13,FALSE)," ")</f>
        <v xml:space="preserve"> </v>
      </c>
    </row>
    <row r="770" spans="1:15" x14ac:dyDescent="0.3">
      <c r="A770" s="1">
        <v>662</v>
      </c>
      <c r="B770" s="1">
        <v>2</v>
      </c>
      <c r="C770" s="1" t="s">
        <v>171</v>
      </c>
      <c r="D770" s="1" t="s">
        <v>2597</v>
      </c>
      <c r="E770" s="5">
        <v>35356</v>
      </c>
      <c r="F770" s="1" t="s">
        <v>17</v>
      </c>
      <c r="G770" s="1" t="str">
        <f>IF(B770=0,VLOOKUP(A770,Feuil2!$A$2:$M$1241,11,FALSE)," ")</f>
        <v xml:space="preserve"> </v>
      </c>
      <c r="H770" s="1" t="s">
        <v>16</v>
      </c>
      <c r="I770" s="6" t="str">
        <f>IF(B770=0,VLOOKUP(A770,Feuil2!$A$2:$M$1241,7,FALSE)," ")</f>
        <v xml:space="preserve"> </v>
      </c>
      <c r="J770" s="1" t="str">
        <f>IF(B770=0,VLOOKUP(A770,Feuil2!$A$2:$M$1241,9,FALSE)," ")</f>
        <v xml:space="preserve"> </v>
      </c>
      <c r="K770" s="1" t="str">
        <f>IF(B770=0,VLOOKUP(A770,Feuil2!$A$2:$M$1241,10,FALSE)," ")</f>
        <v xml:space="preserve"> </v>
      </c>
      <c r="L770" s="1"/>
      <c r="M770" s="1"/>
      <c r="N770" s="1"/>
      <c r="O770" s="8" t="str">
        <f>IF(B770=0,VLOOKUP(A770,Feuil2!$A$2:$M$1241,13,FALSE)," ")</f>
        <v xml:space="preserve"> </v>
      </c>
    </row>
    <row r="771" spans="1:15" x14ac:dyDescent="0.3">
      <c r="A771" s="1">
        <v>662</v>
      </c>
      <c r="B771" s="1">
        <v>3</v>
      </c>
      <c r="C771" s="1" t="s">
        <v>171</v>
      </c>
      <c r="D771" s="1" t="s">
        <v>89</v>
      </c>
      <c r="E771" s="5">
        <v>36740</v>
      </c>
      <c r="F771" s="1" t="s">
        <v>506</v>
      </c>
      <c r="G771" s="1" t="str">
        <f>IF(B771=0,VLOOKUP(A771,Feuil2!$A$2:$M$1241,11,FALSE)," ")</f>
        <v xml:space="preserve"> </v>
      </c>
      <c r="H771" s="1" t="s">
        <v>16</v>
      </c>
      <c r="I771" s="6" t="str">
        <f>IF(B771=0,VLOOKUP(A771,Feuil2!$A$2:$M$1241,7,FALSE)," ")</f>
        <v xml:space="preserve"> </v>
      </c>
      <c r="J771" s="1" t="str">
        <f>IF(B771=0,VLOOKUP(A771,Feuil2!$A$2:$M$1241,9,FALSE)," ")</f>
        <v xml:space="preserve"> </v>
      </c>
      <c r="K771" s="1" t="str">
        <f>IF(B771=0,VLOOKUP(A771,Feuil2!$A$2:$M$1241,10,FALSE)," ")</f>
        <v xml:space="preserve"> </v>
      </c>
      <c r="L771" s="1"/>
      <c r="M771" s="1"/>
      <c r="N771" s="1"/>
      <c r="O771" s="8" t="str">
        <f>IF(B771=0,VLOOKUP(A771,Feuil2!$A$2:$M$1241,13,FALSE)," ")</f>
        <v xml:space="preserve"> </v>
      </c>
    </row>
    <row r="772" spans="1:15" x14ac:dyDescent="0.3">
      <c r="A772" s="1">
        <v>662</v>
      </c>
      <c r="B772" s="1">
        <v>4</v>
      </c>
      <c r="C772" s="1" t="s">
        <v>171</v>
      </c>
      <c r="D772" s="1" t="s">
        <v>34</v>
      </c>
      <c r="E772" s="5">
        <v>37161</v>
      </c>
      <c r="F772" s="1" t="s">
        <v>506</v>
      </c>
      <c r="G772" s="1" t="str">
        <f>IF(B772=0,VLOOKUP(A772,Feuil2!$A$2:$M$1241,11,FALSE)," ")</f>
        <v xml:space="preserve"> </v>
      </c>
      <c r="H772" s="1" t="s">
        <v>16</v>
      </c>
      <c r="I772" s="6" t="str">
        <f>IF(B772=0,VLOOKUP(A772,Feuil2!$A$2:$M$1241,7,FALSE)," ")</f>
        <v xml:space="preserve"> </v>
      </c>
      <c r="J772" s="1" t="str">
        <f>IF(B772=0,VLOOKUP(A772,Feuil2!$A$2:$M$1241,9,FALSE)," ")</f>
        <v xml:space="preserve"> </v>
      </c>
      <c r="K772" s="1" t="str">
        <f>IF(B772=0,VLOOKUP(A772,Feuil2!$A$2:$M$1241,10,FALSE)," ")</f>
        <v xml:space="preserve"> </v>
      </c>
      <c r="L772" s="1"/>
      <c r="M772" s="1"/>
      <c r="N772" s="1"/>
      <c r="O772" s="8" t="str">
        <f>IF(B772=0,VLOOKUP(A772,Feuil2!$A$2:$M$1241,13,FALSE)," ")</f>
        <v xml:space="preserve"> </v>
      </c>
    </row>
    <row r="773" spans="1:15" x14ac:dyDescent="0.3">
      <c r="A773" s="1">
        <v>662</v>
      </c>
      <c r="B773" s="1">
        <v>5</v>
      </c>
      <c r="C773" s="1" t="s">
        <v>171</v>
      </c>
      <c r="D773" s="1" t="s">
        <v>2598</v>
      </c>
      <c r="E773" s="5">
        <v>37869</v>
      </c>
      <c r="F773" s="1" t="s">
        <v>506</v>
      </c>
      <c r="G773" s="1" t="str">
        <f>IF(B773=0,VLOOKUP(A773,Feuil2!$A$2:$M$1241,11,FALSE)," ")</f>
        <v xml:space="preserve"> </v>
      </c>
      <c r="H773" s="1" t="s">
        <v>16</v>
      </c>
      <c r="I773" s="6" t="str">
        <f>IF(B773=0,VLOOKUP(A773,Feuil2!$A$2:$M$1241,7,FALSE)," ")</f>
        <v xml:space="preserve"> </v>
      </c>
      <c r="J773" s="1" t="str">
        <f>IF(B773=0,VLOOKUP(A773,Feuil2!$A$2:$M$1241,9,FALSE)," ")</f>
        <v xml:space="preserve"> </v>
      </c>
      <c r="K773" s="1" t="str">
        <f>IF(B773=0,VLOOKUP(A773,Feuil2!$A$2:$M$1241,10,FALSE)," ")</f>
        <v xml:space="preserve"> </v>
      </c>
      <c r="L773" s="1"/>
      <c r="M773" s="1"/>
      <c r="N773" s="1"/>
      <c r="O773" s="8" t="str">
        <f>IF(B773=0,VLOOKUP(A773,Feuil2!$A$2:$M$1241,13,FALSE)," ")</f>
        <v xml:space="preserve"> </v>
      </c>
    </row>
    <row r="774" spans="1:15" x14ac:dyDescent="0.3">
      <c r="A774" s="1">
        <v>662</v>
      </c>
      <c r="B774" s="1">
        <v>6</v>
      </c>
      <c r="C774" s="1" t="s">
        <v>171</v>
      </c>
      <c r="D774" s="1" t="s">
        <v>2599</v>
      </c>
      <c r="E774" s="5">
        <v>40250</v>
      </c>
      <c r="F774" s="1" t="s">
        <v>506</v>
      </c>
      <c r="G774" s="1" t="str">
        <f>IF(B774=0,VLOOKUP(A774,Feuil2!$A$2:$M$1241,11,FALSE)," ")</f>
        <v xml:space="preserve"> </v>
      </c>
      <c r="H774" s="1" t="s">
        <v>16</v>
      </c>
      <c r="I774" s="6" t="str">
        <f>IF(B774=0,VLOOKUP(A774,Feuil2!$A$2:$M$1241,7,FALSE)," ")</f>
        <v xml:space="preserve"> </v>
      </c>
      <c r="J774" s="1" t="str">
        <f>IF(B774=0,VLOOKUP(A774,Feuil2!$A$2:$M$1241,9,FALSE)," ")</f>
        <v xml:space="preserve"> </v>
      </c>
      <c r="K774" s="1" t="str">
        <f>IF(B774=0,VLOOKUP(A774,Feuil2!$A$2:$M$1241,10,FALSE)," ")</f>
        <v xml:space="preserve"> </v>
      </c>
      <c r="L774" s="1"/>
      <c r="M774" s="1"/>
      <c r="N774" s="1"/>
      <c r="O774" s="8" t="str">
        <f>IF(B774=0,VLOOKUP(A774,Feuil2!$A$2:$M$1241,13,FALSE)," ")</f>
        <v xml:space="preserve"> </v>
      </c>
    </row>
    <row r="775" spans="1:15" x14ac:dyDescent="0.3">
      <c r="A775" s="1">
        <v>675</v>
      </c>
      <c r="B775" s="1">
        <v>0</v>
      </c>
      <c r="C775" s="1" t="str">
        <f>IF(B775=0,VLOOKUP(A775,Feuil2!$A$2:$M$1241,2,FALSE)," ")</f>
        <v>BOUBAKER</v>
      </c>
      <c r="D775" s="1" t="str">
        <f>IF(B775=0,VLOOKUP(A775,Feuil2!$A$2:$M$1241,3,FALSE)," ")</f>
        <v>MAHER</v>
      </c>
      <c r="E775" s="5">
        <f>IF(B775=0,VLOOKUP(A775,Feuil2!$A$2:$M$1241,6,FALSE)," ")</f>
        <v>24482</v>
      </c>
      <c r="F775" s="1" t="str">
        <f>IF(B775=0,VLOOKUP(A775,Feuil2!$A$2:$M$1241,12,FALSE)," ")</f>
        <v>H</v>
      </c>
      <c r="G775" s="1" t="str">
        <f>IF(B775=0,VLOOKUP(A775,Feuil2!$A$2:$M$1241,11,FALSE)," ")</f>
        <v>M</v>
      </c>
      <c r="H775" s="1" t="s">
        <v>16</v>
      </c>
      <c r="I775" s="6">
        <f>IF(B775=0,VLOOKUP(A775,Feuil2!$A$2:$M$1241,7,FALSE)," ")</f>
        <v>2977030</v>
      </c>
      <c r="J775" s="1" t="str">
        <f>IF(B775=0,VLOOKUP(A775,Feuil2!$A$2:$M$1241,9,FALSE)," ")</f>
        <v>Rue de la RÃ©publique</v>
      </c>
      <c r="K775" s="1" t="str">
        <f>IF(B775=0,VLOOKUP(A775,Feuil2!$A$2:$M$1241,10,FALSE)," ")</f>
        <v>Messadine 4013</v>
      </c>
      <c r="L775" s="1"/>
      <c r="M775" s="1">
        <v>52686714</v>
      </c>
      <c r="N775" s="1"/>
      <c r="O775" s="8" t="str">
        <f>IF(B775=0,VLOOKUP(A775,Feuil2!$A$2:$M$1241,13,FALSE)," ")</f>
        <v>10506040204381278866</v>
      </c>
    </row>
    <row r="776" spans="1:15" x14ac:dyDescent="0.3">
      <c r="A776" s="1">
        <v>675</v>
      </c>
      <c r="B776" s="1">
        <v>1</v>
      </c>
      <c r="C776" s="1" t="str">
        <f>IF(B776=0,VLOOKUP(A776,Feuil2!$A$2:$M$1241,2,FALSE)," ")</f>
        <v xml:space="preserve"> </v>
      </c>
      <c r="D776" s="1" t="s">
        <v>746</v>
      </c>
      <c r="E776" s="5">
        <v>26671</v>
      </c>
      <c r="F776" s="1" t="s">
        <v>17</v>
      </c>
      <c r="G776" s="1" t="s">
        <v>15</v>
      </c>
      <c r="H776" s="1" t="s">
        <v>16</v>
      </c>
      <c r="I776" s="6" t="str">
        <f>IF(B776=0,VLOOKUP(A776,Feuil2!$A$2:$M$1241,7,FALSE)," ")</f>
        <v xml:space="preserve"> </v>
      </c>
      <c r="J776" s="1" t="str">
        <f>IF(B776=0,VLOOKUP(A776,Feuil2!$A$2:$M$1241,9,FALSE)," ")</f>
        <v xml:space="preserve"> </v>
      </c>
      <c r="K776" s="1" t="str">
        <f>IF(B776=0,VLOOKUP(A776,Feuil2!$A$2:$M$1241,10,FALSE)," ")</f>
        <v xml:space="preserve"> </v>
      </c>
      <c r="L776" s="1"/>
      <c r="M776" s="1"/>
      <c r="N776" s="1"/>
      <c r="O776" s="8" t="str">
        <f>IF(B776=0,VLOOKUP(A776,Feuil2!$A$2:$M$1241,13,FALSE)," ")</f>
        <v xml:space="preserve"> </v>
      </c>
    </row>
    <row r="777" spans="1:15" x14ac:dyDescent="0.3">
      <c r="A777" s="1">
        <v>675</v>
      </c>
      <c r="B777" s="1">
        <v>2</v>
      </c>
      <c r="C777" s="1" t="s">
        <v>488</v>
      </c>
      <c r="D777" s="1" t="s">
        <v>230</v>
      </c>
      <c r="E777" s="5">
        <v>37965</v>
      </c>
      <c r="F777" s="1" t="s">
        <v>506</v>
      </c>
      <c r="G777" s="1" t="str">
        <f>IF(B777=0,VLOOKUP(A777,Feuil2!$A$2:$M$1241,11,FALSE)," ")</f>
        <v xml:space="preserve"> </v>
      </c>
      <c r="H777" s="1" t="s">
        <v>16</v>
      </c>
      <c r="I777" s="6" t="str">
        <f>IF(B777=0,VLOOKUP(A777,Feuil2!$A$2:$M$1241,7,FALSE)," ")</f>
        <v xml:space="preserve"> </v>
      </c>
      <c r="J777" s="1" t="str">
        <f>IF(B777=0,VLOOKUP(A777,Feuil2!$A$2:$M$1241,9,FALSE)," ")</f>
        <v xml:space="preserve"> </v>
      </c>
      <c r="K777" s="1" t="str">
        <f>IF(B777=0,VLOOKUP(A777,Feuil2!$A$2:$M$1241,10,FALSE)," ")</f>
        <v xml:space="preserve"> </v>
      </c>
      <c r="L777" s="1"/>
      <c r="M777" s="1"/>
      <c r="N777" s="1"/>
      <c r="O777" s="8" t="str">
        <f>IF(B777=0,VLOOKUP(A777,Feuil2!$A$2:$M$1241,13,FALSE)," ")</f>
        <v xml:space="preserve"> </v>
      </c>
    </row>
    <row r="778" spans="1:15" x14ac:dyDescent="0.3">
      <c r="A778" s="1">
        <v>675</v>
      </c>
      <c r="B778" s="1">
        <v>3</v>
      </c>
      <c r="C778" s="1" t="s">
        <v>488</v>
      </c>
      <c r="D778" s="1" t="s">
        <v>61</v>
      </c>
      <c r="E778" s="5">
        <v>40143</v>
      </c>
      <c r="F778" s="1" t="s">
        <v>506</v>
      </c>
      <c r="G778" s="1" t="str">
        <f>IF(B778=0,VLOOKUP(A778,Feuil2!$A$2:$M$1241,11,FALSE)," ")</f>
        <v xml:space="preserve"> </v>
      </c>
      <c r="H778" s="1" t="s">
        <v>16</v>
      </c>
      <c r="I778" s="6" t="str">
        <f>IF(B778=0,VLOOKUP(A778,Feuil2!$A$2:$M$1241,7,FALSE)," ")</f>
        <v xml:space="preserve"> </v>
      </c>
      <c r="J778" s="1" t="str">
        <f>IF(B778=0,VLOOKUP(A778,Feuil2!$A$2:$M$1241,9,FALSE)," ")</f>
        <v xml:space="preserve"> </v>
      </c>
      <c r="K778" s="1" t="str">
        <f>IF(B778=0,VLOOKUP(A778,Feuil2!$A$2:$M$1241,10,FALSE)," ")</f>
        <v xml:space="preserve"> </v>
      </c>
      <c r="L778" s="1"/>
      <c r="M778" s="1"/>
      <c r="N778" s="1"/>
      <c r="O778" s="8" t="str">
        <f>IF(B778=0,VLOOKUP(A778,Feuil2!$A$2:$M$1241,13,FALSE)," ")</f>
        <v xml:space="preserve"> </v>
      </c>
    </row>
    <row r="779" spans="1:15" x14ac:dyDescent="0.3">
      <c r="A779" s="1">
        <v>692</v>
      </c>
      <c r="B779" s="1">
        <v>0</v>
      </c>
      <c r="C779" s="1" t="str">
        <f>IF(B779=0,VLOOKUP(A779,Feuil2!$A$2:$M$1241,2,FALSE)," ")</f>
        <v>ABDELLAH</v>
      </c>
      <c r="D779" s="1" t="str">
        <f>IF(B779=0,VLOOKUP(A779,Feuil2!$A$2:$M$1241,3,FALSE)," ")</f>
        <v>MOHAMED</v>
      </c>
      <c r="E779" s="5">
        <f>IF(B779=0,VLOOKUP(A779,Feuil2!$A$2:$M$1241,6,FALSE)," ")</f>
        <v>25360</v>
      </c>
      <c r="F779" s="1" t="str">
        <f>IF(B779=0,VLOOKUP(A779,Feuil2!$A$2:$M$1241,12,FALSE)," ")</f>
        <v>H</v>
      </c>
      <c r="G779" s="1" t="str">
        <f>IF(B779=0,VLOOKUP(A779,Feuil2!$A$2:$M$1241,11,FALSE)," ")</f>
        <v>M</v>
      </c>
      <c r="H779" s="1" t="s">
        <v>16</v>
      </c>
      <c r="I779" s="6">
        <f>IF(B779=0,VLOOKUP(A779,Feuil2!$A$2:$M$1241,7,FALSE)," ")</f>
        <v>5506228</v>
      </c>
      <c r="J779" s="1" t="str">
        <f>IF(B779=0,VLOOKUP(A779,Feuil2!$A$2:$M$1241,9,FALSE)," ")</f>
        <v>142 Rue Khaireddine</v>
      </c>
      <c r="K779" s="1" t="str">
        <f>IF(B779=0,VLOOKUP(A779,Feuil2!$A$2:$M$1241,10,FALSE)," ")</f>
        <v>Msaken 4070</v>
      </c>
      <c r="L779" s="1">
        <v>4070</v>
      </c>
      <c r="M779" s="1">
        <v>5430256</v>
      </c>
      <c r="N779" s="1"/>
      <c r="O779" s="8" t="str">
        <f>IF(B779=0,VLOOKUP(A779,Feuil2!$A$2:$M$1241,13,FALSE)," ")</f>
        <v>05048000116500470868</v>
      </c>
    </row>
    <row r="780" spans="1:15" x14ac:dyDescent="0.3">
      <c r="A780" s="1">
        <v>692</v>
      </c>
      <c r="B780" s="1">
        <v>1</v>
      </c>
      <c r="C780" s="1" t="s">
        <v>71</v>
      </c>
      <c r="D780" s="1" t="s">
        <v>596</v>
      </c>
      <c r="E780" s="5">
        <v>26429</v>
      </c>
      <c r="F780" s="1" t="s">
        <v>17</v>
      </c>
      <c r="G780" s="1" t="s">
        <v>15</v>
      </c>
      <c r="H780" s="1" t="s">
        <v>16</v>
      </c>
      <c r="I780" s="6" t="str">
        <f>IF(B780=0,VLOOKUP(A780,Feuil2!$A$2:$M$1241,7,FALSE)," ")</f>
        <v xml:space="preserve"> </v>
      </c>
      <c r="J780" s="1" t="str">
        <f>IF(B780=0,VLOOKUP(A780,Feuil2!$A$2:$M$1241,9,FALSE)," ")</f>
        <v xml:space="preserve"> </v>
      </c>
      <c r="K780" s="1" t="str">
        <f>IF(B780=0,VLOOKUP(A780,Feuil2!$A$2:$M$1241,10,FALSE)," ")</f>
        <v xml:space="preserve"> </v>
      </c>
      <c r="L780" s="1"/>
      <c r="M780" s="1"/>
      <c r="N780" s="1"/>
      <c r="O780" s="8" t="str">
        <f>IF(B780=0,VLOOKUP(A780,Feuil2!$A$2:$M$1241,13,FALSE)," ")</f>
        <v xml:space="preserve"> </v>
      </c>
    </row>
    <row r="781" spans="1:15" x14ac:dyDescent="0.3">
      <c r="A781" s="1">
        <v>692</v>
      </c>
      <c r="B781" s="1">
        <v>2</v>
      </c>
      <c r="C781" s="1" t="s">
        <v>177</v>
      </c>
      <c r="D781" s="1" t="s">
        <v>2600</v>
      </c>
      <c r="E781" s="5">
        <v>35137</v>
      </c>
      <c r="F781" s="1" t="s">
        <v>17</v>
      </c>
      <c r="G781" s="1" t="str">
        <f>IF(B781=0,VLOOKUP(A781,Feuil2!$A$2:$M$1241,11,FALSE)," ")</f>
        <v xml:space="preserve"> </v>
      </c>
      <c r="H781" s="1" t="s">
        <v>16</v>
      </c>
      <c r="I781" s="6" t="str">
        <f>IF(B781=0,VLOOKUP(A781,Feuil2!$A$2:$M$1241,7,FALSE)," ")</f>
        <v xml:space="preserve"> </v>
      </c>
      <c r="J781" s="1" t="str">
        <f>IF(B781=0,VLOOKUP(A781,Feuil2!$A$2:$M$1241,9,FALSE)," ")</f>
        <v xml:space="preserve"> </v>
      </c>
      <c r="K781" s="1" t="str">
        <f>IF(B781=0,VLOOKUP(A781,Feuil2!$A$2:$M$1241,10,FALSE)," ")</f>
        <v xml:space="preserve"> </v>
      </c>
      <c r="L781" s="1"/>
      <c r="M781" s="1"/>
      <c r="N781" s="1"/>
      <c r="O781" s="8" t="str">
        <f>IF(B781=0,VLOOKUP(A781,Feuil2!$A$2:$M$1241,13,FALSE)," ")</f>
        <v xml:space="preserve"> </v>
      </c>
    </row>
    <row r="782" spans="1:15" x14ac:dyDescent="0.3">
      <c r="A782" s="1">
        <v>692</v>
      </c>
      <c r="B782" s="1">
        <v>3</v>
      </c>
      <c r="C782" s="1" t="s">
        <v>177</v>
      </c>
      <c r="D782" s="1" t="s">
        <v>232</v>
      </c>
      <c r="E782" s="5">
        <v>36663</v>
      </c>
      <c r="F782" s="1" t="s">
        <v>506</v>
      </c>
      <c r="G782" s="1" t="str">
        <f>IF(B782=0,VLOOKUP(A782,Feuil2!$A$2:$M$1241,11,FALSE)," ")</f>
        <v xml:space="preserve"> </v>
      </c>
      <c r="H782" s="1" t="s">
        <v>16</v>
      </c>
      <c r="I782" s="6" t="str">
        <f>IF(B782=0,VLOOKUP(A782,Feuil2!$A$2:$M$1241,7,FALSE)," ")</f>
        <v xml:space="preserve"> </v>
      </c>
      <c r="J782" s="1" t="str">
        <f>IF(B782=0,VLOOKUP(A782,Feuil2!$A$2:$M$1241,9,FALSE)," ")</f>
        <v xml:space="preserve"> </v>
      </c>
      <c r="K782" s="1" t="str">
        <f>IF(B782=0,VLOOKUP(A782,Feuil2!$A$2:$M$1241,10,FALSE)," ")</f>
        <v xml:space="preserve"> </v>
      </c>
      <c r="L782" s="1"/>
      <c r="M782" s="1"/>
      <c r="N782" s="1"/>
      <c r="O782" s="8" t="str">
        <f>IF(B782=0,VLOOKUP(A782,Feuil2!$A$2:$M$1241,13,FALSE)," ")</f>
        <v xml:space="preserve"> </v>
      </c>
    </row>
    <row r="783" spans="1:15" x14ac:dyDescent="0.3">
      <c r="A783" s="1">
        <v>692</v>
      </c>
      <c r="B783" s="1">
        <v>4</v>
      </c>
      <c r="C783" s="1" t="s">
        <v>177</v>
      </c>
      <c r="D783" s="1" t="s">
        <v>2485</v>
      </c>
      <c r="E783" s="5">
        <v>37525</v>
      </c>
      <c r="F783" s="1" t="s">
        <v>506</v>
      </c>
      <c r="G783" s="1" t="str">
        <f>IF(B783=0,VLOOKUP(A783,Feuil2!$A$2:$M$1241,11,FALSE)," ")</f>
        <v xml:space="preserve"> </v>
      </c>
      <c r="H783" s="1" t="s">
        <v>16</v>
      </c>
      <c r="I783" s="6" t="str">
        <f>IF(B783=0,VLOOKUP(A783,Feuil2!$A$2:$M$1241,7,FALSE)," ")</f>
        <v xml:space="preserve"> </v>
      </c>
      <c r="J783" s="1" t="str">
        <f>IF(B783=0,VLOOKUP(A783,Feuil2!$A$2:$M$1241,9,FALSE)," ")</f>
        <v xml:space="preserve"> </v>
      </c>
      <c r="K783" s="1" t="str">
        <f>IF(B783=0,VLOOKUP(A783,Feuil2!$A$2:$M$1241,10,FALSE)," ")</f>
        <v xml:space="preserve"> </v>
      </c>
      <c r="L783" s="1"/>
      <c r="M783" s="1"/>
      <c r="N783" s="1"/>
      <c r="O783" s="8" t="str">
        <f>IF(B783=0,VLOOKUP(A783,Feuil2!$A$2:$M$1241,13,FALSE)," ")</f>
        <v xml:space="preserve"> </v>
      </c>
    </row>
    <row r="784" spans="1:15" x14ac:dyDescent="0.3">
      <c r="A784" s="1">
        <v>692</v>
      </c>
      <c r="B784" s="1">
        <v>5</v>
      </c>
      <c r="C784" s="1" t="s">
        <v>177</v>
      </c>
      <c r="D784" s="1" t="s">
        <v>2366</v>
      </c>
      <c r="E784" s="5">
        <v>40385</v>
      </c>
      <c r="F784" s="1" t="s">
        <v>506</v>
      </c>
      <c r="G784" s="1" t="str">
        <f>IF(B784=0,VLOOKUP(A784,Feuil2!$A$2:$M$1241,11,FALSE)," ")</f>
        <v xml:space="preserve"> </v>
      </c>
      <c r="H784" s="1" t="s">
        <v>16</v>
      </c>
      <c r="I784" s="6" t="str">
        <f>IF(B784=0,VLOOKUP(A784,Feuil2!$A$2:$M$1241,7,FALSE)," ")</f>
        <v xml:space="preserve"> </v>
      </c>
      <c r="J784" s="1" t="str">
        <f>IF(B784=0,VLOOKUP(A784,Feuil2!$A$2:$M$1241,9,FALSE)," ")</f>
        <v xml:space="preserve"> </v>
      </c>
      <c r="K784" s="1" t="str">
        <f>IF(B784=0,VLOOKUP(A784,Feuil2!$A$2:$M$1241,10,FALSE)," ")</f>
        <v xml:space="preserve"> </v>
      </c>
      <c r="L784" s="1"/>
      <c r="M784" s="1"/>
      <c r="N784" s="1"/>
      <c r="O784" s="8" t="str">
        <f>IF(B784=0,VLOOKUP(A784,Feuil2!$A$2:$M$1241,13,FALSE)," ")</f>
        <v xml:space="preserve"> </v>
      </c>
    </row>
    <row r="785" spans="1:16" x14ac:dyDescent="0.3">
      <c r="A785" s="1">
        <v>701</v>
      </c>
      <c r="B785" s="1">
        <v>0</v>
      </c>
      <c r="C785" s="1" t="str">
        <f>IF(B785=0,VLOOKUP(A785,Feuil2!$A$2:$M$1241,2,FALSE)," ")</f>
        <v>BEN HASSINE</v>
      </c>
      <c r="D785" s="1" t="str">
        <f>IF(B785=0,VLOOKUP(A785,Feuil2!$A$2:$M$1241,3,FALSE)," ")</f>
        <v>ABDELHAKIM</v>
      </c>
      <c r="E785" s="5">
        <f>IF(B785=0,VLOOKUP(A785,Feuil2!$A$2:$M$1241,6,FALSE)," ")</f>
        <v>23384</v>
      </c>
      <c r="F785" s="1" t="str">
        <f>IF(B785=0,VLOOKUP(A785,Feuil2!$A$2:$M$1241,12,FALSE)," ")</f>
        <v>H</v>
      </c>
      <c r="G785" s="1" t="str">
        <f>IF(B785=0,VLOOKUP(A785,Feuil2!$A$2:$M$1241,11,FALSE)," ")</f>
        <v>M</v>
      </c>
      <c r="H785" s="1" t="s">
        <v>16</v>
      </c>
      <c r="I785" s="6">
        <f>IF(B785=0,VLOOKUP(A785,Feuil2!$A$2:$M$1241,7,FALSE)," ")</f>
        <v>2952045</v>
      </c>
      <c r="J785" s="1" t="str">
        <f>IF(B785=0,VLOOKUP(A785,Feuil2!$A$2:$M$1241,9,FALSE)," ")</f>
        <v>267 Av Kh Ibn Walid</v>
      </c>
      <c r="K785" s="1" t="str">
        <f>IF(B785=0,VLOOKUP(A785,Feuil2!$A$2:$M$1241,10,FALSE)," ")</f>
        <v>Messadine 4013</v>
      </c>
      <c r="L785" s="1"/>
      <c r="M785" s="1">
        <v>54203883</v>
      </c>
      <c r="N785" s="1"/>
      <c r="O785" s="8" t="str">
        <f>IF(B785=0,VLOOKUP(A785,Feuil2!$A$2:$M$1241,13,FALSE)," ")</f>
        <v>12505000580101058132</v>
      </c>
    </row>
    <row r="786" spans="1:16" x14ac:dyDescent="0.3">
      <c r="A786" s="1">
        <v>701</v>
      </c>
      <c r="B786" s="1">
        <v>1</v>
      </c>
      <c r="C786" s="1" t="s">
        <v>314</v>
      </c>
      <c r="D786" s="1" t="s">
        <v>2219</v>
      </c>
      <c r="E786" s="5">
        <v>25504</v>
      </c>
      <c r="F786" s="1" t="s">
        <v>17</v>
      </c>
      <c r="G786" s="1" t="s">
        <v>15</v>
      </c>
      <c r="H786" s="1" t="s">
        <v>16</v>
      </c>
      <c r="I786" s="6" t="str">
        <f>IF(B786=0,VLOOKUP(A786,Feuil2!$A$2:$M$1241,7,FALSE)," ")</f>
        <v xml:space="preserve"> </v>
      </c>
      <c r="J786" s="1" t="str">
        <f>IF(B786=0,VLOOKUP(A786,Feuil2!$A$2:$M$1241,9,FALSE)," ")</f>
        <v xml:space="preserve"> </v>
      </c>
      <c r="K786" s="1" t="str">
        <f>IF(B786=0,VLOOKUP(A786,Feuil2!$A$2:$M$1241,10,FALSE)," ")</f>
        <v xml:space="preserve"> </v>
      </c>
      <c r="L786" s="1"/>
      <c r="M786" s="1"/>
      <c r="N786" s="1"/>
      <c r="O786" s="8" t="str">
        <f>IF(B786=0,VLOOKUP(A786,Feuil2!$A$2:$M$1241,13,FALSE)," ")</f>
        <v xml:space="preserve"> </v>
      </c>
    </row>
    <row r="787" spans="1:16" x14ac:dyDescent="0.3">
      <c r="A787" s="1">
        <v>701</v>
      </c>
      <c r="B787" s="1">
        <v>2</v>
      </c>
      <c r="C787" s="1" t="s">
        <v>314</v>
      </c>
      <c r="D787" s="1" t="s">
        <v>2601</v>
      </c>
      <c r="E787" s="5">
        <v>39356</v>
      </c>
      <c r="F787" s="1" t="s">
        <v>506</v>
      </c>
      <c r="G787" s="1" t="str">
        <f>IF(B787=0,VLOOKUP(A787,Feuil2!$A$2:$M$1241,11,FALSE)," ")</f>
        <v xml:space="preserve"> </v>
      </c>
      <c r="H787" s="1" t="s">
        <v>16</v>
      </c>
      <c r="I787" s="6" t="str">
        <f>IF(B787=0,VLOOKUP(A787,Feuil2!$A$2:$M$1241,7,FALSE)," ")</f>
        <v xml:space="preserve"> </v>
      </c>
      <c r="J787" s="1" t="str">
        <f>IF(B787=0,VLOOKUP(A787,Feuil2!$A$2:$M$1241,9,FALSE)," ")</f>
        <v xml:space="preserve"> </v>
      </c>
      <c r="K787" s="1" t="str">
        <f>IF(B787=0,VLOOKUP(A787,Feuil2!$A$2:$M$1241,10,FALSE)," ")</f>
        <v xml:space="preserve"> </v>
      </c>
      <c r="L787" s="1"/>
      <c r="M787" s="1"/>
      <c r="N787" s="1"/>
      <c r="O787" s="8" t="str">
        <f>IF(B787=0,VLOOKUP(A787,Feuil2!$A$2:$M$1241,13,FALSE)," ")</f>
        <v xml:space="preserve"> </v>
      </c>
    </row>
    <row r="788" spans="1:16" x14ac:dyDescent="0.3">
      <c r="A788" s="1">
        <v>721</v>
      </c>
      <c r="B788" s="1">
        <v>0</v>
      </c>
      <c r="C788" s="1" t="str">
        <f>IF(B788=0,VLOOKUP(A788,Feuil2!$A$2:$M$1241,2,FALSE)," ")</f>
        <v>BEN ABDELJELIL</v>
      </c>
      <c r="D788" s="1" t="str">
        <f>IF(B788=0,VLOOKUP(A788,Feuil2!$A$2:$M$1241,3,FALSE)," ")</f>
        <v>WAHID</v>
      </c>
      <c r="E788" s="5">
        <f>IF(B788=0,VLOOKUP(A788,Feuil2!$A$2:$M$1241,6,FALSE)," ")</f>
        <v>24231</v>
      </c>
      <c r="F788" s="1" t="str">
        <f>IF(B788=0,VLOOKUP(A788,Feuil2!$A$2:$M$1241,12,FALSE)," ")</f>
        <v>H</v>
      </c>
      <c r="G788" s="1" t="str">
        <f>IF(B788=0,VLOOKUP(A788,Feuil2!$A$2:$M$1241,11,FALSE)," ")</f>
        <v>M</v>
      </c>
      <c r="H788" s="1" t="s">
        <v>16</v>
      </c>
      <c r="I788" s="6">
        <f>IF(B788=0,VLOOKUP(A788,Feuil2!$A$2:$M$1241,7,FALSE)," ")</f>
        <v>2983061</v>
      </c>
      <c r="J788" s="1" t="str">
        <f>IF(B788=0,VLOOKUP(A788,Feuil2!$A$2:$M$1241,9,FALSE)," ")</f>
        <v>4 R de Bizerte</v>
      </c>
      <c r="K788" s="1" t="str">
        <f>IF(B788=0,VLOOKUP(A788,Feuil2!$A$2:$M$1241,10,FALSE)," ")</f>
        <v>Msaken 4070</v>
      </c>
      <c r="L788" s="1">
        <v>4070</v>
      </c>
      <c r="M788" s="1">
        <v>28312103</v>
      </c>
      <c r="N788" s="1"/>
      <c r="O788" s="8" t="str">
        <f>IF(B788=0,VLOOKUP(A788,Feuil2!$A$2:$M$1241,13,FALSE)," ")</f>
        <v>10506040203869378826</v>
      </c>
    </row>
    <row r="789" spans="1:16" x14ac:dyDescent="0.3">
      <c r="A789" s="1">
        <v>721</v>
      </c>
      <c r="B789" s="1">
        <v>1</v>
      </c>
      <c r="C789" s="1" t="s">
        <v>2510</v>
      </c>
      <c r="D789" s="1" t="s">
        <v>2353</v>
      </c>
      <c r="E789" s="5">
        <v>27812</v>
      </c>
      <c r="F789" s="1" t="s">
        <v>17</v>
      </c>
      <c r="G789" s="1" t="s">
        <v>15</v>
      </c>
      <c r="H789" s="1" t="s">
        <v>16</v>
      </c>
      <c r="I789" s="6" t="str">
        <f>IF(B789=0,VLOOKUP(A789,Feuil2!$A$2:$M$1241,7,FALSE)," ")</f>
        <v xml:space="preserve"> </v>
      </c>
      <c r="J789" s="1" t="str">
        <f>IF(B789=0,VLOOKUP(A789,Feuil2!$A$2:$M$1241,9,FALSE)," ")</f>
        <v xml:space="preserve"> </v>
      </c>
      <c r="K789" s="1" t="str">
        <f>IF(B789=0,VLOOKUP(A789,Feuil2!$A$2:$M$1241,10,FALSE)," ")</f>
        <v xml:space="preserve"> </v>
      </c>
      <c r="L789" s="1"/>
      <c r="M789" s="1"/>
      <c r="N789" s="1"/>
      <c r="O789" s="8" t="str">
        <f>IF(B789=0,VLOOKUP(A789,Feuil2!$A$2:$M$1241,13,FALSE)," ")</f>
        <v xml:space="preserve"> </v>
      </c>
    </row>
    <row r="790" spans="1:16" x14ac:dyDescent="0.3">
      <c r="A790" s="1">
        <v>721</v>
      </c>
      <c r="B790" s="1">
        <v>2</v>
      </c>
      <c r="C790" s="1" t="s">
        <v>703</v>
      </c>
      <c r="D790" s="1" t="s">
        <v>2347</v>
      </c>
      <c r="E790" s="5">
        <v>38754</v>
      </c>
      <c r="F790" s="1" t="s">
        <v>506</v>
      </c>
      <c r="G790" s="1" t="str">
        <f>IF(B790=0,VLOOKUP(A790,Feuil2!$A$2:$M$1241,11,FALSE)," ")</f>
        <v xml:space="preserve"> </v>
      </c>
      <c r="H790" s="1" t="s">
        <v>16</v>
      </c>
      <c r="I790" s="6" t="str">
        <f>IF(B790=0,VLOOKUP(A790,Feuil2!$A$2:$M$1241,7,FALSE)," ")</f>
        <v xml:space="preserve"> </v>
      </c>
      <c r="J790" s="1" t="str">
        <f>IF(B790=0,VLOOKUP(A790,Feuil2!$A$2:$M$1241,9,FALSE)," ")</f>
        <v xml:space="preserve"> </v>
      </c>
      <c r="K790" s="1" t="str">
        <f>IF(B790=0,VLOOKUP(A790,Feuil2!$A$2:$M$1241,10,FALSE)," ")</f>
        <v xml:space="preserve"> </v>
      </c>
      <c r="L790" s="1"/>
      <c r="M790" s="1"/>
      <c r="N790" s="1"/>
      <c r="O790" s="8" t="str">
        <f>IF(B790=0,VLOOKUP(A790,Feuil2!$A$2:$M$1241,13,FALSE)," ")</f>
        <v xml:space="preserve"> </v>
      </c>
    </row>
    <row r="791" spans="1:16" x14ac:dyDescent="0.3">
      <c r="A791" s="1">
        <v>721</v>
      </c>
      <c r="B791" s="1">
        <v>3</v>
      </c>
      <c r="C791" s="1" t="s">
        <v>703</v>
      </c>
      <c r="D791" s="1" t="s">
        <v>2512</v>
      </c>
      <c r="E791" s="5">
        <v>39459</v>
      </c>
      <c r="F791" s="1" t="s">
        <v>17</v>
      </c>
      <c r="G791" s="1" t="str">
        <f>IF(B791=0,VLOOKUP(A791,Feuil2!$A$2:$M$1241,11,FALSE)," ")</f>
        <v xml:space="preserve"> </v>
      </c>
      <c r="H791" s="1" t="s">
        <v>16</v>
      </c>
      <c r="I791" s="6" t="str">
        <f>IF(B791=0,VLOOKUP(A791,Feuil2!$A$2:$M$1241,7,FALSE)," ")</f>
        <v xml:space="preserve"> </v>
      </c>
      <c r="J791" s="1" t="str">
        <f>IF(B791=0,VLOOKUP(A791,Feuil2!$A$2:$M$1241,9,FALSE)," ")</f>
        <v xml:space="preserve"> </v>
      </c>
      <c r="K791" s="1" t="str">
        <f>IF(B791=0,VLOOKUP(A791,Feuil2!$A$2:$M$1241,10,FALSE)," ")</f>
        <v xml:space="preserve"> </v>
      </c>
      <c r="L791" s="1"/>
      <c r="M791" s="1"/>
      <c r="N791" s="1"/>
      <c r="O791" s="8" t="str">
        <f>IF(B791=0,VLOOKUP(A791,Feuil2!$A$2:$M$1241,13,FALSE)," ")</f>
        <v xml:space="preserve"> </v>
      </c>
    </row>
    <row r="792" spans="1:16" x14ac:dyDescent="0.3">
      <c r="A792" s="1">
        <v>721</v>
      </c>
      <c r="B792" s="1">
        <v>4</v>
      </c>
      <c r="C792" s="1" t="s">
        <v>703</v>
      </c>
      <c r="D792" s="1" t="s">
        <v>2367</v>
      </c>
      <c r="E792" s="5">
        <v>41978</v>
      </c>
      <c r="F792" s="1" t="s">
        <v>17</v>
      </c>
      <c r="G792" s="1" t="str">
        <f>IF(B792=0,VLOOKUP(A792,Feuil2!$A$2:$M$1241,11,FALSE)," ")</f>
        <v xml:space="preserve"> </v>
      </c>
      <c r="H792" s="1" t="s">
        <v>16</v>
      </c>
      <c r="I792" s="6" t="str">
        <f>IF(B792=0,VLOOKUP(A792,Feuil2!$A$2:$M$1241,7,FALSE)," ")</f>
        <v xml:space="preserve"> </v>
      </c>
      <c r="J792" s="1" t="str">
        <f>IF(B792=0,VLOOKUP(A792,Feuil2!$A$2:$M$1241,9,FALSE)," ")</f>
        <v xml:space="preserve"> </v>
      </c>
      <c r="K792" s="1" t="str">
        <f>IF(B792=0,VLOOKUP(A792,Feuil2!$A$2:$M$1241,10,FALSE)," ")</f>
        <v xml:space="preserve"> </v>
      </c>
      <c r="L792" s="1"/>
      <c r="M792" s="1"/>
      <c r="N792" s="1"/>
      <c r="O792" s="8" t="str">
        <f>IF(B792=0,VLOOKUP(A792,Feuil2!$A$2:$M$1241,13,FALSE)," ")</f>
        <v xml:space="preserve"> </v>
      </c>
      <c r="P792" t="s">
        <v>2805</v>
      </c>
    </row>
    <row r="793" spans="1:16" x14ac:dyDescent="0.3">
      <c r="A793" s="1">
        <v>784</v>
      </c>
      <c r="B793" s="1">
        <v>0</v>
      </c>
      <c r="C793" s="1" t="str">
        <f>IF(B793=0,VLOOKUP(A793,Feuil2!$A$2:$M$1241,2,FALSE)," ")</f>
        <v>BEN AMOR</v>
      </c>
      <c r="D793" s="1" t="str">
        <f>IF(B793=0,VLOOKUP(A793,Feuil2!$A$2:$M$1241,3,FALSE)," ")</f>
        <v>MED NEJIB</v>
      </c>
      <c r="E793" s="5">
        <f>IF(B793=0,VLOOKUP(A793,Feuil2!$A$2:$M$1241,6,FALSE)," ")</f>
        <v>23622</v>
      </c>
      <c r="F793" s="1" t="str">
        <f>IF(B793=0,VLOOKUP(A793,Feuil2!$A$2:$M$1241,12,FALSE)," ")</f>
        <v>H</v>
      </c>
      <c r="G793" s="1" t="str">
        <f>IF(B793=0,VLOOKUP(A793,Feuil2!$A$2:$M$1241,11,FALSE)," ")</f>
        <v>M</v>
      </c>
      <c r="H793" s="1" t="s">
        <v>16</v>
      </c>
      <c r="I793" s="6">
        <f>IF(B793=0,VLOOKUP(A793,Feuil2!$A$2:$M$1241,7,FALSE)," ")</f>
        <v>2966982</v>
      </c>
      <c r="J793" s="1" t="str">
        <f>IF(B793=0,VLOOKUP(A793,Feuil2!$A$2:$M$1241,9,FALSE)," ")</f>
        <v>Impass Bagdad</v>
      </c>
      <c r="K793" s="1" t="str">
        <f>IF(B793=0,VLOOKUP(A793,Feuil2!$A$2:$M$1241,10,FALSE)," ")</f>
        <v>Messadine 4013</v>
      </c>
      <c r="L793" s="1"/>
      <c r="M793" s="1">
        <v>98793549</v>
      </c>
      <c r="N793" s="1"/>
      <c r="O793" s="8" t="str">
        <f>IF(B793=0,VLOOKUP(A793,Feuil2!$A$2:$M$1241,13,FALSE)," ")</f>
        <v>04204067001222816935</v>
      </c>
    </row>
    <row r="794" spans="1:16" x14ac:dyDescent="0.3">
      <c r="A794" s="1">
        <v>784</v>
      </c>
      <c r="B794" s="1">
        <v>1</v>
      </c>
      <c r="C794" s="1" t="s">
        <v>2602</v>
      </c>
      <c r="D794" s="1" t="s">
        <v>2454</v>
      </c>
      <c r="E794" s="5">
        <v>27821</v>
      </c>
      <c r="F794" s="1" t="s">
        <v>17</v>
      </c>
      <c r="G794" s="1" t="s">
        <v>15</v>
      </c>
      <c r="H794" s="1" t="s">
        <v>16</v>
      </c>
      <c r="I794" s="6" t="str">
        <f>IF(B794=0,VLOOKUP(A794,Feuil2!$A$2:$M$1241,7,FALSE)," ")</f>
        <v xml:space="preserve"> </v>
      </c>
      <c r="J794" s="1" t="str">
        <f>IF(B794=0,VLOOKUP(A794,Feuil2!$A$2:$M$1241,9,FALSE)," ")</f>
        <v xml:space="preserve"> </v>
      </c>
      <c r="K794" s="1" t="str">
        <f>IF(B794=0,VLOOKUP(A794,Feuil2!$A$2:$M$1241,10,FALSE)," ")</f>
        <v xml:space="preserve"> </v>
      </c>
      <c r="L794" s="1"/>
      <c r="M794" s="1"/>
      <c r="N794" s="1"/>
      <c r="O794" s="8" t="str">
        <f>IF(B794=0,VLOOKUP(A794,Feuil2!$A$2:$M$1241,13,FALSE)," ")</f>
        <v xml:space="preserve"> </v>
      </c>
    </row>
    <row r="795" spans="1:16" x14ac:dyDescent="0.3">
      <c r="A795" s="1">
        <v>784</v>
      </c>
      <c r="B795" s="1">
        <v>2</v>
      </c>
      <c r="C795" s="1" t="s">
        <v>217</v>
      </c>
      <c r="D795" s="1" t="s">
        <v>2603</v>
      </c>
      <c r="E795" s="5">
        <v>35878</v>
      </c>
      <c r="F795" s="1" t="s">
        <v>17</v>
      </c>
      <c r="G795" s="1" t="str">
        <f>IF(B795=0,VLOOKUP(A795,Feuil2!$A$2:$M$1241,11,FALSE)," ")</f>
        <v xml:space="preserve"> </v>
      </c>
      <c r="H795" s="1" t="s">
        <v>16</v>
      </c>
      <c r="I795" s="6" t="str">
        <f>IF(B795=0,VLOOKUP(A795,Feuil2!$A$2:$M$1241,7,FALSE)," ")</f>
        <v xml:space="preserve"> </v>
      </c>
      <c r="J795" s="1" t="str">
        <f>IF(B795=0,VLOOKUP(A795,Feuil2!$A$2:$M$1241,9,FALSE)," ")</f>
        <v xml:space="preserve"> </v>
      </c>
      <c r="K795" s="1" t="str">
        <f>IF(B795=0,VLOOKUP(A795,Feuil2!$A$2:$M$1241,10,FALSE)," ")</f>
        <v xml:space="preserve"> </v>
      </c>
      <c r="L795" s="1"/>
      <c r="M795" s="1"/>
      <c r="N795" s="1"/>
      <c r="O795" s="8" t="str">
        <f>IF(B795=0,VLOOKUP(A795,Feuil2!$A$2:$M$1241,13,FALSE)," ")</f>
        <v xml:space="preserve"> </v>
      </c>
    </row>
    <row r="796" spans="1:16" x14ac:dyDescent="0.3">
      <c r="A796" s="1">
        <v>784</v>
      </c>
      <c r="B796" s="1">
        <v>3</v>
      </c>
      <c r="C796" s="1" t="s">
        <v>217</v>
      </c>
      <c r="D796" s="1" t="s">
        <v>2604</v>
      </c>
      <c r="E796" s="5">
        <v>37107</v>
      </c>
      <c r="F796" s="1" t="s">
        <v>17</v>
      </c>
      <c r="G796" s="1" t="str">
        <f>IF(B796=0,VLOOKUP(A796,Feuil2!$A$2:$M$1241,11,FALSE)," ")</f>
        <v xml:space="preserve"> </v>
      </c>
      <c r="H796" s="1" t="s">
        <v>16</v>
      </c>
      <c r="I796" s="6" t="str">
        <f>IF(B796=0,VLOOKUP(A796,Feuil2!$A$2:$M$1241,7,FALSE)," ")</f>
        <v xml:space="preserve"> </v>
      </c>
      <c r="J796" s="1" t="str">
        <f>IF(B796=0,VLOOKUP(A796,Feuil2!$A$2:$M$1241,9,FALSE)," ")</f>
        <v xml:space="preserve"> </v>
      </c>
      <c r="K796" s="1" t="str">
        <f>IF(B796=0,VLOOKUP(A796,Feuil2!$A$2:$M$1241,10,FALSE)," ")</f>
        <v xml:space="preserve"> </v>
      </c>
      <c r="L796" s="1"/>
      <c r="M796" s="1"/>
      <c r="N796" s="1"/>
      <c r="O796" s="8" t="str">
        <f>IF(B796=0,VLOOKUP(A796,Feuil2!$A$2:$M$1241,13,FALSE)," ")</f>
        <v xml:space="preserve"> </v>
      </c>
    </row>
    <row r="797" spans="1:16" x14ac:dyDescent="0.3">
      <c r="A797" s="1">
        <v>784</v>
      </c>
      <c r="B797" s="1">
        <v>4</v>
      </c>
      <c r="C797" s="1" t="s">
        <v>217</v>
      </c>
      <c r="D797" s="1" t="s">
        <v>2598</v>
      </c>
      <c r="E797" s="5">
        <v>39101</v>
      </c>
      <c r="F797" s="1" t="s">
        <v>506</v>
      </c>
      <c r="G797" s="1" t="str">
        <f>IF(B797=0,VLOOKUP(A797,Feuil2!$A$2:$M$1241,11,FALSE)," ")</f>
        <v xml:space="preserve"> </v>
      </c>
      <c r="H797" s="1" t="s">
        <v>16</v>
      </c>
      <c r="I797" s="6" t="str">
        <f>IF(B797=0,VLOOKUP(A797,Feuil2!$A$2:$M$1241,7,FALSE)," ")</f>
        <v xml:space="preserve"> </v>
      </c>
      <c r="J797" s="1" t="str">
        <f>IF(B797=0,VLOOKUP(A797,Feuil2!$A$2:$M$1241,9,FALSE)," ")</f>
        <v xml:space="preserve"> </v>
      </c>
      <c r="K797" s="1" t="str">
        <f>IF(B797=0,VLOOKUP(A797,Feuil2!$A$2:$M$1241,10,FALSE)," ")</f>
        <v xml:space="preserve"> </v>
      </c>
      <c r="L797" s="1"/>
      <c r="M797" s="1"/>
      <c r="N797" s="1"/>
      <c r="O797" s="8" t="str">
        <f>IF(B797=0,VLOOKUP(A797,Feuil2!$A$2:$M$1241,13,FALSE)," ")</f>
        <v xml:space="preserve"> </v>
      </c>
    </row>
    <row r="798" spans="1:16" x14ac:dyDescent="0.3">
      <c r="A798" s="1">
        <v>784</v>
      </c>
      <c r="B798" s="1">
        <v>5</v>
      </c>
      <c r="C798" s="1" t="s">
        <v>217</v>
      </c>
      <c r="D798" s="1" t="s">
        <v>2592</v>
      </c>
      <c r="E798" s="5">
        <v>39903</v>
      </c>
      <c r="F798" s="1" t="s">
        <v>506</v>
      </c>
      <c r="G798" s="1" t="str">
        <f>IF(B798=0,VLOOKUP(A798,Feuil2!$A$2:$M$1241,11,FALSE)," ")</f>
        <v xml:space="preserve"> </v>
      </c>
      <c r="H798" s="1" t="s">
        <v>16</v>
      </c>
      <c r="I798" s="6" t="str">
        <f>IF(B798=0,VLOOKUP(A798,Feuil2!$A$2:$M$1241,7,FALSE)," ")</f>
        <v xml:space="preserve"> </v>
      </c>
      <c r="J798" s="1" t="str">
        <f>IF(B798=0,VLOOKUP(A798,Feuil2!$A$2:$M$1241,9,FALSE)," ")</f>
        <v xml:space="preserve"> </v>
      </c>
      <c r="K798" s="1" t="str">
        <f>IF(B798=0,VLOOKUP(A798,Feuil2!$A$2:$M$1241,10,FALSE)," ")</f>
        <v xml:space="preserve"> </v>
      </c>
      <c r="L798" s="1"/>
      <c r="M798" s="1"/>
      <c r="N798" s="1"/>
      <c r="O798" s="8" t="str">
        <f>IF(B798=0,VLOOKUP(A798,Feuil2!$A$2:$M$1241,13,FALSE)," ")</f>
        <v xml:space="preserve"> </v>
      </c>
    </row>
    <row r="799" spans="1:16" x14ac:dyDescent="0.3">
      <c r="A799" s="17">
        <v>803</v>
      </c>
      <c r="B799" s="17">
        <v>0</v>
      </c>
      <c r="C799" s="17" t="str">
        <f>IF(B799=0,VLOOKUP(A799,Feuil2!$A$2:$M$1241,2,FALSE)," ")</f>
        <v>KRIFA</v>
      </c>
      <c r="D799" s="17" t="str">
        <f>IF(B799=0,VLOOKUP(A799,Feuil2!$A$2:$M$1241,3,FALSE)," ")</f>
        <v>ALI</v>
      </c>
      <c r="E799" s="18">
        <f>IF(B799=0,VLOOKUP(A799,Feuil2!$A$2:$M$1241,6,FALSE)," ")</f>
        <v>24445</v>
      </c>
      <c r="F799" s="17" t="str">
        <f>IF(B799=0,VLOOKUP(A799,Feuil2!$A$2:$M$1241,12,FALSE)," ")</f>
        <v>H</v>
      </c>
      <c r="G799" s="17" t="str">
        <f>IF(B799=0,VLOOKUP(A799,Feuil2!$A$2:$M$1241,11,FALSE)," ")</f>
        <v>M</v>
      </c>
      <c r="H799" s="17" t="s">
        <v>16</v>
      </c>
      <c r="I799" s="19">
        <f>IF(B799=0,VLOOKUP(A799,Feuil2!$A$2:$M$1241,7,FALSE)," ")</f>
        <v>2979743</v>
      </c>
      <c r="J799" s="17" t="str">
        <f>IF(B799=0,VLOOKUP(A799,Feuil2!$A$2:$M$1241,9,FALSE)," ")</f>
        <v>4025 Sidi El Hani</v>
      </c>
      <c r="K799" s="17" t="str">
        <f>IF(B799=0,VLOOKUP(A799,Feuil2!$A$2:$M$1241,10,FALSE)," ")</f>
        <v>Sidi El HÃ©ni 4025</v>
      </c>
      <c r="L799" s="17"/>
      <c r="M799" s="17">
        <v>98783201</v>
      </c>
      <c r="N799" s="17"/>
      <c r="O799" s="20" t="str">
        <f>IF(B799=0,VLOOKUP(A799,Feuil2!$A$2:$M$1241,13,FALSE)," ")</f>
        <v>03508056010100114302</v>
      </c>
    </row>
    <row r="800" spans="1:16" x14ac:dyDescent="0.3">
      <c r="A800" s="1">
        <v>803</v>
      </c>
      <c r="B800" s="1">
        <v>1</v>
      </c>
      <c r="C800" s="1" t="str">
        <f>IF(B800=0,VLOOKUP(A800,Feuil2!$A$2:$M$1241,2,FALSE)," ")</f>
        <v xml:space="preserve"> </v>
      </c>
      <c r="D800" s="1" t="s">
        <v>2605</v>
      </c>
      <c r="E800" s="5">
        <v>24932</v>
      </c>
      <c r="F800" s="1" t="s">
        <v>17</v>
      </c>
      <c r="G800" s="1" t="s">
        <v>15</v>
      </c>
      <c r="H800" s="1" t="s">
        <v>16</v>
      </c>
      <c r="I800" s="6" t="str">
        <f>IF(B800=0,VLOOKUP(A800,Feuil2!$A$2:$M$1241,7,FALSE)," ")</f>
        <v xml:space="preserve"> </v>
      </c>
      <c r="J800" s="1" t="str">
        <f>IF(B800=0,VLOOKUP(A800,Feuil2!$A$2:$M$1241,9,FALSE)," ")</f>
        <v xml:space="preserve"> </v>
      </c>
      <c r="K800" s="1" t="str">
        <f>IF(B800=0,VLOOKUP(A800,Feuil2!$A$2:$M$1241,10,FALSE)," ")</f>
        <v xml:space="preserve"> </v>
      </c>
      <c r="L800" s="1"/>
      <c r="M800" s="1"/>
      <c r="N800" s="1"/>
      <c r="O800" s="8" t="str">
        <f>IF(B800=0,VLOOKUP(A800,Feuil2!$A$2:$M$1241,13,FALSE)," ")</f>
        <v xml:space="preserve"> </v>
      </c>
    </row>
    <row r="801" spans="1:16" x14ac:dyDescent="0.3">
      <c r="A801" s="1">
        <v>803</v>
      </c>
      <c r="B801" s="1">
        <v>2</v>
      </c>
      <c r="C801" s="1" t="s">
        <v>227</v>
      </c>
      <c r="D801" s="1" t="s">
        <v>2606</v>
      </c>
      <c r="E801" s="5">
        <v>36457</v>
      </c>
      <c r="F801" s="1" t="s">
        <v>17</v>
      </c>
      <c r="G801" s="1" t="str">
        <f>IF(B801=0,VLOOKUP(A801,Feuil2!$A$2:$M$1241,11,FALSE)," ")</f>
        <v xml:space="preserve"> </v>
      </c>
      <c r="H801" s="1" t="s">
        <v>16</v>
      </c>
      <c r="I801" s="6" t="str">
        <f>IF(B801=0,VLOOKUP(A801,Feuil2!$A$2:$M$1241,7,FALSE)," ")</f>
        <v xml:space="preserve"> </v>
      </c>
      <c r="J801" s="1" t="str">
        <f>IF(B801=0,VLOOKUP(A801,Feuil2!$A$2:$M$1241,9,FALSE)," ")</f>
        <v xml:space="preserve"> </v>
      </c>
      <c r="K801" s="1" t="str">
        <f>IF(B801=0,VLOOKUP(A801,Feuil2!$A$2:$M$1241,10,FALSE)," ")</f>
        <v xml:space="preserve"> </v>
      </c>
      <c r="L801" s="1"/>
      <c r="M801" s="1"/>
      <c r="N801" s="1"/>
      <c r="O801" s="8" t="str">
        <f>IF(B801=0,VLOOKUP(A801,Feuil2!$A$2:$M$1241,13,FALSE)," ")</f>
        <v xml:space="preserve"> </v>
      </c>
    </row>
    <row r="802" spans="1:16" x14ac:dyDescent="0.3">
      <c r="A802" s="1">
        <v>803</v>
      </c>
      <c r="B802" s="1">
        <v>3</v>
      </c>
      <c r="C802" s="1" t="s">
        <v>227</v>
      </c>
      <c r="D802" s="1" t="s">
        <v>34</v>
      </c>
      <c r="E802" s="5">
        <v>37460</v>
      </c>
      <c r="F802" s="1" t="s">
        <v>506</v>
      </c>
      <c r="G802" s="1" t="str">
        <f>IF(B802=0,VLOOKUP(A802,Feuil2!$A$2:$M$1241,11,FALSE)," ")</f>
        <v xml:space="preserve"> </v>
      </c>
      <c r="H802" s="1" t="s">
        <v>16</v>
      </c>
      <c r="I802" s="6" t="str">
        <f>IF(B802=0,VLOOKUP(A802,Feuil2!$A$2:$M$1241,7,FALSE)," ")</f>
        <v xml:space="preserve"> </v>
      </c>
      <c r="J802" s="1" t="str">
        <f>IF(B802=0,VLOOKUP(A802,Feuil2!$A$2:$M$1241,9,FALSE)," ")</f>
        <v xml:space="preserve"> </v>
      </c>
      <c r="K802" s="1" t="str">
        <f>IF(B802=0,VLOOKUP(A802,Feuil2!$A$2:$M$1241,10,FALSE)," ")</f>
        <v xml:space="preserve"> </v>
      </c>
      <c r="L802" s="1"/>
      <c r="M802" s="1"/>
      <c r="N802" s="1"/>
      <c r="O802" s="8" t="str">
        <f>IF(B802=0,VLOOKUP(A802,Feuil2!$A$2:$M$1241,13,FALSE)," ")</f>
        <v xml:space="preserve"> </v>
      </c>
    </row>
    <row r="803" spans="1:16" x14ac:dyDescent="0.3">
      <c r="A803" s="1">
        <v>824</v>
      </c>
      <c r="B803" s="1">
        <v>0</v>
      </c>
      <c r="C803" s="1" t="str">
        <f>IF(B803=0,VLOOKUP(A803,Feuil2!$A$2:$M$1241,2,FALSE)," ")</f>
        <v>MRIBAH</v>
      </c>
      <c r="D803" s="1" t="str">
        <f>IF(B803=0,VLOOKUP(A803,Feuil2!$A$2:$M$1241,3,FALSE)," ")</f>
        <v>NACEUR</v>
      </c>
      <c r="E803" s="5">
        <f>IF(B803=0,VLOOKUP(A803,Feuil2!$A$2:$M$1241,6,FALSE)," ")</f>
        <v>24493</v>
      </c>
      <c r="F803" s="1" t="str">
        <f>IF(B803=0,VLOOKUP(A803,Feuil2!$A$2:$M$1241,12,FALSE)," ")</f>
        <v>H</v>
      </c>
      <c r="G803" s="1" t="str">
        <f>IF(B803=0,VLOOKUP(A803,Feuil2!$A$2:$M$1241,11,FALSE)," ")</f>
        <v>M</v>
      </c>
      <c r="H803" s="1" t="s">
        <v>16</v>
      </c>
      <c r="I803" s="6">
        <f>IF(B803=0,VLOOKUP(A803,Feuil2!$A$2:$M$1241,7,FALSE)," ")</f>
        <v>2977876</v>
      </c>
      <c r="J803" s="1" t="str">
        <f>IF(B803=0,VLOOKUP(A803,Feuil2!$A$2:$M$1241,9,FALSE)," ")</f>
        <v>117 Rue Farhat Hached</v>
      </c>
      <c r="K803" s="1" t="str">
        <f>IF(B803=0,VLOOKUP(A803,Feuil2!$A$2:$M$1241,10,FALSE)," ")</f>
        <v>Msaken 4070</v>
      </c>
      <c r="L803" s="1">
        <v>4070</v>
      </c>
      <c r="M803" s="1">
        <v>26363753</v>
      </c>
      <c r="N803" s="1"/>
      <c r="O803" s="8" t="str">
        <f>IF(B803=0,VLOOKUP(A803,Feuil2!$A$2:$M$1241,13,FALSE)," ")</f>
        <v>10506040203883978878</v>
      </c>
    </row>
    <row r="804" spans="1:16" x14ac:dyDescent="0.3">
      <c r="A804" s="1">
        <v>824</v>
      </c>
      <c r="B804" s="1">
        <v>1</v>
      </c>
      <c r="C804" s="1" t="str">
        <f>IF(B804=0,VLOOKUP(A804,Feuil2!$A$2:$M$1241,2,FALSE)," ")</f>
        <v xml:space="preserve"> </v>
      </c>
      <c r="D804" s="1" t="s">
        <v>1387</v>
      </c>
      <c r="E804" s="5">
        <v>25218</v>
      </c>
      <c r="F804" s="1" t="s">
        <v>17</v>
      </c>
      <c r="G804" s="1" t="s">
        <v>15</v>
      </c>
      <c r="H804" s="1" t="s">
        <v>16</v>
      </c>
      <c r="I804" s="6" t="str">
        <f>IF(B804=0,VLOOKUP(A804,Feuil2!$A$2:$M$1241,7,FALSE)," ")</f>
        <v xml:space="preserve"> </v>
      </c>
      <c r="J804" s="1" t="str">
        <f>IF(B804=0,VLOOKUP(A804,Feuil2!$A$2:$M$1241,9,FALSE)," ")</f>
        <v xml:space="preserve"> </v>
      </c>
      <c r="K804" s="1" t="str">
        <f>IF(B804=0,VLOOKUP(A804,Feuil2!$A$2:$M$1241,10,FALSE)," ")</f>
        <v xml:space="preserve"> </v>
      </c>
      <c r="L804" s="1"/>
      <c r="M804" s="1"/>
      <c r="N804" s="1"/>
      <c r="O804" s="8" t="str">
        <f>IF(B804=0,VLOOKUP(A804,Feuil2!$A$2:$M$1241,13,FALSE)," ")</f>
        <v xml:space="preserve"> </v>
      </c>
    </row>
    <row r="805" spans="1:16" x14ac:dyDescent="0.3">
      <c r="A805" s="1">
        <v>824</v>
      </c>
      <c r="B805" s="1">
        <v>2</v>
      </c>
      <c r="C805" s="1" t="s">
        <v>214</v>
      </c>
      <c r="D805" s="1" t="s">
        <v>2607</v>
      </c>
      <c r="E805" s="5">
        <v>36682</v>
      </c>
      <c r="F805" s="1" t="s">
        <v>17</v>
      </c>
      <c r="G805" s="1" t="str">
        <f>IF(B805=0,VLOOKUP(A805,Feuil2!$A$2:$M$1241,11,FALSE)," ")</f>
        <v xml:space="preserve"> </v>
      </c>
      <c r="H805" s="1" t="s">
        <v>16</v>
      </c>
      <c r="I805" s="6" t="str">
        <f>IF(B805=0,VLOOKUP(A805,Feuil2!$A$2:$M$1241,7,FALSE)," ")</f>
        <v xml:space="preserve"> </v>
      </c>
      <c r="J805" s="1" t="str">
        <f>IF(B805=0,VLOOKUP(A805,Feuil2!$A$2:$M$1241,9,FALSE)," ")</f>
        <v xml:space="preserve"> </v>
      </c>
      <c r="K805" s="1" t="str">
        <f>IF(B805=0,VLOOKUP(A805,Feuil2!$A$2:$M$1241,10,FALSE)," ")</f>
        <v xml:space="preserve"> </v>
      </c>
      <c r="L805" s="1"/>
      <c r="M805" s="1"/>
      <c r="N805" s="1"/>
      <c r="O805" s="8" t="str">
        <f>IF(B805=0,VLOOKUP(A805,Feuil2!$A$2:$M$1241,13,FALSE)," ")</f>
        <v xml:space="preserve"> </v>
      </c>
      <c r="P805" t="s">
        <v>2805</v>
      </c>
    </row>
    <row r="806" spans="1:16" x14ac:dyDescent="0.3">
      <c r="A806" s="1">
        <v>824</v>
      </c>
      <c r="B806" s="1">
        <v>3</v>
      </c>
      <c r="C806" s="1" t="s">
        <v>214</v>
      </c>
      <c r="D806" s="1" t="s">
        <v>2367</v>
      </c>
      <c r="E806" s="5">
        <v>38714</v>
      </c>
      <c r="F806" s="1" t="s">
        <v>17</v>
      </c>
      <c r="G806" s="1" t="str">
        <f>IF(B806=0,VLOOKUP(A806,Feuil2!$A$2:$M$1241,11,FALSE)," ")</f>
        <v xml:space="preserve"> </v>
      </c>
      <c r="H806" s="1" t="s">
        <v>16</v>
      </c>
      <c r="I806" s="6" t="str">
        <f>IF(B806=0,VLOOKUP(A806,Feuil2!$A$2:$M$1241,7,FALSE)," ")</f>
        <v xml:space="preserve"> </v>
      </c>
      <c r="J806" s="1" t="str">
        <f>IF(B806=0,VLOOKUP(A806,Feuil2!$A$2:$M$1241,9,FALSE)," ")</f>
        <v xml:space="preserve"> </v>
      </c>
      <c r="K806" s="1" t="str">
        <f>IF(B806=0,VLOOKUP(A806,Feuil2!$A$2:$M$1241,10,FALSE)," ")</f>
        <v xml:space="preserve"> </v>
      </c>
      <c r="L806" s="1"/>
      <c r="M806" s="1"/>
      <c r="N806" s="1"/>
      <c r="O806" s="8" t="str">
        <f>IF(B806=0,VLOOKUP(A806,Feuil2!$A$2:$M$1241,13,FALSE)," ")</f>
        <v xml:space="preserve"> </v>
      </c>
    </row>
    <row r="807" spans="1:16" x14ac:dyDescent="0.3">
      <c r="A807" s="1">
        <v>835</v>
      </c>
      <c r="B807" s="1">
        <v>0</v>
      </c>
      <c r="C807" s="1" t="str">
        <f>IF(B807=0,VLOOKUP(A807,Feuil2!$A$2:$M$1241,2,FALSE)," ")</f>
        <v>LAGRAS</v>
      </c>
      <c r="D807" s="1" t="str">
        <f>IF(B807=0,VLOOKUP(A807,Feuil2!$A$2:$M$1241,3,FALSE)," ")</f>
        <v>SADOK</v>
      </c>
      <c r="E807" s="5">
        <f>IF(B807=0,VLOOKUP(A807,Feuil2!$A$2:$M$1241,6,FALSE)," ")</f>
        <v>24293</v>
      </c>
      <c r="F807" s="1" t="str">
        <f>IF(B807=0,VLOOKUP(A807,Feuil2!$A$2:$M$1241,12,FALSE)," ")</f>
        <v>H</v>
      </c>
      <c r="G807" s="1" t="str">
        <f>IF(B807=0,VLOOKUP(A807,Feuil2!$A$2:$M$1241,11,FALSE)," ")</f>
        <v>M</v>
      </c>
      <c r="H807" s="1" t="s">
        <v>16</v>
      </c>
      <c r="I807" s="6">
        <f>IF(B807=0,VLOOKUP(A807,Feuil2!$A$2:$M$1241,7,FALSE)," ")</f>
        <v>2969965</v>
      </c>
      <c r="J807" s="1" t="str">
        <f>IF(B807=0,VLOOKUP(A807,Feuil2!$A$2:$M$1241,9,FALSE)," ")</f>
        <v>172 Rue sidi b Hassen</v>
      </c>
      <c r="K807" s="1" t="str">
        <f>IF(B807=0,VLOOKUP(A807,Feuil2!$A$2:$M$1241,10,FALSE)," ")</f>
        <v>Msaken 4070</v>
      </c>
      <c r="L807" s="1">
        <v>4070</v>
      </c>
      <c r="M807" s="1">
        <v>22408484</v>
      </c>
      <c r="N807" s="1"/>
      <c r="O807" s="8" t="str">
        <f>IF(B807=0,VLOOKUP(A807,Feuil2!$A$2:$M$1241,13,FALSE)," ")</f>
        <v>05048000116500144075</v>
      </c>
    </row>
    <row r="808" spans="1:16" x14ac:dyDescent="0.3">
      <c r="A808" s="1">
        <v>835</v>
      </c>
      <c r="B808" s="1">
        <v>1</v>
      </c>
      <c r="C808" s="1" t="s">
        <v>71</v>
      </c>
      <c r="D808" s="1" t="s">
        <v>596</v>
      </c>
      <c r="E808" s="5">
        <v>25468</v>
      </c>
      <c r="F808" s="1" t="s">
        <v>17</v>
      </c>
      <c r="G808" s="1" t="s">
        <v>15</v>
      </c>
      <c r="H808" s="1" t="s">
        <v>16</v>
      </c>
      <c r="I808" s="6" t="str">
        <f>IF(B808=0,VLOOKUP(A808,Feuil2!$A$2:$M$1241,7,FALSE)," ")</f>
        <v xml:space="preserve"> </v>
      </c>
      <c r="J808" s="1" t="str">
        <f>IF(B808=0,VLOOKUP(A808,Feuil2!$A$2:$M$1241,9,FALSE)," ")</f>
        <v xml:space="preserve"> </v>
      </c>
      <c r="K808" s="1" t="str">
        <f>IF(B808=0,VLOOKUP(A808,Feuil2!$A$2:$M$1241,10,FALSE)," ")</f>
        <v xml:space="preserve"> </v>
      </c>
      <c r="L808" s="1"/>
      <c r="M808" s="1"/>
      <c r="N808" s="1"/>
      <c r="O808" s="8" t="str">
        <f>IF(B808=0,VLOOKUP(A808,Feuil2!$A$2:$M$1241,13,FALSE)," ")</f>
        <v xml:space="preserve"> </v>
      </c>
    </row>
    <row r="809" spans="1:16" x14ac:dyDescent="0.3">
      <c r="A809" s="1">
        <v>835</v>
      </c>
      <c r="B809" s="1">
        <v>2</v>
      </c>
      <c r="C809" s="1" t="s">
        <v>100</v>
      </c>
      <c r="D809" s="1" t="s">
        <v>2371</v>
      </c>
      <c r="E809" s="5">
        <v>34569</v>
      </c>
      <c r="F809" s="1" t="s">
        <v>17</v>
      </c>
      <c r="G809" s="1" t="str">
        <f>IF(B809=0,VLOOKUP(A809,Feuil2!$A$2:$M$1241,11,FALSE)," ")</f>
        <v xml:space="preserve"> </v>
      </c>
      <c r="H809" s="1" t="s">
        <v>16</v>
      </c>
      <c r="I809" s="6" t="str">
        <f>IF(B809=0,VLOOKUP(A809,Feuil2!$A$2:$M$1241,7,FALSE)," ")</f>
        <v xml:space="preserve"> </v>
      </c>
      <c r="J809" s="1" t="str">
        <f>IF(B809=0,VLOOKUP(A809,Feuil2!$A$2:$M$1241,9,FALSE)," ")</f>
        <v xml:space="preserve"> </v>
      </c>
      <c r="K809" s="1" t="str">
        <f>IF(B809=0,VLOOKUP(A809,Feuil2!$A$2:$M$1241,10,FALSE)," ")</f>
        <v xml:space="preserve"> </v>
      </c>
      <c r="L809" s="1"/>
      <c r="M809" s="1"/>
      <c r="N809" s="1"/>
      <c r="O809" s="8" t="str">
        <f>IF(B809=0,VLOOKUP(A809,Feuil2!$A$2:$M$1241,13,FALSE)," ")</f>
        <v xml:space="preserve"> </v>
      </c>
    </row>
    <row r="810" spans="1:16" x14ac:dyDescent="0.3">
      <c r="A810" s="1">
        <v>835</v>
      </c>
      <c r="B810" s="1">
        <v>3</v>
      </c>
      <c r="C810" s="1" t="s">
        <v>100</v>
      </c>
      <c r="D810" s="1" t="s">
        <v>2411</v>
      </c>
      <c r="E810" s="5">
        <v>35562</v>
      </c>
      <c r="F810" s="1" t="s">
        <v>17</v>
      </c>
      <c r="G810" s="1" t="str">
        <f>IF(B810=0,VLOOKUP(A810,Feuil2!$A$2:$M$1241,11,FALSE)," ")</f>
        <v xml:space="preserve"> </v>
      </c>
      <c r="H810" s="1" t="s">
        <v>16</v>
      </c>
      <c r="I810" s="6" t="str">
        <f>IF(B810=0,VLOOKUP(A810,Feuil2!$A$2:$M$1241,7,FALSE)," ")</f>
        <v xml:space="preserve"> </v>
      </c>
      <c r="J810" s="1" t="str">
        <f>IF(B810=0,VLOOKUP(A810,Feuil2!$A$2:$M$1241,9,FALSE)," ")</f>
        <v xml:space="preserve"> </v>
      </c>
      <c r="K810" s="1" t="str">
        <f>IF(B810=0,VLOOKUP(A810,Feuil2!$A$2:$M$1241,10,FALSE)," ")</f>
        <v xml:space="preserve"> </v>
      </c>
      <c r="L810" s="1"/>
      <c r="M810" s="1"/>
      <c r="N810" s="1"/>
      <c r="O810" s="8" t="str">
        <f>IF(B810=0,VLOOKUP(A810,Feuil2!$A$2:$M$1241,13,FALSE)," ")</f>
        <v xml:space="preserve"> </v>
      </c>
    </row>
    <row r="811" spans="1:16" x14ac:dyDescent="0.3">
      <c r="A811" s="1">
        <v>835</v>
      </c>
      <c r="B811" s="1">
        <v>4</v>
      </c>
      <c r="C811" s="1" t="s">
        <v>100</v>
      </c>
      <c r="D811" s="1" t="s">
        <v>2383</v>
      </c>
      <c r="E811" s="5">
        <v>38681</v>
      </c>
      <c r="F811" s="1" t="s">
        <v>17</v>
      </c>
      <c r="G811" s="1" t="str">
        <f>IF(B811=0,VLOOKUP(A811,Feuil2!$A$2:$M$1241,11,FALSE)," ")</f>
        <v xml:space="preserve"> </v>
      </c>
      <c r="H811" s="1" t="s">
        <v>16</v>
      </c>
      <c r="I811" s="6" t="str">
        <f>IF(B811=0,VLOOKUP(A811,Feuil2!$A$2:$M$1241,7,FALSE)," ")</f>
        <v xml:space="preserve"> </v>
      </c>
      <c r="J811" s="1" t="str">
        <f>IF(B811=0,VLOOKUP(A811,Feuil2!$A$2:$M$1241,9,FALSE)," ")</f>
        <v xml:space="preserve"> </v>
      </c>
      <c r="K811" s="1" t="str">
        <f>IF(B811=0,VLOOKUP(A811,Feuil2!$A$2:$M$1241,10,FALSE)," ")</f>
        <v xml:space="preserve"> </v>
      </c>
      <c r="L811" s="1"/>
      <c r="M811" s="1"/>
      <c r="N811" s="1"/>
      <c r="O811" s="8" t="str">
        <f>IF(B811=0,VLOOKUP(A811,Feuil2!$A$2:$M$1241,13,FALSE)," ")</f>
        <v xml:space="preserve"> </v>
      </c>
    </row>
    <row r="812" spans="1:16" x14ac:dyDescent="0.3">
      <c r="A812" s="17">
        <v>843</v>
      </c>
      <c r="B812" s="17">
        <v>0</v>
      </c>
      <c r="C812" s="17" t="str">
        <f>IF(B812=0,VLOOKUP(A812,Feuil2!$A$2:$M$1241,2,FALSE)," ")</f>
        <v>IBN KHEBACHA</v>
      </c>
      <c r="D812" s="17" t="str">
        <f>IF(B812=0,VLOOKUP(A812,Feuil2!$A$2:$M$1241,3,FALSE)," ")</f>
        <v>ANOUAR</v>
      </c>
      <c r="E812" s="18">
        <f>IF(B812=0,VLOOKUP(A812,Feuil2!$A$2:$M$1241,6,FALSE)," ")</f>
        <v>24482</v>
      </c>
      <c r="F812" s="17" t="str">
        <f>IF(B812=0,VLOOKUP(A812,Feuil2!$A$2:$M$1241,12,FALSE)," ")</f>
        <v>H</v>
      </c>
      <c r="G812" s="17" t="str">
        <f>IF(B812=0,VLOOKUP(A812,Feuil2!$A$2:$M$1241,11,FALSE)," ")</f>
        <v>M</v>
      </c>
      <c r="H812" s="17" t="s">
        <v>16</v>
      </c>
      <c r="I812" s="19">
        <f>IF(B812=0,VLOOKUP(A812,Feuil2!$A$2:$M$1241,7,FALSE)," ")</f>
        <v>2974146</v>
      </c>
      <c r="J812" s="17" t="str">
        <f>IF(B812=0,VLOOKUP(A812,Feuil2!$A$2:$M$1241,9,FALSE)," ")</f>
        <v>Rue Ali Belhouan</v>
      </c>
      <c r="K812" s="17" t="str">
        <f>IF(B812=0,VLOOKUP(A812,Feuil2!$A$2:$M$1241,10,FALSE)," ")</f>
        <v>Messadine 4013</v>
      </c>
      <c r="L812" s="17"/>
      <c r="M812" s="17">
        <v>28412444</v>
      </c>
      <c r="N812" s="17"/>
      <c r="O812" s="20" t="str">
        <f>IF(B812=0,VLOOKUP(A812,Feuil2!$A$2:$M$1241,13,FALSE)," ")</f>
        <v>12505000580101227494</v>
      </c>
    </row>
    <row r="813" spans="1:16" x14ac:dyDescent="0.3">
      <c r="A813" s="1">
        <v>843</v>
      </c>
      <c r="B813" s="1">
        <v>1</v>
      </c>
      <c r="C813" s="1" t="s">
        <v>2608</v>
      </c>
      <c r="D813" s="1" t="s">
        <v>2348</v>
      </c>
      <c r="E813" s="5">
        <v>28676</v>
      </c>
      <c r="F813" s="1" t="s">
        <v>17</v>
      </c>
      <c r="G813" s="1" t="s">
        <v>15</v>
      </c>
      <c r="H813" s="1" t="s">
        <v>16</v>
      </c>
      <c r="I813" s="6" t="str">
        <f>IF(B813=0,VLOOKUP(A813,Feuil2!$A$2:$M$1241,7,FALSE)," ")</f>
        <v xml:space="preserve"> </v>
      </c>
      <c r="J813" s="1" t="str">
        <f>IF(B813=0,VLOOKUP(A813,Feuil2!$A$2:$M$1241,9,FALSE)," ")</f>
        <v xml:space="preserve"> </v>
      </c>
      <c r="K813" s="1" t="str">
        <f>IF(B813=0,VLOOKUP(A813,Feuil2!$A$2:$M$1241,10,FALSE)," ")</f>
        <v xml:space="preserve"> </v>
      </c>
      <c r="L813" s="1"/>
      <c r="M813" s="1"/>
      <c r="N813" s="1"/>
      <c r="O813" s="8" t="str">
        <f>IF(B813=0,VLOOKUP(A813,Feuil2!$A$2:$M$1241,13,FALSE)," ")</f>
        <v xml:space="preserve"> </v>
      </c>
    </row>
    <row r="814" spans="1:16" x14ac:dyDescent="0.3">
      <c r="A814" s="1">
        <v>843</v>
      </c>
      <c r="B814" s="1">
        <v>2</v>
      </c>
      <c r="C814" s="1" t="s">
        <v>1274</v>
      </c>
      <c r="D814" s="1" t="s">
        <v>1541</v>
      </c>
      <c r="E814" s="5">
        <v>35630</v>
      </c>
      <c r="F814" s="1" t="s">
        <v>17</v>
      </c>
      <c r="G814" s="1" t="str">
        <f>IF(B814=0,VLOOKUP(A814,Feuil2!$A$2:$M$1241,11,FALSE)," ")</f>
        <v xml:space="preserve"> </v>
      </c>
      <c r="H814" s="1" t="s">
        <v>16</v>
      </c>
      <c r="I814" s="6" t="str">
        <f>IF(B814=0,VLOOKUP(A814,Feuil2!$A$2:$M$1241,7,FALSE)," ")</f>
        <v xml:space="preserve"> </v>
      </c>
      <c r="J814" s="1" t="str">
        <f>IF(B814=0,VLOOKUP(A814,Feuil2!$A$2:$M$1241,9,FALSE)," ")</f>
        <v xml:space="preserve"> </v>
      </c>
      <c r="K814" s="1" t="str">
        <f>IF(B814=0,VLOOKUP(A814,Feuil2!$A$2:$M$1241,10,FALSE)," ")</f>
        <v xml:space="preserve"> </v>
      </c>
      <c r="L814" s="1"/>
      <c r="M814" s="1"/>
      <c r="N814" s="1"/>
      <c r="O814" s="8" t="str">
        <f>IF(B814=0,VLOOKUP(A814,Feuil2!$A$2:$M$1241,13,FALSE)," ")</f>
        <v xml:space="preserve"> </v>
      </c>
    </row>
    <row r="815" spans="1:16" x14ac:dyDescent="0.3">
      <c r="A815" s="1">
        <v>843</v>
      </c>
      <c r="B815" s="1">
        <v>3</v>
      </c>
      <c r="C815" s="1" t="s">
        <v>1274</v>
      </c>
      <c r="D815" s="1" t="s">
        <v>2347</v>
      </c>
      <c r="E815" s="5">
        <v>36796</v>
      </c>
      <c r="F815" s="1" t="s">
        <v>506</v>
      </c>
      <c r="G815" s="1" t="str">
        <f>IF(B815=0,VLOOKUP(A815,Feuil2!$A$2:$M$1241,11,FALSE)," ")</f>
        <v xml:space="preserve"> </v>
      </c>
      <c r="H815" s="1" t="s">
        <v>16</v>
      </c>
      <c r="I815" s="6" t="str">
        <f>IF(B815=0,VLOOKUP(A815,Feuil2!$A$2:$M$1241,7,FALSE)," ")</f>
        <v xml:space="preserve"> </v>
      </c>
      <c r="J815" s="1" t="str">
        <f>IF(B815=0,VLOOKUP(A815,Feuil2!$A$2:$M$1241,9,FALSE)," ")</f>
        <v xml:space="preserve"> </v>
      </c>
      <c r="K815" s="1" t="str">
        <f>IF(B815=0,VLOOKUP(A815,Feuil2!$A$2:$M$1241,10,FALSE)," ")</f>
        <v xml:space="preserve"> </v>
      </c>
      <c r="L815" s="1"/>
      <c r="M815" s="1"/>
      <c r="N815" s="1"/>
      <c r="O815" s="8" t="str">
        <f>IF(B815=0,VLOOKUP(A815,Feuil2!$A$2:$M$1241,13,FALSE)," ")</f>
        <v xml:space="preserve"> </v>
      </c>
    </row>
    <row r="816" spans="1:16" x14ac:dyDescent="0.3">
      <c r="A816" s="1">
        <v>843</v>
      </c>
      <c r="B816" s="1">
        <v>4</v>
      </c>
      <c r="C816" s="1" t="s">
        <v>1274</v>
      </c>
      <c r="D816" s="1" t="s">
        <v>30</v>
      </c>
      <c r="E816" s="5">
        <v>38707</v>
      </c>
      <c r="F816" s="1" t="s">
        <v>506</v>
      </c>
      <c r="G816" s="1" t="str">
        <f>IF(B816=0,VLOOKUP(A816,Feuil2!$A$2:$M$1241,11,FALSE)," ")</f>
        <v xml:space="preserve"> </v>
      </c>
      <c r="H816" s="1" t="s">
        <v>16</v>
      </c>
      <c r="I816" s="6" t="str">
        <f>IF(B816=0,VLOOKUP(A816,Feuil2!$A$2:$M$1241,7,FALSE)," ")</f>
        <v xml:space="preserve"> </v>
      </c>
      <c r="J816" s="1" t="str">
        <f>IF(B816=0,VLOOKUP(A816,Feuil2!$A$2:$M$1241,9,FALSE)," ")</f>
        <v xml:space="preserve"> </v>
      </c>
      <c r="K816" s="1" t="str">
        <f>IF(B816=0,VLOOKUP(A816,Feuil2!$A$2:$M$1241,10,FALSE)," ")</f>
        <v xml:space="preserve"> </v>
      </c>
      <c r="L816" s="1"/>
      <c r="M816" s="1"/>
      <c r="N816" s="1"/>
      <c r="O816" s="8" t="str">
        <f>IF(B816=0,VLOOKUP(A816,Feuil2!$A$2:$M$1241,13,FALSE)," ")</f>
        <v xml:space="preserve"> </v>
      </c>
      <c r="P816" t="s">
        <v>2805</v>
      </c>
    </row>
    <row r="817" spans="1:16" x14ac:dyDescent="0.3">
      <c r="A817" s="1">
        <v>843</v>
      </c>
      <c r="B817" s="1">
        <v>5</v>
      </c>
      <c r="C817" s="1" t="s">
        <v>1274</v>
      </c>
      <c r="D817" s="1" t="s">
        <v>2345</v>
      </c>
      <c r="E817" s="5">
        <v>39149</v>
      </c>
      <c r="F817" s="1" t="s">
        <v>17</v>
      </c>
      <c r="G817" s="1" t="str">
        <f>IF(B817=0,VLOOKUP(A817,Feuil2!$A$2:$M$1241,11,FALSE)," ")</f>
        <v xml:space="preserve"> </v>
      </c>
      <c r="H817" s="1" t="s">
        <v>16</v>
      </c>
      <c r="I817" s="6" t="str">
        <f>IF(B817=0,VLOOKUP(A817,Feuil2!$A$2:$M$1241,7,FALSE)," ")</f>
        <v xml:space="preserve"> </v>
      </c>
      <c r="J817" s="1" t="str">
        <f>IF(B817=0,VLOOKUP(A817,Feuil2!$A$2:$M$1241,9,FALSE)," ")</f>
        <v xml:space="preserve"> </v>
      </c>
      <c r="K817" s="1" t="str">
        <f>IF(B817=0,VLOOKUP(A817,Feuil2!$A$2:$M$1241,10,FALSE)," ")</f>
        <v xml:space="preserve"> </v>
      </c>
      <c r="L817" s="1"/>
      <c r="M817" s="1"/>
      <c r="N817" s="1"/>
      <c r="O817" s="8" t="str">
        <f>IF(B817=0,VLOOKUP(A817,Feuil2!$A$2:$M$1241,13,FALSE)," ")</f>
        <v xml:space="preserve"> </v>
      </c>
    </row>
    <row r="818" spans="1:16" x14ac:dyDescent="0.3">
      <c r="A818" s="1">
        <v>843</v>
      </c>
      <c r="B818" s="1">
        <v>6</v>
      </c>
      <c r="C818" s="1" t="s">
        <v>1274</v>
      </c>
      <c r="D818" s="1" t="s">
        <v>2404</v>
      </c>
      <c r="E818" s="5">
        <v>40030</v>
      </c>
      <c r="F818" s="1" t="s">
        <v>506</v>
      </c>
      <c r="G818" s="1" t="str">
        <f>IF(B818=0,VLOOKUP(A818,Feuil2!$A$2:$M$1241,11,FALSE)," ")</f>
        <v xml:space="preserve"> </v>
      </c>
      <c r="H818" s="1" t="s">
        <v>16</v>
      </c>
      <c r="I818" s="6" t="str">
        <f>IF(B818=0,VLOOKUP(A818,Feuil2!$A$2:$M$1241,7,FALSE)," ")</f>
        <v xml:space="preserve"> </v>
      </c>
      <c r="J818" s="1" t="str">
        <f>IF(B818=0,VLOOKUP(A818,Feuil2!$A$2:$M$1241,9,FALSE)," ")</f>
        <v xml:space="preserve"> </v>
      </c>
      <c r="K818" s="1" t="str">
        <f>IF(B818=0,VLOOKUP(A818,Feuil2!$A$2:$M$1241,10,FALSE)," ")</f>
        <v xml:space="preserve"> </v>
      </c>
      <c r="L818" s="1"/>
      <c r="M818" s="1"/>
      <c r="N818" s="1"/>
      <c r="O818" s="8" t="str">
        <f>IF(B818=0,VLOOKUP(A818,Feuil2!$A$2:$M$1241,13,FALSE)," ")</f>
        <v xml:space="preserve"> </v>
      </c>
    </row>
    <row r="819" spans="1:16" x14ac:dyDescent="0.3">
      <c r="A819" s="1">
        <v>843</v>
      </c>
      <c r="B819" s="1">
        <v>7</v>
      </c>
      <c r="C819" s="1" t="s">
        <v>1274</v>
      </c>
      <c r="D819" s="1" t="s">
        <v>89</v>
      </c>
      <c r="E819" s="5">
        <v>43618</v>
      </c>
      <c r="F819" s="1" t="s">
        <v>506</v>
      </c>
      <c r="G819" s="1" t="str">
        <f>IF(B819=0,VLOOKUP(A819,Feuil2!$A$2:$M$1241,11,FALSE)," ")</f>
        <v xml:space="preserve"> </v>
      </c>
      <c r="H819" s="1" t="s">
        <v>16</v>
      </c>
      <c r="I819" s="6" t="str">
        <f>IF(B819=0,VLOOKUP(A819,Feuil2!$A$2:$M$1241,7,FALSE)," ")</f>
        <v xml:space="preserve"> </v>
      </c>
      <c r="J819" s="1" t="str">
        <f>IF(B819=0,VLOOKUP(A819,Feuil2!$A$2:$M$1241,9,FALSE)," ")</f>
        <v xml:space="preserve"> </v>
      </c>
      <c r="K819" s="1" t="str">
        <f>IF(B819=0,VLOOKUP(A819,Feuil2!$A$2:$M$1241,10,FALSE)," ")</f>
        <v xml:space="preserve"> </v>
      </c>
      <c r="L819" s="1"/>
      <c r="M819" s="1"/>
      <c r="N819" s="1"/>
      <c r="O819" s="8" t="str">
        <f>IF(B819=0,VLOOKUP(A819,Feuil2!$A$2:$M$1241,13,FALSE)," ")</f>
        <v xml:space="preserve"> </v>
      </c>
    </row>
    <row r="820" spans="1:16" x14ac:dyDescent="0.3">
      <c r="A820" s="17">
        <v>854</v>
      </c>
      <c r="B820" s="17">
        <v>0</v>
      </c>
      <c r="C820" s="17" t="str">
        <f>IF(B820=0,VLOOKUP(A820,Feuil2!$A$2:$M$1241,2,FALSE)," ")</f>
        <v>SAHLI</v>
      </c>
      <c r="D820" s="17" t="str">
        <f>IF(B820=0,VLOOKUP(A820,Feuil2!$A$2:$M$1241,3,FALSE)," ")</f>
        <v>SAMIR</v>
      </c>
      <c r="E820" s="18">
        <f>IF(B820=0,VLOOKUP(A820,Feuil2!$A$2:$M$1241,6,FALSE)," ")</f>
        <v>24446</v>
      </c>
      <c r="F820" s="17" t="str">
        <f>IF(B820=0,VLOOKUP(A820,Feuil2!$A$2:$M$1241,12,FALSE)," ")</f>
        <v>H</v>
      </c>
      <c r="G820" s="17" t="str">
        <f>IF(B820=0,VLOOKUP(A820,Feuil2!$A$2:$M$1241,11,FALSE)," ")</f>
        <v>M</v>
      </c>
      <c r="H820" s="17" t="s">
        <v>16</v>
      </c>
      <c r="I820" s="19">
        <f>IF(B820=0,VLOOKUP(A820,Feuil2!$A$2:$M$1241,7,FALSE)," ")</f>
        <v>2980871</v>
      </c>
      <c r="J820" s="17" t="str">
        <f>IF(B820=0,VLOOKUP(A820,Feuil2!$A$2:$M$1241,9,FALSE)," ")</f>
        <v>4015 Borjine</v>
      </c>
      <c r="K820" s="17" t="str">
        <f>IF(B820=0,VLOOKUP(A820,Feuil2!$A$2:$M$1241,10,FALSE)," ")</f>
        <v>Borjine 4015</v>
      </c>
      <c r="L820" s="17">
        <v>4015</v>
      </c>
      <c r="M820" s="17">
        <v>98502782</v>
      </c>
      <c r="N820" s="17"/>
      <c r="O820" s="20" t="str">
        <f>IF(B820=0,VLOOKUP(A820,Feuil2!$A$2:$M$1241,13,FALSE)," ")</f>
        <v>24010033229251110114</v>
      </c>
    </row>
    <row r="821" spans="1:16" x14ac:dyDescent="0.3">
      <c r="A821" s="1">
        <v>854</v>
      </c>
      <c r="B821" s="1">
        <v>1</v>
      </c>
      <c r="C821" s="1" t="s">
        <v>2609</v>
      </c>
      <c r="D821" s="1" t="s">
        <v>2610</v>
      </c>
      <c r="E821" s="5">
        <v>28406</v>
      </c>
      <c r="F821" s="1" t="s">
        <v>17</v>
      </c>
      <c r="G821" s="1" t="s">
        <v>15</v>
      </c>
      <c r="H821" s="1" t="s">
        <v>16</v>
      </c>
      <c r="I821" s="6" t="str">
        <f>IF(B821=0,VLOOKUP(A821,Feuil2!$A$2:$M$1241,7,FALSE)," ")</f>
        <v xml:space="preserve"> </v>
      </c>
      <c r="J821" s="1" t="str">
        <f>IF(B821=0,VLOOKUP(A821,Feuil2!$A$2:$M$1241,9,FALSE)," ")</f>
        <v xml:space="preserve"> </v>
      </c>
      <c r="K821" s="1" t="str">
        <f>IF(B821=0,VLOOKUP(A821,Feuil2!$A$2:$M$1241,10,FALSE)," ")</f>
        <v xml:space="preserve"> </v>
      </c>
      <c r="L821" s="1"/>
      <c r="M821" s="1"/>
      <c r="N821" s="1"/>
      <c r="O821" s="8" t="str">
        <f>IF(B821=0,VLOOKUP(A821,Feuil2!$A$2:$M$1241,13,FALSE)," ")</f>
        <v xml:space="preserve"> </v>
      </c>
    </row>
    <row r="822" spans="1:16" x14ac:dyDescent="0.3">
      <c r="A822" s="1">
        <v>854</v>
      </c>
      <c r="B822" s="1">
        <v>2</v>
      </c>
      <c r="C822" s="1" t="s">
        <v>248</v>
      </c>
      <c r="D822" s="1" t="s">
        <v>2579</v>
      </c>
      <c r="E822" s="5">
        <v>39918</v>
      </c>
      <c r="F822" s="1" t="s">
        <v>17</v>
      </c>
      <c r="G822" s="1" t="str">
        <f>IF(B822=0,VLOOKUP(A822,Feuil2!$A$2:$M$1241,11,FALSE)," ")</f>
        <v xml:space="preserve"> </v>
      </c>
      <c r="H822" s="1" t="s">
        <v>16</v>
      </c>
      <c r="I822" s="6" t="str">
        <f>IF(B822=0,VLOOKUP(A822,Feuil2!$A$2:$M$1241,7,FALSE)," ")</f>
        <v xml:space="preserve"> </v>
      </c>
      <c r="J822" s="1" t="str">
        <f>IF(B822=0,VLOOKUP(A822,Feuil2!$A$2:$M$1241,9,FALSE)," ")</f>
        <v xml:space="preserve"> </v>
      </c>
      <c r="K822" s="1" t="str">
        <f>IF(B822=0,VLOOKUP(A822,Feuil2!$A$2:$M$1241,10,FALSE)," ")</f>
        <v xml:space="preserve"> </v>
      </c>
      <c r="L822" s="1"/>
      <c r="M822" s="1"/>
      <c r="N822" s="1"/>
      <c r="O822" s="8" t="str">
        <f>IF(B822=0,VLOOKUP(A822,Feuil2!$A$2:$M$1241,13,FALSE)," ")</f>
        <v xml:space="preserve"> </v>
      </c>
    </row>
    <row r="823" spans="1:16" x14ac:dyDescent="0.3">
      <c r="A823" s="17">
        <v>872</v>
      </c>
      <c r="B823" s="17">
        <v>0</v>
      </c>
      <c r="C823" s="17" t="str">
        <f>IF(B823=0,VLOOKUP(A823,Feuil2!$A$2:$M$1241,2,FALSE)," ")</f>
        <v>BOUHLEL</v>
      </c>
      <c r="D823" s="17" t="str">
        <f>IF(B823=0,VLOOKUP(A823,Feuil2!$A$2:$M$1241,3,FALSE)," ")</f>
        <v>SAMIR</v>
      </c>
      <c r="E823" s="18">
        <f>IF(B823=0,VLOOKUP(A823,Feuil2!$A$2:$M$1241,6,FALSE)," ")</f>
        <v>25248</v>
      </c>
      <c r="F823" s="17" t="str">
        <f>IF(B823=0,VLOOKUP(A823,Feuil2!$A$2:$M$1241,12,FALSE)," ")</f>
        <v>H</v>
      </c>
      <c r="G823" s="17" t="str">
        <f>IF(B823=0,VLOOKUP(A823,Feuil2!$A$2:$M$1241,11,FALSE)," ")</f>
        <v>M</v>
      </c>
      <c r="H823" s="17" t="s">
        <v>16</v>
      </c>
      <c r="I823" s="19">
        <f>IF(B823=0,VLOOKUP(A823,Feuil2!$A$2:$M$1241,7,FALSE)," ")</f>
        <v>2985571</v>
      </c>
      <c r="J823" s="17" t="str">
        <f>IF(B823=0,VLOOKUP(A823,Feuil2!$A$2:$M$1241,9,FALSE)," ")</f>
        <v>39 R Hamda Hamila</v>
      </c>
      <c r="K823" s="17" t="str">
        <f>IF(B823=0,VLOOKUP(A823,Feuil2!$A$2:$M$1241,10,FALSE)," ")</f>
        <v>Msaken 4070</v>
      </c>
      <c r="L823" s="17">
        <v>4070</v>
      </c>
      <c r="M823" s="17">
        <v>22901158</v>
      </c>
      <c r="N823" s="17"/>
      <c r="O823" s="20" t="str">
        <f>IF(B823=0,VLOOKUP(A823,Feuil2!$A$2:$M$1241,13,FALSE)," ")</f>
        <v>08507000262000224324</v>
      </c>
    </row>
    <row r="824" spans="1:16" x14ac:dyDescent="0.3">
      <c r="A824" s="1">
        <v>872</v>
      </c>
      <c r="B824" s="1">
        <v>1</v>
      </c>
      <c r="C824" s="1" t="str">
        <f>IF(B824=0,VLOOKUP(A824,Feuil2!$A$2:$M$1241,2,FALSE)," ")</f>
        <v xml:space="preserve"> </v>
      </c>
      <c r="D824" s="1" t="s">
        <v>2086</v>
      </c>
      <c r="E824" s="5">
        <v>29127</v>
      </c>
      <c r="F824" s="1" t="s">
        <v>17</v>
      </c>
      <c r="G824" s="1" t="s">
        <v>15</v>
      </c>
      <c r="H824" s="1" t="s">
        <v>16</v>
      </c>
      <c r="I824" s="6" t="str">
        <f>IF(B824=0,VLOOKUP(A824,Feuil2!$A$2:$M$1241,7,FALSE)," ")</f>
        <v xml:space="preserve"> </v>
      </c>
      <c r="J824" s="1" t="str">
        <f>IF(B824=0,VLOOKUP(A824,Feuil2!$A$2:$M$1241,9,FALSE)," ")</f>
        <v xml:space="preserve"> </v>
      </c>
      <c r="K824" s="1" t="str">
        <f>IF(B824=0,VLOOKUP(A824,Feuil2!$A$2:$M$1241,10,FALSE)," ")</f>
        <v xml:space="preserve"> </v>
      </c>
      <c r="L824" s="1"/>
      <c r="M824" s="1"/>
      <c r="N824" s="1"/>
      <c r="O824" s="8" t="str">
        <f>IF(B824=0,VLOOKUP(A824,Feuil2!$A$2:$M$1241,13,FALSE)," ")</f>
        <v xml:space="preserve"> </v>
      </c>
    </row>
    <row r="825" spans="1:16" x14ac:dyDescent="0.3">
      <c r="A825" s="1">
        <v>872</v>
      </c>
      <c r="B825" s="1">
        <v>2</v>
      </c>
      <c r="C825" s="1" t="s">
        <v>83</v>
      </c>
      <c r="D825" s="1" t="s">
        <v>2380</v>
      </c>
      <c r="E825" s="5">
        <v>36489</v>
      </c>
      <c r="F825" s="1" t="s">
        <v>17</v>
      </c>
      <c r="G825" s="1" t="str">
        <f>IF(B825=0,VLOOKUP(A825,Feuil2!$A$2:$M$1241,11,FALSE)," ")</f>
        <v xml:space="preserve"> </v>
      </c>
      <c r="H825" s="1" t="s">
        <v>16</v>
      </c>
      <c r="I825" s="6" t="str">
        <f>IF(B825=0,VLOOKUP(A825,Feuil2!$A$2:$M$1241,7,FALSE)," ")</f>
        <v xml:space="preserve"> </v>
      </c>
      <c r="J825" s="1" t="str">
        <f>IF(B825=0,VLOOKUP(A825,Feuil2!$A$2:$M$1241,9,FALSE)," ")</f>
        <v xml:space="preserve"> </v>
      </c>
      <c r="K825" s="1" t="str">
        <f>IF(B825=0,VLOOKUP(A825,Feuil2!$A$2:$M$1241,10,FALSE)," ")</f>
        <v xml:space="preserve"> </v>
      </c>
      <c r="L825" s="1"/>
      <c r="M825" s="1"/>
      <c r="N825" s="1"/>
      <c r="O825" s="8" t="str">
        <f>IF(B825=0,VLOOKUP(A825,Feuil2!$A$2:$M$1241,13,FALSE)," ")</f>
        <v xml:space="preserve"> </v>
      </c>
    </row>
    <row r="826" spans="1:16" x14ac:dyDescent="0.3">
      <c r="A826" s="1">
        <v>872</v>
      </c>
      <c r="B826" s="1">
        <v>3</v>
      </c>
      <c r="C826" s="1" t="s">
        <v>83</v>
      </c>
      <c r="D826" s="1" t="s">
        <v>2382</v>
      </c>
      <c r="E826" s="5">
        <v>36489</v>
      </c>
      <c r="F826" s="1" t="s">
        <v>17</v>
      </c>
      <c r="G826" s="1" t="str">
        <f>IF(B826=0,VLOOKUP(A826,Feuil2!$A$2:$M$1241,11,FALSE)," ")</f>
        <v xml:space="preserve"> </v>
      </c>
      <c r="H826" s="1" t="s">
        <v>16</v>
      </c>
      <c r="I826" s="6" t="str">
        <f>IF(B826=0,VLOOKUP(A826,Feuil2!$A$2:$M$1241,7,FALSE)," ")</f>
        <v xml:space="preserve"> </v>
      </c>
      <c r="J826" s="1" t="str">
        <f>IF(B826=0,VLOOKUP(A826,Feuil2!$A$2:$M$1241,9,FALSE)," ")</f>
        <v xml:space="preserve"> </v>
      </c>
      <c r="K826" s="1" t="str">
        <f>IF(B826=0,VLOOKUP(A826,Feuil2!$A$2:$M$1241,10,FALSE)," ")</f>
        <v xml:space="preserve"> </v>
      </c>
      <c r="L826" s="1"/>
      <c r="M826" s="1"/>
      <c r="N826" s="1"/>
      <c r="O826" s="8" t="str">
        <f>IF(B826=0,VLOOKUP(A826,Feuil2!$A$2:$M$1241,13,FALSE)," ")</f>
        <v xml:space="preserve"> </v>
      </c>
    </row>
    <row r="827" spans="1:16" x14ac:dyDescent="0.3">
      <c r="A827" s="1">
        <v>872</v>
      </c>
      <c r="B827" s="1">
        <v>4</v>
      </c>
      <c r="C827" s="1" t="s">
        <v>83</v>
      </c>
      <c r="D827" s="1" t="s">
        <v>441</v>
      </c>
      <c r="E827" s="5">
        <v>38008</v>
      </c>
      <c r="F827" s="1" t="s">
        <v>506</v>
      </c>
      <c r="G827" s="1" t="str">
        <f>IF(B827=0,VLOOKUP(A827,Feuil2!$A$2:$M$1241,11,FALSE)," ")</f>
        <v xml:space="preserve"> </v>
      </c>
      <c r="H827" s="1" t="s">
        <v>16</v>
      </c>
      <c r="I827" s="6" t="str">
        <f>IF(B827=0,VLOOKUP(A827,Feuil2!$A$2:$M$1241,7,FALSE)," ")</f>
        <v xml:space="preserve"> </v>
      </c>
      <c r="J827" s="1" t="str">
        <f>IF(B827=0,VLOOKUP(A827,Feuil2!$A$2:$M$1241,9,FALSE)," ")</f>
        <v xml:space="preserve"> </v>
      </c>
      <c r="K827" s="1" t="str">
        <f>IF(B827=0,VLOOKUP(A827,Feuil2!$A$2:$M$1241,10,FALSE)," ")</f>
        <v xml:space="preserve"> </v>
      </c>
      <c r="L827" s="1"/>
      <c r="M827" s="1"/>
      <c r="N827" s="1"/>
      <c r="O827" s="8" t="str">
        <f>IF(B827=0,VLOOKUP(A827,Feuil2!$A$2:$M$1241,13,FALSE)," ")</f>
        <v xml:space="preserve"> </v>
      </c>
    </row>
    <row r="828" spans="1:16" x14ac:dyDescent="0.3">
      <c r="A828" s="1">
        <v>872</v>
      </c>
      <c r="B828" s="1">
        <v>5</v>
      </c>
      <c r="C828" s="1" t="s">
        <v>83</v>
      </c>
      <c r="D828" s="1" t="s">
        <v>2381</v>
      </c>
      <c r="E828" s="5">
        <v>40081</v>
      </c>
      <c r="F828" s="1" t="s">
        <v>17</v>
      </c>
      <c r="G828" s="1" t="str">
        <f>IF(B828=0,VLOOKUP(A828,Feuil2!$A$2:$M$1241,11,FALSE)," ")</f>
        <v xml:space="preserve"> </v>
      </c>
      <c r="H828" s="1" t="s">
        <v>16</v>
      </c>
      <c r="I828" s="6" t="str">
        <f>IF(B828=0,VLOOKUP(A828,Feuil2!$A$2:$M$1241,7,FALSE)," ")</f>
        <v xml:space="preserve"> </v>
      </c>
      <c r="J828" s="1" t="str">
        <f>IF(B828=0,VLOOKUP(A828,Feuil2!$A$2:$M$1241,9,FALSE)," ")</f>
        <v xml:space="preserve"> </v>
      </c>
      <c r="K828" s="1" t="str">
        <f>IF(B828=0,VLOOKUP(A828,Feuil2!$A$2:$M$1241,10,FALSE)," ")</f>
        <v xml:space="preserve"> </v>
      </c>
      <c r="L828" s="1"/>
      <c r="M828" s="1"/>
      <c r="N828" s="1"/>
      <c r="O828" s="8" t="str">
        <f>IF(B828=0,VLOOKUP(A828,Feuil2!$A$2:$M$1241,13,FALSE)," ")</f>
        <v xml:space="preserve"> </v>
      </c>
      <c r="P828" t="s">
        <v>2805</v>
      </c>
    </row>
    <row r="829" spans="1:16" x14ac:dyDescent="0.3">
      <c r="A829" s="1">
        <v>872</v>
      </c>
      <c r="B829" s="1">
        <v>6</v>
      </c>
      <c r="C829" s="1" t="s">
        <v>83</v>
      </c>
      <c r="D829" s="1" t="s">
        <v>2611</v>
      </c>
      <c r="E829" s="5">
        <v>43786</v>
      </c>
      <c r="F829" s="1" t="s">
        <v>506</v>
      </c>
      <c r="G829" s="1" t="str">
        <f>IF(B829=0,VLOOKUP(A829,Feuil2!$A$2:$M$1241,11,FALSE)," ")</f>
        <v xml:space="preserve"> </v>
      </c>
      <c r="H829" s="1" t="s">
        <v>16</v>
      </c>
      <c r="I829" s="6" t="str">
        <f>IF(B829=0,VLOOKUP(A829,Feuil2!$A$2:$M$1241,7,FALSE)," ")</f>
        <v xml:space="preserve"> </v>
      </c>
      <c r="J829" s="1" t="str">
        <f>IF(B829=0,VLOOKUP(A829,Feuil2!$A$2:$M$1241,9,FALSE)," ")</f>
        <v xml:space="preserve"> </v>
      </c>
      <c r="K829" s="1" t="str">
        <f>IF(B829=0,VLOOKUP(A829,Feuil2!$A$2:$M$1241,10,FALSE)," ")</f>
        <v xml:space="preserve"> </v>
      </c>
      <c r="L829" s="1"/>
      <c r="M829" s="1"/>
      <c r="N829" s="1"/>
      <c r="O829" s="8" t="str">
        <f>IF(B829=0,VLOOKUP(A829,Feuil2!$A$2:$M$1241,13,FALSE)," ")</f>
        <v xml:space="preserve"> </v>
      </c>
    </row>
    <row r="830" spans="1:16" x14ac:dyDescent="0.3">
      <c r="A830" s="1">
        <v>879</v>
      </c>
      <c r="B830" s="1">
        <v>0</v>
      </c>
      <c r="C830" s="1" t="str">
        <f>IF(B830=0,VLOOKUP(A830,Feuil2!$A$2:$M$1241,2,FALSE)," ")</f>
        <v>MOUSSA</v>
      </c>
      <c r="D830" s="1" t="str">
        <f>IF(B830=0,VLOOKUP(A830,Feuil2!$A$2:$M$1241,3,FALSE)," ")</f>
        <v>ABDERRAZEK</v>
      </c>
      <c r="E830" s="5">
        <f>IF(B830=0,VLOOKUP(A830,Feuil2!$A$2:$M$1241,6,FALSE)," ")</f>
        <v>24954</v>
      </c>
      <c r="F830" s="1" t="str">
        <f>IF(B830=0,VLOOKUP(A830,Feuil2!$A$2:$M$1241,12,FALSE)," ")</f>
        <v>H</v>
      </c>
      <c r="G830" s="1" t="str">
        <f>IF(B830=0,VLOOKUP(A830,Feuil2!$A$2:$M$1241,11,FALSE)," ")</f>
        <v>M</v>
      </c>
      <c r="H830" s="1" t="s">
        <v>16</v>
      </c>
      <c r="I830" s="6">
        <f>IF(B830=0,VLOOKUP(A830,Feuil2!$A$2:$M$1241,7,FALSE)," ")</f>
        <v>2994644</v>
      </c>
      <c r="J830" s="1" t="str">
        <f>IF(B830=0,VLOOKUP(A830,Feuil2!$A$2:$M$1241,9,FALSE)," ")</f>
        <v>20 Rue  Mohamed Ali</v>
      </c>
      <c r="K830" s="1" t="str">
        <f>IF(B830=0,VLOOKUP(A830,Feuil2!$A$2:$M$1241,10,FALSE)," ")</f>
        <v>Msaken 4070</v>
      </c>
      <c r="L830" s="1">
        <v>4070</v>
      </c>
      <c r="M830" s="1">
        <v>55847646</v>
      </c>
      <c r="N830" s="1"/>
      <c r="O830" s="8" t="str">
        <f>IF(B830=0,VLOOKUP(A830,Feuil2!$A$2:$M$1241,13,FALSE)," ")</f>
        <v>25018000000018656855</v>
      </c>
    </row>
    <row r="831" spans="1:16" x14ac:dyDescent="0.3">
      <c r="A831" s="1">
        <v>879</v>
      </c>
      <c r="B831" s="1">
        <v>1</v>
      </c>
      <c r="C831" s="1" t="s">
        <v>182</v>
      </c>
      <c r="D831" s="1" t="s">
        <v>2219</v>
      </c>
      <c r="E831" s="5">
        <v>28667</v>
      </c>
      <c r="F831" s="1" t="s">
        <v>17</v>
      </c>
      <c r="G831" s="1" t="s">
        <v>15</v>
      </c>
      <c r="H831" s="1" t="s">
        <v>16</v>
      </c>
      <c r="I831" s="6" t="str">
        <f>IF(B831=0,VLOOKUP(A831,Feuil2!$A$2:$M$1241,7,FALSE)," ")</f>
        <v xml:space="preserve"> </v>
      </c>
      <c r="J831" s="1" t="str">
        <f>IF(B831=0,VLOOKUP(A831,Feuil2!$A$2:$M$1241,9,FALSE)," ")</f>
        <v xml:space="preserve"> </v>
      </c>
      <c r="K831" s="1" t="str">
        <f>IF(B831=0,VLOOKUP(A831,Feuil2!$A$2:$M$1241,10,FALSE)," ")</f>
        <v xml:space="preserve"> </v>
      </c>
      <c r="L831" s="1"/>
      <c r="M831" s="1"/>
      <c r="N831" s="1"/>
      <c r="O831" s="8" t="str">
        <f>IF(B831=0,VLOOKUP(A831,Feuil2!$A$2:$M$1241,13,FALSE)," ")</f>
        <v xml:space="preserve"> </v>
      </c>
    </row>
    <row r="832" spans="1:16" x14ac:dyDescent="0.3">
      <c r="A832" s="1">
        <v>879</v>
      </c>
      <c r="B832" s="1">
        <v>2</v>
      </c>
      <c r="C832" s="1" t="s">
        <v>67</v>
      </c>
      <c r="D832" s="1" t="s">
        <v>2612</v>
      </c>
      <c r="E832" s="5">
        <v>36471</v>
      </c>
      <c r="F832" s="1" t="s">
        <v>506</v>
      </c>
      <c r="G832" s="1" t="str">
        <f>IF(B832=0,VLOOKUP(A832,Feuil2!$A$2:$M$1241,11,FALSE)," ")</f>
        <v xml:space="preserve"> </v>
      </c>
      <c r="H832" s="1" t="s">
        <v>16</v>
      </c>
      <c r="I832" s="6" t="str">
        <f>IF(B832=0,VLOOKUP(A832,Feuil2!$A$2:$M$1241,7,FALSE)," ")</f>
        <v xml:space="preserve"> </v>
      </c>
      <c r="J832" s="1" t="str">
        <f>IF(B832=0,VLOOKUP(A832,Feuil2!$A$2:$M$1241,9,FALSE)," ")</f>
        <v xml:space="preserve"> </v>
      </c>
      <c r="K832" s="1" t="str">
        <f>IF(B832=0,VLOOKUP(A832,Feuil2!$A$2:$M$1241,10,FALSE)," ")</f>
        <v xml:space="preserve"> </v>
      </c>
      <c r="L832" s="1"/>
      <c r="M832" s="1"/>
      <c r="N832" s="1"/>
      <c r="O832" s="8" t="str">
        <f>IF(B832=0,VLOOKUP(A832,Feuil2!$A$2:$M$1241,13,FALSE)," ")</f>
        <v xml:space="preserve"> </v>
      </c>
    </row>
    <row r="833" spans="1:15" x14ac:dyDescent="0.3">
      <c r="A833" s="1">
        <v>879</v>
      </c>
      <c r="B833" s="1">
        <v>3</v>
      </c>
      <c r="C833" s="1" t="s">
        <v>67</v>
      </c>
      <c r="D833" s="1" t="s">
        <v>2613</v>
      </c>
      <c r="E833" s="5">
        <v>37995</v>
      </c>
      <c r="F833" s="1" t="s">
        <v>17</v>
      </c>
      <c r="G833" s="1" t="str">
        <f>IF(B833=0,VLOOKUP(A833,Feuil2!$A$2:$M$1241,11,FALSE)," ")</f>
        <v xml:space="preserve"> </v>
      </c>
      <c r="H833" s="1" t="s">
        <v>16</v>
      </c>
      <c r="I833" s="6" t="str">
        <f>IF(B833=0,VLOOKUP(A833,Feuil2!$A$2:$M$1241,7,FALSE)," ")</f>
        <v xml:space="preserve"> </v>
      </c>
      <c r="J833" s="1" t="str">
        <f>IF(B833=0,VLOOKUP(A833,Feuil2!$A$2:$M$1241,9,FALSE)," ")</f>
        <v xml:space="preserve"> </v>
      </c>
      <c r="K833" s="1" t="str">
        <f>IF(B833=0,VLOOKUP(A833,Feuil2!$A$2:$M$1241,10,FALSE)," ")</f>
        <v xml:space="preserve"> </v>
      </c>
      <c r="L833" s="1"/>
      <c r="M833" s="1"/>
      <c r="N833" s="1"/>
      <c r="O833" s="8" t="str">
        <f>IF(B833=0,VLOOKUP(A833,Feuil2!$A$2:$M$1241,13,FALSE)," ")</f>
        <v xml:space="preserve"> </v>
      </c>
    </row>
    <row r="834" spans="1:15" x14ac:dyDescent="0.3">
      <c r="A834" s="1">
        <v>879</v>
      </c>
      <c r="B834" s="1">
        <v>4</v>
      </c>
      <c r="C834" s="1" t="s">
        <v>67</v>
      </c>
      <c r="D834" s="1" t="s">
        <v>2404</v>
      </c>
      <c r="E834" s="5">
        <v>39854</v>
      </c>
      <c r="F834" s="1" t="s">
        <v>506</v>
      </c>
      <c r="G834" s="1" t="str">
        <f>IF(B834=0,VLOOKUP(A834,Feuil2!$A$2:$M$1241,11,FALSE)," ")</f>
        <v xml:space="preserve"> </v>
      </c>
      <c r="H834" s="1" t="s">
        <v>16</v>
      </c>
      <c r="I834" s="6" t="str">
        <f>IF(B834=0,VLOOKUP(A834,Feuil2!$A$2:$M$1241,7,FALSE)," ")</f>
        <v xml:space="preserve"> </v>
      </c>
      <c r="J834" s="1" t="str">
        <f>IF(B834=0,VLOOKUP(A834,Feuil2!$A$2:$M$1241,9,FALSE)," ")</f>
        <v xml:space="preserve"> </v>
      </c>
      <c r="K834" s="1" t="str">
        <f>IF(B834=0,VLOOKUP(A834,Feuil2!$A$2:$M$1241,10,FALSE)," ")</f>
        <v xml:space="preserve"> </v>
      </c>
      <c r="L834" s="1"/>
      <c r="M834" s="1"/>
      <c r="N834" s="1"/>
      <c r="O834" s="8" t="str">
        <f>IF(B834=0,VLOOKUP(A834,Feuil2!$A$2:$M$1241,13,FALSE)," ")</f>
        <v xml:space="preserve"> </v>
      </c>
    </row>
    <row r="835" spans="1:15" x14ac:dyDescent="0.3">
      <c r="A835" s="17">
        <v>885</v>
      </c>
      <c r="B835" s="17">
        <v>0</v>
      </c>
      <c r="C835" s="17" t="str">
        <f>IF(B835=0,VLOOKUP(A835,Feuil2!$A$2:$M$1241,2,FALSE)," ")</f>
        <v>LAYOUNI</v>
      </c>
      <c r="D835" s="17" t="str">
        <f>IF(B835=0,VLOOKUP(A835,Feuil2!$A$2:$M$1241,3,FALSE)," ")</f>
        <v>ABDELLATIF</v>
      </c>
      <c r="E835" s="18">
        <f>IF(B835=0,VLOOKUP(A835,Feuil2!$A$2:$M$1241,6,FALSE)," ")</f>
        <v>26238</v>
      </c>
      <c r="F835" s="17" t="str">
        <f>IF(B835=0,VLOOKUP(A835,Feuil2!$A$2:$M$1241,12,FALSE)," ")</f>
        <v>H</v>
      </c>
      <c r="G835" s="17" t="str">
        <f>IF(B835=0,VLOOKUP(A835,Feuil2!$A$2:$M$1241,11,FALSE)," ")</f>
        <v>M</v>
      </c>
      <c r="H835" s="17" t="s">
        <v>16</v>
      </c>
      <c r="I835" s="19">
        <f>IF(B835=0,VLOOKUP(A835,Feuil2!$A$2:$M$1241,7,FALSE)," ")</f>
        <v>5505561</v>
      </c>
      <c r="J835" s="17" t="str">
        <f>IF(B835=0,VLOOKUP(A835,Feuil2!$A$2:$M$1241,9,FALSE)," ")</f>
        <v>80 Rue 1er Juin 1955</v>
      </c>
      <c r="K835" s="17" t="str">
        <f>IF(B835=0,VLOOKUP(A835,Feuil2!$A$2:$M$1241,10,FALSE)," ")</f>
        <v>Msaken 4070</v>
      </c>
      <c r="L835" s="17">
        <v>4070</v>
      </c>
      <c r="M835" s="17">
        <v>21924453</v>
      </c>
      <c r="N835" s="17"/>
      <c r="O835" s="20" t="str">
        <f>IF(B835=0,VLOOKUP(A835,Feuil2!$A$2:$M$1241,13,FALSE)," ")</f>
        <v>10506040204619578863</v>
      </c>
    </row>
    <row r="836" spans="1:15" x14ac:dyDescent="0.3">
      <c r="A836" s="1">
        <v>885</v>
      </c>
      <c r="B836" s="1">
        <v>1</v>
      </c>
      <c r="C836" s="1" t="s">
        <v>250</v>
      </c>
      <c r="D836" s="1" t="s">
        <v>2614</v>
      </c>
      <c r="E836" s="5">
        <v>27144</v>
      </c>
      <c r="F836" s="1" t="s">
        <v>17</v>
      </c>
      <c r="G836" s="1" t="s">
        <v>15</v>
      </c>
      <c r="H836" s="1" t="s">
        <v>16</v>
      </c>
      <c r="I836" s="6" t="str">
        <f>IF(B836=0,VLOOKUP(A836,Feuil2!$A$2:$M$1241,7,FALSE)," ")</f>
        <v xml:space="preserve"> </v>
      </c>
      <c r="J836" s="1" t="str">
        <f>IF(B836=0,VLOOKUP(A836,Feuil2!$A$2:$M$1241,9,FALSE)," ")</f>
        <v xml:space="preserve"> </v>
      </c>
      <c r="K836" s="1" t="str">
        <f>IF(B836=0,VLOOKUP(A836,Feuil2!$A$2:$M$1241,10,FALSE)," ")</f>
        <v xml:space="preserve"> </v>
      </c>
      <c r="L836" s="1"/>
      <c r="M836" s="1"/>
      <c r="N836" s="1"/>
      <c r="O836" s="8" t="str">
        <f>IF(B836=0,VLOOKUP(A836,Feuil2!$A$2:$M$1241,13,FALSE)," ")</f>
        <v xml:space="preserve"> </v>
      </c>
    </row>
    <row r="837" spans="1:15" x14ac:dyDescent="0.3">
      <c r="A837" s="1">
        <v>885</v>
      </c>
      <c r="B837" s="1">
        <v>2</v>
      </c>
      <c r="C837" s="1" t="s">
        <v>250</v>
      </c>
      <c r="D837" s="1" t="s">
        <v>172</v>
      </c>
      <c r="E837" s="5">
        <v>36635</v>
      </c>
      <c r="F837" s="1" t="s">
        <v>506</v>
      </c>
      <c r="G837" s="1" t="str">
        <f>IF(B837=0,VLOOKUP(A837,Feuil2!$A$2:$M$1241,11,FALSE)," ")</f>
        <v xml:space="preserve"> </v>
      </c>
      <c r="H837" s="1" t="s">
        <v>16</v>
      </c>
      <c r="I837" s="6" t="str">
        <f>IF(B837=0,VLOOKUP(A837,Feuil2!$A$2:$M$1241,7,FALSE)," ")</f>
        <v xml:space="preserve"> </v>
      </c>
      <c r="J837" s="1" t="str">
        <f>IF(B837=0,VLOOKUP(A837,Feuil2!$A$2:$M$1241,9,FALSE)," ")</f>
        <v xml:space="preserve"> </v>
      </c>
      <c r="K837" s="1" t="str">
        <f>IF(B837=0,VLOOKUP(A837,Feuil2!$A$2:$M$1241,10,FALSE)," ")</f>
        <v xml:space="preserve"> </v>
      </c>
      <c r="L837" s="1"/>
      <c r="M837" s="1"/>
      <c r="N837" s="1"/>
      <c r="O837" s="8" t="str">
        <f>IF(B837=0,VLOOKUP(A837,Feuil2!$A$2:$M$1241,13,FALSE)," ")</f>
        <v xml:space="preserve"> </v>
      </c>
    </row>
    <row r="838" spans="1:15" x14ac:dyDescent="0.3">
      <c r="A838" s="1">
        <v>885</v>
      </c>
      <c r="B838" s="1">
        <v>3</v>
      </c>
      <c r="C838" s="1" t="s">
        <v>250</v>
      </c>
      <c r="D838" s="1" t="s">
        <v>2615</v>
      </c>
      <c r="E838" s="5">
        <v>39767</v>
      </c>
      <c r="F838" s="1" t="str">
        <f>IF(B838=0,VLOOKUP(A838,Feuil2!$A$2:$M$1241,12,FALSE)," ")</f>
        <v xml:space="preserve"> </v>
      </c>
      <c r="G838" s="1" t="str">
        <f>IF(B838=0,VLOOKUP(A838,Feuil2!$A$2:$M$1241,11,FALSE)," ")</f>
        <v xml:space="preserve"> </v>
      </c>
      <c r="H838" s="1" t="s">
        <v>16</v>
      </c>
      <c r="I838" s="6" t="str">
        <f>IF(B838=0,VLOOKUP(A838,Feuil2!$A$2:$M$1241,7,FALSE)," ")</f>
        <v xml:space="preserve"> </v>
      </c>
      <c r="J838" s="1" t="str">
        <f>IF(B838=0,VLOOKUP(A838,Feuil2!$A$2:$M$1241,9,FALSE)," ")</f>
        <v xml:space="preserve"> </v>
      </c>
      <c r="K838" s="1" t="str">
        <f>IF(B838=0,VLOOKUP(A838,Feuil2!$A$2:$M$1241,10,FALSE)," ")</f>
        <v xml:space="preserve"> </v>
      </c>
      <c r="L838" s="1"/>
      <c r="M838" s="1"/>
      <c r="N838" s="1"/>
      <c r="O838" s="8" t="str">
        <f>IF(B838=0,VLOOKUP(A838,Feuil2!$A$2:$M$1241,13,FALSE)," ")</f>
        <v xml:space="preserve"> </v>
      </c>
    </row>
    <row r="839" spans="1:15" x14ac:dyDescent="0.3">
      <c r="A839" s="1">
        <v>903</v>
      </c>
      <c r="B839" s="1">
        <v>0</v>
      </c>
      <c r="C839" s="1" t="str">
        <f>IF(B839=0,VLOOKUP(A839,Feuil2!$A$2:$M$1241,2,FALSE)," ")</f>
        <v>BEL HADJ ALI</v>
      </c>
      <c r="D839" s="1" t="str">
        <f>IF(B839=0,VLOOKUP(A839,Feuil2!$A$2:$M$1241,3,FALSE)," ")</f>
        <v>JALEL</v>
      </c>
      <c r="E839" s="5">
        <f>IF(B839=0,VLOOKUP(A839,Feuil2!$A$2:$M$1241,6,FALSE)," ")</f>
        <v>24698</v>
      </c>
      <c r="F839" s="1" t="str">
        <f>IF(B839=0,VLOOKUP(A839,Feuil2!$A$2:$M$1241,12,FALSE)," ")</f>
        <v>H</v>
      </c>
      <c r="G839" s="1" t="str">
        <f>IF(B839=0,VLOOKUP(A839,Feuil2!$A$2:$M$1241,11,FALSE)," ")</f>
        <v>M</v>
      </c>
      <c r="H839" s="1" t="s">
        <v>16</v>
      </c>
      <c r="I839" s="6">
        <f>IF(B839=0,VLOOKUP(A839,Feuil2!$A$2:$M$1241,7,FALSE)," ")</f>
        <v>2994422</v>
      </c>
      <c r="J839" s="1" t="str">
        <f>IF(B839=0,VLOOKUP(A839,Feuil2!$A$2:$M$1241,9,FALSE)," ")</f>
        <v>4016 beni kalthoum</v>
      </c>
      <c r="K839" s="1" t="str">
        <f>IF(B839=0,VLOOKUP(A839,Feuil2!$A$2:$M$1241,10,FALSE)," ")</f>
        <v>BÃ©ni Kalthoum 4016</v>
      </c>
      <c r="L839" s="1"/>
      <c r="M839" s="1">
        <v>98793837</v>
      </c>
      <c r="N839" s="1"/>
      <c r="O839" s="8" t="str">
        <f>IF(B839=0,VLOOKUP(A839,Feuil2!$A$2:$M$1241,13,FALSE)," ")</f>
        <v>05048000116500493760</v>
      </c>
    </row>
    <row r="840" spans="1:15" x14ac:dyDescent="0.3">
      <c r="A840" s="1">
        <v>903</v>
      </c>
      <c r="B840" s="1">
        <v>1</v>
      </c>
      <c r="C840" s="1" t="str">
        <f>IF(B840=0,VLOOKUP(A840,Feuil2!$A$2:$M$1241,2,FALSE)," ")</f>
        <v xml:space="preserve"> </v>
      </c>
      <c r="D840" s="1" t="s">
        <v>1541</v>
      </c>
      <c r="E840" s="5">
        <v>27733</v>
      </c>
      <c r="F840" s="1" t="s">
        <v>17</v>
      </c>
      <c r="G840" s="1" t="s">
        <v>15</v>
      </c>
      <c r="H840" s="1" t="s">
        <v>16</v>
      </c>
      <c r="I840" s="6" t="str">
        <f>IF(B840=0,VLOOKUP(A840,Feuil2!$A$2:$M$1241,7,FALSE)," ")</f>
        <v xml:space="preserve"> </v>
      </c>
      <c r="J840" s="1" t="str">
        <f>IF(B840=0,VLOOKUP(A840,Feuil2!$A$2:$M$1241,9,FALSE)," ")</f>
        <v xml:space="preserve"> </v>
      </c>
      <c r="K840" s="1" t="str">
        <f>IF(B840=0,VLOOKUP(A840,Feuil2!$A$2:$M$1241,10,FALSE)," ")</f>
        <v xml:space="preserve"> </v>
      </c>
      <c r="L840" s="1"/>
      <c r="M840" s="1"/>
      <c r="N840" s="1"/>
      <c r="O840" s="8" t="str">
        <f>IF(B840=0,VLOOKUP(A840,Feuil2!$A$2:$M$1241,13,FALSE)," ")</f>
        <v xml:space="preserve"> </v>
      </c>
    </row>
    <row r="841" spans="1:15" x14ac:dyDescent="0.3">
      <c r="A841" s="1">
        <v>903</v>
      </c>
      <c r="B841" s="1">
        <v>2</v>
      </c>
      <c r="C841" s="1" t="s">
        <v>799</v>
      </c>
      <c r="D841" s="1" t="s">
        <v>2603</v>
      </c>
      <c r="E841" s="5">
        <v>36327</v>
      </c>
      <c r="F841" s="1" t="s">
        <v>17</v>
      </c>
      <c r="G841" s="1" t="str">
        <f>IF(B841=0,VLOOKUP(A841,Feuil2!$A$2:$M$1241,11,FALSE)," ")</f>
        <v xml:space="preserve"> </v>
      </c>
      <c r="H841" s="1" t="s">
        <v>16</v>
      </c>
      <c r="I841" s="6" t="str">
        <f>IF(B841=0,VLOOKUP(A841,Feuil2!$A$2:$M$1241,7,FALSE)," ")</f>
        <v xml:space="preserve"> </v>
      </c>
      <c r="J841" s="1" t="str">
        <f>IF(B841=0,VLOOKUP(A841,Feuil2!$A$2:$M$1241,9,FALSE)," ")</f>
        <v xml:space="preserve"> </v>
      </c>
      <c r="K841" s="1" t="str">
        <f>IF(B841=0,VLOOKUP(A841,Feuil2!$A$2:$M$1241,10,FALSE)," ")</f>
        <v xml:space="preserve"> </v>
      </c>
      <c r="L841" s="1"/>
      <c r="M841" s="1"/>
      <c r="N841" s="1"/>
      <c r="O841" s="8" t="str">
        <f>IF(B841=0,VLOOKUP(A841,Feuil2!$A$2:$M$1241,13,FALSE)," ")</f>
        <v xml:space="preserve"> </v>
      </c>
    </row>
    <row r="842" spans="1:15" x14ac:dyDescent="0.3">
      <c r="A842" s="1">
        <v>903</v>
      </c>
      <c r="B842" s="1">
        <v>3</v>
      </c>
      <c r="C842" s="1" t="s">
        <v>799</v>
      </c>
      <c r="D842" s="1" t="s">
        <v>2616</v>
      </c>
      <c r="E842" s="5">
        <v>37611</v>
      </c>
      <c r="F842" s="1" t="s">
        <v>506</v>
      </c>
      <c r="G842" s="1" t="str">
        <f>IF(B842=0,VLOOKUP(A842,Feuil2!$A$2:$M$1241,11,FALSE)," ")</f>
        <v xml:space="preserve"> </v>
      </c>
      <c r="H842" s="1" t="s">
        <v>16</v>
      </c>
      <c r="I842" s="6" t="str">
        <f>IF(B842=0,VLOOKUP(A842,Feuil2!$A$2:$M$1241,7,FALSE)," ")</f>
        <v xml:space="preserve"> </v>
      </c>
      <c r="J842" s="1" t="str">
        <f>IF(B842=0,VLOOKUP(A842,Feuil2!$A$2:$M$1241,9,FALSE)," ")</f>
        <v xml:space="preserve"> </v>
      </c>
      <c r="K842" s="1" t="str">
        <f>IF(B842=0,VLOOKUP(A842,Feuil2!$A$2:$M$1241,10,FALSE)," ")</f>
        <v xml:space="preserve"> </v>
      </c>
      <c r="L842" s="1"/>
      <c r="M842" s="1"/>
      <c r="N842" s="1"/>
      <c r="O842" s="8" t="str">
        <f>IF(B842=0,VLOOKUP(A842,Feuil2!$A$2:$M$1241,13,FALSE)," ")</f>
        <v xml:space="preserve"> </v>
      </c>
    </row>
    <row r="843" spans="1:15" x14ac:dyDescent="0.3">
      <c r="A843" s="1">
        <v>903</v>
      </c>
      <c r="B843" s="1">
        <v>4</v>
      </c>
      <c r="C843" s="1" t="s">
        <v>799</v>
      </c>
      <c r="D843" s="1" t="s">
        <v>2448</v>
      </c>
      <c r="E843" s="5">
        <v>39195</v>
      </c>
      <c r="F843" s="1" t="s">
        <v>506</v>
      </c>
      <c r="G843" s="1" t="str">
        <f>IF(B843=0,VLOOKUP(A843,Feuil2!$A$2:$M$1241,11,FALSE)," ")</f>
        <v xml:space="preserve"> </v>
      </c>
      <c r="H843" s="1" t="s">
        <v>16</v>
      </c>
      <c r="I843" s="6" t="str">
        <f>IF(B843=0,VLOOKUP(A843,Feuil2!$A$2:$M$1241,7,FALSE)," ")</f>
        <v xml:space="preserve"> </v>
      </c>
      <c r="J843" s="1" t="str">
        <f>IF(B843=0,VLOOKUP(A843,Feuil2!$A$2:$M$1241,9,FALSE)," ")</f>
        <v xml:space="preserve"> </v>
      </c>
      <c r="K843" s="1" t="str">
        <f>IF(B843=0,VLOOKUP(A843,Feuil2!$A$2:$M$1241,10,FALSE)," ")</f>
        <v xml:space="preserve"> </v>
      </c>
      <c r="L843" s="1"/>
      <c r="M843" s="1"/>
      <c r="N843" s="1"/>
      <c r="O843" s="8" t="str">
        <f>IF(B843=0,VLOOKUP(A843,Feuil2!$A$2:$M$1241,13,FALSE)," ")</f>
        <v xml:space="preserve"> </v>
      </c>
    </row>
    <row r="844" spans="1:15" x14ac:dyDescent="0.3">
      <c r="A844" s="1">
        <v>907</v>
      </c>
      <c r="B844" s="1">
        <v>0</v>
      </c>
      <c r="C844" s="1" t="str">
        <f>IF(B844=0,VLOOKUP(A844,Feuil2!$A$2:$M$1241,2,FALSE)," ")</f>
        <v>NOUIRA</v>
      </c>
      <c r="D844" s="1" t="str">
        <f>IF(B844=0,VLOOKUP(A844,Feuil2!$A$2:$M$1241,3,FALSE)," ")</f>
        <v>KAMEL</v>
      </c>
      <c r="E844" s="5">
        <f>IF(B844=0,VLOOKUP(A844,Feuil2!$A$2:$M$1241,6,FALSE)," ")</f>
        <v>25122</v>
      </c>
      <c r="F844" s="1" t="str">
        <f>IF(B844=0,VLOOKUP(A844,Feuil2!$A$2:$M$1241,12,FALSE)," ")</f>
        <v>H</v>
      </c>
      <c r="G844" s="1" t="str">
        <f>IF(B844=0,VLOOKUP(A844,Feuil2!$A$2:$M$1241,11,FALSE)," ")</f>
        <v>M</v>
      </c>
      <c r="H844" s="1" t="s">
        <v>16</v>
      </c>
      <c r="I844" s="6">
        <f>IF(B844=0,VLOOKUP(A844,Feuil2!$A$2:$M$1241,7,FALSE)," ")</f>
        <v>5510722</v>
      </c>
      <c r="J844" s="1" t="str">
        <f>IF(B844=0,VLOOKUP(A844,Feuil2!$A$2:$M$1241,9,FALSE)," ")</f>
        <v>79 Rue du Caire</v>
      </c>
      <c r="K844" s="1" t="str">
        <f>IF(B844=0,VLOOKUP(A844,Feuil2!$A$2:$M$1241,10,FALSE)," ")</f>
        <v>Zaouit Sousse</v>
      </c>
      <c r="L844" s="1"/>
      <c r="M844" s="1">
        <v>52483316</v>
      </c>
      <c r="N844" s="1"/>
      <c r="O844" s="8" t="str">
        <f>IF(B844=0,VLOOKUP(A844,Feuil2!$A$2:$M$1241,13,FALSE)," ")</f>
        <v>03508056010100126524</v>
      </c>
    </row>
    <row r="845" spans="1:15" x14ac:dyDescent="0.3">
      <c r="A845" s="1">
        <v>907</v>
      </c>
      <c r="B845" s="1">
        <v>1</v>
      </c>
      <c r="C845" s="1" t="s">
        <v>2617</v>
      </c>
      <c r="D845" s="1" t="s">
        <v>1023</v>
      </c>
      <c r="E845" s="5">
        <v>26790</v>
      </c>
      <c r="F845" s="1" t="s">
        <v>17</v>
      </c>
      <c r="G845" s="1" t="s">
        <v>15</v>
      </c>
      <c r="H845" s="1" t="s">
        <v>16</v>
      </c>
      <c r="I845" s="6" t="str">
        <f>IF(B845=0,VLOOKUP(A845,Feuil2!$A$2:$M$1241,7,FALSE)," ")</f>
        <v xml:space="preserve"> </v>
      </c>
      <c r="J845" s="1" t="str">
        <f>IF(B845=0,VLOOKUP(A845,Feuil2!$A$2:$M$1241,9,FALSE)," ")</f>
        <v xml:space="preserve"> </v>
      </c>
      <c r="K845" s="1" t="str">
        <f>IF(B845=0,VLOOKUP(A845,Feuil2!$A$2:$M$1241,10,FALSE)," ")</f>
        <v xml:space="preserve"> </v>
      </c>
      <c r="L845" s="1"/>
      <c r="M845" s="1"/>
      <c r="N845" s="1"/>
      <c r="O845" s="8" t="str">
        <f>IF(B845=0,VLOOKUP(A845,Feuil2!$A$2:$M$1241,13,FALSE)," ")</f>
        <v xml:space="preserve"> </v>
      </c>
    </row>
    <row r="846" spans="1:15" x14ac:dyDescent="0.3">
      <c r="A846" s="1">
        <v>907</v>
      </c>
      <c r="B846" s="1">
        <v>2</v>
      </c>
      <c r="C846" s="1" t="s">
        <v>352</v>
      </c>
      <c r="D846" s="1" t="s">
        <v>2517</v>
      </c>
      <c r="E846" s="5">
        <v>35783</v>
      </c>
      <c r="F846" s="1" t="s">
        <v>17</v>
      </c>
      <c r="G846" s="1" t="str">
        <f>IF(B846=0,VLOOKUP(A846,Feuil2!$A$2:$M$1241,11,FALSE)," ")</f>
        <v xml:space="preserve"> </v>
      </c>
      <c r="H846" s="1" t="s">
        <v>16</v>
      </c>
      <c r="I846" s="6" t="str">
        <f>IF(B846=0,VLOOKUP(A846,Feuil2!$A$2:$M$1241,7,FALSE)," ")</f>
        <v xml:space="preserve"> </v>
      </c>
      <c r="J846" s="1" t="str">
        <f>IF(B846=0,VLOOKUP(A846,Feuil2!$A$2:$M$1241,9,FALSE)," ")</f>
        <v xml:space="preserve"> </v>
      </c>
      <c r="K846" s="1" t="str">
        <f>IF(B846=0,VLOOKUP(A846,Feuil2!$A$2:$M$1241,10,FALSE)," ")</f>
        <v xml:space="preserve"> </v>
      </c>
      <c r="L846" s="1"/>
      <c r="M846" s="1"/>
      <c r="N846" s="1"/>
      <c r="O846" s="8" t="str">
        <f>IF(B846=0,VLOOKUP(A846,Feuil2!$A$2:$M$1241,13,FALSE)," ")</f>
        <v xml:space="preserve"> </v>
      </c>
    </row>
    <row r="847" spans="1:15" x14ac:dyDescent="0.3">
      <c r="A847" s="1">
        <v>907</v>
      </c>
      <c r="B847" s="1">
        <v>3</v>
      </c>
      <c r="C847" s="1" t="s">
        <v>352</v>
      </c>
      <c r="D847" s="1" t="s">
        <v>2618</v>
      </c>
      <c r="E847" s="5">
        <v>39103</v>
      </c>
      <c r="F847" s="1" t="s">
        <v>506</v>
      </c>
      <c r="G847" s="1" t="str">
        <f>IF(B847=0,VLOOKUP(A847,Feuil2!$A$2:$M$1241,11,FALSE)," ")</f>
        <v xml:space="preserve"> </v>
      </c>
      <c r="H847" s="1" t="s">
        <v>16</v>
      </c>
      <c r="I847" s="6" t="str">
        <f>IF(B847=0,VLOOKUP(A847,Feuil2!$A$2:$M$1241,7,FALSE)," ")</f>
        <v xml:space="preserve"> </v>
      </c>
      <c r="J847" s="1" t="str">
        <f>IF(B847=0,VLOOKUP(A847,Feuil2!$A$2:$M$1241,9,FALSE)," ")</f>
        <v xml:space="preserve"> </v>
      </c>
      <c r="K847" s="1" t="str">
        <f>IF(B847=0,VLOOKUP(A847,Feuil2!$A$2:$M$1241,10,FALSE)," ")</f>
        <v xml:space="preserve"> </v>
      </c>
      <c r="L847" s="1"/>
      <c r="M847" s="1"/>
      <c r="N847" s="1"/>
      <c r="O847" s="8" t="str">
        <f>IF(B847=0,VLOOKUP(A847,Feuil2!$A$2:$M$1241,13,FALSE)," ")</f>
        <v xml:space="preserve"> </v>
      </c>
    </row>
    <row r="848" spans="1:15" x14ac:dyDescent="0.3">
      <c r="A848" s="1">
        <v>907</v>
      </c>
      <c r="B848" s="1">
        <v>4</v>
      </c>
      <c r="C848" s="1" t="s">
        <v>352</v>
      </c>
      <c r="D848" s="1" t="s">
        <v>122</v>
      </c>
      <c r="E848" s="5">
        <v>39103</v>
      </c>
      <c r="F848" s="1" t="s">
        <v>506</v>
      </c>
      <c r="G848" s="1" t="str">
        <f>IF(B848=0,VLOOKUP(A848,Feuil2!$A$2:$M$1241,11,FALSE)," ")</f>
        <v xml:space="preserve"> </v>
      </c>
      <c r="H848" s="1" t="s">
        <v>16</v>
      </c>
      <c r="I848" s="6" t="str">
        <f>IF(B848=0,VLOOKUP(A848,Feuil2!$A$2:$M$1241,7,FALSE)," ")</f>
        <v xml:space="preserve"> </v>
      </c>
      <c r="J848" s="1" t="str">
        <f>IF(B848=0,VLOOKUP(A848,Feuil2!$A$2:$M$1241,9,FALSE)," ")</f>
        <v xml:space="preserve"> </v>
      </c>
      <c r="K848" s="1" t="str">
        <f>IF(B848=0,VLOOKUP(A848,Feuil2!$A$2:$M$1241,10,FALSE)," ")</f>
        <v xml:space="preserve"> </v>
      </c>
      <c r="L848" s="1"/>
      <c r="M848" s="1"/>
      <c r="N848" s="1"/>
      <c r="O848" s="8" t="str">
        <f>IF(B848=0,VLOOKUP(A848,Feuil2!$A$2:$M$1241,13,FALSE)," ")</f>
        <v xml:space="preserve"> </v>
      </c>
    </row>
    <row r="849" spans="1:15" x14ac:dyDescent="0.3">
      <c r="A849" s="1">
        <v>908</v>
      </c>
      <c r="B849" s="1">
        <v>0</v>
      </c>
      <c r="C849" s="1" t="str">
        <f>IF(B849=0,VLOOKUP(A849,Feuil2!$A$2:$M$1241,2,FALSE)," ")</f>
        <v>YOUSSEF</v>
      </c>
      <c r="D849" s="1" t="str">
        <f>IF(B849=0,VLOOKUP(A849,Feuil2!$A$2:$M$1241,3,FALSE)," ")</f>
        <v>HEDI</v>
      </c>
      <c r="E849" s="5">
        <f>IF(B849=0,VLOOKUP(A849,Feuil2!$A$2:$M$1241,6,FALSE)," ")</f>
        <v>24842</v>
      </c>
      <c r="F849" s="1" t="str">
        <f>IF(B849=0,VLOOKUP(A849,Feuil2!$A$2:$M$1241,12,FALSE)," ")</f>
        <v>H</v>
      </c>
      <c r="G849" s="1" t="str">
        <f>IF(B849=0,VLOOKUP(A849,Feuil2!$A$2:$M$1241,11,FALSE)," ")</f>
        <v>M</v>
      </c>
      <c r="H849" s="1" t="s">
        <v>16</v>
      </c>
      <c r="I849" s="6">
        <f>IF(B849=0,VLOOKUP(A849,Feuil2!$A$2:$M$1241,7,FALSE)," ")</f>
        <v>2997429</v>
      </c>
      <c r="J849" s="1" t="str">
        <f>IF(B849=0,VLOOKUP(A849,Feuil2!$A$2:$M$1241,9,FALSE)," ")</f>
        <v>184 R du Rekab</v>
      </c>
      <c r="K849" s="1" t="str">
        <f>IF(B849=0,VLOOKUP(A849,Feuil2!$A$2:$M$1241,10,FALSE)," ")</f>
        <v>Msaken 4070</v>
      </c>
      <c r="L849" s="1">
        <v>4070</v>
      </c>
      <c r="M849" s="1">
        <v>73312138</v>
      </c>
      <c r="N849" s="1"/>
      <c r="O849" s="8" t="str">
        <f>IF(B849=0,VLOOKUP(A849,Feuil2!$A$2:$M$1241,13,FALSE)," ")</f>
        <v>03508056010100126427</v>
      </c>
    </row>
    <row r="850" spans="1:15" x14ac:dyDescent="0.3">
      <c r="A850" s="1">
        <v>908</v>
      </c>
      <c r="B850" s="1">
        <v>1</v>
      </c>
      <c r="C850" s="1" t="s">
        <v>790</v>
      </c>
      <c r="D850" s="1" t="s">
        <v>1049</v>
      </c>
      <c r="E850" s="5">
        <v>29390</v>
      </c>
      <c r="F850" s="1" t="s">
        <v>17</v>
      </c>
      <c r="G850" s="1" t="s">
        <v>15</v>
      </c>
      <c r="H850" s="1" t="s">
        <v>16</v>
      </c>
      <c r="I850" s="6" t="str">
        <f>IF(B850=0,VLOOKUP(A850,Feuil2!$A$2:$M$1241,7,FALSE)," ")</f>
        <v xml:space="preserve"> </v>
      </c>
      <c r="J850" s="1" t="str">
        <f>IF(B850=0,VLOOKUP(A850,Feuil2!$A$2:$M$1241,9,FALSE)," ")</f>
        <v xml:space="preserve"> </v>
      </c>
      <c r="K850" s="1" t="str">
        <f>IF(B850=0,VLOOKUP(A850,Feuil2!$A$2:$M$1241,10,FALSE)," ")</f>
        <v xml:space="preserve"> </v>
      </c>
      <c r="L850" s="1"/>
      <c r="M850" s="1"/>
      <c r="N850" s="1"/>
      <c r="O850" s="8" t="str">
        <f>IF(B850=0,VLOOKUP(A850,Feuil2!$A$2:$M$1241,13,FALSE)," ")</f>
        <v xml:space="preserve"> </v>
      </c>
    </row>
    <row r="851" spans="1:15" x14ac:dyDescent="0.3">
      <c r="A851" s="1">
        <v>908</v>
      </c>
      <c r="B851" s="1">
        <v>2</v>
      </c>
      <c r="C851" s="1" t="s">
        <v>61</v>
      </c>
      <c r="D851" s="1" t="s">
        <v>2366</v>
      </c>
      <c r="E851" s="5">
        <v>36706</v>
      </c>
      <c r="F851" s="1" t="s">
        <v>506</v>
      </c>
      <c r="G851" s="1" t="str">
        <f>IF(B851=0,VLOOKUP(A851,Feuil2!$A$2:$M$1241,11,FALSE)," ")</f>
        <v xml:space="preserve"> </v>
      </c>
      <c r="H851" s="1" t="s">
        <v>16</v>
      </c>
      <c r="I851" s="6" t="str">
        <f>IF(B851=0,VLOOKUP(A851,Feuil2!$A$2:$M$1241,7,FALSE)," ")</f>
        <v xml:space="preserve"> </v>
      </c>
      <c r="J851" s="1" t="str">
        <f>IF(B851=0,VLOOKUP(A851,Feuil2!$A$2:$M$1241,9,FALSE)," ")</f>
        <v xml:space="preserve"> </v>
      </c>
      <c r="K851" s="1" t="str">
        <f>IF(B851=0,VLOOKUP(A851,Feuil2!$A$2:$M$1241,10,FALSE)," ")</f>
        <v xml:space="preserve"> </v>
      </c>
      <c r="L851" s="1"/>
      <c r="M851" s="1"/>
      <c r="N851" s="1"/>
      <c r="O851" s="8" t="str">
        <f>IF(B851=0,VLOOKUP(A851,Feuil2!$A$2:$M$1241,13,FALSE)," ")</f>
        <v xml:space="preserve"> </v>
      </c>
    </row>
    <row r="852" spans="1:15" x14ac:dyDescent="0.3">
      <c r="A852" s="1">
        <v>908</v>
      </c>
      <c r="B852" s="1">
        <v>3</v>
      </c>
      <c r="C852" s="1" t="s">
        <v>61</v>
      </c>
      <c r="D852" s="1" t="s">
        <v>2336</v>
      </c>
      <c r="E852" s="5">
        <v>37639</v>
      </c>
      <c r="F852" s="1" t="s">
        <v>17</v>
      </c>
      <c r="G852" s="1" t="str">
        <f>IF(B852=0,VLOOKUP(A852,Feuil2!$A$2:$M$1241,11,FALSE)," ")</f>
        <v xml:space="preserve"> </v>
      </c>
      <c r="H852" s="1" t="s">
        <v>16</v>
      </c>
      <c r="I852" s="6" t="str">
        <f>IF(B852=0,VLOOKUP(A852,Feuil2!$A$2:$M$1241,7,FALSE)," ")</f>
        <v xml:space="preserve"> </v>
      </c>
      <c r="J852" s="1" t="str">
        <f>IF(B852=0,VLOOKUP(A852,Feuil2!$A$2:$M$1241,9,FALSE)," ")</f>
        <v xml:space="preserve"> </v>
      </c>
      <c r="K852" s="1" t="str">
        <f>IF(B852=0,VLOOKUP(A852,Feuil2!$A$2:$M$1241,10,FALSE)," ")</f>
        <v xml:space="preserve"> </v>
      </c>
      <c r="L852" s="1"/>
      <c r="M852" s="1"/>
      <c r="N852" s="1"/>
      <c r="O852" s="8" t="str">
        <f>IF(B852=0,VLOOKUP(A852,Feuil2!$A$2:$M$1241,13,FALSE)," ")</f>
        <v xml:space="preserve"> </v>
      </c>
    </row>
    <row r="853" spans="1:15" x14ac:dyDescent="0.3">
      <c r="A853" s="1">
        <v>908</v>
      </c>
      <c r="B853" s="1">
        <v>4</v>
      </c>
      <c r="C853" s="1" t="s">
        <v>61</v>
      </c>
      <c r="D853" s="1" t="s">
        <v>2327</v>
      </c>
      <c r="E853" s="5">
        <v>38547</v>
      </c>
      <c r="F853" s="1" t="s">
        <v>17</v>
      </c>
      <c r="G853" s="1" t="str">
        <f>IF(B853=0,VLOOKUP(A853,Feuil2!$A$2:$M$1241,11,FALSE)," ")</f>
        <v xml:space="preserve"> </v>
      </c>
      <c r="H853" s="1" t="s">
        <v>16</v>
      </c>
      <c r="I853" s="6" t="str">
        <f>IF(B853=0,VLOOKUP(A853,Feuil2!$A$2:$M$1241,7,FALSE)," ")</f>
        <v xml:space="preserve"> </v>
      </c>
      <c r="J853" s="1" t="str">
        <f>IF(B853=0,VLOOKUP(A853,Feuil2!$A$2:$M$1241,9,FALSE)," ")</f>
        <v xml:space="preserve"> </v>
      </c>
      <c r="K853" s="1" t="str">
        <f>IF(B853=0,VLOOKUP(A853,Feuil2!$A$2:$M$1241,10,FALSE)," ")</f>
        <v xml:space="preserve"> </v>
      </c>
      <c r="L853" s="1"/>
      <c r="M853" s="1"/>
      <c r="N853" s="1"/>
      <c r="O853" s="8" t="str">
        <f>IF(B853=0,VLOOKUP(A853,Feuil2!$A$2:$M$1241,13,FALSE)," ")</f>
        <v xml:space="preserve"> </v>
      </c>
    </row>
    <row r="854" spans="1:15" x14ac:dyDescent="0.3">
      <c r="A854" s="1">
        <v>908</v>
      </c>
      <c r="B854" s="1">
        <v>5</v>
      </c>
      <c r="C854" s="1" t="s">
        <v>61</v>
      </c>
      <c r="D854" s="1" t="s">
        <v>34</v>
      </c>
      <c r="E854" s="5">
        <v>40438</v>
      </c>
      <c r="F854" s="1" t="s">
        <v>506</v>
      </c>
      <c r="G854" s="1" t="str">
        <f>IF(B854=0,VLOOKUP(A854,Feuil2!$A$2:$M$1241,11,FALSE)," ")</f>
        <v xml:space="preserve"> </v>
      </c>
      <c r="H854" s="1" t="s">
        <v>16</v>
      </c>
      <c r="I854" s="6" t="str">
        <f>IF(B854=0,VLOOKUP(A854,Feuil2!$A$2:$M$1241,7,FALSE)," ")</f>
        <v xml:space="preserve"> </v>
      </c>
      <c r="J854" s="1" t="str">
        <f>IF(B854=0,VLOOKUP(A854,Feuil2!$A$2:$M$1241,9,FALSE)," ")</f>
        <v xml:space="preserve"> </v>
      </c>
      <c r="K854" s="1" t="str">
        <f>IF(B854=0,VLOOKUP(A854,Feuil2!$A$2:$M$1241,10,FALSE)," ")</f>
        <v xml:space="preserve"> </v>
      </c>
      <c r="L854" s="1"/>
      <c r="M854" s="1"/>
      <c r="N854" s="1"/>
      <c r="O854" s="8" t="str">
        <f>IF(B854=0,VLOOKUP(A854,Feuil2!$A$2:$M$1241,13,FALSE)," ")</f>
        <v xml:space="preserve"> </v>
      </c>
    </row>
    <row r="855" spans="1:15" x14ac:dyDescent="0.3">
      <c r="A855" s="1">
        <v>913</v>
      </c>
      <c r="B855" s="1">
        <v>0</v>
      </c>
      <c r="C855" s="1" t="str">
        <f>IF(B855=0,VLOOKUP(A855,Feuil2!$A$2:$M$1241,2,FALSE)," ")</f>
        <v>MAOUA</v>
      </c>
      <c r="D855" s="1" t="str">
        <f>IF(B855=0,VLOOKUP(A855,Feuil2!$A$2:$M$1241,3,FALSE)," ")</f>
        <v>MED HEDI</v>
      </c>
      <c r="E855" s="5">
        <f>IF(B855=0,VLOOKUP(A855,Feuil2!$A$2:$M$1241,6,FALSE)," ")</f>
        <v>25084</v>
      </c>
      <c r="F855" s="1" t="str">
        <f>IF(B855=0,VLOOKUP(A855,Feuil2!$A$2:$M$1241,12,FALSE)," ")</f>
        <v>H</v>
      </c>
      <c r="G855" s="1" t="str">
        <f>IF(B855=0,VLOOKUP(A855,Feuil2!$A$2:$M$1241,11,FALSE)," ")</f>
        <v>M</v>
      </c>
      <c r="H855" s="1" t="s">
        <v>16</v>
      </c>
      <c r="I855" s="6">
        <f>IF(B855=0,VLOOKUP(A855,Feuil2!$A$2:$M$1241,7,FALSE)," ")</f>
        <v>2993865</v>
      </c>
      <c r="J855" s="1" t="str">
        <f>IF(B855=0,VLOOKUP(A855,Feuil2!$A$2:$M$1241,9,FALSE)," ")</f>
        <v>6 Rue Martyr  Hamda Hamila</v>
      </c>
      <c r="K855" s="1" t="str">
        <f>IF(B855=0,VLOOKUP(A855,Feuil2!$A$2:$M$1241,10,FALSE)," ")</f>
        <v>Msaken 4070</v>
      </c>
      <c r="L855" s="1">
        <v>4070</v>
      </c>
      <c r="M855" s="1">
        <v>98793766</v>
      </c>
      <c r="N855" s="1"/>
      <c r="O855" s="8" t="str">
        <f>IF(B855=0,VLOOKUP(A855,Feuil2!$A$2:$M$1241,13,FALSE)," ")</f>
        <v>10506040204066078821</v>
      </c>
    </row>
    <row r="856" spans="1:15" x14ac:dyDescent="0.3">
      <c r="A856" s="1">
        <v>913</v>
      </c>
      <c r="B856" s="1">
        <v>1</v>
      </c>
      <c r="C856" s="1" t="s">
        <v>2619</v>
      </c>
      <c r="D856" s="1" t="s">
        <v>596</v>
      </c>
      <c r="E856" s="5">
        <v>28284</v>
      </c>
      <c r="F856" s="1" t="s">
        <v>17</v>
      </c>
      <c r="G856" s="1" t="s">
        <v>15</v>
      </c>
      <c r="H856" s="1" t="s">
        <v>16</v>
      </c>
      <c r="I856" s="6" t="str">
        <f>IF(B856=0,VLOOKUP(A856,Feuil2!$A$2:$M$1241,7,FALSE)," ")</f>
        <v xml:space="preserve"> </v>
      </c>
      <c r="J856" s="1" t="str">
        <f>IF(B856=0,VLOOKUP(A856,Feuil2!$A$2:$M$1241,9,FALSE)," ")</f>
        <v xml:space="preserve"> </v>
      </c>
      <c r="K856" s="1" t="str">
        <f>IF(B856=0,VLOOKUP(A856,Feuil2!$A$2:$M$1241,10,FALSE)," ")</f>
        <v xml:space="preserve"> </v>
      </c>
      <c r="L856" s="1"/>
      <c r="M856" s="1"/>
      <c r="N856" s="1"/>
      <c r="O856" s="8" t="str">
        <f>IF(B856=0,VLOOKUP(A856,Feuil2!$A$2:$M$1241,13,FALSE)," ")</f>
        <v xml:space="preserve"> </v>
      </c>
    </row>
    <row r="857" spans="1:15" x14ac:dyDescent="0.3">
      <c r="A857" s="1">
        <v>913</v>
      </c>
      <c r="B857" s="1">
        <v>2</v>
      </c>
      <c r="C857" s="1" t="s">
        <v>75</v>
      </c>
      <c r="D857" s="1" t="s">
        <v>2620</v>
      </c>
      <c r="E857" s="5">
        <v>37305</v>
      </c>
      <c r="F857" s="1" t="s">
        <v>17</v>
      </c>
      <c r="G857" s="1" t="str">
        <f>IF(B857=0,VLOOKUP(A857,Feuil2!$A$2:$M$1241,11,FALSE)," ")</f>
        <v xml:space="preserve"> </v>
      </c>
      <c r="H857" s="1" t="s">
        <v>16</v>
      </c>
      <c r="I857" s="6" t="str">
        <f>IF(B857=0,VLOOKUP(A857,Feuil2!$A$2:$M$1241,7,FALSE)," ")</f>
        <v xml:space="preserve"> </v>
      </c>
      <c r="J857" s="1" t="str">
        <f>IF(B857=0,VLOOKUP(A857,Feuil2!$A$2:$M$1241,9,FALSE)," ")</f>
        <v xml:space="preserve"> </v>
      </c>
      <c r="K857" s="1" t="str">
        <f>IF(B857=0,VLOOKUP(A857,Feuil2!$A$2:$M$1241,10,FALSE)," ")</f>
        <v xml:space="preserve"> </v>
      </c>
      <c r="L857" s="1"/>
      <c r="M857" s="1"/>
      <c r="N857" s="1"/>
      <c r="O857" s="8" t="str">
        <f>IF(B857=0,VLOOKUP(A857,Feuil2!$A$2:$M$1241,13,FALSE)," ")</f>
        <v xml:space="preserve"> </v>
      </c>
    </row>
    <row r="858" spans="1:15" x14ac:dyDescent="0.3">
      <c r="A858" s="1">
        <v>913</v>
      </c>
      <c r="B858" s="1">
        <v>3</v>
      </c>
      <c r="C858" s="1" t="s">
        <v>75</v>
      </c>
      <c r="D858" s="1" t="s">
        <v>402</v>
      </c>
      <c r="E858" s="5">
        <v>38224</v>
      </c>
      <c r="F858" s="1" t="s">
        <v>17</v>
      </c>
      <c r="G858" s="1" t="str">
        <f>IF(B858=0,VLOOKUP(A858,Feuil2!$A$2:$M$1241,11,FALSE)," ")</f>
        <v xml:space="preserve"> </v>
      </c>
      <c r="H858" s="1" t="s">
        <v>16</v>
      </c>
      <c r="I858" s="6" t="str">
        <f>IF(B858=0,VLOOKUP(A858,Feuil2!$A$2:$M$1241,7,FALSE)," ")</f>
        <v xml:space="preserve"> </v>
      </c>
      <c r="J858" s="1" t="str">
        <f>IF(B858=0,VLOOKUP(A858,Feuil2!$A$2:$M$1241,9,FALSE)," ")</f>
        <v xml:space="preserve"> </v>
      </c>
      <c r="K858" s="1" t="str">
        <f>IF(B858=0,VLOOKUP(A858,Feuil2!$A$2:$M$1241,10,FALSE)," ")</f>
        <v xml:space="preserve"> </v>
      </c>
      <c r="L858" s="1"/>
      <c r="M858" s="1"/>
      <c r="N858" s="1"/>
      <c r="O858" s="8" t="str">
        <f>IF(B858=0,VLOOKUP(A858,Feuil2!$A$2:$M$1241,13,FALSE)," ")</f>
        <v xml:space="preserve"> </v>
      </c>
    </row>
    <row r="859" spans="1:15" x14ac:dyDescent="0.3">
      <c r="A859" s="1">
        <v>913</v>
      </c>
      <c r="B859" s="1">
        <v>4</v>
      </c>
      <c r="C859" s="1" t="s">
        <v>75</v>
      </c>
      <c r="D859" s="1" t="s">
        <v>2381</v>
      </c>
      <c r="E859" s="5">
        <v>39456</v>
      </c>
      <c r="F859" s="1" t="s">
        <v>17</v>
      </c>
      <c r="G859" s="1" t="str">
        <f>IF(B859=0,VLOOKUP(A859,Feuil2!$A$2:$M$1241,11,FALSE)," ")</f>
        <v xml:space="preserve"> </v>
      </c>
      <c r="H859" s="1" t="s">
        <v>16</v>
      </c>
      <c r="I859" s="6" t="str">
        <f>IF(B859=0,VLOOKUP(A859,Feuil2!$A$2:$M$1241,7,FALSE)," ")</f>
        <v xml:space="preserve"> </v>
      </c>
      <c r="J859" s="1" t="str">
        <f>IF(B859=0,VLOOKUP(A859,Feuil2!$A$2:$M$1241,9,FALSE)," ")</f>
        <v xml:space="preserve"> </v>
      </c>
      <c r="K859" s="1" t="str">
        <f>IF(B859=0,VLOOKUP(A859,Feuil2!$A$2:$M$1241,10,FALSE)," ")</f>
        <v xml:space="preserve"> </v>
      </c>
      <c r="L859" s="1"/>
      <c r="M859" s="1"/>
      <c r="N859" s="1"/>
      <c r="O859" s="8" t="str">
        <f>IF(B859=0,VLOOKUP(A859,Feuil2!$A$2:$M$1241,13,FALSE)," ")</f>
        <v xml:space="preserve"> </v>
      </c>
    </row>
    <row r="860" spans="1:15" x14ac:dyDescent="0.3">
      <c r="A860" s="1">
        <v>913</v>
      </c>
      <c r="B860" s="1">
        <v>5</v>
      </c>
      <c r="C860" s="1" t="s">
        <v>75</v>
      </c>
      <c r="D860" s="1" t="s">
        <v>2621</v>
      </c>
      <c r="E860" s="5">
        <v>42308</v>
      </c>
      <c r="F860" s="1" t="s">
        <v>17</v>
      </c>
      <c r="G860" s="1" t="str">
        <f>IF(B860=0,VLOOKUP(A860,Feuil2!$A$2:$M$1241,11,FALSE)," ")</f>
        <v xml:space="preserve"> </v>
      </c>
      <c r="H860" s="1" t="s">
        <v>16</v>
      </c>
      <c r="I860" s="6" t="str">
        <f>IF(B860=0,VLOOKUP(A860,Feuil2!$A$2:$M$1241,7,FALSE)," ")</f>
        <v xml:space="preserve"> </v>
      </c>
      <c r="J860" s="1" t="str">
        <f>IF(B860=0,VLOOKUP(A860,Feuil2!$A$2:$M$1241,9,FALSE)," ")</f>
        <v xml:space="preserve"> </v>
      </c>
      <c r="K860" s="1" t="str">
        <f>IF(B860=0,VLOOKUP(A860,Feuil2!$A$2:$M$1241,10,FALSE)," ")</f>
        <v xml:space="preserve"> </v>
      </c>
      <c r="L860" s="1"/>
      <c r="M860" s="1"/>
      <c r="N860" s="1"/>
      <c r="O860" s="8" t="str">
        <f>IF(B860=0,VLOOKUP(A860,Feuil2!$A$2:$M$1241,13,FALSE)," ")</f>
        <v xml:space="preserve"> </v>
      </c>
    </row>
    <row r="861" spans="1:15" x14ac:dyDescent="0.3">
      <c r="A861" s="1">
        <v>913</v>
      </c>
      <c r="B861" s="1">
        <v>6</v>
      </c>
      <c r="C861" s="1" t="s">
        <v>75</v>
      </c>
      <c r="D861" s="1" t="s">
        <v>2331</v>
      </c>
      <c r="E861" s="5">
        <v>43613</v>
      </c>
      <c r="F861" s="1" t="s">
        <v>17</v>
      </c>
      <c r="G861" s="1" t="str">
        <f>IF(B861=0,VLOOKUP(A861,Feuil2!$A$2:$M$1241,11,FALSE)," ")</f>
        <v xml:space="preserve"> </v>
      </c>
      <c r="H861" s="1" t="s">
        <v>16</v>
      </c>
      <c r="I861" s="6" t="str">
        <f>IF(B861=0,VLOOKUP(A861,Feuil2!$A$2:$M$1241,7,FALSE)," ")</f>
        <v xml:space="preserve"> </v>
      </c>
      <c r="J861" s="1" t="str">
        <f>IF(B861=0,VLOOKUP(A861,Feuil2!$A$2:$M$1241,9,FALSE)," ")</f>
        <v xml:space="preserve"> </v>
      </c>
      <c r="K861" s="1" t="str">
        <f>IF(B861=0,VLOOKUP(A861,Feuil2!$A$2:$M$1241,10,FALSE)," ")</f>
        <v xml:space="preserve"> </v>
      </c>
      <c r="L861" s="1"/>
      <c r="M861" s="1"/>
      <c r="N861" s="1"/>
      <c r="O861" s="8" t="str">
        <f>IF(B861=0,VLOOKUP(A861,Feuil2!$A$2:$M$1241,13,FALSE)," ")</f>
        <v xml:space="preserve"> </v>
      </c>
    </row>
    <row r="862" spans="1:15" x14ac:dyDescent="0.3">
      <c r="A862" s="1">
        <v>915</v>
      </c>
      <c r="B862" s="1">
        <v>0</v>
      </c>
      <c r="C862" s="1" t="str">
        <f>IF(B862=0,VLOOKUP(A862,Feuil2!$A$2:$M$1241,2,FALSE)," ")</f>
        <v>AMARA</v>
      </c>
      <c r="D862" s="1" t="str">
        <f>IF(B862=0,VLOOKUP(A862,Feuil2!$A$2:$M$1241,3,FALSE)," ")</f>
        <v>HABIB</v>
      </c>
      <c r="E862" s="5">
        <f>IF(B862=0,VLOOKUP(A862,Feuil2!$A$2:$M$1241,6,FALSE)," ")</f>
        <v>23491</v>
      </c>
      <c r="F862" s="1" t="str">
        <f>IF(B862=0,VLOOKUP(A862,Feuil2!$A$2:$M$1241,12,FALSE)," ")</f>
        <v>H</v>
      </c>
      <c r="G862" s="1" t="str">
        <f>IF(B862=0,VLOOKUP(A862,Feuil2!$A$2:$M$1241,11,FALSE)," ")</f>
        <v>M</v>
      </c>
      <c r="H862" s="1" t="s">
        <v>16</v>
      </c>
      <c r="I862" s="6">
        <f>IF(B862=0,VLOOKUP(A862,Feuil2!$A$2:$M$1241,7,FALSE)," ")</f>
        <v>2955595</v>
      </c>
      <c r="J862" s="1" t="str">
        <f>IF(B862=0,VLOOKUP(A862,Feuil2!$A$2:$M$1241,9,FALSE)," ")</f>
        <v>69 Rue Habib Thameur</v>
      </c>
      <c r="K862" s="1" t="str">
        <f>IF(B862=0,VLOOKUP(A862,Feuil2!$A$2:$M$1241,10,FALSE)," ")</f>
        <v>Kalaa Sghira</v>
      </c>
      <c r="L862" s="1"/>
      <c r="M862" s="1">
        <v>21131835</v>
      </c>
      <c r="N862" s="1"/>
      <c r="O862" s="8" t="str">
        <f>IF(B862=0,VLOOKUP(A862,Feuil2!$A$2:$M$1241,13,FALSE)," ")</f>
        <v>08506000252000349839</v>
      </c>
    </row>
    <row r="863" spans="1:15" x14ac:dyDescent="0.3">
      <c r="A863" s="1">
        <v>915</v>
      </c>
      <c r="B863" s="1">
        <v>1</v>
      </c>
      <c r="C863" s="1" t="str">
        <f>IF(B863=0,VLOOKUP(A863,Feuil2!$A$2:$M$1241,2,FALSE)," ")</f>
        <v xml:space="preserve"> </v>
      </c>
      <c r="D863" s="1" t="s">
        <v>2331</v>
      </c>
      <c r="E863" s="5">
        <v>26448</v>
      </c>
      <c r="F863" s="1" t="s">
        <v>17</v>
      </c>
      <c r="G863" s="1" t="s">
        <v>15</v>
      </c>
      <c r="H863" s="1" t="s">
        <v>16</v>
      </c>
      <c r="I863" s="6" t="str">
        <f>IF(B863=0,VLOOKUP(A863,Feuil2!$A$2:$M$1241,7,FALSE)," ")</f>
        <v xml:space="preserve"> </v>
      </c>
      <c r="J863" s="1" t="str">
        <f>IF(B863=0,VLOOKUP(A863,Feuil2!$A$2:$M$1241,9,FALSE)," ")</f>
        <v xml:space="preserve"> </v>
      </c>
      <c r="K863" s="1" t="str">
        <f>IF(B863=0,VLOOKUP(A863,Feuil2!$A$2:$M$1241,10,FALSE)," ")</f>
        <v xml:space="preserve"> </v>
      </c>
      <c r="L863" s="1"/>
      <c r="M863" s="1"/>
      <c r="N863" s="1"/>
      <c r="O863" s="8" t="str">
        <f>IF(B863=0,VLOOKUP(A863,Feuil2!$A$2:$M$1241,13,FALSE)," ")</f>
        <v xml:space="preserve"> </v>
      </c>
    </row>
    <row r="864" spans="1:15" x14ac:dyDescent="0.3">
      <c r="A864" s="1">
        <v>915</v>
      </c>
      <c r="B864" s="1">
        <v>2</v>
      </c>
      <c r="C864" s="1" t="s">
        <v>163</v>
      </c>
      <c r="D864" s="1" t="s">
        <v>2622</v>
      </c>
      <c r="E864" s="5">
        <v>36332</v>
      </c>
      <c r="F864" s="1" t="s">
        <v>17</v>
      </c>
      <c r="G864" s="1" t="str">
        <f>IF(B864=0,VLOOKUP(A864,Feuil2!$A$2:$M$1241,11,FALSE)," ")</f>
        <v xml:space="preserve"> </v>
      </c>
      <c r="H864" s="1" t="s">
        <v>16</v>
      </c>
      <c r="I864" s="6" t="str">
        <f>IF(B864=0,VLOOKUP(A864,Feuil2!$A$2:$M$1241,7,FALSE)," ")</f>
        <v xml:space="preserve"> </v>
      </c>
      <c r="J864" s="1" t="str">
        <f>IF(B864=0,VLOOKUP(A864,Feuil2!$A$2:$M$1241,9,FALSE)," ")</f>
        <v xml:space="preserve"> </v>
      </c>
      <c r="K864" s="1" t="str">
        <f>IF(B864=0,VLOOKUP(A864,Feuil2!$A$2:$M$1241,10,FALSE)," ")</f>
        <v xml:space="preserve"> </v>
      </c>
      <c r="L864" s="1"/>
      <c r="M864" s="1"/>
      <c r="N864" s="1"/>
      <c r="O864" s="8" t="str">
        <f>IF(B864=0,VLOOKUP(A864,Feuil2!$A$2:$M$1241,13,FALSE)," ")</f>
        <v xml:space="preserve"> </v>
      </c>
    </row>
    <row r="865" spans="1:15" x14ac:dyDescent="0.3">
      <c r="A865" s="1">
        <v>915</v>
      </c>
      <c r="B865" s="1">
        <v>3</v>
      </c>
      <c r="C865" s="1" t="s">
        <v>163</v>
      </c>
      <c r="D865" s="1" t="s">
        <v>2465</v>
      </c>
      <c r="E865" s="5">
        <v>37795</v>
      </c>
      <c r="F865" s="1" t="s">
        <v>506</v>
      </c>
      <c r="G865" s="1" t="str">
        <f>IF(B865=0,VLOOKUP(A865,Feuil2!$A$2:$M$1241,11,FALSE)," ")</f>
        <v xml:space="preserve"> </v>
      </c>
      <c r="H865" s="1" t="s">
        <v>16</v>
      </c>
      <c r="I865" s="6" t="str">
        <f>IF(B865=0,VLOOKUP(A865,Feuil2!$A$2:$M$1241,7,FALSE)," ")</f>
        <v xml:space="preserve"> </v>
      </c>
      <c r="J865" s="1" t="str">
        <f>IF(B865=0,VLOOKUP(A865,Feuil2!$A$2:$M$1241,9,FALSE)," ")</f>
        <v xml:space="preserve"> </v>
      </c>
      <c r="K865" s="1" t="str">
        <f>IF(B865=0,VLOOKUP(A865,Feuil2!$A$2:$M$1241,10,FALSE)," ")</f>
        <v xml:space="preserve"> </v>
      </c>
      <c r="L865" s="1"/>
      <c r="M865" s="1"/>
      <c r="N865" s="1"/>
      <c r="O865" s="8" t="str">
        <f>IF(B865=0,VLOOKUP(A865,Feuil2!$A$2:$M$1241,13,FALSE)," ")</f>
        <v xml:space="preserve"> </v>
      </c>
    </row>
    <row r="866" spans="1:15" x14ac:dyDescent="0.3">
      <c r="A866" s="1">
        <v>923</v>
      </c>
      <c r="B866" s="1">
        <v>0</v>
      </c>
      <c r="C866" s="1" t="str">
        <f>IF(B866=0,VLOOKUP(A866,Feuil2!$A$2:$M$1241,2,FALSE)," ")</f>
        <v>BEN AZIZA</v>
      </c>
      <c r="D866" s="1" t="str">
        <f>IF(B866=0,VLOOKUP(A866,Feuil2!$A$2:$M$1241,3,FALSE)," ")</f>
        <v>SLAH</v>
      </c>
      <c r="E866" s="5">
        <f>IF(B866=0,VLOOKUP(A866,Feuil2!$A$2:$M$1241,6,FALSE)," ")</f>
        <v>25818</v>
      </c>
      <c r="F866" s="1" t="str">
        <f>IF(B866=0,VLOOKUP(A866,Feuil2!$A$2:$M$1241,12,FALSE)," ")</f>
        <v>H</v>
      </c>
      <c r="G866" s="1" t="str">
        <f>IF(B866=0,VLOOKUP(A866,Feuil2!$A$2:$M$1241,11,FALSE)," ")</f>
        <v>M</v>
      </c>
      <c r="H866" s="1" t="s">
        <v>16</v>
      </c>
      <c r="I866" s="6">
        <f>IF(B866=0,VLOOKUP(A866,Feuil2!$A$2:$M$1241,7,FALSE)," ")</f>
        <v>5523180</v>
      </c>
      <c r="J866" s="1" t="str">
        <f>IF(B866=0,VLOOKUP(A866,Feuil2!$A$2:$M$1241,9,FALSE)," ")</f>
        <v>NULL</v>
      </c>
      <c r="K866" s="1" t="str">
        <f>IF(B866=0,VLOOKUP(A866,Feuil2!$A$2:$M$1241,10,FALSE)," ")</f>
        <v>Sidi El HÃ©ni 4025</v>
      </c>
      <c r="L866" s="1"/>
      <c r="M866" s="1">
        <v>98563523</v>
      </c>
      <c r="N866" s="1"/>
      <c r="O866" s="8" t="str">
        <f>IF(B866=0,VLOOKUP(A866,Feuil2!$A$2:$M$1241,13,FALSE)," ")</f>
        <v>04204067404000676143</v>
      </c>
    </row>
    <row r="867" spans="1:15" x14ac:dyDescent="0.3">
      <c r="A867" s="1">
        <v>923</v>
      </c>
      <c r="B867" s="1">
        <v>1</v>
      </c>
      <c r="C867" s="1" t="s">
        <v>2110</v>
      </c>
      <c r="D867" s="1" t="s">
        <v>1286</v>
      </c>
      <c r="E867" s="5">
        <v>28443</v>
      </c>
      <c r="F867" s="1" t="s">
        <v>17</v>
      </c>
      <c r="G867" s="1" t="s">
        <v>15</v>
      </c>
      <c r="H867" s="1" t="s">
        <v>16</v>
      </c>
      <c r="I867" s="6" t="str">
        <f>IF(B867=0,VLOOKUP(A867,Feuil2!$A$2:$M$1241,7,FALSE)," ")</f>
        <v xml:space="preserve"> </v>
      </c>
      <c r="J867" s="1" t="str">
        <f>IF(B867=0,VLOOKUP(A867,Feuil2!$A$2:$M$1241,9,FALSE)," ")</f>
        <v xml:space="preserve"> </v>
      </c>
      <c r="K867" s="1" t="str">
        <f>IF(B867=0,VLOOKUP(A867,Feuil2!$A$2:$M$1241,10,FALSE)," ")</f>
        <v xml:space="preserve"> </v>
      </c>
      <c r="L867" s="1"/>
      <c r="M867" s="1"/>
      <c r="N867" s="1"/>
      <c r="O867" s="8" t="str">
        <f>IF(B867=0,VLOOKUP(A867,Feuil2!$A$2:$M$1241,13,FALSE)," ")</f>
        <v xml:space="preserve"> </v>
      </c>
    </row>
    <row r="868" spans="1:15" x14ac:dyDescent="0.3">
      <c r="A868" s="1">
        <v>923</v>
      </c>
      <c r="B868" s="1">
        <v>2</v>
      </c>
      <c r="C868" s="1" t="s">
        <v>487</v>
      </c>
      <c r="D868" s="1" t="s">
        <v>237</v>
      </c>
      <c r="E868" s="5">
        <v>36299</v>
      </c>
      <c r="F868" s="1" t="s">
        <v>506</v>
      </c>
      <c r="G868" s="1" t="str">
        <f>IF(B868=0,VLOOKUP(A868,Feuil2!$A$2:$M$1241,11,FALSE)," ")</f>
        <v xml:space="preserve"> </v>
      </c>
      <c r="H868" s="1" t="s">
        <v>16</v>
      </c>
      <c r="I868" s="6" t="str">
        <f>IF(B868=0,VLOOKUP(A868,Feuil2!$A$2:$M$1241,7,FALSE)," ")</f>
        <v xml:space="preserve"> </v>
      </c>
      <c r="J868" s="1" t="str">
        <f>IF(B868=0,VLOOKUP(A868,Feuil2!$A$2:$M$1241,9,FALSE)," ")</f>
        <v xml:space="preserve"> </v>
      </c>
      <c r="K868" s="1" t="str">
        <f>IF(B868=0,VLOOKUP(A868,Feuil2!$A$2:$M$1241,10,FALSE)," ")</f>
        <v xml:space="preserve"> </v>
      </c>
      <c r="L868" s="1"/>
      <c r="M868" s="1"/>
      <c r="N868" s="1"/>
      <c r="O868" s="8" t="str">
        <f>IF(B868=0,VLOOKUP(A868,Feuil2!$A$2:$M$1241,13,FALSE)," ")</f>
        <v xml:space="preserve"> </v>
      </c>
    </row>
    <row r="869" spans="1:15" x14ac:dyDescent="0.3">
      <c r="A869" s="1">
        <v>923</v>
      </c>
      <c r="B869" s="1">
        <v>3</v>
      </c>
      <c r="C869" s="1" t="s">
        <v>487</v>
      </c>
      <c r="D869" s="1" t="s">
        <v>2623</v>
      </c>
      <c r="E869" s="5">
        <v>37308</v>
      </c>
      <c r="F869" s="1" t="s">
        <v>17</v>
      </c>
      <c r="G869" s="1" t="str">
        <f>IF(B869=0,VLOOKUP(A869,Feuil2!$A$2:$M$1241,11,FALSE)," ")</f>
        <v xml:space="preserve"> </v>
      </c>
      <c r="H869" s="1" t="s">
        <v>16</v>
      </c>
      <c r="I869" s="6" t="str">
        <f>IF(B869=0,VLOOKUP(A869,Feuil2!$A$2:$M$1241,7,FALSE)," ")</f>
        <v xml:space="preserve"> </v>
      </c>
      <c r="J869" s="1" t="str">
        <f>IF(B869=0,VLOOKUP(A869,Feuil2!$A$2:$M$1241,9,FALSE)," ")</f>
        <v xml:space="preserve"> </v>
      </c>
      <c r="K869" s="1" t="str">
        <f>IF(B869=0,VLOOKUP(A869,Feuil2!$A$2:$M$1241,10,FALSE)," ")</f>
        <v xml:space="preserve"> </v>
      </c>
      <c r="L869" s="1"/>
      <c r="M869" s="1"/>
      <c r="N869" s="1"/>
      <c r="O869" s="8" t="str">
        <f>IF(B869=0,VLOOKUP(A869,Feuil2!$A$2:$M$1241,13,FALSE)," ")</f>
        <v xml:space="preserve"> </v>
      </c>
    </row>
    <row r="870" spans="1:15" x14ac:dyDescent="0.3">
      <c r="A870" s="1">
        <v>923</v>
      </c>
      <c r="B870" s="1">
        <v>4</v>
      </c>
      <c r="C870" s="1" t="s">
        <v>487</v>
      </c>
      <c r="D870" s="1" t="s">
        <v>390</v>
      </c>
      <c r="E870" s="5">
        <v>39247</v>
      </c>
      <c r="F870" s="1" t="s">
        <v>506</v>
      </c>
      <c r="G870" s="1" t="str">
        <f>IF(B870=0,VLOOKUP(A870,Feuil2!$A$2:$M$1241,11,FALSE)," ")</f>
        <v xml:space="preserve"> </v>
      </c>
      <c r="H870" s="1" t="s">
        <v>16</v>
      </c>
      <c r="I870" s="6" t="str">
        <f>IF(B870=0,VLOOKUP(A870,Feuil2!$A$2:$M$1241,7,FALSE)," ")</f>
        <v xml:space="preserve"> </v>
      </c>
      <c r="J870" s="1" t="str">
        <f>IF(B870=0,VLOOKUP(A870,Feuil2!$A$2:$M$1241,9,FALSE)," ")</f>
        <v xml:space="preserve"> </v>
      </c>
      <c r="K870" s="1" t="str">
        <f>IF(B870=0,VLOOKUP(A870,Feuil2!$A$2:$M$1241,10,FALSE)," ")</f>
        <v xml:space="preserve"> </v>
      </c>
      <c r="L870" s="1"/>
      <c r="M870" s="1"/>
      <c r="N870" s="1"/>
      <c r="O870" s="8" t="str">
        <f>IF(B870=0,VLOOKUP(A870,Feuil2!$A$2:$M$1241,13,FALSE)," ")</f>
        <v xml:space="preserve"> </v>
      </c>
    </row>
    <row r="871" spans="1:15" x14ac:dyDescent="0.3">
      <c r="A871" s="1">
        <v>927</v>
      </c>
      <c r="B871" s="1">
        <v>0</v>
      </c>
      <c r="C871" s="1" t="str">
        <f>IF(B871=0,VLOOKUP(A871,Feuil2!$A$2:$M$1241,2,FALSE)," ")</f>
        <v>ZIDI SAAFI</v>
      </c>
      <c r="D871" s="1" t="str">
        <f>IF(B871=0,VLOOKUP(A871,Feuil2!$A$2:$M$1241,3,FALSE)," ")</f>
        <v>MUSTAPHA</v>
      </c>
      <c r="E871" s="5">
        <f>IF(B871=0,VLOOKUP(A871,Feuil2!$A$2:$M$1241,6,FALSE)," ")</f>
        <v>25955</v>
      </c>
      <c r="F871" s="1" t="str">
        <f>IF(B871=0,VLOOKUP(A871,Feuil2!$A$2:$M$1241,12,FALSE)," ")</f>
        <v>H</v>
      </c>
      <c r="G871" s="1" t="str">
        <f>IF(B871=0,VLOOKUP(A871,Feuil2!$A$2:$M$1241,11,FALSE)," ")</f>
        <v>M</v>
      </c>
      <c r="H871" s="1" t="s">
        <v>16</v>
      </c>
      <c r="I871" s="6">
        <f>IF(B871=0,VLOOKUP(A871,Feuil2!$A$2:$M$1241,7,FALSE)," ")</f>
        <v>5525913</v>
      </c>
      <c r="J871" s="1" t="str">
        <f>IF(B871=0,VLOOKUP(A871,Feuil2!$A$2:$M$1241,9,FALSE)," ")</f>
        <v>Aouled Alouane</v>
      </c>
      <c r="K871" s="1" t="str">
        <f>IF(B871=0,VLOOKUP(A871,Feuil2!$A$2:$M$1241,10,FALSE)," ")</f>
        <v>Sidi El HÃ©ni 4025</v>
      </c>
      <c r="L871" s="1"/>
      <c r="M871" s="1">
        <v>98685504</v>
      </c>
      <c r="N871" s="1"/>
      <c r="O871" s="8" t="str">
        <f>IF(B871=0,VLOOKUP(A871,Feuil2!$A$2:$M$1241,13,FALSE)," ")</f>
        <v>04204067404000785074</v>
      </c>
    </row>
    <row r="872" spans="1:15" x14ac:dyDescent="0.3">
      <c r="A872" s="1">
        <v>927</v>
      </c>
      <c r="B872" s="1">
        <v>1</v>
      </c>
      <c r="C872" s="1" t="s">
        <v>2861</v>
      </c>
      <c r="D872" s="1" t="s">
        <v>606</v>
      </c>
      <c r="E872" s="5">
        <v>26044</v>
      </c>
      <c r="F872" s="1" t="s">
        <v>17</v>
      </c>
      <c r="G872" s="1" t="s">
        <v>15</v>
      </c>
      <c r="H872" s="1" t="s">
        <v>16</v>
      </c>
      <c r="I872" s="6" t="str">
        <f>IF(B872=0,VLOOKUP(A872,Feuil2!$A$2:$M$1241,7,FALSE)," ")</f>
        <v xml:space="preserve"> </v>
      </c>
      <c r="J872" s="1" t="str">
        <f>IF(B872=0,VLOOKUP(A872,Feuil2!$A$2:$M$1241,9,FALSE)," ")</f>
        <v xml:space="preserve"> </v>
      </c>
      <c r="K872" s="1" t="str">
        <f>IF(B872=0,VLOOKUP(A872,Feuil2!$A$2:$M$1241,10,FALSE)," ")</f>
        <v xml:space="preserve"> </v>
      </c>
      <c r="L872" s="1"/>
      <c r="M872" s="1"/>
      <c r="N872" s="1"/>
      <c r="O872" s="8" t="str">
        <f>IF(B872=0,VLOOKUP(A872,Feuil2!$A$2:$M$1241,13,FALSE)," ")</f>
        <v xml:space="preserve"> </v>
      </c>
    </row>
    <row r="873" spans="1:15" x14ac:dyDescent="0.3">
      <c r="A873" s="1">
        <v>927</v>
      </c>
      <c r="B873" s="1">
        <v>2</v>
      </c>
      <c r="C873" s="1" t="s">
        <v>1337</v>
      </c>
      <c r="D873" s="1" t="s">
        <v>404</v>
      </c>
      <c r="E873" s="5">
        <v>37219</v>
      </c>
      <c r="F873" s="1" t="s">
        <v>17</v>
      </c>
      <c r="G873" s="1" t="str">
        <f>IF(B873=0,VLOOKUP(A873,Feuil2!$A$2:$M$1241,11,FALSE)," ")</f>
        <v xml:space="preserve"> </v>
      </c>
      <c r="H873" s="1" t="s">
        <v>16</v>
      </c>
      <c r="I873" s="6" t="str">
        <f>IF(B873=0,VLOOKUP(A873,Feuil2!$A$2:$M$1241,7,FALSE)," ")</f>
        <v xml:space="preserve"> </v>
      </c>
      <c r="J873" s="1" t="str">
        <f>IF(B873=0,VLOOKUP(A873,Feuil2!$A$2:$M$1241,9,FALSE)," ")</f>
        <v xml:space="preserve"> </v>
      </c>
      <c r="K873" s="1" t="str">
        <f>IF(B873=0,VLOOKUP(A873,Feuil2!$A$2:$M$1241,10,FALSE)," ")</f>
        <v xml:space="preserve"> </v>
      </c>
      <c r="L873" s="1"/>
      <c r="M873" s="1"/>
      <c r="N873" s="1"/>
      <c r="O873" s="8" t="str">
        <f>IF(B873=0,VLOOKUP(A873,Feuil2!$A$2:$M$1241,13,FALSE)," ")</f>
        <v xml:space="preserve"> </v>
      </c>
    </row>
    <row r="874" spans="1:15" x14ac:dyDescent="0.3">
      <c r="A874" s="1">
        <v>927</v>
      </c>
      <c r="B874" s="1">
        <v>3</v>
      </c>
      <c r="C874" s="1" t="s">
        <v>1337</v>
      </c>
      <c r="D874" s="1" t="s">
        <v>230</v>
      </c>
      <c r="E874" s="5">
        <v>38368</v>
      </c>
      <c r="F874" s="1" t="s">
        <v>506</v>
      </c>
      <c r="G874" s="1" t="str">
        <f>IF(B874=0,VLOOKUP(A874,Feuil2!$A$2:$M$1241,11,FALSE)," ")</f>
        <v xml:space="preserve"> </v>
      </c>
      <c r="H874" s="1" t="s">
        <v>16</v>
      </c>
      <c r="I874" s="6" t="str">
        <f>IF(B874=0,VLOOKUP(A874,Feuil2!$A$2:$M$1241,7,FALSE)," ")</f>
        <v xml:space="preserve"> </v>
      </c>
      <c r="J874" s="1" t="str">
        <f>IF(B874=0,VLOOKUP(A874,Feuil2!$A$2:$M$1241,9,FALSE)," ")</f>
        <v xml:space="preserve"> </v>
      </c>
      <c r="K874" s="1" t="str">
        <f>IF(B874=0,VLOOKUP(A874,Feuil2!$A$2:$M$1241,10,FALSE)," ")</f>
        <v xml:space="preserve"> </v>
      </c>
      <c r="L874" s="1"/>
      <c r="M874" s="1"/>
      <c r="N874" s="1"/>
      <c r="O874" s="8" t="str">
        <f>IF(B874=0,VLOOKUP(A874,Feuil2!$A$2:$M$1241,13,FALSE)," ")</f>
        <v xml:space="preserve"> </v>
      </c>
    </row>
    <row r="875" spans="1:15" x14ac:dyDescent="0.3">
      <c r="A875" s="1">
        <v>927</v>
      </c>
      <c r="B875" s="1">
        <v>4</v>
      </c>
      <c r="C875" s="1" t="s">
        <v>1337</v>
      </c>
      <c r="D875" s="1" t="s">
        <v>54</v>
      </c>
      <c r="E875" s="5">
        <v>39604</v>
      </c>
      <c r="F875" s="1" t="s">
        <v>17</v>
      </c>
      <c r="G875" s="1" t="str">
        <f>IF(B875=0,VLOOKUP(A875,Feuil2!$A$2:$M$1241,11,FALSE)," ")</f>
        <v xml:space="preserve"> </v>
      </c>
      <c r="H875" s="1" t="s">
        <v>16</v>
      </c>
      <c r="I875" s="6" t="str">
        <f>IF(B875=0,VLOOKUP(A875,Feuil2!$A$2:$M$1241,7,FALSE)," ")</f>
        <v xml:space="preserve"> </v>
      </c>
      <c r="J875" s="1" t="str">
        <f>IF(B875=0,VLOOKUP(A875,Feuil2!$A$2:$M$1241,9,FALSE)," ")</f>
        <v xml:space="preserve"> </v>
      </c>
      <c r="K875" s="1" t="str">
        <f>IF(B875=0,VLOOKUP(A875,Feuil2!$A$2:$M$1241,10,FALSE)," ")</f>
        <v xml:space="preserve"> </v>
      </c>
      <c r="L875" s="1"/>
      <c r="M875" s="1"/>
      <c r="N875" s="1"/>
      <c r="O875" s="8" t="str">
        <f>IF(B875=0,VLOOKUP(A875,Feuil2!$A$2:$M$1241,13,FALSE)," ")</f>
        <v xml:space="preserve"> </v>
      </c>
    </row>
    <row r="876" spans="1:15" x14ac:dyDescent="0.3">
      <c r="A876" s="1">
        <v>927</v>
      </c>
      <c r="B876" s="1">
        <v>5</v>
      </c>
      <c r="C876" s="1" t="s">
        <v>1337</v>
      </c>
      <c r="D876" s="1" t="s">
        <v>30</v>
      </c>
      <c r="E876" s="5">
        <v>36060</v>
      </c>
      <c r="F876" s="1" t="s">
        <v>506</v>
      </c>
      <c r="G876" s="1" t="str">
        <f>IF(B876=0,VLOOKUP(A876,Feuil2!$A$2:$M$1241,11,FALSE)," ")</f>
        <v xml:space="preserve"> </v>
      </c>
      <c r="H876" s="1" t="s">
        <v>16</v>
      </c>
      <c r="I876" s="6" t="str">
        <f>IF(B876=0,VLOOKUP(A876,Feuil2!$A$2:$M$1241,7,FALSE)," ")</f>
        <v xml:space="preserve"> </v>
      </c>
      <c r="J876" s="1" t="str">
        <f>IF(B876=0,VLOOKUP(A876,Feuil2!$A$2:$M$1241,9,FALSE)," ")</f>
        <v xml:space="preserve"> </v>
      </c>
      <c r="K876" s="1" t="str">
        <f>IF(B876=0,VLOOKUP(A876,Feuil2!$A$2:$M$1241,10,FALSE)," ")</f>
        <v xml:space="preserve"> </v>
      </c>
      <c r="L876" s="1"/>
      <c r="M876" s="1"/>
      <c r="N876" s="1"/>
      <c r="O876" s="8" t="str">
        <f>IF(B876=0,VLOOKUP(A876,Feuil2!$A$2:$M$1241,13,FALSE)," ")</f>
        <v xml:space="preserve"> </v>
      </c>
    </row>
    <row r="877" spans="1:15" x14ac:dyDescent="0.3">
      <c r="A877" s="1">
        <v>927</v>
      </c>
      <c r="B877" s="1">
        <v>6</v>
      </c>
      <c r="C877" s="1" t="s">
        <v>1337</v>
      </c>
      <c r="D877" s="1" t="s">
        <v>449</v>
      </c>
      <c r="E877" s="5">
        <v>36612</v>
      </c>
      <c r="F877" s="1" t="s">
        <v>17</v>
      </c>
      <c r="G877" s="1" t="str">
        <f>IF(B877=0,VLOOKUP(A877,Feuil2!$A$2:$M$1241,11,FALSE)," ")</f>
        <v xml:space="preserve"> </v>
      </c>
      <c r="H877" s="1" t="s">
        <v>16</v>
      </c>
      <c r="I877" s="6" t="str">
        <f>IF(B877=0,VLOOKUP(A877,Feuil2!$A$2:$M$1241,7,FALSE)," ")</f>
        <v xml:space="preserve"> </v>
      </c>
      <c r="J877" s="1" t="str">
        <f>IF(B877=0,VLOOKUP(A877,Feuil2!$A$2:$M$1241,9,FALSE)," ")</f>
        <v xml:space="preserve"> </v>
      </c>
      <c r="K877" s="1" t="str">
        <f>IF(B877=0,VLOOKUP(A877,Feuil2!$A$2:$M$1241,10,FALSE)," ")</f>
        <v xml:space="preserve"> </v>
      </c>
      <c r="L877" s="1"/>
      <c r="M877" s="1"/>
      <c r="N877" s="1"/>
      <c r="O877" s="8" t="str">
        <f>IF(B877=0,VLOOKUP(A877,Feuil2!$A$2:$M$1241,13,FALSE)," ")</f>
        <v xml:space="preserve"> </v>
      </c>
    </row>
    <row r="878" spans="1:15" x14ac:dyDescent="0.3">
      <c r="A878" s="1">
        <v>933</v>
      </c>
      <c r="B878" s="1">
        <v>0</v>
      </c>
      <c r="C878" s="1" t="str">
        <f>IF(B878=0,VLOOKUP(A878,Feuil2!$A$2:$M$1241,2,FALSE)," ")</f>
        <v>ACHECH</v>
      </c>
      <c r="D878" s="1" t="str">
        <f>IF(B878=0,VLOOKUP(A878,Feuil2!$A$2:$M$1241,3,FALSE)," ")</f>
        <v>IMED</v>
      </c>
      <c r="E878" s="5">
        <f>IF(B878=0,VLOOKUP(A878,Feuil2!$A$2:$M$1241,6,FALSE)," ")</f>
        <v>25584</v>
      </c>
      <c r="F878" s="1" t="str">
        <f>IF(B878=0,VLOOKUP(A878,Feuil2!$A$2:$M$1241,12,FALSE)," ")</f>
        <v>H</v>
      </c>
      <c r="G878" s="1" t="str">
        <f>IF(B878=0,VLOOKUP(A878,Feuil2!$A$2:$M$1241,11,FALSE)," ")</f>
        <v>M</v>
      </c>
      <c r="H878" s="1" t="s">
        <v>16</v>
      </c>
      <c r="I878" s="6">
        <f>IF(B878=0,VLOOKUP(A878,Feuil2!$A$2:$M$1241,7,FALSE)," ")</f>
        <v>5525537</v>
      </c>
      <c r="J878" s="1" t="str">
        <f>IF(B878=0,VLOOKUP(A878,Feuil2!$A$2:$M$1241,9,FALSE)," ")</f>
        <v>07, Rue Omar Ibn El khattab</v>
      </c>
      <c r="K878" s="1" t="str">
        <f>IF(B878=0,VLOOKUP(A878,Feuil2!$A$2:$M$1241,10,FALSE)," ")</f>
        <v>Msaken 4070</v>
      </c>
      <c r="L878" s="1">
        <v>4070</v>
      </c>
      <c r="M878" s="1">
        <v>26530614</v>
      </c>
      <c r="N878" s="1"/>
      <c r="O878" s="8" t="str">
        <f>IF(B878=0,VLOOKUP(A878,Feuil2!$A$2:$M$1241,13,FALSE)," ")</f>
        <v>10506040204144178856</v>
      </c>
    </row>
    <row r="879" spans="1:15" x14ac:dyDescent="0.3">
      <c r="A879" s="1">
        <v>933</v>
      </c>
      <c r="B879" s="1">
        <v>1</v>
      </c>
      <c r="C879" s="1" t="s">
        <v>42</v>
      </c>
      <c r="D879" s="1" t="s">
        <v>2286</v>
      </c>
      <c r="E879" s="5">
        <v>27697</v>
      </c>
      <c r="F879" s="1" t="s">
        <v>17</v>
      </c>
      <c r="G879" s="1" t="s">
        <v>15</v>
      </c>
      <c r="H879" s="1" t="s">
        <v>16</v>
      </c>
      <c r="I879" s="6" t="str">
        <f>IF(B879=0,VLOOKUP(A879,Feuil2!$A$2:$M$1241,7,FALSE)," ")</f>
        <v xml:space="preserve"> </v>
      </c>
      <c r="J879" s="1" t="str">
        <f>IF(B879=0,VLOOKUP(A879,Feuil2!$A$2:$M$1241,9,FALSE)," ")</f>
        <v xml:space="preserve"> </v>
      </c>
      <c r="K879" s="1" t="str">
        <f>IF(B879=0,VLOOKUP(A879,Feuil2!$A$2:$M$1241,10,FALSE)," ")</f>
        <v xml:space="preserve"> </v>
      </c>
      <c r="L879" s="1"/>
      <c r="M879" s="1"/>
      <c r="N879" s="1"/>
      <c r="O879" s="8" t="str">
        <f>IF(B879=0,VLOOKUP(A879,Feuil2!$A$2:$M$1241,13,FALSE)," ")</f>
        <v xml:space="preserve"> </v>
      </c>
    </row>
    <row r="880" spans="1:15" x14ac:dyDescent="0.3">
      <c r="A880" s="1">
        <v>933</v>
      </c>
      <c r="B880" s="1">
        <v>2</v>
      </c>
      <c r="C880" s="1" t="s">
        <v>335</v>
      </c>
      <c r="D880" s="1" t="s">
        <v>2380</v>
      </c>
      <c r="E880" s="5">
        <v>37474</v>
      </c>
      <c r="F880" s="1" t="s">
        <v>17</v>
      </c>
      <c r="G880" s="1" t="str">
        <f>IF(B880=0,VLOOKUP(A880,Feuil2!$A$2:$M$1241,11,FALSE)," ")</f>
        <v xml:space="preserve"> </v>
      </c>
      <c r="H880" s="1" t="s">
        <v>16</v>
      </c>
      <c r="I880" s="6" t="str">
        <f>IF(B880=0,VLOOKUP(A880,Feuil2!$A$2:$M$1241,7,FALSE)," ")</f>
        <v xml:space="preserve"> </v>
      </c>
      <c r="J880" s="1" t="str">
        <f>IF(B880=0,VLOOKUP(A880,Feuil2!$A$2:$M$1241,9,FALSE)," ")</f>
        <v xml:space="preserve"> </v>
      </c>
      <c r="K880" s="1" t="str">
        <f>IF(B880=0,VLOOKUP(A880,Feuil2!$A$2:$M$1241,10,FALSE)," ")</f>
        <v xml:space="preserve"> </v>
      </c>
      <c r="L880" s="1"/>
      <c r="M880" s="1"/>
      <c r="N880" s="1"/>
      <c r="O880" s="8" t="str">
        <f>IF(B880=0,VLOOKUP(A880,Feuil2!$A$2:$M$1241,13,FALSE)," ")</f>
        <v xml:space="preserve"> </v>
      </c>
    </row>
    <row r="881" spans="1:15" x14ac:dyDescent="0.3">
      <c r="A881" s="1">
        <v>933</v>
      </c>
      <c r="B881" s="1">
        <v>3</v>
      </c>
      <c r="C881" s="1" t="s">
        <v>335</v>
      </c>
      <c r="D881" s="1" t="s">
        <v>2624</v>
      </c>
      <c r="E881" s="5">
        <v>39455</v>
      </c>
      <c r="F881" s="1" t="s">
        <v>506</v>
      </c>
      <c r="G881" s="1" t="str">
        <f>IF(B881=0,VLOOKUP(A881,Feuil2!$A$2:$M$1241,11,FALSE)," ")</f>
        <v xml:space="preserve"> </v>
      </c>
      <c r="H881" s="1" t="s">
        <v>16</v>
      </c>
      <c r="I881" s="6" t="str">
        <f>IF(B881=0,VLOOKUP(A881,Feuil2!$A$2:$M$1241,7,FALSE)," ")</f>
        <v xml:space="preserve"> </v>
      </c>
      <c r="J881" s="1" t="str">
        <f>IF(B881=0,VLOOKUP(A881,Feuil2!$A$2:$M$1241,9,FALSE)," ")</f>
        <v xml:space="preserve"> </v>
      </c>
      <c r="K881" s="1" t="str">
        <f>IF(B881=0,VLOOKUP(A881,Feuil2!$A$2:$M$1241,10,FALSE)," ")</f>
        <v xml:space="preserve"> </v>
      </c>
      <c r="L881" s="1"/>
      <c r="M881" s="1"/>
      <c r="N881" s="1"/>
      <c r="O881" s="8" t="str">
        <f>IF(B881=0,VLOOKUP(A881,Feuil2!$A$2:$M$1241,13,FALSE)," ")</f>
        <v xml:space="preserve"> </v>
      </c>
    </row>
    <row r="882" spans="1:15" x14ac:dyDescent="0.3">
      <c r="A882" s="1">
        <v>933</v>
      </c>
      <c r="B882" s="1">
        <v>4</v>
      </c>
      <c r="C882" s="1" t="s">
        <v>335</v>
      </c>
      <c r="D882" s="1" t="s">
        <v>2579</v>
      </c>
      <c r="E882" s="5">
        <v>40369</v>
      </c>
      <c r="F882" s="1" t="s">
        <v>17</v>
      </c>
      <c r="G882" s="1" t="str">
        <f>IF(B882=0,VLOOKUP(A882,Feuil2!$A$2:$M$1241,11,FALSE)," ")</f>
        <v xml:space="preserve"> </v>
      </c>
      <c r="H882" s="1" t="s">
        <v>16</v>
      </c>
      <c r="I882" s="6" t="str">
        <f>IF(B882=0,VLOOKUP(A882,Feuil2!$A$2:$M$1241,7,FALSE)," ")</f>
        <v xml:space="preserve"> </v>
      </c>
      <c r="J882" s="1" t="str">
        <f>IF(B882=0,VLOOKUP(A882,Feuil2!$A$2:$M$1241,9,FALSE)," ")</f>
        <v xml:space="preserve"> </v>
      </c>
      <c r="K882" s="1" t="str">
        <f>IF(B882=0,VLOOKUP(A882,Feuil2!$A$2:$M$1241,10,FALSE)," ")</f>
        <v xml:space="preserve"> </v>
      </c>
      <c r="L882" s="1"/>
      <c r="M882" s="1"/>
      <c r="N882" s="1"/>
      <c r="O882" s="8" t="str">
        <f>IF(B882=0,VLOOKUP(A882,Feuil2!$A$2:$M$1241,13,FALSE)," ")</f>
        <v xml:space="preserve"> </v>
      </c>
    </row>
    <row r="883" spans="1:15" x14ac:dyDescent="0.3">
      <c r="A883" s="1">
        <v>955</v>
      </c>
      <c r="B883" s="1">
        <v>0</v>
      </c>
      <c r="C883" s="1" t="str">
        <f>IF(B883=0,VLOOKUP(A883,Feuil2!$A$2:$M$1241,2,FALSE)," ")</f>
        <v>MANSOUR</v>
      </c>
      <c r="D883" s="1" t="str">
        <f>IF(B883=0,VLOOKUP(A883,Feuil2!$A$2:$M$1241,3,FALSE)," ")</f>
        <v>NABIL</v>
      </c>
      <c r="E883" s="5">
        <f>IF(B883=0,VLOOKUP(A883,Feuil2!$A$2:$M$1241,6,FALSE)," ")</f>
        <v>25631</v>
      </c>
      <c r="F883" s="1" t="str">
        <f>IF(B883=0,VLOOKUP(A883,Feuil2!$A$2:$M$1241,12,FALSE)," ")</f>
        <v>H</v>
      </c>
      <c r="G883" s="1" t="str">
        <f>IF(B883=0,VLOOKUP(A883,Feuil2!$A$2:$M$1241,11,FALSE)," ")</f>
        <v>M</v>
      </c>
      <c r="H883" s="1" t="s">
        <v>16</v>
      </c>
      <c r="I883" s="6">
        <f>IF(B883=0,VLOOKUP(A883,Feuil2!$A$2:$M$1241,7,FALSE)," ")</f>
        <v>5503471</v>
      </c>
      <c r="J883" s="1" t="str">
        <f>IF(B883=0,VLOOKUP(A883,Feuil2!$A$2:$M$1241,9,FALSE)," ")</f>
        <v>4015 Beni Rabiaa</v>
      </c>
      <c r="K883" s="1" t="str">
        <f>IF(B883=0,VLOOKUP(A883,Feuil2!$A$2:$M$1241,10,FALSE)," ")</f>
        <v>BÃ©ni Rabiaa 4015</v>
      </c>
      <c r="L883" s="1"/>
      <c r="M883" s="1">
        <v>55148610</v>
      </c>
      <c r="N883" s="1"/>
      <c r="O883" s="8" t="str">
        <f>IF(B883=0,VLOOKUP(A883,Feuil2!$A$2:$M$1241,13,FALSE)," ")</f>
        <v>04204067404002218055</v>
      </c>
    </row>
    <row r="884" spans="1:15" x14ac:dyDescent="0.3">
      <c r="A884" s="1">
        <v>955</v>
      </c>
      <c r="B884" s="1">
        <v>1</v>
      </c>
      <c r="C884" s="1" t="s">
        <v>2625</v>
      </c>
      <c r="D884" s="1" t="s">
        <v>2372</v>
      </c>
      <c r="E884" s="5">
        <v>30093</v>
      </c>
      <c r="F884" s="1" t="s">
        <v>17</v>
      </c>
      <c r="G884" s="1" t="s">
        <v>15</v>
      </c>
      <c r="H884" s="1" t="s">
        <v>16</v>
      </c>
      <c r="I884" s="6" t="str">
        <f>IF(B884=0,VLOOKUP(A884,Feuil2!$A$2:$M$1241,7,FALSE)," ")</f>
        <v xml:space="preserve"> </v>
      </c>
      <c r="J884" s="1" t="str">
        <f>IF(B884=0,VLOOKUP(A884,Feuil2!$A$2:$M$1241,9,FALSE)," ")</f>
        <v xml:space="preserve"> </v>
      </c>
      <c r="K884" s="1" t="str">
        <f>IF(B884=0,VLOOKUP(A884,Feuil2!$A$2:$M$1241,10,FALSE)," ")</f>
        <v xml:space="preserve"> </v>
      </c>
      <c r="L884" s="1"/>
      <c r="M884" s="1"/>
      <c r="N884" s="1"/>
      <c r="O884" s="8" t="str">
        <f>IF(B884=0,VLOOKUP(A884,Feuil2!$A$2:$M$1241,13,FALSE)," ")</f>
        <v xml:space="preserve"> </v>
      </c>
    </row>
    <row r="885" spans="1:15" x14ac:dyDescent="0.3">
      <c r="A885" s="1">
        <v>955</v>
      </c>
      <c r="B885" s="1">
        <v>2</v>
      </c>
      <c r="C885" s="1" t="s">
        <v>197</v>
      </c>
      <c r="D885" s="1" t="s">
        <v>2377</v>
      </c>
      <c r="E885" s="5">
        <v>40709</v>
      </c>
      <c r="F885" s="1" t="s">
        <v>17</v>
      </c>
      <c r="G885" s="1" t="str">
        <f>IF(B885=0,VLOOKUP(A885,Feuil2!$A$2:$M$1241,11,FALSE)," ")</f>
        <v xml:space="preserve"> </v>
      </c>
      <c r="H885" s="1" t="s">
        <v>16</v>
      </c>
      <c r="I885" s="6" t="str">
        <f>IF(B885=0,VLOOKUP(A885,Feuil2!$A$2:$M$1241,7,FALSE)," ")</f>
        <v xml:space="preserve"> </v>
      </c>
      <c r="J885" s="1" t="str">
        <f>IF(B885=0,VLOOKUP(A885,Feuil2!$A$2:$M$1241,9,FALSE)," ")</f>
        <v xml:space="preserve"> </v>
      </c>
      <c r="K885" s="1" t="str">
        <f>IF(B885=0,VLOOKUP(A885,Feuil2!$A$2:$M$1241,10,FALSE)," ")</f>
        <v xml:space="preserve"> </v>
      </c>
      <c r="L885" s="1"/>
      <c r="M885" s="1"/>
      <c r="N885" s="1"/>
      <c r="O885" s="8" t="str">
        <f>IF(B885=0,VLOOKUP(A885,Feuil2!$A$2:$M$1241,13,FALSE)," ")</f>
        <v xml:space="preserve"> </v>
      </c>
    </row>
    <row r="886" spans="1:15" x14ac:dyDescent="0.3">
      <c r="A886" s="1">
        <v>958</v>
      </c>
      <c r="B886" s="1">
        <v>0</v>
      </c>
      <c r="C886" s="1" t="str">
        <f>IF(B886=0,VLOOKUP(A886,Feuil2!$A$2:$M$1241,2,FALSE)," ")</f>
        <v>LAMINE</v>
      </c>
      <c r="D886" s="1" t="str">
        <f>IF(B886=0,VLOOKUP(A886,Feuil2!$A$2:$M$1241,3,FALSE)," ")</f>
        <v>ABDELAZIZ</v>
      </c>
      <c r="E886" s="5">
        <f>IF(B886=0,VLOOKUP(A886,Feuil2!$A$2:$M$1241,6,FALSE)," ")</f>
        <v>25131</v>
      </c>
      <c r="F886" s="1" t="str">
        <f>IF(B886=0,VLOOKUP(A886,Feuil2!$A$2:$M$1241,12,FALSE)," ")</f>
        <v>H</v>
      </c>
      <c r="G886" s="1" t="str">
        <f>IF(B886=0,VLOOKUP(A886,Feuil2!$A$2:$M$1241,11,FALSE)," ")</f>
        <v>M</v>
      </c>
      <c r="H886" s="1" t="s">
        <v>16</v>
      </c>
      <c r="I886" s="6">
        <f>IF(B886=0,VLOOKUP(A886,Feuil2!$A$2:$M$1241,7,FALSE)," ")</f>
        <v>2995477</v>
      </c>
      <c r="J886" s="1" t="str">
        <f>IF(B886=0,VLOOKUP(A886,Feuil2!$A$2:$M$1241,9,FALSE)," ")</f>
        <v>Rue Mohamed Ali</v>
      </c>
      <c r="K886" s="1" t="str">
        <f>IF(B886=0,VLOOKUP(A886,Feuil2!$A$2:$M$1241,10,FALSE)," ")</f>
        <v>Msaken 4070</v>
      </c>
      <c r="L886" s="1">
        <v>4070</v>
      </c>
      <c r="M886" s="1">
        <v>26123861</v>
      </c>
      <c r="N886" s="1"/>
      <c r="O886" s="8" t="str">
        <f>IF(B886=0,VLOOKUP(A886,Feuil2!$A$2:$M$1241,13,FALSE)," ")</f>
        <v>10506040204273578893</v>
      </c>
    </row>
    <row r="887" spans="1:15" x14ac:dyDescent="0.3">
      <c r="A887" s="1">
        <v>958</v>
      </c>
      <c r="B887" s="1">
        <v>1</v>
      </c>
      <c r="C887" s="1" t="s">
        <v>186</v>
      </c>
      <c r="D887" s="1" t="s">
        <v>2372</v>
      </c>
      <c r="E887" s="5">
        <v>28373</v>
      </c>
      <c r="F887" s="1" t="s">
        <v>17</v>
      </c>
      <c r="G887" s="1" t="s">
        <v>15</v>
      </c>
      <c r="H887" s="1" t="s">
        <v>16</v>
      </c>
      <c r="I887" s="6" t="str">
        <f>IF(B887=0,VLOOKUP(A887,Feuil2!$A$2:$M$1241,7,FALSE)," ")</f>
        <v xml:space="preserve"> </v>
      </c>
      <c r="J887" s="1" t="str">
        <f>IF(B887=0,VLOOKUP(A887,Feuil2!$A$2:$M$1241,9,FALSE)," ")</f>
        <v xml:space="preserve"> </v>
      </c>
      <c r="K887" s="1" t="str">
        <f>IF(B887=0,VLOOKUP(A887,Feuil2!$A$2:$M$1241,10,FALSE)," ")</f>
        <v xml:space="preserve"> </v>
      </c>
      <c r="L887" s="1"/>
      <c r="M887" s="1"/>
      <c r="N887" s="1"/>
      <c r="O887" s="8" t="str">
        <f>IF(B887=0,VLOOKUP(A887,Feuil2!$A$2:$M$1241,13,FALSE)," ")</f>
        <v xml:space="preserve"> </v>
      </c>
    </row>
    <row r="888" spans="1:15" x14ac:dyDescent="0.3">
      <c r="A888" s="1">
        <v>958</v>
      </c>
      <c r="B888" s="1">
        <v>2</v>
      </c>
      <c r="C888" s="1" t="s">
        <v>359</v>
      </c>
      <c r="D888" s="1" t="s">
        <v>34</v>
      </c>
      <c r="E888" s="5">
        <v>35995</v>
      </c>
      <c r="F888" s="1" t="s">
        <v>506</v>
      </c>
      <c r="G888" s="1" t="str">
        <f>IF(B888=0,VLOOKUP(A888,Feuil2!$A$2:$M$1241,11,FALSE)," ")</f>
        <v xml:space="preserve"> </v>
      </c>
      <c r="H888" s="1" t="s">
        <v>16</v>
      </c>
      <c r="I888" s="6" t="str">
        <f>IF(B888=0,VLOOKUP(A888,Feuil2!$A$2:$M$1241,7,FALSE)," ")</f>
        <v xml:space="preserve"> </v>
      </c>
      <c r="J888" s="1" t="str">
        <f>IF(B888=0,VLOOKUP(A888,Feuil2!$A$2:$M$1241,9,FALSE)," ")</f>
        <v xml:space="preserve"> </v>
      </c>
      <c r="K888" s="1" t="str">
        <f>IF(B888=0,VLOOKUP(A888,Feuil2!$A$2:$M$1241,10,FALSE)," ")</f>
        <v xml:space="preserve"> </v>
      </c>
      <c r="L888" s="1"/>
      <c r="M888" s="1"/>
      <c r="N888" s="1"/>
      <c r="O888" s="8" t="str">
        <f>IF(B888=0,VLOOKUP(A888,Feuil2!$A$2:$M$1241,13,FALSE)," ")</f>
        <v xml:space="preserve"> </v>
      </c>
    </row>
    <row r="889" spans="1:15" x14ac:dyDescent="0.3">
      <c r="A889" s="1">
        <v>958</v>
      </c>
      <c r="B889" s="1">
        <v>3</v>
      </c>
      <c r="C889" s="1" t="s">
        <v>359</v>
      </c>
      <c r="D889" s="1" t="s">
        <v>122</v>
      </c>
      <c r="E889" s="5">
        <v>36955</v>
      </c>
      <c r="F889" s="1" t="s">
        <v>506</v>
      </c>
      <c r="G889" s="1" t="str">
        <f>IF(B889=0,VLOOKUP(A889,Feuil2!$A$2:$M$1241,11,FALSE)," ")</f>
        <v xml:space="preserve"> </v>
      </c>
      <c r="H889" s="1" t="s">
        <v>16</v>
      </c>
      <c r="I889" s="6" t="str">
        <f>IF(B889=0,VLOOKUP(A889,Feuil2!$A$2:$M$1241,7,FALSE)," ")</f>
        <v xml:space="preserve"> </v>
      </c>
      <c r="J889" s="1" t="str">
        <f>IF(B889=0,VLOOKUP(A889,Feuil2!$A$2:$M$1241,9,FALSE)," ")</f>
        <v xml:space="preserve"> </v>
      </c>
      <c r="K889" s="1" t="str">
        <f>IF(B889=0,VLOOKUP(A889,Feuil2!$A$2:$M$1241,10,FALSE)," ")</f>
        <v xml:space="preserve"> </v>
      </c>
      <c r="L889" s="1"/>
      <c r="M889" s="1"/>
      <c r="N889" s="1"/>
      <c r="O889" s="8" t="str">
        <f>IF(B889=0,VLOOKUP(A889,Feuil2!$A$2:$M$1241,13,FALSE)," ")</f>
        <v xml:space="preserve"> </v>
      </c>
    </row>
    <row r="890" spans="1:15" x14ac:dyDescent="0.3">
      <c r="A890" s="1">
        <v>958</v>
      </c>
      <c r="B890" s="1">
        <v>4</v>
      </c>
      <c r="C890" s="1" t="s">
        <v>359</v>
      </c>
      <c r="D890" s="1" t="s">
        <v>2337</v>
      </c>
      <c r="E890" s="5">
        <v>37296</v>
      </c>
      <c r="F890" s="1" t="s">
        <v>17</v>
      </c>
      <c r="G890" s="1" t="str">
        <f>IF(B890=0,VLOOKUP(A890,Feuil2!$A$2:$M$1241,11,FALSE)," ")</f>
        <v xml:space="preserve"> </v>
      </c>
      <c r="H890" s="1" t="s">
        <v>16</v>
      </c>
      <c r="I890" s="6" t="str">
        <f>IF(B890=0,VLOOKUP(A890,Feuil2!$A$2:$M$1241,7,FALSE)," ")</f>
        <v xml:space="preserve"> </v>
      </c>
      <c r="J890" s="1" t="str">
        <f>IF(B890=0,VLOOKUP(A890,Feuil2!$A$2:$M$1241,9,FALSE)," ")</f>
        <v xml:space="preserve"> </v>
      </c>
      <c r="K890" s="1" t="str">
        <f>IF(B890=0,VLOOKUP(A890,Feuil2!$A$2:$M$1241,10,FALSE)," ")</f>
        <v xml:space="preserve"> </v>
      </c>
      <c r="L890" s="1"/>
      <c r="M890" s="1"/>
      <c r="N890" s="1"/>
      <c r="O890" s="8" t="str">
        <f>IF(B890=0,VLOOKUP(A890,Feuil2!$A$2:$M$1241,13,FALSE)," ")</f>
        <v xml:space="preserve"> </v>
      </c>
    </row>
    <row r="891" spans="1:15" x14ac:dyDescent="0.3">
      <c r="A891" s="1">
        <v>958</v>
      </c>
      <c r="B891" s="1">
        <v>5</v>
      </c>
      <c r="C891" s="1" t="s">
        <v>359</v>
      </c>
      <c r="D891" s="1" t="s">
        <v>2345</v>
      </c>
      <c r="E891" s="5">
        <v>40262</v>
      </c>
      <c r="F891" s="1" t="s">
        <v>17</v>
      </c>
      <c r="G891" s="1" t="str">
        <f>IF(B891=0,VLOOKUP(A891,Feuil2!$A$2:$M$1241,11,FALSE)," ")</f>
        <v xml:space="preserve"> </v>
      </c>
      <c r="H891" s="1" t="s">
        <v>16</v>
      </c>
      <c r="I891" s="6" t="str">
        <f>IF(B891=0,VLOOKUP(A891,Feuil2!$A$2:$M$1241,7,FALSE)," ")</f>
        <v xml:space="preserve"> </v>
      </c>
      <c r="J891" s="1" t="str">
        <f>IF(B891=0,VLOOKUP(A891,Feuil2!$A$2:$M$1241,9,FALSE)," ")</f>
        <v xml:space="preserve"> </v>
      </c>
      <c r="K891" s="1" t="str">
        <f>IF(B891=0,VLOOKUP(A891,Feuil2!$A$2:$M$1241,10,FALSE)," ")</f>
        <v xml:space="preserve"> </v>
      </c>
      <c r="L891" s="1"/>
      <c r="M891" s="1"/>
      <c r="N891" s="1"/>
      <c r="O891" s="8" t="str">
        <f>IF(B891=0,VLOOKUP(A891,Feuil2!$A$2:$M$1241,13,FALSE)," ")</f>
        <v xml:space="preserve"> </v>
      </c>
    </row>
    <row r="892" spans="1:15" x14ac:dyDescent="0.3">
      <c r="A892" s="1">
        <v>961</v>
      </c>
      <c r="B892" s="1">
        <v>0</v>
      </c>
      <c r="C892" s="1" t="str">
        <f>IF(B892=0,VLOOKUP(A892,Feuil2!$A$2:$M$1241,2,FALSE)," ")</f>
        <v>REGAIEG</v>
      </c>
      <c r="D892" s="1" t="str">
        <f>IF(B892=0,VLOOKUP(A892,Feuil2!$A$2:$M$1241,3,FALSE)," ")</f>
        <v>HABIB</v>
      </c>
      <c r="E892" s="5">
        <f>IF(B892=0,VLOOKUP(A892,Feuil2!$A$2:$M$1241,6,FALSE)," ")</f>
        <v>25170</v>
      </c>
      <c r="F892" s="1" t="str">
        <f>IF(B892=0,VLOOKUP(A892,Feuil2!$A$2:$M$1241,12,FALSE)," ")</f>
        <v>H</v>
      </c>
      <c r="G892" s="1" t="str">
        <f>IF(B892=0,VLOOKUP(A892,Feuil2!$A$2:$M$1241,11,FALSE)," ")</f>
        <v>M</v>
      </c>
      <c r="H892" s="1" t="s">
        <v>16</v>
      </c>
      <c r="I892" s="6">
        <f>IF(B892=0,VLOOKUP(A892,Feuil2!$A$2:$M$1241,7,FALSE)," ")</f>
        <v>5501176</v>
      </c>
      <c r="J892" s="1" t="str">
        <f>IF(B892=0,VLOOKUP(A892,Feuil2!$A$2:$M$1241,9,FALSE)," ")</f>
        <v>4014 Knaies</v>
      </c>
      <c r="K892" s="1" t="str">
        <f>IF(B892=0,VLOOKUP(A892,Feuil2!$A$2:$M$1241,10,FALSE)," ")</f>
        <v>Knaies 4014</v>
      </c>
      <c r="L892" s="1">
        <v>4014</v>
      </c>
      <c r="M892" s="1">
        <v>97472490</v>
      </c>
      <c r="N892" s="1"/>
      <c r="O892" s="8" t="str">
        <f>IF(B892=0,VLOOKUP(A892,Feuil2!$A$2:$M$1241,13,FALSE)," ")</f>
        <v>10506040206727078851</v>
      </c>
    </row>
    <row r="893" spans="1:15" x14ac:dyDescent="0.3">
      <c r="A893" s="1">
        <v>961</v>
      </c>
      <c r="B893" s="1">
        <v>1</v>
      </c>
      <c r="C893" s="1" t="s">
        <v>173</v>
      </c>
      <c r="D893" s="1" t="s">
        <v>1049</v>
      </c>
      <c r="E893" s="5">
        <v>29830</v>
      </c>
      <c r="F893" s="1" t="s">
        <v>17</v>
      </c>
      <c r="G893" s="1" t="s">
        <v>15</v>
      </c>
      <c r="H893" s="1" t="s">
        <v>16</v>
      </c>
      <c r="I893" s="6" t="str">
        <f>IF(B893=0,VLOOKUP(A893,Feuil2!$A$2:$M$1241,7,FALSE)," ")</f>
        <v xml:space="preserve"> </v>
      </c>
      <c r="J893" s="1" t="str">
        <f>IF(B893=0,VLOOKUP(A893,Feuil2!$A$2:$M$1241,9,FALSE)," ")</f>
        <v xml:space="preserve"> </v>
      </c>
      <c r="K893" s="1" t="str">
        <f>IF(B893=0,VLOOKUP(A893,Feuil2!$A$2:$M$1241,10,FALSE)," ")</f>
        <v xml:space="preserve"> </v>
      </c>
      <c r="L893" s="1"/>
      <c r="M893" s="1"/>
      <c r="N893" s="1"/>
      <c r="O893" s="8" t="str">
        <f>IF(B893=0,VLOOKUP(A893,Feuil2!$A$2:$M$1241,13,FALSE)," ")</f>
        <v xml:space="preserve"> </v>
      </c>
    </row>
    <row r="894" spans="1:15" x14ac:dyDescent="0.3">
      <c r="A894" s="1">
        <v>961</v>
      </c>
      <c r="B894" s="1">
        <v>2</v>
      </c>
      <c r="C894" s="1" t="s">
        <v>316</v>
      </c>
      <c r="D894" s="1" t="s">
        <v>2509</v>
      </c>
      <c r="E894" s="5">
        <v>38262</v>
      </c>
      <c r="F894" s="1" t="s">
        <v>506</v>
      </c>
      <c r="G894" s="1" t="str">
        <f>IF(B894=0,VLOOKUP(A894,Feuil2!$A$2:$M$1241,11,FALSE)," ")</f>
        <v xml:space="preserve"> </v>
      </c>
      <c r="H894" s="1" t="s">
        <v>16</v>
      </c>
      <c r="I894" s="6" t="str">
        <f>IF(B894=0,VLOOKUP(A894,Feuil2!$A$2:$M$1241,7,FALSE)," ")</f>
        <v xml:space="preserve"> </v>
      </c>
      <c r="J894" s="1" t="str">
        <f>IF(B894=0,VLOOKUP(A894,Feuil2!$A$2:$M$1241,9,FALSE)," ")</f>
        <v xml:space="preserve"> </v>
      </c>
      <c r="K894" s="1" t="str">
        <f>IF(B894=0,VLOOKUP(A894,Feuil2!$A$2:$M$1241,10,FALSE)," ")</f>
        <v xml:space="preserve"> </v>
      </c>
      <c r="L894" s="1"/>
      <c r="M894" s="1"/>
      <c r="N894" s="1"/>
      <c r="O894" s="8" t="str">
        <f>IF(B894=0,VLOOKUP(A894,Feuil2!$A$2:$M$1241,13,FALSE)," ")</f>
        <v xml:space="preserve"> </v>
      </c>
    </row>
    <row r="895" spans="1:15" x14ac:dyDescent="0.3">
      <c r="A895" s="1">
        <v>961</v>
      </c>
      <c r="B895" s="1">
        <v>3</v>
      </c>
      <c r="C895" s="1" t="s">
        <v>316</v>
      </c>
      <c r="D895" s="1" t="s">
        <v>2567</v>
      </c>
      <c r="E895" s="5">
        <v>38262</v>
      </c>
      <c r="F895" s="1" t="s">
        <v>506</v>
      </c>
      <c r="G895" s="1" t="str">
        <f>IF(B895=0,VLOOKUP(A895,Feuil2!$A$2:$M$1241,11,FALSE)," ")</f>
        <v xml:space="preserve"> </v>
      </c>
      <c r="H895" s="1" t="s">
        <v>16</v>
      </c>
      <c r="I895" s="6" t="str">
        <f>IF(B895=0,VLOOKUP(A895,Feuil2!$A$2:$M$1241,7,FALSE)," ")</f>
        <v xml:space="preserve"> </v>
      </c>
      <c r="J895" s="1" t="str">
        <f>IF(B895=0,VLOOKUP(A895,Feuil2!$A$2:$M$1241,9,FALSE)," ")</f>
        <v xml:space="preserve"> </v>
      </c>
      <c r="K895" s="1" t="str">
        <f>IF(B895=0,VLOOKUP(A895,Feuil2!$A$2:$M$1241,10,FALSE)," ")</f>
        <v xml:space="preserve"> </v>
      </c>
      <c r="L895" s="1"/>
      <c r="M895" s="1"/>
      <c r="N895" s="1"/>
      <c r="O895" s="8" t="str">
        <f>IF(B895=0,VLOOKUP(A895,Feuil2!$A$2:$M$1241,13,FALSE)," ")</f>
        <v xml:space="preserve"> </v>
      </c>
    </row>
    <row r="896" spans="1:15" x14ac:dyDescent="0.3">
      <c r="A896" s="1">
        <v>961</v>
      </c>
      <c r="B896" s="1">
        <v>4</v>
      </c>
      <c r="C896" s="1" t="s">
        <v>316</v>
      </c>
      <c r="D896" s="1" t="s">
        <v>2366</v>
      </c>
      <c r="E896" s="5">
        <v>40384</v>
      </c>
      <c r="F896" s="1" t="s">
        <v>506</v>
      </c>
      <c r="G896" s="1" t="str">
        <f>IF(B896=0,VLOOKUP(A896,Feuil2!$A$2:$M$1241,11,FALSE)," ")</f>
        <v xml:space="preserve"> </v>
      </c>
      <c r="H896" s="1" t="s">
        <v>16</v>
      </c>
      <c r="I896" s="6" t="str">
        <f>IF(B896=0,VLOOKUP(A896,Feuil2!$A$2:$M$1241,7,FALSE)," ")</f>
        <v xml:space="preserve"> </v>
      </c>
      <c r="J896" s="1" t="str">
        <f>IF(B896=0,VLOOKUP(A896,Feuil2!$A$2:$M$1241,9,FALSE)," ")</f>
        <v xml:space="preserve"> </v>
      </c>
      <c r="K896" s="1" t="str">
        <f>IF(B896=0,VLOOKUP(A896,Feuil2!$A$2:$M$1241,10,FALSE)," ")</f>
        <v xml:space="preserve"> </v>
      </c>
      <c r="L896" s="1"/>
      <c r="M896" s="1"/>
      <c r="N896" s="1"/>
      <c r="O896" s="8" t="str">
        <f>IF(B896=0,VLOOKUP(A896,Feuil2!$A$2:$M$1241,13,FALSE)," ")</f>
        <v xml:space="preserve"> </v>
      </c>
    </row>
    <row r="897" spans="1:16" x14ac:dyDescent="0.3">
      <c r="A897" s="1">
        <v>965</v>
      </c>
      <c r="B897" s="1">
        <v>0</v>
      </c>
      <c r="C897" s="1" t="str">
        <f>IF(B897=0,VLOOKUP(A897,Feuil2!$A$2:$M$1241,2,FALSE)," ")</f>
        <v>BEN FREDJ</v>
      </c>
      <c r="D897" s="1" t="str">
        <f>IF(B897=0,VLOOKUP(A897,Feuil2!$A$2:$M$1241,3,FALSE)," ")</f>
        <v>ABDELKARIM</v>
      </c>
      <c r="E897" s="5">
        <f>IF(B897=0,VLOOKUP(A897,Feuil2!$A$2:$M$1241,6,FALSE)," ")</f>
        <v>25242</v>
      </c>
      <c r="F897" s="1" t="str">
        <f>IF(B897=0,VLOOKUP(A897,Feuil2!$A$2:$M$1241,12,FALSE)," ")</f>
        <v>H</v>
      </c>
      <c r="G897" s="1" t="str">
        <f>IF(B897=0,VLOOKUP(A897,Feuil2!$A$2:$M$1241,11,FALSE)," ")</f>
        <v>M</v>
      </c>
      <c r="H897" s="1" t="s">
        <v>16</v>
      </c>
      <c r="I897" s="6">
        <f>IF(B897=0,VLOOKUP(A897,Feuil2!$A$2:$M$1241,7,FALSE)," ")</f>
        <v>5511294</v>
      </c>
      <c r="J897" s="1" t="str">
        <f>IF(B897=0,VLOOKUP(A897,Feuil2!$A$2:$M$1241,9,FALSE)," ")</f>
        <v>29 Rue Ibn Charaf</v>
      </c>
      <c r="K897" s="1" t="str">
        <f>IF(B897=0,VLOOKUP(A897,Feuil2!$A$2:$M$1241,10,FALSE)," ")</f>
        <v>Sousse</v>
      </c>
      <c r="L897" s="1"/>
      <c r="M897" s="1">
        <v>98793646</v>
      </c>
      <c r="N897" s="1"/>
      <c r="O897" s="8" t="str">
        <f>IF(B897=0,VLOOKUP(A897,Feuil2!$A$2:$M$1241,13,FALSE)," ")</f>
        <v>14007007100705944102</v>
      </c>
    </row>
    <row r="898" spans="1:16" x14ac:dyDescent="0.3">
      <c r="A898" s="1">
        <v>965</v>
      </c>
      <c r="B898" s="1">
        <v>1</v>
      </c>
      <c r="C898" s="1" t="s">
        <v>2626</v>
      </c>
      <c r="D898" s="1" t="s">
        <v>2175</v>
      </c>
      <c r="E898" s="5">
        <v>27723</v>
      </c>
      <c r="F898" s="1" t="s">
        <v>17</v>
      </c>
      <c r="G898" s="1" t="s">
        <v>15</v>
      </c>
      <c r="H898" s="1" t="s">
        <v>16</v>
      </c>
      <c r="I898" s="6" t="str">
        <f>IF(B898=0,VLOOKUP(A898,Feuil2!$A$2:$M$1241,7,FALSE)," ")</f>
        <v xml:space="preserve"> </v>
      </c>
      <c r="J898" s="1" t="str">
        <f>IF(B898=0,VLOOKUP(A898,Feuil2!$A$2:$M$1241,9,FALSE)," ")</f>
        <v xml:space="preserve"> </v>
      </c>
      <c r="K898" s="1" t="str">
        <f>IF(B898=0,VLOOKUP(A898,Feuil2!$A$2:$M$1241,10,FALSE)," ")</f>
        <v xml:space="preserve"> </v>
      </c>
      <c r="L898" s="1"/>
      <c r="M898" s="1"/>
      <c r="N898" s="1"/>
      <c r="O898" s="8" t="str">
        <f>IF(B898=0,VLOOKUP(A898,Feuil2!$A$2:$M$1241,13,FALSE)," ")</f>
        <v xml:space="preserve"> </v>
      </c>
    </row>
    <row r="899" spans="1:16" x14ac:dyDescent="0.3">
      <c r="A899" s="1">
        <v>965</v>
      </c>
      <c r="B899" s="1">
        <v>2</v>
      </c>
      <c r="C899" s="1" t="s">
        <v>1215</v>
      </c>
      <c r="D899" s="1" t="s">
        <v>2627</v>
      </c>
      <c r="E899" s="5">
        <v>36978</v>
      </c>
      <c r="F899" s="1" t="s">
        <v>506</v>
      </c>
      <c r="G899" s="1" t="str">
        <f>IF(B899=0,VLOOKUP(A899,Feuil2!$A$2:$M$1241,11,FALSE)," ")</f>
        <v xml:space="preserve"> </v>
      </c>
      <c r="H899" s="1" t="s">
        <v>16</v>
      </c>
      <c r="I899" s="6" t="str">
        <f>IF(B899=0,VLOOKUP(A899,Feuil2!$A$2:$M$1241,7,FALSE)," ")</f>
        <v xml:space="preserve"> </v>
      </c>
      <c r="J899" s="1" t="str">
        <f>IF(B899=0,VLOOKUP(A899,Feuil2!$A$2:$M$1241,9,FALSE)," ")</f>
        <v xml:space="preserve"> </v>
      </c>
      <c r="K899" s="1" t="str">
        <f>IF(B899=0,VLOOKUP(A899,Feuil2!$A$2:$M$1241,10,FALSE)," ")</f>
        <v xml:space="preserve"> </v>
      </c>
      <c r="L899" s="1"/>
      <c r="M899" s="1"/>
      <c r="N899" s="1"/>
      <c r="O899" s="8" t="str">
        <f>IF(B899=0,VLOOKUP(A899,Feuil2!$A$2:$M$1241,13,FALSE)," ")</f>
        <v xml:space="preserve"> </v>
      </c>
    </row>
    <row r="900" spans="1:16" x14ac:dyDescent="0.3">
      <c r="A900" s="1">
        <v>965</v>
      </c>
      <c r="B900" s="1">
        <v>3</v>
      </c>
      <c r="C900" s="1" t="s">
        <v>1215</v>
      </c>
      <c r="D900" s="1" t="s">
        <v>149</v>
      </c>
      <c r="E900" s="5">
        <v>37328</v>
      </c>
      <c r="F900" s="1" t="s">
        <v>506</v>
      </c>
      <c r="G900" s="1" t="str">
        <f>IF(B900=0,VLOOKUP(A900,Feuil2!$A$2:$M$1241,11,FALSE)," ")</f>
        <v xml:space="preserve"> </v>
      </c>
      <c r="H900" s="1" t="s">
        <v>16</v>
      </c>
      <c r="I900" s="6" t="str">
        <f>IF(B900=0,VLOOKUP(A900,Feuil2!$A$2:$M$1241,7,FALSE)," ")</f>
        <v xml:space="preserve"> </v>
      </c>
      <c r="J900" s="1" t="str">
        <f>IF(B900=0,VLOOKUP(A900,Feuil2!$A$2:$M$1241,9,FALSE)," ")</f>
        <v xml:space="preserve"> </v>
      </c>
      <c r="K900" s="1" t="str">
        <f>IF(B900=0,VLOOKUP(A900,Feuil2!$A$2:$M$1241,10,FALSE)," ")</f>
        <v xml:space="preserve"> </v>
      </c>
      <c r="L900" s="1"/>
      <c r="M900" s="1"/>
      <c r="N900" s="1"/>
      <c r="O900" s="8" t="str">
        <f>IF(B900=0,VLOOKUP(A900,Feuil2!$A$2:$M$1241,13,FALSE)," ")</f>
        <v xml:space="preserve"> </v>
      </c>
    </row>
    <row r="901" spans="1:16" x14ac:dyDescent="0.3">
      <c r="A901" s="1">
        <v>965</v>
      </c>
      <c r="B901" s="1">
        <v>4</v>
      </c>
      <c r="C901" s="1" t="s">
        <v>1215</v>
      </c>
      <c r="D901" s="1" t="s">
        <v>2628</v>
      </c>
      <c r="E901" s="5">
        <v>41041</v>
      </c>
      <c r="F901" s="1" t="s">
        <v>506</v>
      </c>
      <c r="G901" s="1" t="str">
        <f>IF(B901=0,VLOOKUP(A901,Feuil2!$A$2:$M$1241,11,FALSE)," ")</f>
        <v xml:space="preserve"> </v>
      </c>
      <c r="H901" s="1" t="s">
        <v>16</v>
      </c>
      <c r="I901" s="6" t="str">
        <f>IF(B901=0,VLOOKUP(A901,Feuil2!$A$2:$M$1241,7,FALSE)," ")</f>
        <v xml:space="preserve"> </v>
      </c>
      <c r="J901" s="1" t="str">
        <f>IF(B901=0,VLOOKUP(A901,Feuil2!$A$2:$M$1241,9,FALSE)," ")</f>
        <v xml:space="preserve"> </v>
      </c>
      <c r="K901" s="1" t="str">
        <f>IF(B901=0,VLOOKUP(A901,Feuil2!$A$2:$M$1241,10,FALSE)," ")</f>
        <v xml:space="preserve"> </v>
      </c>
      <c r="L901" s="1"/>
      <c r="M901" s="1"/>
      <c r="N901" s="1"/>
      <c r="O901" s="8" t="str">
        <f>IF(B901=0,VLOOKUP(A901,Feuil2!$A$2:$M$1241,13,FALSE)," ")</f>
        <v xml:space="preserve"> </v>
      </c>
    </row>
    <row r="902" spans="1:16" x14ac:dyDescent="0.3">
      <c r="A902" s="1">
        <v>978</v>
      </c>
      <c r="B902" s="1">
        <v>0</v>
      </c>
      <c r="C902" s="1" t="str">
        <f>IF(B902=0,VLOOKUP(A902,Feuil2!$A$2:$M$1241,2,FALSE)," ")</f>
        <v>GRAIET</v>
      </c>
      <c r="D902" s="1" t="str">
        <f>IF(B902=0,VLOOKUP(A902,Feuil2!$A$2:$M$1241,3,FALSE)," ")</f>
        <v>ADEL</v>
      </c>
      <c r="E902" s="5">
        <f>IF(B902=0,VLOOKUP(A902,Feuil2!$A$2:$M$1241,6,FALSE)," ")</f>
        <v>26055</v>
      </c>
      <c r="F902" s="1" t="str">
        <f>IF(B902=0,VLOOKUP(A902,Feuil2!$A$2:$M$1241,12,FALSE)," ")</f>
        <v>H</v>
      </c>
      <c r="G902" s="1" t="str">
        <f>IF(B902=0,VLOOKUP(A902,Feuil2!$A$2:$M$1241,11,FALSE)," ")</f>
        <v>M</v>
      </c>
      <c r="H902" s="1" t="s">
        <v>16</v>
      </c>
      <c r="I902" s="6">
        <f>IF(B902=0,VLOOKUP(A902,Feuil2!$A$2:$M$1241,7,FALSE)," ")</f>
        <v>5523752</v>
      </c>
      <c r="J902" s="1" t="str">
        <f>IF(B902=0,VLOOKUP(A902,Feuil2!$A$2:$M$1241,9,FALSE)," ")</f>
        <v>40 Rue Annibal</v>
      </c>
      <c r="K902" s="1" t="str">
        <f>IF(B902=0,VLOOKUP(A902,Feuil2!$A$2:$M$1241,10,FALSE)," ")</f>
        <v>Msaken 4070</v>
      </c>
      <c r="L902" s="1">
        <v>4070</v>
      </c>
      <c r="M902" s="1">
        <v>52451127</v>
      </c>
      <c r="N902" s="1"/>
      <c r="O902" s="8" t="str">
        <f>IF(B902=0,VLOOKUP(A902,Feuil2!$A$2:$M$1241,13,FALSE)," ")</f>
        <v>03508056010100346714</v>
      </c>
    </row>
    <row r="903" spans="1:16" x14ac:dyDescent="0.3">
      <c r="A903" s="1">
        <v>978</v>
      </c>
      <c r="B903" s="1">
        <v>1</v>
      </c>
      <c r="C903" s="1" t="str">
        <f>IF(B903=0,VLOOKUP(A903,Feuil2!$A$2:$M$1241,2,FALSE)," ")</f>
        <v xml:space="preserve"> </v>
      </c>
      <c r="D903" s="1" t="s">
        <v>2629</v>
      </c>
      <c r="E903" s="5">
        <v>29604</v>
      </c>
      <c r="F903" s="1" t="s">
        <v>17</v>
      </c>
      <c r="G903" s="1" t="s">
        <v>15</v>
      </c>
      <c r="H903" s="1" t="s">
        <v>16</v>
      </c>
      <c r="I903" s="6" t="str">
        <f>IF(B903=0,VLOOKUP(A903,Feuil2!$A$2:$M$1241,7,FALSE)," ")</f>
        <v xml:space="preserve"> </v>
      </c>
      <c r="J903" s="1" t="str">
        <f>IF(B903=0,VLOOKUP(A903,Feuil2!$A$2:$M$1241,9,FALSE)," ")</f>
        <v xml:space="preserve"> </v>
      </c>
      <c r="K903" s="1" t="str">
        <f>IF(B903=0,VLOOKUP(A903,Feuil2!$A$2:$M$1241,10,FALSE)," ")</f>
        <v xml:space="preserve"> </v>
      </c>
      <c r="L903" s="1"/>
      <c r="M903" s="1"/>
      <c r="N903" s="1"/>
      <c r="O903" s="8" t="str">
        <f>IF(B903=0,VLOOKUP(A903,Feuil2!$A$2:$M$1241,13,FALSE)," ")</f>
        <v xml:space="preserve"> </v>
      </c>
    </row>
    <row r="904" spans="1:16" x14ac:dyDescent="0.3">
      <c r="A904" s="1">
        <v>978</v>
      </c>
      <c r="B904" s="1">
        <v>2</v>
      </c>
      <c r="C904" s="1" t="s">
        <v>37</v>
      </c>
      <c r="D904" s="1" t="s">
        <v>2521</v>
      </c>
      <c r="E904" s="5">
        <v>42652</v>
      </c>
      <c r="F904" s="1" t="s">
        <v>506</v>
      </c>
      <c r="G904" s="1" t="str">
        <f>IF(B904=0,VLOOKUP(A904,Feuil2!$A$2:$M$1241,11,FALSE)," ")</f>
        <v xml:space="preserve"> </v>
      </c>
      <c r="H904" s="1" t="s">
        <v>16</v>
      </c>
      <c r="I904" s="6" t="str">
        <f>IF(B904=0,VLOOKUP(A904,Feuil2!$A$2:$M$1241,7,FALSE)," ")</f>
        <v xml:space="preserve"> </v>
      </c>
      <c r="J904" s="1" t="str">
        <f>IF(B904=0,VLOOKUP(A904,Feuil2!$A$2:$M$1241,9,FALSE)," ")</f>
        <v xml:space="preserve"> </v>
      </c>
      <c r="K904" s="1" t="str">
        <f>IF(B904=0,VLOOKUP(A904,Feuil2!$A$2:$M$1241,10,FALSE)," ")</f>
        <v xml:space="preserve"> </v>
      </c>
      <c r="L904" s="1"/>
      <c r="M904" s="1"/>
      <c r="N904" s="1"/>
      <c r="O904" s="8" t="str">
        <f>IF(B904=0,VLOOKUP(A904,Feuil2!$A$2:$M$1241,13,FALSE)," ")</f>
        <v xml:space="preserve"> </v>
      </c>
    </row>
    <row r="905" spans="1:16" x14ac:dyDescent="0.3">
      <c r="A905" s="1">
        <v>978</v>
      </c>
      <c r="B905" s="1">
        <v>3</v>
      </c>
      <c r="C905" s="1" t="s">
        <v>37</v>
      </c>
      <c r="D905" s="1" t="s">
        <v>2613</v>
      </c>
      <c r="E905" s="5">
        <v>43484</v>
      </c>
      <c r="F905" s="1" t="s">
        <v>17</v>
      </c>
      <c r="G905" s="1" t="str">
        <f>IF(B905=0,VLOOKUP(A905,Feuil2!$A$2:$M$1241,11,FALSE)," ")</f>
        <v xml:space="preserve"> </v>
      </c>
      <c r="H905" s="1" t="s">
        <v>16</v>
      </c>
      <c r="I905" s="6" t="str">
        <f>IF(B905=0,VLOOKUP(A905,Feuil2!$A$2:$M$1241,7,FALSE)," ")</f>
        <v xml:space="preserve"> </v>
      </c>
      <c r="J905" s="1" t="str">
        <f>IF(B905=0,VLOOKUP(A905,Feuil2!$A$2:$M$1241,9,FALSE)," ")</f>
        <v xml:space="preserve"> </v>
      </c>
      <c r="K905" s="1" t="str">
        <f>IF(B905=0,VLOOKUP(A905,Feuil2!$A$2:$M$1241,10,FALSE)," ")</f>
        <v xml:space="preserve"> </v>
      </c>
      <c r="L905" s="1"/>
      <c r="M905" s="1"/>
      <c r="N905" s="1"/>
      <c r="O905" s="8" t="str">
        <f>IF(B905=0,VLOOKUP(A905,Feuil2!$A$2:$M$1241,13,FALSE)," ")</f>
        <v xml:space="preserve"> </v>
      </c>
      <c r="P905" t="s">
        <v>2805</v>
      </c>
    </row>
    <row r="906" spans="1:16" x14ac:dyDescent="0.3">
      <c r="A906" s="1">
        <v>990</v>
      </c>
      <c r="B906" s="1">
        <v>0</v>
      </c>
      <c r="C906" s="1" t="str">
        <f>IF(B906=0,VLOOKUP(A906,Feuil2!$A$2:$M$1241,2,FALSE)," ")</f>
        <v>GARDALLOU</v>
      </c>
      <c r="D906" s="1" t="str">
        <f>IF(B906=0,VLOOKUP(A906,Feuil2!$A$2:$M$1241,3,FALSE)," ")</f>
        <v>SAMIR</v>
      </c>
      <c r="E906" s="5">
        <f>IF(B906=0,VLOOKUP(A906,Feuil2!$A$2:$M$1241,6,FALSE)," ")</f>
        <v>24113</v>
      </c>
      <c r="F906" s="1" t="str">
        <f>IF(B906=0,VLOOKUP(A906,Feuil2!$A$2:$M$1241,12,FALSE)," ")</f>
        <v>H</v>
      </c>
      <c r="G906" s="1" t="str">
        <f>IF(B906=0,VLOOKUP(A906,Feuil2!$A$2:$M$1241,11,FALSE)," ")</f>
        <v>M</v>
      </c>
      <c r="H906" s="1" t="s">
        <v>16</v>
      </c>
      <c r="I906" s="6">
        <f>IF(B906=0,VLOOKUP(A906,Feuil2!$A$2:$M$1241,7,FALSE)," ")</f>
        <v>2971250</v>
      </c>
      <c r="J906" s="1" t="str">
        <f>IF(B906=0,VLOOKUP(A906,Feuil2!$A$2:$M$1241,9,FALSE)," ")</f>
        <v>R 20 Mars</v>
      </c>
      <c r="K906" s="1" t="str">
        <f>IF(B906=0,VLOOKUP(A906,Feuil2!$A$2:$M$1241,10,FALSE)," ")</f>
        <v>Kalaa Sghira</v>
      </c>
      <c r="L906" s="1"/>
      <c r="M906" s="1">
        <v>98793747</v>
      </c>
      <c r="N906" s="1"/>
      <c r="O906" s="8" t="str">
        <f>IF(B906=0,VLOOKUP(A906,Feuil2!$A$2:$M$1241,13,FALSE)," ")</f>
        <v>10506040204556378804</v>
      </c>
    </row>
    <row r="907" spans="1:16" x14ac:dyDescent="0.3">
      <c r="A907" s="1">
        <v>990</v>
      </c>
      <c r="B907" s="1">
        <v>1</v>
      </c>
      <c r="C907" s="1" t="s">
        <v>1374</v>
      </c>
      <c r="D907" s="1" t="s">
        <v>559</v>
      </c>
      <c r="E907" s="5">
        <v>25520</v>
      </c>
      <c r="F907" s="1" t="s">
        <v>17</v>
      </c>
      <c r="G907" s="1" t="s">
        <v>15</v>
      </c>
      <c r="H907" s="1" t="s">
        <v>16</v>
      </c>
      <c r="I907" s="6" t="str">
        <f>IF(B907=0,VLOOKUP(A907,Feuil2!$A$2:$M$1241,7,FALSE)," ")</f>
        <v xml:space="preserve"> </v>
      </c>
      <c r="J907" s="1" t="str">
        <f>IF(B907=0,VLOOKUP(A907,Feuil2!$A$2:$M$1241,9,FALSE)," ")</f>
        <v xml:space="preserve"> </v>
      </c>
      <c r="K907" s="1" t="str">
        <f>IF(B907=0,VLOOKUP(A907,Feuil2!$A$2:$M$1241,10,FALSE)," ")</f>
        <v xml:space="preserve"> </v>
      </c>
      <c r="L907" s="1"/>
      <c r="M907" s="1"/>
      <c r="N907" s="1"/>
      <c r="O907" s="8" t="str">
        <f>IF(B907=0,VLOOKUP(A907,Feuil2!$A$2:$M$1241,13,FALSE)," ")</f>
        <v xml:space="preserve"> </v>
      </c>
    </row>
    <row r="908" spans="1:16" x14ac:dyDescent="0.3">
      <c r="A908" s="1">
        <v>990</v>
      </c>
      <c r="B908" s="1">
        <v>2</v>
      </c>
      <c r="C908" s="1" t="s">
        <v>1374</v>
      </c>
      <c r="D908" s="1" t="s">
        <v>2336</v>
      </c>
      <c r="E908" s="5">
        <v>36263</v>
      </c>
      <c r="F908" s="1" t="s">
        <v>17</v>
      </c>
      <c r="G908" s="1" t="str">
        <f>IF(B908=0,VLOOKUP(A908,Feuil2!$A$2:$M$1241,11,FALSE)," ")</f>
        <v xml:space="preserve"> </v>
      </c>
      <c r="H908" s="1" t="s">
        <v>16</v>
      </c>
      <c r="I908" s="6" t="str">
        <f>IF(B908=0,VLOOKUP(A908,Feuil2!$A$2:$M$1241,7,FALSE)," ")</f>
        <v xml:space="preserve"> </v>
      </c>
      <c r="J908" s="1" t="str">
        <f>IF(B908=0,VLOOKUP(A908,Feuil2!$A$2:$M$1241,9,FALSE)," ")</f>
        <v xml:space="preserve"> </v>
      </c>
      <c r="K908" s="1" t="str">
        <f>IF(B908=0,VLOOKUP(A908,Feuil2!$A$2:$M$1241,10,FALSE)," ")</f>
        <v xml:space="preserve"> </v>
      </c>
      <c r="L908" s="1"/>
      <c r="M908" s="1"/>
      <c r="N908" s="1"/>
      <c r="O908" s="8" t="str">
        <f>IF(B908=0,VLOOKUP(A908,Feuil2!$A$2:$M$1241,13,FALSE)," ")</f>
        <v xml:space="preserve"> </v>
      </c>
    </row>
    <row r="909" spans="1:16" x14ac:dyDescent="0.3">
      <c r="A909" s="1">
        <v>990</v>
      </c>
      <c r="B909" s="1">
        <v>3</v>
      </c>
      <c r="C909" s="1" t="s">
        <v>1374</v>
      </c>
      <c r="D909" s="1" t="s">
        <v>2630</v>
      </c>
      <c r="E909" s="5">
        <v>37792</v>
      </c>
      <c r="F909" s="1" t="s">
        <v>17</v>
      </c>
      <c r="G909" s="1" t="str">
        <f>IF(B909=0,VLOOKUP(A909,Feuil2!$A$2:$M$1241,11,FALSE)," ")</f>
        <v xml:space="preserve"> </v>
      </c>
      <c r="H909" s="1" t="s">
        <v>16</v>
      </c>
      <c r="I909" s="6" t="str">
        <f>IF(B909=0,VLOOKUP(A909,Feuil2!$A$2:$M$1241,7,FALSE)," ")</f>
        <v xml:space="preserve"> </v>
      </c>
      <c r="J909" s="1" t="str">
        <f>IF(B909=0,VLOOKUP(A909,Feuil2!$A$2:$M$1241,9,FALSE)," ")</f>
        <v xml:space="preserve"> </v>
      </c>
      <c r="K909" s="1" t="str">
        <f>IF(B909=0,VLOOKUP(A909,Feuil2!$A$2:$M$1241,10,FALSE)," ")</f>
        <v xml:space="preserve"> </v>
      </c>
      <c r="L909" s="1"/>
      <c r="M909" s="1"/>
      <c r="N909" s="1"/>
      <c r="O909" s="8" t="str">
        <f>IF(B909=0,VLOOKUP(A909,Feuil2!$A$2:$M$1241,13,FALSE)," ")</f>
        <v xml:space="preserve"> </v>
      </c>
    </row>
    <row r="910" spans="1:16" x14ac:dyDescent="0.3">
      <c r="A910" s="1">
        <v>990</v>
      </c>
      <c r="B910" s="1">
        <v>4</v>
      </c>
      <c r="C910" s="1" t="s">
        <v>1374</v>
      </c>
      <c r="D910" s="1" t="s">
        <v>2332</v>
      </c>
      <c r="E910" s="5">
        <v>39837</v>
      </c>
      <c r="F910" s="1" t="s">
        <v>17</v>
      </c>
      <c r="G910" s="1" t="str">
        <f>IF(B910=0,VLOOKUP(A910,Feuil2!$A$2:$M$1241,11,FALSE)," ")</f>
        <v xml:space="preserve"> </v>
      </c>
      <c r="H910" s="1" t="s">
        <v>16</v>
      </c>
      <c r="I910" s="6" t="str">
        <f>IF(B910=0,VLOOKUP(A910,Feuil2!$A$2:$M$1241,7,FALSE)," ")</f>
        <v xml:space="preserve"> </v>
      </c>
      <c r="J910" s="1" t="str">
        <f>IF(B910=0,VLOOKUP(A910,Feuil2!$A$2:$M$1241,9,FALSE)," ")</f>
        <v xml:space="preserve"> </v>
      </c>
      <c r="K910" s="1" t="str">
        <f>IF(B910=0,VLOOKUP(A910,Feuil2!$A$2:$M$1241,10,FALSE)," ")</f>
        <v xml:space="preserve"> </v>
      </c>
      <c r="L910" s="1"/>
      <c r="M910" s="1"/>
      <c r="N910" s="1"/>
      <c r="O910" s="8" t="str">
        <f>IF(B910=0,VLOOKUP(A910,Feuil2!$A$2:$M$1241,13,FALSE)," ")</f>
        <v xml:space="preserve"> </v>
      </c>
    </row>
    <row r="911" spans="1:16" x14ac:dyDescent="0.3">
      <c r="A911" s="1">
        <v>990</v>
      </c>
      <c r="B911" s="1">
        <v>5</v>
      </c>
      <c r="C911" s="1" t="s">
        <v>1374</v>
      </c>
      <c r="D911" s="1" t="s">
        <v>34</v>
      </c>
      <c r="E911" s="5">
        <v>40833</v>
      </c>
      <c r="F911" s="1" t="s">
        <v>506</v>
      </c>
      <c r="G911" s="1" t="str">
        <f>IF(B911=0,VLOOKUP(A911,Feuil2!$A$2:$M$1241,11,FALSE)," ")</f>
        <v xml:space="preserve"> </v>
      </c>
      <c r="H911" s="1" t="s">
        <v>16</v>
      </c>
      <c r="I911" s="6" t="str">
        <f>IF(B911=0,VLOOKUP(A911,Feuil2!$A$2:$M$1241,7,FALSE)," ")</f>
        <v xml:space="preserve"> </v>
      </c>
      <c r="J911" s="1" t="str">
        <f>IF(B911=0,VLOOKUP(A911,Feuil2!$A$2:$M$1241,9,FALSE)," ")</f>
        <v xml:space="preserve"> </v>
      </c>
      <c r="K911" s="1" t="str">
        <f>IF(B911=0,VLOOKUP(A911,Feuil2!$A$2:$M$1241,10,FALSE)," ")</f>
        <v xml:space="preserve"> </v>
      </c>
      <c r="L911" s="1"/>
      <c r="M911" s="1"/>
      <c r="N911" s="1"/>
      <c r="O911" s="8" t="str">
        <f>IF(B911=0,VLOOKUP(A911,Feuil2!$A$2:$M$1241,13,FALSE)," ")</f>
        <v xml:space="preserve"> </v>
      </c>
    </row>
    <row r="912" spans="1:16" x14ac:dyDescent="0.3">
      <c r="A912" s="17">
        <v>993</v>
      </c>
      <c r="B912" s="17">
        <v>0</v>
      </c>
      <c r="C912" s="17" t="str">
        <f>IF(B912=0,VLOOKUP(A912,Feuil2!$A$2:$M$1241,2,FALSE)," ")</f>
        <v>LAADHARI</v>
      </c>
      <c r="D912" s="17" t="str">
        <f>IF(B912=0,VLOOKUP(A912,Feuil2!$A$2:$M$1241,3,FALSE)," ")</f>
        <v>SALEM</v>
      </c>
      <c r="E912" s="18">
        <f>IF(B912=0,VLOOKUP(A912,Feuil2!$A$2:$M$1241,6,FALSE)," ")</f>
        <v>22253</v>
      </c>
      <c r="F912" s="17" t="str">
        <f>IF(B912=0,VLOOKUP(A912,Feuil2!$A$2:$M$1241,12,FALSE)," ")</f>
        <v>H</v>
      </c>
      <c r="G912" s="17" t="str">
        <f>IF(B912=0,VLOOKUP(A912,Feuil2!$A$2:$M$1241,11,FALSE)," ")</f>
        <v>M</v>
      </c>
      <c r="H912" s="17" t="s">
        <v>16</v>
      </c>
      <c r="I912" s="19">
        <f>IF(B912=0,VLOOKUP(A912,Feuil2!$A$2:$M$1241,7,FALSE)," ")</f>
        <v>2844713</v>
      </c>
      <c r="J912" s="17" t="str">
        <f>IF(B912=0,VLOOKUP(A912,Feuil2!$A$2:$M$1241,9,FALSE)," ")</f>
        <v>CitÃ© Ennour</v>
      </c>
      <c r="K912" s="17" t="str">
        <f>IF(B912=0,VLOOKUP(A912,Feuil2!$A$2:$M$1241,10,FALSE)," ")</f>
        <v>Msaken 4070</v>
      </c>
      <c r="L912" s="17">
        <v>4070</v>
      </c>
      <c r="M912" s="17">
        <v>97455879</v>
      </c>
      <c r="N912" s="17"/>
      <c r="O912" s="20" t="str">
        <f>IF(B912=0,VLOOKUP(A912,Feuil2!$A$2:$M$1241,13,FALSE)," ")</f>
        <v>24010035312251110102</v>
      </c>
    </row>
    <row r="913" spans="1:16" x14ac:dyDescent="0.3">
      <c r="A913" s="1">
        <v>993</v>
      </c>
      <c r="B913" s="1">
        <v>1</v>
      </c>
      <c r="C913" s="1" t="s">
        <v>582</v>
      </c>
      <c r="D913" s="1" t="s">
        <v>1094</v>
      </c>
      <c r="E913" s="5">
        <v>23680</v>
      </c>
      <c r="F913" s="1" t="s">
        <v>17</v>
      </c>
      <c r="G913" s="1" t="s">
        <v>15</v>
      </c>
      <c r="H913" s="1" t="s">
        <v>16</v>
      </c>
      <c r="I913" s="6" t="str">
        <f>IF(B913=0,VLOOKUP(A913,Feuil2!$A$2:$M$1241,7,FALSE)," ")</f>
        <v xml:space="preserve"> </v>
      </c>
      <c r="J913" s="1" t="str">
        <f>IF(B913=0,VLOOKUP(A913,Feuil2!$A$2:$M$1241,9,FALSE)," ")</f>
        <v xml:space="preserve"> </v>
      </c>
      <c r="K913" s="1" t="str">
        <f>IF(B913=0,VLOOKUP(A913,Feuil2!$A$2:$M$1241,10,FALSE)," ")</f>
        <v xml:space="preserve"> </v>
      </c>
      <c r="L913" s="1"/>
      <c r="M913" s="1"/>
      <c r="N913" s="1"/>
      <c r="O913" s="8" t="str">
        <f>IF(B913=0,VLOOKUP(A913,Feuil2!$A$2:$M$1241,13,FALSE)," ")</f>
        <v xml:space="preserve"> </v>
      </c>
    </row>
    <row r="914" spans="1:16" x14ac:dyDescent="0.3">
      <c r="A914" s="1">
        <v>997</v>
      </c>
      <c r="B914" s="1">
        <v>0</v>
      </c>
      <c r="C914" s="1" t="str">
        <f>IF(B914=0,VLOOKUP(A914,Feuil2!$A$2:$M$1241,2,FALSE)," ")</f>
        <v>KOIUISSAH MAHJOUB</v>
      </c>
      <c r="D914" s="1" t="str">
        <f>IF(B914=0,VLOOKUP(A914,Feuil2!$A$2:$M$1241,3,FALSE)," ")</f>
        <v>SLAH</v>
      </c>
      <c r="E914" s="5">
        <f>IF(B914=0,VLOOKUP(A914,Feuil2!$A$2:$M$1241,6,FALSE)," ")</f>
        <v>24866</v>
      </c>
      <c r="F914" s="1" t="str">
        <f>IF(B914=0,VLOOKUP(A914,Feuil2!$A$2:$M$1241,12,FALSE)," ")</f>
        <v>H</v>
      </c>
      <c r="G914" s="1" t="str">
        <f>IF(B914=0,VLOOKUP(A914,Feuil2!$A$2:$M$1241,11,FALSE)," ")</f>
        <v>M</v>
      </c>
      <c r="H914" s="1" t="s">
        <v>16</v>
      </c>
      <c r="I914" s="6">
        <f>IF(B914=0,VLOOKUP(A914,Feuil2!$A$2:$M$1241,7,FALSE)," ")</f>
        <v>5505960</v>
      </c>
      <c r="J914" s="1" t="str">
        <f>IF(B914=0,VLOOKUP(A914,Feuil2!$A$2:$M$1241,9,FALSE)," ")</f>
        <v>25 Route de Sfax</v>
      </c>
      <c r="K914" s="1" t="str">
        <f>IF(B914=0,VLOOKUP(A914,Feuil2!$A$2:$M$1241,10,FALSE)," ")</f>
        <v>Msaken 4070</v>
      </c>
      <c r="L914" s="1">
        <v>4070</v>
      </c>
      <c r="M914" s="1">
        <v>27255611</v>
      </c>
      <c r="N914" s="1"/>
      <c r="O914" s="8" t="str">
        <f>IF(B914=0,VLOOKUP(A914,Feuil2!$A$2:$M$1241,13,FALSE)," ")</f>
        <v>03508056010100160474</v>
      </c>
    </row>
    <row r="915" spans="1:16" x14ac:dyDescent="0.3">
      <c r="A915" s="1">
        <v>997</v>
      </c>
      <c r="B915" s="1">
        <v>1</v>
      </c>
      <c r="C915" s="1" t="str">
        <f>IF(B915=0,VLOOKUP(A915,Feuil2!$A$2:$M$1241,2,FALSE)," ")</f>
        <v xml:space="preserve"> </v>
      </c>
      <c r="D915" s="1" t="s">
        <v>2372</v>
      </c>
      <c r="E915" s="5">
        <v>29017</v>
      </c>
      <c r="F915" s="1" t="s">
        <v>17</v>
      </c>
      <c r="G915" s="1" t="s">
        <v>15</v>
      </c>
      <c r="H915" s="1" t="s">
        <v>16</v>
      </c>
      <c r="I915" s="6" t="str">
        <f>IF(B915=0,VLOOKUP(A915,Feuil2!$A$2:$M$1241,7,FALSE)," ")</f>
        <v xml:space="preserve"> </v>
      </c>
      <c r="J915" s="1" t="str">
        <f>IF(B915=0,VLOOKUP(A915,Feuil2!$A$2:$M$1241,9,FALSE)," ")</f>
        <v xml:space="preserve"> </v>
      </c>
      <c r="K915" s="1" t="str">
        <f>IF(B915=0,VLOOKUP(A915,Feuil2!$A$2:$M$1241,10,FALSE)," ")</f>
        <v xml:space="preserve"> </v>
      </c>
      <c r="L915" s="1"/>
      <c r="M915" s="1"/>
      <c r="N915" s="1"/>
      <c r="O915" s="8" t="str">
        <f>IF(B915=0,VLOOKUP(A915,Feuil2!$A$2:$M$1241,13,FALSE)," ")</f>
        <v xml:space="preserve"> </v>
      </c>
    </row>
    <row r="916" spans="1:16" x14ac:dyDescent="0.3">
      <c r="A916" s="1">
        <v>997</v>
      </c>
      <c r="B916" s="1">
        <v>2</v>
      </c>
      <c r="C916" s="1" t="s">
        <v>1380</v>
      </c>
      <c r="D916" s="1" t="s">
        <v>2362</v>
      </c>
      <c r="E916" s="5">
        <v>36871</v>
      </c>
      <c r="F916" s="1" t="s">
        <v>17</v>
      </c>
      <c r="G916" s="1" t="str">
        <f>IF(B916=0,VLOOKUP(A916,Feuil2!$A$2:$M$1241,11,FALSE)," ")</f>
        <v xml:space="preserve"> </v>
      </c>
      <c r="H916" s="1" t="s">
        <v>16</v>
      </c>
      <c r="I916" s="6" t="str">
        <f>IF(B916=0,VLOOKUP(A916,Feuil2!$A$2:$M$1241,7,FALSE)," ")</f>
        <v xml:space="preserve"> </v>
      </c>
      <c r="J916" s="1" t="str">
        <f>IF(B916=0,VLOOKUP(A916,Feuil2!$A$2:$M$1241,9,FALSE)," ")</f>
        <v xml:space="preserve"> </v>
      </c>
      <c r="K916" s="1" t="str">
        <f>IF(B916=0,VLOOKUP(A916,Feuil2!$A$2:$M$1241,10,FALSE)," ")</f>
        <v xml:space="preserve"> </v>
      </c>
      <c r="L916" s="1"/>
      <c r="M916" s="1"/>
      <c r="N916" s="1"/>
      <c r="O916" s="8" t="str">
        <f>IF(B916=0,VLOOKUP(A916,Feuil2!$A$2:$M$1241,13,FALSE)," ")</f>
        <v xml:space="preserve"> </v>
      </c>
    </row>
    <row r="917" spans="1:16" x14ac:dyDescent="0.3">
      <c r="A917" s="1">
        <v>997</v>
      </c>
      <c r="B917" s="1">
        <v>3</v>
      </c>
      <c r="C917" s="1" t="s">
        <v>1380</v>
      </c>
      <c r="D917" s="1" t="s">
        <v>2631</v>
      </c>
      <c r="E917" s="5">
        <v>37443</v>
      </c>
      <c r="F917" s="1" t="s">
        <v>506</v>
      </c>
      <c r="G917" s="1" t="str">
        <f>IF(B917=0,VLOOKUP(A917,Feuil2!$A$2:$M$1241,11,FALSE)," ")</f>
        <v xml:space="preserve"> </v>
      </c>
      <c r="H917" s="1" t="s">
        <v>16</v>
      </c>
      <c r="I917" s="6" t="str">
        <f>IF(B917=0,VLOOKUP(A917,Feuil2!$A$2:$M$1241,7,FALSE)," ")</f>
        <v xml:space="preserve"> </v>
      </c>
      <c r="J917" s="1" t="str">
        <f>IF(B917=0,VLOOKUP(A917,Feuil2!$A$2:$M$1241,9,FALSE)," ")</f>
        <v xml:space="preserve"> </v>
      </c>
      <c r="K917" s="1" t="str">
        <f>IF(B917=0,VLOOKUP(A917,Feuil2!$A$2:$M$1241,10,FALSE)," ")</f>
        <v xml:space="preserve"> </v>
      </c>
      <c r="L917" s="1"/>
      <c r="M917" s="1"/>
      <c r="N917" s="1"/>
      <c r="O917" s="8" t="str">
        <f>IF(B917=0,VLOOKUP(A917,Feuil2!$A$2:$M$1241,13,FALSE)," ")</f>
        <v xml:space="preserve"> </v>
      </c>
    </row>
    <row r="918" spans="1:16" x14ac:dyDescent="0.3">
      <c r="A918" s="1">
        <v>997</v>
      </c>
      <c r="B918" s="1">
        <v>4</v>
      </c>
      <c r="C918" s="1" t="s">
        <v>1380</v>
      </c>
      <c r="D918" s="1" t="s">
        <v>2376</v>
      </c>
      <c r="E918" s="5">
        <v>40280</v>
      </c>
      <c r="F918" s="1" t="s">
        <v>506</v>
      </c>
      <c r="G918" s="1" t="str">
        <f>IF(B918=0,VLOOKUP(A918,Feuil2!$A$2:$M$1241,11,FALSE)," ")</f>
        <v xml:space="preserve"> </v>
      </c>
      <c r="H918" s="1" t="s">
        <v>16</v>
      </c>
      <c r="I918" s="6" t="str">
        <f>IF(B918=0,VLOOKUP(A918,Feuil2!$A$2:$M$1241,7,FALSE)," ")</f>
        <v xml:space="preserve"> </v>
      </c>
      <c r="J918" s="1" t="str">
        <f>IF(B918=0,VLOOKUP(A918,Feuil2!$A$2:$M$1241,9,FALSE)," ")</f>
        <v xml:space="preserve"> </v>
      </c>
      <c r="K918" s="1" t="str">
        <f>IF(B918=0,VLOOKUP(A918,Feuil2!$A$2:$M$1241,10,FALSE)," ")</f>
        <v xml:space="preserve"> </v>
      </c>
      <c r="L918" s="1"/>
      <c r="M918" s="1"/>
      <c r="N918" s="1"/>
      <c r="O918" s="8" t="str">
        <f>IF(B918=0,VLOOKUP(A918,Feuil2!$A$2:$M$1241,13,FALSE)," ")</f>
        <v xml:space="preserve"> </v>
      </c>
    </row>
    <row r="919" spans="1:16" x14ac:dyDescent="0.3">
      <c r="A919" s="1">
        <v>1507</v>
      </c>
      <c r="B919" s="1">
        <v>0</v>
      </c>
      <c r="C919" s="1" t="str">
        <f>IF(B919=0,VLOOKUP(A919,Feuil2!$A$2:$M$1241,2,FALSE)," ")</f>
        <v>MANSOUR</v>
      </c>
      <c r="D919" s="1" t="str">
        <f>IF(B919=0,VLOOKUP(A919,Feuil2!$A$2:$M$1241,3,FALSE)," ")</f>
        <v>AHMED</v>
      </c>
      <c r="E919" s="5">
        <f>IF(B919=0,VLOOKUP(A919,Feuil2!$A$2:$M$1241,6,FALSE)," ")</f>
        <v>23691</v>
      </c>
      <c r="F919" s="1" t="str">
        <f>IF(B919=0,VLOOKUP(A919,Feuil2!$A$2:$M$1241,12,FALSE)," ")</f>
        <v>H</v>
      </c>
      <c r="G919" s="1" t="str">
        <f>IF(B919=0,VLOOKUP(A919,Feuil2!$A$2:$M$1241,11,FALSE)," ")</f>
        <v>M</v>
      </c>
      <c r="H919" s="1" t="s">
        <v>16</v>
      </c>
      <c r="I919" s="6">
        <f>IF(B919=0,VLOOKUP(A919,Feuil2!$A$2:$M$1241,7,FALSE)," ")</f>
        <v>2958639</v>
      </c>
      <c r="J919" s="1" t="str">
        <f>IF(B919=0,VLOOKUP(A919,Feuil2!$A$2:$M$1241,9,FALSE)," ")</f>
        <v>4015 Beni Rabiaa</v>
      </c>
      <c r="K919" s="1" t="str">
        <f>IF(B919=0,VLOOKUP(A919,Feuil2!$A$2:$M$1241,10,FALSE)," ")</f>
        <v>BÃ©ni Rabiaa 4015</v>
      </c>
      <c r="L919" s="1"/>
      <c r="M919" s="1">
        <v>25298468</v>
      </c>
      <c r="N919" s="1"/>
      <c r="O919" s="8" t="str">
        <f>IF(B919=0,VLOOKUP(A919,Feuil2!$A$2:$M$1241,13,FALSE)," ")</f>
        <v>05048000116500172593</v>
      </c>
    </row>
    <row r="920" spans="1:16" x14ac:dyDescent="0.3">
      <c r="A920" s="1">
        <v>1507</v>
      </c>
      <c r="B920" s="1">
        <v>1</v>
      </c>
      <c r="C920" s="1" t="s">
        <v>2637</v>
      </c>
      <c r="D920" s="1" t="s">
        <v>2638</v>
      </c>
      <c r="E920" s="5">
        <v>24602</v>
      </c>
      <c r="F920" s="1" t="s">
        <v>17</v>
      </c>
      <c r="G920" s="1" t="s">
        <v>15</v>
      </c>
      <c r="H920" s="1" t="s">
        <v>16</v>
      </c>
      <c r="I920" s="6" t="str">
        <f>IF(B920=0,VLOOKUP(A920,Feuil2!$A$2:$M$1241,7,FALSE)," ")</f>
        <v xml:space="preserve"> </v>
      </c>
      <c r="J920" s="1" t="str">
        <f>IF(B920=0,VLOOKUP(A920,Feuil2!$A$2:$M$1241,9,FALSE)," ")</f>
        <v xml:space="preserve"> </v>
      </c>
      <c r="K920" s="1" t="str">
        <f>IF(B920=0,VLOOKUP(A920,Feuil2!$A$2:$M$1241,10,FALSE)," ")</f>
        <v xml:space="preserve"> </v>
      </c>
      <c r="L920" s="1"/>
      <c r="M920" s="1"/>
      <c r="N920" s="1"/>
      <c r="O920" s="8" t="str">
        <f>IF(B920=0,VLOOKUP(A920,Feuil2!$A$2:$M$1241,13,FALSE)," ")</f>
        <v xml:space="preserve"> </v>
      </c>
    </row>
    <row r="921" spans="1:16" x14ac:dyDescent="0.3">
      <c r="A921" s="1">
        <v>1507</v>
      </c>
      <c r="B921" s="1">
        <v>2</v>
      </c>
      <c r="C921" s="1" t="s">
        <v>197</v>
      </c>
      <c r="D921" s="1" t="s">
        <v>2627</v>
      </c>
      <c r="E921" s="5">
        <v>38328</v>
      </c>
      <c r="F921" s="1" t="s">
        <v>506</v>
      </c>
      <c r="G921" s="1" t="str">
        <f>IF(B921=0,VLOOKUP(A921,Feuil2!$A$2:$M$1241,11,FALSE)," ")</f>
        <v xml:space="preserve"> </v>
      </c>
      <c r="H921" s="1" t="s">
        <v>16</v>
      </c>
      <c r="I921" s="6" t="str">
        <f>IF(B921=0,VLOOKUP(A921,Feuil2!$A$2:$M$1241,7,FALSE)," ")</f>
        <v xml:space="preserve"> </v>
      </c>
      <c r="J921" s="1" t="str">
        <f>IF(B921=0,VLOOKUP(A921,Feuil2!$A$2:$M$1241,9,FALSE)," ")</f>
        <v xml:space="preserve"> </v>
      </c>
      <c r="K921" s="1" t="str">
        <f>IF(B921=0,VLOOKUP(A921,Feuil2!$A$2:$M$1241,10,FALSE)," ")</f>
        <v xml:space="preserve"> </v>
      </c>
      <c r="L921" s="1"/>
      <c r="M921" s="1"/>
      <c r="N921" s="1"/>
      <c r="O921" s="8" t="str">
        <f>IF(B921=0,VLOOKUP(A921,Feuil2!$A$2:$M$1241,13,FALSE)," ")</f>
        <v xml:space="preserve"> </v>
      </c>
    </row>
    <row r="922" spans="1:16" x14ac:dyDescent="0.3">
      <c r="A922" s="1">
        <v>1514</v>
      </c>
      <c r="B922" s="1">
        <v>0</v>
      </c>
      <c r="C922" s="1" t="str">
        <f>IF(B922=0,VLOOKUP(A922,Feuil2!$A$2:$M$1241,2,FALSE)," ")</f>
        <v>KHELIFI</v>
      </c>
      <c r="D922" s="1" t="str">
        <f>IF(B922=0,VLOOKUP(A922,Feuil2!$A$2:$M$1241,3,FALSE)," ")</f>
        <v>MOHSEN</v>
      </c>
      <c r="E922" s="5">
        <f>IF(B922=0,VLOOKUP(A922,Feuil2!$A$2:$M$1241,6,FALSE)," ")</f>
        <v>23482</v>
      </c>
      <c r="F922" s="1" t="str">
        <f>IF(B922=0,VLOOKUP(A922,Feuil2!$A$2:$M$1241,12,FALSE)," ")</f>
        <v>H</v>
      </c>
      <c r="G922" s="1" t="str">
        <f>IF(B922=0,VLOOKUP(A922,Feuil2!$A$2:$M$1241,11,FALSE)," ")</f>
        <v>M</v>
      </c>
      <c r="H922" s="1" t="s">
        <v>16</v>
      </c>
      <c r="I922" s="6">
        <f>IF(B922=0,VLOOKUP(A922,Feuil2!$A$2:$M$1241,7,FALSE)," ")</f>
        <v>2970886</v>
      </c>
      <c r="J922" s="1" t="str">
        <f>IF(B922=0,VLOOKUP(A922,Feuil2!$A$2:$M$1241,9,FALSE)," ")</f>
        <v>172 Bouhssina</v>
      </c>
      <c r="K922" s="1" t="str">
        <f>IF(B922=0,VLOOKUP(A922,Feuil2!$A$2:$M$1241,10,FALSE)," ")</f>
        <v>Sousse</v>
      </c>
      <c r="L922" s="1"/>
      <c r="M922" s="1">
        <v>98793551</v>
      </c>
      <c r="N922" s="1"/>
      <c r="O922" s="8" t="str">
        <f>IF(B922=0,VLOOKUP(A922,Feuil2!$A$2:$M$1241,13,FALSE)," ")</f>
        <v>04500043000973256116</v>
      </c>
    </row>
    <row r="923" spans="1:16" x14ac:dyDescent="0.3">
      <c r="A923" s="1">
        <v>1514</v>
      </c>
      <c r="B923" s="1">
        <v>1</v>
      </c>
      <c r="C923" s="1" t="s">
        <v>144</v>
      </c>
      <c r="D923" s="1" t="s">
        <v>2639</v>
      </c>
      <c r="E923" s="5">
        <v>26502</v>
      </c>
      <c r="F923" s="1" t="s">
        <v>17</v>
      </c>
      <c r="G923" s="1" t="s">
        <v>15</v>
      </c>
      <c r="H923" s="1" t="s">
        <v>16</v>
      </c>
      <c r="I923" s="6" t="str">
        <f>IF(B923=0,VLOOKUP(A923,Feuil2!$A$2:$M$1241,7,FALSE)," ")</f>
        <v xml:space="preserve"> </v>
      </c>
      <c r="J923" s="1" t="str">
        <f>IF(B923=0,VLOOKUP(A923,Feuil2!$A$2:$M$1241,9,FALSE)," ")</f>
        <v xml:space="preserve"> </v>
      </c>
      <c r="K923" s="1" t="str">
        <f>IF(B923=0,VLOOKUP(A923,Feuil2!$A$2:$M$1241,10,FALSE)," ")</f>
        <v xml:space="preserve"> </v>
      </c>
      <c r="L923" s="1"/>
      <c r="M923" s="1"/>
      <c r="N923" s="1"/>
      <c r="O923" s="8" t="str">
        <f>IF(B923=0,VLOOKUP(A923,Feuil2!$A$2:$M$1241,13,FALSE)," ")</f>
        <v xml:space="preserve"> </v>
      </c>
    </row>
    <row r="924" spans="1:16" x14ac:dyDescent="0.3">
      <c r="A924" s="1">
        <v>1514</v>
      </c>
      <c r="B924" s="1">
        <v>2</v>
      </c>
      <c r="C924" s="1" t="s">
        <v>401</v>
      </c>
      <c r="D924" s="1" t="s">
        <v>34</v>
      </c>
      <c r="E924" s="5">
        <v>37035</v>
      </c>
      <c r="F924" s="1" t="s">
        <v>506</v>
      </c>
      <c r="G924" s="1" t="str">
        <f>IF(B924=0,VLOOKUP(A924,Feuil2!$A$2:$M$1241,11,FALSE)," ")</f>
        <v xml:space="preserve"> </v>
      </c>
      <c r="H924" s="1" t="s">
        <v>16</v>
      </c>
      <c r="I924" s="6" t="str">
        <f>IF(B924=0,VLOOKUP(A924,Feuil2!$A$2:$M$1241,7,FALSE)," ")</f>
        <v xml:space="preserve"> </v>
      </c>
      <c r="J924" s="1" t="str">
        <f>IF(B924=0,VLOOKUP(A924,Feuil2!$A$2:$M$1241,9,FALSE)," ")</f>
        <v xml:space="preserve"> </v>
      </c>
      <c r="K924" s="1" t="str">
        <f>IF(B924=0,VLOOKUP(A924,Feuil2!$A$2:$M$1241,10,FALSE)," ")</f>
        <v xml:space="preserve"> </v>
      </c>
      <c r="L924" s="1"/>
      <c r="M924" s="1"/>
      <c r="N924" s="1"/>
      <c r="O924" s="8" t="str">
        <f>IF(B924=0,VLOOKUP(A924,Feuil2!$A$2:$M$1241,13,FALSE)," ")</f>
        <v xml:space="preserve"> </v>
      </c>
    </row>
    <row r="925" spans="1:16" x14ac:dyDescent="0.3">
      <c r="A925" s="1">
        <v>1514</v>
      </c>
      <c r="B925" s="1">
        <v>3</v>
      </c>
      <c r="C925" s="1" t="s">
        <v>401</v>
      </c>
      <c r="D925" s="1" t="s">
        <v>122</v>
      </c>
      <c r="E925" s="5">
        <v>38141</v>
      </c>
      <c r="F925" s="1" t="s">
        <v>506</v>
      </c>
      <c r="G925" s="1" t="str">
        <f>IF(B925=0,VLOOKUP(A925,Feuil2!$A$2:$M$1241,11,FALSE)," ")</f>
        <v xml:space="preserve"> </v>
      </c>
      <c r="H925" s="1" t="s">
        <v>16</v>
      </c>
      <c r="I925" s="6" t="str">
        <f>IF(B925=0,VLOOKUP(A925,Feuil2!$A$2:$M$1241,7,FALSE)," ")</f>
        <v xml:space="preserve"> </v>
      </c>
      <c r="J925" s="1" t="str">
        <f>IF(B925=0,VLOOKUP(A925,Feuil2!$A$2:$M$1241,9,FALSE)," ")</f>
        <v xml:space="preserve"> </v>
      </c>
      <c r="K925" s="1" t="str">
        <f>IF(B925=0,VLOOKUP(A925,Feuil2!$A$2:$M$1241,10,FALSE)," ")</f>
        <v xml:space="preserve"> </v>
      </c>
      <c r="L925" s="1"/>
      <c r="M925" s="1"/>
      <c r="N925" s="1"/>
      <c r="O925" s="8" t="str">
        <f>IF(B925=0,VLOOKUP(A925,Feuil2!$A$2:$M$1241,13,FALSE)," ")</f>
        <v xml:space="preserve"> </v>
      </c>
    </row>
    <row r="926" spans="1:16" x14ac:dyDescent="0.3">
      <c r="A926" s="1">
        <v>1514</v>
      </c>
      <c r="B926" s="1">
        <v>4</v>
      </c>
      <c r="C926" s="1" t="s">
        <v>401</v>
      </c>
      <c r="D926" s="1" t="s">
        <v>2640</v>
      </c>
      <c r="E926" s="5">
        <v>39806</v>
      </c>
      <c r="F926" s="1" t="s">
        <v>17</v>
      </c>
      <c r="G926" s="1" t="str">
        <f>IF(B926=0,VLOOKUP(A926,Feuil2!$A$2:$M$1241,11,FALSE)," ")</f>
        <v xml:space="preserve"> </v>
      </c>
      <c r="H926" s="1" t="s">
        <v>16</v>
      </c>
      <c r="I926" s="6" t="str">
        <f>IF(B926=0,VLOOKUP(A926,Feuil2!$A$2:$M$1241,7,FALSE)," ")</f>
        <v xml:space="preserve"> </v>
      </c>
      <c r="J926" s="1" t="str">
        <f>IF(B926=0,VLOOKUP(A926,Feuil2!$A$2:$M$1241,9,FALSE)," ")</f>
        <v xml:space="preserve"> </v>
      </c>
      <c r="K926" s="1" t="str">
        <f>IF(B926=0,VLOOKUP(A926,Feuil2!$A$2:$M$1241,10,FALSE)," ")</f>
        <v xml:space="preserve"> </v>
      </c>
      <c r="L926" s="1"/>
      <c r="M926" s="1"/>
      <c r="N926" s="1"/>
      <c r="O926" s="8" t="str">
        <f>IF(B926=0,VLOOKUP(A926,Feuil2!$A$2:$M$1241,13,FALSE)," ")</f>
        <v xml:space="preserve"> </v>
      </c>
      <c r="P926" t="s">
        <v>2805</v>
      </c>
    </row>
    <row r="927" spans="1:16" x14ac:dyDescent="0.3">
      <c r="A927" s="1">
        <v>1524</v>
      </c>
      <c r="B927" s="1">
        <v>0</v>
      </c>
      <c r="C927" s="1" t="str">
        <f>IF(B927=0,VLOOKUP(A927,Feuil2!$A$2:$M$1241,2,FALSE)," ")</f>
        <v>BABAY ROUIS</v>
      </c>
      <c r="D927" s="1" t="str">
        <f>IF(B927=0,VLOOKUP(A927,Feuil2!$A$2:$M$1241,3,FALSE)," ")</f>
        <v>LOTFI</v>
      </c>
      <c r="E927" s="5">
        <f>IF(B927=0,VLOOKUP(A927,Feuil2!$A$2:$M$1241,6,FALSE)," ")</f>
        <v>25689</v>
      </c>
      <c r="F927" s="1" t="str">
        <f>IF(B927=0,VLOOKUP(A927,Feuil2!$A$2:$M$1241,12,FALSE)," ")</f>
        <v>H</v>
      </c>
      <c r="G927" s="1" t="str">
        <f>IF(B927=0,VLOOKUP(A927,Feuil2!$A$2:$M$1241,11,FALSE)," ")</f>
        <v>M</v>
      </c>
      <c r="H927" s="1" t="s">
        <v>16</v>
      </c>
      <c r="I927" s="6">
        <f>IF(B927=0,VLOOKUP(A927,Feuil2!$A$2:$M$1241,7,FALSE)," ")</f>
        <v>2997573</v>
      </c>
      <c r="J927" s="1" t="str">
        <f>IF(B927=0,VLOOKUP(A927,Feuil2!$A$2:$M$1241,9,FALSE)," ")</f>
        <v>370 Rue  Farhat  Hached</v>
      </c>
      <c r="K927" s="1" t="str">
        <f>IF(B927=0,VLOOKUP(A927,Feuil2!$A$2:$M$1241,10,FALSE)," ")</f>
        <v>Msaken 4070</v>
      </c>
      <c r="L927" s="1">
        <v>4070</v>
      </c>
      <c r="M927" s="1">
        <v>98783208</v>
      </c>
      <c r="N927" s="1"/>
      <c r="O927" s="8" t="str">
        <f>IF(B927=0,VLOOKUP(A927,Feuil2!$A$2:$M$1241,13,FALSE)," ")</f>
        <v>10506040204737478871</v>
      </c>
    </row>
    <row r="928" spans="1:16" x14ac:dyDescent="0.3">
      <c r="A928" s="1">
        <v>1524</v>
      </c>
      <c r="B928" s="1">
        <v>1</v>
      </c>
      <c r="C928" s="1" t="s">
        <v>71</v>
      </c>
      <c r="D928" s="1" t="s">
        <v>2641</v>
      </c>
      <c r="E928" s="5">
        <v>28668</v>
      </c>
      <c r="F928" s="1" t="s">
        <v>17</v>
      </c>
      <c r="G928" s="1" t="s">
        <v>15</v>
      </c>
      <c r="H928" s="1" t="s">
        <v>16</v>
      </c>
      <c r="I928" s="6" t="str">
        <f>IF(B928=0,VLOOKUP(A928,Feuil2!$A$2:$M$1241,7,FALSE)," ")</f>
        <v xml:space="preserve"> </v>
      </c>
      <c r="J928" s="1" t="str">
        <f>IF(B928=0,VLOOKUP(A928,Feuil2!$A$2:$M$1241,9,FALSE)," ")</f>
        <v xml:space="preserve"> </v>
      </c>
      <c r="K928" s="1" t="str">
        <f>IF(B928=0,VLOOKUP(A928,Feuil2!$A$2:$M$1241,10,FALSE)," ")</f>
        <v xml:space="preserve"> </v>
      </c>
      <c r="L928" s="1"/>
      <c r="M928" s="1"/>
      <c r="N928" s="1"/>
      <c r="O928" s="8" t="str">
        <f>IF(B928=0,VLOOKUP(A928,Feuil2!$A$2:$M$1241,13,FALSE)," ")</f>
        <v xml:space="preserve"> </v>
      </c>
    </row>
    <row r="929" spans="1:15" x14ac:dyDescent="0.3">
      <c r="A929" s="1">
        <v>1524</v>
      </c>
      <c r="B929" s="1">
        <v>2</v>
      </c>
      <c r="C929" s="1" t="s">
        <v>614</v>
      </c>
      <c r="D929" s="1" t="s">
        <v>2367</v>
      </c>
      <c r="E929" s="5">
        <v>36294</v>
      </c>
      <c r="F929" s="1" t="s">
        <v>506</v>
      </c>
      <c r="G929" s="1" t="str">
        <f>IF(B929=0,VLOOKUP(A929,Feuil2!$A$2:$M$1241,11,FALSE)," ")</f>
        <v xml:space="preserve"> </v>
      </c>
      <c r="H929" s="1" t="s">
        <v>16</v>
      </c>
      <c r="I929" s="6" t="str">
        <f>IF(B929=0,VLOOKUP(A929,Feuil2!$A$2:$M$1241,7,FALSE)," ")</f>
        <v xml:space="preserve"> </v>
      </c>
      <c r="J929" s="1" t="str">
        <f>IF(B929=0,VLOOKUP(A929,Feuil2!$A$2:$M$1241,9,FALSE)," ")</f>
        <v xml:space="preserve"> </v>
      </c>
      <c r="K929" s="1" t="str">
        <f>IF(B929=0,VLOOKUP(A929,Feuil2!$A$2:$M$1241,10,FALSE)," ")</f>
        <v xml:space="preserve"> </v>
      </c>
      <c r="L929" s="1"/>
      <c r="M929" s="1"/>
      <c r="N929" s="1"/>
      <c r="O929" s="8" t="str">
        <f>IF(B929=0,VLOOKUP(A929,Feuil2!$A$2:$M$1241,13,FALSE)," ")</f>
        <v xml:space="preserve"> </v>
      </c>
    </row>
    <row r="930" spans="1:15" x14ac:dyDescent="0.3">
      <c r="A930" s="1">
        <v>1524</v>
      </c>
      <c r="B930" s="1">
        <v>3</v>
      </c>
      <c r="C930" s="1" t="s">
        <v>614</v>
      </c>
      <c r="D930" s="1" t="s">
        <v>34</v>
      </c>
      <c r="E930" s="5">
        <v>36920</v>
      </c>
      <c r="F930" s="1" t="s">
        <v>506</v>
      </c>
      <c r="G930" s="1" t="str">
        <f>IF(B930=0,VLOOKUP(A930,Feuil2!$A$2:$M$1241,11,FALSE)," ")</f>
        <v xml:space="preserve"> </v>
      </c>
      <c r="H930" s="1" t="s">
        <v>16</v>
      </c>
      <c r="I930" s="6" t="str">
        <f>IF(B930=0,VLOOKUP(A930,Feuil2!$A$2:$M$1241,7,FALSE)," ")</f>
        <v xml:space="preserve"> </v>
      </c>
      <c r="J930" s="1" t="str">
        <f>IF(B930=0,VLOOKUP(A930,Feuil2!$A$2:$M$1241,9,FALSE)," ")</f>
        <v xml:space="preserve"> </v>
      </c>
      <c r="K930" s="1" t="str">
        <f>IF(B930=0,VLOOKUP(A930,Feuil2!$A$2:$M$1241,10,FALSE)," ")</f>
        <v xml:space="preserve"> </v>
      </c>
      <c r="L930" s="1"/>
      <c r="M930" s="1"/>
      <c r="N930" s="1"/>
      <c r="O930" s="8" t="str">
        <f>IF(B930=0,VLOOKUP(A930,Feuil2!$A$2:$M$1241,13,FALSE)," ")</f>
        <v xml:space="preserve"> </v>
      </c>
    </row>
    <row r="931" spans="1:15" x14ac:dyDescent="0.3">
      <c r="A931" s="1">
        <v>1524</v>
      </c>
      <c r="B931" s="1">
        <v>4</v>
      </c>
      <c r="C931" s="1" t="s">
        <v>614</v>
      </c>
      <c r="D931" s="1" t="s">
        <v>2627</v>
      </c>
      <c r="E931" s="5">
        <v>37442</v>
      </c>
      <c r="F931" s="1" t="s">
        <v>506</v>
      </c>
      <c r="G931" s="1" t="str">
        <f>IF(B931=0,VLOOKUP(A931,Feuil2!$A$2:$M$1241,11,FALSE)," ")</f>
        <v xml:space="preserve"> </v>
      </c>
      <c r="H931" s="1" t="s">
        <v>16</v>
      </c>
      <c r="I931" s="6" t="str">
        <f>IF(B931=0,VLOOKUP(A931,Feuil2!$A$2:$M$1241,7,FALSE)," ")</f>
        <v xml:space="preserve"> </v>
      </c>
      <c r="J931" s="1" t="str">
        <f>IF(B931=0,VLOOKUP(A931,Feuil2!$A$2:$M$1241,9,FALSE)," ")</f>
        <v xml:space="preserve"> </v>
      </c>
      <c r="K931" s="1" t="str">
        <f>IF(B931=0,VLOOKUP(A931,Feuil2!$A$2:$M$1241,10,FALSE)," ")</f>
        <v xml:space="preserve"> </v>
      </c>
      <c r="L931" s="1"/>
      <c r="M931" s="1"/>
      <c r="N931" s="1"/>
      <c r="O931" s="8" t="str">
        <f>IF(B931=0,VLOOKUP(A931,Feuil2!$A$2:$M$1241,13,FALSE)," ")</f>
        <v xml:space="preserve"> </v>
      </c>
    </row>
    <row r="932" spans="1:15" x14ac:dyDescent="0.3">
      <c r="A932" s="1">
        <v>1524</v>
      </c>
      <c r="B932" s="1">
        <v>5</v>
      </c>
      <c r="C932" s="1" t="s">
        <v>614</v>
      </c>
      <c r="D932" s="1" t="s">
        <v>2613</v>
      </c>
      <c r="E932" s="5">
        <v>40669</v>
      </c>
      <c r="F932" s="1" t="s">
        <v>17</v>
      </c>
      <c r="G932" s="1" t="str">
        <f>IF(B932=0,VLOOKUP(A932,Feuil2!$A$2:$M$1241,11,FALSE)," ")</f>
        <v xml:space="preserve"> </v>
      </c>
      <c r="H932" s="1" t="s">
        <v>16</v>
      </c>
      <c r="I932" s="6" t="str">
        <f>IF(B932=0,VLOOKUP(A932,Feuil2!$A$2:$M$1241,7,FALSE)," ")</f>
        <v xml:space="preserve"> </v>
      </c>
      <c r="J932" s="1" t="str">
        <f>IF(B932=0,VLOOKUP(A932,Feuil2!$A$2:$M$1241,9,FALSE)," ")</f>
        <v xml:space="preserve"> </v>
      </c>
      <c r="K932" s="1" t="str">
        <f>IF(B932=0,VLOOKUP(A932,Feuil2!$A$2:$M$1241,10,FALSE)," ")</f>
        <v xml:space="preserve"> </v>
      </c>
      <c r="L932" s="1"/>
      <c r="M932" s="1"/>
      <c r="N932" s="1"/>
      <c r="O932" s="8" t="str">
        <f>IF(B932=0,VLOOKUP(A932,Feuil2!$A$2:$M$1241,13,FALSE)," ")</f>
        <v xml:space="preserve"> </v>
      </c>
    </row>
    <row r="933" spans="1:15" x14ac:dyDescent="0.3">
      <c r="A933" s="17">
        <v>1526</v>
      </c>
      <c r="B933" s="17">
        <v>0</v>
      </c>
      <c r="C933" s="17" t="str">
        <f>IF(B933=0,VLOOKUP(A933,Feuil2!$A$2:$M$1241,2,FALSE)," ")</f>
        <v>SASSI</v>
      </c>
      <c r="D933" s="17" t="str">
        <f>IF(B933=0,VLOOKUP(A933,Feuil2!$A$2:$M$1241,3,FALSE)," ")</f>
        <v>ZOUHAIER</v>
      </c>
      <c r="E933" s="18">
        <f>IF(B933=0,VLOOKUP(A933,Feuil2!$A$2:$M$1241,6,FALSE)," ")</f>
        <v>26054</v>
      </c>
      <c r="F933" s="17" t="str">
        <f>IF(B933=0,VLOOKUP(A933,Feuil2!$A$2:$M$1241,12,FALSE)," ")</f>
        <v>H</v>
      </c>
      <c r="G933" s="17" t="str">
        <f>IF(B933=0,VLOOKUP(A933,Feuil2!$A$2:$M$1241,11,FALSE)," ")</f>
        <v>M</v>
      </c>
      <c r="H933" s="17" t="s">
        <v>16</v>
      </c>
      <c r="I933" s="19">
        <f>IF(B933=0,VLOOKUP(A933,Feuil2!$A$2:$M$1241,7,FALSE)," ")</f>
        <v>5533508</v>
      </c>
      <c r="J933" s="17" t="str">
        <f>IF(B933=0,VLOOKUP(A933,Feuil2!$A$2:$M$1241,9,FALSE)," ")</f>
        <v>28 Rue Hassen Ibn Noomen</v>
      </c>
      <c r="K933" s="17" t="str">
        <f>IF(B933=0,VLOOKUP(A933,Feuil2!$A$2:$M$1241,10,FALSE)," ")</f>
        <v>Msaken 4070</v>
      </c>
      <c r="L933" s="17">
        <v>4070</v>
      </c>
      <c r="M933" s="17">
        <v>55198460</v>
      </c>
      <c r="N933" s="17"/>
      <c r="O933" s="20" t="str">
        <f>IF(B933=0,VLOOKUP(A933,Feuil2!$A$2:$M$1241,13,FALSE)," ")</f>
        <v>04204067404000765286</v>
      </c>
    </row>
    <row r="934" spans="1:15" x14ac:dyDescent="0.3">
      <c r="A934" s="1">
        <v>1526</v>
      </c>
      <c r="B934" s="1">
        <v>1</v>
      </c>
      <c r="C934" s="1" t="s">
        <v>190</v>
      </c>
      <c r="D934" s="1" t="s">
        <v>2642</v>
      </c>
      <c r="E934" s="5">
        <v>27111</v>
      </c>
      <c r="F934" s="1" t="s">
        <v>17</v>
      </c>
      <c r="G934" s="1" t="s">
        <v>15</v>
      </c>
      <c r="H934" s="1" t="s">
        <v>16</v>
      </c>
      <c r="I934" s="6" t="str">
        <f>IF(B934=0,VLOOKUP(A934,Feuil2!$A$2:$M$1241,7,FALSE)," ")</f>
        <v xml:space="preserve"> </v>
      </c>
      <c r="J934" s="1" t="str">
        <f>IF(B934=0,VLOOKUP(A934,Feuil2!$A$2:$M$1241,9,FALSE)," ")</f>
        <v xml:space="preserve"> </v>
      </c>
      <c r="K934" s="1" t="str">
        <f>IF(B934=0,VLOOKUP(A934,Feuil2!$A$2:$M$1241,10,FALSE)," ")</f>
        <v xml:space="preserve"> </v>
      </c>
      <c r="L934" s="1"/>
      <c r="M934" s="1"/>
      <c r="N934" s="1"/>
      <c r="O934" s="8" t="str">
        <f>IF(B934=0,VLOOKUP(A934,Feuil2!$A$2:$M$1241,13,FALSE)," ")</f>
        <v xml:space="preserve"> </v>
      </c>
    </row>
    <row r="935" spans="1:15" x14ac:dyDescent="0.3">
      <c r="A935" s="1">
        <v>1526</v>
      </c>
      <c r="B935" s="1">
        <v>2</v>
      </c>
      <c r="C935" s="1" t="s">
        <v>104</v>
      </c>
      <c r="D935" s="1" t="s">
        <v>237</v>
      </c>
      <c r="E935" s="5">
        <v>36688</v>
      </c>
      <c r="F935" s="1" t="s">
        <v>506</v>
      </c>
      <c r="G935" s="1" t="str">
        <f>IF(B935=0,VLOOKUP(A935,Feuil2!$A$2:$M$1241,11,FALSE)," ")</f>
        <v xml:space="preserve"> </v>
      </c>
      <c r="H935" s="1" t="s">
        <v>16</v>
      </c>
      <c r="I935" s="6" t="str">
        <f>IF(B935=0,VLOOKUP(A935,Feuil2!$A$2:$M$1241,7,FALSE)," ")</f>
        <v xml:space="preserve"> </v>
      </c>
      <c r="J935" s="1" t="str">
        <f>IF(B935=0,VLOOKUP(A935,Feuil2!$A$2:$M$1241,9,FALSE)," ")</f>
        <v xml:space="preserve"> </v>
      </c>
      <c r="K935" s="1" t="str">
        <f>IF(B935=0,VLOOKUP(A935,Feuil2!$A$2:$M$1241,10,FALSE)," ")</f>
        <v xml:space="preserve"> </v>
      </c>
      <c r="L935" s="1"/>
      <c r="M935" s="1"/>
      <c r="N935" s="1"/>
      <c r="O935" s="8" t="str">
        <f>IF(B935=0,VLOOKUP(A935,Feuil2!$A$2:$M$1241,13,FALSE)," ")</f>
        <v xml:space="preserve"> </v>
      </c>
    </row>
    <row r="936" spans="1:15" x14ac:dyDescent="0.3">
      <c r="A936" s="1">
        <v>1526</v>
      </c>
      <c r="B936" s="1">
        <v>3</v>
      </c>
      <c r="C936" s="1" t="s">
        <v>104</v>
      </c>
      <c r="D936" s="1" t="s">
        <v>2370</v>
      </c>
      <c r="E936" s="5">
        <v>37138</v>
      </c>
      <c r="F936" s="1" t="s">
        <v>17</v>
      </c>
      <c r="G936" s="1" t="str">
        <f>IF(B936=0,VLOOKUP(A936,Feuil2!$A$2:$M$1241,11,FALSE)," ")</f>
        <v xml:space="preserve"> </v>
      </c>
      <c r="H936" s="1" t="s">
        <v>16</v>
      </c>
      <c r="I936" s="6" t="str">
        <f>IF(B936=0,VLOOKUP(A936,Feuil2!$A$2:$M$1241,7,FALSE)," ")</f>
        <v xml:space="preserve"> </v>
      </c>
      <c r="J936" s="1" t="str">
        <f>IF(B936=0,VLOOKUP(A936,Feuil2!$A$2:$M$1241,9,FALSE)," ")</f>
        <v xml:space="preserve"> </v>
      </c>
      <c r="K936" s="1" t="str">
        <f>IF(B936=0,VLOOKUP(A936,Feuil2!$A$2:$M$1241,10,FALSE)," ")</f>
        <v xml:space="preserve"> </v>
      </c>
      <c r="L936" s="1"/>
      <c r="M936" s="1"/>
      <c r="N936" s="1"/>
      <c r="O936" s="8" t="str">
        <f>IF(B936=0,VLOOKUP(A936,Feuil2!$A$2:$M$1241,13,FALSE)," ")</f>
        <v xml:space="preserve"> </v>
      </c>
    </row>
    <row r="937" spans="1:15" x14ac:dyDescent="0.3">
      <c r="A937" s="1">
        <v>1526</v>
      </c>
      <c r="B937" s="1">
        <v>4</v>
      </c>
      <c r="C937" s="1" t="s">
        <v>104</v>
      </c>
      <c r="D937" s="1" t="s">
        <v>2371</v>
      </c>
      <c r="E937" s="5">
        <v>44104</v>
      </c>
      <c r="F937" s="1" t="s">
        <v>17</v>
      </c>
      <c r="G937" s="1" t="str">
        <f>IF(B937=0,VLOOKUP(A937,Feuil2!$A$2:$M$1241,11,FALSE)," ")</f>
        <v xml:space="preserve"> </v>
      </c>
      <c r="H937" s="1" t="s">
        <v>16</v>
      </c>
      <c r="I937" s="6" t="str">
        <f>IF(B937=0,VLOOKUP(A937,Feuil2!$A$2:$M$1241,7,FALSE)," ")</f>
        <v xml:space="preserve"> </v>
      </c>
      <c r="J937" s="1" t="str">
        <f>IF(B937=0,VLOOKUP(A937,Feuil2!$A$2:$M$1241,9,FALSE)," ")</f>
        <v xml:space="preserve"> </v>
      </c>
      <c r="K937" s="1" t="str">
        <f>IF(B937=0,VLOOKUP(A937,Feuil2!$A$2:$M$1241,10,FALSE)," ")</f>
        <v xml:space="preserve"> </v>
      </c>
      <c r="L937" s="1"/>
      <c r="M937" s="1"/>
      <c r="N937" s="1"/>
      <c r="O937" s="8" t="str">
        <f>IF(B937=0,VLOOKUP(A937,Feuil2!$A$2:$M$1241,13,FALSE)," ")</f>
        <v xml:space="preserve"> </v>
      </c>
    </row>
    <row r="938" spans="1:15" x14ac:dyDescent="0.3">
      <c r="A938" s="1">
        <v>1526</v>
      </c>
      <c r="B938" s="1">
        <v>5</v>
      </c>
      <c r="C938" s="1" t="s">
        <v>104</v>
      </c>
      <c r="D938" s="1" t="s">
        <v>2376</v>
      </c>
      <c r="E938" s="5">
        <v>40174</v>
      </c>
      <c r="F938" s="1" t="s">
        <v>506</v>
      </c>
      <c r="G938" s="1" t="str">
        <f>IF(B938=0,VLOOKUP(A938,Feuil2!$A$2:$M$1241,11,FALSE)," ")</f>
        <v xml:space="preserve"> </v>
      </c>
      <c r="H938" s="1" t="s">
        <v>16</v>
      </c>
      <c r="I938" s="6" t="str">
        <f>IF(B938=0,VLOOKUP(A938,Feuil2!$A$2:$M$1241,7,FALSE)," ")</f>
        <v xml:space="preserve"> </v>
      </c>
      <c r="J938" s="1" t="str">
        <f>IF(B938=0,VLOOKUP(A938,Feuil2!$A$2:$M$1241,9,FALSE)," ")</f>
        <v xml:space="preserve"> </v>
      </c>
      <c r="K938" s="1" t="str">
        <f>IF(B938=0,VLOOKUP(A938,Feuil2!$A$2:$M$1241,10,FALSE)," ")</f>
        <v xml:space="preserve"> </v>
      </c>
      <c r="L938" s="1"/>
      <c r="M938" s="1"/>
      <c r="N938" s="1"/>
      <c r="O938" s="8" t="str">
        <f>IF(B938=0,VLOOKUP(A938,Feuil2!$A$2:$M$1241,13,FALSE)," ")</f>
        <v xml:space="preserve"> </v>
      </c>
    </row>
    <row r="939" spans="1:15" x14ac:dyDescent="0.3">
      <c r="A939" s="1">
        <v>1541</v>
      </c>
      <c r="B939" s="1">
        <v>0</v>
      </c>
      <c r="C939" s="1" t="str">
        <f>IF(B939=0,VLOOKUP(A939,Feuil2!$A$2:$M$1241,2,FALSE)," ")</f>
        <v>MAHJOUB</v>
      </c>
      <c r="D939" s="1" t="str">
        <f>IF(B939=0,VLOOKUP(A939,Feuil2!$A$2:$M$1241,3,FALSE)," ")</f>
        <v>MOUNIR</v>
      </c>
      <c r="E939" s="5">
        <f>IF(B939=0,VLOOKUP(A939,Feuil2!$A$2:$M$1241,6,FALSE)," ")</f>
        <v>26595</v>
      </c>
      <c r="F939" s="1" t="str">
        <f>IF(B939=0,VLOOKUP(A939,Feuil2!$A$2:$M$1241,12,FALSE)," ")</f>
        <v>H</v>
      </c>
      <c r="G939" s="1" t="str">
        <f>IF(B939=0,VLOOKUP(A939,Feuil2!$A$2:$M$1241,11,FALSE)," ")</f>
        <v>M</v>
      </c>
      <c r="H939" s="1" t="s">
        <v>16</v>
      </c>
      <c r="I939" s="6">
        <f>IF(B939=0,VLOOKUP(A939,Feuil2!$A$2:$M$1241,7,FALSE)," ")</f>
        <v>5530020</v>
      </c>
      <c r="J939" s="1" t="str">
        <f>IF(B939=0,VLOOKUP(A939,Feuil2!$A$2:$M$1241,9,FALSE)," ")</f>
        <v>4 R Taoufik Elhakim</v>
      </c>
      <c r="K939" s="1" t="str">
        <f>IF(B939=0,VLOOKUP(A939,Feuil2!$A$2:$M$1241,10,FALSE)," ")</f>
        <v>Msaken 4070</v>
      </c>
      <c r="L939" s="1">
        <v>4070</v>
      </c>
      <c r="M939" s="1">
        <v>23613118</v>
      </c>
      <c r="N939" s="1"/>
      <c r="O939" s="8" t="str">
        <f>IF(B939=0,VLOOKUP(A939,Feuil2!$A$2:$M$1241,13,FALSE)," ")</f>
        <v>03508056010100182202</v>
      </c>
    </row>
    <row r="940" spans="1:15" x14ac:dyDescent="0.3">
      <c r="A940" s="1">
        <v>1541</v>
      </c>
      <c r="B940" s="1">
        <v>1</v>
      </c>
      <c r="C940" s="1" t="str">
        <f>IF(B940=0,VLOOKUP(A940,Feuil2!$A$2:$M$1241,2,FALSE)," ")</f>
        <v xml:space="preserve"> </v>
      </c>
      <c r="D940" s="1" t="s">
        <v>2643</v>
      </c>
      <c r="E940" s="5">
        <v>29712</v>
      </c>
      <c r="F940" s="1" t="s">
        <v>17</v>
      </c>
      <c r="G940" s="1" t="s">
        <v>15</v>
      </c>
      <c r="H940" s="1" t="s">
        <v>16</v>
      </c>
      <c r="I940" s="6" t="str">
        <f>IF(B940=0,VLOOKUP(A940,Feuil2!$A$2:$M$1241,7,FALSE)," ")</f>
        <v xml:space="preserve"> </v>
      </c>
      <c r="J940" s="1" t="str">
        <f>IF(B940=0,VLOOKUP(A940,Feuil2!$A$2:$M$1241,9,FALSE)," ")</f>
        <v xml:space="preserve"> </v>
      </c>
      <c r="K940" s="1" t="str">
        <f>IF(B940=0,VLOOKUP(A940,Feuil2!$A$2:$M$1241,10,FALSE)," ")</f>
        <v xml:space="preserve"> </v>
      </c>
      <c r="L940" s="1"/>
      <c r="M940" s="1"/>
      <c r="N940" s="1"/>
      <c r="O940" s="8" t="str">
        <f>IF(B940=0,VLOOKUP(A940,Feuil2!$A$2:$M$1241,13,FALSE)," ")</f>
        <v xml:space="preserve"> </v>
      </c>
    </row>
    <row r="941" spans="1:15" x14ac:dyDescent="0.3">
      <c r="A941" s="1">
        <v>1541</v>
      </c>
      <c r="B941" s="1">
        <v>2</v>
      </c>
      <c r="C941" s="1" t="s">
        <v>19</v>
      </c>
      <c r="D941" s="1" t="s">
        <v>2337</v>
      </c>
      <c r="E941" s="5">
        <v>37346</v>
      </c>
      <c r="F941" s="1" t="s">
        <v>17</v>
      </c>
      <c r="G941" s="1" t="str">
        <f>IF(B941=0,VLOOKUP(A941,Feuil2!$A$2:$M$1241,11,FALSE)," ")</f>
        <v xml:space="preserve"> </v>
      </c>
      <c r="H941" s="1" t="s">
        <v>16</v>
      </c>
      <c r="I941" s="6" t="str">
        <f>IF(B941=0,VLOOKUP(A941,Feuil2!$A$2:$M$1241,7,FALSE)," ")</f>
        <v xml:space="preserve"> </v>
      </c>
      <c r="J941" s="1" t="str">
        <f>IF(B941=0,VLOOKUP(A941,Feuil2!$A$2:$M$1241,9,FALSE)," ")</f>
        <v xml:space="preserve"> </v>
      </c>
      <c r="K941" s="1" t="str">
        <f>IF(B941=0,VLOOKUP(A941,Feuil2!$A$2:$M$1241,10,FALSE)," ")</f>
        <v xml:space="preserve"> </v>
      </c>
      <c r="L941" s="1"/>
      <c r="M941" s="1"/>
      <c r="N941" s="1"/>
      <c r="O941" s="8" t="str">
        <f>IF(B941=0,VLOOKUP(A941,Feuil2!$A$2:$M$1241,13,FALSE)," ")</f>
        <v xml:space="preserve"> </v>
      </c>
    </row>
    <row r="942" spans="1:15" x14ac:dyDescent="0.3">
      <c r="A942" s="1">
        <v>1541</v>
      </c>
      <c r="B942" s="1">
        <v>3</v>
      </c>
      <c r="C942" s="1" t="s">
        <v>19</v>
      </c>
      <c r="D942" s="1" t="s">
        <v>2465</v>
      </c>
      <c r="E942" s="5">
        <v>38504</v>
      </c>
      <c r="F942" s="1" t="s">
        <v>506</v>
      </c>
      <c r="G942" s="1" t="str">
        <f>IF(B942=0,VLOOKUP(A942,Feuil2!$A$2:$M$1241,11,FALSE)," ")</f>
        <v xml:space="preserve"> </v>
      </c>
      <c r="H942" s="1" t="s">
        <v>16</v>
      </c>
      <c r="I942" s="6" t="str">
        <f>IF(B942=0,VLOOKUP(A942,Feuil2!$A$2:$M$1241,7,FALSE)," ")</f>
        <v xml:space="preserve"> </v>
      </c>
      <c r="J942" s="1" t="str">
        <f>IF(B942=0,VLOOKUP(A942,Feuil2!$A$2:$M$1241,9,FALSE)," ")</f>
        <v xml:space="preserve"> </v>
      </c>
      <c r="K942" s="1" t="str">
        <f>IF(B942=0,VLOOKUP(A942,Feuil2!$A$2:$M$1241,10,FALSE)," ")</f>
        <v xml:space="preserve"> </v>
      </c>
      <c r="L942" s="1"/>
      <c r="M942" s="1"/>
      <c r="N942" s="1"/>
      <c r="O942" s="8" t="str">
        <f>IF(B942=0,VLOOKUP(A942,Feuil2!$A$2:$M$1241,13,FALSE)," ")</f>
        <v xml:space="preserve"> </v>
      </c>
    </row>
    <row r="943" spans="1:15" x14ac:dyDescent="0.3">
      <c r="A943" s="1">
        <v>1541</v>
      </c>
      <c r="B943" s="1">
        <v>4</v>
      </c>
      <c r="C943" s="1" t="s">
        <v>19</v>
      </c>
      <c r="D943" s="1" t="s">
        <v>77</v>
      </c>
      <c r="E943" s="5">
        <v>39476</v>
      </c>
      <c r="F943" s="1" t="s">
        <v>506</v>
      </c>
      <c r="G943" s="1" t="str">
        <f>IF(B943=0,VLOOKUP(A943,Feuil2!$A$2:$M$1241,11,FALSE)," ")</f>
        <v xml:space="preserve"> </v>
      </c>
      <c r="H943" s="1" t="s">
        <v>16</v>
      </c>
      <c r="I943" s="6" t="str">
        <f>IF(B943=0,VLOOKUP(A943,Feuil2!$A$2:$M$1241,7,FALSE)," ")</f>
        <v xml:space="preserve"> </v>
      </c>
      <c r="J943" s="1" t="str">
        <f>IF(B943=0,VLOOKUP(A943,Feuil2!$A$2:$M$1241,9,FALSE)," ")</f>
        <v xml:space="preserve"> </v>
      </c>
      <c r="K943" s="1" t="str">
        <f>IF(B943=0,VLOOKUP(A943,Feuil2!$A$2:$M$1241,10,FALSE)," ")</f>
        <v xml:space="preserve"> </v>
      </c>
      <c r="L943" s="1"/>
      <c r="M943" s="1"/>
      <c r="N943" s="1"/>
      <c r="O943" s="8" t="str">
        <f>IF(B943=0,VLOOKUP(A943,Feuil2!$A$2:$M$1241,13,FALSE)," ")</f>
        <v xml:space="preserve"> </v>
      </c>
    </row>
    <row r="944" spans="1:15" x14ac:dyDescent="0.3">
      <c r="A944" s="1">
        <v>1541</v>
      </c>
      <c r="B944" s="1">
        <v>5</v>
      </c>
      <c r="C944" s="1" t="s">
        <v>19</v>
      </c>
      <c r="D944" s="1" t="s">
        <v>2644</v>
      </c>
      <c r="E944" s="5">
        <v>39932</v>
      </c>
      <c r="F944" s="1" t="s">
        <v>17</v>
      </c>
      <c r="G944" s="1" t="str">
        <f>IF(B944=0,VLOOKUP(A944,Feuil2!$A$2:$M$1241,11,FALSE)," ")</f>
        <v xml:space="preserve"> </v>
      </c>
      <c r="H944" s="1" t="s">
        <v>16</v>
      </c>
      <c r="I944" s="6" t="str">
        <f>IF(B944=0,VLOOKUP(A944,Feuil2!$A$2:$M$1241,7,FALSE)," ")</f>
        <v xml:space="preserve"> </v>
      </c>
      <c r="J944" s="1" t="str">
        <f>IF(B944=0,VLOOKUP(A944,Feuil2!$A$2:$M$1241,9,FALSE)," ")</f>
        <v xml:space="preserve"> </v>
      </c>
      <c r="K944" s="1" t="str">
        <f>IF(B944=0,VLOOKUP(A944,Feuil2!$A$2:$M$1241,10,FALSE)," ")</f>
        <v xml:space="preserve"> </v>
      </c>
      <c r="L944" s="1"/>
      <c r="M944" s="1"/>
      <c r="N944" s="1"/>
      <c r="O944" s="8" t="str">
        <f>IF(B944=0,VLOOKUP(A944,Feuil2!$A$2:$M$1241,13,FALSE)," ")</f>
        <v xml:space="preserve"> </v>
      </c>
    </row>
    <row r="945" spans="1:15" x14ac:dyDescent="0.3">
      <c r="A945" s="1">
        <v>1541</v>
      </c>
      <c r="B945" s="1">
        <v>6</v>
      </c>
      <c r="C945" s="1" t="s">
        <v>19</v>
      </c>
      <c r="D945" s="1" t="s">
        <v>2500</v>
      </c>
      <c r="E945" s="5">
        <v>41172</v>
      </c>
      <c r="F945" s="1" t="s">
        <v>17</v>
      </c>
      <c r="G945" s="1" t="str">
        <f>IF(B945=0,VLOOKUP(A945,Feuil2!$A$2:$M$1241,11,FALSE)," ")</f>
        <v xml:space="preserve"> </v>
      </c>
      <c r="H945" s="1" t="s">
        <v>16</v>
      </c>
      <c r="I945" s="6" t="str">
        <f>IF(B945=0,VLOOKUP(A945,Feuil2!$A$2:$M$1241,7,FALSE)," ")</f>
        <v xml:space="preserve"> </v>
      </c>
      <c r="J945" s="1" t="str">
        <f>IF(B945=0,VLOOKUP(A945,Feuil2!$A$2:$M$1241,9,FALSE)," ")</f>
        <v xml:space="preserve"> </v>
      </c>
      <c r="K945" s="1" t="str">
        <f>IF(B945=0,VLOOKUP(A945,Feuil2!$A$2:$M$1241,10,FALSE)," ")</f>
        <v xml:space="preserve"> </v>
      </c>
      <c r="L945" s="1"/>
      <c r="M945" s="1"/>
      <c r="N945" s="1"/>
      <c r="O945" s="8" t="str">
        <f>IF(B945=0,VLOOKUP(A945,Feuil2!$A$2:$M$1241,13,FALSE)," ")</f>
        <v xml:space="preserve"> </v>
      </c>
    </row>
    <row r="946" spans="1:15" x14ac:dyDescent="0.3">
      <c r="A946" s="1">
        <v>1549</v>
      </c>
      <c r="B946" s="1">
        <v>0</v>
      </c>
      <c r="C946" s="1" t="str">
        <f>IF(B946=0,VLOOKUP(A946,Feuil2!$A$2:$M$1241,2,FALSE)," ")</f>
        <v>GUERRIDA</v>
      </c>
      <c r="D946" s="1" t="str">
        <f>IF(B946=0,VLOOKUP(A946,Feuil2!$A$2:$M$1241,3,FALSE)," ")</f>
        <v>JAOUHAR</v>
      </c>
      <c r="E946" s="5">
        <f>IF(B946=0,VLOOKUP(A946,Feuil2!$A$2:$M$1241,6,FALSE)," ")</f>
        <v>25742</v>
      </c>
      <c r="F946" s="1" t="str">
        <f>IF(B946=0,VLOOKUP(A946,Feuil2!$A$2:$M$1241,12,FALSE)," ")</f>
        <v>H</v>
      </c>
      <c r="G946" s="1" t="str">
        <f>IF(B946=0,VLOOKUP(A946,Feuil2!$A$2:$M$1241,11,FALSE)," ")</f>
        <v>M</v>
      </c>
      <c r="H946" s="1" t="s">
        <v>16</v>
      </c>
      <c r="I946" s="6">
        <f>IF(B946=0,VLOOKUP(A946,Feuil2!$A$2:$M$1241,7,FALSE)," ")</f>
        <v>5514949</v>
      </c>
      <c r="J946" s="1" t="str">
        <f>IF(B946=0,VLOOKUP(A946,Feuil2!$A$2:$M$1241,9,FALSE)," ")</f>
        <v>4016 beni kalthoum</v>
      </c>
      <c r="K946" s="1" t="str">
        <f>IF(B946=0,VLOOKUP(A946,Feuil2!$A$2:$M$1241,10,FALSE)," ")</f>
        <v>BÃ©ni Kalthoum 4016</v>
      </c>
      <c r="L946" s="1"/>
      <c r="M946" s="1">
        <v>98793671</v>
      </c>
      <c r="N946" s="1"/>
      <c r="O946" s="8" t="str">
        <f>IF(B946=0,VLOOKUP(A946,Feuil2!$A$2:$M$1241,13,FALSE)," ")</f>
        <v>04204067002698615869</v>
      </c>
    </row>
    <row r="947" spans="1:15" x14ac:dyDescent="0.3">
      <c r="A947" s="1">
        <v>1549</v>
      </c>
      <c r="B947" s="1">
        <v>1</v>
      </c>
      <c r="C947" s="1" t="s">
        <v>283</v>
      </c>
      <c r="D947" s="1" t="s">
        <v>2645</v>
      </c>
      <c r="E947" s="5">
        <v>27902</v>
      </c>
      <c r="F947" s="1" t="s">
        <v>17</v>
      </c>
      <c r="G947" s="1" t="s">
        <v>15</v>
      </c>
      <c r="H947" s="1" t="s">
        <v>16</v>
      </c>
      <c r="I947" s="6" t="str">
        <f>IF(B947=0,VLOOKUP(A947,Feuil2!$A$2:$M$1241,7,FALSE)," ")</f>
        <v xml:space="preserve"> </v>
      </c>
      <c r="J947" s="1" t="str">
        <f>IF(B947=0,VLOOKUP(A947,Feuil2!$A$2:$M$1241,9,FALSE)," ")</f>
        <v xml:space="preserve"> </v>
      </c>
      <c r="K947" s="1" t="str">
        <f>IF(B947=0,VLOOKUP(A947,Feuil2!$A$2:$M$1241,10,FALSE)," ")</f>
        <v xml:space="preserve"> </v>
      </c>
      <c r="L947" s="1"/>
      <c r="M947" s="1"/>
      <c r="N947" s="1"/>
      <c r="O947" s="8" t="str">
        <f>IF(B947=0,VLOOKUP(A947,Feuil2!$A$2:$M$1241,13,FALSE)," ")</f>
        <v xml:space="preserve"> </v>
      </c>
    </row>
    <row r="948" spans="1:15" x14ac:dyDescent="0.3">
      <c r="A948" s="1">
        <v>1549</v>
      </c>
      <c r="B948" s="1">
        <v>2</v>
      </c>
      <c r="C948" s="1" t="s">
        <v>50</v>
      </c>
      <c r="D948" s="1" t="s">
        <v>2380</v>
      </c>
      <c r="E948" s="5">
        <v>37968</v>
      </c>
      <c r="F948" s="1" t="s">
        <v>17</v>
      </c>
      <c r="G948" s="1" t="str">
        <f>IF(B948=0,VLOOKUP(A948,Feuil2!$A$2:$M$1241,11,FALSE)," ")</f>
        <v xml:space="preserve"> </v>
      </c>
      <c r="H948" s="1" t="s">
        <v>16</v>
      </c>
      <c r="I948" s="6" t="str">
        <f>IF(B948=0,VLOOKUP(A948,Feuil2!$A$2:$M$1241,7,FALSE)," ")</f>
        <v xml:space="preserve"> </v>
      </c>
      <c r="J948" s="1" t="str">
        <f>IF(B948=0,VLOOKUP(A948,Feuil2!$A$2:$M$1241,9,FALSE)," ")</f>
        <v xml:space="preserve"> </v>
      </c>
      <c r="K948" s="1" t="str">
        <f>IF(B948=0,VLOOKUP(A948,Feuil2!$A$2:$M$1241,10,FALSE)," ")</f>
        <v xml:space="preserve"> </v>
      </c>
      <c r="L948" s="1"/>
      <c r="M948" s="1"/>
      <c r="N948" s="1"/>
      <c r="O948" s="8" t="str">
        <f>IF(B948=0,VLOOKUP(A948,Feuil2!$A$2:$M$1241,13,FALSE)," ")</f>
        <v xml:space="preserve"> </v>
      </c>
    </row>
    <row r="949" spans="1:15" x14ac:dyDescent="0.3">
      <c r="A949" s="1">
        <v>1549</v>
      </c>
      <c r="B949" s="1">
        <v>3</v>
      </c>
      <c r="C949" s="1" t="s">
        <v>50</v>
      </c>
      <c r="D949" s="1" t="s">
        <v>2646</v>
      </c>
      <c r="E949" s="5">
        <v>38967</v>
      </c>
      <c r="F949" s="1" t="s">
        <v>506</v>
      </c>
      <c r="G949" s="1" t="str">
        <f>IF(B949=0,VLOOKUP(A949,Feuil2!$A$2:$M$1241,11,FALSE)," ")</f>
        <v xml:space="preserve"> </v>
      </c>
      <c r="H949" s="1" t="s">
        <v>16</v>
      </c>
      <c r="I949" s="6" t="str">
        <f>IF(B949=0,VLOOKUP(A949,Feuil2!$A$2:$M$1241,7,FALSE)," ")</f>
        <v xml:space="preserve"> </v>
      </c>
      <c r="J949" s="1" t="str">
        <f>IF(B949=0,VLOOKUP(A949,Feuil2!$A$2:$M$1241,9,FALSE)," ")</f>
        <v xml:space="preserve"> </v>
      </c>
      <c r="K949" s="1" t="str">
        <f>IF(B949=0,VLOOKUP(A949,Feuil2!$A$2:$M$1241,10,FALSE)," ")</f>
        <v xml:space="preserve"> </v>
      </c>
      <c r="L949" s="1"/>
      <c r="M949" s="1"/>
      <c r="N949" s="1"/>
      <c r="O949" s="8" t="str">
        <f>IF(B949=0,VLOOKUP(A949,Feuil2!$A$2:$M$1241,13,FALSE)," ")</f>
        <v xml:space="preserve"> </v>
      </c>
    </row>
    <row r="950" spans="1:15" x14ac:dyDescent="0.3">
      <c r="A950" s="1">
        <v>1549</v>
      </c>
      <c r="B950" s="1">
        <v>4</v>
      </c>
      <c r="C950" s="1" t="s">
        <v>50</v>
      </c>
      <c r="D950" s="1" t="s">
        <v>2338</v>
      </c>
      <c r="E950" s="5">
        <v>40348</v>
      </c>
      <c r="F950" s="1" t="s">
        <v>17</v>
      </c>
      <c r="G950" s="1" t="str">
        <f>IF(B950=0,VLOOKUP(A950,Feuil2!$A$2:$M$1241,11,FALSE)," ")</f>
        <v xml:space="preserve"> </v>
      </c>
      <c r="H950" s="1" t="s">
        <v>16</v>
      </c>
      <c r="I950" s="6" t="str">
        <f>IF(B950=0,VLOOKUP(A950,Feuil2!$A$2:$M$1241,7,FALSE)," ")</f>
        <v xml:space="preserve"> </v>
      </c>
      <c r="J950" s="1" t="str">
        <f>IF(B950=0,VLOOKUP(A950,Feuil2!$A$2:$M$1241,9,FALSE)," ")</f>
        <v xml:space="preserve"> </v>
      </c>
      <c r="K950" s="1" t="str">
        <f>IF(B950=0,VLOOKUP(A950,Feuil2!$A$2:$M$1241,10,FALSE)," ")</f>
        <v xml:space="preserve"> </v>
      </c>
      <c r="L950" s="1"/>
      <c r="M950" s="1"/>
      <c r="N950" s="1"/>
      <c r="O950" s="8" t="str">
        <f>IF(B950=0,VLOOKUP(A950,Feuil2!$A$2:$M$1241,13,FALSE)," ")</f>
        <v xml:space="preserve"> </v>
      </c>
    </row>
    <row r="951" spans="1:15" x14ac:dyDescent="0.3">
      <c r="A951" s="1">
        <v>1555</v>
      </c>
      <c r="B951" s="1">
        <v>0</v>
      </c>
      <c r="C951" s="1" t="str">
        <f>IF(B951=0,VLOOKUP(A951,Feuil2!$A$2:$M$1241,2,FALSE)," ")</f>
        <v>FHIMA</v>
      </c>
      <c r="D951" s="1" t="str">
        <f>IF(B951=0,VLOOKUP(A951,Feuil2!$A$2:$M$1241,3,FALSE)," ")</f>
        <v>HAMDI</v>
      </c>
      <c r="E951" s="5">
        <f>IF(B951=0,VLOOKUP(A951,Feuil2!$A$2:$M$1241,6,FALSE)," ")</f>
        <v>25607</v>
      </c>
      <c r="F951" s="1" t="str">
        <f>IF(B951=0,VLOOKUP(A951,Feuil2!$A$2:$M$1241,12,FALSE)," ")</f>
        <v>H</v>
      </c>
      <c r="G951" s="1" t="str">
        <f>IF(B951=0,VLOOKUP(A951,Feuil2!$A$2:$M$1241,11,FALSE)," ")</f>
        <v>M</v>
      </c>
      <c r="H951" s="1" t="s">
        <v>16</v>
      </c>
      <c r="I951" s="6">
        <f>IF(B951=0,VLOOKUP(A951,Feuil2!$A$2:$M$1241,7,FALSE)," ")</f>
        <v>2998267</v>
      </c>
      <c r="J951" s="1" t="str">
        <f>IF(B951=0,VLOOKUP(A951,Feuil2!$A$2:$M$1241,9,FALSE)," ")</f>
        <v>267 Rue Farhat Hached</v>
      </c>
      <c r="K951" s="1" t="str">
        <f>IF(B951=0,VLOOKUP(A951,Feuil2!$A$2:$M$1241,10,FALSE)," ")</f>
        <v>Msaken 4070</v>
      </c>
      <c r="L951" s="1"/>
      <c r="M951" s="1"/>
      <c r="N951" s="1"/>
      <c r="O951" s="8" t="str">
        <f>IF(B951=0,VLOOKUP(A951,Feuil2!$A$2:$M$1241,13,FALSE)," ")</f>
        <v>05048000116500482120</v>
      </c>
    </row>
    <row r="952" spans="1:15" x14ac:dyDescent="0.3">
      <c r="A952" s="1">
        <v>1555</v>
      </c>
      <c r="B952" s="1">
        <v>1</v>
      </c>
      <c r="C952" s="1" t="str">
        <f>IF(B952=0,VLOOKUP(A952,Feuil2!$A$2:$M$1241,2,FALSE)," ")</f>
        <v xml:space="preserve"> </v>
      </c>
      <c r="D952" s="1" t="s">
        <v>2647</v>
      </c>
      <c r="E952" s="5">
        <v>29357</v>
      </c>
      <c r="F952" s="1" t="s">
        <v>17</v>
      </c>
      <c r="G952" s="1" t="s">
        <v>15</v>
      </c>
      <c r="H952" s="1" t="s">
        <v>16</v>
      </c>
      <c r="I952" s="6" t="str">
        <f>IF(B952=0,VLOOKUP(A952,Feuil2!$A$2:$M$1241,7,FALSE)," ")</f>
        <v xml:space="preserve"> </v>
      </c>
      <c r="J952" s="1" t="str">
        <f>IF(B952=0,VLOOKUP(A952,Feuil2!$A$2:$M$1241,9,FALSE)," ")</f>
        <v xml:space="preserve"> </v>
      </c>
      <c r="K952" s="1" t="str">
        <f>IF(B952=0,VLOOKUP(A952,Feuil2!$A$2:$M$1241,10,FALSE)," ")</f>
        <v xml:space="preserve"> </v>
      </c>
      <c r="L952" s="1"/>
      <c r="M952" s="1"/>
      <c r="N952" s="1"/>
      <c r="O952" s="8" t="str">
        <f>IF(B952=0,VLOOKUP(A952,Feuil2!$A$2:$M$1241,13,FALSE)," ")</f>
        <v xml:space="preserve"> </v>
      </c>
    </row>
    <row r="953" spans="1:15" x14ac:dyDescent="0.3">
      <c r="A953" s="1">
        <v>1555</v>
      </c>
      <c r="B953" s="1">
        <v>2</v>
      </c>
      <c r="C953" s="1" t="s">
        <v>174</v>
      </c>
      <c r="D953" s="1" t="s">
        <v>118</v>
      </c>
      <c r="E953" s="5">
        <v>38806</v>
      </c>
      <c r="F953" s="1" t="s">
        <v>506</v>
      </c>
      <c r="G953" s="1" t="str">
        <f>IF(B953=0,VLOOKUP(A953,Feuil2!$A$2:$M$1241,11,FALSE)," ")</f>
        <v xml:space="preserve"> </v>
      </c>
      <c r="H953" s="1" t="s">
        <v>16</v>
      </c>
      <c r="I953" s="6" t="str">
        <f>IF(B953=0,VLOOKUP(A953,Feuil2!$A$2:$M$1241,7,FALSE)," ")</f>
        <v xml:space="preserve"> </v>
      </c>
      <c r="J953" s="1" t="str">
        <f>IF(B953=0,VLOOKUP(A953,Feuil2!$A$2:$M$1241,9,FALSE)," ")</f>
        <v xml:space="preserve"> </v>
      </c>
      <c r="K953" s="1" t="str">
        <f>IF(B953=0,VLOOKUP(A953,Feuil2!$A$2:$M$1241,10,FALSE)," ")</f>
        <v xml:space="preserve"> </v>
      </c>
      <c r="L953" s="1"/>
      <c r="M953" s="1"/>
      <c r="N953" s="1"/>
      <c r="O953" s="8" t="str">
        <f>IF(B953=0,VLOOKUP(A953,Feuil2!$A$2:$M$1241,13,FALSE)," ")</f>
        <v xml:space="preserve"> </v>
      </c>
    </row>
    <row r="954" spans="1:15" x14ac:dyDescent="0.3">
      <c r="A954" s="1">
        <v>1558</v>
      </c>
      <c r="B954" s="1">
        <v>0</v>
      </c>
      <c r="C954" s="1" t="str">
        <f>IF(B954=0,VLOOKUP(A954,Feuil2!$A$2:$M$1241,2,FALSE)," ")</f>
        <v>DRIDI</v>
      </c>
      <c r="D954" s="1" t="str">
        <f>IF(B954=0,VLOOKUP(A954,Feuil2!$A$2:$M$1241,3,FALSE)," ")</f>
        <v>KARIM</v>
      </c>
      <c r="E954" s="5">
        <f>IF(B954=0,VLOOKUP(A954,Feuil2!$A$2:$M$1241,6,FALSE)," ")</f>
        <v>26390</v>
      </c>
      <c r="F954" s="1" t="str">
        <f>IF(B954=0,VLOOKUP(A954,Feuil2!$A$2:$M$1241,12,FALSE)," ")</f>
        <v>H</v>
      </c>
      <c r="G954" s="1" t="str">
        <f>IF(B954=0,VLOOKUP(A954,Feuil2!$A$2:$M$1241,11,FALSE)," ")</f>
        <v>M</v>
      </c>
      <c r="H954" s="1" t="s">
        <v>16</v>
      </c>
      <c r="I954" s="6">
        <f>IF(B954=0,VLOOKUP(A954,Feuil2!$A$2:$M$1241,7,FALSE)," ")</f>
        <v>5514947</v>
      </c>
      <c r="J954" s="1" t="str">
        <f>IF(B954=0,VLOOKUP(A954,Feuil2!$A$2:$M$1241,9,FALSE)," ")</f>
        <v>98 Rue Yahia Ibn Omar</v>
      </c>
      <c r="K954" s="1" t="str">
        <f>IF(B954=0,VLOOKUP(A954,Feuil2!$A$2:$M$1241,10,FALSE)," ")</f>
        <v>Msaken 4070</v>
      </c>
      <c r="L954" s="1">
        <v>4070</v>
      </c>
      <c r="M954" s="1">
        <v>58864991</v>
      </c>
      <c r="N954" s="1"/>
      <c r="O954" s="8" t="str">
        <f>IF(B954=0,VLOOKUP(A954,Feuil2!$A$2:$M$1241,13,FALSE)," ")</f>
        <v>04204067404002160437</v>
      </c>
    </row>
    <row r="955" spans="1:15" x14ac:dyDescent="0.3">
      <c r="A955" s="1">
        <v>1558</v>
      </c>
      <c r="B955" s="1">
        <v>1</v>
      </c>
      <c r="C955" s="1" t="s">
        <v>2648</v>
      </c>
      <c r="D955" s="1" t="s">
        <v>2327</v>
      </c>
      <c r="E955" s="5">
        <v>30396</v>
      </c>
      <c r="F955" s="1" t="s">
        <v>17</v>
      </c>
      <c r="G955" s="1" t="s">
        <v>15</v>
      </c>
      <c r="H955" s="1" t="s">
        <v>16</v>
      </c>
      <c r="I955" s="6" t="str">
        <f>IF(B955=0,VLOOKUP(A955,Feuil2!$A$2:$M$1241,7,FALSE)," ")</f>
        <v xml:space="preserve"> </v>
      </c>
      <c r="J955" s="1" t="str">
        <f>IF(B955=0,VLOOKUP(A955,Feuil2!$A$2:$M$1241,9,FALSE)," ")</f>
        <v xml:space="preserve"> </v>
      </c>
      <c r="K955" s="1" t="str">
        <f>IF(B955=0,VLOOKUP(A955,Feuil2!$A$2:$M$1241,10,FALSE)," ")</f>
        <v xml:space="preserve"> </v>
      </c>
      <c r="L955" s="1"/>
      <c r="M955" s="1"/>
      <c r="N955" s="1"/>
      <c r="O955" s="8" t="str">
        <f>IF(B955=0,VLOOKUP(A955,Feuil2!$A$2:$M$1241,13,FALSE)," ")</f>
        <v xml:space="preserve"> </v>
      </c>
    </row>
    <row r="956" spans="1:15" x14ac:dyDescent="0.3">
      <c r="A956" s="1">
        <v>1558</v>
      </c>
      <c r="B956" s="1">
        <v>2</v>
      </c>
      <c r="C956" s="1" t="s">
        <v>320</v>
      </c>
      <c r="D956" s="1" t="s">
        <v>34</v>
      </c>
      <c r="E956" s="5">
        <v>37589</v>
      </c>
      <c r="F956" s="1" t="s">
        <v>506</v>
      </c>
      <c r="G956" s="1" t="str">
        <f>IF(B956=0,VLOOKUP(A956,Feuil2!$A$2:$M$1241,11,FALSE)," ")</f>
        <v xml:space="preserve"> </v>
      </c>
      <c r="H956" s="1" t="s">
        <v>16</v>
      </c>
      <c r="I956" s="6" t="str">
        <f>IF(B956=0,VLOOKUP(A956,Feuil2!$A$2:$M$1241,7,FALSE)," ")</f>
        <v xml:space="preserve"> </v>
      </c>
      <c r="J956" s="1" t="str">
        <f>IF(B956=0,VLOOKUP(A956,Feuil2!$A$2:$M$1241,9,FALSE)," ")</f>
        <v xml:space="preserve"> </v>
      </c>
      <c r="K956" s="1" t="str">
        <f>IF(B956=0,VLOOKUP(A956,Feuil2!$A$2:$M$1241,10,FALSE)," ")</f>
        <v xml:space="preserve"> </v>
      </c>
      <c r="L956" s="1"/>
      <c r="M956" s="1"/>
      <c r="N956" s="1"/>
      <c r="O956" s="8" t="str">
        <f>IF(B956=0,VLOOKUP(A956,Feuil2!$A$2:$M$1241,13,FALSE)," ")</f>
        <v xml:space="preserve"> </v>
      </c>
    </row>
    <row r="957" spans="1:15" x14ac:dyDescent="0.3">
      <c r="A957" s="1">
        <v>1558</v>
      </c>
      <c r="B957" s="1">
        <v>3</v>
      </c>
      <c r="C957" s="1" t="s">
        <v>320</v>
      </c>
      <c r="D957" s="1" t="s">
        <v>287</v>
      </c>
      <c r="E957" s="5">
        <v>38202</v>
      </c>
      <c r="F957" s="1" t="s">
        <v>506</v>
      </c>
      <c r="G957" s="1" t="str">
        <f>IF(B957=0,VLOOKUP(A957,Feuil2!$A$2:$M$1241,11,FALSE)," ")</f>
        <v xml:space="preserve"> </v>
      </c>
      <c r="H957" s="1" t="s">
        <v>16</v>
      </c>
      <c r="I957" s="6" t="str">
        <f>IF(B957=0,VLOOKUP(A957,Feuil2!$A$2:$M$1241,7,FALSE)," ")</f>
        <v xml:space="preserve"> </v>
      </c>
      <c r="J957" s="1" t="str">
        <f>IF(B957=0,VLOOKUP(A957,Feuil2!$A$2:$M$1241,9,FALSE)," ")</f>
        <v xml:space="preserve"> </v>
      </c>
      <c r="K957" s="1" t="str">
        <f>IF(B957=0,VLOOKUP(A957,Feuil2!$A$2:$M$1241,10,FALSE)," ")</f>
        <v xml:space="preserve"> </v>
      </c>
      <c r="L957" s="1"/>
      <c r="M957" s="1"/>
      <c r="N957" s="1"/>
      <c r="O957" s="8" t="str">
        <f>IF(B957=0,VLOOKUP(A957,Feuil2!$A$2:$M$1241,13,FALSE)," ")</f>
        <v xml:space="preserve"> </v>
      </c>
    </row>
    <row r="958" spans="1:15" x14ac:dyDescent="0.3">
      <c r="A958" s="1">
        <v>1558</v>
      </c>
      <c r="B958" s="1">
        <v>4</v>
      </c>
      <c r="C958" s="1" t="s">
        <v>320</v>
      </c>
      <c r="D958" s="1" t="s">
        <v>2362</v>
      </c>
      <c r="E958" s="5">
        <v>39336</v>
      </c>
      <c r="F958" s="1" t="s">
        <v>17</v>
      </c>
      <c r="G958" s="1" t="str">
        <f>IF(B958=0,VLOOKUP(A958,Feuil2!$A$2:$M$1241,11,FALSE)," ")</f>
        <v xml:space="preserve"> </v>
      </c>
      <c r="H958" s="1" t="s">
        <v>16</v>
      </c>
      <c r="I958" s="6" t="str">
        <f>IF(B958=0,VLOOKUP(A958,Feuil2!$A$2:$M$1241,7,FALSE)," ")</f>
        <v xml:space="preserve"> </v>
      </c>
      <c r="J958" s="1" t="str">
        <f>IF(B958=0,VLOOKUP(A958,Feuil2!$A$2:$M$1241,9,FALSE)," ")</f>
        <v xml:space="preserve"> </v>
      </c>
      <c r="K958" s="1" t="str">
        <f>IF(B958=0,VLOOKUP(A958,Feuil2!$A$2:$M$1241,10,FALSE)," ")</f>
        <v xml:space="preserve"> </v>
      </c>
      <c r="L958" s="1"/>
      <c r="M958" s="1"/>
      <c r="N958" s="1"/>
      <c r="O958" s="8" t="str">
        <f>IF(B958=0,VLOOKUP(A958,Feuil2!$A$2:$M$1241,13,FALSE)," ")</f>
        <v xml:space="preserve"> </v>
      </c>
    </row>
    <row r="959" spans="1:15" x14ac:dyDescent="0.3">
      <c r="A959" s="1">
        <v>1561</v>
      </c>
      <c r="B959" s="1">
        <v>0</v>
      </c>
      <c r="C959" s="1" t="str">
        <f>IF(B959=0,VLOOKUP(A959,Feuil2!$A$2:$M$1241,2,FALSE)," ")</f>
        <v>JMEGUER</v>
      </c>
      <c r="D959" s="1" t="str">
        <f>IF(B959=0,VLOOKUP(A959,Feuil2!$A$2:$M$1241,3,FALSE)," ")</f>
        <v>SAMI</v>
      </c>
      <c r="E959" s="5">
        <f>IF(B959=0,VLOOKUP(A959,Feuil2!$A$2:$M$1241,6,FALSE)," ")</f>
        <v>27399</v>
      </c>
      <c r="F959" s="1" t="str">
        <f>IF(B959=0,VLOOKUP(A959,Feuil2!$A$2:$M$1241,12,FALSE)," ")</f>
        <v>H</v>
      </c>
      <c r="G959" s="1" t="str">
        <f>IF(B959=0,VLOOKUP(A959,Feuil2!$A$2:$M$1241,11,FALSE)," ")</f>
        <v>M</v>
      </c>
      <c r="H959" s="1" t="s">
        <v>16</v>
      </c>
      <c r="I959" s="6">
        <f>IF(B959=0,VLOOKUP(A959,Feuil2!$A$2:$M$1241,7,FALSE)," ")</f>
        <v>5546984</v>
      </c>
      <c r="J959" s="1" t="str">
        <f>IF(B959=0,VLOOKUP(A959,Feuil2!$A$2:$M$1241,9,FALSE)," ")</f>
        <v>22 Rue Allala El Fessi</v>
      </c>
      <c r="K959" s="1" t="str">
        <f>IF(B959=0,VLOOKUP(A959,Feuil2!$A$2:$M$1241,10,FALSE)," ")</f>
        <v>Msaken 4070</v>
      </c>
      <c r="L959" s="1">
        <v>4070</v>
      </c>
      <c r="M959" s="1">
        <v>98783238</v>
      </c>
      <c r="N959" s="1"/>
      <c r="O959" s="8" t="str">
        <f>IF(B959=0,VLOOKUP(A959,Feuil2!$A$2:$M$1241,13,FALSE)," ")</f>
        <v>04204067404000850258</v>
      </c>
    </row>
    <row r="960" spans="1:15" x14ac:dyDescent="0.3">
      <c r="A960" s="1">
        <v>1561</v>
      </c>
      <c r="B960" s="1">
        <v>1</v>
      </c>
      <c r="C960" s="1" t="s">
        <v>2649</v>
      </c>
      <c r="D960" s="1" t="s">
        <v>2435</v>
      </c>
      <c r="E960" s="5">
        <v>30222</v>
      </c>
      <c r="F960" s="1" t="s">
        <v>17</v>
      </c>
      <c r="G960" s="1" t="s">
        <v>15</v>
      </c>
      <c r="H960" s="1" t="s">
        <v>16</v>
      </c>
      <c r="I960" s="6" t="str">
        <f>IF(B960=0,VLOOKUP(A960,Feuil2!$A$2:$M$1241,7,FALSE)," ")</f>
        <v xml:space="preserve"> </v>
      </c>
      <c r="J960" s="1" t="str">
        <f>IF(B960=0,VLOOKUP(A960,Feuil2!$A$2:$M$1241,9,FALSE)," ")</f>
        <v xml:space="preserve"> </v>
      </c>
      <c r="K960" s="1" t="str">
        <f>IF(B960=0,VLOOKUP(A960,Feuil2!$A$2:$M$1241,10,FALSE)," ")</f>
        <v xml:space="preserve"> </v>
      </c>
      <c r="L960" s="1"/>
      <c r="M960" s="1"/>
      <c r="N960" s="1"/>
      <c r="O960" s="8" t="str">
        <f>IF(B960=0,VLOOKUP(A960,Feuil2!$A$2:$M$1241,13,FALSE)," ")</f>
        <v xml:space="preserve"> </v>
      </c>
    </row>
    <row r="961" spans="1:15" x14ac:dyDescent="0.3">
      <c r="A961" s="1">
        <v>1561</v>
      </c>
      <c r="B961" s="1">
        <v>2</v>
      </c>
      <c r="C961" s="1" t="s">
        <v>205</v>
      </c>
      <c r="D961" s="1" t="s">
        <v>2651</v>
      </c>
      <c r="E961" s="5">
        <v>40036</v>
      </c>
      <c r="F961" s="1" t="s">
        <v>506</v>
      </c>
      <c r="G961" s="1" t="str">
        <f>IF(B961=0,VLOOKUP(A961,Feuil2!$A$2:$M$1241,11,FALSE)," ")</f>
        <v xml:space="preserve"> </v>
      </c>
      <c r="H961" s="1" t="s">
        <v>16</v>
      </c>
      <c r="I961" s="6" t="str">
        <f>IF(B961=0,VLOOKUP(A961,Feuil2!$A$2:$M$1241,7,FALSE)," ")</f>
        <v xml:space="preserve"> </v>
      </c>
      <c r="J961" s="1" t="str">
        <f>IF(B961=0,VLOOKUP(A961,Feuil2!$A$2:$M$1241,9,FALSE)," ")</f>
        <v xml:space="preserve"> </v>
      </c>
      <c r="K961" s="1" t="str">
        <f>IF(B961=0,VLOOKUP(A961,Feuil2!$A$2:$M$1241,10,FALSE)," ")</f>
        <v xml:space="preserve"> </v>
      </c>
      <c r="L961" s="1"/>
      <c r="M961" s="1"/>
      <c r="N961" s="1"/>
      <c r="O961" s="8" t="str">
        <f>IF(B961=0,VLOOKUP(A961,Feuil2!$A$2:$M$1241,13,FALSE)," ")</f>
        <v xml:space="preserve"> </v>
      </c>
    </row>
    <row r="962" spans="1:15" x14ac:dyDescent="0.3">
      <c r="A962" s="1">
        <v>1561</v>
      </c>
      <c r="B962" s="1">
        <v>3</v>
      </c>
      <c r="C962" s="1" t="s">
        <v>205</v>
      </c>
      <c r="D962" s="1" t="s">
        <v>2437</v>
      </c>
      <c r="E962" s="5">
        <v>41086</v>
      </c>
      <c r="F962" s="1" t="s">
        <v>17</v>
      </c>
      <c r="G962" s="1" t="str">
        <f>IF(B962=0,VLOOKUP(A962,Feuil2!$A$2:$M$1241,11,FALSE)," ")</f>
        <v xml:space="preserve"> </v>
      </c>
      <c r="H962" s="1" t="s">
        <v>16</v>
      </c>
      <c r="I962" s="6" t="str">
        <f>IF(B962=0,VLOOKUP(A962,Feuil2!$A$2:$M$1241,7,FALSE)," ")</f>
        <v xml:space="preserve"> </v>
      </c>
      <c r="J962" s="1" t="str">
        <f>IF(B962=0,VLOOKUP(A962,Feuil2!$A$2:$M$1241,9,FALSE)," ")</f>
        <v xml:space="preserve"> </v>
      </c>
      <c r="K962" s="1" t="str">
        <f>IF(B962=0,VLOOKUP(A962,Feuil2!$A$2:$M$1241,10,FALSE)," ")</f>
        <v xml:space="preserve"> </v>
      </c>
      <c r="L962" s="1"/>
      <c r="M962" s="1"/>
      <c r="N962" s="1"/>
      <c r="O962" s="8" t="str">
        <f>IF(B962=0,VLOOKUP(A962,Feuil2!$A$2:$M$1241,13,FALSE)," ")</f>
        <v xml:space="preserve"> </v>
      </c>
    </row>
    <row r="963" spans="1:15" x14ac:dyDescent="0.3">
      <c r="A963" s="1">
        <v>1561</v>
      </c>
      <c r="B963" s="1">
        <v>4</v>
      </c>
      <c r="C963" s="1" t="s">
        <v>205</v>
      </c>
      <c r="D963" s="1" t="s">
        <v>34</v>
      </c>
      <c r="E963" s="5">
        <v>41754</v>
      </c>
      <c r="F963" s="1" t="s">
        <v>506</v>
      </c>
      <c r="G963" s="1" t="str">
        <f>IF(B963=0,VLOOKUP(A963,Feuil2!$A$2:$M$1241,11,FALSE)," ")</f>
        <v xml:space="preserve"> </v>
      </c>
      <c r="H963" s="1" t="s">
        <v>16</v>
      </c>
      <c r="I963" s="6" t="str">
        <f>IF(B963=0,VLOOKUP(A963,Feuil2!$A$2:$M$1241,7,FALSE)," ")</f>
        <v xml:space="preserve"> </v>
      </c>
      <c r="J963" s="1" t="str">
        <f>IF(B963=0,VLOOKUP(A963,Feuil2!$A$2:$M$1241,9,FALSE)," ")</f>
        <v xml:space="preserve"> </v>
      </c>
      <c r="K963" s="1" t="str">
        <f>IF(B963=0,VLOOKUP(A963,Feuil2!$A$2:$M$1241,10,FALSE)," ")</f>
        <v xml:space="preserve"> </v>
      </c>
      <c r="L963" s="1"/>
      <c r="M963" s="1"/>
      <c r="N963" s="1"/>
      <c r="O963" s="8" t="str">
        <f>IF(B963=0,VLOOKUP(A963,Feuil2!$A$2:$M$1241,13,FALSE)," ")</f>
        <v xml:space="preserve"> </v>
      </c>
    </row>
    <row r="964" spans="1:15" x14ac:dyDescent="0.3">
      <c r="A964" s="1">
        <v>1569</v>
      </c>
      <c r="B964" s="1">
        <v>0</v>
      </c>
      <c r="C964" s="1" t="str">
        <f>IF(B964=0,VLOOKUP(A964,Feuil2!$A$2:$M$1241,2,FALSE)," ")</f>
        <v>BETTAIEB</v>
      </c>
      <c r="D964" s="1" t="str">
        <f>IF(B964=0,VLOOKUP(A964,Feuil2!$A$2:$M$1241,3,FALSE)," ")</f>
        <v>MOULDI</v>
      </c>
      <c r="E964" s="5">
        <f>IF(B964=0,VLOOKUP(A964,Feuil2!$A$2:$M$1241,6,FALSE)," ")</f>
        <v>27123</v>
      </c>
      <c r="F964" s="1" t="str">
        <f>IF(B964=0,VLOOKUP(A964,Feuil2!$A$2:$M$1241,12,FALSE)," ")</f>
        <v>H</v>
      </c>
      <c r="G964" s="1" t="str">
        <f>IF(B964=0,VLOOKUP(A964,Feuil2!$A$2:$M$1241,11,FALSE)," ")</f>
        <v>M</v>
      </c>
      <c r="H964" s="1" t="s">
        <v>16</v>
      </c>
      <c r="I964" s="6">
        <f>IF(B964=0,VLOOKUP(A964,Feuil2!$A$2:$M$1241,7,FALSE)," ")</f>
        <v>5562215</v>
      </c>
      <c r="J964" s="1" t="str">
        <f>IF(B964=0,VLOOKUP(A964,Feuil2!$A$2:$M$1241,9,FALSE)," ")</f>
        <v>4015 Borjine</v>
      </c>
      <c r="K964" s="1" t="str">
        <f>IF(B964=0,VLOOKUP(A964,Feuil2!$A$2:$M$1241,10,FALSE)," ")</f>
        <v>Borjine 4015</v>
      </c>
      <c r="L964" s="1">
        <v>4015</v>
      </c>
      <c r="M964" s="1">
        <v>92072625</v>
      </c>
      <c r="N964" s="1"/>
      <c r="O964" s="8" t="str">
        <f>IF(B964=0,VLOOKUP(A964,Feuil2!$A$2:$M$1241,13,FALSE)," ")</f>
        <v>04204067404002213108</v>
      </c>
    </row>
    <row r="965" spans="1:15" x14ac:dyDescent="0.3">
      <c r="A965" s="1">
        <v>1569</v>
      </c>
      <c r="B965" s="1">
        <v>1</v>
      </c>
      <c r="C965" s="1" t="s">
        <v>2650</v>
      </c>
      <c r="D965" s="1" t="s">
        <v>2411</v>
      </c>
      <c r="E965" s="5">
        <v>31339</v>
      </c>
      <c r="F965" s="1" t="s">
        <v>17</v>
      </c>
      <c r="G965" s="1" t="s">
        <v>15</v>
      </c>
      <c r="H965" s="1" t="s">
        <v>16</v>
      </c>
      <c r="I965" s="6" t="str">
        <f>IF(B965=0,VLOOKUP(A965,Feuil2!$A$2:$M$1241,7,FALSE)," ")</f>
        <v xml:space="preserve"> </v>
      </c>
      <c r="J965" s="1" t="str">
        <f>IF(B965=0,VLOOKUP(A965,Feuil2!$A$2:$M$1241,9,FALSE)," ")</f>
        <v xml:space="preserve"> </v>
      </c>
      <c r="K965" s="1" t="str">
        <f>IF(B965=0,VLOOKUP(A965,Feuil2!$A$2:$M$1241,10,FALSE)," ")</f>
        <v xml:space="preserve"> </v>
      </c>
      <c r="L965" s="1"/>
      <c r="M965" s="1"/>
      <c r="N965" s="1"/>
      <c r="O965" s="8" t="str">
        <f>IF(B965=0,VLOOKUP(A965,Feuil2!$A$2:$M$1241,13,FALSE)," ")</f>
        <v xml:space="preserve"> </v>
      </c>
    </row>
    <row r="966" spans="1:15" x14ac:dyDescent="0.3">
      <c r="A966" s="1">
        <v>1569</v>
      </c>
      <c r="B966" s="1">
        <v>2</v>
      </c>
      <c r="C966" s="1" t="s">
        <v>358</v>
      </c>
      <c r="D966" s="1" t="s">
        <v>2377</v>
      </c>
      <c r="E966" s="5">
        <v>40708</v>
      </c>
      <c r="F966" s="1" t="s">
        <v>17</v>
      </c>
      <c r="G966" s="1" t="str">
        <f>IF(B966=0,VLOOKUP(A966,Feuil2!$A$2:$M$1241,11,FALSE)," ")</f>
        <v xml:space="preserve"> </v>
      </c>
      <c r="H966" s="1" t="s">
        <v>16</v>
      </c>
      <c r="I966" s="6" t="str">
        <f>IF(B966=0,VLOOKUP(A966,Feuil2!$A$2:$M$1241,7,FALSE)," ")</f>
        <v xml:space="preserve"> </v>
      </c>
      <c r="J966" s="1" t="str">
        <f>IF(B966=0,VLOOKUP(A966,Feuil2!$A$2:$M$1241,9,FALSE)," ")</f>
        <v xml:space="preserve"> </v>
      </c>
      <c r="K966" s="1" t="str">
        <f>IF(B966=0,VLOOKUP(A966,Feuil2!$A$2:$M$1241,10,FALSE)," ")</f>
        <v xml:space="preserve"> </v>
      </c>
      <c r="L966" s="1"/>
      <c r="M966" s="1"/>
      <c r="N966" s="1"/>
      <c r="O966" s="8" t="str">
        <f>IF(B966=0,VLOOKUP(A966,Feuil2!$A$2:$M$1241,13,FALSE)," ")</f>
        <v xml:space="preserve"> </v>
      </c>
    </row>
    <row r="967" spans="1:15" x14ac:dyDescent="0.3">
      <c r="A967" s="1">
        <v>1569</v>
      </c>
      <c r="B967" s="1">
        <v>3</v>
      </c>
      <c r="C967" s="1" t="s">
        <v>358</v>
      </c>
      <c r="D967" s="1" t="s">
        <v>149</v>
      </c>
      <c r="E967" s="5">
        <v>42037</v>
      </c>
      <c r="F967" s="1" t="s">
        <v>506</v>
      </c>
      <c r="G967" s="1" t="str">
        <f>IF(B967=0,VLOOKUP(A967,Feuil2!$A$2:$M$1241,11,FALSE)," ")</f>
        <v xml:space="preserve"> </v>
      </c>
      <c r="H967" s="1" t="s">
        <v>16</v>
      </c>
      <c r="I967" s="6" t="str">
        <f>IF(B967=0,VLOOKUP(A967,Feuil2!$A$2:$M$1241,7,FALSE)," ")</f>
        <v xml:space="preserve"> </v>
      </c>
      <c r="J967" s="1" t="str">
        <f>IF(B967=0,VLOOKUP(A967,Feuil2!$A$2:$M$1241,9,FALSE)," ")</f>
        <v xml:space="preserve"> </v>
      </c>
      <c r="K967" s="1" t="str">
        <f>IF(B967=0,VLOOKUP(A967,Feuil2!$A$2:$M$1241,10,FALSE)," ")</f>
        <v xml:space="preserve"> </v>
      </c>
      <c r="L967" s="1"/>
      <c r="M967" s="1"/>
      <c r="N967" s="1"/>
      <c r="O967" s="8" t="str">
        <f>IF(B967=0,VLOOKUP(A967,Feuil2!$A$2:$M$1241,13,FALSE)," ")</f>
        <v xml:space="preserve"> </v>
      </c>
    </row>
    <row r="968" spans="1:15" x14ac:dyDescent="0.3">
      <c r="A968" s="1">
        <v>1575</v>
      </c>
      <c r="B968" s="1">
        <v>0</v>
      </c>
      <c r="C968" s="1" t="str">
        <f>IF(B968=0,VLOOKUP(A968,Feuil2!$A$2:$M$1241,2,FALSE)," ")</f>
        <v>BEN ABDELJELIL</v>
      </c>
      <c r="D968" s="1" t="str">
        <f>IF(B968=0,VLOOKUP(A968,Feuil2!$A$2:$M$1241,3,FALSE)," ")</f>
        <v>ZOUHAIER</v>
      </c>
      <c r="E968" s="5">
        <f>IF(B968=0,VLOOKUP(A968,Feuil2!$A$2:$M$1241,6,FALSE)," ")</f>
        <v>28120</v>
      </c>
      <c r="F968" s="1" t="str">
        <f>IF(B968=0,VLOOKUP(A968,Feuil2!$A$2:$M$1241,12,FALSE)," ")</f>
        <v>H</v>
      </c>
      <c r="G968" s="1" t="str">
        <f>IF(B968=0,VLOOKUP(A968,Feuil2!$A$2:$M$1241,11,FALSE)," ")</f>
        <v>M</v>
      </c>
      <c r="H968" s="1" t="s">
        <v>16</v>
      </c>
      <c r="I968" s="6">
        <f>IF(B968=0,VLOOKUP(A968,Feuil2!$A$2:$M$1241,7,FALSE)," ")</f>
        <v>5545038</v>
      </c>
      <c r="J968" s="1" t="str">
        <f>IF(B968=0,VLOOKUP(A968,Feuil2!$A$2:$M$1241,9,FALSE)," ")</f>
        <v>09 Rue Zitouna</v>
      </c>
      <c r="K968" s="1" t="str">
        <f>IF(B968=0,VLOOKUP(A968,Feuil2!$A$2:$M$1241,10,FALSE)," ")</f>
        <v>Msaken 4070</v>
      </c>
      <c r="L968" s="1">
        <v>4070</v>
      </c>
      <c r="M968" s="1">
        <v>98981562</v>
      </c>
      <c r="N968" s="1"/>
      <c r="O968" s="8" t="str">
        <f>IF(B968=0,VLOOKUP(A968,Feuil2!$A$2:$M$1241,13,FALSE)," ")</f>
        <v>08507000262006373057</v>
      </c>
    </row>
    <row r="969" spans="1:15" x14ac:dyDescent="0.3">
      <c r="A969" s="1">
        <v>1575</v>
      </c>
      <c r="B969" s="1">
        <v>1</v>
      </c>
      <c r="C969" s="1" t="s">
        <v>703</v>
      </c>
      <c r="D969" s="1" t="s">
        <v>2387</v>
      </c>
      <c r="E969" s="5">
        <v>30158</v>
      </c>
      <c r="F969" s="1" t="s">
        <v>17</v>
      </c>
      <c r="G969" s="1" t="s">
        <v>15</v>
      </c>
      <c r="H969" s="1" t="s">
        <v>16</v>
      </c>
      <c r="I969" s="6" t="str">
        <f>IF(B969=0,VLOOKUP(A969,Feuil2!$A$2:$M$1241,7,FALSE)," ")</f>
        <v xml:space="preserve"> </v>
      </c>
      <c r="J969" s="1" t="str">
        <f>IF(B969=0,VLOOKUP(A969,Feuil2!$A$2:$M$1241,9,FALSE)," ")</f>
        <v xml:space="preserve"> </v>
      </c>
      <c r="K969" s="1" t="str">
        <f>IF(B969=0,VLOOKUP(A969,Feuil2!$A$2:$M$1241,10,FALSE)," ")</f>
        <v xml:space="preserve"> </v>
      </c>
      <c r="L969" s="1"/>
      <c r="M969" s="1"/>
      <c r="N969" s="1"/>
      <c r="O969" s="8" t="str">
        <f>IF(B969=0,VLOOKUP(A969,Feuil2!$A$2:$M$1241,13,FALSE)," ")</f>
        <v xml:space="preserve"> </v>
      </c>
    </row>
    <row r="970" spans="1:15" x14ac:dyDescent="0.3">
      <c r="A970" s="1">
        <v>1575</v>
      </c>
      <c r="B970" s="1">
        <v>2</v>
      </c>
      <c r="C970" s="1" t="s">
        <v>703</v>
      </c>
      <c r="D970" s="1" t="s">
        <v>2366</v>
      </c>
      <c r="E970" s="5">
        <v>38251</v>
      </c>
      <c r="F970" s="1" t="s">
        <v>506</v>
      </c>
      <c r="G970" s="1" t="str">
        <f>IF(B970=0,VLOOKUP(A970,Feuil2!$A$2:$M$1241,11,FALSE)," ")</f>
        <v xml:space="preserve"> </v>
      </c>
      <c r="H970" s="1" t="s">
        <v>16</v>
      </c>
      <c r="I970" s="6" t="str">
        <f>IF(B970=0,VLOOKUP(A970,Feuil2!$A$2:$M$1241,7,FALSE)," ")</f>
        <v xml:space="preserve"> </v>
      </c>
      <c r="J970" s="1" t="str">
        <f>IF(B970=0,VLOOKUP(A970,Feuil2!$A$2:$M$1241,9,FALSE)," ")</f>
        <v xml:space="preserve"> </v>
      </c>
      <c r="K970" s="1" t="str">
        <f>IF(B970=0,VLOOKUP(A970,Feuil2!$A$2:$M$1241,10,FALSE)," ")</f>
        <v xml:space="preserve"> </v>
      </c>
      <c r="L970" s="1"/>
      <c r="M970" s="1"/>
      <c r="N970" s="1"/>
      <c r="O970" s="8" t="str">
        <f>IF(B970=0,VLOOKUP(A970,Feuil2!$A$2:$M$1241,13,FALSE)," ")</f>
        <v xml:space="preserve"> </v>
      </c>
    </row>
    <row r="971" spans="1:15" x14ac:dyDescent="0.3">
      <c r="A971" s="1">
        <v>1575</v>
      </c>
      <c r="B971" s="1">
        <v>3</v>
      </c>
      <c r="C971" s="1" t="s">
        <v>703</v>
      </c>
      <c r="D971" s="1" t="s">
        <v>2465</v>
      </c>
      <c r="E971" s="5">
        <v>39810</v>
      </c>
      <c r="F971" s="1" t="s">
        <v>506</v>
      </c>
      <c r="G971" s="1" t="str">
        <f>IF(B971=0,VLOOKUP(A971,Feuil2!$A$2:$M$1241,11,FALSE)," ")</f>
        <v xml:space="preserve"> </v>
      </c>
      <c r="H971" s="1" t="s">
        <v>16</v>
      </c>
      <c r="I971" s="6" t="str">
        <f>IF(B971=0,VLOOKUP(A971,Feuil2!$A$2:$M$1241,7,FALSE)," ")</f>
        <v xml:space="preserve"> </v>
      </c>
      <c r="J971" s="1" t="str">
        <f>IF(B971=0,VLOOKUP(A971,Feuil2!$A$2:$M$1241,9,FALSE)," ")</f>
        <v xml:space="preserve"> </v>
      </c>
      <c r="K971" s="1" t="str">
        <f>IF(B971=0,VLOOKUP(A971,Feuil2!$A$2:$M$1241,10,FALSE)," ")</f>
        <v xml:space="preserve"> </v>
      </c>
      <c r="L971" s="1"/>
      <c r="M971" s="1"/>
      <c r="N971" s="1"/>
      <c r="O971" s="8" t="str">
        <f>IF(B971=0,VLOOKUP(A971,Feuil2!$A$2:$M$1241,13,FALSE)," ")</f>
        <v xml:space="preserve"> </v>
      </c>
    </row>
    <row r="972" spans="1:15" x14ac:dyDescent="0.3">
      <c r="A972" s="1">
        <v>1575</v>
      </c>
      <c r="B972" s="1">
        <v>4</v>
      </c>
      <c r="C972" s="1" t="s">
        <v>703</v>
      </c>
      <c r="D972" s="1" t="s">
        <v>2345</v>
      </c>
      <c r="E972" s="5">
        <v>42259</v>
      </c>
      <c r="F972" s="1" t="s">
        <v>17</v>
      </c>
      <c r="G972" s="1" t="str">
        <f>IF(B972=0,VLOOKUP(A972,Feuil2!$A$2:$M$1241,11,FALSE)," ")</f>
        <v xml:space="preserve"> </v>
      </c>
      <c r="H972" s="1" t="s">
        <v>16</v>
      </c>
      <c r="I972" s="6" t="str">
        <f>IF(B972=0,VLOOKUP(A972,Feuil2!$A$2:$M$1241,7,FALSE)," ")</f>
        <v xml:space="preserve"> </v>
      </c>
      <c r="J972" s="1" t="str">
        <f>IF(B972=0,VLOOKUP(A972,Feuil2!$A$2:$M$1241,9,FALSE)," ")</f>
        <v xml:space="preserve"> </v>
      </c>
      <c r="K972" s="1" t="str">
        <f>IF(B972=0,VLOOKUP(A972,Feuil2!$A$2:$M$1241,10,FALSE)," ")</f>
        <v xml:space="preserve"> </v>
      </c>
      <c r="L972" s="1"/>
      <c r="M972" s="1"/>
      <c r="N972" s="1"/>
      <c r="O972" s="8" t="str">
        <f>IF(B972=0,VLOOKUP(A972,Feuil2!$A$2:$M$1241,13,FALSE)," ")</f>
        <v xml:space="preserve"> </v>
      </c>
    </row>
    <row r="973" spans="1:15" x14ac:dyDescent="0.3">
      <c r="A973" s="1">
        <v>1580</v>
      </c>
      <c r="B973" s="1">
        <v>0</v>
      </c>
      <c r="C973" s="1" t="str">
        <f>IF(B973=0,VLOOKUP(A973,Feuil2!$A$2:$M$1241,2,FALSE)," ")</f>
        <v>ZARRAA</v>
      </c>
      <c r="D973" s="1" t="str">
        <f>IF(B973=0,VLOOKUP(A973,Feuil2!$A$2:$M$1241,3,FALSE)," ")</f>
        <v>MOHAMED</v>
      </c>
      <c r="E973" s="5">
        <f>IF(B973=0,VLOOKUP(A973,Feuil2!$A$2:$M$1241,6,FALSE)," ")</f>
        <v>27280</v>
      </c>
      <c r="F973" s="1" t="str">
        <f>IF(B973=0,VLOOKUP(A973,Feuil2!$A$2:$M$1241,12,FALSE)," ")</f>
        <v>H</v>
      </c>
      <c r="G973" s="1" t="str">
        <f>IF(B973=0,VLOOKUP(A973,Feuil2!$A$2:$M$1241,11,FALSE)," ")</f>
        <v>M</v>
      </c>
      <c r="H973" s="1" t="s">
        <v>16</v>
      </c>
      <c r="I973" s="6">
        <f>IF(B973=0,VLOOKUP(A973,Feuil2!$A$2:$M$1241,7,FALSE)," ")</f>
        <v>5531969</v>
      </c>
      <c r="J973" s="1" t="str">
        <f>IF(B973=0,VLOOKUP(A973,Feuil2!$A$2:$M$1241,9,FALSE)," ")</f>
        <v>21,Rue Taoufik Ebdelli</v>
      </c>
      <c r="K973" s="1" t="str">
        <f>IF(B973=0,VLOOKUP(A973,Feuil2!$A$2:$M$1241,10,FALSE)," ")</f>
        <v>CitÃ© Erriadh</v>
      </c>
      <c r="L973" s="1"/>
      <c r="M973" s="1">
        <v>97136790</v>
      </c>
      <c r="N973" s="1"/>
      <c r="O973" s="8" t="str">
        <f>IF(B973=0,VLOOKUP(A973,Feuil2!$A$2:$M$1241,13,FALSE)," ")</f>
        <v>12033000000208205134</v>
      </c>
    </row>
    <row r="974" spans="1:15" x14ac:dyDescent="0.3">
      <c r="A974" s="1">
        <v>1580</v>
      </c>
      <c r="B974" s="1">
        <v>1</v>
      </c>
      <c r="C974" s="1" t="s">
        <v>2652</v>
      </c>
      <c r="D974" s="1" t="s">
        <v>2115</v>
      </c>
      <c r="E974" s="5">
        <v>27817</v>
      </c>
      <c r="F974" s="1" t="s">
        <v>17</v>
      </c>
      <c r="G974" s="1" t="s">
        <v>15</v>
      </c>
      <c r="H974" s="1" t="s">
        <v>16</v>
      </c>
      <c r="I974" s="6" t="str">
        <f>IF(B974=0,VLOOKUP(A974,Feuil2!$A$2:$M$1241,7,FALSE)," ")</f>
        <v xml:space="preserve"> </v>
      </c>
      <c r="J974" s="1" t="str">
        <f>IF(B974=0,VLOOKUP(A974,Feuil2!$A$2:$M$1241,9,FALSE)," ")</f>
        <v xml:space="preserve"> </v>
      </c>
      <c r="K974" s="1" t="str">
        <f>IF(B974=0,VLOOKUP(A974,Feuil2!$A$2:$M$1241,10,FALSE)," ")</f>
        <v xml:space="preserve"> </v>
      </c>
      <c r="L974" s="1"/>
      <c r="M974" s="1"/>
      <c r="N974" s="1"/>
      <c r="O974" s="8" t="str">
        <f>IF(B974=0,VLOOKUP(A974,Feuil2!$A$2:$M$1241,13,FALSE)," ")</f>
        <v xml:space="preserve"> </v>
      </c>
    </row>
    <row r="975" spans="1:15" x14ac:dyDescent="0.3">
      <c r="A975" s="1">
        <v>1580</v>
      </c>
      <c r="B975" s="1">
        <v>2</v>
      </c>
      <c r="C975" s="1" t="s">
        <v>155</v>
      </c>
      <c r="D975" s="1" t="s">
        <v>89</v>
      </c>
      <c r="E975" s="5">
        <v>38461</v>
      </c>
      <c r="F975" s="1" t="s">
        <v>506</v>
      </c>
      <c r="G975" s="1" t="str">
        <f>IF(B975=0,VLOOKUP(A975,Feuil2!$A$2:$M$1241,11,FALSE)," ")</f>
        <v xml:space="preserve"> </v>
      </c>
      <c r="H975" s="1" t="s">
        <v>16</v>
      </c>
      <c r="I975" s="6" t="str">
        <f>IF(B975=0,VLOOKUP(A975,Feuil2!$A$2:$M$1241,7,FALSE)," ")</f>
        <v xml:space="preserve"> </v>
      </c>
      <c r="J975" s="1" t="str">
        <f>IF(B975=0,VLOOKUP(A975,Feuil2!$A$2:$M$1241,9,FALSE)," ")</f>
        <v xml:space="preserve"> </v>
      </c>
      <c r="K975" s="1" t="str">
        <f>IF(B975=0,VLOOKUP(A975,Feuil2!$A$2:$M$1241,10,FALSE)," ")</f>
        <v xml:space="preserve"> </v>
      </c>
      <c r="L975" s="1"/>
      <c r="M975" s="1"/>
      <c r="N975" s="1"/>
      <c r="O975" s="8" t="str">
        <f>IF(B975=0,VLOOKUP(A975,Feuil2!$A$2:$M$1241,13,FALSE)," ")</f>
        <v xml:space="preserve"> </v>
      </c>
    </row>
    <row r="976" spans="1:15" x14ac:dyDescent="0.3">
      <c r="A976" s="1">
        <v>1580</v>
      </c>
      <c r="B976" s="1">
        <v>3</v>
      </c>
      <c r="C976" s="1" t="s">
        <v>155</v>
      </c>
      <c r="D976" s="1" t="s">
        <v>402</v>
      </c>
      <c r="E976" s="5">
        <v>39615</v>
      </c>
      <c r="F976" s="1" t="s">
        <v>17</v>
      </c>
      <c r="G976" s="1" t="str">
        <f>IF(B976=0,VLOOKUP(A976,Feuil2!$A$2:$M$1241,11,FALSE)," ")</f>
        <v xml:space="preserve"> </v>
      </c>
      <c r="H976" s="1" t="s">
        <v>16</v>
      </c>
      <c r="I976" s="6" t="str">
        <f>IF(B976=0,VLOOKUP(A976,Feuil2!$A$2:$M$1241,7,FALSE)," ")</f>
        <v xml:space="preserve"> </v>
      </c>
      <c r="J976" s="1" t="str">
        <f>IF(B976=0,VLOOKUP(A976,Feuil2!$A$2:$M$1241,9,FALSE)," ")</f>
        <v xml:space="preserve"> </v>
      </c>
      <c r="K976" s="1" t="str">
        <f>IF(B976=0,VLOOKUP(A976,Feuil2!$A$2:$M$1241,10,FALSE)," ")</f>
        <v xml:space="preserve"> </v>
      </c>
      <c r="L976" s="1"/>
      <c r="M976" s="1"/>
      <c r="N976" s="1"/>
      <c r="O976" s="8" t="str">
        <f>IF(B976=0,VLOOKUP(A976,Feuil2!$A$2:$M$1241,13,FALSE)," ")</f>
        <v xml:space="preserve"> </v>
      </c>
    </row>
    <row r="977" spans="1:15" x14ac:dyDescent="0.3">
      <c r="A977" s="1">
        <v>1595</v>
      </c>
      <c r="B977" s="1">
        <v>0</v>
      </c>
      <c r="C977" s="1" t="str">
        <f>IF(B977=0,VLOOKUP(A977,Feuil2!$A$2:$M$1241,2,FALSE)," ")</f>
        <v>BEN SALEM</v>
      </c>
      <c r="D977" s="1" t="str">
        <f>IF(B977=0,VLOOKUP(A977,Feuil2!$A$2:$M$1241,3,FALSE)," ")</f>
        <v>FETHI</v>
      </c>
      <c r="E977" s="5">
        <f>IF(B977=0,VLOOKUP(A977,Feuil2!$A$2:$M$1241,6,FALSE)," ")</f>
        <v>26876</v>
      </c>
      <c r="F977" s="1" t="str">
        <f>IF(B977=0,VLOOKUP(A977,Feuil2!$A$2:$M$1241,12,FALSE)," ")</f>
        <v>H</v>
      </c>
      <c r="G977" s="1" t="str">
        <f>IF(B977=0,VLOOKUP(A977,Feuil2!$A$2:$M$1241,11,FALSE)," ")</f>
        <v>M</v>
      </c>
      <c r="H977" s="1" t="s">
        <v>16</v>
      </c>
      <c r="I977" s="6">
        <f>IF(B977=0,VLOOKUP(A977,Feuil2!$A$2:$M$1241,7,FALSE)," ")</f>
        <v>5546698</v>
      </c>
      <c r="J977" s="1" t="str">
        <f>IF(B977=0,VLOOKUP(A977,Feuil2!$A$2:$M$1241,9,FALSE)," ")</f>
        <v>Rue de Moknine</v>
      </c>
      <c r="K977" s="1" t="str">
        <f>IF(B977=0,VLOOKUP(A977,Feuil2!$A$2:$M$1241,10,FALSE)," ")</f>
        <v>Msaken 4070</v>
      </c>
      <c r="L977" s="1">
        <v>4070</v>
      </c>
      <c r="M977" s="1">
        <v>54200805</v>
      </c>
      <c r="N977" s="1"/>
      <c r="O977" s="8" t="str">
        <f>IF(B977=0,VLOOKUP(A977,Feuil2!$A$2:$M$1241,13,FALSE)," ")</f>
        <v>04204067404000618331</v>
      </c>
    </row>
    <row r="978" spans="1:15" x14ac:dyDescent="0.3">
      <c r="A978" s="1">
        <v>1595</v>
      </c>
      <c r="B978" s="1">
        <v>1</v>
      </c>
      <c r="C978" s="1" t="s">
        <v>103</v>
      </c>
      <c r="D978" s="1" t="s">
        <v>625</v>
      </c>
      <c r="E978" s="5">
        <v>29945</v>
      </c>
      <c r="F978" s="1" t="s">
        <v>17</v>
      </c>
      <c r="G978" s="1" t="s">
        <v>15</v>
      </c>
      <c r="H978" s="1" t="s">
        <v>16</v>
      </c>
      <c r="I978" s="6" t="str">
        <f>IF(B978=0,VLOOKUP(A978,Feuil2!$A$2:$M$1241,7,FALSE)," ")</f>
        <v xml:space="preserve"> </v>
      </c>
      <c r="J978" s="1" t="str">
        <f>IF(B978=0,VLOOKUP(A978,Feuil2!$A$2:$M$1241,9,FALSE)," ")</f>
        <v xml:space="preserve"> </v>
      </c>
      <c r="K978" s="1" t="str">
        <f>IF(B978=0,VLOOKUP(A978,Feuil2!$A$2:$M$1241,10,FALSE)," ")</f>
        <v xml:space="preserve"> </v>
      </c>
      <c r="L978" s="1"/>
      <c r="M978" s="1"/>
      <c r="N978" s="1"/>
      <c r="O978" s="8" t="str">
        <f>IF(B978=0,VLOOKUP(A978,Feuil2!$A$2:$M$1241,13,FALSE)," ")</f>
        <v xml:space="preserve"> </v>
      </c>
    </row>
    <row r="979" spans="1:15" x14ac:dyDescent="0.3">
      <c r="A979" s="1">
        <v>1595</v>
      </c>
      <c r="B979" s="1">
        <v>2</v>
      </c>
      <c r="C979" s="1" t="s">
        <v>283</v>
      </c>
      <c r="D979" s="1" t="s">
        <v>110</v>
      </c>
      <c r="E979" s="5">
        <v>39292</v>
      </c>
      <c r="F979" s="1" t="s">
        <v>506</v>
      </c>
      <c r="G979" s="1" t="str">
        <f>IF(B979=0,VLOOKUP(A979,Feuil2!$A$2:$M$1241,11,FALSE)," ")</f>
        <v xml:space="preserve"> </v>
      </c>
      <c r="H979" s="1" t="s">
        <v>16</v>
      </c>
      <c r="I979" s="6" t="str">
        <f>IF(B979=0,VLOOKUP(A979,Feuil2!$A$2:$M$1241,7,FALSE)," ")</f>
        <v xml:space="preserve"> </v>
      </c>
      <c r="J979" s="1" t="str">
        <f>IF(B979=0,VLOOKUP(A979,Feuil2!$A$2:$M$1241,9,FALSE)," ")</f>
        <v xml:space="preserve"> </v>
      </c>
      <c r="K979" s="1" t="str">
        <f>IF(B979=0,VLOOKUP(A979,Feuil2!$A$2:$M$1241,10,FALSE)," ")</f>
        <v xml:space="preserve"> </v>
      </c>
      <c r="L979" s="1"/>
      <c r="M979" s="1"/>
      <c r="N979" s="1"/>
      <c r="O979" s="8" t="str">
        <f>IF(B979=0,VLOOKUP(A979,Feuil2!$A$2:$M$1241,13,FALSE)," ")</f>
        <v xml:space="preserve"> </v>
      </c>
    </row>
    <row r="980" spans="1:15" x14ac:dyDescent="0.3">
      <c r="A980" s="1">
        <v>1595</v>
      </c>
      <c r="B980" s="1">
        <v>3</v>
      </c>
      <c r="C980" s="1" t="s">
        <v>283</v>
      </c>
      <c r="D980" s="1" t="s">
        <v>2376</v>
      </c>
      <c r="E980" s="5">
        <v>39716</v>
      </c>
      <c r="F980" s="1" t="s">
        <v>506</v>
      </c>
      <c r="G980" s="1" t="str">
        <f>IF(B980=0,VLOOKUP(A980,Feuil2!$A$2:$M$1241,11,FALSE)," ")</f>
        <v xml:space="preserve"> </v>
      </c>
      <c r="H980" s="1" t="s">
        <v>16</v>
      </c>
      <c r="I980" s="6" t="str">
        <f>IF(B980=0,VLOOKUP(A980,Feuil2!$A$2:$M$1241,7,FALSE)," ")</f>
        <v xml:space="preserve"> </v>
      </c>
      <c r="J980" s="1" t="str">
        <f>IF(B980=0,VLOOKUP(A980,Feuil2!$A$2:$M$1241,9,FALSE)," ")</f>
        <v xml:space="preserve"> </v>
      </c>
      <c r="K980" s="1" t="str">
        <f>IF(B980=0,VLOOKUP(A980,Feuil2!$A$2:$M$1241,10,FALSE)," ")</f>
        <v xml:space="preserve"> </v>
      </c>
      <c r="L980" s="1"/>
      <c r="M980" s="1"/>
      <c r="N980" s="1"/>
      <c r="O980" s="8" t="str">
        <f>IF(B980=0,VLOOKUP(A980,Feuil2!$A$2:$M$1241,13,FALSE)," ")</f>
        <v xml:space="preserve"> </v>
      </c>
    </row>
    <row r="981" spans="1:15" x14ac:dyDescent="0.3">
      <c r="A981" s="1">
        <v>1595</v>
      </c>
      <c r="B981" s="1">
        <v>4</v>
      </c>
      <c r="C981" s="1" t="s">
        <v>283</v>
      </c>
      <c r="D981" s="1" t="s">
        <v>2383</v>
      </c>
      <c r="E981" s="5">
        <v>40603</v>
      </c>
      <c r="F981" s="1" t="s">
        <v>17</v>
      </c>
      <c r="G981" s="1" t="str">
        <f>IF(B981=0,VLOOKUP(A981,Feuil2!$A$2:$M$1241,11,FALSE)," ")</f>
        <v xml:space="preserve"> </v>
      </c>
      <c r="H981" s="1" t="s">
        <v>16</v>
      </c>
      <c r="I981" s="6" t="str">
        <f>IF(B981=0,VLOOKUP(A981,Feuil2!$A$2:$M$1241,7,FALSE)," ")</f>
        <v xml:space="preserve"> </v>
      </c>
      <c r="J981" s="1" t="str">
        <f>IF(B981=0,VLOOKUP(A981,Feuil2!$A$2:$M$1241,9,FALSE)," ")</f>
        <v xml:space="preserve"> </v>
      </c>
      <c r="K981" s="1" t="str">
        <f>IF(B981=0,VLOOKUP(A981,Feuil2!$A$2:$M$1241,10,FALSE)," ")</f>
        <v xml:space="preserve"> </v>
      </c>
      <c r="L981" s="1"/>
      <c r="M981" s="1"/>
      <c r="N981" s="1"/>
      <c r="O981" s="8" t="str">
        <f>IF(B981=0,VLOOKUP(A981,Feuil2!$A$2:$M$1241,13,FALSE)," ")</f>
        <v xml:space="preserve"> </v>
      </c>
    </row>
    <row r="982" spans="1:15" x14ac:dyDescent="0.3">
      <c r="A982" s="1">
        <v>1595</v>
      </c>
      <c r="B982" s="1">
        <v>5</v>
      </c>
      <c r="C982" s="1" t="s">
        <v>283</v>
      </c>
      <c r="D982" s="1" t="s">
        <v>212</v>
      </c>
      <c r="E982" s="5">
        <v>41891</v>
      </c>
      <c r="F982" s="1" t="s">
        <v>506</v>
      </c>
      <c r="G982" s="1" t="str">
        <f>IF(B982=0,VLOOKUP(A982,Feuil2!$A$2:$M$1241,11,FALSE)," ")</f>
        <v xml:space="preserve"> </v>
      </c>
      <c r="H982" s="1" t="s">
        <v>16</v>
      </c>
      <c r="I982" s="6" t="str">
        <f>IF(B982=0,VLOOKUP(A982,Feuil2!$A$2:$M$1241,7,FALSE)," ")</f>
        <v xml:space="preserve"> </v>
      </c>
      <c r="J982" s="1" t="str">
        <f>IF(B982=0,VLOOKUP(A982,Feuil2!$A$2:$M$1241,9,FALSE)," ")</f>
        <v xml:space="preserve"> </v>
      </c>
      <c r="K982" s="1" t="str">
        <f>IF(B982=0,VLOOKUP(A982,Feuil2!$A$2:$M$1241,10,FALSE)," ")</f>
        <v xml:space="preserve"> </v>
      </c>
      <c r="L982" s="1"/>
      <c r="M982" s="1"/>
      <c r="N982" s="1"/>
      <c r="O982" s="8" t="str">
        <f>IF(B982=0,VLOOKUP(A982,Feuil2!$A$2:$M$1241,13,FALSE)," ")</f>
        <v xml:space="preserve"> </v>
      </c>
    </row>
    <row r="983" spans="1:15" x14ac:dyDescent="0.3">
      <c r="A983" s="1">
        <v>1596</v>
      </c>
      <c r="B983" s="1">
        <v>0</v>
      </c>
      <c r="C983" s="1" t="str">
        <f>IF(B983=0,VLOOKUP(A983,Feuil2!$A$2:$M$1241,2,FALSE)," ")</f>
        <v>GORCHENE</v>
      </c>
      <c r="D983" s="1" t="str">
        <f>IF(B983=0,VLOOKUP(A983,Feuil2!$A$2:$M$1241,3,FALSE)," ")</f>
        <v>NOUREDDINE</v>
      </c>
      <c r="E983" s="5">
        <f>IF(B983=0,VLOOKUP(A983,Feuil2!$A$2:$M$1241,6,FALSE)," ")</f>
        <v>25886</v>
      </c>
      <c r="F983" s="1" t="str">
        <f>IF(B983=0,VLOOKUP(A983,Feuil2!$A$2:$M$1241,12,FALSE)," ")</f>
        <v>H</v>
      </c>
      <c r="G983" s="1" t="str">
        <f>IF(B983=0,VLOOKUP(A983,Feuil2!$A$2:$M$1241,11,FALSE)," ")</f>
        <v>M</v>
      </c>
      <c r="H983" s="1" t="s">
        <v>16</v>
      </c>
      <c r="I983" s="6">
        <f>IF(B983=0,VLOOKUP(A983,Feuil2!$A$2:$M$1241,7,FALSE)," ")</f>
        <v>5513780</v>
      </c>
      <c r="J983" s="1" t="str">
        <f>IF(B983=0,VLOOKUP(A983,Feuil2!$A$2:$M$1241,9,FALSE)," ")</f>
        <v>300 Rue Ararfat</v>
      </c>
      <c r="K983" s="1" t="str">
        <f>IF(B983=0,VLOOKUP(A983,Feuil2!$A$2:$M$1241,10,FALSE)," ")</f>
        <v>Msaken 4070</v>
      </c>
      <c r="L983" s="1">
        <v>4070</v>
      </c>
      <c r="M983" s="1">
        <v>97139815</v>
      </c>
      <c r="N983" s="1"/>
      <c r="O983" s="8" t="str">
        <f>IF(B983=0,VLOOKUP(A983,Feuil2!$A$2:$M$1241,13,FALSE)," ")</f>
        <v>05048000116500208095</v>
      </c>
    </row>
    <row r="984" spans="1:15" x14ac:dyDescent="0.3">
      <c r="A984" s="1">
        <v>1596</v>
      </c>
      <c r="B984" s="1">
        <v>1</v>
      </c>
      <c r="C984" s="1" t="s">
        <v>2653</v>
      </c>
      <c r="D984" s="1" t="s">
        <v>746</v>
      </c>
      <c r="E984" s="5">
        <v>28761</v>
      </c>
      <c r="F984" s="1" t="s">
        <v>17</v>
      </c>
      <c r="G984" s="1" t="s">
        <v>15</v>
      </c>
      <c r="H984" s="1" t="s">
        <v>16</v>
      </c>
      <c r="I984" s="6" t="str">
        <f>IF(B984=0,VLOOKUP(A984,Feuil2!$A$2:$M$1241,7,FALSE)," ")</f>
        <v xml:space="preserve"> </v>
      </c>
      <c r="J984" s="1" t="str">
        <f>IF(B984=0,VLOOKUP(A984,Feuil2!$A$2:$M$1241,9,FALSE)," ")</f>
        <v xml:space="preserve"> </v>
      </c>
      <c r="K984" s="1" t="str">
        <f>IF(B984=0,VLOOKUP(A984,Feuil2!$A$2:$M$1241,10,FALSE)," ")</f>
        <v xml:space="preserve"> </v>
      </c>
      <c r="L984" s="1"/>
      <c r="M984" s="1"/>
      <c r="N984" s="1"/>
      <c r="O984" s="8" t="str">
        <f>IF(B984=0,VLOOKUP(A984,Feuil2!$A$2:$M$1241,13,FALSE)," ")</f>
        <v xml:space="preserve"> </v>
      </c>
    </row>
    <row r="985" spans="1:15" x14ac:dyDescent="0.3">
      <c r="A985" s="1">
        <v>1596</v>
      </c>
      <c r="B985" s="1">
        <v>2</v>
      </c>
      <c r="C985" s="1" t="s">
        <v>215</v>
      </c>
      <c r="D985" s="1" t="s">
        <v>596</v>
      </c>
      <c r="E985" s="5">
        <v>37476</v>
      </c>
      <c r="F985" s="1" t="s">
        <v>17</v>
      </c>
      <c r="G985" s="1" t="str">
        <f>IF(B985=0,VLOOKUP(A985,Feuil2!$A$2:$M$1241,11,FALSE)," ")</f>
        <v xml:space="preserve"> </v>
      </c>
      <c r="H985" s="1" t="s">
        <v>16</v>
      </c>
      <c r="I985" s="6" t="str">
        <f>IF(B985=0,VLOOKUP(A985,Feuil2!$A$2:$M$1241,7,FALSE)," ")</f>
        <v xml:space="preserve"> </v>
      </c>
      <c r="J985" s="1" t="str">
        <f>IF(B985=0,VLOOKUP(A985,Feuil2!$A$2:$M$1241,9,FALSE)," ")</f>
        <v xml:space="preserve"> </v>
      </c>
      <c r="K985" s="1" t="str">
        <f>IF(B985=0,VLOOKUP(A985,Feuil2!$A$2:$M$1241,10,FALSE)," ")</f>
        <v xml:space="preserve"> </v>
      </c>
      <c r="L985" s="1"/>
      <c r="M985" s="1"/>
      <c r="N985" s="1"/>
      <c r="O985" s="8" t="str">
        <f>IF(B985=0,VLOOKUP(A985,Feuil2!$A$2:$M$1241,13,FALSE)," ")</f>
        <v xml:space="preserve"> </v>
      </c>
    </row>
    <row r="986" spans="1:15" x14ac:dyDescent="0.3">
      <c r="A986" s="1">
        <v>1596</v>
      </c>
      <c r="B986" s="1">
        <v>3</v>
      </c>
      <c r="C986" s="1" t="s">
        <v>215</v>
      </c>
      <c r="D986" s="1" t="s">
        <v>2357</v>
      </c>
      <c r="E986" s="5">
        <v>38047</v>
      </c>
      <c r="F986" s="1" t="s">
        <v>17</v>
      </c>
      <c r="G986" s="1" t="str">
        <f>IF(B986=0,VLOOKUP(A986,Feuil2!$A$2:$M$1241,11,FALSE)," ")</f>
        <v xml:space="preserve"> </v>
      </c>
      <c r="H986" s="1" t="s">
        <v>16</v>
      </c>
      <c r="I986" s="6" t="str">
        <f>IF(B986=0,VLOOKUP(A986,Feuil2!$A$2:$M$1241,7,FALSE)," ")</f>
        <v xml:space="preserve"> </v>
      </c>
      <c r="J986" s="1" t="str">
        <f>IF(B986=0,VLOOKUP(A986,Feuil2!$A$2:$M$1241,9,FALSE)," ")</f>
        <v xml:space="preserve"> </v>
      </c>
      <c r="K986" s="1" t="str">
        <f>IF(B986=0,VLOOKUP(A986,Feuil2!$A$2:$M$1241,10,FALSE)," ")</f>
        <v xml:space="preserve"> </v>
      </c>
      <c r="L986" s="1"/>
      <c r="M986" s="1"/>
      <c r="N986" s="1"/>
      <c r="O986" s="8" t="str">
        <f>IF(B986=0,VLOOKUP(A986,Feuil2!$A$2:$M$1241,13,FALSE)," ")</f>
        <v xml:space="preserve"> </v>
      </c>
    </row>
    <row r="987" spans="1:15" x14ac:dyDescent="0.3">
      <c r="A987" s="1">
        <v>1596</v>
      </c>
      <c r="B987" s="1">
        <v>4</v>
      </c>
      <c r="C987" s="1" t="s">
        <v>215</v>
      </c>
      <c r="D987" s="1" t="s">
        <v>34</v>
      </c>
      <c r="E987" s="5">
        <v>39870</v>
      </c>
      <c r="F987" s="1" t="s">
        <v>506</v>
      </c>
      <c r="G987" s="1" t="str">
        <f>IF(B987=0,VLOOKUP(A987,Feuil2!$A$2:$M$1241,11,FALSE)," ")</f>
        <v xml:space="preserve"> </v>
      </c>
      <c r="H987" s="1" t="s">
        <v>16</v>
      </c>
      <c r="I987" s="6" t="str">
        <f>IF(B987=0,VLOOKUP(A987,Feuil2!$A$2:$M$1241,7,FALSE)," ")</f>
        <v xml:space="preserve"> </v>
      </c>
      <c r="J987" s="1" t="str">
        <f>IF(B987=0,VLOOKUP(A987,Feuil2!$A$2:$M$1241,9,FALSE)," ")</f>
        <v xml:space="preserve"> </v>
      </c>
      <c r="K987" s="1" t="str">
        <f>IF(B987=0,VLOOKUP(A987,Feuil2!$A$2:$M$1241,10,FALSE)," ")</f>
        <v xml:space="preserve"> </v>
      </c>
      <c r="L987" s="1"/>
      <c r="M987" s="1"/>
      <c r="N987" s="1"/>
      <c r="O987" s="8" t="str">
        <f>IF(B987=0,VLOOKUP(A987,Feuil2!$A$2:$M$1241,13,FALSE)," ")</f>
        <v xml:space="preserve"> </v>
      </c>
    </row>
    <row r="988" spans="1:15" x14ac:dyDescent="0.3">
      <c r="A988" s="1">
        <v>1600</v>
      </c>
      <c r="B988" s="1">
        <v>0</v>
      </c>
      <c r="C988" s="1" t="str">
        <f>IF(B988=0,VLOOKUP(A988,Feuil2!$A$2:$M$1241,2,FALSE)," ")</f>
        <v>MAOUA</v>
      </c>
      <c r="D988" s="1" t="str">
        <f>IF(B988=0,VLOOKUP(A988,Feuil2!$A$2:$M$1241,3,FALSE)," ")</f>
        <v>MOHAMED</v>
      </c>
      <c r="E988" s="5">
        <f>IF(B988=0,VLOOKUP(A988,Feuil2!$A$2:$M$1241,6,FALSE)," ")</f>
        <v>27988</v>
      </c>
      <c r="F988" s="1" t="str">
        <f>IF(B988=0,VLOOKUP(A988,Feuil2!$A$2:$M$1241,12,FALSE)," ")</f>
        <v>H</v>
      </c>
      <c r="G988" s="1" t="str">
        <f>IF(B988=0,VLOOKUP(A988,Feuil2!$A$2:$M$1241,11,FALSE)," ")</f>
        <v>M</v>
      </c>
      <c r="H988" s="1" t="s">
        <v>16</v>
      </c>
      <c r="I988" s="6">
        <f>IF(B988=0,VLOOKUP(A988,Feuil2!$A$2:$M$1241,7,FALSE)," ")</f>
        <v>5544576</v>
      </c>
      <c r="J988" s="1" t="str">
        <f>IF(B988=0,VLOOKUP(A988,Feuil2!$A$2:$M$1241,9,FALSE)," ")</f>
        <v>9 Rue El Bougi</v>
      </c>
      <c r="K988" s="1" t="str">
        <f>IF(B988=0,VLOOKUP(A988,Feuil2!$A$2:$M$1241,10,FALSE)," ")</f>
        <v>Msaken 4070</v>
      </c>
      <c r="L988" s="1">
        <v>4070</v>
      </c>
      <c r="M988" s="1">
        <v>98826394</v>
      </c>
      <c r="N988" s="1"/>
      <c r="O988" s="8" t="str">
        <f>IF(B988=0,VLOOKUP(A988,Feuil2!$A$2:$M$1241,13,FALSE)," ")</f>
        <v>05048000116500469413</v>
      </c>
    </row>
    <row r="989" spans="1:15" x14ac:dyDescent="0.3">
      <c r="A989" s="1">
        <v>1600</v>
      </c>
      <c r="B989" s="1">
        <v>1</v>
      </c>
      <c r="C989" s="1" t="s">
        <v>121</v>
      </c>
      <c r="D989" s="1" t="s">
        <v>2654</v>
      </c>
      <c r="E989" s="5">
        <v>28658</v>
      </c>
      <c r="F989" s="1" t="s">
        <v>17</v>
      </c>
      <c r="G989" s="1" t="s">
        <v>15</v>
      </c>
      <c r="H989" s="1" t="s">
        <v>16</v>
      </c>
      <c r="I989" s="6" t="str">
        <f>IF(B989=0,VLOOKUP(A989,Feuil2!$A$2:$M$1241,7,FALSE)," ")</f>
        <v xml:space="preserve"> </v>
      </c>
      <c r="J989" s="1" t="str">
        <f>IF(B989=0,VLOOKUP(A989,Feuil2!$A$2:$M$1241,9,FALSE)," ")</f>
        <v xml:space="preserve"> </v>
      </c>
      <c r="K989" s="1" t="str">
        <f>IF(B989=0,VLOOKUP(A989,Feuil2!$A$2:$M$1241,10,FALSE)," ")</f>
        <v xml:space="preserve"> </v>
      </c>
      <c r="L989" s="1"/>
      <c r="M989" s="1"/>
      <c r="N989" s="1"/>
      <c r="O989" s="8" t="str">
        <f>IF(B989=0,VLOOKUP(A989,Feuil2!$A$2:$M$1241,13,FALSE)," ")</f>
        <v xml:space="preserve"> </v>
      </c>
    </row>
    <row r="990" spans="1:15" x14ac:dyDescent="0.3">
      <c r="A990" s="1">
        <v>1600</v>
      </c>
      <c r="B990" s="1">
        <v>2</v>
      </c>
      <c r="C990" s="1" t="s">
        <v>75</v>
      </c>
      <c r="D990" s="1" t="s">
        <v>2655</v>
      </c>
      <c r="E990" s="5">
        <v>39402</v>
      </c>
      <c r="F990" s="1" t="s">
        <v>17</v>
      </c>
      <c r="G990" s="1" t="str">
        <f>IF(B990=0,VLOOKUP(A990,Feuil2!$A$2:$M$1241,11,FALSE)," ")</f>
        <v xml:space="preserve"> </v>
      </c>
      <c r="H990" s="1" t="s">
        <v>16</v>
      </c>
      <c r="I990" s="6" t="str">
        <f>IF(B990=0,VLOOKUP(A990,Feuil2!$A$2:$M$1241,7,FALSE)," ")</f>
        <v xml:space="preserve"> </v>
      </c>
      <c r="J990" s="1" t="str">
        <f>IF(B990=0,VLOOKUP(A990,Feuil2!$A$2:$M$1241,9,FALSE)," ")</f>
        <v xml:space="preserve"> </v>
      </c>
      <c r="K990" s="1" t="str">
        <f>IF(B990=0,VLOOKUP(A990,Feuil2!$A$2:$M$1241,10,FALSE)," ")</f>
        <v xml:space="preserve"> </v>
      </c>
      <c r="L990" s="1"/>
      <c r="M990" s="1"/>
      <c r="N990" s="1"/>
      <c r="O990" s="8" t="str">
        <f>IF(B990=0,VLOOKUP(A990,Feuil2!$A$2:$M$1241,13,FALSE)," ")</f>
        <v xml:space="preserve"> </v>
      </c>
    </row>
    <row r="991" spans="1:15" x14ac:dyDescent="0.3">
      <c r="A991" s="1">
        <v>1600</v>
      </c>
      <c r="B991" s="1">
        <v>3</v>
      </c>
      <c r="C991" s="1" t="s">
        <v>75</v>
      </c>
      <c r="D991" s="1" t="s">
        <v>2338</v>
      </c>
      <c r="E991" s="5">
        <v>40000</v>
      </c>
      <c r="F991" s="1" t="s">
        <v>17</v>
      </c>
      <c r="G991" s="1" t="str">
        <f>IF(B991=0,VLOOKUP(A991,Feuil2!$A$2:$M$1241,11,FALSE)," ")</f>
        <v xml:space="preserve"> </v>
      </c>
      <c r="H991" s="1" t="s">
        <v>16</v>
      </c>
      <c r="I991" s="6" t="str">
        <f>IF(B991=0,VLOOKUP(A991,Feuil2!$A$2:$M$1241,7,FALSE)," ")</f>
        <v xml:space="preserve"> </v>
      </c>
      <c r="J991" s="1" t="str">
        <f>IF(B991=0,VLOOKUP(A991,Feuil2!$A$2:$M$1241,9,FALSE)," ")</f>
        <v xml:space="preserve"> </v>
      </c>
      <c r="K991" s="1" t="str">
        <f>IF(B991=0,VLOOKUP(A991,Feuil2!$A$2:$M$1241,10,FALSE)," ")</f>
        <v xml:space="preserve"> </v>
      </c>
      <c r="L991" s="1"/>
      <c r="M991" s="1"/>
      <c r="N991" s="1"/>
      <c r="O991" s="8" t="str">
        <f>IF(B991=0,VLOOKUP(A991,Feuil2!$A$2:$M$1241,13,FALSE)," ")</f>
        <v xml:space="preserve"> </v>
      </c>
    </row>
    <row r="992" spans="1:15" x14ac:dyDescent="0.3">
      <c r="A992" s="1">
        <v>1600</v>
      </c>
      <c r="B992" s="1">
        <v>4</v>
      </c>
      <c r="C992" s="1" t="s">
        <v>75</v>
      </c>
      <c r="D992" s="1" t="s">
        <v>402</v>
      </c>
      <c r="E992" s="5">
        <v>42608</v>
      </c>
      <c r="F992" s="1" t="s">
        <v>17</v>
      </c>
      <c r="G992" s="1" t="str">
        <f>IF(B992=0,VLOOKUP(A992,Feuil2!$A$2:$M$1241,11,FALSE)," ")</f>
        <v xml:space="preserve"> </v>
      </c>
      <c r="H992" s="1" t="s">
        <v>16</v>
      </c>
      <c r="I992" s="6" t="str">
        <f>IF(B992=0,VLOOKUP(A992,Feuil2!$A$2:$M$1241,7,FALSE)," ")</f>
        <v xml:space="preserve"> </v>
      </c>
      <c r="J992" s="1" t="str">
        <f>IF(B992=0,VLOOKUP(A992,Feuil2!$A$2:$M$1241,9,FALSE)," ")</f>
        <v xml:space="preserve"> </v>
      </c>
      <c r="K992" s="1" t="str">
        <f>IF(B992=0,VLOOKUP(A992,Feuil2!$A$2:$M$1241,10,FALSE)," ")</f>
        <v xml:space="preserve"> </v>
      </c>
      <c r="L992" s="1"/>
      <c r="M992" s="1"/>
      <c r="N992" s="1"/>
      <c r="O992" s="8" t="str">
        <f>IF(B992=0,VLOOKUP(A992,Feuil2!$A$2:$M$1241,13,FALSE)," ")</f>
        <v xml:space="preserve"> </v>
      </c>
    </row>
    <row r="993" spans="1:16" x14ac:dyDescent="0.3">
      <c r="A993" s="1">
        <v>1601</v>
      </c>
      <c r="B993" s="1">
        <v>0</v>
      </c>
      <c r="C993" s="1" t="str">
        <f>IF(B993=0,VLOOKUP(A993,Feuil2!$A$2:$M$1241,2,FALSE)," ")</f>
        <v>BOUKADIDA</v>
      </c>
      <c r="D993" s="1" t="str">
        <f>IF(B993=0,VLOOKUP(A993,Feuil2!$A$2:$M$1241,3,FALSE)," ")</f>
        <v>JAMEL</v>
      </c>
      <c r="E993" s="5">
        <f>IF(B993=0,VLOOKUP(A993,Feuil2!$A$2:$M$1241,6,FALSE)," ")</f>
        <v>28268</v>
      </c>
      <c r="F993" s="1" t="str">
        <f>IF(B993=0,VLOOKUP(A993,Feuil2!$A$2:$M$1241,12,FALSE)," ")</f>
        <v>H</v>
      </c>
      <c r="G993" s="1" t="str">
        <f>IF(B993=0,VLOOKUP(A993,Feuil2!$A$2:$M$1241,11,FALSE)," ")</f>
        <v>M</v>
      </c>
      <c r="H993" s="1" t="s">
        <v>16</v>
      </c>
      <c r="I993" s="6">
        <f>IF(B993=0,VLOOKUP(A993,Feuil2!$A$2:$M$1241,7,FALSE)," ")</f>
        <v>5560893</v>
      </c>
      <c r="J993" s="1" t="str">
        <f>IF(B993=0,VLOOKUP(A993,Feuil2!$A$2:$M$1241,9,FALSE)," ")</f>
        <v>5 Rue Salah Hafsa</v>
      </c>
      <c r="K993" s="1" t="str">
        <f>IF(B993=0,VLOOKUP(A993,Feuil2!$A$2:$M$1241,10,FALSE)," ")</f>
        <v>Msaken 4070</v>
      </c>
      <c r="L993" s="1">
        <v>4070</v>
      </c>
      <c r="M993" s="1">
        <v>25394952</v>
      </c>
      <c r="N993" s="1"/>
      <c r="O993" s="8" t="str">
        <f>IF(B993=0,VLOOKUP(A993,Feuil2!$A$2:$M$1241,13,FALSE)," ")</f>
        <v>08050020052000110670</v>
      </c>
    </row>
    <row r="994" spans="1:16" x14ac:dyDescent="0.3">
      <c r="A994" s="1">
        <v>1601</v>
      </c>
      <c r="B994" s="1">
        <v>1</v>
      </c>
      <c r="C994" s="1" t="s">
        <v>33</v>
      </c>
      <c r="D994" s="1" t="s">
        <v>449</v>
      </c>
      <c r="E994" s="5">
        <v>31067</v>
      </c>
      <c r="F994" s="1" t="s">
        <v>17</v>
      </c>
      <c r="G994" s="1" t="s">
        <v>15</v>
      </c>
      <c r="H994" s="1" t="s">
        <v>16</v>
      </c>
      <c r="I994" s="6" t="str">
        <f>IF(B994=0,VLOOKUP(A994,Feuil2!$A$2:$M$1241,7,FALSE)," ")</f>
        <v xml:space="preserve"> </v>
      </c>
      <c r="J994" s="1" t="str">
        <f>IF(B994=0,VLOOKUP(A994,Feuil2!$A$2:$M$1241,9,FALSE)," ")</f>
        <v xml:space="preserve"> </v>
      </c>
      <c r="K994" s="1" t="str">
        <f>IF(B994=0,VLOOKUP(A994,Feuil2!$A$2:$M$1241,10,FALSE)," ")</f>
        <v xml:space="preserve"> </v>
      </c>
      <c r="L994" s="1"/>
      <c r="M994" s="1"/>
      <c r="N994" s="1"/>
      <c r="O994" s="8" t="str">
        <f>IF(B994=0,VLOOKUP(A994,Feuil2!$A$2:$M$1241,13,FALSE)," ")</f>
        <v xml:space="preserve"> </v>
      </c>
    </row>
    <row r="995" spans="1:16" x14ac:dyDescent="0.3">
      <c r="A995" s="1">
        <v>1601</v>
      </c>
      <c r="B995" s="1">
        <v>2</v>
      </c>
      <c r="C995" s="1" t="s">
        <v>1486</v>
      </c>
      <c r="D995" s="1" t="s">
        <v>2656</v>
      </c>
      <c r="E995" s="5">
        <v>38999</v>
      </c>
      <c r="F995" s="1" t="s">
        <v>506</v>
      </c>
      <c r="G995" s="1" t="str">
        <f>IF(B995=0,VLOOKUP(A995,Feuil2!$A$2:$M$1241,11,FALSE)," ")</f>
        <v xml:space="preserve"> </v>
      </c>
      <c r="H995" s="1" t="s">
        <v>16</v>
      </c>
      <c r="I995" s="6" t="str">
        <f>IF(B995=0,VLOOKUP(A995,Feuil2!$A$2:$M$1241,7,FALSE)," ")</f>
        <v xml:space="preserve"> </v>
      </c>
      <c r="J995" s="1" t="str">
        <f>IF(B995=0,VLOOKUP(A995,Feuil2!$A$2:$M$1241,9,FALSE)," ")</f>
        <v xml:space="preserve"> </v>
      </c>
      <c r="K995" s="1" t="str">
        <f>IF(B995=0,VLOOKUP(A995,Feuil2!$A$2:$M$1241,10,FALSE)," ")</f>
        <v xml:space="preserve"> </v>
      </c>
      <c r="L995" s="1"/>
      <c r="M995" s="1"/>
      <c r="N995" s="1"/>
      <c r="O995" s="8" t="str">
        <f>IF(B995=0,VLOOKUP(A995,Feuil2!$A$2:$M$1241,13,FALSE)," ")</f>
        <v xml:space="preserve"> </v>
      </c>
    </row>
    <row r="996" spans="1:16" x14ac:dyDescent="0.3">
      <c r="A996" s="1">
        <v>1601</v>
      </c>
      <c r="B996" s="1">
        <v>3</v>
      </c>
      <c r="C996" s="1" t="s">
        <v>1486</v>
      </c>
      <c r="D996" s="1" t="s">
        <v>2332</v>
      </c>
      <c r="E996" s="5">
        <v>39351</v>
      </c>
      <c r="F996" s="1" t="s">
        <v>17</v>
      </c>
      <c r="G996" s="1" t="str">
        <f>IF(B996=0,VLOOKUP(A996,Feuil2!$A$2:$M$1241,11,FALSE)," ")</f>
        <v xml:space="preserve"> </v>
      </c>
      <c r="H996" s="1" t="s">
        <v>16</v>
      </c>
      <c r="I996" s="6" t="str">
        <f>IF(B996=0,VLOOKUP(A996,Feuil2!$A$2:$M$1241,7,FALSE)," ")</f>
        <v xml:space="preserve"> </v>
      </c>
      <c r="J996" s="1" t="str">
        <f>IF(B996=0,VLOOKUP(A996,Feuil2!$A$2:$M$1241,9,FALSE)," ")</f>
        <v xml:space="preserve"> </v>
      </c>
      <c r="K996" s="1" t="str">
        <f>IF(B996=0,VLOOKUP(A996,Feuil2!$A$2:$M$1241,10,FALSE)," ")</f>
        <v xml:space="preserve"> </v>
      </c>
      <c r="L996" s="1"/>
      <c r="M996" s="1"/>
      <c r="N996" s="1"/>
      <c r="O996" s="8" t="str">
        <f>IF(B996=0,VLOOKUP(A996,Feuil2!$A$2:$M$1241,13,FALSE)," ")</f>
        <v xml:space="preserve"> </v>
      </c>
    </row>
    <row r="997" spans="1:16" x14ac:dyDescent="0.3">
      <c r="A997" s="1">
        <v>1601</v>
      </c>
      <c r="B997" s="1">
        <v>4</v>
      </c>
      <c r="C997" s="1" t="s">
        <v>1486</v>
      </c>
      <c r="D997" s="1" t="s">
        <v>2657</v>
      </c>
      <c r="E997" s="5">
        <v>42343</v>
      </c>
      <c r="F997" s="1" t="s">
        <v>506</v>
      </c>
      <c r="G997" s="1" t="str">
        <f>IF(B997=0,VLOOKUP(A997,Feuil2!$A$2:$M$1241,11,FALSE)," ")</f>
        <v xml:space="preserve"> </v>
      </c>
      <c r="H997" s="1" t="s">
        <v>16</v>
      </c>
      <c r="I997" s="6" t="str">
        <f>IF(B997=0,VLOOKUP(A997,Feuil2!$A$2:$M$1241,7,FALSE)," ")</f>
        <v xml:space="preserve"> </v>
      </c>
      <c r="J997" s="1" t="str">
        <f>IF(B997=0,VLOOKUP(A997,Feuil2!$A$2:$M$1241,9,FALSE)," ")</f>
        <v xml:space="preserve"> </v>
      </c>
      <c r="K997" s="1" t="str">
        <f>IF(B997=0,VLOOKUP(A997,Feuil2!$A$2:$M$1241,10,FALSE)," ")</f>
        <v xml:space="preserve"> </v>
      </c>
      <c r="L997" s="1"/>
      <c r="M997" s="1"/>
      <c r="N997" s="1"/>
      <c r="O997" s="8" t="str">
        <f>IF(B997=0,VLOOKUP(A997,Feuil2!$A$2:$M$1241,13,FALSE)," ")</f>
        <v xml:space="preserve"> </v>
      </c>
    </row>
    <row r="998" spans="1:16" x14ac:dyDescent="0.3">
      <c r="A998" s="1">
        <v>1603</v>
      </c>
      <c r="B998" s="1">
        <v>0</v>
      </c>
      <c r="C998" s="1" t="str">
        <f>IF(B998=0,VLOOKUP(A998,Feuil2!$A$2:$M$1241,2,FALSE)," ")</f>
        <v>MANSOUR</v>
      </c>
      <c r="D998" s="1" t="str">
        <f>IF(B998=0,VLOOKUP(A998,Feuil2!$A$2:$M$1241,3,FALSE)," ")</f>
        <v>SALHA</v>
      </c>
      <c r="E998" s="5">
        <f>IF(B998=0,VLOOKUP(A998,Feuil2!$A$2:$M$1241,6,FALSE)," ")</f>
        <v>24794</v>
      </c>
      <c r="F998" s="1" t="str">
        <f>IF(B998=0,VLOOKUP(A998,Feuil2!$A$2:$M$1241,12,FALSE)," ")</f>
        <v>F</v>
      </c>
      <c r="G998" s="1" t="str">
        <f>IF(B998=0,VLOOKUP(A998,Feuil2!$A$2:$M$1241,11,FALSE)," ")</f>
        <v>C</v>
      </c>
      <c r="H998" s="1" t="s">
        <v>16</v>
      </c>
      <c r="I998" s="6">
        <f>IF(B998=0,VLOOKUP(A998,Feuil2!$A$2:$M$1241,7,FALSE)," ")</f>
        <v>5510876</v>
      </c>
      <c r="J998" s="1" t="str">
        <f>IF(B998=0,VLOOKUP(A998,Feuil2!$A$2:$M$1241,9,FALSE)," ")</f>
        <v>NULL</v>
      </c>
      <c r="K998" s="1" t="str">
        <f>IF(B998=0,VLOOKUP(A998,Feuil2!$A$2:$M$1241,10,FALSE)," ")</f>
        <v>BÃ©ni Rabiaa 4015</v>
      </c>
      <c r="L998" s="1"/>
      <c r="M998" s="1">
        <v>98793778</v>
      </c>
      <c r="N998" s="1"/>
      <c r="O998" s="8" t="str">
        <f>IF(B998=0,VLOOKUP(A998,Feuil2!$A$2:$M$1241,13,FALSE)," ")</f>
        <v>10506040205178378888</v>
      </c>
    </row>
    <row r="999" spans="1:16" x14ac:dyDescent="0.3">
      <c r="A999" s="1">
        <v>1610</v>
      </c>
      <c r="B999" s="1">
        <v>0</v>
      </c>
      <c r="C999" s="1" t="str">
        <f>IF(B999=0,VLOOKUP(A999,Feuil2!$A$2:$M$1241,2,FALSE)," ")</f>
        <v>BOUARGOUB</v>
      </c>
      <c r="D999" s="1" t="str">
        <f>IF(B999=0,VLOOKUP(A999,Feuil2!$A$2:$M$1241,3,FALSE)," ")</f>
        <v>KARIM</v>
      </c>
      <c r="E999" s="5">
        <f>IF(B999=0,VLOOKUP(A999,Feuil2!$A$2:$M$1241,6,FALSE)," ")</f>
        <v>27208</v>
      </c>
      <c r="F999" s="1" t="str">
        <f>IF(B999=0,VLOOKUP(A999,Feuil2!$A$2:$M$1241,12,FALSE)," ")</f>
        <v>H</v>
      </c>
      <c r="G999" s="1" t="str">
        <f>IF(B999=0,VLOOKUP(A999,Feuil2!$A$2:$M$1241,11,FALSE)," ")</f>
        <v>M</v>
      </c>
      <c r="H999" s="1" t="s">
        <v>16</v>
      </c>
      <c r="I999" s="6">
        <f>IF(B999=0,VLOOKUP(A999,Feuil2!$A$2:$M$1241,7,FALSE)," ")</f>
        <v>5544329</v>
      </c>
      <c r="J999" s="1" t="str">
        <f>IF(B999=0,VLOOKUP(A999,Feuil2!$A$2:$M$1241,9,FALSE)," ")</f>
        <v>7 Rue Ahmed Regaieg</v>
      </c>
      <c r="K999" s="1" t="str">
        <f>IF(B999=0,VLOOKUP(A999,Feuil2!$A$2:$M$1241,10,FALSE)," ")</f>
        <v>Msaken 4070</v>
      </c>
      <c r="L999" s="1">
        <v>4070</v>
      </c>
      <c r="M999" s="1">
        <v>28145760</v>
      </c>
      <c r="N999" s="1"/>
      <c r="O999" s="8" t="str">
        <f>IF(B999=0,VLOOKUP(A999,Feuil2!$A$2:$M$1241,13,FALSE)," ")</f>
        <v>12505000000213580974</v>
      </c>
    </row>
    <row r="1000" spans="1:16" x14ac:dyDescent="0.3">
      <c r="A1000" s="1">
        <v>1610</v>
      </c>
      <c r="B1000" s="1">
        <v>1</v>
      </c>
      <c r="C1000" s="1" t="s">
        <v>1400</v>
      </c>
      <c r="D1000" s="1" t="s">
        <v>2658</v>
      </c>
      <c r="E1000" s="5">
        <v>30579</v>
      </c>
      <c r="F1000" s="1" t="s">
        <v>17</v>
      </c>
      <c r="G1000" s="1" t="s">
        <v>15</v>
      </c>
      <c r="H1000" s="1" t="s">
        <v>16</v>
      </c>
      <c r="I1000" s="6" t="str">
        <f>IF(B1000=0,VLOOKUP(A1000,Feuil2!$A$2:$M$1241,7,FALSE)," ")</f>
        <v xml:space="preserve"> </v>
      </c>
      <c r="J1000" s="1" t="str">
        <f>IF(B1000=0,VLOOKUP(A1000,Feuil2!$A$2:$M$1241,9,FALSE)," ")</f>
        <v xml:space="preserve"> </v>
      </c>
      <c r="K1000" s="1" t="str">
        <f>IF(B1000=0,VLOOKUP(A1000,Feuil2!$A$2:$M$1241,10,FALSE)," ")</f>
        <v xml:space="preserve"> </v>
      </c>
      <c r="L1000" s="1"/>
      <c r="M1000" s="1"/>
      <c r="N1000" s="1"/>
      <c r="O1000" s="8" t="str">
        <f>IF(B1000=0,VLOOKUP(A1000,Feuil2!$A$2:$M$1241,13,FALSE)," ")</f>
        <v xml:space="preserve"> </v>
      </c>
    </row>
    <row r="1001" spans="1:16" x14ac:dyDescent="0.3">
      <c r="A1001" s="1">
        <v>1610</v>
      </c>
      <c r="B1001" s="1">
        <v>2</v>
      </c>
      <c r="C1001" s="1" t="s">
        <v>446</v>
      </c>
      <c r="D1001" s="1" t="s">
        <v>296</v>
      </c>
      <c r="E1001" s="5">
        <v>38608</v>
      </c>
      <c r="F1001" s="1" t="s">
        <v>506</v>
      </c>
      <c r="G1001" s="1" t="str">
        <f>IF(B1001=0,VLOOKUP(A1001,Feuil2!$A$2:$M$1241,11,FALSE)," ")</f>
        <v xml:space="preserve"> </v>
      </c>
      <c r="H1001" s="1" t="s">
        <v>16</v>
      </c>
      <c r="I1001" s="6" t="str">
        <f>IF(B1001=0,VLOOKUP(A1001,Feuil2!$A$2:$M$1241,7,FALSE)," ")</f>
        <v xml:space="preserve"> </v>
      </c>
      <c r="J1001" s="1" t="str">
        <f>IF(B1001=0,VLOOKUP(A1001,Feuil2!$A$2:$M$1241,9,FALSE)," ")</f>
        <v xml:space="preserve"> </v>
      </c>
      <c r="K1001" s="1" t="str">
        <f>IF(B1001=0,VLOOKUP(A1001,Feuil2!$A$2:$M$1241,10,FALSE)," ")</f>
        <v xml:space="preserve"> </v>
      </c>
      <c r="L1001" s="1"/>
      <c r="M1001" s="1"/>
      <c r="N1001" s="1"/>
      <c r="O1001" s="8" t="str">
        <f>IF(B1001=0,VLOOKUP(A1001,Feuil2!$A$2:$M$1241,13,FALSE)," ")</f>
        <v xml:space="preserve"> </v>
      </c>
    </row>
    <row r="1002" spans="1:16" x14ac:dyDescent="0.3">
      <c r="A1002" s="1">
        <v>1610</v>
      </c>
      <c r="B1002" s="1">
        <v>3</v>
      </c>
      <c r="C1002" s="1" t="s">
        <v>446</v>
      </c>
      <c r="D1002" s="1" t="s">
        <v>122</v>
      </c>
      <c r="E1002" s="5">
        <v>39165</v>
      </c>
      <c r="F1002" s="1" t="s">
        <v>506</v>
      </c>
      <c r="G1002" s="1" t="str">
        <f>IF(B1002=0,VLOOKUP(A1002,Feuil2!$A$2:$M$1241,11,FALSE)," ")</f>
        <v xml:space="preserve"> </v>
      </c>
      <c r="H1002" s="1" t="s">
        <v>16</v>
      </c>
      <c r="I1002" s="6" t="str">
        <f>IF(B1002=0,VLOOKUP(A1002,Feuil2!$A$2:$M$1241,7,FALSE)," ")</f>
        <v xml:space="preserve"> </v>
      </c>
      <c r="J1002" s="1" t="str">
        <f>IF(B1002=0,VLOOKUP(A1002,Feuil2!$A$2:$M$1241,9,FALSE)," ")</f>
        <v xml:space="preserve"> </v>
      </c>
      <c r="K1002" s="1" t="str">
        <f>IF(B1002=0,VLOOKUP(A1002,Feuil2!$A$2:$M$1241,10,FALSE)," ")</f>
        <v xml:space="preserve"> </v>
      </c>
      <c r="L1002" s="1"/>
      <c r="M1002" s="1"/>
      <c r="N1002" s="1"/>
      <c r="O1002" s="8" t="str">
        <f>IF(B1002=0,VLOOKUP(A1002,Feuil2!$A$2:$M$1241,13,FALSE)," ")</f>
        <v xml:space="preserve"> </v>
      </c>
    </row>
    <row r="1003" spans="1:16" x14ac:dyDescent="0.3">
      <c r="A1003" s="1">
        <v>1610</v>
      </c>
      <c r="B1003" s="1">
        <v>4</v>
      </c>
      <c r="C1003" s="1" t="s">
        <v>446</v>
      </c>
      <c r="D1003" s="1" t="s">
        <v>2579</v>
      </c>
      <c r="E1003" s="5">
        <v>40828</v>
      </c>
      <c r="F1003" s="1" t="s">
        <v>17</v>
      </c>
      <c r="G1003" s="1" t="str">
        <f>IF(B1003=0,VLOOKUP(A1003,Feuil2!$A$2:$M$1241,11,FALSE)," ")</f>
        <v xml:space="preserve"> </v>
      </c>
      <c r="H1003" s="1" t="s">
        <v>16</v>
      </c>
      <c r="I1003" s="6" t="str">
        <f>IF(B1003=0,VLOOKUP(A1003,Feuil2!$A$2:$M$1241,7,FALSE)," ")</f>
        <v xml:space="preserve"> </v>
      </c>
      <c r="J1003" s="1" t="str">
        <f>IF(B1003=0,VLOOKUP(A1003,Feuil2!$A$2:$M$1241,9,FALSE)," ")</f>
        <v xml:space="preserve"> </v>
      </c>
      <c r="K1003" s="1" t="str">
        <f>IF(B1003=0,VLOOKUP(A1003,Feuil2!$A$2:$M$1241,10,FALSE)," ")</f>
        <v xml:space="preserve"> </v>
      </c>
      <c r="L1003" s="1"/>
      <c r="M1003" s="1"/>
      <c r="N1003" s="1"/>
      <c r="O1003" s="8" t="str">
        <f>IF(B1003=0,VLOOKUP(A1003,Feuil2!$A$2:$M$1241,13,FALSE)," ")</f>
        <v xml:space="preserve"> </v>
      </c>
    </row>
    <row r="1004" spans="1:16" x14ac:dyDescent="0.3">
      <c r="A1004" s="1">
        <v>1610</v>
      </c>
      <c r="B1004" s="1">
        <v>5</v>
      </c>
      <c r="C1004" s="1" t="s">
        <v>446</v>
      </c>
      <c r="D1004" s="1" t="s">
        <v>2475</v>
      </c>
      <c r="E1004" s="5">
        <v>44208</v>
      </c>
      <c r="F1004" s="1" t="s">
        <v>506</v>
      </c>
      <c r="G1004" s="1"/>
      <c r="H1004" s="1"/>
      <c r="I1004" s="6"/>
      <c r="J1004" s="1"/>
      <c r="K1004" s="1"/>
      <c r="L1004" s="1"/>
      <c r="M1004" s="1"/>
      <c r="N1004" s="1"/>
      <c r="O1004" s="8"/>
    </row>
    <row r="1005" spans="1:16" x14ac:dyDescent="0.3">
      <c r="A1005" s="1">
        <v>1611</v>
      </c>
      <c r="B1005" s="1">
        <v>0</v>
      </c>
      <c r="C1005" s="1" t="str">
        <f>IF(B1005=0,VLOOKUP(A1005,Feuil2!$A$2:$M$1241,2,FALSE)," ")</f>
        <v>ATTIA</v>
      </c>
      <c r="D1005" s="1" t="str">
        <f>IF(B1005=0,VLOOKUP(A1005,Feuil2!$A$2:$M$1241,3,FALSE)," ")</f>
        <v>KAMEL</v>
      </c>
      <c r="E1005" s="5">
        <f>IF(B1005=0,VLOOKUP(A1005,Feuil2!$A$2:$M$1241,6,FALSE)," ")</f>
        <v>25006</v>
      </c>
      <c r="F1005" s="1" t="str">
        <f>IF(B1005=0,VLOOKUP(A1005,Feuil2!$A$2:$M$1241,12,FALSE)," ")</f>
        <v>H</v>
      </c>
      <c r="G1005" s="1" t="str">
        <f>IF(B1005=0,VLOOKUP(A1005,Feuil2!$A$2:$M$1241,11,FALSE)," ")</f>
        <v>M</v>
      </c>
      <c r="H1005" s="1" t="s">
        <v>16</v>
      </c>
      <c r="I1005" s="6">
        <f>IF(B1005=0,VLOOKUP(A1005,Feuil2!$A$2:$M$1241,7,FALSE)," ")</f>
        <v>5501924</v>
      </c>
      <c r="J1005" s="1" t="str">
        <f>IF(B1005=0,VLOOKUP(A1005,Feuil2!$A$2:$M$1241,9,FALSE)," ")</f>
        <v>5 Rue Ennajeh</v>
      </c>
      <c r="K1005" s="1" t="str">
        <f>IF(B1005=0,VLOOKUP(A1005,Feuil2!$A$2:$M$1241,10,FALSE)," ")</f>
        <v>Msaken 4070</v>
      </c>
      <c r="L1005" s="1">
        <v>4070</v>
      </c>
      <c r="M1005" s="1">
        <v>52395577</v>
      </c>
      <c r="N1005" s="1"/>
      <c r="O1005" s="8" t="str">
        <f>IF(B1005=0,VLOOKUP(A1005,Feuil2!$A$2:$M$1241,13,FALSE)," ")</f>
        <v>12505000580104728030</v>
      </c>
    </row>
    <row r="1006" spans="1:16" x14ac:dyDescent="0.3">
      <c r="A1006" s="1">
        <v>1611</v>
      </c>
      <c r="B1006" s="1">
        <v>1</v>
      </c>
      <c r="C1006" s="1" t="s">
        <v>342</v>
      </c>
      <c r="D1006" s="1" t="s">
        <v>1361</v>
      </c>
      <c r="E1006" s="5">
        <v>25617</v>
      </c>
      <c r="F1006" s="1" t="s">
        <v>17</v>
      </c>
      <c r="G1006" s="1" t="s">
        <v>15</v>
      </c>
      <c r="H1006" s="1" t="s">
        <v>16</v>
      </c>
      <c r="I1006" s="6" t="str">
        <f>IF(B1006=0,VLOOKUP(A1006,Feuil2!$A$2:$M$1241,7,FALSE)," ")</f>
        <v xml:space="preserve"> </v>
      </c>
      <c r="J1006" s="1" t="str">
        <f>IF(B1006=0,VLOOKUP(A1006,Feuil2!$A$2:$M$1241,9,FALSE)," ")</f>
        <v xml:space="preserve"> </v>
      </c>
      <c r="K1006" s="1" t="str">
        <f>IF(B1006=0,VLOOKUP(A1006,Feuil2!$A$2:$M$1241,10,FALSE)," ")</f>
        <v xml:space="preserve"> </v>
      </c>
      <c r="L1006" s="1"/>
      <c r="M1006" s="1"/>
      <c r="N1006" s="1"/>
      <c r="O1006" s="8" t="str">
        <f>IF(B1006=0,VLOOKUP(A1006,Feuil2!$A$2:$M$1241,13,FALSE)," ")</f>
        <v xml:space="preserve"> </v>
      </c>
    </row>
    <row r="1007" spans="1:16" x14ac:dyDescent="0.3">
      <c r="A1007" s="1">
        <v>1611</v>
      </c>
      <c r="B1007" s="1">
        <v>2</v>
      </c>
      <c r="C1007" s="1" t="s">
        <v>57</v>
      </c>
      <c r="D1007" s="1" t="s">
        <v>2366</v>
      </c>
      <c r="E1007" s="5">
        <v>36867</v>
      </c>
      <c r="F1007" s="1" t="s">
        <v>506</v>
      </c>
      <c r="G1007" s="1" t="str">
        <f>IF(B1007=0,VLOOKUP(A1007,Feuil2!$A$2:$M$1241,11,FALSE)," ")</f>
        <v xml:space="preserve"> </v>
      </c>
      <c r="H1007" s="1" t="s">
        <v>16</v>
      </c>
      <c r="I1007" s="6" t="str">
        <f>IF(B1007=0,VLOOKUP(A1007,Feuil2!$A$2:$M$1241,7,FALSE)," ")</f>
        <v xml:space="preserve"> </v>
      </c>
      <c r="J1007" s="1" t="str">
        <f>IF(B1007=0,VLOOKUP(A1007,Feuil2!$A$2:$M$1241,9,FALSE)," ")</f>
        <v xml:space="preserve"> </v>
      </c>
      <c r="K1007" s="1" t="str">
        <f>IF(B1007=0,VLOOKUP(A1007,Feuil2!$A$2:$M$1241,10,FALSE)," ")</f>
        <v xml:space="preserve"> </v>
      </c>
      <c r="L1007" s="1"/>
      <c r="M1007" s="1"/>
      <c r="N1007" s="1"/>
      <c r="O1007" s="8" t="str">
        <f>IF(B1007=0,VLOOKUP(A1007,Feuil2!$A$2:$M$1241,13,FALSE)," ")</f>
        <v xml:space="preserve"> </v>
      </c>
    </row>
    <row r="1008" spans="1:16" x14ac:dyDescent="0.3">
      <c r="A1008" s="1">
        <v>1611</v>
      </c>
      <c r="B1008" s="1">
        <v>3</v>
      </c>
      <c r="C1008" s="1" t="s">
        <v>57</v>
      </c>
      <c r="D1008" s="1" t="s">
        <v>2640</v>
      </c>
      <c r="E1008" s="5">
        <v>37519</v>
      </c>
      <c r="F1008" s="1" t="s">
        <v>17</v>
      </c>
      <c r="G1008" s="1" t="str">
        <f>IF(B1008=0,VLOOKUP(A1008,Feuil2!$A$2:$M$1241,11,FALSE)," ")</f>
        <v xml:space="preserve"> </v>
      </c>
      <c r="H1008" s="1" t="s">
        <v>16</v>
      </c>
      <c r="I1008" s="6" t="str">
        <f>IF(B1008=0,VLOOKUP(A1008,Feuil2!$A$2:$M$1241,7,FALSE)," ")</f>
        <v xml:space="preserve"> </v>
      </c>
      <c r="J1008" s="1" t="str">
        <f>IF(B1008=0,VLOOKUP(A1008,Feuil2!$A$2:$M$1241,9,FALSE)," ")</f>
        <v xml:space="preserve"> </v>
      </c>
      <c r="K1008" s="1" t="str">
        <f>IF(B1008=0,VLOOKUP(A1008,Feuil2!$A$2:$M$1241,10,FALSE)," ")</f>
        <v xml:space="preserve"> </v>
      </c>
      <c r="L1008" s="1"/>
      <c r="M1008" s="1"/>
      <c r="N1008" s="1"/>
      <c r="O1008" s="8" t="str">
        <f>IF(B1008=0,VLOOKUP(A1008,Feuil2!$A$2:$M$1241,13,FALSE)," ")</f>
        <v xml:space="preserve"> </v>
      </c>
      <c r="P1008" t="s">
        <v>2805</v>
      </c>
    </row>
    <row r="1009" spans="1:15" x14ac:dyDescent="0.3">
      <c r="A1009" s="1">
        <v>1611</v>
      </c>
      <c r="B1009" s="1">
        <v>4</v>
      </c>
      <c r="C1009" s="1" t="s">
        <v>57</v>
      </c>
      <c r="D1009" s="1" t="s">
        <v>2422</v>
      </c>
      <c r="E1009" s="5">
        <v>38708</v>
      </c>
      <c r="F1009" s="1" t="s">
        <v>17</v>
      </c>
      <c r="G1009" s="1" t="str">
        <f>IF(B1009=0,VLOOKUP(A1009,Feuil2!$A$2:$M$1241,11,FALSE)," ")</f>
        <v xml:space="preserve"> </v>
      </c>
      <c r="H1009" s="1" t="s">
        <v>16</v>
      </c>
      <c r="I1009" s="6" t="str">
        <f>IF(B1009=0,VLOOKUP(A1009,Feuil2!$A$2:$M$1241,7,FALSE)," ")</f>
        <v xml:space="preserve"> </v>
      </c>
      <c r="J1009" s="1" t="str">
        <f>IF(B1009=0,VLOOKUP(A1009,Feuil2!$A$2:$M$1241,9,FALSE)," ")</f>
        <v xml:space="preserve"> </v>
      </c>
      <c r="K1009" s="1" t="str">
        <f>IF(B1009=0,VLOOKUP(A1009,Feuil2!$A$2:$M$1241,10,FALSE)," ")</f>
        <v xml:space="preserve"> </v>
      </c>
      <c r="L1009" s="1"/>
      <c r="M1009" s="1"/>
      <c r="N1009" s="1"/>
      <c r="O1009" s="8" t="str">
        <f>IF(B1009=0,VLOOKUP(A1009,Feuil2!$A$2:$M$1241,13,FALSE)," ")</f>
        <v xml:space="preserve"> </v>
      </c>
    </row>
    <row r="1010" spans="1:15" x14ac:dyDescent="0.3">
      <c r="A1010" s="1">
        <v>1612</v>
      </c>
      <c r="B1010" s="1">
        <v>0</v>
      </c>
      <c r="C1010" s="1" t="str">
        <f>IF(B1010=0,VLOOKUP(A1010,Feuil2!$A$2:$M$1241,2,FALSE)," ")</f>
        <v>LADHERI</v>
      </c>
      <c r="D1010" s="1" t="str">
        <f>IF(B1010=0,VLOOKUP(A1010,Feuil2!$A$2:$M$1241,3,FALSE)," ")</f>
        <v>NAJEH</v>
      </c>
      <c r="E1010" s="5">
        <f>IF(B1010=0,VLOOKUP(A1010,Feuil2!$A$2:$M$1241,6,FALSE)," ")</f>
        <v>24632</v>
      </c>
      <c r="F1010" s="1" t="str">
        <f>IF(B1010=0,VLOOKUP(A1010,Feuil2!$A$2:$M$1241,12,FALSE)," ")</f>
        <v>H</v>
      </c>
      <c r="G1010" s="1" t="str">
        <f>IF(B1010=0,VLOOKUP(A1010,Feuil2!$A$2:$M$1241,11,FALSE)," ")</f>
        <v>M</v>
      </c>
      <c r="H1010" s="1" t="s">
        <v>16</v>
      </c>
      <c r="I1010" s="6">
        <f>IF(B1010=0,VLOOKUP(A1010,Feuil2!$A$2:$M$1241,7,FALSE)," ")</f>
        <v>2991495</v>
      </c>
      <c r="J1010" s="1" t="str">
        <f>IF(B1010=0,VLOOKUP(A1010,Feuil2!$A$2:$M$1241,9,FALSE)," ")</f>
        <v>Rue Mohamed Ali</v>
      </c>
      <c r="K1010" s="1" t="str">
        <f>IF(B1010=0,VLOOKUP(A1010,Feuil2!$A$2:$M$1241,10,FALSE)," ")</f>
        <v>Msaken 4070</v>
      </c>
      <c r="L1010" s="1">
        <v>4070</v>
      </c>
      <c r="M1010" s="1">
        <v>20854416</v>
      </c>
      <c r="N1010" s="1"/>
      <c r="O1010" s="8" t="str">
        <f>IF(B1010=0,VLOOKUP(A1010,Feuil2!$A$2:$M$1241,13,FALSE)," ")</f>
        <v>12505000580102208358</v>
      </c>
    </row>
    <row r="1011" spans="1:15" x14ac:dyDescent="0.3">
      <c r="A1011" s="1">
        <v>1612</v>
      </c>
      <c r="B1011" s="1">
        <v>1</v>
      </c>
      <c r="C1011" s="1" t="s">
        <v>180</v>
      </c>
      <c r="D1011" s="1" t="s">
        <v>596</v>
      </c>
      <c r="E1011" s="5">
        <v>25980</v>
      </c>
      <c r="F1011" s="1" t="s">
        <v>17</v>
      </c>
      <c r="G1011" s="1" t="s">
        <v>15</v>
      </c>
      <c r="H1011" s="1" t="s">
        <v>16</v>
      </c>
      <c r="I1011" s="6" t="str">
        <f>IF(B1011=0,VLOOKUP(A1011,Feuil2!$A$2:$M$1241,7,FALSE)," ")</f>
        <v xml:space="preserve"> </v>
      </c>
      <c r="J1011" s="1" t="str">
        <f>IF(B1011=0,VLOOKUP(A1011,Feuil2!$A$2:$M$1241,9,FALSE)," ")</f>
        <v xml:space="preserve"> </v>
      </c>
      <c r="K1011" s="1" t="str">
        <f>IF(B1011=0,VLOOKUP(A1011,Feuil2!$A$2:$M$1241,10,FALSE)," ")</f>
        <v xml:space="preserve"> </v>
      </c>
      <c r="L1011" s="1"/>
      <c r="M1011" s="1"/>
      <c r="N1011" s="1"/>
      <c r="O1011" s="8" t="str">
        <f>IF(B1011=0,VLOOKUP(A1011,Feuil2!$A$2:$M$1241,13,FALSE)," ")</f>
        <v xml:space="preserve"> </v>
      </c>
    </row>
    <row r="1012" spans="1:15" x14ac:dyDescent="0.3">
      <c r="A1012" s="1">
        <v>1612</v>
      </c>
      <c r="B1012" s="1">
        <v>2</v>
      </c>
      <c r="C1012" s="1" t="s">
        <v>354</v>
      </c>
      <c r="D1012" s="1" t="s">
        <v>89</v>
      </c>
      <c r="E1012" s="5">
        <v>35370</v>
      </c>
      <c r="F1012" s="1" t="s">
        <v>506</v>
      </c>
      <c r="G1012" s="1" t="str">
        <f>IF(B1012=0,VLOOKUP(A1012,Feuil2!$A$2:$M$1241,11,FALSE)," ")</f>
        <v xml:space="preserve"> </v>
      </c>
      <c r="H1012" s="1" t="s">
        <v>16</v>
      </c>
      <c r="I1012" s="6" t="str">
        <f>IF(B1012=0,VLOOKUP(A1012,Feuil2!$A$2:$M$1241,7,FALSE)," ")</f>
        <v xml:space="preserve"> </v>
      </c>
      <c r="J1012" s="1" t="str">
        <f>IF(B1012=0,VLOOKUP(A1012,Feuil2!$A$2:$M$1241,9,FALSE)," ")</f>
        <v xml:space="preserve"> </v>
      </c>
      <c r="K1012" s="1" t="str">
        <f>IF(B1012=0,VLOOKUP(A1012,Feuil2!$A$2:$M$1241,10,FALSE)," ")</f>
        <v xml:space="preserve"> </v>
      </c>
      <c r="L1012" s="1"/>
      <c r="M1012" s="1"/>
      <c r="N1012" s="1"/>
      <c r="O1012" s="8" t="str">
        <f>IF(B1012=0,VLOOKUP(A1012,Feuil2!$A$2:$M$1241,13,FALSE)," ")</f>
        <v xml:space="preserve"> </v>
      </c>
    </row>
    <row r="1013" spans="1:15" x14ac:dyDescent="0.3">
      <c r="A1013" s="1">
        <v>1612</v>
      </c>
      <c r="B1013" s="1">
        <v>3</v>
      </c>
      <c r="C1013" s="1" t="s">
        <v>354</v>
      </c>
      <c r="D1013" s="1" t="s">
        <v>34</v>
      </c>
      <c r="E1013" s="5">
        <v>36968</v>
      </c>
      <c r="F1013" s="1" t="s">
        <v>506</v>
      </c>
      <c r="G1013" s="1" t="str">
        <f>IF(B1013=0,VLOOKUP(A1013,Feuil2!$A$2:$M$1241,11,FALSE)," ")</f>
        <v xml:space="preserve"> </v>
      </c>
      <c r="H1013" s="1" t="s">
        <v>16</v>
      </c>
      <c r="I1013" s="6" t="str">
        <f>IF(B1013=0,VLOOKUP(A1013,Feuil2!$A$2:$M$1241,7,FALSE)," ")</f>
        <v xml:space="preserve"> </v>
      </c>
      <c r="J1013" s="1" t="str">
        <f>IF(B1013=0,VLOOKUP(A1013,Feuil2!$A$2:$M$1241,9,FALSE)," ")</f>
        <v xml:space="preserve"> </v>
      </c>
      <c r="K1013" s="1" t="str">
        <f>IF(B1013=0,VLOOKUP(A1013,Feuil2!$A$2:$M$1241,10,FALSE)," ")</f>
        <v xml:space="preserve"> </v>
      </c>
      <c r="L1013" s="1"/>
      <c r="M1013" s="1"/>
      <c r="N1013" s="1"/>
      <c r="O1013" s="8" t="str">
        <f>IF(B1013=0,VLOOKUP(A1013,Feuil2!$A$2:$M$1241,13,FALSE)," ")</f>
        <v xml:space="preserve"> </v>
      </c>
    </row>
    <row r="1014" spans="1:15" x14ac:dyDescent="0.3">
      <c r="A1014" s="1">
        <v>1612</v>
      </c>
      <c r="B1014" s="1">
        <v>4</v>
      </c>
      <c r="C1014" s="1" t="s">
        <v>354</v>
      </c>
      <c r="D1014" s="1" t="s">
        <v>2659</v>
      </c>
      <c r="E1014" s="5">
        <v>40072</v>
      </c>
      <c r="F1014" s="1" t="s">
        <v>506</v>
      </c>
      <c r="G1014" s="1" t="str">
        <f>IF(B1014=0,VLOOKUP(A1014,Feuil2!$A$2:$M$1241,11,FALSE)," ")</f>
        <v xml:space="preserve"> </v>
      </c>
      <c r="H1014" s="1" t="s">
        <v>16</v>
      </c>
      <c r="I1014" s="6" t="str">
        <f>IF(B1014=0,VLOOKUP(A1014,Feuil2!$A$2:$M$1241,7,FALSE)," ")</f>
        <v xml:space="preserve"> </v>
      </c>
      <c r="J1014" s="1" t="str">
        <f>IF(B1014=0,VLOOKUP(A1014,Feuil2!$A$2:$M$1241,9,FALSE)," ")</f>
        <v xml:space="preserve"> </v>
      </c>
      <c r="K1014" s="1" t="str">
        <f>IF(B1014=0,VLOOKUP(A1014,Feuil2!$A$2:$M$1241,10,FALSE)," ")</f>
        <v xml:space="preserve"> </v>
      </c>
      <c r="L1014" s="1"/>
      <c r="M1014" s="1"/>
      <c r="N1014" s="1"/>
      <c r="O1014" s="8" t="str">
        <f>IF(B1014=0,VLOOKUP(A1014,Feuil2!$A$2:$M$1241,13,FALSE)," ")</f>
        <v xml:space="preserve"> </v>
      </c>
    </row>
    <row r="1015" spans="1:15" x14ac:dyDescent="0.3">
      <c r="A1015" s="1">
        <v>1612</v>
      </c>
      <c r="B1015" s="1">
        <v>5</v>
      </c>
      <c r="C1015" s="1" t="s">
        <v>354</v>
      </c>
      <c r="D1015" s="1" t="s">
        <v>61</v>
      </c>
      <c r="E1015" s="5">
        <v>42368</v>
      </c>
      <c r="F1015" s="1" t="s">
        <v>506</v>
      </c>
      <c r="G1015" s="1" t="str">
        <f>IF(B1015=0,VLOOKUP(A1015,Feuil2!$A$2:$M$1241,11,FALSE)," ")</f>
        <v xml:space="preserve"> </v>
      </c>
      <c r="H1015" s="1" t="s">
        <v>16</v>
      </c>
      <c r="I1015" s="6" t="str">
        <f>IF(B1015=0,VLOOKUP(A1015,Feuil2!$A$2:$M$1241,7,FALSE)," ")</f>
        <v xml:space="preserve"> </v>
      </c>
      <c r="J1015" s="1" t="str">
        <f>IF(B1015=0,VLOOKUP(A1015,Feuil2!$A$2:$M$1241,9,FALSE)," ")</f>
        <v xml:space="preserve"> </v>
      </c>
      <c r="K1015" s="1" t="str">
        <f>IF(B1015=0,VLOOKUP(A1015,Feuil2!$A$2:$M$1241,10,FALSE)," ")</f>
        <v xml:space="preserve"> </v>
      </c>
      <c r="L1015" s="1"/>
      <c r="M1015" s="1"/>
      <c r="N1015" s="1"/>
      <c r="O1015" s="8" t="str">
        <f>IF(B1015=0,VLOOKUP(A1015,Feuil2!$A$2:$M$1241,13,FALSE)," ")</f>
        <v xml:space="preserve"> </v>
      </c>
    </row>
    <row r="1016" spans="1:15" x14ac:dyDescent="0.3">
      <c r="A1016" s="17">
        <v>1614</v>
      </c>
      <c r="B1016" s="17">
        <v>0</v>
      </c>
      <c r="C1016" s="17" t="str">
        <f>IF(B1016=0,VLOOKUP(A1016,Feuil2!$A$2:$M$1241,2,FALSE)," ")</f>
        <v>JMEGUER</v>
      </c>
      <c r="D1016" s="17" t="str">
        <f>IF(B1016=0,VLOOKUP(A1016,Feuil2!$A$2:$M$1241,3,FALSE)," ")</f>
        <v>CHERIF</v>
      </c>
      <c r="E1016" s="18">
        <f>IF(B1016=0,VLOOKUP(A1016,Feuil2!$A$2:$M$1241,6,FALSE)," ")</f>
        <v>24586</v>
      </c>
      <c r="F1016" s="17" t="str">
        <f>IF(B1016=0,VLOOKUP(A1016,Feuil2!$A$2:$M$1241,12,FALSE)," ")</f>
        <v>H</v>
      </c>
      <c r="G1016" s="17" t="str">
        <f>IF(B1016=0,VLOOKUP(A1016,Feuil2!$A$2:$M$1241,11,FALSE)," ")</f>
        <v>M</v>
      </c>
      <c r="H1016" s="17" t="s">
        <v>16</v>
      </c>
      <c r="I1016" s="19">
        <f>IF(B1016=0,VLOOKUP(A1016,Feuil2!$A$2:$M$1241,7,FALSE)," ")</f>
        <v>2980882</v>
      </c>
      <c r="J1016" s="17" t="str">
        <f>IF(B1016=0,VLOOKUP(A1016,Feuil2!$A$2:$M$1241,9,FALSE)," ")</f>
        <v>77 Rue Tahar Sfar</v>
      </c>
      <c r="K1016" s="17" t="str">
        <f>IF(B1016=0,VLOOKUP(A1016,Feuil2!$A$2:$M$1241,10,FALSE)," ")</f>
        <v>Msaken 4070</v>
      </c>
      <c r="L1016" s="17">
        <v>4070</v>
      </c>
      <c r="M1016" s="17">
        <v>98592468</v>
      </c>
      <c r="N1016" s="17"/>
      <c r="O1016" s="20" t="str">
        <f>IF(B1016=0,VLOOKUP(A1016,Feuil2!$A$2:$M$1241,13,FALSE)," ")</f>
        <v>03508056010100175897</v>
      </c>
    </row>
    <row r="1017" spans="1:15" x14ac:dyDescent="0.3">
      <c r="A1017" s="1">
        <v>1614</v>
      </c>
      <c r="B1017" s="1">
        <v>1</v>
      </c>
      <c r="C1017" s="1" t="s">
        <v>19</v>
      </c>
      <c r="D1017" s="1" t="s">
        <v>596</v>
      </c>
      <c r="E1017" s="5">
        <v>24111</v>
      </c>
      <c r="F1017" s="1" t="s">
        <v>17</v>
      </c>
      <c r="G1017" s="1" t="s">
        <v>15</v>
      </c>
      <c r="H1017" s="1" t="s">
        <v>16</v>
      </c>
      <c r="I1017" s="6" t="str">
        <f>IF(B1017=0,VLOOKUP(A1017,Feuil2!$A$2:$M$1241,7,FALSE)," ")</f>
        <v xml:space="preserve"> </v>
      </c>
      <c r="J1017" s="1" t="str">
        <f>IF(B1017=0,VLOOKUP(A1017,Feuil2!$A$2:$M$1241,9,FALSE)," ")</f>
        <v xml:space="preserve"> </v>
      </c>
      <c r="K1017" s="1" t="str">
        <f>IF(B1017=0,VLOOKUP(A1017,Feuil2!$A$2:$M$1241,10,FALSE)," ")</f>
        <v xml:space="preserve"> </v>
      </c>
      <c r="L1017" s="1"/>
      <c r="M1017" s="1"/>
      <c r="N1017" s="1"/>
      <c r="O1017" s="8" t="str">
        <f>IF(B1017=0,VLOOKUP(A1017,Feuil2!$A$2:$M$1241,13,FALSE)," ")</f>
        <v xml:space="preserve"> </v>
      </c>
    </row>
    <row r="1018" spans="1:15" x14ac:dyDescent="0.3">
      <c r="A1018" s="1">
        <v>1615</v>
      </c>
      <c r="B1018" s="1">
        <v>0</v>
      </c>
      <c r="C1018" s="1" t="str">
        <f>IF(B1018=0,VLOOKUP(A1018,Feuil2!$A$2:$M$1241,2,FALSE)," ")</f>
        <v>EL GARES</v>
      </c>
      <c r="D1018" s="1" t="str">
        <f>IF(B1018=0,VLOOKUP(A1018,Feuil2!$A$2:$M$1241,3,FALSE)," ")</f>
        <v>MONIA</v>
      </c>
      <c r="E1018" s="5">
        <f>IF(B1018=0,VLOOKUP(A1018,Feuil2!$A$2:$M$1241,6,FALSE)," ")</f>
        <v>24008</v>
      </c>
      <c r="F1018" s="1" t="str">
        <f>IF(B1018=0,VLOOKUP(A1018,Feuil2!$A$2:$M$1241,12,FALSE)," ")</f>
        <v>F</v>
      </c>
      <c r="G1018" s="1" t="str">
        <f>IF(B1018=0,VLOOKUP(A1018,Feuil2!$A$2:$M$1241,11,FALSE)," ")</f>
        <v>V</v>
      </c>
      <c r="H1018" s="1" t="s">
        <v>16</v>
      </c>
      <c r="I1018" s="6">
        <f>IF(B1018=0,VLOOKUP(A1018,Feuil2!$A$2:$M$1241,7,FALSE)," ")</f>
        <v>5525145</v>
      </c>
      <c r="J1018" s="1" t="str">
        <f>IF(B1018=0,VLOOKUP(A1018,Feuil2!$A$2:$M$1241,9,FALSE)," ")</f>
        <v>50 Rue Taieb Hachicha</v>
      </c>
      <c r="K1018" s="1" t="str">
        <f>IF(B1018=0,VLOOKUP(A1018,Feuil2!$A$2:$M$1241,10,FALSE)," ")</f>
        <v>Msaken 4070</v>
      </c>
      <c r="L1018" s="1">
        <v>4070</v>
      </c>
      <c r="M1018" s="1">
        <v>97225412</v>
      </c>
      <c r="N1018" s="1"/>
      <c r="O1018" s="8" t="str">
        <f>IF(B1018=0,VLOOKUP(A1018,Feuil2!$A$2:$M$1241,13,FALSE)," ")</f>
        <v>08507000262001006823</v>
      </c>
    </row>
    <row r="1019" spans="1:15" x14ac:dyDescent="0.3">
      <c r="A1019" s="1">
        <v>1617</v>
      </c>
      <c r="B1019" s="1">
        <v>0</v>
      </c>
      <c r="C1019" s="1" t="str">
        <f>IF(B1019=0,VLOOKUP(A1019,Feuil2!$A$2:$M$1241,2,FALSE)," ")</f>
        <v>BEN BEKRI</v>
      </c>
      <c r="D1019" s="1" t="str">
        <f>IF(B1019=0,VLOOKUP(A1019,Feuil2!$A$2:$M$1241,3,FALSE)," ")</f>
        <v>MONCEF</v>
      </c>
      <c r="E1019" s="5">
        <f>IF(B1019=0,VLOOKUP(A1019,Feuil2!$A$2:$M$1241,6,FALSE)," ")</f>
        <v>26359</v>
      </c>
      <c r="F1019" s="1" t="str">
        <f>IF(B1019=0,VLOOKUP(A1019,Feuil2!$A$2:$M$1241,12,FALSE)," ")</f>
        <v>H</v>
      </c>
      <c r="G1019" s="1" t="str">
        <f>IF(B1019=0,VLOOKUP(A1019,Feuil2!$A$2:$M$1241,11,FALSE)," ")</f>
        <v>M</v>
      </c>
      <c r="H1019" s="1" t="s">
        <v>16</v>
      </c>
      <c r="I1019" s="6">
        <f>IF(B1019=0,VLOOKUP(A1019,Feuil2!$A$2:$M$1241,7,FALSE)," ")</f>
        <v>5551292</v>
      </c>
      <c r="J1019" s="1" t="str">
        <f>IF(B1019=0,VLOOKUP(A1019,Feuil2!$A$2:$M$1241,9,FALSE)," ")</f>
        <v>NULL</v>
      </c>
      <c r="K1019" s="1" t="str">
        <f>IF(B1019=0,VLOOKUP(A1019,Feuil2!$A$2:$M$1241,10,FALSE)," ")</f>
        <v>Sidi El HÃ©ni 4025</v>
      </c>
      <c r="L1019" s="1"/>
      <c r="M1019" s="1">
        <v>25967958</v>
      </c>
      <c r="N1019" s="1"/>
      <c r="O1019" s="8" t="str">
        <f>IF(B1019=0,VLOOKUP(A1019,Feuil2!$A$2:$M$1241,13,FALSE)," ")</f>
        <v>04204067404000991490</v>
      </c>
    </row>
    <row r="1020" spans="1:15" x14ac:dyDescent="0.3">
      <c r="A1020" s="1">
        <v>1617</v>
      </c>
      <c r="B1020" s="1">
        <v>1</v>
      </c>
      <c r="C1020" s="1" t="s">
        <v>233</v>
      </c>
      <c r="D1020" s="1" t="s">
        <v>2289</v>
      </c>
      <c r="E1020" s="5">
        <v>30377</v>
      </c>
      <c r="F1020" s="1" t="s">
        <v>17</v>
      </c>
      <c r="G1020" s="1" t="s">
        <v>15</v>
      </c>
      <c r="H1020" s="1" t="s">
        <v>16</v>
      </c>
      <c r="I1020" s="6" t="str">
        <f>IF(B1020=0,VLOOKUP(A1020,Feuil2!$A$2:$M$1241,7,FALSE)," ")</f>
        <v xml:space="preserve"> </v>
      </c>
      <c r="J1020" s="1" t="str">
        <f>IF(B1020=0,VLOOKUP(A1020,Feuil2!$A$2:$M$1241,9,FALSE)," ")</f>
        <v xml:space="preserve"> </v>
      </c>
      <c r="K1020" s="1" t="str">
        <f>IF(B1020=0,VLOOKUP(A1020,Feuil2!$A$2:$M$1241,10,FALSE)," ")</f>
        <v xml:space="preserve"> </v>
      </c>
      <c r="L1020" s="1"/>
      <c r="M1020" s="1"/>
      <c r="N1020" s="1"/>
      <c r="O1020" s="8" t="str">
        <f>IF(B1020=0,VLOOKUP(A1020,Feuil2!$A$2:$M$1241,13,FALSE)," ")</f>
        <v xml:space="preserve"> </v>
      </c>
    </row>
    <row r="1021" spans="1:15" x14ac:dyDescent="0.3">
      <c r="A1021" s="1">
        <v>1617</v>
      </c>
      <c r="B1021" s="1">
        <v>2</v>
      </c>
      <c r="C1021" s="1" t="s">
        <v>1500</v>
      </c>
      <c r="D1021" s="1" t="s">
        <v>2660</v>
      </c>
      <c r="E1021" s="5">
        <v>38765</v>
      </c>
      <c r="F1021" s="1" t="s">
        <v>17</v>
      </c>
      <c r="G1021" s="1" t="str">
        <f>IF(B1021=0,VLOOKUP(A1021,Feuil2!$A$2:$M$1241,11,FALSE)," ")</f>
        <v xml:space="preserve"> </v>
      </c>
      <c r="H1021" s="1" t="s">
        <v>16</v>
      </c>
      <c r="I1021" s="6" t="str">
        <f>IF(B1021=0,VLOOKUP(A1021,Feuil2!$A$2:$M$1241,7,FALSE)," ")</f>
        <v xml:space="preserve"> </v>
      </c>
      <c r="J1021" s="1" t="str">
        <f>IF(B1021=0,VLOOKUP(A1021,Feuil2!$A$2:$M$1241,9,FALSE)," ")</f>
        <v xml:space="preserve"> </v>
      </c>
      <c r="K1021" s="1" t="str">
        <f>IF(B1021=0,VLOOKUP(A1021,Feuil2!$A$2:$M$1241,10,FALSE)," ")</f>
        <v xml:space="preserve"> </v>
      </c>
      <c r="L1021" s="1"/>
      <c r="M1021" s="1"/>
      <c r="N1021" s="1"/>
      <c r="O1021" s="8" t="str">
        <f>IF(B1021=0,VLOOKUP(A1021,Feuil2!$A$2:$M$1241,13,FALSE)," ")</f>
        <v xml:space="preserve"> </v>
      </c>
    </row>
    <row r="1022" spans="1:15" x14ac:dyDescent="0.3">
      <c r="A1022" s="1">
        <v>1617</v>
      </c>
      <c r="B1022" s="1">
        <v>3</v>
      </c>
      <c r="C1022" s="1" t="s">
        <v>1500</v>
      </c>
      <c r="D1022" s="1" t="s">
        <v>212</v>
      </c>
      <c r="E1022" s="5">
        <v>39374</v>
      </c>
      <c r="F1022" s="1" t="s">
        <v>506</v>
      </c>
      <c r="G1022" s="1" t="str">
        <f>IF(B1022=0,VLOOKUP(A1022,Feuil2!$A$2:$M$1241,11,FALSE)," ")</f>
        <v xml:space="preserve"> </v>
      </c>
      <c r="H1022" s="1" t="s">
        <v>16</v>
      </c>
      <c r="I1022" s="6" t="str">
        <f>IF(B1022=0,VLOOKUP(A1022,Feuil2!$A$2:$M$1241,7,FALSE)," ")</f>
        <v xml:space="preserve"> </v>
      </c>
      <c r="J1022" s="1" t="str">
        <f>IF(B1022=0,VLOOKUP(A1022,Feuil2!$A$2:$M$1241,9,FALSE)," ")</f>
        <v xml:space="preserve"> </v>
      </c>
      <c r="K1022" s="1" t="str">
        <f>IF(B1022=0,VLOOKUP(A1022,Feuil2!$A$2:$M$1241,10,FALSE)," ")</f>
        <v xml:space="preserve"> </v>
      </c>
      <c r="L1022" s="1"/>
      <c r="M1022" s="1"/>
      <c r="N1022" s="1"/>
      <c r="O1022" s="8" t="str">
        <f>IF(B1022=0,VLOOKUP(A1022,Feuil2!$A$2:$M$1241,13,FALSE)," ")</f>
        <v xml:space="preserve"> </v>
      </c>
    </row>
    <row r="1023" spans="1:15" x14ac:dyDescent="0.3">
      <c r="A1023" s="1">
        <v>1617</v>
      </c>
      <c r="B1023" s="1">
        <v>4</v>
      </c>
      <c r="C1023" s="1" t="s">
        <v>1500</v>
      </c>
      <c r="D1023" s="1" t="s">
        <v>2389</v>
      </c>
      <c r="E1023" s="5">
        <v>40082</v>
      </c>
      <c r="F1023" s="1" t="s">
        <v>17</v>
      </c>
      <c r="G1023" s="1" t="str">
        <f>IF(B1023=0,VLOOKUP(A1023,Feuil2!$A$2:$M$1241,11,FALSE)," ")</f>
        <v xml:space="preserve"> </v>
      </c>
      <c r="H1023" s="1" t="s">
        <v>16</v>
      </c>
      <c r="I1023" s="6" t="str">
        <f>IF(B1023=0,VLOOKUP(A1023,Feuil2!$A$2:$M$1241,7,FALSE)," ")</f>
        <v xml:space="preserve"> </v>
      </c>
      <c r="J1023" s="1" t="str">
        <f>IF(B1023=0,VLOOKUP(A1023,Feuil2!$A$2:$M$1241,9,FALSE)," ")</f>
        <v xml:space="preserve"> </v>
      </c>
      <c r="K1023" s="1" t="str">
        <f>IF(B1023=0,VLOOKUP(A1023,Feuil2!$A$2:$M$1241,10,FALSE)," ")</f>
        <v xml:space="preserve"> </v>
      </c>
      <c r="L1023" s="1"/>
      <c r="M1023" s="1"/>
      <c r="N1023" s="1"/>
      <c r="O1023" s="8" t="str">
        <f>IF(B1023=0,VLOOKUP(A1023,Feuil2!$A$2:$M$1241,13,FALSE)," ")</f>
        <v xml:space="preserve"> </v>
      </c>
    </row>
    <row r="1024" spans="1:15" x14ac:dyDescent="0.3">
      <c r="A1024" s="1">
        <v>1617</v>
      </c>
      <c r="B1024" s="1">
        <v>5</v>
      </c>
      <c r="C1024" s="1" t="s">
        <v>1500</v>
      </c>
      <c r="D1024" s="1" t="s">
        <v>2661</v>
      </c>
      <c r="E1024" s="5">
        <v>40811</v>
      </c>
      <c r="F1024" s="1" t="s">
        <v>506</v>
      </c>
      <c r="G1024" s="1" t="str">
        <f>IF(B1024=0,VLOOKUP(A1024,Feuil2!$A$2:$M$1241,11,FALSE)," ")</f>
        <v xml:space="preserve"> </v>
      </c>
      <c r="H1024" s="1" t="s">
        <v>16</v>
      </c>
      <c r="I1024" s="6" t="str">
        <f>IF(B1024=0,VLOOKUP(A1024,Feuil2!$A$2:$M$1241,7,FALSE)," ")</f>
        <v xml:space="preserve"> </v>
      </c>
      <c r="J1024" s="1" t="str">
        <f>IF(B1024=0,VLOOKUP(A1024,Feuil2!$A$2:$M$1241,9,FALSE)," ")</f>
        <v xml:space="preserve"> </v>
      </c>
      <c r="K1024" s="1" t="str">
        <f>IF(B1024=0,VLOOKUP(A1024,Feuil2!$A$2:$M$1241,10,FALSE)," ")</f>
        <v xml:space="preserve"> </v>
      </c>
      <c r="L1024" s="1"/>
      <c r="M1024" s="1"/>
      <c r="N1024" s="1"/>
      <c r="O1024" s="8" t="str">
        <f>IF(B1024=0,VLOOKUP(A1024,Feuil2!$A$2:$M$1241,13,FALSE)," ")</f>
        <v xml:space="preserve"> </v>
      </c>
    </row>
    <row r="1025" spans="1:15" x14ac:dyDescent="0.3">
      <c r="A1025" s="1">
        <v>1619</v>
      </c>
      <c r="B1025" s="1">
        <v>0</v>
      </c>
      <c r="C1025" s="1" t="str">
        <f>IF(B1025=0,VLOOKUP(A1025,Feuil2!$A$2:$M$1241,2,FALSE)," ")</f>
        <v>CHTIOUI</v>
      </c>
      <c r="D1025" s="1" t="str">
        <f>IF(B1025=0,VLOOKUP(A1025,Feuil2!$A$2:$M$1241,3,FALSE)," ")</f>
        <v>FETHI</v>
      </c>
      <c r="E1025" s="5">
        <f>IF(B1025=0,VLOOKUP(A1025,Feuil2!$A$2:$M$1241,6,FALSE)," ")</f>
        <v>25762</v>
      </c>
      <c r="F1025" s="1" t="str">
        <f>IF(B1025=0,VLOOKUP(A1025,Feuil2!$A$2:$M$1241,12,FALSE)," ")</f>
        <v>H</v>
      </c>
      <c r="G1025" s="1" t="str">
        <f>IF(B1025=0,VLOOKUP(A1025,Feuil2!$A$2:$M$1241,11,FALSE)," ")</f>
        <v>M</v>
      </c>
      <c r="H1025" s="1" t="s">
        <v>16</v>
      </c>
      <c r="I1025" s="6">
        <f>IF(B1025=0,VLOOKUP(A1025,Feuil2!$A$2:$M$1241,7,FALSE)," ")</f>
        <v>5514585</v>
      </c>
      <c r="J1025" s="1" t="str">
        <f>IF(B1025=0,VLOOKUP(A1025,Feuil2!$A$2:$M$1241,9,FALSE)," ")</f>
        <v>22,Rue des Aghlabites</v>
      </c>
      <c r="K1025" s="1" t="str">
        <f>IF(B1025=0,VLOOKUP(A1025,Feuil2!$A$2:$M$1241,10,FALSE)," ")</f>
        <v>Msaken 4070</v>
      </c>
      <c r="L1025" s="1">
        <v>4070</v>
      </c>
      <c r="M1025" s="1">
        <v>96541902</v>
      </c>
      <c r="N1025" s="1"/>
      <c r="O1025" s="8" t="str">
        <f>IF(B1025=0,VLOOKUP(A1025,Feuil2!$A$2:$M$1241,13,FALSE)," ")</f>
        <v>05048000116500463593</v>
      </c>
    </row>
    <row r="1026" spans="1:15" x14ac:dyDescent="0.3">
      <c r="A1026" s="1">
        <v>1619</v>
      </c>
      <c r="B1026" s="1">
        <v>1</v>
      </c>
      <c r="C1026" s="1" t="str">
        <f>IF(B1026=0,VLOOKUP(A1026,Feuil2!$A$2:$M$1241,2,FALSE)," ")</f>
        <v xml:space="preserve"> </v>
      </c>
      <c r="D1026" s="1" t="s">
        <v>2334</v>
      </c>
      <c r="E1026" s="5">
        <v>28099</v>
      </c>
      <c r="F1026" s="1" t="s">
        <v>17</v>
      </c>
      <c r="G1026" s="1" t="s">
        <v>15</v>
      </c>
      <c r="H1026" s="1" t="s">
        <v>16</v>
      </c>
      <c r="I1026" s="6" t="str">
        <f>IF(B1026=0,VLOOKUP(A1026,Feuil2!$A$2:$M$1241,7,FALSE)," ")</f>
        <v xml:space="preserve"> </v>
      </c>
      <c r="J1026" s="1" t="str">
        <f>IF(B1026=0,VLOOKUP(A1026,Feuil2!$A$2:$M$1241,9,FALSE)," ")</f>
        <v xml:space="preserve"> </v>
      </c>
      <c r="K1026" s="1" t="str">
        <f>IF(B1026=0,VLOOKUP(A1026,Feuil2!$A$2:$M$1241,10,FALSE)," ")</f>
        <v xml:space="preserve"> </v>
      </c>
      <c r="L1026" s="1"/>
      <c r="M1026" s="1"/>
      <c r="N1026" s="1"/>
      <c r="O1026" s="8" t="str">
        <f>IF(B1026=0,VLOOKUP(A1026,Feuil2!$A$2:$M$1241,13,FALSE)," ")</f>
        <v xml:space="preserve"> </v>
      </c>
    </row>
    <row r="1027" spans="1:15" x14ac:dyDescent="0.3">
      <c r="A1027" s="1">
        <v>1619</v>
      </c>
      <c r="B1027" s="1">
        <v>2</v>
      </c>
      <c r="C1027" s="1" t="s">
        <v>42</v>
      </c>
      <c r="D1027" s="1" t="s">
        <v>2662</v>
      </c>
      <c r="E1027" s="5">
        <v>35264</v>
      </c>
      <c r="F1027" s="1" t="s">
        <v>17</v>
      </c>
      <c r="G1027" s="1" t="str">
        <f>IF(B1027=0,VLOOKUP(A1027,Feuil2!$A$2:$M$1241,11,FALSE)," ")</f>
        <v xml:space="preserve"> </v>
      </c>
      <c r="H1027" s="1" t="s">
        <v>16</v>
      </c>
      <c r="I1027" s="6" t="str">
        <f>IF(B1027=0,VLOOKUP(A1027,Feuil2!$A$2:$M$1241,7,FALSE)," ")</f>
        <v xml:space="preserve"> </v>
      </c>
      <c r="J1027" s="1" t="str">
        <f>IF(B1027=0,VLOOKUP(A1027,Feuil2!$A$2:$M$1241,9,FALSE)," ")</f>
        <v xml:space="preserve"> </v>
      </c>
      <c r="K1027" s="1" t="str">
        <f>IF(B1027=0,VLOOKUP(A1027,Feuil2!$A$2:$M$1241,10,FALSE)," ")</f>
        <v xml:space="preserve"> </v>
      </c>
      <c r="L1027" s="1"/>
      <c r="M1027" s="1"/>
      <c r="N1027" s="1"/>
      <c r="O1027" s="8" t="str">
        <f>IF(B1027=0,VLOOKUP(A1027,Feuil2!$A$2:$M$1241,13,FALSE)," ")</f>
        <v xml:space="preserve"> </v>
      </c>
    </row>
    <row r="1028" spans="1:15" x14ac:dyDescent="0.3">
      <c r="A1028" s="1">
        <v>1619</v>
      </c>
      <c r="B1028" s="1">
        <v>3</v>
      </c>
      <c r="C1028" s="1" t="s">
        <v>42</v>
      </c>
      <c r="D1028" s="1" t="s">
        <v>2366</v>
      </c>
      <c r="E1028" s="5">
        <v>36507</v>
      </c>
      <c r="F1028" s="1" t="s">
        <v>506</v>
      </c>
      <c r="G1028" s="1" t="str">
        <f>IF(B1028=0,VLOOKUP(A1028,Feuil2!$A$2:$M$1241,11,FALSE)," ")</f>
        <v xml:space="preserve"> </v>
      </c>
      <c r="H1028" s="1" t="s">
        <v>16</v>
      </c>
      <c r="I1028" s="6" t="str">
        <f>IF(B1028=0,VLOOKUP(A1028,Feuil2!$A$2:$M$1241,7,FALSE)," ")</f>
        <v xml:space="preserve"> </v>
      </c>
      <c r="J1028" s="1" t="str">
        <f>IF(B1028=0,VLOOKUP(A1028,Feuil2!$A$2:$M$1241,9,FALSE)," ")</f>
        <v xml:space="preserve"> </v>
      </c>
      <c r="K1028" s="1" t="str">
        <f>IF(B1028=0,VLOOKUP(A1028,Feuil2!$A$2:$M$1241,10,FALSE)," ")</f>
        <v xml:space="preserve"> </v>
      </c>
      <c r="L1028" s="1"/>
      <c r="M1028" s="1"/>
      <c r="N1028" s="1"/>
      <c r="O1028" s="8" t="str">
        <f>IF(B1028=0,VLOOKUP(A1028,Feuil2!$A$2:$M$1241,13,FALSE)," ")</f>
        <v xml:space="preserve"> </v>
      </c>
    </row>
    <row r="1029" spans="1:15" x14ac:dyDescent="0.3">
      <c r="A1029" s="1">
        <v>1619</v>
      </c>
      <c r="B1029" s="1">
        <v>4</v>
      </c>
      <c r="C1029" s="1" t="s">
        <v>42</v>
      </c>
      <c r="D1029" s="1" t="s">
        <v>439</v>
      </c>
      <c r="E1029" s="5">
        <v>37842</v>
      </c>
      <c r="F1029" s="1" t="s">
        <v>17</v>
      </c>
      <c r="G1029" s="1" t="str">
        <f>IF(B1029=0,VLOOKUP(A1029,Feuil2!$A$2:$M$1241,11,FALSE)," ")</f>
        <v xml:space="preserve"> </v>
      </c>
      <c r="H1029" s="1" t="s">
        <v>16</v>
      </c>
      <c r="I1029" s="6" t="str">
        <f>IF(B1029=0,VLOOKUP(A1029,Feuil2!$A$2:$M$1241,7,FALSE)," ")</f>
        <v xml:space="preserve"> </v>
      </c>
      <c r="J1029" s="1" t="str">
        <f>IF(B1029=0,VLOOKUP(A1029,Feuil2!$A$2:$M$1241,9,FALSE)," ")</f>
        <v xml:space="preserve"> </v>
      </c>
      <c r="K1029" s="1" t="str">
        <f>IF(B1029=0,VLOOKUP(A1029,Feuil2!$A$2:$M$1241,10,FALSE)," ")</f>
        <v xml:space="preserve"> </v>
      </c>
      <c r="L1029" s="1"/>
      <c r="M1029" s="1"/>
      <c r="N1029" s="1"/>
      <c r="O1029" s="8" t="str">
        <f>IF(B1029=0,VLOOKUP(A1029,Feuil2!$A$2:$M$1241,13,FALSE)," ")</f>
        <v xml:space="preserve"> </v>
      </c>
    </row>
    <row r="1030" spans="1:15" x14ac:dyDescent="0.3">
      <c r="A1030" s="1">
        <v>1619</v>
      </c>
      <c r="B1030" s="1">
        <v>5</v>
      </c>
      <c r="C1030" s="1" t="s">
        <v>42</v>
      </c>
      <c r="D1030" s="1" t="s">
        <v>2345</v>
      </c>
      <c r="E1030" s="5">
        <v>39730</v>
      </c>
      <c r="F1030" s="1" t="s">
        <v>17</v>
      </c>
      <c r="G1030" s="1" t="str">
        <f>IF(B1030=0,VLOOKUP(A1030,Feuil2!$A$2:$M$1241,11,FALSE)," ")</f>
        <v xml:space="preserve"> </v>
      </c>
      <c r="H1030" s="1" t="s">
        <v>16</v>
      </c>
      <c r="I1030" s="6" t="str">
        <f>IF(B1030=0,VLOOKUP(A1030,Feuil2!$A$2:$M$1241,7,FALSE)," ")</f>
        <v xml:space="preserve"> </v>
      </c>
      <c r="J1030" s="1" t="str">
        <f>IF(B1030=0,VLOOKUP(A1030,Feuil2!$A$2:$M$1241,9,FALSE)," ")</f>
        <v xml:space="preserve"> </v>
      </c>
      <c r="K1030" s="1" t="str">
        <f>IF(B1030=0,VLOOKUP(A1030,Feuil2!$A$2:$M$1241,10,FALSE)," ")</f>
        <v xml:space="preserve"> </v>
      </c>
      <c r="L1030" s="1"/>
      <c r="M1030" s="1"/>
      <c r="N1030" s="1"/>
      <c r="O1030" s="8" t="str">
        <f>IF(B1030=0,VLOOKUP(A1030,Feuil2!$A$2:$M$1241,13,FALSE)," ")</f>
        <v xml:space="preserve"> </v>
      </c>
    </row>
    <row r="1031" spans="1:15" x14ac:dyDescent="0.3">
      <c r="A1031" s="1">
        <v>1619</v>
      </c>
      <c r="B1031" s="1">
        <v>6</v>
      </c>
      <c r="C1031" s="1" t="s">
        <v>42</v>
      </c>
      <c r="D1031" s="1" t="s">
        <v>2332</v>
      </c>
      <c r="E1031" s="5">
        <v>40327</v>
      </c>
      <c r="F1031" s="1" t="s">
        <v>17</v>
      </c>
      <c r="G1031" s="1" t="str">
        <f>IF(B1031=0,VLOOKUP(A1031,Feuil2!$A$2:$M$1241,11,FALSE)," ")</f>
        <v xml:space="preserve"> </v>
      </c>
      <c r="H1031" s="1" t="s">
        <v>16</v>
      </c>
      <c r="I1031" s="6" t="str">
        <f>IF(B1031=0,VLOOKUP(A1031,Feuil2!$A$2:$M$1241,7,FALSE)," ")</f>
        <v xml:space="preserve"> </v>
      </c>
      <c r="J1031" s="1" t="str">
        <f>IF(B1031=0,VLOOKUP(A1031,Feuil2!$A$2:$M$1241,9,FALSE)," ")</f>
        <v xml:space="preserve"> </v>
      </c>
      <c r="K1031" s="1" t="str">
        <f>IF(B1031=0,VLOOKUP(A1031,Feuil2!$A$2:$M$1241,10,FALSE)," ")</f>
        <v xml:space="preserve"> </v>
      </c>
      <c r="L1031" s="1"/>
      <c r="M1031" s="1"/>
      <c r="N1031" s="1"/>
      <c r="O1031" s="8" t="str">
        <f>IF(B1031=0,VLOOKUP(A1031,Feuil2!$A$2:$M$1241,13,FALSE)," ")</f>
        <v xml:space="preserve"> </v>
      </c>
    </row>
    <row r="1032" spans="1:15" x14ac:dyDescent="0.3">
      <c r="A1032" s="1">
        <v>1621</v>
      </c>
      <c r="B1032" s="1">
        <v>0</v>
      </c>
      <c r="C1032" s="1" t="str">
        <f>IF(B1032=0,VLOOKUP(A1032,Feuil2!$A$2:$M$1241,2,FALSE)," ")</f>
        <v>BEN HASSINE</v>
      </c>
      <c r="D1032" s="1" t="str">
        <f>IF(B1032=0,VLOOKUP(A1032,Feuil2!$A$2:$M$1241,3,FALSE)," ")</f>
        <v>WASSEF</v>
      </c>
      <c r="E1032" s="5">
        <f>IF(B1032=0,VLOOKUP(A1032,Feuil2!$A$2:$M$1241,6,FALSE)," ")</f>
        <v>28175</v>
      </c>
      <c r="F1032" s="1" t="str">
        <f>IF(B1032=0,VLOOKUP(A1032,Feuil2!$A$2:$M$1241,12,FALSE)," ")</f>
        <v>H</v>
      </c>
      <c r="G1032" s="1" t="str">
        <f>IF(B1032=0,VLOOKUP(A1032,Feuil2!$A$2:$M$1241,11,FALSE)," ")</f>
        <v>M</v>
      </c>
      <c r="H1032" s="1" t="s">
        <v>16</v>
      </c>
      <c r="I1032" s="6">
        <f>IF(B1032=0,VLOOKUP(A1032,Feuil2!$A$2:$M$1241,7,FALSE)," ")</f>
        <v>5556834</v>
      </c>
      <c r="J1032" s="1" t="str">
        <f>IF(B1032=0,VLOOKUP(A1032,Feuil2!$A$2:$M$1241,9,FALSE)," ")</f>
        <v>6 Rue Assad Ibn Fourat</v>
      </c>
      <c r="K1032" s="1" t="str">
        <f>IF(B1032=0,VLOOKUP(A1032,Feuil2!$A$2:$M$1241,10,FALSE)," ")</f>
        <v>Msaken 4070</v>
      </c>
      <c r="L1032" s="1">
        <v>4070</v>
      </c>
      <c r="M1032" s="1">
        <v>52555556</v>
      </c>
      <c r="N1032" s="1"/>
      <c r="O1032" s="8" t="str">
        <f>IF(B1032=0,VLOOKUP(A1032,Feuil2!$A$2:$M$1241,13,FALSE)," ")</f>
        <v>24010026274251110195</v>
      </c>
    </row>
    <row r="1033" spans="1:15" x14ac:dyDescent="0.3">
      <c r="A1033" s="1">
        <v>1621</v>
      </c>
      <c r="B1033" s="1">
        <v>1</v>
      </c>
      <c r="C1033" s="1" t="s">
        <v>41</v>
      </c>
      <c r="D1033" s="1" t="s">
        <v>2535</v>
      </c>
      <c r="E1033" s="5">
        <v>29620</v>
      </c>
      <c r="F1033" s="1" t="s">
        <v>17</v>
      </c>
      <c r="G1033" s="1" t="s">
        <v>15</v>
      </c>
      <c r="H1033" s="1" t="s">
        <v>16</v>
      </c>
      <c r="I1033" s="6" t="str">
        <f>IF(B1033=0,VLOOKUP(A1033,Feuil2!$A$2:$M$1241,7,FALSE)," ")</f>
        <v xml:space="preserve"> </v>
      </c>
      <c r="J1033" s="1" t="str">
        <f>IF(B1033=0,VLOOKUP(A1033,Feuil2!$A$2:$M$1241,9,FALSE)," ")</f>
        <v xml:space="preserve"> </v>
      </c>
      <c r="K1033" s="1" t="str">
        <f>IF(B1033=0,VLOOKUP(A1033,Feuil2!$A$2:$M$1241,10,FALSE)," ")</f>
        <v xml:space="preserve"> </v>
      </c>
      <c r="L1033" s="1"/>
      <c r="M1033" s="1"/>
      <c r="N1033" s="1"/>
      <c r="O1033" s="8" t="str">
        <f>IF(B1033=0,VLOOKUP(A1033,Feuil2!$A$2:$M$1241,13,FALSE)," ")</f>
        <v xml:space="preserve"> </v>
      </c>
    </row>
    <row r="1034" spans="1:15" x14ac:dyDescent="0.3">
      <c r="A1034" s="1">
        <v>1621</v>
      </c>
      <c r="B1034" s="1">
        <v>2</v>
      </c>
      <c r="C1034" s="1" t="s">
        <v>314</v>
      </c>
      <c r="D1034" s="1" t="s">
        <v>122</v>
      </c>
      <c r="E1034" s="5">
        <v>38994</v>
      </c>
      <c r="F1034" s="1" t="s">
        <v>506</v>
      </c>
      <c r="G1034" s="1" t="str">
        <f>IF(B1034=0,VLOOKUP(A1034,Feuil2!$A$2:$M$1241,11,FALSE)," ")</f>
        <v xml:space="preserve"> </v>
      </c>
      <c r="H1034" s="1" t="s">
        <v>16</v>
      </c>
      <c r="I1034" s="6" t="str">
        <f>IF(B1034=0,VLOOKUP(A1034,Feuil2!$A$2:$M$1241,7,FALSE)," ")</f>
        <v xml:space="preserve"> </v>
      </c>
      <c r="J1034" s="1" t="str">
        <f>IF(B1034=0,VLOOKUP(A1034,Feuil2!$A$2:$M$1241,9,FALSE)," ")</f>
        <v xml:space="preserve"> </v>
      </c>
      <c r="K1034" s="1" t="str">
        <f>IF(B1034=0,VLOOKUP(A1034,Feuil2!$A$2:$M$1241,10,FALSE)," ")</f>
        <v xml:space="preserve"> </v>
      </c>
      <c r="L1034" s="1"/>
      <c r="M1034" s="1"/>
      <c r="N1034" s="1"/>
      <c r="O1034" s="8" t="str">
        <f>IF(B1034=0,VLOOKUP(A1034,Feuil2!$A$2:$M$1241,13,FALSE)," ")</f>
        <v xml:space="preserve"> </v>
      </c>
    </row>
    <row r="1035" spans="1:15" x14ac:dyDescent="0.3">
      <c r="A1035" s="1">
        <v>1621</v>
      </c>
      <c r="B1035" s="1">
        <v>3</v>
      </c>
      <c r="C1035" s="1" t="s">
        <v>314</v>
      </c>
      <c r="D1035" s="1" t="s">
        <v>2389</v>
      </c>
      <c r="E1035" s="5">
        <v>40075</v>
      </c>
      <c r="F1035" s="1" t="s">
        <v>17</v>
      </c>
      <c r="G1035" s="1" t="str">
        <f>IF(B1035=0,VLOOKUP(A1035,Feuil2!$A$2:$M$1241,11,FALSE)," ")</f>
        <v xml:space="preserve"> </v>
      </c>
      <c r="H1035" s="1" t="s">
        <v>16</v>
      </c>
      <c r="I1035" s="6" t="str">
        <f>IF(B1035=0,VLOOKUP(A1035,Feuil2!$A$2:$M$1241,7,FALSE)," ")</f>
        <v xml:space="preserve"> </v>
      </c>
      <c r="J1035" s="1" t="str">
        <f>IF(B1035=0,VLOOKUP(A1035,Feuil2!$A$2:$M$1241,9,FALSE)," ")</f>
        <v xml:space="preserve"> </v>
      </c>
      <c r="K1035" s="1" t="str">
        <f>IF(B1035=0,VLOOKUP(A1035,Feuil2!$A$2:$M$1241,10,FALSE)," ")</f>
        <v xml:space="preserve"> </v>
      </c>
      <c r="L1035" s="1"/>
      <c r="M1035" s="1"/>
      <c r="N1035" s="1"/>
      <c r="O1035" s="8" t="str">
        <f>IF(B1035=0,VLOOKUP(A1035,Feuil2!$A$2:$M$1241,13,FALSE)," ")</f>
        <v xml:space="preserve"> </v>
      </c>
    </row>
    <row r="1036" spans="1:15" x14ac:dyDescent="0.3">
      <c r="A1036" s="1">
        <v>1621</v>
      </c>
      <c r="B1036" s="1">
        <v>4</v>
      </c>
      <c r="C1036" s="1" t="s">
        <v>314</v>
      </c>
      <c r="D1036" s="1" t="s">
        <v>2432</v>
      </c>
      <c r="E1036" s="5">
        <v>42213</v>
      </c>
      <c r="F1036" s="1" t="s">
        <v>17</v>
      </c>
      <c r="G1036" s="1" t="str">
        <f>IF(B1036=0,VLOOKUP(A1036,Feuil2!$A$2:$M$1241,11,FALSE)," ")</f>
        <v xml:space="preserve"> </v>
      </c>
      <c r="H1036" s="1" t="s">
        <v>16</v>
      </c>
      <c r="I1036" s="6" t="str">
        <f>IF(B1036=0,VLOOKUP(A1036,Feuil2!$A$2:$M$1241,7,FALSE)," ")</f>
        <v xml:space="preserve"> </v>
      </c>
      <c r="J1036" s="1" t="str">
        <f>IF(B1036=0,VLOOKUP(A1036,Feuil2!$A$2:$M$1241,9,FALSE)," ")</f>
        <v xml:space="preserve"> </v>
      </c>
      <c r="K1036" s="1" t="str">
        <f>IF(B1036=0,VLOOKUP(A1036,Feuil2!$A$2:$M$1241,10,FALSE)," ")</f>
        <v xml:space="preserve"> </v>
      </c>
      <c r="L1036" s="1"/>
      <c r="M1036" s="1"/>
      <c r="N1036" s="1"/>
      <c r="O1036" s="8" t="str">
        <f>IF(B1036=0,VLOOKUP(A1036,Feuil2!$A$2:$M$1241,13,FALSE)," ")</f>
        <v xml:space="preserve"> </v>
      </c>
    </row>
    <row r="1037" spans="1:15" x14ac:dyDescent="0.3">
      <c r="A1037" s="1">
        <v>1625</v>
      </c>
      <c r="B1037" s="1">
        <v>0</v>
      </c>
      <c r="C1037" s="1" t="str">
        <f>IF(B1037=0,VLOOKUP(A1037,Feuil2!$A$2:$M$1241,2,FALSE)," ")</f>
        <v>HAMILA</v>
      </c>
      <c r="D1037" s="1" t="str">
        <f>IF(B1037=0,VLOOKUP(A1037,Feuil2!$A$2:$M$1241,3,FALSE)," ")</f>
        <v>SAMIR</v>
      </c>
      <c r="E1037" s="5">
        <f>IF(B1037=0,VLOOKUP(A1037,Feuil2!$A$2:$M$1241,6,FALSE)," ")</f>
        <v>24415</v>
      </c>
      <c r="F1037" s="1" t="str">
        <f>IF(B1037=0,VLOOKUP(A1037,Feuil2!$A$2:$M$1241,12,FALSE)," ")</f>
        <v>H</v>
      </c>
      <c r="G1037" s="1" t="str">
        <f>IF(B1037=0,VLOOKUP(A1037,Feuil2!$A$2:$M$1241,11,FALSE)," ")</f>
        <v>M</v>
      </c>
      <c r="H1037" s="1" t="s">
        <v>16</v>
      </c>
      <c r="I1037" s="6">
        <f>IF(B1037=0,VLOOKUP(A1037,Feuil2!$A$2:$M$1241,7,FALSE)," ")</f>
        <v>2969963</v>
      </c>
      <c r="J1037" s="1" t="str">
        <f>IF(B1037=0,VLOOKUP(A1037,Feuil2!$A$2:$M$1241,9,FALSE)," ")</f>
        <v>27, Rue Najd citÃ© Ennour</v>
      </c>
      <c r="K1037" s="1" t="str">
        <f>IF(B1037=0,VLOOKUP(A1037,Feuil2!$A$2:$M$1241,10,FALSE)," ")</f>
        <v>Msaken 4070</v>
      </c>
      <c r="L1037" s="1">
        <v>4070</v>
      </c>
      <c r="M1037" s="1">
        <v>98570477</v>
      </c>
      <c r="N1037" s="1"/>
      <c r="O1037" s="8" t="str">
        <f>IF(B1037=0,VLOOKUP(A1037,Feuil2!$A$2:$M$1241,13,FALSE)," ")</f>
        <v>17503000000129105744</v>
      </c>
    </row>
    <row r="1038" spans="1:15" x14ac:dyDescent="0.3">
      <c r="A1038" s="1">
        <v>1625</v>
      </c>
      <c r="B1038" s="1">
        <v>1</v>
      </c>
      <c r="C1038" s="1" t="str">
        <f>IF(B1038=0,VLOOKUP(A1038,Feuil2!$A$2:$M$1241,2,FALSE)," ")</f>
        <v xml:space="preserve"> </v>
      </c>
      <c r="D1038" s="1" t="s">
        <v>2381</v>
      </c>
      <c r="E1038" s="5">
        <v>27461</v>
      </c>
      <c r="F1038" s="1" t="s">
        <v>17</v>
      </c>
      <c r="G1038" s="1" t="s">
        <v>15</v>
      </c>
      <c r="H1038" s="1" t="s">
        <v>16</v>
      </c>
      <c r="I1038" s="6" t="str">
        <f>IF(B1038=0,VLOOKUP(A1038,Feuil2!$A$2:$M$1241,7,FALSE)," ")</f>
        <v xml:space="preserve"> </v>
      </c>
      <c r="J1038" s="1" t="str">
        <f>IF(B1038=0,VLOOKUP(A1038,Feuil2!$A$2:$M$1241,9,FALSE)," ")</f>
        <v xml:space="preserve"> </v>
      </c>
      <c r="K1038" s="1" t="str">
        <f>IF(B1038=0,VLOOKUP(A1038,Feuil2!$A$2:$M$1241,10,FALSE)," ")</f>
        <v xml:space="preserve"> </v>
      </c>
      <c r="L1038" s="1"/>
      <c r="M1038" s="1"/>
      <c r="N1038" s="1"/>
      <c r="O1038" s="8" t="str">
        <f>IF(B1038=0,VLOOKUP(A1038,Feuil2!$A$2:$M$1241,13,FALSE)," ")</f>
        <v xml:space="preserve"> </v>
      </c>
    </row>
    <row r="1039" spans="1:15" x14ac:dyDescent="0.3">
      <c r="A1039" s="1">
        <v>1625</v>
      </c>
      <c r="B1039" s="1">
        <v>2</v>
      </c>
      <c r="C1039" s="1" t="s">
        <v>103</v>
      </c>
      <c r="D1039" s="1" t="s">
        <v>130</v>
      </c>
      <c r="E1039" s="5">
        <v>35474</v>
      </c>
      <c r="F1039" s="1" t="s">
        <v>506</v>
      </c>
      <c r="G1039" s="1" t="str">
        <f>IF(B1039=0,VLOOKUP(A1039,Feuil2!$A$2:$M$1241,11,FALSE)," ")</f>
        <v xml:space="preserve"> </v>
      </c>
      <c r="H1039" s="1" t="s">
        <v>16</v>
      </c>
      <c r="I1039" s="6" t="str">
        <f>IF(B1039=0,VLOOKUP(A1039,Feuil2!$A$2:$M$1241,7,FALSE)," ")</f>
        <v xml:space="preserve"> </v>
      </c>
      <c r="J1039" s="1" t="str">
        <f>IF(B1039=0,VLOOKUP(A1039,Feuil2!$A$2:$M$1241,9,FALSE)," ")</f>
        <v xml:space="preserve"> </v>
      </c>
      <c r="K1039" s="1" t="str">
        <f>IF(B1039=0,VLOOKUP(A1039,Feuil2!$A$2:$M$1241,10,FALSE)," ")</f>
        <v xml:space="preserve"> </v>
      </c>
      <c r="L1039" s="1"/>
      <c r="M1039" s="1"/>
      <c r="N1039" s="1"/>
      <c r="O1039" s="8" t="str">
        <f>IF(B1039=0,VLOOKUP(A1039,Feuil2!$A$2:$M$1241,13,FALSE)," ")</f>
        <v xml:space="preserve"> </v>
      </c>
    </row>
    <row r="1040" spans="1:15" x14ac:dyDescent="0.3">
      <c r="A1040" s="1">
        <v>1625</v>
      </c>
      <c r="B1040" s="1">
        <v>3</v>
      </c>
      <c r="C1040" s="1" t="s">
        <v>103</v>
      </c>
      <c r="D1040" s="1" t="s">
        <v>2579</v>
      </c>
      <c r="E1040" s="5">
        <v>39081</v>
      </c>
      <c r="F1040" s="1" t="s">
        <v>17</v>
      </c>
      <c r="G1040" s="1" t="str">
        <f>IF(B1040=0,VLOOKUP(A1040,Feuil2!$A$2:$M$1241,11,FALSE)," ")</f>
        <v xml:space="preserve"> </v>
      </c>
      <c r="H1040" s="1" t="s">
        <v>16</v>
      </c>
      <c r="I1040" s="6" t="str">
        <f>IF(B1040=0,VLOOKUP(A1040,Feuil2!$A$2:$M$1241,7,FALSE)," ")</f>
        <v xml:space="preserve"> </v>
      </c>
      <c r="J1040" s="1" t="str">
        <f>IF(B1040=0,VLOOKUP(A1040,Feuil2!$A$2:$M$1241,9,FALSE)," ")</f>
        <v xml:space="preserve"> </v>
      </c>
      <c r="K1040" s="1" t="str">
        <f>IF(B1040=0,VLOOKUP(A1040,Feuil2!$A$2:$M$1241,10,FALSE)," ")</f>
        <v xml:space="preserve"> </v>
      </c>
      <c r="L1040" s="1"/>
      <c r="M1040" s="1"/>
      <c r="N1040" s="1"/>
      <c r="O1040" s="8" t="str">
        <f>IF(B1040=0,VLOOKUP(A1040,Feuil2!$A$2:$M$1241,13,FALSE)," ")</f>
        <v xml:space="preserve"> </v>
      </c>
    </row>
    <row r="1041" spans="1:16" x14ac:dyDescent="0.3">
      <c r="A1041" s="1">
        <v>1626</v>
      </c>
      <c r="B1041" s="1">
        <v>0</v>
      </c>
      <c r="C1041" s="1" t="str">
        <f>IF(B1041=0,VLOOKUP(A1041,Feuil2!$A$2:$M$1241,2,FALSE)," ")</f>
        <v>CHAARANA</v>
      </c>
      <c r="D1041" s="1" t="str">
        <f>IF(B1041=0,VLOOKUP(A1041,Feuil2!$A$2:$M$1241,3,FALSE)," ")</f>
        <v>MOHAMED</v>
      </c>
      <c r="E1041" s="5">
        <f>IF(B1041=0,VLOOKUP(A1041,Feuil2!$A$2:$M$1241,6,FALSE)," ")</f>
        <v>25236</v>
      </c>
      <c r="F1041" s="1" t="str">
        <f>IF(B1041=0,VLOOKUP(A1041,Feuil2!$A$2:$M$1241,12,FALSE)," ")</f>
        <v>H</v>
      </c>
      <c r="G1041" s="1" t="str">
        <f>IF(B1041=0,VLOOKUP(A1041,Feuil2!$A$2:$M$1241,11,FALSE)," ")</f>
        <v>M</v>
      </c>
      <c r="H1041" s="1" t="s">
        <v>16</v>
      </c>
      <c r="I1041" s="6">
        <f>IF(B1041=0,VLOOKUP(A1041,Feuil2!$A$2:$M$1241,7,FALSE)," ")</f>
        <v>5517129</v>
      </c>
      <c r="J1041" s="1" t="str">
        <f>IF(B1041=0,VLOOKUP(A1041,Feuil2!$A$2:$M$1241,9,FALSE)," ")</f>
        <v>143 Rue HÃ©di Chaker</v>
      </c>
      <c r="K1041" s="1" t="str">
        <f>IF(B1041=0,VLOOKUP(A1041,Feuil2!$A$2:$M$1241,10,FALSE)," ")</f>
        <v>Msaken 4070</v>
      </c>
      <c r="L1041" s="1">
        <v>4070</v>
      </c>
      <c r="M1041" s="1">
        <v>97800668</v>
      </c>
      <c r="N1041" s="1"/>
      <c r="O1041" s="8" t="str">
        <f>IF(B1041=0,VLOOKUP(A1041,Feuil2!$A$2:$M$1241,13,FALSE)," ")</f>
        <v>04204067000979955222</v>
      </c>
    </row>
    <row r="1042" spans="1:16" x14ac:dyDescent="0.3">
      <c r="A1042" s="1">
        <v>1626</v>
      </c>
      <c r="B1042" s="1">
        <v>1</v>
      </c>
      <c r="C1042" s="1" t="s">
        <v>103</v>
      </c>
      <c r="D1042" s="1" t="s">
        <v>1301</v>
      </c>
      <c r="E1042" s="5">
        <v>28447</v>
      </c>
      <c r="F1042" s="1" t="s">
        <v>17</v>
      </c>
      <c r="G1042" s="1" t="s">
        <v>15</v>
      </c>
      <c r="H1042" s="1" t="s">
        <v>16</v>
      </c>
      <c r="I1042" s="6" t="str">
        <f>IF(B1042=0,VLOOKUP(A1042,Feuil2!$A$2:$M$1241,7,FALSE)," ")</f>
        <v xml:space="preserve"> </v>
      </c>
      <c r="J1042" s="1" t="str">
        <f>IF(B1042=0,VLOOKUP(A1042,Feuil2!$A$2:$M$1241,9,FALSE)," ")</f>
        <v xml:space="preserve"> </v>
      </c>
      <c r="K1042" s="1" t="str">
        <f>IF(B1042=0,VLOOKUP(A1042,Feuil2!$A$2:$M$1241,10,FALSE)," ")</f>
        <v xml:space="preserve"> </v>
      </c>
      <c r="L1042" s="1"/>
      <c r="M1042" s="1"/>
      <c r="N1042" s="1"/>
      <c r="O1042" s="8" t="str">
        <f>IF(B1042=0,VLOOKUP(A1042,Feuil2!$A$2:$M$1241,13,FALSE)," ")</f>
        <v xml:space="preserve"> </v>
      </c>
    </row>
    <row r="1043" spans="1:16" x14ac:dyDescent="0.3">
      <c r="A1043" s="1">
        <v>1626</v>
      </c>
      <c r="B1043" s="1">
        <v>2</v>
      </c>
      <c r="C1043" s="1" t="s">
        <v>84</v>
      </c>
      <c r="D1043" s="1" t="s">
        <v>107</v>
      </c>
      <c r="E1043" s="5">
        <v>38279</v>
      </c>
      <c r="F1043" s="1" t="s">
        <v>506</v>
      </c>
      <c r="G1043" s="1" t="str">
        <f>IF(B1043=0,VLOOKUP(A1043,Feuil2!$A$2:$M$1241,11,FALSE)," ")</f>
        <v xml:space="preserve"> </v>
      </c>
      <c r="H1043" s="1" t="s">
        <v>16</v>
      </c>
      <c r="I1043" s="6" t="str">
        <f>IF(B1043=0,VLOOKUP(A1043,Feuil2!$A$2:$M$1241,7,FALSE)," ")</f>
        <v xml:space="preserve"> </v>
      </c>
      <c r="J1043" s="1" t="str">
        <f>IF(B1043=0,VLOOKUP(A1043,Feuil2!$A$2:$M$1241,9,FALSE)," ")</f>
        <v xml:space="preserve"> </v>
      </c>
      <c r="K1043" s="1" t="str">
        <f>IF(B1043=0,VLOOKUP(A1043,Feuil2!$A$2:$M$1241,10,FALSE)," ")</f>
        <v xml:space="preserve"> </v>
      </c>
      <c r="L1043" s="1"/>
      <c r="M1043" s="1"/>
      <c r="N1043" s="1"/>
      <c r="O1043" s="8" t="str">
        <f>IF(B1043=0,VLOOKUP(A1043,Feuil2!$A$2:$M$1241,13,FALSE)," ")</f>
        <v xml:space="preserve"> </v>
      </c>
    </row>
    <row r="1044" spans="1:16" x14ac:dyDescent="0.3">
      <c r="A1044" s="1">
        <v>1626</v>
      </c>
      <c r="B1044" s="1">
        <v>3</v>
      </c>
      <c r="C1044" s="1" t="s">
        <v>84</v>
      </c>
      <c r="D1044" s="1" t="s">
        <v>2060</v>
      </c>
      <c r="E1044" s="5">
        <v>41497</v>
      </c>
      <c r="F1044" s="1" t="s">
        <v>17</v>
      </c>
      <c r="G1044" s="1" t="str">
        <f>IF(B1044=0,VLOOKUP(A1044,Feuil2!$A$2:$M$1241,11,FALSE)," ")</f>
        <v xml:space="preserve"> </v>
      </c>
      <c r="H1044" s="1" t="s">
        <v>16</v>
      </c>
      <c r="I1044" s="6" t="str">
        <f>IF(B1044=0,VLOOKUP(A1044,Feuil2!$A$2:$M$1241,7,FALSE)," ")</f>
        <v xml:space="preserve"> </v>
      </c>
      <c r="J1044" s="1" t="str">
        <f>IF(B1044=0,VLOOKUP(A1044,Feuil2!$A$2:$M$1241,9,FALSE)," ")</f>
        <v xml:space="preserve"> </v>
      </c>
      <c r="K1044" s="1" t="str">
        <f>IF(B1044=0,VLOOKUP(A1044,Feuil2!$A$2:$M$1241,10,FALSE)," ")</f>
        <v xml:space="preserve"> </v>
      </c>
      <c r="L1044" s="1"/>
      <c r="M1044" s="1"/>
      <c r="N1044" s="1"/>
      <c r="O1044" s="8" t="str">
        <f>IF(B1044=0,VLOOKUP(A1044,Feuil2!$A$2:$M$1241,13,FALSE)," ")</f>
        <v xml:space="preserve"> </v>
      </c>
    </row>
    <row r="1045" spans="1:16" x14ac:dyDescent="0.3">
      <c r="A1045" s="1">
        <v>1633</v>
      </c>
      <c r="B1045" s="1">
        <v>0</v>
      </c>
      <c r="C1045" s="1" t="str">
        <f>IF(B1045=0,VLOOKUP(A1045,Feuil2!$A$2:$M$1241,2,FALSE)," ")</f>
        <v>ROMDHANE</v>
      </c>
      <c r="D1045" s="1" t="str">
        <f>IF(B1045=0,VLOOKUP(A1045,Feuil2!$A$2:$M$1241,3,FALSE)," ")</f>
        <v>HEDI</v>
      </c>
      <c r="E1045" s="5">
        <f>IF(B1045=0,VLOOKUP(A1045,Feuil2!$A$2:$M$1241,6,FALSE)," ")</f>
        <v>27233</v>
      </c>
      <c r="F1045" s="1" t="str">
        <f>IF(B1045=0,VLOOKUP(A1045,Feuil2!$A$2:$M$1241,12,FALSE)," ")</f>
        <v>H</v>
      </c>
      <c r="G1045" s="1" t="str">
        <f>IF(B1045=0,VLOOKUP(A1045,Feuil2!$A$2:$M$1241,11,FALSE)," ")</f>
        <v>M</v>
      </c>
      <c r="H1045" s="1" t="s">
        <v>16</v>
      </c>
      <c r="I1045" s="6">
        <f>IF(B1045=0,VLOOKUP(A1045,Feuil2!$A$2:$M$1241,7,FALSE)," ")</f>
        <v>5546757</v>
      </c>
      <c r="J1045" s="1" t="str">
        <f>IF(B1045=0,VLOOKUP(A1045,Feuil2!$A$2:$M$1241,9,FALSE)," ")</f>
        <v>8 Rue Aziza Othmana</v>
      </c>
      <c r="K1045" s="1" t="str">
        <f>IF(B1045=0,VLOOKUP(A1045,Feuil2!$A$2:$M$1241,10,FALSE)," ")</f>
        <v>Msaken 4070</v>
      </c>
      <c r="L1045" s="1">
        <v>4070</v>
      </c>
      <c r="M1045" s="1">
        <v>26077854</v>
      </c>
      <c r="N1045" s="1"/>
      <c r="O1045" s="8" t="str">
        <f>IF(B1045=0,VLOOKUP(A1045,Feuil2!$A$2:$M$1241,13,FALSE)," ")</f>
        <v>10506040206974378896</v>
      </c>
    </row>
    <row r="1046" spans="1:16" x14ac:dyDescent="0.3">
      <c r="A1046" s="1">
        <v>1633</v>
      </c>
      <c r="B1046" s="1">
        <v>1</v>
      </c>
      <c r="C1046" s="1" t="s">
        <v>620</v>
      </c>
      <c r="D1046" s="1" t="s">
        <v>2327</v>
      </c>
      <c r="E1046" s="5">
        <v>32333</v>
      </c>
      <c r="F1046" s="1" t="s">
        <v>17</v>
      </c>
      <c r="G1046" s="1" t="s">
        <v>15</v>
      </c>
      <c r="H1046" s="1" t="s">
        <v>16</v>
      </c>
      <c r="I1046" s="6" t="str">
        <f>IF(B1046=0,VLOOKUP(A1046,Feuil2!$A$2:$M$1241,7,FALSE)," ")</f>
        <v xml:space="preserve"> </v>
      </c>
      <c r="J1046" s="1" t="str">
        <f>IF(B1046=0,VLOOKUP(A1046,Feuil2!$A$2:$M$1241,9,FALSE)," ")</f>
        <v xml:space="preserve"> </v>
      </c>
      <c r="K1046" s="1" t="str">
        <f>IF(B1046=0,VLOOKUP(A1046,Feuil2!$A$2:$M$1241,10,FALSE)," ")</f>
        <v xml:space="preserve"> </v>
      </c>
      <c r="L1046" s="1"/>
      <c r="M1046" s="1"/>
      <c r="N1046" s="1"/>
      <c r="O1046" s="8" t="str">
        <f>IF(B1046=0,VLOOKUP(A1046,Feuil2!$A$2:$M$1241,13,FALSE)," ")</f>
        <v xml:space="preserve"> </v>
      </c>
    </row>
    <row r="1047" spans="1:16" x14ac:dyDescent="0.3">
      <c r="A1047" s="1">
        <v>1633</v>
      </c>
      <c r="B1047" s="1">
        <v>2</v>
      </c>
      <c r="C1047" s="1" t="s">
        <v>62</v>
      </c>
      <c r="D1047" s="1" t="s">
        <v>2383</v>
      </c>
      <c r="E1047" s="5">
        <v>39623</v>
      </c>
      <c r="F1047" s="1" t="s">
        <v>17</v>
      </c>
      <c r="G1047" s="1" t="str">
        <f>IF(B1047=0,VLOOKUP(A1047,Feuil2!$A$2:$M$1241,11,FALSE)," ")</f>
        <v xml:space="preserve"> </v>
      </c>
      <c r="H1047" s="1" t="s">
        <v>16</v>
      </c>
      <c r="I1047" s="6" t="str">
        <f>IF(B1047=0,VLOOKUP(A1047,Feuil2!$A$2:$M$1241,7,FALSE)," ")</f>
        <v xml:space="preserve"> </v>
      </c>
      <c r="J1047" s="1" t="str">
        <f>IF(B1047=0,VLOOKUP(A1047,Feuil2!$A$2:$M$1241,9,FALSE)," ")</f>
        <v xml:space="preserve"> </v>
      </c>
      <c r="K1047" s="1" t="str">
        <f>IF(B1047=0,VLOOKUP(A1047,Feuil2!$A$2:$M$1241,10,FALSE)," ")</f>
        <v xml:space="preserve"> </v>
      </c>
      <c r="L1047" s="1"/>
      <c r="M1047" s="1"/>
      <c r="N1047" s="1"/>
      <c r="O1047" s="8" t="str">
        <f>IF(B1047=0,VLOOKUP(A1047,Feuil2!$A$2:$M$1241,13,FALSE)," ")</f>
        <v xml:space="preserve"> </v>
      </c>
    </row>
    <row r="1048" spans="1:16" x14ac:dyDescent="0.3">
      <c r="A1048" s="1">
        <v>1633</v>
      </c>
      <c r="B1048" s="1">
        <v>3</v>
      </c>
      <c r="C1048" s="1" t="s">
        <v>62</v>
      </c>
      <c r="D1048" s="1" t="s">
        <v>2663</v>
      </c>
      <c r="E1048" s="5">
        <v>40345</v>
      </c>
      <c r="F1048" s="1" t="s">
        <v>17</v>
      </c>
      <c r="G1048" s="1" t="str">
        <f>IF(B1048=0,VLOOKUP(A1048,Feuil2!$A$2:$M$1241,11,FALSE)," ")</f>
        <v xml:space="preserve"> </v>
      </c>
      <c r="H1048" s="1" t="s">
        <v>16</v>
      </c>
      <c r="I1048" s="6" t="str">
        <f>IF(B1048=0,VLOOKUP(A1048,Feuil2!$A$2:$M$1241,7,FALSE)," ")</f>
        <v xml:space="preserve"> </v>
      </c>
      <c r="J1048" s="1" t="str">
        <f>IF(B1048=0,VLOOKUP(A1048,Feuil2!$A$2:$M$1241,9,FALSE)," ")</f>
        <v xml:space="preserve"> </v>
      </c>
      <c r="K1048" s="1" t="str">
        <f>IF(B1048=0,VLOOKUP(A1048,Feuil2!$A$2:$M$1241,10,FALSE)," ")</f>
        <v xml:space="preserve"> </v>
      </c>
      <c r="L1048" s="1"/>
      <c r="M1048" s="1"/>
      <c r="N1048" s="1"/>
      <c r="O1048" s="8" t="str">
        <f>IF(B1048=0,VLOOKUP(A1048,Feuil2!$A$2:$M$1241,13,FALSE)," ")</f>
        <v xml:space="preserve"> </v>
      </c>
    </row>
    <row r="1049" spans="1:16" x14ac:dyDescent="0.3">
      <c r="A1049" s="1">
        <v>1633</v>
      </c>
      <c r="B1049" s="1">
        <v>4</v>
      </c>
      <c r="C1049" s="1" t="s">
        <v>62</v>
      </c>
      <c r="D1049" s="1" t="s">
        <v>2664</v>
      </c>
      <c r="E1049" s="5">
        <v>41941</v>
      </c>
      <c r="F1049" s="1" t="s">
        <v>506</v>
      </c>
      <c r="G1049" s="1" t="str">
        <f>IF(B1049=0,VLOOKUP(A1049,Feuil2!$A$2:$M$1241,11,FALSE)," ")</f>
        <v xml:space="preserve"> </v>
      </c>
      <c r="H1049" s="1" t="s">
        <v>16</v>
      </c>
      <c r="I1049" s="6" t="str">
        <f>IF(B1049=0,VLOOKUP(A1049,Feuil2!$A$2:$M$1241,7,FALSE)," ")</f>
        <v xml:space="preserve"> </v>
      </c>
      <c r="J1049" s="1" t="str">
        <f>IF(B1049=0,VLOOKUP(A1049,Feuil2!$A$2:$M$1241,9,FALSE)," ")</f>
        <v xml:space="preserve"> </v>
      </c>
      <c r="K1049" s="1" t="str">
        <f>IF(B1049=0,VLOOKUP(A1049,Feuil2!$A$2:$M$1241,10,FALSE)," ")</f>
        <v xml:space="preserve"> </v>
      </c>
      <c r="L1049" s="1"/>
      <c r="M1049" s="1"/>
      <c r="N1049" s="1"/>
      <c r="O1049" s="8" t="str">
        <f>IF(B1049=0,VLOOKUP(A1049,Feuil2!$A$2:$M$1241,13,FALSE)," ")</f>
        <v xml:space="preserve"> </v>
      </c>
    </row>
    <row r="1050" spans="1:16" x14ac:dyDescent="0.3">
      <c r="A1050" s="1">
        <v>1639</v>
      </c>
      <c r="B1050" s="1">
        <v>0</v>
      </c>
      <c r="C1050" s="1" t="str">
        <f>IF(B1050=0,VLOOKUP(A1050,Feuil2!$A$2:$M$1241,2,FALSE)," ")</f>
        <v>ZBIDI</v>
      </c>
      <c r="D1050" s="1" t="str">
        <f>IF(B1050=0,VLOOKUP(A1050,Feuil2!$A$2:$M$1241,3,FALSE)," ")</f>
        <v>FAKHER</v>
      </c>
      <c r="E1050" s="5">
        <f>IF(B1050=0,VLOOKUP(A1050,Feuil2!$A$2:$M$1241,6,FALSE)," ")</f>
        <v>24279</v>
      </c>
      <c r="F1050" s="1" t="str">
        <f>IF(B1050=0,VLOOKUP(A1050,Feuil2!$A$2:$M$1241,12,FALSE)," ")</f>
        <v>H</v>
      </c>
      <c r="G1050" s="1" t="str">
        <f>IF(B1050=0,VLOOKUP(A1050,Feuil2!$A$2:$M$1241,11,FALSE)," ")</f>
        <v>M</v>
      </c>
      <c r="H1050" s="1" t="s">
        <v>16</v>
      </c>
      <c r="I1050" s="6">
        <f>IF(B1050=0,VLOOKUP(A1050,Feuil2!$A$2:$M$1241,7,FALSE)," ")</f>
        <v>2980299</v>
      </c>
      <c r="J1050" s="1" t="str">
        <f>IF(B1050=0,VLOOKUP(A1050,Feuil2!$A$2:$M$1241,9,FALSE)," ")</f>
        <v>NULL</v>
      </c>
      <c r="K1050" s="1" t="str">
        <f>IF(B1050=0,VLOOKUP(A1050,Feuil2!$A$2:$M$1241,10,FALSE)," ")</f>
        <v>NULL</v>
      </c>
      <c r="L1050" s="1"/>
      <c r="M1050" s="1">
        <v>98793521</v>
      </c>
      <c r="N1050" s="1"/>
      <c r="O1050" s="8" t="str">
        <f>IF(B1050=0,VLOOKUP(A1050,Feuil2!$A$2:$M$1241,13,FALSE)," ")</f>
        <v>14014014100700604557</v>
      </c>
    </row>
    <row r="1051" spans="1:16" x14ac:dyDescent="0.3">
      <c r="A1051" s="1">
        <v>1639</v>
      </c>
      <c r="B1051" s="1">
        <v>1</v>
      </c>
      <c r="C1051" s="1" t="str">
        <f>IF(B1051=0,VLOOKUP(A1051,Feuil2!$A$2:$M$1241,2,FALSE)," ")</f>
        <v xml:space="preserve"> </v>
      </c>
      <c r="D1051" s="1" t="s">
        <v>2316</v>
      </c>
      <c r="E1051" s="5">
        <v>26752</v>
      </c>
      <c r="F1051" s="1" t="s">
        <v>17</v>
      </c>
      <c r="G1051" s="1" t="s">
        <v>15</v>
      </c>
      <c r="H1051" s="1" t="s">
        <v>16</v>
      </c>
      <c r="I1051" s="6" t="str">
        <f>IF(B1051=0,VLOOKUP(A1051,Feuil2!$A$2:$M$1241,7,FALSE)," ")</f>
        <v xml:space="preserve"> </v>
      </c>
      <c r="J1051" s="1" t="str">
        <f>IF(B1051=0,VLOOKUP(A1051,Feuil2!$A$2:$M$1241,9,FALSE)," ")</f>
        <v xml:space="preserve"> </v>
      </c>
      <c r="K1051" s="1" t="str">
        <f>IF(B1051=0,VLOOKUP(A1051,Feuil2!$A$2:$M$1241,10,FALSE)," ")</f>
        <v xml:space="preserve"> </v>
      </c>
      <c r="L1051" s="1"/>
      <c r="M1051" s="1"/>
      <c r="N1051" s="1"/>
      <c r="O1051" s="8" t="str">
        <f>IF(B1051=0,VLOOKUP(A1051,Feuil2!$A$2:$M$1241,13,FALSE)," ")</f>
        <v xml:space="preserve"> </v>
      </c>
    </row>
    <row r="1052" spans="1:16" x14ac:dyDescent="0.3">
      <c r="A1052" s="1">
        <v>1639</v>
      </c>
      <c r="B1052" s="1">
        <v>2</v>
      </c>
      <c r="C1052" s="1" t="s">
        <v>409</v>
      </c>
      <c r="D1052" s="1" t="s">
        <v>2371</v>
      </c>
      <c r="E1052" s="5">
        <v>37770</v>
      </c>
      <c r="F1052" s="1" t="s">
        <v>17</v>
      </c>
      <c r="G1052" s="1" t="str">
        <f>IF(B1052=0,VLOOKUP(A1052,Feuil2!$A$2:$M$1241,11,FALSE)," ")</f>
        <v xml:space="preserve"> </v>
      </c>
      <c r="H1052" s="1" t="s">
        <v>16</v>
      </c>
      <c r="I1052" s="6" t="str">
        <f>IF(B1052=0,VLOOKUP(A1052,Feuil2!$A$2:$M$1241,7,FALSE)," ")</f>
        <v xml:space="preserve"> </v>
      </c>
      <c r="J1052" s="1" t="str">
        <f>IF(B1052=0,VLOOKUP(A1052,Feuil2!$A$2:$M$1241,9,FALSE)," ")</f>
        <v xml:space="preserve"> </v>
      </c>
      <c r="K1052" s="1" t="str">
        <f>IF(B1052=0,VLOOKUP(A1052,Feuil2!$A$2:$M$1241,10,FALSE)," ")</f>
        <v xml:space="preserve"> </v>
      </c>
      <c r="L1052" s="1"/>
      <c r="M1052" s="1"/>
      <c r="N1052" s="1"/>
      <c r="O1052" s="8" t="str">
        <f>IF(B1052=0,VLOOKUP(A1052,Feuil2!$A$2:$M$1241,13,FALSE)," ")</f>
        <v xml:space="preserve"> </v>
      </c>
      <c r="P1052" t="s">
        <v>2805</v>
      </c>
    </row>
    <row r="1053" spans="1:16" x14ac:dyDescent="0.3">
      <c r="A1053" s="1">
        <v>1639</v>
      </c>
      <c r="B1053" s="1">
        <v>3</v>
      </c>
      <c r="C1053" s="1" t="s">
        <v>409</v>
      </c>
      <c r="D1053" s="1" t="s">
        <v>1824</v>
      </c>
      <c r="E1053" s="5">
        <v>38840</v>
      </c>
      <c r="F1053" s="1" t="s">
        <v>17</v>
      </c>
      <c r="G1053" s="1" t="str">
        <f>IF(B1053=0,VLOOKUP(A1053,Feuil2!$A$2:$M$1241,11,FALSE)," ")</f>
        <v xml:space="preserve"> </v>
      </c>
      <c r="H1053" s="1" t="s">
        <v>16</v>
      </c>
      <c r="I1053" s="6" t="str">
        <f>IF(B1053=0,VLOOKUP(A1053,Feuil2!$A$2:$M$1241,7,FALSE)," ")</f>
        <v xml:space="preserve"> </v>
      </c>
      <c r="J1053" s="1" t="str">
        <f>IF(B1053=0,VLOOKUP(A1053,Feuil2!$A$2:$M$1241,9,FALSE)," ")</f>
        <v xml:space="preserve"> </v>
      </c>
      <c r="K1053" s="1" t="str">
        <f>IF(B1053=0,VLOOKUP(A1053,Feuil2!$A$2:$M$1241,10,FALSE)," ")</f>
        <v xml:space="preserve"> </v>
      </c>
      <c r="L1053" s="1"/>
      <c r="M1053" s="1"/>
      <c r="N1053" s="1"/>
      <c r="O1053" s="8" t="str">
        <f>IF(B1053=0,VLOOKUP(A1053,Feuil2!$A$2:$M$1241,13,FALSE)," ")</f>
        <v xml:space="preserve"> </v>
      </c>
    </row>
    <row r="1054" spans="1:16" x14ac:dyDescent="0.3">
      <c r="A1054" s="1">
        <v>1639</v>
      </c>
      <c r="B1054" s="1">
        <v>4</v>
      </c>
      <c r="C1054" s="1" t="s">
        <v>409</v>
      </c>
      <c r="D1054" s="1" t="s">
        <v>2345</v>
      </c>
      <c r="E1054" s="5">
        <v>40528</v>
      </c>
      <c r="F1054" s="1" t="s">
        <v>17</v>
      </c>
      <c r="G1054" s="1" t="str">
        <f>IF(B1054=0,VLOOKUP(A1054,Feuil2!$A$2:$M$1241,11,FALSE)," ")</f>
        <v xml:space="preserve"> </v>
      </c>
      <c r="H1054" s="1" t="s">
        <v>16</v>
      </c>
      <c r="I1054" s="6" t="str">
        <f>IF(B1054=0,VLOOKUP(A1054,Feuil2!$A$2:$M$1241,7,FALSE)," ")</f>
        <v xml:space="preserve"> </v>
      </c>
      <c r="J1054" s="1" t="str">
        <f>IF(B1054=0,VLOOKUP(A1054,Feuil2!$A$2:$M$1241,9,FALSE)," ")</f>
        <v xml:space="preserve"> </v>
      </c>
      <c r="K1054" s="1" t="str">
        <f>IF(B1054=0,VLOOKUP(A1054,Feuil2!$A$2:$M$1241,10,FALSE)," ")</f>
        <v xml:space="preserve"> </v>
      </c>
      <c r="L1054" s="1"/>
      <c r="M1054" s="1"/>
      <c r="N1054" s="1"/>
      <c r="O1054" s="8" t="str">
        <f>IF(B1054=0,VLOOKUP(A1054,Feuil2!$A$2:$M$1241,13,FALSE)," ")</f>
        <v xml:space="preserve"> </v>
      </c>
    </row>
    <row r="1055" spans="1:16" x14ac:dyDescent="0.3">
      <c r="A1055" s="1">
        <v>1643</v>
      </c>
      <c r="B1055" s="1">
        <v>0</v>
      </c>
      <c r="C1055" s="1" t="str">
        <f>IF(B1055=0,VLOOKUP(A1055,Feuil2!$A$2:$M$1241,2,FALSE)," ")</f>
        <v>HALLEB</v>
      </c>
      <c r="D1055" s="1" t="str">
        <f>IF(B1055=0,VLOOKUP(A1055,Feuil2!$A$2:$M$1241,3,FALSE)," ")</f>
        <v>SALAH</v>
      </c>
      <c r="E1055" s="5">
        <f>IF(B1055=0,VLOOKUP(A1055,Feuil2!$A$2:$M$1241,6,FALSE)," ")</f>
        <v>28526</v>
      </c>
      <c r="F1055" s="1" t="str">
        <f>IF(B1055=0,VLOOKUP(A1055,Feuil2!$A$2:$M$1241,12,FALSE)," ")</f>
        <v>H</v>
      </c>
      <c r="G1055" s="1" t="str">
        <f>IF(B1055=0,VLOOKUP(A1055,Feuil2!$A$2:$M$1241,11,FALSE)," ")</f>
        <v>M</v>
      </c>
      <c r="H1055" s="1" t="s">
        <v>16</v>
      </c>
      <c r="I1055" s="6">
        <f>IF(B1055=0,VLOOKUP(A1055,Feuil2!$A$2:$M$1241,7,FALSE)," ")</f>
        <v>5581900</v>
      </c>
      <c r="J1055" s="1" t="str">
        <f>IF(B1055=0,VLOOKUP(A1055,Feuil2!$A$2:$M$1241,9,FALSE)," ")</f>
        <v>4014 Knaies</v>
      </c>
      <c r="K1055" s="1" t="str">
        <f>IF(B1055=0,VLOOKUP(A1055,Feuil2!$A$2:$M$1241,10,FALSE)," ")</f>
        <v>Knaies 4014</v>
      </c>
      <c r="L1055" s="1">
        <v>4014</v>
      </c>
      <c r="M1055" s="1">
        <v>97554413</v>
      </c>
      <c r="N1055" s="1"/>
      <c r="O1055" s="8" t="str">
        <f>IF(B1055=0,VLOOKUP(A1055,Feuil2!$A$2:$M$1241,13,FALSE)," ")</f>
        <v>10506040206209778821</v>
      </c>
    </row>
    <row r="1056" spans="1:16" x14ac:dyDescent="0.3">
      <c r="A1056" s="1">
        <v>1643</v>
      </c>
      <c r="B1056" s="1">
        <v>1</v>
      </c>
      <c r="C1056" s="1" t="s">
        <v>111</v>
      </c>
      <c r="D1056" s="1" t="s">
        <v>2569</v>
      </c>
      <c r="E1056" s="5">
        <v>32483</v>
      </c>
      <c r="F1056" s="1" t="s">
        <v>17</v>
      </c>
      <c r="G1056" s="1" t="s">
        <v>15</v>
      </c>
      <c r="H1056" s="1" t="s">
        <v>16</v>
      </c>
      <c r="I1056" s="6" t="str">
        <f>IF(B1056=0,VLOOKUP(A1056,Feuil2!$A$2:$M$1241,7,FALSE)," ")</f>
        <v xml:space="preserve"> </v>
      </c>
      <c r="J1056" s="1" t="str">
        <f>IF(B1056=0,VLOOKUP(A1056,Feuil2!$A$2:$M$1241,9,FALSE)," ")</f>
        <v xml:space="preserve"> </v>
      </c>
      <c r="K1056" s="1" t="str">
        <f>IF(B1056=0,VLOOKUP(A1056,Feuil2!$A$2:$M$1241,10,FALSE)," ")</f>
        <v xml:space="preserve"> </v>
      </c>
      <c r="L1056" s="1"/>
      <c r="M1056" s="1"/>
      <c r="N1056" s="1"/>
      <c r="O1056" s="8" t="str">
        <f>IF(B1056=0,VLOOKUP(A1056,Feuil2!$A$2:$M$1241,13,FALSE)," ")</f>
        <v xml:space="preserve"> </v>
      </c>
    </row>
    <row r="1057" spans="1:15" x14ac:dyDescent="0.3">
      <c r="A1057" s="1">
        <v>1643</v>
      </c>
      <c r="B1057" s="1">
        <v>2</v>
      </c>
      <c r="C1057" s="1" t="s">
        <v>207</v>
      </c>
      <c r="D1057" s="1" t="s">
        <v>2665</v>
      </c>
      <c r="E1057" s="5">
        <v>39982</v>
      </c>
      <c r="F1057" s="1" t="s">
        <v>17</v>
      </c>
      <c r="G1057" s="1" t="str">
        <f>IF(B1057=0,VLOOKUP(A1057,Feuil2!$A$2:$M$1241,11,FALSE)," ")</f>
        <v xml:space="preserve"> </v>
      </c>
      <c r="H1057" s="1" t="s">
        <v>16</v>
      </c>
      <c r="I1057" s="6" t="str">
        <f>IF(B1057=0,VLOOKUP(A1057,Feuil2!$A$2:$M$1241,7,FALSE)," ")</f>
        <v xml:space="preserve"> </v>
      </c>
      <c r="J1057" s="1" t="str">
        <f>IF(B1057=0,VLOOKUP(A1057,Feuil2!$A$2:$M$1241,9,FALSE)," ")</f>
        <v xml:space="preserve"> </v>
      </c>
      <c r="K1057" s="1" t="str">
        <f>IF(B1057=0,VLOOKUP(A1057,Feuil2!$A$2:$M$1241,10,FALSE)," ")</f>
        <v xml:space="preserve"> </v>
      </c>
      <c r="L1057" s="1"/>
      <c r="M1057" s="1"/>
      <c r="N1057" s="1"/>
      <c r="O1057" s="8" t="str">
        <f>IF(B1057=0,VLOOKUP(A1057,Feuil2!$A$2:$M$1241,13,FALSE)," ")</f>
        <v xml:space="preserve"> </v>
      </c>
    </row>
    <row r="1058" spans="1:15" x14ac:dyDescent="0.3">
      <c r="A1058" s="1">
        <v>1643</v>
      </c>
      <c r="B1058" s="1">
        <v>3</v>
      </c>
      <c r="C1058" s="1" t="s">
        <v>207</v>
      </c>
      <c r="D1058" s="1" t="s">
        <v>2498</v>
      </c>
      <c r="E1058" s="5">
        <v>41677</v>
      </c>
      <c r="F1058" s="1" t="s">
        <v>17</v>
      </c>
      <c r="G1058" s="1" t="str">
        <f>IF(B1058=0,VLOOKUP(A1058,Feuil2!$A$2:$M$1241,11,FALSE)," ")</f>
        <v xml:space="preserve"> </v>
      </c>
      <c r="H1058" s="1" t="s">
        <v>16</v>
      </c>
      <c r="I1058" s="6" t="str">
        <f>IF(B1058=0,VLOOKUP(A1058,Feuil2!$A$2:$M$1241,7,FALSE)," ")</f>
        <v xml:space="preserve"> </v>
      </c>
      <c r="J1058" s="1" t="str">
        <f>IF(B1058=0,VLOOKUP(A1058,Feuil2!$A$2:$M$1241,9,FALSE)," ")</f>
        <v xml:space="preserve"> </v>
      </c>
      <c r="K1058" s="1" t="str">
        <f>IF(B1058=0,VLOOKUP(A1058,Feuil2!$A$2:$M$1241,10,FALSE)," ")</f>
        <v xml:space="preserve"> </v>
      </c>
      <c r="L1058" s="1"/>
      <c r="M1058" s="1"/>
      <c r="N1058" s="1"/>
      <c r="O1058" s="8" t="str">
        <f>IF(B1058=0,VLOOKUP(A1058,Feuil2!$A$2:$M$1241,13,FALSE)," ")</f>
        <v xml:space="preserve"> </v>
      </c>
    </row>
    <row r="1059" spans="1:15" x14ac:dyDescent="0.3">
      <c r="A1059" s="1">
        <v>1643</v>
      </c>
      <c r="B1059" s="1">
        <v>4</v>
      </c>
      <c r="C1059" s="1" t="s">
        <v>207</v>
      </c>
      <c r="D1059" s="1" t="s">
        <v>34</v>
      </c>
      <c r="E1059" s="5">
        <v>42119</v>
      </c>
      <c r="F1059" s="1" t="s">
        <v>506</v>
      </c>
      <c r="G1059" s="1" t="str">
        <f>IF(B1059=0,VLOOKUP(A1059,Feuil2!$A$2:$M$1241,11,FALSE)," ")</f>
        <v xml:space="preserve"> </v>
      </c>
      <c r="H1059" s="1" t="s">
        <v>16</v>
      </c>
      <c r="I1059" s="6" t="str">
        <f>IF(B1059=0,VLOOKUP(A1059,Feuil2!$A$2:$M$1241,7,FALSE)," ")</f>
        <v xml:space="preserve"> </v>
      </c>
      <c r="J1059" s="1" t="str">
        <f>IF(B1059=0,VLOOKUP(A1059,Feuil2!$A$2:$M$1241,9,FALSE)," ")</f>
        <v xml:space="preserve"> </v>
      </c>
      <c r="K1059" s="1" t="str">
        <f>IF(B1059=0,VLOOKUP(A1059,Feuil2!$A$2:$M$1241,10,FALSE)," ")</f>
        <v xml:space="preserve"> </v>
      </c>
      <c r="L1059" s="1"/>
      <c r="M1059" s="1"/>
      <c r="N1059" s="1"/>
      <c r="O1059" s="8" t="str">
        <f>IF(B1059=0,VLOOKUP(A1059,Feuil2!$A$2:$M$1241,13,FALSE)," ")</f>
        <v xml:space="preserve"> </v>
      </c>
    </row>
    <row r="1060" spans="1:15" x14ac:dyDescent="0.3">
      <c r="A1060" s="17">
        <v>1644</v>
      </c>
      <c r="B1060" s="17">
        <v>0</v>
      </c>
      <c r="C1060" s="17" t="str">
        <f>IF(B1060=0,VLOOKUP(A1060,Feuil2!$A$2:$M$1241,2,FALSE)," ")</f>
        <v>CHANTOU JMEGUER</v>
      </c>
      <c r="D1060" s="17" t="str">
        <f>IF(B1060=0,VLOOKUP(A1060,Feuil2!$A$2:$M$1241,3,FALSE)," ")</f>
        <v>LOTFI</v>
      </c>
      <c r="E1060" s="18">
        <f>IF(B1060=0,VLOOKUP(A1060,Feuil2!$A$2:$M$1241,6,FALSE)," ")</f>
        <v>23995</v>
      </c>
      <c r="F1060" s="17" t="str">
        <f>IF(B1060=0,VLOOKUP(A1060,Feuil2!$A$2:$M$1241,12,FALSE)," ")</f>
        <v>H</v>
      </c>
      <c r="G1060" s="17" t="str">
        <f>IF(B1060=0,VLOOKUP(A1060,Feuil2!$A$2:$M$1241,11,FALSE)," ")</f>
        <v>M</v>
      </c>
      <c r="H1060" s="17" t="s">
        <v>16</v>
      </c>
      <c r="I1060" s="19">
        <f>IF(B1060=0,VLOOKUP(A1060,Feuil2!$A$2:$M$1241,7,FALSE)," ")</f>
        <v>2979427</v>
      </c>
      <c r="J1060" s="17" t="str">
        <f>IF(B1060=0,VLOOKUP(A1060,Feuil2!$A$2:$M$1241,9,FALSE)," ")</f>
        <v>5 Rue El Hana</v>
      </c>
      <c r="K1060" s="17" t="str">
        <f>IF(B1060=0,VLOOKUP(A1060,Feuil2!$A$2:$M$1241,10,FALSE)," ")</f>
        <v>Msaken 4070</v>
      </c>
      <c r="L1060" s="17">
        <v>4070</v>
      </c>
      <c r="M1060" s="17">
        <v>97224621</v>
      </c>
      <c r="N1060" s="17"/>
      <c r="O1060" s="20" t="str">
        <f>IF(B1060=0,VLOOKUP(A1060,Feuil2!$A$2:$M$1241,13,FALSE)," ")</f>
        <v>04204067404002207385</v>
      </c>
    </row>
    <row r="1061" spans="1:15" x14ac:dyDescent="0.3">
      <c r="A1061" s="1">
        <v>1644</v>
      </c>
      <c r="B1061" s="1">
        <v>1</v>
      </c>
      <c r="C1061" s="1" t="s">
        <v>713</v>
      </c>
      <c r="D1061" s="1" t="s">
        <v>2666</v>
      </c>
      <c r="E1061" s="5">
        <v>27571</v>
      </c>
      <c r="F1061" s="1" t="s">
        <v>17</v>
      </c>
      <c r="G1061" s="1" t="s">
        <v>15</v>
      </c>
      <c r="H1061" s="1" t="s">
        <v>16</v>
      </c>
      <c r="I1061" s="6" t="str">
        <f>IF(B1061=0,VLOOKUP(A1061,Feuil2!$A$2:$M$1241,7,FALSE)," ")</f>
        <v xml:space="preserve"> </v>
      </c>
      <c r="J1061" s="1" t="str">
        <f>IF(B1061=0,VLOOKUP(A1061,Feuil2!$A$2:$M$1241,9,FALSE)," ")</f>
        <v xml:space="preserve"> </v>
      </c>
      <c r="K1061" s="1" t="str">
        <f>IF(B1061=0,VLOOKUP(A1061,Feuil2!$A$2:$M$1241,10,FALSE)," ")</f>
        <v xml:space="preserve"> </v>
      </c>
      <c r="L1061" s="1"/>
      <c r="M1061" s="1"/>
      <c r="N1061" s="1"/>
      <c r="O1061" s="8" t="str">
        <f>IF(B1061=0,VLOOKUP(A1061,Feuil2!$A$2:$M$1241,13,FALSE)," ")</f>
        <v xml:space="preserve"> </v>
      </c>
    </row>
    <row r="1062" spans="1:15" x14ac:dyDescent="0.3">
      <c r="A1062" s="1">
        <v>1644</v>
      </c>
      <c r="B1062" s="1">
        <v>2</v>
      </c>
      <c r="C1062" s="1" t="s">
        <v>1483</v>
      </c>
      <c r="D1062" s="1" t="s">
        <v>402</v>
      </c>
      <c r="E1062" s="5">
        <v>34901</v>
      </c>
      <c r="F1062" s="1" t="s">
        <v>17</v>
      </c>
      <c r="G1062" s="1" t="str">
        <f>IF(B1062=0,VLOOKUP(A1062,Feuil2!$A$2:$M$1241,11,FALSE)," ")</f>
        <v xml:space="preserve"> </v>
      </c>
      <c r="H1062" s="1" t="s">
        <v>16</v>
      </c>
      <c r="I1062" s="6" t="str">
        <f>IF(B1062=0,VLOOKUP(A1062,Feuil2!$A$2:$M$1241,7,FALSE)," ")</f>
        <v xml:space="preserve"> </v>
      </c>
      <c r="J1062" s="1" t="str">
        <f>IF(B1062=0,VLOOKUP(A1062,Feuil2!$A$2:$M$1241,9,FALSE)," ")</f>
        <v xml:space="preserve"> </v>
      </c>
      <c r="K1062" s="1" t="str">
        <f>IF(B1062=0,VLOOKUP(A1062,Feuil2!$A$2:$M$1241,10,FALSE)," ")</f>
        <v xml:space="preserve"> </v>
      </c>
      <c r="L1062" s="1"/>
      <c r="M1062" s="1"/>
      <c r="N1062" s="1"/>
      <c r="O1062" s="8" t="str">
        <f>IF(B1062=0,VLOOKUP(A1062,Feuil2!$A$2:$M$1241,13,FALSE)," ")</f>
        <v xml:space="preserve"> </v>
      </c>
    </row>
    <row r="1063" spans="1:15" x14ac:dyDescent="0.3">
      <c r="A1063" s="1">
        <v>1644</v>
      </c>
      <c r="B1063" s="1">
        <v>3</v>
      </c>
      <c r="C1063" s="1" t="s">
        <v>1483</v>
      </c>
      <c r="D1063" s="1" t="s">
        <v>413</v>
      </c>
      <c r="E1063" s="5">
        <v>35705</v>
      </c>
      <c r="F1063" s="1" t="s">
        <v>17</v>
      </c>
      <c r="G1063" s="1" t="str">
        <f>IF(B1063=0,VLOOKUP(A1063,Feuil2!$A$2:$M$1241,11,FALSE)," ")</f>
        <v xml:space="preserve"> </v>
      </c>
      <c r="H1063" s="1" t="s">
        <v>16</v>
      </c>
      <c r="I1063" s="6" t="str">
        <f>IF(B1063=0,VLOOKUP(A1063,Feuil2!$A$2:$M$1241,7,FALSE)," ")</f>
        <v xml:space="preserve"> </v>
      </c>
      <c r="J1063" s="1" t="str">
        <f>IF(B1063=0,VLOOKUP(A1063,Feuil2!$A$2:$M$1241,9,FALSE)," ")</f>
        <v xml:space="preserve"> </v>
      </c>
      <c r="K1063" s="1" t="str">
        <f>IF(B1063=0,VLOOKUP(A1063,Feuil2!$A$2:$M$1241,10,FALSE)," ")</f>
        <v xml:space="preserve"> </v>
      </c>
      <c r="L1063" s="1"/>
      <c r="M1063" s="1"/>
      <c r="N1063" s="1"/>
      <c r="O1063" s="8" t="str">
        <f>IF(B1063=0,VLOOKUP(A1063,Feuil2!$A$2:$M$1241,13,FALSE)," ")</f>
        <v xml:space="preserve"> </v>
      </c>
    </row>
    <row r="1064" spans="1:15" x14ac:dyDescent="0.3">
      <c r="A1064" s="1">
        <v>1644</v>
      </c>
      <c r="B1064" s="1">
        <v>4</v>
      </c>
      <c r="C1064" s="1" t="s">
        <v>1483</v>
      </c>
      <c r="D1064" s="1" t="s">
        <v>2598</v>
      </c>
      <c r="E1064" s="5">
        <v>37833</v>
      </c>
      <c r="F1064" s="1" t="s">
        <v>506</v>
      </c>
      <c r="G1064" s="1" t="str">
        <f>IF(B1064=0,VLOOKUP(A1064,Feuil2!$A$2:$M$1241,11,FALSE)," ")</f>
        <v xml:space="preserve"> </v>
      </c>
      <c r="H1064" s="1" t="s">
        <v>16</v>
      </c>
      <c r="I1064" s="6" t="str">
        <f>IF(B1064=0,VLOOKUP(A1064,Feuil2!$A$2:$M$1241,7,FALSE)," ")</f>
        <v xml:space="preserve"> </v>
      </c>
      <c r="J1064" s="1" t="str">
        <f>IF(B1064=0,VLOOKUP(A1064,Feuil2!$A$2:$M$1241,9,FALSE)," ")</f>
        <v xml:space="preserve"> </v>
      </c>
      <c r="K1064" s="1" t="str">
        <f>IF(B1064=0,VLOOKUP(A1064,Feuil2!$A$2:$M$1241,10,FALSE)," ")</f>
        <v xml:space="preserve"> </v>
      </c>
      <c r="L1064" s="1"/>
      <c r="M1064" s="1"/>
      <c r="N1064" s="1"/>
      <c r="O1064" s="8" t="str">
        <f>IF(B1064=0,VLOOKUP(A1064,Feuil2!$A$2:$M$1241,13,FALSE)," ")</f>
        <v xml:space="preserve"> </v>
      </c>
    </row>
    <row r="1065" spans="1:15" x14ac:dyDescent="0.3">
      <c r="A1065" s="1">
        <v>1644</v>
      </c>
      <c r="B1065" s="1">
        <v>5</v>
      </c>
      <c r="C1065" s="1" t="s">
        <v>1483</v>
      </c>
      <c r="D1065" s="1" t="s">
        <v>2447</v>
      </c>
      <c r="E1065" s="5">
        <v>39163</v>
      </c>
      <c r="F1065" s="1" t="s">
        <v>17</v>
      </c>
      <c r="G1065" s="1" t="str">
        <f>IF(B1065=0,VLOOKUP(A1065,Feuil2!$A$2:$M$1241,11,FALSE)," ")</f>
        <v xml:space="preserve"> </v>
      </c>
      <c r="H1065" s="1" t="s">
        <v>16</v>
      </c>
      <c r="I1065" s="6" t="str">
        <f>IF(B1065=0,VLOOKUP(A1065,Feuil2!$A$2:$M$1241,7,FALSE)," ")</f>
        <v xml:space="preserve"> </v>
      </c>
      <c r="J1065" s="1" t="str">
        <f>IF(B1065=0,VLOOKUP(A1065,Feuil2!$A$2:$M$1241,9,FALSE)," ")</f>
        <v xml:space="preserve"> </v>
      </c>
      <c r="K1065" s="1" t="str">
        <f>IF(B1065=0,VLOOKUP(A1065,Feuil2!$A$2:$M$1241,10,FALSE)," ")</f>
        <v xml:space="preserve"> </v>
      </c>
      <c r="L1065" s="1"/>
      <c r="M1065" s="1"/>
      <c r="N1065" s="1"/>
      <c r="O1065" s="8" t="str">
        <f>IF(B1065=0,VLOOKUP(A1065,Feuil2!$A$2:$M$1241,13,FALSE)," ")</f>
        <v xml:space="preserve"> </v>
      </c>
    </row>
    <row r="1066" spans="1:15" x14ac:dyDescent="0.3">
      <c r="A1066" s="1">
        <v>1644</v>
      </c>
      <c r="B1066" s="1">
        <v>6</v>
      </c>
      <c r="C1066" s="1" t="s">
        <v>1483</v>
      </c>
      <c r="D1066" s="1" t="s">
        <v>34</v>
      </c>
      <c r="E1066" s="5">
        <v>39764</v>
      </c>
      <c r="F1066" s="1" t="s">
        <v>506</v>
      </c>
      <c r="G1066" s="1" t="str">
        <f>IF(B1066=0,VLOOKUP(A1066,Feuil2!$A$2:$M$1241,11,FALSE)," ")</f>
        <v xml:space="preserve"> </v>
      </c>
      <c r="H1066" s="1" t="s">
        <v>16</v>
      </c>
      <c r="I1066" s="6" t="str">
        <f>IF(B1066=0,VLOOKUP(A1066,Feuil2!$A$2:$M$1241,7,FALSE)," ")</f>
        <v xml:space="preserve"> </v>
      </c>
      <c r="J1066" s="1" t="str">
        <f>IF(B1066=0,VLOOKUP(A1066,Feuil2!$A$2:$M$1241,9,FALSE)," ")</f>
        <v xml:space="preserve"> </v>
      </c>
      <c r="K1066" s="1" t="str">
        <f>IF(B1066=0,VLOOKUP(A1066,Feuil2!$A$2:$M$1241,10,FALSE)," ")</f>
        <v xml:space="preserve"> </v>
      </c>
      <c r="L1066" s="1"/>
      <c r="M1066" s="1"/>
      <c r="N1066" s="1"/>
      <c r="O1066" s="8" t="str">
        <f>IF(B1066=0,VLOOKUP(A1066,Feuil2!$A$2:$M$1241,13,FALSE)," ")</f>
        <v xml:space="preserve"> </v>
      </c>
    </row>
    <row r="1067" spans="1:15" x14ac:dyDescent="0.3">
      <c r="A1067" s="1">
        <v>1652</v>
      </c>
      <c r="B1067" s="1">
        <v>0</v>
      </c>
      <c r="C1067" s="1" t="str">
        <f>IF(B1067=0,VLOOKUP(A1067,Feuil2!$A$2:$M$1241,2,FALSE)," ")</f>
        <v>BEN ABDALLAH</v>
      </c>
      <c r="D1067" s="1" t="str">
        <f>IF(B1067=0,VLOOKUP(A1067,Feuil2!$A$2:$M$1241,3,FALSE)," ")</f>
        <v>KHELIL</v>
      </c>
      <c r="E1067" s="5">
        <f>IF(B1067=0,VLOOKUP(A1067,Feuil2!$A$2:$M$1241,6,FALSE)," ")</f>
        <v>26487</v>
      </c>
      <c r="F1067" s="1" t="str">
        <f>IF(B1067=0,VLOOKUP(A1067,Feuil2!$A$2:$M$1241,12,FALSE)," ")</f>
        <v>H</v>
      </c>
      <c r="G1067" s="1" t="str">
        <f>IF(B1067=0,VLOOKUP(A1067,Feuil2!$A$2:$M$1241,11,FALSE)," ")</f>
        <v>M</v>
      </c>
      <c r="H1067" s="1" t="s">
        <v>16</v>
      </c>
      <c r="I1067" s="6">
        <f>IF(B1067=0,VLOOKUP(A1067,Feuil2!$A$2:$M$1241,7,FALSE)," ")</f>
        <v>5534619</v>
      </c>
      <c r="J1067" s="1" t="str">
        <f>IF(B1067=0,VLOOKUP(A1067,Feuil2!$A$2:$M$1241,9,FALSE)," ")</f>
        <v>182 Rue Mohamed Ali</v>
      </c>
      <c r="K1067" s="1" t="str">
        <f>IF(B1067=0,VLOOKUP(A1067,Feuil2!$A$2:$M$1241,10,FALSE)," ")</f>
        <v>Msaken 4070</v>
      </c>
      <c r="L1067" s="1">
        <v>4070</v>
      </c>
      <c r="M1067" s="1">
        <v>98793758</v>
      </c>
      <c r="N1067" s="1"/>
      <c r="O1067" s="8" t="str">
        <f>IF(B1067=0,VLOOKUP(A1067,Feuil2!$A$2:$M$1241,13,FALSE)," ")</f>
        <v>03508056010100279493</v>
      </c>
    </row>
    <row r="1068" spans="1:15" x14ac:dyDescent="0.3">
      <c r="A1068" s="1">
        <v>1652</v>
      </c>
      <c r="B1068" s="1">
        <v>1</v>
      </c>
      <c r="C1068" s="1" t="s">
        <v>33</v>
      </c>
      <c r="D1068" s="1" t="s">
        <v>1007</v>
      </c>
      <c r="E1068" s="5">
        <v>30161</v>
      </c>
      <c r="F1068" s="1" t="s">
        <v>17</v>
      </c>
      <c r="G1068" s="1" t="s">
        <v>15</v>
      </c>
      <c r="H1068" s="1" t="s">
        <v>16</v>
      </c>
      <c r="I1068" s="6" t="str">
        <f>IF(B1068=0,VLOOKUP(A1068,Feuil2!$A$2:$M$1241,7,FALSE)," ")</f>
        <v xml:space="preserve"> </v>
      </c>
      <c r="J1068" s="1" t="str">
        <f>IF(B1068=0,VLOOKUP(A1068,Feuil2!$A$2:$M$1241,9,FALSE)," ")</f>
        <v xml:space="preserve"> </v>
      </c>
      <c r="K1068" s="1" t="str">
        <f>IF(B1068=0,VLOOKUP(A1068,Feuil2!$A$2:$M$1241,10,FALSE)," ")</f>
        <v xml:space="preserve"> </v>
      </c>
      <c r="L1068" s="1"/>
      <c r="M1068" s="1"/>
      <c r="N1068" s="1"/>
      <c r="O1068" s="8" t="str">
        <f>IF(B1068=0,VLOOKUP(A1068,Feuil2!$A$2:$M$1241,13,FALSE)," ")</f>
        <v xml:space="preserve"> </v>
      </c>
    </row>
    <row r="1069" spans="1:15" x14ac:dyDescent="0.3">
      <c r="A1069" s="1">
        <v>1652</v>
      </c>
      <c r="B1069" s="1">
        <v>2</v>
      </c>
      <c r="C1069" s="1" t="s">
        <v>582</v>
      </c>
      <c r="D1069" s="1" t="s">
        <v>2667</v>
      </c>
      <c r="E1069" s="5">
        <v>38207</v>
      </c>
      <c r="F1069" s="1" t="s">
        <v>17</v>
      </c>
      <c r="G1069" s="1" t="str">
        <f>IF(B1069=0,VLOOKUP(A1069,Feuil2!$A$2:$M$1241,11,FALSE)," ")</f>
        <v xml:space="preserve"> </v>
      </c>
      <c r="H1069" s="1" t="s">
        <v>16</v>
      </c>
      <c r="I1069" s="6" t="str">
        <f>IF(B1069=0,VLOOKUP(A1069,Feuil2!$A$2:$M$1241,7,FALSE)," ")</f>
        <v xml:space="preserve"> </v>
      </c>
      <c r="J1069" s="1" t="str">
        <f>IF(B1069=0,VLOOKUP(A1069,Feuil2!$A$2:$M$1241,9,FALSE)," ")</f>
        <v xml:space="preserve"> </v>
      </c>
      <c r="K1069" s="1" t="str">
        <f>IF(B1069=0,VLOOKUP(A1069,Feuil2!$A$2:$M$1241,10,FALSE)," ")</f>
        <v xml:space="preserve"> </v>
      </c>
      <c r="L1069" s="1"/>
      <c r="M1069" s="1"/>
      <c r="N1069" s="1"/>
      <c r="O1069" s="8" t="str">
        <f>IF(B1069=0,VLOOKUP(A1069,Feuil2!$A$2:$M$1241,13,FALSE)," ")</f>
        <v xml:space="preserve"> </v>
      </c>
    </row>
    <row r="1070" spans="1:15" x14ac:dyDescent="0.3">
      <c r="A1070" s="1">
        <v>1652</v>
      </c>
      <c r="B1070" s="1">
        <v>3</v>
      </c>
      <c r="C1070" s="1" t="s">
        <v>582</v>
      </c>
      <c r="D1070" s="1" t="s">
        <v>2332</v>
      </c>
      <c r="E1070" s="5">
        <v>40791</v>
      </c>
      <c r="F1070" s="1" t="s">
        <v>17</v>
      </c>
      <c r="G1070" s="1" t="str">
        <f>IF(B1070=0,VLOOKUP(A1070,Feuil2!$A$2:$M$1241,11,FALSE)," ")</f>
        <v xml:space="preserve"> </v>
      </c>
      <c r="H1070" s="1" t="s">
        <v>16</v>
      </c>
      <c r="I1070" s="6" t="str">
        <f>IF(B1070=0,VLOOKUP(A1070,Feuil2!$A$2:$M$1241,7,FALSE)," ")</f>
        <v xml:space="preserve"> </v>
      </c>
      <c r="J1070" s="1" t="str">
        <f>IF(B1070=0,VLOOKUP(A1070,Feuil2!$A$2:$M$1241,9,FALSE)," ")</f>
        <v xml:space="preserve"> </v>
      </c>
      <c r="K1070" s="1" t="str">
        <f>IF(B1070=0,VLOOKUP(A1070,Feuil2!$A$2:$M$1241,10,FALSE)," ")</f>
        <v xml:space="preserve"> </v>
      </c>
      <c r="L1070" s="1"/>
      <c r="M1070" s="1"/>
      <c r="N1070" s="1"/>
      <c r="O1070" s="8" t="str">
        <f>IF(B1070=0,VLOOKUP(A1070,Feuil2!$A$2:$M$1241,13,FALSE)," ")</f>
        <v xml:space="preserve"> </v>
      </c>
    </row>
    <row r="1071" spans="1:15" x14ac:dyDescent="0.3">
      <c r="A1071" s="1">
        <v>1652</v>
      </c>
      <c r="B1071" s="1">
        <v>4</v>
      </c>
      <c r="C1071" s="1" t="s">
        <v>582</v>
      </c>
      <c r="D1071" s="1" t="s">
        <v>2383</v>
      </c>
      <c r="E1071" s="5">
        <v>41502</v>
      </c>
      <c r="F1071" s="1" t="s">
        <v>17</v>
      </c>
      <c r="G1071" s="1" t="str">
        <f>IF(B1071=0,VLOOKUP(A1071,Feuil2!$A$2:$M$1241,11,FALSE)," ")</f>
        <v xml:space="preserve"> </v>
      </c>
      <c r="H1071" s="1" t="s">
        <v>16</v>
      </c>
      <c r="I1071" s="6" t="str">
        <f>IF(B1071=0,VLOOKUP(A1071,Feuil2!$A$2:$M$1241,7,FALSE)," ")</f>
        <v xml:space="preserve"> </v>
      </c>
      <c r="J1071" s="1" t="str">
        <f>IF(B1071=0,VLOOKUP(A1071,Feuil2!$A$2:$M$1241,9,FALSE)," ")</f>
        <v xml:space="preserve"> </v>
      </c>
      <c r="K1071" s="1" t="str">
        <f>IF(B1071=0,VLOOKUP(A1071,Feuil2!$A$2:$M$1241,10,FALSE)," ")</f>
        <v xml:space="preserve"> </v>
      </c>
      <c r="L1071" s="1"/>
      <c r="M1071" s="1"/>
      <c r="N1071" s="1"/>
      <c r="O1071" s="8" t="str">
        <f>IF(B1071=0,VLOOKUP(A1071,Feuil2!$A$2:$M$1241,13,FALSE)," ")</f>
        <v xml:space="preserve"> </v>
      </c>
    </row>
    <row r="1072" spans="1:15" x14ac:dyDescent="0.3">
      <c r="A1072" s="1">
        <v>1658</v>
      </c>
      <c r="B1072" s="1">
        <v>0</v>
      </c>
      <c r="C1072" s="1" t="str">
        <f>IF(B1072=0,VLOOKUP(A1072,Feuil2!$A$2:$M$1241,2,FALSE)," ")</f>
        <v>SLAMA</v>
      </c>
      <c r="D1072" s="1" t="str">
        <f>IF(B1072=0,VLOOKUP(A1072,Feuil2!$A$2:$M$1241,3,FALSE)," ")</f>
        <v>MOUNIR</v>
      </c>
      <c r="E1072" s="5">
        <f>IF(B1072=0,VLOOKUP(A1072,Feuil2!$A$2:$M$1241,6,FALSE)," ")</f>
        <v>26227</v>
      </c>
      <c r="F1072" s="1" t="str">
        <f>IF(B1072=0,VLOOKUP(A1072,Feuil2!$A$2:$M$1241,12,FALSE)," ")</f>
        <v>H</v>
      </c>
      <c r="G1072" s="1" t="str">
        <f>IF(B1072=0,VLOOKUP(A1072,Feuil2!$A$2:$M$1241,11,FALSE)," ")</f>
        <v>M</v>
      </c>
      <c r="H1072" s="1" t="s">
        <v>16</v>
      </c>
      <c r="I1072" s="6">
        <f>IF(B1072=0,VLOOKUP(A1072,Feuil2!$A$2:$M$1241,7,FALSE)," ")</f>
        <v>5524837</v>
      </c>
      <c r="J1072" s="1" t="str">
        <f>IF(B1072=0,VLOOKUP(A1072,Feuil2!$A$2:$M$1241,9,FALSE)," ")</f>
        <v>Rue de l'IndÃ©pendance</v>
      </c>
      <c r="K1072" s="1" t="str">
        <f>IF(B1072=0,VLOOKUP(A1072,Feuil2!$A$2:$M$1241,10,FALSE)," ")</f>
        <v>Akouda</v>
      </c>
      <c r="L1072" s="1"/>
      <c r="M1072" s="1">
        <v>98793554</v>
      </c>
      <c r="N1072" s="1"/>
      <c r="O1072" s="8" t="str">
        <f>IF(B1072=0,VLOOKUP(A1072,Feuil2!$A$2:$M$1241,13,FALSE)," ")</f>
        <v>04204067000559723286</v>
      </c>
    </row>
    <row r="1073" spans="1:15" x14ac:dyDescent="0.3">
      <c r="A1073" s="1">
        <v>1658</v>
      </c>
      <c r="B1073" s="1">
        <v>1</v>
      </c>
      <c r="C1073" s="1" t="s">
        <v>409</v>
      </c>
      <c r="D1073" s="1" t="s">
        <v>1049</v>
      </c>
      <c r="E1073" s="5">
        <v>26552</v>
      </c>
      <c r="F1073" s="1" t="s">
        <v>17</v>
      </c>
      <c r="G1073" s="1" t="s">
        <v>15</v>
      </c>
      <c r="H1073" s="1" t="s">
        <v>16</v>
      </c>
      <c r="I1073" s="6" t="str">
        <f>IF(B1073=0,VLOOKUP(A1073,Feuil2!$A$2:$M$1241,7,FALSE)," ")</f>
        <v xml:space="preserve"> </v>
      </c>
      <c r="J1073" s="1" t="str">
        <f>IF(B1073=0,VLOOKUP(A1073,Feuil2!$A$2:$M$1241,9,FALSE)," ")</f>
        <v xml:space="preserve"> </v>
      </c>
      <c r="K1073" s="1" t="str">
        <f>IF(B1073=0,VLOOKUP(A1073,Feuil2!$A$2:$M$1241,10,FALSE)," ")</f>
        <v xml:space="preserve"> </v>
      </c>
      <c r="L1073" s="1"/>
      <c r="M1073" s="1"/>
      <c r="N1073" s="1"/>
      <c r="O1073" s="8" t="str">
        <f>IF(B1073=0,VLOOKUP(A1073,Feuil2!$A$2:$M$1241,13,FALSE)," ")</f>
        <v xml:space="preserve"> </v>
      </c>
    </row>
    <row r="1074" spans="1:15" x14ac:dyDescent="0.3">
      <c r="A1074" s="1">
        <v>1658</v>
      </c>
      <c r="B1074" s="1">
        <v>2</v>
      </c>
      <c r="C1074" s="1" t="s">
        <v>111</v>
      </c>
      <c r="D1074" s="1" t="s">
        <v>2668</v>
      </c>
      <c r="E1074" s="5">
        <v>38447</v>
      </c>
      <c r="F1074" s="1" t="s">
        <v>17</v>
      </c>
      <c r="G1074" s="1" t="str">
        <f>IF(B1074=0,VLOOKUP(A1074,Feuil2!$A$2:$M$1241,11,FALSE)," ")</f>
        <v xml:space="preserve"> </v>
      </c>
      <c r="H1074" s="1" t="s">
        <v>16</v>
      </c>
      <c r="I1074" s="6" t="str">
        <f>IF(B1074=0,VLOOKUP(A1074,Feuil2!$A$2:$M$1241,7,FALSE)," ")</f>
        <v xml:space="preserve"> </v>
      </c>
      <c r="J1074" s="1" t="str">
        <f>IF(B1074=0,VLOOKUP(A1074,Feuil2!$A$2:$M$1241,9,FALSE)," ")</f>
        <v xml:space="preserve"> </v>
      </c>
      <c r="K1074" s="1" t="str">
        <f>IF(B1074=0,VLOOKUP(A1074,Feuil2!$A$2:$M$1241,10,FALSE)," ")</f>
        <v xml:space="preserve"> </v>
      </c>
      <c r="L1074" s="1"/>
      <c r="M1074" s="1"/>
      <c r="N1074" s="1"/>
      <c r="O1074" s="8" t="str">
        <f>IF(B1074=0,VLOOKUP(A1074,Feuil2!$A$2:$M$1241,13,FALSE)," ")</f>
        <v xml:space="preserve"> </v>
      </c>
    </row>
    <row r="1075" spans="1:15" x14ac:dyDescent="0.3">
      <c r="A1075" s="1">
        <v>1658</v>
      </c>
      <c r="B1075" s="1">
        <v>3</v>
      </c>
      <c r="C1075" s="1" t="s">
        <v>111</v>
      </c>
      <c r="D1075" s="1" t="s">
        <v>2578</v>
      </c>
      <c r="E1075" s="5">
        <v>39393</v>
      </c>
      <c r="F1075" s="1" t="s">
        <v>506</v>
      </c>
      <c r="G1075" s="1" t="str">
        <f>IF(B1075=0,VLOOKUP(A1075,Feuil2!$A$2:$M$1241,11,FALSE)," ")</f>
        <v xml:space="preserve"> </v>
      </c>
      <c r="H1075" s="1" t="s">
        <v>16</v>
      </c>
      <c r="I1075" s="6" t="str">
        <f>IF(B1075=0,VLOOKUP(A1075,Feuil2!$A$2:$M$1241,7,FALSE)," ")</f>
        <v xml:space="preserve"> </v>
      </c>
      <c r="J1075" s="1" t="str">
        <f>IF(B1075=0,VLOOKUP(A1075,Feuil2!$A$2:$M$1241,9,FALSE)," ")</f>
        <v xml:space="preserve"> </v>
      </c>
      <c r="K1075" s="1" t="str">
        <f>IF(B1075=0,VLOOKUP(A1075,Feuil2!$A$2:$M$1241,10,FALSE)," ")</f>
        <v xml:space="preserve"> </v>
      </c>
      <c r="L1075" s="1"/>
      <c r="M1075" s="1"/>
      <c r="N1075" s="1"/>
      <c r="O1075" s="8" t="str">
        <f>IF(B1075=0,VLOOKUP(A1075,Feuil2!$A$2:$M$1241,13,FALSE)," ")</f>
        <v xml:space="preserve"> </v>
      </c>
    </row>
    <row r="1076" spans="1:15" x14ac:dyDescent="0.3">
      <c r="A1076" s="1">
        <v>1658</v>
      </c>
      <c r="B1076" s="1">
        <v>4</v>
      </c>
      <c r="C1076" s="1" t="s">
        <v>111</v>
      </c>
      <c r="D1076" s="1" t="s">
        <v>2585</v>
      </c>
      <c r="E1076" s="5">
        <v>41121</v>
      </c>
      <c r="F1076" s="1" t="s">
        <v>17</v>
      </c>
      <c r="G1076" s="1" t="str">
        <f>IF(B1076=0,VLOOKUP(A1076,Feuil2!$A$2:$M$1241,11,FALSE)," ")</f>
        <v xml:space="preserve"> </v>
      </c>
      <c r="H1076" s="1" t="s">
        <v>16</v>
      </c>
      <c r="I1076" s="6" t="str">
        <f>IF(B1076=0,VLOOKUP(A1076,Feuil2!$A$2:$M$1241,7,FALSE)," ")</f>
        <v xml:space="preserve"> </v>
      </c>
      <c r="J1076" s="1" t="str">
        <f>IF(B1076=0,VLOOKUP(A1076,Feuil2!$A$2:$M$1241,9,FALSE)," ")</f>
        <v xml:space="preserve"> </v>
      </c>
      <c r="K1076" s="1" t="str">
        <f>IF(B1076=0,VLOOKUP(A1076,Feuil2!$A$2:$M$1241,10,FALSE)," ")</f>
        <v xml:space="preserve"> </v>
      </c>
      <c r="L1076" s="1"/>
      <c r="M1076" s="1"/>
      <c r="N1076" s="1"/>
      <c r="O1076" s="8" t="str">
        <f>IF(B1076=0,VLOOKUP(A1076,Feuil2!$A$2:$M$1241,13,FALSE)," ")</f>
        <v xml:space="preserve"> </v>
      </c>
    </row>
    <row r="1077" spans="1:15" x14ac:dyDescent="0.3">
      <c r="A1077" s="1">
        <v>1662</v>
      </c>
      <c r="B1077" s="1">
        <v>0</v>
      </c>
      <c r="C1077" s="1" t="str">
        <f>IF(B1077=0,VLOOKUP(A1077,Feuil2!$A$2:$M$1241,2,FALSE)," ")</f>
        <v>BEN SAAD</v>
      </c>
      <c r="D1077" s="1" t="str">
        <f>IF(B1077=0,VLOOKUP(A1077,Feuil2!$A$2:$M$1241,3,FALSE)," ")</f>
        <v>ZIED</v>
      </c>
      <c r="E1077" s="5">
        <f>IF(B1077=0,VLOOKUP(A1077,Feuil2!$A$2:$M$1241,6,FALSE)," ")</f>
        <v>27587</v>
      </c>
      <c r="F1077" s="1" t="str">
        <f>IF(B1077=0,VLOOKUP(A1077,Feuil2!$A$2:$M$1241,12,FALSE)," ")</f>
        <v>H</v>
      </c>
      <c r="G1077" s="1" t="str">
        <f>IF(B1077=0,VLOOKUP(A1077,Feuil2!$A$2:$M$1241,11,FALSE)," ")</f>
        <v>M</v>
      </c>
      <c r="H1077" s="1" t="s">
        <v>16</v>
      </c>
      <c r="I1077" s="6">
        <f>IF(B1077=0,VLOOKUP(A1077,Feuil2!$A$2:$M$1241,7,FALSE)," ")</f>
        <v>5505015</v>
      </c>
      <c r="J1077" s="1" t="str">
        <f>IF(B1077=0,VLOOKUP(A1077,Feuil2!$A$2:$M$1241,9,FALSE)," ")</f>
        <v>4014 Knaies</v>
      </c>
      <c r="K1077" s="1" t="str">
        <f>IF(B1077=0,VLOOKUP(A1077,Feuil2!$A$2:$M$1241,10,FALSE)," ")</f>
        <v>Knaies 4014</v>
      </c>
      <c r="L1077" s="1">
        <v>4014</v>
      </c>
      <c r="M1077" s="1">
        <v>50427541</v>
      </c>
      <c r="N1077" s="1"/>
      <c r="O1077" s="8" t="str">
        <f>IF(B1077=0,VLOOKUP(A1077,Feuil2!$A$2:$M$1241,13,FALSE)," ")</f>
        <v>08050020052000910726</v>
      </c>
    </row>
    <row r="1078" spans="1:15" x14ac:dyDescent="0.3">
      <c r="A1078" s="1">
        <v>1662</v>
      </c>
      <c r="B1078" s="1">
        <v>1</v>
      </c>
      <c r="C1078" s="1" t="s">
        <v>2669</v>
      </c>
      <c r="D1078" s="1" t="s">
        <v>413</v>
      </c>
      <c r="E1078" s="5">
        <v>30583</v>
      </c>
      <c r="F1078" s="1" t="s">
        <v>17</v>
      </c>
      <c r="G1078" s="1" t="s">
        <v>15</v>
      </c>
      <c r="H1078" s="1" t="s">
        <v>16</v>
      </c>
      <c r="I1078" s="6" t="str">
        <f>IF(B1078=0,VLOOKUP(A1078,Feuil2!$A$2:$M$1241,7,FALSE)," ")</f>
        <v xml:space="preserve"> </v>
      </c>
      <c r="J1078" s="1" t="str">
        <f>IF(B1078=0,VLOOKUP(A1078,Feuil2!$A$2:$M$1241,9,FALSE)," ")</f>
        <v xml:space="preserve"> </v>
      </c>
      <c r="K1078" s="1" t="str">
        <f>IF(B1078=0,VLOOKUP(A1078,Feuil2!$A$2:$M$1241,10,FALSE)," ")</f>
        <v xml:space="preserve"> </v>
      </c>
      <c r="L1078" s="1"/>
      <c r="M1078" s="1"/>
      <c r="N1078" s="1"/>
      <c r="O1078" s="8" t="str">
        <f>IF(B1078=0,VLOOKUP(A1078,Feuil2!$A$2:$M$1241,13,FALSE)," ")</f>
        <v xml:space="preserve"> </v>
      </c>
    </row>
    <row r="1079" spans="1:15" x14ac:dyDescent="0.3">
      <c r="A1079" s="1">
        <v>1662</v>
      </c>
      <c r="B1079" s="1">
        <v>2</v>
      </c>
      <c r="C1079" s="1" t="s">
        <v>231</v>
      </c>
      <c r="D1079" s="1" t="s">
        <v>45</v>
      </c>
      <c r="E1079" s="5">
        <v>42434</v>
      </c>
      <c r="F1079" s="1" t="s">
        <v>506</v>
      </c>
      <c r="G1079" s="1" t="str">
        <f>IF(B1079=0,VLOOKUP(A1079,Feuil2!$A$2:$M$1241,11,FALSE)," ")</f>
        <v xml:space="preserve"> </v>
      </c>
      <c r="H1079" s="1" t="s">
        <v>16</v>
      </c>
      <c r="I1079" s="6" t="str">
        <f>IF(B1079=0,VLOOKUP(A1079,Feuil2!$A$2:$M$1241,7,FALSE)," ")</f>
        <v xml:space="preserve"> </v>
      </c>
      <c r="J1079" s="1" t="str">
        <f>IF(B1079=0,VLOOKUP(A1079,Feuil2!$A$2:$M$1241,9,FALSE)," ")</f>
        <v xml:space="preserve"> </v>
      </c>
      <c r="K1079" s="1" t="str">
        <f>IF(B1079=0,VLOOKUP(A1079,Feuil2!$A$2:$M$1241,10,FALSE)," ")</f>
        <v xml:space="preserve"> </v>
      </c>
      <c r="L1079" s="1"/>
      <c r="M1079" s="1"/>
      <c r="N1079" s="1"/>
      <c r="O1079" s="8" t="str">
        <f>IF(B1079=0,VLOOKUP(A1079,Feuil2!$A$2:$M$1241,13,FALSE)," ")</f>
        <v xml:space="preserve"> </v>
      </c>
    </row>
    <row r="1080" spans="1:15" x14ac:dyDescent="0.3">
      <c r="A1080" s="1">
        <v>1662</v>
      </c>
      <c r="B1080" s="1">
        <v>3</v>
      </c>
      <c r="C1080" s="1" t="s">
        <v>231</v>
      </c>
      <c r="D1080" s="1" t="s">
        <v>2670</v>
      </c>
      <c r="E1080" s="5">
        <v>43462</v>
      </c>
      <c r="F1080" s="1" t="s">
        <v>17</v>
      </c>
      <c r="G1080" s="1" t="str">
        <f>IF(B1080=0,VLOOKUP(A1080,Feuil2!$A$2:$M$1241,11,FALSE)," ")</f>
        <v xml:space="preserve"> </v>
      </c>
      <c r="H1080" s="1" t="s">
        <v>16</v>
      </c>
      <c r="I1080" s="6" t="str">
        <f>IF(B1080=0,VLOOKUP(A1080,Feuil2!$A$2:$M$1241,7,FALSE)," ")</f>
        <v xml:space="preserve"> </v>
      </c>
      <c r="J1080" s="1" t="str">
        <f>IF(B1080=0,VLOOKUP(A1080,Feuil2!$A$2:$M$1241,9,FALSE)," ")</f>
        <v xml:space="preserve"> </v>
      </c>
      <c r="K1080" s="1" t="str">
        <f>IF(B1080=0,VLOOKUP(A1080,Feuil2!$A$2:$M$1241,10,FALSE)," ")</f>
        <v xml:space="preserve"> </v>
      </c>
      <c r="L1080" s="1"/>
      <c r="M1080" s="1"/>
      <c r="N1080" s="1"/>
      <c r="O1080" s="8" t="str">
        <f>IF(B1080=0,VLOOKUP(A1080,Feuil2!$A$2:$M$1241,13,FALSE)," ")</f>
        <v xml:space="preserve"> </v>
      </c>
    </row>
    <row r="1081" spans="1:15" x14ac:dyDescent="0.3">
      <c r="A1081" s="1">
        <v>1665</v>
      </c>
      <c r="B1081" s="1">
        <v>0</v>
      </c>
      <c r="C1081" s="1" t="str">
        <f>IF(B1081=0,VLOOKUP(A1081,Feuil2!$A$2:$M$1241,2,FALSE)," ")</f>
        <v>BOUHLEL</v>
      </c>
      <c r="D1081" s="1" t="str">
        <f>IF(B1081=0,VLOOKUP(A1081,Feuil2!$A$2:$M$1241,3,FALSE)," ")</f>
        <v>ANIS</v>
      </c>
      <c r="E1081" s="5">
        <f>IF(B1081=0,VLOOKUP(A1081,Feuil2!$A$2:$M$1241,6,FALSE)," ")</f>
        <v>27893</v>
      </c>
      <c r="F1081" s="1" t="str">
        <f>IF(B1081=0,VLOOKUP(A1081,Feuil2!$A$2:$M$1241,12,FALSE)," ")</f>
        <v>H</v>
      </c>
      <c r="G1081" s="1" t="str">
        <f>IF(B1081=0,VLOOKUP(A1081,Feuil2!$A$2:$M$1241,11,FALSE)," ")</f>
        <v>M</v>
      </c>
      <c r="H1081" s="1" t="s">
        <v>16</v>
      </c>
      <c r="I1081" s="6">
        <f>IF(B1081=0,VLOOKUP(A1081,Feuil2!$A$2:$M$1241,7,FALSE)," ")</f>
        <v>5542806</v>
      </c>
      <c r="J1081" s="1" t="str">
        <f>IF(B1081=0,VLOOKUP(A1081,Feuil2!$A$2:$M$1241,9,FALSE)," ")</f>
        <v>42 Rue Errazi</v>
      </c>
      <c r="K1081" s="1" t="str">
        <f>IF(B1081=0,VLOOKUP(A1081,Feuil2!$A$2:$M$1241,10,FALSE)," ")</f>
        <v>Msaken 4070</v>
      </c>
      <c r="L1081" s="1">
        <v>4070</v>
      </c>
      <c r="M1081" s="1">
        <v>22551090</v>
      </c>
      <c r="N1081" s="1"/>
      <c r="O1081" s="8" t="str">
        <f>IF(B1081=0,VLOOKUP(A1081,Feuil2!$A$2:$M$1241,13,FALSE)," ")</f>
        <v>20009092220048743464</v>
      </c>
    </row>
    <row r="1082" spans="1:15" x14ac:dyDescent="0.3">
      <c r="A1082" s="1">
        <v>1665</v>
      </c>
      <c r="B1082" s="1">
        <v>1</v>
      </c>
      <c r="C1082" s="1" t="s">
        <v>2671</v>
      </c>
      <c r="D1082" s="1" t="s">
        <v>2480</v>
      </c>
      <c r="E1082" s="5">
        <v>29076</v>
      </c>
      <c r="F1082" s="1" t="s">
        <v>17</v>
      </c>
      <c r="G1082" s="1" t="s">
        <v>15</v>
      </c>
      <c r="H1082" s="1" t="s">
        <v>16</v>
      </c>
      <c r="I1082" s="6" t="str">
        <f>IF(B1082=0,VLOOKUP(A1082,Feuil2!$A$2:$M$1241,7,FALSE)," ")</f>
        <v xml:space="preserve"> </v>
      </c>
      <c r="J1082" s="1" t="str">
        <f>IF(B1082=0,VLOOKUP(A1082,Feuil2!$A$2:$M$1241,9,FALSE)," ")</f>
        <v xml:space="preserve"> </v>
      </c>
      <c r="K1082" s="1" t="str">
        <f>IF(B1082=0,VLOOKUP(A1082,Feuil2!$A$2:$M$1241,10,FALSE)," ")</f>
        <v xml:space="preserve"> </v>
      </c>
      <c r="L1082" s="1"/>
      <c r="M1082" s="1"/>
      <c r="N1082" s="1"/>
      <c r="O1082" s="8" t="str">
        <f>IF(B1082=0,VLOOKUP(A1082,Feuil2!$A$2:$M$1241,13,FALSE)," ")</f>
        <v xml:space="preserve"> </v>
      </c>
    </row>
    <row r="1083" spans="1:15" x14ac:dyDescent="0.3">
      <c r="A1083" s="1">
        <v>1665</v>
      </c>
      <c r="B1083" s="1">
        <v>2</v>
      </c>
      <c r="C1083" s="1" t="s">
        <v>83</v>
      </c>
      <c r="D1083" s="1" t="s">
        <v>2389</v>
      </c>
      <c r="E1083" s="5">
        <v>38569</v>
      </c>
      <c r="F1083" s="1" t="s">
        <v>17</v>
      </c>
      <c r="G1083" s="1" t="str">
        <f>IF(B1083=0,VLOOKUP(A1083,Feuil2!$A$2:$M$1241,11,FALSE)," ")</f>
        <v xml:space="preserve"> </v>
      </c>
      <c r="H1083" s="1" t="s">
        <v>16</v>
      </c>
      <c r="I1083" s="6" t="str">
        <f>IF(B1083=0,VLOOKUP(A1083,Feuil2!$A$2:$M$1241,7,FALSE)," ")</f>
        <v xml:space="preserve"> </v>
      </c>
      <c r="J1083" s="1" t="str">
        <f>IF(B1083=0,VLOOKUP(A1083,Feuil2!$A$2:$M$1241,9,FALSE)," ")</f>
        <v xml:space="preserve"> </v>
      </c>
      <c r="K1083" s="1" t="str">
        <f>IF(B1083=0,VLOOKUP(A1083,Feuil2!$A$2:$M$1241,10,FALSE)," ")</f>
        <v xml:space="preserve"> </v>
      </c>
      <c r="L1083" s="1"/>
      <c r="M1083" s="1"/>
      <c r="N1083" s="1"/>
      <c r="O1083" s="8" t="str">
        <f>IF(B1083=0,VLOOKUP(A1083,Feuil2!$A$2:$M$1241,13,FALSE)," ")</f>
        <v xml:space="preserve"> </v>
      </c>
    </row>
    <row r="1084" spans="1:15" x14ac:dyDescent="0.3">
      <c r="A1084" s="1">
        <v>1665</v>
      </c>
      <c r="B1084" s="1">
        <v>3</v>
      </c>
      <c r="C1084" s="1" t="s">
        <v>83</v>
      </c>
      <c r="D1084" s="1" t="s">
        <v>2672</v>
      </c>
      <c r="E1084" s="5">
        <v>40058</v>
      </c>
      <c r="F1084" s="1" t="str">
        <f>IF(B1084=0,VLOOKUP(A1084,Feuil2!$A$2:$M$1241,12,FALSE)," ")</f>
        <v xml:space="preserve"> </v>
      </c>
      <c r="G1084" s="1" t="str">
        <f>IF(B1084=0,VLOOKUP(A1084,Feuil2!$A$2:$M$1241,11,FALSE)," ")</f>
        <v xml:space="preserve"> </v>
      </c>
      <c r="H1084" s="1" t="s">
        <v>16</v>
      </c>
      <c r="I1084" s="6" t="str">
        <f>IF(B1084=0,VLOOKUP(A1084,Feuil2!$A$2:$M$1241,7,FALSE)," ")</f>
        <v xml:space="preserve"> </v>
      </c>
      <c r="J1084" s="1" t="str">
        <f>IF(B1084=0,VLOOKUP(A1084,Feuil2!$A$2:$M$1241,9,FALSE)," ")</f>
        <v xml:space="preserve"> </v>
      </c>
      <c r="K1084" s="1" t="str">
        <f>IF(B1084=0,VLOOKUP(A1084,Feuil2!$A$2:$M$1241,10,FALSE)," ")</f>
        <v xml:space="preserve"> </v>
      </c>
      <c r="L1084" s="1"/>
      <c r="M1084" s="1"/>
      <c r="N1084" s="1"/>
      <c r="O1084" s="8" t="str">
        <f>IF(B1084=0,VLOOKUP(A1084,Feuil2!$A$2:$M$1241,13,FALSE)," ")</f>
        <v xml:space="preserve"> </v>
      </c>
    </row>
    <row r="1085" spans="1:15" x14ac:dyDescent="0.3">
      <c r="A1085" s="1">
        <v>1671</v>
      </c>
      <c r="B1085" s="1">
        <v>0</v>
      </c>
      <c r="C1085" s="1" t="str">
        <f>IF(B1085=0,VLOOKUP(A1085,Feuil2!$A$2:$M$1241,2,FALSE)," ")</f>
        <v>EL BACH</v>
      </c>
      <c r="D1085" s="1" t="str">
        <f>IF(B1085=0,VLOOKUP(A1085,Feuil2!$A$2:$M$1241,3,FALSE)," ")</f>
        <v>ADEL</v>
      </c>
      <c r="E1085" s="5">
        <f>IF(B1085=0,VLOOKUP(A1085,Feuil2!$A$2:$M$1241,6,FALSE)," ")</f>
        <v>27336</v>
      </c>
      <c r="F1085" s="1" t="str">
        <f>IF(B1085=0,VLOOKUP(A1085,Feuil2!$A$2:$M$1241,12,FALSE)," ")</f>
        <v>H</v>
      </c>
      <c r="G1085" s="1" t="str">
        <f>IF(B1085=0,VLOOKUP(A1085,Feuil2!$A$2:$M$1241,11,FALSE)," ")</f>
        <v>M</v>
      </c>
      <c r="H1085" s="1" t="s">
        <v>16</v>
      </c>
      <c r="I1085" s="6">
        <f>IF(B1085=0,VLOOKUP(A1085,Feuil2!$A$2:$M$1241,7,FALSE)," ")</f>
        <v>5525578</v>
      </c>
      <c r="J1085" s="1" t="str">
        <f>IF(B1085=0,VLOOKUP(A1085,Feuil2!$A$2:$M$1241,9,FALSE)," ")</f>
        <v>83 Rue Ali Bach Hamba</v>
      </c>
      <c r="K1085" s="1" t="str">
        <f>IF(B1085=0,VLOOKUP(A1085,Feuil2!$A$2:$M$1241,10,FALSE)," ")</f>
        <v>Msaken 4070</v>
      </c>
      <c r="L1085" s="1">
        <v>4070</v>
      </c>
      <c r="M1085" s="1">
        <v>25330965</v>
      </c>
      <c r="N1085" s="1"/>
      <c r="O1085" s="8" t="str">
        <f>IF(B1085=0,VLOOKUP(A1085,Feuil2!$A$2:$M$1241,13,FALSE)," ")</f>
        <v>08507000262006751551</v>
      </c>
    </row>
    <row r="1086" spans="1:15" x14ac:dyDescent="0.3">
      <c r="A1086" s="1">
        <v>1671</v>
      </c>
      <c r="B1086" s="1">
        <v>1</v>
      </c>
      <c r="C1086" s="1" t="s">
        <v>83</v>
      </c>
      <c r="D1086" s="1" t="s">
        <v>2613</v>
      </c>
      <c r="E1086" s="5">
        <v>26741</v>
      </c>
      <c r="F1086" s="1" t="s">
        <v>17</v>
      </c>
      <c r="G1086" s="1" t="s">
        <v>15</v>
      </c>
      <c r="H1086" s="1" t="s">
        <v>16</v>
      </c>
      <c r="I1086" s="6" t="str">
        <f>IF(B1086=0,VLOOKUP(A1086,Feuil2!$A$2:$M$1241,7,FALSE)," ")</f>
        <v xml:space="preserve"> </v>
      </c>
      <c r="J1086" s="1" t="str">
        <f>IF(B1086=0,VLOOKUP(A1086,Feuil2!$A$2:$M$1241,9,FALSE)," ")</f>
        <v xml:space="preserve"> </v>
      </c>
      <c r="K1086" s="1" t="str">
        <f>IF(B1086=0,VLOOKUP(A1086,Feuil2!$A$2:$M$1241,10,FALSE)," ")</f>
        <v xml:space="preserve"> </v>
      </c>
      <c r="L1086" s="1"/>
      <c r="M1086" s="1"/>
      <c r="N1086" s="1"/>
      <c r="O1086" s="8" t="str">
        <f>IF(B1086=0,VLOOKUP(A1086,Feuil2!$A$2:$M$1241,13,FALSE)," ")</f>
        <v xml:space="preserve"> </v>
      </c>
    </row>
    <row r="1087" spans="1:15" x14ac:dyDescent="0.3">
      <c r="A1087" s="1">
        <v>1671</v>
      </c>
      <c r="B1087" s="1">
        <v>2</v>
      </c>
      <c r="C1087" s="1" t="s">
        <v>183</v>
      </c>
      <c r="D1087" s="1" t="s">
        <v>107</v>
      </c>
      <c r="E1087" s="5">
        <v>37854</v>
      </c>
      <c r="F1087" s="1" t="s">
        <v>506</v>
      </c>
      <c r="G1087" s="1" t="str">
        <f>IF(B1087=0,VLOOKUP(A1087,Feuil2!$A$2:$M$1241,11,FALSE)," ")</f>
        <v xml:space="preserve"> </v>
      </c>
      <c r="H1087" s="1" t="s">
        <v>16</v>
      </c>
      <c r="I1087" s="6" t="str">
        <f>IF(B1087=0,VLOOKUP(A1087,Feuil2!$A$2:$M$1241,7,FALSE)," ")</f>
        <v xml:space="preserve"> </v>
      </c>
      <c r="J1087" s="1" t="str">
        <f>IF(B1087=0,VLOOKUP(A1087,Feuil2!$A$2:$M$1241,9,FALSE)," ")</f>
        <v xml:space="preserve"> </v>
      </c>
      <c r="K1087" s="1" t="str">
        <f>IF(B1087=0,VLOOKUP(A1087,Feuil2!$A$2:$M$1241,10,FALSE)," ")</f>
        <v xml:space="preserve"> </v>
      </c>
      <c r="L1087" s="1"/>
      <c r="M1087" s="1"/>
      <c r="N1087" s="1"/>
      <c r="O1087" s="8" t="str">
        <f>IF(B1087=0,VLOOKUP(A1087,Feuil2!$A$2:$M$1241,13,FALSE)," ")</f>
        <v xml:space="preserve"> </v>
      </c>
    </row>
    <row r="1088" spans="1:15" x14ac:dyDescent="0.3">
      <c r="A1088" s="1">
        <v>1671</v>
      </c>
      <c r="B1088" s="1">
        <v>3</v>
      </c>
      <c r="C1088" s="1" t="s">
        <v>183</v>
      </c>
      <c r="D1088" s="1" t="s">
        <v>2500</v>
      </c>
      <c r="E1088" s="5">
        <v>40833</v>
      </c>
      <c r="F1088" s="1" t="s">
        <v>17</v>
      </c>
      <c r="G1088" s="1" t="str">
        <f>IF(B1088=0,VLOOKUP(A1088,Feuil2!$A$2:$M$1241,11,FALSE)," ")</f>
        <v xml:space="preserve"> </v>
      </c>
      <c r="H1088" s="1" t="s">
        <v>16</v>
      </c>
      <c r="I1088" s="6" t="str">
        <f>IF(B1088=0,VLOOKUP(A1088,Feuil2!$A$2:$M$1241,7,FALSE)," ")</f>
        <v xml:space="preserve"> </v>
      </c>
      <c r="J1088" s="1" t="str">
        <f>IF(B1088=0,VLOOKUP(A1088,Feuil2!$A$2:$M$1241,9,FALSE)," ")</f>
        <v xml:space="preserve"> </v>
      </c>
      <c r="K1088" s="1" t="str">
        <f>IF(B1088=0,VLOOKUP(A1088,Feuil2!$A$2:$M$1241,10,FALSE)," ")</f>
        <v xml:space="preserve"> </v>
      </c>
      <c r="L1088" s="1"/>
      <c r="M1088" s="1"/>
      <c r="N1088" s="1"/>
      <c r="O1088" s="8" t="str">
        <f>IF(B1088=0,VLOOKUP(A1088,Feuil2!$A$2:$M$1241,13,FALSE)," ")</f>
        <v xml:space="preserve"> </v>
      </c>
    </row>
    <row r="1089" spans="1:16" x14ac:dyDescent="0.3">
      <c r="A1089" s="1">
        <v>1673</v>
      </c>
      <c r="B1089" s="1">
        <v>0</v>
      </c>
      <c r="C1089" s="1" t="str">
        <f>IF(B1089=0,VLOOKUP(A1089,Feuil2!$A$2:$M$1241,2,FALSE)," ")</f>
        <v>ABBASSI</v>
      </c>
      <c r="D1089" s="1" t="str">
        <f>IF(B1089=0,VLOOKUP(A1089,Feuil2!$A$2:$M$1241,3,FALSE)," ")</f>
        <v>MONDHER</v>
      </c>
      <c r="E1089" s="5">
        <f>IF(B1089=0,VLOOKUP(A1089,Feuil2!$A$2:$M$1241,6,FALSE)," ")</f>
        <v>27780</v>
      </c>
      <c r="F1089" s="1" t="str">
        <f>IF(B1089=0,VLOOKUP(A1089,Feuil2!$A$2:$M$1241,12,FALSE)," ")</f>
        <v>H</v>
      </c>
      <c r="G1089" s="1" t="str">
        <f>IF(B1089=0,VLOOKUP(A1089,Feuil2!$A$2:$M$1241,11,FALSE)," ")</f>
        <v>M</v>
      </c>
      <c r="H1089" s="1" t="s">
        <v>16</v>
      </c>
      <c r="I1089" s="6">
        <f>IF(B1089=0,VLOOKUP(A1089,Feuil2!$A$2:$M$1241,7,FALSE)," ")</f>
        <v>5553283</v>
      </c>
      <c r="J1089" s="1" t="str">
        <f>IF(B1089=0,VLOOKUP(A1089,Feuil2!$A$2:$M$1241,9,FALSE)," ")</f>
        <v>12 Rue Ibn Rochd</v>
      </c>
      <c r="K1089" s="1" t="str">
        <f>IF(B1089=0,VLOOKUP(A1089,Feuil2!$A$2:$M$1241,10,FALSE)," ")</f>
        <v>Msaken 4070</v>
      </c>
      <c r="L1089" s="1">
        <v>4070</v>
      </c>
      <c r="M1089" s="1">
        <v>25845653</v>
      </c>
      <c r="N1089" s="1"/>
      <c r="O1089" s="8" t="str">
        <f>IF(B1089=0,VLOOKUP(A1089,Feuil2!$A$2:$M$1241,13,FALSE)," ")</f>
        <v>08507000262005162788</v>
      </c>
    </row>
    <row r="1090" spans="1:16" x14ac:dyDescent="0.3">
      <c r="A1090" s="1">
        <v>1673</v>
      </c>
      <c r="B1090" s="1">
        <v>1</v>
      </c>
      <c r="C1090" s="1" t="s">
        <v>283</v>
      </c>
      <c r="D1090" s="1" t="s">
        <v>2289</v>
      </c>
      <c r="E1090" s="5">
        <v>31780</v>
      </c>
      <c r="F1090" s="1" t="s">
        <v>17</v>
      </c>
      <c r="G1090" s="1" t="s">
        <v>15</v>
      </c>
      <c r="H1090" s="1" t="s">
        <v>16</v>
      </c>
      <c r="I1090" s="6" t="str">
        <f>IF(B1090=0,VLOOKUP(A1090,Feuil2!$A$2:$M$1241,7,FALSE)," ")</f>
        <v xml:space="preserve"> </v>
      </c>
      <c r="J1090" s="1" t="str">
        <f>IF(B1090=0,VLOOKUP(A1090,Feuil2!$A$2:$M$1241,9,FALSE)," ")</f>
        <v xml:space="preserve"> </v>
      </c>
      <c r="K1090" s="1" t="str">
        <f>IF(B1090=0,VLOOKUP(A1090,Feuil2!$A$2:$M$1241,10,FALSE)," ")</f>
        <v xml:space="preserve"> </v>
      </c>
      <c r="L1090" s="1"/>
      <c r="M1090" s="1"/>
      <c r="N1090" s="1"/>
      <c r="O1090" s="8" t="str">
        <f>IF(B1090=0,VLOOKUP(A1090,Feuil2!$A$2:$M$1241,13,FALSE)," ")</f>
        <v xml:space="preserve"> </v>
      </c>
    </row>
    <row r="1091" spans="1:16" x14ac:dyDescent="0.3">
      <c r="A1091" s="1">
        <v>1673</v>
      </c>
      <c r="B1091" s="1">
        <v>2</v>
      </c>
      <c r="C1091" s="1" t="s">
        <v>254</v>
      </c>
      <c r="D1091" s="1" t="s">
        <v>2451</v>
      </c>
      <c r="E1091" s="5">
        <v>40431</v>
      </c>
      <c r="F1091" s="1" t="s">
        <v>17</v>
      </c>
      <c r="G1091" s="1" t="str">
        <f>IF(B1091=0,VLOOKUP(A1091,Feuil2!$A$2:$M$1241,11,FALSE)," ")</f>
        <v xml:space="preserve"> </v>
      </c>
      <c r="H1091" s="1" t="s">
        <v>16</v>
      </c>
      <c r="I1091" s="6" t="str">
        <f>IF(B1091=0,VLOOKUP(A1091,Feuil2!$A$2:$M$1241,7,FALSE)," ")</f>
        <v xml:space="preserve"> </v>
      </c>
      <c r="J1091" s="1" t="str">
        <f>IF(B1091=0,VLOOKUP(A1091,Feuil2!$A$2:$M$1241,9,FALSE)," ")</f>
        <v xml:space="preserve"> </v>
      </c>
      <c r="K1091" s="1" t="str">
        <f>IF(B1091=0,VLOOKUP(A1091,Feuil2!$A$2:$M$1241,10,FALSE)," ")</f>
        <v xml:space="preserve"> </v>
      </c>
      <c r="L1091" s="1"/>
      <c r="M1091" s="1"/>
      <c r="N1091" s="1"/>
      <c r="O1091" s="8" t="str">
        <f>IF(B1091=0,VLOOKUP(A1091,Feuil2!$A$2:$M$1241,13,FALSE)," ")</f>
        <v xml:space="preserve"> </v>
      </c>
    </row>
    <row r="1092" spans="1:16" x14ac:dyDescent="0.3">
      <c r="A1092" s="1">
        <v>1673</v>
      </c>
      <c r="B1092" s="1">
        <v>3</v>
      </c>
      <c r="C1092" s="1" t="s">
        <v>254</v>
      </c>
      <c r="D1092" s="1" t="s">
        <v>2628</v>
      </c>
      <c r="E1092" s="5">
        <v>42758</v>
      </c>
      <c r="F1092" s="1" t="s">
        <v>506</v>
      </c>
      <c r="G1092" s="1" t="str">
        <f>IF(B1092=0,VLOOKUP(A1092,Feuil2!$A$2:$M$1241,11,FALSE)," ")</f>
        <v xml:space="preserve"> </v>
      </c>
      <c r="H1092" s="1" t="s">
        <v>16</v>
      </c>
      <c r="I1092" s="6" t="str">
        <f>IF(B1092=0,VLOOKUP(A1092,Feuil2!$A$2:$M$1241,7,FALSE)," ")</f>
        <v xml:space="preserve"> </v>
      </c>
      <c r="J1092" s="1" t="str">
        <f>IF(B1092=0,VLOOKUP(A1092,Feuil2!$A$2:$M$1241,9,FALSE)," ")</f>
        <v xml:space="preserve"> </v>
      </c>
      <c r="K1092" s="1" t="str">
        <f>IF(B1092=0,VLOOKUP(A1092,Feuil2!$A$2:$M$1241,10,FALSE)," ")</f>
        <v xml:space="preserve"> </v>
      </c>
      <c r="L1092" s="1"/>
      <c r="M1092" s="1"/>
      <c r="N1092" s="1"/>
      <c r="O1092" s="8" t="str">
        <f>IF(B1092=0,VLOOKUP(A1092,Feuil2!$A$2:$M$1241,13,FALSE)," ")</f>
        <v xml:space="preserve"> </v>
      </c>
    </row>
    <row r="1093" spans="1:16" x14ac:dyDescent="0.3">
      <c r="A1093" s="1">
        <v>1673</v>
      </c>
      <c r="B1093" s="1">
        <v>4</v>
      </c>
      <c r="C1093" s="1" t="s">
        <v>254</v>
      </c>
      <c r="D1093" s="1" t="s">
        <v>77</v>
      </c>
      <c r="E1093" s="5">
        <v>42758</v>
      </c>
      <c r="F1093" s="1" t="s">
        <v>506</v>
      </c>
      <c r="G1093" s="1" t="str">
        <f>IF(B1093=0,VLOOKUP(A1093,Feuil2!$A$2:$M$1241,11,FALSE)," ")</f>
        <v xml:space="preserve"> </v>
      </c>
      <c r="H1093" s="1" t="s">
        <v>16</v>
      </c>
      <c r="I1093" s="6" t="str">
        <f>IF(B1093=0,VLOOKUP(A1093,Feuil2!$A$2:$M$1241,7,FALSE)," ")</f>
        <v xml:space="preserve"> </v>
      </c>
      <c r="J1093" s="1" t="str">
        <f>IF(B1093=0,VLOOKUP(A1093,Feuil2!$A$2:$M$1241,9,FALSE)," ")</f>
        <v xml:space="preserve"> </v>
      </c>
      <c r="K1093" s="1" t="str">
        <f>IF(B1093=0,VLOOKUP(A1093,Feuil2!$A$2:$M$1241,10,FALSE)," ")</f>
        <v xml:space="preserve"> </v>
      </c>
      <c r="L1093" s="1"/>
      <c r="M1093" s="1"/>
      <c r="N1093" s="1"/>
      <c r="O1093" s="8" t="str">
        <f>IF(B1093=0,VLOOKUP(A1093,Feuil2!$A$2:$M$1241,13,FALSE)," ")</f>
        <v xml:space="preserve"> </v>
      </c>
    </row>
    <row r="1094" spans="1:16" x14ac:dyDescent="0.3">
      <c r="A1094" s="1">
        <v>1677</v>
      </c>
      <c r="B1094" s="1">
        <v>0</v>
      </c>
      <c r="C1094" s="1" t="str">
        <f>IF(B1094=0,VLOOKUP(A1094,Feuil2!$A$2:$M$1241,2,FALSE)," ")</f>
        <v>HADJ AMMAR</v>
      </c>
      <c r="D1094" s="1" t="str">
        <f>IF(B1094=0,VLOOKUP(A1094,Feuil2!$A$2:$M$1241,3,FALSE)," ")</f>
        <v>BRAHIM</v>
      </c>
      <c r="E1094" s="5">
        <f>IF(B1094=0,VLOOKUP(A1094,Feuil2!$A$2:$M$1241,6,FALSE)," ")</f>
        <v>25427</v>
      </c>
      <c r="F1094" s="1" t="str">
        <f>IF(B1094=0,VLOOKUP(A1094,Feuil2!$A$2:$M$1241,12,FALSE)," ")</f>
        <v>H</v>
      </c>
      <c r="G1094" s="1" t="str">
        <f>IF(B1094=0,VLOOKUP(A1094,Feuil2!$A$2:$M$1241,11,FALSE)," ")</f>
        <v>M</v>
      </c>
      <c r="H1094" s="1" t="s">
        <v>16</v>
      </c>
      <c r="I1094" s="6">
        <f>IF(B1094=0,VLOOKUP(A1094,Feuil2!$A$2:$M$1241,7,FALSE)," ")</f>
        <v>2993759</v>
      </c>
      <c r="J1094" s="1" t="str">
        <f>IF(B1094=0,VLOOKUP(A1094,Feuil2!$A$2:$M$1241,9,FALSE)," ")</f>
        <v>NULL</v>
      </c>
      <c r="K1094" s="1" t="str">
        <f>IF(B1094=0,VLOOKUP(A1094,Feuil2!$A$2:$M$1241,10,FALSE)," ")</f>
        <v>Sidi El HÃ©ni 4025</v>
      </c>
      <c r="L1094" s="1"/>
      <c r="M1094" s="1">
        <v>97451789</v>
      </c>
      <c r="N1094" s="1"/>
      <c r="O1094" s="8" t="str">
        <f>IF(B1094=0,VLOOKUP(A1094,Feuil2!$A$2:$M$1241,13,FALSE)," ")</f>
        <v>17503000000150144947</v>
      </c>
    </row>
    <row r="1095" spans="1:16" x14ac:dyDescent="0.3">
      <c r="A1095" s="1">
        <v>1677</v>
      </c>
      <c r="B1095" s="1">
        <v>1</v>
      </c>
      <c r="C1095" s="1" t="s">
        <v>1258</v>
      </c>
      <c r="D1095" s="1" t="s">
        <v>2099</v>
      </c>
      <c r="E1095" s="5">
        <v>25275</v>
      </c>
      <c r="F1095" s="1" t="s">
        <v>17</v>
      </c>
      <c r="G1095" s="1" t="s">
        <v>15</v>
      </c>
      <c r="H1095" s="1" t="s">
        <v>16</v>
      </c>
      <c r="I1095" s="6" t="str">
        <f>IF(B1095=0,VLOOKUP(A1095,Feuil2!$A$2:$M$1241,7,FALSE)," ")</f>
        <v xml:space="preserve"> </v>
      </c>
      <c r="J1095" s="1" t="str">
        <f>IF(B1095=0,VLOOKUP(A1095,Feuil2!$A$2:$M$1241,9,FALSE)," ")</f>
        <v xml:space="preserve"> </v>
      </c>
      <c r="K1095" s="1" t="str">
        <f>IF(B1095=0,VLOOKUP(A1095,Feuil2!$A$2:$M$1241,10,FALSE)," ")</f>
        <v xml:space="preserve"> </v>
      </c>
      <c r="L1095" s="1"/>
      <c r="M1095" s="1"/>
      <c r="N1095" s="1"/>
      <c r="O1095" s="8" t="str">
        <f>IF(B1095=0,VLOOKUP(A1095,Feuil2!$A$2:$M$1241,13,FALSE)," ")</f>
        <v xml:space="preserve"> </v>
      </c>
      <c r="P1095" t="s">
        <v>2805</v>
      </c>
    </row>
    <row r="1096" spans="1:16" x14ac:dyDescent="0.3">
      <c r="A1096" s="1">
        <v>1677</v>
      </c>
      <c r="B1096" s="1">
        <v>2</v>
      </c>
      <c r="C1096" s="1" t="s">
        <v>1258</v>
      </c>
      <c r="D1096" s="1" t="s">
        <v>2673</v>
      </c>
      <c r="E1096" s="5">
        <v>36346</v>
      </c>
      <c r="F1096" s="1" t="s">
        <v>506</v>
      </c>
      <c r="G1096" s="1" t="str">
        <f>IF(B1096=0,VLOOKUP(A1096,Feuil2!$A$2:$M$1241,11,FALSE)," ")</f>
        <v xml:space="preserve"> </v>
      </c>
      <c r="H1096" s="1" t="s">
        <v>16</v>
      </c>
      <c r="I1096" s="6" t="str">
        <f>IF(B1096=0,VLOOKUP(A1096,Feuil2!$A$2:$M$1241,7,FALSE)," ")</f>
        <v xml:space="preserve"> </v>
      </c>
      <c r="J1096" s="1" t="str">
        <f>IF(B1096=0,VLOOKUP(A1096,Feuil2!$A$2:$M$1241,9,FALSE)," ")</f>
        <v xml:space="preserve"> </v>
      </c>
      <c r="K1096" s="1" t="str">
        <f>IF(B1096=0,VLOOKUP(A1096,Feuil2!$A$2:$M$1241,10,FALSE)," ")</f>
        <v xml:space="preserve"> </v>
      </c>
      <c r="L1096" s="1"/>
      <c r="M1096" s="1"/>
      <c r="N1096" s="1"/>
      <c r="O1096" s="8" t="str">
        <f>IF(B1096=0,VLOOKUP(A1096,Feuil2!$A$2:$M$1241,13,FALSE)," ")</f>
        <v xml:space="preserve"> </v>
      </c>
    </row>
    <row r="1097" spans="1:16" x14ac:dyDescent="0.3">
      <c r="A1097" s="1">
        <v>1677</v>
      </c>
      <c r="B1097" s="1">
        <v>3</v>
      </c>
      <c r="C1097" s="1" t="s">
        <v>1258</v>
      </c>
      <c r="D1097" s="1" t="s">
        <v>402</v>
      </c>
      <c r="E1097" s="5">
        <v>39544</v>
      </c>
      <c r="F1097" s="1" t="s">
        <v>17</v>
      </c>
      <c r="G1097" s="1" t="str">
        <f>IF(B1097=0,VLOOKUP(A1097,Feuil2!$A$2:$M$1241,11,FALSE)," ")</f>
        <v xml:space="preserve"> </v>
      </c>
      <c r="H1097" s="1" t="s">
        <v>16</v>
      </c>
      <c r="I1097" s="6" t="str">
        <f>IF(B1097=0,VLOOKUP(A1097,Feuil2!$A$2:$M$1241,7,FALSE)," ")</f>
        <v xml:space="preserve"> </v>
      </c>
      <c r="J1097" s="1" t="str">
        <f>IF(B1097=0,VLOOKUP(A1097,Feuil2!$A$2:$M$1241,9,FALSE)," ")</f>
        <v xml:space="preserve"> </v>
      </c>
      <c r="K1097" s="1" t="str">
        <f>IF(B1097=0,VLOOKUP(A1097,Feuil2!$A$2:$M$1241,10,FALSE)," ")</f>
        <v xml:space="preserve"> </v>
      </c>
      <c r="L1097" s="1"/>
      <c r="M1097" s="1"/>
      <c r="N1097" s="1"/>
      <c r="O1097" s="8" t="str">
        <f>IF(B1097=0,VLOOKUP(A1097,Feuil2!$A$2:$M$1241,13,FALSE)," ")</f>
        <v xml:space="preserve"> </v>
      </c>
    </row>
    <row r="1098" spans="1:16" x14ac:dyDescent="0.3">
      <c r="A1098" s="1">
        <v>1679</v>
      </c>
      <c r="B1098" s="1">
        <v>0</v>
      </c>
      <c r="C1098" s="1" t="str">
        <f>IF(B1098=0,VLOOKUP(A1098,Feuil2!$A$2:$M$1241,2,FALSE)," ")</f>
        <v>YOUSSEF</v>
      </c>
      <c r="D1098" s="1" t="str">
        <f>IF(B1098=0,VLOOKUP(A1098,Feuil2!$A$2:$M$1241,3,FALSE)," ")</f>
        <v>ADEM</v>
      </c>
      <c r="E1098" s="5">
        <f>IF(B1098=0,VLOOKUP(A1098,Feuil2!$A$2:$M$1241,6,FALSE)," ")</f>
        <v>26673</v>
      </c>
      <c r="F1098" s="1" t="str">
        <f>IF(B1098=0,VLOOKUP(A1098,Feuil2!$A$2:$M$1241,12,FALSE)," ")</f>
        <v>H</v>
      </c>
      <c r="G1098" s="1" t="str">
        <f>IF(B1098=0,VLOOKUP(A1098,Feuil2!$A$2:$M$1241,11,FALSE)," ")</f>
        <v>M</v>
      </c>
      <c r="H1098" s="1" t="s">
        <v>16</v>
      </c>
      <c r="I1098" s="6">
        <f>IF(B1098=0,VLOOKUP(A1098,Feuil2!$A$2:$M$1241,7,FALSE)," ")</f>
        <v>5516906</v>
      </c>
      <c r="J1098" s="1" t="str">
        <f>IF(B1098=0,VLOOKUP(A1098,Feuil2!$A$2:$M$1241,9,FALSE)," ")</f>
        <v>39 Rue 9 Avril</v>
      </c>
      <c r="K1098" s="1" t="str">
        <f>IF(B1098=0,VLOOKUP(A1098,Feuil2!$A$2:$M$1241,10,FALSE)," ")</f>
        <v>Msaken 4070</v>
      </c>
      <c r="L1098" s="1">
        <v>4070</v>
      </c>
      <c r="M1098" s="1">
        <v>97805959</v>
      </c>
      <c r="N1098" s="1"/>
      <c r="O1098" s="8" t="str">
        <f>IF(B1098=0,VLOOKUP(A1098,Feuil2!$A$2:$M$1241,13,FALSE)," ")</f>
        <v>12505000000237471686</v>
      </c>
    </row>
    <row r="1099" spans="1:16" x14ac:dyDescent="0.3">
      <c r="A1099" s="1">
        <v>1680</v>
      </c>
      <c r="B1099" s="1">
        <v>0</v>
      </c>
      <c r="C1099" s="1" t="str">
        <f>IF(B1099=0,VLOOKUP(A1099,Feuil2!$A$2:$M$1241,2,FALSE)," ")</f>
        <v>SASSI</v>
      </c>
      <c r="D1099" s="1" t="str">
        <f>IF(B1099=0,VLOOKUP(A1099,Feuil2!$A$2:$M$1241,3,FALSE)," ")</f>
        <v>WALID</v>
      </c>
      <c r="E1099" s="5">
        <f>IF(B1099=0,VLOOKUP(A1099,Feuil2!$A$2:$M$1241,6,FALSE)," ")</f>
        <v>28151</v>
      </c>
      <c r="F1099" s="1" t="str">
        <f>IF(B1099=0,VLOOKUP(A1099,Feuil2!$A$2:$M$1241,12,FALSE)," ")</f>
        <v>H</v>
      </c>
      <c r="G1099" s="1" t="str">
        <f>IF(B1099=0,VLOOKUP(A1099,Feuil2!$A$2:$M$1241,11,FALSE)," ")</f>
        <v>M</v>
      </c>
      <c r="H1099" s="1" t="s">
        <v>16</v>
      </c>
      <c r="I1099" s="6">
        <f>IF(B1099=0,VLOOKUP(A1099,Feuil2!$A$2:$M$1241,7,FALSE)," ")</f>
        <v>5562358</v>
      </c>
      <c r="J1099" s="1" t="str">
        <f>IF(B1099=0,VLOOKUP(A1099,Feuil2!$A$2:$M$1241,9,FALSE)," ")</f>
        <v>28 Rue Khaled Ibn El Walid</v>
      </c>
      <c r="K1099" s="1" t="str">
        <f>IF(B1099=0,VLOOKUP(A1099,Feuil2!$A$2:$M$1241,10,FALSE)," ")</f>
        <v>Msaken 4070</v>
      </c>
      <c r="L1099" s="1">
        <v>4070</v>
      </c>
      <c r="M1099" s="1">
        <v>26070176</v>
      </c>
      <c r="N1099" s="1"/>
      <c r="O1099" s="8" t="str">
        <f>IF(B1099=0,VLOOKUP(A1099,Feuil2!$A$2:$M$1241,13,FALSE)," ")</f>
        <v>08507000262001147182</v>
      </c>
    </row>
    <row r="1100" spans="1:16" x14ac:dyDescent="0.3">
      <c r="A1100" s="1">
        <v>1680</v>
      </c>
      <c r="B1100" s="1">
        <v>1</v>
      </c>
      <c r="C1100" s="1" t="s">
        <v>283</v>
      </c>
      <c r="D1100" s="1" t="s">
        <v>2569</v>
      </c>
      <c r="E1100" s="5">
        <v>30185</v>
      </c>
      <c r="F1100" s="1" t="s">
        <v>17</v>
      </c>
      <c r="G1100" s="1" t="s">
        <v>15</v>
      </c>
      <c r="H1100" s="1" t="s">
        <v>16</v>
      </c>
      <c r="I1100" s="6" t="str">
        <f>IF(B1100=0,VLOOKUP(A1100,Feuil2!$A$2:$M$1241,7,FALSE)," ")</f>
        <v xml:space="preserve"> </v>
      </c>
      <c r="J1100" s="1" t="str">
        <f>IF(B1100=0,VLOOKUP(A1100,Feuil2!$A$2:$M$1241,9,FALSE)," ")</f>
        <v xml:space="preserve"> </v>
      </c>
      <c r="K1100" s="1" t="str">
        <f>IF(B1100=0,VLOOKUP(A1100,Feuil2!$A$2:$M$1241,10,FALSE)," ")</f>
        <v xml:space="preserve"> </v>
      </c>
      <c r="L1100" s="1"/>
      <c r="M1100" s="1"/>
      <c r="N1100" s="1"/>
      <c r="O1100" s="8" t="str">
        <f>IF(B1100=0,VLOOKUP(A1100,Feuil2!$A$2:$M$1241,13,FALSE)," ")</f>
        <v xml:space="preserve"> </v>
      </c>
    </row>
    <row r="1101" spans="1:16" x14ac:dyDescent="0.3">
      <c r="A1101" s="1">
        <v>1680</v>
      </c>
      <c r="B1101" s="1">
        <v>2</v>
      </c>
      <c r="C1101" s="1" t="s">
        <v>104</v>
      </c>
      <c r="D1101" s="1" t="s">
        <v>2404</v>
      </c>
      <c r="E1101" s="5">
        <v>40406</v>
      </c>
      <c r="F1101" s="1" t="s">
        <v>506</v>
      </c>
      <c r="G1101" s="1" t="str">
        <f>IF(B1101=0,VLOOKUP(A1101,Feuil2!$A$2:$M$1241,11,FALSE)," ")</f>
        <v xml:space="preserve"> </v>
      </c>
      <c r="H1101" s="1" t="s">
        <v>16</v>
      </c>
      <c r="I1101" s="6" t="str">
        <f>IF(B1101=0,VLOOKUP(A1101,Feuil2!$A$2:$M$1241,7,FALSE)," ")</f>
        <v xml:space="preserve"> </v>
      </c>
      <c r="J1101" s="1" t="str">
        <f>IF(B1101=0,VLOOKUP(A1101,Feuil2!$A$2:$M$1241,9,FALSE)," ")</f>
        <v xml:space="preserve"> </v>
      </c>
      <c r="K1101" s="1" t="str">
        <f>IF(B1101=0,VLOOKUP(A1101,Feuil2!$A$2:$M$1241,10,FALSE)," ")</f>
        <v xml:space="preserve"> </v>
      </c>
      <c r="L1101" s="1"/>
      <c r="M1101" s="1"/>
      <c r="N1101" s="1"/>
      <c r="O1101" s="8" t="str">
        <f>IF(B1101=0,VLOOKUP(A1101,Feuil2!$A$2:$M$1241,13,FALSE)," ")</f>
        <v xml:space="preserve"> </v>
      </c>
    </row>
    <row r="1102" spans="1:16" x14ac:dyDescent="0.3">
      <c r="A1102" s="1">
        <v>1680</v>
      </c>
      <c r="B1102" s="1">
        <v>3</v>
      </c>
      <c r="C1102" s="1" t="s">
        <v>104</v>
      </c>
      <c r="D1102" s="1" t="s">
        <v>77</v>
      </c>
      <c r="E1102" s="5">
        <v>41211</v>
      </c>
      <c r="F1102" s="1" t="s">
        <v>506</v>
      </c>
      <c r="G1102" s="1" t="str">
        <f>IF(B1102=0,VLOOKUP(A1102,Feuil2!$A$2:$M$1241,11,FALSE)," ")</f>
        <v xml:space="preserve"> </v>
      </c>
      <c r="H1102" s="1" t="s">
        <v>16</v>
      </c>
      <c r="I1102" s="6" t="str">
        <f>IF(B1102=0,VLOOKUP(A1102,Feuil2!$A$2:$M$1241,7,FALSE)," ")</f>
        <v xml:space="preserve"> </v>
      </c>
      <c r="J1102" s="1" t="str">
        <f>IF(B1102=0,VLOOKUP(A1102,Feuil2!$A$2:$M$1241,9,FALSE)," ")</f>
        <v xml:space="preserve"> </v>
      </c>
      <c r="K1102" s="1" t="str">
        <f>IF(B1102=0,VLOOKUP(A1102,Feuil2!$A$2:$M$1241,10,FALSE)," ")</f>
        <v xml:space="preserve"> </v>
      </c>
      <c r="L1102" s="1"/>
      <c r="M1102" s="1"/>
      <c r="N1102" s="1"/>
      <c r="O1102" s="8" t="str">
        <f>IF(B1102=0,VLOOKUP(A1102,Feuil2!$A$2:$M$1241,13,FALSE)," ")</f>
        <v xml:space="preserve"> </v>
      </c>
    </row>
    <row r="1103" spans="1:16" x14ac:dyDescent="0.3">
      <c r="A1103" s="17">
        <v>1681</v>
      </c>
      <c r="B1103" s="17">
        <v>0</v>
      </c>
      <c r="C1103" s="17" t="str">
        <f>IF(B1103=0,VLOOKUP(A1103,Feuil2!$A$2:$M$1241,2,FALSE)," ")</f>
        <v>HAMILA</v>
      </c>
      <c r="D1103" s="17" t="str">
        <f>IF(B1103=0,VLOOKUP(A1103,Feuil2!$A$2:$M$1241,3,FALSE)," ")</f>
        <v>NEBIL</v>
      </c>
      <c r="E1103" s="18">
        <f>IF(B1103=0,VLOOKUP(A1103,Feuil2!$A$2:$M$1241,6,FALSE)," ")</f>
        <v>25725</v>
      </c>
      <c r="F1103" s="17" t="str">
        <f>IF(B1103=0,VLOOKUP(A1103,Feuil2!$A$2:$M$1241,12,FALSE)," ")</f>
        <v>H</v>
      </c>
      <c r="G1103" s="17" t="str">
        <f>IF(B1103=0,VLOOKUP(A1103,Feuil2!$A$2:$M$1241,11,FALSE)," ")</f>
        <v>M</v>
      </c>
      <c r="H1103" s="17" t="s">
        <v>16</v>
      </c>
      <c r="I1103" s="19">
        <f>IF(B1103=0,VLOOKUP(A1103,Feuil2!$A$2:$M$1241,7,FALSE)," ")</f>
        <v>5612318</v>
      </c>
      <c r="J1103" s="17" t="str">
        <f>IF(B1103=0,VLOOKUP(A1103,Feuil2!$A$2:$M$1241,9,FALSE)," ")</f>
        <v>Rue Taieb Mhiri</v>
      </c>
      <c r="K1103" s="17" t="str">
        <f>IF(B1103=0,VLOOKUP(A1103,Feuil2!$A$2:$M$1241,10,FALSE)," ")</f>
        <v>Msaken 4070</v>
      </c>
      <c r="L1103" s="17">
        <v>4070</v>
      </c>
      <c r="M1103" s="17">
        <v>26365822</v>
      </c>
      <c r="N1103" s="17"/>
      <c r="O1103" s="20" t="str">
        <f>IF(B1103=0,VLOOKUP(A1103,Feuil2!$A$2:$M$1241,13,FALSE)," ")</f>
        <v>20009092220005843953</v>
      </c>
    </row>
    <row r="1104" spans="1:16" x14ac:dyDescent="0.3">
      <c r="A1104" s="1">
        <v>1681</v>
      </c>
      <c r="B1104" s="1">
        <v>1</v>
      </c>
      <c r="C1104" s="1" t="s">
        <v>582</v>
      </c>
      <c r="D1104" s="1" t="s">
        <v>524</v>
      </c>
      <c r="E1104" s="5">
        <v>29098</v>
      </c>
      <c r="F1104" s="1" t="s">
        <v>17</v>
      </c>
      <c r="G1104" s="1" t="s">
        <v>15</v>
      </c>
      <c r="H1104" s="1" t="s">
        <v>16</v>
      </c>
      <c r="I1104" s="6" t="str">
        <f>IF(B1104=0,VLOOKUP(A1104,Feuil2!$A$2:$M$1241,7,FALSE)," ")</f>
        <v xml:space="preserve"> </v>
      </c>
      <c r="J1104" s="1" t="str">
        <f>IF(B1104=0,VLOOKUP(A1104,Feuil2!$A$2:$M$1241,9,FALSE)," ")</f>
        <v xml:space="preserve"> </v>
      </c>
      <c r="K1104" s="1" t="str">
        <f>IF(B1104=0,VLOOKUP(A1104,Feuil2!$A$2:$M$1241,10,FALSE)," ")</f>
        <v xml:space="preserve"> </v>
      </c>
      <c r="L1104" s="1"/>
      <c r="M1104" s="1"/>
      <c r="N1104" s="1"/>
      <c r="O1104" s="8" t="str">
        <f>IF(B1104=0,VLOOKUP(A1104,Feuil2!$A$2:$M$1241,13,FALSE)," ")</f>
        <v xml:space="preserve"> </v>
      </c>
    </row>
    <row r="1105" spans="1:15" x14ac:dyDescent="0.3">
      <c r="A1105" s="1">
        <v>1681</v>
      </c>
      <c r="B1105" s="1">
        <v>2</v>
      </c>
      <c r="C1105" s="1" t="s">
        <v>103</v>
      </c>
      <c r="D1105" s="1" t="s">
        <v>2674</v>
      </c>
      <c r="E1105" s="5">
        <v>36969</v>
      </c>
      <c r="F1105" s="1" t="s">
        <v>506</v>
      </c>
      <c r="G1105" s="1" t="str">
        <f>IF(B1105=0,VLOOKUP(A1105,Feuil2!$A$2:$M$1241,11,FALSE)," ")</f>
        <v xml:space="preserve"> </v>
      </c>
      <c r="H1105" s="1" t="s">
        <v>16</v>
      </c>
      <c r="I1105" s="6" t="str">
        <f>IF(B1105=0,VLOOKUP(A1105,Feuil2!$A$2:$M$1241,7,FALSE)," ")</f>
        <v xml:space="preserve"> </v>
      </c>
      <c r="J1105" s="1" t="str">
        <f>IF(B1105=0,VLOOKUP(A1105,Feuil2!$A$2:$M$1241,9,FALSE)," ")</f>
        <v xml:space="preserve"> </v>
      </c>
      <c r="K1105" s="1" t="str">
        <f>IF(B1105=0,VLOOKUP(A1105,Feuil2!$A$2:$M$1241,10,FALSE)," ")</f>
        <v xml:space="preserve"> </v>
      </c>
      <c r="L1105" s="1"/>
      <c r="M1105" s="1"/>
      <c r="N1105" s="1"/>
      <c r="O1105" s="8" t="str">
        <f>IF(B1105=0,VLOOKUP(A1105,Feuil2!$A$2:$M$1241,13,FALSE)," ")</f>
        <v xml:space="preserve"> </v>
      </c>
    </row>
    <row r="1106" spans="1:15" x14ac:dyDescent="0.3">
      <c r="A1106" s="1">
        <v>1681</v>
      </c>
      <c r="B1106" s="1">
        <v>3</v>
      </c>
      <c r="C1106" s="1" t="s">
        <v>103</v>
      </c>
      <c r="D1106" s="1" t="s">
        <v>2585</v>
      </c>
      <c r="E1106" s="5">
        <v>38634</v>
      </c>
      <c r="F1106" s="1" t="s">
        <v>17</v>
      </c>
      <c r="G1106" s="1" t="str">
        <f>IF(B1106=0,VLOOKUP(A1106,Feuil2!$A$2:$M$1241,11,FALSE)," ")</f>
        <v xml:space="preserve"> </v>
      </c>
      <c r="H1106" s="1" t="s">
        <v>16</v>
      </c>
      <c r="I1106" s="6" t="str">
        <f>IF(B1106=0,VLOOKUP(A1106,Feuil2!$A$2:$M$1241,7,FALSE)," ")</f>
        <v xml:space="preserve"> </v>
      </c>
      <c r="J1106" s="1" t="str">
        <f>IF(B1106=0,VLOOKUP(A1106,Feuil2!$A$2:$M$1241,9,FALSE)," ")</f>
        <v xml:space="preserve"> </v>
      </c>
      <c r="K1106" s="1" t="str">
        <f>IF(B1106=0,VLOOKUP(A1106,Feuil2!$A$2:$M$1241,10,FALSE)," ")</f>
        <v xml:space="preserve"> </v>
      </c>
      <c r="L1106" s="1"/>
      <c r="M1106" s="1"/>
      <c r="N1106" s="1"/>
      <c r="O1106" s="8" t="str">
        <f>IF(B1106=0,VLOOKUP(A1106,Feuil2!$A$2:$M$1241,13,FALSE)," ")</f>
        <v xml:space="preserve"> </v>
      </c>
    </row>
    <row r="1107" spans="1:15" x14ac:dyDescent="0.3">
      <c r="A1107" s="1">
        <v>1681</v>
      </c>
      <c r="B1107" s="1">
        <v>4</v>
      </c>
      <c r="C1107" s="1" t="s">
        <v>103</v>
      </c>
      <c r="D1107" s="1" t="s">
        <v>2437</v>
      </c>
      <c r="E1107" s="5">
        <v>40626</v>
      </c>
      <c r="F1107" s="1" t="s">
        <v>17</v>
      </c>
      <c r="G1107" s="1" t="str">
        <f>IF(B1107=0,VLOOKUP(A1107,Feuil2!$A$2:$M$1241,11,FALSE)," ")</f>
        <v xml:space="preserve"> </v>
      </c>
      <c r="H1107" s="1" t="s">
        <v>16</v>
      </c>
      <c r="I1107" s="6" t="str">
        <f>IF(B1107=0,VLOOKUP(A1107,Feuil2!$A$2:$M$1241,7,FALSE)," ")</f>
        <v xml:space="preserve"> </v>
      </c>
      <c r="J1107" s="1" t="str">
        <f>IF(B1107=0,VLOOKUP(A1107,Feuil2!$A$2:$M$1241,9,FALSE)," ")</f>
        <v xml:space="preserve"> </v>
      </c>
      <c r="K1107" s="1" t="str">
        <f>IF(B1107=0,VLOOKUP(A1107,Feuil2!$A$2:$M$1241,10,FALSE)," ")</f>
        <v xml:space="preserve"> </v>
      </c>
      <c r="L1107" s="1"/>
      <c r="M1107" s="1"/>
      <c r="N1107" s="1"/>
      <c r="O1107" s="8" t="str">
        <f>IF(B1107=0,VLOOKUP(A1107,Feuil2!$A$2:$M$1241,13,FALSE)," ")</f>
        <v xml:space="preserve"> </v>
      </c>
    </row>
    <row r="1108" spans="1:15" x14ac:dyDescent="0.3">
      <c r="A1108" s="1">
        <v>1687</v>
      </c>
      <c r="B1108" s="1">
        <v>0</v>
      </c>
      <c r="C1108" s="1" t="str">
        <f>IF(B1108=0,VLOOKUP(A1108,Feuil2!$A$2:$M$1241,2,FALSE)," ")</f>
        <v>LACHHAB</v>
      </c>
      <c r="D1108" s="1" t="str">
        <f>IF(B1108=0,VLOOKUP(A1108,Feuil2!$A$2:$M$1241,3,FALSE)," ")</f>
        <v>SAHBI</v>
      </c>
      <c r="E1108" s="5">
        <f>IF(B1108=0,VLOOKUP(A1108,Feuil2!$A$2:$M$1241,6,FALSE)," ")</f>
        <v>28127</v>
      </c>
      <c r="F1108" s="1" t="str">
        <f>IF(B1108=0,VLOOKUP(A1108,Feuil2!$A$2:$M$1241,12,FALSE)," ")</f>
        <v>H</v>
      </c>
      <c r="G1108" s="1" t="str">
        <f>IF(B1108=0,VLOOKUP(A1108,Feuil2!$A$2:$M$1241,11,FALSE)," ")</f>
        <v>M</v>
      </c>
      <c r="H1108" s="1" t="s">
        <v>16</v>
      </c>
      <c r="I1108" s="6">
        <f>IF(B1108=0,VLOOKUP(A1108,Feuil2!$A$2:$M$1241,7,FALSE)," ")</f>
        <v>5573977</v>
      </c>
      <c r="J1108" s="1" t="str">
        <f>IF(B1108=0,VLOOKUP(A1108,Feuil2!$A$2:$M$1241,9,FALSE)," ")</f>
        <v>30 Rue Essaada</v>
      </c>
      <c r="K1108" s="1" t="str">
        <f>IF(B1108=0,VLOOKUP(A1108,Feuil2!$A$2:$M$1241,10,FALSE)," ")</f>
        <v>Msaken 4070</v>
      </c>
      <c r="L1108" s="1">
        <v>4070</v>
      </c>
      <c r="M1108" s="1">
        <v>22790200</v>
      </c>
      <c r="N1108" s="1"/>
      <c r="O1108" s="8" t="str">
        <f>IF(B1108=0,VLOOKUP(A1108,Feuil2!$A$2:$M$1241,13,FALSE)," ")</f>
        <v>12505000580102559789</v>
      </c>
    </row>
    <row r="1109" spans="1:15" x14ac:dyDescent="0.3">
      <c r="A1109" s="1">
        <v>1687</v>
      </c>
      <c r="B1109" s="1">
        <v>1</v>
      </c>
      <c r="C1109" s="1" t="str">
        <f>IF(B1109=0,VLOOKUP(A1109,Feuil2!$A$2:$M$1241,2,FALSE)," ")</f>
        <v xml:space="preserve"> </v>
      </c>
      <c r="D1109" s="1" t="s">
        <v>2348</v>
      </c>
      <c r="E1109" s="5">
        <v>29041</v>
      </c>
      <c r="F1109" s="1" t="s">
        <v>17</v>
      </c>
      <c r="G1109" s="1" t="s">
        <v>15</v>
      </c>
      <c r="H1109" s="1" t="s">
        <v>16</v>
      </c>
      <c r="I1109" s="6" t="str">
        <f>IF(B1109=0,VLOOKUP(A1109,Feuil2!$A$2:$M$1241,7,FALSE)," ")</f>
        <v xml:space="preserve"> </v>
      </c>
      <c r="J1109" s="1" t="str">
        <f>IF(B1109=0,VLOOKUP(A1109,Feuil2!$A$2:$M$1241,9,FALSE)," ")</f>
        <v xml:space="preserve"> </v>
      </c>
      <c r="K1109" s="1" t="str">
        <f>IF(B1109=0,VLOOKUP(A1109,Feuil2!$A$2:$M$1241,10,FALSE)," ")</f>
        <v xml:space="preserve"> </v>
      </c>
      <c r="L1109" s="1"/>
      <c r="M1109" s="1"/>
      <c r="N1109" s="1"/>
      <c r="O1109" s="8" t="str">
        <f>IF(B1109=0,VLOOKUP(A1109,Feuil2!$A$2:$M$1241,13,FALSE)," ")</f>
        <v xml:space="preserve"> </v>
      </c>
    </row>
    <row r="1110" spans="1:15" x14ac:dyDescent="0.3">
      <c r="A1110" s="1">
        <v>1687</v>
      </c>
      <c r="B1110" s="1">
        <v>2</v>
      </c>
      <c r="C1110" s="1" t="s">
        <v>220</v>
      </c>
      <c r="D1110" s="1" t="s">
        <v>2435</v>
      </c>
      <c r="E1110" s="5">
        <v>39334</v>
      </c>
      <c r="F1110" s="1" t="s">
        <v>17</v>
      </c>
      <c r="G1110" s="1" t="str">
        <f>IF(B1110=0,VLOOKUP(A1110,Feuil2!$A$2:$M$1241,11,FALSE)," ")</f>
        <v xml:space="preserve"> </v>
      </c>
      <c r="H1110" s="1" t="s">
        <v>16</v>
      </c>
      <c r="I1110" s="6" t="str">
        <f>IF(B1110=0,VLOOKUP(A1110,Feuil2!$A$2:$M$1241,7,FALSE)," ")</f>
        <v xml:space="preserve"> </v>
      </c>
      <c r="J1110" s="1" t="str">
        <f>IF(B1110=0,VLOOKUP(A1110,Feuil2!$A$2:$M$1241,9,FALSE)," ")</f>
        <v xml:space="preserve"> </v>
      </c>
      <c r="K1110" s="1" t="str">
        <f>IF(B1110=0,VLOOKUP(A1110,Feuil2!$A$2:$M$1241,10,FALSE)," ")</f>
        <v xml:space="preserve"> </v>
      </c>
      <c r="L1110" s="1"/>
      <c r="M1110" s="1"/>
      <c r="N1110" s="1"/>
      <c r="O1110" s="8" t="str">
        <f>IF(B1110=0,VLOOKUP(A1110,Feuil2!$A$2:$M$1241,13,FALSE)," ")</f>
        <v xml:space="preserve"> </v>
      </c>
    </row>
    <row r="1111" spans="1:15" x14ac:dyDescent="0.3">
      <c r="A1111" s="1">
        <v>1687</v>
      </c>
      <c r="B1111" s="1">
        <v>3</v>
      </c>
      <c r="C1111" s="1" t="s">
        <v>220</v>
      </c>
      <c r="D1111" s="1" t="s">
        <v>110</v>
      </c>
      <c r="E1111" s="5">
        <v>40065</v>
      </c>
      <c r="F1111" s="1" t="s">
        <v>506</v>
      </c>
      <c r="G1111" s="1" t="str">
        <f>IF(B1111=0,VLOOKUP(A1111,Feuil2!$A$2:$M$1241,11,FALSE)," ")</f>
        <v xml:space="preserve"> </v>
      </c>
      <c r="H1111" s="1" t="s">
        <v>16</v>
      </c>
      <c r="I1111" s="6" t="str">
        <f>IF(B1111=0,VLOOKUP(A1111,Feuil2!$A$2:$M$1241,7,FALSE)," ")</f>
        <v xml:space="preserve"> </v>
      </c>
      <c r="J1111" s="1" t="str">
        <f>IF(B1111=0,VLOOKUP(A1111,Feuil2!$A$2:$M$1241,9,FALSE)," ")</f>
        <v xml:space="preserve"> </v>
      </c>
      <c r="K1111" s="1" t="str">
        <f>IF(B1111=0,VLOOKUP(A1111,Feuil2!$A$2:$M$1241,10,FALSE)," ")</f>
        <v xml:space="preserve"> </v>
      </c>
      <c r="L1111" s="1"/>
      <c r="M1111" s="1"/>
      <c r="N1111" s="1"/>
      <c r="O1111" s="8" t="str">
        <f>IF(B1111=0,VLOOKUP(A1111,Feuil2!$A$2:$M$1241,13,FALSE)," ")</f>
        <v xml:space="preserve"> </v>
      </c>
    </row>
    <row r="1112" spans="1:15" x14ac:dyDescent="0.3">
      <c r="A1112" s="1">
        <v>1687</v>
      </c>
      <c r="B1112" s="1">
        <v>4</v>
      </c>
      <c r="C1112" s="1" t="s">
        <v>220</v>
      </c>
      <c r="D1112" s="1" t="s">
        <v>2675</v>
      </c>
      <c r="E1112" s="5">
        <v>41150</v>
      </c>
      <c r="F1112" s="1" t="s">
        <v>506</v>
      </c>
      <c r="G1112" s="1" t="str">
        <f>IF(B1112=0,VLOOKUP(A1112,Feuil2!$A$2:$M$1241,11,FALSE)," ")</f>
        <v xml:space="preserve"> </v>
      </c>
      <c r="H1112" s="1" t="s">
        <v>16</v>
      </c>
      <c r="I1112" s="6" t="str">
        <f>IF(B1112=0,VLOOKUP(A1112,Feuil2!$A$2:$M$1241,7,FALSE)," ")</f>
        <v xml:space="preserve"> </v>
      </c>
      <c r="J1112" s="1" t="str">
        <f>IF(B1112=0,VLOOKUP(A1112,Feuil2!$A$2:$M$1241,9,FALSE)," ")</f>
        <v xml:space="preserve"> </v>
      </c>
      <c r="K1112" s="1" t="str">
        <f>IF(B1112=0,VLOOKUP(A1112,Feuil2!$A$2:$M$1241,10,FALSE)," ")</f>
        <v xml:space="preserve"> </v>
      </c>
      <c r="L1112" s="1"/>
      <c r="M1112" s="1"/>
      <c r="N1112" s="1"/>
      <c r="O1112" s="8" t="str">
        <f>IF(B1112=0,VLOOKUP(A1112,Feuil2!$A$2:$M$1241,13,FALSE)," ")</f>
        <v xml:space="preserve"> </v>
      </c>
    </row>
    <row r="1113" spans="1:15" x14ac:dyDescent="0.3">
      <c r="A1113" s="1">
        <v>1687</v>
      </c>
      <c r="B1113" s="1">
        <v>5</v>
      </c>
      <c r="C1113" s="1" t="s">
        <v>220</v>
      </c>
      <c r="D1113" s="1" t="s">
        <v>2465</v>
      </c>
      <c r="E1113" s="5">
        <v>42308</v>
      </c>
      <c r="F1113" s="1" t="s">
        <v>506</v>
      </c>
      <c r="G1113" s="1" t="str">
        <f>IF(B1113=0,VLOOKUP(A1113,Feuil2!$A$2:$M$1241,11,FALSE)," ")</f>
        <v xml:space="preserve"> </v>
      </c>
      <c r="H1113" s="1" t="s">
        <v>16</v>
      </c>
      <c r="I1113" s="6" t="str">
        <f>IF(B1113=0,VLOOKUP(A1113,Feuil2!$A$2:$M$1241,7,FALSE)," ")</f>
        <v xml:space="preserve"> </v>
      </c>
      <c r="J1113" s="1" t="str">
        <f>IF(B1113=0,VLOOKUP(A1113,Feuil2!$A$2:$M$1241,9,FALSE)," ")</f>
        <v xml:space="preserve"> </v>
      </c>
      <c r="K1113" s="1" t="str">
        <f>IF(B1113=0,VLOOKUP(A1113,Feuil2!$A$2:$M$1241,10,FALSE)," ")</f>
        <v xml:space="preserve"> </v>
      </c>
      <c r="L1113" s="1"/>
      <c r="M1113" s="1"/>
      <c r="N1113" s="1"/>
      <c r="O1113" s="8" t="str">
        <f>IF(B1113=0,VLOOKUP(A1113,Feuil2!$A$2:$M$1241,13,FALSE)," ")</f>
        <v xml:space="preserve"> </v>
      </c>
    </row>
    <row r="1114" spans="1:15" x14ac:dyDescent="0.3">
      <c r="A1114" s="1">
        <v>1688</v>
      </c>
      <c r="B1114" s="1">
        <v>0</v>
      </c>
      <c r="C1114" s="1" t="str">
        <f>IF(B1114=0,VLOOKUP(A1114,Feuil2!$A$2:$M$1241,2,FALSE)," ")</f>
        <v>BEN ABDELJELIL</v>
      </c>
      <c r="D1114" s="1" t="str">
        <f>IF(B1114=0,VLOOKUP(A1114,Feuil2!$A$2:$M$1241,3,FALSE)," ")</f>
        <v>MED ANIS</v>
      </c>
      <c r="E1114" s="5">
        <f>IF(B1114=0,VLOOKUP(A1114,Feuil2!$A$2:$M$1241,6,FALSE)," ")</f>
        <v>28181</v>
      </c>
      <c r="F1114" s="1" t="str">
        <f>IF(B1114=0,VLOOKUP(A1114,Feuil2!$A$2:$M$1241,12,FALSE)," ")</f>
        <v>H</v>
      </c>
      <c r="G1114" s="1" t="str">
        <f>IF(B1114=0,VLOOKUP(A1114,Feuil2!$A$2:$M$1241,11,FALSE)," ")</f>
        <v>M</v>
      </c>
      <c r="H1114" s="1" t="s">
        <v>16</v>
      </c>
      <c r="I1114" s="6">
        <f>IF(B1114=0,VLOOKUP(A1114,Feuil2!$A$2:$M$1241,7,FALSE)," ")</f>
        <v>5597199</v>
      </c>
      <c r="J1114" s="1" t="str">
        <f>IF(B1114=0,VLOOKUP(A1114,Feuil2!$A$2:$M$1241,9,FALSE)," ")</f>
        <v>76 Rue de Bizerte</v>
      </c>
      <c r="K1114" s="1" t="str">
        <f>IF(B1114=0,VLOOKUP(A1114,Feuil2!$A$2:$M$1241,10,FALSE)," ")</f>
        <v>Msaken 4070</v>
      </c>
      <c r="L1114" s="1">
        <v>4070</v>
      </c>
      <c r="M1114" s="1">
        <v>20569555</v>
      </c>
      <c r="N1114" s="1"/>
      <c r="O1114" s="8" t="str">
        <f>IF(B1114=0,VLOOKUP(A1114,Feuil2!$A$2:$M$1241,13,FALSE)," ")</f>
        <v>08050020052000537373</v>
      </c>
    </row>
    <row r="1115" spans="1:15" x14ac:dyDescent="0.3">
      <c r="A1115" s="1">
        <v>1688</v>
      </c>
      <c r="B1115" s="1">
        <v>1</v>
      </c>
      <c r="C1115" s="1" t="s">
        <v>1797</v>
      </c>
      <c r="D1115" s="1" t="s">
        <v>2371</v>
      </c>
      <c r="E1115" s="5">
        <v>30441</v>
      </c>
      <c r="F1115" s="1" t="s">
        <v>17</v>
      </c>
      <c r="G1115" s="1" t="s">
        <v>15</v>
      </c>
      <c r="H1115" s="1" t="s">
        <v>16</v>
      </c>
      <c r="I1115" s="6" t="str">
        <f>IF(B1115=0,VLOOKUP(A1115,Feuil2!$A$2:$M$1241,7,FALSE)," ")</f>
        <v xml:space="preserve"> </v>
      </c>
      <c r="J1115" s="1" t="str">
        <f>IF(B1115=0,VLOOKUP(A1115,Feuil2!$A$2:$M$1241,9,FALSE)," ")</f>
        <v xml:space="preserve"> </v>
      </c>
      <c r="K1115" s="1" t="str">
        <f>IF(B1115=0,VLOOKUP(A1115,Feuil2!$A$2:$M$1241,10,FALSE)," ")</f>
        <v xml:space="preserve"> </v>
      </c>
      <c r="L1115" s="1"/>
      <c r="M1115" s="1"/>
      <c r="N1115" s="1"/>
      <c r="O1115" s="8" t="str">
        <f>IF(B1115=0,VLOOKUP(A1115,Feuil2!$A$2:$M$1241,13,FALSE)," ")</f>
        <v xml:space="preserve"> </v>
      </c>
    </row>
    <row r="1116" spans="1:15" x14ac:dyDescent="0.3">
      <c r="A1116" s="1">
        <v>1688</v>
      </c>
      <c r="B1116" s="1">
        <v>2</v>
      </c>
      <c r="C1116" s="1" t="s">
        <v>703</v>
      </c>
      <c r="D1116" s="1" t="s">
        <v>284</v>
      </c>
      <c r="E1116" s="5">
        <v>38686</v>
      </c>
      <c r="F1116" s="1" t="s">
        <v>506</v>
      </c>
      <c r="G1116" s="1" t="str">
        <f>IF(B1116=0,VLOOKUP(A1116,Feuil2!$A$2:$M$1241,11,FALSE)," ")</f>
        <v xml:space="preserve"> </v>
      </c>
      <c r="H1116" s="1" t="s">
        <v>16</v>
      </c>
      <c r="I1116" s="6" t="str">
        <f>IF(B1116=0,VLOOKUP(A1116,Feuil2!$A$2:$M$1241,7,FALSE)," ")</f>
        <v xml:space="preserve"> </v>
      </c>
      <c r="J1116" s="1" t="str">
        <f>IF(B1116=0,VLOOKUP(A1116,Feuil2!$A$2:$M$1241,9,FALSE)," ")</f>
        <v xml:space="preserve"> </v>
      </c>
      <c r="K1116" s="1" t="str">
        <f>IF(B1116=0,VLOOKUP(A1116,Feuil2!$A$2:$M$1241,10,FALSE)," ")</f>
        <v xml:space="preserve"> </v>
      </c>
      <c r="L1116" s="1"/>
      <c r="M1116" s="1"/>
      <c r="N1116" s="1"/>
      <c r="O1116" s="8" t="str">
        <f>IF(B1116=0,VLOOKUP(A1116,Feuil2!$A$2:$M$1241,13,FALSE)," ")</f>
        <v xml:space="preserve"> </v>
      </c>
    </row>
    <row r="1117" spans="1:15" x14ac:dyDescent="0.3">
      <c r="A1117" s="1">
        <v>1688</v>
      </c>
      <c r="B1117" s="1">
        <v>3</v>
      </c>
      <c r="C1117" s="1" t="s">
        <v>703</v>
      </c>
      <c r="D1117" s="1" t="s">
        <v>2676</v>
      </c>
      <c r="E1117" s="5">
        <v>39314</v>
      </c>
      <c r="F1117" s="1" t="s">
        <v>506</v>
      </c>
      <c r="G1117" s="1" t="str">
        <f>IF(B1117=0,VLOOKUP(A1117,Feuil2!$A$2:$M$1241,11,FALSE)," ")</f>
        <v xml:space="preserve"> </v>
      </c>
      <c r="H1117" s="1" t="s">
        <v>16</v>
      </c>
      <c r="I1117" s="6" t="str">
        <f>IF(B1117=0,VLOOKUP(A1117,Feuil2!$A$2:$M$1241,7,FALSE)," ")</f>
        <v xml:space="preserve"> </v>
      </c>
      <c r="J1117" s="1" t="str">
        <f>IF(B1117=0,VLOOKUP(A1117,Feuil2!$A$2:$M$1241,9,FALSE)," ")</f>
        <v xml:space="preserve"> </v>
      </c>
      <c r="K1117" s="1" t="str">
        <f>IF(B1117=0,VLOOKUP(A1117,Feuil2!$A$2:$M$1241,10,FALSE)," ")</f>
        <v xml:space="preserve"> </v>
      </c>
      <c r="L1117" s="1"/>
      <c r="M1117" s="1"/>
      <c r="N1117" s="1"/>
      <c r="O1117" s="8" t="str">
        <f>IF(B1117=0,VLOOKUP(A1117,Feuil2!$A$2:$M$1241,13,FALSE)," ")</f>
        <v xml:space="preserve"> </v>
      </c>
    </row>
    <row r="1118" spans="1:15" x14ac:dyDescent="0.3">
      <c r="A1118" s="1">
        <v>1688</v>
      </c>
      <c r="B1118" s="1">
        <v>4</v>
      </c>
      <c r="C1118" s="1" t="s">
        <v>703</v>
      </c>
      <c r="D1118" s="1" t="s">
        <v>2599</v>
      </c>
      <c r="E1118" s="5">
        <v>39897</v>
      </c>
      <c r="F1118" s="1" t="s">
        <v>506</v>
      </c>
      <c r="G1118" s="1" t="str">
        <f>IF(B1118=0,VLOOKUP(A1118,Feuil2!$A$2:$M$1241,11,FALSE)," ")</f>
        <v xml:space="preserve"> </v>
      </c>
      <c r="H1118" s="1" t="s">
        <v>16</v>
      </c>
      <c r="I1118" s="6" t="str">
        <f>IF(B1118=0,VLOOKUP(A1118,Feuil2!$A$2:$M$1241,7,FALSE)," ")</f>
        <v xml:space="preserve"> </v>
      </c>
      <c r="J1118" s="1" t="str">
        <f>IF(B1118=0,VLOOKUP(A1118,Feuil2!$A$2:$M$1241,9,FALSE)," ")</f>
        <v xml:space="preserve"> </v>
      </c>
      <c r="K1118" s="1" t="str">
        <f>IF(B1118=0,VLOOKUP(A1118,Feuil2!$A$2:$M$1241,10,FALSE)," ")</f>
        <v xml:space="preserve"> </v>
      </c>
      <c r="L1118" s="1"/>
      <c r="M1118" s="1"/>
      <c r="N1118" s="1"/>
      <c r="O1118" s="8" t="str">
        <f>IF(B1118=0,VLOOKUP(A1118,Feuil2!$A$2:$M$1241,13,FALSE)," ")</f>
        <v xml:space="preserve"> </v>
      </c>
    </row>
    <row r="1119" spans="1:15" x14ac:dyDescent="0.3">
      <c r="A1119" s="1">
        <v>1688</v>
      </c>
      <c r="B1119" s="1">
        <v>5</v>
      </c>
      <c r="C1119" s="1" t="s">
        <v>703</v>
      </c>
      <c r="D1119" s="1" t="s">
        <v>2879</v>
      </c>
      <c r="E1119" s="5">
        <v>44635</v>
      </c>
      <c r="F1119" s="1" t="s">
        <v>17</v>
      </c>
      <c r="G1119" s="1"/>
      <c r="H1119" s="1" t="s">
        <v>16</v>
      </c>
      <c r="I1119" s="6"/>
      <c r="J1119" s="1"/>
      <c r="K1119" s="1"/>
      <c r="L1119" s="1"/>
      <c r="M1119" s="1"/>
      <c r="N1119" s="1"/>
      <c r="O1119" s="8"/>
    </row>
    <row r="1120" spans="1:15" x14ac:dyDescent="0.3">
      <c r="A1120" s="1">
        <v>1689</v>
      </c>
      <c r="B1120" s="1">
        <v>0</v>
      </c>
      <c r="C1120" s="1" t="str">
        <f>IF(B1120=0,VLOOKUP(A1120,Feuil2!$A$2:$M$1241,2,FALSE)," ")</f>
        <v>GRAA</v>
      </c>
      <c r="D1120" s="1" t="str">
        <f>IF(B1120=0,VLOOKUP(A1120,Feuil2!$A$2:$M$1241,3,FALSE)," ")</f>
        <v>SKANDER</v>
      </c>
      <c r="E1120" s="5">
        <f>IF(B1120=0,VLOOKUP(A1120,Feuil2!$A$2:$M$1241,6,FALSE)," ")</f>
        <v>28052</v>
      </c>
      <c r="F1120" s="1" t="str">
        <f>IF(B1120=0,VLOOKUP(A1120,Feuil2!$A$2:$M$1241,12,FALSE)," ")</f>
        <v>H</v>
      </c>
      <c r="G1120" s="1" t="str">
        <f>IF(B1120=0,VLOOKUP(A1120,Feuil2!$A$2:$M$1241,11,FALSE)," ")</f>
        <v>M</v>
      </c>
      <c r="H1120" s="1" t="s">
        <v>16</v>
      </c>
      <c r="I1120" s="6">
        <f>IF(B1120=0,VLOOKUP(A1120,Feuil2!$A$2:$M$1241,7,FALSE)," ")</f>
        <v>5533523</v>
      </c>
      <c r="J1120" s="1" t="str">
        <f>IF(B1120=0,VLOOKUP(A1120,Feuil2!$A$2:$M$1241,9,FALSE)," ")</f>
        <v>210 Rue El Asphahani</v>
      </c>
      <c r="K1120" s="1" t="str">
        <f>IF(B1120=0,VLOOKUP(A1120,Feuil2!$A$2:$M$1241,10,FALSE)," ")</f>
        <v>Msaken 4070</v>
      </c>
      <c r="L1120" s="1">
        <v>4070</v>
      </c>
      <c r="M1120" s="1">
        <v>28129234</v>
      </c>
      <c r="N1120" s="1"/>
      <c r="O1120" s="8" t="str">
        <f>IF(B1120=0,VLOOKUP(A1120,Feuil2!$A$2:$M$1241,13,FALSE)," ")</f>
        <v>08507000262006563662</v>
      </c>
    </row>
    <row r="1121" spans="1:15" x14ac:dyDescent="0.3">
      <c r="A1121" s="1">
        <v>1689</v>
      </c>
      <c r="B1121" s="1">
        <v>1</v>
      </c>
      <c r="C1121" s="1" t="s">
        <v>71</v>
      </c>
      <c r="D1121" s="1" t="s">
        <v>749</v>
      </c>
      <c r="E1121" s="5">
        <v>29456</v>
      </c>
      <c r="F1121" s="1" t="s">
        <v>17</v>
      </c>
      <c r="G1121" s="1" t="s">
        <v>15</v>
      </c>
      <c r="H1121" s="1" t="s">
        <v>16</v>
      </c>
      <c r="I1121" s="6" t="str">
        <f>IF(B1121=0,VLOOKUP(A1121,Feuil2!$A$2:$M$1241,7,FALSE)," ")</f>
        <v xml:space="preserve"> </v>
      </c>
      <c r="J1121" s="1" t="str">
        <f>IF(B1121=0,VLOOKUP(A1121,Feuil2!$A$2:$M$1241,9,FALSE)," ")</f>
        <v xml:space="preserve"> </v>
      </c>
      <c r="K1121" s="1" t="str">
        <f>IF(B1121=0,VLOOKUP(A1121,Feuil2!$A$2:$M$1241,10,FALSE)," ")</f>
        <v xml:space="preserve"> </v>
      </c>
      <c r="L1121" s="1"/>
      <c r="M1121" s="1"/>
      <c r="N1121" s="1"/>
      <c r="O1121" s="8" t="str">
        <f>IF(B1121=0,VLOOKUP(A1121,Feuil2!$A$2:$M$1241,13,FALSE)," ")</f>
        <v xml:space="preserve"> </v>
      </c>
    </row>
    <row r="1122" spans="1:15" x14ac:dyDescent="0.3">
      <c r="A1122" s="1">
        <v>1689</v>
      </c>
      <c r="B1122" s="1">
        <v>2</v>
      </c>
      <c r="C1122" s="1" t="s">
        <v>186</v>
      </c>
      <c r="D1122" s="1" t="s">
        <v>278</v>
      </c>
      <c r="E1122" s="5">
        <v>40686</v>
      </c>
      <c r="F1122" s="1" t="s">
        <v>506</v>
      </c>
      <c r="G1122" s="1" t="str">
        <f>IF(B1122=0,VLOOKUP(A1122,Feuil2!$A$2:$M$1241,11,FALSE)," ")</f>
        <v xml:space="preserve"> </v>
      </c>
      <c r="H1122" s="1" t="s">
        <v>16</v>
      </c>
      <c r="I1122" s="6" t="str">
        <f>IF(B1122=0,VLOOKUP(A1122,Feuil2!$A$2:$M$1241,7,FALSE)," ")</f>
        <v xml:space="preserve"> </v>
      </c>
      <c r="J1122" s="1" t="str">
        <f>IF(B1122=0,VLOOKUP(A1122,Feuil2!$A$2:$M$1241,9,FALSE)," ")</f>
        <v xml:space="preserve"> </v>
      </c>
      <c r="K1122" s="1" t="str">
        <f>IF(B1122=0,VLOOKUP(A1122,Feuil2!$A$2:$M$1241,10,FALSE)," ")</f>
        <v xml:space="preserve"> </v>
      </c>
      <c r="L1122" s="1"/>
      <c r="M1122" s="1"/>
      <c r="N1122" s="1"/>
      <c r="O1122" s="8" t="str">
        <f>IF(B1122=0,VLOOKUP(A1122,Feuil2!$A$2:$M$1241,13,FALSE)," ")</f>
        <v xml:space="preserve"> </v>
      </c>
    </row>
    <row r="1123" spans="1:15" x14ac:dyDescent="0.3">
      <c r="A1123" s="1">
        <v>1689</v>
      </c>
      <c r="B1123" s="1">
        <v>3</v>
      </c>
      <c r="C1123" s="1" t="s">
        <v>186</v>
      </c>
      <c r="D1123" s="1" t="s">
        <v>61</v>
      </c>
      <c r="E1123" s="5">
        <v>41528</v>
      </c>
      <c r="F1123" s="1" t="s">
        <v>506</v>
      </c>
      <c r="G1123" s="1" t="str">
        <f>IF(B1123=0,VLOOKUP(A1123,Feuil2!$A$2:$M$1241,11,FALSE)," ")</f>
        <v xml:space="preserve"> </v>
      </c>
      <c r="H1123" s="1" t="s">
        <v>16</v>
      </c>
      <c r="I1123" s="6" t="str">
        <f>IF(B1123=0,VLOOKUP(A1123,Feuil2!$A$2:$M$1241,7,FALSE)," ")</f>
        <v xml:space="preserve"> </v>
      </c>
      <c r="J1123" s="1" t="str">
        <f>IF(B1123=0,VLOOKUP(A1123,Feuil2!$A$2:$M$1241,9,FALSE)," ")</f>
        <v xml:space="preserve"> </v>
      </c>
      <c r="K1123" s="1" t="str">
        <f>IF(B1123=0,VLOOKUP(A1123,Feuil2!$A$2:$M$1241,10,FALSE)," ")</f>
        <v xml:space="preserve"> </v>
      </c>
      <c r="L1123" s="1"/>
      <c r="M1123" s="1"/>
      <c r="N1123" s="1"/>
      <c r="O1123" s="8" t="str">
        <f>IF(B1123=0,VLOOKUP(A1123,Feuil2!$A$2:$M$1241,13,FALSE)," ")</f>
        <v xml:space="preserve"> </v>
      </c>
    </row>
    <row r="1124" spans="1:15" x14ac:dyDescent="0.3">
      <c r="A1124" s="1">
        <v>1689</v>
      </c>
      <c r="B1124" s="1">
        <v>4</v>
      </c>
      <c r="C1124" s="1" t="s">
        <v>186</v>
      </c>
      <c r="D1124" s="1" t="s">
        <v>2677</v>
      </c>
      <c r="E1124" s="5">
        <v>42129</v>
      </c>
      <c r="F1124" s="1" t="s">
        <v>17</v>
      </c>
      <c r="G1124" s="1" t="str">
        <f>IF(B1124=0,VLOOKUP(A1124,Feuil2!$A$2:$M$1241,11,FALSE)," ")</f>
        <v xml:space="preserve"> </v>
      </c>
      <c r="H1124" s="1" t="s">
        <v>16</v>
      </c>
      <c r="I1124" s="6" t="str">
        <f>IF(B1124=0,VLOOKUP(A1124,Feuil2!$A$2:$M$1241,7,FALSE)," ")</f>
        <v xml:space="preserve"> </v>
      </c>
      <c r="J1124" s="1" t="str">
        <f>IF(B1124=0,VLOOKUP(A1124,Feuil2!$A$2:$M$1241,9,FALSE)," ")</f>
        <v xml:space="preserve"> </v>
      </c>
      <c r="K1124" s="1" t="str">
        <f>IF(B1124=0,VLOOKUP(A1124,Feuil2!$A$2:$M$1241,10,FALSE)," ")</f>
        <v xml:space="preserve"> </v>
      </c>
      <c r="L1124" s="1"/>
      <c r="M1124" s="1"/>
      <c r="N1124" s="1"/>
      <c r="O1124" s="8" t="str">
        <f>IF(B1124=0,VLOOKUP(A1124,Feuil2!$A$2:$M$1241,13,FALSE)," ")</f>
        <v xml:space="preserve"> </v>
      </c>
    </row>
    <row r="1125" spans="1:15" x14ac:dyDescent="0.3">
      <c r="A1125" s="1">
        <v>1691</v>
      </c>
      <c r="B1125" s="1">
        <v>0</v>
      </c>
      <c r="C1125" s="1" t="str">
        <f>IF(B1125=0,VLOOKUP(A1125,Feuil2!$A$2:$M$1241,2,FALSE)," ")</f>
        <v>GADHI</v>
      </c>
      <c r="D1125" s="1" t="str">
        <f>IF(B1125=0,VLOOKUP(A1125,Feuil2!$A$2:$M$1241,3,FALSE)," ")</f>
        <v>MOHAMED</v>
      </c>
      <c r="E1125" s="5">
        <f>IF(B1125=0,VLOOKUP(A1125,Feuil2!$A$2:$M$1241,6,FALSE)," ")</f>
        <v>26960</v>
      </c>
      <c r="F1125" s="1" t="str">
        <f>IF(B1125=0,VLOOKUP(A1125,Feuil2!$A$2:$M$1241,12,FALSE)," ")</f>
        <v>H</v>
      </c>
      <c r="G1125" s="1" t="str">
        <f>IF(B1125=0,VLOOKUP(A1125,Feuil2!$A$2:$M$1241,11,FALSE)," ")</f>
        <v>M</v>
      </c>
      <c r="H1125" s="1" t="s">
        <v>16</v>
      </c>
      <c r="I1125" s="6">
        <f>IF(B1125=0,VLOOKUP(A1125,Feuil2!$A$2:$M$1241,7,FALSE)," ")</f>
        <v>5555099</v>
      </c>
      <c r="J1125" s="1" t="str">
        <f>IF(B1125=0,VLOOKUP(A1125,Feuil2!$A$2:$M$1241,9,FALSE)," ")</f>
        <v>193 Rue Ali Belhouane</v>
      </c>
      <c r="K1125" s="1" t="str">
        <f>IF(B1125=0,VLOOKUP(A1125,Feuil2!$A$2:$M$1241,10,FALSE)," ")</f>
        <v>Msaken 4070</v>
      </c>
      <c r="L1125" s="1">
        <v>4070</v>
      </c>
      <c r="M1125" s="1">
        <v>22906267</v>
      </c>
      <c r="N1125" s="1"/>
      <c r="O1125" s="8" t="str">
        <f>IF(B1125=0,VLOOKUP(A1125,Feuil2!$A$2:$M$1241,13,FALSE)," ")</f>
        <v>03508056010100336820</v>
      </c>
    </row>
    <row r="1126" spans="1:15" x14ac:dyDescent="0.3">
      <c r="A1126" s="1">
        <v>1691</v>
      </c>
      <c r="B1126" s="1">
        <v>1</v>
      </c>
      <c r="C1126" s="1" t="s">
        <v>1876</v>
      </c>
      <c r="D1126" s="1" t="s">
        <v>2327</v>
      </c>
      <c r="E1126" s="5">
        <v>30709</v>
      </c>
      <c r="F1126" s="1" t="s">
        <v>17</v>
      </c>
      <c r="G1126" s="1" t="s">
        <v>15</v>
      </c>
      <c r="H1126" s="1" t="s">
        <v>16</v>
      </c>
      <c r="I1126" s="6" t="str">
        <f>IF(B1126=0,VLOOKUP(A1126,Feuil2!$A$2:$M$1241,7,FALSE)," ")</f>
        <v xml:space="preserve"> </v>
      </c>
      <c r="J1126" s="1" t="str">
        <f>IF(B1126=0,VLOOKUP(A1126,Feuil2!$A$2:$M$1241,9,FALSE)," ")</f>
        <v xml:space="preserve"> </v>
      </c>
      <c r="K1126" s="1" t="str">
        <f>IF(B1126=0,VLOOKUP(A1126,Feuil2!$A$2:$M$1241,10,FALSE)," ")</f>
        <v xml:space="preserve"> </v>
      </c>
      <c r="L1126" s="1"/>
      <c r="M1126" s="1"/>
      <c r="N1126" s="1"/>
      <c r="O1126" s="8" t="str">
        <f>IF(B1126=0,VLOOKUP(A1126,Feuil2!$A$2:$M$1241,13,FALSE)," ")</f>
        <v xml:space="preserve"> </v>
      </c>
    </row>
    <row r="1127" spans="1:15" x14ac:dyDescent="0.3">
      <c r="A1127" s="1">
        <v>1691</v>
      </c>
      <c r="B1127" s="1">
        <v>2</v>
      </c>
      <c r="C1127" s="1" t="s">
        <v>123</v>
      </c>
      <c r="D1127" s="1" t="s">
        <v>2678</v>
      </c>
      <c r="E1127" s="5">
        <v>38093</v>
      </c>
      <c r="F1127" s="1" t="s">
        <v>17</v>
      </c>
      <c r="G1127" s="1" t="str">
        <f>IF(B1127=0,VLOOKUP(A1127,Feuil2!$A$2:$M$1241,11,FALSE)," ")</f>
        <v xml:space="preserve"> </v>
      </c>
      <c r="H1127" s="1" t="s">
        <v>16</v>
      </c>
      <c r="I1127" s="6" t="str">
        <f>IF(B1127=0,VLOOKUP(A1127,Feuil2!$A$2:$M$1241,7,FALSE)," ")</f>
        <v xml:space="preserve"> </v>
      </c>
      <c r="J1127" s="1" t="str">
        <f>IF(B1127=0,VLOOKUP(A1127,Feuil2!$A$2:$M$1241,9,FALSE)," ")</f>
        <v xml:space="preserve"> </v>
      </c>
      <c r="K1127" s="1" t="str">
        <f>IF(B1127=0,VLOOKUP(A1127,Feuil2!$A$2:$M$1241,10,FALSE)," ")</f>
        <v xml:space="preserve"> </v>
      </c>
      <c r="L1127" s="1"/>
      <c r="M1127" s="1"/>
      <c r="N1127" s="1"/>
      <c r="O1127" s="8" t="str">
        <f>IF(B1127=0,VLOOKUP(A1127,Feuil2!$A$2:$M$1241,13,FALSE)," ")</f>
        <v xml:space="preserve"> </v>
      </c>
    </row>
    <row r="1128" spans="1:15" x14ac:dyDescent="0.3">
      <c r="A1128" s="1">
        <v>1691</v>
      </c>
      <c r="B1128" s="1">
        <v>3</v>
      </c>
      <c r="C1128" s="1" t="s">
        <v>123</v>
      </c>
      <c r="D1128" s="1" t="s">
        <v>2679</v>
      </c>
      <c r="E1128" s="5">
        <v>39387</v>
      </c>
      <c r="F1128" s="1" t="s">
        <v>506</v>
      </c>
      <c r="G1128" s="1" t="str">
        <f>IF(B1128=0,VLOOKUP(A1128,Feuil2!$A$2:$M$1241,11,FALSE)," ")</f>
        <v xml:space="preserve"> </v>
      </c>
      <c r="H1128" s="1" t="s">
        <v>16</v>
      </c>
      <c r="I1128" s="6" t="str">
        <f>IF(B1128=0,VLOOKUP(A1128,Feuil2!$A$2:$M$1241,7,FALSE)," ")</f>
        <v xml:space="preserve"> </v>
      </c>
      <c r="J1128" s="1" t="str">
        <f>IF(B1128=0,VLOOKUP(A1128,Feuil2!$A$2:$M$1241,9,FALSE)," ")</f>
        <v xml:space="preserve"> </v>
      </c>
      <c r="K1128" s="1" t="str">
        <f>IF(B1128=0,VLOOKUP(A1128,Feuil2!$A$2:$M$1241,10,FALSE)," ")</f>
        <v xml:space="preserve"> </v>
      </c>
      <c r="L1128" s="1"/>
      <c r="M1128" s="1"/>
      <c r="N1128" s="1"/>
      <c r="O1128" s="8" t="str">
        <f>IF(B1128=0,VLOOKUP(A1128,Feuil2!$A$2:$M$1241,13,FALSE)," ")</f>
        <v xml:space="preserve"> </v>
      </c>
    </row>
    <row r="1129" spans="1:15" x14ac:dyDescent="0.3">
      <c r="A1129" s="1">
        <v>1691</v>
      </c>
      <c r="B1129" s="1">
        <v>4</v>
      </c>
      <c r="C1129" s="1" t="s">
        <v>123</v>
      </c>
      <c r="D1129" s="1" t="s">
        <v>2680</v>
      </c>
      <c r="E1129" s="5">
        <v>41706</v>
      </c>
      <c r="F1129" s="1" t="s">
        <v>506</v>
      </c>
      <c r="G1129" s="1" t="str">
        <f>IF(B1129=0,VLOOKUP(A1129,Feuil2!$A$2:$M$1241,11,FALSE)," ")</f>
        <v xml:space="preserve"> </v>
      </c>
      <c r="H1129" s="1" t="s">
        <v>16</v>
      </c>
      <c r="I1129" s="6" t="str">
        <f>IF(B1129=0,VLOOKUP(A1129,Feuil2!$A$2:$M$1241,7,FALSE)," ")</f>
        <v xml:space="preserve"> </v>
      </c>
      <c r="J1129" s="1" t="str">
        <f>IF(B1129=0,VLOOKUP(A1129,Feuil2!$A$2:$M$1241,9,FALSE)," ")</f>
        <v xml:space="preserve"> </v>
      </c>
      <c r="K1129" s="1" t="str">
        <f>IF(B1129=0,VLOOKUP(A1129,Feuil2!$A$2:$M$1241,10,FALSE)," ")</f>
        <v xml:space="preserve"> </v>
      </c>
      <c r="L1129" s="1"/>
      <c r="M1129" s="1"/>
      <c r="N1129" s="1"/>
      <c r="O1129" s="8" t="str">
        <f>IF(B1129=0,VLOOKUP(A1129,Feuil2!$A$2:$M$1241,13,FALSE)," ")</f>
        <v xml:space="preserve"> </v>
      </c>
    </row>
    <row r="1130" spans="1:15" x14ac:dyDescent="0.3">
      <c r="A1130" s="1">
        <v>1694</v>
      </c>
      <c r="B1130" s="1">
        <v>0</v>
      </c>
      <c r="C1130" s="1" t="str">
        <f>IF(B1130=0,VLOOKUP(A1130,Feuil2!$A$2:$M$1241,2,FALSE)," ")</f>
        <v>ZRELLI</v>
      </c>
      <c r="D1130" s="1" t="str">
        <f>IF(B1130=0,VLOOKUP(A1130,Feuil2!$A$2:$M$1241,3,FALSE)," ")</f>
        <v>KHALED</v>
      </c>
      <c r="E1130" s="5">
        <f>IF(B1130=0,VLOOKUP(A1130,Feuil2!$A$2:$M$1241,6,FALSE)," ")</f>
        <v>27590</v>
      </c>
      <c r="F1130" s="1" t="str">
        <f>IF(B1130=0,VLOOKUP(A1130,Feuil2!$A$2:$M$1241,12,FALSE)," ")</f>
        <v>H</v>
      </c>
      <c r="G1130" s="1" t="str">
        <f>IF(B1130=0,VLOOKUP(A1130,Feuil2!$A$2:$M$1241,11,FALSE)," ")</f>
        <v>M</v>
      </c>
      <c r="H1130" s="1" t="s">
        <v>16</v>
      </c>
      <c r="I1130" s="6">
        <f>IF(B1130=0,VLOOKUP(A1130,Feuil2!$A$2:$M$1241,7,FALSE)," ")</f>
        <v>5563458</v>
      </c>
      <c r="J1130" s="1" t="str">
        <f>IF(B1130=0,VLOOKUP(A1130,Feuil2!$A$2:$M$1241,9,FALSE)," ")</f>
        <v>118 Rue Mohamed Ali</v>
      </c>
      <c r="K1130" s="1" t="str">
        <f>IF(B1130=0,VLOOKUP(A1130,Feuil2!$A$2:$M$1241,10,FALSE)," ")</f>
        <v>Msaken 4070</v>
      </c>
      <c r="L1130" s="1">
        <v>4070</v>
      </c>
      <c r="M1130" s="1">
        <v>96524898</v>
      </c>
      <c r="N1130" s="1"/>
      <c r="O1130" s="8" t="str">
        <f>IF(B1130=0,VLOOKUP(A1130,Feuil2!$A$2:$M$1241,13,FALSE)," ")</f>
        <v>08507000262001237004</v>
      </c>
    </row>
    <row r="1131" spans="1:15" x14ac:dyDescent="0.3">
      <c r="A1131" s="1">
        <v>1694</v>
      </c>
      <c r="B1131" s="1">
        <v>1</v>
      </c>
      <c r="C1131" s="1" t="s">
        <v>217</v>
      </c>
      <c r="D1131" s="1" t="s">
        <v>2408</v>
      </c>
      <c r="E1131" s="5">
        <v>30393</v>
      </c>
      <c r="F1131" s="1" t="s">
        <v>17</v>
      </c>
      <c r="G1131" s="1" t="s">
        <v>15</v>
      </c>
      <c r="H1131" s="1" t="s">
        <v>16</v>
      </c>
      <c r="I1131" s="6" t="str">
        <f>IF(B1131=0,VLOOKUP(A1131,Feuil2!$A$2:$M$1241,7,FALSE)," ")</f>
        <v xml:space="preserve"> </v>
      </c>
      <c r="J1131" s="1" t="str">
        <f>IF(B1131=0,VLOOKUP(A1131,Feuil2!$A$2:$M$1241,9,FALSE)," ")</f>
        <v xml:space="preserve"> </v>
      </c>
      <c r="K1131" s="1" t="str">
        <f>IF(B1131=0,VLOOKUP(A1131,Feuil2!$A$2:$M$1241,10,FALSE)," ")</f>
        <v xml:space="preserve"> </v>
      </c>
      <c r="L1131" s="1"/>
      <c r="M1131" s="1"/>
      <c r="N1131" s="1"/>
      <c r="O1131" s="8" t="str">
        <f>IF(B1131=0,VLOOKUP(A1131,Feuil2!$A$2:$M$1241,13,FALSE)," ")</f>
        <v xml:space="preserve"> </v>
      </c>
    </row>
    <row r="1132" spans="1:15" x14ac:dyDescent="0.3">
      <c r="A1132" s="1">
        <v>1694</v>
      </c>
      <c r="B1132" s="1">
        <v>2</v>
      </c>
      <c r="C1132" s="1" t="s">
        <v>180</v>
      </c>
      <c r="D1132" s="1" t="s">
        <v>2681</v>
      </c>
      <c r="E1132" s="5">
        <v>39307</v>
      </c>
      <c r="F1132" s="1" t="s">
        <v>506</v>
      </c>
      <c r="G1132" s="1" t="str">
        <f>IF(B1132=0,VLOOKUP(A1132,Feuil2!$A$2:$M$1241,11,FALSE)," ")</f>
        <v xml:space="preserve"> </v>
      </c>
      <c r="H1132" s="1" t="s">
        <v>16</v>
      </c>
      <c r="I1132" s="6" t="str">
        <f>IF(B1132=0,VLOOKUP(A1132,Feuil2!$A$2:$M$1241,7,FALSE)," ")</f>
        <v xml:space="preserve"> </v>
      </c>
      <c r="J1132" s="1" t="str">
        <f>IF(B1132=0,VLOOKUP(A1132,Feuil2!$A$2:$M$1241,9,FALSE)," ")</f>
        <v xml:space="preserve"> </v>
      </c>
      <c r="K1132" s="1" t="str">
        <f>IF(B1132=0,VLOOKUP(A1132,Feuil2!$A$2:$M$1241,10,FALSE)," ")</f>
        <v xml:space="preserve"> </v>
      </c>
      <c r="L1132" s="1"/>
      <c r="M1132" s="1"/>
      <c r="N1132" s="1"/>
      <c r="O1132" s="8" t="str">
        <f>IF(B1132=0,VLOOKUP(A1132,Feuil2!$A$2:$M$1241,13,FALSE)," ")</f>
        <v xml:space="preserve"> </v>
      </c>
    </row>
    <row r="1133" spans="1:15" x14ac:dyDescent="0.3">
      <c r="A1133" s="1">
        <v>1694</v>
      </c>
      <c r="B1133" s="1">
        <v>3</v>
      </c>
      <c r="C1133" s="1" t="s">
        <v>180</v>
      </c>
      <c r="D1133" s="1" t="s">
        <v>2674</v>
      </c>
      <c r="E1133" s="5">
        <v>40359</v>
      </c>
      <c r="F1133" s="1" t="s">
        <v>506</v>
      </c>
      <c r="G1133" s="1" t="str">
        <f>IF(B1133=0,VLOOKUP(A1133,Feuil2!$A$2:$M$1241,11,FALSE)," ")</f>
        <v xml:space="preserve"> </v>
      </c>
      <c r="H1133" s="1" t="s">
        <v>16</v>
      </c>
      <c r="I1133" s="6" t="str">
        <f>IF(B1133=0,VLOOKUP(A1133,Feuil2!$A$2:$M$1241,7,FALSE)," ")</f>
        <v xml:space="preserve"> </v>
      </c>
      <c r="J1133" s="1" t="str">
        <f>IF(B1133=0,VLOOKUP(A1133,Feuil2!$A$2:$M$1241,9,FALSE)," ")</f>
        <v xml:space="preserve"> </v>
      </c>
      <c r="K1133" s="1" t="str">
        <f>IF(B1133=0,VLOOKUP(A1133,Feuil2!$A$2:$M$1241,10,FALSE)," ")</f>
        <v xml:space="preserve"> </v>
      </c>
      <c r="L1133" s="1"/>
      <c r="M1133" s="1"/>
      <c r="N1133" s="1"/>
      <c r="O1133" s="8" t="str">
        <f>IF(B1133=0,VLOOKUP(A1133,Feuil2!$A$2:$M$1241,13,FALSE)," ")</f>
        <v xml:space="preserve"> </v>
      </c>
    </row>
    <row r="1134" spans="1:15" x14ac:dyDescent="0.3">
      <c r="A1134" s="1">
        <v>1694</v>
      </c>
      <c r="B1134" s="1">
        <v>4</v>
      </c>
      <c r="C1134" s="1" t="s">
        <v>180</v>
      </c>
      <c r="D1134" s="1" t="s">
        <v>2465</v>
      </c>
      <c r="E1134" s="5">
        <v>40697</v>
      </c>
      <c r="F1134" s="1" t="s">
        <v>506</v>
      </c>
      <c r="G1134" s="1" t="str">
        <f>IF(B1134=0,VLOOKUP(A1134,Feuil2!$A$2:$M$1241,11,FALSE)," ")</f>
        <v xml:space="preserve"> </v>
      </c>
      <c r="H1134" s="1" t="s">
        <v>16</v>
      </c>
      <c r="I1134" s="6" t="str">
        <f>IF(B1134=0,VLOOKUP(A1134,Feuil2!$A$2:$M$1241,7,FALSE)," ")</f>
        <v xml:space="preserve"> </v>
      </c>
      <c r="J1134" s="1" t="str">
        <f>IF(B1134=0,VLOOKUP(A1134,Feuil2!$A$2:$M$1241,9,FALSE)," ")</f>
        <v xml:space="preserve"> </v>
      </c>
      <c r="K1134" s="1" t="str">
        <f>IF(B1134=0,VLOOKUP(A1134,Feuil2!$A$2:$M$1241,10,FALSE)," ")</f>
        <v xml:space="preserve"> </v>
      </c>
      <c r="L1134" s="1"/>
      <c r="M1134" s="1"/>
      <c r="N1134" s="1"/>
      <c r="O1134" s="8" t="str">
        <f>IF(B1134=0,VLOOKUP(A1134,Feuil2!$A$2:$M$1241,13,FALSE)," ")</f>
        <v xml:space="preserve"> </v>
      </c>
    </row>
    <row r="1135" spans="1:15" x14ac:dyDescent="0.3">
      <c r="A1135" s="1">
        <v>1694</v>
      </c>
      <c r="B1135" s="1">
        <v>5</v>
      </c>
      <c r="C1135" s="1" t="s">
        <v>180</v>
      </c>
      <c r="D1135" s="1" t="s">
        <v>2585</v>
      </c>
      <c r="E1135" s="5">
        <v>43540</v>
      </c>
      <c r="F1135" s="1" t="s">
        <v>17</v>
      </c>
      <c r="G1135" s="1" t="str">
        <f>IF(B1135=0,VLOOKUP(A1135,Feuil2!$A$2:$M$1241,11,FALSE)," ")</f>
        <v xml:space="preserve"> </v>
      </c>
      <c r="H1135" s="1" t="s">
        <v>16</v>
      </c>
      <c r="I1135" s="6" t="str">
        <f>IF(B1135=0,VLOOKUP(A1135,Feuil2!$A$2:$M$1241,7,FALSE)," ")</f>
        <v xml:space="preserve"> </v>
      </c>
      <c r="J1135" s="1" t="str">
        <f>IF(B1135=0,VLOOKUP(A1135,Feuil2!$A$2:$M$1241,9,FALSE)," ")</f>
        <v xml:space="preserve"> </v>
      </c>
      <c r="K1135" s="1" t="str">
        <f>IF(B1135=0,VLOOKUP(A1135,Feuil2!$A$2:$M$1241,10,FALSE)," ")</f>
        <v xml:space="preserve"> </v>
      </c>
      <c r="L1135" s="1"/>
      <c r="M1135" s="1"/>
      <c r="N1135" s="1"/>
      <c r="O1135" s="8" t="str">
        <f>IF(B1135=0,VLOOKUP(A1135,Feuil2!$A$2:$M$1241,13,FALSE)," ")</f>
        <v xml:space="preserve"> </v>
      </c>
    </row>
    <row r="1136" spans="1:15" x14ac:dyDescent="0.3">
      <c r="A1136" s="1">
        <v>1695</v>
      </c>
      <c r="B1136" s="1">
        <v>0</v>
      </c>
      <c r="C1136" s="1" t="str">
        <f>IF(B1136=0,VLOOKUP(A1136,Feuil2!$A$2:$M$1241,2,FALSE)," ")</f>
        <v>BEN AROUS</v>
      </c>
      <c r="D1136" s="1" t="str">
        <f>IF(B1136=0,VLOOKUP(A1136,Feuil2!$A$2:$M$1241,3,FALSE)," ")</f>
        <v>FOUED</v>
      </c>
      <c r="E1136" s="5">
        <f>IF(B1136=0,VLOOKUP(A1136,Feuil2!$A$2:$M$1241,6,FALSE)," ")</f>
        <v>26914</v>
      </c>
      <c r="F1136" s="1" t="str">
        <f>IF(B1136=0,VLOOKUP(A1136,Feuil2!$A$2:$M$1241,12,FALSE)," ")</f>
        <v>H</v>
      </c>
      <c r="G1136" s="1" t="str">
        <f>IF(B1136=0,VLOOKUP(A1136,Feuil2!$A$2:$M$1241,11,FALSE)," ")</f>
        <v>M</v>
      </c>
      <c r="H1136" s="1" t="s">
        <v>16</v>
      </c>
      <c r="I1136" s="6">
        <f>IF(B1136=0,VLOOKUP(A1136,Feuil2!$A$2:$M$1241,7,FALSE)," ")</f>
        <v>5521052</v>
      </c>
      <c r="J1136" s="1" t="str">
        <f>IF(B1136=0,VLOOKUP(A1136,Feuil2!$A$2:$M$1241,9,FALSE)," ")</f>
        <v>204 Rue Arafat</v>
      </c>
      <c r="K1136" s="1" t="str">
        <f>IF(B1136=0,VLOOKUP(A1136,Feuil2!$A$2:$M$1241,10,FALSE)," ")</f>
        <v>Msaken 4070</v>
      </c>
      <c r="L1136" s="1">
        <v>4070</v>
      </c>
      <c r="M1136" s="1">
        <v>98793647</v>
      </c>
      <c r="N1136" s="1"/>
      <c r="O1136" s="8" t="str">
        <f>IF(B1136=0,VLOOKUP(A1136,Feuil2!$A$2:$M$1241,13,FALSE)," ")</f>
        <v>04204067404000927858</v>
      </c>
    </row>
    <row r="1137" spans="1:15" x14ac:dyDescent="0.3">
      <c r="A1137" s="1">
        <v>1695</v>
      </c>
      <c r="B1137" s="1">
        <v>1</v>
      </c>
      <c r="C1137" s="1" t="s">
        <v>83</v>
      </c>
      <c r="D1137" s="1" t="s">
        <v>1787</v>
      </c>
      <c r="E1137" s="5">
        <v>30098</v>
      </c>
      <c r="F1137" s="1" t="s">
        <v>17</v>
      </c>
      <c r="G1137" s="1" t="s">
        <v>15</v>
      </c>
      <c r="H1137" s="1" t="s">
        <v>16</v>
      </c>
      <c r="I1137" s="6" t="str">
        <f>IF(B1137=0,VLOOKUP(A1137,Feuil2!$A$2:$M$1241,7,FALSE)," ")</f>
        <v xml:space="preserve"> </v>
      </c>
      <c r="J1137" s="1" t="str">
        <f>IF(B1137=0,VLOOKUP(A1137,Feuil2!$A$2:$M$1241,9,FALSE)," ")</f>
        <v xml:space="preserve"> </v>
      </c>
      <c r="K1137" s="1" t="str">
        <f>IF(B1137=0,VLOOKUP(A1137,Feuil2!$A$2:$M$1241,10,FALSE)," ")</f>
        <v xml:space="preserve"> </v>
      </c>
      <c r="L1137" s="1"/>
      <c r="M1137" s="1"/>
      <c r="N1137" s="1"/>
      <c r="O1137" s="8" t="str">
        <f>IF(B1137=0,VLOOKUP(A1137,Feuil2!$A$2:$M$1241,13,FALSE)," ")</f>
        <v xml:space="preserve"> </v>
      </c>
    </row>
    <row r="1138" spans="1:15" x14ac:dyDescent="0.3">
      <c r="A1138" s="1">
        <v>1695</v>
      </c>
      <c r="B1138" s="1">
        <v>2</v>
      </c>
      <c r="C1138" s="1" t="s">
        <v>1589</v>
      </c>
      <c r="D1138" s="1" t="s">
        <v>2465</v>
      </c>
      <c r="E1138" s="5">
        <v>38955</v>
      </c>
      <c r="F1138" s="1" t="s">
        <v>506</v>
      </c>
      <c r="G1138" s="1" t="str">
        <f>IF(B1138=0,VLOOKUP(A1138,Feuil2!$A$2:$M$1241,11,FALSE)," ")</f>
        <v xml:space="preserve"> </v>
      </c>
      <c r="H1138" s="1" t="s">
        <v>16</v>
      </c>
      <c r="I1138" s="6" t="str">
        <f>IF(B1138=0,VLOOKUP(A1138,Feuil2!$A$2:$M$1241,7,FALSE)," ")</f>
        <v xml:space="preserve"> </v>
      </c>
      <c r="J1138" s="1" t="str">
        <f>IF(B1138=0,VLOOKUP(A1138,Feuil2!$A$2:$M$1241,9,FALSE)," ")</f>
        <v xml:space="preserve"> </v>
      </c>
      <c r="K1138" s="1" t="str">
        <f>IF(B1138=0,VLOOKUP(A1138,Feuil2!$A$2:$M$1241,10,FALSE)," ")</f>
        <v xml:space="preserve"> </v>
      </c>
      <c r="L1138" s="1"/>
      <c r="M1138" s="1"/>
      <c r="N1138" s="1"/>
      <c r="O1138" s="8" t="str">
        <f>IF(B1138=0,VLOOKUP(A1138,Feuil2!$A$2:$M$1241,13,FALSE)," ")</f>
        <v xml:space="preserve"> </v>
      </c>
    </row>
    <row r="1139" spans="1:15" x14ac:dyDescent="0.3">
      <c r="A1139" s="1">
        <v>1695</v>
      </c>
      <c r="B1139" s="1">
        <v>3</v>
      </c>
      <c r="C1139" s="1" t="s">
        <v>1589</v>
      </c>
      <c r="D1139" s="1" t="s">
        <v>2682</v>
      </c>
      <c r="E1139" s="5">
        <v>39669</v>
      </c>
      <c r="F1139" s="1" t="s">
        <v>17</v>
      </c>
      <c r="G1139" s="1" t="str">
        <f>IF(B1139=0,VLOOKUP(A1139,Feuil2!$A$2:$M$1241,11,FALSE)," ")</f>
        <v xml:space="preserve"> </v>
      </c>
      <c r="H1139" s="1" t="s">
        <v>16</v>
      </c>
      <c r="I1139" s="6" t="str">
        <f>IF(B1139=0,VLOOKUP(A1139,Feuil2!$A$2:$M$1241,7,FALSE)," ")</f>
        <v xml:space="preserve"> </v>
      </c>
      <c r="J1139" s="1" t="str">
        <f>IF(B1139=0,VLOOKUP(A1139,Feuil2!$A$2:$M$1241,9,FALSE)," ")</f>
        <v xml:space="preserve"> </v>
      </c>
      <c r="K1139" s="1" t="str">
        <f>IF(B1139=0,VLOOKUP(A1139,Feuil2!$A$2:$M$1241,10,FALSE)," ")</f>
        <v xml:space="preserve"> </v>
      </c>
      <c r="L1139" s="1"/>
      <c r="M1139" s="1"/>
      <c r="N1139" s="1"/>
      <c r="O1139" s="8" t="str">
        <f>IF(B1139=0,VLOOKUP(A1139,Feuil2!$A$2:$M$1241,13,FALSE)," ")</f>
        <v xml:space="preserve"> </v>
      </c>
    </row>
    <row r="1140" spans="1:15" x14ac:dyDescent="0.3">
      <c r="A1140" s="1">
        <v>1695</v>
      </c>
      <c r="B1140" s="1">
        <v>4</v>
      </c>
      <c r="C1140" s="1" t="s">
        <v>1589</v>
      </c>
      <c r="D1140" s="1" t="s">
        <v>2345</v>
      </c>
      <c r="E1140" s="5">
        <v>41078</v>
      </c>
      <c r="F1140" s="1" t="s">
        <v>17</v>
      </c>
      <c r="G1140" s="1" t="str">
        <f>IF(B1140=0,VLOOKUP(A1140,Feuil2!$A$2:$M$1241,11,FALSE)," ")</f>
        <v xml:space="preserve"> </v>
      </c>
      <c r="H1140" s="1" t="s">
        <v>16</v>
      </c>
      <c r="I1140" s="6" t="str">
        <f>IF(B1140=0,VLOOKUP(A1140,Feuil2!$A$2:$M$1241,7,FALSE)," ")</f>
        <v xml:space="preserve"> </v>
      </c>
      <c r="J1140" s="1" t="str">
        <f>IF(B1140=0,VLOOKUP(A1140,Feuil2!$A$2:$M$1241,9,FALSE)," ")</f>
        <v xml:space="preserve"> </v>
      </c>
      <c r="K1140" s="1" t="str">
        <f>IF(B1140=0,VLOOKUP(A1140,Feuil2!$A$2:$M$1241,10,FALSE)," ")</f>
        <v xml:space="preserve"> </v>
      </c>
      <c r="L1140" s="1"/>
      <c r="M1140" s="1"/>
      <c r="N1140" s="1"/>
      <c r="O1140" s="8" t="str">
        <f>IF(B1140=0,VLOOKUP(A1140,Feuil2!$A$2:$M$1241,13,FALSE)," ")</f>
        <v xml:space="preserve"> </v>
      </c>
    </row>
    <row r="1141" spans="1:15" x14ac:dyDescent="0.3">
      <c r="A1141" s="1">
        <v>1695</v>
      </c>
      <c r="B1141" s="1">
        <v>5</v>
      </c>
      <c r="C1141" s="1" t="s">
        <v>1589</v>
      </c>
      <c r="D1141" s="1" t="s">
        <v>2657</v>
      </c>
      <c r="E1141" s="5">
        <v>42106</v>
      </c>
      <c r="F1141" s="1" t="s">
        <v>506</v>
      </c>
      <c r="G1141" s="1" t="str">
        <f>IF(B1141=0,VLOOKUP(A1141,Feuil2!$A$2:$M$1241,11,FALSE)," ")</f>
        <v xml:space="preserve"> </v>
      </c>
      <c r="H1141" s="1" t="s">
        <v>16</v>
      </c>
      <c r="I1141" s="6" t="str">
        <f>IF(B1141=0,VLOOKUP(A1141,Feuil2!$A$2:$M$1241,7,FALSE)," ")</f>
        <v xml:space="preserve"> </v>
      </c>
      <c r="J1141" s="1" t="str">
        <f>IF(B1141=0,VLOOKUP(A1141,Feuil2!$A$2:$M$1241,9,FALSE)," ")</f>
        <v xml:space="preserve"> </v>
      </c>
      <c r="K1141" s="1" t="str">
        <f>IF(B1141=0,VLOOKUP(A1141,Feuil2!$A$2:$M$1241,10,FALSE)," ")</f>
        <v xml:space="preserve"> </v>
      </c>
      <c r="L1141" s="1"/>
      <c r="M1141" s="1"/>
      <c r="N1141" s="1"/>
      <c r="O1141" s="8" t="str">
        <f>IF(B1141=0,VLOOKUP(A1141,Feuil2!$A$2:$M$1241,13,FALSE)," ")</f>
        <v xml:space="preserve"> </v>
      </c>
    </row>
    <row r="1142" spans="1:15" x14ac:dyDescent="0.3">
      <c r="A1142" s="1">
        <v>1698</v>
      </c>
      <c r="B1142" s="1">
        <v>0</v>
      </c>
      <c r="C1142" s="1" t="str">
        <f>IF(B1142=0,VLOOKUP(A1142,Feuil2!$A$2:$M$1241,2,FALSE)," ")</f>
        <v>BEL HADJ</v>
      </c>
      <c r="D1142" s="1" t="str">
        <f>IF(B1142=0,VLOOKUP(A1142,Feuil2!$A$2:$M$1241,3,FALSE)," ")</f>
        <v>NABIL</v>
      </c>
      <c r="E1142" s="5">
        <f>IF(B1142=0,VLOOKUP(A1142,Feuil2!$A$2:$M$1241,6,FALSE)," ")</f>
        <v>25904</v>
      </c>
      <c r="F1142" s="1" t="str">
        <f>IF(B1142=0,VLOOKUP(A1142,Feuil2!$A$2:$M$1241,12,FALSE)," ")</f>
        <v>H</v>
      </c>
      <c r="G1142" s="1" t="str">
        <f>IF(B1142=0,VLOOKUP(A1142,Feuil2!$A$2:$M$1241,11,FALSE)," ")</f>
        <v>M</v>
      </c>
      <c r="H1142" s="1" t="s">
        <v>16</v>
      </c>
      <c r="I1142" s="6">
        <f>IF(B1142=0,VLOOKUP(A1142,Feuil2!$A$2:$M$1241,7,FALSE)," ")</f>
        <v>5502955</v>
      </c>
      <c r="J1142" s="1" t="str">
        <f>IF(B1142=0,VLOOKUP(A1142,Feuil2!$A$2:$M$1241,9,FALSE)," ")</f>
        <v>274,Rue Arafat</v>
      </c>
      <c r="K1142" s="1" t="str">
        <f>IF(B1142=0,VLOOKUP(A1142,Feuil2!$A$2:$M$1241,10,FALSE)," ")</f>
        <v>Msaken 4070</v>
      </c>
      <c r="L1142" s="1">
        <v>4070</v>
      </c>
      <c r="M1142" s="1">
        <v>98783239</v>
      </c>
      <c r="N1142" s="1"/>
      <c r="O1142" s="8" t="str">
        <f>IF(B1142=0,VLOOKUP(A1142,Feuil2!$A$2:$M$1241,13,FALSE)," ")</f>
        <v>04204067003277901906</v>
      </c>
    </row>
    <row r="1143" spans="1:15" x14ac:dyDescent="0.3">
      <c r="A1143" s="1">
        <v>1698</v>
      </c>
      <c r="B1143" s="1">
        <v>1</v>
      </c>
      <c r="C1143" s="1" t="s">
        <v>283</v>
      </c>
      <c r="D1143" s="1" t="s">
        <v>2289</v>
      </c>
      <c r="E1143" s="5">
        <v>27701</v>
      </c>
      <c r="F1143" s="1" t="s">
        <v>17</v>
      </c>
      <c r="G1143" s="1" t="s">
        <v>15</v>
      </c>
      <c r="H1143" s="1" t="s">
        <v>16</v>
      </c>
      <c r="I1143" s="6" t="str">
        <f>IF(B1143=0,VLOOKUP(A1143,Feuil2!$A$2:$M$1241,7,FALSE)," ")</f>
        <v xml:space="preserve"> </v>
      </c>
      <c r="J1143" s="1" t="str">
        <f>IF(B1143=0,VLOOKUP(A1143,Feuil2!$A$2:$M$1241,9,FALSE)," ")</f>
        <v xml:space="preserve"> </v>
      </c>
      <c r="K1143" s="1" t="str">
        <f>IF(B1143=0,VLOOKUP(A1143,Feuil2!$A$2:$M$1241,10,FALSE)," ")</f>
        <v xml:space="preserve"> </v>
      </c>
      <c r="L1143" s="1"/>
      <c r="M1143" s="1"/>
      <c r="N1143" s="1"/>
      <c r="O1143" s="8" t="str">
        <f>IF(B1143=0,VLOOKUP(A1143,Feuil2!$A$2:$M$1241,13,FALSE)," ")</f>
        <v xml:space="preserve"> </v>
      </c>
    </row>
    <row r="1144" spans="1:15" x14ac:dyDescent="0.3">
      <c r="A1144" s="1">
        <v>1698</v>
      </c>
      <c r="B1144" s="1">
        <v>2</v>
      </c>
      <c r="C1144" s="1" t="s">
        <v>35</v>
      </c>
      <c r="D1144" s="1" t="s">
        <v>346</v>
      </c>
      <c r="E1144" s="5">
        <v>36763</v>
      </c>
      <c r="F1144" s="1" t="s">
        <v>506</v>
      </c>
      <c r="G1144" s="1" t="str">
        <f>IF(B1144=0,VLOOKUP(A1144,Feuil2!$A$2:$M$1241,11,FALSE)," ")</f>
        <v xml:space="preserve"> </v>
      </c>
      <c r="H1144" s="1" t="s">
        <v>16</v>
      </c>
      <c r="I1144" s="6" t="str">
        <f>IF(B1144=0,VLOOKUP(A1144,Feuil2!$A$2:$M$1241,7,FALSE)," ")</f>
        <v xml:space="preserve"> </v>
      </c>
      <c r="J1144" s="1" t="str">
        <f>IF(B1144=0,VLOOKUP(A1144,Feuil2!$A$2:$M$1241,9,FALSE)," ")</f>
        <v xml:space="preserve"> </v>
      </c>
      <c r="K1144" s="1" t="str">
        <f>IF(B1144=0,VLOOKUP(A1144,Feuil2!$A$2:$M$1241,10,FALSE)," ")</f>
        <v xml:space="preserve"> </v>
      </c>
      <c r="L1144" s="1"/>
      <c r="M1144" s="1"/>
      <c r="N1144" s="1"/>
      <c r="O1144" s="8" t="str">
        <f>IF(B1144=0,VLOOKUP(A1144,Feuil2!$A$2:$M$1241,13,FALSE)," ")</f>
        <v xml:space="preserve"> </v>
      </c>
    </row>
    <row r="1145" spans="1:15" x14ac:dyDescent="0.3">
      <c r="A1145" s="1">
        <v>1698</v>
      </c>
      <c r="B1145" s="1">
        <v>3</v>
      </c>
      <c r="C1145" s="1" t="s">
        <v>35</v>
      </c>
      <c r="D1145" s="1" t="s">
        <v>2683</v>
      </c>
      <c r="E1145" s="5">
        <v>37908</v>
      </c>
      <c r="F1145" s="1" t="s">
        <v>17</v>
      </c>
      <c r="G1145" s="1" t="str">
        <f>IF(B1145=0,VLOOKUP(A1145,Feuil2!$A$2:$M$1241,11,FALSE)," ")</f>
        <v xml:space="preserve"> </v>
      </c>
      <c r="H1145" s="1" t="s">
        <v>16</v>
      </c>
      <c r="I1145" s="6" t="str">
        <f>IF(B1145=0,VLOOKUP(A1145,Feuil2!$A$2:$M$1241,7,FALSE)," ")</f>
        <v xml:space="preserve"> </v>
      </c>
      <c r="J1145" s="1" t="str">
        <f>IF(B1145=0,VLOOKUP(A1145,Feuil2!$A$2:$M$1241,9,FALSE)," ")</f>
        <v xml:space="preserve"> </v>
      </c>
      <c r="K1145" s="1" t="str">
        <f>IF(B1145=0,VLOOKUP(A1145,Feuil2!$A$2:$M$1241,10,FALSE)," ")</f>
        <v xml:space="preserve"> </v>
      </c>
      <c r="L1145" s="1"/>
      <c r="M1145" s="1"/>
      <c r="N1145" s="1"/>
      <c r="O1145" s="8" t="str">
        <f>IF(B1145=0,VLOOKUP(A1145,Feuil2!$A$2:$M$1241,13,FALSE)," ")</f>
        <v xml:space="preserve"> </v>
      </c>
    </row>
    <row r="1146" spans="1:15" x14ac:dyDescent="0.3">
      <c r="A1146" s="1">
        <v>1698</v>
      </c>
      <c r="B1146" s="1">
        <v>4</v>
      </c>
      <c r="C1146" s="1" t="s">
        <v>35</v>
      </c>
      <c r="D1146" s="1" t="s">
        <v>61</v>
      </c>
      <c r="E1146" s="5">
        <v>40728</v>
      </c>
      <c r="F1146" s="1" t="s">
        <v>506</v>
      </c>
      <c r="G1146" s="1" t="str">
        <f>IF(B1146=0,VLOOKUP(A1146,Feuil2!$A$2:$M$1241,11,FALSE)," ")</f>
        <v xml:space="preserve"> </v>
      </c>
      <c r="H1146" s="1" t="s">
        <v>16</v>
      </c>
      <c r="I1146" s="6" t="str">
        <f>IF(B1146=0,VLOOKUP(A1146,Feuil2!$A$2:$M$1241,7,FALSE)," ")</f>
        <v xml:space="preserve"> </v>
      </c>
      <c r="J1146" s="1" t="str">
        <f>IF(B1146=0,VLOOKUP(A1146,Feuil2!$A$2:$M$1241,9,FALSE)," ")</f>
        <v xml:space="preserve"> </v>
      </c>
      <c r="K1146" s="1" t="str">
        <f>IF(B1146=0,VLOOKUP(A1146,Feuil2!$A$2:$M$1241,10,FALSE)," ")</f>
        <v xml:space="preserve"> </v>
      </c>
      <c r="L1146" s="1"/>
      <c r="M1146" s="1"/>
      <c r="N1146" s="1"/>
      <c r="O1146" s="8" t="str">
        <f>IF(B1146=0,VLOOKUP(A1146,Feuil2!$A$2:$M$1241,13,FALSE)," ")</f>
        <v xml:space="preserve"> </v>
      </c>
    </row>
    <row r="1147" spans="1:15" x14ac:dyDescent="0.3">
      <c r="A1147" s="1">
        <v>1699</v>
      </c>
      <c r="B1147" s="1">
        <v>0</v>
      </c>
      <c r="C1147" s="1" t="str">
        <f>IF(B1147=0,VLOOKUP(A1147,Feuil2!$A$2:$M$1241,2,FALSE)," ")</f>
        <v>BEJAOUI</v>
      </c>
      <c r="D1147" s="1" t="str">
        <f>IF(B1147=0,VLOOKUP(A1147,Feuil2!$A$2:$M$1241,3,FALSE)," ")</f>
        <v>NEBIL</v>
      </c>
      <c r="E1147" s="5">
        <f>IF(B1147=0,VLOOKUP(A1147,Feuil2!$A$2:$M$1241,6,FALSE)," ")</f>
        <v>26970</v>
      </c>
      <c r="F1147" s="1" t="str">
        <f>IF(B1147=0,VLOOKUP(A1147,Feuil2!$A$2:$M$1241,12,FALSE)," ")</f>
        <v>H</v>
      </c>
      <c r="G1147" s="1" t="str">
        <f>IF(B1147=0,VLOOKUP(A1147,Feuil2!$A$2:$M$1241,11,FALSE)," ")</f>
        <v>M</v>
      </c>
      <c r="H1147" s="1" t="s">
        <v>16</v>
      </c>
      <c r="I1147" s="6">
        <f>IF(B1147=0,VLOOKUP(A1147,Feuil2!$A$2:$M$1241,7,FALSE)," ")</f>
        <v>5658708</v>
      </c>
      <c r="J1147" s="1" t="str">
        <f>IF(B1147=0,VLOOKUP(A1147,Feuil2!$A$2:$M$1241,9,FALSE)," ")</f>
        <v>Rue 18 Janvier guengla M bourg</v>
      </c>
      <c r="K1147" s="1" t="str">
        <f>IF(B1147=0,VLOOKUP(A1147,Feuil2!$A$2:$M$1241,10,FALSE)," ")</f>
        <v>Bizert</v>
      </c>
      <c r="L1147" s="1"/>
      <c r="M1147" s="1">
        <v>98793645</v>
      </c>
      <c r="N1147" s="1"/>
      <c r="O1147" s="8" t="str">
        <f>IF(B1147=0,VLOOKUP(A1147,Feuil2!$A$2:$M$1241,13,FALSE)," ")</f>
        <v>12505000580105070246</v>
      </c>
    </row>
    <row r="1148" spans="1:15" x14ac:dyDescent="0.3">
      <c r="A1148" s="1">
        <v>1699</v>
      </c>
      <c r="B1148" s="1">
        <v>1</v>
      </c>
      <c r="C1148" s="1" t="s">
        <v>2684</v>
      </c>
      <c r="D1148" s="1" t="s">
        <v>2175</v>
      </c>
      <c r="E1148" s="5">
        <v>27926</v>
      </c>
      <c r="F1148" s="1" t="s">
        <v>17</v>
      </c>
      <c r="G1148" s="1" t="s">
        <v>15</v>
      </c>
      <c r="H1148" s="1" t="s">
        <v>16</v>
      </c>
      <c r="I1148" s="6" t="str">
        <f>IF(B1148=0,VLOOKUP(A1148,Feuil2!$A$2:$M$1241,7,FALSE)," ")</f>
        <v xml:space="preserve"> </v>
      </c>
      <c r="J1148" s="1" t="str">
        <f>IF(B1148=0,VLOOKUP(A1148,Feuil2!$A$2:$M$1241,9,FALSE)," ")</f>
        <v xml:space="preserve"> </v>
      </c>
      <c r="K1148" s="1" t="str">
        <f>IF(B1148=0,VLOOKUP(A1148,Feuil2!$A$2:$M$1241,10,FALSE)," ")</f>
        <v xml:space="preserve"> </v>
      </c>
      <c r="L1148" s="1"/>
      <c r="M1148" s="1"/>
      <c r="N1148" s="1"/>
      <c r="O1148" s="8" t="str">
        <f>IF(B1148=0,VLOOKUP(A1148,Feuil2!$A$2:$M$1241,13,FALSE)," ")</f>
        <v xml:space="preserve"> </v>
      </c>
    </row>
    <row r="1149" spans="1:15" x14ac:dyDescent="0.3">
      <c r="A1149" s="1">
        <v>1699</v>
      </c>
      <c r="B1149" s="1">
        <v>2</v>
      </c>
      <c r="C1149" s="1" t="s">
        <v>141</v>
      </c>
      <c r="D1149" s="1" t="s">
        <v>1596</v>
      </c>
      <c r="E1149" s="5">
        <v>37775</v>
      </c>
      <c r="F1149" s="1" t="s">
        <v>506</v>
      </c>
      <c r="G1149" s="1" t="str">
        <f>IF(B1149=0,VLOOKUP(A1149,Feuil2!$A$2:$M$1241,11,FALSE)," ")</f>
        <v xml:space="preserve"> </v>
      </c>
      <c r="H1149" s="1" t="s">
        <v>16</v>
      </c>
      <c r="I1149" s="6" t="str">
        <f>IF(B1149=0,VLOOKUP(A1149,Feuil2!$A$2:$M$1241,7,FALSE)," ")</f>
        <v xml:space="preserve"> </v>
      </c>
      <c r="J1149" s="1" t="str">
        <f>IF(B1149=0,VLOOKUP(A1149,Feuil2!$A$2:$M$1241,9,FALSE)," ")</f>
        <v xml:space="preserve"> </v>
      </c>
      <c r="K1149" s="1" t="str">
        <f>IF(B1149=0,VLOOKUP(A1149,Feuil2!$A$2:$M$1241,10,FALSE)," ")</f>
        <v xml:space="preserve"> </v>
      </c>
      <c r="L1149" s="1"/>
      <c r="M1149" s="1"/>
      <c r="N1149" s="1"/>
      <c r="O1149" s="8" t="str">
        <f>IF(B1149=0,VLOOKUP(A1149,Feuil2!$A$2:$M$1241,13,FALSE)," ")</f>
        <v xml:space="preserve"> </v>
      </c>
    </row>
    <row r="1150" spans="1:15" x14ac:dyDescent="0.3">
      <c r="A1150" s="1">
        <v>1699</v>
      </c>
      <c r="B1150" s="1">
        <v>3</v>
      </c>
      <c r="C1150" s="1" t="s">
        <v>141</v>
      </c>
      <c r="D1150" s="1" t="s">
        <v>70</v>
      </c>
      <c r="E1150" s="5">
        <v>37775</v>
      </c>
      <c r="F1150" s="1" t="s">
        <v>506</v>
      </c>
      <c r="G1150" s="1" t="str">
        <f>IF(B1150=0,VLOOKUP(A1150,Feuil2!$A$2:$M$1241,11,FALSE)," ")</f>
        <v xml:space="preserve"> </v>
      </c>
      <c r="H1150" s="1" t="s">
        <v>16</v>
      </c>
      <c r="I1150" s="6" t="str">
        <f>IF(B1150=0,VLOOKUP(A1150,Feuil2!$A$2:$M$1241,7,FALSE)," ")</f>
        <v xml:space="preserve"> </v>
      </c>
      <c r="J1150" s="1" t="str">
        <f>IF(B1150=0,VLOOKUP(A1150,Feuil2!$A$2:$M$1241,9,FALSE)," ")</f>
        <v xml:space="preserve"> </v>
      </c>
      <c r="K1150" s="1" t="str">
        <f>IF(B1150=0,VLOOKUP(A1150,Feuil2!$A$2:$M$1241,10,FALSE)," ")</f>
        <v xml:space="preserve"> </v>
      </c>
      <c r="L1150" s="1"/>
      <c r="M1150" s="1"/>
      <c r="N1150" s="1"/>
      <c r="O1150" s="8" t="str">
        <f>IF(B1150=0,VLOOKUP(A1150,Feuil2!$A$2:$M$1241,13,FALSE)," ")</f>
        <v xml:space="preserve"> </v>
      </c>
    </row>
    <row r="1151" spans="1:15" x14ac:dyDescent="0.3">
      <c r="A1151" s="1">
        <v>1699</v>
      </c>
      <c r="B1151" s="1">
        <v>4</v>
      </c>
      <c r="C1151" s="1" t="s">
        <v>141</v>
      </c>
      <c r="D1151" s="1" t="s">
        <v>2480</v>
      </c>
      <c r="E1151" s="5">
        <v>39835</v>
      </c>
      <c r="F1151" s="1" t="s">
        <v>17</v>
      </c>
      <c r="G1151" s="1" t="str">
        <f>IF(B1151=0,VLOOKUP(A1151,Feuil2!$A$2:$M$1241,11,FALSE)," ")</f>
        <v xml:space="preserve"> </v>
      </c>
      <c r="H1151" s="1" t="s">
        <v>16</v>
      </c>
      <c r="I1151" s="6" t="str">
        <f>IF(B1151=0,VLOOKUP(A1151,Feuil2!$A$2:$M$1241,7,FALSE)," ")</f>
        <v xml:space="preserve"> </v>
      </c>
      <c r="J1151" s="1" t="str">
        <f>IF(B1151=0,VLOOKUP(A1151,Feuil2!$A$2:$M$1241,9,FALSE)," ")</f>
        <v xml:space="preserve"> </v>
      </c>
      <c r="K1151" s="1" t="str">
        <f>IF(B1151=0,VLOOKUP(A1151,Feuil2!$A$2:$M$1241,10,FALSE)," ")</f>
        <v xml:space="preserve"> </v>
      </c>
      <c r="L1151" s="1"/>
      <c r="M1151" s="1"/>
      <c r="N1151" s="1"/>
      <c r="O1151" s="8" t="str">
        <f>IF(B1151=0,VLOOKUP(A1151,Feuil2!$A$2:$M$1241,13,FALSE)," ")</f>
        <v xml:space="preserve"> </v>
      </c>
    </row>
    <row r="1152" spans="1:15" x14ac:dyDescent="0.3">
      <c r="A1152" s="1">
        <v>1701</v>
      </c>
      <c r="B1152" s="1">
        <v>0</v>
      </c>
      <c r="C1152" s="1" t="str">
        <f>IF(B1152=0,VLOOKUP(A1152,Feuil2!$A$2:$M$1241,2,FALSE)," ")</f>
        <v>SASSI</v>
      </c>
      <c r="D1152" s="1" t="str">
        <f>IF(B1152=0,VLOOKUP(A1152,Feuil2!$A$2:$M$1241,3,FALSE)," ")</f>
        <v>KARIM</v>
      </c>
      <c r="E1152" s="5">
        <f>IF(B1152=0,VLOOKUP(A1152,Feuil2!$A$2:$M$1241,6,FALSE)," ")</f>
        <v>27746</v>
      </c>
      <c r="F1152" s="1" t="str">
        <f>IF(B1152=0,VLOOKUP(A1152,Feuil2!$A$2:$M$1241,12,FALSE)," ")</f>
        <v>H</v>
      </c>
      <c r="G1152" s="1" t="str">
        <f>IF(B1152=0,VLOOKUP(A1152,Feuil2!$A$2:$M$1241,11,FALSE)," ")</f>
        <v>M</v>
      </c>
      <c r="H1152" s="1" t="s">
        <v>16</v>
      </c>
      <c r="I1152" s="6">
        <f>IF(B1152=0,VLOOKUP(A1152,Feuil2!$A$2:$M$1241,7,FALSE)," ")</f>
        <v>5558196</v>
      </c>
      <c r="J1152" s="1" t="str">
        <f>IF(B1152=0,VLOOKUP(A1152,Feuil2!$A$2:$M$1241,9,FALSE)," ")</f>
        <v>22, Rue 18 Janvier</v>
      </c>
      <c r="K1152" s="1" t="str">
        <f>IF(B1152=0,VLOOKUP(A1152,Feuil2!$A$2:$M$1241,10,FALSE)," ")</f>
        <v>Msaken 4070</v>
      </c>
      <c r="L1152" s="1">
        <v>4070</v>
      </c>
      <c r="M1152" s="1">
        <v>97311073</v>
      </c>
      <c r="N1152" s="1"/>
      <c r="O1152" s="8" t="str">
        <f>IF(B1152=0,VLOOKUP(A1152,Feuil2!$A$2:$M$1241,13,FALSE)," ")</f>
        <v>08507000262003266535</v>
      </c>
    </row>
    <row r="1153" spans="1:15" x14ac:dyDescent="0.3">
      <c r="A1153" s="1">
        <v>1701</v>
      </c>
      <c r="B1153" s="1">
        <v>1</v>
      </c>
      <c r="C1153" s="1" t="str">
        <f>IF(B1153=0,VLOOKUP(A1153,Feuil2!$A$2:$M$1241,2,FALSE)," ")</f>
        <v xml:space="preserve"> </v>
      </c>
      <c r="D1153" s="1" t="s">
        <v>449</v>
      </c>
      <c r="E1153" s="5">
        <v>29688</v>
      </c>
      <c r="F1153" s="1" t="s">
        <v>17</v>
      </c>
      <c r="G1153" s="1" t="s">
        <v>15</v>
      </c>
      <c r="H1153" s="1" t="s">
        <v>16</v>
      </c>
      <c r="I1153" s="6" t="str">
        <f>IF(B1153=0,VLOOKUP(A1153,Feuil2!$A$2:$M$1241,7,FALSE)," ")</f>
        <v xml:space="preserve"> </v>
      </c>
      <c r="J1153" s="1" t="str">
        <f>IF(B1153=0,VLOOKUP(A1153,Feuil2!$A$2:$M$1241,9,FALSE)," ")</f>
        <v xml:space="preserve"> </v>
      </c>
      <c r="K1153" s="1" t="str">
        <f>IF(B1153=0,VLOOKUP(A1153,Feuil2!$A$2:$M$1241,10,FALSE)," ")</f>
        <v xml:space="preserve"> </v>
      </c>
      <c r="L1153" s="1"/>
      <c r="M1153" s="1"/>
      <c r="N1153" s="1"/>
      <c r="O1153" s="8" t="str">
        <f>IF(B1153=0,VLOOKUP(A1153,Feuil2!$A$2:$M$1241,13,FALSE)," ")</f>
        <v xml:space="preserve"> </v>
      </c>
    </row>
    <row r="1154" spans="1:15" x14ac:dyDescent="0.3">
      <c r="A1154" s="1">
        <v>1701</v>
      </c>
      <c r="B1154" s="1">
        <v>2</v>
      </c>
      <c r="C1154" s="1" t="s">
        <v>104</v>
      </c>
      <c r="D1154" s="1" t="s">
        <v>226</v>
      </c>
      <c r="E1154" s="5">
        <v>38189</v>
      </c>
      <c r="F1154" s="1" t="s">
        <v>506</v>
      </c>
      <c r="G1154" s="1" t="str">
        <f>IF(B1154=0,VLOOKUP(A1154,Feuil2!$A$2:$M$1241,11,FALSE)," ")</f>
        <v xml:space="preserve"> </v>
      </c>
      <c r="H1154" s="1" t="s">
        <v>16</v>
      </c>
      <c r="I1154" s="6" t="str">
        <f>IF(B1154=0,VLOOKUP(A1154,Feuil2!$A$2:$M$1241,7,FALSE)," ")</f>
        <v xml:space="preserve"> </v>
      </c>
      <c r="J1154" s="1" t="str">
        <f>IF(B1154=0,VLOOKUP(A1154,Feuil2!$A$2:$M$1241,9,FALSE)," ")</f>
        <v xml:space="preserve"> </v>
      </c>
      <c r="K1154" s="1" t="str">
        <f>IF(B1154=0,VLOOKUP(A1154,Feuil2!$A$2:$M$1241,10,FALSE)," ")</f>
        <v xml:space="preserve"> </v>
      </c>
      <c r="L1154" s="1"/>
      <c r="M1154" s="1"/>
      <c r="N1154" s="1"/>
      <c r="O1154" s="8" t="str">
        <f>IF(B1154=0,VLOOKUP(A1154,Feuil2!$A$2:$M$1241,13,FALSE)," ")</f>
        <v xml:space="preserve"> </v>
      </c>
    </row>
    <row r="1155" spans="1:15" x14ac:dyDescent="0.3">
      <c r="A1155" s="1">
        <v>1701</v>
      </c>
      <c r="B1155" s="1">
        <v>3</v>
      </c>
      <c r="C1155" s="1" t="s">
        <v>104</v>
      </c>
      <c r="D1155" s="1" t="s">
        <v>2407</v>
      </c>
      <c r="E1155" s="5">
        <v>39182</v>
      </c>
      <c r="F1155" s="1" t="s">
        <v>17</v>
      </c>
      <c r="G1155" s="1" t="str">
        <f>IF(B1155=0,VLOOKUP(A1155,Feuil2!$A$2:$M$1241,11,FALSE)," ")</f>
        <v xml:space="preserve"> </v>
      </c>
      <c r="H1155" s="1" t="s">
        <v>16</v>
      </c>
      <c r="I1155" s="6" t="str">
        <f>IF(B1155=0,VLOOKUP(A1155,Feuil2!$A$2:$M$1241,7,FALSE)," ")</f>
        <v xml:space="preserve"> </v>
      </c>
      <c r="J1155" s="1" t="str">
        <f>IF(B1155=0,VLOOKUP(A1155,Feuil2!$A$2:$M$1241,9,FALSE)," ")</f>
        <v xml:space="preserve"> </v>
      </c>
      <c r="K1155" s="1" t="str">
        <f>IF(B1155=0,VLOOKUP(A1155,Feuil2!$A$2:$M$1241,10,FALSE)," ")</f>
        <v xml:space="preserve"> </v>
      </c>
      <c r="L1155" s="1"/>
      <c r="M1155" s="1"/>
      <c r="N1155" s="1"/>
      <c r="O1155" s="8" t="str">
        <f>IF(B1155=0,VLOOKUP(A1155,Feuil2!$A$2:$M$1241,13,FALSE)," ")</f>
        <v xml:space="preserve"> </v>
      </c>
    </row>
    <row r="1156" spans="1:15" x14ac:dyDescent="0.3">
      <c r="A1156" s="1">
        <v>1701</v>
      </c>
      <c r="B1156" s="1">
        <v>4</v>
      </c>
      <c r="C1156" s="1" t="s">
        <v>104</v>
      </c>
      <c r="D1156" s="1" t="s">
        <v>230</v>
      </c>
      <c r="E1156" s="5">
        <v>41195</v>
      </c>
      <c r="F1156" s="1" t="s">
        <v>506</v>
      </c>
      <c r="G1156" s="1" t="str">
        <f>IF(B1156=0,VLOOKUP(A1156,Feuil2!$A$2:$M$1241,11,FALSE)," ")</f>
        <v xml:space="preserve"> </v>
      </c>
      <c r="H1156" s="1" t="s">
        <v>16</v>
      </c>
      <c r="I1156" s="6" t="str">
        <f>IF(B1156=0,VLOOKUP(A1156,Feuil2!$A$2:$M$1241,7,FALSE)," ")</f>
        <v xml:space="preserve"> </v>
      </c>
      <c r="J1156" s="1" t="str">
        <f>IF(B1156=0,VLOOKUP(A1156,Feuil2!$A$2:$M$1241,9,FALSE)," ")</f>
        <v xml:space="preserve"> </v>
      </c>
      <c r="K1156" s="1" t="str">
        <f>IF(B1156=0,VLOOKUP(A1156,Feuil2!$A$2:$M$1241,10,FALSE)," ")</f>
        <v xml:space="preserve"> </v>
      </c>
      <c r="L1156" s="1"/>
      <c r="M1156" s="1"/>
      <c r="N1156" s="1"/>
      <c r="O1156" s="8" t="str">
        <f>IF(B1156=0,VLOOKUP(A1156,Feuil2!$A$2:$M$1241,13,FALSE)," ")</f>
        <v xml:space="preserve"> </v>
      </c>
    </row>
    <row r="1157" spans="1:15" x14ac:dyDescent="0.3">
      <c r="A1157" s="1">
        <v>1701</v>
      </c>
      <c r="B1157" s="1">
        <v>5</v>
      </c>
      <c r="C1157" s="1" t="s">
        <v>104</v>
      </c>
      <c r="D1157" s="1" t="s">
        <v>2676</v>
      </c>
      <c r="E1157" s="5">
        <v>42226</v>
      </c>
      <c r="F1157" s="1" t="s">
        <v>506</v>
      </c>
      <c r="G1157" s="1" t="str">
        <f>IF(B1157=0,VLOOKUP(A1157,Feuil2!$A$2:$M$1241,11,FALSE)," ")</f>
        <v xml:space="preserve"> </v>
      </c>
      <c r="H1157" s="1" t="s">
        <v>16</v>
      </c>
      <c r="I1157" s="6" t="str">
        <f>IF(B1157=0,VLOOKUP(A1157,Feuil2!$A$2:$M$1241,7,FALSE)," ")</f>
        <v xml:space="preserve"> </v>
      </c>
      <c r="J1157" s="1" t="str">
        <f>IF(B1157=0,VLOOKUP(A1157,Feuil2!$A$2:$M$1241,9,FALSE)," ")</f>
        <v xml:space="preserve"> </v>
      </c>
      <c r="K1157" s="1" t="str">
        <f>IF(B1157=0,VLOOKUP(A1157,Feuil2!$A$2:$M$1241,10,FALSE)," ")</f>
        <v xml:space="preserve"> </v>
      </c>
      <c r="L1157" s="1"/>
      <c r="M1157" s="1"/>
      <c r="N1157" s="1"/>
      <c r="O1157" s="8" t="str">
        <f>IF(B1157=0,VLOOKUP(A1157,Feuil2!$A$2:$M$1241,13,FALSE)," ")</f>
        <v xml:space="preserve"> </v>
      </c>
    </row>
    <row r="1158" spans="1:15" x14ac:dyDescent="0.3">
      <c r="A1158" s="1">
        <v>1703</v>
      </c>
      <c r="B1158" s="1">
        <v>0</v>
      </c>
      <c r="C1158" s="1" t="str">
        <f>IF(B1158=0,VLOOKUP(A1158,Feuil2!$A$2:$M$1241,2,FALSE)," ")</f>
        <v>EL GARES</v>
      </c>
      <c r="D1158" s="1" t="str">
        <f>IF(B1158=0,VLOOKUP(A1158,Feuil2!$A$2:$M$1241,3,FALSE)," ")</f>
        <v>BRAHIM</v>
      </c>
      <c r="E1158" s="5">
        <f>IF(B1158=0,VLOOKUP(A1158,Feuil2!$A$2:$M$1241,6,FALSE)," ")</f>
        <v>23013</v>
      </c>
      <c r="F1158" s="1" t="str">
        <f>IF(B1158=0,VLOOKUP(A1158,Feuil2!$A$2:$M$1241,12,FALSE)," ")</f>
        <v>H</v>
      </c>
      <c r="G1158" s="1" t="str">
        <f>IF(B1158=0,VLOOKUP(A1158,Feuil2!$A$2:$M$1241,11,FALSE)," ")</f>
        <v>M</v>
      </c>
      <c r="H1158" s="1" t="s">
        <v>16</v>
      </c>
      <c r="I1158" s="6">
        <f>IF(B1158=0,VLOOKUP(A1158,Feuil2!$A$2:$M$1241,7,FALSE)," ")</f>
        <v>2941893</v>
      </c>
      <c r="J1158" s="1" t="str">
        <f>IF(B1158=0,VLOOKUP(A1158,Feuil2!$A$2:$M$1241,9,FALSE)," ")</f>
        <v>Rue Abdelkader Khattabi</v>
      </c>
      <c r="K1158" s="1" t="str">
        <f>IF(B1158=0,VLOOKUP(A1158,Feuil2!$A$2:$M$1241,10,FALSE)," ")</f>
        <v>Msaken 4070</v>
      </c>
      <c r="L1158" s="1">
        <v>4070</v>
      </c>
      <c r="M1158" s="1">
        <v>97451981</v>
      </c>
      <c r="N1158" s="1"/>
      <c r="O1158" s="8" t="str">
        <f>IF(B1158=0,VLOOKUP(A1158,Feuil2!$A$2:$M$1241,13,FALSE)," ")</f>
        <v>01018058113010106743</v>
      </c>
    </row>
    <row r="1159" spans="1:15" x14ac:dyDescent="0.3">
      <c r="A1159" s="1">
        <v>1703</v>
      </c>
      <c r="B1159" s="1">
        <v>1</v>
      </c>
      <c r="C1159" s="1" t="str">
        <f>IF(B1159=0,VLOOKUP(A1159,Feuil2!$A$2:$M$1241,2,FALSE)," ")</f>
        <v xml:space="preserve"> </v>
      </c>
      <c r="D1159" s="1" t="s">
        <v>1541</v>
      </c>
      <c r="E1159" s="5">
        <v>26353</v>
      </c>
      <c r="F1159" s="1" t="s">
        <v>17</v>
      </c>
      <c r="G1159" s="1" t="s">
        <v>15</v>
      </c>
      <c r="H1159" s="1" t="s">
        <v>16</v>
      </c>
      <c r="I1159" s="6" t="str">
        <f>IF(B1159=0,VLOOKUP(A1159,Feuil2!$A$2:$M$1241,7,FALSE)," ")</f>
        <v xml:space="preserve"> </v>
      </c>
      <c r="J1159" s="1" t="str">
        <f>IF(B1159=0,VLOOKUP(A1159,Feuil2!$A$2:$M$1241,9,FALSE)," ")</f>
        <v xml:space="preserve"> </v>
      </c>
      <c r="K1159" s="1" t="str">
        <f>IF(B1159=0,VLOOKUP(A1159,Feuil2!$A$2:$M$1241,10,FALSE)," ")</f>
        <v xml:space="preserve"> </v>
      </c>
      <c r="L1159" s="1"/>
      <c r="M1159" s="1"/>
      <c r="N1159" s="1"/>
      <c r="O1159" s="8" t="str">
        <f>IF(B1159=0,VLOOKUP(A1159,Feuil2!$A$2:$M$1241,13,FALSE)," ")</f>
        <v xml:space="preserve"> </v>
      </c>
    </row>
    <row r="1160" spans="1:15" x14ac:dyDescent="0.3">
      <c r="A1160" s="1">
        <v>1703</v>
      </c>
      <c r="B1160" s="1">
        <v>2</v>
      </c>
      <c r="C1160" s="1" t="s">
        <v>25</v>
      </c>
      <c r="D1160" s="1" t="s">
        <v>346</v>
      </c>
      <c r="E1160" s="5">
        <v>37798</v>
      </c>
      <c r="F1160" s="1" t="s">
        <v>506</v>
      </c>
      <c r="G1160" s="1" t="str">
        <f>IF(B1160=0,VLOOKUP(A1160,Feuil2!$A$2:$M$1241,11,FALSE)," ")</f>
        <v xml:space="preserve"> </v>
      </c>
      <c r="H1160" s="1" t="s">
        <v>16</v>
      </c>
      <c r="I1160" s="6" t="str">
        <f>IF(B1160=0,VLOOKUP(A1160,Feuil2!$A$2:$M$1241,7,FALSE)," ")</f>
        <v xml:space="preserve"> </v>
      </c>
      <c r="J1160" s="1" t="str">
        <f>IF(B1160=0,VLOOKUP(A1160,Feuil2!$A$2:$M$1241,9,FALSE)," ")</f>
        <v xml:space="preserve"> </v>
      </c>
      <c r="K1160" s="1" t="str">
        <f>IF(B1160=0,VLOOKUP(A1160,Feuil2!$A$2:$M$1241,10,FALSE)," ")</f>
        <v xml:space="preserve"> </v>
      </c>
      <c r="L1160" s="1"/>
      <c r="M1160" s="1"/>
      <c r="N1160" s="1"/>
      <c r="O1160" s="8" t="str">
        <f>IF(B1160=0,VLOOKUP(A1160,Feuil2!$A$2:$M$1241,13,FALSE)," ")</f>
        <v xml:space="preserve"> </v>
      </c>
    </row>
    <row r="1161" spans="1:15" x14ac:dyDescent="0.3">
      <c r="A1161" s="1">
        <v>1703</v>
      </c>
      <c r="B1161" s="1">
        <v>3</v>
      </c>
      <c r="C1161" s="1" t="s">
        <v>25</v>
      </c>
      <c r="D1161" s="1" t="s">
        <v>212</v>
      </c>
      <c r="E1161" s="5">
        <v>39663</v>
      </c>
      <c r="F1161" s="1" t="s">
        <v>506</v>
      </c>
      <c r="G1161" s="1" t="str">
        <f>IF(B1161=0,VLOOKUP(A1161,Feuil2!$A$2:$M$1241,11,FALSE)," ")</f>
        <v xml:space="preserve"> </v>
      </c>
      <c r="H1161" s="1" t="s">
        <v>16</v>
      </c>
      <c r="I1161" s="6" t="str">
        <f>IF(B1161=0,VLOOKUP(A1161,Feuil2!$A$2:$M$1241,7,FALSE)," ")</f>
        <v xml:space="preserve"> </v>
      </c>
      <c r="J1161" s="1" t="str">
        <f>IF(B1161=0,VLOOKUP(A1161,Feuil2!$A$2:$M$1241,9,FALSE)," ")</f>
        <v xml:space="preserve"> </v>
      </c>
      <c r="K1161" s="1" t="str">
        <f>IF(B1161=0,VLOOKUP(A1161,Feuil2!$A$2:$M$1241,10,FALSE)," ")</f>
        <v xml:space="preserve"> </v>
      </c>
      <c r="L1161" s="1"/>
      <c r="M1161" s="1"/>
      <c r="N1161" s="1"/>
      <c r="O1161" s="8" t="str">
        <f>IF(B1161=0,VLOOKUP(A1161,Feuil2!$A$2:$M$1241,13,FALSE)," ")</f>
        <v xml:space="preserve"> </v>
      </c>
    </row>
    <row r="1162" spans="1:15" x14ac:dyDescent="0.3">
      <c r="A1162" s="1">
        <v>1707</v>
      </c>
      <c r="B1162" s="1">
        <v>0</v>
      </c>
      <c r="C1162" s="1" t="str">
        <f>IF(B1162=0,VLOOKUP(A1162,Feuil2!$A$2:$M$1241,2,FALSE)," ")</f>
        <v>MKHININI</v>
      </c>
      <c r="D1162" s="1" t="str">
        <f>IF(B1162=0,VLOOKUP(A1162,Feuil2!$A$2:$M$1241,3,FALSE)," ")</f>
        <v>MOHAMED BEN SALAH</v>
      </c>
      <c r="E1162" s="5">
        <f>IF(B1162=0,VLOOKUP(A1162,Feuil2!$A$2:$M$1241,6,FALSE)," ")</f>
        <v>26370</v>
      </c>
      <c r="F1162" s="1" t="str">
        <f>IF(B1162=0,VLOOKUP(A1162,Feuil2!$A$2:$M$1241,12,FALSE)," ")</f>
        <v>H</v>
      </c>
      <c r="G1162" s="1" t="str">
        <f>IF(B1162=0,VLOOKUP(A1162,Feuil2!$A$2:$M$1241,11,FALSE)," ")</f>
        <v>M</v>
      </c>
      <c r="H1162" s="1" t="s">
        <v>16</v>
      </c>
      <c r="I1162" s="6">
        <f>IF(B1162=0,VLOOKUP(A1162,Feuil2!$A$2:$M$1241,7,FALSE)," ")</f>
        <v>2989716</v>
      </c>
      <c r="J1162" s="1" t="str">
        <f>IF(B1162=0,VLOOKUP(A1162,Feuil2!$A$2:$M$1241,9,FALSE)," ")</f>
        <v>408 Rue 1er Juin</v>
      </c>
      <c r="K1162" s="1" t="str">
        <f>IF(B1162=0,VLOOKUP(A1162,Feuil2!$A$2:$M$1241,10,FALSE)," ")</f>
        <v>Msaken 4070</v>
      </c>
      <c r="L1162" s="1">
        <v>4070</v>
      </c>
      <c r="M1162" s="1">
        <v>50733068</v>
      </c>
      <c r="N1162" s="1"/>
      <c r="O1162" s="8" t="str">
        <f>IF(B1162=0,VLOOKUP(A1162,Feuil2!$A$2:$M$1241,13,FALSE)," ")</f>
        <v>04204067404001410433</v>
      </c>
    </row>
    <row r="1163" spans="1:15" x14ac:dyDescent="0.3">
      <c r="A1163" s="1">
        <v>1707</v>
      </c>
      <c r="B1163" s="1">
        <v>1</v>
      </c>
      <c r="C1163" s="1" t="s">
        <v>182</v>
      </c>
      <c r="D1163" s="1" t="s">
        <v>559</v>
      </c>
      <c r="E1163" s="5">
        <v>22364</v>
      </c>
      <c r="F1163" s="1" t="s">
        <v>17</v>
      </c>
      <c r="G1163" s="1" t="s">
        <v>15</v>
      </c>
      <c r="H1163" s="1" t="s">
        <v>16</v>
      </c>
      <c r="I1163" s="6" t="str">
        <f>IF(B1163=0,VLOOKUP(A1163,Feuil2!$A$2:$M$1241,7,FALSE)," ")</f>
        <v xml:space="preserve"> </v>
      </c>
      <c r="J1163" s="1" t="str">
        <f>IF(B1163=0,VLOOKUP(A1163,Feuil2!$A$2:$M$1241,9,FALSE)," ")</f>
        <v xml:space="preserve"> </v>
      </c>
      <c r="K1163" s="1" t="str">
        <f>IF(B1163=0,VLOOKUP(A1163,Feuil2!$A$2:$M$1241,10,FALSE)," ")</f>
        <v xml:space="preserve"> </v>
      </c>
      <c r="L1163" s="1"/>
      <c r="M1163" s="1"/>
      <c r="N1163" s="1"/>
      <c r="O1163" s="8" t="str">
        <f>IF(B1163=0,VLOOKUP(A1163,Feuil2!$A$2:$M$1241,13,FALSE)," ")</f>
        <v xml:space="preserve"> </v>
      </c>
    </row>
    <row r="1164" spans="1:15" x14ac:dyDescent="0.3">
      <c r="A1164" s="1">
        <v>1707</v>
      </c>
      <c r="B1164" s="1">
        <v>2</v>
      </c>
      <c r="C1164" s="1" t="s">
        <v>182</v>
      </c>
      <c r="D1164" s="1" t="s">
        <v>2099</v>
      </c>
      <c r="E1164" s="5">
        <v>34232</v>
      </c>
      <c r="F1164" s="1" t="s">
        <v>17</v>
      </c>
      <c r="G1164" s="1" t="str">
        <f>IF(B1164=0,VLOOKUP(A1164,Feuil2!$A$2:$M$1241,11,FALSE)," ")</f>
        <v xml:space="preserve"> </v>
      </c>
      <c r="H1164" s="1" t="s">
        <v>16</v>
      </c>
      <c r="I1164" s="6" t="str">
        <f>IF(B1164=0,VLOOKUP(A1164,Feuil2!$A$2:$M$1241,7,FALSE)," ")</f>
        <v xml:space="preserve"> </v>
      </c>
      <c r="J1164" s="1" t="str">
        <f>IF(B1164=0,VLOOKUP(A1164,Feuil2!$A$2:$M$1241,9,FALSE)," ")</f>
        <v xml:space="preserve"> </v>
      </c>
      <c r="K1164" s="1" t="str">
        <f>IF(B1164=0,VLOOKUP(A1164,Feuil2!$A$2:$M$1241,10,FALSE)," ")</f>
        <v xml:space="preserve"> </v>
      </c>
      <c r="L1164" s="1"/>
      <c r="M1164" s="1"/>
      <c r="N1164" s="1"/>
      <c r="O1164" s="8" t="str">
        <f>IF(B1164=0,VLOOKUP(A1164,Feuil2!$A$2:$M$1241,13,FALSE)," ")</f>
        <v xml:space="preserve"> </v>
      </c>
    </row>
    <row r="1165" spans="1:15" x14ac:dyDescent="0.3">
      <c r="A1165" s="1">
        <v>1707</v>
      </c>
      <c r="B1165" s="1">
        <v>3</v>
      </c>
      <c r="C1165" s="1" t="s">
        <v>182</v>
      </c>
      <c r="D1165" s="1" t="s">
        <v>60</v>
      </c>
      <c r="E1165" s="5">
        <v>34782</v>
      </c>
      <c r="F1165" s="1" t="s">
        <v>506</v>
      </c>
      <c r="G1165" s="1" t="str">
        <f>IF(B1165=0,VLOOKUP(A1165,Feuil2!$A$2:$M$1241,11,FALSE)," ")</f>
        <v xml:space="preserve"> </v>
      </c>
      <c r="H1165" s="1" t="s">
        <v>16</v>
      </c>
      <c r="I1165" s="6" t="str">
        <f>IF(B1165=0,VLOOKUP(A1165,Feuil2!$A$2:$M$1241,7,FALSE)," ")</f>
        <v xml:space="preserve"> </v>
      </c>
      <c r="J1165" s="1" t="str">
        <f>IF(B1165=0,VLOOKUP(A1165,Feuil2!$A$2:$M$1241,9,FALSE)," ")</f>
        <v xml:space="preserve"> </v>
      </c>
      <c r="K1165" s="1" t="str">
        <f>IF(B1165=0,VLOOKUP(A1165,Feuil2!$A$2:$M$1241,10,FALSE)," ")</f>
        <v xml:space="preserve"> </v>
      </c>
      <c r="L1165" s="1"/>
      <c r="M1165" s="1"/>
      <c r="N1165" s="1"/>
      <c r="O1165" s="8" t="str">
        <f>IF(B1165=0,VLOOKUP(A1165,Feuil2!$A$2:$M$1241,13,FALSE)," ")</f>
        <v xml:space="preserve"> </v>
      </c>
    </row>
    <row r="1166" spans="1:15" x14ac:dyDescent="0.3">
      <c r="A1166" s="1">
        <v>1707</v>
      </c>
      <c r="B1166" s="1">
        <v>4</v>
      </c>
      <c r="C1166" s="1" t="s">
        <v>182</v>
      </c>
      <c r="D1166" s="1" t="s">
        <v>2464</v>
      </c>
      <c r="E1166" s="5">
        <v>36210</v>
      </c>
      <c r="F1166" s="1" t="s">
        <v>17</v>
      </c>
      <c r="G1166" s="1" t="str">
        <f>IF(B1166=0,VLOOKUP(A1166,Feuil2!$A$2:$M$1241,11,FALSE)," ")</f>
        <v xml:space="preserve"> </v>
      </c>
      <c r="H1166" s="1" t="s">
        <v>16</v>
      </c>
      <c r="I1166" s="6" t="str">
        <f>IF(B1166=0,VLOOKUP(A1166,Feuil2!$A$2:$M$1241,7,FALSE)," ")</f>
        <v xml:space="preserve"> </v>
      </c>
      <c r="J1166" s="1" t="str">
        <f>IF(B1166=0,VLOOKUP(A1166,Feuil2!$A$2:$M$1241,9,FALSE)," ")</f>
        <v xml:space="preserve"> </v>
      </c>
      <c r="K1166" s="1" t="str">
        <f>IF(B1166=0,VLOOKUP(A1166,Feuil2!$A$2:$M$1241,10,FALSE)," ")</f>
        <v xml:space="preserve"> </v>
      </c>
      <c r="L1166" s="1"/>
      <c r="M1166" s="1"/>
      <c r="N1166" s="1"/>
      <c r="O1166" s="8" t="str">
        <f>IF(B1166=0,VLOOKUP(A1166,Feuil2!$A$2:$M$1241,13,FALSE)," ")</f>
        <v xml:space="preserve"> </v>
      </c>
    </row>
    <row r="1167" spans="1:15" x14ac:dyDescent="0.3">
      <c r="A1167" s="1">
        <v>1707</v>
      </c>
      <c r="B1167" s="1">
        <v>5</v>
      </c>
      <c r="C1167" s="1" t="s">
        <v>182</v>
      </c>
      <c r="D1167" s="1" t="s">
        <v>2214</v>
      </c>
      <c r="E1167" s="5">
        <v>38910</v>
      </c>
      <c r="F1167" s="1" t="s">
        <v>17</v>
      </c>
      <c r="G1167" s="1" t="str">
        <f>IF(B1167=0,VLOOKUP(A1167,Feuil2!$A$2:$M$1241,11,FALSE)," ")</f>
        <v xml:space="preserve"> </v>
      </c>
      <c r="H1167" s="1" t="s">
        <v>16</v>
      </c>
      <c r="I1167" s="6" t="str">
        <f>IF(B1167=0,VLOOKUP(A1167,Feuil2!$A$2:$M$1241,7,FALSE)," ")</f>
        <v xml:space="preserve"> </v>
      </c>
      <c r="J1167" s="1" t="str">
        <f>IF(B1167=0,VLOOKUP(A1167,Feuil2!$A$2:$M$1241,9,FALSE)," ")</f>
        <v xml:space="preserve"> </v>
      </c>
      <c r="K1167" s="1" t="str">
        <f>IF(B1167=0,VLOOKUP(A1167,Feuil2!$A$2:$M$1241,10,FALSE)," ")</f>
        <v xml:space="preserve"> </v>
      </c>
      <c r="L1167" s="1"/>
      <c r="M1167" s="1"/>
      <c r="N1167" s="1"/>
      <c r="O1167" s="8" t="str">
        <f>IF(B1167=0,VLOOKUP(A1167,Feuil2!$A$2:$M$1241,13,FALSE)," ")</f>
        <v xml:space="preserve"> </v>
      </c>
    </row>
    <row r="1168" spans="1:15" x14ac:dyDescent="0.3">
      <c r="A1168" s="1">
        <v>2283</v>
      </c>
      <c r="B1168" s="1">
        <v>0</v>
      </c>
      <c r="C1168" s="1" t="e">
        <f>IF(B1168=0,VLOOKUP(A1168,Feuil2!$A$2:$M$1241,2,FALSE)," ")</f>
        <v>#N/A</v>
      </c>
      <c r="D1168" s="1" t="e">
        <f>IF(B1168=0,VLOOKUP(A1168,Feuil2!$A$2:$M$1241,3,FALSE)," ")</f>
        <v>#N/A</v>
      </c>
      <c r="E1168" s="5" t="e">
        <f>IF(B1168=0,VLOOKUP(A1168,Feuil2!$A$2:$M$1241,6,FALSE)," ")</f>
        <v>#N/A</v>
      </c>
      <c r="F1168" s="1" t="e">
        <f>IF(B1168=0,VLOOKUP(A1168,Feuil2!$A$2:$M$1241,12,FALSE)," ")</f>
        <v>#N/A</v>
      </c>
      <c r="G1168" s="1" t="e">
        <f>IF(B1168=0,VLOOKUP(A1168,Feuil2!$A$2:$M$1241,11,FALSE)," ")</f>
        <v>#N/A</v>
      </c>
      <c r="H1168" s="1" t="s">
        <v>16</v>
      </c>
      <c r="I1168" s="6" t="e">
        <f>IF(B1168=0,VLOOKUP(A1168,Feuil2!$A$2:$M$1241,7,FALSE)," ")</f>
        <v>#N/A</v>
      </c>
      <c r="J1168" s="1" t="e">
        <f>IF(B1168=0,VLOOKUP(A1168,Feuil2!$A$2:$M$1241,9,FALSE)," ")</f>
        <v>#N/A</v>
      </c>
      <c r="K1168" s="1" t="e">
        <f>IF(B1168=0,VLOOKUP(A1168,Feuil2!$A$2:$M$1241,10,FALSE)," ")</f>
        <v>#N/A</v>
      </c>
      <c r="L1168" s="1">
        <v>4014</v>
      </c>
      <c r="M1168" s="1">
        <v>22191429</v>
      </c>
      <c r="N1168" s="1"/>
      <c r="O1168" s="8" t="e">
        <f>IF(B1168=0,VLOOKUP(A1168,Feuil2!$A$2:$M$1241,13,FALSE)," ")</f>
        <v>#N/A</v>
      </c>
    </row>
    <row r="1169" spans="1:15" x14ac:dyDescent="0.3">
      <c r="A1169" s="1">
        <v>1708</v>
      </c>
      <c r="B1169" s="1">
        <v>1</v>
      </c>
      <c r="C1169" s="1" t="s">
        <v>2245</v>
      </c>
      <c r="D1169" s="1" t="s">
        <v>2685</v>
      </c>
      <c r="E1169" s="5">
        <v>31635</v>
      </c>
      <c r="F1169" s="1" t="s">
        <v>17</v>
      </c>
      <c r="G1169" s="1" t="s">
        <v>15</v>
      </c>
      <c r="H1169" s="1" t="s">
        <v>16</v>
      </c>
      <c r="I1169" s="6" t="str">
        <f>IF(B1169=0,VLOOKUP(A1169,Feuil2!$A$2:$M$1241,7,FALSE)," ")</f>
        <v xml:space="preserve"> </v>
      </c>
      <c r="J1169" s="1" t="str">
        <f>IF(B1169=0,VLOOKUP(A1169,Feuil2!$A$2:$M$1241,9,FALSE)," ")</f>
        <v xml:space="preserve"> </v>
      </c>
      <c r="K1169" s="1" t="str">
        <f>IF(B1169=0,VLOOKUP(A1169,Feuil2!$A$2:$M$1241,10,FALSE)," ")</f>
        <v xml:space="preserve"> </v>
      </c>
      <c r="L1169" s="1"/>
      <c r="M1169" s="1"/>
      <c r="N1169" s="1"/>
      <c r="O1169" s="8" t="str">
        <f>IF(B1169=0,VLOOKUP(A1169,Feuil2!$A$2:$M$1241,13,FALSE)," ")</f>
        <v xml:space="preserve"> </v>
      </c>
    </row>
    <row r="1170" spans="1:15" x14ac:dyDescent="0.3">
      <c r="A1170" s="1">
        <v>1708</v>
      </c>
      <c r="B1170" s="1">
        <v>2</v>
      </c>
      <c r="C1170" s="1" t="s">
        <v>1604</v>
      </c>
      <c r="D1170" s="1" t="s">
        <v>2562</v>
      </c>
      <c r="E1170" s="5">
        <v>39952</v>
      </c>
      <c r="F1170" s="1" t="s">
        <v>17</v>
      </c>
      <c r="G1170" s="1" t="str">
        <f>IF(B1170=0,VLOOKUP(A1170,Feuil2!$A$2:$M$1241,11,FALSE)," ")</f>
        <v xml:space="preserve"> </v>
      </c>
      <c r="H1170" s="1" t="s">
        <v>16</v>
      </c>
      <c r="I1170" s="6" t="str">
        <f>IF(B1170=0,VLOOKUP(A1170,Feuil2!$A$2:$M$1241,7,FALSE)," ")</f>
        <v xml:space="preserve"> </v>
      </c>
      <c r="J1170" s="1" t="str">
        <f>IF(B1170=0,VLOOKUP(A1170,Feuil2!$A$2:$M$1241,9,FALSE)," ")</f>
        <v xml:space="preserve"> </v>
      </c>
      <c r="K1170" s="1" t="str">
        <f>IF(B1170=0,VLOOKUP(A1170,Feuil2!$A$2:$M$1241,10,FALSE)," ")</f>
        <v xml:space="preserve"> </v>
      </c>
      <c r="L1170" s="1"/>
      <c r="M1170" s="1"/>
      <c r="N1170" s="1"/>
      <c r="O1170" s="8" t="str">
        <f>IF(B1170=0,VLOOKUP(A1170,Feuil2!$A$2:$M$1241,13,FALSE)," ")</f>
        <v xml:space="preserve"> </v>
      </c>
    </row>
    <row r="1171" spans="1:15" x14ac:dyDescent="0.3">
      <c r="A1171" s="1">
        <v>1708</v>
      </c>
      <c r="B1171" s="1">
        <v>3</v>
      </c>
      <c r="C1171" s="1" t="s">
        <v>1604</v>
      </c>
      <c r="D1171" s="1" t="s">
        <v>61</v>
      </c>
      <c r="E1171" s="5">
        <v>40780</v>
      </c>
      <c r="F1171" s="1" t="s">
        <v>506</v>
      </c>
      <c r="G1171" s="1" t="str">
        <f>IF(B1171=0,VLOOKUP(A1171,Feuil2!$A$2:$M$1241,11,FALSE)," ")</f>
        <v xml:space="preserve"> </v>
      </c>
      <c r="H1171" s="1" t="s">
        <v>16</v>
      </c>
      <c r="I1171" s="6" t="str">
        <f>IF(B1171=0,VLOOKUP(A1171,Feuil2!$A$2:$M$1241,7,FALSE)," ")</f>
        <v xml:space="preserve"> </v>
      </c>
      <c r="J1171" s="1" t="str">
        <f>IF(B1171=0,VLOOKUP(A1171,Feuil2!$A$2:$M$1241,9,FALSE)," ")</f>
        <v xml:space="preserve"> </v>
      </c>
      <c r="K1171" s="1" t="str">
        <f>IF(B1171=0,VLOOKUP(A1171,Feuil2!$A$2:$M$1241,10,FALSE)," ")</f>
        <v xml:space="preserve"> </v>
      </c>
      <c r="L1171" s="1"/>
      <c r="M1171" s="1"/>
      <c r="N1171" s="1"/>
      <c r="O1171" s="8" t="str">
        <f>IF(B1171=0,VLOOKUP(A1171,Feuil2!$A$2:$M$1241,13,FALSE)," ")</f>
        <v xml:space="preserve"> </v>
      </c>
    </row>
    <row r="1172" spans="1:15" x14ac:dyDescent="0.3">
      <c r="A1172" s="1">
        <v>1709</v>
      </c>
      <c r="B1172" s="1">
        <v>0</v>
      </c>
      <c r="C1172" s="1" t="str">
        <f>IF(B1172=0,VLOOKUP(A1172,Feuil2!$A$2:$M$1241,2,FALSE)," ")</f>
        <v>MAJDOUB</v>
      </c>
      <c r="D1172" s="1" t="str">
        <f>IF(B1172=0,VLOOKUP(A1172,Feuil2!$A$2:$M$1241,3,FALSE)," ")</f>
        <v>SAMI</v>
      </c>
      <c r="E1172" s="5">
        <f>IF(B1172=0,VLOOKUP(A1172,Feuil2!$A$2:$M$1241,6,FALSE)," ")</f>
        <v>26123</v>
      </c>
      <c r="F1172" s="1" t="str">
        <f>IF(B1172=0,VLOOKUP(A1172,Feuil2!$A$2:$M$1241,12,FALSE)," ")</f>
        <v>H</v>
      </c>
      <c r="G1172" s="1" t="str">
        <f>IF(B1172=0,VLOOKUP(A1172,Feuil2!$A$2:$M$1241,11,FALSE)," ")</f>
        <v>M</v>
      </c>
      <c r="H1172" s="1" t="s">
        <v>16</v>
      </c>
      <c r="I1172" s="6">
        <f>IF(B1172=0,VLOOKUP(A1172,Feuil2!$A$2:$M$1241,7,FALSE)," ")</f>
        <v>5528090</v>
      </c>
      <c r="J1172" s="1" t="str">
        <f>IF(B1172=0,VLOOKUP(A1172,Feuil2!$A$2:$M$1241,9,FALSE)," ")</f>
        <v>90 Rue El Hana</v>
      </c>
      <c r="K1172" s="1" t="str">
        <f>IF(B1172=0,VLOOKUP(A1172,Feuil2!$A$2:$M$1241,10,FALSE)," ")</f>
        <v>Msaken 4070</v>
      </c>
      <c r="L1172" s="1">
        <v>4070</v>
      </c>
      <c r="M1172" s="1">
        <v>28382178</v>
      </c>
      <c r="N1172" s="1"/>
      <c r="O1172" s="8" t="str">
        <f>IF(B1172=0,VLOOKUP(A1172,Feuil2!$A$2:$M$1241,13,FALSE)," ")</f>
        <v>03508056010100334977</v>
      </c>
    </row>
    <row r="1173" spans="1:15" x14ac:dyDescent="0.3">
      <c r="A1173" s="1">
        <v>1709</v>
      </c>
      <c r="B1173" s="1">
        <v>1</v>
      </c>
      <c r="C1173" s="1" t="s">
        <v>2686</v>
      </c>
      <c r="D1173" s="1" t="s">
        <v>404</v>
      </c>
      <c r="E1173" s="5">
        <v>31260</v>
      </c>
      <c r="F1173" s="1" t="s">
        <v>17</v>
      </c>
      <c r="G1173" s="1" t="s">
        <v>15</v>
      </c>
      <c r="H1173" s="1" t="s">
        <v>16</v>
      </c>
      <c r="I1173" s="6" t="str">
        <f>IF(B1173=0,VLOOKUP(A1173,Feuil2!$A$2:$M$1241,7,FALSE)," ")</f>
        <v xml:space="preserve"> </v>
      </c>
      <c r="J1173" s="1" t="str">
        <f>IF(B1173=0,VLOOKUP(A1173,Feuil2!$A$2:$M$1241,9,FALSE)," ")</f>
        <v xml:space="preserve"> </v>
      </c>
      <c r="K1173" s="1" t="str">
        <f>IF(B1173=0,VLOOKUP(A1173,Feuil2!$A$2:$M$1241,10,FALSE)," ")</f>
        <v xml:space="preserve"> </v>
      </c>
      <c r="L1173" s="1"/>
      <c r="M1173" s="1"/>
      <c r="N1173" s="1"/>
      <c r="O1173" s="8" t="str">
        <f>IF(B1173=0,VLOOKUP(A1173,Feuil2!$A$2:$M$1241,13,FALSE)," ")</f>
        <v xml:space="preserve"> </v>
      </c>
    </row>
    <row r="1174" spans="1:15" x14ac:dyDescent="0.3">
      <c r="A1174" s="1">
        <v>1709</v>
      </c>
      <c r="B1174" s="1">
        <v>2</v>
      </c>
      <c r="C1174" s="1" t="s">
        <v>366</v>
      </c>
      <c r="D1174" s="1" t="s">
        <v>2687</v>
      </c>
      <c r="E1174" s="5">
        <v>38556</v>
      </c>
      <c r="F1174" s="1" t="s">
        <v>17</v>
      </c>
      <c r="G1174" s="1" t="str">
        <f>IF(B1174=0,VLOOKUP(A1174,Feuil2!$A$2:$M$1241,11,FALSE)," ")</f>
        <v xml:space="preserve"> </v>
      </c>
      <c r="H1174" s="1" t="s">
        <v>16</v>
      </c>
      <c r="I1174" s="6" t="str">
        <f>IF(B1174=0,VLOOKUP(A1174,Feuil2!$A$2:$M$1241,7,FALSE)," ")</f>
        <v xml:space="preserve"> </v>
      </c>
      <c r="J1174" s="1" t="str">
        <f>IF(B1174=0,VLOOKUP(A1174,Feuil2!$A$2:$M$1241,9,FALSE)," ")</f>
        <v xml:space="preserve"> </v>
      </c>
      <c r="K1174" s="1" t="str">
        <f>IF(B1174=0,VLOOKUP(A1174,Feuil2!$A$2:$M$1241,10,FALSE)," ")</f>
        <v xml:space="preserve"> </v>
      </c>
      <c r="L1174" s="1"/>
      <c r="M1174" s="1"/>
      <c r="N1174" s="1"/>
      <c r="O1174" s="8" t="str">
        <f>IF(B1174=0,VLOOKUP(A1174,Feuil2!$A$2:$M$1241,13,FALSE)," ")</f>
        <v xml:space="preserve"> </v>
      </c>
    </row>
    <row r="1175" spans="1:15" x14ac:dyDescent="0.3">
      <c r="A1175" s="1">
        <v>1709</v>
      </c>
      <c r="B1175" s="1">
        <v>3</v>
      </c>
      <c r="C1175" s="1" t="s">
        <v>366</v>
      </c>
      <c r="D1175" s="1" t="s">
        <v>2672</v>
      </c>
      <c r="E1175" s="5">
        <v>39087</v>
      </c>
      <c r="F1175" s="1" t="s">
        <v>17</v>
      </c>
      <c r="G1175" s="1" t="str">
        <f>IF(B1175=0,VLOOKUP(A1175,Feuil2!$A$2:$M$1241,11,FALSE)," ")</f>
        <v xml:space="preserve"> </v>
      </c>
      <c r="H1175" s="1" t="s">
        <v>16</v>
      </c>
      <c r="I1175" s="6" t="str">
        <f>IF(B1175=0,VLOOKUP(A1175,Feuil2!$A$2:$M$1241,7,FALSE)," ")</f>
        <v xml:space="preserve"> </v>
      </c>
      <c r="J1175" s="1" t="str">
        <f>IF(B1175=0,VLOOKUP(A1175,Feuil2!$A$2:$M$1241,9,FALSE)," ")</f>
        <v xml:space="preserve"> </v>
      </c>
      <c r="K1175" s="1" t="str">
        <f>IF(B1175=0,VLOOKUP(A1175,Feuil2!$A$2:$M$1241,10,FALSE)," ")</f>
        <v xml:space="preserve"> </v>
      </c>
      <c r="L1175" s="1"/>
      <c r="M1175" s="1"/>
      <c r="N1175" s="1"/>
      <c r="O1175" s="8" t="str">
        <f>IF(B1175=0,VLOOKUP(A1175,Feuil2!$A$2:$M$1241,13,FALSE)," ")</f>
        <v xml:space="preserve"> </v>
      </c>
    </row>
    <row r="1176" spans="1:15" x14ac:dyDescent="0.3">
      <c r="A1176" s="1">
        <v>1709</v>
      </c>
      <c r="B1176" s="1">
        <v>4</v>
      </c>
      <c r="C1176" s="1" t="s">
        <v>366</v>
      </c>
      <c r="D1176" s="1" t="s">
        <v>2383</v>
      </c>
      <c r="E1176" s="5">
        <v>40404</v>
      </c>
      <c r="F1176" s="1" t="s">
        <v>17</v>
      </c>
      <c r="G1176" s="1" t="str">
        <f>IF(B1176=0,VLOOKUP(A1176,Feuil2!$A$2:$M$1241,11,FALSE)," ")</f>
        <v xml:space="preserve"> </v>
      </c>
      <c r="H1176" s="1" t="s">
        <v>16</v>
      </c>
      <c r="I1176" s="6" t="str">
        <f>IF(B1176=0,VLOOKUP(A1176,Feuil2!$A$2:$M$1241,7,FALSE)," ")</f>
        <v xml:space="preserve"> </v>
      </c>
      <c r="J1176" s="1" t="str">
        <f>IF(B1176=0,VLOOKUP(A1176,Feuil2!$A$2:$M$1241,9,FALSE)," ")</f>
        <v xml:space="preserve"> </v>
      </c>
      <c r="K1176" s="1" t="str">
        <f>IF(B1176=0,VLOOKUP(A1176,Feuil2!$A$2:$M$1241,10,FALSE)," ")</f>
        <v xml:space="preserve"> </v>
      </c>
      <c r="L1176" s="1"/>
      <c r="M1176" s="1"/>
      <c r="N1176" s="1"/>
      <c r="O1176" s="8" t="str">
        <f>IF(B1176=0,VLOOKUP(A1176,Feuil2!$A$2:$M$1241,13,FALSE)," ")</f>
        <v xml:space="preserve"> </v>
      </c>
    </row>
    <row r="1177" spans="1:15" x14ac:dyDescent="0.3">
      <c r="A1177" s="1">
        <v>1709</v>
      </c>
      <c r="B1177" s="1">
        <v>5</v>
      </c>
      <c r="C1177" s="1" t="s">
        <v>366</v>
      </c>
      <c r="D1177" s="1" t="s">
        <v>2641</v>
      </c>
      <c r="E1177" s="5">
        <v>41159</v>
      </c>
      <c r="F1177" s="1" t="s">
        <v>17</v>
      </c>
      <c r="G1177" s="1" t="str">
        <f>IF(B1177=0,VLOOKUP(A1177,Feuil2!$A$2:$M$1241,11,FALSE)," ")</f>
        <v xml:space="preserve"> </v>
      </c>
      <c r="H1177" s="1" t="s">
        <v>16</v>
      </c>
      <c r="I1177" s="6" t="str">
        <f>IF(B1177=0,VLOOKUP(A1177,Feuil2!$A$2:$M$1241,7,FALSE)," ")</f>
        <v xml:space="preserve"> </v>
      </c>
      <c r="J1177" s="1" t="str">
        <f>IF(B1177=0,VLOOKUP(A1177,Feuil2!$A$2:$M$1241,9,FALSE)," ")</f>
        <v xml:space="preserve"> </v>
      </c>
      <c r="K1177" s="1" t="str">
        <f>IF(B1177=0,VLOOKUP(A1177,Feuil2!$A$2:$M$1241,10,FALSE)," ")</f>
        <v xml:space="preserve"> </v>
      </c>
      <c r="L1177" s="1"/>
      <c r="M1177" s="1"/>
      <c r="N1177" s="1"/>
      <c r="O1177" s="8" t="str">
        <f>IF(B1177=0,VLOOKUP(A1177,Feuil2!$A$2:$M$1241,13,FALSE)," ")</f>
        <v xml:space="preserve"> </v>
      </c>
    </row>
    <row r="1178" spans="1:15" x14ac:dyDescent="0.3">
      <c r="A1178" s="1">
        <v>1711</v>
      </c>
      <c r="B1178" s="1">
        <v>0</v>
      </c>
      <c r="C1178" s="1" t="str">
        <f>IF(B1178=0,VLOOKUP(A1178,Feuil2!$A$2:$M$1241,2,FALSE)," ")</f>
        <v>BEN ISMAIL</v>
      </c>
      <c r="D1178" s="1" t="str">
        <f>IF(B1178=0,VLOOKUP(A1178,Feuil2!$A$2:$M$1241,3,FALSE)," ")</f>
        <v>HOSNI</v>
      </c>
      <c r="E1178" s="5">
        <f>IF(B1178=0,VLOOKUP(A1178,Feuil2!$A$2:$M$1241,6,FALSE)," ")</f>
        <v>26471</v>
      </c>
      <c r="F1178" s="1" t="str">
        <f>IF(B1178=0,VLOOKUP(A1178,Feuil2!$A$2:$M$1241,12,FALSE)," ")</f>
        <v>H</v>
      </c>
      <c r="G1178" s="1" t="str">
        <f>IF(B1178=0,VLOOKUP(A1178,Feuil2!$A$2:$M$1241,11,FALSE)," ")</f>
        <v>M</v>
      </c>
      <c r="H1178" s="1" t="s">
        <v>16</v>
      </c>
      <c r="I1178" s="6">
        <f>IF(B1178=0,VLOOKUP(A1178,Feuil2!$A$2:$M$1241,7,FALSE)," ")</f>
        <v>5534686</v>
      </c>
      <c r="J1178" s="1" t="str">
        <f>IF(B1178=0,VLOOKUP(A1178,Feuil2!$A$2:$M$1241,9,FALSE)," ")</f>
        <v>4016 beni kalthoum</v>
      </c>
      <c r="K1178" s="1" t="str">
        <f>IF(B1178=0,VLOOKUP(A1178,Feuil2!$A$2:$M$1241,10,FALSE)," ")</f>
        <v>BÃ©ni Kalthoum 4016</v>
      </c>
      <c r="L1178" s="1"/>
      <c r="M1178" s="1">
        <v>22478240</v>
      </c>
      <c r="N1178" s="1"/>
      <c r="O1178" s="8" t="str">
        <f>IF(B1178=0,VLOOKUP(A1178,Feuil2!$A$2:$M$1241,13,FALSE)," ")</f>
        <v>04204067404001427893</v>
      </c>
    </row>
    <row r="1179" spans="1:15" x14ac:dyDescent="0.3">
      <c r="A1179" s="1">
        <v>1711</v>
      </c>
      <c r="B1179" s="1">
        <v>1</v>
      </c>
      <c r="C1179" s="1" t="str">
        <f>IF(B1179=0,VLOOKUP(A1179,Feuil2!$A$2:$M$1241,2,FALSE)," ")</f>
        <v xml:space="preserve"> </v>
      </c>
      <c r="D1179" s="1" t="s">
        <v>2470</v>
      </c>
      <c r="E1179" s="5">
        <v>27378</v>
      </c>
      <c r="F1179" s="1" t="s">
        <v>17</v>
      </c>
      <c r="G1179" s="1" t="s">
        <v>15</v>
      </c>
      <c r="H1179" s="1" t="s">
        <v>16</v>
      </c>
      <c r="I1179" s="6" t="str">
        <f>IF(B1179=0,VLOOKUP(A1179,Feuil2!$A$2:$M$1241,7,FALSE)," ")</f>
        <v xml:space="preserve"> </v>
      </c>
      <c r="J1179" s="1" t="str">
        <f>IF(B1179=0,VLOOKUP(A1179,Feuil2!$A$2:$M$1241,9,FALSE)," ")</f>
        <v xml:space="preserve"> </v>
      </c>
      <c r="K1179" s="1" t="str">
        <f>IF(B1179=0,VLOOKUP(A1179,Feuil2!$A$2:$M$1241,10,FALSE)," ")</f>
        <v xml:space="preserve"> </v>
      </c>
      <c r="L1179" s="1"/>
      <c r="M1179" s="1"/>
      <c r="N1179" s="1"/>
      <c r="O1179" s="8" t="str">
        <f>IF(B1179=0,VLOOKUP(A1179,Feuil2!$A$2:$M$1241,13,FALSE)," ")</f>
        <v xml:space="preserve"> </v>
      </c>
    </row>
    <row r="1180" spans="1:15" x14ac:dyDescent="0.3">
      <c r="A1180" s="1">
        <v>1711</v>
      </c>
      <c r="B1180" s="1">
        <v>2</v>
      </c>
      <c r="C1180" s="1" t="s">
        <v>1503</v>
      </c>
      <c r="D1180" s="1" t="s">
        <v>2383</v>
      </c>
      <c r="E1180" s="5">
        <v>40370</v>
      </c>
      <c r="F1180" s="1" t="s">
        <v>17</v>
      </c>
      <c r="G1180" s="1" t="str">
        <f>IF(B1180=0,VLOOKUP(A1180,Feuil2!$A$2:$M$1241,11,FALSE)," ")</f>
        <v xml:space="preserve"> </v>
      </c>
      <c r="H1180" s="1" t="s">
        <v>16</v>
      </c>
      <c r="I1180" s="6" t="str">
        <f>IF(B1180=0,VLOOKUP(A1180,Feuil2!$A$2:$M$1241,7,FALSE)," ")</f>
        <v xml:space="preserve"> </v>
      </c>
      <c r="J1180" s="1" t="str">
        <f>IF(B1180=0,VLOOKUP(A1180,Feuil2!$A$2:$M$1241,9,FALSE)," ")</f>
        <v xml:space="preserve"> </v>
      </c>
      <c r="K1180" s="1" t="str">
        <f>IF(B1180=0,VLOOKUP(A1180,Feuil2!$A$2:$M$1241,10,FALSE)," ")</f>
        <v xml:space="preserve"> </v>
      </c>
      <c r="L1180" s="1"/>
      <c r="M1180" s="1"/>
      <c r="N1180" s="1"/>
      <c r="O1180" s="8" t="str">
        <f>IF(B1180=0,VLOOKUP(A1180,Feuil2!$A$2:$M$1241,13,FALSE)," ")</f>
        <v xml:space="preserve"> </v>
      </c>
    </row>
    <row r="1181" spans="1:15" x14ac:dyDescent="0.3">
      <c r="A1181" s="1">
        <v>1714</v>
      </c>
      <c r="B1181" s="1">
        <v>0</v>
      </c>
      <c r="C1181" s="1" t="str">
        <f>IF(B1181=0,VLOOKUP(A1181,Feuil2!$A$2:$M$1241,2,FALSE)," ")</f>
        <v>MATHLOUTHI</v>
      </c>
      <c r="D1181" s="1" t="str">
        <f>IF(B1181=0,VLOOKUP(A1181,Feuil2!$A$2:$M$1241,3,FALSE)," ")</f>
        <v>MONDHER</v>
      </c>
      <c r="E1181" s="5">
        <f>IF(B1181=0,VLOOKUP(A1181,Feuil2!$A$2:$M$1241,6,FALSE)," ")</f>
        <v>26177</v>
      </c>
      <c r="F1181" s="1" t="str">
        <f>IF(B1181=0,VLOOKUP(A1181,Feuil2!$A$2:$M$1241,12,FALSE)," ")</f>
        <v>H</v>
      </c>
      <c r="G1181" s="1" t="str">
        <f>IF(B1181=0,VLOOKUP(A1181,Feuil2!$A$2:$M$1241,11,FALSE)," ")</f>
        <v>M</v>
      </c>
      <c r="H1181" s="1" t="s">
        <v>16</v>
      </c>
      <c r="I1181" s="6">
        <f>IF(B1181=0,VLOOKUP(A1181,Feuil2!$A$2:$M$1241,7,FALSE)," ")</f>
        <v>5516538</v>
      </c>
      <c r="J1181" s="1" t="str">
        <f>IF(B1181=0,VLOOKUP(A1181,Feuil2!$A$2:$M$1241,9,FALSE)," ")</f>
        <v>4014 Knaies</v>
      </c>
      <c r="K1181" s="1" t="str">
        <f>IF(B1181=0,VLOOKUP(A1181,Feuil2!$A$2:$M$1241,10,FALSE)," ")</f>
        <v>Knaies 4014</v>
      </c>
      <c r="L1181" s="1">
        <v>4014</v>
      </c>
      <c r="M1181" s="1">
        <v>97339020</v>
      </c>
      <c r="N1181" s="1"/>
      <c r="O1181" s="8" t="str">
        <f>IF(B1181=0,VLOOKUP(A1181,Feuil2!$A$2:$M$1241,13,FALSE)," ")</f>
        <v>10506040205595278874</v>
      </c>
    </row>
    <row r="1182" spans="1:15" x14ac:dyDescent="0.3">
      <c r="A1182" s="1">
        <v>1714</v>
      </c>
      <c r="B1182" s="1">
        <v>1</v>
      </c>
      <c r="C1182" s="1" t="s">
        <v>1633</v>
      </c>
      <c r="D1182" s="1" t="s">
        <v>2473</v>
      </c>
      <c r="E1182" s="5">
        <v>32304</v>
      </c>
      <c r="F1182" s="1" t="s">
        <v>17</v>
      </c>
      <c r="G1182" s="1" t="s">
        <v>15</v>
      </c>
      <c r="H1182" s="1" t="s">
        <v>16</v>
      </c>
      <c r="I1182" s="6" t="str">
        <f>IF(B1182=0,VLOOKUP(A1182,Feuil2!$A$2:$M$1241,7,FALSE)," ")</f>
        <v xml:space="preserve"> </v>
      </c>
      <c r="J1182" s="1" t="str">
        <f>IF(B1182=0,VLOOKUP(A1182,Feuil2!$A$2:$M$1241,9,FALSE)," ")</f>
        <v xml:space="preserve"> </v>
      </c>
      <c r="K1182" s="1" t="str">
        <f>IF(B1182=0,VLOOKUP(A1182,Feuil2!$A$2:$M$1241,10,FALSE)," ")</f>
        <v xml:space="preserve"> </v>
      </c>
      <c r="L1182" s="1"/>
      <c r="M1182" s="1"/>
      <c r="N1182" s="1"/>
      <c r="O1182" s="8" t="str">
        <f>IF(B1182=0,VLOOKUP(A1182,Feuil2!$A$2:$M$1241,13,FALSE)," ")</f>
        <v xml:space="preserve"> </v>
      </c>
    </row>
    <row r="1183" spans="1:15" x14ac:dyDescent="0.3">
      <c r="A1183" s="1">
        <v>1714</v>
      </c>
      <c r="B1183" s="1">
        <v>2</v>
      </c>
      <c r="C1183" s="1" t="s">
        <v>173</v>
      </c>
      <c r="D1183" s="1" t="s">
        <v>107</v>
      </c>
      <c r="E1183" s="5">
        <v>40343</v>
      </c>
      <c r="F1183" s="1" t="s">
        <v>506</v>
      </c>
      <c r="G1183" s="1" t="str">
        <f>IF(B1183=0,VLOOKUP(A1183,Feuil2!$A$2:$M$1241,11,FALSE)," ")</f>
        <v xml:space="preserve"> </v>
      </c>
      <c r="H1183" s="1" t="s">
        <v>16</v>
      </c>
      <c r="I1183" s="6" t="str">
        <f>IF(B1183=0,VLOOKUP(A1183,Feuil2!$A$2:$M$1241,7,FALSE)," ")</f>
        <v xml:space="preserve"> </v>
      </c>
      <c r="J1183" s="1" t="str">
        <f>IF(B1183=0,VLOOKUP(A1183,Feuil2!$A$2:$M$1241,9,FALSE)," ")</f>
        <v xml:space="preserve"> </v>
      </c>
      <c r="K1183" s="1" t="str">
        <f>IF(B1183=0,VLOOKUP(A1183,Feuil2!$A$2:$M$1241,10,FALSE)," ")</f>
        <v xml:space="preserve"> </v>
      </c>
      <c r="L1183" s="1"/>
      <c r="M1183" s="1"/>
      <c r="N1183" s="1"/>
      <c r="O1183" s="8" t="str">
        <f>IF(B1183=0,VLOOKUP(A1183,Feuil2!$A$2:$M$1241,13,FALSE)," ")</f>
        <v xml:space="preserve"> </v>
      </c>
    </row>
    <row r="1184" spans="1:15" x14ac:dyDescent="0.3">
      <c r="A1184" s="1">
        <v>1714</v>
      </c>
      <c r="B1184" s="1">
        <v>3</v>
      </c>
      <c r="C1184" s="1" t="s">
        <v>173</v>
      </c>
      <c r="D1184" s="1" t="s">
        <v>2340</v>
      </c>
      <c r="E1184" s="5">
        <v>40973</v>
      </c>
      <c r="F1184" s="1" t="s">
        <v>17</v>
      </c>
      <c r="G1184" s="1" t="str">
        <f>IF(B1184=0,VLOOKUP(A1184,Feuil2!$A$2:$M$1241,11,FALSE)," ")</f>
        <v xml:space="preserve"> </v>
      </c>
      <c r="H1184" s="1" t="s">
        <v>16</v>
      </c>
      <c r="I1184" s="6" t="str">
        <f>IF(B1184=0,VLOOKUP(A1184,Feuil2!$A$2:$M$1241,7,FALSE)," ")</f>
        <v xml:space="preserve"> </v>
      </c>
      <c r="J1184" s="1" t="str">
        <f>IF(B1184=0,VLOOKUP(A1184,Feuil2!$A$2:$M$1241,9,FALSE)," ")</f>
        <v xml:space="preserve"> </v>
      </c>
      <c r="K1184" s="1" t="str">
        <f>IF(B1184=0,VLOOKUP(A1184,Feuil2!$A$2:$M$1241,10,FALSE)," ")</f>
        <v xml:space="preserve"> </v>
      </c>
      <c r="L1184" s="1"/>
      <c r="M1184" s="1"/>
      <c r="N1184" s="1"/>
      <c r="O1184" s="8" t="str">
        <f>IF(B1184=0,VLOOKUP(A1184,Feuil2!$A$2:$M$1241,13,FALSE)," ")</f>
        <v xml:space="preserve"> </v>
      </c>
    </row>
    <row r="1185" spans="1:15" x14ac:dyDescent="0.3">
      <c r="A1185" s="1">
        <v>1714</v>
      </c>
      <c r="B1185" s="1">
        <v>4</v>
      </c>
      <c r="C1185" s="1" t="s">
        <v>173</v>
      </c>
      <c r="D1185" s="1" t="s">
        <v>2331</v>
      </c>
      <c r="E1185" s="5">
        <v>41759</v>
      </c>
      <c r="F1185" s="1" t="s">
        <v>17</v>
      </c>
      <c r="G1185" s="1" t="str">
        <f>IF(B1185=0,VLOOKUP(A1185,Feuil2!$A$2:$M$1241,11,FALSE)," ")</f>
        <v xml:space="preserve"> </v>
      </c>
      <c r="H1185" s="1" t="s">
        <v>16</v>
      </c>
      <c r="I1185" s="6" t="str">
        <f>IF(B1185=0,VLOOKUP(A1185,Feuil2!$A$2:$M$1241,7,FALSE)," ")</f>
        <v xml:space="preserve"> </v>
      </c>
      <c r="J1185" s="1" t="str">
        <f>IF(B1185=0,VLOOKUP(A1185,Feuil2!$A$2:$M$1241,9,FALSE)," ")</f>
        <v xml:space="preserve"> </v>
      </c>
      <c r="K1185" s="1" t="str">
        <f>IF(B1185=0,VLOOKUP(A1185,Feuil2!$A$2:$M$1241,10,FALSE)," ")</f>
        <v xml:space="preserve"> </v>
      </c>
      <c r="L1185" s="1"/>
      <c r="M1185" s="1"/>
      <c r="N1185" s="1"/>
      <c r="O1185" s="8" t="str">
        <f>IF(B1185=0,VLOOKUP(A1185,Feuil2!$A$2:$M$1241,13,FALSE)," ")</f>
        <v xml:space="preserve"> </v>
      </c>
    </row>
    <row r="1186" spans="1:15" x14ac:dyDescent="0.3">
      <c r="A1186" s="1">
        <v>1723</v>
      </c>
      <c r="B1186" s="1">
        <v>0</v>
      </c>
      <c r="C1186" s="1" t="str">
        <f>IF(B1186=0,VLOOKUP(A1186,Feuil2!$A$2:$M$1241,2,FALSE)," ")</f>
        <v>BAYA</v>
      </c>
      <c r="D1186" s="1" t="str">
        <f>IF(B1186=0,VLOOKUP(A1186,Feuil2!$A$2:$M$1241,3,FALSE)," ")</f>
        <v>MEHDI</v>
      </c>
      <c r="E1186" s="5">
        <f>IF(B1186=0,VLOOKUP(A1186,Feuil2!$A$2:$M$1241,6,FALSE)," ")</f>
        <v>25167</v>
      </c>
      <c r="F1186" s="1" t="str">
        <f>IF(B1186=0,VLOOKUP(A1186,Feuil2!$A$2:$M$1241,12,FALSE)," ")</f>
        <v>H</v>
      </c>
      <c r="G1186" s="1" t="str">
        <f>IF(B1186=0,VLOOKUP(A1186,Feuil2!$A$2:$M$1241,11,FALSE)," ")</f>
        <v>M</v>
      </c>
      <c r="H1186" s="1" t="s">
        <v>16</v>
      </c>
      <c r="I1186" s="6">
        <f>IF(B1186=0,VLOOKUP(A1186,Feuil2!$A$2:$M$1241,7,FALSE)," ")</f>
        <v>2991026</v>
      </c>
      <c r="J1186" s="1" t="str">
        <f>IF(B1186=0,VLOOKUP(A1186,Feuil2!$A$2:$M$1241,9,FALSE)," ")</f>
        <v>455 Rue 1 juin</v>
      </c>
      <c r="K1186" s="1" t="str">
        <f>IF(B1186=0,VLOOKUP(A1186,Feuil2!$A$2:$M$1241,10,FALSE)," ")</f>
        <v>Msaken 4070</v>
      </c>
      <c r="L1186" s="1">
        <v>4070</v>
      </c>
      <c r="M1186" s="1">
        <v>53799426</v>
      </c>
      <c r="N1186" s="1"/>
      <c r="O1186" s="8" t="str">
        <f>IF(B1186=0,VLOOKUP(A1186,Feuil2!$A$2:$M$1241,13,FALSE)," ")</f>
        <v>04204067404001426050</v>
      </c>
    </row>
    <row r="1187" spans="1:15" x14ac:dyDescent="0.3">
      <c r="A1187" s="1">
        <v>1723</v>
      </c>
      <c r="B1187" s="1">
        <v>1</v>
      </c>
      <c r="C1187" s="1" t="s">
        <v>2688</v>
      </c>
      <c r="D1187" s="1" t="s">
        <v>2689</v>
      </c>
      <c r="E1187" s="5">
        <v>28142</v>
      </c>
      <c r="F1187" s="1" t="s">
        <v>17</v>
      </c>
      <c r="G1187" s="1" t="s">
        <v>15</v>
      </c>
      <c r="H1187" s="1" t="s">
        <v>16</v>
      </c>
      <c r="I1187" s="6" t="str">
        <f>IF(B1187=0,VLOOKUP(A1187,Feuil2!$A$2:$M$1241,7,FALSE)," ")</f>
        <v xml:space="preserve"> </v>
      </c>
      <c r="J1187" s="1" t="str">
        <f>IF(B1187=0,VLOOKUP(A1187,Feuil2!$A$2:$M$1241,9,FALSE)," ")</f>
        <v xml:space="preserve"> </v>
      </c>
      <c r="K1187" s="1" t="str">
        <f>IF(B1187=0,VLOOKUP(A1187,Feuil2!$A$2:$M$1241,10,FALSE)," ")</f>
        <v xml:space="preserve"> </v>
      </c>
      <c r="L1187" s="1"/>
      <c r="M1187" s="1"/>
      <c r="N1187" s="1"/>
      <c r="O1187" s="8" t="str">
        <f>IF(B1187=0,VLOOKUP(A1187,Feuil2!$A$2:$M$1241,13,FALSE)," ")</f>
        <v xml:space="preserve"> </v>
      </c>
    </row>
    <row r="1188" spans="1:15" x14ac:dyDescent="0.3">
      <c r="A1188" s="1">
        <v>1723</v>
      </c>
      <c r="B1188" s="1">
        <v>2</v>
      </c>
      <c r="C1188" s="1" t="s">
        <v>29</v>
      </c>
      <c r="D1188" s="1" t="s">
        <v>2517</v>
      </c>
      <c r="E1188" s="5">
        <v>37396</v>
      </c>
      <c r="F1188" s="1" t="s">
        <v>17</v>
      </c>
      <c r="G1188" s="1" t="str">
        <f>IF(B1188=0,VLOOKUP(A1188,Feuil2!$A$2:$M$1241,11,FALSE)," ")</f>
        <v xml:space="preserve"> </v>
      </c>
      <c r="H1188" s="1" t="s">
        <v>16</v>
      </c>
      <c r="I1188" s="6" t="str">
        <f>IF(B1188=0,VLOOKUP(A1188,Feuil2!$A$2:$M$1241,7,FALSE)," ")</f>
        <v xml:space="preserve"> </v>
      </c>
      <c r="J1188" s="1" t="str">
        <f>IF(B1188=0,VLOOKUP(A1188,Feuil2!$A$2:$M$1241,9,FALSE)," ")</f>
        <v xml:space="preserve"> </v>
      </c>
      <c r="K1188" s="1" t="str">
        <f>IF(B1188=0,VLOOKUP(A1188,Feuil2!$A$2:$M$1241,10,FALSE)," ")</f>
        <v xml:space="preserve"> </v>
      </c>
      <c r="L1188" s="1"/>
      <c r="M1188" s="1"/>
      <c r="N1188" s="1"/>
      <c r="O1188" s="8" t="str">
        <f>IF(B1188=0,VLOOKUP(A1188,Feuil2!$A$2:$M$1241,13,FALSE)," ")</f>
        <v xml:space="preserve"> </v>
      </c>
    </row>
    <row r="1189" spans="1:15" x14ac:dyDescent="0.3">
      <c r="A1189" s="1">
        <v>1723</v>
      </c>
      <c r="B1189" s="1">
        <v>3</v>
      </c>
      <c r="C1189" s="1" t="s">
        <v>29</v>
      </c>
      <c r="D1189" s="1" t="s">
        <v>2613</v>
      </c>
      <c r="E1189" s="5">
        <v>38325</v>
      </c>
      <c r="F1189" s="1" t="s">
        <v>17</v>
      </c>
      <c r="G1189" s="1" t="str">
        <f>IF(B1189=0,VLOOKUP(A1189,Feuil2!$A$2:$M$1241,11,FALSE)," ")</f>
        <v xml:space="preserve"> </v>
      </c>
      <c r="H1189" s="1" t="s">
        <v>16</v>
      </c>
      <c r="I1189" s="6" t="str">
        <f>IF(B1189=0,VLOOKUP(A1189,Feuil2!$A$2:$M$1241,7,FALSE)," ")</f>
        <v xml:space="preserve"> </v>
      </c>
      <c r="J1189" s="1" t="str">
        <f>IF(B1189=0,VLOOKUP(A1189,Feuil2!$A$2:$M$1241,9,FALSE)," ")</f>
        <v xml:space="preserve"> </v>
      </c>
      <c r="K1189" s="1" t="str">
        <f>IF(B1189=0,VLOOKUP(A1189,Feuil2!$A$2:$M$1241,10,FALSE)," ")</f>
        <v xml:space="preserve"> </v>
      </c>
      <c r="L1189" s="1"/>
      <c r="M1189" s="1"/>
      <c r="N1189" s="1"/>
      <c r="O1189" s="8" t="str">
        <f>IF(B1189=0,VLOOKUP(A1189,Feuil2!$A$2:$M$1241,13,FALSE)," ")</f>
        <v xml:space="preserve"> </v>
      </c>
    </row>
    <row r="1190" spans="1:15" x14ac:dyDescent="0.3">
      <c r="A1190" s="1">
        <v>1723</v>
      </c>
      <c r="B1190" s="1">
        <v>4</v>
      </c>
      <c r="C1190" s="1" t="s">
        <v>29</v>
      </c>
      <c r="D1190" s="1" t="s">
        <v>2690</v>
      </c>
      <c r="E1190" s="5">
        <v>39939</v>
      </c>
      <c r="F1190" s="1" t="s">
        <v>17</v>
      </c>
      <c r="G1190" s="1" t="str">
        <f>IF(B1190=0,VLOOKUP(A1190,Feuil2!$A$2:$M$1241,11,FALSE)," ")</f>
        <v xml:space="preserve"> </v>
      </c>
      <c r="H1190" s="1" t="s">
        <v>16</v>
      </c>
      <c r="I1190" s="6" t="str">
        <f>IF(B1190=0,VLOOKUP(A1190,Feuil2!$A$2:$M$1241,7,FALSE)," ")</f>
        <v xml:space="preserve"> </v>
      </c>
      <c r="J1190" s="1" t="str">
        <f>IF(B1190=0,VLOOKUP(A1190,Feuil2!$A$2:$M$1241,9,FALSE)," ")</f>
        <v xml:space="preserve"> </v>
      </c>
      <c r="K1190" s="1" t="str">
        <f>IF(B1190=0,VLOOKUP(A1190,Feuil2!$A$2:$M$1241,10,FALSE)," ")</f>
        <v xml:space="preserve"> </v>
      </c>
      <c r="L1190" s="1"/>
      <c r="M1190" s="1"/>
      <c r="N1190" s="1"/>
      <c r="O1190" s="8" t="str">
        <f>IF(B1190=0,VLOOKUP(A1190,Feuil2!$A$2:$M$1241,13,FALSE)," ")</f>
        <v xml:space="preserve"> </v>
      </c>
    </row>
    <row r="1191" spans="1:15" x14ac:dyDescent="0.3">
      <c r="A1191" s="1">
        <v>1723</v>
      </c>
      <c r="B1191" s="1">
        <v>5</v>
      </c>
      <c r="C1191" s="1" t="s">
        <v>29</v>
      </c>
      <c r="D1191" s="1" t="s">
        <v>2667</v>
      </c>
      <c r="E1191" s="5">
        <v>41096</v>
      </c>
      <c r="F1191" s="1" t="s">
        <v>17</v>
      </c>
      <c r="G1191" s="1" t="str">
        <f>IF(B1191=0,VLOOKUP(A1191,Feuil2!$A$2:$M$1241,11,FALSE)," ")</f>
        <v xml:space="preserve"> </v>
      </c>
      <c r="H1191" s="1" t="s">
        <v>16</v>
      </c>
      <c r="I1191" s="6" t="str">
        <f>IF(B1191=0,VLOOKUP(A1191,Feuil2!$A$2:$M$1241,7,FALSE)," ")</f>
        <v xml:space="preserve"> </v>
      </c>
      <c r="J1191" s="1" t="str">
        <f>IF(B1191=0,VLOOKUP(A1191,Feuil2!$A$2:$M$1241,9,FALSE)," ")</f>
        <v xml:space="preserve"> </v>
      </c>
      <c r="K1191" s="1" t="str">
        <f>IF(B1191=0,VLOOKUP(A1191,Feuil2!$A$2:$M$1241,10,FALSE)," ")</f>
        <v xml:space="preserve"> </v>
      </c>
      <c r="L1191" s="1"/>
      <c r="M1191" s="1"/>
      <c r="N1191" s="1"/>
      <c r="O1191" s="8" t="str">
        <f>IF(B1191=0,VLOOKUP(A1191,Feuil2!$A$2:$M$1241,13,FALSE)," ")</f>
        <v xml:space="preserve"> </v>
      </c>
    </row>
    <row r="1192" spans="1:15" x14ac:dyDescent="0.3">
      <c r="A1192" s="1">
        <v>1726</v>
      </c>
      <c r="B1192" s="1">
        <v>0</v>
      </c>
      <c r="C1192" s="1" t="str">
        <f>IF(B1192=0,VLOOKUP(A1192,Feuil2!$A$2:$M$1241,2,FALSE)," ")</f>
        <v>BEN FREDJ</v>
      </c>
      <c r="D1192" s="1" t="str">
        <f>IF(B1192=0,VLOOKUP(A1192,Feuil2!$A$2:$M$1241,3,FALSE)," ")</f>
        <v>NOUREDDINE</v>
      </c>
      <c r="E1192" s="5">
        <f>IF(B1192=0,VLOOKUP(A1192,Feuil2!$A$2:$M$1241,6,FALSE)," ")</f>
        <v>24191</v>
      </c>
      <c r="F1192" s="1" t="str">
        <f>IF(B1192=0,VLOOKUP(A1192,Feuil2!$A$2:$M$1241,12,FALSE)," ")</f>
        <v>H</v>
      </c>
      <c r="G1192" s="1" t="str">
        <f>IF(B1192=0,VLOOKUP(A1192,Feuil2!$A$2:$M$1241,11,FALSE)," ")</f>
        <v>M</v>
      </c>
      <c r="H1192" s="1" t="s">
        <v>16</v>
      </c>
      <c r="I1192" s="6">
        <f>IF(B1192=0,VLOOKUP(A1192,Feuil2!$A$2:$M$1241,7,FALSE)," ")</f>
        <v>2992794</v>
      </c>
      <c r="J1192" s="1" t="str">
        <f>IF(B1192=0,VLOOKUP(A1192,Feuil2!$A$2:$M$1241,9,FALSE)," ")</f>
        <v>Rue Ibn Charaf</v>
      </c>
      <c r="K1192" s="1" t="str">
        <f>IF(B1192=0,VLOOKUP(A1192,Feuil2!$A$2:$M$1241,10,FALSE)," ")</f>
        <v>Sousse</v>
      </c>
      <c r="L1192" s="1"/>
      <c r="M1192" s="1">
        <v>99256502</v>
      </c>
      <c r="N1192" s="1"/>
      <c r="O1192" s="8" t="str">
        <f>IF(B1192=0,VLOOKUP(A1192,Feuil2!$A$2:$M$1241,13,FALSE)," ")</f>
        <v>03508056010100347587</v>
      </c>
    </row>
    <row r="1193" spans="1:15" x14ac:dyDescent="0.3">
      <c r="A1193" s="1">
        <v>1726</v>
      </c>
      <c r="B1193" s="1">
        <v>1</v>
      </c>
      <c r="C1193" s="1" t="str">
        <f>IF(B1193=0,VLOOKUP(A1193,Feuil2!$A$2:$M$1241,2,FALSE)," ")</f>
        <v xml:space="preserve"> </v>
      </c>
      <c r="D1193" s="1" t="s">
        <v>2309</v>
      </c>
      <c r="E1193" s="5">
        <v>25935</v>
      </c>
      <c r="F1193" s="1" t="s">
        <v>17</v>
      </c>
      <c r="G1193" s="1" t="s">
        <v>15</v>
      </c>
      <c r="H1193" s="1" t="s">
        <v>16</v>
      </c>
      <c r="I1193" s="6" t="str">
        <f>IF(B1193=0,VLOOKUP(A1193,Feuil2!$A$2:$M$1241,7,FALSE)," ")</f>
        <v xml:space="preserve"> </v>
      </c>
      <c r="J1193" s="1" t="str">
        <f>IF(B1193=0,VLOOKUP(A1193,Feuil2!$A$2:$M$1241,9,FALSE)," ")</f>
        <v xml:space="preserve"> </v>
      </c>
      <c r="K1193" s="1" t="str">
        <f>IF(B1193=0,VLOOKUP(A1193,Feuil2!$A$2:$M$1241,10,FALSE)," ")</f>
        <v xml:space="preserve"> </v>
      </c>
      <c r="L1193" s="1"/>
      <c r="M1193" s="1"/>
      <c r="N1193" s="1"/>
      <c r="O1193" s="8" t="str">
        <f>IF(B1193=0,VLOOKUP(A1193,Feuil2!$A$2:$M$1241,13,FALSE)," ")</f>
        <v xml:space="preserve"> </v>
      </c>
    </row>
    <row r="1194" spans="1:15" x14ac:dyDescent="0.3">
      <c r="A1194" s="1">
        <v>1726</v>
      </c>
      <c r="B1194" s="1">
        <v>2</v>
      </c>
      <c r="C1194" s="1" t="s">
        <v>1215</v>
      </c>
      <c r="D1194" s="1" t="s">
        <v>2685</v>
      </c>
      <c r="E1194" s="5">
        <v>35959</v>
      </c>
      <c r="F1194" s="1" t="s">
        <v>17</v>
      </c>
      <c r="G1194" s="1" t="str">
        <f>IF(B1194=0,VLOOKUP(A1194,Feuil2!$A$2:$M$1241,11,FALSE)," ")</f>
        <v xml:space="preserve"> </v>
      </c>
      <c r="H1194" s="1" t="s">
        <v>16</v>
      </c>
      <c r="I1194" s="6" t="str">
        <f>IF(B1194=0,VLOOKUP(A1194,Feuil2!$A$2:$M$1241,7,FALSE)," ")</f>
        <v xml:space="preserve"> </v>
      </c>
      <c r="J1194" s="1" t="str">
        <f>IF(B1194=0,VLOOKUP(A1194,Feuil2!$A$2:$M$1241,9,FALSE)," ")</f>
        <v xml:space="preserve"> </v>
      </c>
      <c r="K1194" s="1" t="str">
        <f>IF(B1194=0,VLOOKUP(A1194,Feuil2!$A$2:$M$1241,10,FALSE)," ")</f>
        <v xml:space="preserve"> </v>
      </c>
      <c r="L1194" s="1"/>
      <c r="M1194" s="1"/>
      <c r="N1194" s="1"/>
      <c r="O1194" s="8" t="str">
        <f>IF(B1194=0,VLOOKUP(A1194,Feuil2!$A$2:$M$1241,13,FALSE)," ")</f>
        <v xml:space="preserve"> </v>
      </c>
    </row>
    <row r="1195" spans="1:15" x14ac:dyDescent="0.3">
      <c r="A1195" s="1">
        <v>1726</v>
      </c>
      <c r="B1195" s="1">
        <v>3</v>
      </c>
      <c r="C1195" s="1" t="s">
        <v>1215</v>
      </c>
      <c r="D1195" s="1" t="s">
        <v>2337</v>
      </c>
      <c r="E1195" s="5">
        <v>37093</v>
      </c>
      <c r="F1195" s="1" t="s">
        <v>17</v>
      </c>
      <c r="G1195" s="1" t="str">
        <f>IF(B1195=0,VLOOKUP(A1195,Feuil2!$A$2:$M$1241,11,FALSE)," ")</f>
        <v xml:space="preserve"> </v>
      </c>
      <c r="H1195" s="1" t="s">
        <v>16</v>
      </c>
      <c r="I1195" s="6" t="str">
        <f>IF(B1195=0,VLOOKUP(A1195,Feuil2!$A$2:$M$1241,7,FALSE)," ")</f>
        <v xml:space="preserve"> </v>
      </c>
      <c r="J1195" s="1" t="str">
        <f>IF(B1195=0,VLOOKUP(A1195,Feuil2!$A$2:$M$1241,9,FALSE)," ")</f>
        <v xml:space="preserve"> </v>
      </c>
      <c r="K1195" s="1" t="str">
        <f>IF(B1195=0,VLOOKUP(A1195,Feuil2!$A$2:$M$1241,10,FALSE)," ")</f>
        <v xml:space="preserve"> </v>
      </c>
      <c r="L1195" s="1"/>
      <c r="M1195" s="1"/>
      <c r="N1195" s="1"/>
      <c r="O1195" s="8" t="str">
        <f>IF(B1195=0,VLOOKUP(A1195,Feuil2!$A$2:$M$1241,13,FALSE)," ")</f>
        <v xml:space="preserve"> </v>
      </c>
    </row>
    <row r="1196" spans="1:15" x14ac:dyDescent="0.3">
      <c r="A1196" s="1">
        <v>1726</v>
      </c>
      <c r="B1196" s="1">
        <v>4</v>
      </c>
      <c r="C1196" s="1" t="s">
        <v>1215</v>
      </c>
      <c r="D1196" s="1" t="s">
        <v>2691</v>
      </c>
      <c r="E1196" s="5">
        <v>37718</v>
      </c>
      <c r="F1196" s="1" t="s">
        <v>506</v>
      </c>
      <c r="G1196" s="1" t="str">
        <f>IF(B1196=0,VLOOKUP(A1196,Feuil2!$A$2:$M$1241,11,FALSE)," ")</f>
        <v xml:space="preserve"> </v>
      </c>
      <c r="H1196" s="1" t="s">
        <v>16</v>
      </c>
      <c r="I1196" s="6" t="str">
        <f>IF(B1196=0,VLOOKUP(A1196,Feuil2!$A$2:$M$1241,7,FALSE)," ")</f>
        <v xml:space="preserve"> </v>
      </c>
      <c r="J1196" s="1" t="str">
        <f>IF(B1196=0,VLOOKUP(A1196,Feuil2!$A$2:$M$1241,9,FALSE)," ")</f>
        <v xml:space="preserve"> </v>
      </c>
      <c r="K1196" s="1" t="str">
        <f>IF(B1196=0,VLOOKUP(A1196,Feuil2!$A$2:$M$1241,10,FALSE)," ")</f>
        <v xml:space="preserve"> </v>
      </c>
      <c r="L1196" s="1"/>
      <c r="M1196" s="1"/>
      <c r="N1196" s="1"/>
      <c r="O1196" s="8" t="str">
        <f>IF(B1196=0,VLOOKUP(A1196,Feuil2!$A$2:$M$1241,13,FALSE)," ")</f>
        <v xml:space="preserve"> </v>
      </c>
    </row>
    <row r="1197" spans="1:15" x14ac:dyDescent="0.3">
      <c r="A1197" s="1">
        <v>1726</v>
      </c>
      <c r="B1197" s="1">
        <v>5</v>
      </c>
      <c r="C1197" s="1" t="s">
        <v>1215</v>
      </c>
      <c r="D1197" s="1" t="s">
        <v>1782</v>
      </c>
      <c r="E1197" s="5">
        <v>38554</v>
      </c>
      <c r="F1197" s="1" t="s">
        <v>506</v>
      </c>
      <c r="G1197" s="1" t="str">
        <f>IF(B1197=0,VLOOKUP(A1197,Feuil2!$A$2:$M$1241,11,FALSE)," ")</f>
        <v xml:space="preserve"> </v>
      </c>
      <c r="H1197" s="1" t="s">
        <v>16</v>
      </c>
      <c r="I1197" s="6" t="str">
        <f>IF(B1197=0,VLOOKUP(A1197,Feuil2!$A$2:$M$1241,7,FALSE)," ")</f>
        <v xml:space="preserve"> </v>
      </c>
      <c r="J1197" s="1" t="str">
        <f>IF(B1197=0,VLOOKUP(A1197,Feuil2!$A$2:$M$1241,9,FALSE)," ")</f>
        <v xml:space="preserve"> </v>
      </c>
      <c r="K1197" s="1" t="str">
        <f>IF(B1197=0,VLOOKUP(A1197,Feuil2!$A$2:$M$1241,10,FALSE)," ")</f>
        <v xml:space="preserve"> </v>
      </c>
      <c r="L1197" s="1"/>
      <c r="M1197" s="1"/>
      <c r="N1197" s="1"/>
      <c r="O1197" s="8" t="str">
        <f>IF(B1197=0,VLOOKUP(A1197,Feuil2!$A$2:$M$1241,13,FALSE)," ")</f>
        <v xml:space="preserve"> </v>
      </c>
    </row>
    <row r="1198" spans="1:15" x14ac:dyDescent="0.3">
      <c r="A1198" s="1">
        <v>1728</v>
      </c>
      <c r="B1198" s="1">
        <v>0</v>
      </c>
      <c r="C1198" s="1" t="str">
        <f>IF(B1198=0,VLOOKUP(A1198,Feuil2!$A$2:$M$1241,2,FALSE)," ")</f>
        <v>SLAMA</v>
      </c>
      <c r="D1198" s="1" t="str">
        <f>IF(B1198=0,VLOOKUP(A1198,Feuil2!$A$2:$M$1241,3,FALSE)," ")</f>
        <v>DHAFER</v>
      </c>
      <c r="E1198" s="5">
        <f>IF(B1198=0,VLOOKUP(A1198,Feuil2!$A$2:$M$1241,6,FALSE)," ")</f>
        <v>29412</v>
      </c>
      <c r="F1198" s="1" t="str">
        <f>IF(B1198=0,VLOOKUP(A1198,Feuil2!$A$2:$M$1241,12,FALSE)," ")</f>
        <v>H</v>
      </c>
      <c r="G1198" s="1" t="str">
        <f>IF(B1198=0,VLOOKUP(A1198,Feuil2!$A$2:$M$1241,11,FALSE)," ")</f>
        <v>M</v>
      </c>
      <c r="H1198" s="1" t="s">
        <v>16</v>
      </c>
      <c r="I1198" s="6">
        <f>IF(B1198=0,VLOOKUP(A1198,Feuil2!$A$2:$M$1241,7,FALSE)," ")</f>
        <v>8438436</v>
      </c>
      <c r="J1198" s="1" t="str">
        <f>IF(B1198=0,VLOOKUP(A1198,Feuil2!$A$2:$M$1241,9,FALSE)," ")</f>
        <v>AV Habib bourguiba</v>
      </c>
      <c r="K1198" s="1" t="str">
        <f>IF(B1198=0,VLOOKUP(A1198,Feuil2!$A$2:$M$1241,10,FALSE)," ")</f>
        <v>Zaouit Sousse</v>
      </c>
      <c r="L1198" s="1"/>
      <c r="M1198" s="1">
        <v>55101595</v>
      </c>
      <c r="N1198" s="1"/>
      <c r="O1198" s="8" t="str">
        <f>IF(B1198=0,VLOOKUP(A1198,Feuil2!$A$2:$M$1241,13,FALSE)," ")</f>
        <v>20009090001147342392</v>
      </c>
    </row>
    <row r="1199" spans="1:15" x14ac:dyDescent="0.3">
      <c r="A1199" s="1">
        <v>1728</v>
      </c>
      <c r="B1199" s="1">
        <v>1</v>
      </c>
      <c r="C1199" s="1" t="s">
        <v>2617</v>
      </c>
      <c r="D1199" s="1" t="s">
        <v>2331</v>
      </c>
      <c r="E1199" s="5">
        <v>30228</v>
      </c>
      <c r="F1199" s="1" t="s">
        <v>17</v>
      </c>
      <c r="G1199" s="1" t="s">
        <v>15</v>
      </c>
      <c r="H1199" s="1" t="s">
        <v>16</v>
      </c>
      <c r="I1199" s="6" t="str">
        <f>IF(B1199=0,VLOOKUP(A1199,Feuil2!$A$2:$M$1241,7,FALSE)," ")</f>
        <v xml:space="preserve"> </v>
      </c>
      <c r="J1199" s="1" t="str">
        <f>IF(B1199=0,VLOOKUP(A1199,Feuil2!$A$2:$M$1241,9,FALSE)," ")</f>
        <v xml:space="preserve"> </v>
      </c>
      <c r="K1199" s="1" t="str">
        <f>IF(B1199=0,VLOOKUP(A1199,Feuil2!$A$2:$M$1241,10,FALSE)," ")</f>
        <v xml:space="preserve"> </v>
      </c>
      <c r="L1199" s="1"/>
      <c r="M1199" s="1"/>
      <c r="N1199" s="1"/>
      <c r="O1199" s="8" t="str">
        <f>IF(B1199=0,VLOOKUP(A1199,Feuil2!$A$2:$M$1241,13,FALSE)," ")</f>
        <v xml:space="preserve"> </v>
      </c>
    </row>
    <row r="1200" spans="1:15" x14ac:dyDescent="0.3">
      <c r="A1200" s="1">
        <v>1728</v>
      </c>
      <c r="B1200" s="1">
        <v>2</v>
      </c>
      <c r="C1200" s="1" t="s">
        <v>111</v>
      </c>
      <c r="D1200" s="1" t="s">
        <v>2475</v>
      </c>
      <c r="E1200" s="5">
        <v>41213</v>
      </c>
      <c r="F1200" s="1" t="s">
        <v>506</v>
      </c>
      <c r="G1200" s="1" t="str">
        <f>IF(B1200=0,VLOOKUP(A1200,Feuil2!$A$2:$M$1241,11,FALSE)," ")</f>
        <v xml:space="preserve"> </v>
      </c>
      <c r="H1200" s="1" t="s">
        <v>16</v>
      </c>
      <c r="I1200" s="6" t="str">
        <f>IF(B1200=0,VLOOKUP(A1200,Feuil2!$A$2:$M$1241,7,FALSE)," ")</f>
        <v xml:space="preserve"> </v>
      </c>
      <c r="J1200" s="1" t="str">
        <f>IF(B1200=0,VLOOKUP(A1200,Feuil2!$A$2:$M$1241,9,FALSE)," ")</f>
        <v xml:space="preserve"> </v>
      </c>
      <c r="K1200" s="1" t="str">
        <f>IF(B1200=0,VLOOKUP(A1200,Feuil2!$A$2:$M$1241,10,FALSE)," ")</f>
        <v xml:space="preserve"> </v>
      </c>
      <c r="L1200" s="1"/>
      <c r="M1200" s="1"/>
      <c r="N1200" s="1"/>
      <c r="O1200" s="8" t="str">
        <f>IF(B1200=0,VLOOKUP(A1200,Feuil2!$A$2:$M$1241,13,FALSE)," ")</f>
        <v xml:space="preserve"> </v>
      </c>
    </row>
    <row r="1201" spans="1:15" x14ac:dyDescent="0.3">
      <c r="A1201" s="1">
        <v>1728</v>
      </c>
      <c r="B1201" s="1">
        <v>3</v>
      </c>
      <c r="C1201" s="1" t="s">
        <v>111</v>
      </c>
      <c r="D1201" s="1" t="s">
        <v>2345</v>
      </c>
      <c r="E1201" s="5">
        <v>41678</v>
      </c>
      <c r="F1201" s="1" t="s">
        <v>17</v>
      </c>
      <c r="G1201" s="1" t="str">
        <f>IF(B1201=0,VLOOKUP(A1201,Feuil2!$A$2:$M$1241,11,FALSE)," ")</f>
        <v xml:space="preserve"> </v>
      </c>
      <c r="H1201" s="1" t="s">
        <v>16</v>
      </c>
      <c r="I1201" s="6" t="str">
        <f>IF(B1201=0,VLOOKUP(A1201,Feuil2!$A$2:$M$1241,7,FALSE)," ")</f>
        <v xml:space="preserve"> </v>
      </c>
      <c r="J1201" s="1" t="str">
        <f>IF(B1201=0,VLOOKUP(A1201,Feuil2!$A$2:$M$1241,9,FALSE)," ")</f>
        <v xml:space="preserve"> </v>
      </c>
      <c r="K1201" s="1" t="str">
        <f>IF(B1201=0,VLOOKUP(A1201,Feuil2!$A$2:$M$1241,10,FALSE)," ")</f>
        <v xml:space="preserve"> </v>
      </c>
      <c r="L1201" s="1"/>
      <c r="M1201" s="1"/>
      <c r="N1201" s="1"/>
      <c r="O1201" s="8" t="str">
        <f>IF(B1201=0,VLOOKUP(A1201,Feuil2!$A$2:$M$1241,13,FALSE)," ")</f>
        <v xml:space="preserve"> </v>
      </c>
    </row>
    <row r="1202" spans="1:15" x14ac:dyDescent="0.3">
      <c r="A1202" s="1">
        <v>1730</v>
      </c>
      <c r="B1202" s="1">
        <v>0</v>
      </c>
      <c r="C1202" s="1" t="str">
        <f>IF(B1202=0,VLOOKUP(A1202,Feuil2!$A$2:$M$1241,2,FALSE)," ")</f>
        <v>BEN SALMA</v>
      </c>
      <c r="D1202" s="1" t="str">
        <f>IF(B1202=0,VLOOKUP(A1202,Feuil2!$A$2:$M$1241,3,FALSE)," ")</f>
        <v>ANIS</v>
      </c>
      <c r="E1202" s="5">
        <f>IF(B1202=0,VLOOKUP(A1202,Feuil2!$A$2:$M$1241,6,FALSE)," ")</f>
        <v>28858</v>
      </c>
      <c r="F1202" s="1" t="str">
        <f>IF(B1202=0,VLOOKUP(A1202,Feuil2!$A$2:$M$1241,12,FALSE)," ")</f>
        <v>H</v>
      </c>
      <c r="G1202" s="1" t="str">
        <f>IF(B1202=0,VLOOKUP(A1202,Feuil2!$A$2:$M$1241,11,FALSE)," ")</f>
        <v>M</v>
      </c>
      <c r="H1202" s="1" t="s">
        <v>16</v>
      </c>
      <c r="I1202" s="6">
        <f>IF(B1202=0,VLOOKUP(A1202,Feuil2!$A$2:$M$1241,7,FALSE)," ")</f>
        <v>5581385</v>
      </c>
      <c r="J1202" s="1" t="str">
        <f>IF(B1202=0,VLOOKUP(A1202,Feuil2!$A$2:$M$1241,9,FALSE)," ")</f>
        <v>4014 Knaies</v>
      </c>
      <c r="K1202" s="1" t="str">
        <f>IF(B1202=0,VLOOKUP(A1202,Feuil2!$A$2:$M$1241,10,FALSE)," ")</f>
        <v>Knaies 4014</v>
      </c>
      <c r="L1202" s="1">
        <v>4014</v>
      </c>
      <c r="M1202" s="1">
        <v>26162382</v>
      </c>
      <c r="N1202" s="1"/>
      <c r="O1202" s="8" t="str">
        <f>IF(B1202=0,VLOOKUP(A1202,Feuil2!$A$2:$M$1241,13,FALSE)," ")</f>
        <v>20009092220001199108</v>
      </c>
    </row>
    <row r="1203" spans="1:15" x14ac:dyDescent="0.3">
      <c r="A1203" s="1">
        <v>1730</v>
      </c>
      <c r="B1203" s="1">
        <v>1</v>
      </c>
      <c r="C1203" s="1" t="s">
        <v>1215</v>
      </c>
      <c r="D1203" s="1" t="s">
        <v>2692</v>
      </c>
      <c r="E1203" s="5">
        <v>30849</v>
      </c>
      <c r="F1203" s="1" t="s">
        <v>17</v>
      </c>
      <c r="G1203" s="1" t="s">
        <v>15</v>
      </c>
      <c r="H1203" s="1" t="s">
        <v>16</v>
      </c>
      <c r="I1203" s="6" t="str">
        <f>IF(B1203=0,VLOOKUP(A1203,Feuil2!$A$2:$M$1241,7,FALSE)," ")</f>
        <v xml:space="preserve"> </v>
      </c>
      <c r="J1203" s="1" t="str">
        <f>IF(B1203=0,VLOOKUP(A1203,Feuil2!$A$2:$M$1241,9,FALSE)," ")</f>
        <v xml:space="preserve"> </v>
      </c>
      <c r="K1203" s="1" t="str">
        <f>IF(B1203=0,VLOOKUP(A1203,Feuil2!$A$2:$M$1241,10,FALSE)," ")</f>
        <v xml:space="preserve"> </v>
      </c>
      <c r="L1203" s="1"/>
      <c r="M1203" s="1"/>
      <c r="N1203" s="1"/>
      <c r="O1203" s="8" t="str">
        <f>IF(B1203=0,VLOOKUP(A1203,Feuil2!$A$2:$M$1241,13,FALSE)," ")</f>
        <v xml:space="preserve"> </v>
      </c>
    </row>
    <row r="1204" spans="1:15" x14ac:dyDescent="0.3">
      <c r="A1204" s="1">
        <v>1730</v>
      </c>
      <c r="B1204" s="1">
        <v>2</v>
      </c>
      <c r="C1204" s="1" t="s">
        <v>1633</v>
      </c>
      <c r="D1204" s="1" t="s">
        <v>2585</v>
      </c>
      <c r="E1204" s="5">
        <v>39852</v>
      </c>
      <c r="F1204" s="1" t="s">
        <v>17</v>
      </c>
      <c r="G1204" s="1" t="str">
        <f>IF(B1204=0,VLOOKUP(A1204,Feuil2!$A$2:$M$1241,11,FALSE)," ")</f>
        <v xml:space="preserve"> </v>
      </c>
      <c r="H1204" s="1" t="s">
        <v>16</v>
      </c>
      <c r="I1204" s="6" t="str">
        <f>IF(B1204=0,VLOOKUP(A1204,Feuil2!$A$2:$M$1241,7,FALSE)," ")</f>
        <v xml:space="preserve"> </v>
      </c>
      <c r="J1204" s="1" t="str">
        <f>IF(B1204=0,VLOOKUP(A1204,Feuil2!$A$2:$M$1241,9,FALSE)," ")</f>
        <v xml:space="preserve"> </v>
      </c>
      <c r="K1204" s="1" t="str">
        <f>IF(B1204=0,VLOOKUP(A1204,Feuil2!$A$2:$M$1241,10,FALSE)," ")</f>
        <v xml:space="preserve"> </v>
      </c>
      <c r="L1204" s="1"/>
      <c r="M1204" s="1"/>
      <c r="N1204" s="1"/>
      <c r="O1204" s="8" t="str">
        <f>IF(B1204=0,VLOOKUP(A1204,Feuil2!$A$2:$M$1241,13,FALSE)," ")</f>
        <v xml:space="preserve"> </v>
      </c>
    </row>
    <row r="1205" spans="1:15" x14ac:dyDescent="0.3">
      <c r="A1205" s="1">
        <v>1730</v>
      </c>
      <c r="B1205" s="1">
        <v>3</v>
      </c>
      <c r="C1205" s="1" t="s">
        <v>1633</v>
      </c>
      <c r="D1205" s="1" t="s">
        <v>149</v>
      </c>
      <c r="E1205" s="5">
        <v>40650</v>
      </c>
      <c r="F1205" s="1" t="s">
        <v>506</v>
      </c>
      <c r="G1205" s="1" t="str">
        <f>IF(B1205=0,VLOOKUP(A1205,Feuil2!$A$2:$M$1241,11,FALSE)," ")</f>
        <v xml:space="preserve"> </v>
      </c>
      <c r="H1205" s="1" t="s">
        <v>16</v>
      </c>
      <c r="I1205" s="6" t="str">
        <f>IF(B1205=0,VLOOKUP(A1205,Feuil2!$A$2:$M$1241,7,FALSE)," ")</f>
        <v xml:space="preserve"> </v>
      </c>
      <c r="J1205" s="1" t="str">
        <f>IF(B1205=0,VLOOKUP(A1205,Feuil2!$A$2:$M$1241,9,FALSE)," ")</f>
        <v xml:space="preserve"> </v>
      </c>
      <c r="K1205" s="1" t="str">
        <f>IF(B1205=0,VLOOKUP(A1205,Feuil2!$A$2:$M$1241,10,FALSE)," ")</f>
        <v xml:space="preserve"> </v>
      </c>
      <c r="L1205" s="1"/>
      <c r="M1205" s="1"/>
      <c r="N1205" s="1"/>
      <c r="O1205" s="8" t="str">
        <f>IF(B1205=0,VLOOKUP(A1205,Feuil2!$A$2:$M$1241,13,FALSE)," ")</f>
        <v xml:space="preserve"> </v>
      </c>
    </row>
    <row r="1206" spans="1:15" x14ac:dyDescent="0.3">
      <c r="A1206" s="1">
        <v>1730</v>
      </c>
      <c r="B1206" s="1">
        <v>4</v>
      </c>
      <c r="C1206" s="1" t="s">
        <v>1633</v>
      </c>
      <c r="D1206" s="1" t="s">
        <v>2501</v>
      </c>
      <c r="E1206" s="5">
        <v>41768</v>
      </c>
      <c r="F1206" s="1" t="s">
        <v>17</v>
      </c>
      <c r="G1206" s="1" t="str">
        <f>IF(B1206=0,VLOOKUP(A1206,Feuil2!$A$2:$M$1241,11,FALSE)," ")</f>
        <v xml:space="preserve"> </v>
      </c>
      <c r="H1206" s="1" t="s">
        <v>16</v>
      </c>
      <c r="I1206" s="6" t="str">
        <f>IF(B1206=0,VLOOKUP(A1206,Feuil2!$A$2:$M$1241,7,FALSE)," ")</f>
        <v xml:space="preserve"> </v>
      </c>
      <c r="J1206" s="1" t="str">
        <f>IF(B1206=0,VLOOKUP(A1206,Feuil2!$A$2:$M$1241,9,FALSE)," ")</f>
        <v xml:space="preserve"> </v>
      </c>
      <c r="K1206" s="1" t="str">
        <f>IF(B1206=0,VLOOKUP(A1206,Feuil2!$A$2:$M$1241,10,FALSE)," ")</f>
        <v xml:space="preserve"> </v>
      </c>
      <c r="L1206" s="1"/>
      <c r="M1206" s="1"/>
      <c r="N1206" s="1"/>
      <c r="O1206" s="8" t="str">
        <f>IF(B1206=0,VLOOKUP(A1206,Feuil2!$A$2:$M$1241,13,FALSE)," ")</f>
        <v xml:space="preserve"> </v>
      </c>
    </row>
    <row r="1207" spans="1:15" x14ac:dyDescent="0.3">
      <c r="A1207" s="1">
        <v>1738</v>
      </c>
      <c r="B1207" s="1">
        <v>0</v>
      </c>
      <c r="C1207" s="1" t="str">
        <f>IF(B1207=0,VLOOKUP(A1207,Feuil2!$A$2:$M$1241,2,FALSE)," ")</f>
        <v>GAMHA</v>
      </c>
      <c r="D1207" s="1" t="str">
        <f>IF(B1207=0,VLOOKUP(A1207,Feuil2!$A$2:$M$1241,3,FALSE)," ")</f>
        <v>KHALED</v>
      </c>
      <c r="E1207" s="5">
        <f>IF(B1207=0,VLOOKUP(A1207,Feuil2!$A$2:$M$1241,6,FALSE)," ")</f>
        <v>26132</v>
      </c>
      <c r="F1207" s="1" t="str">
        <f>IF(B1207=0,VLOOKUP(A1207,Feuil2!$A$2:$M$1241,12,FALSE)," ")</f>
        <v>H</v>
      </c>
      <c r="G1207" s="1" t="str">
        <f>IF(B1207=0,VLOOKUP(A1207,Feuil2!$A$2:$M$1241,11,FALSE)," ")</f>
        <v>M</v>
      </c>
      <c r="H1207" s="1" t="s">
        <v>16</v>
      </c>
      <c r="I1207" s="6">
        <f>IF(B1207=0,VLOOKUP(A1207,Feuil2!$A$2:$M$1241,7,FALSE)," ")</f>
        <v>5508381</v>
      </c>
      <c r="J1207" s="1" t="str">
        <f>IF(B1207=0,VLOOKUP(A1207,Feuil2!$A$2:$M$1241,9,FALSE)," ")</f>
        <v>44 Rue Mongi Bali</v>
      </c>
      <c r="K1207" s="1" t="str">
        <f>IF(B1207=0,VLOOKUP(A1207,Feuil2!$A$2:$M$1241,10,FALSE)," ")</f>
        <v>Msaken 4070</v>
      </c>
      <c r="L1207" s="1">
        <v>4070</v>
      </c>
      <c r="M1207" s="1">
        <v>27994919</v>
      </c>
      <c r="N1207" s="1"/>
      <c r="O1207" s="8" t="str">
        <f>IF(B1207=0,VLOOKUP(A1207,Feuil2!$A$2:$M$1241,13,FALSE)," ")</f>
        <v>20009092220011205046</v>
      </c>
    </row>
    <row r="1208" spans="1:15" x14ac:dyDescent="0.3">
      <c r="A1208" s="1">
        <v>1738</v>
      </c>
      <c r="B1208" s="1">
        <v>1</v>
      </c>
      <c r="C1208" s="1" t="s">
        <v>283</v>
      </c>
      <c r="D1208" s="1" t="s">
        <v>1007</v>
      </c>
      <c r="E1208" s="5">
        <v>30564</v>
      </c>
      <c r="F1208" s="1" t="s">
        <v>17</v>
      </c>
      <c r="G1208" s="1" t="s">
        <v>15</v>
      </c>
      <c r="H1208" s="1" t="s">
        <v>16</v>
      </c>
      <c r="I1208" s="6" t="str">
        <f>IF(B1208=0,VLOOKUP(A1208,Feuil2!$A$2:$M$1241,7,FALSE)," ")</f>
        <v xml:space="preserve"> </v>
      </c>
      <c r="J1208" s="1" t="str">
        <f>IF(B1208=0,VLOOKUP(A1208,Feuil2!$A$2:$M$1241,9,FALSE)," ")</f>
        <v xml:space="preserve"> </v>
      </c>
      <c r="K1208" s="1" t="str">
        <f>IF(B1208=0,VLOOKUP(A1208,Feuil2!$A$2:$M$1241,10,FALSE)," ")</f>
        <v xml:space="preserve"> </v>
      </c>
      <c r="L1208" s="1"/>
      <c r="M1208" s="1"/>
      <c r="N1208" s="1"/>
      <c r="O1208" s="8" t="str">
        <f>IF(B1208=0,VLOOKUP(A1208,Feuil2!$A$2:$M$1241,13,FALSE)," ")</f>
        <v xml:space="preserve"> </v>
      </c>
    </row>
    <row r="1209" spans="1:15" x14ac:dyDescent="0.3">
      <c r="A1209" s="1">
        <v>1738</v>
      </c>
      <c r="B1209" s="1">
        <v>2</v>
      </c>
      <c r="C1209" s="1" t="s">
        <v>168</v>
      </c>
      <c r="D1209" s="1" t="s">
        <v>402</v>
      </c>
      <c r="E1209" s="5">
        <v>38191</v>
      </c>
      <c r="F1209" s="1" t="s">
        <v>17</v>
      </c>
      <c r="G1209" s="1" t="str">
        <f>IF(B1209=0,VLOOKUP(A1209,Feuil2!$A$2:$M$1241,11,FALSE)," ")</f>
        <v xml:space="preserve"> </v>
      </c>
      <c r="H1209" s="1" t="s">
        <v>16</v>
      </c>
      <c r="I1209" s="6" t="str">
        <f>IF(B1209=0,VLOOKUP(A1209,Feuil2!$A$2:$M$1241,7,FALSE)," ")</f>
        <v xml:space="preserve"> </v>
      </c>
      <c r="J1209" s="1" t="str">
        <f>IF(B1209=0,VLOOKUP(A1209,Feuil2!$A$2:$M$1241,9,FALSE)," ")</f>
        <v xml:space="preserve"> </v>
      </c>
      <c r="K1209" s="1" t="str">
        <f>IF(B1209=0,VLOOKUP(A1209,Feuil2!$A$2:$M$1241,10,FALSE)," ")</f>
        <v xml:space="preserve"> </v>
      </c>
      <c r="L1209" s="1"/>
      <c r="M1209" s="1"/>
      <c r="N1209" s="1"/>
      <c r="O1209" s="8" t="str">
        <f>IF(B1209=0,VLOOKUP(A1209,Feuil2!$A$2:$M$1241,13,FALSE)," ")</f>
        <v xml:space="preserve"> </v>
      </c>
    </row>
    <row r="1210" spans="1:15" x14ac:dyDescent="0.3">
      <c r="A1210" s="1">
        <v>1738</v>
      </c>
      <c r="B1210" s="1">
        <v>3</v>
      </c>
      <c r="C1210" s="1" t="s">
        <v>168</v>
      </c>
      <c r="D1210" s="1" t="s">
        <v>230</v>
      </c>
      <c r="E1210" s="5">
        <v>38699</v>
      </c>
      <c r="F1210" s="1" t="s">
        <v>506</v>
      </c>
      <c r="G1210" s="1" t="str">
        <f>IF(B1210=0,VLOOKUP(A1210,Feuil2!$A$2:$M$1241,11,FALSE)," ")</f>
        <v xml:space="preserve"> </v>
      </c>
      <c r="H1210" s="1" t="s">
        <v>16</v>
      </c>
      <c r="I1210" s="6" t="str">
        <f>IF(B1210=0,VLOOKUP(A1210,Feuil2!$A$2:$M$1241,7,FALSE)," ")</f>
        <v xml:space="preserve"> </v>
      </c>
      <c r="J1210" s="1" t="str">
        <f>IF(B1210=0,VLOOKUP(A1210,Feuil2!$A$2:$M$1241,9,FALSE)," ")</f>
        <v xml:space="preserve"> </v>
      </c>
      <c r="K1210" s="1" t="str">
        <f>IF(B1210=0,VLOOKUP(A1210,Feuil2!$A$2:$M$1241,10,FALSE)," ")</f>
        <v xml:space="preserve"> </v>
      </c>
      <c r="L1210" s="1"/>
      <c r="M1210" s="1"/>
      <c r="N1210" s="1"/>
      <c r="O1210" s="8" t="str">
        <f>IF(B1210=0,VLOOKUP(A1210,Feuil2!$A$2:$M$1241,13,FALSE)," ")</f>
        <v xml:space="preserve"> </v>
      </c>
    </row>
    <row r="1211" spans="1:15" x14ac:dyDescent="0.3">
      <c r="A1211" s="1">
        <v>1738</v>
      </c>
      <c r="B1211" s="1">
        <v>4</v>
      </c>
      <c r="C1211" s="1" t="s">
        <v>168</v>
      </c>
      <c r="D1211" s="1" t="s">
        <v>2366</v>
      </c>
      <c r="E1211" s="5">
        <v>39834</v>
      </c>
      <c r="F1211" s="1" t="s">
        <v>506</v>
      </c>
      <c r="G1211" s="1" t="str">
        <f>IF(B1211=0,VLOOKUP(A1211,Feuil2!$A$2:$M$1241,11,FALSE)," ")</f>
        <v xml:space="preserve"> </v>
      </c>
      <c r="H1211" s="1" t="s">
        <v>16</v>
      </c>
      <c r="I1211" s="6" t="str">
        <f>IF(B1211=0,VLOOKUP(A1211,Feuil2!$A$2:$M$1241,7,FALSE)," ")</f>
        <v xml:space="preserve"> </v>
      </c>
      <c r="J1211" s="1" t="str">
        <f>IF(B1211=0,VLOOKUP(A1211,Feuil2!$A$2:$M$1241,9,FALSE)," ")</f>
        <v xml:space="preserve"> </v>
      </c>
      <c r="K1211" s="1" t="str">
        <f>IF(B1211=0,VLOOKUP(A1211,Feuil2!$A$2:$M$1241,10,FALSE)," ")</f>
        <v xml:space="preserve"> </v>
      </c>
      <c r="L1211" s="1"/>
      <c r="M1211" s="1"/>
      <c r="N1211" s="1"/>
      <c r="O1211" s="8" t="str">
        <f>IF(B1211=0,VLOOKUP(A1211,Feuil2!$A$2:$M$1241,13,FALSE)," ")</f>
        <v xml:space="preserve"> </v>
      </c>
    </row>
    <row r="1212" spans="1:15" x14ac:dyDescent="0.3">
      <c r="A1212" s="1">
        <v>1740</v>
      </c>
      <c r="B1212" s="1">
        <v>0</v>
      </c>
      <c r="C1212" s="1" t="str">
        <f>IF(B1212=0,VLOOKUP(A1212,Feuil2!$A$2:$M$1241,2,FALSE)," ")</f>
        <v>YOUSSEF</v>
      </c>
      <c r="D1212" s="1" t="str">
        <f>IF(B1212=0,VLOOKUP(A1212,Feuil2!$A$2:$M$1241,3,FALSE)," ")</f>
        <v>LOTFI</v>
      </c>
      <c r="E1212" s="5">
        <f>IF(B1212=0,VLOOKUP(A1212,Feuil2!$A$2:$M$1241,6,FALSE)," ")</f>
        <v>26312</v>
      </c>
      <c r="F1212" s="1" t="str">
        <f>IF(B1212=0,VLOOKUP(A1212,Feuil2!$A$2:$M$1241,12,FALSE)," ")</f>
        <v>H</v>
      </c>
      <c r="G1212" s="1" t="str">
        <f>IF(B1212=0,VLOOKUP(A1212,Feuil2!$A$2:$M$1241,11,FALSE)," ")</f>
        <v>M</v>
      </c>
      <c r="H1212" s="1" t="s">
        <v>16</v>
      </c>
      <c r="I1212" s="6">
        <f>IF(B1212=0,VLOOKUP(A1212,Feuil2!$A$2:$M$1241,7,FALSE)," ")</f>
        <v>5519578</v>
      </c>
      <c r="J1212" s="1" t="str">
        <f>IF(B1212=0,VLOOKUP(A1212,Feuil2!$A$2:$M$1241,9,FALSE)," ")</f>
        <v>30 Rue Sadok Chatti</v>
      </c>
      <c r="K1212" s="1" t="str">
        <f>IF(B1212=0,VLOOKUP(A1212,Feuil2!$A$2:$M$1241,10,FALSE)," ")</f>
        <v>Msaken 4070</v>
      </c>
      <c r="L1212" s="1">
        <v>4070</v>
      </c>
      <c r="M1212" s="1">
        <v>29101300</v>
      </c>
      <c r="N1212" s="1"/>
      <c r="O1212" s="8" t="str">
        <f>IF(B1212=0,VLOOKUP(A1212,Feuil2!$A$2:$M$1241,13,FALSE)," ")</f>
        <v>04204067404000973254</v>
      </c>
    </row>
    <row r="1213" spans="1:15" x14ac:dyDescent="0.3">
      <c r="A1213" s="1">
        <v>1740</v>
      </c>
      <c r="B1213" s="1">
        <v>1</v>
      </c>
      <c r="C1213" s="1" t="s">
        <v>2693</v>
      </c>
      <c r="D1213" s="1" t="s">
        <v>1787</v>
      </c>
      <c r="E1213" s="5">
        <v>26823</v>
      </c>
      <c r="F1213" s="1" t="s">
        <v>17</v>
      </c>
      <c r="G1213" s="1" t="s">
        <v>15</v>
      </c>
      <c r="H1213" s="1" t="s">
        <v>16</v>
      </c>
      <c r="I1213" s="6" t="str">
        <f>IF(B1213=0,VLOOKUP(A1213,Feuil2!$A$2:$M$1241,7,FALSE)," ")</f>
        <v xml:space="preserve"> </v>
      </c>
      <c r="J1213" s="1" t="str">
        <f>IF(B1213=0,VLOOKUP(A1213,Feuil2!$A$2:$M$1241,9,FALSE)," ")</f>
        <v xml:space="preserve"> </v>
      </c>
      <c r="K1213" s="1" t="str">
        <f>IF(B1213=0,VLOOKUP(A1213,Feuil2!$A$2:$M$1241,10,FALSE)," ")</f>
        <v xml:space="preserve"> </v>
      </c>
      <c r="L1213" s="1"/>
      <c r="M1213" s="1"/>
      <c r="N1213" s="1"/>
      <c r="O1213" s="8" t="str">
        <f>IF(B1213=0,VLOOKUP(A1213,Feuil2!$A$2:$M$1241,13,FALSE)," ")</f>
        <v xml:space="preserve"> </v>
      </c>
    </row>
    <row r="1214" spans="1:15" x14ac:dyDescent="0.3">
      <c r="A1214" s="1">
        <v>1740</v>
      </c>
      <c r="B1214" s="1">
        <v>2</v>
      </c>
      <c r="C1214" s="1" t="s">
        <v>61</v>
      </c>
      <c r="D1214" s="1" t="s">
        <v>346</v>
      </c>
      <c r="E1214" s="5">
        <v>36835</v>
      </c>
      <c r="F1214" s="1" t="s">
        <v>506</v>
      </c>
      <c r="G1214" s="1" t="str">
        <f>IF(B1214=0,VLOOKUP(A1214,Feuil2!$A$2:$M$1241,11,FALSE)," ")</f>
        <v xml:space="preserve"> </v>
      </c>
      <c r="H1214" s="1" t="s">
        <v>16</v>
      </c>
      <c r="I1214" s="6" t="str">
        <f>IF(B1214=0,VLOOKUP(A1214,Feuil2!$A$2:$M$1241,7,FALSE)," ")</f>
        <v xml:space="preserve"> </v>
      </c>
      <c r="J1214" s="1" t="str">
        <f>IF(B1214=0,VLOOKUP(A1214,Feuil2!$A$2:$M$1241,9,FALSE)," ")</f>
        <v xml:space="preserve"> </v>
      </c>
      <c r="K1214" s="1" t="str">
        <f>IF(B1214=0,VLOOKUP(A1214,Feuil2!$A$2:$M$1241,10,FALSE)," ")</f>
        <v xml:space="preserve"> </v>
      </c>
      <c r="L1214" s="1"/>
      <c r="M1214" s="1"/>
      <c r="N1214" s="1"/>
      <c r="O1214" s="8" t="str">
        <f>IF(B1214=0,VLOOKUP(A1214,Feuil2!$A$2:$M$1241,13,FALSE)," ")</f>
        <v xml:space="preserve"> </v>
      </c>
    </row>
    <row r="1215" spans="1:15" x14ac:dyDescent="0.3">
      <c r="A1215" s="1">
        <v>1740</v>
      </c>
      <c r="B1215" s="1">
        <v>3</v>
      </c>
      <c r="C1215" s="1" t="s">
        <v>61</v>
      </c>
      <c r="D1215" s="1" t="s">
        <v>120</v>
      </c>
      <c r="E1215" s="5">
        <v>37472</v>
      </c>
      <c r="F1215" s="1" t="s">
        <v>506</v>
      </c>
      <c r="G1215" s="1" t="str">
        <f>IF(B1215=0,VLOOKUP(A1215,Feuil2!$A$2:$M$1241,11,FALSE)," ")</f>
        <v xml:space="preserve"> </v>
      </c>
      <c r="H1215" s="1" t="s">
        <v>16</v>
      </c>
      <c r="I1215" s="6" t="str">
        <f>IF(B1215=0,VLOOKUP(A1215,Feuil2!$A$2:$M$1241,7,FALSE)," ")</f>
        <v xml:space="preserve"> </v>
      </c>
      <c r="J1215" s="1" t="str">
        <f>IF(B1215=0,VLOOKUP(A1215,Feuil2!$A$2:$M$1241,9,FALSE)," ")</f>
        <v xml:space="preserve"> </v>
      </c>
      <c r="K1215" s="1" t="str">
        <f>IF(B1215=0,VLOOKUP(A1215,Feuil2!$A$2:$M$1241,10,FALSE)," ")</f>
        <v xml:space="preserve"> </v>
      </c>
      <c r="L1215" s="1"/>
      <c r="M1215" s="1"/>
      <c r="N1215" s="1"/>
      <c r="O1215" s="8" t="str">
        <f>IF(B1215=0,VLOOKUP(A1215,Feuil2!$A$2:$M$1241,13,FALSE)," ")</f>
        <v xml:space="preserve"> </v>
      </c>
    </row>
    <row r="1216" spans="1:15" x14ac:dyDescent="0.3">
      <c r="A1216" s="1">
        <v>1740</v>
      </c>
      <c r="B1216" s="1">
        <v>4</v>
      </c>
      <c r="C1216" s="1" t="s">
        <v>61</v>
      </c>
      <c r="D1216" s="1" t="s">
        <v>2376</v>
      </c>
      <c r="E1216" s="5">
        <v>39300</v>
      </c>
      <c r="F1216" s="1" t="s">
        <v>506</v>
      </c>
      <c r="G1216" s="1" t="str">
        <f>IF(B1216=0,VLOOKUP(A1216,Feuil2!$A$2:$M$1241,11,FALSE)," ")</f>
        <v xml:space="preserve"> </v>
      </c>
      <c r="H1216" s="1" t="s">
        <v>16</v>
      </c>
      <c r="I1216" s="6" t="str">
        <f>IF(B1216=0,VLOOKUP(A1216,Feuil2!$A$2:$M$1241,7,FALSE)," ")</f>
        <v xml:space="preserve"> </v>
      </c>
      <c r="J1216" s="1" t="str">
        <f>IF(B1216=0,VLOOKUP(A1216,Feuil2!$A$2:$M$1241,9,FALSE)," ")</f>
        <v xml:space="preserve"> </v>
      </c>
      <c r="K1216" s="1" t="str">
        <f>IF(B1216=0,VLOOKUP(A1216,Feuil2!$A$2:$M$1241,10,FALSE)," ")</f>
        <v xml:space="preserve"> </v>
      </c>
      <c r="L1216" s="1"/>
      <c r="M1216" s="1"/>
      <c r="N1216" s="1"/>
      <c r="O1216" s="8" t="str">
        <f>IF(B1216=0,VLOOKUP(A1216,Feuil2!$A$2:$M$1241,13,FALSE)," ")</f>
        <v xml:space="preserve"> </v>
      </c>
    </row>
    <row r="1217" spans="1:16" x14ac:dyDescent="0.3">
      <c r="A1217" s="1">
        <v>1741</v>
      </c>
      <c r="B1217" s="1">
        <v>0</v>
      </c>
      <c r="C1217" s="1" t="str">
        <f>IF(B1217=0,VLOOKUP(A1217,Feuil2!$A$2:$M$1241,2,FALSE)," ")</f>
        <v>HACHICHA</v>
      </c>
      <c r="D1217" s="1" t="str">
        <f>IF(B1217=0,VLOOKUP(A1217,Feuil2!$A$2:$M$1241,3,FALSE)," ")</f>
        <v>ZIED</v>
      </c>
      <c r="E1217" s="5">
        <f>IF(B1217=0,VLOOKUP(A1217,Feuil2!$A$2:$M$1241,6,FALSE)," ")</f>
        <v>28289</v>
      </c>
      <c r="F1217" s="1" t="str">
        <f>IF(B1217=0,VLOOKUP(A1217,Feuil2!$A$2:$M$1241,12,FALSE)," ")</f>
        <v>H</v>
      </c>
      <c r="G1217" s="1" t="str">
        <f>IF(B1217=0,VLOOKUP(A1217,Feuil2!$A$2:$M$1241,11,FALSE)," ")</f>
        <v>M</v>
      </c>
      <c r="H1217" s="1" t="s">
        <v>16</v>
      </c>
      <c r="I1217" s="6">
        <f>IF(B1217=0,VLOOKUP(A1217,Feuil2!$A$2:$M$1241,7,FALSE)," ")</f>
        <v>5583908</v>
      </c>
      <c r="J1217" s="1" t="str">
        <f>IF(B1217=0,VLOOKUP(A1217,Feuil2!$A$2:$M$1241,9,FALSE)," ")</f>
        <v>3 Rue Mohamed Ali</v>
      </c>
      <c r="K1217" s="1" t="str">
        <f>IF(B1217=0,VLOOKUP(A1217,Feuil2!$A$2:$M$1241,10,FALSE)," ")</f>
        <v>Msaken 4070</v>
      </c>
      <c r="L1217" s="1">
        <v>4070</v>
      </c>
      <c r="M1217" s="1">
        <v>24325476</v>
      </c>
      <c r="N1217" s="1"/>
      <c r="O1217" s="8" t="str">
        <f>IF(B1217=0,VLOOKUP(A1217,Feuil2!$A$2:$M$1241,13,FALSE)," ")</f>
        <v>04204067404000969083</v>
      </c>
    </row>
    <row r="1218" spans="1:16" x14ac:dyDescent="0.3">
      <c r="A1218" s="1">
        <v>1741</v>
      </c>
      <c r="B1218" s="1">
        <v>1</v>
      </c>
      <c r="C1218" s="1" t="s">
        <v>57</v>
      </c>
      <c r="D1218" s="1" t="s">
        <v>2694</v>
      </c>
      <c r="E1218" s="5">
        <v>31528</v>
      </c>
      <c r="F1218" s="1" t="s">
        <v>17</v>
      </c>
      <c r="G1218" s="1" t="s">
        <v>15</v>
      </c>
      <c r="H1218" s="1" t="s">
        <v>16</v>
      </c>
      <c r="I1218" s="6" t="str">
        <f>IF(B1218=0,VLOOKUP(A1218,Feuil2!$A$2:$M$1241,7,FALSE)," ")</f>
        <v xml:space="preserve"> </v>
      </c>
      <c r="J1218" s="1" t="str">
        <f>IF(B1218=0,VLOOKUP(A1218,Feuil2!$A$2:$M$1241,9,FALSE)," ")</f>
        <v xml:space="preserve"> </v>
      </c>
      <c r="K1218" s="1" t="str">
        <f>IF(B1218=0,VLOOKUP(A1218,Feuil2!$A$2:$M$1241,10,FALSE)," ")</f>
        <v xml:space="preserve"> </v>
      </c>
      <c r="L1218" s="1"/>
      <c r="M1218" s="1"/>
      <c r="N1218" s="1"/>
      <c r="O1218" s="8" t="str">
        <f>IF(B1218=0,VLOOKUP(A1218,Feuil2!$A$2:$M$1241,13,FALSE)," ")</f>
        <v xml:space="preserve"> </v>
      </c>
    </row>
    <row r="1219" spans="1:16" x14ac:dyDescent="0.3">
      <c r="A1219" s="1">
        <v>1741</v>
      </c>
      <c r="B1219" s="1">
        <v>2</v>
      </c>
      <c r="C1219" s="1" t="s">
        <v>304</v>
      </c>
      <c r="D1219" s="1" t="s">
        <v>2695</v>
      </c>
      <c r="E1219" s="5">
        <v>40675</v>
      </c>
      <c r="F1219" s="1" t="s">
        <v>17</v>
      </c>
      <c r="G1219" s="1" t="str">
        <f>IF(B1219=0,VLOOKUP(A1219,Feuil2!$A$2:$M$1241,11,FALSE)," ")</f>
        <v xml:space="preserve"> </v>
      </c>
      <c r="H1219" s="1" t="s">
        <v>16</v>
      </c>
      <c r="I1219" s="6" t="str">
        <f>IF(B1219=0,VLOOKUP(A1219,Feuil2!$A$2:$M$1241,7,FALSE)," ")</f>
        <v xml:space="preserve"> </v>
      </c>
      <c r="J1219" s="1" t="str">
        <f>IF(B1219=0,VLOOKUP(A1219,Feuil2!$A$2:$M$1241,9,FALSE)," ")</f>
        <v xml:space="preserve"> </v>
      </c>
      <c r="K1219" s="1" t="str">
        <f>IF(B1219=0,VLOOKUP(A1219,Feuil2!$A$2:$M$1241,10,FALSE)," ")</f>
        <v xml:space="preserve"> </v>
      </c>
      <c r="L1219" s="1"/>
      <c r="M1219" s="1"/>
      <c r="N1219" s="1"/>
      <c r="O1219" s="8" t="str">
        <f>IF(B1219=0,VLOOKUP(A1219,Feuil2!$A$2:$M$1241,13,FALSE)," ")</f>
        <v xml:space="preserve"> </v>
      </c>
    </row>
    <row r="1220" spans="1:16" x14ac:dyDescent="0.3">
      <c r="A1220" s="1">
        <v>1741</v>
      </c>
      <c r="B1220" s="1">
        <v>3</v>
      </c>
      <c r="C1220" s="1" t="s">
        <v>304</v>
      </c>
      <c r="D1220" s="1" t="s">
        <v>2383</v>
      </c>
      <c r="E1220" s="5">
        <v>41908</v>
      </c>
      <c r="F1220" s="1" t="s">
        <v>17</v>
      </c>
      <c r="G1220" s="1" t="str">
        <f>IF(B1220=0,VLOOKUP(A1220,Feuil2!$A$2:$M$1241,11,FALSE)," ")</f>
        <v xml:space="preserve"> </v>
      </c>
      <c r="H1220" s="1" t="s">
        <v>16</v>
      </c>
      <c r="I1220" s="6" t="str">
        <f>IF(B1220=0,VLOOKUP(A1220,Feuil2!$A$2:$M$1241,7,FALSE)," ")</f>
        <v xml:space="preserve"> </v>
      </c>
      <c r="J1220" s="1" t="str">
        <f>IF(B1220=0,VLOOKUP(A1220,Feuil2!$A$2:$M$1241,9,FALSE)," ")</f>
        <v xml:space="preserve"> </v>
      </c>
      <c r="K1220" s="1" t="str">
        <f>IF(B1220=0,VLOOKUP(A1220,Feuil2!$A$2:$M$1241,10,FALSE)," ")</f>
        <v xml:space="preserve"> </v>
      </c>
      <c r="L1220" s="1"/>
      <c r="M1220" s="1"/>
      <c r="N1220" s="1"/>
      <c r="O1220" s="8" t="str">
        <f>IF(B1220=0,VLOOKUP(A1220,Feuil2!$A$2:$M$1241,13,FALSE)," ")</f>
        <v xml:space="preserve"> </v>
      </c>
      <c r="P1220" s="22"/>
    </row>
    <row r="1221" spans="1:16" x14ac:dyDescent="0.3">
      <c r="A1221" s="17">
        <v>1742</v>
      </c>
      <c r="B1221" s="17">
        <v>0</v>
      </c>
      <c r="C1221" s="17" t="str">
        <f>IF(B1221=0,VLOOKUP(A1221,Feuil2!$A$2:$M$1241,2,FALSE)," ")</f>
        <v>BEN AZIZA</v>
      </c>
      <c r="D1221" s="17" t="str">
        <f>IF(B1221=0,VLOOKUP(A1221,Feuil2!$A$2:$M$1241,3,FALSE)," ")</f>
        <v>JAMEL</v>
      </c>
      <c r="E1221" s="18">
        <f>IF(B1221=0,VLOOKUP(A1221,Feuil2!$A$2:$M$1241,6,FALSE)," ")</f>
        <v>23756</v>
      </c>
      <c r="F1221" s="17" t="str">
        <f>IF(B1221=0,VLOOKUP(A1221,Feuil2!$A$2:$M$1241,12,FALSE)," ")</f>
        <v>H</v>
      </c>
      <c r="G1221" s="17" t="str">
        <f>IF(B1221=0,VLOOKUP(A1221,Feuil2!$A$2:$M$1241,11,FALSE)," ")</f>
        <v>M</v>
      </c>
      <c r="H1221" s="17" t="s">
        <v>16</v>
      </c>
      <c r="I1221" s="19">
        <f>IF(B1221=0,VLOOKUP(A1221,Feuil2!$A$2:$M$1241,7,FALSE)," ")</f>
        <v>2954102</v>
      </c>
      <c r="J1221" s="17" t="str">
        <f>IF(B1221=0,VLOOKUP(A1221,Feuil2!$A$2:$M$1241,9,FALSE)," ")</f>
        <v>4015 beni rabiaa</v>
      </c>
      <c r="K1221" s="17" t="str">
        <f>IF(B1221=0,VLOOKUP(A1221,Feuil2!$A$2:$M$1241,10,FALSE)," ")</f>
        <v>NULL</v>
      </c>
      <c r="L1221" s="17"/>
      <c r="M1221" s="17">
        <v>52442384</v>
      </c>
      <c r="N1221" s="17"/>
      <c r="O1221" s="20" t="str">
        <f>IF(B1221=0,VLOOKUP(A1221,Feuil2!$A$2:$M$1241,13,FALSE)," ")</f>
        <v>04204067404002083807</v>
      </c>
    </row>
    <row r="1222" spans="1:16" x14ac:dyDescent="0.3">
      <c r="A1222" s="1">
        <v>1742</v>
      </c>
      <c r="B1222" s="1">
        <v>1</v>
      </c>
      <c r="C1222" s="1" t="s">
        <v>487</v>
      </c>
      <c r="D1222" s="1" t="s">
        <v>2539</v>
      </c>
      <c r="E1222" s="5">
        <v>26187</v>
      </c>
      <c r="F1222" s="1" t="s">
        <v>17</v>
      </c>
      <c r="G1222" s="1" t="s">
        <v>15</v>
      </c>
      <c r="H1222" s="1" t="s">
        <v>16</v>
      </c>
      <c r="I1222" s="6" t="str">
        <f>IF(B1222=0,VLOOKUP(A1222,Feuil2!$A$2:$M$1241,7,FALSE)," ")</f>
        <v xml:space="preserve"> </v>
      </c>
      <c r="J1222" s="1" t="str">
        <f>IF(B1222=0,VLOOKUP(A1222,Feuil2!$A$2:$M$1241,9,FALSE)," ")</f>
        <v xml:space="preserve"> </v>
      </c>
      <c r="K1222" s="1" t="str">
        <f>IF(B1222=0,VLOOKUP(A1222,Feuil2!$A$2:$M$1241,10,FALSE)," ")</f>
        <v xml:space="preserve"> </v>
      </c>
      <c r="L1222" s="1"/>
      <c r="M1222" s="1"/>
      <c r="N1222" s="1"/>
      <c r="O1222" s="8" t="str">
        <f>IF(B1222=0,VLOOKUP(A1222,Feuil2!$A$2:$M$1241,13,FALSE)," ")</f>
        <v xml:space="preserve"> </v>
      </c>
    </row>
    <row r="1223" spans="1:16" x14ac:dyDescent="0.3">
      <c r="A1223" s="1">
        <v>1752</v>
      </c>
      <c r="B1223" s="1">
        <v>0</v>
      </c>
      <c r="C1223" s="1" t="str">
        <f>IF(B1223=0,VLOOKUP(A1223,Feuil2!$A$2:$M$1241,2,FALSE)," ")</f>
        <v>HEDHILI</v>
      </c>
      <c r="D1223" s="1" t="str">
        <f>IF(B1223=0,VLOOKUP(A1223,Feuil2!$A$2:$M$1241,3,FALSE)," ")</f>
        <v>MUSTAPHA</v>
      </c>
      <c r="E1223" s="5">
        <f>IF(B1223=0,VLOOKUP(A1223,Feuil2!$A$2:$M$1241,6,FALSE)," ")</f>
        <v>27392</v>
      </c>
      <c r="F1223" s="1" t="str">
        <f>IF(B1223=0,VLOOKUP(A1223,Feuil2!$A$2:$M$1241,12,FALSE)," ")</f>
        <v>H</v>
      </c>
      <c r="G1223" s="1" t="str">
        <f>IF(B1223=0,VLOOKUP(A1223,Feuil2!$A$2:$M$1241,11,FALSE)," ")</f>
        <v>M</v>
      </c>
      <c r="H1223" s="1" t="s">
        <v>16</v>
      </c>
      <c r="I1223" s="6">
        <f>IF(B1223=0,VLOOKUP(A1223,Feuil2!$A$2:$M$1241,7,FALSE)," ")</f>
        <v>5533364</v>
      </c>
      <c r="J1223" s="1" t="str">
        <f>IF(B1223=0,VLOOKUP(A1223,Feuil2!$A$2:$M$1241,9,FALSE)," ")</f>
        <v>14 Rue de Monastir</v>
      </c>
      <c r="K1223" s="1" t="str">
        <f>IF(B1223=0,VLOOKUP(A1223,Feuil2!$A$2:$M$1241,10,FALSE)," ")</f>
        <v>Msaken 4070</v>
      </c>
      <c r="L1223" s="1">
        <v>4070</v>
      </c>
      <c r="M1223" s="1">
        <v>27009041</v>
      </c>
      <c r="N1223" s="1"/>
      <c r="O1223" s="8" t="str">
        <f>IF(B1223=0,VLOOKUP(A1223,Feuil2!$A$2:$M$1241,13,FALSE)," ")</f>
        <v>25005000000000759194</v>
      </c>
    </row>
    <row r="1224" spans="1:16" x14ac:dyDescent="0.3">
      <c r="A1224" s="1">
        <v>1752</v>
      </c>
      <c r="B1224" s="1">
        <v>1</v>
      </c>
      <c r="C1224" s="1" t="s">
        <v>1876</v>
      </c>
      <c r="D1224" s="1" t="s">
        <v>2370</v>
      </c>
      <c r="E1224" s="5">
        <v>28527</v>
      </c>
      <c r="F1224" s="1" t="s">
        <v>17</v>
      </c>
      <c r="G1224" s="1" t="s">
        <v>15</v>
      </c>
      <c r="H1224" s="1" t="s">
        <v>16</v>
      </c>
      <c r="I1224" s="6" t="str">
        <f>IF(B1224=0,VLOOKUP(A1224,Feuil2!$A$2:$M$1241,7,FALSE)," ")</f>
        <v xml:space="preserve"> </v>
      </c>
      <c r="J1224" s="1" t="str">
        <f>IF(B1224=0,VLOOKUP(A1224,Feuil2!$A$2:$M$1241,9,FALSE)," ")</f>
        <v xml:space="preserve"> </v>
      </c>
      <c r="K1224" s="1" t="str">
        <f>IF(B1224=0,VLOOKUP(A1224,Feuil2!$A$2:$M$1241,10,FALSE)," ")</f>
        <v xml:space="preserve"> </v>
      </c>
      <c r="L1224" s="1"/>
      <c r="M1224" s="1"/>
      <c r="N1224" s="1"/>
      <c r="O1224" s="8" t="str">
        <f>IF(B1224=0,VLOOKUP(A1224,Feuil2!$A$2:$M$1241,13,FALSE)," ")</f>
        <v xml:space="preserve"> </v>
      </c>
    </row>
    <row r="1225" spans="1:16" x14ac:dyDescent="0.3">
      <c r="A1225" s="1">
        <v>1752</v>
      </c>
      <c r="B1225" s="1">
        <v>2</v>
      </c>
      <c r="C1225" s="1" t="s">
        <v>78</v>
      </c>
      <c r="D1225" s="1" t="s">
        <v>77</v>
      </c>
      <c r="E1225" s="5">
        <v>40074</v>
      </c>
      <c r="F1225" s="1" t="s">
        <v>506</v>
      </c>
      <c r="G1225" s="1" t="str">
        <f>IF(B1225=0,VLOOKUP(A1225,Feuil2!$A$2:$M$1241,11,FALSE)," ")</f>
        <v xml:space="preserve"> </v>
      </c>
      <c r="H1225" s="1" t="s">
        <v>16</v>
      </c>
      <c r="I1225" s="6" t="str">
        <f>IF(B1225=0,VLOOKUP(A1225,Feuil2!$A$2:$M$1241,7,FALSE)," ")</f>
        <v xml:space="preserve"> </v>
      </c>
      <c r="J1225" s="1" t="str">
        <f>IF(B1225=0,VLOOKUP(A1225,Feuil2!$A$2:$M$1241,9,FALSE)," ")</f>
        <v xml:space="preserve"> </v>
      </c>
      <c r="K1225" s="1" t="str">
        <f>IF(B1225=0,VLOOKUP(A1225,Feuil2!$A$2:$M$1241,10,FALSE)," ")</f>
        <v xml:space="preserve"> </v>
      </c>
      <c r="L1225" s="1"/>
      <c r="M1225" s="1"/>
      <c r="N1225" s="1"/>
      <c r="O1225" s="8" t="str">
        <f>IF(B1225=0,VLOOKUP(A1225,Feuil2!$A$2:$M$1241,13,FALSE)," ")</f>
        <v xml:space="preserve"> </v>
      </c>
    </row>
    <row r="1226" spans="1:16" x14ac:dyDescent="0.3">
      <c r="A1226" s="1">
        <v>1752</v>
      </c>
      <c r="B1226" s="1">
        <v>3</v>
      </c>
      <c r="C1226" s="1" t="s">
        <v>78</v>
      </c>
      <c r="D1226" s="1" t="s">
        <v>2338</v>
      </c>
      <c r="E1226" s="5">
        <v>40911</v>
      </c>
      <c r="F1226" s="1" t="s">
        <v>17</v>
      </c>
      <c r="G1226" s="1" t="str">
        <f>IF(B1226=0,VLOOKUP(A1226,Feuil2!$A$2:$M$1241,11,FALSE)," ")</f>
        <v xml:space="preserve"> </v>
      </c>
      <c r="H1226" s="1" t="s">
        <v>16</v>
      </c>
      <c r="I1226" s="6" t="str">
        <f>IF(B1226=0,VLOOKUP(A1226,Feuil2!$A$2:$M$1241,7,FALSE)," ")</f>
        <v xml:space="preserve"> </v>
      </c>
      <c r="J1226" s="1" t="str">
        <f>IF(B1226=0,VLOOKUP(A1226,Feuil2!$A$2:$M$1241,9,FALSE)," ")</f>
        <v xml:space="preserve"> </v>
      </c>
      <c r="K1226" s="1" t="str">
        <f>IF(B1226=0,VLOOKUP(A1226,Feuil2!$A$2:$M$1241,10,FALSE)," ")</f>
        <v xml:space="preserve"> </v>
      </c>
      <c r="L1226" s="1"/>
      <c r="M1226" s="1"/>
      <c r="N1226" s="1"/>
      <c r="O1226" s="8" t="str">
        <f>IF(B1226=0,VLOOKUP(A1226,Feuil2!$A$2:$M$1241,13,FALSE)," ")</f>
        <v xml:space="preserve"> </v>
      </c>
    </row>
    <row r="1227" spans="1:16" x14ac:dyDescent="0.3">
      <c r="A1227" s="1">
        <v>1752</v>
      </c>
      <c r="B1227" s="1">
        <v>4</v>
      </c>
      <c r="C1227" s="1" t="s">
        <v>78</v>
      </c>
      <c r="D1227" s="1" t="s">
        <v>2451</v>
      </c>
      <c r="E1227" s="5">
        <v>41316</v>
      </c>
      <c r="F1227" s="1" t="s">
        <v>17</v>
      </c>
      <c r="G1227" s="1" t="str">
        <f>IF(B1227=0,VLOOKUP(A1227,Feuil2!$A$2:$M$1241,11,FALSE)," ")</f>
        <v xml:space="preserve"> </v>
      </c>
      <c r="H1227" s="1" t="s">
        <v>16</v>
      </c>
      <c r="I1227" s="6" t="str">
        <f>IF(B1227=0,VLOOKUP(A1227,Feuil2!$A$2:$M$1241,7,FALSE)," ")</f>
        <v xml:space="preserve"> </v>
      </c>
      <c r="J1227" s="1" t="str">
        <f>IF(B1227=0,VLOOKUP(A1227,Feuil2!$A$2:$M$1241,9,FALSE)," ")</f>
        <v xml:space="preserve"> </v>
      </c>
      <c r="K1227" s="1" t="str">
        <f>IF(B1227=0,VLOOKUP(A1227,Feuil2!$A$2:$M$1241,10,FALSE)," ")</f>
        <v xml:space="preserve"> </v>
      </c>
      <c r="L1227" s="1"/>
      <c r="M1227" s="1"/>
      <c r="N1227" s="1"/>
      <c r="O1227" s="8" t="str">
        <f>IF(B1227=0,VLOOKUP(A1227,Feuil2!$A$2:$M$1241,13,FALSE)," ")</f>
        <v xml:space="preserve"> </v>
      </c>
    </row>
    <row r="1228" spans="1:16" x14ac:dyDescent="0.3">
      <c r="A1228" s="1">
        <v>1752</v>
      </c>
      <c r="B1228" s="1">
        <v>5</v>
      </c>
      <c r="C1228" s="1" t="s">
        <v>78</v>
      </c>
      <c r="D1228" s="1" t="s">
        <v>89</v>
      </c>
      <c r="E1228" s="5">
        <v>43589</v>
      </c>
      <c r="F1228" s="1" t="s">
        <v>506</v>
      </c>
      <c r="G1228" s="1" t="str">
        <f>IF(B1228=0,VLOOKUP(A1228,Feuil2!$A$2:$M$1241,11,FALSE)," ")</f>
        <v xml:space="preserve"> </v>
      </c>
      <c r="H1228" s="1" t="s">
        <v>16</v>
      </c>
      <c r="I1228" s="6" t="str">
        <f>IF(B1228=0,VLOOKUP(A1228,Feuil2!$A$2:$M$1241,7,FALSE)," ")</f>
        <v xml:space="preserve"> </v>
      </c>
      <c r="J1228" s="1" t="str">
        <f>IF(B1228=0,VLOOKUP(A1228,Feuil2!$A$2:$M$1241,9,FALSE)," ")</f>
        <v xml:space="preserve"> </v>
      </c>
      <c r="K1228" s="1" t="str">
        <f>IF(B1228=0,VLOOKUP(A1228,Feuil2!$A$2:$M$1241,10,FALSE)," ")</f>
        <v xml:space="preserve"> </v>
      </c>
      <c r="L1228" s="1"/>
      <c r="M1228" s="1"/>
      <c r="N1228" s="1"/>
      <c r="O1228" s="8" t="str">
        <f>IF(B1228=0,VLOOKUP(A1228,Feuil2!$A$2:$M$1241,13,FALSE)," ")</f>
        <v xml:space="preserve"> </v>
      </c>
    </row>
    <row r="1229" spans="1:16" x14ac:dyDescent="0.3">
      <c r="A1229" s="1">
        <v>1755</v>
      </c>
      <c r="B1229" s="1">
        <v>0</v>
      </c>
      <c r="C1229" s="1" t="str">
        <f>IF(B1229=0,VLOOKUP(A1229,Feuil2!$A$2:$M$1241,2,FALSE)," ")</f>
        <v>REJEB</v>
      </c>
      <c r="D1229" s="1" t="str">
        <f>IF(B1229=0,VLOOKUP(A1229,Feuil2!$A$2:$M$1241,3,FALSE)," ")</f>
        <v>NEJIB</v>
      </c>
      <c r="E1229" s="5">
        <f>IF(B1229=0,VLOOKUP(A1229,Feuil2!$A$2:$M$1241,6,FALSE)," ")</f>
        <v>25116</v>
      </c>
      <c r="F1229" s="1" t="str">
        <f>IF(B1229=0,VLOOKUP(A1229,Feuil2!$A$2:$M$1241,12,FALSE)," ")</f>
        <v>H</v>
      </c>
      <c r="G1229" s="1" t="str">
        <f>IF(B1229=0,VLOOKUP(A1229,Feuil2!$A$2:$M$1241,11,FALSE)," ")</f>
        <v>M</v>
      </c>
      <c r="H1229" s="1" t="s">
        <v>16</v>
      </c>
      <c r="I1229" s="6">
        <f>IF(B1229=0,VLOOKUP(A1229,Feuil2!$A$2:$M$1241,7,FALSE)," ")</f>
        <v>2984455</v>
      </c>
      <c r="J1229" s="1" t="str">
        <f>IF(B1229=0,VLOOKUP(A1229,Feuil2!$A$2:$M$1241,9,FALSE)," ")</f>
        <v>NULL</v>
      </c>
      <c r="K1229" s="1" t="str">
        <f>IF(B1229=0,VLOOKUP(A1229,Feuil2!$A$2:$M$1241,10,FALSE)," ")</f>
        <v>Knaies 4014</v>
      </c>
      <c r="L1229" s="1">
        <v>4014</v>
      </c>
      <c r="M1229" s="1">
        <v>98783224</v>
      </c>
      <c r="N1229" s="1"/>
      <c r="O1229" s="8" t="str">
        <f>IF(B1229=0,VLOOKUP(A1229,Feuil2!$A$2:$M$1241,13,FALSE)," ")</f>
        <v>08507000262005302662</v>
      </c>
    </row>
    <row r="1230" spans="1:16" x14ac:dyDescent="0.3">
      <c r="A1230" s="1">
        <v>1755</v>
      </c>
      <c r="B1230" s="1">
        <v>1</v>
      </c>
      <c r="C1230" s="1" t="s">
        <v>173</v>
      </c>
      <c r="D1230" s="1" t="s">
        <v>2142</v>
      </c>
      <c r="E1230" s="5">
        <v>28391</v>
      </c>
      <c r="F1230" s="1" t="s">
        <v>17</v>
      </c>
      <c r="G1230" s="1" t="s">
        <v>15</v>
      </c>
      <c r="H1230" s="1" t="s">
        <v>16</v>
      </c>
      <c r="I1230" s="6" t="str">
        <f>IF(B1230=0,VLOOKUP(A1230,Feuil2!$A$2:$M$1241,7,FALSE)," ")</f>
        <v xml:space="preserve"> </v>
      </c>
      <c r="J1230" s="1" t="str">
        <f>IF(B1230=0,VLOOKUP(A1230,Feuil2!$A$2:$M$1241,9,FALSE)," ")</f>
        <v xml:space="preserve"> </v>
      </c>
      <c r="K1230" s="1" t="str">
        <f>IF(B1230=0,VLOOKUP(A1230,Feuil2!$A$2:$M$1241,10,FALSE)," ")</f>
        <v xml:space="preserve"> </v>
      </c>
      <c r="L1230" s="1"/>
      <c r="M1230" s="1"/>
      <c r="N1230" s="1"/>
      <c r="O1230" s="8" t="str">
        <f>IF(B1230=0,VLOOKUP(A1230,Feuil2!$A$2:$M$1241,13,FALSE)," ")</f>
        <v xml:space="preserve"> </v>
      </c>
    </row>
    <row r="1231" spans="1:16" x14ac:dyDescent="0.3">
      <c r="A1231" s="1">
        <v>1755</v>
      </c>
      <c r="B1231" s="1">
        <v>2</v>
      </c>
      <c r="C1231" s="1" t="s">
        <v>333</v>
      </c>
      <c r="D1231" s="1" t="s">
        <v>361</v>
      </c>
      <c r="E1231" s="5">
        <v>37733</v>
      </c>
      <c r="F1231" s="1" t="s">
        <v>506</v>
      </c>
      <c r="G1231" s="1" t="str">
        <f>IF(B1231=0,VLOOKUP(A1231,Feuil2!$A$2:$M$1241,11,FALSE)," ")</f>
        <v xml:space="preserve"> </v>
      </c>
      <c r="H1231" s="1" t="s">
        <v>16</v>
      </c>
      <c r="I1231" s="6" t="str">
        <f>IF(B1231=0,VLOOKUP(A1231,Feuil2!$A$2:$M$1241,7,FALSE)," ")</f>
        <v xml:space="preserve"> </v>
      </c>
      <c r="J1231" s="1" t="str">
        <f>IF(B1231=0,VLOOKUP(A1231,Feuil2!$A$2:$M$1241,9,FALSE)," ")</f>
        <v xml:space="preserve"> </v>
      </c>
      <c r="K1231" s="1" t="str">
        <f>IF(B1231=0,VLOOKUP(A1231,Feuil2!$A$2:$M$1241,10,FALSE)," ")</f>
        <v xml:space="preserve"> </v>
      </c>
      <c r="L1231" s="1"/>
      <c r="M1231" s="1"/>
      <c r="N1231" s="1"/>
      <c r="O1231" s="8" t="str">
        <f>IF(B1231=0,VLOOKUP(A1231,Feuil2!$A$2:$M$1241,13,FALSE)," ")</f>
        <v xml:space="preserve"> </v>
      </c>
    </row>
    <row r="1232" spans="1:16" x14ac:dyDescent="0.3">
      <c r="A1232" s="1">
        <v>1755</v>
      </c>
      <c r="B1232" s="1">
        <v>3</v>
      </c>
      <c r="C1232" s="1" t="s">
        <v>333</v>
      </c>
      <c r="D1232" s="1" t="s">
        <v>2696</v>
      </c>
      <c r="E1232" s="5">
        <v>38904</v>
      </c>
      <c r="F1232" s="1" t="s">
        <v>17</v>
      </c>
      <c r="G1232" s="1" t="str">
        <f>IF(B1232=0,VLOOKUP(A1232,Feuil2!$A$2:$M$1241,11,FALSE)," ")</f>
        <v xml:space="preserve"> </v>
      </c>
      <c r="H1232" s="1" t="s">
        <v>16</v>
      </c>
      <c r="I1232" s="6" t="str">
        <f>IF(B1232=0,VLOOKUP(A1232,Feuil2!$A$2:$M$1241,7,FALSE)," ")</f>
        <v xml:space="preserve"> </v>
      </c>
      <c r="J1232" s="1" t="str">
        <f>IF(B1232=0,VLOOKUP(A1232,Feuil2!$A$2:$M$1241,9,FALSE)," ")</f>
        <v xml:space="preserve"> </v>
      </c>
      <c r="K1232" s="1" t="str">
        <f>IF(B1232=0,VLOOKUP(A1232,Feuil2!$A$2:$M$1241,10,FALSE)," ")</f>
        <v xml:space="preserve"> </v>
      </c>
      <c r="L1232" s="1"/>
      <c r="M1232" s="1"/>
      <c r="N1232" s="1"/>
      <c r="O1232" s="8" t="str">
        <f>IF(B1232=0,VLOOKUP(A1232,Feuil2!$A$2:$M$1241,13,FALSE)," ")</f>
        <v xml:space="preserve"> </v>
      </c>
    </row>
    <row r="1233" spans="1:15" x14ac:dyDescent="0.3">
      <c r="A1233" s="1">
        <v>1755</v>
      </c>
      <c r="B1233" s="1">
        <v>4</v>
      </c>
      <c r="C1233" s="1" t="s">
        <v>333</v>
      </c>
      <c r="D1233" s="1" t="s">
        <v>122</v>
      </c>
      <c r="E1233" s="5">
        <v>40262</v>
      </c>
      <c r="F1233" s="1" t="s">
        <v>506</v>
      </c>
      <c r="G1233" s="1" t="str">
        <f>IF(B1233=0,VLOOKUP(A1233,Feuil2!$A$2:$M$1241,11,FALSE)," ")</f>
        <v xml:space="preserve"> </v>
      </c>
      <c r="H1233" s="1" t="s">
        <v>16</v>
      </c>
      <c r="I1233" s="6" t="str">
        <f>IF(B1233=0,VLOOKUP(A1233,Feuil2!$A$2:$M$1241,7,FALSE)," ")</f>
        <v xml:space="preserve"> </v>
      </c>
      <c r="J1233" s="1" t="str">
        <f>IF(B1233=0,VLOOKUP(A1233,Feuil2!$A$2:$M$1241,9,FALSE)," ")</f>
        <v xml:space="preserve"> </v>
      </c>
      <c r="K1233" s="1" t="str">
        <f>IF(B1233=0,VLOOKUP(A1233,Feuil2!$A$2:$M$1241,10,FALSE)," ")</f>
        <v xml:space="preserve"> </v>
      </c>
      <c r="L1233" s="1"/>
      <c r="M1233" s="1"/>
      <c r="N1233" s="1"/>
      <c r="O1233" s="8" t="str">
        <f>IF(B1233=0,VLOOKUP(A1233,Feuil2!$A$2:$M$1241,13,FALSE)," ")</f>
        <v xml:space="preserve"> </v>
      </c>
    </row>
    <row r="1234" spans="1:15" x14ac:dyDescent="0.3">
      <c r="A1234" s="1">
        <v>1756</v>
      </c>
      <c r="B1234" s="1">
        <v>0</v>
      </c>
      <c r="C1234" s="1" t="str">
        <f>IF(B1234=0,VLOOKUP(A1234,Feuil2!$A$2:$M$1241,2,FALSE)," ")</f>
        <v>SOUA</v>
      </c>
      <c r="D1234" s="1" t="str">
        <f>IF(B1234=0,VLOOKUP(A1234,Feuil2!$A$2:$M$1241,3,FALSE)," ")</f>
        <v>FOUED</v>
      </c>
      <c r="E1234" s="5">
        <f>IF(B1234=0,VLOOKUP(A1234,Feuil2!$A$2:$M$1241,6,FALSE)," ")</f>
        <v>29056</v>
      </c>
      <c r="F1234" s="1" t="str">
        <f>IF(B1234=0,VLOOKUP(A1234,Feuil2!$A$2:$M$1241,12,FALSE)," ")</f>
        <v>H</v>
      </c>
      <c r="G1234" s="1" t="str">
        <f>IF(B1234=0,VLOOKUP(A1234,Feuil2!$A$2:$M$1241,11,FALSE)," ")</f>
        <v>M</v>
      </c>
      <c r="H1234" s="1" t="s">
        <v>16</v>
      </c>
      <c r="I1234" s="6">
        <f>IF(B1234=0,VLOOKUP(A1234,Feuil2!$A$2:$M$1241,7,FALSE)," ")</f>
        <v>5580004</v>
      </c>
      <c r="J1234" s="1" t="str">
        <f>IF(B1234=0,VLOOKUP(A1234,Feuil2!$A$2:$M$1241,9,FALSE)," ")</f>
        <v>29 Rue Essafa</v>
      </c>
      <c r="K1234" s="1" t="str">
        <f>IF(B1234=0,VLOOKUP(A1234,Feuil2!$A$2:$M$1241,10,FALSE)," ")</f>
        <v>Msaken 4070</v>
      </c>
      <c r="L1234" s="1">
        <v>4070</v>
      </c>
      <c r="M1234" s="1">
        <v>97554907</v>
      </c>
      <c r="N1234" s="1"/>
      <c r="O1234" s="8" t="str">
        <f>IF(B1234=0,VLOOKUP(A1234,Feuil2!$A$2:$M$1241,13,FALSE)," ")</f>
        <v>08050020052000183129</v>
      </c>
    </row>
    <row r="1235" spans="1:15" x14ac:dyDescent="0.3">
      <c r="A1235" s="1">
        <v>1756</v>
      </c>
      <c r="B1235" s="1">
        <v>1</v>
      </c>
      <c r="C1235" s="1" t="s">
        <v>417</v>
      </c>
      <c r="D1235" s="1" t="s">
        <v>2370</v>
      </c>
      <c r="E1235" s="5">
        <v>32065</v>
      </c>
      <c r="F1235" s="1" t="s">
        <v>17</v>
      </c>
      <c r="G1235" s="1" t="s">
        <v>15</v>
      </c>
      <c r="H1235" s="1" t="s">
        <v>16</v>
      </c>
      <c r="I1235" s="6" t="str">
        <f>IF(B1235=0,VLOOKUP(A1235,Feuil2!$A$2:$M$1241,7,FALSE)," ")</f>
        <v xml:space="preserve"> </v>
      </c>
      <c r="J1235" s="1" t="str">
        <f>IF(B1235=0,VLOOKUP(A1235,Feuil2!$A$2:$M$1241,9,FALSE)," ")</f>
        <v xml:space="preserve"> </v>
      </c>
      <c r="K1235" s="1" t="str">
        <f>IF(B1235=0,VLOOKUP(A1235,Feuil2!$A$2:$M$1241,10,FALSE)," ")</f>
        <v xml:space="preserve"> </v>
      </c>
      <c r="L1235" s="1"/>
      <c r="M1235" s="1"/>
      <c r="N1235" s="1"/>
      <c r="O1235" s="8" t="str">
        <f>IF(B1235=0,VLOOKUP(A1235,Feuil2!$A$2:$M$1241,13,FALSE)," ")</f>
        <v xml:space="preserve"> </v>
      </c>
    </row>
    <row r="1236" spans="1:15" x14ac:dyDescent="0.3">
      <c r="A1236" s="1">
        <v>1756</v>
      </c>
      <c r="B1236" s="1">
        <v>2</v>
      </c>
      <c r="C1236" s="1" t="s">
        <v>324</v>
      </c>
      <c r="D1236" s="1" t="s">
        <v>402</v>
      </c>
      <c r="E1236" s="5">
        <v>38915</v>
      </c>
      <c r="F1236" s="1" t="s">
        <v>17</v>
      </c>
      <c r="G1236" s="1" t="str">
        <f>IF(B1236=0,VLOOKUP(A1236,Feuil2!$A$2:$M$1241,11,FALSE)," ")</f>
        <v xml:space="preserve"> </v>
      </c>
      <c r="H1236" s="1" t="s">
        <v>16</v>
      </c>
      <c r="I1236" s="6" t="str">
        <f>IF(B1236=0,VLOOKUP(A1236,Feuil2!$A$2:$M$1241,7,FALSE)," ")</f>
        <v xml:space="preserve"> </v>
      </c>
      <c r="J1236" s="1" t="str">
        <f>IF(B1236=0,VLOOKUP(A1236,Feuil2!$A$2:$M$1241,9,FALSE)," ")</f>
        <v xml:space="preserve"> </v>
      </c>
      <c r="K1236" s="1" t="str">
        <f>IF(B1236=0,VLOOKUP(A1236,Feuil2!$A$2:$M$1241,10,FALSE)," ")</f>
        <v xml:space="preserve"> </v>
      </c>
      <c r="L1236" s="1"/>
      <c r="M1236" s="1"/>
      <c r="N1236" s="1"/>
      <c r="O1236" s="8" t="str">
        <f>IF(B1236=0,VLOOKUP(A1236,Feuil2!$A$2:$M$1241,13,FALSE)," ")</f>
        <v xml:space="preserve"> </v>
      </c>
    </row>
    <row r="1237" spans="1:15" x14ac:dyDescent="0.3">
      <c r="A1237" s="1">
        <v>1756</v>
      </c>
      <c r="B1237" s="1">
        <v>3</v>
      </c>
      <c r="C1237" s="1" t="s">
        <v>324</v>
      </c>
      <c r="D1237" s="1" t="s">
        <v>1596</v>
      </c>
      <c r="E1237" s="5">
        <v>39912</v>
      </c>
      <c r="F1237" s="1" t="s">
        <v>506</v>
      </c>
      <c r="G1237" s="1" t="str">
        <f>IF(B1237=0,VLOOKUP(A1237,Feuil2!$A$2:$M$1241,11,FALSE)," ")</f>
        <v xml:space="preserve"> </v>
      </c>
      <c r="H1237" s="1" t="s">
        <v>16</v>
      </c>
      <c r="I1237" s="6" t="str">
        <f>IF(B1237=0,VLOOKUP(A1237,Feuil2!$A$2:$M$1241,7,FALSE)," ")</f>
        <v xml:space="preserve"> </v>
      </c>
      <c r="J1237" s="1" t="str">
        <f>IF(B1237=0,VLOOKUP(A1237,Feuil2!$A$2:$M$1241,9,FALSE)," ")</f>
        <v xml:space="preserve"> </v>
      </c>
      <c r="K1237" s="1" t="str">
        <f>IF(B1237=0,VLOOKUP(A1237,Feuil2!$A$2:$M$1241,10,FALSE)," ")</f>
        <v xml:space="preserve"> </v>
      </c>
      <c r="L1237" s="1"/>
      <c r="M1237" s="1"/>
      <c r="N1237" s="1"/>
      <c r="O1237" s="8" t="str">
        <f>IF(B1237=0,VLOOKUP(A1237,Feuil2!$A$2:$M$1241,13,FALSE)," ")</f>
        <v xml:space="preserve"> </v>
      </c>
    </row>
    <row r="1238" spans="1:15" x14ac:dyDescent="0.3">
      <c r="A1238" s="1">
        <v>1756</v>
      </c>
      <c r="B1238" s="1">
        <v>4</v>
      </c>
      <c r="C1238" s="1" t="s">
        <v>324</v>
      </c>
      <c r="D1238" s="1" t="s">
        <v>2627</v>
      </c>
      <c r="E1238" s="5">
        <v>41756</v>
      </c>
      <c r="F1238" s="1" t="s">
        <v>506</v>
      </c>
      <c r="G1238" s="1" t="str">
        <f>IF(B1238=0,VLOOKUP(A1238,Feuil2!$A$2:$M$1241,11,FALSE)," ")</f>
        <v xml:space="preserve"> </v>
      </c>
      <c r="H1238" s="1" t="s">
        <v>16</v>
      </c>
      <c r="I1238" s="6" t="str">
        <f>IF(B1238=0,VLOOKUP(A1238,Feuil2!$A$2:$M$1241,7,FALSE)," ")</f>
        <v xml:space="preserve"> </v>
      </c>
      <c r="J1238" s="1" t="str">
        <f>IF(B1238=0,VLOOKUP(A1238,Feuil2!$A$2:$M$1241,9,FALSE)," ")</f>
        <v xml:space="preserve"> </v>
      </c>
      <c r="K1238" s="1" t="str">
        <f>IF(B1238=0,VLOOKUP(A1238,Feuil2!$A$2:$M$1241,10,FALSE)," ")</f>
        <v xml:space="preserve"> </v>
      </c>
      <c r="L1238" s="1"/>
      <c r="M1238" s="1"/>
      <c r="N1238" s="1"/>
      <c r="O1238" s="8" t="str">
        <f>IF(B1238=0,VLOOKUP(A1238,Feuil2!$A$2:$M$1241,13,FALSE)," ")</f>
        <v xml:space="preserve"> </v>
      </c>
    </row>
    <row r="1239" spans="1:15" x14ac:dyDescent="0.3">
      <c r="A1239" s="1">
        <v>1757</v>
      </c>
      <c r="B1239" s="1">
        <v>0</v>
      </c>
      <c r="C1239" s="1" t="str">
        <f>IF(B1239=0,VLOOKUP(A1239,Feuil2!$A$2:$M$1241,2,FALSE)," ")</f>
        <v>EL HOTMANI</v>
      </c>
      <c r="D1239" s="1" t="str">
        <f>IF(B1239=0,VLOOKUP(A1239,Feuil2!$A$2:$M$1241,3,FALSE)," ")</f>
        <v>BESSEM</v>
      </c>
      <c r="E1239" s="5">
        <f>IF(B1239=0,VLOOKUP(A1239,Feuil2!$A$2:$M$1241,6,FALSE)," ")</f>
        <v>29449</v>
      </c>
      <c r="F1239" s="1" t="str">
        <f>IF(B1239=0,VLOOKUP(A1239,Feuil2!$A$2:$M$1241,12,FALSE)," ")</f>
        <v>H</v>
      </c>
      <c r="G1239" s="1" t="str">
        <f>IF(B1239=0,VLOOKUP(A1239,Feuil2!$A$2:$M$1241,11,FALSE)," ")</f>
        <v>M</v>
      </c>
      <c r="H1239" s="1" t="s">
        <v>16</v>
      </c>
      <c r="I1239" s="6">
        <f>IF(B1239=0,VLOOKUP(A1239,Feuil2!$A$2:$M$1241,7,FALSE)," ")</f>
        <v>8427531</v>
      </c>
      <c r="J1239" s="1" t="str">
        <f>IF(B1239=0,VLOOKUP(A1239,Feuil2!$A$2:$M$1241,9,FALSE)," ")</f>
        <v>NULL</v>
      </c>
      <c r="K1239" s="1" t="str">
        <f>IF(B1239=0,VLOOKUP(A1239,Feuil2!$A$2:$M$1241,10,FALSE)," ")</f>
        <v>Knaies 4014</v>
      </c>
      <c r="L1239" s="1">
        <v>4014</v>
      </c>
      <c r="M1239" s="1">
        <v>98528998</v>
      </c>
      <c r="N1239" s="1"/>
      <c r="O1239" s="8" t="str">
        <f>IF(B1239=0,VLOOKUP(A1239,Feuil2!$A$2:$M$1241,13,FALSE)," ")</f>
        <v>04204067001309440457</v>
      </c>
    </row>
    <row r="1240" spans="1:15" x14ac:dyDescent="0.3">
      <c r="A1240" s="1">
        <v>1757</v>
      </c>
      <c r="B1240" s="1">
        <v>1</v>
      </c>
      <c r="C1240" s="1" t="s">
        <v>2697</v>
      </c>
      <c r="D1240" s="1" t="s">
        <v>2641</v>
      </c>
      <c r="E1240" s="5">
        <v>30947</v>
      </c>
      <c r="F1240" s="1" t="s">
        <v>17</v>
      </c>
      <c r="G1240" s="1" t="s">
        <v>15</v>
      </c>
      <c r="H1240" s="1" t="s">
        <v>16</v>
      </c>
      <c r="I1240" s="6" t="str">
        <f>IF(B1240=0,VLOOKUP(A1240,Feuil2!$A$2:$M$1241,7,FALSE)," ")</f>
        <v xml:space="preserve"> </v>
      </c>
      <c r="J1240" s="1" t="str">
        <f>IF(B1240=0,VLOOKUP(A1240,Feuil2!$A$2:$M$1241,9,FALSE)," ")</f>
        <v xml:space="preserve"> </v>
      </c>
      <c r="K1240" s="1" t="str">
        <f>IF(B1240=0,VLOOKUP(A1240,Feuil2!$A$2:$M$1241,10,FALSE)," ")</f>
        <v xml:space="preserve"> </v>
      </c>
      <c r="L1240" s="1"/>
      <c r="M1240" s="1"/>
      <c r="N1240" s="1"/>
      <c r="O1240" s="8" t="str">
        <f>IF(B1240=0,VLOOKUP(A1240,Feuil2!$A$2:$M$1241,13,FALSE)," ")</f>
        <v xml:space="preserve"> </v>
      </c>
    </row>
    <row r="1241" spans="1:15" x14ac:dyDescent="0.3">
      <c r="A1241" s="1">
        <v>1757</v>
      </c>
      <c r="B1241" s="1">
        <v>2</v>
      </c>
      <c r="C1241" s="1" t="s">
        <v>1604</v>
      </c>
      <c r="D1241" s="1" t="s">
        <v>2696</v>
      </c>
      <c r="E1241" s="5">
        <v>39510</v>
      </c>
      <c r="F1241" s="1" t="s">
        <v>17</v>
      </c>
      <c r="G1241" s="1" t="str">
        <f>IF(B1241=0,VLOOKUP(A1241,Feuil2!$A$2:$M$1241,11,FALSE)," ")</f>
        <v xml:space="preserve"> </v>
      </c>
      <c r="H1241" s="1" t="s">
        <v>16</v>
      </c>
      <c r="I1241" s="6" t="str">
        <f>IF(B1241=0,VLOOKUP(A1241,Feuil2!$A$2:$M$1241,7,FALSE)," ")</f>
        <v xml:space="preserve"> </v>
      </c>
      <c r="J1241" s="1" t="str">
        <f>IF(B1241=0,VLOOKUP(A1241,Feuil2!$A$2:$M$1241,9,FALSE)," ")</f>
        <v xml:space="preserve"> </v>
      </c>
      <c r="K1241" s="1" t="str">
        <f>IF(B1241=0,VLOOKUP(A1241,Feuil2!$A$2:$M$1241,10,FALSE)," ")</f>
        <v xml:space="preserve"> </v>
      </c>
      <c r="L1241" s="1"/>
      <c r="M1241" s="1"/>
      <c r="N1241" s="1"/>
      <c r="O1241" s="8" t="str">
        <f>IF(B1241=0,VLOOKUP(A1241,Feuil2!$A$2:$M$1241,13,FALSE)," ")</f>
        <v xml:space="preserve"> </v>
      </c>
    </row>
    <row r="1242" spans="1:15" x14ac:dyDescent="0.3">
      <c r="A1242" s="1">
        <v>1757</v>
      </c>
      <c r="B1242" s="1">
        <v>3</v>
      </c>
      <c r="C1242" s="1" t="s">
        <v>1604</v>
      </c>
      <c r="D1242" s="1" t="s">
        <v>441</v>
      </c>
      <c r="E1242" s="5">
        <v>39874</v>
      </c>
      <c r="F1242" s="1" t="s">
        <v>506</v>
      </c>
      <c r="G1242" s="1" t="str">
        <f>IF(B1242=0,VLOOKUP(A1242,Feuil2!$A$2:$M$1241,11,FALSE)," ")</f>
        <v xml:space="preserve"> </v>
      </c>
      <c r="H1242" s="1" t="s">
        <v>16</v>
      </c>
      <c r="I1242" s="6" t="str">
        <f>IF(B1242=0,VLOOKUP(A1242,Feuil2!$A$2:$M$1241,7,FALSE)," ")</f>
        <v xml:space="preserve"> </v>
      </c>
      <c r="J1242" s="1" t="str">
        <f>IF(B1242=0,VLOOKUP(A1242,Feuil2!$A$2:$M$1241,9,FALSE)," ")</f>
        <v xml:space="preserve"> </v>
      </c>
      <c r="K1242" s="1" t="str">
        <f>IF(B1242=0,VLOOKUP(A1242,Feuil2!$A$2:$M$1241,10,FALSE)," ")</f>
        <v xml:space="preserve"> </v>
      </c>
      <c r="L1242" s="1"/>
      <c r="M1242" s="1"/>
      <c r="N1242" s="1"/>
      <c r="O1242" s="8" t="str">
        <f>IF(B1242=0,VLOOKUP(A1242,Feuil2!$A$2:$M$1241,13,FALSE)," ")</f>
        <v xml:space="preserve"> </v>
      </c>
    </row>
    <row r="1243" spans="1:15" x14ac:dyDescent="0.3">
      <c r="A1243" s="1">
        <v>1757</v>
      </c>
      <c r="B1243" s="1">
        <v>4</v>
      </c>
      <c r="C1243" s="1" t="s">
        <v>1604</v>
      </c>
      <c r="D1243" s="1" t="s">
        <v>519</v>
      </c>
      <c r="E1243" s="5">
        <v>41386</v>
      </c>
      <c r="F1243" s="1" t="s">
        <v>506</v>
      </c>
      <c r="G1243" s="1" t="str">
        <f>IF(B1243=0,VLOOKUP(A1243,Feuil2!$A$2:$M$1241,11,FALSE)," ")</f>
        <v xml:space="preserve"> </v>
      </c>
      <c r="H1243" s="1" t="s">
        <v>16</v>
      </c>
      <c r="I1243" s="6" t="str">
        <f>IF(B1243=0,VLOOKUP(A1243,Feuil2!$A$2:$M$1241,7,FALSE)," ")</f>
        <v xml:space="preserve"> </v>
      </c>
      <c r="J1243" s="1" t="str">
        <f>IF(B1243=0,VLOOKUP(A1243,Feuil2!$A$2:$M$1241,9,FALSE)," ")</f>
        <v xml:space="preserve"> </v>
      </c>
      <c r="K1243" s="1" t="str">
        <f>IF(B1243=0,VLOOKUP(A1243,Feuil2!$A$2:$M$1241,10,FALSE)," ")</f>
        <v xml:space="preserve"> </v>
      </c>
      <c r="L1243" s="1"/>
      <c r="M1243" s="1"/>
      <c r="N1243" s="1"/>
      <c r="O1243" s="8" t="str">
        <f>IF(B1243=0,VLOOKUP(A1243,Feuil2!$A$2:$M$1241,13,FALSE)," ")</f>
        <v xml:space="preserve"> </v>
      </c>
    </row>
    <row r="1244" spans="1:15" x14ac:dyDescent="0.3">
      <c r="A1244" s="1">
        <v>1759</v>
      </c>
      <c r="B1244" s="1">
        <v>0</v>
      </c>
      <c r="C1244" s="1" t="str">
        <f>IF(B1244=0,VLOOKUP(A1244,Feuil2!$A$2:$M$1241,2,FALSE)," ")</f>
        <v>HNIA</v>
      </c>
      <c r="D1244" s="1" t="str">
        <f>IF(B1244=0,VLOOKUP(A1244,Feuil2!$A$2:$M$1241,3,FALSE)," ")</f>
        <v>ISSAM</v>
      </c>
      <c r="E1244" s="5">
        <f>IF(B1244=0,VLOOKUP(A1244,Feuil2!$A$2:$M$1241,6,FALSE)," ")</f>
        <v>28309</v>
      </c>
      <c r="F1244" s="1" t="str">
        <f>IF(B1244=0,VLOOKUP(A1244,Feuil2!$A$2:$M$1241,12,FALSE)," ")</f>
        <v>H</v>
      </c>
      <c r="G1244" s="1" t="str">
        <f>IF(B1244=0,VLOOKUP(A1244,Feuil2!$A$2:$M$1241,11,FALSE)," ")</f>
        <v>M</v>
      </c>
      <c r="H1244" s="1" t="s">
        <v>16</v>
      </c>
      <c r="I1244" s="6">
        <f>IF(B1244=0,VLOOKUP(A1244,Feuil2!$A$2:$M$1241,7,FALSE)," ")</f>
        <v>5549561</v>
      </c>
      <c r="J1244" s="1" t="str">
        <f>IF(B1244=0,VLOOKUP(A1244,Feuil2!$A$2:$M$1241,9,FALSE)," ")</f>
        <v>NULL</v>
      </c>
      <c r="K1244" s="1" t="str">
        <f>IF(B1244=0,VLOOKUP(A1244,Feuil2!$A$2:$M$1241,10,FALSE)," ")</f>
        <v>Knaies 4014</v>
      </c>
      <c r="L1244" s="1">
        <v>4014</v>
      </c>
      <c r="M1244" s="1">
        <v>29076096</v>
      </c>
      <c r="N1244" s="1"/>
      <c r="O1244" s="8" t="str">
        <f>IF(B1244=0,VLOOKUP(A1244,Feuil2!$A$2:$M$1241,13,FALSE)," ")</f>
        <v>20009090001147054205</v>
      </c>
    </row>
    <row r="1245" spans="1:15" x14ac:dyDescent="0.3">
      <c r="A1245" s="1">
        <v>1759</v>
      </c>
      <c r="B1245" s="1">
        <v>1</v>
      </c>
      <c r="C1245" s="1" t="s">
        <v>283</v>
      </c>
      <c r="D1245" s="1" t="s">
        <v>1787</v>
      </c>
      <c r="E1245" s="5">
        <v>33616</v>
      </c>
      <c r="F1245" s="1" t="s">
        <v>17</v>
      </c>
      <c r="G1245" s="1" t="s">
        <v>15</v>
      </c>
      <c r="H1245" s="1" t="s">
        <v>16</v>
      </c>
      <c r="I1245" s="6" t="str">
        <f>IF(B1245=0,VLOOKUP(A1245,Feuil2!$A$2:$M$1241,7,FALSE)," ")</f>
        <v xml:space="preserve"> </v>
      </c>
      <c r="J1245" s="1" t="str">
        <f>IF(B1245=0,VLOOKUP(A1245,Feuil2!$A$2:$M$1241,9,FALSE)," ")</f>
        <v xml:space="preserve"> </v>
      </c>
      <c r="K1245" s="1" t="str">
        <f>IF(B1245=0,VLOOKUP(A1245,Feuil2!$A$2:$M$1241,10,FALSE)," ")</f>
        <v xml:space="preserve"> </v>
      </c>
      <c r="L1245" s="1"/>
      <c r="M1245" s="1"/>
      <c r="N1245" s="1"/>
      <c r="O1245" s="8" t="str">
        <f>IF(B1245=0,VLOOKUP(A1245,Feuil2!$A$2:$M$1241,13,FALSE)," ")</f>
        <v xml:space="preserve"> </v>
      </c>
    </row>
    <row r="1246" spans="1:15" x14ac:dyDescent="0.3">
      <c r="A1246" s="1">
        <v>1759</v>
      </c>
      <c r="B1246" s="1">
        <v>2</v>
      </c>
      <c r="C1246" s="1" t="s">
        <v>223</v>
      </c>
      <c r="D1246" s="1" t="s">
        <v>2431</v>
      </c>
      <c r="E1246" s="5">
        <v>41971</v>
      </c>
      <c r="F1246" s="1" t="s">
        <v>506</v>
      </c>
      <c r="G1246" s="1" t="str">
        <f>IF(B1246=0,VLOOKUP(A1246,Feuil2!$A$2:$M$1241,11,FALSE)," ")</f>
        <v xml:space="preserve"> </v>
      </c>
      <c r="H1246" s="1" t="s">
        <v>16</v>
      </c>
      <c r="I1246" s="6" t="str">
        <f>IF(B1246=0,VLOOKUP(A1246,Feuil2!$A$2:$M$1241,7,FALSE)," ")</f>
        <v xml:space="preserve"> </v>
      </c>
      <c r="J1246" s="1" t="str">
        <f>IF(B1246=0,VLOOKUP(A1246,Feuil2!$A$2:$M$1241,9,FALSE)," ")</f>
        <v xml:space="preserve"> </v>
      </c>
      <c r="K1246" s="1" t="str">
        <f>IF(B1246=0,VLOOKUP(A1246,Feuil2!$A$2:$M$1241,10,FALSE)," ")</f>
        <v xml:space="preserve"> </v>
      </c>
      <c r="L1246" s="1"/>
      <c r="M1246" s="1"/>
      <c r="N1246" s="1"/>
      <c r="O1246" s="8" t="str">
        <f>IF(B1246=0,VLOOKUP(A1246,Feuil2!$A$2:$M$1241,13,FALSE)," ")</f>
        <v xml:space="preserve"> </v>
      </c>
    </row>
    <row r="1247" spans="1:15" x14ac:dyDescent="0.3">
      <c r="A1247" s="1">
        <v>1759</v>
      </c>
      <c r="B1247" s="1">
        <v>3</v>
      </c>
      <c r="C1247" s="1" t="s">
        <v>223</v>
      </c>
      <c r="D1247" s="1" t="s">
        <v>185</v>
      </c>
      <c r="E1247" s="5">
        <v>42434</v>
      </c>
      <c r="F1247" s="1" t="s">
        <v>506</v>
      </c>
      <c r="G1247" s="1" t="str">
        <f>IF(B1247=0,VLOOKUP(A1247,Feuil2!$A$2:$M$1241,11,FALSE)," ")</f>
        <v xml:space="preserve"> </v>
      </c>
      <c r="H1247" s="1" t="s">
        <v>16</v>
      </c>
      <c r="I1247" s="6" t="str">
        <f>IF(B1247=0,VLOOKUP(A1247,Feuil2!$A$2:$M$1241,7,FALSE)," ")</f>
        <v xml:space="preserve"> </v>
      </c>
      <c r="J1247" s="1" t="str">
        <f>IF(B1247=0,VLOOKUP(A1247,Feuil2!$A$2:$M$1241,9,FALSE)," ")</f>
        <v xml:space="preserve"> </v>
      </c>
      <c r="K1247" s="1" t="str">
        <f>IF(B1247=0,VLOOKUP(A1247,Feuil2!$A$2:$M$1241,10,FALSE)," ")</f>
        <v xml:space="preserve"> </v>
      </c>
      <c r="L1247" s="1"/>
      <c r="M1247" s="1"/>
      <c r="N1247" s="1"/>
      <c r="O1247" s="8" t="str">
        <f>IF(B1247=0,VLOOKUP(A1247,Feuil2!$A$2:$M$1241,13,FALSE)," ")</f>
        <v xml:space="preserve"> </v>
      </c>
    </row>
    <row r="1248" spans="1:15" x14ac:dyDescent="0.3">
      <c r="A1248" s="1">
        <v>1760</v>
      </c>
      <c r="B1248" s="1">
        <v>0</v>
      </c>
      <c r="C1248" s="1" t="str">
        <f>IF(B1248=0,VLOOKUP(A1248,Feuil2!$A$2:$M$1241,2,FALSE)," ")</f>
        <v>SASSI</v>
      </c>
      <c r="D1248" s="1" t="str">
        <f>IF(B1248=0,VLOOKUP(A1248,Feuil2!$A$2:$M$1241,3,FALSE)," ")</f>
        <v>SAMIR</v>
      </c>
      <c r="E1248" s="5">
        <f>IF(B1248=0,VLOOKUP(A1248,Feuil2!$A$2:$M$1241,6,FALSE)," ")</f>
        <v>28389</v>
      </c>
      <c r="F1248" s="1" t="str">
        <f>IF(B1248=0,VLOOKUP(A1248,Feuil2!$A$2:$M$1241,12,FALSE)," ")</f>
        <v>H</v>
      </c>
      <c r="G1248" s="1" t="str">
        <f>IF(B1248=0,VLOOKUP(A1248,Feuil2!$A$2:$M$1241,11,FALSE)," ")</f>
        <v>M</v>
      </c>
      <c r="H1248" s="1" t="s">
        <v>16</v>
      </c>
      <c r="I1248" s="6">
        <f>IF(B1248=0,VLOOKUP(A1248,Feuil2!$A$2:$M$1241,7,FALSE)," ")</f>
        <v>5571497</v>
      </c>
      <c r="J1248" s="1" t="str">
        <f>IF(B1248=0,VLOOKUP(A1248,Feuil2!$A$2:$M$1241,9,FALSE)," ")</f>
        <v>28 Rue Khaled Ibn El Walid</v>
      </c>
      <c r="K1248" s="1" t="str">
        <f>IF(B1248=0,VLOOKUP(A1248,Feuil2!$A$2:$M$1241,10,FALSE)," ")</f>
        <v>Msaken 4070</v>
      </c>
      <c r="L1248" s="1">
        <v>4070</v>
      </c>
      <c r="M1248" s="1">
        <v>46556372</v>
      </c>
      <c r="N1248" s="1"/>
      <c r="O1248" s="8" t="str">
        <f>IF(B1248=0,VLOOKUP(A1248,Feuil2!$A$2:$M$1241,13,FALSE)," ")</f>
        <v>08507000262001937538</v>
      </c>
    </row>
    <row r="1249" spans="1:15" x14ac:dyDescent="0.3">
      <c r="A1249" s="1">
        <v>1760</v>
      </c>
      <c r="B1249" s="1">
        <v>1</v>
      </c>
      <c r="C1249" s="1" t="s">
        <v>2459</v>
      </c>
      <c r="D1249" s="1" t="s">
        <v>2387</v>
      </c>
      <c r="E1249" s="5">
        <v>30199</v>
      </c>
      <c r="F1249" s="1" t="s">
        <v>17</v>
      </c>
      <c r="G1249" s="1" t="s">
        <v>15</v>
      </c>
      <c r="H1249" s="1" t="s">
        <v>16</v>
      </c>
      <c r="I1249" s="6" t="str">
        <f>IF(B1249=0,VLOOKUP(A1249,Feuil2!$A$2:$M$1241,7,FALSE)," ")</f>
        <v xml:space="preserve"> </v>
      </c>
      <c r="J1249" s="1" t="str">
        <f>IF(B1249=0,VLOOKUP(A1249,Feuil2!$A$2:$M$1241,9,FALSE)," ")</f>
        <v xml:space="preserve"> </v>
      </c>
      <c r="K1249" s="1" t="str">
        <f>IF(B1249=0,VLOOKUP(A1249,Feuil2!$A$2:$M$1241,10,FALSE)," ")</f>
        <v xml:space="preserve"> </v>
      </c>
      <c r="L1249" s="1"/>
      <c r="M1249" s="1"/>
      <c r="N1249" s="1"/>
      <c r="O1249" s="8" t="str">
        <f>IF(B1249=0,VLOOKUP(A1249,Feuil2!$A$2:$M$1241,13,FALSE)," ")</f>
        <v xml:space="preserve"> </v>
      </c>
    </row>
    <row r="1250" spans="1:15" x14ac:dyDescent="0.3">
      <c r="A1250" s="1">
        <v>1760</v>
      </c>
      <c r="B1250" s="1">
        <v>2</v>
      </c>
      <c r="C1250" s="1" t="s">
        <v>104</v>
      </c>
      <c r="D1250" s="1" t="s">
        <v>2698</v>
      </c>
      <c r="E1250" s="5">
        <v>39031</v>
      </c>
      <c r="F1250" s="1" t="s">
        <v>506</v>
      </c>
      <c r="G1250" s="1" t="str">
        <f>IF(B1250=0,VLOOKUP(A1250,Feuil2!$A$2:$M$1241,11,FALSE)," ")</f>
        <v xml:space="preserve"> </v>
      </c>
      <c r="H1250" s="1" t="s">
        <v>16</v>
      </c>
      <c r="I1250" s="6" t="str">
        <f>IF(B1250=0,VLOOKUP(A1250,Feuil2!$A$2:$M$1241,7,FALSE)," ")</f>
        <v xml:space="preserve"> </v>
      </c>
      <c r="J1250" s="1" t="str">
        <f>IF(B1250=0,VLOOKUP(A1250,Feuil2!$A$2:$M$1241,9,FALSE)," ")</f>
        <v xml:space="preserve"> </v>
      </c>
      <c r="K1250" s="1" t="str">
        <f>IF(B1250=0,VLOOKUP(A1250,Feuil2!$A$2:$M$1241,10,FALSE)," ")</f>
        <v xml:space="preserve"> </v>
      </c>
      <c r="L1250" s="1"/>
      <c r="M1250" s="1"/>
      <c r="N1250" s="1"/>
      <c r="O1250" s="8" t="str">
        <f>IF(B1250=0,VLOOKUP(A1250,Feuil2!$A$2:$M$1241,13,FALSE)," ")</f>
        <v xml:space="preserve"> </v>
      </c>
    </row>
    <row r="1251" spans="1:15" x14ac:dyDescent="0.3">
      <c r="A1251" s="1">
        <v>1760</v>
      </c>
      <c r="B1251" s="1">
        <v>3</v>
      </c>
      <c r="C1251" s="1" t="s">
        <v>104</v>
      </c>
      <c r="D1251" s="1" t="s">
        <v>2624</v>
      </c>
      <c r="E1251" s="5">
        <v>39422</v>
      </c>
      <c r="F1251" s="1" t="s">
        <v>506</v>
      </c>
      <c r="G1251" s="1" t="str">
        <f>IF(B1251=0,VLOOKUP(A1251,Feuil2!$A$2:$M$1241,11,FALSE)," ")</f>
        <v xml:space="preserve"> </v>
      </c>
      <c r="H1251" s="1" t="s">
        <v>16</v>
      </c>
      <c r="I1251" s="6" t="str">
        <f>IF(B1251=0,VLOOKUP(A1251,Feuil2!$A$2:$M$1241,7,FALSE)," ")</f>
        <v xml:space="preserve"> </v>
      </c>
      <c r="J1251" s="1" t="str">
        <f>IF(B1251=0,VLOOKUP(A1251,Feuil2!$A$2:$M$1241,9,FALSE)," ")</f>
        <v xml:space="preserve"> </v>
      </c>
      <c r="K1251" s="1" t="str">
        <f>IF(B1251=0,VLOOKUP(A1251,Feuil2!$A$2:$M$1241,10,FALSE)," ")</f>
        <v xml:space="preserve"> </v>
      </c>
      <c r="L1251" s="1"/>
      <c r="M1251" s="1"/>
      <c r="N1251" s="1"/>
      <c r="O1251" s="8" t="str">
        <f>IF(B1251=0,VLOOKUP(A1251,Feuil2!$A$2:$M$1241,13,FALSE)," ")</f>
        <v xml:space="preserve"> </v>
      </c>
    </row>
    <row r="1252" spans="1:15" x14ac:dyDescent="0.3">
      <c r="A1252" s="1">
        <v>1760</v>
      </c>
      <c r="B1252" s="1">
        <v>4</v>
      </c>
      <c r="C1252" s="1" t="s">
        <v>104</v>
      </c>
      <c r="D1252" s="1" t="s">
        <v>2699</v>
      </c>
      <c r="E1252" s="5">
        <v>41740</v>
      </c>
      <c r="F1252" s="1" t="s">
        <v>506</v>
      </c>
      <c r="G1252" s="1" t="str">
        <f>IF(B1252=0,VLOOKUP(A1252,Feuil2!$A$2:$M$1241,11,FALSE)," ")</f>
        <v xml:space="preserve"> </v>
      </c>
      <c r="H1252" s="1" t="s">
        <v>16</v>
      </c>
      <c r="I1252" s="6" t="str">
        <f>IF(B1252=0,VLOOKUP(A1252,Feuil2!$A$2:$M$1241,7,FALSE)," ")</f>
        <v xml:space="preserve"> </v>
      </c>
      <c r="J1252" s="1" t="str">
        <f>IF(B1252=0,VLOOKUP(A1252,Feuil2!$A$2:$M$1241,9,FALSE)," ")</f>
        <v xml:space="preserve"> </v>
      </c>
      <c r="K1252" s="1" t="str">
        <f>IF(B1252=0,VLOOKUP(A1252,Feuil2!$A$2:$M$1241,10,FALSE)," ")</f>
        <v xml:space="preserve"> </v>
      </c>
      <c r="L1252" s="1"/>
      <c r="M1252" s="1"/>
      <c r="N1252" s="1"/>
      <c r="O1252" s="8" t="str">
        <f>IF(B1252=0,VLOOKUP(A1252,Feuil2!$A$2:$M$1241,13,FALSE)," ")</f>
        <v xml:space="preserve"> </v>
      </c>
    </row>
    <row r="1253" spans="1:15" x14ac:dyDescent="0.3">
      <c r="A1253" s="1">
        <v>1761</v>
      </c>
      <c r="B1253" s="1">
        <v>0</v>
      </c>
      <c r="C1253" s="1" t="str">
        <f>IF(B1253=0,VLOOKUP(A1253,Feuil2!$A$2:$M$1241,2,FALSE)," ")</f>
        <v>BEN SALEM</v>
      </c>
      <c r="D1253" s="1" t="str">
        <f>IF(B1253=0,VLOOKUP(A1253,Feuil2!$A$2:$M$1241,3,FALSE)," ")</f>
        <v>KHELIL</v>
      </c>
      <c r="E1253" s="5">
        <f>IF(B1253=0,VLOOKUP(A1253,Feuil2!$A$2:$M$1241,6,FALSE)," ")</f>
        <v>27843</v>
      </c>
      <c r="F1253" s="1" t="str">
        <f>IF(B1253=0,VLOOKUP(A1253,Feuil2!$A$2:$M$1241,12,FALSE)," ")</f>
        <v>H</v>
      </c>
      <c r="G1253" s="1" t="str">
        <f>IF(B1253=0,VLOOKUP(A1253,Feuil2!$A$2:$M$1241,11,FALSE)," ")</f>
        <v>M</v>
      </c>
      <c r="H1253" s="1" t="s">
        <v>16</v>
      </c>
      <c r="I1253" s="6">
        <f>IF(B1253=0,VLOOKUP(A1253,Feuil2!$A$2:$M$1241,7,FALSE)," ")</f>
        <v>5572308</v>
      </c>
      <c r="J1253" s="1" t="str">
        <f>IF(B1253=0,VLOOKUP(A1253,Feuil2!$A$2:$M$1241,9,FALSE)," ")</f>
        <v>NULL</v>
      </c>
      <c r="K1253" s="1" t="str">
        <f>IF(B1253=0,VLOOKUP(A1253,Feuil2!$A$2:$M$1241,10,FALSE)," ")</f>
        <v>Knaies 4014</v>
      </c>
      <c r="L1253" s="1">
        <v>4014</v>
      </c>
      <c r="M1253" s="1">
        <v>25558553</v>
      </c>
      <c r="N1253" s="1"/>
      <c r="O1253" s="8" t="str">
        <f>IF(B1253=0,VLOOKUP(A1253,Feuil2!$A$2:$M$1241,13,FALSE)," ")</f>
        <v>12505000580102676383</v>
      </c>
    </row>
    <row r="1254" spans="1:15" x14ac:dyDescent="0.3">
      <c r="A1254" s="1">
        <v>1761</v>
      </c>
      <c r="B1254" s="1">
        <v>1</v>
      </c>
      <c r="C1254" s="1" t="s">
        <v>1826</v>
      </c>
      <c r="D1254" s="1" t="s">
        <v>404</v>
      </c>
      <c r="E1254" s="5" t="str">
        <f>IF(B1254=0,VLOOKUP(A1254,Feuil2!$A$2:$M$1241,6,FALSE)," ")</f>
        <v xml:space="preserve"> </v>
      </c>
      <c r="F1254" s="1" t="s">
        <v>17</v>
      </c>
      <c r="G1254" s="1" t="s">
        <v>15</v>
      </c>
      <c r="H1254" s="1" t="s">
        <v>16</v>
      </c>
      <c r="I1254" s="6" t="str">
        <f>IF(B1254=0,VLOOKUP(A1254,Feuil2!$A$2:$M$1241,7,FALSE)," ")</f>
        <v xml:space="preserve"> </v>
      </c>
      <c r="J1254" s="1" t="str">
        <f>IF(B1254=0,VLOOKUP(A1254,Feuil2!$A$2:$M$1241,9,FALSE)," ")</f>
        <v xml:space="preserve"> </v>
      </c>
      <c r="K1254" s="1" t="str">
        <f>IF(B1254=0,VLOOKUP(A1254,Feuil2!$A$2:$M$1241,10,FALSE)," ")</f>
        <v xml:space="preserve"> </v>
      </c>
      <c r="L1254" s="1"/>
      <c r="M1254" s="1"/>
      <c r="N1254" s="1"/>
      <c r="O1254" s="8" t="str">
        <f>IF(B1254=0,VLOOKUP(A1254,Feuil2!$A$2:$M$1241,13,FALSE)," ")</f>
        <v xml:space="preserve"> </v>
      </c>
    </row>
    <row r="1255" spans="1:15" x14ac:dyDescent="0.3">
      <c r="A1255" s="1">
        <v>1761</v>
      </c>
      <c r="B1255" s="1">
        <v>2</v>
      </c>
      <c r="C1255" s="1" t="s">
        <v>283</v>
      </c>
      <c r="D1255" s="1" t="s">
        <v>2366</v>
      </c>
      <c r="E1255" s="5">
        <v>42092</v>
      </c>
      <c r="F1255" s="1" t="s">
        <v>506</v>
      </c>
      <c r="G1255" s="1" t="str">
        <f>IF(B1255=0,VLOOKUP(A1255,Feuil2!$A$2:$M$1241,11,FALSE)," ")</f>
        <v xml:space="preserve"> </v>
      </c>
      <c r="H1255" s="1" t="s">
        <v>16</v>
      </c>
      <c r="I1255" s="6" t="str">
        <f>IF(B1255=0,VLOOKUP(A1255,Feuil2!$A$2:$M$1241,7,FALSE)," ")</f>
        <v xml:space="preserve"> </v>
      </c>
      <c r="J1255" s="1" t="str">
        <f>IF(B1255=0,VLOOKUP(A1255,Feuil2!$A$2:$M$1241,9,FALSE)," ")</f>
        <v xml:space="preserve"> </v>
      </c>
      <c r="K1255" s="1" t="str">
        <f>IF(B1255=0,VLOOKUP(A1255,Feuil2!$A$2:$M$1241,10,FALSE)," ")</f>
        <v xml:space="preserve"> </v>
      </c>
      <c r="L1255" s="1"/>
      <c r="M1255" s="1"/>
      <c r="N1255" s="1"/>
      <c r="O1255" s="8" t="str">
        <f>IF(B1255=0,VLOOKUP(A1255,Feuil2!$A$2:$M$1241,13,FALSE)," ")</f>
        <v xml:space="preserve"> </v>
      </c>
    </row>
    <row r="1256" spans="1:15" x14ac:dyDescent="0.3">
      <c r="A1256" s="1">
        <v>1764</v>
      </c>
      <c r="B1256" s="1">
        <v>0</v>
      </c>
      <c r="C1256" s="1" t="str">
        <f>IF(B1256=0,VLOOKUP(A1256,Feuil2!$A$2:$M$1241,2,FALSE)," ")</f>
        <v>RBEH</v>
      </c>
      <c r="D1256" s="1" t="str">
        <f>IF(B1256=0,VLOOKUP(A1256,Feuil2!$A$2:$M$1241,3,FALSE)," ")</f>
        <v>MAHMOUD</v>
      </c>
      <c r="E1256" s="5">
        <f>IF(B1256=0,VLOOKUP(A1256,Feuil2!$A$2:$M$1241,6,FALSE)," ")</f>
        <v>25641</v>
      </c>
      <c r="F1256" s="1" t="str">
        <f>IF(B1256=0,VLOOKUP(A1256,Feuil2!$A$2:$M$1241,12,FALSE)," ")</f>
        <v>H</v>
      </c>
      <c r="G1256" s="1" t="str">
        <f>IF(B1256=0,VLOOKUP(A1256,Feuil2!$A$2:$M$1241,11,FALSE)," ")</f>
        <v>M</v>
      </c>
      <c r="H1256" s="1" t="s">
        <v>16</v>
      </c>
      <c r="I1256" s="6">
        <f>IF(B1256=0,VLOOKUP(A1256,Feuil2!$A$2:$M$1241,7,FALSE)," ")</f>
        <v>6107232</v>
      </c>
      <c r="J1256" s="1" t="str">
        <f>IF(B1256=0,VLOOKUP(A1256,Feuil2!$A$2:$M$1241,9,FALSE)," ")</f>
        <v>61 Avenu de la RÃ©publique</v>
      </c>
      <c r="K1256" s="1" t="str">
        <f>IF(B1256=0,VLOOKUP(A1256,Feuil2!$A$2:$M$1241,10,FALSE)," ")</f>
        <v>Msaken 4070</v>
      </c>
      <c r="L1256" s="1">
        <v>4070</v>
      </c>
      <c r="M1256" s="1">
        <v>23873166</v>
      </c>
      <c r="N1256" s="1"/>
      <c r="O1256" s="8" t="str">
        <f>IF(B1256=0,VLOOKUP(A1256,Feuil2!$A$2:$M$1241,13,FALSE)," ")</f>
        <v>17503000000104562610</v>
      </c>
    </row>
    <row r="1257" spans="1:15" x14ac:dyDescent="0.3">
      <c r="A1257" s="1">
        <v>1764</v>
      </c>
      <c r="B1257" s="1">
        <v>1</v>
      </c>
      <c r="C1257" s="1" t="s">
        <v>1669</v>
      </c>
      <c r="D1257" s="1" t="s">
        <v>2194</v>
      </c>
      <c r="E1257" s="5">
        <v>28435</v>
      </c>
      <c r="F1257" s="1" t="s">
        <v>17</v>
      </c>
      <c r="G1257" s="1" t="s">
        <v>15</v>
      </c>
      <c r="H1257" s="1" t="s">
        <v>16</v>
      </c>
      <c r="I1257" s="6" t="str">
        <f>IF(B1257=0,VLOOKUP(A1257,Feuil2!$A$2:$M$1241,7,FALSE)," ")</f>
        <v xml:space="preserve"> </v>
      </c>
      <c r="J1257" s="1" t="str">
        <f>IF(B1257=0,VLOOKUP(A1257,Feuil2!$A$2:$M$1241,9,FALSE)," ")</f>
        <v xml:space="preserve"> </v>
      </c>
      <c r="K1257" s="1" t="str">
        <f>IF(B1257=0,VLOOKUP(A1257,Feuil2!$A$2:$M$1241,10,FALSE)," ")</f>
        <v xml:space="preserve"> </v>
      </c>
      <c r="L1257" s="1"/>
      <c r="M1257" s="1"/>
      <c r="N1257" s="1"/>
      <c r="O1257" s="8" t="str">
        <f>IF(B1257=0,VLOOKUP(A1257,Feuil2!$A$2:$M$1241,13,FALSE)," ")</f>
        <v xml:space="preserve"> </v>
      </c>
    </row>
    <row r="1258" spans="1:15" x14ac:dyDescent="0.3">
      <c r="A1258" s="1">
        <v>1764</v>
      </c>
      <c r="B1258" s="1">
        <v>2</v>
      </c>
      <c r="C1258" s="1" t="s">
        <v>1669</v>
      </c>
      <c r="D1258" s="1" t="s">
        <v>110</v>
      </c>
      <c r="E1258" s="5">
        <v>39318</v>
      </c>
      <c r="F1258" s="1" t="s">
        <v>506</v>
      </c>
      <c r="G1258" s="1" t="str">
        <f>IF(B1258=0,VLOOKUP(A1258,Feuil2!$A$2:$M$1241,11,FALSE)," ")</f>
        <v xml:space="preserve"> </v>
      </c>
      <c r="H1258" s="1" t="s">
        <v>16</v>
      </c>
      <c r="I1258" s="6" t="str">
        <f>IF(B1258=0,VLOOKUP(A1258,Feuil2!$A$2:$M$1241,7,FALSE)," ")</f>
        <v xml:space="preserve"> </v>
      </c>
      <c r="J1258" s="1" t="str">
        <f>IF(B1258=0,VLOOKUP(A1258,Feuil2!$A$2:$M$1241,9,FALSE)," ")</f>
        <v xml:space="preserve"> </v>
      </c>
      <c r="K1258" s="1" t="str">
        <f>IF(B1258=0,VLOOKUP(A1258,Feuil2!$A$2:$M$1241,10,FALSE)," ")</f>
        <v xml:space="preserve"> </v>
      </c>
      <c r="L1258" s="1"/>
      <c r="M1258" s="1"/>
      <c r="N1258" s="1"/>
      <c r="O1258" s="8" t="str">
        <f>IF(B1258=0,VLOOKUP(A1258,Feuil2!$A$2:$M$1241,13,FALSE)," ")</f>
        <v xml:space="preserve"> </v>
      </c>
    </row>
    <row r="1259" spans="1:15" x14ac:dyDescent="0.3">
      <c r="A1259" s="1">
        <v>1764</v>
      </c>
      <c r="B1259" s="1">
        <v>3</v>
      </c>
      <c r="C1259" s="1" t="s">
        <v>1669</v>
      </c>
      <c r="D1259" s="1" t="s">
        <v>98</v>
      </c>
      <c r="E1259" s="5">
        <v>40278</v>
      </c>
      <c r="F1259" s="1" t="s">
        <v>506</v>
      </c>
      <c r="G1259" s="1" t="str">
        <f>IF(B1259=0,VLOOKUP(A1259,Feuil2!$A$2:$M$1241,11,FALSE)," ")</f>
        <v xml:space="preserve"> </v>
      </c>
      <c r="H1259" s="1" t="s">
        <v>16</v>
      </c>
      <c r="I1259" s="6" t="str">
        <f>IF(B1259=0,VLOOKUP(A1259,Feuil2!$A$2:$M$1241,7,FALSE)," ")</f>
        <v xml:space="preserve"> </v>
      </c>
      <c r="J1259" s="1" t="str">
        <f>IF(B1259=0,VLOOKUP(A1259,Feuil2!$A$2:$M$1241,9,FALSE)," ")</f>
        <v xml:space="preserve"> </v>
      </c>
      <c r="K1259" s="1" t="str">
        <f>IF(B1259=0,VLOOKUP(A1259,Feuil2!$A$2:$M$1241,10,FALSE)," ")</f>
        <v xml:space="preserve"> </v>
      </c>
      <c r="L1259" s="1"/>
      <c r="M1259" s="1"/>
      <c r="N1259" s="1"/>
      <c r="O1259" s="8" t="str">
        <f>IF(B1259=0,VLOOKUP(A1259,Feuil2!$A$2:$M$1241,13,FALSE)," ")</f>
        <v xml:space="preserve"> </v>
      </c>
    </row>
    <row r="1260" spans="1:15" x14ac:dyDescent="0.3">
      <c r="A1260" s="1">
        <v>1765</v>
      </c>
      <c r="B1260" s="1">
        <v>0</v>
      </c>
      <c r="C1260" s="1" t="str">
        <f>IF(B1260=0,VLOOKUP(A1260,Feuil2!$A$2:$M$1241,2,FALSE)," ")</f>
        <v>DAHMANI</v>
      </c>
      <c r="D1260" s="1" t="str">
        <f>IF(B1260=0,VLOOKUP(A1260,Feuil2!$A$2:$M$1241,3,FALSE)," ")</f>
        <v>SALAH</v>
      </c>
      <c r="E1260" s="5">
        <f>IF(B1260=0,VLOOKUP(A1260,Feuil2!$A$2:$M$1241,6,FALSE)," ")</f>
        <v>23792</v>
      </c>
      <c r="F1260" s="1" t="str">
        <f>IF(B1260=0,VLOOKUP(A1260,Feuil2!$A$2:$M$1241,12,FALSE)," ")</f>
        <v>H</v>
      </c>
      <c r="G1260" s="1" t="str">
        <f>IF(B1260=0,VLOOKUP(A1260,Feuil2!$A$2:$M$1241,11,FALSE)," ")</f>
        <v>M</v>
      </c>
      <c r="H1260" s="1" t="s">
        <v>16</v>
      </c>
      <c r="I1260" s="6">
        <f>IF(B1260=0,VLOOKUP(A1260,Feuil2!$A$2:$M$1241,7,FALSE)," ")</f>
        <v>2963893</v>
      </c>
      <c r="J1260" s="1" t="str">
        <f>IF(B1260=0,VLOOKUP(A1260,Feuil2!$A$2:$M$1241,9,FALSE)," ")</f>
        <v>23 Rue Dahmani Bougi</v>
      </c>
      <c r="K1260" s="1" t="str">
        <f>IF(B1260=0,VLOOKUP(A1260,Feuil2!$A$2:$M$1241,10,FALSE)," ")</f>
        <v>Msaken 4070</v>
      </c>
      <c r="L1260" s="1">
        <v>4070</v>
      </c>
      <c r="M1260" s="1">
        <v>98783256</v>
      </c>
      <c r="N1260" s="1"/>
      <c r="O1260" s="8" t="str">
        <f>IF(B1260=0,VLOOKUP(A1260,Feuil2!$A$2:$M$1241,13,FALSE)," ")</f>
        <v>04204067404001012830</v>
      </c>
    </row>
    <row r="1261" spans="1:15" x14ac:dyDescent="0.3">
      <c r="A1261" s="1">
        <v>1765</v>
      </c>
      <c r="B1261" s="1">
        <v>1</v>
      </c>
      <c r="C1261" s="1" t="str">
        <f>IF(B1261=0,VLOOKUP(A1261,Feuil2!$A$2:$M$1241,2,FALSE)," ")</f>
        <v xml:space="preserve"> </v>
      </c>
      <c r="D1261" s="1" t="s">
        <v>413</v>
      </c>
      <c r="E1261" s="5">
        <v>27900</v>
      </c>
      <c r="F1261" s="1" t="s">
        <v>17</v>
      </c>
      <c r="G1261" s="1" t="s">
        <v>15</v>
      </c>
      <c r="H1261" s="1" t="s">
        <v>16</v>
      </c>
      <c r="I1261" s="6" t="str">
        <f>IF(B1261=0,VLOOKUP(A1261,Feuil2!$A$2:$M$1241,7,FALSE)," ")</f>
        <v xml:space="preserve"> </v>
      </c>
      <c r="J1261" s="1" t="str">
        <f>IF(B1261=0,VLOOKUP(A1261,Feuil2!$A$2:$M$1241,9,FALSE)," ")</f>
        <v xml:space="preserve"> </v>
      </c>
      <c r="K1261" s="1" t="str">
        <f>IF(B1261=0,VLOOKUP(A1261,Feuil2!$A$2:$M$1241,10,FALSE)," ")</f>
        <v xml:space="preserve"> </v>
      </c>
      <c r="L1261" s="1"/>
      <c r="M1261" s="1"/>
      <c r="N1261" s="1"/>
      <c r="O1261" s="8" t="str">
        <f>IF(B1261=0,VLOOKUP(A1261,Feuil2!$A$2:$M$1241,13,FALSE)," ")</f>
        <v xml:space="preserve"> </v>
      </c>
    </row>
    <row r="1262" spans="1:15" x14ac:dyDescent="0.3">
      <c r="A1262" s="1">
        <v>1765</v>
      </c>
      <c r="B1262" s="1">
        <v>2</v>
      </c>
      <c r="C1262" s="1" t="s">
        <v>46</v>
      </c>
      <c r="D1262" s="1" t="s">
        <v>384</v>
      </c>
      <c r="E1262" s="5">
        <v>38019</v>
      </c>
      <c r="F1262" s="1" t="s">
        <v>506</v>
      </c>
      <c r="G1262" s="1" t="str">
        <f>IF(B1262=0,VLOOKUP(A1262,Feuil2!$A$2:$M$1241,11,FALSE)," ")</f>
        <v xml:space="preserve"> </v>
      </c>
      <c r="H1262" s="1" t="s">
        <v>16</v>
      </c>
      <c r="I1262" s="6" t="str">
        <f>IF(B1262=0,VLOOKUP(A1262,Feuil2!$A$2:$M$1241,7,FALSE)," ")</f>
        <v xml:space="preserve"> </v>
      </c>
      <c r="J1262" s="1" t="str">
        <f>IF(B1262=0,VLOOKUP(A1262,Feuil2!$A$2:$M$1241,9,FALSE)," ")</f>
        <v xml:space="preserve"> </v>
      </c>
      <c r="K1262" s="1" t="str">
        <f>IF(B1262=0,VLOOKUP(A1262,Feuil2!$A$2:$M$1241,10,FALSE)," ")</f>
        <v xml:space="preserve"> </v>
      </c>
      <c r="L1262" s="1"/>
      <c r="M1262" s="1"/>
      <c r="N1262" s="1"/>
      <c r="O1262" s="8" t="str">
        <f>IF(B1262=0,VLOOKUP(A1262,Feuil2!$A$2:$M$1241,13,FALSE)," ")</f>
        <v xml:space="preserve"> </v>
      </c>
    </row>
    <row r="1263" spans="1:15" x14ac:dyDescent="0.3">
      <c r="A1263" s="1">
        <v>1765</v>
      </c>
      <c r="B1263" s="1">
        <v>3</v>
      </c>
      <c r="C1263" s="1" t="s">
        <v>46</v>
      </c>
      <c r="D1263" s="1" t="s">
        <v>2696</v>
      </c>
      <c r="E1263" s="5">
        <v>39279</v>
      </c>
      <c r="F1263" s="1" t="s">
        <v>17</v>
      </c>
      <c r="G1263" s="1" t="str">
        <f>IF(B1263=0,VLOOKUP(A1263,Feuil2!$A$2:$M$1241,11,FALSE)," ")</f>
        <v xml:space="preserve"> </v>
      </c>
      <c r="H1263" s="1" t="s">
        <v>16</v>
      </c>
      <c r="I1263" s="6" t="str">
        <f>IF(B1263=0,VLOOKUP(A1263,Feuil2!$A$2:$M$1241,7,FALSE)," ")</f>
        <v xml:space="preserve"> </v>
      </c>
      <c r="J1263" s="1" t="str">
        <f>IF(B1263=0,VLOOKUP(A1263,Feuil2!$A$2:$M$1241,9,FALSE)," ")</f>
        <v xml:space="preserve"> </v>
      </c>
      <c r="K1263" s="1" t="str">
        <f>IF(B1263=0,VLOOKUP(A1263,Feuil2!$A$2:$M$1241,10,FALSE)," ")</f>
        <v xml:space="preserve"> </v>
      </c>
      <c r="L1263" s="1"/>
      <c r="M1263" s="1"/>
      <c r="N1263" s="1"/>
      <c r="O1263" s="8" t="str">
        <f>IF(B1263=0,VLOOKUP(A1263,Feuil2!$A$2:$M$1241,13,FALSE)," ")</f>
        <v xml:space="preserve"> </v>
      </c>
    </row>
    <row r="1264" spans="1:15" x14ac:dyDescent="0.3">
      <c r="A1264" s="1">
        <v>1765</v>
      </c>
      <c r="B1264" s="1">
        <v>4</v>
      </c>
      <c r="C1264" s="1" t="s">
        <v>46</v>
      </c>
      <c r="D1264" s="1" t="s">
        <v>2521</v>
      </c>
      <c r="E1264" s="5">
        <v>40213</v>
      </c>
      <c r="F1264" s="1" t="s">
        <v>506</v>
      </c>
      <c r="G1264" s="1" t="str">
        <f>IF(B1264=0,VLOOKUP(A1264,Feuil2!$A$2:$M$1241,11,FALSE)," ")</f>
        <v xml:space="preserve"> </v>
      </c>
      <c r="H1264" s="1" t="s">
        <v>16</v>
      </c>
      <c r="I1264" s="6" t="str">
        <f>IF(B1264=0,VLOOKUP(A1264,Feuil2!$A$2:$M$1241,7,FALSE)," ")</f>
        <v xml:space="preserve"> </v>
      </c>
      <c r="J1264" s="1" t="str">
        <f>IF(B1264=0,VLOOKUP(A1264,Feuil2!$A$2:$M$1241,9,FALSE)," ")</f>
        <v xml:space="preserve"> </v>
      </c>
      <c r="K1264" s="1" t="str">
        <f>IF(B1264=0,VLOOKUP(A1264,Feuil2!$A$2:$M$1241,10,FALSE)," ")</f>
        <v xml:space="preserve"> </v>
      </c>
      <c r="L1264" s="1"/>
      <c r="M1264" s="1"/>
      <c r="N1264" s="1"/>
      <c r="O1264" s="8" t="str">
        <f>IF(B1264=0,VLOOKUP(A1264,Feuil2!$A$2:$M$1241,13,FALSE)," ")</f>
        <v xml:space="preserve"> </v>
      </c>
    </row>
    <row r="1265" spans="1:15" x14ac:dyDescent="0.3">
      <c r="A1265" s="1">
        <v>1767</v>
      </c>
      <c r="B1265" s="1">
        <v>0</v>
      </c>
      <c r="C1265" s="1" t="str">
        <f>IF(B1265=0,VLOOKUP(A1265,Feuil2!$A$2:$M$1241,2,FALSE)," ")</f>
        <v>B.H.SGHAIER</v>
      </c>
      <c r="D1265" s="1" t="str">
        <f>IF(B1265=0,VLOOKUP(A1265,Feuil2!$A$2:$M$1241,3,FALSE)," ")</f>
        <v>NAOUFEL</v>
      </c>
      <c r="E1265" s="5">
        <f>IF(B1265=0,VLOOKUP(A1265,Feuil2!$A$2:$M$1241,6,FALSE)," ")</f>
        <v>29103</v>
      </c>
      <c r="F1265" s="1" t="str">
        <f>IF(B1265=0,VLOOKUP(A1265,Feuil2!$A$2:$M$1241,12,FALSE)," ")</f>
        <v>H</v>
      </c>
      <c r="G1265" s="1" t="str">
        <f>IF(B1265=0,VLOOKUP(A1265,Feuil2!$A$2:$M$1241,11,FALSE)," ")</f>
        <v>M</v>
      </c>
      <c r="H1265" s="1" t="s">
        <v>16</v>
      </c>
      <c r="I1265" s="6">
        <f>IF(B1265=0,VLOOKUP(A1265,Feuil2!$A$2:$M$1241,7,FALSE)," ")</f>
        <v>5581140</v>
      </c>
      <c r="J1265" s="1" t="str">
        <f>IF(B1265=0,VLOOKUP(A1265,Feuil2!$A$2:$M$1241,9,FALSE)," ")</f>
        <v>4 Rue Ezzouhour</v>
      </c>
      <c r="K1265" s="1" t="str">
        <f>IF(B1265=0,VLOOKUP(A1265,Feuil2!$A$2:$M$1241,10,FALSE)," ")</f>
        <v>Msaken 4070</v>
      </c>
      <c r="L1265" s="1">
        <v>4070</v>
      </c>
      <c r="M1265" s="1">
        <v>98481069</v>
      </c>
      <c r="N1265" s="1"/>
      <c r="O1265" s="8" t="str">
        <f>IF(B1265=0,VLOOKUP(A1265,Feuil2!$A$2:$M$1241,13,FALSE)," ")</f>
        <v>10506040518515178824</v>
      </c>
    </row>
    <row r="1266" spans="1:15" x14ac:dyDescent="0.3">
      <c r="A1266" s="1">
        <v>1767</v>
      </c>
      <c r="B1266" s="1">
        <v>1</v>
      </c>
      <c r="C1266" s="1" t="s">
        <v>103</v>
      </c>
      <c r="D1266" s="1" t="s">
        <v>2666</v>
      </c>
      <c r="E1266" s="5">
        <v>31404</v>
      </c>
      <c r="F1266" s="1" t="s">
        <v>17</v>
      </c>
      <c r="G1266" s="1" t="s">
        <v>15</v>
      </c>
      <c r="H1266" s="1" t="s">
        <v>16</v>
      </c>
      <c r="I1266" s="6" t="str">
        <f>IF(B1266=0,VLOOKUP(A1266,Feuil2!$A$2:$M$1241,7,FALSE)," ")</f>
        <v xml:space="preserve"> </v>
      </c>
      <c r="J1266" s="1" t="str">
        <f>IF(B1266=0,VLOOKUP(A1266,Feuil2!$A$2:$M$1241,9,FALSE)," ")</f>
        <v xml:space="preserve"> </v>
      </c>
      <c r="K1266" s="1" t="str">
        <f>IF(B1266=0,VLOOKUP(A1266,Feuil2!$A$2:$M$1241,10,FALSE)," ")</f>
        <v xml:space="preserve"> </v>
      </c>
      <c r="L1266" s="1"/>
      <c r="M1266" s="1"/>
      <c r="N1266" s="1"/>
      <c r="O1266" s="8" t="str">
        <f>IF(B1266=0,VLOOKUP(A1266,Feuil2!$A$2:$M$1241,13,FALSE)," ")</f>
        <v xml:space="preserve"> </v>
      </c>
    </row>
    <row r="1267" spans="1:15" x14ac:dyDescent="0.3">
      <c r="A1267" s="1">
        <v>1767</v>
      </c>
      <c r="B1267" s="1">
        <v>2</v>
      </c>
      <c r="C1267" s="1" t="s">
        <v>1674</v>
      </c>
      <c r="D1267" s="1" t="s">
        <v>2377</v>
      </c>
      <c r="E1267" s="5">
        <v>38390</v>
      </c>
      <c r="F1267" s="1" t="s">
        <v>17</v>
      </c>
      <c r="G1267" s="1" t="str">
        <f>IF(B1267=0,VLOOKUP(A1267,Feuil2!$A$2:$M$1241,11,FALSE)," ")</f>
        <v xml:space="preserve"> </v>
      </c>
      <c r="H1267" s="1" t="s">
        <v>16</v>
      </c>
      <c r="I1267" s="6" t="str">
        <f>IF(B1267=0,VLOOKUP(A1267,Feuil2!$A$2:$M$1241,7,FALSE)," ")</f>
        <v xml:space="preserve"> </v>
      </c>
      <c r="J1267" s="1" t="str">
        <f>IF(B1267=0,VLOOKUP(A1267,Feuil2!$A$2:$M$1241,9,FALSE)," ")</f>
        <v xml:space="preserve"> </v>
      </c>
      <c r="K1267" s="1" t="str">
        <f>IF(B1267=0,VLOOKUP(A1267,Feuil2!$A$2:$M$1241,10,FALSE)," ")</f>
        <v xml:space="preserve"> </v>
      </c>
      <c r="L1267" s="1"/>
      <c r="M1267" s="1"/>
      <c r="N1267" s="1"/>
      <c r="O1267" s="8" t="str">
        <f>IF(B1267=0,VLOOKUP(A1267,Feuil2!$A$2:$M$1241,13,FALSE)," ")</f>
        <v xml:space="preserve"> </v>
      </c>
    </row>
    <row r="1268" spans="1:15" x14ac:dyDescent="0.3">
      <c r="A1268" s="1">
        <v>1767</v>
      </c>
      <c r="B1268" s="1">
        <v>3</v>
      </c>
      <c r="C1268" s="1" t="s">
        <v>1674</v>
      </c>
      <c r="D1268" s="1" t="s">
        <v>2624</v>
      </c>
      <c r="E1268" s="5">
        <v>39104</v>
      </c>
      <c r="F1268" s="1" t="s">
        <v>506</v>
      </c>
      <c r="G1268" s="1" t="str">
        <f>IF(B1268=0,VLOOKUP(A1268,Feuil2!$A$2:$M$1241,11,FALSE)," ")</f>
        <v xml:space="preserve"> </v>
      </c>
      <c r="H1268" s="1" t="s">
        <v>16</v>
      </c>
      <c r="I1268" s="6" t="str">
        <f>IF(B1268=0,VLOOKUP(A1268,Feuil2!$A$2:$M$1241,7,FALSE)," ")</f>
        <v xml:space="preserve"> </v>
      </c>
      <c r="J1268" s="1" t="str">
        <f>IF(B1268=0,VLOOKUP(A1268,Feuil2!$A$2:$M$1241,9,FALSE)," ")</f>
        <v xml:space="preserve"> </v>
      </c>
      <c r="K1268" s="1" t="str">
        <f>IF(B1268=0,VLOOKUP(A1268,Feuil2!$A$2:$M$1241,10,FALSE)," ")</f>
        <v xml:space="preserve"> </v>
      </c>
      <c r="L1268" s="1"/>
      <c r="M1268" s="1"/>
      <c r="N1268" s="1"/>
      <c r="O1268" s="8" t="str">
        <f>IF(B1268=0,VLOOKUP(A1268,Feuil2!$A$2:$M$1241,13,FALSE)," ")</f>
        <v xml:space="preserve"> </v>
      </c>
    </row>
    <row r="1269" spans="1:15" x14ac:dyDescent="0.3">
      <c r="A1269" s="1">
        <v>1767</v>
      </c>
      <c r="B1269" s="1">
        <v>4</v>
      </c>
      <c r="C1269" s="1" t="s">
        <v>1674</v>
      </c>
      <c r="D1269" s="1" t="s">
        <v>2572</v>
      </c>
      <c r="E1269" s="5">
        <v>41314</v>
      </c>
      <c r="F1269" s="1" t="s">
        <v>506</v>
      </c>
      <c r="G1269" s="1" t="str">
        <f>IF(B1269=0,VLOOKUP(A1269,Feuil2!$A$2:$M$1241,11,FALSE)," ")</f>
        <v xml:space="preserve"> </v>
      </c>
      <c r="H1269" s="1" t="s">
        <v>16</v>
      </c>
      <c r="I1269" s="6" t="str">
        <f>IF(B1269=0,VLOOKUP(A1269,Feuil2!$A$2:$M$1241,7,FALSE)," ")</f>
        <v xml:space="preserve"> </v>
      </c>
      <c r="J1269" s="1" t="str">
        <f>IF(B1269=0,VLOOKUP(A1269,Feuil2!$A$2:$M$1241,9,FALSE)," ")</f>
        <v xml:space="preserve"> </v>
      </c>
      <c r="K1269" s="1" t="str">
        <f>IF(B1269=0,VLOOKUP(A1269,Feuil2!$A$2:$M$1241,10,FALSE)," ")</f>
        <v xml:space="preserve"> </v>
      </c>
      <c r="L1269" s="1"/>
      <c r="M1269" s="1"/>
      <c r="N1269" s="1"/>
      <c r="O1269" s="8" t="str">
        <f>IF(B1269=0,VLOOKUP(A1269,Feuil2!$A$2:$M$1241,13,FALSE)," ")</f>
        <v xml:space="preserve"> </v>
      </c>
    </row>
    <row r="1270" spans="1:15" x14ac:dyDescent="0.3">
      <c r="A1270" s="1">
        <v>1768</v>
      </c>
      <c r="B1270" s="1">
        <v>0</v>
      </c>
      <c r="C1270" s="1" t="str">
        <f>IF(B1270=0,VLOOKUP(A1270,Feuil2!$A$2:$M$1241,2,FALSE)," ")</f>
        <v>LADJIMI</v>
      </c>
      <c r="D1270" s="1" t="str">
        <f>IF(B1270=0,VLOOKUP(A1270,Feuil2!$A$2:$M$1241,3,FALSE)," ")</f>
        <v>MAHER</v>
      </c>
      <c r="E1270" s="5">
        <f>IF(B1270=0,VLOOKUP(A1270,Feuil2!$A$2:$M$1241,6,FALSE)," ")</f>
        <v>26698</v>
      </c>
      <c r="F1270" s="1" t="str">
        <f>IF(B1270=0,VLOOKUP(A1270,Feuil2!$A$2:$M$1241,12,FALSE)," ")</f>
        <v>H</v>
      </c>
      <c r="G1270" s="1" t="str">
        <f>IF(B1270=0,VLOOKUP(A1270,Feuil2!$A$2:$M$1241,11,FALSE)," ")</f>
        <v>M</v>
      </c>
      <c r="H1270" s="1" t="s">
        <v>16</v>
      </c>
      <c r="I1270" s="6">
        <f>IF(B1270=0,VLOOKUP(A1270,Feuil2!$A$2:$M$1241,7,FALSE)," ")</f>
        <v>5539321</v>
      </c>
      <c r="J1270" s="1" t="str">
        <f>IF(B1270=0,VLOOKUP(A1270,Feuil2!$A$2:$M$1241,9,FALSE)," ")</f>
        <v>8 Rue KÃ¢ab Ibn Zoubaier</v>
      </c>
      <c r="K1270" s="1" t="str">
        <f>IF(B1270=0,VLOOKUP(A1270,Feuil2!$A$2:$M$1241,10,FALSE)," ")</f>
        <v>Sousse</v>
      </c>
      <c r="L1270" s="1"/>
      <c r="M1270" s="1">
        <v>98961176</v>
      </c>
      <c r="N1270" s="1"/>
      <c r="O1270" s="8" t="str">
        <f>IF(B1270=0,VLOOKUP(A1270,Feuil2!$A$2:$M$1241,13,FALSE)," ")</f>
        <v>12015000000223791516</v>
      </c>
    </row>
    <row r="1271" spans="1:15" x14ac:dyDescent="0.3">
      <c r="A1271" s="1">
        <v>1768</v>
      </c>
      <c r="B1271" s="1">
        <v>1</v>
      </c>
      <c r="C1271" s="1" t="s">
        <v>2700</v>
      </c>
      <c r="D1271" s="1" t="s">
        <v>413</v>
      </c>
      <c r="E1271" s="5">
        <v>27852</v>
      </c>
      <c r="F1271" s="1" t="s">
        <v>17</v>
      </c>
      <c r="G1271" s="1" t="s">
        <v>15</v>
      </c>
      <c r="H1271" s="1" t="s">
        <v>16</v>
      </c>
      <c r="I1271" s="6" t="str">
        <f>IF(B1271=0,VLOOKUP(A1271,Feuil2!$A$2:$M$1241,7,FALSE)," ")</f>
        <v xml:space="preserve"> </v>
      </c>
      <c r="J1271" s="1" t="str">
        <f>IF(B1271=0,VLOOKUP(A1271,Feuil2!$A$2:$M$1241,9,FALSE)," ")</f>
        <v xml:space="preserve"> </v>
      </c>
      <c r="K1271" s="1" t="str">
        <f>IF(B1271=0,VLOOKUP(A1271,Feuil2!$A$2:$M$1241,10,FALSE)," ")</f>
        <v xml:space="preserve"> </v>
      </c>
      <c r="L1271" s="1"/>
      <c r="M1271" s="1"/>
      <c r="N1271" s="1"/>
      <c r="O1271" s="8" t="str">
        <f>IF(B1271=0,VLOOKUP(A1271,Feuil2!$A$2:$M$1241,13,FALSE)," ")</f>
        <v xml:space="preserve"> </v>
      </c>
    </row>
    <row r="1272" spans="1:15" x14ac:dyDescent="0.3">
      <c r="A1272" s="1">
        <v>1768</v>
      </c>
      <c r="B1272" s="1">
        <v>2</v>
      </c>
      <c r="C1272" s="1" t="s">
        <v>325</v>
      </c>
      <c r="D1272" s="1" t="s">
        <v>2579</v>
      </c>
      <c r="E1272" s="5">
        <v>38994</v>
      </c>
      <c r="F1272" s="1" t="s">
        <v>17</v>
      </c>
      <c r="G1272" s="1" t="str">
        <f>IF(B1272=0,VLOOKUP(A1272,Feuil2!$A$2:$M$1241,11,FALSE)," ")</f>
        <v xml:space="preserve"> </v>
      </c>
      <c r="H1272" s="1" t="s">
        <v>16</v>
      </c>
      <c r="I1272" s="6" t="str">
        <f>IF(B1272=0,VLOOKUP(A1272,Feuil2!$A$2:$M$1241,7,FALSE)," ")</f>
        <v xml:space="preserve"> </v>
      </c>
      <c r="J1272" s="1" t="str">
        <f>IF(B1272=0,VLOOKUP(A1272,Feuil2!$A$2:$M$1241,9,FALSE)," ")</f>
        <v xml:space="preserve"> </v>
      </c>
      <c r="K1272" s="1" t="str">
        <f>IF(B1272=0,VLOOKUP(A1272,Feuil2!$A$2:$M$1241,10,FALSE)," ")</f>
        <v xml:space="preserve"> </v>
      </c>
      <c r="L1272" s="1"/>
      <c r="M1272" s="1"/>
      <c r="N1272" s="1"/>
      <c r="O1272" s="8" t="str">
        <f>IF(B1272=0,VLOOKUP(A1272,Feuil2!$A$2:$M$1241,13,FALSE)," ")</f>
        <v xml:space="preserve"> </v>
      </c>
    </row>
    <row r="1273" spans="1:15" x14ac:dyDescent="0.3">
      <c r="A1273" s="1">
        <v>1768</v>
      </c>
      <c r="B1273" s="1">
        <v>3</v>
      </c>
      <c r="C1273" s="1" t="s">
        <v>325</v>
      </c>
      <c r="D1273" s="1" t="s">
        <v>2435</v>
      </c>
      <c r="E1273" s="5">
        <v>41241</v>
      </c>
      <c r="F1273" s="1" t="s">
        <v>17</v>
      </c>
      <c r="G1273" s="1" t="str">
        <f>IF(B1273=0,VLOOKUP(A1273,Feuil2!$A$2:$M$1241,11,FALSE)," ")</f>
        <v xml:space="preserve"> </v>
      </c>
      <c r="H1273" s="1" t="s">
        <v>16</v>
      </c>
      <c r="I1273" s="6" t="str">
        <f>IF(B1273=0,VLOOKUP(A1273,Feuil2!$A$2:$M$1241,7,FALSE)," ")</f>
        <v xml:space="preserve"> </v>
      </c>
      <c r="J1273" s="1" t="str">
        <f>IF(B1273=0,VLOOKUP(A1273,Feuil2!$A$2:$M$1241,9,FALSE)," ")</f>
        <v xml:space="preserve"> </v>
      </c>
      <c r="K1273" s="1" t="str">
        <f>IF(B1273=0,VLOOKUP(A1273,Feuil2!$A$2:$M$1241,10,FALSE)," ")</f>
        <v xml:space="preserve"> </v>
      </c>
      <c r="L1273" s="1"/>
      <c r="M1273" s="1"/>
      <c r="N1273" s="1"/>
      <c r="O1273" s="8" t="str">
        <f>IF(B1273=0,VLOOKUP(A1273,Feuil2!$A$2:$M$1241,13,FALSE)," ")</f>
        <v xml:space="preserve"> </v>
      </c>
    </row>
    <row r="1274" spans="1:15" x14ac:dyDescent="0.3">
      <c r="A1274" s="1">
        <v>1771</v>
      </c>
      <c r="B1274" s="1">
        <v>0</v>
      </c>
      <c r="C1274" s="1" t="str">
        <f>IF(B1274=0,VLOOKUP(A1274,Feuil2!$A$2:$M$1241,2,FALSE)," ")</f>
        <v>ATTIA</v>
      </c>
      <c r="D1274" s="1" t="str">
        <f>IF(B1274=0,VLOOKUP(A1274,Feuil2!$A$2:$M$1241,3,FALSE)," ")</f>
        <v>KARIM</v>
      </c>
      <c r="E1274" s="5">
        <f>IF(B1274=0,VLOOKUP(A1274,Feuil2!$A$2:$M$1241,6,FALSE)," ")</f>
        <v>28432</v>
      </c>
      <c r="F1274" s="1" t="str">
        <f>IF(B1274=0,VLOOKUP(A1274,Feuil2!$A$2:$M$1241,12,FALSE)," ")</f>
        <v>H</v>
      </c>
      <c r="G1274" s="1" t="str">
        <f>IF(B1274=0,VLOOKUP(A1274,Feuil2!$A$2:$M$1241,11,FALSE)," ")</f>
        <v>C</v>
      </c>
      <c r="H1274" s="1" t="s">
        <v>16</v>
      </c>
      <c r="I1274" s="6">
        <f>IF(B1274=0,VLOOKUP(A1274,Feuil2!$A$2:$M$1241,7,FALSE)," ")</f>
        <v>8431130</v>
      </c>
      <c r="J1274" s="1" t="str">
        <f>IF(B1274=0,VLOOKUP(A1274,Feuil2!$A$2:$M$1241,9,FALSE)," ")</f>
        <v>34, Rue Essafa</v>
      </c>
      <c r="K1274" s="1" t="str">
        <f>IF(B1274=0,VLOOKUP(A1274,Feuil2!$A$2:$M$1241,10,FALSE)," ")</f>
        <v>Msaken 4070</v>
      </c>
      <c r="L1274" s="1">
        <v>4070</v>
      </c>
      <c r="M1274" s="1">
        <v>28393032</v>
      </c>
      <c r="N1274" s="1"/>
      <c r="O1274" s="8" t="str">
        <f>IF(B1274=0,VLOOKUP(A1274,Feuil2!$A$2:$M$1241,13,FALSE)," ")</f>
        <v>12064000000226942490</v>
      </c>
    </row>
    <row r="1275" spans="1:15" x14ac:dyDescent="0.3">
      <c r="A1275" s="1">
        <v>1773</v>
      </c>
      <c r="B1275" s="1">
        <v>0</v>
      </c>
      <c r="C1275" s="1" t="str">
        <f>IF(B1275=0,VLOOKUP(A1275,Feuil2!$A$2:$M$1241,2,FALSE)," ")</f>
        <v>GAIEB</v>
      </c>
      <c r="D1275" s="1" t="str">
        <f>IF(B1275=0,VLOOKUP(A1275,Feuil2!$A$2:$M$1241,3,FALSE)," ")</f>
        <v>SAMI</v>
      </c>
      <c r="E1275" s="5">
        <f>IF(B1275=0,VLOOKUP(A1275,Feuil2!$A$2:$M$1241,6,FALSE)," ")</f>
        <v>27797</v>
      </c>
      <c r="F1275" s="1" t="str">
        <f>IF(B1275=0,VLOOKUP(A1275,Feuil2!$A$2:$M$1241,12,FALSE)," ")</f>
        <v>H</v>
      </c>
      <c r="G1275" s="1" t="str">
        <f>IF(B1275=0,VLOOKUP(A1275,Feuil2!$A$2:$M$1241,11,FALSE)," ")</f>
        <v>M</v>
      </c>
      <c r="H1275" s="1" t="s">
        <v>16</v>
      </c>
      <c r="I1275" s="6">
        <f>IF(B1275=0,VLOOKUP(A1275,Feuil2!$A$2:$M$1241,7,FALSE)," ")</f>
        <v>5548423</v>
      </c>
      <c r="J1275" s="1" t="str">
        <f>IF(B1275=0,VLOOKUP(A1275,Feuil2!$A$2:$M$1241,9,FALSE)," ")</f>
        <v>15 Rue Sidi  Abar</v>
      </c>
      <c r="K1275" s="1" t="str">
        <f>IF(B1275=0,VLOOKUP(A1275,Feuil2!$A$2:$M$1241,10,FALSE)," ")</f>
        <v>Msaken 4070</v>
      </c>
      <c r="L1275" s="1">
        <v>4070</v>
      </c>
      <c r="M1275" s="1">
        <v>22834092</v>
      </c>
      <c r="N1275" s="1"/>
      <c r="O1275" s="8" t="str">
        <f>IF(B1275=0,VLOOKUP(A1275,Feuil2!$A$2:$M$1241,13,FALSE)," ")</f>
        <v>12505000580104409579</v>
      </c>
    </row>
    <row r="1276" spans="1:15" x14ac:dyDescent="0.3">
      <c r="A1276" s="1">
        <v>1773</v>
      </c>
      <c r="B1276" s="1">
        <v>1</v>
      </c>
      <c r="C1276" s="1" t="s">
        <v>283</v>
      </c>
      <c r="D1276" s="1" t="s">
        <v>2682</v>
      </c>
      <c r="E1276" s="5">
        <v>31358</v>
      </c>
      <c r="F1276" s="1" t="s">
        <v>17</v>
      </c>
      <c r="G1276" s="1" t="s">
        <v>15</v>
      </c>
      <c r="H1276" s="1" t="s">
        <v>16</v>
      </c>
      <c r="I1276" s="6" t="str">
        <f>IF(B1276=0,VLOOKUP(A1276,Feuil2!$A$2:$M$1241,7,FALSE)," ")</f>
        <v xml:space="preserve"> </v>
      </c>
      <c r="J1276" s="1" t="str">
        <f>IF(B1276=0,VLOOKUP(A1276,Feuil2!$A$2:$M$1241,9,FALSE)," ")</f>
        <v xml:space="preserve"> </v>
      </c>
      <c r="K1276" s="1" t="str">
        <f>IF(B1276=0,VLOOKUP(A1276,Feuil2!$A$2:$M$1241,10,FALSE)," ")</f>
        <v xml:space="preserve"> </v>
      </c>
      <c r="L1276" s="1"/>
      <c r="M1276" s="1"/>
      <c r="N1276" s="1"/>
      <c r="O1276" s="8" t="str">
        <f>IF(B1276=0,VLOOKUP(A1276,Feuil2!$A$2:$M$1241,13,FALSE)," ")</f>
        <v xml:space="preserve"> </v>
      </c>
    </row>
    <row r="1277" spans="1:15" x14ac:dyDescent="0.3">
      <c r="A1277" s="1">
        <v>1773</v>
      </c>
      <c r="B1277" s="1">
        <v>2</v>
      </c>
      <c r="C1277" s="1" t="s">
        <v>307</v>
      </c>
      <c r="D1277" s="1" t="s">
        <v>2621</v>
      </c>
      <c r="E1277" s="5">
        <v>41736</v>
      </c>
      <c r="F1277" s="1" t="s">
        <v>17</v>
      </c>
      <c r="G1277" s="1" t="str">
        <f>IF(B1277=0,VLOOKUP(A1277,Feuil2!$A$2:$M$1241,11,FALSE)," ")</f>
        <v xml:space="preserve"> </v>
      </c>
      <c r="H1277" s="1" t="s">
        <v>16</v>
      </c>
      <c r="I1277" s="6" t="str">
        <f>IF(B1277=0,VLOOKUP(A1277,Feuil2!$A$2:$M$1241,7,FALSE)," ")</f>
        <v xml:space="preserve"> </v>
      </c>
      <c r="J1277" s="1" t="str">
        <f>IF(B1277=0,VLOOKUP(A1277,Feuil2!$A$2:$M$1241,9,FALSE)," ")</f>
        <v xml:space="preserve"> </v>
      </c>
      <c r="K1277" s="1" t="str">
        <f>IF(B1277=0,VLOOKUP(A1277,Feuil2!$A$2:$M$1241,10,FALSE)," ")</f>
        <v xml:space="preserve"> </v>
      </c>
      <c r="L1277" s="1"/>
      <c r="M1277" s="1"/>
      <c r="N1277" s="1"/>
      <c r="O1277" s="8" t="str">
        <f>IF(B1277=0,VLOOKUP(A1277,Feuil2!$A$2:$M$1241,13,FALSE)," ")</f>
        <v xml:space="preserve"> </v>
      </c>
    </row>
    <row r="1278" spans="1:15" x14ac:dyDescent="0.3">
      <c r="A1278" s="1">
        <v>1773</v>
      </c>
      <c r="B1278" s="1">
        <v>3</v>
      </c>
      <c r="C1278" s="1" t="s">
        <v>307</v>
      </c>
      <c r="D1278" s="1" t="s">
        <v>2701</v>
      </c>
      <c r="E1278" s="5">
        <v>42513</v>
      </c>
      <c r="F1278" s="1" t="s">
        <v>17</v>
      </c>
      <c r="G1278" s="1" t="str">
        <f>IF(B1278=0,VLOOKUP(A1278,Feuil2!$A$2:$M$1241,11,FALSE)," ")</f>
        <v xml:space="preserve"> </v>
      </c>
      <c r="H1278" s="1" t="s">
        <v>16</v>
      </c>
      <c r="I1278" s="6" t="str">
        <f>IF(B1278=0,VLOOKUP(A1278,Feuil2!$A$2:$M$1241,7,FALSE)," ")</f>
        <v xml:space="preserve"> </v>
      </c>
      <c r="J1278" s="1" t="str">
        <f>IF(B1278=0,VLOOKUP(A1278,Feuil2!$A$2:$M$1241,9,FALSE)," ")</f>
        <v xml:space="preserve"> </v>
      </c>
      <c r="K1278" s="1" t="str">
        <f>IF(B1278=0,VLOOKUP(A1278,Feuil2!$A$2:$M$1241,10,FALSE)," ")</f>
        <v xml:space="preserve"> </v>
      </c>
      <c r="L1278" s="1"/>
      <c r="M1278" s="1"/>
      <c r="N1278" s="1"/>
      <c r="O1278" s="8" t="str">
        <f>IF(B1278=0,VLOOKUP(A1278,Feuil2!$A$2:$M$1241,13,FALSE)," ")</f>
        <v xml:space="preserve"> </v>
      </c>
    </row>
    <row r="1279" spans="1:15" x14ac:dyDescent="0.3">
      <c r="A1279" s="1">
        <v>1773</v>
      </c>
      <c r="B1279" s="1">
        <v>4</v>
      </c>
      <c r="C1279" s="1" t="s">
        <v>307</v>
      </c>
      <c r="D1279" s="1" t="s">
        <v>2695</v>
      </c>
      <c r="E1279" s="5">
        <v>43388</v>
      </c>
      <c r="F1279" s="1" t="s">
        <v>17</v>
      </c>
      <c r="G1279" s="1" t="str">
        <f>IF(B1279=0,VLOOKUP(A1279,Feuil2!$A$2:$M$1241,11,FALSE)," ")</f>
        <v xml:space="preserve"> </v>
      </c>
      <c r="H1279" s="1" t="s">
        <v>16</v>
      </c>
      <c r="I1279" s="6" t="str">
        <f>IF(B1279=0,VLOOKUP(A1279,Feuil2!$A$2:$M$1241,7,FALSE)," ")</f>
        <v xml:space="preserve"> </v>
      </c>
      <c r="J1279" s="1" t="str">
        <f>IF(B1279=0,VLOOKUP(A1279,Feuil2!$A$2:$M$1241,9,FALSE)," ")</f>
        <v xml:space="preserve"> </v>
      </c>
      <c r="K1279" s="1" t="str">
        <f>IF(B1279=0,VLOOKUP(A1279,Feuil2!$A$2:$M$1241,10,FALSE)," ")</f>
        <v xml:space="preserve"> </v>
      </c>
      <c r="L1279" s="1"/>
      <c r="M1279" s="1"/>
      <c r="N1279" s="1"/>
      <c r="O1279" s="8" t="str">
        <f>IF(B1279=0,VLOOKUP(A1279,Feuil2!$A$2:$M$1241,13,FALSE)," ")</f>
        <v xml:space="preserve"> </v>
      </c>
    </row>
    <row r="1280" spans="1:15" x14ac:dyDescent="0.3">
      <c r="A1280" s="1">
        <v>1779</v>
      </c>
      <c r="B1280" s="1">
        <v>0</v>
      </c>
      <c r="C1280" s="1" t="str">
        <f>IF(B1280=0,VLOOKUP(A1280,Feuil2!$A$2:$M$1241,2,FALSE)," ")</f>
        <v>BEN FREDJ</v>
      </c>
      <c r="D1280" s="1" t="str">
        <f>IF(B1280=0,VLOOKUP(A1280,Feuil2!$A$2:$M$1241,3,FALSE)," ")</f>
        <v>LOTFI</v>
      </c>
      <c r="E1280" s="5">
        <f>IF(B1280=0,VLOOKUP(A1280,Feuil2!$A$2:$M$1241,6,FALSE)," ")</f>
        <v>27304</v>
      </c>
      <c r="F1280" s="1" t="str">
        <f>IF(B1280=0,VLOOKUP(A1280,Feuil2!$A$2:$M$1241,12,FALSE)," ")</f>
        <v>H</v>
      </c>
      <c r="G1280" s="1" t="str">
        <f>IF(B1280=0,VLOOKUP(A1280,Feuil2!$A$2:$M$1241,11,FALSE)," ")</f>
        <v>M</v>
      </c>
      <c r="H1280" s="1" t="s">
        <v>16</v>
      </c>
      <c r="I1280" s="6">
        <f>IF(B1280=0,VLOOKUP(A1280,Feuil2!$A$2:$M$1241,7,FALSE)," ")</f>
        <v>5505830</v>
      </c>
      <c r="J1280" s="1" t="str">
        <f>IF(B1280=0,VLOOKUP(A1280,Feuil2!$A$2:$M$1241,9,FALSE)," ")</f>
        <v>NULL</v>
      </c>
      <c r="K1280" s="1" t="str">
        <f>IF(B1280=0,VLOOKUP(A1280,Feuil2!$A$2:$M$1241,10,FALSE)," ")</f>
        <v>Knaies 4014</v>
      </c>
      <c r="L1280" s="1">
        <v>4014</v>
      </c>
      <c r="M1280" s="1"/>
      <c r="N1280" s="1"/>
      <c r="O1280" s="8" t="str">
        <f>IF(B1280=0,VLOOKUP(A1280,Feuil2!$A$2:$M$1241,13,FALSE)," ")</f>
        <v>12505000580103522320</v>
      </c>
    </row>
    <row r="1281" spans="1:15" x14ac:dyDescent="0.3">
      <c r="A1281" s="1">
        <v>1779</v>
      </c>
      <c r="B1281" s="1">
        <v>1</v>
      </c>
      <c r="C1281" s="1" t="s">
        <v>231</v>
      </c>
      <c r="D1281" s="1" t="s">
        <v>2099</v>
      </c>
      <c r="E1281" s="5">
        <v>30509</v>
      </c>
      <c r="F1281" s="1" t="s">
        <v>17</v>
      </c>
      <c r="G1281" s="1" t="s">
        <v>15</v>
      </c>
      <c r="H1281" s="1" t="s">
        <v>16</v>
      </c>
      <c r="I1281" s="6" t="str">
        <f>IF(B1281=0,VLOOKUP(A1281,Feuil2!$A$2:$M$1241,7,FALSE)," ")</f>
        <v xml:space="preserve"> </v>
      </c>
      <c r="J1281" s="1" t="str">
        <f>IF(B1281=0,VLOOKUP(A1281,Feuil2!$A$2:$M$1241,9,FALSE)," ")</f>
        <v xml:space="preserve"> </v>
      </c>
      <c r="K1281" s="1" t="str">
        <f>IF(B1281=0,VLOOKUP(A1281,Feuil2!$A$2:$M$1241,10,FALSE)," ")</f>
        <v xml:space="preserve"> </v>
      </c>
      <c r="L1281" s="1"/>
      <c r="M1281" s="1"/>
      <c r="N1281" s="1"/>
      <c r="O1281" s="8" t="str">
        <f>IF(B1281=0,VLOOKUP(A1281,Feuil2!$A$2:$M$1241,13,FALSE)," ")</f>
        <v xml:space="preserve"> </v>
      </c>
    </row>
    <row r="1282" spans="1:15" x14ac:dyDescent="0.3">
      <c r="A1282" s="1">
        <v>1779</v>
      </c>
      <c r="B1282" s="1">
        <v>2</v>
      </c>
      <c r="C1282" s="1" t="s">
        <v>1215</v>
      </c>
      <c r="D1282" s="1" t="s">
        <v>2579</v>
      </c>
      <c r="E1282" s="5">
        <v>38922</v>
      </c>
      <c r="F1282" s="1" t="s">
        <v>17</v>
      </c>
      <c r="G1282" s="1" t="str">
        <f>IF(B1282=0,VLOOKUP(A1282,Feuil2!$A$2:$M$1241,11,FALSE)," ")</f>
        <v xml:space="preserve"> </v>
      </c>
      <c r="H1282" s="1" t="s">
        <v>16</v>
      </c>
      <c r="I1282" s="6" t="str">
        <f>IF(B1282=0,VLOOKUP(A1282,Feuil2!$A$2:$M$1241,7,FALSE)," ")</f>
        <v xml:space="preserve"> </v>
      </c>
      <c r="J1282" s="1" t="str">
        <f>IF(B1282=0,VLOOKUP(A1282,Feuil2!$A$2:$M$1241,9,FALSE)," ")</f>
        <v xml:space="preserve"> </v>
      </c>
      <c r="K1282" s="1" t="str">
        <f>IF(B1282=0,VLOOKUP(A1282,Feuil2!$A$2:$M$1241,10,FALSE)," ")</f>
        <v xml:space="preserve"> </v>
      </c>
      <c r="L1282" s="1"/>
      <c r="M1282" s="1"/>
      <c r="N1282" s="1"/>
      <c r="O1282" s="8" t="str">
        <f>IF(B1282=0,VLOOKUP(A1282,Feuil2!$A$2:$M$1241,13,FALSE)," ")</f>
        <v xml:space="preserve"> </v>
      </c>
    </row>
    <row r="1283" spans="1:15" x14ac:dyDescent="0.3">
      <c r="A1283" s="1">
        <v>1779</v>
      </c>
      <c r="B1283" s="1">
        <v>3</v>
      </c>
      <c r="C1283" s="1" t="s">
        <v>1215</v>
      </c>
      <c r="D1283" s="1" t="s">
        <v>326</v>
      </c>
      <c r="E1283" s="5">
        <v>39282</v>
      </c>
      <c r="F1283" s="1" t="s">
        <v>506</v>
      </c>
      <c r="G1283" s="1" t="str">
        <f>IF(B1283=0,VLOOKUP(A1283,Feuil2!$A$2:$M$1241,11,FALSE)," ")</f>
        <v xml:space="preserve"> </v>
      </c>
      <c r="H1283" s="1" t="s">
        <v>16</v>
      </c>
      <c r="I1283" s="6" t="str">
        <f>IF(B1283=0,VLOOKUP(A1283,Feuil2!$A$2:$M$1241,7,FALSE)," ")</f>
        <v xml:space="preserve"> </v>
      </c>
      <c r="J1283" s="1" t="str">
        <f>IF(B1283=0,VLOOKUP(A1283,Feuil2!$A$2:$M$1241,9,FALSE)," ")</f>
        <v xml:space="preserve"> </v>
      </c>
      <c r="K1283" s="1" t="str">
        <f>IF(B1283=0,VLOOKUP(A1283,Feuil2!$A$2:$M$1241,10,FALSE)," ")</f>
        <v xml:space="preserve"> </v>
      </c>
      <c r="L1283" s="1"/>
      <c r="M1283" s="1"/>
      <c r="N1283" s="1"/>
      <c r="O1283" s="8" t="str">
        <f>IF(B1283=0,VLOOKUP(A1283,Feuil2!$A$2:$M$1241,13,FALSE)," ")</f>
        <v xml:space="preserve"> </v>
      </c>
    </row>
    <row r="1284" spans="1:15" x14ac:dyDescent="0.3">
      <c r="A1284" s="1">
        <v>1779</v>
      </c>
      <c r="B1284" s="1">
        <v>4</v>
      </c>
      <c r="C1284" s="1" t="s">
        <v>1215</v>
      </c>
      <c r="D1284" s="1" t="s">
        <v>2367</v>
      </c>
      <c r="E1284" s="5">
        <v>40463</v>
      </c>
      <c r="F1284" s="1" t="s">
        <v>17</v>
      </c>
      <c r="G1284" s="1" t="str">
        <f>IF(B1284=0,VLOOKUP(A1284,Feuil2!$A$2:$M$1241,11,FALSE)," ")</f>
        <v xml:space="preserve"> </v>
      </c>
      <c r="H1284" s="1" t="s">
        <v>16</v>
      </c>
      <c r="I1284" s="6" t="str">
        <f>IF(B1284=0,VLOOKUP(A1284,Feuil2!$A$2:$M$1241,7,FALSE)," ")</f>
        <v xml:space="preserve"> </v>
      </c>
      <c r="J1284" s="1" t="str">
        <f>IF(B1284=0,VLOOKUP(A1284,Feuil2!$A$2:$M$1241,9,FALSE)," ")</f>
        <v xml:space="preserve"> </v>
      </c>
      <c r="K1284" s="1" t="str">
        <f>IF(B1284=0,VLOOKUP(A1284,Feuil2!$A$2:$M$1241,10,FALSE)," ")</f>
        <v xml:space="preserve"> </v>
      </c>
      <c r="L1284" s="1"/>
      <c r="M1284" s="1"/>
      <c r="N1284" s="1"/>
      <c r="O1284" s="8" t="str">
        <f>IF(B1284=0,VLOOKUP(A1284,Feuil2!$A$2:$M$1241,13,FALSE)," ")</f>
        <v xml:space="preserve"> </v>
      </c>
    </row>
    <row r="1285" spans="1:15" x14ac:dyDescent="0.3">
      <c r="A1285" s="1">
        <v>1779</v>
      </c>
      <c r="B1285" s="1">
        <v>5</v>
      </c>
      <c r="C1285" s="1" t="s">
        <v>1215</v>
      </c>
      <c r="D1285" s="1" t="s">
        <v>2702</v>
      </c>
      <c r="E1285" s="5">
        <v>41214</v>
      </c>
      <c r="F1285" s="1" t="s">
        <v>506</v>
      </c>
      <c r="G1285" s="1" t="str">
        <f>IF(B1285=0,VLOOKUP(A1285,Feuil2!$A$2:$M$1241,11,FALSE)," ")</f>
        <v xml:space="preserve"> </v>
      </c>
      <c r="H1285" s="1" t="s">
        <v>16</v>
      </c>
      <c r="I1285" s="6" t="str">
        <f>IF(B1285=0,VLOOKUP(A1285,Feuil2!$A$2:$M$1241,7,FALSE)," ")</f>
        <v xml:space="preserve"> </v>
      </c>
      <c r="J1285" s="1" t="str">
        <f>IF(B1285=0,VLOOKUP(A1285,Feuil2!$A$2:$M$1241,9,FALSE)," ")</f>
        <v xml:space="preserve"> </v>
      </c>
      <c r="K1285" s="1" t="str">
        <f>IF(B1285=0,VLOOKUP(A1285,Feuil2!$A$2:$M$1241,10,FALSE)," ")</f>
        <v xml:space="preserve"> </v>
      </c>
      <c r="L1285" s="1"/>
      <c r="M1285" s="1"/>
      <c r="N1285" s="1"/>
      <c r="O1285" s="8" t="str">
        <f>IF(B1285=0,VLOOKUP(A1285,Feuil2!$A$2:$M$1241,13,FALSE)," ")</f>
        <v xml:space="preserve"> </v>
      </c>
    </row>
    <row r="1286" spans="1:15" x14ac:dyDescent="0.3">
      <c r="A1286" s="1">
        <v>1782</v>
      </c>
      <c r="B1286" s="1">
        <v>0</v>
      </c>
      <c r="C1286" s="1" t="str">
        <f>IF(B1286=0,VLOOKUP(A1286,Feuil2!$A$2:$M$1241,2,FALSE)," ")</f>
        <v>IBRAHIM</v>
      </c>
      <c r="D1286" s="1" t="str">
        <f>IF(B1286=0,VLOOKUP(A1286,Feuil2!$A$2:$M$1241,3,FALSE)," ")</f>
        <v>JAMEL</v>
      </c>
      <c r="E1286" s="5">
        <f>IF(B1286=0,VLOOKUP(A1286,Feuil2!$A$2:$M$1241,6,FALSE)," ")</f>
        <v>28430</v>
      </c>
      <c r="F1286" s="1" t="str">
        <f>IF(B1286=0,VLOOKUP(A1286,Feuil2!$A$2:$M$1241,12,FALSE)," ")</f>
        <v>H</v>
      </c>
      <c r="G1286" s="1" t="str">
        <f>IF(B1286=0,VLOOKUP(A1286,Feuil2!$A$2:$M$1241,11,FALSE)," ")</f>
        <v>M</v>
      </c>
      <c r="H1286" s="1" t="s">
        <v>16</v>
      </c>
      <c r="I1286" s="6">
        <f>IF(B1286=0,VLOOKUP(A1286,Feuil2!$A$2:$M$1241,7,FALSE)," ")</f>
        <v>5582601</v>
      </c>
      <c r="J1286" s="1" t="str">
        <f>IF(B1286=0,VLOOKUP(A1286,Feuil2!$A$2:$M$1241,9,FALSE)," ")</f>
        <v>141 Route de Sfax</v>
      </c>
      <c r="K1286" s="1" t="str">
        <f>IF(B1286=0,VLOOKUP(A1286,Feuil2!$A$2:$M$1241,10,FALSE)," ")</f>
        <v>Msaken 4070</v>
      </c>
      <c r="L1286" s="1">
        <v>4070</v>
      </c>
      <c r="M1286" s="1">
        <v>98793762</v>
      </c>
      <c r="N1286" s="1"/>
      <c r="O1286" s="8" t="str">
        <f>IF(B1286=0,VLOOKUP(A1286,Feuil2!$A$2:$M$1241,13,FALSE)," ")</f>
        <v>04204067404001067247</v>
      </c>
    </row>
    <row r="1287" spans="1:15" x14ac:dyDescent="0.3">
      <c r="A1287" s="1">
        <v>1782</v>
      </c>
      <c r="B1287" s="1">
        <v>1</v>
      </c>
      <c r="C1287" s="1" t="s">
        <v>61</v>
      </c>
      <c r="D1287" s="1" t="s">
        <v>2089</v>
      </c>
      <c r="E1287" s="5">
        <v>29632</v>
      </c>
      <c r="F1287" s="1" t="s">
        <v>17</v>
      </c>
      <c r="G1287" s="1" t="s">
        <v>15</v>
      </c>
      <c r="H1287" s="1" t="s">
        <v>16</v>
      </c>
      <c r="I1287" s="6" t="str">
        <f>IF(B1287=0,VLOOKUP(A1287,Feuil2!$A$2:$M$1241,7,FALSE)," ")</f>
        <v xml:space="preserve"> </v>
      </c>
      <c r="J1287" s="1" t="str">
        <f>IF(B1287=0,VLOOKUP(A1287,Feuil2!$A$2:$M$1241,9,FALSE)," ")</f>
        <v xml:space="preserve"> </v>
      </c>
      <c r="K1287" s="1" t="str">
        <f>IF(B1287=0,VLOOKUP(A1287,Feuil2!$A$2:$M$1241,10,FALSE)," ")</f>
        <v xml:space="preserve"> </v>
      </c>
      <c r="L1287" s="1"/>
      <c r="M1287" s="1"/>
      <c r="N1287" s="1"/>
      <c r="O1287" s="8" t="str">
        <f>IF(B1287=0,VLOOKUP(A1287,Feuil2!$A$2:$M$1241,13,FALSE)," ")</f>
        <v xml:space="preserve"> </v>
      </c>
    </row>
    <row r="1288" spans="1:15" x14ac:dyDescent="0.3">
      <c r="A1288" s="1">
        <v>1782</v>
      </c>
      <c r="B1288" s="1">
        <v>2</v>
      </c>
      <c r="C1288" s="1" t="s">
        <v>77</v>
      </c>
      <c r="D1288" s="1" t="s">
        <v>2703</v>
      </c>
      <c r="E1288" s="5">
        <v>39297</v>
      </c>
      <c r="F1288" s="1" t="s">
        <v>506</v>
      </c>
      <c r="G1288" s="1" t="str">
        <f>IF(B1288=0,VLOOKUP(A1288,Feuil2!$A$2:$M$1241,11,FALSE)," ")</f>
        <v xml:space="preserve"> </v>
      </c>
      <c r="H1288" s="1" t="s">
        <v>16</v>
      </c>
      <c r="I1288" s="6" t="str">
        <f>IF(B1288=0,VLOOKUP(A1288,Feuil2!$A$2:$M$1241,7,FALSE)," ")</f>
        <v xml:space="preserve"> </v>
      </c>
      <c r="J1288" s="1" t="str">
        <f>IF(B1288=0,VLOOKUP(A1288,Feuil2!$A$2:$M$1241,9,FALSE)," ")</f>
        <v xml:space="preserve"> </v>
      </c>
      <c r="K1288" s="1" t="str">
        <f>IF(B1288=0,VLOOKUP(A1288,Feuil2!$A$2:$M$1241,10,FALSE)," ")</f>
        <v xml:space="preserve"> </v>
      </c>
      <c r="L1288" s="1"/>
      <c r="M1288" s="1"/>
      <c r="N1288" s="1"/>
      <c r="O1288" s="8" t="str">
        <f>IF(B1288=0,VLOOKUP(A1288,Feuil2!$A$2:$M$1241,13,FALSE)," ")</f>
        <v xml:space="preserve"> </v>
      </c>
    </row>
    <row r="1289" spans="1:15" x14ac:dyDescent="0.3">
      <c r="A1289" s="1">
        <v>1782</v>
      </c>
      <c r="B1289" s="1">
        <v>3</v>
      </c>
      <c r="C1289" s="1" t="s">
        <v>77</v>
      </c>
      <c r="D1289" s="1" t="s">
        <v>30</v>
      </c>
      <c r="E1289" s="5">
        <v>39714</v>
      </c>
      <c r="F1289" s="1" t="s">
        <v>506</v>
      </c>
      <c r="G1289" s="1" t="str">
        <f>IF(B1289=0,VLOOKUP(A1289,Feuil2!$A$2:$M$1241,11,FALSE)," ")</f>
        <v xml:space="preserve"> </v>
      </c>
      <c r="H1289" s="1" t="s">
        <v>16</v>
      </c>
      <c r="I1289" s="6" t="str">
        <f>IF(B1289=0,VLOOKUP(A1289,Feuil2!$A$2:$M$1241,7,FALSE)," ")</f>
        <v xml:space="preserve"> </v>
      </c>
      <c r="J1289" s="1" t="str">
        <f>IF(B1289=0,VLOOKUP(A1289,Feuil2!$A$2:$M$1241,9,FALSE)," ")</f>
        <v xml:space="preserve"> </v>
      </c>
      <c r="K1289" s="1" t="str">
        <f>IF(B1289=0,VLOOKUP(A1289,Feuil2!$A$2:$M$1241,10,FALSE)," ")</f>
        <v xml:space="preserve"> </v>
      </c>
      <c r="L1289" s="1"/>
      <c r="M1289" s="1"/>
      <c r="N1289" s="1"/>
      <c r="O1289" s="8" t="str">
        <f>IF(B1289=0,VLOOKUP(A1289,Feuil2!$A$2:$M$1241,13,FALSE)," ")</f>
        <v xml:space="preserve"> </v>
      </c>
    </row>
    <row r="1290" spans="1:15" x14ac:dyDescent="0.3">
      <c r="A1290" s="1">
        <v>1782</v>
      </c>
      <c r="B1290" s="1">
        <v>4</v>
      </c>
      <c r="C1290" s="1" t="s">
        <v>77</v>
      </c>
      <c r="D1290" s="1" t="s">
        <v>2517</v>
      </c>
      <c r="E1290" s="5">
        <v>41307</v>
      </c>
      <c r="F1290" s="1" t="s">
        <v>17</v>
      </c>
      <c r="G1290" s="1" t="str">
        <f>IF(B1290=0,VLOOKUP(A1290,Feuil2!$A$2:$M$1241,11,FALSE)," ")</f>
        <v xml:space="preserve"> </v>
      </c>
      <c r="H1290" s="1" t="s">
        <v>16</v>
      </c>
      <c r="I1290" s="6" t="str">
        <f>IF(B1290=0,VLOOKUP(A1290,Feuil2!$A$2:$M$1241,7,FALSE)," ")</f>
        <v xml:space="preserve"> </v>
      </c>
      <c r="J1290" s="1" t="str">
        <f>IF(B1290=0,VLOOKUP(A1290,Feuil2!$A$2:$M$1241,9,FALSE)," ")</f>
        <v xml:space="preserve"> </v>
      </c>
      <c r="K1290" s="1" t="str">
        <f>IF(B1290=0,VLOOKUP(A1290,Feuil2!$A$2:$M$1241,10,FALSE)," ")</f>
        <v xml:space="preserve"> </v>
      </c>
      <c r="L1290" s="1"/>
      <c r="M1290" s="1"/>
      <c r="N1290" s="1"/>
      <c r="O1290" s="8" t="str">
        <f>IF(B1290=0,VLOOKUP(A1290,Feuil2!$A$2:$M$1241,13,FALSE)," ")</f>
        <v xml:space="preserve"> </v>
      </c>
    </row>
    <row r="1291" spans="1:15" x14ac:dyDescent="0.3">
      <c r="A1291" s="1">
        <v>1782</v>
      </c>
      <c r="B1291" s="1">
        <v>5</v>
      </c>
      <c r="C1291" s="1" t="s">
        <v>77</v>
      </c>
      <c r="D1291" s="1" t="s">
        <v>2398</v>
      </c>
      <c r="E1291" s="5">
        <v>43344</v>
      </c>
      <c r="F1291" s="1" t="s">
        <v>506</v>
      </c>
      <c r="G1291" s="1" t="str">
        <f>IF(B1291=0,VLOOKUP(A1291,Feuil2!$A$2:$M$1241,11,FALSE)," ")</f>
        <v xml:space="preserve"> </v>
      </c>
      <c r="H1291" s="1" t="s">
        <v>16</v>
      </c>
      <c r="I1291" s="6" t="str">
        <f>IF(B1291=0,VLOOKUP(A1291,Feuil2!$A$2:$M$1241,7,FALSE)," ")</f>
        <v xml:space="preserve"> </v>
      </c>
      <c r="J1291" s="1" t="str">
        <f>IF(B1291=0,VLOOKUP(A1291,Feuil2!$A$2:$M$1241,9,FALSE)," ")</f>
        <v xml:space="preserve"> </v>
      </c>
      <c r="K1291" s="1" t="str">
        <f>IF(B1291=0,VLOOKUP(A1291,Feuil2!$A$2:$M$1241,10,FALSE)," ")</f>
        <v xml:space="preserve"> </v>
      </c>
      <c r="L1291" s="1"/>
      <c r="M1291" s="1"/>
      <c r="N1291" s="1"/>
      <c r="O1291" s="8" t="str">
        <f>IF(B1291=0,VLOOKUP(A1291,Feuil2!$A$2:$M$1241,13,FALSE)," ")</f>
        <v xml:space="preserve"> </v>
      </c>
    </row>
    <row r="1292" spans="1:15" x14ac:dyDescent="0.3">
      <c r="A1292" s="1">
        <v>1784</v>
      </c>
      <c r="B1292" s="1">
        <v>0</v>
      </c>
      <c r="C1292" s="1" t="str">
        <f>IF(B1292=0,VLOOKUP(A1292,Feuil2!$A$2:$M$1241,2,FALSE)," ")</f>
        <v>LAYOUNI</v>
      </c>
      <c r="D1292" s="1" t="str">
        <f>IF(B1292=0,VLOOKUP(A1292,Feuil2!$A$2:$M$1241,3,FALSE)," ")</f>
        <v>KHALED</v>
      </c>
      <c r="E1292" s="5">
        <f>IF(B1292=0,VLOOKUP(A1292,Feuil2!$A$2:$M$1241,6,FALSE)," ")</f>
        <v>28421</v>
      </c>
      <c r="F1292" s="1" t="str">
        <f>IF(B1292=0,VLOOKUP(A1292,Feuil2!$A$2:$M$1241,12,FALSE)," ")</f>
        <v>H</v>
      </c>
      <c r="G1292" s="1" t="str">
        <f>IF(B1292=0,VLOOKUP(A1292,Feuil2!$A$2:$M$1241,11,FALSE)," ")</f>
        <v>M</v>
      </c>
      <c r="H1292" s="1" t="s">
        <v>16</v>
      </c>
      <c r="I1292" s="6">
        <f>IF(B1292=0,VLOOKUP(A1292,Feuil2!$A$2:$M$1241,7,FALSE)," ")</f>
        <v>5581138</v>
      </c>
      <c r="J1292" s="1" t="str">
        <f>IF(B1292=0,VLOOKUP(A1292,Feuil2!$A$2:$M$1241,9,FALSE)," ")</f>
        <v>43 Rue du Caire</v>
      </c>
      <c r="K1292" s="1" t="str">
        <f>IF(B1292=0,VLOOKUP(A1292,Feuil2!$A$2:$M$1241,10,FALSE)," ")</f>
        <v>Msaken 4070</v>
      </c>
      <c r="L1292" s="1">
        <v>4070</v>
      </c>
      <c r="M1292" s="1">
        <v>26429461</v>
      </c>
      <c r="N1292" s="1"/>
      <c r="O1292" s="8" t="str">
        <f>IF(B1292=0,VLOOKUP(A1292,Feuil2!$A$2:$M$1241,13,FALSE)," ")</f>
        <v>24010035437251110120</v>
      </c>
    </row>
    <row r="1293" spans="1:15" x14ac:dyDescent="0.3">
      <c r="A1293" s="1">
        <v>1784</v>
      </c>
      <c r="B1293" s="1">
        <v>1</v>
      </c>
      <c r="C1293" s="1" t="s">
        <v>19</v>
      </c>
      <c r="D1293" s="1" t="s">
        <v>1007</v>
      </c>
      <c r="E1293" s="5">
        <v>30930</v>
      </c>
      <c r="F1293" s="1" t="s">
        <v>17</v>
      </c>
      <c r="G1293" s="1" t="s">
        <v>15</v>
      </c>
      <c r="H1293" s="1" t="s">
        <v>16</v>
      </c>
      <c r="I1293" s="6" t="str">
        <f>IF(B1293=0,VLOOKUP(A1293,Feuil2!$A$2:$M$1241,7,FALSE)," ")</f>
        <v xml:space="preserve"> </v>
      </c>
      <c r="J1293" s="1" t="str">
        <f>IF(B1293=0,VLOOKUP(A1293,Feuil2!$A$2:$M$1241,9,FALSE)," ")</f>
        <v xml:space="preserve"> </v>
      </c>
      <c r="K1293" s="1" t="str">
        <f>IF(B1293=0,VLOOKUP(A1293,Feuil2!$A$2:$M$1241,10,FALSE)," ")</f>
        <v xml:space="preserve"> </v>
      </c>
      <c r="L1293" s="1"/>
      <c r="M1293" s="1"/>
      <c r="N1293" s="1"/>
      <c r="O1293" s="8" t="str">
        <f>IF(B1293=0,VLOOKUP(A1293,Feuil2!$A$2:$M$1241,13,FALSE)," ")</f>
        <v xml:space="preserve"> </v>
      </c>
    </row>
    <row r="1294" spans="1:15" x14ac:dyDescent="0.3">
      <c r="A1294" s="1">
        <v>1784</v>
      </c>
      <c r="B1294" s="1">
        <v>2</v>
      </c>
      <c r="C1294" s="1" t="s">
        <v>250</v>
      </c>
      <c r="D1294" s="1" t="s">
        <v>2431</v>
      </c>
      <c r="E1294" s="5">
        <v>40911</v>
      </c>
      <c r="F1294" s="1" t="s">
        <v>506</v>
      </c>
      <c r="G1294" s="1" t="str">
        <f>IF(B1294=0,VLOOKUP(A1294,Feuil2!$A$2:$M$1241,11,FALSE)," ")</f>
        <v xml:space="preserve"> </v>
      </c>
      <c r="H1294" s="1" t="s">
        <v>16</v>
      </c>
      <c r="I1294" s="6" t="str">
        <f>IF(B1294=0,VLOOKUP(A1294,Feuil2!$A$2:$M$1241,7,FALSE)," ")</f>
        <v xml:space="preserve"> </v>
      </c>
      <c r="J1294" s="1" t="str">
        <f>IF(B1294=0,VLOOKUP(A1294,Feuil2!$A$2:$M$1241,9,FALSE)," ")</f>
        <v xml:space="preserve"> </v>
      </c>
      <c r="K1294" s="1" t="str">
        <f>IF(B1294=0,VLOOKUP(A1294,Feuil2!$A$2:$M$1241,10,FALSE)," ")</f>
        <v xml:space="preserve"> </v>
      </c>
      <c r="L1294" s="1"/>
      <c r="M1294" s="1"/>
      <c r="N1294" s="1"/>
      <c r="O1294" s="8" t="str">
        <f>IF(B1294=0,VLOOKUP(A1294,Feuil2!$A$2:$M$1241,13,FALSE)," ")</f>
        <v xml:space="preserve"> </v>
      </c>
    </row>
    <row r="1295" spans="1:15" x14ac:dyDescent="0.3">
      <c r="A1295" s="1">
        <v>1784</v>
      </c>
      <c r="B1295" s="1">
        <v>3</v>
      </c>
      <c r="C1295" s="1" t="s">
        <v>250</v>
      </c>
      <c r="D1295" s="1" t="s">
        <v>2677</v>
      </c>
      <c r="E1295" s="5">
        <v>42698</v>
      </c>
      <c r="F1295" s="1" t="s">
        <v>17</v>
      </c>
      <c r="G1295" s="1" t="str">
        <f>IF(B1295=0,VLOOKUP(A1295,Feuil2!$A$2:$M$1241,11,FALSE)," ")</f>
        <v xml:space="preserve"> </v>
      </c>
      <c r="H1295" s="1" t="s">
        <v>16</v>
      </c>
      <c r="I1295" s="6" t="str">
        <f>IF(B1295=0,VLOOKUP(A1295,Feuil2!$A$2:$M$1241,7,FALSE)," ")</f>
        <v xml:space="preserve"> </v>
      </c>
      <c r="J1295" s="1" t="str">
        <f>IF(B1295=0,VLOOKUP(A1295,Feuil2!$A$2:$M$1241,9,FALSE)," ")</f>
        <v xml:space="preserve"> </v>
      </c>
      <c r="K1295" s="1" t="str">
        <f>IF(B1295=0,VLOOKUP(A1295,Feuil2!$A$2:$M$1241,10,FALSE)," ")</f>
        <v xml:space="preserve"> </v>
      </c>
      <c r="L1295" s="1"/>
      <c r="M1295" s="1"/>
      <c r="N1295" s="1"/>
      <c r="O1295" s="8" t="str">
        <f>IF(B1295=0,VLOOKUP(A1295,Feuil2!$A$2:$M$1241,13,FALSE)," ")</f>
        <v xml:space="preserve"> </v>
      </c>
    </row>
    <row r="1296" spans="1:15" x14ac:dyDescent="0.3">
      <c r="A1296" s="1">
        <v>1786</v>
      </c>
      <c r="B1296" s="1">
        <v>0</v>
      </c>
      <c r="C1296" s="1" t="str">
        <f>IF(B1296=0,VLOOKUP(A1296,Feuil2!$A$2:$M$1241,2,FALSE)," ")</f>
        <v>GUIZANI</v>
      </c>
      <c r="D1296" s="1" t="str">
        <f>IF(B1296=0,VLOOKUP(A1296,Feuil2!$A$2:$M$1241,3,FALSE)," ")</f>
        <v>MOHAMED</v>
      </c>
      <c r="E1296" s="5">
        <f>IF(B1296=0,VLOOKUP(A1296,Feuil2!$A$2:$M$1241,6,FALSE)," ")</f>
        <v>27416</v>
      </c>
      <c r="F1296" s="1" t="str">
        <f>IF(B1296=0,VLOOKUP(A1296,Feuil2!$A$2:$M$1241,12,FALSE)," ")</f>
        <v>H</v>
      </c>
      <c r="G1296" s="1" t="str">
        <f>IF(B1296=0,VLOOKUP(A1296,Feuil2!$A$2:$M$1241,11,FALSE)," ")</f>
        <v>M</v>
      </c>
      <c r="H1296" s="1" t="s">
        <v>16</v>
      </c>
      <c r="I1296" s="6">
        <f>IF(B1296=0,VLOOKUP(A1296,Feuil2!$A$2:$M$1241,7,FALSE)," ")</f>
        <v>5543480</v>
      </c>
      <c r="J1296" s="1" t="str">
        <f>IF(B1296=0,VLOOKUP(A1296,Feuil2!$A$2:$M$1241,9,FALSE)," ")</f>
        <v>NULL</v>
      </c>
      <c r="K1296" s="1" t="str">
        <f>IF(B1296=0,VLOOKUP(A1296,Feuil2!$A$2:$M$1241,10,FALSE)," ")</f>
        <v>Knaies 4014</v>
      </c>
      <c r="L1296" s="1">
        <v>4014</v>
      </c>
      <c r="M1296" s="1">
        <v>22867999</v>
      </c>
      <c r="N1296" s="1"/>
      <c r="O1296" s="8" t="str">
        <f>IF(B1296=0,VLOOKUP(A1296,Feuil2!$A$2:$M$1241,13,FALSE)," ")</f>
        <v>04204067404001016904</v>
      </c>
    </row>
    <row r="1297" spans="1:15" x14ac:dyDescent="0.3">
      <c r="A1297" s="1">
        <v>1786</v>
      </c>
      <c r="B1297" s="1">
        <v>1</v>
      </c>
      <c r="C1297" s="1" t="s">
        <v>2245</v>
      </c>
      <c r="D1297" s="1" t="s">
        <v>2407</v>
      </c>
      <c r="E1297" s="5">
        <v>30416</v>
      </c>
      <c r="F1297" s="1" t="s">
        <v>17</v>
      </c>
      <c r="G1297" s="1" t="s">
        <v>15</v>
      </c>
      <c r="H1297" s="1" t="s">
        <v>16</v>
      </c>
      <c r="I1297" s="6" t="str">
        <f>IF(B1297=0,VLOOKUP(A1297,Feuil2!$A$2:$M$1241,7,FALSE)," ")</f>
        <v xml:space="preserve"> </v>
      </c>
      <c r="J1297" s="1" t="str">
        <f>IF(B1297=0,VLOOKUP(A1297,Feuil2!$A$2:$M$1241,9,FALSE)," ")</f>
        <v xml:space="preserve"> </v>
      </c>
      <c r="K1297" s="1" t="str">
        <f>IF(B1297=0,VLOOKUP(A1297,Feuil2!$A$2:$M$1241,10,FALSE)," ")</f>
        <v xml:space="preserve"> </v>
      </c>
      <c r="L1297" s="1"/>
      <c r="M1297" s="1"/>
      <c r="N1297" s="1"/>
      <c r="O1297" s="8" t="str">
        <f>IF(B1297=0,VLOOKUP(A1297,Feuil2!$A$2:$M$1241,13,FALSE)," ")</f>
        <v xml:space="preserve"> </v>
      </c>
    </row>
    <row r="1298" spans="1:15" x14ac:dyDescent="0.3">
      <c r="A1298" s="1">
        <v>1786</v>
      </c>
      <c r="B1298" s="1">
        <v>2</v>
      </c>
      <c r="C1298" s="1" t="s">
        <v>85</v>
      </c>
      <c r="D1298" s="1" t="s">
        <v>2704</v>
      </c>
      <c r="E1298" s="5">
        <v>39557</v>
      </c>
      <c r="F1298" s="1" t="s">
        <v>506</v>
      </c>
      <c r="G1298" s="1" t="str">
        <f>IF(B1298=0,VLOOKUP(A1298,Feuil2!$A$2:$M$1241,11,FALSE)," ")</f>
        <v xml:space="preserve"> </v>
      </c>
      <c r="H1298" s="1" t="s">
        <v>16</v>
      </c>
      <c r="I1298" s="6" t="str">
        <f>IF(B1298=0,VLOOKUP(A1298,Feuil2!$A$2:$M$1241,7,FALSE)," ")</f>
        <v xml:space="preserve"> </v>
      </c>
      <c r="J1298" s="1" t="str">
        <f>IF(B1298=0,VLOOKUP(A1298,Feuil2!$A$2:$M$1241,9,FALSE)," ")</f>
        <v xml:space="preserve"> </v>
      </c>
      <c r="K1298" s="1" t="str">
        <f>IF(B1298=0,VLOOKUP(A1298,Feuil2!$A$2:$M$1241,10,FALSE)," ")</f>
        <v xml:space="preserve"> </v>
      </c>
      <c r="L1298" s="1"/>
      <c r="M1298" s="1"/>
      <c r="N1298" s="1"/>
      <c r="O1298" s="8" t="str">
        <f>IF(B1298=0,VLOOKUP(A1298,Feuil2!$A$2:$M$1241,13,FALSE)," ")</f>
        <v xml:space="preserve"> </v>
      </c>
    </row>
    <row r="1299" spans="1:15" x14ac:dyDescent="0.3">
      <c r="A1299" s="1">
        <v>1786</v>
      </c>
      <c r="B1299" s="1">
        <v>3</v>
      </c>
      <c r="C1299" s="1" t="s">
        <v>85</v>
      </c>
      <c r="D1299" s="1" t="s">
        <v>2705</v>
      </c>
      <c r="E1299" s="5">
        <v>40642</v>
      </c>
      <c r="F1299" s="1" t="s">
        <v>506</v>
      </c>
      <c r="G1299" s="1" t="str">
        <f>IF(B1299=0,VLOOKUP(A1299,Feuil2!$A$2:$M$1241,11,FALSE)," ")</f>
        <v xml:space="preserve"> </v>
      </c>
      <c r="H1299" s="1" t="s">
        <v>16</v>
      </c>
      <c r="I1299" s="6" t="str">
        <f>IF(B1299=0,VLOOKUP(A1299,Feuil2!$A$2:$M$1241,7,FALSE)," ")</f>
        <v xml:space="preserve"> </v>
      </c>
      <c r="J1299" s="1" t="str">
        <f>IF(B1299=0,VLOOKUP(A1299,Feuil2!$A$2:$M$1241,9,FALSE)," ")</f>
        <v xml:space="preserve"> </v>
      </c>
      <c r="K1299" s="1" t="str">
        <f>IF(B1299=0,VLOOKUP(A1299,Feuil2!$A$2:$M$1241,10,FALSE)," ")</f>
        <v xml:space="preserve"> </v>
      </c>
      <c r="L1299" s="1"/>
      <c r="M1299" s="1"/>
      <c r="N1299" s="1"/>
      <c r="O1299" s="8" t="str">
        <f>IF(B1299=0,VLOOKUP(A1299,Feuil2!$A$2:$M$1241,13,FALSE)," ")</f>
        <v xml:space="preserve"> </v>
      </c>
    </row>
    <row r="1300" spans="1:15" x14ac:dyDescent="0.3">
      <c r="A1300" s="1">
        <v>1786</v>
      </c>
      <c r="B1300" s="1">
        <v>4</v>
      </c>
      <c r="C1300" s="1" t="s">
        <v>85</v>
      </c>
      <c r="D1300" s="1" t="s">
        <v>2706</v>
      </c>
      <c r="E1300" s="5">
        <v>42412</v>
      </c>
      <c r="F1300" s="1" t="str">
        <f>IF(B1300=0,VLOOKUP(A1300,Feuil2!$A$2:$M$1241,12,FALSE)," ")</f>
        <v xml:space="preserve"> </v>
      </c>
      <c r="G1300" s="1" t="str">
        <f>IF(B1300=0,VLOOKUP(A1300,Feuil2!$A$2:$M$1241,11,FALSE)," ")</f>
        <v xml:space="preserve"> </v>
      </c>
      <c r="H1300" s="1" t="s">
        <v>16</v>
      </c>
      <c r="I1300" s="6" t="str">
        <f>IF(B1300=0,VLOOKUP(A1300,Feuil2!$A$2:$M$1241,7,FALSE)," ")</f>
        <v xml:space="preserve"> </v>
      </c>
      <c r="J1300" s="1" t="str">
        <f>IF(B1300=0,VLOOKUP(A1300,Feuil2!$A$2:$M$1241,9,FALSE)," ")</f>
        <v xml:space="preserve"> </v>
      </c>
      <c r="K1300" s="1" t="str">
        <f>IF(B1300=0,VLOOKUP(A1300,Feuil2!$A$2:$M$1241,10,FALSE)," ")</f>
        <v xml:space="preserve"> </v>
      </c>
      <c r="L1300" s="1"/>
      <c r="M1300" s="1"/>
      <c r="N1300" s="1"/>
      <c r="O1300" s="8" t="str">
        <f>IF(B1300=0,VLOOKUP(A1300,Feuil2!$A$2:$M$1241,13,FALSE)," ")</f>
        <v xml:space="preserve"> </v>
      </c>
    </row>
    <row r="1301" spans="1:15" x14ac:dyDescent="0.3">
      <c r="A1301" s="1">
        <v>1787</v>
      </c>
      <c r="B1301" s="1">
        <v>0</v>
      </c>
      <c r="C1301" s="1" t="str">
        <f>IF(B1301=0,VLOOKUP(A1301,Feuil2!$A$2:$M$1241,2,FALSE)," ")</f>
        <v>BEN ALITA</v>
      </c>
      <c r="D1301" s="1" t="str">
        <f>IF(B1301=0,VLOOKUP(A1301,Feuil2!$A$2:$M$1241,3,FALSE)," ")</f>
        <v>NEBIL</v>
      </c>
      <c r="E1301" s="5">
        <f>IF(B1301=0,VLOOKUP(A1301,Feuil2!$A$2:$M$1241,6,FALSE)," ")</f>
        <v>25851</v>
      </c>
      <c r="F1301" s="1" t="str">
        <f>IF(B1301=0,VLOOKUP(A1301,Feuil2!$A$2:$M$1241,12,FALSE)," ")</f>
        <v>H</v>
      </c>
      <c r="G1301" s="1" t="str">
        <f>IF(B1301=0,VLOOKUP(A1301,Feuil2!$A$2:$M$1241,11,FALSE)," ")</f>
        <v>M</v>
      </c>
      <c r="H1301" s="1" t="s">
        <v>16</v>
      </c>
      <c r="I1301" s="6">
        <f>IF(B1301=0,VLOOKUP(A1301,Feuil2!$A$2:$M$1241,7,FALSE)," ")</f>
        <v>2995878</v>
      </c>
      <c r="J1301" s="1" t="str">
        <f>IF(B1301=0,VLOOKUP(A1301,Feuil2!$A$2:$M$1241,9,FALSE)," ")</f>
        <v>Ecole de Frada</v>
      </c>
      <c r="K1301" s="1" t="str">
        <f>IF(B1301=0,VLOOKUP(A1301,Feuil2!$A$2:$M$1241,10,FALSE)," ")</f>
        <v>Borjine 4015</v>
      </c>
      <c r="L1301" s="1">
        <v>4015</v>
      </c>
      <c r="M1301" s="1">
        <v>97597552</v>
      </c>
      <c r="N1301" s="1"/>
      <c r="O1301" s="8" t="str">
        <f>IF(B1301=0,VLOOKUP(A1301,Feuil2!$A$2:$M$1241,13,FALSE)," ")</f>
        <v>12033000000219957460</v>
      </c>
    </row>
    <row r="1302" spans="1:15" x14ac:dyDescent="0.3">
      <c r="A1302" s="1">
        <v>1787</v>
      </c>
      <c r="B1302" s="1">
        <v>1</v>
      </c>
      <c r="C1302" s="1" t="s">
        <v>2707</v>
      </c>
      <c r="D1302" s="1" t="s">
        <v>2708</v>
      </c>
      <c r="E1302" s="5">
        <v>27417</v>
      </c>
      <c r="F1302" s="1" t="s">
        <v>17</v>
      </c>
      <c r="G1302" s="1" t="s">
        <v>15</v>
      </c>
      <c r="H1302" s="1" t="s">
        <v>16</v>
      </c>
      <c r="I1302" s="6" t="str">
        <f>IF(B1302=0,VLOOKUP(A1302,Feuil2!$A$2:$M$1241,7,FALSE)," ")</f>
        <v xml:space="preserve"> </v>
      </c>
      <c r="J1302" s="1" t="str">
        <f>IF(B1302=0,VLOOKUP(A1302,Feuil2!$A$2:$M$1241,9,FALSE)," ")</f>
        <v xml:space="preserve"> </v>
      </c>
      <c r="K1302" s="1" t="str">
        <f>IF(B1302=0,VLOOKUP(A1302,Feuil2!$A$2:$M$1241,10,FALSE)," ")</f>
        <v xml:space="preserve"> </v>
      </c>
      <c r="L1302" s="1"/>
      <c r="M1302" s="1"/>
      <c r="N1302" s="1"/>
      <c r="O1302" s="8" t="str">
        <f>IF(B1302=0,VLOOKUP(A1302,Feuil2!$A$2:$M$1241,13,FALSE)," ")</f>
        <v xml:space="preserve"> </v>
      </c>
    </row>
    <row r="1303" spans="1:15" x14ac:dyDescent="0.3">
      <c r="A1303" s="1">
        <v>1787</v>
      </c>
      <c r="B1303" s="1">
        <v>2</v>
      </c>
      <c r="C1303" s="1" t="s">
        <v>1695</v>
      </c>
      <c r="D1303" s="1" t="s">
        <v>2627</v>
      </c>
      <c r="E1303" s="5">
        <v>38450</v>
      </c>
      <c r="F1303" s="1" t="s">
        <v>506</v>
      </c>
      <c r="G1303" s="1" t="str">
        <f>IF(B1303=0,VLOOKUP(A1303,Feuil2!$A$2:$M$1241,11,FALSE)," ")</f>
        <v xml:space="preserve"> </v>
      </c>
      <c r="H1303" s="1" t="s">
        <v>16</v>
      </c>
      <c r="I1303" s="6" t="str">
        <f>IF(B1303=0,VLOOKUP(A1303,Feuil2!$A$2:$M$1241,7,FALSE)," ")</f>
        <v xml:space="preserve"> </v>
      </c>
      <c r="J1303" s="1" t="str">
        <f>IF(B1303=0,VLOOKUP(A1303,Feuil2!$A$2:$M$1241,9,FALSE)," ")</f>
        <v xml:space="preserve"> </v>
      </c>
      <c r="K1303" s="1" t="str">
        <f>IF(B1303=0,VLOOKUP(A1303,Feuil2!$A$2:$M$1241,10,FALSE)," ")</f>
        <v xml:space="preserve"> </v>
      </c>
      <c r="L1303" s="1"/>
      <c r="M1303" s="1"/>
      <c r="N1303" s="1"/>
      <c r="O1303" s="8" t="str">
        <f>IF(B1303=0,VLOOKUP(A1303,Feuil2!$A$2:$M$1241,13,FALSE)," ")</f>
        <v xml:space="preserve"> </v>
      </c>
    </row>
    <row r="1304" spans="1:15" x14ac:dyDescent="0.3">
      <c r="A1304" s="1">
        <v>1787</v>
      </c>
      <c r="B1304" s="1">
        <v>3</v>
      </c>
      <c r="C1304" s="1" t="s">
        <v>1695</v>
      </c>
      <c r="D1304" s="1" t="s">
        <v>2337</v>
      </c>
      <c r="E1304" s="5">
        <v>39108</v>
      </c>
      <c r="F1304" s="1" t="s">
        <v>17</v>
      </c>
      <c r="G1304" s="1" t="str">
        <f>IF(B1304=0,VLOOKUP(A1304,Feuil2!$A$2:$M$1241,11,FALSE)," ")</f>
        <v xml:space="preserve"> </v>
      </c>
      <c r="H1304" s="1" t="s">
        <v>16</v>
      </c>
      <c r="I1304" s="6" t="str">
        <f>IF(B1304=0,VLOOKUP(A1304,Feuil2!$A$2:$M$1241,7,FALSE)," ")</f>
        <v xml:space="preserve"> </v>
      </c>
      <c r="J1304" s="1" t="str">
        <f>IF(B1304=0,VLOOKUP(A1304,Feuil2!$A$2:$M$1241,9,FALSE)," ")</f>
        <v xml:space="preserve"> </v>
      </c>
      <c r="K1304" s="1" t="str">
        <f>IF(B1304=0,VLOOKUP(A1304,Feuil2!$A$2:$M$1241,10,FALSE)," ")</f>
        <v xml:space="preserve"> </v>
      </c>
      <c r="L1304" s="1"/>
      <c r="M1304" s="1"/>
      <c r="N1304" s="1"/>
      <c r="O1304" s="8" t="str">
        <f>IF(B1304=0,VLOOKUP(A1304,Feuil2!$A$2:$M$1241,13,FALSE)," ")</f>
        <v xml:space="preserve"> </v>
      </c>
    </row>
    <row r="1305" spans="1:15" x14ac:dyDescent="0.3">
      <c r="A1305" s="1">
        <v>1789</v>
      </c>
      <c r="B1305" s="1">
        <v>0</v>
      </c>
      <c r="C1305" s="1" t="str">
        <f>IF(B1305=0,VLOOKUP(A1305,Feuil2!$A$2:$M$1241,2,FALSE)," ")</f>
        <v>CHIHI</v>
      </c>
      <c r="D1305" s="1" t="str">
        <f>IF(B1305=0,VLOOKUP(A1305,Feuil2!$A$2:$M$1241,3,FALSE)," ")</f>
        <v>MOHAMED SALAH</v>
      </c>
      <c r="E1305" s="5">
        <f>IF(B1305=0,VLOOKUP(A1305,Feuil2!$A$2:$M$1241,6,FALSE)," ")</f>
        <v>29854</v>
      </c>
      <c r="F1305" s="1" t="str">
        <f>IF(B1305=0,VLOOKUP(A1305,Feuil2!$A$2:$M$1241,12,FALSE)," ")</f>
        <v>H</v>
      </c>
      <c r="G1305" s="1" t="str">
        <f>IF(B1305=0,VLOOKUP(A1305,Feuil2!$A$2:$M$1241,11,FALSE)," ")</f>
        <v>M</v>
      </c>
      <c r="H1305" s="1" t="s">
        <v>16</v>
      </c>
      <c r="I1305" s="6">
        <f>IF(B1305=0,VLOOKUP(A1305,Feuil2!$A$2:$M$1241,7,FALSE)," ")</f>
        <v>5597866</v>
      </c>
      <c r="J1305" s="1" t="str">
        <f>IF(B1305=0,VLOOKUP(A1305,Feuil2!$A$2:$M$1241,9,FALSE)," ")</f>
        <v>14 Nouvelle CitÃ©</v>
      </c>
      <c r="K1305" s="1" t="str">
        <f>IF(B1305=0,VLOOKUP(A1305,Feuil2!$A$2:$M$1241,10,FALSE)," ")</f>
        <v>BÃ©ni Kalthoum 4016</v>
      </c>
      <c r="L1305" s="1"/>
      <c r="M1305" s="1">
        <v>97225601</v>
      </c>
      <c r="N1305" s="1"/>
      <c r="O1305" s="8" t="str">
        <f>IF(B1305=0,VLOOKUP(A1305,Feuil2!$A$2:$M$1241,13,FALSE)," ")</f>
        <v>12505000580103770640</v>
      </c>
    </row>
    <row r="1306" spans="1:15" x14ac:dyDescent="0.3">
      <c r="A1306" s="1">
        <v>1789</v>
      </c>
      <c r="B1306" s="1">
        <v>1</v>
      </c>
      <c r="C1306" s="1" t="s">
        <v>582</v>
      </c>
      <c r="D1306" s="1" t="s">
        <v>2372</v>
      </c>
      <c r="E1306" s="5">
        <v>30950</v>
      </c>
      <c r="F1306" s="1" t="s">
        <v>17</v>
      </c>
      <c r="G1306" s="1" t="s">
        <v>15</v>
      </c>
      <c r="H1306" s="1" t="s">
        <v>16</v>
      </c>
      <c r="I1306" s="6" t="str">
        <f>IF(B1306=0,VLOOKUP(A1306,Feuil2!$A$2:$M$1241,7,FALSE)," ")</f>
        <v xml:space="preserve"> </v>
      </c>
      <c r="J1306" s="1" t="str">
        <f>IF(B1306=0,VLOOKUP(A1306,Feuil2!$A$2:$M$1241,9,FALSE)," ")</f>
        <v xml:space="preserve"> </v>
      </c>
      <c r="K1306" s="1" t="str">
        <f>IF(B1306=0,VLOOKUP(A1306,Feuil2!$A$2:$M$1241,10,FALSE)," ")</f>
        <v xml:space="preserve"> </v>
      </c>
      <c r="L1306" s="1"/>
      <c r="M1306" s="1"/>
      <c r="N1306" s="1"/>
      <c r="O1306" s="8" t="str">
        <f>IF(B1306=0,VLOOKUP(A1306,Feuil2!$A$2:$M$1241,13,FALSE)," ")</f>
        <v xml:space="preserve"> </v>
      </c>
    </row>
    <row r="1307" spans="1:15" x14ac:dyDescent="0.3">
      <c r="A1307" s="1">
        <v>1789</v>
      </c>
      <c r="B1307" s="1">
        <v>2</v>
      </c>
      <c r="C1307" s="1" t="s">
        <v>238</v>
      </c>
      <c r="D1307" s="1" t="s">
        <v>2347</v>
      </c>
      <c r="E1307" s="5">
        <v>38197</v>
      </c>
      <c r="F1307" s="1" t="s">
        <v>506</v>
      </c>
      <c r="G1307" s="1" t="str">
        <f>IF(B1307=0,VLOOKUP(A1307,Feuil2!$A$2:$M$1241,11,FALSE)," ")</f>
        <v xml:space="preserve"> </v>
      </c>
      <c r="H1307" s="1" t="s">
        <v>16</v>
      </c>
      <c r="I1307" s="6" t="str">
        <f>IF(B1307=0,VLOOKUP(A1307,Feuil2!$A$2:$M$1241,7,FALSE)," ")</f>
        <v xml:space="preserve"> </v>
      </c>
      <c r="J1307" s="1" t="str">
        <f>IF(B1307=0,VLOOKUP(A1307,Feuil2!$A$2:$M$1241,9,FALSE)," ")</f>
        <v xml:space="preserve"> </v>
      </c>
      <c r="K1307" s="1" t="str">
        <f>IF(B1307=0,VLOOKUP(A1307,Feuil2!$A$2:$M$1241,10,FALSE)," ")</f>
        <v xml:space="preserve"> </v>
      </c>
      <c r="L1307" s="1"/>
      <c r="M1307" s="1"/>
      <c r="N1307" s="1"/>
      <c r="O1307" s="8" t="str">
        <f>IF(B1307=0,VLOOKUP(A1307,Feuil2!$A$2:$M$1241,13,FALSE)," ")</f>
        <v xml:space="preserve"> </v>
      </c>
    </row>
    <row r="1308" spans="1:15" x14ac:dyDescent="0.3">
      <c r="A1308" s="1">
        <v>1789</v>
      </c>
      <c r="B1308" s="1">
        <v>3</v>
      </c>
      <c r="C1308" s="1" t="s">
        <v>238</v>
      </c>
      <c r="D1308" s="1" t="s">
        <v>2373</v>
      </c>
      <c r="E1308" s="5">
        <v>39248</v>
      </c>
      <c r="F1308" s="1" t="s">
        <v>17</v>
      </c>
      <c r="G1308" s="1" t="str">
        <f>IF(B1308=0,VLOOKUP(A1308,Feuil2!$A$2:$M$1241,11,FALSE)," ")</f>
        <v xml:space="preserve"> </v>
      </c>
      <c r="H1308" s="1" t="s">
        <v>16</v>
      </c>
      <c r="I1308" s="6" t="str">
        <f>IF(B1308=0,VLOOKUP(A1308,Feuil2!$A$2:$M$1241,7,FALSE)," ")</f>
        <v xml:space="preserve"> </v>
      </c>
      <c r="J1308" s="1" t="str">
        <f>IF(B1308=0,VLOOKUP(A1308,Feuil2!$A$2:$M$1241,9,FALSE)," ")</f>
        <v xml:space="preserve"> </v>
      </c>
      <c r="K1308" s="1" t="str">
        <f>IF(B1308=0,VLOOKUP(A1308,Feuil2!$A$2:$M$1241,10,FALSE)," ")</f>
        <v xml:space="preserve"> </v>
      </c>
      <c r="L1308" s="1"/>
      <c r="M1308" s="1"/>
      <c r="N1308" s="1"/>
      <c r="O1308" s="8" t="str">
        <f>IF(B1308=0,VLOOKUP(A1308,Feuil2!$A$2:$M$1241,13,FALSE)," ")</f>
        <v xml:space="preserve"> </v>
      </c>
    </row>
    <row r="1309" spans="1:15" x14ac:dyDescent="0.3">
      <c r="A1309" s="1">
        <v>1789</v>
      </c>
      <c r="B1309" s="1">
        <v>4</v>
      </c>
      <c r="C1309" s="1" t="s">
        <v>238</v>
      </c>
      <c r="D1309" s="1" t="s">
        <v>2331</v>
      </c>
      <c r="E1309" s="5">
        <v>40920</v>
      </c>
      <c r="F1309" s="1" t="s">
        <v>17</v>
      </c>
      <c r="G1309" s="1" t="str">
        <f>IF(B1309=0,VLOOKUP(A1309,Feuil2!$A$2:$M$1241,11,FALSE)," ")</f>
        <v xml:space="preserve"> </v>
      </c>
      <c r="H1309" s="1" t="s">
        <v>16</v>
      </c>
      <c r="I1309" s="6" t="str">
        <f>IF(B1309=0,VLOOKUP(A1309,Feuil2!$A$2:$M$1241,7,FALSE)," ")</f>
        <v xml:space="preserve"> </v>
      </c>
      <c r="J1309" s="1" t="str">
        <f>IF(B1309=0,VLOOKUP(A1309,Feuil2!$A$2:$M$1241,9,FALSE)," ")</f>
        <v xml:space="preserve"> </v>
      </c>
      <c r="K1309" s="1" t="str">
        <f>IF(B1309=0,VLOOKUP(A1309,Feuil2!$A$2:$M$1241,10,FALSE)," ")</f>
        <v xml:space="preserve"> </v>
      </c>
      <c r="L1309" s="1"/>
      <c r="M1309" s="1"/>
      <c r="N1309" s="1"/>
      <c r="O1309" s="8" t="str">
        <f>IF(B1309=0,VLOOKUP(A1309,Feuil2!$A$2:$M$1241,13,FALSE)," ")</f>
        <v xml:space="preserve"> </v>
      </c>
    </row>
    <row r="1310" spans="1:15" x14ac:dyDescent="0.3">
      <c r="A1310" s="1">
        <v>1789</v>
      </c>
      <c r="B1310" s="1">
        <v>5</v>
      </c>
      <c r="C1310" s="1" t="s">
        <v>238</v>
      </c>
      <c r="D1310" s="1" t="s">
        <v>287</v>
      </c>
      <c r="E1310" s="5">
        <v>42884</v>
      </c>
      <c r="F1310" s="1" t="s">
        <v>506</v>
      </c>
      <c r="G1310" s="1" t="str">
        <f>IF(B1310=0,VLOOKUP(A1310,Feuil2!$A$2:$M$1241,11,FALSE)," ")</f>
        <v xml:space="preserve"> </v>
      </c>
      <c r="H1310" s="1" t="s">
        <v>16</v>
      </c>
      <c r="I1310" s="6" t="str">
        <f>IF(B1310=0,VLOOKUP(A1310,Feuil2!$A$2:$M$1241,7,FALSE)," ")</f>
        <v xml:space="preserve"> </v>
      </c>
      <c r="J1310" s="1" t="str">
        <f>IF(B1310=0,VLOOKUP(A1310,Feuil2!$A$2:$M$1241,9,FALSE)," ")</f>
        <v xml:space="preserve"> </v>
      </c>
      <c r="K1310" s="1" t="str">
        <f>IF(B1310=0,VLOOKUP(A1310,Feuil2!$A$2:$M$1241,10,FALSE)," ")</f>
        <v xml:space="preserve"> </v>
      </c>
      <c r="L1310" s="1"/>
      <c r="M1310" s="1"/>
      <c r="N1310" s="1"/>
      <c r="O1310" s="8" t="str">
        <f>IF(B1310=0,VLOOKUP(A1310,Feuil2!$A$2:$M$1241,13,FALSE)," ")</f>
        <v xml:space="preserve"> </v>
      </c>
    </row>
    <row r="1311" spans="1:15" x14ac:dyDescent="0.3">
      <c r="A1311" s="1">
        <v>1795</v>
      </c>
      <c r="B1311" s="1">
        <v>0</v>
      </c>
      <c r="C1311" s="1" t="str">
        <f>IF(B1311=0,VLOOKUP(A1311,Feuil2!$A$2:$M$1241,2,FALSE)," ")</f>
        <v>SOUA</v>
      </c>
      <c r="D1311" s="1" t="str">
        <f>IF(B1311=0,VLOOKUP(A1311,Feuil2!$A$2:$M$1241,3,FALSE)," ")</f>
        <v>MOHAMED</v>
      </c>
      <c r="E1311" s="5">
        <f>IF(B1311=0,VLOOKUP(A1311,Feuil2!$A$2:$M$1241,6,FALSE)," ")</f>
        <v>26861</v>
      </c>
      <c r="F1311" s="1" t="str">
        <f>IF(B1311=0,VLOOKUP(A1311,Feuil2!$A$2:$M$1241,12,FALSE)," ")</f>
        <v>H</v>
      </c>
      <c r="G1311" s="1" t="str">
        <f>IF(B1311=0,VLOOKUP(A1311,Feuil2!$A$2:$M$1241,11,FALSE)," ")</f>
        <v>M</v>
      </c>
      <c r="H1311" s="1" t="s">
        <v>16</v>
      </c>
      <c r="I1311" s="6">
        <f>IF(B1311=0,VLOOKUP(A1311,Feuil2!$A$2:$M$1241,7,FALSE)," ")</f>
        <v>5530484</v>
      </c>
      <c r="J1311" s="1" t="str">
        <f>IF(B1311=0,VLOOKUP(A1311,Feuil2!$A$2:$M$1241,9,FALSE)," ")</f>
        <v>10 Rue El Amal</v>
      </c>
      <c r="K1311" s="1" t="str">
        <f>IF(B1311=0,VLOOKUP(A1311,Feuil2!$A$2:$M$1241,10,FALSE)," ")</f>
        <v>Msaken 4070</v>
      </c>
      <c r="L1311" s="1">
        <v>4070</v>
      </c>
      <c r="M1311" s="1">
        <v>98476386</v>
      </c>
      <c r="N1311" s="1"/>
      <c r="O1311" s="8" t="str">
        <f>IF(B1311=0,VLOOKUP(A1311,Feuil2!$A$2:$M$1241,13,FALSE)," ")</f>
        <v>10506040512067878854</v>
      </c>
    </row>
    <row r="1312" spans="1:15" x14ac:dyDescent="0.3">
      <c r="A1312" s="1">
        <v>1795</v>
      </c>
      <c r="B1312" s="1">
        <v>1</v>
      </c>
      <c r="C1312" s="1" t="s">
        <v>2653</v>
      </c>
      <c r="D1312" s="1" t="s">
        <v>501</v>
      </c>
      <c r="E1312" s="5">
        <v>28047</v>
      </c>
      <c r="F1312" s="1" t="s">
        <v>17</v>
      </c>
      <c r="G1312" s="1" t="s">
        <v>15</v>
      </c>
      <c r="H1312" s="1" t="s">
        <v>16</v>
      </c>
      <c r="I1312" s="6" t="str">
        <f>IF(B1312=0,VLOOKUP(A1312,Feuil2!$A$2:$M$1241,7,FALSE)," ")</f>
        <v xml:space="preserve"> </v>
      </c>
      <c r="J1312" s="1" t="str">
        <f>IF(B1312=0,VLOOKUP(A1312,Feuil2!$A$2:$M$1241,9,FALSE)," ")</f>
        <v xml:space="preserve"> </v>
      </c>
      <c r="K1312" s="1" t="str">
        <f>IF(B1312=0,VLOOKUP(A1312,Feuil2!$A$2:$M$1241,10,FALSE)," ")</f>
        <v xml:space="preserve"> </v>
      </c>
      <c r="L1312" s="1"/>
      <c r="M1312" s="1"/>
      <c r="N1312" s="1"/>
      <c r="O1312" s="8" t="str">
        <f>IF(B1312=0,VLOOKUP(A1312,Feuil2!$A$2:$M$1241,13,FALSE)," ")</f>
        <v xml:space="preserve"> </v>
      </c>
    </row>
    <row r="1313" spans="1:15" x14ac:dyDescent="0.3">
      <c r="A1313" s="1">
        <v>1795</v>
      </c>
      <c r="B1313" s="1">
        <v>2</v>
      </c>
      <c r="C1313" s="1" t="s">
        <v>324</v>
      </c>
      <c r="D1313" s="1" t="s">
        <v>2643</v>
      </c>
      <c r="E1313" s="5">
        <v>38632</v>
      </c>
      <c r="F1313" s="1" t="s">
        <v>17</v>
      </c>
      <c r="G1313" s="1" t="str">
        <f>IF(B1313=0,VLOOKUP(A1313,Feuil2!$A$2:$M$1241,11,FALSE)," ")</f>
        <v xml:space="preserve"> </v>
      </c>
      <c r="H1313" s="1" t="s">
        <v>16</v>
      </c>
      <c r="I1313" s="6" t="str">
        <f>IF(B1313=0,VLOOKUP(A1313,Feuil2!$A$2:$M$1241,7,FALSE)," ")</f>
        <v xml:space="preserve"> </v>
      </c>
      <c r="J1313" s="1" t="str">
        <f>IF(B1313=0,VLOOKUP(A1313,Feuil2!$A$2:$M$1241,9,FALSE)," ")</f>
        <v xml:space="preserve"> </v>
      </c>
      <c r="K1313" s="1" t="str">
        <f>IF(B1313=0,VLOOKUP(A1313,Feuil2!$A$2:$M$1241,10,FALSE)," ")</f>
        <v xml:space="preserve"> </v>
      </c>
      <c r="L1313" s="1"/>
      <c r="M1313" s="1"/>
      <c r="N1313" s="1"/>
      <c r="O1313" s="8" t="str">
        <f>IF(B1313=0,VLOOKUP(A1313,Feuil2!$A$2:$M$1241,13,FALSE)," ")</f>
        <v xml:space="preserve"> </v>
      </c>
    </row>
    <row r="1314" spans="1:15" x14ac:dyDescent="0.3">
      <c r="A1314" s="1">
        <v>1795</v>
      </c>
      <c r="B1314" s="1">
        <v>3</v>
      </c>
      <c r="C1314" s="1" t="s">
        <v>324</v>
      </c>
      <c r="D1314" s="1" t="s">
        <v>122</v>
      </c>
      <c r="E1314" s="5">
        <v>39145</v>
      </c>
      <c r="F1314" s="1" t="s">
        <v>506</v>
      </c>
      <c r="G1314" s="1" t="str">
        <f>IF(B1314=0,VLOOKUP(A1314,Feuil2!$A$2:$M$1241,11,FALSE)," ")</f>
        <v xml:space="preserve"> </v>
      </c>
      <c r="H1314" s="1" t="s">
        <v>16</v>
      </c>
      <c r="I1314" s="6" t="str">
        <f>IF(B1314=0,VLOOKUP(A1314,Feuil2!$A$2:$M$1241,7,FALSE)," ")</f>
        <v xml:space="preserve"> </v>
      </c>
      <c r="J1314" s="1" t="str">
        <f>IF(B1314=0,VLOOKUP(A1314,Feuil2!$A$2:$M$1241,9,FALSE)," ")</f>
        <v xml:space="preserve"> </v>
      </c>
      <c r="K1314" s="1" t="str">
        <f>IF(B1314=0,VLOOKUP(A1314,Feuil2!$A$2:$M$1241,10,FALSE)," ")</f>
        <v xml:space="preserve"> </v>
      </c>
      <c r="L1314" s="1"/>
      <c r="M1314" s="1"/>
      <c r="N1314" s="1"/>
      <c r="O1314" s="8" t="str">
        <f>IF(B1314=0,VLOOKUP(A1314,Feuil2!$A$2:$M$1241,13,FALSE)," ")</f>
        <v xml:space="preserve"> </v>
      </c>
    </row>
    <row r="1315" spans="1:15" x14ac:dyDescent="0.3">
      <c r="A1315" s="1">
        <v>1795</v>
      </c>
      <c r="B1315" s="1">
        <v>4</v>
      </c>
      <c r="C1315" s="1" t="s">
        <v>324</v>
      </c>
      <c r="D1315" s="1" t="s">
        <v>2385</v>
      </c>
      <c r="E1315" s="5">
        <v>40670</v>
      </c>
      <c r="F1315" s="1" t="s">
        <v>17</v>
      </c>
      <c r="G1315" s="1" t="str">
        <f>IF(B1315=0,VLOOKUP(A1315,Feuil2!$A$2:$M$1241,11,FALSE)," ")</f>
        <v xml:space="preserve"> </v>
      </c>
      <c r="H1315" s="1" t="s">
        <v>16</v>
      </c>
      <c r="I1315" s="6" t="str">
        <f>IF(B1315=0,VLOOKUP(A1315,Feuil2!$A$2:$M$1241,7,FALSE)," ")</f>
        <v xml:space="preserve"> </v>
      </c>
      <c r="J1315" s="1" t="str">
        <f>IF(B1315=0,VLOOKUP(A1315,Feuil2!$A$2:$M$1241,9,FALSE)," ")</f>
        <v xml:space="preserve"> </v>
      </c>
      <c r="K1315" s="1" t="str">
        <f>IF(B1315=0,VLOOKUP(A1315,Feuil2!$A$2:$M$1241,10,FALSE)," ")</f>
        <v xml:space="preserve"> </v>
      </c>
      <c r="L1315" s="1"/>
      <c r="M1315" s="1"/>
      <c r="N1315" s="1"/>
      <c r="O1315" s="8" t="str">
        <f>IF(B1315=0,VLOOKUP(A1315,Feuil2!$A$2:$M$1241,13,FALSE)," ")</f>
        <v xml:space="preserve"> </v>
      </c>
    </row>
    <row r="1316" spans="1:15" x14ac:dyDescent="0.3">
      <c r="A1316" s="1">
        <v>1795</v>
      </c>
      <c r="B1316" s="1">
        <v>5</v>
      </c>
      <c r="C1316" s="1" t="s">
        <v>324</v>
      </c>
      <c r="D1316" s="1" t="s">
        <v>61</v>
      </c>
      <c r="E1316" s="5">
        <v>42563</v>
      </c>
      <c r="F1316" s="1" t="s">
        <v>506</v>
      </c>
      <c r="G1316" s="1" t="str">
        <f>IF(B1316=0,VLOOKUP(A1316,Feuil2!$A$2:$M$1241,11,FALSE)," ")</f>
        <v xml:space="preserve"> </v>
      </c>
      <c r="H1316" s="1" t="s">
        <v>16</v>
      </c>
      <c r="I1316" s="6" t="str">
        <f>IF(B1316=0,VLOOKUP(A1316,Feuil2!$A$2:$M$1241,7,FALSE)," ")</f>
        <v xml:space="preserve"> </v>
      </c>
      <c r="J1316" s="1" t="str">
        <f>IF(B1316=0,VLOOKUP(A1316,Feuil2!$A$2:$M$1241,9,FALSE)," ")</f>
        <v xml:space="preserve"> </v>
      </c>
      <c r="K1316" s="1" t="str">
        <f>IF(B1316=0,VLOOKUP(A1316,Feuil2!$A$2:$M$1241,10,FALSE)," ")</f>
        <v xml:space="preserve"> </v>
      </c>
      <c r="L1316" s="1"/>
      <c r="M1316" s="1"/>
      <c r="N1316" s="1"/>
      <c r="O1316" s="8" t="str">
        <f>IF(B1316=0,VLOOKUP(A1316,Feuil2!$A$2:$M$1241,13,FALSE)," ")</f>
        <v xml:space="preserve"> </v>
      </c>
    </row>
    <row r="1317" spans="1:15" x14ac:dyDescent="0.3">
      <c r="A1317" s="1">
        <v>1800</v>
      </c>
      <c r="B1317" s="1">
        <v>0</v>
      </c>
      <c r="C1317" s="1" t="str">
        <f>IF(B1317=0,VLOOKUP(A1317,Feuil2!$A$2:$M$1241,2,FALSE)," ")</f>
        <v>BEN CHAOUACHA</v>
      </c>
      <c r="D1317" s="1" t="str">
        <f>IF(B1317=0,VLOOKUP(A1317,Feuil2!$A$2:$M$1241,3,FALSE)," ")</f>
        <v>WAHIB</v>
      </c>
      <c r="E1317" s="5">
        <f>IF(B1317=0,VLOOKUP(A1317,Feuil2!$A$2:$M$1241,6,FALSE)," ")</f>
        <v>25260</v>
      </c>
      <c r="F1317" s="1" t="str">
        <f>IF(B1317=0,VLOOKUP(A1317,Feuil2!$A$2:$M$1241,12,FALSE)," ")</f>
        <v>H</v>
      </c>
      <c r="G1317" s="1" t="str">
        <f>IF(B1317=0,VLOOKUP(A1317,Feuil2!$A$2:$M$1241,11,FALSE)," ")</f>
        <v>M</v>
      </c>
      <c r="H1317" s="1" t="s">
        <v>16</v>
      </c>
      <c r="I1317" s="6">
        <f>IF(B1317=0,VLOOKUP(A1317,Feuil2!$A$2:$M$1241,7,FALSE)," ")</f>
        <v>2999994</v>
      </c>
      <c r="J1317" s="1" t="str">
        <f>IF(B1317=0,VLOOKUP(A1317,Feuil2!$A$2:$M$1241,9,FALSE)," ")</f>
        <v>8 Impasse Essaada</v>
      </c>
      <c r="K1317" s="1" t="str">
        <f>IF(B1317=0,VLOOKUP(A1317,Feuil2!$A$2:$M$1241,10,FALSE)," ")</f>
        <v>Kessibet Sousse</v>
      </c>
      <c r="L1317" s="1"/>
      <c r="M1317" s="1">
        <v>52989628</v>
      </c>
      <c r="N1317" s="1"/>
      <c r="O1317" s="8" t="str">
        <f>IF(B1317=0,VLOOKUP(A1317,Feuil2!$A$2:$M$1241,13,FALSE)," ")</f>
        <v>03508056010110198422</v>
      </c>
    </row>
    <row r="1318" spans="1:15" x14ac:dyDescent="0.3">
      <c r="A1318" s="1">
        <v>1800</v>
      </c>
      <c r="B1318" s="1">
        <v>1</v>
      </c>
      <c r="C1318" s="1" t="s">
        <v>2709</v>
      </c>
      <c r="D1318" s="1" t="s">
        <v>1094</v>
      </c>
      <c r="E1318" s="5">
        <v>28739</v>
      </c>
      <c r="F1318" s="1" t="s">
        <v>17</v>
      </c>
      <c r="G1318" s="1" t="s">
        <v>15</v>
      </c>
      <c r="H1318" s="1" t="s">
        <v>16</v>
      </c>
      <c r="I1318" s="6" t="str">
        <f>IF(B1318=0,VLOOKUP(A1318,Feuil2!$A$2:$M$1241,7,FALSE)," ")</f>
        <v xml:space="preserve"> </v>
      </c>
      <c r="J1318" s="1" t="str">
        <f>IF(B1318=0,VLOOKUP(A1318,Feuil2!$A$2:$M$1241,9,FALSE)," ")</f>
        <v xml:space="preserve"> </v>
      </c>
      <c r="K1318" s="1" t="str">
        <f>IF(B1318=0,VLOOKUP(A1318,Feuil2!$A$2:$M$1241,10,FALSE)," ")</f>
        <v xml:space="preserve"> </v>
      </c>
      <c r="L1318" s="1"/>
      <c r="M1318" s="1"/>
      <c r="N1318" s="1"/>
      <c r="O1318" s="8" t="str">
        <f>IF(B1318=0,VLOOKUP(A1318,Feuil2!$A$2:$M$1241,13,FALSE)," ")</f>
        <v xml:space="preserve"> </v>
      </c>
    </row>
    <row r="1319" spans="1:15" x14ac:dyDescent="0.3">
      <c r="A1319" s="1">
        <v>1800</v>
      </c>
      <c r="B1319" s="1">
        <v>2</v>
      </c>
      <c r="C1319" s="1" t="s">
        <v>1617</v>
      </c>
      <c r="D1319" s="1" t="s">
        <v>2530</v>
      </c>
      <c r="E1319" s="5">
        <v>38302</v>
      </c>
      <c r="F1319" s="1" t="s">
        <v>506</v>
      </c>
      <c r="G1319" s="1" t="str">
        <f>IF(B1319=0,VLOOKUP(A1319,Feuil2!$A$2:$M$1241,11,FALSE)," ")</f>
        <v xml:space="preserve"> </v>
      </c>
      <c r="H1319" s="1" t="s">
        <v>16</v>
      </c>
      <c r="I1319" s="6" t="str">
        <f>IF(B1319=0,VLOOKUP(A1319,Feuil2!$A$2:$M$1241,7,FALSE)," ")</f>
        <v xml:space="preserve"> </v>
      </c>
      <c r="J1319" s="1" t="str">
        <f>IF(B1319=0,VLOOKUP(A1319,Feuil2!$A$2:$M$1241,9,FALSE)," ")</f>
        <v xml:space="preserve"> </v>
      </c>
      <c r="K1319" s="1" t="str">
        <f>IF(B1319=0,VLOOKUP(A1319,Feuil2!$A$2:$M$1241,10,FALSE)," ")</f>
        <v xml:space="preserve"> </v>
      </c>
      <c r="L1319" s="1"/>
      <c r="M1319" s="1"/>
      <c r="N1319" s="1"/>
      <c r="O1319" s="8" t="str">
        <f>IF(B1319=0,VLOOKUP(A1319,Feuil2!$A$2:$M$1241,13,FALSE)," ")</f>
        <v xml:space="preserve"> </v>
      </c>
    </row>
    <row r="1320" spans="1:15" x14ac:dyDescent="0.3">
      <c r="A1320" s="1">
        <v>1800</v>
      </c>
      <c r="B1320" s="1">
        <v>3</v>
      </c>
      <c r="C1320" s="1" t="s">
        <v>1617</v>
      </c>
      <c r="D1320" s="1" t="s">
        <v>2367</v>
      </c>
      <c r="E1320" s="5">
        <v>38730</v>
      </c>
      <c r="F1320" s="1" t="s">
        <v>17</v>
      </c>
      <c r="G1320" s="1" t="str">
        <f>IF(B1320=0,VLOOKUP(A1320,Feuil2!$A$2:$M$1241,11,FALSE)," ")</f>
        <v xml:space="preserve"> </v>
      </c>
      <c r="H1320" s="1" t="s">
        <v>16</v>
      </c>
      <c r="I1320" s="6" t="str">
        <f>IF(B1320=0,VLOOKUP(A1320,Feuil2!$A$2:$M$1241,7,FALSE)," ")</f>
        <v xml:space="preserve"> </v>
      </c>
      <c r="J1320" s="1" t="str">
        <f>IF(B1320=0,VLOOKUP(A1320,Feuil2!$A$2:$M$1241,9,FALSE)," ")</f>
        <v xml:space="preserve"> </v>
      </c>
      <c r="K1320" s="1" t="str">
        <f>IF(B1320=0,VLOOKUP(A1320,Feuil2!$A$2:$M$1241,10,FALSE)," ")</f>
        <v xml:space="preserve"> </v>
      </c>
      <c r="L1320" s="1"/>
      <c r="M1320" s="1"/>
      <c r="N1320" s="1"/>
      <c r="O1320" s="8" t="str">
        <f>IF(B1320=0,VLOOKUP(A1320,Feuil2!$A$2:$M$1241,13,FALSE)," ")</f>
        <v xml:space="preserve"> </v>
      </c>
    </row>
    <row r="1321" spans="1:15" x14ac:dyDescent="0.3">
      <c r="A1321" s="1">
        <v>1800</v>
      </c>
      <c r="B1321" s="1">
        <v>4</v>
      </c>
      <c r="C1321" s="1" t="s">
        <v>1617</v>
      </c>
      <c r="D1321" s="1" t="s">
        <v>2710</v>
      </c>
      <c r="E1321" s="5">
        <v>41577</v>
      </c>
      <c r="F1321" s="1" t="s">
        <v>506</v>
      </c>
      <c r="G1321" s="1" t="str">
        <f>IF(B1321=0,VLOOKUP(A1321,Feuil2!$A$2:$M$1241,11,FALSE)," ")</f>
        <v xml:space="preserve"> </v>
      </c>
      <c r="H1321" s="1" t="s">
        <v>16</v>
      </c>
      <c r="I1321" s="6" t="str">
        <f>IF(B1321=0,VLOOKUP(A1321,Feuil2!$A$2:$M$1241,7,FALSE)," ")</f>
        <v xml:space="preserve"> </v>
      </c>
      <c r="J1321" s="1" t="str">
        <f>IF(B1321=0,VLOOKUP(A1321,Feuil2!$A$2:$M$1241,9,FALSE)," ")</f>
        <v xml:space="preserve"> </v>
      </c>
      <c r="K1321" s="1" t="str">
        <f>IF(B1321=0,VLOOKUP(A1321,Feuil2!$A$2:$M$1241,10,FALSE)," ")</f>
        <v xml:space="preserve"> </v>
      </c>
      <c r="L1321" s="1"/>
      <c r="M1321" s="1"/>
      <c r="N1321" s="1"/>
      <c r="O1321" s="8" t="str">
        <f>IF(B1321=0,VLOOKUP(A1321,Feuil2!$A$2:$M$1241,13,FALSE)," ")</f>
        <v xml:space="preserve"> </v>
      </c>
    </row>
    <row r="1322" spans="1:15" x14ac:dyDescent="0.3">
      <c r="A1322" s="1">
        <v>1802</v>
      </c>
      <c r="B1322" s="1">
        <v>0</v>
      </c>
      <c r="C1322" s="1" t="str">
        <f>IF(B1322=0,VLOOKUP(A1322,Feuil2!$A$2:$M$1241,2,FALSE)," ")</f>
        <v>BHIRI</v>
      </c>
      <c r="D1322" s="1" t="str">
        <f>IF(B1322=0,VLOOKUP(A1322,Feuil2!$A$2:$M$1241,3,FALSE)," ")</f>
        <v>SABEUR</v>
      </c>
      <c r="E1322" s="5">
        <f>IF(B1322=0,VLOOKUP(A1322,Feuil2!$A$2:$M$1241,6,FALSE)," ")</f>
        <v>29045</v>
      </c>
      <c r="F1322" s="1" t="str">
        <f>IF(B1322=0,VLOOKUP(A1322,Feuil2!$A$2:$M$1241,12,FALSE)," ")</f>
        <v>H</v>
      </c>
      <c r="G1322" s="1" t="str">
        <f>IF(B1322=0,VLOOKUP(A1322,Feuil2!$A$2:$M$1241,11,FALSE)," ")</f>
        <v>M</v>
      </c>
      <c r="H1322" s="1" t="s">
        <v>16</v>
      </c>
      <c r="I1322" s="6">
        <f>IF(B1322=0,VLOOKUP(A1322,Feuil2!$A$2:$M$1241,7,FALSE)," ")</f>
        <v>5588831</v>
      </c>
      <c r="J1322" s="1" t="str">
        <f>IF(B1322=0,VLOOKUP(A1322,Feuil2!$A$2:$M$1241,9,FALSE)," ")</f>
        <v>163 Rue Hedi Chaker</v>
      </c>
      <c r="K1322" s="1" t="str">
        <f>IF(B1322=0,VLOOKUP(A1322,Feuil2!$A$2:$M$1241,10,FALSE)," ")</f>
        <v>Msaken 4070</v>
      </c>
      <c r="L1322" s="1">
        <v>4070</v>
      </c>
      <c r="M1322" s="1">
        <v>25367249</v>
      </c>
      <c r="N1322" s="1"/>
      <c r="O1322" s="8" t="str">
        <f>IF(B1322=0,VLOOKUP(A1322,Feuil2!$A$2:$M$1241,13,FALSE)," ")</f>
        <v>10506040206252678817</v>
      </c>
    </row>
    <row r="1323" spans="1:15" x14ac:dyDescent="0.3">
      <c r="A1323" s="1">
        <v>1802</v>
      </c>
      <c r="B1323" s="1">
        <v>1</v>
      </c>
      <c r="C1323" s="1" t="str">
        <f>IF(B1323=0,VLOOKUP(A1323,Feuil2!$A$2:$M$1241,2,FALSE)," ")</f>
        <v xml:space="preserve"> </v>
      </c>
      <c r="D1323" s="1" t="s">
        <v>1541</v>
      </c>
      <c r="E1323" s="5">
        <v>28950</v>
      </c>
      <c r="F1323" s="1" t="s">
        <v>17</v>
      </c>
      <c r="G1323" s="1" t="s">
        <v>15</v>
      </c>
      <c r="H1323" s="1" t="s">
        <v>16</v>
      </c>
      <c r="I1323" s="6" t="str">
        <f>IF(B1323=0,VLOOKUP(A1323,Feuil2!$A$2:$M$1241,7,FALSE)," ")</f>
        <v xml:space="preserve"> </v>
      </c>
      <c r="J1323" s="1" t="str">
        <f>IF(B1323=0,VLOOKUP(A1323,Feuil2!$A$2:$M$1241,9,FALSE)," ")</f>
        <v xml:space="preserve"> </v>
      </c>
      <c r="K1323" s="1" t="str">
        <f>IF(B1323=0,VLOOKUP(A1323,Feuil2!$A$2:$M$1241,10,FALSE)," ")</f>
        <v xml:space="preserve"> </v>
      </c>
      <c r="L1323" s="1"/>
      <c r="M1323" s="1"/>
      <c r="N1323" s="1"/>
      <c r="O1323" s="8" t="str">
        <f>IF(B1323=0,VLOOKUP(A1323,Feuil2!$A$2:$M$1241,13,FALSE)," ")</f>
        <v xml:space="preserve"> </v>
      </c>
    </row>
    <row r="1324" spans="1:15" x14ac:dyDescent="0.3">
      <c r="A1324" s="1">
        <v>1802</v>
      </c>
      <c r="B1324" s="1">
        <v>2</v>
      </c>
      <c r="C1324" s="1" t="s">
        <v>193</v>
      </c>
      <c r="D1324" s="1" t="s">
        <v>34</v>
      </c>
      <c r="E1324" s="5">
        <v>36817</v>
      </c>
      <c r="F1324" s="1" t="s">
        <v>506</v>
      </c>
      <c r="G1324" s="1" t="str">
        <f>IF(B1324=0,VLOOKUP(A1324,Feuil2!$A$2:$M$1241,11,FALSE)," ")</f>
        <v xml:space="preserve"> </v>
      </c>
      <c r="H1324" s="1" t="s">
        <v>16</v>
      </c>
      <c r="I1324" s="6" t="str">
        <f>IF(B1324=0,VLOOKUP(A1324,Feuil2!$A$2:$M$1241,7,FALSE)," ")</f>
        <v xml:space="preserve"> </v>
      </c>
      <c r="J1324" s="1" t="str">
        <f>IF(B1324=0,VLOOKUP(A1324,Feuil2!$A$2:$M$1241,9,FALSE)," ")</f>
        <v xml:space="preserve"> </v>
      </c>
      <c r="K1324" s="1" t="str">
        <f>IF(B1324=0,VLOOKUP(A1324,Feuil2!$A$2:$M$1241,10,FALSE)," ")</f>
        <v xml:space="preserve"> </v>
      </c>
      <c r="L1324" s="1"/>
      <c r="M1324" s="1"/>
      <c r="N1324" s="1"/>
      <c r="O1324" s="8" t="str">
        <f>IF(B1324=0,VLOOKUP(A1324,Feuil2!$A$2:$M$1241,13,FALSE)," ")</f>
        <v xml:space="preserve"> </v>
      </c>
    </row>
    <row r="1325" spans="1:15" x14ac:dyDescent="0.3">
      <c r="A1325" s="1">
        <v>1802</v>
      </c>
      <c r="B1325" s="1">
        <v>3</v>
      </c>
      <c r="C1325" s="1" t="s">
        <v>193</v>
      </c>
      <c r="D1325" s="1" t="s">
        <v>89</v>
      </c>
      <c r="E1325" s="5">
        <v>39065</v>
      </c>
      <c r="F1325" s="1" t="s">
        <v>506</v>
      </c>
      <c r="G1325" s="1" t="str">
        <f>IF(B1325=0,VLOOKUP(A1325,Feuil2!$A$2:$M$1241,11,FALSE)," ")</f>
        <v xml:space="preserve"> </v>
      </c>
      <c r="H1325" s="1" t="s">
        <v>16</v>
      </c>
      <c r="I1325" s="6" t="str">
        <f>IF(B1325=0,VLOOKUP(A1325,Feuil2!$A$2:$M$1241,7,FALSE)," ")</f>
        <v xml:space="preserve"> </v>
      </c>
      <c r="J1325" s="1" t="str">
        <f>IF(B1325=0,VLOOKUP(A1325,Feuil2!$A$2:$M$1241,9,FALSE)," ")</f>
        <v xml:space="preserve"> </v>
      </c>
      <c r="K1325" s="1" t="str">
        <f>IF(B1325=0,VLOOKUP(A1325,Feuil2!$A$2:$M$1241,10,FALSE)," ")</f>
        <v xml:space="preserve"> </v>
      </c>
      <c r="L1325" s="1"/>
      <c r="M1325" s="1"/>
      <c r="N1325" s="1"/>
      <c r="O1325" s="8" t="str">
        <f>IF(B1325=0,VLOOKUP(A1325,Feuil2!$A$2:$M$1241,13,FALSE)," ")</f>
        <v xml:space="preserve"> </v>
      </c>
    </row>
    <row r="1326" spans="1:15" x14ac:dyDescent="0.3">
      <c r="A1326" s="1">
        <v>1802</v>
      </c>
      <c r="B1326" s="1">
        <v>4</v>
      </c>
      <c r="C1326" s="1" t="s">
        <v>193</v>
      </c>
      <c r="D1326" s="1" t="s">
        <v>2661</v>
      </c>
      <c r="E1326" s="5">
        <v>41827</v>
      </c>
      <c r="F1326" s="1" t="s">
        <v>506</v>
      </c>
      <c r="G1326" s="1" t="str">
        <f>IF(B1326=0,VLOOKUP(A1326,Feuil2!$A$2:$M$1241,11,FALSE)," ")</f>
        <v xml:space="preserve"> </v>
      </c>
      <c r="H1326" s="1" t="s">
        <v>16</v>
      </c>
      <c r="I1326" s="6" t="str">
        <f>IF(B1326=0,VLOOKUP(A1326,Feuil2!$A$2:$M$1241,7,FALSE)," ")</f>
        <v xml:space="preserve"> </v>
      </c>
      <c r="J1326" s="1" t="str">
        <f>IF(B1326=0,VLOOKUP(A1326,Feuil2!$A$2:$M$1241,9,FALSE)," ")</f>
        <v xml:space="preserve"> </v>
      </c>
      <c r="K1326" s="1" t="str">
        <f>IF(B1326=0,VLOOKUP(A1326,Feuil2!$A$2:$M$1241,10,FALSE)," ")</f>
        <v xml:space="preserve"> </v>
      </c>
      <c r="L1326" s="1"/>
      <c r="M1326" s="1"/>
      <c r="N1326" s="1"/>
      <c r="O1326" s="8" t="str">
        <f>IF(B1326=0,VLOOKUP(A1326,Feuil2!$A$2:$M$1241,13,FALSE)," ")</f>
        <v xml:space="preserve"> </v>
      </c>
    </row>
    <row r="1327" spans="1:15" x14ac:dyDescent="0.3">
      <c r="A1327" s="1">
        <v>1803</v>
      </c>
      <c r="B1327" s="1">
        <v>0</v>
      </c>
      <c r="C1327" s="1" t="str">
        <f>IF(B1327=0,VLOOKUP(A1327,Feuil2!$A$2:$M$1241,2,FALSE)," ")</f>
        <v>GAM</v>
      </c>
      <c r="D1327" s="1" t="str">
        <f>IF(B1327=0,VLOOKUP(A1327,Feuil2!$A$2:$M$1241,3,FALSE)," ")</f>
        <v>HAMDI</v>
      </c>
      <c r="E1327" s="5">
        <f>IF(B1327=0,VLOOKUP(A1327,Feuil2!$A$2:$M$1241,6,FALSE)," ")</f>
        <v>27882</v>
      </c>
      <c r="F1327" s="1" t="str">
        <f>IF(B1327=0,VLOOKUP(A1327,Feuil2!$A$2:$M$1241,12,FALSE)," ")</f>
        <v>H</v>
      </c>
      <c r="G1327" s="1" t="str">
        <f>IF(B1327=0,VLOOKUP(A1327,Feuil2!$A$2:$M$1241,11,FALSE)," ")</f>
        <v>M</v>
      </c>
      <c r="H1327" s="1" t="s">
        <v>16</v>
      </c>
      <c r="I1327" s="6">
        <f>IF(B1327=0,VLOOKUP(A1327,Feuil2!$A$2:$M$1241,7,FALSE)," ")</f>
        <v>5577003</v>
      </c>
      <c r="J1327" s="1" t="str">
        <f>IF(B1327=0,VLOOKUP(A1327,Feuil2!$A$2:$M$1241,9,FALSE)," ")</f>
        <v>267 Rue Habib Thameur</v>
      </c>
      <c r="K1327" s="1" t="str">
        <f>IF(B1327=0,VLOOKUP(A1327,Feuil2!$A$2:$M$1241,10,FALSE)," ")</f>
        <v>Msaken 4070</v>
      </c>
      <c r="L1327" s="1">
        <v>4070</v>
      </c>
      <c r="M1327" s="1">
        <v>21880700</v>
      </c>
      <c r="N1327" s="1"/>
      <c r="O1327" s="8" t="str">
        <f>IF(B1327=0,VLOOKUP(A1327,Feuil2!$A$2:$M$1241,13,FALSE)," ")</f>
        <v>10506040504443978875</v>
      </c>
    </row>
    <row r="1328" spans="1:15" x14ac:dyDescent="0.3">
      <c r="A1328" s="1">
        <v>1803</v>
      </c>
      <c r="B1328" s="1">
        <v>1</v>
      </c>
      <c r="C1328" s="1" t="s">
        <v>451</v>
      </c>
      <c r="D1328" s="1" t="s">
        <v>2316</v>
      </c>
      <c r="E1328" s="5">
        <v>29537</v>
      </c>
      <c r="F1328" s="1" t="s">
        <v>17</v>
      </c>
      <c r="G1328" s="1" t="s">
        <v>15</v>
      </c>
      <c r="H1328" s="1" t="s">
        <v>16</v>
      </c>
      <c r="I1328" s="6" t="str">
        <f>IF(B1328=0,VLOOKUP(A1328,Feuil2!$A$2:$M$1241,7,FALSE)," ")</f>
        <v xml:space="preserve"> </v>
      </c>
      <c r="J1328" s="1" t="str">
        <f>IF(B1328=0,VLOOKUP(A1328,Feuil2!$A$2:$M$1241,9,FALSE)," ")</f>
        <v xml:space="preserve"> </v>
      </c>
      <c r="K1328" s="1" t="str">
        <f>IF(B1328=0,VLOOKUP(A1328,Feuil2!$A$2:$M$1241,10,FALSE)," ")</f>
        <v xml:space="preserve"> </v>
      </c>
      <c r="L1328" s="1"/>
      <c r="M1328" s="1"/>
      <c r="N1328" s="1"/>
      <c r="O1328" s="8" t="str">
        <f>IF(B1328=0,VLOOKUP(A1328,Feuil2!$A$2:$M$1241,13,FALSE)," ")</f>
        <v xml:space="preserve"> </v>
      </c>
    </row>
    <row r="1329" spans="1:15" x14ac:dyDescent="0.3">
      <c r="A1329" s="1">
        <v>1803</v>
      </c>
      <c r="B1329" s="1">
        <v>2</v>
      </c>
      <c r="C1329" s="1" t="s">
        <v>309</v>
      </c>
      <c r="D1329" s="1" t="s">
        <v>89</v>
      </c>
      <c r="E1329" s="5">
        <v>39527</v>
      </c>
      <c r="F1329" s="1" t="s">
        <v>506</v>
      </c>
      <c r="G1329" s="1" t="str">
        <f>IF(B1329=0,VLOOKUP(A1329,Feuil2!$A$2:$M$1241,11,FALSE)," ")</f>
        <v xml:space="preserve"> </v>
      </c>
      <c r="H1329" s="1" t="s">
        <v>16</v>
      </c>
      <c r="I1329" s="6" t="str">
        <f>IF(B1329=0,VLOOKUP(A1329,Feuil2!$A$2:$M$1241,7,FALSE)," ")</f>
        <v xml:space="preserve"> </v>
      </c>
      <c r="J1329" s="1" t="str">
        <f>IF(B1329=0,VLOOKUP(A1329,Feuil2!$A$2:$M$1241,9,FALSE)," ")</f>
        <v xml:space="preserve"> </v>
      </c>
      <c r="K1329" s="1" t="str">
        <f>IF(B1329=0,VLOOKUP(A1329,Feuil2!$A$2:$M$1241,10,FALSE)," ")</f>
        <v xml:space="preserve"> </v>
      </c>
      <c r="L1329" s="1"/>
      <c r="M1329" s="1"/>
      <c r="N1329" s="1"/>
      <c r="O1329" s="8" t="str">
        <f>IF(B1329=0,VLOOKUP(A1329,Feuil2!$A$2:$M$1241,13,FALSE)," ")</f>
        <v xml:space="preserve"> </v>
      </c>
    </row>
    <row r="1330" spans="1:15" x14ac:dyDescent="0.3">
      <c r="A1330" s="1">
        <v>1803</v>
      </c>
      <c r="B1330" s="1">
        <v>3</v>
      </c>
      <c r="C1330" s="1" t="s">
        <v>309</v>
      </c>
      <c r="D1330" s="1" t="s">
        <v>2657</v>
      </c>
      <c r="E1330" s="5">
        <v>41602</v>
      </c>
      <c r="F1330" s="1" t="s">
        <v>506</v>
      </c>
      <c r="G1330" s="1" t="str">
        <f>IF(B1330=0,VLOOKUP(A1330,Feuil2!$A$2:$M$1241,11,FALSE)," ")</f>
        <v xml:space="preserve"> </v>
      </c>
      <c r="H1330" s="1" t="s">
        <v>16</v>
      </c>
      <c r="I1330" s="6" t="str">
        <f>IF(B1330=0,VLOOKUP(A1330,Feuil2!$A$2:$M$1241,7,FALSE)," ")</f>
        <v xml:space="preserve"> </v>
      </c>
      <c r="J1330" s="1" t="str">
        <f>IF(B1330=0,VLOOKUP(A1330,Feuil2!$A$2:$M$1241,9,FALSE)," ")</f>
        <v xml:space="preserve"> </v>
      </c>
      <c r="K1330" s="1" t="str">
        <f>IF(B1330=0,VLOOKUP(A1330,Feuil2!$A$2:$M$1241,10,FALSE)," ")</f>
        <v xml:space="preserve"> </v>
      </c>
      <c r="L1330" s="1"/>
      <c r="M1330" s="1"/>
      <c r="N1330" s="1"/>
      <c r="O1330" s="8" t="str">
        <f>IF(B1330=0,VLOOKUP(A1330,Feuil2!$A$2:$M$1241,13,FALSE)," ")</f>
        <v xml:space="preserve"> </v>
      </c>
    </row>
    <row r="1331" spans="1:15" x14ac:dyDescent="0.3">
      <c r="A1331" s="1">
        <v>1808</v>
      </c>
      <c r="B1331" s="1">
        <v>0</v>
      </c>
      <c r="C1331" s="1" t="str">
        <f>IF(B1331=0,VLOOKUP(A1331,Feuil2!$A$2:$M$1241,2,FALSE)," ")</f>
        <v>EL BAHLOUL</v>
      </c>
      <c r="D1331" s="1" t="str">
        <f>IF(B1331=0,VLOOKUP(A1331,Feuil2!$A$2:$M$1241,3,FALSE)," ")</f>
        <v>HICHEM</v>
      </c>
      <c r="E1331" s="5">
        <f>IF(B1331=0,VLOOKUP(A1331,Feuil2!$A$2:$M$1241,6,FALSE)," ")</f>
        <v>24136</v>
      </c>
      <c r="F1331" s="1" t="str">
        <f>IF(B1331=0,VLOOKUP(A1331,Feuil2!$A$2:$M$1241,12,FALSE)," ")</f>
        <v>H</v>
      </c>
      <c r="G1331" s="1" t="str">
        <f>IF(B1331=0,VLOOKUP(A1331,Feuil2!$A$2:$M$1241,11,FALSE)," ")</f>
        <v>M</v>
      </c>
      <c r="H1331" s="1" t="s">
        <v>16</v>
      </c>
      <c r="I1331" s="6">
        <f>IF(B1331=0,VLOOKUP(A1331,Feuil2!$A$2:$M$1241,7,FALSE)," ")</f>
        <v>2978207</v>
      </c>
      <c r="J1331" s="1" t="str">
        <f>IF(B1331=0,VLOOKUP(A1331,Feuil2!$A$2:$M$1241,9,FALSE)," ")</f>
        <v>4 Rue Ibn Sina</v>
      </c>
      <c r="K1331" s="1" t="str">
        <f>IF(B1331=0,VLOOKUP(A1331,Feuil2!$A$2:$M$1241,10,FALSE)," ")</f>
        <v>Msaken 4070</v>
      </c>
      <c r="L1331" s="1">
        <v>4070</v>
      </c>
      <c r="M1331" s="1">
        <v>50021686</v>
      </c>
      <c r="N1331" s="1"/>
      <c r="O1331" s="8" t="str">
        <f>IF(B1331=0,VLOOKUP(A1331,Feuil2!$A$2:$M$1241,13,FALSE)," ")</f>
        <v>04204067404001064919</v>
      </c>
    </row>
    <row r="1332" spans="1:15" x14ac:dyDescent="0.3">
      <c r="A1332" s="1">
        <v>1808</v>
      </c>
      <c r="B1332" s="1">
        <v>1</v>
      </c>
      <c r="C1332" s="1" t="s">
        <v>160</v>
      </c>
      <c r="D1332" s="1" t="s">
        <v>2381</v>
      </c>
      <c r="E1332" s="5">
        <v>26228</v>
      </c>
      <c r="F1332" s="1" t="s">
        <v>17</v>
      </c>
      <c r="G1332" s="1" t="s">
        <v>15</v>
      </c>
      <c r="H1332" s="1" t="s">
        <v>16</v>
      </c>
      <c r="I1332" s="6" t="str">
        <f>IF(B1332=0,VLOOKUP(A1332,Feuil2!$A$2:$M$1241,7,FALSE)," ")</f>
        <v xml:space="preserve"> </v>
      </c>
      <c r="J1332" s="1" t="str">
        <f>IF(B1332=0,VLOOKUP(A1332,Feuil2!$A$2:$M$1241,9,FALSE)," ")</f>
        <v xml:space="preserve"> </v>
      </c>
      <c r="K1332" s="1" t="str">
        <f>IF(B1332=0,VLOOKUP(A1332,Feuil2!$A$2:$M$1241,10,FALSE)," ")</f>
        <v xml:space="preserve"> </v>
      </c>
      <c r="L1332" s="1"/>
      <c r="M1332" s="1"/>
      <c r="N1332" s="1"/>
      <c r="O1332" s="8" t="str">
        <f>IF(B1332=0,VLOOKUP(A1332,Feuil2!$A$2:$M$1241,13,FALSE)," ")</f>
        <v xml:space="preserve"> </v>
      </c>
    </row>
    <row r="1333" spans="1:15" x14ac:dyDescent="0.3">
      <c r="A1333" s="1">
        <v>1808</v>
      </c>
      <c r="B1333" s="1">
        <v>2</v>
      </c>
      <c r="C1333" s="1" t="s">
        <v>1722</v>
      </c>
      <c r="D1333" s="1" t="s">
        <v>2585</v>
      </c>
      <c r="E1333" s="5">
        <v>38088</v>
      </c>
      <c r="F1333" s="1" t="s">
        <v>17</v>
      </c>
      <c r="G1333" s="1" t="str">
        <f>IF(B1333=0,VLOOKUP(A1333,Feuil2!$A$2:$M$1241,11,FALSE)," ")</f>
        <v xml:space="preserve"> </v>
      </c>
      <c r="H1333" s="1" t="s">
        <v>16</v>
      </c>
      <c r="I1333" s="6" t="str">
        <f>IF(B1333=0,VLOOKUP(A1333,Feuil2!$A$2:$M$1241,7,FALSE)," ")</f>
        <v xml:space="preserve"> </v>
      </c>
      <c r="J1333" s="1" t="str">
        <f>IF(B1333=0,VLOOKUP(A1333,Feuil2!$A$2:$M$1241,9,FALSE)," ")</f>
        <v xml:space="preserve"> </v>
      </c>
      <c r="K1333" s="1" t="str">
        <f>IF(B1333=0,VLOOKUP(A1333,Feuil2!$A$2:$M$1241,10,FALSE)," ")</f>
        <v xml:space="preserve"> </v>
      </c>
      <c r="L1333" s="1"/>
      <c r="M1333" s="1"/>
      <c r="N1333" s="1"/>
      <c r="O1333" s="8" t="str">
        <f>IF(B1333=0,VLOOKUP(A1333,Feuil2!$A$2:$M$1241,13,FALSE)," ")</f>
        <v xml:space="preserve"> </v>
      </c>
    </row>
    <row r="1334" spans="1:15" x14ac:dyDescent="0.3">
      <c r="A1334" s="1">
        <v>1808</v>
      </c>
      <c r="B1334" s="1">
        <v>3</v>
      </c>
      <c r="C1334" s="1" t="s">
        <v>1722</v>
      </c>
      <c r="D1334" s="1" t="s">
        <v>346</v>
      </c>
      <c r="E1334" s="5">
        <v>38946</v>
      </c>
      <c r="F1334" s="1" t="s">
        <v>506</v>
      </c>
      <c r="G1334" s="1" t="str">
        <f>IF(B1334=0,VLOOKUP(A1334,Feuil2!$A$2:$M$1241,11,FALSE)," ")</f>
        <v xml:space="preserve"> </v>
      </c>
      <c r="H1334" s="1" t="s">
        <v>16</v>
      </c>
      <c r="I1334" s="6" t="str">
        <f>IF(B1334=0,VLOOKUP(A1334,Feuil2!$A$2:$M$1241,7,FALSE)," ")</f>
        <v xml:space="preserve"> </v>
      </c>
      <c r="J1334" s="1" t="str">
        <f>IF(B1334=0,VLOOKUP(A1334,Feuil2!$A$2:$M$1241,9,FALSE)," ")</f>
        <v xml:space="preserve"> </v>
      </c>
      <c r="K1334" s="1" t="str">
        <f>IF(B1334=0,VLOOKUP(A1334,Feuil2!$A$2:$M$1241,10,FALSE)," ")</f>
        <v xml:space="preserve"> </v>
      </c>
      <c r="L1334" s="1"/>
      <c r="M1334" s="1"/>
      <c r="N1334" s="1"/>
      <c r="O1334" s="8" t="str">
        <f>IF(B1334=0,VLOOKUP(A1334,Feuil2!$A$2:$M$1241,13,FALSE)," ")</f>
        <v xml:space="preserve"> </v>
      </c>
    </row>
    <row r="1335" spans="1:15" x14ac:dyDescent="0.3">
      <c r="A1335" s="1">
        <v>1808</v>
      </c>
      <c r="B1335" s="1">
        <v>4</v>
      </c>
      <c r="C1335" s="1" t="s">
        <v>1722</v>
      </c>
      <c r="D1335" s="1" t="s">
        <v>2711</v>
      </c>
      <c r="E1335" s="5">
        <v>39568</v>
      </c>
      <c r="F1335" s="1" t="str">
        <f>IF(B1335=0,VLOOKUP(A1335,Feuil2!$A$2:$M$1241,12,FALSE)," ")</f>
        <v xml:space="preserve"> </v>
      </c>
      <c r="G1335" s="1" t="str">
        <f>IF(B1335=0,VLOOKUP(A1335,Feuil2!$A$2:$M$1241,11,FALSE)," ")</f>
        <v xml:space="preserve"> </v>
      </c>
      <c r="H1335" s="1" t="s">
        <v>16</v>
      </c>
      <c r="I1335" s="6" t="str">
        <f>IF(B1335=0,VLOOKUP(A1335,Feuil2!$A$2:$M$1241,7,FALSE)," ")</f>
        <v xml:space="preserve"> </v>
      </c>
      <c r="J1335" s="1" t="str">
        <f>IF(B1335=0,VLOOKUP(A1335,Feuil2!$A$2:$M$1241,9,FALSE)," ")</f>
        <v xml:space="preserve"> </v>
      </c>
      <c r="K1335" s="1" t="str">
        <f>IF(B1335=0,VLOOKUP(A1335,Feuil2!$A$2:$M$1241,10,FALSE)," ")</f>
        <v xml:space="preserve"> </v>
      </c>
      <c r="L1335" s="1"/>
      <c r="M1335" s="1"/>
      <c r="N1335" s="1"/>
      <c r="O1335" s="8" t="str">
        <f>IF(B1335=0,VLOOKUP(A1335,Feuil2!$A$2:$M$1241,13,FALSE)," ")</f>
        <v xml:space="preserve"> </v>
      </c>
    </row>
    <row r="1336" spans="1:15" x14ac:dyDescent="0.3">
      <c r="A1336" s="1">
        <v>1810</v>
      </c>
      <c r="B1336" s="1">
        <v>0</v>
      </c>
      <c r="C1336" s="1" t="str">
        <f>IF(B1336=0,VLOOKUP(A1336,Feuil2!$A$2:$M$1241,2,FALSE)," ")</f>
        <v>GHEZEL</v>
      </c>
      <c r="D1336" s="1" t="str">
        <f>IF(B1336=0,VLOOKUP(A1336,Feuil2!$A$2:$M$1241,3,FALSE)," ")</f>
        <v>SOFIANE</v>
      </c>
      <c r="E1336" s="5">
        <f>IF(B1336=0,VLOOKUP(A1336,Feuil2!$A$2:$M$1241,6,FALSE)," ")</f>
        <v>28199</v>
      </c>
      <c r="F1336" s="1" t="str">
        <f>IF(B1336=0,VLOOKUP(A1336,Feuil2!$A$2:$M$1241,12,FALSE)," ")</f>
        <v>H</v>
      </c>
      <c r="G1336" s="1" t="str">
        <f>IF(B1336=0,VLOOKUP(A1336,Feuil2!$A$2:$M$1241,11,FALSE)," ")</f>
        <v>M</v>
      </c>
      <c r="H1336" s="1" t="s">
        <v>16</v>
      </c>
      <c r="I1336" s="6">
        <f>IF(B1336=0,VLOOKUP(A1336,Feuil2!$A$2:$M$1241,7,FALSE)," ")</f>
        <v>5597495</v>
      </c>
      <c r="J1336" s="1" t="str">
        <f>IF(B1336=0,VLOOKUP(A1336,Feuil2!$A$2:$M$1241,9,FALSE)," ")</f>
        <v>14 Rue Ali Ben Ghedhahem</v>
      </c>
      <c r="K1336" s="1" t="str">
        <f>IF(B1336=0,VLOOKUP(A1336,Feuil2!$A$2:$M$1241,10,FALSE)," ")</f>
        <v>Msaken 4070</v>
      </c>
      <c r="L1336" s="1">
        <v>4070</v>
      </c>
      <c r="M1336" s="1">
        <v>23924449</v>
      </c>
      <c r="N1336" s="1"/>
      <c r="O1336" s="8" t="str">
        <f>IF(B1336=0,VLOOKUP(A1336,Feuil2!$A$2:$M$1241,13,FALSE)," ")</f>
        <v>10317123101650278878</v>
      </c>
    </row>
    <row r="1337" spans="1:15" x14ac:dyDescent="0.3">
      <c r="A1337" s="1">
        <v>1810</v>
      </c>
      <c r="B1337" s="1">
        <v>1</v>
      </c>
      <c r="C1337" s="1" t="s">
        <v>75</v>
      </c>
      <c r="D1337" s="1" t="s">
        <v>2480</v>
      </c>
      <c r="E1337" s="5">
        <v>28843</v>
      </c>
      <c r="F1337" s="1" t="s">
        <v>17</v>
      </c>
      <c r="G1337" s="1" t="s">
        <v>15</v>
      </c>
      <c r="H1337" s="1" t="s">
        <v>16</v>
      </c>
      <c r="I1337" s="6" t="str">
        <f>IF(B1337=0,VLOOKUP(A1337,Feuil2!$A$2:$M$1241,7,FALSE)," ")</f>
        <v xml:space="preserve"> </v>
      </c>
      <c r="J1337" s="1" t="str">
        <f>IF(B1337=0,VLOOKUP(A1337,Feuil2!$A$2:$M$1241,9,FALSE)," ")</f>
        <v xml:space="preserve"> </v>
      </c>
      <c r="K1337" s="1" t="str">
        <f>IF(B1337=0,VLOOKUP(A1337,Feuil2!$A$2:$M$1241,10,FALSE)," ")</f>
        <v xml:space="preserve"> </v>
      </c>
      <c r="L1337" s="1"/>
      <c r="M1337" s="1"/>
      <c r="N1337" s="1"/>
      <c r="O1337" s="8" t="str">
        <f>IF(B1337=0,VLOOKUP(A1337,Feuil2!$A$2:$M$1241,13,FALSE)," ")</f>
        <v xml:space="preserve"> </v>
      </c>
    </row>
    <row r="1338" spans="1:15" x14ac:dyDescent="0.3">
      <c r="A1338" s="1">
        <v>1810</v>
      </c>
      <c r="B1338" s="1">
        <v>2</v>
      </c>
      <c r="C1338" s="1" t="s">
        <v>160</v>
      </c>
      <c r="D1338" s="1" t="s">
        <v>441</v>
      </c>
      <c r="E1338" s="5">
        <v>38541</v>
      </c>
      <c r="F1338" s="1" t="s">
        <v>506</v>
      </c>
      <c r="G1338" s="1" t="str">
        <f>IF(B1338=0,VLOOKUP(A1338,Feuil2!$A$2:$M$1241,11,FALSE)," ")</f>
        <v xml:space="preserve"> </v>
      </c>
      <c r="H1338" s="1" t="s">
        <v>16</v>
      </c>
      <c r="I1338" s="6" t="str">
        <f>IF(B1338=0,VLOOKUP(A1338,Feuil2!$A$2:$M$1241,7,FALSE)," ")</f>
        <v xml:space="preserve"> </v>
      </c>
      <c r="J1338" s="1" t="str">
        <f>IF(B1338=0,VLOOKUP(A1338,Feuil2!$A$2:$M$1241,9,FALSE)," ")</f>
        <v xml:space="preserve"> </v>
      </c>
      <c r="K1338" s="1" t="str">
        <f>IF(B1338=0,VLOOKUP(A1338,Feuil2!$A$2:$M$1241,10,FALSE)," ")</f>
        <v xml:space="preserve"> </v>
      </c>
      <c r="L1338" s="1"/>
      <c r="M1338" s="1"/>
      <c r="N1338" s="1"/>
      <c r="O1338" s="8" t="str">
        <f>IF(B1338=0,VLOOKUP(A1338,Feuil2!$A$2:$M$1241,13,FALSE)," ")</f>
        <v xml:space="preserve"> </v>
      </c>
    </row>
    <row r="1339" spans="1:15" x14ac:dyDescent="0.3">
      <c r="A1339" s="1">
        <v>1810</v>
      </c>
      <c r="B1339" s="1">
        <v>3</v>
      </c>
      <c r="C1339" s="1" t="s">
        <v>160</v>
      </c>
      <c r="D1339" s="1" t="s">
        <v>61</v>
      </c>
      <c r="E1339" s="5">
        <v>40061</v>
      </c>
      <c r="F1339" s="1" t="s">
        <v>506</v>
      </c>
      <c r="G1339" s="1" t="str">
        <f>IF(B1339=0,VLOOKUP(A1339,Feuil2!$A$2:$M$1241,11,FALSE)," ")</f>
        <v xml:space="preserve"> </v>
      </c>
      <c r="H1339" s="1" t="s">
        <v>16</v>
      </c>
      <c r="I1339" s="6" t="str">
        <f>IF(B1339=0,VLOOKUP(A1339,Feuil2!$A$2:$M$1241,7,FALSE)," ")</f>
        <v xml:space="preserve"> </v>
      </c>
      <c r="J1339" s="1" t="str">
        <f>IF(B1339=0,VLOOKUP(A1339,Feuil2!$A$2:$M$1241,9,FALSE)," ")</f>
        <v xml:space="preserve"> </v>
      </c>
      <c r="K1339" s="1" t="str">
        <f>IF(B1339=0,VLOOKUP(A1339,Feuil2!$A$2:$M$1241,10,FALSE)," ")</f>
        <v xml:space="preserve"> </v>
      </c>
      <c r="L1339" s="1"/>
      <c r="M1339" s="1"/>
      <c r="N1339" s="1"/>
      <c r="O1339" s="8" t="str">
        <f>IF(B1339=0,VLOOKUP(A1339,Feuil2!$A$2:$M$1241,13,FALSE)," ")</f>
        <v xml:space="preserve"> </v>
      </c>
    </row>
    <row r="1340" spans="1:15" x14ac:dyDescent="0.3">
      <c r="A1340" s="1">
        <v>1810</v>
      </c>
      <c r="B1340" s="1">
        <v>4</v>
      </c>
      <c r="C1340" s="1" t="s">
        <v>160</v>
      </c>
      <c r="D1340" s="1" t="s">
        <v>2712</v>
      </c>
      <c r="E1340" s="5">
        <v>41878</v>
      </c>
      <c r="F1340" s="1" t="s">
        <v>506</v>
      </c>
      <c r="G1340" s="1" t="str">
        <f>IF(B1340=0,VLOOKUP(A1340,Feuil2!$A$2:$M$1241,11,FALSE)," ")</f>
        <v xml:space="preserve"> </v>
      </c>
      <c r="H1340" s="1" t="s">
        <v>16</v>
      </c>
      <c r="I1340" s="6" t="str">
        <f>IF(B1340=0,VLOOKUP(A1340,Feuil2!$A$2:$M$1241,7,FALSE)," ")</f>
        <v xml:space="preserve"> </v>
      </c>
      <c r="J1340" s="1" t="str">
        <f>IF(B1340=0,VLOOKUP(A1340,Feuil2!$A$2:$M$1241,9,FALSE)," ")</f>
        <v xml:space="preserve"> </v>
      </c>
      <c r="K1340" s="1" t="str">
        <f>IF(B1340=0,VLOOKUP(A1340,Feuil2!$A$2:$M$1241,10,FALSE)," ")</f>
        <v xml:space="preserve"> </v>
      </c>
      <c r="L1340" s="1"/>
      <c r="M1340" s="1"/>
      <c r="N1340" s="1"/>
      <c r="O1340" s="8" t="str">
        <f>IF(B1340=0,VLOOKUP(A1340,Feuil2!$A$2:$M$1241,13,FALSE)," ")</f>
        <v xml:space="preserve"> </v>
      </c>
    </row>
    <row r="1341" spans="1:15" x14ac:dyDescent="0.3">
      <c r="A1341" s="1">
        <v>1812</v>
      </c>
      <c r="B1341" s="1">
        <v>0</v>
      </c>
      <c r="C1341" s="1" t="str">
        <f>IF(B1341=0,VLOOKUP(A1341,Feuil2!$A$2:$M$1241,2,FALSE)," ")</f>
        <v>BEN SALEM</v>
      </c>
      <c r="D1341" s="1" t="str">
        <f>IF(B1341=0,VLOOKUP(A1341,Feuil2!$A$2:$M$1241,3,FALSE)," ")</f>
        <v>ZIED</v>
      </c>
      <c r="E1341" s="5">
        <f>IF(B1341=0,VLOOKUP(A1341,Feuil2!$A$2:$M$1241,6,FALSE)," ")</f>
        <v>29785</v>
      </c>
      <c r="F1341" s="1" t="str">
        <f>IF(B1341=0,VLOOKUP(A1341,Feuil2!$A$2:$M$1241,12,FALSE)," ")</f>
        <v>H</v>
      </c>
      <c r="G1341" s="1" t="str">
        <f>IF(B1341=0,VLOOKUP(A1341,Feuil2!$A$2:$M$1241,11,FALSE)," ")</f>
        <v>M</v>
      </c>
      <c r="H1341" s="1" t="s">
        <v>16</v>
      </c>
      <c r="I1341" s="6">
        <f>IF(B1341=0,VLOOKUP(A1341,Feuil2!$A$2:$M$1241,7,FALSE)," ")</f>
        <v>5586352</v>
      </c>
      <c r="J1341" s="1" t="str">
        <f>IF(B1341=0,VLOOKUP(A1341,Feuil2!$A$2:$M$1241,9,FALSE)," ")</f>
        <v>AV El Imam Abou Hanifa</v>
      </c>
      <c r="K1341" s="1" t="str">
        <f>IF(B1341=0,VLOOKUP(A1341,Feuil2!$A$2:$M$1241,10,FALSE)," ")</f>
        <v>Moureddine</v>
      </c>
      <c r="L1341" s="1"/>
      <c r="M1341" s="1">
        <v>24048163</v>
      </c>
      <c r="N1341" s="1"/>
      <c r="O1341" s="8" t="str">
        <f>IF(B1341=0,VLOOKUP(A1341,Feuil2!$A$2:$M$1241,13,FALSE)," ")</f>
        <v>08507000262004024202</v>
      </c>
    </row>
    <row r="1342" spans="1:15" x14ac:dyDescent="0.3">
      <c r="A1342" s="1">
        <v>1812</v>
      </c>
      <c r="B1342" s="1">
        <v>1</v>
      </c>
      <c r="C1342" s="1" t="str">
        <f>IF(B1342=0,VLOOKUP(A1342,Feuil2!$A$2:$M$1241,2,FALSE)," ")</f>
        <v xml:space="preserve"> </v>
      </c>
      <c r="D1342" s="1" t="s">
        <v>2544</v>
      </c>
      <c r="E1342" s="5">
        <v>31935</v>
      </c>
      <c r="F1342" s="1" t="s">
        <v>17</v>
      </c>
      <c r="G1342" s="1" t="s">
        <v>15</v>
      </c>
      <c r="H1342" s="1" t="s">
        <v>16</v>
      </c>
      <c r="I1342" s="6" t="str">
        <f>IF(B1342=0,VLOOKUP(A1342,Feuil2!$A$2:$M$1241,7,FALSE)," ")</f>
        <v xml:space="preserve"> </v>
      </c>
      <c r="J1342" s="1" t="str">
        <f>IF(B1342=0,VLOOKUP(A1342,Feuil2!$A$2:$M$1241,9,FALSE)," ")</f>
        <v xml:space="preserve"> </v>
      </c>
      <c r="K1342" s="1" t="str">
        <f>IF(B1342=0,VLOOKUP(A1342,Feuil2!$A$2:$M$1241,10,FALSE)," ")</f>
        <v xml:space="preserve"> </v>
      </c>
      <c r="L1342" s="1"/>
      <c r="M1342" s="1"/>
      <c r="N1342" s="1"/>
      <c r="O1342" s="8" t="str">
        <f>IF(B1342=0,VLOOKUP(A1342,Feuil2!$A$2:$M$1241,13,FALSE)," ")</f>
        <v xml:space="preserve"> </v>
      </c>
    </row>
    <row r="1343" spans="1:15" x14ac:dyDescent="0.3">
      <c r="A1343" s="1">
        <v>1812</v>
      </c>
      <c r="B1343" s="1">
        <v>2</v>
      </c>
      <c r="C1343" s="1" t="s">
        <v>283</v>
      </c>
      <c r="D1343" s="1" t="s">
        <v>2475</v>
      </c>
      <c r="E1343" s="5">
        <v>40700</v>
      </c>
      <c r="F1343" s="1" t="s">
        <v>506</v>
      </c>
      <c r="G1343" s="1" t="str">
        <f>IF(B1343=0,VLOOKUP(A1343,Feuil2!$A$2:$M$1241,11,FALSE)," ")</f>
        <v xml:space="preserve"> </v>
      </c>
      <c r="H1343" s="1" t="s">
        <v>16</v>
      </c>
      <c r="I1343" s="6" t="str">
        <f>IF(B1343=0,VLOOKUP(A1343,Feuil2!$A$2:$M$1241,7,FALSE)," ")</f>
        <v xml:space="preserve"> </v>
      </c>
      <c r="J1343" s="1" t="str">
        <f>IF(B1343=0,VLOOKUP(A1343,Feuil2!$A$2:$M$1241,9,FALSE)," ")</f>
        <v xml:space="preserve"> </v>
      </c>
      <c r="K1343" s="1" t="str">
        <f>IF(B1343=0,VLOOKUP(A1343,Feuil2!$A$2:$M$1241,10,FALSE)," ")</f>
        <v xml:space="preserve"> </v>
      </c>
      <c r="L1343" s="1"/>
      <c r="M1343" s="1"/>
      <c r="N1343" s="1"/>
      <c r="O1343" s="8" t="str">
        <f>IF(B1343=0,VLOOKUP(A1343,Feuil2!$A$2:$M$1241,13,FALSE)," ")</f>
        <v xml:space="preserve"> </v>
      </c>
    </row>
    <row r="1344" spans="1:15" x14ac:dyDescent="0.3">
      <c r="A1344" s="1">
        <v>1812</v>
      </c>
      <c r="B1344" s="1">
        <v>3</v>
      </c>
      <c r="C1344" s="1" t="s">
        <v>283</v>
      </c>
      <c r="D1344" s="1" t="s">
        <v>107</v>
      </c>
      <c r="E1344" s="5">
        <v>41161</v>
      </c>
      <c r="F1344" s="1" t="str">
        <f>IF(B1344=0,VLOOKUP(A1344,Feuil2!$A$2:$M$1241,12,FALSE)," ")</f>
        <v xml:space="preserve"> </v>
      </c>
      <c r="G1344" s="1" t="str">
        <f>IF(B1344=0,VLOOKUP(A1344,Feuil2!$A$2:$M$1241,11,FALSE)," ")</f>
        <v xml:space="preserve"> </v>
      </c>
      <c r="H1344" s="1" t="s">
        <v>16</v>
      </c>
      <c r="I1344" s="6" t="str">
        <f>IF(B1344=0,VLOOKUP(A1344,Feuil2!$A$2:$M$1241,7,FALSE)," ")</f>
        <v xml:space="preserve"> </v>
      </c>
      <c r="J1344" s="1" t="str">
        <f>IF(B1344=0,VLOOKUP(A1344,Feuil2!$A$2:$M$1241,9,FALSE)," ")</f>
        <v xml:space="preserve"> </v>
      </c>
      <c r="K1344" s="1" t="str">
        <f>IF(B1344=0,VLOOKUP(A1344,Feuil2!$A$2:$M$1241,10,FALSE)," ")</f>
        <v xml:space="preserve"> </v>
      </c>
      <c r="L1344" s="1"/>
      <c r="M1344" s="1"/>
      <c r="N1344" s="1"/>
      <c r="O1344" s="8" t="str">
        <f>IF(B1344=0,VLOOKUP(A1344,Feuil2!$A$2:$M$1241,13,FALSE)," ")</f>
        <v xml:space="preserve"> </v>
      </c>
    </row>
    <row r="1345" spans="1:15" x14ac:dyDescent="0.3">
      <c r="A1345" s="1">
        <v>1813</v>
      </c>
      <c r="B1345" s="1">
        <v>0</v>
      </c>
      <c r="C1345" s="1" t="str">
        <f>IF(B1345=0,VLOOKUP(A1345,Feuil2!$A$2:$M$1241,2,FALSE)," ")</f>
        <v>YOUSSEF</v>
      </c>
      <c r="D1345" s="1" t="str">
        <f>IF(B1345=0,VLOOKUP(A1345,Feuil2!$A$2:$M$1241,3,FALSE)," ")</f>
        <v>HICHEM</v>
      </c>
      <c r="E1345" s="5">
        <f>IF(B1345=0,VLOOKUP(A1345,Feuil2!$A$2:$M$1241,6,FALSE)," ")</f>
        <v>29323</v>
      </c>
      <c r="F1345" s="1" t="str">
        <f>IF(B1345=0,VLOOKUP(A1345,Feuil2!$A$2:$M$1241,12,FALSE)," ")</f>
        <v>H</v>
      </c>
      <c r="G1345" s="1" t="str">
        <f>IF(B1345=0,VLOOKUP(A1345,Feuil2!$A$2:$M$1241,11,FALSE)," ")</f>
        <v>M</v>
      </c>
      <c r="H1345" s="1" t="s">
        <v>16</v>
      </c>
      <c r="I1345" s="6">
        <f>IF(B1345=0,VLOOKUP(A1345,Feuil2!$A$2:$M$1241,7,FALSE)," ")</f>
        <v>8429881</v>
      </c>
      <c r="J1345" s="1" t="str">
        <f>IF(B1345=0,VLOOKUP(A1345,Feuil2!$A$2:$M$1241,9,FALSE)," ")</f>
        <v>767 Rue Douali</v>
      </c>
      <c r="K1345" s="1" t="str">
        <f>IF(B1345=0,VLOOKUP(A1345,Feuil2!$A$2:$M$1241,10,FALSE)," ")</f>
        <v>Msaken 4070</v>
      </c>
      <c r="L1345" s="1">
        <v>4070</v>
      </c>
      <c r="M1345" s="1"/>
      <c r="N1345" s="1"/>
      <c r="O1345" s="8" t="str">
        <f>IF(B1345=0,VLOOKUP(A1345,Feuil2!$A$2:$M$1241,13,FALSE)," ")</f>
        <v>04022108404001507753</v>
      </c>
    </row>
    <row r="1346" spans="1:15" x14ac:dyDescent="0.3">
      <c r="A1346" s="1">
        <v>1813</v>
      </c>
      <c r="B1346" s="1">
        <v>1</v>
      </c>
      <c r="C1346" s="1" t="str">
        <f>IF(B1346=0,VLOOKUP(A1346,Feuil2!$A$2:$M$1241,2,FALSE)," ")</f>
        <v xml:space="preserve"> </v>
      </c>
      <c r="D1346" s="1" t="s">
        <v>596</v>
      </c>
      <c r="E1346" s="5">
        <v>31001</v>
      </c>
      <c r="F1346" s="1" t="s">
        <v>17</v>
      </c>
      <c r="G1346" s="1" t="s">
        <v>15</v>
      </c>
      <c r="H1346" s="1" t="s">
        <v>16</v>
      </c>
      <c r="I1346" s="6" t="str">
        <f>IF(B1346=0,VLOOKUP(A1346,Feuil2!$A$2:$M$1241,7,FALSE)," ")</f>
        <v xml:space="preserve"> </v>
      </c>
      <c r="J1346" s="1" t="str">
        <f>IF(B1346=0,VLOOKUP(A1346,Feuil2!$A$2:$M$1241,9,FALSE)," ")</f>
        <v xml:space="preserve"> </v>
      </c>
      <c r="K1346" s="1" t="str">
        <f>IF(B1346=0,VLOOKUP(A1346,Feuil2!$A$2:$M$1241,10,FALSE)," ")</f>
        <v xml:space="preserve"> </v>
      </c>
      <c r="L1346" s="1"/>
      <c r="M1346" s="1"/>
      <c r="N1346" s="1"/>
      <c r="O1346" s="8" t="str">
        <f>IF(B1346=0,VLOOKUP(A1346,Feuil2!$A$2:$M$1241,13,FALSE)," ")</f>
        <v xml:space="preserve"> </v>
      </c>
    </row>
    <row r="1347" spans="1:15" x14ac:dyDescent="0.3">
      <c r="A1347" s="1">
        <v>1813</v>
      </c>
      <c r="B1347" s="1">
        <v>2</v>
      </c>
      <c r="C1347" s="1" t="s">
        <v>61</v>
      </c>
      <c r="D1347" s="1" t="s">
        <v>441</v>
      </c>
      <c r="E1347" s="5">
        <v>39242</v>
      </c>
      <c r="F1347" s="1" t="s">
        <v>506</v>
      </c>
      <c r="G1347" s="1" t="str">
        <f>IF(B1347=0,VLOOKUP(A1347,Feuil2!$A$2:$M$1241,11,FALSE)," ")</f>
        <v xml:space="preserve"> </v>
      </c>
      <c r="H1347" s="1" t="s">
        <v>16</v>
      </c>
      <c r="I1347" s="6" t="str">
        <f>IF(B1347=0,VLOOKUP(A1347,Feuil2!$A$2:$M$1241,7,FALSE)," ")</f>
        <v xml:space="preserve"> </v>
      </c>
      <c r="J1347" s="1" t="str">
        <f>IF(B1347=0,VLOOKUP(A1347,Feuil2!$A$2:$M$1241,9,FALSE)," ")</f>
        <v xml:space="preserve"> </v>
      </c>
      <c r="K1347" s="1" t="str">
        <f>IF(B1347=0,VLOOKUP(A1347,Feuil2!$A$2:$M$1241,10,FALSE)," ")</f>
        <v xml:space="preserve"> </v>
      </c>
      <c r="L1347" s="1"/>
      <c r="M1347" s="1"/>
      <c r="N1347" s="1"/>
      <c r="O1347" s="8" t="str">
        <f>IF(B1347=0,VLOOKUP(A1347,Feuil2!$A$2:$M$1241,13,FALSE)," ")</f>
        <v xml:space="preserve"> </v>
      </c>
    </row>
    <row r="1348" spans="1:15" x14ac:dyDescent="0.3">
      <c r="A1348" s="1">
        <v>1813</v>
      </c>
      <c r="B1348" s="1">
        <v>3</v>
      </c>
      <c r="C1348" s="1" t="s">
        <v>61</v>
      </c>
      <c r="D1348" s="1" t="s">
        <v>89</v>
      </c>
      <c r="E1348" s="5">
        <v>40128</v>
      </c>
      <c r="F1348" s="1" t="s">
        <v>506</v>
      </c>
      <c r="G1348" s="1" t="str">
        <f>IF(B1348=0,VLOOKUP(A1348,Feuil2!$A$2:$M$1241,11,FALSE)," ")</f>
        <v xml:space="preserve"> </v>
      </c>
      <c r="H1348" s="1" t="s">
        <v>16</v>
      </c>
      <c r="I1348" s="6" t="str">
        <f>IF(B1348=0,VLOOKUP(A1348,Feuil2!$A$2:$M$1241,7,FALSE)," ")</f>
        <v xml:space="preserve"> </v>
      </c>
      <c r="J1348" s="1" t="str">
        <f>IF(B1348=0,VLOOKUP(A1348,Feuil2!$A$2:$M$1241,9,FALSE)," ")</f>
        <v xml:space="preserve"> </v>
      </c>
      <c r="K1348" s="1" t="str">
        <f>IF(B1348=0,VLOOKUP(A1348,Feuil2!$A$2:$M$1241,10,FALSE)," ")</f>
        <v xml:space="preserve"> </v>
      </c>
      <c r="L1348" s="1"/>
      <c r="M1348" s="1"/>
      <c r="N1348" s="1"/>
      <c r="O1348" s="8" t="str">
        <f>IF(B1348=0,VLOOKUP(A1348,Feuil2!$A$2:$M$1241,13,FALSE)," ")</f>
        <v xml:space="preserve"> </v>
      </c>
    </row>
    <row r="1349" spans="1:15" x14ac:dyDescent="0.3">
      <c r="A1349" s="1">
        <v>1813</v>
      </c>
      <c r="B1349" s="1">
        <v>4</v>
      </c>
      <c r="C1349" s="1" t="s">
        <v>61</v>
      </c>
      <c r="D1349" s="1" t="s">
        <v>296</v>
      </c>
      <c r="E1349" s="5">
        <v>40591</v>
      </c>
      <c r="F1349" s="1" t="s">
        <v>506</v>
      </c>
      <c r="G1349" s="1" t="str">
        <f>IF(B1349=0,VLOOKUP(A1349,Feuil2!$A$2:$M$1241,11,FALSE)," ")</f>
        <v xml:space="preserve"> </v>
      </c>
      <c r="H1349" s="1" t="s">
        <v>16</v>
      </c>
      <c r="I1349" s="6" t="str">
        <f>IF(B1349=0,VLOOKUP(A1349,Feuil2!$A$2:$M$1241,7,FALSE)," ")</f>
        <v xml:space="preserve"> </v>
      </c>
      <c r="J1349" s="1" t="str">
        <f>IF(B1349=0,VLOOKUP(A1349,Feuil2!$A$2:$M$1241,9,FALSE)," ")</f>
        <v xml:space="preserve"> </v>
      </c>
      <c r="K1349" s="1" t="str">
        <f>IF(B1349=0,VLOOKUP(A1349,Feuil2!$A$2:$M$1241,10,FALSE)," ")</f>
        <v xml:space="preserve"> </v>
      </c>
      <c r="L1349" s="1"/>
      <c r="M1349" s="1"/>
      <c r="N1349" s="1"/>
      <c r="O1349" s="8" t="str">
        <f>IF(B1349=0,VLOOKUP(A1349,Feuil2!$A$2:$M$1241,13,FALSE)," ")</f>
        <v xml:space="preserve"> </v>
      </c>
    </row>
    <row r="1350" spans="1:15" x14ac:dyDescent="0.3">
      <c r="A1350" s="1">
        <v>1815</v>
      </c>
      <c r="B1350" s="1">
        <v>0</v>
      </c>
      <c r="C1350" s="1" t="str">
        <f>IF(B1350=0,VLOOKUP(A1350,Feuil2!$A$2:$M$1241,2,FALSE)," ")</f>
        <v>KHEDIMI</v>
      </c>
      <c r="D1350" s="1" t="str">
        <f>IF(B1350=0,VLOOKUP(A1350,Feuil2!$A$2:$M$1241,3,FALSE)," ")</f>
        <v>IMED</v>
      </c>
      <c r="E1350" s="5">
        <f>IF(B1350=0,VLOOKUP(A1350,Feuil2!$A$2:$M$1241,6,FALSE)," ")</f>
        <v>26813</v>
      </c>
      <c r="F1350" s="1" t="str">
        <f>IF(B1350=0,VLOOKUP(A1350,Feuil2!$A$2:$M$1241,12,FALSE)," ")</f>
        <v>H</v>
      </c>
      <c r="G1350" s="1" t="str">
        <f>IF(B1350=0,VLOOKUP(A1350,Feuil2!$A$2:$M$1241,11,FALSE)," ")</f>
        <v>M</v>
      </c>
      <c r="H1350" s="1" t="s">
        <v>16</v>
      </c>
      <c r="I1350" s="6">
        <f>IF(B1350=0,VLOOKUP(A1350,Feuil2!$A$2:$M$1241,7,FALSE)," ")</f>
        <v>5511383</v>
      </c>
      <c r="J1350" s="1" t="str">
        <f>IF(B1350=0,VLOOKUP(A1350,Feuil2!$A$2:$M$1241,9,FALSE)," ")</f>
        <v>11, Rue 2348 CitÃ© Laouina</v>
      </c>
      <c r="K1350" s="1" t="str">
        <f>IF(B1350=0,VLOOKUP(A1350,Feuil2!$A$2:$M$1241,10,FALSE)," ")</f>
        <v>Sousse</v>
      </c>
      <c r="L1350" s="1"/>
      <c r="M1350" s="1">
        <v>98793760</v>
      </c>
      <c r="N1350" s="1"/>
      <c r="O1350" s="8" t="str">
        <f>IF(B1350=0,VLOOKUP(A1350,Feuil2!$A$2:$M$1241,13,FALSE)," ")</f>
        <v>12015000960100331420</v>
      </c>
    </row>
    <row r="1351" spans="1:15" x14ac:dyDescent="0.3">
      <c r="A1351" s="1">
        <v>1815</v>
      </c>
      <c r="B1351" s="1">
        <v>1</v>
      </c>
      <c r="C1351" s="1" t="s">
        <v>2713</v>
      </c>
      <c r="D1351" s="1" t="s">
        <v>2219</v>
      </c>
      <c r="E1351" s="5">
        <v>27940</v>
      </c>
      <c r="F1351" s="1" t="s">
        <v>17</v>
      </c>
      <c r="G1351" s="1" t="s">
        <v>15</v>
      </c>
      <c r="H1351" s="1" t="s">
        <v>16</v>
      </c>
      <c r="I1351" s="6" t="str">
        <f>IF(B1351=0,VLOOKUP(A1351,Feuil2!$A$2:$M$1241,7,FALSE)," ")</f>
        <v xml:space="preserve"> </v>
      </c>
      <c r="J1351" s="1" t="str">
        <f>IF(B1351=0,VLOOKUP(A1351,Feuil2!$A$2:$M$1241,9,FALSE)," ")</f>
        <v xml:space="preserve"> </v>
      </c>
      <c r="K1351" s="1" t="str">
        <f>IF(B1351=0,VLOOKUP(A1351,Feuil2!$A$2:$M$1241,10,FALSE)," ")</f>
        <v xml:space="preserve"> </v>
      </c>
      <c r="L1351" s="1"/>
      <c r="M1351" s="1"/>
      <c r="N1351" s="1"/>
      <c r="O1351" s="8" t="str">
        <f>IF(B1351=0,VLOOKUP(A1351,Feuil2!$A$2:$M$1241,13,FALSE)," ")</f>
        <v xml:space="preserve"> </v>
      </c>
    </row>
    <row r="1352" spans="1:15" x14ac:dyDescent="0.3">
      <c r="A1352" s="1">
        <v>1815</v>
      </c>
      <c r="B1352" s="1">
        <v>2</v>
      </c>
      <c r="C1352" s="1" t="s">
        <v>73</v>
      </c>
      <c r="D1352" s="1" t="s">
        <v>18</v>
      </c>
      <c r="E1352" s="5">
        <v>37772</v>
      </c>
      <c r="F1352" s="1" t="s">
        <v>506</v>
      </c>
      <c r="G1352" s="1" t="str">
        <f>IF(B1352=0,VLOOKUP(A1352,Feuil2!$A$2:$M$1241,11,FALSE)," ")</f>
        <v xml:space="preserve"> </v>
      </c>
      <c r="H1352" s="1" t="s">
        <v>16</v>
      </c>
      <c r="I1352" s="6" t="str">
        <f>IF(B1352=0,VLOOKUP(A1352,Feuil2!$A$2:$M$1241,7,FALSE)," ")</f>
        <v xml:space="preserve"> </v>
      </c>
      <c r="J1352" s="1" t="str">
        <f>IF(B1352=0,VLOOKUP(A1352,Feuil2!$A$2:$M$1241,9,FALSE)," ")</f>
        <v xml:space="preserve"> </v>
      </c>
      <c r="K1352" s="1" t="str">
        <f>IF(B1352=0,VLOOKUP(A1352,Feuil2!$A$2:$M$1241,10,FALSE)," ")</f>
        <v xml:space="preserve"> </v>
      </c>
      <c r="L1352" s="1"/>
      <c r="M1352" s="1"/>
      <c r="N1352" s="1"/>
      <c r="O1352" s="8" t="str">
        <f>IF(B1352=0,VLOOKUP(A1352,Feuil2!$A$2:$M$1241,13,FALSE)," ")</f>
        <v xml:space="preserve"> </v>
      </c>
    </row>
    <row r="1353" spans="1:15" x14ac:dyDescent="0.3">
      <c r="A1353" s="1">
        <v>1815</v>
      </c>
      <c r="B1353" s="1">
        <v>3</v>
      </c>
      <c r="C1353" s="1" t="s">
        <v>73</v>
      </c>
      <c r="D1353" s="1" t="s">
        <v>2627</v>
      </c>
      <c r="E1353" s="5">
        <v>39169</v>
      </c>
      <c r="F1353" s="1" t="s">
        <v>506</v>
      </c>
      <c r="G1353" s="1" t="str">
        <f>IF(B1353=0,VLOOKUP(A1353,Feuil2!$A$2:$M$1241,11,FALSE)," ")</f>
        <v xml:space="preserve"> </v>
      </c>
      <c r="H1353" s="1" t="s">
        <v>16</v>
      </c>
      <c r="I1353" s="6" t="str">
        <f>IF(B1353=0,VLOOKUP(A1353,Feuil2!$A$2:$M$1241,7,FALSE)," ")</f>
        <v xml:space="preserve"> </v>
      </c>
      <c r="J1353" s="1" t="str">
        <f>IF(B1353=0,VLOOKUP(A1353,Feuil2!$A$2:$M$1241,9,FALSE)," ")</f>
        <v xml:space="preserve"> </v>
      </c>
      <c r="K1353" s="1" t="str">
        <f>IF(B1353=0,VLOOKUP(A1353,Feuil2!$A$2:$M$1241,10,FALSE)," ")</f>
        <v xml:space="preserve"> </v>
      </c>
      <c r="L1353" s="1"/>
      <c r="M1353" s="1"/>
      <c r="N1353" s="1"/>
      <c r="O1353" s="8" t="str">
        <f>IF(B1353=0,VLOOKUP(A1353,Feuil2!$A$2:$M$1241,13,FALSE)," ")</f>
        <v xml:space="preserve"> </v>
      </c>
    </row>
    <row r="1354" spans="1:15" x14ac:dyDescent="0.3">
      <c r="A1354" s="1">
        <v>1815</v>
      </c>
      <c r="B1354" s="1">
        <v>4</v>
      </c>
      <c r="C1354" s="1" t="s">
        <v>73</v>
      </c>
      <c r="D1354" s="1" t="s">
        <v>2432</v>
      </c>
      <c r="E1354" s="5">
        <v>41245</v>
      </c>
      <c r="F1354" s="1" t="s">
        <v>506</v>
      </c>
      <c r="G1354" s="1" t="str">
        <f>IF(B1354=0,VLOOKUP(A1354,Feuil2!$A$2:$M$1241,11,FALSE)," ")</f>
        <v xml:space="preserve"> </v>
      </c>
      <c r="H1354" s="1" t="s">
        <v>16</v>
      </c>
      <c r="I1354" s="6" t="str">
        <f>IF(B1354=0,VLOOKUP(A1354,Feuil2!$A$2:$M$1241,7,FALSE)," ")</f>
        <v xml:space="preserve"> </v>
      </c>
      <c r="J1354" s="1" t="str">
        <f>IF(B1354=0,VLOOKUP(A1354,Feuil2!$A$2:$M$1241,9,FALSE)," ")</f>
        <v xml:space="preserve"> </v>
      </c>
      <c r="K1354" s="1" t="str">
        <f>IF(B1354=0,VLOOKUP(A1354,Feuil2!$A$2:$M$1241,10,FALSE)," ")</f>
        <v xml:space="preserve"> </v>
      </c>
      <c r="L1354" s="1"/>
      <c r="M1354" s="1"/>
      <c r="N1354" s="1"/>
      <c r="O1354" s="8" t="str">
        <f>IF(B1354=0,VLOOKUP(A1354,Feuil2!$A$2:$M$1241,13,FALSE)," ")</f>
        <v xml:space="preserve"> </v>
      </c>
    </row>
    <row r="1355" spans="1:15" x14ac:dyDescent="0.3">
      <c r="A1355" s="1">
        <v>1817</v>
      </c>
      <c r="B1355" s="1">
        <v>0</v>
      </c>
      <c r="C1355" s="1" t="str">
        <f>IF(B1355=0,VLOOKUP(A1355,Feuil2!$A$2:$M$1241,2,FALSE)," ")</f>
        <v>ZOUITEN</v>
      </c>
      <c r="D1355" s="1" t="str">
        <f>IF(B1355=0,VLOOKUP(A1355,Feuil2!$A$2:$M$1241,3,FALSE)," ")</f>
        <v>MUSTAPHA</v>
      </c>
      <c r="E1355" s="5">
        <f>IF(B1355=0,VLOOKUP(A1355,Feuil2!$A$2:$M$1241,6,FALSE)," ")</f>
        <v>28553</v>
      </c>
      <c r="F1355" s="1" t="str">
        <f>IF(B1355=0,VLOOKUP(A1355,Feuil2!$A$2:$M$1241,12,FALSE)," ")</f>
        <v>H</v>
      </c>
      <c r="G1355" s="1" t="str">
        <f>IF(B1355=0,VLOOKUP(A1355,Feuil2!$A$2:$M$1241,11,FALSE)," ")</f>
        <v>M</v>
      </c>
      <c r="H1355" s="1" t="s">
        <v>16</v>
      </c>
      <c r="I1355" s="6">
        <f>IF(B1355=0,VLOOKUP(A1355,Feuil2!$A$2:$M$1241,7,FALSE)," ")</f>
        <v>5573826</v>
      </c>
      <c r="J1355" s="1" t="str">
        <f>IF(B1355=0,VLOOKUP(A1355,Feuil2!$A$2:$M$1241,9,FALSE)," ")</f>
        <v>R Yahia Ibn Khaled Essoussi Khezama</v>
      </c>
      <c r="K1355" s="1" t="str">
        <f>IF(B1355=0,VLOOKUP(A1355,Feuil2!$A$2:$M$1241,10,FALSE)," ")</f>
        <v>Sousse</v>
      </c>
      <c r="L1355" s="1"/>
      <c r="M1355" s="1">
        <v>54594549</v>
      </c>
      <c r="N1355" s="1"/>
      <c r="O1355" s="8" t="str">
        <f>IF(B1355=0,VLOOKUP(A1355,Feuil2!$A$2:$M$1241,13,FALSE)," ")</f>
        <v>08507000262002769604</v>
      </c>
    </row>
    <row r="1356" spans="1:15" x14ac:dyDescent="0.3">
      <c r="A1356" s="1">
        <v>1817</v>
      </c>
      <c r="B1356" s="1">
        <v>1</v>
      </c>
      <c r="C1356" s="1" t="str">
        <f>IF(B1356=0,VLOOKUP(A1356,Feuil2!$A$2:$M$1241,2,FALSE)," ")</f>
        <v xml:space="preserve"> </v>
      </c>
      <c r="D1356" s="1" t="s">
        <v>2582</v>
      </c>
      <c r="E1356" s="5">
        <v>30941</v>
      </c>
      <c r="F1356" s="1" t="s">
        <v>17</v>
      </c>
      <c r="G1356" s="1" t="s">
        <v>15</v>
      </c>
      <c r="H1356" s="1" t="s">
        <v>16</v>
      </c>
      <c r="I1356" s="6" t="str">
        <f>IF(B1356=0,VLOOKUP(A1356,Feuil2!$A$2:$M$1241,7,FALSE)," ")</f>
        <v xml:space="preserve"> </v>
      </c>
      <c r="J1356" s="1" t="str">
        <f>IF(B1356=0,VLOOKUP(A1356,Feuil2!$A$2:$M$1241,9,FALSE)," ")</f>
        <v xml:space="preserve"> </v>
      </c>
      <c r="K1356" s="1" t="str">
        <f>IF(B1356=0,VLOOKUP(A1356,Feuil2!$A$2:$M$1241,10,FALSE)," ")</f>
        <v xml:space="preserve"> </v>
      </c>
      <c r="L1356" s="1"/>
      <c r="M1356" s="1"/>
      <c r="N1356" s="1"/>
      <c r="O1356" s="8" t="str">
        <f>IF(B1356=0,VLOOKUP(A1356,Feuil2!$A$2:$M$1241,13,FALSE)," ")</f>
        <v xml:space="preserve"> </v>
      </c>
    </row>
    <row r="1357" spans="1:15" x14ac:dyDescent="0.3">
      <c r="A1357" s="1">
        <v>1817</v>
      </c>
      <c r="B1357" s="1">
        <v>2</v>
      </c>
      <c r="C1357" s="1" t="s">
        <v>138</v>
      </c>
      <c r="D1357" s="1" t="s">
        <v>472</v>
      </c>
      <c r="E1357" s="5">
        <v>38505</v>
      </c>
      <c r="F1357" s="1" t="s">
        <v>506</v>
      </c>
      <c r="G1357" s="1" t="str">
        <f>IF(B1357=0,VLOOKUP(A1357,Feuil2!$A$2:$M$1241,11,FALSE)," ")</f>
        <v xml:space="preserve"> </v>
      </c>
      <c r="H1357" s="1" t="s">
        <v>16</v>
      </c>
      <c r="I1357" s="6" t="str">
        <f>IF(B1357=0,VLOOKUP(A1357,Feuil2!$A$2:$M$1241,7,FALSE)," ")</f>
        <v xml:space="preserve"> </v>
      </c>
      <c r="J1357" s="1" t="str">
        <f>IF(B1357=0,VLOOKUP(A1357,Feuil2!$A$2:$M$1241,9,FALSE)," ")</f>
        <v xml:space="preserve"> </v>
      </c>
      <c r="K1357" s="1" t="str">
        <f>IF(B1357=0,VLOOKUP(A1357,Feuil2!$A$2:$M$1241,10,FALSE)," ")</f>
        <v xml:space="preserve"> </v>
      </c>
      <c r="L1357" s="1"/>
      <c r="M1357" s="1"/>
      <c r="N1357" s="1"/>
      <c r="O1357" s="8" t="str">
        <f>IF(B1357=0,VLOOKUP(A1357,Feuil2!$A$2:$M$1241,13,FALSE)," ")</f>
        <v xml:space="preserve"> </v>
      </c>
    </row>
    <row r="1358" spans="1:15" x14ac:dyDescent="0.3">
      <c r="A1358" s="1">
        <v>1817</v>
      </c>
      <c r="B1358" s="1">
        <v>3</v>
      </c>
      <c r="C1358" s="1" t="s">
        <v>138</v>
      </c>
      <c r="D1358" s="1" t="s">
        <v>2376</v>
      </c>
      <c r="E1358" s="5">
        <v>39320</v>
      </c>
      <c r="F1358" s="1" t="s">
        <v>506</v>
      </c>
      <c r="G1358" s="1" t="str">
        <f>IF(B1358=0,VLOOKUP(A1358,Feuil2!$A$2:$M$1241,11,FALSE)," ")</f>
        <v xml:space="preserve"> </v>
      </c>
      <c r="H1358" s="1" t="s">
        <v>16</v>
      </c>
      <c r="I1358" s="6" t="str">
        <f>IF(B1358=0,VLOOKUP(A1358,Feuil2!$A$2:$M$1241,7,FALSE)," ")</f>
        <v xml:space="preserve"> </v>
      </c>
      <c r="J1358" s="1" t="str">
        <f>IF(B1358=0,VLOOKUP(A1358,Feuil2!$A$2:$M$1241,9,FALSE)," ")</f>
        <v xml:space="preserve"> </v>
      </c>
      <c r="K1358" s="1" t="str">
        <f>IF(B1358=0,VLOOKUP(A1358,Feuil2!$A$2:$M$1241,10,FALSE)," ")</f>
        <v xml:space="preserve"> </v>
      </c>
      <c r="L1358" s="1"/>
      <c r="M1358" s="1"/>
      <c r="N1358" s="1"/>
      <c r="O1358" s="8" t="str">
        <f>IF(B1358=0,VLOOKUP(A1358,Feuil2!$A$2:$M$1241,13,FALSE)," ")</f>
        <v xml:space="preserve"> </v>
      </c>
    </row>
    <row r="1359" spans="1:15" x14ac:dyDescent="0.3">
      <c r="A1359" s="1">
        <v>1817</v>
      </c>
      <c r="B1359" s="1">
        <v>4</v>
      </c>
      <c r="C1359" s="1" t="s">
        <v>138</v>
      </c>
      <c r="D1359" s="1" t="s">
        <v>2372</v>
      </c>
      <c r="E1359" s="5">
        <v>42067</v>
      </c>
      <c r="F1359" s="1" t="s">
        <v>17</v>
      </c>
      <c r="G1359" s="1" t="str">
        <f>IF(B1359=0,VLOOKUP(A1359,Feuil2!$A$2:$M$1241,11,FALSE)," ")</f>
        <v xml:space="preserve"> </v>
      </c>
      <c r="H1359" s="1" t="s">
        <v>16</v>
      </c>
      <c r="I1359" s="6" t="str">
        <f>IF(B1359=0,VLOOKUP(A1359,Feuil2!$A$2:$M$1241,7,FALSE)," ")</f>
        <v xml:space="preserve"> </v>
      </c>
      <c r="J1359" s="1" t="str">
        <f>IF(B1359=0,VLOOKUP(A1359,Feuil2!$A$2:$M$1241,9,FALSE)," ")</f>
        <v xml:space="preserve"> </v>
      </c>
      <c r="K1359" s="1" t="str">
        <f>IF(B1359=0,VLOOKUP(A1359,Feuil2!$A$2:$M$1241,10,FALSE)," ")</f>
        <v xml:space="preserve"> </v>
      </c>
      <c r="L1359" s="1"/>
      <c r="M1359" s="1"/>
      <c r="N1359" s="1"/>
      <c r="O1359" s="8" t="str">
        <f>IF(B1359=0,VLOOKUP(A1359,Feuil2!$A$2:$M$1241,13,FALSE)," ")</f>
        <v xml:space="preserve"> </v>
      </c>
    </row>
    <row r="1360" spans="1:15" x14ac:dyDescent="0.3">
      <c r="A1360" s="1">
        <v>1821</v>
      </c>
      <c r="B1360" s="1">
        <v>0</v>
      </c>
      <c r="C1360" s="1" t="str">
        <f>IF(B1360=0,VLOOKUP(A1360,Feuil2!$A$2:$M$1241,2,FALSE)," ")</f>
        <v>BOURIGUA</v>
      </c>
      <c r="D1360" s="1" t="str">
        <f>IF(B1360=0,VLOOKUP(A1360,Feuil2!$A$2:$M$1241,3,FALSE)," ")</f>
        <v>MOHAMED</v>
      </c>
      <c r="E1360" s="5">
        <f>IF(B1360=0,VLOOKUP(A1360,Feuil2!$A$2:$M$1241,6,FALSE)," ")</f>
        <v>27692</v>
      </c>
      <c r="F1360" s="1" t="str">
        <f>IF(B1360=0,VLOOKUP(A1360,Feuil2!$A$2:$M$1241,12,FALSE)," ")</f>
        <v>H</v>
      </c>
      <c r="G1360" s="1" t="str">
        <f>IF(B1360=0,VLOOKUP(A1360,Feuil2!$A$2:$M$1241,11,FALSE)," ")</f>
        <v>M</v>
      </c>
      <c r="H1360" s="1" t="s">
        <v>16</v>
      </c>
      <c r="I1360" s="6">
        <f>IF(B1360=0,VLOOKUP(A1360,Feuil2!$A$2:$M$1241,7,FALSE)," ")</f>
        <v>5550907</v>
      </c>
      <c r="J1360" s="1" t="str">
        <f>IF(B1360=0,VLOOKUP(A1360,Feuil2!$A$2:$M$1241,9,FALSE)," ")</f>
        <v>88 Rue Farhat Hached</v>
      </c>
      <c r="K1360" s="1" t="str">
        <f>IF(B1360=0,VLOOKUP(A1360,Feuil2!$A$2:$M$1241,10,FALSE)," ")</f>
        <v>Msaken 4070</v>
      </c>
      <c r="L1360" s="1">
        <v>4070</v>
      </c>
      <c r="M1360" s="1">
        <v>98793826</v>
      </c>
      <c r="N1360" s="1"/>
      <c r="O1360" s="8" t="str">
        <f>IF(B1360=0,VLOOKUP(A1360,Feuil2!$A$2:$M$1241,13,FALSE)," ")</f>
        <v>04204067000977568537</v>
      </c>
    </row>
    <row r="1361" spans="1:15" x14ac:dyDescent="0.3">
      <c r="A1361" s="1">
        <v>1821</v>
      </c>
      <c r="B1361" s="1">
        <v>1</v>
      </c>
      <c r="C1361" s="1" t="str">
        <f>IF(B1361=0,VLOOKUP(A1361,Feuil2!$A$2:$M$1241,2,FALSE)," ")</f>
        <v xml:space="preserve"> </v>
      </c>
      <c r="D1361" s="1" t="s">
        <v>2714</v>
      </c>
      <c r="E1361" s="5">
        <v>28209</v>
      </c>
      <c r="F1361" s="1" t="s">
        <v>17</v>
      </c>
      <c r="G1361" s="1" t="s">
        <v>15</v>
      </c>
      <c r="H1361" s="1" t="s">
        <v>16</v>
      </c>
      <c r="I1361" s="6" t="str">
        <f>IF(B1361=0,VLOOKUP(A1361,Feuil2!$A$2:$M$1241,7,FALSE)," ")</f>
        <v xml:space="preserve"> </v>
      </c>
      <c r="J1361" s="1" t="str">
        <f>IF(B1361=0,VLOOKUP(A1361,Feuil2!$A$2:$M$1241,9,FALSE)," ")</f>
        <v xml:space="preserve"> </v>
      </c>
      <c r="K1361" s="1" t="str">
        <f>IF(B1361=0,VLOOKUP(A1361,Feuil2!$A$2:$M$1241,10,FALSE)," ")</f>
        <v xml:space="preserve"> </v>
      </c>
      <c r="L1361" s="1"/>
      <c r="M1361" s="1"/>
      <c r="N1361" s="1"/>
      <c r="O1361" s="8" t="str">
        <f>IF(B1361=0,VLOOKUP(A1361,Feuil2!$A$2:$M$1241,13,FALSE)," ")</f>
        <v xml:space="preserve"> </v>
      </c>
    </row>
    <row r="1362" spans="1:15" x14ac:dyDescent="0.3">
      <c r="A1362" s="1">
        <v>1821</v>
      </c>
      <c r="B1362" s="1">
        <v>2</v>
      </c>
      <c r="C1362" s="1" t="s">
        <v>360</v>
      </c>
      <c r="D1362" s="1" t="s">
        <v>2383</v>
      </c>
      <c r="E1362" s="5">
        <v>38158</v>
      </c>
      <c r="F1362" s="1" t="s">
        <v>17</v>
      </c>
      <c r="G1362" s="1" t="str">
        <f>IF(B1362=0,VLOOKUP(A1362,Feuil2!$A$2:$M$1241,11,FALSE)," ")</f>
        <v xml:space="preserve"> </v>
      </c>
      <c r="H1362" s="1" t="s">
        <v>16</v>
      </c>
      <c r="I1362" s="6" t="str">
        <f>IF(B1362=0,VLOOKUP(A1362,Feuil2!$A$2:$M$1241,7,FALSE)," ")</f>
        <v xml:space="preserve"> </v>
      </c>
      <c r="J1362" s="1" t="str">
        <f>IF(B1362=0,VLOOKUP(A1362,Feuil2!$A$2:$M$1241,9,FALSE)," ")</f>
        <v xml:space="preserve"> </v>
      </c>
      <c r="K1362" s="1" t="str">
        <f>IF(B1362=0,VLOOKUP(A1362,Feuil2!$A$2:$M$1241,10,FALSE)," ")</f>
        <v xml:space="preserve"> </v>
      </c>
      <c r="L1362" s="1"/>
      <c r="M1362" s="1"/>
      <c r="N1362" s="1"/>
      <c r="O1362" s="8" t="str">
        <f>IF(B1362=0,VLOOKUP(A1362,Feuil2!$A$2:$M$1241,13,FALSE)," ")</f>
        <v xml:space="preserve"> </v>
      </c>
    </row>
    <row r="1363" spans="1:15" x14ac:dyDescent="0.3">
      <c r="A1363" s="1">
        <v>1821</v>
      </c>
      <c r="B1363" s="1">
        <v>3</v>
      </c>
      <c r="C1363" s="1" t="s">
        <v>360</v>
      </c>
      <c r="D1363" s="1" t="s">
        <v>107</v>
      </c>
      <c r="E1363" s="5">
        <v>38839</v>
      </c>
      <c r="F1363" s="1" t="s">
        <v>506</v>
      </c>
      <c r="G1363" s="1" t="str">
        <f>IF(B1363=0,VLOOKUP(A1363,Feuil2!$A$2:$M$1241,11,FALSE)," ")</f>
        <v xml:space="preserve"> </v>
      </c>
      <c r="H1363" s="1" t="s">
        <v>16</v>
      </c>
      <c r="I1363" s="6" t="str">
        <f>IF(B1363=0,VLOOKUP(A1363,Feuil2!$A$2:$M$1241,7,FALSE)," ")</f>
        <v xml:space="preserve"> </v>
      </c>
      <c r="J1363" s="1" t="str">
        <f>IF(B1363=0,VLOOKUP(A1363,Feuil2!$A$2:$M$1241,9,FALSE)," ")</f>
        <v xml:space="preserve"> </v>
      </c>
      <c r="K1363" s="1" t="str">
        <f>IF(B1363=0,VLOOKUP(A1363,Feuil2!$A$2:$M$1241,10,FALSE)," ")</f>
        <v xml:space="preserve"> </v>
      </c>
      <c r="L1363" s="1"/>
      <c r="M1363" s="1"/>
      <c r="N1363" s="1"/>
      <c r="O1363" s="8" t="str">
        <f>IF(B1363=0,VLOOKUP(A1363,Feuil2!$A$2:$M$1241,13,FALSE)," ")</f>
        <v xml:space="preserve"> </v>
      </c>
    </row>
    <row r="1364" spans="1:15" x14ac:dyDescent="0.3">
      <c r="A1364" s="1">
        <v>1821</v>
      </c>
      <c r="B1364" s="1">
        <v>4</v>
      </c>
      <c r="C1364" s="1" t="s">
        <v>360</v>
      </c>
      <c r="D1364" s="1" t="s">
        <v>2357</v>
      </c>
      <c r="E1364" s="5">
        <v>39935</v>
      </c>
      <c r="F1364" s="1" t="s">
        <v>17</v>
      </c>
      <c r="G1364" s="1" t="str">
        <f>IF(B1364=0,VLOOKUP(A1364,Feuil2!$A$2:$M$1241,11,FALSE)," ")</f>
        <v xml:space="preserve"> </v>
      </c>
      <c r="H1364" s="1" t="s">
        <v>16</v>
      </c>
      <c r="I1364" s="6" t="str">
        <f>IF(B1364=0,VLOOKUP(A1364,Feuil2!$A$2:$M$1241,7,FALSE)," ")</f>
        <v xml:space="preserve"> </v>
      </c>
      <c r="J1364" s="1" t="str">
        <f>IF(B1364=0,VLOOKUP(A1364,Feuil2!$A$2:$M$1241,9,FALSE)," ")</f>
        <v xml:space="preserve"> </v>
      </c>
      <c r="K1364" s="1" t="str">
        <f>IF(B1364=0,VLOOKUP(A1364,Feuil2!$A$2:$M$1241,10,FALSE)," ")</f>
        <v xml:space="preserve"> </v>
      </c>
      <c r="L1364" s="1"/>
      <c r="M1364" s="1"/>
      <c r="N1364" s="1"/>
      <c r="O1364" s="8" t="str">
        <f>IF(B1364=0,VLOOKUP(A1364,Feuil2!$A$2:$M$1241,13,FALSE)," ")</f>
        <v xml:space="preserve"> </v>
      </c>
    </row>
    <row r="1365" spans="1:15" x14ac:dyDescent="0.3">
      <c r="A1365" s="1">
        <v>1825</v>
      </c>
      <c r="B1365" s="1">
        <v>0</v>
      </c>
      <c r="C1365" s="1" t="str">
        <f>IF(B1365=0,VLOOKUP(A1365,Feuil2!$A$2:$M$1241,2,FALSE)," ")</f>
        <v>AIFA</v>
      </c>
      <c r="D1365" s="1" t="str">
        <f>IF(B1365=0,VLOOKUP(A1365,Feuil2!$A$2:$M$1241,3,FALSE)," ")</f>
        <v>SADOK</v>
      </c>
      <c r="E1365" s="5">
        <f>IF(B1365=0,VLOOKUP(A1365,Feuil2!$A$2:$M$1241,6,FALSE)," ")</f>
        <v>25494</v>
      </c>
      <c r="F1365" s="1" t="str">
        <f>IF(B1365=0,VLOOKUP(A1365,Feuil2!$A$2:$M$1241,12,FALSE)," ")</f>
        <v>H</v>
      </c>
      <c r="G1365" s="1" t="str">
        <f>IF(B1365=0,VLOOKUP(A1365,Feuil2!$A$2:$M$1241,11,FALSE)," ")</f>
        <v>M</v>
      </c>
      <c r="H1365" s="1" t="s">
        <v>16</v>
      </c>
      <c r="I1365" s="6">
        <f>IF(B1365=0,VLOOKUP(A1365,Feuil2!$A$2:$M$1241,7,FALSE)," ")</f>
        <v>3968081</v>
      </c>
      <c r="J1365" s="1" t="str">
        <f>IF(B1365=0,VLOOKUP(A1365,Feuil2!$A$2:$M$1241,9,FALSE)," ")</f>
        <v>06 Rue Sobhi Salah</v>
      </c>
      <c r="K1365" s="1" t="str">
        <f>IF(B1365=0,VLOOKUP(A1365,Feuil2!$A$2:$M$1241,10,FALSE)," ")</f>
        <v>CitÃ© Erriadh</v>
      </c>
      <c r="L1365" s="1"/>
      <c r="M1365" s="1">
        <v>97262441</v>
      </c>
      <c r="N1365" s="1"/>
      <c r="O1365" s="8" t="str">
        <f>IF(B1365=0,VLOOKUP(A1365,Feuil2!$A$2:$M$1241,13,FALSE)," ")</f>
        <v>14114114100701193838</v>
      </c>
    </row>
    <row r="1366" spans="1:15" x14ac:dyDescent="0.3">
      <c r="A1366" s="1">
        <v>1825</v>
      </c>
      <c r="B1366" s="1">
        <v>1</v>
      </c>
      <c r="C1366" s="1" t="str">
        <f>IF(B1366=0,VLOOKUP(A1366,Feuil2!$A$2:$M$1241,2,FALSE)," ")</f>
        <v xml:space="preserve"> </v>
      </c>
      <c r="D1366" s="1" t="s">
        <v>2110</v>
      </c>
      <c r="E1366" s="5">
        <v>26708</v>
      </c>
      <c r="F1366" s="1" t="s">
        <v>17</v>
      </c>
      <c r="G1366" s="1" t="s">
        <v>15</v>
      </c>
      <c r="H1366" s="1" t="s">
        <v>16</v>
      </c>
      <c r="I1366" s="6" t="str">
        <f>IF(B1366=0,VLOOKUP(A1366,Feuil2!$A$2:$M$1241,7,FALSE)," ")</f>
        <v xml:space="preserve"> </v>
      </c>
      <c r="J1366" s="1" t="str">
        <f>IF(B1366=0,VLOOKUP(A1366,Feuil2!$A$2:$M$1241,9,FALSE)," ")</f>
        <v xml:space="preserve"> </v>
      </c>
      <c r="K1366" s="1" t="str">
        <f>IF(B1366=0,VLOOKUP(A1366,Feuil2!$A$2:$M$1241,10,FALSE)," ")</f>
        <v xml:space="preserve"> </v>
      </c>
      <c r="L1366" s="1"/>
      <c r="M1366" s="1"/>
      <c r="N1366" s="1"/>
      <c r="O1366" s="8" t="str">
        <f>IF(B1366=0,VLOOKUP(A1366,Feuil2!$A$2:$M$1241,13,FALSE)," ")</f>
        <v xml:space="preserve"> </v>
      </c>
    </row>
    <row r="1367" spans="1:15" x14ac:dyDescent="0.3">
      <c r="A1367" s="1">
        <v>1825</v>
      </c>
      <c r="B1367" s="1">
        <v>2</v>
      </c>
      <c r="C1367" s="1" t="s">
        <v>142</v>
      </c>
      <c r="D1367" s="1" t="s">
        <v>2715</v>
      </c>
      <c r="E1367" s="5">
        <v>40584</v>
      </c>
      <c r="F1367" s="1" t="s">
        <v>506</v>
      </c>
      <c r="G1367" s="1" t="str">
        <f>IF(B1367=0,VLOOKUP(A1367,Feuil2!$A$2:$M$1241,11,FALSE)," ")</f>
        <v xml:space="preserve"> </v>
      </c>
      <c r="H1367" s="1" t="s">
        <v>16</v>
      </c>
      <c r="I1367" s="6" t="str">
        <f>IF(B1367=0,VLOOKUP(A1367,Feuil2!$A$2:$M$1241,7,FALSE)," ")</f>
        <v xml:space="preserve"> </v>
      </c>
      <c r="J1367" s="1" t="str">
        <f>IF(B1367=0,VLOOKUP(A1367,Feuil2!$A$2:$M$1241,9,FALSE)," ")</f>
        <v xml:space="preserve"> </v>
      </c>
      <c r="K1367" s="1" t="str">
        <f>IF(B1367=0,VLOOKUP(A1367,Feuil2!$A$2:$M$1241,10,FALSE)," ")</f>
        <v xml:space="preserve"> </v>
      </c>
      <c r="L1367" s="1"/>
      <c r="M1367" s="1"/>
      <c r="N1367" s="1"/>
      <c r="O1367" s="8" t="str">
        <f>IF(B1367=0,VLOOKUP(A1367,Feuil2!$A$2:$M$1241,13,FALSE)," ")</f>
        <v xml:space="preserve"> </v>
      </c>
    </row>
    <row r="1368" spans="1:15" x14ac:dyDescent="0.3">
      <c r="A1368" s="1">
        <v>1827</v>
      </c>
      <c r="B1368" s="1">
        <v>0</v>
      </c>
      <c r="C1368" s="1" t="str">
        <f>IF(B1368=0,VLOOKUP(A1368,Feuil2!$A$2:$M$1241,2,FALSE)," ")</f>
        <v>CHTIOUI</v>
      </c>
      <c r="D1368" s="1" t="str">
        <f>IF(B1368=0,VLOOKUP(A1368,Feuil2!$A$2:$M$1241,3,FALSE)," ")</f>
        <v>HAMADI</v>
      </c>
      <c r="E1368" s="5">
        <f>IF(B1368=0,VLOOKUP(A1368,Feuil2!$A$2:$M$1241,6,FALSE)," ")</f>
        <v>28312</v>
      </c>
      <c r="F1368" s="1" t="str">
        <f>IF(B1368=0,VLOOKUP(A1368,Feuil2!$A$2:$M$1241,12,FALSE)," ")</f>
        <v>H</v>
      </c>
      <c r="G1368" s="1" t="str">
        <f>IF(B1368=0,VLOOKUP(A1368,Feuil2!$A$2:$M$1241,11,FALSE)," ")</f>
        <v>M</v>
      </c>
      <c r="H1368" s="1" t="s">
        <v>16</v>
      </c>
      <c r="I1368" s="6">
        <f>IF(B1368=0,VLOOKUP(A1368,Feuil2!$A$2:$M$1241,7,FALSE)," ")</f>
        <v>5570881</v>
      </c>
      <c r="J1368" s="1" t="str">
        <f>IF(B1368=0,VLOOKUP(A1368,Feuil2!$A$2:$M$1241,9,FALSE)," ")</f>
        <v>51 Rue Ibn Badis</v>
      </c>
      <c r="K1368" s="1" t="str">
        <f>IF(B1368=0,VLOOKUP(A1368,Feuil2!$A$2:$M$1241,10,FALSE)," ")</f>
        <v>Msaken 4070</v>
      </c>
      <c r="L1368" s="1">
        <v>4070</v>
      </c>
      <c r="M1368" s="1">
        <v>28787636</v>
      </c>
      <c r="N1368" s="1"/>
      <c r="O1368" s="8" t="str">
        <f>IF(B1368=0,VLOOKUP(A1368,Feuil2!$A$2:$M$1241,13,FALSE)," ")</f>
        <v>25066000000075663147</v>
      </c>
    </row>
    <row r="1369" spans="1:15" x14ac:dyDescent="0.3">
      <c r="A1369" s="1">
        <v>1827</v>
      </c>
      <c r="B1369" s="1">
        <v>1</v>
      </c>
      <c r="C1369" s="1" t="s">
        <v>217</v>
      </c>
      <c r="D1369" s="1" t="s">
        <v>2641</v>
      </c>
      <c r="E1369" s="5">
        <v>30801</v>
      </c>
      <c r="F1369" s="1" t="s">
        <v>17</v>
      </c>
      <c r="G1369" s="1" t="s">
        <v>15</v>
      </c>
      <c r="H1369" s="1" t="s">
        <v>16</v>
      </c>
      <c r="I1369" s="6" t="str">
        <f>IF(B1369=0,VLOOKUP(A1369,Feuil2!$A$2:$M$1241,7,FALSE)," ")</f>
        <v xml:space="preserve"> </v>
      </c>
      <c r="J1369" s="1" t="str">
        <f>IF(B1369=0,VLOOKUP(A1369,Feuil2!$A$2:$M$1241,9,FALSE)," ")</f>
        <v xml:space="preserve"> </v>
      </c>
      <c r="K1369" s="1" t="str">
        <f>IF(B1369=0,VLOOKUP(A1369,Feuil2!$A$2:$M$1241,10,FALSE)," ")</f>
        <v xml:space="preserve"> </v>
      </c>
      <c r="L1369" s="1"/>
      <c r="M1369" s="1"/>
      <c r="N1369" s="1"/>
      <c r="O1369" s="8" t="str">
        <f>IF(B1369=0,VLOOKUP(A1369,Feuil2!$A$2:$M$1241,13,FALSE)," ")</f>
        <v xml:space="preserve"> </v>
      </c>
    </row>
    <row r="1370" spans="1:15" x14ac:dyDescent="0.3">
      <c r="A1370" s="1">
        <v>1827</v>
      </c>
      <c r="B1370" s="1">
        <v>2</v>
      </c>
      <c r="C1370" s="1" t="s">
        <v>42</v>
      </c>
      <c r="D1370" s="1" t="s">
        <v>2716</v>
      </c>
      <c r="E1370" s="5">
        <v>40585</v>
      </c>
      <c r="F1370" s="1" t="s">
        <v>506</v>
      </c>
      <c r="G1370" s="1" t="str">
        <f>IF(B1370=0,VLOOKUP(A1370,Feuil2!$A$2:$M$1241,11,FALSE)," ")</f>
        <v xml:space="preserve"> </v>
      </c>
      <c r="H1370" s="1" t="s">
        <v>16</v>
      </c>
      <c r="I1370" s="6" t="str">
        <f>IF(B1370=0,VLOOKUP(A1370,Feuil2!$A$2:$M$1241,7,FALSE)," ")</f>
        <v xml:space="preserve"> </v>
      </c>
      <c r="J1370" s="1" t="str">
        <f>IF(B1370=0,VLOOKUP(A1370,Feuil2!$A$2:$M$1241,9,FALSE)," ")</f>
        <v xml:space="preserve"> </v>
      </c>
      <c r="K1370" s="1" t="str">
        <f>IF(B1370=0,VLOOKUP(A1370,Feuil2!$A$2:$M$1241,10,FALSE)," ")</f>
        <v xml:space="preserve"> </v>
      </c>
      <c r="L1370" s="1"/>
      <c r="M1370" s="1"/>
      <c r="N1370" s="1"/>
      <c r="O1370" s="8" t="str">
        <f>IF(B1370=0,VLOOKUP(A1370,Feuil2!$A$2:$M$1241,13,FALSE)," ")</f>
        <v xml:space="preserve"> </v>
      </c>
    </row>
    <row r="1371" spans="1:15" x14ac:dyDescent="0.3">
      <c r="A1371" s="1">
        <v>1827</v>
      </c>
      <c r="B1371" s="1">
        <v>3</v>
      </c>
      <c r="C1371" s="1" t="s">
        <v>42</v>
      </c>
      <c r="D1371" s="1" t="s">
        <v>2717</v>
      </c>
      <c r="E1371" s="5">
        <v>41683</v>
      </c>
      <c r="F1371" s="1" t="s">
        <v>506</v>
      </c>
      <c r="G1371" s="1" t="str">
        <f>IF(B1371=0,VLOOKUP(A1371,Feuil2!$A$2:$M$1241,11,FALSE)," ")</f>
        <v xml:space="preserve"> </v>
      </c>
      <c r="H1371" s="1" t="s">
        <v>16</v>
      </c>
      <c r="I1371" s="6" t="str">
        <f>IF(B1371=0,VLOOKUP(A1371,Feuil2!$A$2:$M$1241,7,FALSE)," ")</f>
        <v xml:space="preserve"> </v>
      </c>
      <c r="J1371" s="1" t="str">
        <f>IF(B1371=0,VLOOKUP(A1371,Feuil2!$A$2:$M$1241,9,FALSE)," ")</f>
        <v xml:space="preserve"> </v>
      </c>
      <c r="K1371" s="1" t="str">
        <f>IF(B1371=0,VLOOKUP(A1371,Feuil2!$A$2:$M$1241,10,FALSE)," ")</f>
        <v xml:space="preserve"> </v>
      </c>
      <c r="L1371" s="1"/>
      <c r="M1371" s="1"/>
      <c r="N1371" s="1"/>
      <c r="O1371" s="8" t="str">
        <f>IF(B1371=0,VLOOKUP(A1371,Feuil2!$A$2:$M$1241,13,FALSE)," ")</f>
        <v xml:space="preserve"> </v>
      </c>
    </row>
    <row r="1372" spans="1:15" x14ac:dyDescent="0.3">
      <c r="A1372" s="1">
        <v>1827</v>
      </c>
      <c r="B1372" s="1">
        <v>4</v>
      </c>
      <c r="C1372" s="1" t="s">
        <v>42</v>
      </c>
      <c r="D1372" s="1" t="s">
        <v>2404</v>
      </c>
      <c r="E1372" s="5">
        <v>43299</v>
      </c>
      <c r="F1372" s="1" t="s">
        <v>506</v>
      </c>
      <c r="G1372" s="1" t="str">
        <f>IF(B1372=0,VLOOKUP(A1372,Feuil2!$A$2:$M$1241,11,FALSE)," ")</f>
        <v xml:space="preserve"> </v>
      </c>
      <c r="H1372" s="1" t="s">
        <v>16</v>
      </c>
      <c r="I1372" s="6" t="str">
        <f>IF(B1372=0,VLOOKUP(A1372,Feuil2!$A$2:$M$1241,7,FALSE)," ")</f>
        <v xml:space="preserve"> </v>
      </c>
      <c r="J1372" s="1" t="str">
        <f>IF(B1372=0,VLOOKUP(A1372,Feuil2!$A$2:$M$1241,9,FALSE)," ")</f>
        <v xml:space="preserve"> </v>
      </c>
      <c r="K1372" s="1" t="str">
        <f>IF(B1372=0,VLOOKUP(A1372,Feuil2!$A$2:$M$1241,10,FALSE)," ")</f>
        <v xml:space="preserve"> </v>
      </c>
      <c r="L1372" s="1"/>
      <c r="M1372" s="1"/>
      <c r="N1372" s="1"/>
      <c r="O1372" s="8" t="str">
        <f>IF(B1372=0,VLOOKUP(A1372,Feuil2!$A$2:$M$1241,13,FALSE)," ")</f>
        <v xml:space="preserve"> </v>
      </c>
    </row>
    <row r="1373" spans="1:15" x14ac:dyDescent="0.3">
      <c r="A1373" s="1">
        <v>1828</v>
      </c>
      <c r="B1373" s="1">
        <v>0</v>
      </c>
      <c r="C1373" s="1" t="str">
        <f>IF(B1373=0,VLOOKUP(A1373,Feuil2!$A$2:$M$1241,2,FALSE)," ")</f>
        <v>FNAYOU</v>
      </c>
      <c r="D1373" s="1" t="str">
        <f>IF(B1373=0,VLOOKUP(A1373,Feuil2!$A$2:$M$1241,3,FALSE)," ")</f>
        <v>MOHAMED</v>
      </c>
      <c r="E1373" s="5">
        <f>IF(B1373=0,VLOOKUP(A1373,Feuil2!$A$2:$M$1241,6,FALSE)," ")</f>
        <v>28406</v>
      </c>
      <c r="F1373" s="1" t="str">
        <f>IF(B1373=0,VLOOKUP(A1373,Feuil2!$A$2:$M$1241,12,FALSE)," ")</f>
        <v>H</v>
      </c>
      <c r="G1373" s="1" t="str">
        <f>IF(B1373=0,VLOOKUP(A1373,Feuil2!$A$2:$M$1241,11,FALSE)," ")</f>
        <v>M</v>
      </c>
      <c r="H1373" s="1" t="s">
        <v>16</v>
      </c>
      <c r="I1373" s="6">
        <f>IF(B1373=0,VLOOKUP(A1373,Feuil2!$A$2:$M$1241,7,FALSE)," ")</f>
        <v>5598689</v>
      </c>
      <c r="J1373" s="1" t="str">
        <f>IF(B1373=0,VLOOKUP(A1373,Feuil2!$A$2:$M$1241,9,FALSE)," ")</f>
        <v>10 Rue Ahmed Ibn Abi Dhiaf</v>
      </c>
      <c r="K1373" s="1" t="str">
        <f>IF(B1373=0,VLOOKUP(A1373,Feuil2!$A$2:$M$1241,10,FALSE)," ")</f>
        <v>Msaken 4070</v>
      </c>
      <c r="L1373" s="1">
        <v>4070</v>
      </c>
      <c r="M1373" s="1">
        <v>26438118</v>
      </c>
      <c r="N1373" s="1"/>
      <c r="O1373" s="8" t="str">
        <f>IF(B1373=0,VLOOKUP(A1373,Feuil2!$A$2:$M$1241,13,FALSE)," ")</f>
        <v>10506040206297978884</v>
      </c>
    </row>
    <row r="1374" spans="1:15" x14ac:dyDescent="0.3">
      <c r="A1374" s="1">
        <v>1828</v>
      </c>
      <c r="B1374" s="1">
        <v>1</v>
      </c>
      <c r="C1374" s="1" t="s">
        <v>225</v>
      </c>
      <c r="D1374" s="1" t="s">
        <v>89</v>
      </c>
      <c r="E1374" s="5">
        <v>39219</v>
      </c>
      <c r="F1374" s="1" t="s">
        <v>506</v>
      </c>
      <c r="G1374" s="1" t="str">
        <f>IF(B1374=0,VLOOKUP(A1374,Feuil2!$A$2:$M$1241,11,FALSE)," ")</f>
        <v xml:space="preserve"> </v>
      </c>
      <c r="H1374" s="1" t="s">
        <v>16</v>
      </c>
      <c r="I1374" s="6" t="str">
        <f>IF(B1374=0,VLOOKUP(A1374,Feuil2!$A$2:$M$1241,7,FALSE)," ")</f>
        <v xml:space="preserve"> </v>
      </c>
      <c r="J1374" s="1" t="str">
        <f>IF(B1374=0,VLOOKUP(A1374,Feuil2!$A$2:$M$1241,9,FALSE)," ")</f>
        <v xml:space="preserve"> </v>
      </c>
      <c r="K1374" s="1" t="str">
        <f>IF(B1374=0,VLOOKUP(A1374,Feuil2!$A$2:$M$1241,10,FALSE)," ")</f>
        <v xml:space="preserve"> </v>
      </c>
      <c r="L1374" s="1"/>
      <c r="M1374" s="1"/>
      <c r="N1374" s="1"/>
      <c r="O1374" s="8" t="str">
        <f>IF(B1374=0,VLOOKUP(A1374,Feuil2!$A$2:$M$1241,13,FALSE)," ")</f>
        <v xml:space="preserve"> </v>
      </c>
    </row>
    <row r="1375" spans="1:15" x14ac:dyDescent="0.3">
      <c r="A1375" s="1">
        <v>1828</v>
      </c>
      <c r="B1375" s="1">
        <v>2</v>
      </c>
      <c r="C1375" s="1" t="s">
        <v>225</v>
      </c>
      <c r="D1375" s="1" t="s">
        <v>2718</v>
      </c>
      <c r="E1375" s="5">
        <v>39683</v>
      </c>
      <c r="F1375" s="1" t="s">
        <v>506</v>
      </c>
      <c r="G1375" s="1" t="str">
        <f>IF(B1375=0,VLOOKUP(A1375,Feuil2!$A$2:$M$1241,11,FALSE)," ")</f>
        <v xml:space="preserve"> </v>
      </c>
      <c r="H1375" s="1" t="s">
        <v>16</v>
      </c>
      <c r="I1375" s="6" t="str">
        <f>IF(B1375=0,VLOOKUP(A1375,Feuil2!$A$2:$M$1241,7,FALSE)," ")</f>
        <v xml:space="preserve"> </v>
      </c>
      <c r="J1375" s="1" t="str">
        <f>IF(B1375=0,VLOOKUP(A1375,Feuil2!$A$2:$M$1241,9,FALSE)," ")</f>
        <v xml:space="preserve"> </v>
      </c>
      <c r="K1375" s="1" t="str">
        <f>IF(B1375=0,VLOOKUP(A1375,Feuil2!$A$2:$M$1241,10,FALSE)," ")</f>
        <v xml:space="preserve"> </v>
      </c>
      <c r="L1375" s="1"/>
      <c r="M1375" s="1"/>
      <c r="N1375" s="1"/>
      <c r="O1375" s="8" t="str">
        <f>IF(B1375=0,VLOOKUP(A1375,Feuil2!$A$2:$M$1241,13,FALSE)," ")</f>
        <v xml:space="preserve"> </v>
      </c>
    </row>
    <row r="1376" spans="1:15" x14ac:dyDescent="0.3">
      <c r="A1376" s="1">
        <v>1830</v>
      </c>
      <c r="B1376" s="1">
        <v>0</v>
      </c>
      <c r="C1376" s="1" t="str">
        <f>IF(B1376=0,VLOOKUP(A1376,Feuil2!$A$2:$M$1241,2,FALSE)," ")</f>
        <v>LOURIMI</v>
      </c>
      <c r="D1376" s="1" t="s">
        <v>63</v>
      </c>
      <c r="E1376" s="5">
        <f>IF(B1376=0,VLOOKUP(A1376,Feuil2!$A$2:$M$1241,6,FALSE)," ")</f>
        <v>28242</v>
      </c>
      <c r="F1376" s="1" t="str">
        <f>IF(B1376=0,VLOOKUP(A1376,Feuil2!$A$2:$M$1241,12,FALSE)," ")</f>
        <v>H</v>
      </c>
      <c r="G1376" s="1" t="str">
        <f>IF(B1376=0,VLOOKUP(A1376,Feuil2!$A$2:$M$1241,11,FALSE)," ")</f>
        <v>M</v>
      </c>
      <c r="H1376" s="1" t="s">
        <v>16</v>
      </c>
      <c r="I1376" s="6">
        <f>IF(B1376=0,VLOOKUP(A1376,Feuil2!$A$2:$M$1241,7,FALSE)," ")</f>
        <v>5579578</v>
      </c>
      <c r="J1376" s="1" t="str">
        <f>IF(B1376=0,VLOOKUP(A1376,Feuil2!$A$2:$M$1241,9,FALSE)," ")</f>
        <v>NULL</v>
      </c>
      <c r="K1376" s="1" t="str">
        <f>IF(B1376=0,VLOOKUP(A1376,Feuil2!$A$2:$M$1241,10,FALSE)," ")</f>
        <v>Knaies 4014</v>
      </c>
      <c r="L1376" s="1">
        <v>4014</v>
      </c>
      <c r="M1376" s="1">
        <v>98793795</v>
      </c>
      <c r="N1376" s="1"/>
      <c r="O1376" s="8" t="str">
        <f>IF(B1376=0,VLOOKUP(A1376,Feuil2!$A$2:$M$1241,13,FALSE)," ")</f>
        <v>10506040206568978842</v>
      </c>
    </row>
    <row r="1377" spans="1:15" x14ac:dyDescent="0.3">
      <c r="A1377" s="1">
        <v>1830</v>
      </c>
      <c r="B1377" s="1">
        <v>1</v>
      </c>
      <c r="C1377" s="1" t="s">
        <v>1277</v>
      </c>
      <c r="D1377" s="1" t="s">
        <v>1387</v>
      </c>
      <c r="E1377" s="5">
        <v>32223</v>
      </c>
      <c r="F1377" s="1" t="s">
        <v>17</v>
      </c>
      <c r="G1377" s="1" t="s">
        <v>15</v>
      </c>
      <c r="H1377" s="1" t="s">
        <v>16</v>
      </c>
      <c r="I1377" s="6" t="str">
        <f>IF(B1377=0,VLOOKUP(A1377,Feuil2!$A$2:$M$1241,7,FALSE)," ")</f>
        <v xml:space="preserve"> </v>
      </c>
      <c r="J1377" s="1" t="str">
        <f>IF(B1377=0,VLOOKUP(A1377,Feuil2!$A$2:$M$1241,9,FALSE)," ")</f>
        <v xml:space="preserve"> </v>
      </c>
      <c r="K1377" s="1" t="str">
        <f>IF(B1377=0,VLOOKUP(A1377,Feuil2!$A$2:$M$1241,10,FALSE)," ")</f>
        <v xml:space="preserve"> </v>
      </c>
      <c r="L1377" s="1"/>
      <c r="M1377" s="1"/>
      <c r="N1377" s="1"/>
      <c r="O1377" s="8" t="str">
        <f>IF(B1377=0,VLOOKUP(A1377,Feuil2!$A$2:$M$1241,13,FALSE)," ")</f>
        <v xml:space="preserve"> </v>
      </c>
    </row>
    <row r="1378" spans="1:15" x14ac:dyDescent="0.3">
      <c r="A1378" s="1">
        <v>1830</v>
      </c>
      <c r="B1378" s="1">
        <v>2</v>
      </c>
      <c r="C1378" s="1" t="s">
        <v>64</v>
      </c>
      <c r="D1378" s="1" t="s">
        <v>416</v>
      </c>
      <c r="E1378" s="5">
        <v>39966</v>
      </c>
      <c r="F1378" s="1" t="s">
        <v>17</v>
      </c>
      <c r="G1378" s="1" t="str">
        <f>IF(B1378=0,VLOOKUP(A1378,Feuil2!$A$2:$M$1241,11,FALSE)," ")</f>
        <v xml:space="preserve"> </v>
      </c>
      <c r="H1378" s="1" t="s">
        <v>16</v>
      </c>
      <c r="I1378" s="6" t="str">
        <f>IF(B1378=0,VLOOKUP(A1378,Feuil2!$A$2:$M$1241,7,FALSE)," ")</f>
        <v xml:space="preserve"> </v>
      </c>
      <c r="J1378" s="1" t="str">
        <f>IF(B1378=0,VLOOKUP(A1378,Feuil2!$A$2:$M$1241,9,FALSE)," ")</f>
        <v xml:space="preserve"> </v>
      </c>
      <c r="K1378" s="1" t="str">
        <f>IF(B1378=0,VLOOKUP(A1378,Feuil2!$A$2:$M$1241,10,FALSE)," ")</f>
        <v xml:space="preserve"> </v>
      </c>
      <c r="L1378" s="1"/>
      <c r="M1378" s="1"/>
      <c r="N1378" s="1"/>
      <c r="O1378" s="8" t="str">
        <f>IF(B1378=0,VLOOKUP(A1378,Feuil2!$A$2:$M$1241,13,FALSE)," ")</f>
        <v xml:space="preserve"> </v>
      </c>
    </row>
    <row r="1379" spans="1:15" x14ac:dyDescent="0.3">
      <c r="A1379" s="1">
        <v>1830</v>
      </c>
      <c r="B1379" s="1">
        <v>3</v>
      </c>
      <c r="C1379" s="1" t="s">
        <v>64</v>
      </c>
      <c r="D1379" s="1" t="s">
        <v>54</v>
      </c>
      <c r="E1379" s="5">
        <v>41035</v>
      </c>
      <c r="F1379" s="1" t="s">
        <v>17</v>
      </c>
      <c r="G1379" s="1" t="str">
        <f>IF(B1379=0,VLOOKUP(A1379,Feuil2!$A$2:$M$1241,11,FALSE)," ")</f>
        <v xml:space="preserve"> </v>
      </c>
      <c r="H1379" s="1" t="s">
        <v>16</v>
      </c>
      <c r="I1379" s="6" t="str">
        <f>IF(B1379=0,VLOOKUP(A1379,Feuil2!$A$2:$M$1241,7,FALSE)," ")</f>
        <v xml:space="preserve"> </v>
      </c>
      <c r="J1379" s="1" t="str">
        <f>IF(B1379=0,VLOOKUP(A1379,Feuil2!$A$2:$M$1241,9,FALSE)," ")</f>
        <v xml:space="preserve"> </v>
      </c>
      <c r="K1379" s="1" t="str">
        <f>IF(B1379=0,VLOOKUP(A1379,Feuil2!$A$2:$M$1241,10,FALSE)," ")</f>
        <v xml:space="preserve"> </v>
      </c>
      <c r="L1379" s="1"/>
      <c r="M1379" s="1"/>
      <c r="N1379" s="1"/>
      <c r="O1379" s="8" t="str">
        <f>IF(B1379=0,VLOOKUP(A1379,Feuil2!$A$2:$M$1241,13,FALSE)," ")</f>
        <v xml:space="preserve"> </v>
      </c>
    </row>
    <row r="1380" spans="1:15" x14ac:dyDescent="0.3">
      <c r="A1380" s="1">
        <v>1830</v>
      </c>
      <c r="B1380" s="1">
        <v>4</v>
      </c>
      <c r="C1380" s="1" t="s">
        <v>64</v>
      </c>
      <c r="D1380" s="1" t="s">
        <v>2388</v>
      </c>
      <c r="E1380" s="5">
        <v>42422</v>
      </c>
      <c r="F1380" s="1" t="s">
        <v>506</v>
      </c>
      <c r="G1380" s="1" t="str">
        <f>IF(B1380=0,VLOOKUP(A1380,Feuil2!$A$2:$M$1241,11,FALSE)," ")</f>
        <v xml:space="preserve"> </v>
      </c>
      <c r="H1380" s="1" t="s">
        <v>16</v>
      </c>
      <c r="I1380" s="6" t="str">
        <f>IF(B1380=0,VLOOKUP(A1380,Feuil2!$A$2:$M$1241,7,FALSE)," ")</f>
        <v xml:space="preserve"> </v>
      </c>
      <c r="J1380" s="1" t="str">
        <f>IF(B1380=0,VLOOKUP(A1380,Feuil2!$A$2:$M$1241,9,FALSE)," ")</f>
        <v xml:space="preserve"> </v>
      </c>
      <c r="K1380" s="1" t="str">
        <f>IF(B1380=0,VLOOKUP(A1380,Feuil2!$A$2:$M$1241,10,FALSE)," ")</f>
        <v xml:space="preserve"> </v>
      </c>
      <c r="L1380" s="1"/>
      <c r="M1380" s="1"/>
      <c r="N1380" s="1"/>
      <c r="O1380" s="8" t="str">
        <f>IF(B1380=0,VLOOKUP(A1380,Feuil2!$A$2:$M$1241,13,FALSE)," ")</f>
        <v xml:space="preserve"> </v>
      </c>
    </row>
    <row r="1381" spans="1:15" x14ac:dyDescent="0.3">
      <c r="A1381" s="1">
        <v>1831</v>
      </c>
      <c r="B1381" s="1">
        <v>0</v>
      </c>
      <c r="C1381" s="1" t="str">
        <f>IF(B1381=0,VLOOKUP(A1381,Feuil2!$A$2:$M$1241,2,FALSE)," ")</f>
        <v>KEMIMECH</v>
      </c>
      <c r="D1381" s="1" t="str">
        <f>IF(B1381=0,VLOOKUP(A1381,Feuil2!$A$2:$M$1241,3,FALSE)," ")</f>
        <v>MOHAMED BEN MOHAMED</v>
      </c>
      <c r="E1381" s="5">
        <f>IF(B1381=0,VLOOKUP(A1381,Feuil2!$A$2:$M$1241,6,FALSE)," ")</f>
        <v>25805</v>
      </c>
      <c r="F1381" s="1" t="str">
        <f>IF(B1381=0,VLOOKUP(A1381,Feuil2!$A$2:$M$1241,12,FALSE)," ")</f>
        <v>H</v>
      </c>
      <c r="G1381" s="1" t="str">
        <f>IF(B1381=0,VLOOKUP(A1381,Feuil2!$A$2:$M$1241,11,FALSE)," ")</f>
        <v>M</v>
      </c>
      <c r="H1381" s="1" t="s">
        <v>16</v>
      </c>
      <c r="I1381" s="6">
        <f>IF(B1381=0,VLOOKUP(A1381,Feuil2!$A$2:$M$1241,7,FALSE)," ")</f>
        <v>5509654</v>
      </c>
      <c r="J1381" s="1" t="str">
        <f>IF(B1381=0,VLOOKUP(A1381,Feuil2!$A$2:$M$1241,9,FALSE)," ")</f>
        <v>37 Rue de l'Independance</v>
      </c>
      <c r="K1381" s="1" t="str">
        <f>IF(B1381=0,VLOOKUP(A1381,Feuil2!$A$2:$M$1241,10,FALSE)," ")</f>
        <v>Msaken 4070</v>
      </c>
      <c r="L1381" s="1">
        <v>4070</v>
      </c>
      <c r="M1381" s="1">
        <v>97122570</v>
      </c>
      <c r="N1381" s="1"/>
      <c r="O1381" s="8" t="str">
        <f>IF(B1381=0,VLOOKUP(A1381,Feuil2!$A$2:$M$1241,13,FALSE)," ")</f>
        <v>03508056010110001415</v>
      </c>
    </row>
    <row r="1382" spans="1:15" x14ac:dyDescent="0.3">
      <c r="A1382" s="1">
        <v>1831</v>
      </c>
      <c r="B1382" s="1">
        <v>1</v>
      </c>
      <c r="C1382" s="1" t="s">
        <v>703</v>
      </c>
      <c r="D1382" s="1" t="s">
        <v>2719</v>
      </c>
      <c r="E1382" s="5">
        <v>31148</v>
      </c>
      <c r="F1382" s="1" t="s">
        <v>17</v>
      </c>
      <c r="G1382" s="1" t="s">
        <v>15</v>
      </c>
      <c r="H1382" s="1" t="s">
        <v>16</v>
      </c>
      <c r="I1382" s="6" t="str">
        <f>IF(B1382=0,VLOOKUP(A1382,Feuil2!$A$2:$M$1241,7,FALSE)," ")</f>
        <v xml:space="preserve"> </v>
      </c>
      <c r="J1382" s="1" t="str">
        <f>IF(B1382=0,VLOOKUP(A1382,Feuil2!$A$2:$M$1241,9,FALSE)," ")</f>
        <v xml:space="preserve"> </v>
      </c>
      <c r="K1382" s="1" t="str">
        <f>IF(B1382=0,VLOOKUP(A1382,Feuil2!$A$2:$M$1241,10,FALSE)," ")</f>
        <v xml:space="preserve"> </v>
      </c>
      <c r="L1382" s="1"/>
      <c r="M1382" s="1"/>
      <c r="N1382" s="1"/>
      <c r="O1382" s="8" t="str">
        <f>IF(B1382=0,VLOOKUP(A1382,Feuil2!$A$2:$M$1241,13,FALSE)," ")</f>
        <v xml:space="preserve"> </v>
      </c>
    </row>
    <row r="1383" spans="1:15" x14ac:dyDescent="0.3">
      <c r="A1383" s="1">
        <v>1831</v>
      </c>
      <c r="B1383" s="1">
        <v>2</v>
      </c>
      <c r="C1383" s="1" t="s">
        <v>147</v>
      </c>
      <c r="D1383" s="1" t="s">
        <v>2345</v>
      </c>
      <c r="E1383" s="5">
        <v>40609</v>
      </c>
      <c r="F1383" s="1" t="s">
        <v>17</v>
      </c>
      <c r="G1383" s="1" t="str">
        <f>IF(B1383=0,VLOOKUP(A1383,Feuil2!$A$2:$M$1241,11,FALSE)," ")</f>
        <v xml:space="preserve"> </v>
      </c>
      <c r="H1383" s="1" t="s">
        <v>16</v>
      </c>
      <c r="I1383" s="6" t="str">
        <f>IF(B1383=0,VLOOKUP(A1383,Feuil2!$A$2:$M$1241,7,FALSE)," ")</f>
        <v xml:space="preserve"> </v>
      </c>
      <c r="J1383" s="1" t="str">
        <f>IF(B1383=0,VLOOKUP(A1383,Feuil2!$A$2:$M$1241,9,FALSE)," ")</f>
        <v xml:space="preserve"> </v>
      </c>
      <c r="K1383" s="1" t="str">
        <f>IF(B1383=0,VLOOKUP(A1383,Feuil2!$A$2:$M$1241,10,FALSE)," ")</f>
        <v xml:space="preserve"> </v>
      </c>
      <c r="L1383" s="1"/>
      <c r="M1383" s="1"/>
      <c r="N1383" s="1"/>
      <c r="O1383" s="8" t="str">
        <f>IF(B1383=0,VLOOKUP(A1383,Feuil2!$A$2:$M$1241,13,FALSE)," ")</f>
        <v xml:space="preserve"> </v>
      </c>
    </row>
    <row r="1384" spans="1:15" x14ac:dyDescent="0.3">
      <c r="A1384" s="1">
        <v>1831</v>
      </c>
      <c r="B1384" s="1">
        <v>3</v>
      </c>
      <c r="C1384" s="1" t="s">
        <v>147</v>
      </c>
      <c r="D1384" s="1" t="s">
        <v>2465</v>
      </c>
      <c r="E1384" s="5">
        <v>41219</v>
      </c>
      <c r="F1384" s="1" t="s">
        <v>506</v>
      </c>
      <c r="G1384" s="1" t="str">
        <f>IF(B1384=0,VLOOKUP(A1384,Feuil2!$A$2:$M$1241,11,FALSE)," ")</f>
        <v xml:space="preserve"> </v>
      </c>
      <c r="H1384" s="1" t="s">
        <v>16</v>
      </c>
      <c r="I1384" s="6" t="str">
        <f>IF(B1384=0,VLOOKUP(A1384,Feuil2!$A$2:$M$1241,7,FALSE)," ")</f>
        <v xml:space="preserve"> </v>
      </c>
      <c r="J1384" s="1" t="str">
        <f>IF(B1384=0,VLOOKUP(A1384,Feuil2!$A$2:$M$1241,9,FALSE)," ")</f>
        <v xml:space="preserve"> </v>
      </c>
      <c r="K1384" s="1" t="str">
        <f>IF(B1384=0,VLOOKUP(A1384,Feuil2!$A$2:$M$1241,10,FALSE)," ")</f>
        <v xml:space="preserve"> </v>
      </c>
      <c r="L1384" s="1"/>
      <c r="M1384" s="1"/>
      <c r="N1384" s="1"/>
      <c r="O1384" s="8" t="str">
        <f>IF(B1384=0,VLOOKUP(A1384,Feuil2!$A$2:$M$1241,13,FALSE)," ")</f>
        <v xml:space="preserve"> </v>
      </c>
    </row>
    <row r="1385" spans="1:15" x14ac:dyDescent="0.3">
      <c r="A1385" s="1">
        <v>1831</v>
      </c>
      <c r="B1385" s="1">
        <v>4</v>
      </c>
      <c r="C1385" s="1" t="s">
        <v>147</v>
      </c>
      <c r="D1385" s="1" t="s">
        <v>89</v>
      </c>
      <c r="E1385" s="5">
        <v>41960</v>
      </c>
      <c r="F1385" s="1" t="s">
        <v>506</v>
      </c>
      <c r="G1385" s="1" t="str">
        <f>IF(B1385=0,VLOOKUP(A1385,Feuil2!$A$2:$M$1241,11,FALSE)," ")</f>
        <v xml:space="preserve"> </v>
      </c>
      <c r="H1385" s="1" t="s">
        <v>16</v>
      </c>
      <c r="I1385" s="6" t="str">
        <f>IF(B1385=0,VLOOKUP(A1385,Feuil2!$A$2:$M$1241,7,FALSE)," ")</f>
        <v xml:space="preserve"> </v>
      </c>
      <c r="J1385" s="1" t="str">
        <f>IF(B1385=0,VLOOKUP(A1385,Feuil2!$A$2:$M$1241,9,FALSE)," ")</f>
        <v xml:space="preserve"> </v>
      </c>
      <c r="K1385" s="1" t="str">
        <f>IF(B1385=0,VLOOKUP(A1385,Feuil2!$A$2:$M$1241,10,FALSE)," ")</f>
        <v xml:space="preserve"> </v>
      </c>
      <c r="L1385" s="1"/>
      <c r="M1385" s="1"/>
      <c r="N1385" s="1"/>
      <c r="O1385" s="8" t="str">
        <f>IF(B1385=0,VLOOKUP(A1385,Feuil2!$A$2:$M$1241,13,FALSE)," ")</f>
        <v xml:space="preserve"> </v>
      </c>
    </row>
    <row r="1386" spans="1:15" x14ac:dyDescent="0.3">
      <c r="A1386" s="1">
        <v>1831</v>
      </c>
      <c r="B1386" s="1">
        <v>5</v>
      </c>
      <c r="C1386" s="1" t="s">
        <v>147</v>
      </c>
      <c r="D1386" s="1" t="s">
        <v>2676</v>
      </c>
      <c r="E1386" s="5">
        <v>43195</v>
      </c>
      <c r="F1386" s="1" t="s">
        <v>506</v>
      </c>
      <c r="G1386" s="1" t="str">
        <f>IF(B1386=0,VLOOKUP(A1386,Feuil2!$A$2:$M$1241,11,FALSE)," ")</f>
        <v xml:space="preserve"> </v>
      </c>
      <c r="H1386" s="1" t="s">
        <v>16</v>
      </c>
      <c r="I1386" s="6" t="str">
        <f>IF(B1386=0,VLOOKUP(A1386,Feuil2!$A$2:$M$1241,7,FALSE)," ")</f>
        <v xml:space="preserve"> </v>
      </c>
      <c r="J1386" s="1" t="str">
        <f>IF(B1386=0,VLOOKUP(A1386,Feuil2!$A$2:$M$1241,9,FALSE)," ")</f>
        <v xml:space="preserve"> </v>
      </c>
      <c r="K1386" s="1" t="str">
        <f>IF(B1386=0,VLOOKUP(A1386,Feuil2!$A$2:$M$1241,10,FALSE)," ")</f>
        <v xml:space="preserve"> </v>
      </c>
      <c r="L1386" s="1"/>
      <c r="M1386" s="1"/>
      <c r="N1386" s="1"/>
      <c r="O1386" s="8" t="str">
        <f>IF(B1386=0,VLOOKUP(A1386,Feuil2!$A$2:$M$1241,13,FALSE)," ")</f>
        <v xml:space="preserve"> </v>
      </c>
    </row>
    <row r="1387" spans="1:15" x14ac:dyDescent="0.3">
      <c r="A1387" s="1">
        <v>1832</v>
      </c>
      <c r="B1387" s="1">
        <v>0</v>
      </c>
      <c r="C1387" s="1" t="str">
        <f>IF(B1387=0,VLOOKUP(A1387,Feuil2!$A$2:$M$1241,2,FALSE)," ")</f>
        <v>ERGUEZ</v>
      </c>
      <c r="D1387" s="1" t="str">
        <f>IF(B1387=0,VLOOKUP(A1387,Feuil2!$A$2:$M$1241,3,FALSE)," ")</f>
        <v>MEJDI</v>
      </c>
      <c r="E1387" s="5">
        <f>IF(B1387=0,VLOOKUP(A1387,Feuil2!$A$2:$M$1241,6,FALSE)," ")</f>
        <v>27332</v>
      </c>
      <c r="F1387" s="1" t="str">
        <f>IF(B1387=0,VLOOKUP(A1387,Feuil2!$A$2:$M$1241,12,FALSE)," ")</f>
        <v>H</v>
      </c>
      <c r="G1387" s="1" t="str">
        <f>IF(B1387=0,VLOOKUP(A1387,Feuil2!$A$2:$M$1241,11,FALSE)," ")</f>
        <v>M</v>
      </c>
      <c r="H1387" s="1" t="s">
        <v>16</v>
      </c>
      <c r="I1387" s="6">
        <f>IF(B1387=0,VLOOKUP(A1387,Feuil2!$A$2:$M$1241,7,FALSE)," ")</f>
        <v>5525343</v>
      </c>
      <c r="J1387" s="1" t="str">
        <f>IF(B1387=0,VLOOKUP(A1387,Feuil2!$A$2:$M$1241,9,FALSE)," ")</f>
        <v>Rue Ali Ben Ayed 4022</v>
      </c>
      <c r="K1387" s="1" t="str">
        <f>IF(B1387=0,VLOOKUP(A1387,Feuil2!$A$2:$M$1241,10,FALSE)," ")</f>
        <v>Akouda</v>
      </c>
      <c r="L1387" s="1"/>
      <c r="M1387" s="1">
        <v>98793626</v>
      </c>
      <c r="N1387" s="1"/>
      <c r="O1387" s="8" t="str">
        <f>IF(B1387=0,VLOOKUP(A1387,Feuil2!$A$2:$M$1241,13,FALSE)," ")</f>
        <v>03500020010110899370</v>
      </c>
    </row>
    <row r="1388" spans="1:15" x14ac:dyDescent="0.3">
      <c r="A1388" s="1">
        <v>1832</v>
      </c>
      <c r="B1388" s="1">
        <v>1</v>
      </c>
      <c r="C1388" s="1" t="s">
        <v>190</v>
      </c>
      <c r="D1388" s="1" t="s">
        <v>2694</v>
      </c>
      <c r="E1388" s="5">
        <v>28385</v>
      </c>
      <c r="F1388" s="1" t="s">
        <v>17</v>
      </c>
      <c r="G1388" s="1" t="s">
        <v>15</v>
      </c>
      <c r="H1388" s="1" t="s">
        <v>16</v>
      </c>
      <c r="I1388" s="6" t="str">
        <f>IF(B1388=0,VLOOKUP(A1388,Feuil2!$A$2:$M$1241,7,FALSE)," ")</f>
        <v xml:space="preserve"> </v>
      </c>
      <c r="J1388" s="1" t="str">
        <f>IF(B1388=0,VLOOKUP(A1388,Feuil2!$A$2:$M$1241,9,FALSE)," ")</f>
        <v xml:space="preserve"> </v>
      </c>
      <c r="K1388" s="1" t="str">
        <f>IF(B1388=0,VLOOKUP(A1388,Feuil2!$A$2:$M$1241,10,FALSE)," ")</f>
        <v xml:space="preserve"> </v>
      </c>
      <c r="L1388" s="1"/>
      <c r="M1388" s="1"/>
      <c r="N1388" s="1"/>
      <c r="O1388" s="8" t="str">
        <f>IF(B1388=0,VLOOKUP(A1388,Feuil2!$A$2:$M$1241,13,FALSE)," ")</f>
        <v xml:space="preserve"> </v>
      </c>
    </row>
    <row r="1389" spans="1:15" x14ac:dyDescent="0.3">
      <c r="A1389" s="1">
        <v>1832</v>
      </c>
      <c r="B1389" s="1">
        <v>2</v>
      </c>
      <c r="C1389" s="1" t="s">
        <v>396</v>
      </c>
      <c r="D1389" s="1" t="s">
        <v>2344</v>
      </c>
      <c r="E1389" s="5">
        <v>38013</v>
      </c>
      <c r="F1389" s="1" t="s">
        <v>17</v>
      </c>
      <c r="G1389" s="1" t="str">
        <f>IF(B1389=0,VLOOKUP(A1389,Feuil2!$A$2:$M$1241,11,FALSE)," ")</f>
        <v xml:space="preserve"> </v>
      </c>
      <c r="H1389" s="1" t="s">
        <v>16</v>
      </c>
      <c r="I1389" s="6" t="str">
        <f>IF(B1389=0,VLOOKUP(A1389,Feuil2!$A$2:$M$1241,7,FALSE)," ")</f>
        <v xml:space="preserve"> </v>
      </c>
      <c r="J1389" s="1" t="str">
        <f>IF(B1389=0,VLOOKUP(A1389,Feuil2!$A$2:$M$1241,9,FALSE)," ")</f>
        <v xml:space="preserve"> </v>
      </c>
      <c r="K1389" s="1" t="str">
        <f>IF(B1389=0,VLOOKUP(A1389,Feuil2!$A$2:$M$1241,10,FALSE)," ")</f>
        <v xml:space="preserve"> </v>
      </c>
      <c r="L1389" s="1"/>
      <c r="M1389" s="1"/>
      <c r="N1389" s="1"/>
      <c r="O1389" s="8" t="str">
        <f>IF(B1389=0,VLOOKUP(A1389,Feuil2!$A$2:$M$1241,13,FALSE)," ")</f>
        <v xml:space="preserve"> </v>
      </c>
    </row>
    <row r="1390" spans="1:15" x14ac:dyDescent="0.3">
      <c r="A1390" s="1">
        <v>1832</v>
      </c>
      <c r="B1390" s="1">
        <v>3</v>
      </c>
      <c r="C1390" s="1" t="s">
        <v>396</v>
      </c>
      <c r="D1390" s="1" t="s">
        <v>2720</v>
      </c>
      <c r="E1390" s="5">
        <v>39183</v>
      </c>
      <c r="F1390" s="1" t="s">
        <v>17</v>
      </c>
      <c r="G1390" s="1" t="str">
        <f>IF(B1390=0,VLOOKUP(A1390,Feuil2!$A$2:$M$1241,11,FALSE)," ")</f>
        <v xml:space="preserve"> </v>
      </c>
      <c r="H1390" s="1" t="s">
        <v>16</v>
      </c>
      <c r="I1390" s="6" t="str">
        <f>IF(B1390=0,VLOOKUP(A1390,Feuil2!$A$2:$M$1241,7,FALSE)," ")</f>
        <v xml:space="preserve"> </v>
      </c>
      <c r="J1390" s="1" t="str">
        <f>IF(B1390=0,VLOOKUP(A1390,Feuil2!$A$2:$M$1241,9,FALSE)," ")</f>
        <v xml:space="preserve"> </v>
      </c>
      <c r="K1390" s="1" t="str">
        <f>IF(B1390=0,VLOOKUP(A1390,Feuil2!$A$2:$M$1241,10,FALSE)," ")</f>
        <v xml:space="preserve"> </v>
      </c>
      <c r="L1390" s="1"/>
      <c r="M1390" s="1"/>
      <c r="N1390" s="1"/>
      <c r="O1390" s="8" t="str">
        <f>IF(B1390=0,VLOOKUP(A1390,Feuil2!$A$2:$M$1241,13,FALSE)," ")</f>
        <v xml:space="preserve"> </v>
      </c>
    </row>
    <row r="1391" spans="1:15" x14ac:dyDescent="0.3">
      <c r="A1391" s="1">
        <v>1832</v>
      </c>
      <c r="B1391" s="1">
        <v>4</v>
      </c>
      <c r="C1391" s="1" t="s">
        <v>396</v>
      </c>
      <c r="D1391" s="1" t="s">
        <v>2721</v>
      </c>
      <c r="E1391" s="5">
        <v>40536</v>
      </c>
      <c r="F1391" s="1" t="s">
        <v>506</v>
      </c>
      <c r="G1391" s="1" t="str">
        <f>IF(B1391=0,VLOOKUP(A1391,Feuil2!$A$2:$M$1241,11,FALSE)," ")</f>
        <v xml:space="preserve"> </v>
      </c>
      <c r="H1391" s="1" t="s">
        <v>16</v>
      </c>
      <c r="I1391" s="6" t="str">
        <f>IF(B1391=0,VLOOKUP(A1391,Feuil2!$A$2:$M$1241,7,FALSE)," ")</f>
        <v xml:space="preserve"> </v>
      </c>
      <c r="J1391" s="1" t="str">
        <f>IF(B1391=0,VLOOKUP(A1391,Feuil2!$A$2:$M$1241,9,FALSE)," ")</f>
        <v xml:space="preserve"> </v>
      </c>
      <c r="K1391" s="1" t="str">
        <f>IF(B1391=0,VLOOKUP(A1391,Feuil2!$A$2:$M$1241,10,FALSE)," ")</f>
        <v xml:space="preserve"> </v>
      </c>
      <c r="L1391" s="1"/>
      <c r="M1391" s="1"/>
      <c r="N1391" s="1"/>
      <c r="O1391" s="8" t="str">
        <f>IF(B1391=0,VLOOKUP(A1391,Feuil2!$A$2:$M$1241,13,FALSE)," ")</f>
        <v xml:space="preserve"> </v>
      </c>
    </row>
    <row r="1392" spans="1:15" x14ac:dyDescent="0.3">
      <c r="A1392" s="1">
        <v>1833</v>
      </c>
      <c r="B1392" s="1">
        <v>0</v>
      </c>
      <c r="C1392" s="1" t="str">
        <f>IF(B1392=0,VLOOKUP(A1392,Feuil2!$A$2:$M$1241,2,FALSE)," ")</f>
        <v>BOUZAABIA</v>
      </c>
      <c r="D1392" s="1" t="str">
        <f>IF(B1392=0,VLOOKUP(A1392,Feuil2!$A$2:$M$1241,3,FALSE)," ")</f>
        <v>MOHAMED</v>
      </c>
      <c r="E1392" s="5">
        <f>IF(B1392=0,VLOOKUP(A1392,Feuil2!$A$2:$M$1241,6,FALSE)," ")</f>
        <v>27994</v>
      </c>
      <c r="F1392" s="1" t="str">
        <f>IF(B1392=0,VLOOKUP(A1392,Feuil2!$A$2:$M$1241,12,FALSE)," ")</f>
        <v>H</v>
      </c>
      <c r="G1392" s="1" t="str">
        <f>IF(B1392=0,VLOOKUP(A1392,Feuil2!$A$2:$M$1241,11,FALSE)," ")</f>
        <v>M</v>
      </c>
      <c r="H1392" s="1" t="s">
        <v>16</v>
      </c>
      <c r="I1392" s="6">
        <f>IF(B1392=0,VLOOKUP(A1392,Feuil2!$A$2:$M$1241,7,FALSE)," ")</f>
        <v>5524332</v>
      </c>
      <c r="J1392" s="1" t="str">
        <f>IF(B1392=0,VLOOKUP(A1392,Feuil2!$A$2:$M$1241,9,FALSE)," ")</f>
        <v>Rue KHaled Ibn El Walid</v>
      </c>
      <c r="K1392" s="1" t="str">
        <f>IF(B1392=0,VLOOKUP(A1392,Feuil2!$A$2:$M$1241,10,FALSE)," ")</f>
        <v>Zaouit Sousse</v>
      </c>
      <c r="L1392" s="1"/>
      <c r="M1392" s="1">
        <v>98476001</v>
      </c>
      <c r="N1392" s="1"/>
      <c r="O1392" s="8" t="str">
        <f>IF(B1392=0,VLOOKUP(A1392,Feuil2!$A$2:$M$1241,13,FALSE)," ")</f>
        <v>04500043404003647937</v>
      </c>
    </row>
    <row r="1393" spans="1:15" x14ac:dyDescent="0.3">
      <c r="A1393" s="1">
        <v>1833</v>
      </c>
      <c r="B1393" s="1">
        <v>1</v>
      </c>
      <c r="C1393" s="1" t="s">
        <v>63</v>
      </c>
      <c r="D1393" s="1" t="s">
        <v>2219</v>
      </c>
      <c r="E1393" s="5">
        <v>32009</v>
      </c>
      <c r="F1393" s="1" t="s">
        <v>17</v>
      </c>
      <c r="G1393" s="1" t="s">
        <v>15</v>
      </c>
      <c r="H1393" s="1" t="s">
        <v>16</v>
      </c>
      <c r="I1393" s="6" t="str">
        <f>IF(B1393=0,VLOOKUP(A1393,Feuil2!$A$2:$M$1241,7,FALSE)," ")</f>
        <v xml:space="preserve"> </v>
      </c>
      <c r="J1393" s="1" t="str">
        <f>IF(B1393=0,VLOOKUP(A1393,Feuil2!$A$2:$M$1241,9,FALSE)," ")</f>
        <v xml:space="preserve"> </v>
      </c>
      <c r="K1393" s="1" t="str">
        <f>IF(B1393=0,VLOOKUP(A1393,Feuil2!$A$2:$M$1241,10,FALSE)," ")</f>
        <v xml:space="preserve"> </v>
      </c>
      <c r="L1393" s="1"/>
      <c r="M1393" s="1"/>
      <c r="N1393" s="1"/>
      <c r="O1393" s="8" t="str">
        <f>IF(B1393=0,VLOOKUP(A1393,Feuil2!$A$2:$M$1241,13,FALSE)," ")</f>
        <v xml:space="preserve"> </v>
      </c>
    </row>
    <row r="1394" spans="1:15" x14ac:dyDescent="0.3">
      <c r="A1394" s="1">
        <v>1833</v>
      </c>
      <c r="B1394" s="1">
        <v>2</v>
      </c>
      <c r="C1394" s="1" t="s">
        <v>1751</v>
      </c>
      <c r="D1394" s="1" t="s">
        <v>2345</v>
      </c>
      <c r="E1394" s="5">
        <v>39566</v>
      </c>
      <c r="F1394" s="1" t="s">
        <v>17</v>
      </c>
      <c r="G1394" s="1" t="str">
        <f>IF(B1394=0,VLOOKUP(A1394,Feuil2!$A$2:$M$1241,11,FALSE)," ")</f>
        <v xml:space="preserve"> </v>
      </c>
      <c r="H1394" s="1" t="s">
        <v>16</v>
      </c>
      <c r="I1394" s="6" t="str">
        <f>IF(B1394=0,VLOOKUP(A1394,Feuil2!$A$2:$M$1241,7,FALSE)," ")</f>
        <v xml:space="preserve"> </v>
      </c>
      <c r="J1394" s="1" t="str">
        <f>IF(B1394=0,VLOOKUP(A1394,Feuil2!$A$2:$M$1241,9,FALSE)," ")</f>
        <v xml:space="preserve"> </v>
      </c>
      <c r="K1394" s="1" t="str">
        <f>IF(B1394=0,VLOOKUP(A1394,Feuil2!$A$2:$M$1241,10,FALSE)," ")</f>
        <v xml:space="preserve"> </v>
      </c>
      <c r="L1394" s="1"/>
      <c r="M1394" s="1"/>
      <c r="N1394" s="1"/>
      <c r="O1394" s="8" t="str">
        <f>IF(B1394=0,VLOOKUP(A1394,Feuil2!$A$2:$M$1241,13,FALSE)," ")</f>
        <v xml:space="preserve"> </v>
      </c>
    </row>
    <row r="1395" spans="1:15" x14ac:dyDescent="0.3">
      <c r="A1395" s="1">
        <v>1833</v>
      </c>
      <c r="B1395" s="1">
        <v>3</v>
      </c>
      <c r="C1395" s="1" t="s">
        <v>1751</v>
      </c>
      <c r="D1395" s="1" t="s">
        <v>2613</v>
      </c>
      <c r="E1395" s="5">
        <v>40930</v>
      </c>
      <c r="F1395" s="1" t="s">
        <v>17</v>
      </c>
      <c r="G1395" s="1" t="str">
        <f>IF(B1395=0,VLOOKUP(A1395,Feuil2!$A$2:$M$1241,11,FALSE)," ")</f>
        <v xml:space="preserve"> </v>
      </c>
      <c r="H1395" s="1" t="s">
        <v>16</v>
      </c>
      <c r="I1395" s="6" t="str">
        <f>IF(B1395=0,VLOOKUP(A1395,Feuil2!$A$2:$M$1241,7,FALSE)," ")</f>
        <v xml:space="preserve"> </v>
      </c>
      <c r="J1395" s="1" t="str">
        <f>IF(B1395=0,VLOOKUP(A1395,Feuil2!$A$2:$M$1241,9,FALSE)," ")</f>
        <v xml:space="preserve"> </v>
      </c>
      <c r="K1395" s="1" t="str">
        <f>IF(B1395=0,VLOOKUP(A1395,Feuil2!$A$2:$M$1241,10,FALSE)," ")</f>
        <v xml:space="preserve"> </v>
      </c>
      <c r="L1395" s="1"/>
      <c r="M1395" s="1"/>
      <c r="N1395" s="1"/>
      <c r="O1395" s="8" t="str">
        <f>IF(B1395=0,VLOOKUP(A1395,Feuil2!$A$2:$M$1241,13,FALSE)," ")</f>
        <v xml:space="preserve"> </v>
      </c>
    </row>
    <row r="1396" spans="1:15" x14ac:dyDescent="0.3">
      <c r="A1396" s="1">
        <v>1833</v>
      </c>
      <c r="B1396" s="1">
        <v>4</v>
      </c>
      <c r="C1396" s="1" t="s">
        <v>1751</v>
      </c>
      <c r="D1396" s="1" t="s">
        <v>2367</v>
      </c>
      <c r="E1396" s="5">
        <v>43151</v>
      </c>
      <c r="F1396" s="1" t="s">
        <v>17</v>
      </c>
      <c r="G1396" s="1" t="str">
        <f>IF(B1396=0,VLOOKUP(A1396,Feuil2!$A$2:$M$1241,11,FALSE)," ")</f>
        <v xml:space="preserve"> </v>
      </c>
      <c r="H1396" s="1" t="s">
        <v>16</v>
      </c>
      <c r="I1396" s="6" t="str">
        <f>IF(B1396=0,VLOOKUP(A1396,Feuil2!$A$2:$M$1241,7,FALSE)," ")</f>
        <v xml:space="preserve"> </v>
      </c>
      <c r="J1396" s="1" t="str">
        <f>IF(B1396=0,VLOOKUP(A1396,Feuil2!$A$2:$M$1241,9,FALSE)," ")</f>
        <v xml:space="preserve"> </v>
      </c>
      <c r="K1396" s="1" t="str">
        <f>IF(B1396=0,VLOOKUP(A1396,Feuil2!$A$2:$M$1241,10,FALSE)," ")</f>
        <v xml:space="preserve"> </v>
      </c>
      <c r="L1396" s="1"/>
      <c r="M1396" s="1"/>
      <c r="N1396" s="1"/>
      <c r="O1396" s="8" t="str">
        <f>IF(B1396=0,VLOOKUP(A1396,Feuil2!$A$2:$M$1241,13,FALSE)," ")</f>
        <v xml:space="preserve"> </v>
      </c>
    </row>
    <row r="1397" spans="1:15" x14ac:dyDescent="0.3">
      <c r="A1397" s="1">
        <v>1835</v>
      </c>
      <c r="B1397" s="1">
        <v>0</v>
      </c>
      <c r="C1397" s="1" t="str">
        <f>IF(B1397=0,VLOOKUP(A1397,Feuil2!$A$2:$M$1241,2,FALSE)," ")</f>
        <v>KRIFA</v>
      </c>
      <c r="D1397" s="1" t="str">
        <f>IF(B1397=0,VLOOKUP(A1397,Feuil2!$A$2:$M$1241,3,FALSE)," ")</f>
        <v>MOHAMED KAMEL</v>
      </c>
      <c r="E1397" s="5">
        <f>IF(B1397=0,VLOOKUP(A1397,Feuil2!$A$2:$M$1241,6,FALSE)," ")</f>
        <v>28242</v>
      </c>
      <c r="F1397" s="1" t="str">
        <f>IF(B1397=0,VLOOKUP(A1397,Feuil2!$A$2:$M$1241,12,FALSE)," ")</f>
        <v>H</v>
      </c>
      <c r="G1397" s="1" t="str">
        <f>IF(B1397=0,VLOOKUP(A1397,Feuil2!$A$2:$M$1241,11,FALSE)," ")</f>
        <v>M</v>
      </c>
      <c r="H1397" s="1" t="s">
        <v>16</v>
      </c>
      <c r="I1397" s="6">
        <f>IF(B1397=0,VLOOKUP(A1397,Feuil2!$A$2:$M$1241,7,FALSE)," ")</f>
        <v>5563132</v>
      </c>
      <c r="J1397" s="1" t="str">
        <f>IF(B1397=0,VLOOKUP(A1397,Feuil2!$A$2:$M$1241,9,FALSE)," ")</f>
        <v>CitÃ© Ibn Khouldoun</v>
      </c>
      <c r="K1397" s="1" t="str">
        <f>IF(B1397=0,VLOOKUP(A1397,Feuil2!$A$2:$M$1241,10,FALSE)," ")</f>
        <v>Msaken 4070</v>
      </c>
      <c r="L1397" s="1">
        <v>4070</v>
      </c>
      <c r="M1397" s="1">
        <v>25210470</v>
      </c>
      <c r="N1397" s="1"/>
      <c r="O1397" s="8" t="str">
        <f>IF(B1397=0,VLOOKUP(A1397,Feuil2!$A$2:$M$1241,13,FALSE)," ")</f>
        <v>10506040205813378815</v>
      </c>
    </row>
    <row r="1398" spans="1:15" x14ac:dyDescent="0.3">
      <c r="A1398" s="1">
        <v>1835</v>
      </c>
      <c r="B1398" s="1">
        <v>1</v>
      </c>
      <c r="C1398" s="1" t="s">
        <v>174</v>
      </c>
      <c r="D1398" s="1" t="s">
        <v>2327</v>
      </c>
      <c r="E1398" s="5">
        <v>32531</v>
      </c>
      <c r="F1398" s="1" t="s">
        <v>17</v>
      </c>
      <c r="G1398" s="1" t="s">
        <v>15</v>
      </c>
      <c r="H1398" s="1" t="s">
        <v>16</v>
      </c>
      <c r="I1398" s="6" t="str">
        <f>IF(B1398=0,VLOOKUP(A1398,Feuil2!$A$2:$M$1241,7,FALSE)," ")</f>
        <v xml:space="preserve"> </v>
      </c>
      <c r="J1398" s="1" t="str">
        <f>IF(B1398=0,VLOOKUP(A1398,Feuil2!$A$2:$M$1241,9,FALSE)," ")</f>
        <v xml:space="preserve"> </v>
      </c>
      <c r="K1398" s="1" t="str">
        <f>IF(B1398=0,VLOOKUP(A1398,Feuil2!$A$2:$M$1241,10,FALSE)," ")</f>
        <v xml:space="preserve"> </v>
      </c>
      <c r="L1398" s="1"/>
      <c r="M1398" s="1"/>
      <c r="N1398" s="1"/>
      <c r="O1398" s="8" t="str">
        <f>IF(B1398=0,VLOOKUP(A1398,Feuil2!$A$2:$M$1241,13,FALSE)," ")</f>
        <v xml:space="preserve"> </v>
      </c>
    </row>
    <row r="1399" spans="1:15" x14ac:dyDescent="0.3">
      <c r="A1399" s="1">
        <v>1835</v>
      </c>
      <c r="B1399" s="1">
        <v>2</v>
      </c>
      <c r="C1399" s="1" t="s">
        <v>227</v>
      </c>
      <c r="D1399" s="1" t="s">
        <v>2722</v>
      </c>
      <c r="E1399" s="5">
        <v>39589</v>
      </c>
      <c r="F1399" s="1" t="s">
        <v>506</v>
      </c>
      <c r="G1399" s="1" t="str">
        <f>IF(B1399=0,VLOOKUP(A1399,Feuil2!$A$2:$M$1241,11,FALSE)," ")</f>
        <v xml:space="preserve"> </v>
      </c>
      <c r="H1399" s="1" t="s">
        <v>16</v>
      </c>
      <c r="I1399" s="6" t="str">
        <f>IF(B1399=0,VLOOKUP(A1399,Feuil2!$A$2:$M$1241,7,FALSE)," ")</f>
        <v xml:space="preserve"> </v>
      </c>
      <c r="J1399" s="1" t="str">
        <f>IF(B1399=0,VLOOKUP(A1399,Feuil2!$A$2:$M$1241,9,FALSE)," ")</f>
        <v xml:space="preserve"> </v>
      </c>
      <c r="K1399" s="1" t="str">
        <f>IF(B1399=0,VLOOKUP(A1399,Feuil2!$A$2:$M$1241,10,FALSE)," ")</f>
        <v xml:space="preserve"> </v>
      </c>
      <c r="L1399" s="1"/>
      <c r="M1399" s="1"/>
      <c r="N1399" s="1"/>
      <c r="O1399" s="8" t="str">
        <f>IF(B1399=0,VLOOKUP(A1399,Feuil2!$A$2:$M$1241,13,FALSE)," ")</f>
        <v xml:space="preserve"> </v>
      </c>
    </row>
    <row r="1400" spans="1:15" x14ac:dyDescent="0.3">
      <c r="A1400" s="1">
        <v>1835</v>
      </c>
      <c r="B1400" s="1">
        <v>3</v>
      </c>
      <c r="C1400" s="1" t="s">
        <v>227</v>
      </c>
      <c r="D1400" s="1" t="s">
        <v>149</v>
      </c>
      <c r="E1400" s="5">
        <v>42237</v>
      </c>
      <c r="F1400" s="1" t="s">
        <v>506</v>
      </c>
      <c r="G1400" s="1" t="str">
        <f>IF(B1400=0,VLOOKUP(A1400,Feuil2!$A$2:$M$1241,11,FALSE)," ")</f>
        <v xml:space="preserve"> </v>
      </c>
      <c r="H1400" s="1" t="s">
        <v>16</v>
      </c>
      <c r="I1400" s="6" t="str">
        <f>IF(B1400=0,VLOOKUP(A1400,Feuil2!$A$2:$M$1241,7,FALSE)," ")</f>
        <v xml:space="preserve"> </v>
      </c>
      <c r="J1400" s="1" t="str">
        <f>IF(B1400=0,VLOOKUP(A1400,Feuil2!$A$2:$M$1241,9,FALSE)," ")</f>
        <v xml:space="preserve"> </v>
      </c>
      <c r="K1400" s="1" t="str">
        <f>IF(B1400=0,VLOOKUP(A1400,Feuil2!$A$2:$M$1241,10,FALSE)," ")</f>
        <v xml:space="preserve"> </v>
      </c>
      <c r="L1400" s="1"/>
      <c r="M1400" s="1"/>
      <c r="N1400" s="1"/>
      <c r="O1400" s="8" t="str">
        <f>IF(B1400=0,VLOOKUP(A1400,Feuil2!$A$2:$M$1241,13,FALSE)," ")</f>
        <v xml:space="preserve"> </v>
      </c>
    </row>
    <row r="1401" spans="1:15" x14ac:dyDescent="0.3">
      <c r="A1401" s="1">
        <v>1835</v>
      </c>
      <c r="B1401" s="1">
        <v>4</v>
      </c>
      <c r="C1401" s="1" t="s">
        <v>227</v>
      </c>
      <c r="D1401" s="1" t="s">
        <v>2423</v>
      </c>
      <c r="E1401" s="5">
        <v>42676</v>
      </c>
      <c r="F1401" s="1" t="s">
        <v>506</v>
      </c>
      <c r="G1401" s="1" t="str">
        <f>IF(B1401=0,VLOOKUP(A1401,Feuil2!$A$2:$M$1241,11,FALSE)," ")</f>
        <v xml:space="preserve"> </v>
      </c>
      <c r="H1401" s="1" t="s">
        <v>16</v>
      </c>
      <c r="I1401" s="6" t="str">
        <f>IF(B1401=0,VLOOKUP(A1401,Feuil2!$A$2:$M$1241,7,FALSE)," ")</f>
        <v xml:space="preserve"> </v>
      </c>
      <c r="J1401" s="1" t="str">
        <f>IF(B1401=0,VLOOKUP(A1401,Feuil2!$A$2:$M$1241,9,FALSE)," ")</f>
        <v xml:space="preserve"> </v>
      </c>
      <c r="K1401" s="1" t="str">
        <f>IF(B1401=0,VLOOKUP(A1401,Feuil2!$A$2:$M$1241,10,FALSE)," ")</f>
        <v xml:space="preserve"> </v>
      </c>
      <c r="L1401" s="1"/>
      <c r="M1401" s="1"/>
      <c r="N1401" s="1"/>
      <c r="O1401" s="8" t="str">
        <f>IF(B1401=0,VLOOKUP(A1401,Feuil2!$A$2:$M$1241,13,FALSE)," ")</f>
        <v xml:space="preserve"> </v>
      </c>
    </row>
    <row r="1402" spans="1:15" x14ac:dyDescent="0.3">
      <c r="A1402" s="1">
        <v>1837</v>
      </c>
      <c r="B1402" s="1">
        <v>0</v>
      </c>
      <c r="C1402" s="1" t="str">
        <f>IF(B1402=0,VLOOKUP(A1402,Feuil2!$A$2:$M$1241,2,FALSE)," ")</f>
        <v>SLAMA</v>
      </c>
      <c r="D1402" s="1" t="str">
        <f>IF(B1402=0,VLOOKUP(A1402,Feuil2!$A$2:$M$1241,3,FALSE)," ")</f>
        <v>SALEM</v>
      </c>
      <c r="E1402" s="5">
        <f>IF(B1402=0,VLOOKUP(A1402,Feuil2!$A$2:$M$1241,6,FALSE)," ")</f>
        <v>27765</v>
      </c>
      <c r="F1402" s="1" t="str">
        <f>IF(B1402=0,VLOOKUP(A1402,Feuil2!$A$2:$M$1241,12,FALSE)," ")</f>
        <v>H</v>
      </c>
      <c r="G1402" s="1" t="str">
        <f>IF(B1402=0,VLOOKUP(A1402,Feuil2!$A$2:$M$1241,11,FALSE)," ")</f>
        <v>M</v>
      </c>
      <c r="H1402" s="1" t="s">
        <v>16</v>
      </c>
      <c r="I1402" s="6">
        <f>IF(B1402=0,VLOOKUP(A1402,Feuil2!$A$2:$M$1241,7,FALSE)," ")</f>
        <v>5538930</v>
      </c>
      <c r="J1402" s="1" t="str">
        <f>IF(B1402=0,VLOOKUP(A1402,Feuil2!$A$2:$M$1241,9,FALSE)," ")</f>
        <v>Rue Ali Belhouane</v>
      </c>
      <c r="K1402" s="1" t="str">
        <f>IF(B1402=0,VLOOKUP(A1402,Feuil2!$A$2:$M$1241,10,FALSE)," ")</f>
        <v>Kalaa Kebira</v>
      </c>
      <c r="L1402" s="1"/>
      <c r="M1402" s="1">
        <v>98783253</v>
      </c>
      <c r="N1402" s="1"/>
      <c r="O1402" s="8" t="str">
        <f>IF(B1402=0,VLOOKUP(A1402,Feuil2!$A$2:$M$1241,13,FALSE)," ")</f>
        <v>04014102404002044047</v>
      </c>
    </row>
    <row r="1403" spans="1:15" x14ac:dyDescent="0.3">
      <c r="A1403" s="1">
        <v>1837</v>
      </c>
      <c r="B1403" s="1">
        <v>1</v>
      </c>
      <c r="C1403" s="1" t="s">
        <v>2723</v>
      </c>
      <c r="D1403" s="1" t="s">
        <v>402</v>
      </c>
      <c r="E1403" s="5">
        <v>29617</v>
      </c>
      <c r="F1403" s="1" t="s">
        <v>17</v>
      </c>
      <c r="G1403" s="1" t="s">
        <v>15</v>
      </c>
      <c r="H1403" s="1" t="s">
        <v>16</v>
      </c>
      <c r="I1403" s="6" t="str">
        <f>IF(B1403=0,VLOOKUP(A1403,Feuil2!$A$2:$M$1241,7,FALSE)," ")</f>
        <v xml:space="preserve"> </v>
      </c>
      <c r="J1403" s="1" t="str">
        <f>IF(B1403=0,VLOOKUP(A1403,Feuil2!$A$2:$M$1241,9,FALSE)," ")</f>
        <v xml:space="preserve"> </v>
      </c>
      <c r="K1403" s="1" t="str">
        <f>IF(B1403=0,VLOOKUP(A1403,Feuil2!$A$2:$M$1241,10,FALSE)," ")</f>
        <v xml:space="preserve"> </v>
      </c>
      <c r="L1403" s="1"/>
      <c r="M1403" s="1"/>
      <c r="N1403" s="1"/>
      <c r="O1403" s="8" t="str">
        <f>IF(B1403=0,VLOOKUP(A1403,Feuil2!$A$2:$M$1241,13,FALSE)," ")</f>
        <v xml:space="preserve"> </v>
      </c>
    </row>
    <row r="1404" spans="1:15" x14ac:dyDescent="0.3">
      <c r="A1404" s="1">
        <v>1837</v>
      </c>
      <c r="B1404" s="1">
        <v>2</v>
      </c>
      <c r="C1404" s="1" t="s">
        <v>111</v>
      </c>
      <c r="D1404" s="1" t="s">
        <v>89</v>
      </c>
      <c r="E1404" s="5">
        <v>41110</v>
      </c>
      <c r="F1404" s="1" t="s">
        <v>506</v>
      </c>
      <c r="G1404" s="1" t="str">
        <f>IF(B1404=0,VLOOKUP(A1404,Feuil2!$A$2:$M$1241,11,FALSE)," ")</f>
        <v xml:space="preserve"> </v>
      </c>
      <c r="H1404" s="1" t="s">
        <v>16</v>
      </c>
      <c r="I1404" s="6" t="str">
        <f>IF(B1404=0,VLOOKUP(A1404,Feuil2!$A$2:$M$1241,7,FALSE)," ")</f>
        <v xml:space="preserve"> </v>
      </c>
      <c r="J1404" s="1" t="str">
        <f>IF(B1404=0,VLOOKUP(A1404,Feuil2!$A$2:$M$1241,9,FALSE)," ")</f>
        <v xml:space="preserve"> </v>
      </c>
      <c r="K1404" s="1" t="str">
        <f>IF(B1404=0,VLOOKUP(A1404,Feuil2!$A$2:$M$1241,10,FALSE)," ")</f>
        <v xml:space="preserve"> </v>
      </c>
      <c r="L1404" s="1"/>
      <c r="M1404" s="1"/>
      <c r="N1404" s="1"/>
      <c r="O1404" s="8" t="str">
        <f>IF(B1404=0,VLOOKUP(A1404,Feuil2!$A$2:$M$1241,13,FALSE)," ")</f>
        <v xml:space="preserve"> </v>
      </c>
    </row>
    <row r="1405" spans="1:15" x14ac:dyDescent="0.3">
      <c r="A1405" s="1">
        <v>1837</v>
      </c>
      <c r="B1405" s="1">
        <v>3</v>
      </c>
      <c r="C1405" s="1" t="s">
        <v>111</v>
      </c>
      <c r="D1405" s="1" t="s">
        <v>2501</v>
      </c>
      <c r="E1405" s="5">
        <v>42738</v>
      </c>
      <c r="F1405" s="1" t="str">
        <f>IF(B1405=0,VLOOKUP(A1405,Feuil2!$A$2:$M$1241,12,FALSE)," ")</f>
        <v xml:space="preserve"> </v>
      </c>
      <c r="G1405" s="1" t="str">
        <f>IF(B1405=0,VLOOKUP(A1405,Feuil2!$A$2:$M$1241,11,FALSE)," ")</f>
        <v xml:space="preserve"> </v>
      </c>
      <c r="H1405" s="1" t="s">
        <v>16</v>
      </c>
      <c r="I1405" s="6" t="str">
        <f>IF(B1405=0,VLOOKUP(A1405,Feuil2!$A$2:$M$1241,7,FALSE)," ")</f>
        <v xml:space="preserve"> </v>
      </c>
      <c r="J1405" s="1" t="str">
        <f>IF(B1405=0,VLOOKUP(A1405,Feuil2!$A$2:$M$1241,9,FALSE)," ")</f>
        <v xml:space="preserve"> </v>
      </c>
      <c r="K1405" s="1" t="str">
        <f>IF(B1405=0,VLOOKUP(A1405,Feuil2!$A$2:$M$1241,10,FALSE)," ")</f>
        <v xml:space="preserve"> </v>
      </c>
      <c r="L1405" s="1"/>
      <c r="M1405" s="1"/>
      <c r="N1405" s="1"/>
      <c r="O1405" s="8" t="str">
        <f>IF(B1405=0,VLOOKUP(A1405,Feuil2!$A$2:$M$1241,13,FALSE)," ")</f>
        <v xml:space="preserve"> </v>
      </c>
    </row>
    <row r="1406" spans="1:15" x14ac:dyDescent="0.3">
      <c r="A1406" s="1">
        <v>1839</v>
      </c>
      <c r="B1406" s="1">
        <v>0</v>
      </c>
      <c r="C1406" s="1" t="str">
        <f>IF(B1406=0,VLOOKUP(A1406,Feuil2!$A$2:$M$1241,2,FALSE)," ")</f>
        <v>TERZEGUE</v>
      </c>
      <c r="D1406" s="1" t="str">
        <f>IF(B1406=0,VLOOKUP(A1406,Feuil2!$A$2:$M$1241,3,FALSE)," ")</f>
        <v>FERID</v>
      </c>
      <c r="E1406" s="5">
        <f>IF(B1406=0,VLOOKUP(A1406,Feuil2!$A$2:$M$1241,6,FALSE)," ")</f>
        <v>29586</v>
      </c>
      <c r="F1406" s="1" t="str">
        <f>IF(B1406=0,VLOOKUP(A1406,Feuil2!$A$2:$M$1241,12,FALSE)," ")</f>
        <v>H</v>
      </c>
      <c r="G1406" s="1" t="str">
        <f>IF(B1406=0,VLOOKUP(A1406,Feuil2!$A$2:$M$1241,11,FALSE)," ")</f>
        <v>M</v>
      </c>
      <c r="H1406" s="1" t="s">
        <v>16</v>
      </c>
      <c r="I1406" s="6">
        <f>IF(B1406=0,VLOOKUP(A1406,Feuil2!$A$2:$M$1241,7,FALSE)," ")</f>
        <v>5597311</v>
      </c>
      <c r="J1406" s="1" t="str">
        <f>IF(B1406=0,VLOOKUP(A1406,Feuil2!$A$2:$M$1241,9,FALSE)," ")</f>
        <v>Rue Sidi Bel Hassen</v>
      </c>
      <c r="K1406" s="1" t="str">
        <f>IF(B1406=0,VLOOKUP(A1406,Feuil2!$A$2:$M$1241,10,FALSE)," ")</f>
        <v>Msaken 4070</v>
      </c>
      <c r="L1406" s="1">
        <v>4070</v>
      </c>
      <c r="M1406" s="1">
        <v>28539831</v>
      </c>
      <c r="N1406" s="1"/>
      <c r="O1406" s="8" t="str">
        <f>IF(B1406=0,VLOOKUP(A1406,Feuil2!$A$2:$M$1241,13,FALSE)," ")</f>
        <v>04204067000953931383</v>
      </c>
    </row>
    <row r="1407" spans="1:15" x14ac:dyDescent="0.3">
      <c r="A1407" s="1">
        <v>1839</v>
      </c>
      <c r="B1407" s="1">
        <v>1</v>
      </c>
      <c r="C1407" s="1" t="s">
        <v>227</v>
      </c>
      <c r="D1407" s="1" t="s">
        <v>404</v>
      </c>
      <c r="E1407" s="5">
        <v>31000</v>
      </c>
      <c r="F1407" s="1" t="s">
        <v>17</v>
      </c>
      <c r="G1407" s="1" t="str">
        <f>IF(B1407=0,VLOOKUP(A1407,Feuil2!$A$2:$M$1241,11,FALSE)," ")</f>
        <v xml:space="preserve"> </v>
      </c>
      <c r="H1407" s="1" t="s">
        <v>16</v>
      </c>
      <c r="I1407" s="6" t="str">
        <f>IF(B1407=0,VLOOKUP(A1407,Feuil2!$A$2:$M$1241,7,FALSE)," ")</f>
        <v xml:space="preserve"> </v>
      </c>
      <c r="J1407" s="1" t="str">
        <f>IF(B1407=0,VLOOKUP(A1407,Feuil2!$A$2:$M$1241,9,FALSE)," ")</f>
        <v xml:space="preserve"> </v>
      </c>
      <c r="K1407" s="1" t="str">
        <f>IF(B1407=0,VLOOKUP(A1407,Feuil2!$A$2:$M$1241,10,FALSE)," ")</f>
        <v xml:space="preserve"> </v>
      </c>
      <c r="L1407" s="1"/>
      <c r="M1407" s="1"/>
      <c r="N1407" s="1"/>
      <c r="O1407" s="8" t="str">
        <f>IF(B1407=0,VLOOKUP(A1407,Feuil2!$A$2:$M$1241,13,FALSE)," ")</f>
        <v xml:space="preserve"> </v>
      </c>
    </row>
    <row r="1408" spans="1:15" x14ac:dyDescent="0.3">
      <c r="A1408" s="1">
        <v>1839</v>
      </c>
      <c r="B1408" s="1">
        <v>2</v>
      </c>
      <c r="C1408" s="1" t="s">
        <v>1758</v>
      </c>
      <c r="D1408" s="1" t="s">
        <v>346</v>
      </c>
      <c r="E1408" s="5">
        <v>40038</v>
      </c>
      <c r="F1408" s="1" t="s">
        <v>506</v>
      </c>
      <c r="G1408" s="1" t="str">
        <f>IF(B1408=0,VLOOKUP(A1408,Feuil2!$A$2:$M$1241,11,FALSE)," ")</f>
        <v xml:space="preserve"> </v>
      </c>
      <c r="H1408" s="1" t="s">
        <v>16</v>
      </c>
      <c r="I1408" s="6" t="str">
        <f>IF(B1408=0,VLOOKUP(A1408,Feuil2!$A$2:$M$1241,7,FALSE)," ")</f>
        <v xml:space="preserve"> </v>
      </c>
      <c r="J1408" s="1" t="str">
        <f>IF(B1408=0,VLOOKUP(A1408,Feuil2!$A$2:$M$1241,9,FALSE)," ")</f>
        <v xml:space="preserve"> </v>
      </c>
      <c r="K1408" s="1" t="str">
        <f>IF(B1408=0,VLOOKUP(A1408,Feuil2!$A$2:$M$1241,10,FALSE)," ")</f>
        <v xml:space="preserve"> </v>
      </c>
      <c r="L1408" s="1"/>
      <c r="M1408" s="1"/>
      <c r="N1408" s="1"/>
      <c r="O1408" s="8" t="str">
        <f>IF(B1408=0,VLOOKUP(A1408,Feuil2!$A$2:$M$1241,13,FALSE)," ")</f>
        <v xml:space="preserve"> </v>
      </c>
    </row>
    <row r="1409" spans="1:15" x14ac:dyDescent="0.3">
      <c r="A1409" s="1">
        <v>1839</v>
      </c>
      <c r="B1409" s="1">
        <v>3</v>
      </c>
      <c r="C1409" s="1" t="s">
        <v>1758</v>
      </c>
      <c r="D1409" s="1" t="s">
        <v>2451</v>
      </c>
      <c r="E1409" s="5">
        <v>40038</v>
      </c>
      <c r="F1409" s="1" t="s">
        <v>17</v>
      </c>
      <c r="G1409" s="1" t="str">
        <f>IF(B1409=0,VLOOKUP(A1409,Feuil2!$A$2:$M$1241,11,FALSE)," ")</f>
        <v xml:space="preserve"> </v>
      </c>
      <c r="H1409" s="1" t="s">
        <v>16</v>
      </c>
      <c r="I1409" s="6" t="str">
        <f>IF(B1409=0,VLOOKUP(A1409,Feuil2!$A$2:$M$1241,7,FALSE)," ")</f>
        <v xml:space="preserve"> </v>
      </c>
      <c r="J1409" s="1" t="str">
        <f>IF(B1409=0,VLOOKUP(A1409,Feuil2!$A$2:$M$1241,9,FALSE)," ")</f>
        <v xml:space="preserve"> </v>
      </c>
      <c r="K1409" s="1" t="str">
        <f>IF(B1409=0,VLOOKUP(A1409,Feuil2!$A$2:$M$1241,10,FALSE)," ")</f>
        <v xml:space="preserve"> </v>
      </c>
      <c r="L1409" s="1"/>
      <c r="M1409" s="1"/>
      <c r="N1409" s="1"/>
      <c r="O1409" s="8" t="str">
        <f>IF(B1409=0,VLOOKUP(A1409,Feuil2!$A$2:$M$1241,13,FALSE)," ")</f>
        <v xml:space="preserve"> </v>
      </c>
    </row>
    <row r="1410" spans="1:15" x14ac:dyDescent="0.3">
      <c r="A1410" s="1">
        <v>1839</v>
      </c>
      <c r="B1410" s="1">
        <v>4</v>
      </c>
      <c r="C1410" s="1" t="s">
        <v>1758</v>
      </c>
      <c r="D1410" s="1" t="s">
        <v>2376</v>
      </c>
      <c r="E1410" s="5">
        <v>40038</v>
      </c>
      <c r="F1410" s="1" t="s">
        <v>506</v>
      </c>
      <c r="G1410" s="1" t="str">
        <f>IF(B1410=0,VLOOKUP(A1410,Feuil2!$A$2:$M$1241,11,FALSE)," ")</f>
        <v xml:space="preserve"> </v>
      </c>
      <c r="H1410" s="1" t="s">
        <v>16</v>
      </c>
      <c r="I1410" s="6" t="str">
        <f>IF(B1410=0,VLOOKUP(A1410,Feuil2!$A$2:$M$1241,7,FALSE)," ")</f>
        <v xml:space="preserve"> </v>
      </c>
      <c r="J1410" s="1" t="str">
        <f>IF(B1410=0,VLOOKUP(A1410,Feuil2!$A$2:$M$1241,9,FALSE)," ")</f>
        <v xml:space="preserve"> </v>
      </c>
      <c r="K1410" s="1" t="str">
        <f>IF(B1410=0,VLOOKUP(A1410,Feuil2!$A$2:$M$1241,10,FALSE)," ")</f>
        <v xml:space="preserve"> </v>
      </c>
      <c r="L1410" s="1"/>
      <c r="M1410" s="1"/>
      <c r="N1410" s="1"/>
      <c r="O1410" s="8" t="str">
        <f>IF(B1410=0,VLOOKUP(A1410,Feuil2!$A$2:$M$1241,13,FALSE)," ")</f>
        <v xml:space="preserve"> </v>
      </c>
    </row>
    <row r="1411" spans="1:15" x14ac:dyDescent="0.3">
      <c r="A1411" s="1">
        <v>1839</v>
      </c>
      <c r="B1411" s="1">
        <v>5</v>
      </c>
      <c r="C1411" s="1" t="s">
        <v>1758</v>
      </c>
      <c r="D1411" s="1" t="s">
        <v>2338</v>
      </c>
      <c r="E1411" s="5">
        <v>41579</v>
      </c>
      <c r="F1411" s="1" t="s">
        <v>17</v>
      </c>
      <c r="G1411" s="1" t="str">
        <f>IF(B1411=0,VLOOKUP(A1411,Feuil2!$A$2:$M$1241,11,FALSE)," ")</f>
        <v xml:space="preserve"> </v>
      </c>
      <c r="H1411" s="1" t="s">
        <v>16</v>
      </c>
      <c r="I1411" s="6" t="str">
        <f>IF(B1411=0,VLOOKUP(A1411,Feuil2!$A$2:$M$1241,7,FALSE)," ")</f>
        <v xml:space="preserve"> </v>
      </c>
      <c r="J1411" s="1" t="str">
        <f>IF(B1411=0,VLOOKUP(A1411,Feuil2!$A$2:$M$1241,9,FALSE)," ")</f>
        <v xml:space="preserve"> </v>
      </c>
      <c r="K1411" s="1" t="str">
        <f>IF(B1411=0,VLOOKUP(A1411,Feuil2!$A$2:$M$1241,10,FALSE)," ")</f>
        <v xml:space="preserve"> </v>
      </c>
      <c r="L1411" s="1"/>
      <c r="M1411" s="1"/>
      <c r="N1411" s="1"/>
      <c r="O1411" s="8" t="str">
        <f>IF(B1411=0,VLOOKUP(A1411,Feuil2!$A$2:$M$1241,13,FALSE)," ")</f>
        <v xml:space="preserve"> </v>
      </c>
    </row>
    <row r="1412" spans="1:15" x14ac:dyDescent="0.3">
      <c r="A1412" s="1">
        <v>1842</v>
      </c>
      <c r="B1412" s="1">
        <v>0</v>
      </c>
      <c r="C1412" s="1" t="str">
        <f>IF(B1412=0,VLOOKUP(A1412,Feuil2!$A$2:$M$1241,2,FALSE)," ")</f>
        <v>SAKKA ROUIS</v>
      </c>
      <c r="D1412" s="1" t="str">
        <f>IF(B1412=0,VLOOKUP(A1412,Feuil2!$A$2:$M$1241,3,FALSE)," ")</f>
        <v>SAMI</v>
      </c>
      <c r="E1412" s="5">
        <f>IF(B1412=0,VLOOKUP(A1412,Feuil2!$A$2:$M$1241,6,FALSE)," ")</f>
        <v>29625</v>
      </c>
      <c r="F1412" s="1" t="str">
        <f>IF(B1412=0,VLOOKUP(A1412,Feuil2!$A$2:$M$1241,12,FALSE)," ")</f>
        <v>H</v>
      </c>
      <c r="G1412" s="1" t="s">
        <v>15</v>
      </c>
      <c r="H1412" s="1" t="s">
        <v>16</v>
      </c>
      <c r="I1412" s="6">
        <f>IF(B1412=0,VLOOKUP(A1412,Feuil2!$A$2:$M$1241,7,FALSE)," ")</f>
        <v>8461716</v>
      </c>
      <c r="J1412" s="1" t="str">
        <f>IF(B1412=0,VLOOKUP(A1412,Feuil2!$A$2:$M$1241,9,FALSE)," ")</f>
        <v>Rue Youssef Temimi</v>
      </c>
      <c r="K1412" s="1" t="str">
        <f>IF(B1412=0,VLOOKUP(A1412,Feuil2!$A$2:$M$1241,10,FALSE)," ")</f>
        <v>Msaken 4070</v>
      </c>
      <c r="L1412" s="1">
        <v>4070</v>
      </c>
      <c r="M1412" s="1">
        <v>25432642</v>
      </c>
      <c r="N1412" s="1"/>
      <c r="O1412" s="8" t="str">
        <f>IF(B1412=0,VLOOKUP(A1412,Feuil2!$A$2:$M$1241,13,FALSE)," ")</f>
        <v>03508056010100394535</v>
      </c>
    </row>
    <row r="1413" spans="1:15" x14ac:dyDescent="0.3">
      <c r="A1413" s="1">
        <v>1842</v>
      </c>
      <c r="B1413" s="1">
        <v>1</v>
      </c>
      <c r="C1413" s="1" t="s">
        <v>2724</v>
      </c>
      <c r="D1413" s="1" t="s">
        <v>2552</v>
      </c>
      <c r="E1413" s="5">
        <v>35291</v>
      </c>
      <c r="F1413" s="1" t="s">
        <v>17</v>
      </c>
      <c r="G1413" s="1" t="s">
        <v>15</v>
      </c>
      <c r="H1413" s="1" t="s">
        <v>16</v>
      </c>
      <c r="I1413" s="6" t="str">
        <f>IF(B1413=0,VLOOKUP(A1413,Feuil2!$A$2:$M$1241,7,FALSE)," ")</f>
        <v xml:space="preserve"> </v>
      </c>
      <c r="J1413" s="1" t="str">
        <f>IF(B1413=0,VLOOKUP(A1413,Feuil2!$A$2:$M$1241,9,FALSE)," ")</f>
        <v xml:space="preserve"> </v>
      </c>
      <c r="K1413" s="1" t="str">
        <f>IF(B1413=0,VLOOKUP(A1413,Feuil2!$A$2:$M$1241,10,FALSE)," ")</f>
        <v xml:space="preserve"> </v>
      </c>
      <c r="L1413" s="1"/>
      <c r="M1413" s="1"/>
      <c r="N1413" s="1"/>
      <c r="O1413" s="8" t="str">
        <f>IF(B1413=0,VLOOKUP(A1413,Feuil2!$A$2:$M$1241,13,FALSE)," ")</f>
        <v xml:space="preserve"> </v>
      </c>
    </row>
    <row r="1414" spans="1:15" x14ac:dyDescent="0.3">
      <c r="A1414" s="1">
        <v>1846</v>
      </c>
      <c r="B1414" s="1">
        <v>0</v>
      </c>
      <c r="C1414" s="1" t="str">
        <f>IF(B1414=0,VLOOKUP(A1414,Feuil2!$A$2:$M$1241,2,FALSE)," ")</f>
        <v>ROMDHANI</v>
      </c>
      <c r="D1414" s="1" t="str">
        <f>IF(B1414=0,VLOOKUP(A1414,Feuil2!$A$2:$M$1241,3,FALSE)," ")</f>
        <v>SAMI</v>
      </c>
      <c r="E1414" s="5">
        <f>IF(B1414=0,VLOOKUP(A1414,Feuil2!$A$2:$M$1241,6,FALSE)," ")</f>
        <v>28831</v>
      </c>
      <c r="F1414" s="1" t="str">
        <f>IF(B1414=0,VLOOKUP(A1414,Feuil2!$A$2:$M$1241,12,FALSE)," ")</f>
        <v>H</v>
      </c>
      <c r="G1414" s="1" t="str">
        <f>IF(B1414=0,VLOOKUP(A1414,Feuil2!$A$2:$M$1241,11,FALSE)," ")</f>
        <v>M</v>
      </c>
      <c r="H1414" s="1" t="s">
        <v>16</v>
      </c>
      <c r="I1414" s="6">
        <f>IF(B1414=0,VLOOKUP(A1414,Feuil2!$A$2:$M$1241,7,FALSE)," ")</f>
        <v>8212462</v>
      </c>
      <c r="J1414" s="1" t="str">
        <f>IF(B1414=0,VLOOKUP(A1414,Feuil2!$A$2:$M$1241,9,FALSE)," ")</f>
        <v>Immeuble Salah CitÃ© Ettaamir</v>
      </c>
      <c r="K1414" s="1" t="str">
        <f>IF(B1414=0,VLOOKUP(A1414,Feuil2!$A$2:$M$1241,10,FALSE)," ")</f>
        <v>Sousse</v>
      </c>
      <c r="L1414" s="1"/>
      <c r="M1414" s="1">
        <v>98793790</v>
      </c>
      <c r="N1414" s="1"/>
      <c r="O1414" s="8" t="str">
        <f>IF(B1414=0,VLOOKUP(A1414,Feuil2!$A$2:$M$1241,13,FALSE)," ")</f>
        <v>04204067404001173850</v>
      </c>
    </row>
    <row r="1415" spans="1:15" x14ac:dyDescent="0.3">
      <c r="A1415" s="1">
        <v>1846</v>
      </c>
      <c r="B1415" s="1">
        <v>1</v>
      </c>
      <c r="C1415" s="1" t="s">
        <v>2725</v>
      </c>
      <c r="D1415" s="1" t="s">
        <v>2289</v>
      </c>
      <c r="E1415" s="5">
        <v>31772</v>
      </c>
      <c r="F1415" s="1" t="s">
        <v>17</v>
      </c>
      <c r="G1415" s="1" t="s">
        <v>15</v>
      </c>
      <c r="H1415" s="1" t="s">
        <v>16</v>
      </c>
      <c r="I1415" s="6" t="str">
        <f>IF(B1415=0,VLOOKUP(A1415,Feuil2!$A$2:$M$1241,7,FALSE)," ")</f>
        <v xml:space="preserve"> </v>
      </c>
      <c r="J1415" s="1" t="str">
        <f>IF(B1415=0,VLOOKUP(A1415,Feuil2!$A$2:$M$1241,9,FALSE)," ")</f>
        <v xml:space="preserve"> </v>
      </c>
      <c r="K1415" s="1" t="str">
        <f>IF(B1415=0,VLOOKUP(A1415,Feuil2!$A$2:$M$1241,10,FALSE)," ")</f>
        <v xml:space="preserve"> </v>
      </c>
      <c r="L1415" s="1"/>
      <c r="M1415" s="1"/>
      <c r="N1415" s="1"/>
      <c r="O1415" s="8" t="str">
        <f>IF(B1415=0,VLOOKUP(A1415,Feuil2!$A$2:$M$1241,13,FALSE)," ")</f>
        <v xml:space="preserve"> </v>
      </c>
    </row>
    <row r="1416" spans="1:15" x14ac:dyDescent="0.3">
      <c r="A1416" s="1">
        <v>1846</v>
      </c>
      <c r="B1416" s="1">
        <v>2</v>
      </c>
      <c r="C1416" s="1" t="s">
        <v>397</v>
      </c>
      <c r="D1416" s="1" t="s">
        <v>2344</v>
      </c>
      <c r="E1416" s="5">
        <v>40683</v>
      </c>
      <c r="F1416" s="1" t="s">
        <v>17</v>
      </c>
      <c r="G1416" s="1" t="str">
        <f>IF(B1416=0,VLOOKUP(A1416,Feuil2!$A$2:$M$1241,11,FALSE)," ")</f>
        <v xml:space="preserve"> </v>
      </c>
      <c r="H1416" s="1" t="s">
        <v>16</v>
      </c>
      <c r="I1416" s="6" t="str">
        <f>IF(B1416=0,VLOOKUP(A1416,Feuil2!$A$2:$M$1241,7,FALSE)," ")</f>
        <v xml:space="preserve"> </v>
      </c>
      <c r="J1416" s="1" t="str">
        <f>IF(B1416=0,VLOOKUP(A1416,Feuil2!$A$2:$M$1241,9,FALSE)," ")</f>
        <v xml:space="preserve"> </v>
      </c>
      <c r="K1416" s="1" t="str">
        <f>IF(B1416=0,VLOOKUP(A1416,Feuil2!$A$2:$M$1241,10,FALSE)," ")</f>
        <v xml:space="preserve"> </v>
      </c>
      <c r="L1416" s="1"/>
      <c r="M1416" s="1"/>
      <c r="N1416" s="1"/>
      <c r="O1416" s="8" t="str">
        <f>IF(B1416=0,VLOOKUP(A1416,Feuil2!$A$2:$M$1241,13,FALSE)," ")</f>
        <v xml:space="preserve"> </v>
      </c>
    </row>
    <row r="1417" spans="1:15" x14ac:dyDescent="0.3">
      <c r="A1417" s="1">
        <v>1846</v>
      </c>
      <c r="B1417" s="1">
        <v>3</v>
      </c>
      <c r="C1417" s="1" t="s">
        <v>397</v>
      </c>
      <c r="D1417" s="1" t="s">
        <v>287</v>
      </c>
      <c r="E1417" s="5">
        <v>41887</v>
      </c>
      <c r="F1417" s="1" t="s">
        <v>506</v>
      </c>
      <c r="G1417" s="1" t="str">
        <f>IF(B1417=0,VLOOKUP(A1417,Feuil2!$A$2:$M$1241,11,FALSE)," ")</f>
        <v xml:space="preserve"> </v>
      </c>
      <c r="H1417" s="1" t="s">
        <v>16</v>
      </c>
      <c r="I1417" s="6" t="str">
        <f>IF(B1417=0,VLOOKUP(A1417,Feuil2!$A$2:$M$1241,7,FALSE)," ")</f>
        <v xml:space="preserve"> </v>
      </c>
      <c r="J1417" s="1" t="str">
        <f>IF(B1417=0,VLOOKUP(A1417,Feuil2!$A$2:$M$1241,9,FALSE)," ")</f>
        <v xml:space="preserve"> </v>
      </c>
      <c r="K1417" s="1" t="str">
        <f>IF(B1417=0,VLOOKUP(A1417,Feuil2!$A$2:$M$1241,10,FALSE)," ")</f>
        <v xml:space="preserve"> </v>
      </c>
      <c r="L1417" s="1"/>
      <c r="M1417" s="1"/>
      <c r="N1417" s="1"/>
      <c r="O1417" s="8" t="str">
        <f>IF(B1417=0,VLOOKUP(A1417,Feuil2!$A$2:$M$1241,13,FALSE)," ")</f>
        <v xml:space="preserve"> </v>
      </c>
    </row>
    <row r="1418" spans="1:15" x14ac:dyDescent="0.3">
      <c r="A1418" s="1">
        <v>1849</v>
      </c>
      <c r="B1418" s="1">
        <v>0</v>
      </c>
      <c r="C1418" s="1" t="str">
        <f>IF(B1418=0,VLOOKUP(A1418,Feuil2!$A$2:$M$1241,2,FALSE)," ")</f>
        <v>GANHOUBA</v>
      </c>
      <c r="D1418" s="1" t="str">
        <f>IF(B1418=0,VLOOKUP(A1418,Feuil2!$A$2:$M$1241,3,FALSE)," ")</f>
        <v>MEHDI</v>
      </c>
      <c r="E1418" s="5">
        <f>IF(B1418=0,VLOOKUP(A1418,Feuil2!$A$2:$M$1241,6,FALSE)," ")</f>
        <v>28745</v>
      </c>
      <c r="F1418" s="1" t="str">
        <f>IF(B1418=0,VLOOKUP(A1418,Feuil2!$A$2:$M$1241,12,FALSE)," ")</f>
        <v>H</v>
      </c>
      <c r="G1418" s="1" t="str">
        <f>IF(B1418=0,VLOOKUP(A1418,Feuil2!$A$2:$M$1241,11,FALSE)," ")</f>
        <v>M</v>
      </c>
      <c r="H1418" s="1" t="s">
        <v>16</v>
      </c>
      <c r="I1418" s="6">
        <f>IF(B1418=0,VLOOKUP(A1418,Feuil2!$A$2:$M$1241,7,FALSE)," ")</f>
        <v>8429082</v>
      </c>
      <c r="J1418" s="1" t="str">
        <f>IF(B1418=0,VLOOKUP(A1418,Feuil2!$A$2:$M$1241,9,FALSE)," ")</f>
        <v>2 Rue Mustapha Khraief</v>
      </c>
      <c r="K1418" s="1" t="str">
        <f>IF(B1418=0,VLOOKUP(A1418,Feuil2!$A$2:$M$1241,10,FALSE)," ")</f>
        <v>Msaken 4070</v>
      </c>
      <c r="L1418" s="1">
        <v>4070</v>
      </c>
      <c r="M1418" s="1">
        <v>98793759</v>
      </c>
      <c r="N1418" s="1"/>
      <c r="O1418" s="8" t="str">
        <f>IF(B1418=0,VLOOKUP(A1418,Feuil2!$A$2:$M$1241,13,FALSE)," ")</f>
        <v>08507000262001640621</v>
      </c>
    </row>
    <row r="1419" spans="1:15" x14ac:dyDescent="0.3">
      <c r="A1419" s="1">
        <v>1849</v>
      </c>
      <c r="B1419" s="1">
        <v>1</v>
      </c>
      <c r="C1419" s="1" t="s">
        <v>104</v>
      </c>
      <c r="D1419" s="1" t="s">
        <v>2726</v>
      </c>
      <c r="E1419" s="5">
        <v>29009</v>
      </c>
      <c r="F1419" s="1" t="s">
        <v>17</v>
      </c>
      <c r="G1419" s="1" t="s">
        <v>15</v>
      </c>
      <c r="H1419" s="1" t="s">
        <v>16</v>
      </c>
      <c r="I1419" s="6" t="str">
        <f>IF(B1419=0,VLOOKUP(A1419,Feuil2!$A$2:$M$1241,7,FALSE)," ")</f>
        <v xml:space="preserve"> </v>
      </c>
      <c r="J1419" s="1" t="str">
        <f>IF(B1419=0,VLOOKUP(A1419,Feuil2!$A$2:$M$1241,9,FALSE)," ")</f>
        <v xml:space="preserve"> </v>
      </c>
      <c r="K1419" s="1" t="str">
        <f>IF(B1419=0,VLOOKUP(A1419,Feuil2!$A$2:$M$1241,10,FALSE)," ")</f>
        <v xml:space="preserve"> </v>
      </c>
      <c r="L1419" s="1"/>
      <c r="M1419" s="1"/>
      <c r="N1419" s="1"/>
      <c r="O1419" s="8" t="str">
        <f>IF(B1419=0,VLOOKUP(A1419,Feuil2!$A$2:$M$1241,13,FALSE)," ")</f>
        <v xml:space="preserve"> </v>
      </c>
    </row>
    <row r="1420" spans="1:15" x14ac:dyDescent="0.3">
      <c r="A1420" s="1">
        <v>1849</v>
      </c>
      <c r="B1420" s="1">
        <v>2</v>
      </c>
      <c r="C1420" s="1" t="s">
        <v>462</v>
      </c>
      <c r="D1420" s="1" t="s">
        <v>404</v>
      </c>
      <c r="E1420" s="5">
        <v>42389</v>
      </c>
      <c r="F1420" s="1" t="s">
        <v>17</v>
      </c>
      <c r="G1420" s="1" t="str">
        <f>IF(B1420=0,VLOOKUP(A1420,Feuil2!$A$2:$M$1241,11,FALSE)," ")</f>
        <v xml:space="preserve"> </v>
      </c>
      <c r="H1420" s="1" t="s">
        <v>16</v>
      </c>
      <c r="I1420" s="6" t="str">
        <f>IF(B1420=0,VLOOKUP(A1420,Feuil2!$A$2:$M$1241,7,FALSE)," ")</f>
        <v xml:space="preserve"> </v>
      </c>
      <c r="J1420" s="1" t="str">
        <f>IF(B1420=0,VLOOKUP(A1420,Feuil2!$A$2:$M$1241,9,FALSE)," ")</f>
        <v xml:space="preserve"> </v>
      </c>
      <c r="K1420" s="1" t="str">
        <f>IF(B1420=0,VLOOKUP(A1420,Feuil2!$A$2:$M$1241,10,FALSE)," ")</f>
        <v xml:space="preserve"> </v>
      </c>
      <c r="L1420" s="1"/>
      <c r="M1420" s="1"/>
      <c r="N1420" s="1"/>
      <c r="O1420" s="8" t="str">
        <f>IF(B1420=0,VLOOKUP(A1420,Feuil2!$A$2:$M$1241,13,FALSE)," ")</f>
        <v xml:space="preserve"> </v>
      </c>
    </row>
    <row r="1421" spans="1:15" x14ac:dyDescent="0.3">
      <c r="A1421" s="1">
        <v>1849</v>
      </c>
      <c r="B1421" s="1">
        <v>3</v>
      </c>
      <c r="C1421" s="1" t="s">
        <v>462</v>
      </c>
      <c r="D1421" s="1" t="s">
        <v>2475</v>
      </c>
      <c r="E1421" s="5">
        <v>43314</v>
      </c>
      <c r="F1421" s="1" t="s">
        <v>506</v>
      </c>
      <c r="G1421" s="1" t="str">
        <f>IF(B1421=0,VLOOKUP(A1421,Feuil2!$A$2:$M$1241,11,FALSE)," ")</f>
        <v xml:space="preserve"> </v>
      </c>
      <c r="H1421" s="1" t="s">
        <v>16</v>
      </c>
      <c r="I1421" s="6" t="str">
        <f>IF(B1421=0,VLOOKUP(A1421,Feuil2!$A$2:$M$1241,7,FALSE)," ")</f>
        <v xml:space="preserve"> </v>
      </c>
      <c r="J1421" s="1" t="str">
        <f>IF(B1421=0,VLOOKUP(A1421,Feuil2!$A$2:$M$1241,9,FALSE)," ")</f>
        <v xml:space="preserve"> </v>
      </c>
      <c r="K1421" s="1" t="str">
        <f>IF(B1421=0,VLOOKUP(A1421,Feuil2!$A$2:$M$1241,10,FALSE)," ")</f>
        <v xml:space="preserve"> </v>
      </c>
      <c r="L1421" s="1"/>
      <c r="M1421" s="1"/>
      <c r="N1421" s="1"/>
      <c r="O1421" s="8" t="str">
        <f>IF(B1421=0,VLOOKUP(A1421,Feuil2!$A$2:$M$1241,13,FALSE)," ")</f>
        <v xml:space="preserve"> </v>
      </c>
    </row>
    <row r="1422" spans="1:15" x14ac:dyDescent="0.3">
      <c r="A1422" s="1">
        <v>1849</v>
      </c>
      <c r="B1422" s="1">
        <v>4</v>
      </c>
      <c r="C1422" s="1" t="s">
        <v>462</v>
      </c>
      <c r="D1422" s="1" t="s">
        <v>2431</v>
      </c>
      <c r="E1422" s="5">
        <v>43953</v>
      </c>
      <c r="F1422" s="1" t="s">
        <v>506</v>
      </c>
      <c r="G1422" s="1" t="str">
        <f>IF(B1422=0,VLOOKUP(A1422,Feuil2!$A$2:$M$1241,11,FALSE)," ")</f>
        <v xml:space="preserve"> </v>
      </c>
      <c r="H1422" s="1" t="s">
        <v>16</v>
      </c>
      <c r="I1422" s="6" t="str">
        <f>IF(B1422=0,VLOOKUP(A1422,Feuil2!$A$2:$M$1241,7,FALSE)," ")</f>
        <v xml:space="preserve"> </v>
      </c>
      <c r="J1422" s="1" t="str">
        <f>IF(B1422=0,VLOOKUP(A1422,Feuil2!$A$2:$M$1241,9,FALSE)," ")</f>
        <v xml:space="preserve"> </v>
      </c>
      <c r="K1422" s="1" t="str">
        <f>IF(B1422=0,VLOOKUP(A1422,Feuil2!$A$2:$M$1241,10,FALSE)," ")</f>
        <v xml:space="preserve"> </v>
      </c>
      <c r="L1422" s="1"/>
      <c r="M1422" s="1"/>
      <c r="N1422" s="1"/>
      <c r="O1422" s="8" t="str">
        <f>IF(B1422=0,VLOOKUP(A1422,Feuil2!$A$2:$M$1241,13,FALSE)," ")</f>
        <v xml:space="preserve"> </v>
      </c>
    </row>
    <row r="1423" spans="1:15" x14ac:dyDescent="0.3">
      <c r="A1423" s="1">
        <v>1856</v>
      </c>
      <c r="B1423" s="1">
        <v>0</v>
      </c>
      <c r="C1423" s="1" t="str">
        <f>IF(B1423=0,VLOOKUP(A1423,Feuil2!$A$2:$M$1241,2,FALSE)," ")</f>
        <v>ABDELLATIF</v>
      </c>
      <c r="D1423" s="1" t="str">
        <f>IF(B1423=0,VLOOKUP(A1423,Feuil2!$A$2:$M$1241,3,FALSE)," ")</f>
        <v>MOHAMED ALI</v>
      </c>
      <c r="E1423" s="5">
        <f>IF(B1423=0,VLOOKUP(A1423,Feuil2!$A$2:$M$1241,6,FALSE)," ")</f>
        <v>29472</v>
      </c>
      <c r="F1423" s="1" t="str">
        <f>IF(B1423=0,VLOOKUP(A1423,Feuil2!$A$2:$M$1241,12,FALSE)," ")</f>
        <v>H</v>
      </c>
      <c r="G1423" s="1" t="str">
        <f>IF(B1423=0,VLOOKUP(A1423,Feuil2!$A$2:$M$1241,11,FALSE)," ")</f>
        <v>M</v>
      </c>
      <c r="H1423" s="1" t="s">
        <v>16</v>
      </c>
      <c r="I1423" s="6">
        <f>IF(B1423=0,VLOOKUP(A1423,Feuil2!$A$2:$M$1241,7,FALSE)," ")</f>
        <v>8437911</v>
      </c>
      <c r="J1423" s="1" t="str">
        <f>IF(B1423=0,VLOOKUP(A1423,Feuil2!$A$2:$M$1241,9,FALSE)," ")</f>
        <v>27 Rue Bouhtouri Erriadh</v>
      </c>
      <c r="K1423" s="1" t="str">
        <f>IF(B1423=0,VLOOKUP(A1423,Feuil2!$A$2:$M$1241,10,FALSE)," ")</f>
        <v>Sousse</v>
      </c>
      <c r="L1423" s="1"/>
      <c r="M1423" s="1">
        <v>99602028</v>
      </c>
      <c r="N1423" s="1"/>
      <c r="O1423" s="8" t="str">
        <f>IF(B1423=0,VLOOKUP(A1423,Feuil2!$A$2:$M$1241,13,FALSE)," ")</f>
        <v>12015000000214839386</v>
      </c>
    </row>
    <row r="1424" spans="1:15" x14ac:dyDescent="0.3">
      <c r="A1424" s="1">
        <v>1856</v>
      </c>
      <c r="B1424" s="1">
        <v>1</v>
      </c>
      <c r="C1424" s="1" t="s">
        <v>296</v>
      </c>
      <c r="D1424" s="1" t="s">
        <v>2327</v>
      </c>
      <c r="E1424" s="5">
        <v>29692</v>
      </c>
      <c r="F1424" s="1" t="s">
        <v>17</v>
      </c>
      <c r="G1424" s="1" t="s">
        <v>15</v>
      </c>
      <c r="H1424" s="1" t="s">
        <v>16</v>
      </c>
      <c r="I1424" s="6" t="str">
        <f>IF(B1424=0,VLOOKUP(A1424,Feuil2!$A$2:$M$1241,7,FALSE)," ")</f>
        <v xml:space="preserve"> </v>
      </c>
      <c r="J1424" s="1" t="str">
        <f>IF(B1424=0,VLOOKUP(A1424,Feuil2!$A$2:$M$1241,9,FALSE)," ")</f>
        <v xml:space="preserve"> </v>
      </c>
      <c r="K1424" s="1" t="str">
        <f>IF(B1424=0,VLOOKUP(A1424,Feuil2!$A$2:$M$1241,10,FALSE)," ")</f>
        <v xml:space="preserve"> </v>
      </c>
      <c r="L1424" s="1"/>
      <c r="M1424" s="1"/>
      <c r="N1424" s="1"/>
      <c r="O1424" s="8" t="str">
        <f>IF(B1424=0,VLOOKUP(A1424,Feuil2!$A$2:$M$1241,13,FALSE)," ")</f>
        <v xml:space="preserve"> </v>
      </c>
    </row>
    <row r="1425" spans="1:15" x14ac:dyDescent="0.3">
      <c r="A1425" s="1">
        <v>1856</v>
      </c>
      <c r="B1425" s="1">
        <v>2</v>
      </c>
      <c r="C1425" s="1" t="s">
        <v>249</v>
      </c>
      <c r="D1425" s="1" t="s">
        <v>2598</v>
      </c>
      <c r="E1425" s="5">
        <v>41168</v>
      </c>
      <c r="F1425" s="1" t="s">
        <v>506</v>
      </c>
      <c r="G1425" s="1" t="str">
        <f>IF(B1425=0,VLOOKUP(A1425,Feuil2!$A$2:$M$1241,11,FALSE)," ")</f>
        <v xml:space="preserve"> </v>
      </c>
      <c r="H1425" s="1" t="s">
        <v>16</v>
      </c>
      <c r="I1425" s="6" t="str">
        <f>IF(B1425=0,VLOOKUP(A1425,Feuil2!$A$2:$M$1241,7,FALSE)," ")</f>
        <v xml:space="preserve"> </v>
      </c>
      <c r="J1425" s="1" t="str">
        <f>IF(B1425=0,VLOOKUP(A1425,Feuil2!$A$2:$M$1241,9,FALSE)," ")</f>
        <v xml:space="preserve"> </v>
      </c>
      <c r="K1425" s="1" t="str">
        <f>IF(B1425=0,VLOOKUP(A1425,Feuil2!$A$2:$M$1241,10,FALSE)," ")</f>
        <v xml:space="preserve"> </v>
      </c>
      <c r="L1425" s="1"/>
      <c r="M1425" s="1"/>
      <c r="N1425" s="1"/>
      <c r="O1425" s="8" t="str">
        <f>IF(B1425=0,VLOOKUP(A1425,Feuil2!$A$2:$M$1241,13,FALSE)," ")</f>
        <v xml:space="preserve"> </v>
      </c>
    </row>
    <row r="1426" spans="1:15" x14ac:dyDescent="0.3">
      <c r="A1426" s="1">
        <v>1856</v>
      </c>
      <c r="B1426" s="1">
        <v>3</v>
      </c>
      <c r="C1426" s="1" t="s">
        <v>249</v>
      </c>
      <c r="D1426" s="1" t="s">
        <v>2060</v>
      </c>
      <c r="E1426" s="5">
        <v>42913</v>
      </c>
      <c r="F1426" s="1" t="s">
        <v>17</v>
      </c>
      <c r="G1426" s="1" t="str">
        <f>IF(B1426=0,VLOOKUP(A1426,Feuil2!$A$2:$M$1241,11,FALSE)," ")</f>
        <v xml:space="preserve"> </v>
      </c>
      <c r="H1426" s="1" t="s">
        <v>16</v>
      </c>
      <c r="I1426" s="6" t="str">
        <f>IF(B1426=0,VLOOKUP(A1426,Feuil2!$A$2:$M$1241,7,FALSE)," ")</f>
        <v xml:space="preserve"> </v>
      </c>
      <c r="J1426" s="1" t="str">
        <f>IF(B1426=0,VLOOKUP(A1426,Feuil2!$A$2:$M$1241,9,FALSE)," ")</f>
        <v xml:space="preserve"> </v>
      </c>
      <c r="K1426" s="1" t="str">
        <f>IF(B1426=0,VLOOKUP(A1426,Feuil2!$A$2:$M$1241,10,FALSE)," ")</f>
        <v xml:space="preserve"> </v>
      </c>
      <c r="L1426" s="1"/>
      <c r="M1426" s="1"/>
      <c r="N1426" s="1"/>
      <c r="O1426" s="8" t="str">
        <f>IF(B1426=0,VLOOKUP(A1426,Feuil2!$A$2:$M$1241,13,FALSE)," ")</f>
        <v xml:space="preserve"> </v>
      </c>
    </row>
    <row r="1427" spans="1:15" x14ac:dyDescent="0.3">
      <c r="A1427" s="1">
        <v>1857</v>
      </c>
      <c r="B1427" s="1">
        <v>0</v>
      </c>
      <c r="C1427" s="1" t="str">
        <f>IF(B1427=0,VLOOKUP(A1427,Feuil2!$A$2:$M$1241,2,FALSE)," ")</f>
        <v>NOUIRA BOUJEBHA</v>
      </c>
      <c r="D1427" s="1" t="str">
        <f>IF(B1427=0,VLOOKUP(A1427,Feuil2!$A$2:$M$1241,3,FALSE)," ")</f>
        <v>RAMZI</v>
      </c>
      <c r="E1427" s="5">
        <f>IF(B1427=0,VLOOKUP(A1427,Feuil2!$A$2:$M$1241,6,FALSE)," ")</f>
        <v>25579</v>
      </c>
      <c r="F1427" s="1" t="str">
        <f>IF(B1427=0,VLOOKUP(A1427,Feuil2!$A$2:$M$1241,12,FALSE)," ")</f>
        <v>H</v>
      </c>
      <c r="G1427" s="1" t="str">
        <f>IF(B1427=0,VLOOKUP(A1427,Feuil2!$A$2:$M$1241,11,FALSE)," ")</f>
        <v>M</v>
      </c>
      <c r="H1427" s="1" t="s">
        <v>16</v>
      </c>
      <c r="I1427" s="6">
        <f>IF(B1427=0,VLOOKUP(A1427,Feuil2!$A$2:$M$1241,7,FALSE)," ")</f>
        <v>2985356</v>
      </c>
      <c r="J1427" s="1" t="str">
        <f>IF(B1427=0,VLOOKUP(A1427,Feuil2!$A$2:$M$1241,9,FALSE)," ")</f>
        <v>79 Rue Mendra</v>
      </c>
      <c r="K1427" s="1" t="str">
        <f>IF(B1427=0,VLOOKUP(A1427,Feuil2!$A$2:$M$1241,10,FALSE)," ")</f>
        <v>Zaouit Sousse</v>
      </c>
      <c r="L1427" s="1"/>
      <c r="M1427" s="1">
        <v>54503806</v>
      </c>
      <c r="N1427" s="1"/>
      <c r="O1427" s="8" t="str">
        <f>IF(B1427=0,VLOOKUP(A1427,Feuil2!$A$2:$M$1241,13,FALSE)," ")</f>
        <v>04128195002622969088</v>
      </c>
    </row>
    <row r="1428" spans="1:15" x14ac:dyDescent="0.3">
      <c r="A1428" s="1">
        <v>1857</v>
      </c>
      <c r="B1428" s="1">
        <v>1</v>
      </c>
      <c r="C1428" s="1" t="s">
        <v>2727</v>
      </c>
      <c r="D1428" s="1" t="s">
        <v>2289</v>
      </c>
      <c r="E1428" s="5">
        <v>26667</v>
      </c>
      <c r="F1428" s="1" t="s">
        <v>17</v>
      </c>
      <c r="G1428" s="1" t="s">
        <v>15</v>
      </c>
      <c r="H1428" s="1" t="s">
        <v>16</v>
      </c>
      <c r="I1428" s="6" t="str">
        <f>IF(B1428=0,VLOOKUP(A1428,Feuil2!$A$2:$M$1241,7,FALSE)," ")</f>
        <v xml:space="preserve"> </v>
      </c>
      <c r="J1428" s="1" t="str">
        <f>IF(B1428=0,VLOOKUP(A1428,Feuil2!$A$2:$M$1241,9,FALSE)," ")</f>
        <v xml:space="preserve"> </v>
      </c>
      <c r="K1428" s="1" t="str">
        <f>IF(B1428=0,VLOOKUP(A1428,Feuil2!$A$2:$M$1241,10,FALSE)," ")</f>
        <v xml:space="preserve"> </v>
      </c>
      <c r="L1428" s="1"/>
      <c r="M1428" s="1"/>
      <c r="N1428" s="1"/>
      <c r="O1428" s="8" t="str">
        <f>IF(B1428=0,VLOOKUP(A1428,Feuil2!$A$2:$M$1241,13,FALSE)," ")</f>
        <v xml:space="preserve"> </v>
      </c>
    </row>
    <row r="1429" spans="1:15" x14ac:dyDescent="0.3">
      <c r="A1429" s="1">
        <v>1857</v>
      </c>
      <c r="B1429" s="1">
        <v>2</v>
      </c>
      <c r="C1429" s="1" t="s">
        <v>1072</v>
      </c>
      <c r="D1429" s="1" t="s">
        <v>2677</v>
      </c>
      <c r="E1429" s="5">
        <v>35968</v>
      </c>
      <c r="F1429" s="1" t="s">
        <v>17</v>
      </c>
      <c r="G1429" s="1" t="str">
        <f>IF(B1429=0,VLOOKUP(A1429,Feuil2!$A$2:$M$1241,11,FALSE)," ")</f>
        <v xml:space="preserve"> </v>
      </c>
      <c r="H1429" s="1" t="s">
        <v>16</v>
      </c>
      <c r="I1429" s="6" t="str">
        <f>IF(B1429=0,VLOOKUP(A1429,Feuil2!$A$2:$M$1241,7,FALSE)," ")</f>
        <v xml:space="preserve"> </v>
      </c>
      <c r="J1429" s="1" t="str">
        <f>IF(B1429=0,VLOOKUP(A1429,Feuil2!$A$2:$M$1241,9,FALSE)," ")</f>
        <v xml:space="preserve"> </v>
      </c>
      <c r="K1429" s="1" t="str">
        <f>IF(B1429=0,VLOOKUP(A1429,Feuil2!$A$2:$M$1241,10,FALSE)," ")</f>
        <v xml:space="preserve"> </v>
      </c>
      <c r="L1429" s="1"/>
      <c r="M1429" s="1"/>
      <c r="N1429" s="1"/>
      <c r="O1429" s="8" t="str">
        <f>IF(B1429=0,VLOOKUP(A1429,Feuil2!$A$2:$M$1241,13,FALSE)," ")</f>
        <v xml:space="preserve"> </v>
      </c>
    </row>
    <row r="1430" spans="1:15" x14ac:dyDescent="0.3">
      <c r="A1430" s="1">
        <v>1857</v>
      </c>
      <c r="B1430" s="1">
        <v>3</v>
      </c>
      <c r="C1430" s="1" t="s">
        <v>1072</v>
      </c>
      <c r="D1430" s="1" t="s">
        <v>2530</v>
      </c>
      <c r="E1430" s="5">
        <v>36829</v>
      </c>
      <c r="F1430" s="1" t="s">
        <v>506</v>
      </c>
      <c r="G1430" s="1" t="str">
        <f>IF(B1430=0,VLOOKUP(A1430,Feuil2!$A$2:$M$1241,11,FALSE)," ")</f>
        <v xml:space="preserve"> </v>
      </c>
      <c r="H1430" s="1" t="s">
        <v>16</v>
      </c>
      <c r="I1430" s="6" t="str">
        <f>IF(B1430=0,VLOOKUP(A1430,Feuil2!$A$2:$M$1241,7,FALSE)," ")</f>
        <v xml:space="preserve"> </v>
      </c>
      <c r="J1430" s="1" t="str">
        <f>IF(B1430=0,VLOOKUP(A1430,Feuil2!$A$2:$M$1241,9,FALSE)," ")</f>
        <v xml:space="preserve"> </v>
      </c>
      <c r="K1430" s="1" t="str">
        <f>IF(B1430=0,VLOOKUP(A1430,Feuil2!$A$2:$M$1241,10,FALSE)," ")</f>
        <v xml:space="preserve"> </v>
      </c>
      <c r="L1430" s="1"/>
      <c r="M1430" s="1"/>
      <c r="N1430" s="1"/>
      <c r="O1430" s="8" t="str">
        <f>IF(B1430=0,VLOOKUP(A1430,Feuil2!$A$2:$M$1241,13,FALSE)," ")</f>
        <v xml:space="preserve"> </v>
      </c>
    </row>
    <row r="1431" spans="1:15" x14ac:dyDescent="0.3">
      <c r="A1431" s="1">
        <v>1857</v>
      </c>
      <c r="B1431" s="1">
        <v>4</v>
      </c>
      <c r="C1431" s="1" t="s">
        <v>1072</v>
      </c>
      <c r="D1431" s="1" t="s">
        <v>2685</v>
      </c>
      <c r="E1431" s="5">
        <v>38974</v>
      </c>
      <c r="F1431" s="1" t="s">
        <v>17</v>
      </c>
      <c r="G1431" s="1" t="str">
        <f>IF(B1431=0,VLOOKUP(A1431,Feuil2!$A$2:$M$1241,11,FALSE)," ")</f>
        <v xml:space="preserve"> </v>
      </c>
      <c r="H1431" s="1" t="s">
        <v>16</v>
      </c>
      <c r="I1431" s="6" t="str">
        <f>IF(B1431=0,VLOOKUP(A1431,Feuil2!$A$2:$M$1241,7,FALSE)," ")</f>
        <v xml:space="preserve"> </v>
      </c>
      <c r="J1431" s="1" t="str">
        <f>IF(B1431=0,VLOOKUP(A1431,Feuil2!$A$2:$M$1241,9,FALSE)," ")</f>
        <v xml:space="preserve"> </v>
      </c>
      <c r="K1431" s="1" t="str">
        <f>IF(B1431=0,VLOOKUP(A1431,Feuil2!$A$2:$M$1241,10,FALSE)," ")</f>
        <v xml:space="preserve"> </v>
      </c>
      <c r="L1431" s="1"/>
      <c r="M1431" s="1"/>
      <c r="N1431" s="1"/>
      <c r="O1431" s="8" t="str">
        <f>IF(B1431=0,VLOOKUP(A1431,Feuil2!$A$2:$M$1241,13,FALSE)," ")</f>
        <v xml:space="preserve"> </v>
      </c>
    </row>
    <row r="1432" spans="1:15" x14ac:dyDescent="0.3">
      <c r="A1432" s="1">
        <v>1860</v>
      </c>
      <c r="B1432" s="1">
        <v>0</v>
      </c>
      <c r="C1432" s="1" t="str">
        <f>IF(B1432=0,VLOOKUP(A1432,Feuil2!$A$2:$M$1241,2,FALSE)," ")</f>
        <v>KTAIEB</v>
      </c>
      <c r="D1432" s="1" t="str">
        <f>IF(B1432=0,VLOOKUP(A1432,Feuil2!$A$2:$M$1241,3,FALSE)," ")</f>
        <v>FREDJ</v>
      </c>
      <c r="E1432" s="5">
        <f>IF(B1432=0,VLOOKUP(A1432,Feuil2!$A$2:$M$1241,6,FALSE)," ")</f>
        <v>26240</v>
      </c>
      <c r="F1432" s="1" t="str">
        <f>IF(B1432=0,VLOOKUP(A1432,Feuil2!$A$2:$M$1241,12,FALSE)," ")</f>
        <v>H</v>
      </c>
      <c r="G1432" s="1" t="str">
        <f>IF(B1432=0,VLOOKUP(A1432,Feuil2!$A$2:$M$1241,11,FALSE)," ")</f>
        <v>M</v>
      </c>
      <c r="H1432" s="1" t="s">
        <v>16</v>
      </c>
      <c r="I1432" s="6">
        <f>IF(B1432=0,VLOOKUP(A1432,Feuil2!$A$2:$M$1241,7,FALSE)," ")</f>
        <v>5517008</v>
      </c>
      <c r="J1432" s="1" t="str">
        <f>IF(B1432=0,VLOOKUP(A1432,Feuil2!$A$2:$M$1241,9,FALSE)," ")</f>
        <v>NULL</v>
      </c>
      <c r="K1432" s="1" t="str">
        <f>IF(B1432=0,VLOOKUP(A1432,Feuil2!$A$2:$M$1241,10,FALSE)," ")</f>
        <v>BÃ©ni Rabiaa 4015</v>
      </c>
      <c r="L1432" s="1"/>
      <c r="M1432" s="1"/>
      <c r="N1432" s="1"/>
      <c r="O1432" s="8" t="str">
        <f>IF(B1432=0,VLOOKUP(A1432,Feuil2!$A$2:$M$1241,13,FALSE)," ")</f>
        <v>10506040207635978842</v>
      </c>
    </row>
    <row r="1433" spans="1:15" x14ac:dyDescent="0.3">
      <c r="A1433" s="1">
        <v>1860</v>
      </c>
      <c r="B1433" s="1">
        <v>1</v>
      </c>
      <c r="C1433" s="1" t="str">
        <f>IF(B1433=0,VLOOKUP(A1433,Feuil2!$A$2:$M$1241,2,FALSE)," ")</f>
        <v xml:space="preserve"> </v>
      </c>
      <c r="D1433" s="1" t="s">
        <v>1441</v>
      </c>
      <c r="E1433" s="5">
        <v>29695</v>
      </c>
      <c r="F1433" s="1" t="s">
        <v>17</v>
      </c>
      <c r="G1433" s="1" t="s">
        <v>15</v>
      </c>
      <c r="H1433" s="1" t="s">
        <v>16</v>
      </c>
      <c r="I1433" s="6" t="str">
        <f>IF(B1433=0,VLOOKUP(A1433,Feuil2!$A$2:$M$1241,7,FALSE)," ")</f>
        <v xml:space="preserve"> </v>
      </c>
      <c r="J1433" s="1" t="str">
        <f>IF(B1433=0,VLOOKUP(A1433,Feuil2!$A$2:$M$1241,9,FALSE)," ")</f>
        <v xml:space="preserve"> </v>
      </c>
      <c r="K1433" s="1" t="str">
        <f>IF(B1433=0,VLOOKUP(A1433,Feuil2!$A$2:$M$1241,10,FALSE)," ")</f>
        <v xml:space="preserve"> </v>
      </c>
      <c r="L1433" s="1"/>
      <c r="M1433" s="1"/>
      <c r="N1433" s="1"/>
      <c r="O1433" s="8" t="str">
        <f>IF(B1433=0,VLOOKUP(A1433,Feuil2!$A$2:$M$1241,13,FALSE)," ")</f>
        <v xml:space="preserve"> </v>
      </c>
    </row>
    <row r="1434" spans="1:15" x14ac:dyDescent="0.3">
      <c r="A1434" s="1">
        <v>1860</v>
      </c>
      <c r="B1434" s="1">
        <v>2</v>
      </c>
      <c r="C1434" s="1" t="s">
        <v>327</v>
      </c>
      <c r="D1434" s="1" t="s">
        <v>2387</v>
      </c>
      <c r="E1434" s="5">
        <v>36723</v>
      </c>
      <c r="F1434" s="1" t="s">
        <v>17</v>
      </c>
      <c r="G1434" s="1" t="str">
        <f>IF(B1434=0,VLOOKUP(A1434,Feuil2!$A$2:$M$1241,11,FALSE)," ")</f>
        <v xml:space="preserve"> </v>
      </c>
      <c r="H1434" s="1" t="s">
        <v>16</v>
      </c>
      <c r="I1434" s="6" t="str">
        <f>IF(B1434=0,VLOOKUP(A1434,Feuil2!$A$2:$M$1241,7,FALSE)," ")</f>
        <v xml:space="preserve"> </v>
      </c>
      <c r="J1434" s="1" t="str">
        <f>IF(B1434=0,VLOOKUP(A1434,Feuil2!$A$2:$M$1241,9,FALSE)," ")</f>
        <v xml:space="preserve"> </v>
      </c>
      <c r="K1434" s="1" t="str">
        <f>IF(B1434=0,VLOOKUP(A1434,Feuil2!$A$2:$M$1241,10,FALSE)," ")</f>
        <v xml:space="preserve"> </v>
      </c>
      <c r="L1434" s="1"/>
      <c r="M1434" s="1"/>
      <c r="N1434" s="1"/>
      <c r="O1434" s="8" t="str">
        <f>IF(B1434=0,VLOOKUP(A1434,Feuil2!$A$2:$M$1241,13,FALSE)," ")</f>
        <v xml:space="preserve"> </v>
      </c>
    </row>
    <row r="1435" spans="1:15" x14ac:dyDescent="0.3">
      <c r="A1435" s="1">
        <v>1860</v>
      </c>
      <c r="B1435" s="1">
        <v>3</v>
      </c>
      <c r="C1435" s="1" t="s">
        <v>327</v>
      </c>
      <c r="D1435" s="1" t="s">
        <v>2376</v>
      </c>
      <c r="E1435" s="5">
        <v>40456</v>
      </c>
      <c r="F1435" s="1" t="s">
        <v>506</v>
      </c>
      <c r="G1435" s="1" t="str">
        <f>IF(B1435=0,VLOOKUP(A1435,Feuil2!$A$2:$M$1241,11,FALSE)," ")</f>
        <v xml:space="preserve"> </v>
      </c>
      <c r="H1435" s="1" t="s">
        <v>16</v>
      </c>
      <c r="I1435" s="6" t="str">
        <f>IF(B1435=0,VLOOKUP(A1435,Feuil2!$A$2:$M$1241,7,FALSE)," ")</f>
        <v xml:space="preserve"> </v>
      </c>
      <c r="J1435" s="1" t="str">
        <f>IF(B1435=0,VLOOKUP(A1435,Feuil2!$A$2:$M$1241,9,FALSE)," ")</f>
        <v xml:space="preserve"> </v>
      </c>
      <c r="K1435" s="1" t="str">
        <f>IF(B1435=0,VLOOKUP(A1435,Feuil2!$A$2:$M$1241,10,FALSE)," ")</f>
        <v xml:space="preserve"> </v>
      </c>
      <c r="L1435" s="1"/>
      <c r="M1435" s="1"/>
      <c r="N1435" s="1"/>
      <c r="O1435" s="8" t="str">
        <f>IF(B1435=0,VLOOKUP(A1435,Feuil2!$A$2:$M$1241,13,FALSE)," ")</f>
        <v xml:space="preserve"> </v>
      </c>
    </row>
    <row r="1436" spans="1:15" x14ac:dyDescent="0.3">
      <c r="A1436" s="1">
        <v>1867</v>
      </c>
      <c r="B1436" s="1">
        <v>0</v>
      </c>
      <c r="C1436" s="1" t="str">
        <f>IF(B1436=0,VLOOKUP(A1436,Feuil2!$A$2:$M$1241,2,FALSE)," ")</f>
        <v>GAZZAH</v>
      </c>
      <c r="D1436" s="1" t="str">
        <f>IF(B1436=0,VLOOKUP(A1436,Feuil2!$A$2:$M$1241,3,FALSE)," ")</f>
        <v>LOTFI</v>
      </c>
      <c r="E1436" s="5">
        <f>IF(B1436=0,VLOOKUP(A1436,Feuil2!$A$2:$M$1241,6,FALSE)," ")</f>
        <v>27413</v>
      </c>
      <c r="F1436" s="1" t="str">
        <f>IF(B1436=0,VLOOKUP(A1436,Feuil2!$A$2:$M$1241,12,FALSE)," ")</f>
        <v>H</v>
      </c>
      <c r="G1436" s="1" t="str">
        <f>IF(B1436=0,VLOOKUP(A1436,Feuil2!$A$2:$M$1241,11,FALSE)," ")</f>
        <v>M</v>
      </c>
      <c r="H1436" s="1" t="s">
        <v>16</v>
      </c>
      <c r="I1436" s="6">
        <f>IF(B1436=0,VLOOKUP(A1436,Feuil2!$A$2:$M$1241,7,FALSE)," ")</f>
        <v>5560217</v>
      </c>
      <c r="J1436" s="1" t="str">
        <f>IF(B1436=0,VLOOKUP(A1436,Feuil2!$A$2:$M$1241,9,FALSE)," ")</f>
        <v>1 Rue Nidhal</v>
      </c>
      <c r="K1436" s="1" t="str">
        <f>IF(B1436=0,VLOOKUP(A1436,Feuil2!$A$2:$M$1241,10,FALSE)," ")</f>
        <v>Msaken 4070</v>
      </c>
      <c r="L1436" s="1">
        <v>4070</v>
      </c>
      <c r="M1436" s="1">
        <v>25905657</v>
      </c>
      <c r="N1436" s="1"/>
      <c r="O1436" s="8" t="str">
        <f>IF(B1436=0,VLOOKUP(A1436,Feuil2!$A$2:$M$1241,13,FALSE)," ")</f>
        <v>04204067001373985906</v>
      </c>
    </row>
    <row r="1437" spans="1:15" x14ac:dyDescent="0.3">
      <c r="A1437" s="1">
        <v>1867</v>
      </c>
      <c r="B1437" s="1">
        <v>1</v>
      </c>
      <c r="C1437" s="1" t="s">
        <v>42</v>
      </c>
      <c r="D1437" s="1" t="s">
        <v>2334</v>
      </c>
      <c r="E1437" s="5">
        <v>29333</v>
      </c>
      <c r="F1437" s="1" t="s">
        <v>17</v>
      </c>
      <c r="G1437" s="1" t="s">
        <v>15</v>
      </c>
      <c r="H1437" s="1" t="s">
        <v>16</v>
      </c>
      <c r="I1437" s="6" t="str">
        <f>IF(B1437=0,VLOOKUP(A1437,Feuil2!$A$2:$M$1241,7,FALSE)," ")</f>
        <v xml:space="preserve"> </v>
      </c>
      <c r="J1437" s="1" t="str">
        <f>IF(B1437=0,VLOOKUP(A1437,Feuil2!$A$2:$M$1241,9,FALSE)," ")</f>
        <v xml:space="preserve"> </v>
      </c>
      <c r="K1437" s="1" t="str">
        <f>IF(B1437=0,VLOOKUP(A1437,Feuil2!$A$2:$M$1241,10,FALSE)," ")</f>
        <v xml:space="preserve"> </v>
      </c>
      <c r="L1437" s="1"/>
      <c r="M1437" s="1"/>
      <c r="N1437" s="1"/>
      <c r="O1437" s="8" t="str">
        <f>IF(B1437=0,VLOOKUP(A1437,Feuil2!$A$2:$M$1241,13,FALSE)," ")</f>
        <v xml:space="preserve"> </v>
      </c>
    </row>
    <row r="1438" spans="1:15" x14ac:dyDescent="0.3">
      <c r="A1438" s="1">
        <v>1867</v>
      </c>
      <c r="B1438" s="1">
        <v>2</v>
      </c>
      <c r="C1438" s="1" t="s">
        <v>121</v>
      </c>
      <c r="D1438" s="1" t="s">
        <v>240</v>
      </c>
      <c r="E1438" s="5">
        <v>38512</v>
      </c>
      <c r="F1438" s="1" t="s">
        <v>506</v>
      </c>
      <c r="G1438" s="1" t="str">
        <f>IF(B1438=0,VLOOKUP(A1438,Feuil2!$A$2:$M$1241,11,FALSE)," ")</f>
        <v xml:space="preserve"> </v>
      </c>
      <c r="H1438" s="1" t="s">
        <v>16</v>
      </c>
      <c r="I1438" s="6" t="str">
        <f>IF(B1438=0,VLOOKUP(A1438,Feuil2!$A$2:$M$1241,7,FALSE)," ")</f>
        <v xml:space="preserve"> </v>
      </c>
      <c r="J1438" s="1" t="str">
        <f>IF(B1438=0,VLOOKUP(A1438,Feuil2!$A$2:$M$1241,9,FALSE)," ")</f>
        <v xml:space="preserve"> </v>
      </c>
      <c r="K1438" s="1" t="str">
        <f>IF(B1438=0,VLOOKUP(A1438,Feuil2!$A$2:$M$1241,10,FALSE)," ")</f>
        <v xml:space="preserve"> </v>
      </c>
      <c r="L1438" s="1"/>
      <c r="M1438" s="1"/>
      <c r="N1438" s="1"/>
      <c r="O1438" s="8" t="str">
        <f>IF(B1438=0,VLOOKUP(A1438,Feuil2!$A$2:$M$1241,13,FALSE)," ")</f>
        <v xml:space="preserve"> </v>
      </c>
    </row>
    <row r="1439" spans="1:15" x14ac:dyDescent="0.3">
      <c r="A1439" s="1">
        <v>1867</v>
      </c>
      <c r="B1439" s="1">
        <v>3</v>
      </c>
      <c r="C1439" s="1" t="s">
        <v>121</v>
      </c>
      <c r="D1439" s="1" t="s">
        <v>2367</v>
      </c>
      <c r="E1439" s="5">
        <v>39392</v>
      </c>
      <c r="F1439" s="1" t="s">
        <v>17</v>
      </c>
      <c r="G1439" s="1" t="str">
        <f>IF(B1439=0,VLOOKUP(A1439,Feuil2!$A$2:$M$1241,11,FALSE)," ")</f>
        <v xml:space="preserve"> </v>
      </c>
      <c r="H1439" s="1" t="s">
        <v>16</v>
      </c>
      <c r="I1439" s="6" t="str">
        <f>IF(B1439=0,VLOOKUP(A1439,Feuil2!$A$2:$M$1241,7,FALSE)," ")</f>
        <v xml:space="preserve"> </v>
      </c>
      <c r="J1439" s="1" t="str">
        <f>IF(B1439=0,VLOOKUP(A1439,Feuil2!$A$2:$M$1241,9,FALSE)," ")</f>
        <v xml:space="preserve"> </v>
      </c>
      <c r="K1439" s="1" t="str">
        <f>IF(B1439=0,VLOOKUP(A1439,Feuil2!$A$2:$M$1241,10,FALSE)," ")</f>
        <v xml:space="preserve"> </v>
      </c>
      <c r="L1439" s="1"/>
      <c r="M1439" s="1"/>
      <c r="N1439" s="1"/>
      <c r="O1439" s="8" t="str">
        <f>IF(B1439=0,VLOOKUP(A1439,Feuil2!$A$2:$M$1241,13,FALSE)," ")</f>
        <v xml:space="preserve"> </v>
      </c>
    </row>
    <row r="1440" spans="1:15" x14ac:dyDescent="0.3">
      <c r="A1440" s="1">
        <v>1867</v>
      </c>
      <c r="B1440" s="1">
        <v>4</v>
      </c>
      <c r="C1440" s="1" t="s">
        <v>121</v>
      </c>
      <c r="D1440" s="1" t="s">
        <v>2613</v>
      </c>
      <c r="E1440" s="5">
        <v>40173</v>
      </c>
      <c r="F1440" s="1" t="s">
        <v>17</v>
      </c>
      <c r="G1440" s="1" t="str">
        <f>IF(B1440=0,VLOOKUP(A1440,Feuil2!$A$2:$M$1241,11,FALSE)," ")</f>
        <v xml:space="preserve"> </v>
      </c>
      <c r="H1440" s="1" t="s">
        <v>16</v>
      </c>
      <c r="I1440" s="6" t="str">
        <f>IF(B1440=0,VLOOKUP(A1440,Feuil2!$A$2:$M$1241,7,FALSE)," ")</f>
        <v xml:space="preserve"> </v>
      </c>
      <c r="J1440" s="1" t="str">
        <f>IF(B1440=0,VLOOKUP(A1440,Feuil2!$A$2:$M$1241,9,FALSE)," ")</f>
        <v xml:space="preserve"> </v>
      </c>
      <c r="K1440" s="1" t="str">
        <f>IF(B1440=0,VLOOKUP(A1440,Feuil2!$A$2:$M$1241,10,FALSE)," ")</f>
        <v xml:space="preserve"> </v>
      </c>
      <c r="L1440" s="1"/>
      <c r="M1440" s="1"/>
      <c r="N1440" s="1"/>
      <c r="O1440" s="8" t="str">
        <f>IF(B1440=0,VLOOKUP(A1440,Feuil2!$A$2:$M$1241,13,FALSE)," ")</f>
        <v xml:space="preserve"> </v>
      </c>
    </row>
    <row r="1441" spans="1:15" x14ac:dyDescent="0.3">
      <c r="A1441" s="1">
        <v>1867</v>
      </c>
      <c r="B1441" s="1">
        <v>5</v>
      </c>
      <c r="C1441" s="1" t="s">
        <v>121</v>
      </c>
      <c r="D1441" s="1" t="s">
        <v>2332</v>
      </c>
      <c r="E1441" s="5">
        <v>42290</v>
      </c>
      <c r="F1441" s="1" t="s">
        <v>17</v>
      </c>
      <c r="G1441" s="1" t="str">
        <f>IF(B1441=0,VLOOKUP(A1441,Feuil2!$A$2:$M$1241,11,FALSE)," ")</f>
        <v xml:space="preserve"> </v>
      </c>
      <c r="H1441" s="1" t="s">
        <v>16</v>
      </c>
      <c r="I1441" s="6" t="str">
        <f>IF(B1441=0,VLOOKUP(A1441,Feuil2!$A$2:$M$1241,7,FALSE)," ")</f>
        <v xml:space="preserve"> </v>
      </c>
      <c r="J1441" s="1" t="str">
        <f>IF(B1441=0,VLOOKUP(A1441,Feuil2!$A$2:$M$1241,9,FALSE)," ")</f>
        <v xml:space="preserve"> </v>
      </c>
      <c r="K1441" s="1" t="str">
        <f>IF(B1441=0,VLOOKUP(A1441,Feuil2!$A$2:$M$1241,10,FALSE)," ")</f>
        <v xml:space="preserve"> </v>
      </c>
      <c r="L1441" s="1"/>
      <c r="M1441" s="1"/>
      <c r="N1441" s="1"/>
      <c r="O1441" s="8" t="str">
        <f>IF(B1441=0,VLOOKUP(A1441,Feuil2!$A$2:$M$1241,13,FALSE)," ")</f>
        <v xml:space="preserve"> </v>
      </c>
    </row>
    <row r="1442" spans="1:15" x14ac:dyDescent="0.3">
      <c r="A1442" s="1">
        <v>1871</v>
      </c>
      <c r="B1442" s="1">
        <v>0</v>
      </c>
      <c r="C1442" s="1" t="str">
        <f>IF(B1442=0,VLOOKUP(A1442,Feuil2!$A$2:$M$1241,2,FALSE)," ")</f>
        <v>LOGHMARI</v>
      </c>
      <c r="D1442" s="1" t="str">
        <f>IF(B1442=0,VLOOKUP(A1442,Feuil2!$A$2:$M$1241,3,FALSE)," ")</f>
        <v>HICHEM</v>
      </c>
      <c r="E1442" s="5">
        <f>IF(B1442=0,VLOOKUP(A1442,Feuil2!$A$2:$M$1241,6,FALSE)," ")</f>
        <v>28783</v>
      </c>
      <c r="F1442" s="1" t="str">
        <f>IF(B1442=0,VLOOKUP(A1442,Feuil2!$A$2:$M$1241,12,FALSE)," ")</f>
        <v>H</v>
      </c>
      <c r="G1442" s="1" t="str">
        <f>IF(B1442=0,VLOOKUP(A1442,Feuil2!$A$2:$M$1241,11,FALSE)," ")</f>
        <v>M</v>
      </c>
      <c r="H1442" s="1" t="s">
        <v>16</v>
      </c>
      <c r="I1442" s="6">
        <f>IF(B1442=0,VLOOKUP(A1442,Feuil2!$A$2:$M$1241,7,FALSE)," ")</f>
        <v>5564748</v>
      </c>
      <c r="J1442" s="1" t="str">
        <f>IF(B1442=0,VLOOKUP(A1442,Feuil2!$A$2:$M$1241,9,FALSE)," ")</f>
        <v>14 Rue El Imam El Mezri</v>
      </c>
      <c r="K1442" s="1" t="str">
        <f>IF(B1442=0,VLOOKUP(A1442,Feuil2!$A$2:$M$1241,10,FALSE)," ")</f>
        <v>Msaken 4070</v>
      </c>
      <c r="L1442" s="1">
        <v>4070</v>
      </c>
      <c r="M1442" s="1"/>
      <c r="N1442" s="1"/>
      <c r="O1442" s="8" t="str">
        <f>IF(B1442=0,VLOOKUP(A1442,Feuil2!$A$2:$M$1241,13,FALSE)," ")</f>
        <v>04204067404001183744</v>
      </c>
    </row>
    <row r="1443" spans="1:15" x14ac:dyDescent="0.3">
      <c r="A1443" s="1">
        <v>1871</v>
      </c>
      <c r="B1443" s="1">
        <v>1</v>
      </c>
      <c r="C1443" s="1" t="s">
        <v>381</v>
      </c>
      <c r="D1443" s="1" t="s">
        <v>2367</v>
      </c>
      <c r="E1443" s="5">
        <v>30655</v>
      </c>
      <c r="F1443" s="1" t="s">
        <v>17</v>
      </c>
      <c r="G1443" s="1" t="s">
        <v>15</v>
      </c>
      <c r="H1443" s="1" t="s">
        <v>16</v>
      </c>
      <c r="I1443" s="6" t="str">
        <f>IF(B1443=0,VLOOKUP(A1443,Feuil2!$A$2:$M$1241,7,FALSE)," ")</f>
        <v xml:space="preserve"> </v>
      </c>
      <c r="J1443" s="1" t="str">
        <f>IF(B1443=0,VLOOKUP(A1443,Feuil2!$A$2:$M$1241,9,FALSE)," ")</f>
        <v xml:space="preserve"> </v>
      </c>
      <c r="K1443" s="1" t="str">
        <f>IF(B1443=0,VLOOKUP(A1443,Feuil2!$A$2:$M$1241,10,FALSE)," ")</f>
        <v xml:space="preserve"> </v>
      </c>
      <c r="L1443" s="1"/>
      <c r="M1443" s="1"/>
      <c r="N1443" s="1"/>
      <c r="O1443" s="8" t="str">
        <f>IF(B1443=0,VLOOKUP(A1443,Feuil2!$A$2:$M$1241,13,FALSE)," ")</f>
        <v xml:space="preserve"> </v>
      </c>
    </row>
    <row r="1444" spans="1:15" x14ac:dyDescent="0.3">
      <c r="A1444" s="1">
        <v>1871</v>
      </c>
      <c r="B1444" s="1">
        <v>2</v>
      </c>
      <c r="C1444" s="1" t="s">
        <v>199</v>
      </c>
      <c r="D1444" s="1" t="s">
        <v>2099</v>
      </c>
      <c r="E1444" s="5">
        <v>40821</v>
      </c>
      <c r="F1444" s="1" t="s">
        <v>17</v>
      </c>
      <c r="G1444" s="1" t="str">
        <f>IF(B1444=0,VLOOKUP(A1444,Feuil2!$A$2:$M$1241,11,FALSE)," ")</f>
        <v xml:space="preserve"> </v>
      </c>
      <c r="H1444" s="1" t="s">
        <v>16</v>
      </c>
      <c r="I1444" s="6" t="str">
        <f>IF(B1444=0,VLOOKUP(A1444,Feuil2!$A$2:$M$1241,7,FALSE)," ")</f>
        <v xml:space="preserve"> </v>
      </c>
      <c r="J1444" s="1" t="str">
        <f>IF(B1444=0,VLOOKUP(A1444,Feuil2!$A$2:$M$1241,9,FALSE)," ")</f>
        <v xml:space="preserve"> </v>
      </c>
      <c r="K1444" s="1" t="str">
        <f>IF(B1444=0,VLOOKUP(A1444,Feuil2!$A$2:$M$1241,10,FALSE)," ")</f>
        <v xml:space="preserve"> </v>
      </c>
      <c r="L1444" s="1"/>
      <c r="M1444" s="1"/>
      <c r="N1444" s="1"/>
      <c r="O1444" s="8" t="str">
        <f>IF(B1444=0,VLOOKUP(A1444,Feuil2!$A$2:$M$1241,13,FALSE)," ")</f>
        <v xml:space="preserve"> </v>
      </c>
    </row>
    <row r="1445" spans="1:15" x14ac:dyDescent="0.3">
      <c r="A1445" s="1">
        <v>1871</v>
      </c>
      <c r="B1445" s="1">
        <v>3</v>
      </c>
      <c r="C1445" s="1" t="s">
        <v>199</v>
      </c>
      <c r="D1445" s="1" t="s">
        <v>2613</v>
      </c>
      <c r="E1445" s="5">
        <v>41559</v>
      </c>
      <c r="F1445" s="1" t="s">
        <v>17</v>
      </c>
      <c r="G1445" s="1" t="str">
        <f>IF(B1445=0,VLOOKUP(A1445,Feuil2!$A$2:$M$1241,11,FALSE)," ")</f>
        <v xml:space="preserve"> </v>
      </c>
      <c r="H1445" s="1" t="s">
        <v>16</v>
      </c>
      <c r="I1445" s="6" t="str">
        <f>IF(B1445=0,VLOOKUP(A1445,Feuil2!$A$2:$M$1241,7,FALSE)," ")</f>
        <v xml:space="preserve"> </v>
      </c>
      <c r="J1445" s="1" t="str">
        <f>IF(B1445=0,VLOOKUP(A1445,Feuil2!$A$2:$M$1241,9,FALSE)," ")</f>
        <v xml:space="preserve"> </v>
      </c>
      <c r="K1445" s="1" t="str">
        <f>IF(B1445=0,VLOOKUP(A1445,Feuil2!$A$2:$M$1241,10,FALSE)," ")</f>
        <v xml:space="preserve"> </v>
      </c>
      <c r="L1445" s="1"/>
      <c r="M1445" s="1"/>
      <c r="N1445" s="1"/>
      <c r="O1445" s="8" t="str">
        <f>IF(B1445=0,VLOOKUP(A1445,Feuil2!$A$2:$M$1241,13,FALSE)," ")</f>
        <v xml:space="preserve"> </v>
      </c>
    </row>
    <row r="1446" spans="1:15" x14ac:dyDescent="0.3">
      <c r="A1446" s="1">
        <v>1876</v>
      </c>
      <c r="B1446" s="1">
        <v>0</v>
      </c>
      <c r="C1446" s="1" t="str">
        <f>IF(B1446=0,VLOOKUP(A1446,Feuil2!$A$2:$M$1241,2,FALSE)," ")</f>
        <v>LADHERI</v>
      </c>
      <c r="D1446" s="1" t="str">
        <f>IF(B1446=0,VLOOKUP(A1446,Feuil2!$A$2:$M$1241,3,FALSE)," ")</f>
        <v>SAMI</v>
      </c>
      <c r="E1446" s="5">
        <f>IF(B1446=0,VLOOKUP(A1446,Feuil2!$A$2:$M$1241,6,FALSE)," ")</f>
        <v>28611</v>
      </c>
      <c r="F1446" s="1" t="str">
        <f>IF(B1446=0,VLOOKUP(A1446,Feuil2!$A$2:$M$1241,12,FALSE)," ")</f>
        <v>H</v>
      </c>
      <c r="G1446" s="1" t="str">
        <f>IF(B1446=0,VLOOKUP(A1446,Feuil2!$A$2:$M$1241,11,FALSE)," ")</f>
        <v>M</v>
      </c>
      <c r="H1446" s="1" t="s">
        <v>16</v>
      </c>
      <c r="I1446" s="6">
        <f>IF(B1446=0,VLOOKUP(A1446,Feuil2!$A$2:$M$1241,7,FALSE)," ")</f>
        <v>5586302</v>
      </c>
      <c r="J1446" s="1" t="str">
        <f>IF(B1446=0,VLOOKUP(A1446,Feuil2!$A$2:$M$1241,9,FALSE)," ")</f>
        <v>37 Rue de Sfax</v>
      </c>
      <c r="K1446" s="1" t="str">
        <f>IF(B1446=0,VLOOKUP(A1446,Feuil2!$A$2:$M$1241,10,FALSE)," ")</f>
        <v>Msaken 4070</v>
      </c>
      <c r="L1446" s="1">
        <v>4070</v>
      </c>
      <c r="M1446" s="1">
        <v>40308679</v>
      </c>
      <c r="N1446" s="1"/>
      <c r="O1446" s="8" t="str">
        <f>IF(B1446=0,VLOOKUP(A1446,Feuil2!$A$2:$M$1241,13,FALSE)," ")</f>
        <v>12505000580103818461</v>
      </c>
    </row>
    <row r="1447" spans="1:15" x14ac:dyDescent="0.3">
      <c r="A1447" s="1">
        <v>1876</v>
      </c>
      <c r="B1447" s="1">
        <v>1</v>
      </c>
      <c r="C1447" s="1" t="s">
        <v>2728</v>
      </c>
      <c r="D1447" s="1" t="s">
        <v>2367</v>
      </c>
      <c r="E1447" s="5">
        <v>30075</v>
      </c>
      <c r="F1447" s="1" t="s">
        <v>17</v>
      </c>
      <c r="G1447" s="1" t="s">
        <v>15</v>
      </c>
      <c r="H1447" s="1" t="s">
        <v>16</v>
      </c>
      <c r="I1447" s="6" t="str">
        <f>IF(B1447=0,VLOOKUP(A1447,Feuil2!$A$2:$M$1241,7,FALSE)," ")</f>
        <v xml:space="preserve"> </v>
      </c>
      <c r="J1447" s="1" t="str">
        <f>IF(B1447=0,VLOOKUP(A1447,Feuil2!$A$2:$M$1241,9,FALSE)," ")</f>
        <v xml:space="preserve"> </v>
      </c>
      <c r="K1447" s="1" t="str">
        <f>IF(B1447=0,VLOOKUP(A1447,Feuil2!$A$2:$M$1241,10,FALSE)," ")</f>
        <v xml:space="preserve"> </v>
      </c>
      <c r="L1447" s="1"/>
      <c r="M1447" s="1"/>
      <c r="N1447" s="1"/>
      <c r="O1447" s="8" t="str">
        <f>IF(B1447=0,VLOOKUP(A1447,Feuil2!$A$2:$M$1241,13,FALSE)," ")</f>
        <v xml:space="preserve"> </v>
      </c>
    </row>
    <row r="1448" spans="1:15" x14ac:dyDescent="0.3">
      <c r="A1448" s="1">
        <v>1876</v>
      </c>
      <c r="B1448" s="1">
        <v>2</v>
      </c>
      <c r="C1448" s="1" t="s">
        <v>354</v>
      </c>
      <c r="D1448" s="1" t="s">
        <v>2447</v>
      </c>
      <c r="E1448" s="5">
        <v>40347</v>
      </c>
      <c r="F1448" s="1" t="s">
        <v>17</v>
      </c>
      <c r="G1448" s="1" t="str">
        <f>IF(B1448=0,VLOOKUP(A1448,Feuil2!$A$2:$M$1241,11,FALSE)," ")</f>
        <v xml:space="preserve"> </v>
      </c>
      <c r="H1448" s="1" t="s">
        <v>16</v>
      </c>
      <c r="I1448" s="6" t="str">
        <f>IF(B1448=0,VLOOKUP(A1448,Feuil2!$A$2:$M$1241,7,FALSE)," ")</f>
        <v xml:space="preserve"> </v>
      </c>
      <c r="J1448" s="1" t="str">
        <f>IF(B1448=0,VLOOKUP(A1448,Feuil2!$A$2:$M$1241,9,FALSE)," ")</f>
        <v xml:space="preserve"> </v>
      </c>
      <c r="K1448" s="1" t="str">
        <f>IF(B1448=0,VLOOKUP(A1448,Feuil2!$A$2:$M$1241,10,FALSE)," ")</f>
        <v xml:space="preserve"> </v>
      </c>
      <c r="L1448" s="1"/>
      <c r="M1448" s="1"/>
      <c r="N1448" s="1"/>
      <c r="O1448" s="8" t="str">
        <f>IF(B1448=0,VLOOKUP(A1448,Feuil2!$A$2:$M$1241,13,FALSE)," ")</f>
        <v xml:space="preserve"> </v>
      </c>
    </row>
    <row r="1449" spans="1:15" x14ac:dyDescent="0.3">
      <c r="A1449" s="1">
        <v>1876</v>
      </c>
      <c r="B1449" s="1">
        <v>3</v>
      </c>
      <c r="C1449" s="1" t="s">
        <v>354</v>
      </c>
      <c r="D1449" s="1" t="s">
        <v>2613</v>
      </c>
      <c r="E1449" s="5">
        <v>40847</v>
      </c>
      <c r="F1449" s="1" t="s">
        <v>17</v>
      </c>
      <c r="G1449" s="1" t="str">
        <f>IF(B1449=0,VLOOKUP(A1449,Feuil2!$A$2:$M$1241,11,FALSE)," ")</f>
        <v xml:space="preserve"> </v>
      </c>
      <c r="H1449" s="1" t="s">
        <v>16</v>
      </c>
      <c r="I1449" s="6" t="str">
        <f>IF(B1449=0,VLOOKUP(A1449,Feuil2!$A$2:$M$1241,7,FALSE)," ")</f>
        <v xml:space="preserve"> </v>
      </c>
      <c r="J1449" s="1" t="str">
        <f>IF(B1449=0,VLOOKUP(A1449,Feuil2!$A$2:$M$1241,9,FALSE)," ")</f>
        <v xml:space="preserve"> </v>
      </c>
      <c r="K1449" s="1" t="str">
        <f>IF(B1449=0,VLOOKUP(A1449,Feuil2!$A$2:$M$1241,10,FALSE)," ")</f>
        <v xml:space="preserve"> </v>
      </c>
      <c r="L1449" s="1"/>
      <c r="M1449" s="1"/>
      <c r="N1449" s="1"/>
      <c r="O1449" s="8" t="str">
        <f>IF(B1449=0,VLOOKUP(A1449,Feuil2!$A$2:$M$1241,13,FALSE)," ")</f>
        <v xml:space="preserve"> </v>
      </c>
    </row>
    <row r="1450" spans="1:15" x14ac:dyDescent="0.3">
      <c r="A1450" s="1">
        <v>1876</v>
      </c>
      <c r="B1450" s="1">
        <v>4</v>
      </c>
      <c r="C1450" s="1" t="s">
        <v>354</v>
      </c>
      <c r="D1450" s="1" t="s">
        <v>2347</v>
      </c>
      <c r="E1450" s="5">
        <v>41778</v>
      </c>
      <c r="F1450" s="1" t="s">
        <v>506</v>
      </c>
      <c r="G1450" s="1" t="str">
        <f>IF(B1450=0,VLOOKUP(A1450,Feuil2!$A$2:$M$1241,11,FALSE)," ")</f>
        <v xml:space="preserve"> </v>
      </c>
      <c r="H1450" s="1" t="s">
        <v>16</v>
      </c>
      <c r="I1450" s="6" t="str">
        <f>IF(B1450=0,VLOOKUP(A1450,Feuil2!$A$2:$M$1241,7,FALSE)," ")</f>
        <v xml:space="preserve"> </v>
      </c>
      <c r="J1450" s="1" t="str">
        <f>IF(B1450=0,VLOOKUP(A1450,Feuil2!$A$2:$M$1241,9,FALSE)," ")</f>
        <v xml:space="preserve"> </v>
      </c>
      <c r="K1450" s="1" t="str">
        <f>IF(B1450=0,VLOOKUP(A1450,Feuil2!$A$2:$M$1241,10,FALSE)," ")</f>
        <v xml:space="preserve"> </v>
      </c>
      <c r="L1450" s="1"/>
      <c r="M1450" s="1"/>
      <c r="N1450" s="1"/>
      <c r="O1450" s="8" t="str">
        <f>IF(B1450=0,VLOOKUP(A1450,Feuil2!$A$2:$M$1241,13,FALSE)," ")</f>
        <v xml:space="preserve"> </v>
      </c>
    </row>
    <row r="1451" spans="1:15" x14ac:dyDescent="0.3">
      <c r="A1451" s="1">
        <v>1877</v>
      </c>
      <c r="B1451" s="1">
        <v>0</v>
      </c>
      <c r="C1451" s="1" t="str">
        <f>IF(B1451=0,VLOOKUP(A1451,Feuil2!$A$2:$M$1241,2,FALSE)," ")</f>
        <v>SOUSSI</v>
      </c>
      <c r="D1451" s="1" t="str">
        <f>IF(B1451=0,VLOOKUP(A1451,Feuil2!$A$2:$M$1241,3,FALSE)," ")</f>
        <v>MAHER</v>
      </c>
      <c r="E1451" s="5">
        <f>IF(B1451=0,VLOOKUP(A1451,Feuil2!$A$2:$M$1241,6,FALSE)," ")</f>
        <v>29504</v>
      </c>
      <c r="F1451" s="1" t="str">
        <f>IF(B1451=0,VLOOKUP(A1451,Feuil2!$A$2:$M$1241,12,FALSE)," ")</f>
        <v>H</v>
      </c>
      <c r="G1451" s="1" t="str">
        <f>IF(B1451=0,VLOOKUP(A1451,Feuil2!$A$2:$M$1241,11,FALSE)," ")</f>
        <v>M</v>
      </c>
      <c r="H1451" s="1" t="s">
        <v>16</v>
      </c>
      <c r="I1451" s="6">
        <f>IF(B1451=0,VLOOKUP(A1451,Feuil2!$A$2:$M$1241,7,FALSE)," ")</f>
        <v>5582729</v>
      </c>
      <c r="J1451" s="1" t="str">
        <f>IF(B1451=0,VLOOKUP(A1451,Feuil2!$A$2:$M$1241,9,FALSE)," ")</f>
        <v>Rue Tahar Haddad</v>
      </c>
      <c r="K1451" s="1" t="str">
        <f>IF(B1451=0,VLOOKUP(A1451,Feuil2!$A$2:$M$1241,10,FALSE)," ")</f>
        <v>Msaken 4070</v>
      </c>
      <c r="L1451" s="1">
        <v>4070</v>
      </c>
      <c r="M1451" s="1">
        <v>23859638</v>
      </c>
      <c r="N1451" s="1"/>
      <c r="O1451" s="8" t="str">
        <f>IF(B1451=0,VLOOKUP(A1451,Feuil2!$A$2:$M$1241,13,FALSE)," ")</f>
        <v>04204067404002204087</v>
      </c>
    </row>
    <row r="1452" spans="1:15" x14ac:dyDescent="0.3">
      <c r="A1452" s="1">
        <v>1877</v>
      </c>
      <c r="B1452" s="1">
        <v>1</v>
      </c>
      <c r="C1452" s="1" t="s">
        <v>614</v>
      </c>
      <c r="D1452" s="1" t="s">
        <v>2614</v>
      </c>
      <c r="E1452" s="5">
        <v>31323</v>
      </c>
      <c r="F1452" s="1" t="s">
        <v>17</v>
      </c>
      <c r="G1452" s="1" t="s">
        <v>15</v>
      </c>
      <c r="H1452" s="1" t="s">
        <v>16</v>
      </c>
      <c r="I1452" s="6" t="str">
        <f>IF(B1452=0,VLOOKUP(A1452,Feuil2!$A$2:$M$1241,7,FALSE)," ")</f>
        <v xml:space="preserve"> </v>
      </c>
      <c r="J1452" s="1" t="str">
        <f>IF(B1452=0,VLOOKUP(A1452,Feuil2!$A$2:$M$1241,9,FALSE)," ")</f>
        <v xml:space="preserve"> </v>
      </c>
      <c r="K1452" s="1" t="str">
        <f>IF(B1452=0,VLOOKUP(A1452,Feuil2!$A$2:$M$1241,10,FALSE)," ")</f>
        <v xml:space="preserve"> </v>
      </c>
      <c r="L1452" s="1"/>
      <c r="M1452" s="1"/>
      <c r="N1452" s="1"/>
      <c r="O1452" s="8" t="str">
        <f>IF(B1452=0,VLOOKUP(A1452,Feuil2!$A$2:$M$1241,13,FALSE)," ")</f>
        <v xml:space="preserve"> </v>
      </c>
    </row>
    <row r="1453" spans="1:15" x14ac:dyDescent="0.3">
      <c r="A1453" s="1">
        <v>1877</v>
      </c>
      <c r="B1453" s="1">
        <v>2</v>
      </c>
      <c r="C1453" s="1" t="s">
        <v>275</v>
      </c>
      <c r="D1453" s="1" t="s">
        <v>2530</v>
      </c>
      <c r="E1453" s="5">
        <v>40491</v>
      </c>
      <c r="F1453" s="1" t="s">
        <v>506</v>
      </c>
      <c r="G1453" s="1" t="str">
        <f>IF(B1453=0,VLOOKUP(A1453,Feuil2!$A$2:$M$1241,11,FALSE)," ")</f>
        <v xml:space="preserve"> </v>
      </c>
      <c r="H1453" s="1" t="s">
        <v>16</v>
      </c>
      <c r="I1453" s="6" t="str">
        <f>IF(B1453=0,VLOOKUP(A1453,Feuil2!$A$2:$M$1241,7,FALSE)," ")</f>
        <v xml:space="preserve"> </v>
      </c>
      <c r="J1453" s="1" t="str">
        <f>IF(B1453=0,VLOOKUP(A1453,Feuil2!$A$2:$M$1241,9,FALSE)," ")</f>
        <v xml:space="preserve"> </v>
      </c>
      <c r="K1453" s="1" t="str">
        <f>IF(B1453=0,VLOOKUP(A1453,Feuil2!$A$2:$M$1241,10,FALSE)," ")</f>
        <v xml:space="preserve"> </v>
      </c>
      <c r="L1453" s="1"/>
      <c r="M1453" s="1"/>
      <c r="N1453" s="1"/>
      <c r="O1453" s="8" t="str">
        <f>IF(B1453=0,VLOOKUP(A1453,Feuil2!$A$2:$M$1241,13,FALSE)," ")</f>
        <v xml:space="preserve"> </v>
      </c>
    </row>
    <row r="1454" spans="1:15" x14ac:dyDescent="0.3">
      <c r="A1454" s="1">
        <v>1877</v>
      </c>
      <c r="B1454" s="1">
        <v>3</v>
      </c>
      <c r="C1454" s="1" t="s">
        <v>275</v>
      </c>
      <c r="D1454" s="1" t="s">
        <v>2422</v>
      </c>
      <c r="E1454" s="5">
        <v>41489</v>
      </c>
      <c r="F1454" s="1" t="s">
        <v>17</v>
      </c>
      <c r="G1454" s="1" t="str">
        <f>IF(B1454=0,VLOOKUP(A1454,Feuil2!$A$2:$M$1241,11,FALSE)," ")</f>
        <v xml:space="preserve"> </v>
      </c>
      <c r="H1454" s="1" t="s">
        <v>16</v>
      </c>
      <c r="I1454" s="6" t="str">
        <f>IF(B1454=0,VLOOKUP(A1454,Feuil2!$A$2:$M$1241,7,FALSE)," ")</f>
        <v xml:space="preserve"> </v>
      </c>
      <c r="J1454" s="1" t="str">
        <f>IF(B1454=0,VLOOKUP(A1454,Feuil2!$A$2:$M$1241,9,FALSE)," ")</f>
        <v xml:space="preserve"> </v>
      </c>
      <c r="K1454" s="1" t="str">
        <f>IF(B1454=0,VLOOKUP(A1454,Feuil2!$A$2:$M$1241,10,FALSE)," ")</f>
        <v xml:space="preserve"> </v>
      </c>
      <c r="L1454" s="1"/>
      <c r="M1454" s="1"/>
      <c r="N1454" s="1"/>
      <c r="O1454" s="8" t="str">
        <f>IF(B1454=0,VLOOKUP(A1454,Feuil2!$A$2:$M$1241,13,FALSE)," ")</f>
        <v xml:space="preserve"> </v>
      </c>
    </row>
    <row r="1455" spans="1:15" x14ac:dyDescent="0.3">
      <c r="A1455" s="1">
        <v>1877</v>
      </c>
      <c r="B1455" s="1">
        <v>4</v>
      </c>
      <c r="C1455" s="1" t="s">
        <v>275</v>
      </c>
      <c r="D1455" s="1" t="s">
        <v>2465</v>
      </c>
      <c r="E1455" s="5">
        <v>43621</v>
      </c>
      <c r="F1455" s="1" t="s">
        <v>506</v>
      </c>
      <c r="G1455" s="1" t="str">
        <f>IF(B1455=0,VLOOKUP(A1455,Feuil2!$A$2:$M$1241,11,FALSE)," ")</f>
        <v xml:space="preserve"> </v>
      </c>
      <c r="H1455" s="1" t="s">
        <v>16</v>
      </c>
      <c r="I1455" s="6" t="str">
        <f>IF(B1455=0,VLOOKUP(A1455,Feuil2!$A$2:$M$1241,7,FALSE)," ")</f>
        <v xml:space="preserve"> </v>
      </c>
      <c r="J1455" s="1" t="str">
        <f>IF(B1455=0,VLOOKUP(A1455,Feuil2!$A$2:$M$1241,9,FALSE)," ")</f>
        <v xml:space="preserve"> </v>
      </c>
      <c r="K1455" s="1" t="str">
        <f>IF(B1455=0,VLOOKUP(A1455,Feuil2!$A$2:$M$1241,10,FALSE)," ")</f>
        <v xml:space="preserve"> </v>
      </c>
      <c r="L1455" s="1"/>
      <c r="M1455" s="1"/>
      <c r="N1455" s="1"/>
      <c r="O1455" s="8" t="str">
        <f>IF(B1455=0,VLOOKUP(A1455,Feuil2!$A$2:$M$1241,13,FALSE)," ")</f>
        <v xml:space="preserve"> </v>
      </c>
    </row>
    <row r="1456" spans="1:15" x14ac:dyDescent="0.3">
      <c r="A1456" s="1">
        <v>1884</v>
      </c>
      <c r="B1456" s="1">
        <v>0</v>
      </c>
      <c r="C1456" s="1" t="str">
        <f>IF(B1456=0,VLOOKUP(A1456,Feuil2!$A$2:$M$1241,2,FALSE)," ")</f>
        <v>BELKHIRIA</v>
      </c>
      <c r="D1456" s="1" t="str">
        <f>IF(B1456=0,VLOOKUP(A1456,Feuil2!$A$2:$M$1241,3,FALSE)," ")</f>
        <v>HAYKEL</v>
      </c>
      <c r="E1456" s="5">
        <f>IF(B1456=0,VLOOKUP(A1456,Feuil2!$A$2:$M$1241,6,FALSE)," ")</f>
        <v>30730</v>
      </c>
      <c r="F1456" s="1" t="str">
        <f>IF(B1456=0,VLOOKUP(A1456,Feuil2!$A$2:$M$1241,12,FALSE)," ")</f>
        <v>H</v>
      </c>
      <c r="G1456" s="1" t="str">
        <f>IF(B1456=0,VLOOKUP(A1456,Feuil2!$A$2:$M$1241,11,FALSE)," ")</f>
        <v>M</v>
      </c>
      <c r="H1456" s="1" t="s">
        <v>16</v>
      </c>
      <c r="I1456" s="6">
        <f>IF(B1456=0,VLOOKUP(A1456,Feuil2!$A$2:$M$1241,7,FALSE)," ")</f>
        <v>8460516</v>
      </c>
      <c r="J1456" s="1" t="str">
        <f>IF(B1456=0,VLOOKUP(A1456,Feuil2!$A$2:$M$1241,9,FALSE)," ")</f>
        <v>46 Rue 15 Octobre</v>
      </c>
      <c r="K1456" s="1" t="str">
        <f>IF(B1456=0,VLOOKUP(A1456,Feuil2!$A$2:$M$1241,10,FALSE)," ")</f>
        <v>CitÃ© Ezzouhour</v>
      </c>
      <c r="L1456" s="1"/>
      <c r="M1456" s="1">
        <v>25346745</v>
      </c>
      <c r="N1456" s="1"/>
      <c r="O1456" s="8" t="str">
        <f>IF(B1456=0,VLOOKUP(A1456,Feuil2!$A$2:$M$1241,13,FALSE)," ")</f>
        <v>20009090001148364675</v>
      </c>
    </row>
    <row r="1457" spans="1:15" x14ac:dyDescent="0.3">
      <c r="A1457" s="1">
        <v>1884</v>
      </c>
      <c r="B1457" s="1">
        <v>1</v>
      </c>
      <c r="C1457" s="1" t="s">
        <v>2729</v>
      </c>
      <c r="D1457" s="1" t="s">
        <v>2730</v>
      </c>
      <c r="E1457" s="5">
        <v>31905</v>
      </c>
      <c r="F1457" s="1" t="s">
        <v>17</v>
      </c>
      <c r="G1457" s="1" t="s">
        <v>15</v>
      </c>
      <c r="H1457" s="1" t="s">
        <v>16</v>
      </c>
      <c r="I1457" s="6" t="str">
        <f>IF(B1457=0,VLOOKUP(A1457,Feuil2!$A$2:$M$1241,7,FALSE)," ")</f>
        <v xml:space="preserve"> </v>
      </c>
      <c r="J1457" s="1" t="str">
        <f>IF(B1457=0,VLOOKUP(A1457,Feuil2!$A$2:$M$1241,9,FALSE)," ")</f>
        <v xml:space="preserve"> </v>
      </c>
      <c r="K1457" s="1" t="str">
        <f>IF(B1457=0,VLOOKUP(A1457,Feuil2!$A$2:$M$1241,10,FALSE)," ")</f>
        <v xml:space="preserve"> </v>
      </c>
      <c r="L1457" s="1"/>
      <c r="M1457" s="1"/>
      <c r="N1457" s="1"/>
      <c r="O1457" s="8" t="str">
        <f>IF(B1457=0,VLOOKUP(A1457,Feuil2!$A$2:$M$1241,13,FALSE)," ")</f>
        <v xml:space="preserve"> </v>
      </c>
    </row>
    <row r="1458" spans="1:15" x14ac:dyDescent="0.3">
      <c r="A1458" s="1">
        <v>1884</v>
      </c>
      <c r="B1458" s="1">
        <v>2</v>
      </c>
      <c r="C1458" s="1" t="s">
        <v>1821</v>
      </c>
      <c r="D1458" s="1" t="s">
        <v>2731</v>
      </c>
      <c r="E1458" s="5">
        <v>41041</v>
      </c>
      <c r="F1458" s="1" t="s">
        <v>506</v>
      </c>
      <c r="G1458" s="1" t="str">
        <f>IF(B1458=0,VLOOKUP(A1458,Feuil2!$A$2:$M$1241,11,FALSE)," ")</f>
        <v xml:space="preserve"> </v>
      </c>
      <c r="H1458" s="1" t="s">
        <v>16</v>
      </c>
      <c r="I1458" s="6" t="str">
        <f>IF(B1458=0,VLOOKUP(A1458,Feuil2!$A$2:$M$1241,7,FALSE)," ")</f>
        <v xml:space="preserve"> </v>
      </c>
      <c r="J1458" s="1" t="str">
        <f>IF(B1458=0,VLOOKUP(A1458,Feuil2!$A$2:$M$1241,9,FALSE)," ")</f>
        <v xml:space="preserve"> </v>
      </c>
      <c r="K1458" s="1" t="str">
        <f>IF(B1458=0,VLOOKUP(A1458,Feuil2!$A$2:$M$1241,10,FALSE)," ")</f>
        <v xml:space="preserve"> </v>
      </c>
      <c r="L1458" s="1"/>
      <c r="M1458" s="1"/>
      <c r="N1458" s="1"/>
      <c r="O1458" s="8" t="str">
        <f>IF(B1458=0,VLOOKUP(A1458,Feuil2!$A$2:$M$1241,13,FALSE)," ")</f>
        <v xml:space="preserve"> </v>
      </c>
    </row>
    <row r="1459" spans="1:15" x14ac:dyDescent="0.3">
      <c r="A1459" s="1">
        <v>1884</v>
      </c>
      <c r="B1459" s="1">
        <v>3</v>
      </c>
      <c r="C1459" s="1" t="s">
        <v>1821</v>
      </c>
      <c r="D1459" s="1" t="s">
        <v>2677</v>
      </c>
      <c r="E1459" s="5">
        <v>41705</v>
      </c>
      <c r="F1459" s="1" t="s">
        <v>17</v>
      </c>
      <c r="G1459" s="1" t="str">
        <f>IF(B1459=0,VLOOKUP(A1459,Feuil2!$A$2:$M$1241,11,FALSE)," ")</f>
        <v xml:space="preserve"> </v>
      </c>
      <c r="H1459" s="1" t="s">
        <v>16</v>
      </c>
      <c r="I1459" s="6" t="str">
        <f>IF(B1459=0,VLOOKUP(A1459,Feuil2!$A$2:$M$1241,7,FALSE)," ")</f>
        <v xml:space="preserve"> </v>
      </c>
      <c r="J1459" s="1" t="str">
        <f>IF(B1459=0,VLOOKUP(A1459,Feuil2!$A$2:$M$1241,9,FALSE)," ")</f>
        <v xml:space="preserve"> </v>
      </c>
      <c r="K1459" s="1" t="str">
        <f>IF(B1459=0,VLOOKUP(A1459,Feuil2!$A$2:$M$1241,10,FALSE)," ")</f>
        <v xml:space="preserve"> </v>
      </c>
      <c r="L1459" s="1"/>
      <c r="M1459" s="1"/>
      <c r="N1459" s="1"/>
      <c r="O1459" s="8" t="str">
        <f>IF(B1459=0,VLOOKUP(A1459,Feuil2!$A$2:$M$1241,13,FALSE)," ")</f>
        <v xml:space="preserve"> </v>
      </c>
    </row>
    <row r="1460" spans="1:15" x14ac:dyDescent="0.3">
      <c r="A1460" s="1">
        <v>1884</v>
      </c>
      <c r="B1460" s="1">
        <v>4</v>
      </c>
      <c r="C1460" s="1" t="s">
        <v>1821</v>
      </c>
      <c r="D1460" s="1" t="s">
        <v>2422</v>
      </c>
      <c r="E1460" s="5">
        <v>41705</v>
      </c>
      <c r="F1460" s="1" t="s">
        <v>17</v>
      </c>
      <c r="G1460" s="1" t="str">
        <f>IF(B1460=0,VLOOKUP(A1460,Feuil2!$A$2:$M$1241,11,FALSE)," ")</f>
        <v xml:space="preserve"> </v>
      </c>
      <c r="H1460" s="1" t="s">
        <v>16</v>
      </c>
      <c r="I1460" s="6" t="str">
        <f>IF(B1460=0,VLOOKUP(A1460,Feuil2!$A$2:$M$1241,7,FALSE)," ")</f>
        <v xml:space="preserve"> </v>
      </c>
      <c r="J1460" s="1" t="str">
        <f>IF(B1460=0,VLOOKUP(A1460,Feuil2!$A$2:$M$1241,9,FALSE)," ")</f>
        <v xml:space="preserve"> </v>
      </c>
      <c r="K1460" s="1" t="str">
        <f>IF(B1460=0,VLOOKUP(A1460,Feuil2!$A$2:$M$1241,10,FALSE)," ")</f>
        <v xml:space="preserve"> </v>
      </c>
      <c r="L1460" s="1"/>
      <c r="M1460" s="1"/>
      <c r="N1460" s="1"/>
      <c r="O1460" s="8" t="str">
        <f>IF(B1460=0,VLOOKUP(A1460,Feuil2!$A$2:$M$1241,13,FALSE)," ")</f>
        <v xml:space="preserve"> </v>
      </c>
    </row>
    <row r="1461" spans="1:15" x14ac:dyDescent="0.3">
      <c r="A1461" s="1">
        <v>1887</v>
      </c>
      <c r="B1461" s="1">
        <v>0</v>
      </c>
      <c r="C1461" s="1" t="str">
        <f>IF(B1461=0,VLOOKUP(A1461,Feuil2!$A$2:$M$1241,2,FALSE)," ")</f>
        <v>BEN SALAH</v>
      </c>
      <c r="D1461" s="1" t="str">
        <f>IF(B1461=0,VLOOKUP(A1461,Feuil2!$A$2:$M$1241,3,FALSE)," ")</f>
        <v>HATEM</v>
      </c>
      <c r="E1461" s="5">
        <f>IF(B1461=0,VLOOKUP(A1461,Feuil2!$A$2:$M$1241,6,FALSE)," ")</f>
        <v>30161</v>
      </c>
      <c r="F1461" s="1" t="str">
        <f>IF(B1461=0,VLOOKUP(A1461,Feuil2!$A$2:$M$1241,12,FALSE)," ")</f>
        <v>H</v>
      </c>
      <c r="G1461" s="1" t="str">
        <f>IF(B1461=0,VLOOKUP(A1461,Feuil2!$A$2:$M$1241,11,FALSE)," ")</f>
        <v>M</v>
      </c>
      <c r="H1461" s="1" t="s">
        <v>16</v>
      </c>
      <c r="I1461" s="6">
        <f>IF(B1461=0,VLOOKUP(A1461,Feuil2!$A$2:$M$1241,7,FALSE)," ")</f>
        <v>8442074</v>
      </c>
      <c r="J1461" s="1" t="str">
        <f>IF(B1461=0,VLOOKUP(A1461,Feuil2!$A$2:$M$1241,9,FALSE)," ")</f>
        <v>NULL</v>
      </c>
      <c r="K1461" s="1" t="str">
        <f>IF(B1461=0,VLOOKUP(A1461,Feuil2!$A$2:$M$1241,10,FALSE)," ")</f>
        <v>Knaies 4014</v>
      </c>
      <c r="L1461" s="1">
        <v>4014</v>
      </c>
      <c r="M1461" s="1">
        <v>23050940</v>
      </c>
      <c r="N1461" s="1"/>
      <c r="O1461" s="8" t="str">
        <f>IF(B1461=0,VLOOKUP(A1461,Feuil2!$A$2:$M$1241,13,FALSE)," ")</f>
        <v>04204067404002177897</v>
      </c>
    </row>
    <row r="1462" spans="1:15" x14ac:dyDescent="0.3">
      <c r="A1462" s="1">
        <v>1887</v>
      </c>
      <c r="B1462" s="1">
        <v>1</v>
      </c>
      <c r="C1462" s="1" t="s">
        <v>866</v>
      </c>
      <c r="D1462" s="1" t="s">
        <v>2367</v>
      </c>
      <c r="E1462" s="5">
        <v>33820</v>
      </c>
      <c r="F1462" s="1" t="s">
        <v>17</v>
      </c>
      <c r="G1462" s="1" t="s">
        <v>15</v>
      </c>
      <c r="H1462" s="1" t="s">
        <v>16</v>
      </c>
      <c r="I1462" s="6" t="str">
        <f>IF(B1462=0,VLOOKUP(A1462,Feuil2!$A$2:$M$1241,7,FALSE)," ")</f>
        <v xml:space="preserve"> </v>
      </c>
      <c r="J1462" s="1" t="str">
        <f>IF(B1462=0,VLOOKUP(A1462,Feuil2!$A$2:$M$1241,9,FALSE)," ")</f>
        <v xml:space="preserve"> </v>
      </c>
      <c r="K1462" s="1" t="str">
        <f>IF(B1462=0,VLOOKUP(A1462,Feuil2!$A$2:$M$1241,10,FALSE)," ")</f>
        <v xml:space="preserve"> </v>
      </c>
      <c r="L1462" s="1"/>
      <c r="M1462" s="1"/>
      <c r="N1462" s="1"/>
      <c r="O1462" s="8" t="str">
        <f>IF(B1462=0,VLOOKUP(A1462,Feuil2!$A$2:$M$1241,13,FALSE)," ")</f>
        <v xml:space="preserve"> </v>
      </c>
    </row>
    <row r="1463" spans="1:15" x14ac:dyDescent="0.3">
      <c r="A1463" s="1">
        <v>1887</v>
      </c>
      <c r="B1463" s="1">
        <v>2</v>
      </c>
      <c r="C1463" s="1" t="s">
        <v>1826</v>
      </c>
      <c r="D1463" s="1" t="s">
        <v>125</v>
      </c>
      <c r="E1463" s="5">
        <v>41816</v>
      </c>
      <c r="F1463" s="1" t="s">
        <v>506</v>
      </c>
      <c r="G1463" s="1" t="str">
        <f>IF(B1463=0,VLOOKUP(A1463,Feuil2!$A$2:$M$1241,11,FALSE)," ")</f>
        <v xml:space="preserve"> </v>
      </c>
      <c r="H1463" s="1" t="s">
        <v>16</v>
      </c>
      <c r="I1463" s="6" t="str">
        <f>IF(B1463=0,VLOOKUP(A1463,Feuil2!$A$2:$M$1241,7,FALSE)," ")</f>
        <v xml:space="preserve"> </v>
      </c>
      <c r="J1463" s="1" t="str">
        <f>IF(B1463=0,VLOOKUP(A1463,Feuil2!$A$2:$M$1241,9,FALSE)," ")</f>
        <v xml:space="preserve"> </v>
      </c>
      <c r="K1463" s="1" t="str">
        <f>IF(B1463=0,VLOOKUP(A1463,Feuil2!$A$2:$M$1241,10,FALSE)," ")</f>
        <v xml:space="preserve"> </v>
      </c>
      <c r="L1463" s="1"/>
      <c r="M1463" s="1"/>
      <c r="N1463" s="1"/>
      <c r="O1463" s="8" t="str">
        <f>IF(B1463=0,VLOOKUP(A1463,Feuil2!$A$2:$M$1241,13,FALSE)," ")</f>
        <v xml:space="preserve"> </v>
      </c>
    </row>
    <row r="1464" spans="1:15" x14ac:dyDescent="0.3">
      <c r="A1464" s="1">
        <v>1887</v>
      </c>
      <c r="B1464" s="1">
        <v>3</v>
      </c>
      <c r="C1464" s="1" t="s">
        <v>1826</v>
      </c>
      <c r="D1464" s="1" t="s">
        <v>2732</v>
      </c>
      <c r="E1464" s="5">
        <v>43429</v>
      </c>
      <c r="F1464" s="1" t="s">
        <v>17</v>
      </c>
      <c r="G1464" s="1" t="str">
        <f>IF(B1464=0,VLOOKUP(A1464,Feuil2!$A$2:$M$1241,11,FALSE)," ")</f>
        <v xml:space="preserve"> </v>
      </c>
      <c r="H1464" s="1" t="s">
        <v>16</v>
      </c>
      <c r="I1464" s="6" t="str">
        <f>IF(B1464=0,VLOOKUP(A1464,Feuil2!$A$2:$M$1241,7,FALSE)," ")</f>
        <v xml:space="preserve"> </v>
      </c>
      <c r="J1464" s="1" t="str">
        <f>IF(B1464=0,VLOOKUP(A1464,Feuil2!$A$2:$M$1241,9,FALSE)," ")</f>
        <v xml:space="preserve"> </v>
      </c>
      <c r="K1464" s="1" t="str">
        <f>IF(B1464=0,VLOOKUP(A1464,Feuil2!$A$2:$M$1241,10,FALSE)," ")</f>
        <v xml:space="preserve"> </v>
      </c>
      <c r="L1464" s="1"/>
      <c r="M1464" s="1"/>
      <c r="N1464" s="1"/>
      <c r="O1464" s="8" t="str">
        <f>IF(B1464=0,VLOOKUP(A1464,Feuil2!$A$2:$M$1241,13,FALSE)," ")</f>
        <v xml:space="preserve"> </v>
      </c>
    </row>
    <row r="1465" spans="1:15" x14ac:dyDescent="0.3">
      <c r="A1465" s="1">
        <v>1887</v>
      </c>
      <c r="B1465" s="1">
        <v>4</v>
      </c>
      <c r="C1465" s="1" t="s">
        <v>1826</v>
      </c>
      <c r="D1465" s="1" t="s">
        <v>149</v>
      </c>
      <c r="E1465" s="5">
        <v>44053</v>
      </c>
      <c r="F1465" s="1" t="s">
        <v>506</v>
      </c>
      <c r="G1465" s="1" t="str">
        <f>IF(B1465=0,VLOOKUP(A1465,Feuil2!$A$2:$M$1241,11,FALSE)," ")</f>
        <v xml:space="preserve"> </v>
      </c>
      <c r="H1465" s="1" t="s">
        <v>16</v>
      </c>
      <c r="I1465" s="6" t="str">
        <f>IF(B1465=0,VLOOKUP(A1465,Feuil2!$A$2:$M$1241,7,FALSE)," ")</f>
        <v xml:space="preserve"> </v>
      </c>
      <c r="J1465" s="1" t="str">
        <f>IF(B1465=0,VLOOKUP(A1465,Feuil2!$A$2:$M$1241,9,FALSE)," ")</f>
        <v xml:space="preserve"> </v>
      </c>
      <c r="K1465" s="1" t="str">
        <f>IF(B1465=0,VLOOKUP(A1465,Feuil2!$A$2:$M$1241,10,FALSE)," ")</f>
        <v xml:space="preserve"> </v>
      </c>
      <c r="L1465" s="1"/>
      <c r="M1465" s="1"/>
      <c r="N1465" s="1"/>
      <c r="O1465" s="8" t="str">
        <f>IF(B1465=0,VLOOKUP(A1465,Feuil2!$A$2:$M$1241,13,FALSE)," ")</f>
        <v xml:space="preserve"> </v>
      </c>
    </row>
    <row r="1466" spans="1:15" x14ac:dyDescent="0.3">
      <c r="A1466" s="1">
        <v>1896</v>
      </c>
      <c r="B1466" s="1">
        <v>0</v>
      </c>
      <c r="C1466" s="1" t="str">
        <f>IF(B1466=0,VLOOKUP(A1466,Feuil2!$A$2:$M$1241,2,FALSE)," ")</f>
        <v>LAJIMI</v>
      </c>
      <c r="D1466" s="1" t="str">
        <f>IF(B1466=0,VLOOKUP(A1466,Feuil2!$A$2:$M$1241,3,FALSE)," ")</f>
        <v>ABDELKADER</v>
      </c>
      <c r="E1466" s="5">
        <f>IF(B1466=0,VLOOKUP(A1466,Feuil2!$A$2:$M$1241,6,FALSE)," ")</f>
        <v>28375</v>
      </c>
      <c r="F1466" s="1" t="str">
        <f>IF(B1466=0,VLOOKUP(A1466,Feuil2!$A$2:$M$1241,12,FALSE)," ")</f>
        <v>H</v>
      </c>
      <c r="G1466" s="1" t="str">
        <f>IF(B1466=0,VLOOKUP(A1466,Feuil2!$A$2:$M$1241,11,FALSE)," ")</f>
        <v>M</v>
      </c>
      <c r="H1466" s="1" t="s">
        <v>16</v>
      </c>
      <c r="I1466" s="6">
        <f>IF(B1466=0,VLOOKUP(A1466,Feuil2!$A$2:$M$1241,7,FALSE)," ")</f>
        <v>5562668</v>
      </c>
      <c r="J1466" s="1" t="str">
        <f>IF(B1466=0,VLOOKUP(A1466,Feuil2!$A$2:$M$1241,9,FALSE)," ")</f>
        <v>8,R Kaab Ibn Zouhaier</v>
      </c>
      <c r="K1466" s="1" t="str">
        <f>IF(B1466=0,VLOOKUP(A1466,Feuil2!$A$2:$M$1241,10,FALSE)," ")</f>
        <v>CitÃ© Erriadh</v>
      </c>
      <c r="L1466" s="1"/>
      <c r="M1466" s="1">
        <v>97259386</v>
      </c>
      <c r="N1466" s="1"/>
      <c r="O1466" s="8" t="str">
        <f>IF(B1466=0,VLOOKUP(A1466,Feuil2!$A$2:$M$1241,13,FALSE)," ")</f>
        <v>12033000000209881779</v>
      </c>
    </row>
    <row r="1467" spans="1:15" x14ac:dyDescent="0.3">
      <c r="A1467" s="1">
        <v>1896</v>
      </c>
      <c r="B1467" s="1">
        <v>1</v>
      </c>
      <c r="C1467" s="1" t="s">
        <v>2733</v>
      </c>
      <c r="D1467" s="1" t="s">
        <v>2552</v>
      </c>
      <c r="E1467" s="5">
        <v>30808</v>
      </c>
      <c r="F1467" s="1" t="s">
        <v>17</v>
      </c>
      <c r="G1467" s="1" t="s">
        <v>15</v>
      </c>
      <c r="H1467" s="1" t="s">
        <v>16</v>
      </c>
      <c r="I1467" s="6" t="str">
        <f>IF(B1467=0,VLOOKUP(A1467,Feuil2!$A$2:$M$1241,7,FALSE)," ")</f>
        <v xml:space="preserve"> </v>
      </c>
      <c r="J1467" s="1" t="str">
        <f>IF(B1467=0,VLOOKUP(A1467,Feuil2!$A$2:$M$1241,9,FALSE)," ")</f>
        <v xml:space="preserve"> </v>
      </c>
      <c r="K1467" s="1" t="str">
        <f>IF(B1467=0,VLOOKUP(A1467,Feuil2!$A$2:$M$1241,10,FALSE)," ")</f>
        <v xml:space="preserve"> </v>
      </c>
      <c r="L1467" s="1"/>
      <c r="M1467" s="1"/>
      <c r="N1467" s="1"/>
      <c r="O1467" s="8" t="str">
        <f>IF(B1467=0,VLOOKUP(A1467,Feuil2!$A$2:$M$1241,13,FALSE)," ")</f>
        <v xml:space="preserve"> </v>
      </c>
    </row>
    <row r="1468" spans="1:15" x14ac:dyDescent="0.3">
      <c r="A1468" s="1">
        <v>1896</v>
      </c>
      <c r="B1468" s="1">
        <v>2</v>
      </c>
      <c r="C1468" s="1" t="s">
        <v>295</v>
      </c>
      <c r="D1468" s="1" t="s">
        <v>2288</v>
      </c>
      <c r="E1468" s="5">
        <v>39977</v>
      </c>
      <c r="F1468" s="1" t="s">
        <v>506</v>
      </c>
      <c r="G1468" s="1" t="str">
        <f>IF(B1468=0,VLOOKUP(A1468,Feuil2!$A$2:$M$1241,11,FALSE)," ")</f>
        <v xml:space="preserve"> </v>
      </c>
      <c r="H1468" s="1" t="s">
        <v>16</v>
      </c>
      <c r="I1468" s="6" t="str">
        <f>IF(B1468=0,VLOOKUP(A1468,Feuil2!$A$2:$M$1241,7,FALSE)," ")</f>
        <v xml:space="preserve"> </v>
      </c>
      <c r="J1468" s="1" t="str">
        <f>IF(B1468=0,VLOOKUP(A1468,Feuil2!$A$2:$M$1241,9,FALSE)," ")</f>
        <v xml:space="preserve"> </v>
      </c>
      <c r="K1468" s="1" t="str">
        <f>IF(B1468=0,VLOOKUP(A1468,Feuil2!$A$2:$M$1241,10,FALSE)," ")</f>
        <v xml:space="preserve"> </v>
      </c>
      <c r="L1468" s="1"/>
      <c r="M1468" s="1"/>
      <c r="N1468" s="1"/>
      <c r="O1468" s="8" t="str">
        <f>IF(B1468=0,VLOOKUP(A1468,Feuil2!$A$2:$M$1241,13,FALSE)," ")</f>
        <v xml:space="preserve"> </v>
      </c>
    </row>
    <row r="1469" spans="1:15" x14ac:dyDescent="0.3">
      <c r="A1469" s="1">
        <v>1896</v>
      </c>
      <c r="B1469" s="1">
        <v>3</v>
      </c>
      <c r="C1469" s="1" t="s">
        <v>295</v>
      </c>
      <c r="D1469" s="1" t="s">
        <v>2500</v>
      </c>
      <c r="E1469" s="5">
        <v>41940</v>
      </c>
      <c r="F1469" s="1" t="s">
        <v>17</v>
      </c>
      <c r="G1469" s="1" t="str">
        <f>IF(B1469=0,VLOOKUP(A1469,Feuil2!$A$2:$M$1241,11,FALSE)," ")</f>
        <v xml:space="preserve"> </v>
      </c>
      <c r="H1469" s="1" t="s">
        <v>16</v>
      </c>
      <c r="I1469" s="6" t="str">
        <f>IF(B1469=0,VLOOKUP(A1469,Feuil2!$A$2:$M$1241,7,FALSE)," ")</f>
        <v xml:space="preserve"> </v>
      </c>
      <c r="J1469" s="1" t="str">
        <f>IF(B1469=0,VLOOKUP(A1469,Feuil2!$A$2:$M$1241,9,FALSE)," ")</f>
        <v xml:space="preserve"> </v>
      </c>
      <c r="K1469" s="1" t="str">
        <f>IF(B1469=0,VLOOKUP(A1469,Feuil2!$A$2:$M$1241,10,FALSE)," ")</f>
        <v xml:space="preserve"> </v>
      </c>
      <c r="L1469" s="1"/>
      <c r="M1469" s="1"/>
      <c r="N1469" s="1"/>
      <c r="O1469" s="8" t="str">
        <f>IF(B1469=0,VLOOKUP(A1469,Feuil2!$A$2:$M$1241,13,FALSE)," ")</f>
        <v xml:space="preserve"> </v>
      </c>
    </row>
    <row r="1470" spans="1:15" x14ac:dyDescent="0.3">
      <c r="A1470" s="1">
        <v>1900</v>
      </c>
      <c r="B1470" s="1">
        <v>0</v>
      </c>
      <c r="C1470" s="1" t="str">
        <f>IF(B1470=0,VLOOKUP(A1470,Feuil2!$A$2:$M$1241,2,FALSE)," ")</f>
        <v>BOUAZZA</v>
      </c>
      <c r="D1470" s="1" t="str">
        <f>IF(B1470=0,VLOOKUP(A1470,Feuil2!$A$2:$M$1241,3,FALSE)," ")</f>
        <v>SALAH</v>
      </c>
      <c r="E1470" s="5">
        <f>IF(B1470=0,VLOOKUP(A1470,Feuil2!$A$2:$M$1241,6,FALSE)," ")</f>
        <v>28661</v>
      </c>
      <c r="F1470" s="1" t="str">
        <f>IF(B1470=0,VLOOKUP(A1470,Feuil2!$A$2:$M$1241,12,FALSE)," ")</f>
        <v>H</v>
      </c>
      <c r="G1470" s="1" t="str">
        <f>IF(B1470=0,VLOOKUP(A1470,Feuil2!$A$2:$M$1241,11,FALSE)," ")</f>
        <v>M</v>
      </c>
      <c r="H1470" s="1" t="s">
        <v>16</v>
      </c>
      <c r="I1470" s="6">
        <f>IF(B1470=0,VLOOKUP(A1470,Feuil2!$A$2:$M$1241,7,FALSE)," ")</f>
        <v>5558425</v>
      </c>
      <c r="J1470" s="1" t="str">
        <f>IF(B1470=0,VLOOKUP(A1470,Feuil2!$A$2:$M$1241,9,FALSE)," ")</f>
        <v>69, Rue 20 Mars</v>
      </c>
      <c r="K1470" s="1" t="str">
        <f>IF(B1470=0,VLOOKUP(A1470,Feuil2!$A$2:$M$1241,10,FALSE)," ")</f>
        <v>Msaken 4070</v>
      </c>
      <c r="L1470" s="1">
        <v>4070</v>
      </c>
      <c r="M1470" s="1">
        <v>23261749</v>
      </c>
      <c r="N1470" s="1"/>
      <c r="O1470" s="8" t="str">
        <f>IF(B1470=0,VLOOKUP(A1470,Feuil2!$A$2:$M$1241,13,FALSE)," ")</f>
        <v>10506040207118978833</v>
      </c>
    </row>
    <row r="1471" spans="1:15" x14ac:dyDescent="0.3">
      <c r="A1471" s="1">
        <v>1900</v>
      </c>
      <c r="B1471" s="1">
        <v>1</v>
      </c>
      <c r="C1471" s="1" t="s">
        <v>236</v>
      </c>
      <c r="D1471" s="1" t="s">
        <v>2348</v>
      </c>
      <c r="E1471" s="5">
        <v>31658</v>
      </c>
      <c r="F1471" s="1" t="s">
        <v>17</v>
      </c>
      <c r="G1471" s="1" t="s">
        <v>15</v>
      </c>
      <c r="H1471" s="1" t="s">
        <v>16</v>
      </c>
      <c r="I1471" s="6" t="str">
        <f>IF(B1471=0,VLOOKUP(A1471,Feuil2!$A$2:$M$1241,7,FALSE)," ")</f>
        <v xml:space="preserve"> </v>
      </c>
      <c r="J1471" s="1" t="str">
        <f>IF(B1471=0,VLOOKUP(A1471,Feuil2!$A$2:$M$1241,9,FALSE)," ")</f>
        <v xml:space="preserve"> </v>
      </c>
      <c r="K1471" s="1" t="str">
        <f>IF(B1471=0,VLOOKUP(A1471,Feuil2!$A$2:$M$1241,10,FALSE)," ")</f>
        <v xml:space="preserve"> </v>
      </c>
      <c r="L1471" s="1"/>
      <c r="M1471" s="1"/>
      <c r="N1471" s="1"/>
      <c r="O1471" s="8" t="str">
        <f>IF(B1471=0,VLOOKUP(A1471,Feuil2!$A$2:$M$1241,13,FALSE)," ")</f>
        <v xml:space="preserve"> </v>
      </c>
    </row>
    <row r="1472" spans="1:15" x14ac:dyDescent="0.3">
      <c r="A1472" s="1">
        <v>1900</v>
      </c>
      <c r="B1472" s="1">
        <v>2</v>
      </c>
      <c r="C1472" s="1" t="s">
        <v>297</v>
      </c>
      <c r="D1472" s="1" t="s">
        <v>122</v>
      </c>
      <c r="E1472" s="5">
        <v>41395</v>
      </c>
      <c r="F1472" s="1" t="s">
        <v>506</v>
      </c>
      <c r="G1472" s="1" t="str">
        <f>IF(B1472=0,VLOOKUP(A1472,Feuil2!$A$2:$M$1241,11,FALSE)," ")</f>
        <v xml:space="preserve"> </v>
      </c>
      <c r="H1472" s="1" t="s">
        <v>16</v>
      </c>
      <c r="I1472" s="6" t="str">
        <f>IF(B1472=0,VLOOKUP(A1472,Feuil2!$A$2:$M$1241,7,FALSE)," ")</f>
        <v xml:space="preserve"> </v>
      </c>
      <c r="J1472" s="1" t="str">
        <f>IF(B1472=0,VLOOKUP(A1472,Feuil2!$A$2:$M$1241,9,FALSE)," ")</f>
        <v xml:space="preserve"> </v>
      </c>
      <c r="K1472" s="1" t="str">
        <f>IF(B1472=0,VLOOKUP(A1472,Feuil2!$A$2:$M$1241,10,FALSE)," ")</f>
        <v xml:space="preserve"> </v>
      </c>
      <c r="L1472" s="1"/>
      <c r="M1472" s="1"/>
      <c r="N1472" s="1"/>
      <c r="O1472" s="8" t="str">
        <f>IF(B1472=0,VLOOKUP(A1472,Feuil2!$A$2:$M$1241,13,FALSE)," ")</f>
        <v xml:space="preserve"> </v>
      </c>
    </row>
    <row r="1473" spans="1:15" x14ac:dyDescent="0.3">
      <c r="A1473" s="1">
        <v>1900</v>
      </c>
      <c r="B1473" s="1">
        <v>3</v>
      </c>
      <c r="C1473" s="1" t="s">
        <v>297</v>
      </c>
      <c r="D1473" s="1" t="s">
        <v>2613</v>
      </c>
      <c r="E1473" s="5">
        <v>42559</v>
      </c>
      <c r="F1473" s="1" t="s">
        <v>17</v>
      </c>
      <c r="G1473" s="1" t="str">
        <f>IF(B1473=0,VLOOKUP(A1473,Feuil2!$A$2:$M$1241,11,FALSE)," ")</f>
        <v xml:space="preserve"> </v>
      </c>
      <c r="H1473" s="1" t="s">
        <v>16</v>
      </c>
      <c r="I1473" s="6" t="str">
        <f>IF(B1473=0,VLOOKUP(A1473,Feuil2!$A$2:$M$1241,7,FALSE)," ")</f>
        <v xml:space="preserve"> </v>
      </c>
      <c r="J1473" s="1" t="str">
        <f>IF(B1473=0,VLOOKUP(A1473,Feuil2!$A$2:$M$1241,9,FALSE)," ")</f>
        <v xml:space="preserve"> </v>
      </c>
      <c r="K1473" s="1" t="str">
        <f>IF(B1473=0,VLOOKUP(A1473,Feuil2!$A$2:$M$1241,10,FALSE)," ")</f>
        <v xml:space="preserve"> </v>
      </c>
      <c r="L1473" s="1"/>
      <c r="M1473" s="1"/>
      <c r="N1473" s="1"/>
      <c r="O1473" s="8" t="str">
        <f>IF(B1473=0,VLOOKUP(A1473,Feuil2!$A$2:$M$1241,13,FALSE)," ")</f>
        <v xml:space="preserve"> </v>
      </c>
    </row>
    <row r="1474" spans="1:15" x14ac:dyDescent="0.3">
      <c r="A1474" s="1">
        <v>1901</v>
      </c>
      <c r="B1474" s="1">
        <v>0</v>
      </c>
      <c r="C1474" s="1" t="str">
        <f>IF(B1474=0,VLOOKUP(A1474,Feuil2!$A$2:$M$1241,2,FALSE)," ")</f>
        <v>BACH</v>
      </c>
      <c r="D1474" s="1" t="str">
        <f>IF(B1474=0,VLOOKUP(A1474,Feuil2!$A$2:$M$1241,3,FALSE)," ")</f>
        <v>ZOUHAIER</v>
      </c>
      <c r="E1474" s="5">
        <f>IF(B1474=0,VLOOKUP(A1474,Feuil2!$A$2:$M$1241,6,FALSE)," ")</f>
        <v>26774</v>
      </c>
      <c r="F1474" s="1" t="str">
        <f>IF(B1474=0,VLOOKUP(A1474,Feuil2!$A$2:$M$1241,12,FALSE)," ")</f>
        <v>H</v>
      </c>
      <c r="G1474" s="1" t="str">
        <f>IF(B1474=0,VLOOKUP(A1474,Feuil2!$A$2:$M$1241,11,FALSE)," ")</f>
        <v>M</v>
      </c>
      <c r="H1474" s="1" t="s">
        <v>16</v>
      </c>
      <c r="I1474" s="6">
        <f>IF(B1474=0,VLOOKUP(A1474,Feuil2!$A$2:$M$1241,7,FALSE)," ")</f>
        <v>5553616</v>
      </c>
      <c r="J1474" s="1" t="str">
        <f>IF(B1474=0,VLOOKUP(A1474,Feuil2!$A$2:$M$1241,9,FALSE)," ")</f>
        <v>54, rue de la mosquÃ©e</v>
      </c>
      <c r="K1474" s="1" t="str">
        <f>IF(B1474=0,VLOOKUP(A1474,Feuil2!$A$2:$M$1241,10,FALSE)," ")</f>
        <v>Msaken 4070</v>
      </c>
      <c r="L1474" s="1">
        <v>4070</v>
      </c>
      <c r="M1474" s="1">
        <v>20986327</v>
      </c>
      <c r="N1474" s="1"/>
      <c r="O1474" s="8" t="str">
        <f>IF(B1474=0,VLOOKUP(A1474,Feuil2!$A$2:$M$1241,13,FALSE)," ")</f>
        <v>10506040207744978809</v>
      </c>
    </row>
    <row r="1475" spans="1:15" x14ac:dyDescent="0.3">
      <c r="A1475" s="1">
        <v>1901</v>
      </c>
      <c r="B1475" s="1">
        <v>1</v>
      </c>
      <c r="C1475" s="1" t="s">
        <v>703</v>
      </c>
      <c r="D1475" s="1" t="s">
        <v>2544</v>
      </c>
      <c r="E1475" s="5">
        <v>28758</v>
      </c>
      <c r="F1475" s="1" t="s">
        <v>17</v>
      </c>
      <c r="G1475" s="1" t="s">
        <v>15</v>
      </c>
      <c r="H1475" s="1" t="s">
        <v>16</v>
      </c>
      <c r="I1475" s="6" t="str">
        <f>IF(B1475=0,VLOOKUP(A1475,Feuil2!$A$2:$M$1241,7,FALSE)," ")</f>
        <v xml:space="preserve"> </v>
      </c>
      <c r="J1475" s="1" t="str">
        <f>IF(B1475=0,VLOOKUP(A1475,Feuil2!$A$2:$M$1241,9,FALSE)," ")</f>
        <v xml:space="preserve"> </v>
      </c>
      <c r="K1475" s="1" t="str">
        <f>IF(B1475=0,VLOOKUP(A1475,Feuil2!$A$2:$M$1241,10,FALSE)," ")</f>
        <v xml:space="preserve"> </v>
      </c>
      <c r="L1475" s="1"/>
      <c r="M1475" s="1"/>
      <c r="N1475" s="1"/>
      <c r="O1475" s="8" t="str">
        <f>IF(B1475=0,VLOOKUP(A1475,Feuil2!$A$2:$M$1241,13,FALSE)," ")</f>
        <v xml:space="preserve"> </v>
      </c>
    </row>
    <row r="1476" spans="1:15" x14ac:dyDescent="0.3">
      <c r="A1476" s="1">
        <v>1901</v>
      </c>
      <c r="B1476" s="1">
        <v>2</v>
      </c>
      <c r="C1476" s="1" t="s">
        <v>1837</v>
      </c>
      <c r="D1476" s="1" t="s">
        <v>2367</v>
      </c>
      <c r="E1476" s="5">
        <v>42011</v>
      </c>
      <c r="F1476" s="1" t="s">
        <v>17</v>
      </c>
      <c r="G1476" s="1" t="str">
        <f>IF(B1476=0,VLOOKUP(A1476,Feuil2!$A$2:$M$1241,11,FALSE)," ")</f>
        <v xml:space="preserve"> </v>
      </c>
      <c r="H1476" s="1" t="s">
        <v>16</v>
      </c>
      <c r="I1476" s="6" t="str">
        <f>IF(B1476=0,VLOOKUP(A1476,Feuil2!$A$2:$M$1241,7,FALSE)," ")</f>
        <v xml:space="preserve"> </v>
      </c>
      <c r="J1476" s="1" t="str">
        <f>IF(B1476=0,VLOOKUP(A1476,Feuil2!$A$2:$M$1241,9,FALSE)," ")</f>
        <v xml:space="preserve"> </v>
      </c>
      <c r="K1476" s="1" t="str">
        <f>IF(B1476=0,VLOOKUP(A1476,Feuil2!$A$2:$M$1241,10,FALSE)," ")</f>
        <v xml:space="preserve"> </v>
      </c>
      <c r="L1476" s="1"/>
      <c r="M1476" s="1"/>
      <c r="N1476" s="1"/>
      <c r="O1476" s="8" t="str">
        <f>IF(B1476=0,VLOOKUP(A1476,Feuil2!$A$2:$M$1241,13,FALSE)," ")</f>
        <v xml:space="preserve"> </v>
      </c>
    </row>
    <row r="1477" spans="1:15" x14ac:dyDescent="0.3">
      <c r="A1477" s="1">
        <v>1901</v>
      </c>
      <c r="B1477" s="1">
        <v>3</v>
      </c>
      <c r="C1477" s="1" t="s">
        <v>1837</v>
      </c>
      <c r="D1477" s="1" t="s">
        <v>1203</v>
      </c>
      <c r="E1477" s="5">
        <v>44324</v>
      </c>
      <c r="F1477" s="1" t="s">
        <v>506</v>
      </c>
      <c r="G1477" s="1"/>
      <c r="H1477" s="1"/>
      <c r="I1477" s="6"/>
      <c r="J1477" s="1"/>
      <c r="K1477" s="1"/>
      <c r="L1477" s="1"/>
      <c r="M1477" s="1"/>
      <c r="N1477" s="1"/>
      <c r="O1477" s="8"/>
    </row>
    <row r="1478" spans="1:15" x14ac:dyDescent="0.3">
      <c r="A1478" s="1">
        <v>1902</v>
      </c>
      <c r="B1478" s="1">
        <v>0</v>
      </c>
      <c r="C1478" s="1" t="str">
        <f>IF(B1478=0,VLOOKUP(A1478,Feuil2!$A$2:$M$1241,2,FALSE)," ")</f>
        <v>BEN ABDALLAH</v>
      </c>
      <c r="D1478" s="1" t="str">
        <f>IF(B1478=0,VLOOKUP(A1478,Feuil2!$A$2:$M$1241,3,FALSE)," ")</f>
        <v>HATEM</v>
      </c>
      <c r="E1478" s="5">
        <f>IF(B1478=0,VLOOKUP(A1478,Feuil2!$A$2:$M$1241,6,FALSE)," ")</f>
        <v>28595</v>
      </c>
      <c r="F1478" s="1" t="str">
        <f>IF(B1478=0,VLOOKUP(A1478,Feuil2!$A$2:$M$1241,12,FALSE)," ")</f>
        <v>H</v>
      </c>
      <c r="G1478" s="1" t="str">
        <f>IF(B1478=0,VLOOKUP(A1478,Feuil2!$A$2:$M$1241,11,FALSE)," ")</f>
        <v>M</v>
      </c>
      <c r="H1478" s="1" t="s">
        <v>16</v>
      </c>
      <c r="I1478" s="6">
        <f>IF(B1478=0,VLOOKUP(A1478,Feuil2!$A$2:$M$1241,7,FALSE)," ")</f>
        <v>5573807</v>
      </c>
      <c r="J1478" s="1" t="str">
        <f>IF(B1478=0,VLOOKUP(A1478,Feuil2!$A$2:$M$1241,9,FALSE)," ")</f>
        <v>Rue Landalous CitÃ© Ibn Khouldoun</v>
      </c>
      <c r="K1478" s="1" t="str">
        <f>IF(B1478=0,VLOOKUP(A1478,Feuil2!$A$2:$M$1241,10,FALSE)," ")</f>
        <v>Msaken 4070</v>
      </c>
      <c r="L1478" s="1">
        <v>4070</v>
      </c>
      <c r="M1478" s="1">
        <v>98783223</v>
      </c>
      <c r="N1478" s="1"/>
      <c r="O1478" s="8" t="str">
        <f>IF(B1478=0,VLOOKUP(A1478,Feuil2!$A$2:$M$1241,13,FALSE)," ")</f>
        <v>10317123100981078885</v>
      </c>
    </row>
    <row r="1479" spans="1:15" x14ac:dyDescent="0.3">
      <c r="A1479" s="1">
        <v>1902</v>
      </c>
      <c r="B1479" s="1">
        <v>1</v>
      </c>
      <c r="C1479" s="1" t="s">
        <v>1029</v>
      </c>
      <c r="D1479" s="1" t="s">
        <v>2734</v>
      </c>
      <c r="E1479" s="5">
        <v>30628</v>
      </c>
      <c r="F1479" s="1" t="s">
        <v>17</v>
      </c>
      <c r="G1479" s="1" t="s">
        <v>15</v>
      </c>
      <c r="H1479" s="1" t="s">
        <v>16</v>
      </c>
      <c r="I1479" s="6" t="str">
        <f>IF(B1479=0,VLOOKUP(A1479,Feuil2!$A$2:$M$1241,7,FALSE)," ")</f>
        <v xml:space="preserve"> </v>
      </c>
      <c r="J1479" s="1" t="str">
        <f>IF(B1479=0,VLOOKUP(A1479,Feuil2!$A$2:$M$1241,9,FALSE)," ")</f>
        <v xml:space="preserve"> </v>
      </c>
      <c r="K1479" s="1" t="str">
        <f>IF(B1479=0,VLOOKUP(A1479,Feuil2!$A$2:$M$1241,10,FALSE)," ")</f>
        <v xml:space="preserve"> </v>
      </c>
      <c r="L1479" s="1"/>
      <c r="M1479" s="1"/>
      <c r="N1479" s="1"/>
      <c r="O1479" s="8" t="str">
        <f>IF(B1479=0,VLOOKUP(A1479,Feuil2!$A$2:$M$1241,13,FALSE)," ")</f>
        <v xml:space="preserve"> </v>
      </c>
    </row>
    <row r="1480" spans="1:15" x14ac:dyDescent="0.3">
      <c r="A1480" s="1">
        <v>1902</v>
      </c>
      <c r="B1480" s="1">
        <v>2</v>
      </c>
      <c r="C1480" s="1" t="s">
        <v>582</v>
      </c>
      <c r="D1480" s="1" t="s">
        <v>402</v>
      </c>
      <c r="E1480" s="5">
        <v>40923</v>
      </c>
      <c r="F1480" s="1" t="s">
        <v>17</v>
      </c>
      <c r="G1480" s="1" t="str">
        <f>IF(B1480=0,VLOOKUP(A1480,Feuil2!$A$2:$M$1241,11,FALSE)," ")</f>
        <v xml:space="preserve"> </v>
      </c>
      <c r="H1480" s="1" t="s">
        <v>16</v>
      </c>
      <c r="I1480" s="6" t="str">
        <f>IF(B1480=0,VLOOKUP(A1480,Feuil2!$A$2:$M$1241,7,FALSE)," ")</f>
        <v xml:space="preserve"> </v>
      </c>
      <c r="J1480" s="1" t="str">
        <f>IF(B1480=0,VLOOKUP(A1480,Feuil2!$A$2:$M$1241,9,FALSE)," ")</f>
        <v xml:space="preserve"> </v>
      </c>
      <c r="K1480" s="1" t="str">
        <f>IF(B1480=0,VLOOKUP(A1480,Feuil2!$A$2:$M$1241,10,FALSE)," ")</f>
        <v xml:space="preserve"> </v>
      </c>
      <c r="L1480" s="1"/>
      <c r="M1480" s="1"/>
      <c r="N1480" s="1"/>
      <c r="O1480" s="8" t="str">
        <f>IF(B1480=0,VLOOKUP(A1480,Feuil2!$A$2:$M$1241,13,FALSE)," ")</f>
        <v xml:space="preserve"> </v>
      </c>
    </row>
    <row r="1481" spans="1:15" x14ac:dyDescent="0.3">
      <c r="A1481" s="1">
        <v>1902</v>
      </c>
      <c r="B1481" s="1">
        <v>3</v>
      </c>
      <c r="C1481" s="1" t="s">
        <v>582</v>
      </c>
      <c r="D1481" s="1" t="s">
        <v>2735</v>
      </c>
      <c r="E1481" s="5">
        <v>42023</v>
      </c>
      <c r="F1481" s="1" t="s">
        <v>506</v>
      </c>
      <c r="G1481" s="1" t="str">
        <f>IF(B1481=0,VLOOKUP(A1481,Feuil2!$A$2:$M$1241,11,FALSE)," ")</f>
        <v xml:space="preserve"> </v>
      </c>
      <c r="H1481" s="1" t="s">
        <v>16</v>
      </c>
      <c r="I1481" s="6" t="str">
        <f>IF(B1481=0,VLOOKUP(A1481,Feuil2!$A$2:$M$1241,7,FALSE)," ")</f>
        <v xml:space="preserve"> </v>
      </c>
      <c r="J1481" s="1" t="str">
        <f>IF(B1481=0,VLOOKUP(A1481,Feuil2!$A$2:$M$1241,9,FALSE)," ")</f>
        <v xml:space="preserve"> </v>
      </c>
      <c r="K1481" s="1" t="str">
        <f>IF(B1481=0,VLOOKUP(A1481,Feuil2!$A$2:$M$1241,10,FALSE)," ")</f>
        <v xml:space="preserve"> </v>
      </c>
      <c r="L1481" s="1"/>
      <c r="M1481" s="1"/>
      <c r="N1481" s="1"/>
      <c r="O1481" s="8" t="str">
        <f>IF(B1481=0,VLOOKUP(A1481,Feuil2!$A$2:$M$1241,13,FALSE)," ")</f>
        <v xml:space="preserve"> </v>
      </c>
    </row>
    <row r="1482" spans="1:15" x14ac:dyDescent="0.3">
      <c r="A1482" s="1">
        <v>1911</v>
      </c>
      <c r="B1482" s="1">
        <v>0</v>
      </c>
      <c r="C1482" s="1" t="str">
        <f>IF(B1482=0,VLOOKUP(A1482,Feuil2!$A$2:$M$1241,2,FALSE)," ")</f>
        <v>MEJRI</v>
      </c>
      <c r="D1482" s="1" t="str">
        <f>IF(B1482=0,VLOOKUP(A1482,Feuil2!$A$2:$M$1241,3,FALSE)," ")</f>
        <v>KHELIL</v>
      </c>
      <c r="E1482" s="5">
        <f>IF(B1482=0,VLOOKUP(A1482,Feuil2!$A$2:$M$1241,6,FALSE)," ")</f>
        <v>26859</v>
      </c>
      <c r="F1482" s="1" t="str">
        <f>IF(B1482=0,VLOOKUP(A1482,Feuil2!$A$2:$M$1241,12,FALSE)," ")</f>
        <v>H</v>
      </c>
      <c r="G1482" s="1" t="str">
        <f>IF(B1482=0,VLOOKUP(A1482,Feuil2!$A$2:$M$1241,11,FALSE)," ")</f>
        <v>M</v>
      </c>
      <c r="H1482" s="1" t="s">
        <v>16</v>
      </c>
      <c r="I1482" s="6">
        <f>IF(B1482=0,VLOOKUP(A1482,Feuil2!$A$2:$M$1241,7,FALSE)," ")</f>
        <v>5511703</v>
      </c>
      <c r="J1482" s="1" t="str">
        <f>IF(B1482=0,VLOOKUP(A1482,Feuil2!$A$2:$M$1241,9,FALSE)," ")</f>
        <v>Rue Sayar</v>
      </c>
      <c r="K1482" s="1" t="str">
        <f>IF(B1482=0,VLOOKUP(A1482,Feuil2!$A$2:$M$1241,10,FALSE)," ")</f>
        <v>Msaken 4070</v>
      </c>
      <c r="L1482" s="1">
        <v>4070</v>
      </c>
      <c r="M1482" s="1">
        <v>98793651</v>
      </c>
      <c r="N1482" s="1"/>
      <c r="O1482" s="8" t="str">
        <f>IF(B1482=0,VLOOKUP(A1482,Feuil2!$A$2:$M$1241,13,FALSE)," ")</f>
        <v>25066000000025239055</v>
      </c>
    </row>
    <row r="1483" spans="1:15" x14ac:dyDescent="0.3">
      <c r="A1483" s="1">
        <v>1911</v>
      </c>
      <c r="B1483" s="1">
        <v>1</v>
      </c>
      <c r="C1483" s="1" t="s">
        <v>2736</v>
      </c>
      <c r="D1483" s="1" t="s">
        <v>749</v>
      </c>
      <c r="E1483" s="5">
        <v>27208</v>
      </c>
      <c r="F1483" s="1" t="s">
        <v>17</v>
      </c>
      <c r="G1483" s="1" t="s">
        <v>15</v>
      </c>
      <c r="H1483" s="1" t="s">
        <v>16</v>
      </c>
      <c r="I1483" s="6" t="str">
        <f>IF(B1483=0,VLOOKUP(A1483,Feuil2!$A$2:$M$1241,7,FALSE)," ")</f>
        <v xml:space="preserve"> </v>
      </c>
      <c r="J1483" s="1" t="str">
        <f>IF(B1483=0,VLOOKUP(A1483,Feuil2!$A$2:$M$1241,9,FALSE)," ")</f>
        <v xml:space="preserve"> </v>
      </c>
      <c r="K1483" s="1" t="str">
        <f>IF(B1483=0,VLOOKUP(A1483,Feuil2!$A$2:$M$1241,10,FALSE)," ")</f>
        <v xml:space="preserve"> </v>
      </c>
      <c r="L1483" s="1"/>
      <c r="M1483" s="1"/>
      <c r="N1483" s="1"/>
      <c r="O1483" s="8" t="str">
        <f>IF(B1483=0,VLOOKUP(A1483,Feuil2!$A$2:$M$1241,13,FALSE)," ")</f>
        <v xml:space="preserve"> </v>
      </c>
    </row>
    <row r="1484" spans="1:15" x14ac:dyDescent="0.3">
      <c r="A1484" s="1">
        <v>1911</v>
      </c>
      <c r="B1484" s="1">
        <v>2</v>
      </c>
      <c r="C1484" s="1" t="s">
        <v>65</v>
      </c>
      <c r="D1484" s="1" t="s">
        <v>2408</v>
      </c>
      <c r="E1484" s="5">
        <v>37184</v>
      </c>
      <c r="F1484" s="1" t="s">
        <v>17</v>
      </c>
      <c r="G1484" s="1" t="str">
        <f>IF(B1484=0,VLOOKUP(A1484,Feuil2!$A$2:$M$1241,11,FALSE)," ")</f>
        <v xml:space="preserve"> </v>
      </c>
      <c r="H1484" s="1" t="s">
        <v>16</v>
      </c>
      <c r="I1484" s="6" t="str">
        <f>IF(B1484=0,VLOOKUP(A1484,Feuil2!$A$2:$M$1241,7,FALSE)," ")</f>
        <v xml:space="preserve"> </v>
      </c>
      <c r="J1484" s="1" t="str">
        <f>IF(B1484=0,VLOOKUP(A1484,Feuil2!$A$2:$M$1241,9,FALSE)," ")</f>
        <v xml:space="preserve"> </v>
      </c>
      <c r="K1484" s="1" t="str">
        <f>IF(B1484=0,VLOOKUP(A1484,Feuil2!$A$2:$M$1241,10,FALSE)," ")</f>
        <v xml:space="preserve"> </v>
      </c>
      <c r="L1484" s="1"/>
      <c r="M1484" s="1"/>
      <c r="N1484" s="1"/>
      <c r="O1484" s="8" t="str">
        <f>IF(B1484=0,VLOOKUP(A1484,Feuil2!$A$2:$M$1241,13,FALSE)," ")</f>
        <v xml:space="preserve"> </v>
      </c>
    </row>
    <row r="1485" spans="1:15" x14ac:dyDescent="0.3">
      <c r="A1485" s="1">
        <v>1911</v>
      </c>
      <c r="B1485" s="1">
        <v>3</v>
      </c>
      <c r="C1485" s="1" t="s">
        <v>65</v>
      </c>
      <c r="D1485" s="1" t="s">
        <v>235</v>
      </c>
      <c r="E1485" s="5">
        <v>37963</v>
      </c>
      <c r="F1485" s="1" t="s">
        <v>506</v>
      </c>
      <c r="G1485" s="1" t="str">
        <f>IF(B1485=0,VLOOKUP(A1485,Feuil2!$A$2:$M$1241,11,FALSE)," ")</f>
        <v xml:space="preserve"> </v>
      </c>
      <c r="H1485" s="1" t="s">
        <v>16</v>
      </c>
      <c r="I1485" s="6" t="str">
        <f>IF(B1485=0,VLOOKUP(A1485,Feuil2!$A$2:$M$1241,7,FALSE)," ")</f>
        <v xml:space="preserve"> </v>
      </c>
      <c r="J1485" s="1" t="str">
        <f>IF(B1485=0,VLOOKUP(A1485,Feuil2!$A$2:$M$1241,9,FALSE)," ")</f>
        <v xml:space="preserve"> </v>
      </c>
      <c r="K1485" s="1" t="str">
        <f>IF(B1485=0,VLOOKUP(A1485,Feuil2!$A$2:$M$1241,10,FALSE)," ")</f>
        <v xml:space="preserve"> </v>
      </c>
      <c r="L1485" s="1"/>
      <c r="M1485" s="1"/>
      <c r="N1485" s="1"/>
      <c r="O1485" s="8" t="str">
        <f>IF(B1485=0,VLOOKUP(A1485,Feuil2!$A$2:$M$1241,13,FALSE)," ")</f>
        <v xml:space="preserve"> </v>
      </c>
    </row>
    <row r="1486" spans="1:15" x14ac:dyDescent="0.3">
      <c r="A1486" s="1">
        <v>1911</v>
      </c>
      <c r="B1486" s="1">
        <v>4</v>
      </c>
      <c r="C1486" s="1" t="s">
        <v>65</v>
      </c>
      <c r="D1486" s="1" t="s">
        <v>2737</v>
      </c>
      <c r="E1486" s="5">
        <v>38992</v>
      </c>
      <c r="F1486" s="1" t="s">
        <v>506</v>
      </c>
      <c r="G1486" s="1" t="str">
        <f>IF(B1486=0,VLOOKUP(A1486,Feuil2!$A$2:$M$1241,11,FALSE)," ")</f>
        <v xml:space="preserve"> </v>
      </c>
      <c r="H1486" s="1" t="s">
        <v>16</v>
      </c>
      <c r="I1486" s="6" t="str">
        <f>IF(B1486=0,VLOOKUP(A1486,Feuil2!$A$2:$M$1241,7,FALSE)," ")</f>
        <v xml:space="preserve"> </v>
      </c>
      <c r="J1486" s="1" t="str">
        <f>IF(B1486=0,VLOOKUP(A1486,Feuil2!$A$2:$M$1241,9,FALSE)," ")</f>
        <v xml:space="preserve"> </v>
      </c>
      <c r="K1486" s="1" t="str">
        <f>IF(B1486=0,VLOOKUP(A1486,Feuil2!$A$2:$M$1241,10,FALSE)," ")</f>
        <v xml:space="preserve"> </v>
      </c>
      <c r="L1486" s="1"/>
      <c r="M1486" s="1"/>
      <c r="N1486" s="1"/>
      <c r="O1486" s="8" t="str">
        <f>IF(B1486=0,VLOOKUP(A1486,Feuil2!$A$2:$M$1241,13,FALSE)," ")</f>
        <v xml:space="preserve"> </v>
      </c>
    </row>
    <row r="1487" spans="1:15" x14ac:dyDescent="0.3">
      <c r="A1487" s="1">
        <v>1911</v>
      </c>
      <c r="B1487" s="1">
        <v>5</v>
      </c>
      <c r="C1487" s="1" t="s">
        <v>65</v>
      </c>
      <c r="D1487" s="1" t="s">
        <v>291</v>
      </c>
      <c r="E1487" s="5">
        <v>40841</v>
      </c>
      <c r="F1487" s="1" t="s">
        <v>506</v>
      </c>
      <c r="G1487" s="1" t="str">
        <f>IF(B1487=0,VLOOKUP(A1487,Feuil2!$A$2:$M$1241,11,FALSE)," ")</f>
        <v xml:space="preserve"> </v>
      </c>
      <c r="H1487" s="1" t="s">
        <v>16</v>
      </c>
      <c r="I1487" s="6" t="str">
        <f>IF(B1487=0,VLOOKUP(A1487,Feuil2!$A$2:$M$1241,7,FALSE)," ")</f>
        <v xml:space="preserve"> </v>
      </c>
      <c r="J1487" s="1" t="str">
        <f>IF(B1487=0,VLOOKUP(A1487,Feuil2!$A$2:$M$1241,9,FALSE)," ")</f>
        <v xml:space="preserve"> </v>
      </c>
      <c r="K1487" s="1" t="str">
        <f>IF(B1487=0,VLOOKUP(A1487,Feuil2!$A$2:$M$1241,10,FALSE)," ")</f>
        <v xml:space="preserve"> </v>
      </c>
      <c r="L1487" s="1"/>
      <c r="M1487" s="1"/>
      <c r="N1487" s="1"/>
      <c r="O1487" s="8" t="str">
        <f>IF(B1487=0,VLOOKUP(A1487,Feuil2!$A$2:$M$1241,13,FALSE)," ")</f>
        <v xml:space="preserve"> </v>
      </c>
    </row>
    <row r="1488" spans="1:15" x14ac:dyDescent="0.3">
      <c r="A1488" s="1">
        <v>1913</v>
      </c>
      <c r="B1488" s="1">
        <v>0</v>
      </c>
      <c r="C1488" s="1" t="str">
        <f>IF(B1488=0,VLOOKUP(A1488,Feuil2!$A$2:$M$1241,2,FALSE)," ")</f>
        <v>SRIDI</v>
      </c>
      <c r="D1488" s="1" t="str">
        <f>IF(B1488=0,VLOOKUP(A1488,Feuil2!$A$2:$M$1241,3,FALSE)," ")</f>
        <v>MOHAMED</v>
      </c>
      <c r="E1488" s="5">
        <f>IF(B1488=0,VLOOKUP(A1488,Feuil2!$A$2:$M$1241,6,FALSE)," ")</f>
        <v>28744</v>
      </c>
      <c r="F1488" s="1" t="str">
        <f>IF(B1488=0,VLOOKUP(A1488,Feuil2!$A$2:$M$1241,12,FALSE)," ")</f>
        <v>H</v>
      </c>
      <c r="G1488" s="1" t="str">
        <f>IF(B1488=0,VLOOKUP(A1488,Feuil2!$A$2:$M$1241,11,FALSE)," ")</f>
        <v>C</v>
      </c>
      <c r="H1488" s="1" t="s">
        <v>16</v>
      </c>
      <c r="I1488" s="6">
        <f>IF(B1488=0,VLOOKUP(A1488,Feuil2!$A$2:$M$1241,7,FALSE)," ")</f>
        <v>5589628</v>
      </c>
      <c r="J1488" s="1" t="str">
        <f>IF(B1488=0,VLOOKUP(A1488,Feuil2!$A$2:$M$1241,9,FALSE)," ")</f>
        <v>485 Rue 1er juin</v>
      </c>
      <c r="K1488" s="1" t="str">
        <f>IF(B1488=0,VLOOKUP(A1488,Feuil2!$A$2:$M$1241,10,FALSE)," ")</f>
        <v>Msaken 4070</v>
      </c>
      <c r="L1488" s="1">
        <v>4070</v>
      </c>
      <c r="M1488" s="1">
        <v>27546114</v>
      </c>
      <c r="N1488" s="1"/>
      <c r="O1488" s="8" t="str">
        <f>IF(B1488=0,VLOOKUP(A1488,Feuil2!$A$2:$M$1241,13,FALSE)," ")</f>
        <v>05048000116500454669</v>
      </c>
    </row>
    <row r="1489" spans="1:15" x14ac:dyDescent="0.3">
      <c r="A1489" s="1">
        <v>1914</v>
      </c>
      <c r="B1489" s="1">
        <v>0</v>
      </c>
      <c r="C1489" s="1" t="str">
        <f>IF(B1489=0,VLOOKUP(A1489,Feuil2!$A$2:$M$1241,2,FALSE)," ")</f>
        <v>EL FKIH</v>
      </c>
      <c r="D1489" s="1" t="str">
        <f>IF(B1489=0,VLOOKUP(A1489,Feuil2!$A$2:$M$1241,3,FALSE)," ")</f>
        <v>LAMJED</v>
      </c>
      <c r="E1489" s="5">
        <f>IF(B1489=0,VLOOKUP(A1489,Feuil2!$A$2:$M$1241,6,FALSE)," ")</f>
        <v>28502</v>
      </c>
      <c r="F1489" s="1" t="str">
        <f>IF(B1489=0,VLOOKUP(A1489,Feuil2!$A$2:$M$1241,12,FALSE)," ")</f>
        <v>H</v>
      </c>
      <c r="G1489" s="1" t="str">
        <f>IF(B1489=0,VLOOKUP(A1489,Feuil2!$A$2:$M$1241,11,FALSE)," ")</f>
        <v>M</v>
      </c>
      <c r="H1489" s="1" t="s">
        <v>16</v>
      </c>
      <c r="I1489" s="6">
        <f>IF(B1489=0,VLOOKUP(A1489,Feuil2!$A$2:$M$1241,7,FALSE)," ")</f>
        <v>5588458</v>
      </c>
      <c r="J1489" s="1" t="str">
        <f>IF(B1489=0,VLOOKUP(A1489,Feuil2!$A$2:$M$1241,9,FALSE)," ")</f>
        <v>NULL</v>
      </c>
      <c r="K1489" s="1" t="str">
        <f>IF(B1489=0,VLOOKUP(A1489,Feuil2!$A$2:$M$1241,10,FALSE)," ")</f>
        <v>Moureddine</v>
      </c>
      <c r="L1489" s="1"/>
      <c r="M1489" s="1">
        <v>27465827</v>
      </c>
      <c r="N1489" s="1"/>
      <c r="O1489" s="8" t="str">
        <f>IF(B1489=0,VLOOKUP(A1489,Feuil2!$A$2:$M$1241,13,FALSE)," ")</f>
        <v>03508056010110189207</v>
      </c>
    </row>
    <row r="1490" spans="1:15" x14ac:dyDescent="0.3">
      <c r="A1490" s="1">
        <v>1914</v>
      </c>
      <c r="B1490" s="1">
        <v>1</v>
      </c>
      <c r="C1490" s="1" t="s">
        <v>2738</v>
      </c>
      <c r="D1490" s="1" t="s">
        <v>2642</v>
      </c>
      <c r="E1490" s="5">
        <v>29746</v>
      </c>
      <c r="F1490" s="1" t="s">
        <v>17</v>
      </c>
      <c r="G1490" s="1" t="s">
        <v>15</v>
      </c>
      <c r="H1490" s="1" t="s">
        <v>16</v>
      </c>
      <c r="I1490" s="6" t="str">
        <f>IF(B1490=0,VLOOKUP(A1490,Feuil2!$A$2:$M$1241,7,FALSE)," ")</f>
        <v xml:space="preserve"> </v>
      </c>
      <c r="J1490" s="1" t="str">
        <f>IF(B1490=0,VLOOKUP(A1490,Feuil2!$A$2:$M$1241,9,FALSE)," ")</f>
        <v xml:space="preserve"> </v>
      </c>
      <c r="K1490" s="1" t="str">
        <f>IF(B1490=0,VLOOKUP(A1490,Feuil2!$A$2:$M$1241,10,FALSE)," ")</f>
        <v xml:space="preserve"> </v>
      </c>
      <c r="L1490" s="1"/>
      <c r="M1490" s="1"/>
      <c r="N1490" s="1"/>
      <c r="O1490" s="8" t="str">
        <f>IF(B1490=0,VLOOKUP(A1490,Feuil2!$A$2:$M$1241,13,FALSE)," ")</f>
        <v xml:space="preserve"> </v>
      </c>
    </row>
    <row r="1491" spans="1:15" x14ac:dyDescent="0.3">
      <c r="A1491" s="1">
        <v>1914</v>
      </c>
      <c r="B1491" s="1">
        <v>2</v>
      </c>
      <c r="C1491" s="1" t="s">
        <v>486</v>
      </c>
      <c r="D1491" s="1" t="s">
        <v>2331</v>
      </c>
      <c r="E1491" s="5">
        <v>38278</v>
      </c>
      <c r="F1491" s="1" t="s">
        <v>17</v>
      </c>
      <c r="G1491" s="1" t="str">
        <f>IF(B1491=0,VLOOKUP(A1491,Feuil2!$A$2:$M$1241,11,FALSE)," ")</f>
        <v xml:space="preserve"> </v>
      </c>
      <c r="H1491" s="1" t="s">
        <v>16</v>
      </c>
      <c r="I1491" s="6" t="str">
        <f>IF(B1491=0,VLOOKUP(A1491,Feuil2!$A$2:$M$1241,7,FALSE)," ")</f>
        <v xml:space="preserve"> </v>
      </c>
      <c r="J1491" s="1" t="str">
        <f>IF(B1491=0,VLOOKUP(A1491,Feuil2!$A$2:$M$1241,9,FALSE)," ")</f>
        <v xml:space="preserve"> </v>
      </c>
      <c r="K1491" s="1" t="str">
        <f>IF(B1491=0,VLOOKUP(A1491,Feuil2!$A$2:$M$1241,10,FALSE)," ")</f>
        <v xml:space="preserve"> </v>
      </c>
      <c r="L1491" s="1"/>
      <c r="M1491" s="1"/>
      <c r="N1491" s="1"/>
      <c r="O1491" s="8" t="str">
        <f>IF(B1491=0,VLOOKUP(A1491,Feuil2!$A$2:$M$1241,13,FALSE)," ")</f>
        <v xml:space="preserve"> </v>
      </c>
    </row>
    <row r="1492" spans="1:15" x14ac:dyDescent="0.3">
      <c r="A1492" s="1">
        <v>1914</v>
      </c>
      <c r="B1492" s="1">
        <v>3</v>
      </c>
      <c r="C1492" s="1" t="s">
        <v>486</v>
      </c>
      <c r="D1492" s="1" t="s">
        <v>326</v>
      </c>
      <c r="E1492" s="5">
        <v>39176</v>
      </c>
      <c r="F1492" s="1" t="s">
        <v>506</v>
      </c>
      <c r="G1492" s="1" t="str">
        <f>IF(B1492=0,VLOOKUP(A1492,Feuil2!$A$2:$M$1241,11,FALSE)," ")</f>
        <v xml:space="preserve"> </v>
      </c>
      <c r="H1492" s="1" t="s">
        <v>16</v>
      </c>
      <c r="I1492" s="6" t="str">
        <f>IF(B1492=0,VLOOKUP(A1492,Feuil2!$A$2:$M$1241,7,FALSE)," ")</f>
        <v xml:space="preserve"> </v>
      </c>
      <c r="J1492" s="1" t="str">
        <f>IF(B1492=0,VLOOKUP(A1492,Feuil2!$A$2:$M$1241,9,FALSE)," ")</f>
        <v xml:space="preserve"> </v>
      </c>
      <c r="K1492" s="1" t="str">
        <f>IF(B1492=0,VLOOKUP(A1492,Feuil2!$A$2:$M$1241,10,FALSE)," ")</f>
        <v xml:space="preserve"> </v>
      </c>
      <c r="L1492" s="1"/>
      <c r="M1492" s="1"/>
      <c r="N1492" s="1"/>
      <c r="O1492" s="8" t="str">
        <f>IF(B1492=0,VLOOKUP(A1492,Feuil2!$A$2:$M$1241,13,FALSE)," ")</f>
        <v xml:space="preserve"> </v>
      </c>
    </row>
    <row r="1493" spans="1:15" x14ac:dyDescent="0.3">
      <c r="A1493" s="1">
        <v>1914</v>
      </c>
      <c r="B1493" s="1">
        <v>4</v>
      </c>
      <c r="C1493" s="1" t="s">
        <v>486</v>
      </c>
      <c r="D1493" s="1" t="s">
        <v>2739</v>
      </c>
      <c r="E1493" s="5">
        <v>42500</v>
      </c>
      <c r="F1493" s="1" t="s">
        <v>17</v>
      </c>
      <c r="G1493" s="1" t="str">
        <f>IF(B1493=0,VLOOKUP(A1493,Feuil2!$A$2:$M$1241,11,FALSE)," ")</f>
        <v xml:space="preserve"> </v>
      </c>
      <c r="H1493" s="1" t="s">
        <v>16</v>
      </c>
      <c r="I1493" s="6" t="str">
        <f>IF(B1493=0,VLOOKUP(A1493,Feuil2!$A$2:$M$1241,7,FALSE)," ")</f>
        <v xml:space="preserve"> </v>
      </c>
      <c r="J1493" s="1" t="str">
        <f>IF(B1493=0,VLOOKUP(A1493,Feuil2!$A$2:$M$1241,9,FALSE)," ")</f>
        <v xml:space="preserve"> </v>
      </c>
      <c r="K1493" s="1" t="str">
        <f>IF(B1493=0,VLOOKUP(A1493,Feuil2!$A$2:$M$1241,10,FALSE)," ")</f>
        <v xml:space="preserve"> </v>
      </c>
      <c r="L1493" s="1"/>
      <c r="M1493" s="1"/>
      <c r="N1493" s="1"/>
      <c r="O1493" s="8" t="str">
        <f>IF(B1493=0,VLOOKUP(A1493,Feuil2!$A$2:$M$1241,13,FALSE)," ")</f>
        <v xml:space="preserve"> </v>
      </c>
    </row>
    <row r="1494" spans="1:15" x14ac:dyDescent="0.3">
      <c r="A1494" s="1">
        <v>1915</v>
      </c>
      <c r="B1494" s="1">
        <v>0</v>
      </c>
      <c r="C1494" s="1" t="s">
        <v>582</v>
      </c>
      <c r="D1494" s="1" t="str">
        <f>IF(B1494=0,VLOOKUP(A1494,Feuil2!$A$2:$M$1241,3,FALSE)," ")</f>
        <v>MOHAMED SALAH</v>
      </c>
      <c r="E1494" s="5">
        <f>IF(B1494=0,VLOOKUP(A1494,Feuil2!$A$2:$M$1241,6,FALSE)," ")</f>
        <v>28528</v>
      </c>
      <c r="F1494" s="1" t="str">
        <f>IF(B1494=0,VLOOKUP(A1494,Feuil2!$A$2:$M$1241,12,FALSE)," ")</f>
        <v>H</v>
      </c>
      <c r="G1494" s="1" t="str">
        <f>IF(B1494=0,VLOOKUP(A1494,Feuil2!$A$2:$M$1241,11,FALSE)," ")</f>
        <v>M</v>
      </c>
      <c r="H1494" s="1" t="s">
        <v>16</v>
      </c>
      <c r="I1494" s="6">
        <f>IF(B1494=0,VLOOKUP(A1494,Feuil2!$A$2:$M$1241,7,FALSE)," ")</f>
        <v>5570372</v>
      </c>
      <c r="J1494" s="1" t="str">
        <f>IF(B1494=0,VLOOKUP(A1494,Feuil2!$A$2:$M$1241,9,FALSE)," ")</f>
        <v>10, Rue Farhat Hached</v>
      </c>
      <c r="K1494" s="1" t="str">
        <f>IF(B1494=0,VLOOKUP(A1494,Feuil2!$A$2:$M$1241,10,FALSE)," ")</f>
        <v>Msaken 4070</v>
      </c>
      <c r="L1494" s="1">
        <v>4070</v>
      </c>
      <c r="M1494" s="1">
        <v>98793764</v>
      </c>
      <c r="N1494" s="1"/>
      <c r="O1494" s="8" t="str">
        <f>IF(B1494=0,VLOOKUP(A1494,Feuil2!$A$2:$M$1241,13,FALSE)," ")</f>
        <v>12505000000211619925</v>
      </c>
    </row>
    <row r="1495" spans="1:15" x14ac:dyDescent="0.3">
      <c r="A1495" s="1">
        <v>1915</v>
      </c>
      <c r="B1495" s="1">
        <v>1</v>
      </c>
      <c r="C1495" s="1" t="s">
        <v>19</v>
      </c>
      <c r="D1495" s="1" t="s">
        <v>413</v>
      </c>
      <c r="E1495" s="5">
        <v>33048</v>
      </c>
      <c r="F1495" s="1" t="s">
        <v>17</v>
      </c>
      <c r="G1495" s="1" t="s">
        <v>15</v>
      </c>
      <c r="H1495" s="1" t="s">
        <v>16</v>
      </c>
      <c r="I1495" s="6" t="str">
        <f>IF(B1495=0,VLOOKUP(A1495,Feuil2!$A$2:$M$1241,7,FALSE)," ")</f>
        <v xml:space="preserve"> </v>
      </c>
      <c r="J1495" s="1" t="str">
        <f>IF(B1495=0,VLOOKUP(A1495,Feuil2!$A$2:$M$1241,9,FALSE)," ")</f>
        <v xml:space="preserve"> </v>
      </c>
      <c r="K1495" s="1" t="str">
        <f>IF(B1495=0,VLOOKUP(A1495,Feuil2!$A$2:$M$1241,10,FALSE)," ")</f>
        <v xml:space="preserve"> </v>
      </c>
      <c r="L1495" s="1"/>
      <c r="M1495" s="1"/>
      <c r="N1495" s="1"/>
      <c r="O1495" s="8" t="str">
        <f>IF(B1495=0,VLOOKUP(A1495,Feuil2!$A$2:$M$1241,13,FALSE)," ")</f>
        <v xml:space="preserve"> </v>
      </c>
    </row>
    <row r="1496" spans="1:15" x14ac:dyDescent="0.3">
      <c r="A1496" s="1">
        <v>1915</v>
      </c>
      <c r="B1496" s="1">
        <v>2</v>
      </c>
      <c r="C1496" s="1" t="s">
        <v>582</v>
      </c>
      <c r="D1496" s="1" t="s">
        <v>2500</v>
      </c>
      <c r="E1496" s="5">
        <v>41513</v>
      </c>
      <c r="F1496" s="1" t="s">
        <v>17</v>
      </c>
      <c r="G1496" s="1" t="str">
        <f>IF(B1496=0,VLOOKUP(A1496,Feuil2!$A$2:$M$1241,11,FALSE)," ")</f>
        <v xml:space="preserve"> </v>
      </c>
      <c r="H1496" s="1" t="s">
        <v>16</v>
      </c>
      <c r="I1496" s="6" t="str">
        <f>IF(B1496=0,VLOOKUP(A1496,Feuil2!$A$2:$M$1241,7,FALSE)," ")</f>
        <v xml:space="preserve"> </v>
      </c>
      <c r="J1496" s="1" t="str">
        <f>IF(B1496=0,VLOOKUP(A1496,Feuil2!$A$2:$M$1241,9,FALSE)," ")</f>
        <v xml:space="preserve"> </v>
      </c>
      <c r="K1496" s="1" t="str">
        <f>IF(B1496=0,VLOOKUP(A1496,Feuil2!$A$2:$M$1241,10,FALSE)," ")</f>
        <v xml:space="preserve"> </v>
      </c>
      <c r="L1496" s="1"/>
      <c r="M1496" s="1"/>
      <c r="N1496" s="1"/>
      <c r="O1496" s="8" t="str">
        <f>IF(B1496=0,VLOOKUP(A1496,Feuil2!$A$2:$M$1241,13,FALSE)," ")</f>
        <v xml:space="preserve"> </v>
      </c>
    </row>
    <row r="1497" spans="1:15" x14ac:dyDescent="0.3">
      <c r="A1497" s="1">
        <v>1915</v>
      </c>
      <c r="B1497" s="1">
        <v>3</v>
      </c>
      <c r="C1497" s="1" t="s">
        <v>582</v>
      </c>
      <c r="D1497" s="1" t="s">
        <v>2740</v>
      </c>
      <c r="E1497" s="5">
        <v>42307</v>
      </c>
      <c r="F1497" s="1" t="s">
        <v>17</v>
      </c>
      <c r="G1497" s="1" t="str">
        <f>IF(B1497=0,VLOOKUP(A1497,Feuil2!$A$2:$M$1241,11,FALSE)," ")</f>
        <v xml:space="preserve"> </v>
      </c>
      <c r="H1497" s="1" t="s">
        <v>16</v>
      </c>
      <c r="I1497" s="6" t="str">
        <f>IF(B1497=0,VLOOKUP(A1497,Feuil2!$A$2:$M$1241,7,FALSE)," ")</f>
        <v xml:space="preserve"> </v>
      </c>
      <c r="J1497" s="1" t="str">
        <f>IF(B1497=0,VLOOKUP(A1497,Feuil2!$A$2:$M$1241,9,FALSE)," ")</f>
        <v xml:space="preserve"> </v>
      </c>
      <c r="K1497" s="1" t="str">
        <f>IF(B1497=0,VLOOKUP(A1497,Feuil2!$A$2:$M$1241,10,FALSE)," ")</f>
        <v xml:space="preserve"> </v>
      </c>
      <c r="L1497" s="1"/>
      <c r="M1497" s="1"/>
      <c r="N1497" s="1"/>
      <c r="O1497" s="8" t="str">
        <f>IF(B1497=0,VLOOKUP(A1497,Feuil2!$A$2:$M$1241,13,FALSE)," ")</f>
        <v xml:space="preserve"> </v>
      </c>
    </row>
    <row r="1498" spans="1:15" x14ac:dyDescent="0.3">
      <c r="A1498" s="1">
        <v>1915</v>
      </c>
      <c r="B1498" s="1">
        <v>4</v>
      </c>
      <c r="C1498" s="1" t="s">
        <v>582</v>
      </c>
      <c r="D1498" s="1" t="s">
        <v>2099</v>
      </c>
      <c r="E1498" s="5">
        <v>43711</v>
      </c>
      <c r="F1498" s="1" t="s">
        <v>17</v>
      </c>
      <c r="G1498" s="1" t="str">
        <f>IF(B1498=0,VLOOKUP(A1498,Feuil2!$A$2:$M$1241,11,FALSE)," ")</f>
        <v xml:space="preserve"> </v>
      </c>
      <c r="H1498" s="1" t="s">
        <v>16</v>
      </c>
      <c r="I1498" s="6" t="str">
        <f>IF(B1498=0,VLOOKUP(A1498,Feuil2!$A$2:$M$1241,7,FALSE)," ")</f>
        <v xml:space="preserve"> </v>
      </c>
      <c r="J1498" s="1" t="str">
        <f>IF(B1498=0,VLOOKUP(A1498,Feuil2!$A$2:$M$1241,9,FALSE)," ")</f>
        <v xml:space="preserve"> </v>
      </c>
      <c r="K1498" s="1" t="str">
        <f>IF(B1498=0,VLOOKUP(A1498,Feuil2!$A$2:$M$1241,10,FALSE)," ")</f>
        <v xml:space="preserve"> </v>
      </c>
      <c r="L1498" s="1"/>
      <c r="M1498" s="1"/>
      <c r="N1498" s="1"/>
      <c r="O1498" s="8" t="str">
        <f>IF(B1498=0,VLOOKUP(A1498,Feuil2!$A$2:$M$1241,13,FALSE)," ")</f>
        <v xml:space="preserve"> </v>
      </c>
    </row>
    <row r="1499" spans="1:15" x14ac:dyDescent="0.3">
      <c r="A1499" s="1">
        <v>1915</v>
      </c>
      <c r="B1499" s="1">
        <v>5</v>
      </c>
      <c r="C1499" s="1" t="s">
        <v>582</v>
      </c>
      <c r="D1499" s="1" t="s">
        <v>2866</v>
      </c>
      <c r="E1499" s="5">
        <v>44623</v>
      </c>
      <c r="F1499" s="1" t="s">
        <v>17</v>
      </c>
      <c r="G1499" s="1"/>
      <c r="H1499" s="1" t="s">
        <v>16</v>
      </c>
      <c r="I1499" s="6"/>
      <c r="J1499" s="1"/>
      <c r="K1499" s="1"/>
      <c r="L1499" s="1"/>
      <c r="M1499" s="1"/>
      <c r="N1499" s="1"/>
      <c r="O1499" s="8"/>
    </row>
    <row r="1500" spans="1:15" x14ac:dyDescent="0.3">
      <c r="A1500" s="1">
        <v>1916</v>
      </c>
      <c r="B1500" s="1">
        <v>0</v>
      </c>
      <c r="C1500" s="1" t="str">
        <f>IF(B1500=0,VLOOKUP(A1500,Feuil2!$A$2:$M$1241,2,FALSE)," ")</f>
        <v>MANSOUR</v>
      </c>
      <c r="D1500" s="1" t="str">
        <f>IF(B1500=0,VLOOKUP(A1500,Feuil2!$A$2:$M$1241,3,FALSE)," ")</f>
        <v>NEJI</v>
      </c>
      <c r="E1500" s="5">
        <f>IF(B1500=0,VLOOKUP(A1500,Feuil2!$A$2:$M$1241,6,FALSE)," ")</f>
        <v>27148</v>
      </c>
      <c r="F1500" s="1" t="str">
        <f>IF(B1500=0,VLOOKUP(A1500,Feuil2!$A$2:$M$1241,12,FALSE)," ")</f>
        <v>H</v>
      </c>
      <c r="G1500" s="1" t="str">
        <f>IF(B1500=0,VLOOKUP(A1500,Feuil2!$A$2:$M$1241,11,FALSE)," ")</f>
        <v>M</v>
      </c>
      <c r="H1500" s="1" t="s">
        <v>16</v>
      </c>
      <c r="I1500" s="6">
        <f>IF(B1500=0,VLOOKUP(A1500,Feuil2!$A$2:$M$1241,7,FALSE)," ")</f>
        <v>5558738</v>
      </c>
      <c r="J1500" s="1" t="str">
        <f>IF(B1500=0,VLOOKUP(A1500,Feuil2!$A$2:$M$1241,9,FALSE)," ")</f>
        <v>NULL</v>
      </c>
      <c r="K1500" s="1" t="str">
        <f>IF(B1500=0,VLOOKUP(A1500,Feuil2!$A$2:$M$1241,10,FALSE)," ")</f>
        <v>BÃ©ni Rabiaa 4015</v>
      </c>
      <c r="L1500" s="1"/>
      <c r="M1500" s="1"/>
      <c r="N1500" s="1"/>
      <c r="O1500" s="8" t="str">
        <f>IF(B1500=0,VLOOKUP(A1500,Feuil2!$A$2:$M$1241,13,FALSE)," ")</f>
        <v>12505000000211620604</v>
      </c>
    </row>
    <row r="1501" spans="1:15" x14ac:dyDescent="0.3">
      <c r="A1501" s="1">
        <v>1916</v>
      </c>
      <c r="B1501" s="1">
        <v>1</v>
      </c>
      <c r="C1501" s="1" t="s">
        <v>369</v>
      </c>
      <c r="D1501" s="1" t="s">
        <v>2348</v>
      </c>
      <c r="E1501" s="5">
        <v>32814</v>
      </c>
      <c r="F1501" s="1" t="s">
        <v>17</v>
      </c>
      <c r="G1501" s="1" t="s">
        <v>15</v>
      </c>
      <c r="H1501" s="1" t="s">
        <v>16</v>
      </c>
      <c r="I1501" s="6" t="str">
        <f>IF(B1501=0,VLOOKUP(A1501,Feuil2!$A$2:$M$1241,7,FALSE)," ")</f>
        <v xml:space="preserve"> </v>
      </c>
      <c r="J1501" s="1" t="str">
        <f>IF(B1501=0,VLOOKUP(A1501,Feuil2!$A$2:$M$1241,9,FALSE)," ")</f>
        <v xml:space="preserve"> </v>
      </c>
      <c r="K1501" s="1" t="str">
        <f>IF(B1501=0,VLOOKUP(A1501,Feuil2!$A$2:$M$1241,10,FALSE)," ")</f>
        <v xml:space="preserve"> </v>
      </c>
      <c r="L1501" s="1"/>
      <c r="M1501" s="1"/>
      <c r="N1501" s="1"/>
      <c r="O1501" s="8" t="str">
        <f>IF(B1501=0,VLOOKUP(A1501,Feuil2!$A$2:$M$1241,13,FALSE)," ")</f>
        <v xml:space="preserve"> </v>
      </c>
    </row>
    <row r="1502" spans="1:15" x14ac:dyDescent="0.3">
      <c r="A1502" s="1">
        <v>1916</v>
      </c>
      <c r="B1502" s="1">
        <v>2</v>
      </c>
      <c r="C1502" s="1" t="s">
        <v>197</v>
      </c>
      <c r="D1502" s="1" t="s">
        <v>2741</v>
      </c>
      <c r="E1502" s="5">
        <v>39230</v>
      </c>
      <c r="F1502" s="1" t="s">
        <v>506</v>
      </c>
      <c r="G1502" s="1" t="str">
        <f>IF(B1502=0,VLOOKUP(A1502,Feuil2!$A$2:$M$1241,11,FALSE)," ")</f>
        <v xml:space="preserve"> </v>
      </c>
      <c r="H1502" s="1" t="s">
        <v>16</v>
      </c>
      <c r="I1502" s="6" t="str">
        <f>IF(B1502=0,VLOOKUP(A1502,Feuil2!$A$2:$M$1241,7,FALSE)," ")</f>
        <v xml:space="preserve"> </v>
      </c>
      <c r="J1502" s="1" t="str">
        <f>IF(B1502=0,VLOOKUP(A1502,Feuil2!$A$2:$M$1241,9,FALSE)," ")</f>
        <v xml:space="preserve"> </v>
      </c>
      <c r="K1502" s="1" t="str">
        <f>IF(B1502=0,VLOOKUP(A1502,Feuil2!$A$2:$M$1241,10,FALSE)," ")</f>
        <v xml:space="preserve"> </v>
      </c>
      <c r="L1502" s="1"/>
      <c r="M1502" s="1"/>
      <c r="N1502" s="1"/>
      <c r="O1502" s="8" t="str">
        <f>IF(B1502=0,VLOOKUP(A1502,Feuil2!$A$2:$M$1241,13,FALSE)," ")</f>
        <v xml:space="preserve"> </v>
      </c>
    </row>
    <row r="1503" spans="1:15" x14ac:dyDescent="0.3">
      <c r="A1503" s="1">
        <v>1916</v>
      </c>
      <c r="B1503" s="1">
        <v>3</v>
      </c>
      <c r="C1503" s="1" t="s">
        <v>197</v>
      </c>
      <c r="D1503" s="1" t="s">
        <v>1782</v>
      </c>
      <c r="E1503" s="5">
        <v>40212</v>
      </c>
      <c r="F1503" s="1" t="s">
        <v>506</v>
      </c>
      <c r="G1503" s="1" t="str">
        <f>IF(B1503=0,VLOOKUP(A1503,Feuil2!$A$2:$M$1241,11,FALSE)," ")</f>
        <v xml:space="preserve"> </v>
      </c>
      <c r="H1503" s="1" t="s">
        <v>16</v>
      </c>
      <c r="I1503" s="6" t="str">
        <f>IF(B1503=0,VLOOKUP(A1503,Feuil2!$A$2:$M$1241,7,FALSE)," ")</f>
        <v xml:space="preserve"> </v>
      </c>
      <c r="J1503" s="1" t="str">
        <f>IF(B1503=0,VLOOKUP(A1503,Feuil2!$A$2:$M$1241,9,FALSE)," ")</f>
        <v xml:space="preserve"> </v>
      </c>
      <c r="K1503" s="1" t="str">
        <f>IF(B1503=0,VLOOKUP(A1503,Feuil2!$A$2:$M$1241,10,FALSE)," ")</f>
        <v xml:space="preserve"> </v>
      </c>
      <c r="L1503" s="1"/>
      <c r="M1503" s="1"/>
      <c r="N1503" s="1"/>
      <c r="O1503" s="8" t="str">
        <f>IF(B1503=0,VLOOKUP(A1503,Feuil2!$A$2:$M$1241,13,FALSE)," ")</f>
        <v xml:space="preserve"> </v>
      </c>
    </row>
    <row r="1504" spans="1:15" x14ac:dyDescent="0.3">
      <c r="A1504" s="1">
        <v>1916</v>
      </c>
      <c r="B1504" s="1">
        <v>4</v>
      </c>
      <c r="C1504" s="1" t="s">
        <v>197</v>
      </c>
      <c r="D1504" s="1" t="s">
        <v>2340</v>
      </c>
      <c r="E1504" s="5">
        <v>41366</v>
      </c>
      <c r="F1504" s="1" t="s">
        <v>17</v>
      </c>
      <c r="G1504" s="1" t="str">
        <f>IF(B1504=0,VLOOKUP(A1504,Feuil2!$A$2:$M$1241,11,FALSE)," ")</f>
        <v xml:space="preserve"> </v>
      </c>
      <c r="H1504" s="1" t="s">
        <v>16</v>
      </c>
      <c r="I1504" s="6" t="str">
        <f>IF(B1504=0,VLOOKUP(A1504,Feuil2!$A$2:$M$1241,7,FALSE)," ")</f>
        <v xml:space="preserve"> </v>
      </c>
      <c r="J1504" s="1" t="str">
        <f>IF(B1504=0,VLOOKUP(A1504,Feuil2!$A$2:$M$1241,9,FALSE)," ")</f>
        <v xml:space="preserve"> </v>
      </c>
      <c r="K1504" s="1" t="str">
        <f>IF(B1504=0,VLOOKUP(A1504,Feuil2!$A$2:$M$1241,10,FALSE)," ")</f>
        <v xml:space="preserve"> </v>
      </c>
      <c r="L1504" s="1"/>
      <c r="M1504" s="1"/>
      <c r="N1504" s="1"/>
      <c r="O1504" s="8" t="str">
        <f>IF(B1504=0,VLOOKUP(A1504,Feuil2!$A$2:$M$1241,13,FALSE)," ")</f>
        <v xml:space="preserve"> </v>
      </c>
    </row>
    <row r="1505" spans="1:15" x14ac:dyDescent="0.3">
      <c r="A1505" s="1">
        <v>1921</v>
      </c>
      <c r="B1505" s="1">
        <v>0</v>
      </c>
      <c r="C1505" s="1" t="str">
        <f>IF(B1505=0,VLOOKUP(A1505,Feuil2!$A$2:$M$1241,2,FALSE)," ")</f>
        <v>HNIA</v>
      </c>
      <c r="D1505" s="1" t="str">
        <f>IF(B1505=0,VLOOKUP(A1505,Feuil2!$A$2:$M$1241,3,FALSE)," ")</f>
        <v>SAHNOUN</v>
      </c>
      <c r="E1505" s="5">
        <f>IF(B1505=0,VLOOKUP(A1505,Feuil2!$A$2:$M$1241,6,FALSE)," ")</f>
        <v>27122</v>
      </c>
      <c r="F1505" s="1" t="str">
        <f>IF(B1505=0,VLOOKUP(A1505,Feuil2!$A$2:$M$1241,12,FALSE)," ")</f>
        <v>H</v>
      </c>
      <c r="G1505" s="1" t="str">
        <f>IF(B1505=0,VLOOKUP(A1505,Feuil2!$A$2:$M$1241,11,FALSE)," ")</f>
        <v>M</v>
      </c>
      <c r="H1505" s="1" t="s">
        <v>16</v>
      </c>
      <c r="I1505" s="6">
        <f>IF(B1505=0,VLOOKUP(A1505,Feuil2!$A$2:$M$1241,7,FALSE)," ")</f>
        <v>5505016</v>
      </c>
      <c r="J1505" s="1" t="str">
        <f>IF(B1505=0,VLOOKUP(A1505,Feuil2!$A$2:$M$1241,9,FALSE)," ")</f>
        <v>NULL</v>
      </c>
      <c r="K1505" s="1" t="str">
        <f>IF(B1505=0,VLOOKUP(A1505,Feuil2!$A$2:$M$1241,10,FALSE)," ")</f>
        <v>Knaies 4014</v>
      </c>
      <c r="L1505" s="1">
        <v>4014</v>
      </c>
      <c r="M1505" s="1">
        <v>97122781</v>
      </c>
      <c r="N1505" s="1"/>
      <c r="O1505" s="8" t="str">
        <f>IF(B1505=0,VLOOKUP(A1505,Feuil2!$A$2:$M$1241,13,FALSE)," ")</f>
        <v>14014014100703346262</v>
      </c>
    </row>
    <row r="1506" spans="1:15" x14ac:dyDescent="0.3">
      <c r="A1506" s="1">
        <v>1921</v>
      </c>
      <c r="B1506" s="1">
        <v>1</v>
      </c>
      <c r="C1506" s="1" t="s">
        <v>223</v>
      </c>
      <c r="D1506" s="1" t="s">
        <v>2689</v>
      </c>
      <c r="E1506" s="5">
        <v>31325</v>
      </c>
      <c r="F1506" s="1" t="s">
        <v>17</v>
      </c>
      <c r="G1506" s="1" t="s">
        <v>15</v>
      </c>
      <c r="H1506" s="1" t="s">
        <v>16</v>
      </c>
      <c r="I1506" s="6" t="str">
        <f>IF(B1506=0,VLOOKUP(A1506,Feuil2!$A$2:$M$1241,7,FALSE)," ")</f>
        <v xml:space="preserve"> </v>
      </c>
      <c r="J1506" s="1" t="str">
        <f>IF(B1506=0,VLOOKUP(A1506,Feuil2!$A$2:$M$1241,9,FALSE)," ")</f>
        <v xml:space="preserve"> </v>
      </c>
      <c r="K1506" s="1" t="str">
        <f>IF(B1506=0,VLOOKUP(A1506,Feuil2!$A$2:$M$1241,10,FALSE)," ")</f>
        <v xml:space="preserve"> </v>
      </c>
      <c r="L1506" s="1"/>
      <c r="M1506" s="1"/>
      <c r="N1506" s="1"/>
      <c r="O1506" s="8" t="str">
        <f>IF(B1506=0,VLOOKUP(A1506,Feuil2!$A$2:$M$1241,13,FALSE)," ")</f>
        <v xml:space="preserve"> </v>
      </c>
    </row>
    <row r="1507" spans="1:15" x14ac:dyDescent="0.3">
      <c r="A1507" s="1">
        <v>1921</v>
      </c>
      <c r="B1507" s="1">
        <v>2</v>
      </c>
      <c r="C1507" s="1" t="s">
        <v>223</v>
      </c>
      <c r="D1507" s="1" t="s">
        <v>2389</v>
      </c>
      <c r="E1507" s="5">
        <v>39282</v>
      </c>
      <c r="F1507" s="1" t="s">
        <v>17</v>
      </c>
      <c r="G1507" s="1" t="str">
        <f>IF(B1507=0,VLOOKUP(A1507,Feuil2!$A$2:$M$1241,11,FALSE)," ")</f>
        <v xml:space="preserve"> </v>
      </c>
      <c r="H1507" s="1" t="s">
        <v>16</v>
      </c>
      <c r="I1507" s="6" t="str">
        <f>IF(B1507=0,VLOOKUP(A1507,Feuil2!$A$2:$M$1241,7,FALSE)," ")</f>
        <v xml:space="preserve"> </v>
      </c>
      <c r="J1507" s="1" t="str">
        <f>IF(B1507=0,VLOOKUP(A1507,Feuil2!$A$2:$M$1241,9,FALSE)," ")</f>
        <v xml:space="preserve"> </v>
      </c>
      <c r="K1507" s="1" t="str">
        <f>IF(B1507=0,VLOOKUP(A1507,Feuil2!$A$2:$M$1241,10,FALSE)," ")</f>
        <v xml:space="preserve"> </v>
      </c>
      <c r="L1507" s="1"/>
      <c r="M1507" s="1"/>
      <c r="N1507" s="1"/>
      <c r="O1507" s="8" t="str">
        <f>IF(B1507=0,VLOOKUP(A1507,Feuil2!$A$2:$M$1241,13,FALSE)," ")</f>
        <v xml:space="preserve"> </v>
      </c>
    </row>
    <row r="1508" spans="1:15" x14ac:dyDescent="0.3">
      <c r="A1508" s="1">
        <v>1921</v>
      </c>
      <c r="B1508" s="1">
        <v>3</v>
      </c>
      <c r="C1508" s="1" t="s">
        <v>223</v>
      </c>
      <c r="D1508" s="1" t="s">
        <v>122</v>
      </c>
      <c r="E1508" s="5">
        <v>39998</v>
      </c>
      <c r="F1508" s="1" t="s">
        <v>506</v>
      </c>
      <c r="G1508" s="1" t="str">
        <f>IF(B1508=0,VLOOKUP(A1508,Feuil2!$A$2:$M$1241,11,FALSE)," ")</f>
        <v xml:space="preserve"> </v>
      </c>
      <c r="H1508" s="1" t="s">
        <v>16</v>
      </c>
      <c r="I1508" s="6" t="str">
        <f>IF(B1508=0,VLOOKUP(A1508,Feuil2!$A$2:$M$1241,7,FALSE)," ")</f>
        <v xml:space="preserve"> </v>
      </c>
      <c r="J1508" s="1" t="str">
        <f>IF(B1508=0,VLOOKUP(A1508,Feuil2!$A$2:$M$1241,9,FALSE)," ")</f>
        <v xml:space="preserve"> </v>
      </c>
      <c r="K1508" s="1" t="str">
        <f>IF(B1508=0,VLOOKUP(A1508,Feuil2!$A$2:$M$1241,10,FALSE)," ")</f>
        <v xml:space="preserve"> </v>
      </c>
      <c r="L1508" s="1"/>
      <c r="M1508" s="1"/>
      <c r="N1508" s="1"/>
      <c r="O1508" s="8" t="str">
        <f>IF(B1508=0,VLOOKUP(A1508,Feuil2!$A$2:$M$1241,13,FALSE)," ")</f>
        <v xml:space="preserve"> </v>
      </c>
    </row>
    <row r="1509" spans="1:15" x14ac:dyDescent="0.3">
      <c r="A1509" s="1">
        <v>1921</v>
      </c>
      <c r="B1509" s="1">
        <v>4</v>
      </c>
      <c r="C1509" s="1" t="s">
        <v>223</v>
      </c>
      <c r="D1509" s="1" t="s">
        <v>2742</v>
      </c>
      <c r="E1509" s="5">
        <v>43074</v>
      </c>
      <c r="F1509" s="1" t="s">
        <v>17</v>
      </c>
      <c r="G1509" s="1" t="str">
        <f>IF(B1509=0,VLOOKUP(A1509,Feuil2!$A$2:$M$1241,11,FALSE)," ")</f>
        <v xml:space="preserve"> </v>
      </c>
      <c r="H1509" s="1" t="s">
        <v>16</v>
      </c>
      <c r="I1509" s="6" t="str">
        <f>IF(B1509=0,VLOOKUP(A1509,Feuil2!$A$2:$M$1241,7,FALSE)," ")</f>
        <v xml:space="preserve"> </v>
      </c>
      <c r="J1509" s="1" t="str">
        <f>IF(B1509=0,VLOOKUP(A1509,Feuil2!$A$2:$M$1241,9,FALSE)," ")</f>
        <v xml:space="preserve"> </v>
      </c>
      <c r="K1509" s="1" t="str">
        <f>IF(B1509=0,VLOOKUP(A1509,Feuil2!$A$2:$M$1241,10,FALSE)," ")</f>
        <v xml:space="preserve"> </v>
      </c>
      <c r="L1509" s="1"/>
      <c r="M1509" s="1"/>
      <c r="N1509" s="1"/>
      <c r="O1509" s="8" t="str">
        <f>IF(B1509=0,VLOOKUP(A1509,Feuil2!$A$2:$M$1241,13,FALSE)," ")</f>
        <v xml:space="preserve"> </v>
      </c>
    </row>
    <row r="1510" spans="1:15" x14ac:dyDescent="0.3">
      <c r="A1510" s="1">
        <v>1922</v>
      </c>
      <c r="B1510" s="1">
        <v>0</v>
      </c>
      <c r="C1510" s="1" t="str">
        <f>IF(B1510=0,VLOOKUP(A1510,Feuil2!$A$2:$M$1241,2,FALSE)," ")</f>
        <v>MAHJOUB</v>
      </c>
      <c r="D1510" s="1" t="str">
        <f>IF(B1510=0,VLOOKUP(A1510,Feuil2!$A$2:$M$1241,3,FALSE)," ")</f>
        <v>FAKER</v>
      </c>
      <c r="E1510" s="5">
        <f>IF(B1510=0,VLOOKUP(A1510,Feuil2!$A$2:$M$1241,6,FALSE)," ")</f>
        <v>26642</v>
      </c>
      <c r="F1510" s="1" t="str">
        <f>IF(B1510=0,VLOOKUP(A1510,Feuil2!$A$2:$M$1241,12,FALSE)," ")</f>
        <v>H</v>
      </c>
      <c r="G1510" s="1" t="str">
        <f>IF(B1510=0,VLOOKUP(A1510,Feuil2!$A$2:$M$1241,11,FALSE)," ")</f>
        <v>M</v>
      </c>
      <c r="H1510" s="1" t="s">
        <v>16</v>
      </c>
      <c r="I1510" s="6">
        <f>IF(B1510=0,VLOOKUP(A1510,Feuil2!$A$2:$M$1241,7,FALSE)," ")</f>
        <v>5551184</v>
      </c>
      <c r="J1510" s="1" t="str">
        <f>IF(B1510=0,VLOOKUP(A1510,Feuil2!$A$2:$M$1241,9,FALSE)," ")</f>
        <v>52 Rue Rekeb</v>
      </c>
      <c r="K1510" s="1" t="str">
        <f>IF(B1510=0,VLOOKUP(A1510,Feuil2!$A$2:$M$1241,10,FALSE)," ")</f>
        <v>Msaken 4070</v>
      </c>
      <c r="L1510" s="1">
        <v>4070</v>
      </c>
      <c r="M1510" s="1">
        <v>93449381</v>
      </c>
      <c r="N1510" s="1"/>
      <c r="O1510" s="8" t="str">
        <f>IF(B1510=0,VLOOKUP(A1510,Feuil2!$A$2:$M$1241,13,FALSE)," ")</f>
        <v>12505000000225277622</v>
      </c>
    </row>
    <row r="1511" spans="1:15" x14ac:dyDescent="0.3">
      <c r="A1511" s="1">
        <v>1922</v>
      </c>
      <c r="B1511" s="1">
        <v>1</v>
      </c>
      <c r="C1511" s="1" t="s">
        <v>2709</v>
      </c>
      <c r="D1511" s="1" t="s">
        <v>439</v>
      </c>
      <c r="E1511" s="5">
        <v>32270</v>
      </c>
      <c r="F1511" s="1" t="s">
        <v>17</v>
      </c>
      <c r="G1511" s="1" t="s">
        <v>15</v>
      </c>
      <c r="H1511" s="1" t="s">
        <v>16</v>
      </c>
      <c r="I1511" s="6" t="str">
        <f>IF(B1511=0,VLOOKUP(A1511,Feuil2!$A$2:$M$1241,7,FALSE)," ")</f>
        <v xml:space="preserve"> </v>
      </c>
      <c r="J1511" s="1" t="str">
        <f>IF(B1511=0,VLOOKUP(A1511,Feuil2!$A$2:$M$1241,9,FALSE)," ")</f>
        <v xml:space="preserve"> </v>
      </c>
      <c r="K1511" s="1" t="str">
        <f>IF(B1511=0,VLOOKUP(A1511,Feuil2!$A$2:$M$1241,10,FALSE)," ")</f>
        <v xml:space="preserve"> </v>
      </c>
      <c r="L1511" s="1"/>
      <c r="M1511" s="1"/>
      <c r="N1511" s="1"/>
      <c r="O1511" s="8" t="str">
        <f>IF(B1511=0,VLOOKUP(A1511,Feuil2!$A$2:$M$1241,13,FALSE)," ")</f>
        <v xml:space="preserve"> </v>
      </c>
    </row>
    <row r="1512" spans="1:15" x14ac:dyDescent="0.3">
      <c r="A1512" s="1">
        <v>1922</v>
      </c>
      <c r="B1512" s="1">
        <v>2</v>
      </c>
      <c r="C1512" s="1" t="s">
        <v>19</v>
      </c>
      <c r="D1512" s="1" t="s">
        <v>2099</v>
      </c>
      <c r="E1512" s="5">
        <v>42524</v>
      </c>
      <c r="F1512" s="1" t="s">
        <v>17</v>
      </c>
      <c r="G1512" s="1" t="str">
        <f>IF(B1512=0,VLOOKUP(A1512,Feuil2!$A$2:$M$1241,11,FALSE)," ")</f>
        <v xml:space="preserve"> </v>
      </c>
      <c r="H1512" s="1" t="s">
        <v>16</v>
      </c>
      <c r="I1512" s="6" t="str">
        <f>IF(B1512=0,VLOOKUP(A1512,Feuil2!$A$2:$M$1241,7,FALSE)," ")</f>
        <v xml:space="preserve"> </v>
      </c>
      <c r="J1512" s="1" t="str">
        <f>IF(B1512=0,VLOOKUP(A1512,Feuil2!$A$2:$M$1241,9,FALSE)," ")</f>
        <v xml:space="preserve"> </v>
      </c>
      <c r="K1512" s="1" t="str">
        <f>IF(B1512=0,VLOOKUP(A1512,Feuil2!$A$2:$M$1241,10,FALSE)," ")</f>
        <v xml:space="preserve"> </v>
      </c>
      <c r="L1512" s="1"/>
      <c r="M1512" s="1"/>
      <c r="N1512" s="1"/>
      <c r="O1512" s="8" t="str">
        <f>IF(B1512=0,VLOOKUP(A1512,Feuil2!$A$2:$M$1241,13,FALSE)," ")</f>
        <v xml:space="preserve"> </v>
      </c>
    </row>
    <row r="1513" spans="1:15" x14ac:dyDescent="0.3">
      <c r="A1513" s="1">
        <v>1922</v>
      </c>
      <c r="B1513" s="1">
        <v>3</v>
      </c>
      <c r="C1513" s="1" t="s">
        <v>19</v>
      </c>
      <c r="D1513" s="1" t="s">
        <v>2677</v>
      </c>
      <c r="E1513" s="5">
        <v>42982</v>
      </c>
      <c r="F1513" s="1" t="s">
        <v>17</v>
      </c>
      <c r="G1513" s="1" t="str">
        <f>IF(B1513=0,VLOOKUP(A1513,Feuil2!$A$2:$M$1241,11,FALSE)," ")</f>
        <v xml:space="preserve"> </v>
      </c>
      <c r="H1513" s="1" t="s">
        <v>16</v>
      </c>
      <c r="I1513" s="6" t="str">
        <f>IF(B1513=0,VLOOKUP(A1513,Feuil2!$A$2:$M$1241,7,FALSE)," ")</f>
        <v xml:space="preserve"> </v>
      </c>
      <c r="J1513" s="1" t="str">
        <f>IF(B1513=0,VLOOKUP(A1513,Feuil2!$A$2:$M$1241,9,FALSE)," ")</f>
        <v xml:space="preserve"> </v>
      </c>
      <c r="K1513" s="1" t="str">
        <f>IF(B1513=0,VLOOKUP(A1513,Feuil2!$A$2:$M$1241,10,FALSE)," ")</f>
        <v xml:space="preserve"> </v>
      </c>
      <c r="L1513" s="1"/>
      <c r="M1513" s="1"/>
      <c r="N1513" s="1"/>
      <c r="O1513" s="8" t="str">
        <f>IF(B1513=0,VLOOKUP(A1513,Feuil2!$A$2:$M$1241,13,FALSE)," ")</f>
        <v xml:space="preserve"> </v>
      </c>
    </row>
    <row r="1514" spans="1:15" x14ac:dyDescent="0.3">
      <c r="A1514" s="1">
        <v>1922</v>
      </c>
      <c r="B1514" s="1">
        <v>4</v>
      </c>
      <c r="C1514" s="1" t="s">
        <v>19</v>
      </c>
      <c r="D1514" s="1" t="s">
        <v>2500</v>
      </c>
      <c r="E1514" s="5">
        <v>44230</v>
      </c>
      <c r="F1514" s="1" t="s">
        <v>17</v>
      </c>
      <c r="G1514" s="1"/>
      <c r="H1514" s="1"/>
      <c r="I1514" s="6"/>
      <c r="J1514" s="1"/>
      <c r="K1514" s="1"/>
      <c r="L1514" s="1"/>
      <c r="M1514" s="1"/>
      <c r="N1514" s="1"/>
      <c r="O1514" s="8"/>
    </row>
    <row r="1515" spans="1:15" x14ac:dyDescent="0.3">
      <c r="A1515" s="1">
        <v>1923</v>
      </c>
      <c r="B1515" s="1">
        <v>0</v>
      </c>
      <c r="C1515" s="1" t="str">
        <f>IF(B1515=0,VLOOKUP(A1515,Feuil2!$A$2:$M$1241,2,FALSE)," ")</f>
        <v>BOUAZZA</v>
      </c>
      <c r="D1515" s="1" t="str">
        <f>IF(B1515=0,VLOOKUP(A1515,Feuil2!$A$2:$M$1241,3,FALSE)," ")</f>
        <v>WALID</v>
      </c>
      <c r="E1515" s="5">
        <f>IF(B1515=0,VLOOKUP(A1515,Feuil2!$A$2:$M$1241,6,FALSE)," ")</f>
        <v>30852</v>
      </c>
      <c r="F1515" s="1" t="str">
        <f>IF(B1515=0,VLOOKUP(A1515,Feuil2!$A$2:$M$1241,12,FALSE)," ")</f>
        <v>H</v>
      </c>
      <c r="G1515" s="1" t="str">
        <f>IF(B1515=0,VLOOKUP(A1515,Feuil2!$A$2:$M$1241,11,FALSE)," ")</f>
        <v>M</v>
      </c>
      <c r="H1515" s="1" t="s">
        <v>16</v>
      </c>
      <c r="I1515" s="6">
        <f>IF(B1515=0,VLOOKUP(A1515,Feuil2!$A$2:$M$1241,7,FALSE)," ")</f>
        <v>8461696</v>
      </c>
      <c r="J1515" s="1" t="str">
        <f>IF(B1515=0,VLOOKUP(A1515,Feuil2!$A$2:$M$1241,9,FALSE)," ")</f>
        <v>19 rue 20 mars</v>
      </c>
      <c r="K1515" s="1" t="str">
        <f>IF(B1515=0,VLOOKUP(A1515,Feuil2!$A$2:$M$1241,10,FALSE)," ")</f>
        <v>Msaken 4070</v>
      </c>
      <c r="L1515" s="1">
        <v>4070</v>
      </c>
      <c r="M1515" s="1">
        <v>22327608</v>
      </c>
      <c r="N1515" s="1"/>
      <c r="O1515" s="8" t="str">
        <f>IF(B1515=0,VLOOKUP(A1515,Feuil2!$A$2:$M$1241,13,FALSE)," ")</f>
        <v>12058000000224419790</v>
      </c>
    </row>
    <row r="1516" spans="1:15" x14ac:dyDescent="0.3">
      <c r="A1516" s="1">
        <v>1923</v>
      </c>
      <c r="B1516" s="1">
        <v>1</v>
      </c>
      <c r="C1516" s="1" t="s">
        <v>676</v>
      </c>
      <c r="D1516" s="1" t="s">
        <v>1007</v>
      </c>
      <c r="E1516" s="5">
        <v>32225</v>
      </c>
      <c r="F1516" s="1" t="s">
        <v>17</v>
      </c>
      <c r="G1516" s="1" t="s">
        <v>15</v>
      </c>
      <c r="H1516" s="1" t="s">
        <v>16</v>
      </c>
      <c r="I1516" s="6" t="str">
        <f>IF(B1516=0,VLOOKUP(A1516,Feuil2!$A$2:$M$1241,7,FALSE)," ")</f>
        <v xml:space="preserve"> </v>
      </c>
      <c r="J1516" s="1" t="str">
        <f>IF(B1516=0,VLOOKUP(A1516,Feuil2!$A$2:$M$1241,9,FALSE)," ")</f>
        <v xml:space="preserve"> </v>
      </c>
      <c r="K1516" s="1" t="str">
        <f>IF(B1516=0,VLOOKUP(A1516,Feuil2!$A$2:$M$1241,10,FALSE)," ")</f>
        <v xml:space="preserve"> </v>
      </c>
      <c r="L1516" s="1"/>
      <c r="M1516" s="1"/>
      <c r="N1516" s="1"/>
      <c r="O1516" s="8" t="str">
        <f>IF(B1516=0,VLOOKUP(A1516,Feuil2!$A$2:$M$1241,13,FALSE)," ")</f>
        <v xml:space="preserve"> </v>
      </c>
    </row>
    <row r="1517" spans="1:15" x14ac:dyDescent="0.3">
      <c r="A1517" s="1">
        <v>1923</v>
      </c>
      <c r="B1517" s="1">
        <v>2</v>
      </c>
      <c r="C1517" s="1" t="s">
        <v>297</v>
      </c>
      <c r="D1517" s="1" t="s">
        <v>2383</v>
      </c>
      <c r="E1517" s="5">
        <v>41822</v>
      </c>
      <c r="F1517" s="1" t="s">
        <v>17</v>
      </c>
      <c r="G1517" s="1" t="str">
        <f>IF(B1517=0,VLOOKUP(A1517,Feuil2!$A$2:$M$1241,11,FALSE)," ")</f>
        <v xml:space="preserve"> </v>
      </c>
      <c r="H1517" s="1" t="s">
        <v>16</v>
      </c>
      <c r="I1517" s="6" t="str">
        <f>IF(B1517=0,VLOOKUP(A1517,Feuil2!$A$2:$M$1241,7,FALSE)," ")</f>
        <v xml:space="preserve"> </v>
      </c>
      <c r="J1517" s="1" t="str">
        <f>IF(B1517=0,VLOOKUP(A1517,Feuil2!$A$2:$M$1241,9,FALSE)," ")</f>
        <v xml:space="preserve"> </v>
      </c>
      <c r="K1517" s="1" t="str">
        <f>IF(B1517=0,VLOOKUP(A1517,Feuil2!$A$2:$M$1241,10,FALSE)," ")</f>
        <v xml:space="preserve"> </v>
      </c>
      <c r="L1517" s="1"/>
      <c r="M1517" s="1"/>
      <c r="N1517" s="1"/>
      <c r="O1517" s="8" t="str">
        <f>IF(B1517=0,VLOOKUP(A1517,Feuil2!$A$2:$M$1241,13,FALSE)," ")</f>
        <v xml:space="preserve"> </v>
      </c>
    </row>
    <row r="1518" spans="1:15" x14ac:dyDescent="0.3">
      <c r="A1518" s="1">
        <v>1923</v>
      </c>
      <c r="B1518" s="1">
        <v>3</v>
      </c>
      <c r="C1518" s="1" t="s">
        <v>297</v>
      </c>
      <c r="D1518" s="1" t="s">
        <v>29</v>
      </c>
      <c r="E1518" s="5">
        <v>43807</v>
      </c>
      <c r="F1518" s="1" t="s">
        <v>17</v>
      </c>
      <c r="G1518" s="1" t="str">
        <f>IF(B1518=0,VLOOKUP(A1518,Feuil2!$A$2:$M$1241,11,FALSE)," ")</f>
        <v xml:space="preserve"> </v>
      </c>
      <c r="H1518" s="1" t="s">
        <v>16</v>
      </c>
      <c r="I1518" s="6" t="str">
        <f>IF(B1518=0,VLOOKUP(A1518,Feuil2!$A$2:$M$1241,7,FALSE)," ")</f>
        <v xml:space="preserve"> </v>
      </c>
      <c r="J1518" s="1" t="str">
        <f>IF(B1518=0,VLOOKUP(A1518,Feuil2!$A$2:$M$1241,9,FALSE)," ")</f>
        <v xml:space="preserve"> </v>
      </c>
      <c r="K1518" s="1" t="str">
        <f>IF(B1518=0,VLOOKUP(A1518,Feuil2!$A$2:$M$1241,10,FALSE)," ")</f>
        <v xml:space="preserve"> </v>
      </c>
      <c r="L1518" s="1"/>
      <c r="M1518" s="1"/>
      <c r="N1518" s="1"/>
      <c r="O1518" s="8" t="str">
        <f>IF(B1518=0,VLOOKUP(A1518,Feuil2!$A$2:$M$1241,13,FALSE)," ")</f>
        <v xml:space="preserve"> </v>
      </c>
    </row>
    <row r="1519" spans="1:15" x14ac:dyDescent="0.3">
      <c r="A1519" s="1">
        <v>1927</v>
      </c>
      <c r="B1519" s="1">
        <v>0</v>
      </c>
      <c r="C1519" s="1" t="str">
        <f>IF(B1519=0,VLOOKUP(A1519,Feuil2!$A$2:$M$1241,2,FALSE)," ")</f>
        <v>BEN HAMMOUDA</v>
      </c>
      <c r="D1519" s="1" t="str">
        <f>IF(B1519=0,VLOOKUP(A1519,Feuil2!$A$2:$M$1241,3,FALSE)," ")</f>
        <v>AYMEN</v>
      </c>
      <c r="E1519" s="5">
        <f>IF(B1519=0,VLOOKUP(A1519,Feuil2!$A$2:$M$1241,6,FALSE)," ")</f>
        <v>30137</v>
      </c>
      <c r="F1519" s="1" t="str">
        <f>IF(B1519=0,VLOOKUP(A1519,Feuil2!$A$2:$M$1241,12,FALSE)," ")</f>
        <v>H</v>
      </c>
      <c r="G1519" s="1" t="str">
        <f>IF(B1519=0,VLOOKUP(A1519,Feuil2!$A$2:$M$1241,11,FALSE)," ")</f>
        <v>M</v>
      </c>
      <c r="H1519" s="1" t="s">
        <v>16</v>
      </c>
      <c r="I1519" s="6">
        <f>IF(B1519=0,VLOOKUP(A1519,Feuil2!$A$2:$M$1241,7,FALSE)," ")</f>
        <v>8463435</v>
      </c>
      <c r="J1519" s="1" t="str">
        <f>IF(B1519=0,VLOOKUP(A1519,Feuil2!$A$2:$M$1241,9,FALSE)," ")</f>
        <v>Aouled Kbaier</v>
      </c>
      <c r="K1519" s="1" t="str">
        <f>IF(B1519=0,VLOOKUP(A1519,Feuil2!$A$2:$M$1241,10,FALSE)," ")</f>
        <v>Sidi El HÃ©ni 4025</v>
      </c>
      <c r="L1519" s="1"/>
      <c r="M1519" s="1">
        <v>29283319</v>
      </c>
      <c r="N1519" s="1"/>
      <c r="O1519" s="8" t="str">
        <f>IF(B1519=0,VLOOKUP(A1519,Feuil2!$A$2:$M$1241,13,FALSE)," ")</f>
        <v>24010036033251110129</v>
      </c>
    </row>
    <row r="1520" spans="1:15" x14ac:dyDescent="0.3">
      <c r="A1520" s="1">
        <v>1927</v>
      </c>
      <c r="B1520" s="1">
        <v>1</v>
      </c>
      <c r="C1520" s="1" t="s">
        <v>2743</v>
      </c>
      <c r="D1520" s="1" t="s">
        <v>2418</v>
      </c>
      <c r="E1520" s="5">
        <v>33269</v>
      </c>
      <c r="F1520" s="1" t="s">
        <v>17</v>
      </c>
      <c r="G1520" s="1" t="s">
        <v>15</v>
      </c>
      <c r="H1520" s="1" t="s">
        <v>16</v>
      </c>
      <c r="I1520" s="6" t="str">
        <f>IF(B1520=0,VLOOKUP(A1520,Feuil2!$A$2:$M$1241,7,FALSE)," ")</f>
        <v xml:space="preserve"> </v>
      </c>
      <c r="J1520" s="1" t="str">
        <f>IF(B1520=0,VLOOKUP(A1520,Feuil2!$A$2:$M$1241,9,FALSE)," ")</f>
        <v xml:space="preserve"> </v>
      </c>
      <c r="K1520" s="1" t="str">
        <f>IF(B1520=0,VLOOKUP(A1520,Feuil2!$A$2:$M$1241,10,FALSE)," ")</f>
        <v xml:space="preserve"> </v>
      </c>
      <c r="L1520" s="1"/>
      <c r="M1520" s="1"/>
      <c r="N1520" s="1"/>
      <c r="O1520" s="8" t="str">
        <f>IF(B1520=0,VLOOKUP(A1520,Feuil2!$A$2:$M$1241,13,FALSE)," ")</f>
        <v xml:space="preserve"> </v>
      </c>
    </row>
    <row r="1521" spans="1:15" x14ac:dyDescent="0.3">
      <c r="A1521" s="1">
        <v>1927</v>
      </c>
      <c r="B1521" s="1">
        <v>2</v>
      </c>
      <c r="C1521" s="1" t="s">
        <v>666</v>
      </c>
      <c r="D1521" s="1" t="s">
        <v>2744</v>
      </c>
      <c r="E1521" s="5">
        <v>42577</v>
      </c>
      <c r="F1521" s="1" t="s">
        <v>506</v>
      </c>
      <c r="G1521" s="1" t="str">
        <f>IF(B1521=0,VLOOKUP(A1521,Feuil2!$A$2:$M$1241,11,FALSE)," ")</f>
        <v xml:space="preserve"> </v>
      </c>
      <c r="H1521" s="1" t="s">
        <v>16</v>
      </c>
      <c r="I1521" s="6" t="str">
        <f>IF(B1521=0,VLOOKUP(A1521,Feuil2!$A$2:$M$1241,7,FALSE)," ")</f>
        <v xml:space="preserve"> </v>
      </c>
      <c r="J1521" s="1" t="str">
        <f>IF(B1521=0,VLOOKUP(A1521,Feuil2!$A$2:$M$1241,9,FALSE)," ")</f>
        <v xml:space="preserve"> </v>
      </c>
      <c r="K1521" s="1" t="str">
        <f>IF(B1521=0,VLOOKUP(A1521,Feuil2!$A$2:$M$1241,10,FALSE)," ")</f>
        <v xml:space="preserve"> </v>
      </c>
      <c r="L1521" s="1"/>
      <c r="M1521" s="1"/>
      <c r="N1521" s="1"/>
      <c r="O1521" s="8" t="str">
        <f>IF(B1521=0,VLOOKUP(A1521,Feuil2!$A$2:$M$1241,13,FALSE)," ")</f>
        <v xml:space="preserve"> </v>
      </c>
    </row>
    <row r="1522" spans="1:15" x14ac:dyDescent="0.3">
      <c r="A1522" s="1">
        <v>1927</v>
      </c>
      <c r="B1522" s="1">
        <v>3</v>
      </c>
      <c r="C1522" s="1" t="s">
        <v>666</v>
      </c>
      <c r="D1522" s="1" t="s">
        <v>2745</v>
      </c>
      <c r="E1522" s="5">
        <v>43049</v>
      </c>
      <c r="F1522" s="1" t="s">
        <v>506</v>
      </c>
      <c r="G1522" s="1" t="str">
        <f>IF(B1522=0,VLOOKUP(A1522,Feuil2!$A$2:$M$1241,11,FALSE)," ")</f>
        <v xml:space="preserve"> </v>
      </c>
      <c r="H1522" s="1" t="s">
        <v>16</v>
      </c>
      <c r="I1522" s="6" t="str">
        <f>IF(B1522=0,VLOOKUP(A1522,Feuil2!$A$2:$M$1241,7,FALSE)," ")</f>
        <v xml:space="preserve"> </v>
      </c>
      <c r="J1522" s="1" t="str">
        <f>IF(B1522=0,VLOOKUP(A1522,Feuil2!$A$2:$M$1241,9,FALSE)," ")</f>
        <v xml:space="preserve"> </v>
      </c>
      <c r="K1522" s="1" t="str">
        <f>IF(B1522=0,VLOOKUP(A1522,Feuil2!$A$2:$M$1241,10,FALSE)," ")</f>
        <v xml:space="preserve"> </v>
      </c>
      <c r="L1522" s="1"/>
      <c r="M1522" s="1"/>
      <c r="N1522" s="1"/>
      <c r="O1522" s="8" t="str">
        <f>IF(B1522=0,VLOOKUP(A1522,Feuil2!$A$2:$M$1241,13,FALSE)," ")</f>
        <v xml:space="preserve"> </v>
      </c>
    </row>
    <row r="1523" spans="1:15" x14ac:dyDescent="0.3">
      <c r="A1523" s="1">
        <v>1928</v>
      </c>
      <c r="B1523" s="1">
        <v>0</v>
      </c>
      <c r="C1523" s="1" t="str">
        <f>IF(B1523=0,VLOOKUP(A1523,Feuil2!$A$2:$M$1241,2,FALSE)," ")</f>
        <v>ZAGGAR</v>
      </c>
      <c r="D1523" s="1" t="str">
        <f>IF(B1523=0,VLOOKUP(A1523,Feuil2!$A$2:$M$1241,3,FALSE)," ")</f>
        <v>JAMEL</v>
      </c>
      <c r="E1523" s="5">
        <f>IF(B1523=0,VLOOKUP(A1523,Feuil2!$A$2:$M$1241,6,FALSE)," ")</f>
        <v>27960</v>
      </c>
      <c r="F1523" s="1" t="str">
        <f>IF(B1523=0,VLOOKUP(A1523,Feuil2!$A$2:$M$1241,12,FALSE)," ")</f>
        <v>H</v>
      </c>
      <c r="G1523" s="1" t="str">
        <f>IF(B1523=0,VLOOKUP(A1523,Feuil2!$A$2:$M$1241,11,FALSE)," ")</f>
        <v>M</v>
      </c>
      <c r="H1523" s="1" t="s">
        <v>16</v>
      </c>
      <c r="I1523" s="6">
        <f>IF(B1523=0,VLOOKUP(A1523,Feuil2!$A$2:$M$1241,7,FALSE)," ")</f>
        <v>5562829</v>
      </c>
      <c r="J1523" s="1" t="str">
        <f>IF(B1523=0,VLOOKUP(A1523,Feuil2!$A$2:$M$1241,9,FALSE)," ")</f>
        <v>Rue El Kods</v>
      </c>
      <c r="K1523" s="1" t="str">
        <f>IF(B1523=0,VLOOKUP(A1523,Feuil2!$A$2:$M$1241,10,FALSE)," ")</f>
        <v>Msaken 4070</v>
      </c>
      <c r="L1523" s="1">
        <v>4070</v>
      </c>
      <c r="M1523" s="1">
        <v>27828506</v>
      </c>
      <c r="N1523" s="1"/>
      <c r="O1523" s="8" t="str">
        <f>IF(B1523=0,VLOOKUP(A1523,Feuil2!$A$2:$M$1241,13,FALSE)," ")</f>
        <v>11020002270500878896</v>
      </c>
    </row>
    <row r="1524" spans="1:15" x14ac:dyDescent="0.3">
      <c r="A1524" s="1">
        <v>1928</v>
      </c>
      <c r="B1524" s="1">
        <v>1</v>
      </c>
      <c r="C1524" s="1" t="str">
        <f>IF(B1524=0,VLOOKUP(A1524,Feuil2!$A$2:$M$1241,2,FALSE)," ")</f>
        <v xml:space="preserve"> </v>
      </c>
      <c r="D1524" s="1" t="s">
        <v>2746</v>
      </c>
      <c r="E1524" s="5">
        <v>28860</v>
      </c>
      <c r="F1524" s="1" t="s">
        <v>17</v>
      </c>
      <c r="G1524" s="1" t="s">
        <v>15</v>
      </c>
      <c r="H1524" s="1" t="s">
        <v>16</v>
      </c>
      <c r="I1524" s="6" t="str">
        <f>IF(B1524=0,VLOOKUP(A1524,Feuil2!$A$2:$M$1241,7,FALSE)," ")</f>
        <v xml:space="preserve"> </v>
      </c>
      <c r="J1524" s="1" t="str">
        <f>IF(B1524=0,VLOOKUP(A1524,Feuil2!$A$2:$M$1241,9,FALSE)," ")</f>
        <v xml:space="preserve"> </v>
      </c>
      <c r="K1524" s="1" t="str">
        <f>IF(B1524=0,VLOOKUP(A1524,Feuil2!$A$2:$M$1241,10,FALSE)," ")</f>
        <v xml:space="preserve"> </v>
      </c>
      <c r="L1524" s="1"/>
      <c r="M1524" s="1"/>
      <c r="N1524" s="1"/>
      <c r="O1524" s="8" t="str">
        <f>IF(B1524=0,VLOOKUP(A1524,Feuil2!$A$2:$M$1241,13,FALSE)," ")</f>
        <v xml:space="preserve"> </v>
      </c>
    </row>
    <row r="1525" spans="1:15" x14ac:dyDescent="0.3">
      <c r="A1525" s="1">
        <v>1928</v>
      </c>
      <c r="B1525" s="1">
        <v>2</v>
      </c>
      <c r="C1525" s="1" t="s">
        <v>451</v>
      </c>
      <c r="D1525" s="1" t="s">
        <v>149</v>
      </c>
      <c r="E1525" s="5">
        <v>39296</v>
      </c>
      <c r="F1525" s="1" t="s">
        <v>506</v>
      </c>
      <c r="G1525" s="1" t="str">
        <f>IF(B1525=0,VLOOKUP(A1525,Feuil2!$A$2:$M$1241,11,FALSE)," ")</f>
        <v xml:space="preserve"> </v>
      </c>
      <c r="H1525" s="1" t="s">
        <v>16</v>
      </c>
      <c r="I1525" s="6" t="str">
        <f>IF(B1525=0,VLOOKUP(A1525,Feuil2!$A$2:$M$1241,7,FALSE)," ")</f>
        <v xml:space="preserve"> </v>
      </c>
      <c r="J1525" s="1" t="str">
        <f>IF(B1525=0,VLOOKUP(A1525,Feuil2!$A$2:$M$1241,9,FALSE)," ")</f>
        <v xml:space="preserve"> </v>
      </c>
      <c r="K1525" s="1" t="str">
        <f>IF(B1525=0,VLOOKUP(A1525,Feuil2!$A$2:$M$1241,10,FALSE)," ")</f>
        <v xml:space="preserve"> </v>
      </c>
      <c r="L1525" s="1"/>
      <c r="M1525" s="1"/>
      <c r="N1525" s="1"/>
      <c r="O1525" s="8" t="str">
        <f>IF(B1525=0,VLOOKUP(A1525,Feuil2!$A$2:$M$1241,13,FALSE)," ")</f>
        <v xml:space="preserve"> </v>
      </c>
    </row>
    <row r="1526" spans="1:15" x14ac:dyDescent="0.3">
      <c r="A1526" s="1">
        <v>1928</v>
      </c>
      <c r="B1526" s="1">
        <v>3</v>
      </c>
      <c r="C1526" s="1" t="s">
        <v>451</v>
      </c>
      <c r="D1526" s="1" t="s">
        <v>2747</v>
      </c>
      <c r="E1526" s="5">
        <v>39935</v>
      </c>
      <c r="F1526" s="1" t="s">
        <v>17</v>
      </c>
      <c r="G1526" s="1" t="str">
        <f>IF(B1526=0,VLOOKUP(A1526,Feuil2!$A$2:$M$1241,11,FALSE)," ")</f>
        <v xml:space="preserve"> </v>
      </c>
      <c r="H1526" s="1" t="s">
        <v>16</v>
      </c>
      <c r="I1526" s="6" t="str">
        <f>IF(B1526=0,VLOOKUP(A1526,Feuil2!$A$2:$M$1241,7,FALSE)," ")</f>
        <v xml:space="preserve"> </v>
      </c>
      <c r="J1526" s="1" t="str">
        <f>IF(B1526=0,VLOOKUP(A1526,Feuil2!$A$2:$M$1241,9,FALSE)," ")</f>
        <v xml:space="preserve"> </v>
      </c>
      <c r="K1526" s="1" t="str">
        <f>IF(B1526=0,VLOOKUP(A1526,Feuil2!$A$2:$M$1241,10,FALSE)," ")</f>
        <v xml:space="preserve"> </v>
      </c>
      <c r="L1526" s="1"/>
      <c r="M1526" s="1"/>
      <c r="N1526" s="1"/>
      <c r="O1526" s="8" t="str">
        <f>IF(B1526=0,VLOOKUP(A1526,Feuil2!$A$2:$M$1241,13,FALSE)," ")</f>
        <v xml:space="preserve"> </v>
      </c>
    </row>
    <row r="1527" spans="1:15" x14ac:dyDescent="0.3">
      <c r="A1527" s="1">
        <v>1928</v>
      </c>
      <c r="B1527" s="1">
        <v>4</v>
      </c>
      <c r="C1527" s="1" t="s">
        <v>451</v>
      </c>
      <c r="D1527" s="1" t="s">
        <v>2748</v>
      </c>
      <c r="E1527" s="5">
        <v>42082</v>
      </c>
      <c r="F1527" s="1" t="s">
        <v>506</v>
      </c>
      <c r="G1527" s="1" t="str">
        <f>IF(B1527=0,VLOOKUP(A1527,Feuil2!$A$2:$M$1241,11,FALSE)," ")</f>
        <v xml:space="preserve"> </v>
      </c>
      <c r="H1527" s="1" t="s">
        <v>16</v>
      </c>
      <c r="I1527" s="6" t="str">
        <f>IF(B1527=0,VLOOKUP(A1527,Feuil2!$A$2:$M$1241,7,FALSE)," ")</f>
        <v xml:space="preserve"> </v>
      </c>
      <c r="J1527" s="1" t="str">
        <f>IF(B1527=0,VLOOKUP(A1527,Feuil2!$A$2:$M$1241,9,FALSE)," ")</f>
        <v xml:space="preserve"> </v>
      </c>
      <c r="K1527" s="1" t="str">
        <f>IF(B1527=0,VLOOKUP(A1527,Feuil2!$A$2:$M$1241,10,FALSE)," ")</f>
        <v xml:space="preserve"> </v>
      </c>
      <c r="L1527" s="1"/>
      <c r="M1527" s="1"/>
      <c r="N1527" s="1"/>
      <c r="O1527" s="8" t="str">
        <f>IF(B1527=0,VLOOKUP(A1527,Feuil2!$A$2:$M$1241,13,FALSE)," ")</f>
        <v xml:space="preserve"> </v>
      </c>
    </row>
    <row r="1528" spans="1:15" x14ac:dyDescent="0.3">
      <c r="A1528" s="1">
        <v>1929</v>
      </c>
      <c r="B1528" s="1">
        <v>0</v>
      </c>
      <c r="C1528" s="1" t="str">
        <f>IF(B1528=0,VLOOKUP(A1528,Feuil2!$A$2:$M$1241,2,FALSE)," ")</f>
        <v>DAHMANI</v>
      </c>
      <c r="D1528" s="1" t="str">
        <f>IF(B1528=0,VLOOKUP(A1528,Feuil2!$A$2:$M$1241,3,FALSE)," ")</f>
        <v>HAMDI</v>
      </c>
      <c r="E1528" s="5">
        <f>IF(B1528=0,VLOOKUP(A1528,Feuil2!$A$2:$M$1241,6,FALSE)," ")</f>
        <v>33917</v>
      </c>
      <c r="F1528" s="1" t="str">
        <f>IF(B1528=0,VLOOKUP(A1528,Feuil2!$A$2:$M$1241,12,FALSE)," ")</f>
        <v>H</v>
      </c>
      <c r="G1528" s="1" t="str">
        <f>IF(B1528=0,VLOOKUP(A1528,Feuil2!$A$2:$M$1241,11,FALSE)," ")</f>
        <v>C</v>
      </c>
      <c r="H1528" s="1" t="s">
        <v>16</v>
      </c>
      <c r="I1528" s="6">
        <f>IF(B1528=0,VLOOKUP(A1528,Feuil2!$A$2:$M$1241,7,FALSE)," ")</f>
        <v>9323574</v>
      </c>
      <c r="J1528" s="1" t="str">
        <f>IF(B1528=0,VLOOKUP(A1528,Feuil2!$A$2:$M$1241,9,FALSE)," ")</f>
        <v>Rue Dahmani Bougi</v>
      </c>
      <c r="K1528" s="1" t="str">
        <f>IF(B1528=0,VLOOKUP(A1528,Feuil2!$A$2:$M$1241,10,FALSE)," ")</f>
        <v>Msaken 4070</v>
      </c>
      <c r="L1528" s="1">
        <v>4070</v>
      </c>
      <c r="M1528" s="1">
        <v>25655217</v>
      </c>
      <c r="N1528" s="1"/>
      <c r="O1528" s="8" t="str">
        <f>IF(B1528=0,VLOOKUP(A1528,Feuil2!$A$2:$M$1241,13,FALSE)," ")</f>
        <v>08507000262004279215</v>
      </c>
    </row>
    <row r="1529" spans="1:15" x14ac:dyDescent="0.3">
      <c r="A1529" s="1">
        <v>1936</v>
      </c>
      <c r="B1529" s="1">
        <v>0</v>
      </c>
      <c r="C1529" s="1" t="str">
        <f>IF(B1529=0,VLOOKUP(A1529,Feuil2!$A$2:$M$1241,2,FALSE)," ")</f>
        <v>JLASSI</v>
      </c>
      <c r="D1529" s="1" t="str">
        <f>IF(B1529=0,VLOOKUP(A1529,Feuil2!$A$2:$M$1241,3,FALSE)," ")</f>
        <v>KHALED</v>
      </c>
      <c r="E1529" s="5">
        <f>IF(B1529=0,VLOOKUP(A1529,Feuil2!$A$2:$M$1241,6,FALSE)," ")</f>
        <v>30394</v>
      </c>
      <c r="F1529" s="1" t="str">
        <f>IF(B1529=0,VLOOKUP(A1529,Feuil2!$A$2:$M$1241,12,FALSE)," ")</f>
        <v>H</v>
      </c>
      <c r="G1529" s="1" t="str">
        <f>IF(B1529=0,VLOOKUP(A1529,Feuil2!$A$2:$M$1241,11,FALSE)," ")</f>
        <v>M</v>
      </c>
      <c r="H1529" s="1" t="s">
        <v>16</v>
      </c>
      <c r="I1529" s="6">
        <f>IF(B1529=0,VLOOKUP(A1529,Feuil2!$A$2:$M$1241,7,FALSE)," ")</f>
        <v>8449696</v>
      </c>
      <c r="J1529" s="1" t="str">
        <f>IF(B1529=0,VLOOKUP(A1529,Feuil2!$A$2:$M$1241,9,FALSE)," ")</f>
        <v>Rue El Khir</v>
      </c>
      <c r="K1529" s="1" t="str">
        <f>IF(B1529=0,VLOOKUP(A1529,Feuil2!$A$2:$M$1241,10,FALSE)," ")</f>
        <v>Msaken 4070</v>
      </c>
      <c r="L1529" s="1">
        <v>4070</v>
      </c>
      <c r="M1529" s="1">
        <v>97455904</v>
      </c>
      <c r="N1529" s="1"/>
      <c r="O1529" s="8" t="str">
        <f>IF(B1529=0,VLOOKUP(A1529,Feuil2!$A$2:$M$1241,13,FALSE)," ")</f>
        <v>08050020052001121701</v>
      </c>
    </row>
    <row r="1530" spans="1:15" x14ac:dyDescent="0.3">
      <c r="A1530" s="1">
        <v>1936</v>
      </c>
      <c r="B1530" s="1">
        <v>1</v>
      </c>
      <c r="C1530" s="1" t="s">
        <v>426</v>
      </c>
      <c r="D1530" s="1" t="s">
        <v>2348</v>
      </c>
      <c r="E1530" s="5">
        <v>31944</v>
      </c>
      <c r="F1530" s="1" t="s">
        <v>17</v>
      </c>
      <c r="G1530" s="1" t="s">
        <v>15</v>
      </c>
      <c r="H1530" s="1" t="s">
        <v>16</v>
      </c>
      <c r="I1530" s="6" t="str">
        <f>IF(B1530=0,VLOOKUP(A1530,Feuil2!$A$2:$M$1241,7,FALSE)," ")</f>
        <v xml:space="preserve"> </v>
      </c>
      <c r="J1530" s="1" t="str">
        <f>IF(B1530=0,VLOOKUP(A1530,Feuil2!$A$2:$M$1241,9,FALSE)," ")</f>
        <v xml:space="preserve"> </v>
      </c>
      <c r="K1530" s="1" t="str">
        <f>IF(B1530=0,VLOOKUP(A1530,Feuil2!$A$2:$M$1241,10,FALSE)," ")</f>
        <v xml:space="preserve"> </v>
      </c>
      <c r="L1530" s="1"/>
      <c r="M1530" s="1"/>
      <c r="N1530" s="1"/>
      <c r="O1530" s="8" t="str">
        <f>IF(B1530=0,VLOOKUP(A1530,Feuil2!$A$2:$M$1241,13,FALSE)," ")</f>
        <v xml:space="preserve"> </v>
      </c>
    </row>
    <row r="1531" spans="1:15" x14ac:dyDescent="0.3">
      <c r="A1531" s="1">
        <v>1936</v>
      </c>
      <c r="B1531" s="1">
        <v>2</v>
      </c>
      <c r="C1531" s="1" t="s">
        <v>191</v>
      </c>
      <c r="D1531" s="1" t="s">
        <v>392</v>
      </c>
      <c r="E1531" s="5">
        <v>42146</v>
      </c>
      <c r="F1531" s="1" t="s">
        <v>506</v>
      </c>
      <c r="G1531" s="1" t="str">
        <f>IF(B1531=0,VLOOKUP(A1531,Feuil2!$A$2:$M$1241,11,FALSE)," ")</f>
        <v xml:space="preserve"> </v>
      </c>
      <c r="H1531" s="1" t="s">
        <v>16</v>
      </c>
      <c r="I1531" s="6" t="str">
        <f>IF(B1531=0,VLOOKUP(A1531,Feuil2!$A$2:$M$1241,7,FALSE)," ")</f>
        <v xml:space="preserve"> </v>
      </c>
      <c r="J1531" s="1" t="str">
        <f>IF(B1531=0,VLOOKUP(A1531,Feuil2!$A$2:$M$1241,9,FALSE)," ")</f>
        <v xml:space="preserve"> </v>
      </c>
      <c r="K1531" s="1" t="str">
        <f>IF(B1531=0,VLOOKUP(A1531,Feuil2!$A$2:$M$1241,10,FALSE)," ")</f>
        <v xml:space="preserve"> </v>
      </c>
      <c r="L1531" s="1"/>
      <c r="M1531" s="1"/>
      <c r="N1531" s="1"/>
      <c r="O1531" s="8" t="str">
        <f>IF(B1531=0,VLOOKUP(A1531,Feuil2!$A$2:$M$1241,13,FALSE)," ")</f>
        <v xml:space="preserve"> </v>
      </c>
    </row>
    <row r="1532" spans="1:15" x14ac:dyDescent="0.3">
      <c r="A1532" s="1">
        <v>1936</v>
      </c>
      <c r="B1532" s="1">
        <v>3</v>
      </c>
      <c r="C1532" s="1" t="s">
        <v>191</v>
      </c>
      <c r="D1532" s="1" t="s">
        <v>2749</v>
      </c>
      <c r="E1532" s="5">
        <v>42797</v>
      </c>
      <c r="F1532" s="1" t="s">
        <v>506</v>
      </c>
      <c r="G1532" s="1" t="str">
        <f>IF(B1532=0,VLOOKUP(A1532,Feuil2!$A$2:$M$1241,11,FALSE)," ")</f>
        <v xml:space="preserve"> </v>
      </c>
      <c r="H1532" s="1" t="s">
        <v>16</v>
      </c>
      <c r="I1532" s="6" t="str">
        <f>IF(B1532=0,VLOOKUP(A1532,Feuil2!$A$2:$M$1241,7,FALSE)," ")</f>
        <v xml:space="preserve"> </v>
      </c>
      <c r="J1532" s="1" t="str">
        <f>IF(B1532=0,VLOOKUP(A1532,Feuil2!$A$2:$M$1241,9,FALSE)," ")</f>
        <v xml:space="preserve"> </v>
      </c>
      <c r="K1532" s="1" t="str">
        <f>IF(B1532=0,VLOOKUP(A1532,Feuil2!$A$2:$M$1241,10,FALSE)," ")</f>
        <v xml:space="preserve"> </v>
      </c>
      <c r="L1532" s="1"/>
      <c r="M1532" s="1"/>
      <c r="N1532" s="1"/>
      <c r="O1532" s="8" t="str">
        <f>IF(B1532=0,VLOOKUP(A1532,Feuil2!$A$2:$M$1241,13,FALSE)," ")</f>
        <v xml:space="preserve"> </v>
      </c>
    </row>
    <row r="1533" spans="1:15" x14ac:dyDescent="0.3">
      <c r="A1533" s="1">
        <v>1953</v>
      </c>
      <c r="B1533" s="1">
        <v>0</v>
      </c>
      <c r="C1533" s="1" t="str">
        <f>IF(B1533=0,VLOOKUP(A1533,Feuil2!$A$2:$M$1241,2,FALSE)," ")</f>
        <v>SGHAIER</v>
      </c>
      <c r="D1533" s="1" t="str">
        <f>IF(B1533=0,VLOOKUP(A1533,Feuil2!$A$2:$M$1241,3,FALSE)," ")</f>
        <v>SAMI</v>
      </c>
      <c r="E1533" s="5">
        <f>IF(B1533=0,VLOOKUP(A1533,Feuil2!$A$2:$M$1241,6,FALSE)," ")</f>
        <v>29789</v>
      </c>
      <c r="F1533" s="1" t="str">
        <f>IF(B1533=0,VLOOKUP(A1533,Feuil2!$A$2:$M$1241,12,FALSE)," ")</f>
        <v>H</v>
      </c>
      <c r="G1533" s="1" t="str">
        <f>IF(B1533=0,VLOOKUP(A1533,Feuil2!$A$2:$M$1241,11,FALSE)," ")</f>
        <v>M</v>
      </c>
      <c r="H1533" s="1" t="s">
        <v>16</v>
      </c>
      <c r="I1533" s="6">
        <f>IF(B1533=0,VLOOKUP(A1533,Feuil2!$A$2:$M$1241,7,FALSE)," ")</f>
        <v>8434759</v>
      </c>
      <c r="J1533" s="1" t="str">
        <f>IF(B1533=0,VLOOKUP(A1533,Feuil2!$A$2:$M$1241,9,FALSE)," ")</f>
        <v>52, Rue Imam Baydhaoui Khezama</v>
      </c>
      <c r="K1533" s="1" t="str">
        <f>IF(B1533=0,VLOOKUP(A1533,Feuil2!$A$2:$M$1241,10,FALSE)," ")</f>
        <v>Sousse</v>
      </c>
      <c r="L1533" s="1"/>
      <c r="M1533" s="1">
        <v>98793627</v>
      </c>
      <c r="N1533" s="1"/>
      <c r="O1533" s="8" t="str">
        <f>IF(B1533=0,VLOOKUP(A1533,Feuil2!$A$2:$M$1241,13,FALSE)," ")</f>
        <v>12024000000204645251</v>
      </c>
    </row>
    <row r="1534" spans="1:15" x14ac:dyDescent="0.3">
      <c r="A1534" s="1">
        <v>1953</v>
      </c>
      <c r="B1534" s="1">
        <v>1</v>
      </c>
      <c r="C1534" s="1" t="s">
        <v>2750</v>
      </c>
      <c r="D1534" s="1" t="s">
        <v>2370</v>
      </c>
      <c r="E1534" s="5">
        <v>30890</v>
      </c>
      <c r="F1534" s="1" t="s">
        <v>17</v>
      </c>
      <c r="G1534" s="1" t="s">
        <v>15</v>
      </c>
      <c r="H1534" s="1" t="s">
        <v>16</v>
      </c>
      <c r="I1534" s="6" t="str">
        <f>IF(B1534=0,VLOOKUP(A1534,Feuil2!$A$2:$M$1241,7,FALSE)," ")</f>
        <v xml:space="preserve"> </v>
      </c>
      <c r="J1534" s="1" t="str">
        <f>IF(B1534=0,VLOOKUP(A1534,Feuil2!$A$2:$M$1241,9,FALSE)," ")</f>
        <v xml:space="preserve"> </v>
      </c>
      <c r="K1534" s="1" t="str">
        <f>IF(B1534=0,VLOOKUP(A1534,Feuil2!$A$2:$M$1241,10,FALSE)," ")</f>
        <v xml:space="preserve"> </v>
      </c>
      <c r="L1534" s="1"/>
      <c r="M1534" s="1"/>
      <c r="N1534" s="1"/>
      <c r="O1534" s="8" t="str">
        <f>IF(B1534=0,VLOOKUP(A1534,Feuil2!$A$2:$M$1241,13,FALSE)," ")</f>
        <v xml:space="preserve"> </v>
      </c>
    </row>
    <row r="1535" spans="1:15" x14ac:dyDescent="0.3">
      <c r="A1535" s="1">
        <v>1953</v>
      </c>
      <c r="B1535" s="1">
        <v>2</v>
      </c>
      <c r="C1535" s="1" t="s">
        <v>318</v>
      </c>
      <c r="D1535" s="1" t="s">
        <v>2345</v>
      </c>
      <c r="E1535" s="5">
        <v>40699</v>
      </c>
      <c r="F1535" s="1" t="s">
        <v>17</v>
      </c>
      <c r="G1535" s="1" t="str">
        <f>IF(B1535=0,VLOOKUP(A1535,Feuil2!$A$2:$M$1241,11,FALSE)," ")</f>
        <v xml:space="preserve"> </v>
      </c>
      <c r="H1535" s="1" t="s">
        <v>16</v>
      </c>
      <c r="I1535" s="6" t="str">
        <f>IF(B1535=0,VLOOKUP(A1535,Feuil2!$A$2:$M$1241,7,FALSE)," ")</f>
        <v xml:space="preserve"> </v>
      </c>
      <c r="J1535" s="1" t="str">
        <f>IF(B1535=0,VLOOKUP(A1535,Feuil2!$A$2:$M$1241,9,FALSE)," ")</f>
        <v xml:space="preserve"> </v>
      </c>
      <c r="K1535" s="1" t="str">
        <f>IF(B1535=0,VLOOKUP(A1535,Feuil2!$A$2:$M$1241,10,FALSE)," ")</f>
        <v xml:space="preserve"> </v>
      </c>
      <c r="L1535" s="1"/>
      <c r="M1535" s="1"/>
      <c r="N1535" s="1"/>
      <c r="O1535" s="8" t="str">
        <f>IF(B1535=0,VLOOKUP(A1535,Feuil2!$A$2:$M$1241,13,FALSE)," ")</f>
        <v xml:space="preserve"> </v>
      </c>
    </row>
    <row r="1536" spans="1:15" x14ac:dyDescent="0.3">
      <c r="A1536" s="1">
        <v>1955</v>
      </c>
      <c r="B1536" s="1">
        <v>0</v>
      </c>
      <c r="C1536" s="1" t="str">
        <f>IF(B1536=0,VLOOKUP(A1536,Feuil2!$A$2:$M$1241,2,FALSE)," ")</f>
        <v>OMRAMNE</v>
      </c>
      <c r="D1536" s="1" t="str">
        <f>IF(B1536=0,VLOOKUP(A1536,Feuil2!$A$2:$M$1241,3,FALSE)," ")</f>
        <v>HAMMOUDA</v>
      </c>
      <c r="E1536" s="5">
        <f>IF(B1536=0,VLOOKUP(A1536,Feuil2!$A$2:$M$1241,6,FALSE)," ")</f>
        <v>34309</v>
      </c>
      <c r="F1536" s="1" t="str">
        <f>IF(B1536=0,VLOOKUP(A1536,Feuil2!$A$2:$M$1241,12,FALSE)," ")</f>
        <v>H</v>
      </c>
      <c r="G1536" s="1" t="str">
        <f>IF(B1536=0,VLOOKUP(A1536,Feuil2!$A$2:$M$1241,11,FALSE)," ")</f>
        <v>C</v>
      </c>
      <c r="H1536" s="1" t="s">
        <v>16</v>
      </c>
      <c r="I1536" s="6">
        <f>IF(B1536=0,VLOOKUP(A1536,Feuil2!$A$2:$M$1241,7,FALSE)," ")</f>
        <v>9321312</v>
      </c>
      <c r="J1536" s="1" t="str">
        <f>IF(B1536=0,VLOOKUP(A1536,Feuil2!$A$2:$M$1241,9,FALSE)," ")</f>
        <v>20, Rue Jinene Sidi Tahar</v>
      </c>
      <c r="K1536" s="1" t="str">
        <f>IF(B1536=0,VLOOKUP(A1536,Feuil2!$A$2:$M$1241,10,FALSE)," ")</f>
        <v>Ksour Essef</v>
      </c>
      <c r="L1536" s="1"/>
      <c r="M1536" s="1">
        <v>98783244</v>
      </c>
      <c r="N1536" s="1"/>
      <c r="O1536" s="8" t="str">
        <f>IF(B1536=0,VLOOKUP(A1536,Feuil2!$A$2:$M$1241,13,FALSE)," ")</f>
        <v>08507000262006891037</v>
      </c>
    </row>
    <row r="1537" spans="1:15" x14ac:dyDescent="0.3">
      <c r="A1537" s="1">
        <v>1957</v>
      </c>
      <c r="B1537" s="1">
        <v>0</v>
      </c>
      <c r="C1537" s="1" t="str">
        <f>IF(B1537=0,VLOOKUP(A1537,Feuil2!$A$2:$M$1241,2,FALSE)," ")</f>
        <v>ZID</v>
      </c>
      <c r="D1537" s="1" t="str">
        <f>IF(B1537=0,VLOOKUP(A1537,Feuil2!$A$2:$M$1241,3,FALSE)," ")</f>
        <v>AHMED</v>
      </c>
      <c r="E1537" s="5">
        <f>IF(B1537=0,VLOOKUP(A1537,Feuil2!$A$2:$M$1241,6,FALSE)," ")</f>
        <v>22778</v>
      </c>
      <c r="F1537" s="1" t="str">
        <f>IF(B1537=0,VLOOKUP(A1537,Feuil2!$A$2:$M$1241,12,FALSE)," ")</f>
        <v>H</v>
      </c>
      <c r="G1537" s="1" t="str">
        <f>IF(B1537=0,VLOOKUP(A1537,Feuil2!$A$2:$M$1241,11,FALSE)," ")</f>
        <v>M</v>
      </c>
      <c r="H1537" s="1" t="s">
        <v>16</v>
      </c>
      <c r="I1537" s="6">
        <f>IF(B1537=0,VLOOKUP(A1537,Feuil2!$A$2:$M$1241,7,FALSE)," ")</f>
        <v>2947278</v>
      </c>
      <c r="J1537" s="1" t="str">
        <f>IF(B1537=0,VLOOKUP(A1537,Feuil2!$A$2:$M$1241,9,FALSE)," ")</f>
        <v>Aouled Ali El HÃ©ni</v>
      </c>
      <c r="K1537" s="1" t="str">
        <f>IF(B1537=0,VLOOKUP(A1537,Feuil2!$A$2:$M$1241,10,FALSE)," ")</f>
        <v>Sidi El HÃ©ni 4025</v>
      </c>
      <c r="L1537" s="1"/>
      <c r="M1537" s="1">
        <v>21449038</v>
      </c>
      <c r="N1537" s="1"/>
      <c r="O1537" s="8" t="str">
        <f>IF(B1537=0,VLOOKUP(A1537,Feuil2!$A$2:$M$1241,13,FALSE)," ")</f>
        <v>17503000000123973280</v>
      </c>
    </row>
    <row r="1538" spans="1:15" x14ac:dyDescent="0.3">
      <c r="A1538" s="1">
        <v>1957</v>
      </c>
      <c r="B1538" s="1">
        <v>1</v>
      </c>
      <c r="C1538" s="1" t="s">
        <v>1547</v>
      </c>
      <c r="D1538" s="1" t="s">
        <v>2309</v>
      </c>
      <c r="E1538" s="5">
        <v>24567</v>
      </c>
      <c r="F1538" s="1" t="s">
        <v>17</v>
      </c>
      <c r="G1538" s="1" t="s">
        <v>15</v>
      </c>
      <c r="H1538" s="1" t="s">
        <v>16</v>
      </c>
      <c r="I1538" s="6" t="str">
        <f>IF(B1538=0,VLOOKUP(A1538,Feuil2!$A$2:$M$1241,7,FALSE)," ")</f>
        <v xml:space="preserve"> </v>
      </c>
      <c r="J1538" s="1" t="str">
        <f>IF(B1538=0,VLOOKUP(A1538,Feuil2!$A$2:$M$1241,9,FALSE)," ")</f>
        <v xml:space="preserve"> </v>
      </c>
      <c r="K1538" s="1" t="str">
        <f>IF(B1538=0,VLOOKUP(A1538,Feuil2!$A$2:$M$1241,10,FALSE)," ")</f>
        <v xml:space="preserve"> </v>
      </c>
      <c r="L1538" s="1"/>
      <c r="M1538" s="1"/>
      <c r="N1538" s="1"/>
      <c r="O1538" s="8" t="str">
        <f>IF(B1538=0,VLOOKUP(A1538,Feuil2!$A$2:$M$1241,13,FALSE)," ")</f>
        <v xml:space="preserve"> </v>
      </c>
    </row>
    <row r="1539" spans="1:15" x14ac:dyDescent="0.3">
      <c r="A1539" s="1">
        <v>1957</v>
      </c>
      <c r="B1539" s="1">
        <v>2</v>
      </c>
      <c r="C1539" s="1" t="s">
        <v>91</v>
      </c>
      <c r="D1539" s="1" t="s">
        <v>2480</v>
      </c>
      <c r="E1539" s="5">
        <v>33790</v>
      </c>
      <c r="F1539" s="1" t="s">
        <v>17</v>
      </c>
      <c r="G1539" s="1" t="str">
        <f>IF(B1539=0,VLOOKUP(A1539,Feuil2!$A$2:$M$1241,11,FALSE)," ")</f>
        <v xml:space="preserve"> </v>
      </c>
      <c r="H1539" s="1" t="s">
        <v>16</v>
      </c>
      <c r="I1539" s="6" t="str">
        <f>IF(B1539=0,VLOOKUP(A1539,Feuil2!$A$2:$M$1241,7,FALSE)," ")</f>
        <v xml:space="preserve"> </v>
      </c>
      <c r="J1539" s="1" t="str">
        <f>IF(B1539=0,VLOOKUP(A1539,Feuil2!$A$2:$M$1241,9,FALSE)," ")</f>
        <v xml:space="preserve"> </v>
      </c>
      <c r="K1539" s="1" t="str">
        <f>IF(B1539=0,VLOOKUP(A1539,Feuil2!$A$2:$M$1241,10,FALSE)," ")</f>
        <v xml:space="preserve"> </v>
      </c>
      <c r="L1539" s="1"/>
      <c r="M1539" s="1"/>
      <c r="N1539" s="1"/>
      <c r="O1539" s="8" t="str">
        <f>IF(B1539=0,VLOOKUP(A1539,Feuil2!$A$2:$M$1241,13,FALSE)," ")</f>
        <v xml:space="preserve"> </v>
      </c>
    </row>
    <row r="1540" spans="1:15" x14ac:dyDescent="0.3">
      <c r="A1540" s="1">
        <v>1957</v>
      </c>
      <c r="B1540" s="1">
        <v>3</v>
      </c>
      <c r="C1540" s="1" t="s">
        <v>91</v>
      </c>
      <c r="D1540" s="1" t="s">
        <v>34</v>
      </c>
      <c r="E1540" s="5">
        <v>34835</v>
      </c>
      <c r="F1540" s="1" t="s">
        <v>506</v>
      </c>
      <c r="G1540" s="1" t="str">
        <f>IF(B1540=0,VLOOKUP(A1540,Feuil2!$A$2:$M$1241,11,FALSE)," ")</f>
        <v xml:space="preserve"> </v>
      </c>
      <c r="H1540" s="1" t="s">
        <v>16</v>
      </c>
      <c r="I1540" s="6" t="str">
        <f>IF(B1540=0,VLOOKUP(A1540,Feuil2!$A$2:$M$1241,7,FALSE)," ")</f>
        <v xml:space="preserve"> </v>
      </c>
      <c r="J1540" s="1" t="str">
        <f>IF(B1540=0,VLOOKUP(A1540,Feuil2!$A$2:$M$1241,9,FALSE)," ")</f>
        <v xml:space="preserve"> </v>
      </c>
      <c r="K1540" s="1" t="str">
        <f>IF(B1540=0,VLOOKUP(A1540,Feuil2!$A$2:$M$1241,10,FALSE)," ")</f>
        <v xml:space="preserve"> </v>
      </c>
      <c r="L1540" s="1"/>
      <c r="M1540" s="1"/>
      <c r="N1540" s="1"/>
      <c r="O1540" s="8" t="str">
        <f>IF(B1540=0,VLOOKUP(A1540,Feuil2!$A$2:$M$1241,13,FALSE)," ")</f>
        <v xml:space="preserve"> </v>
      </c>
    </row>
    <row r="1541" spans="1:15" x14ac:dyDescent="0.3">
      <c r="A1541" s="1">
        <v>1957</v>
      </c>
      <c r="B1541" s="1">
        <v>4</v>
      </c>
      <c r="C1541" s="1" t="s">
        <v>91</v>
      </c>
      <c r="D1541" s="1" t="s">
        <v>384</v>
      </c>
      <c r="E1541" s="5">
        <v>36595</v>
      </c>
      <c r="F1541" s="1" t="s">
        <v>506</v>
      </c>
      <c r="G1541" s="1" t="str">
        <f>IF(B1541=0,VLOOKUP(A1541,Feuil2!$A$2:$M$1241,11,FALSE)," ")</f>
        <v xml:space="preserve"> </v>
      </c>
      <c r="H1541" s="1" t="s">
        <v>16</v>
      </c>
      <c r="I1541" s="6" t="str">
        <f>IF(B1541=0,VLOOKUP(A1541,Feuil2!$A$2:$M$1241,7,FALSE)," ")</f>
        <v xml:space="preserve"> </v>
      </c>
      <c r="J1541" s="1" t="str">
        <f>IF(B1541=0,VLOOKUP(A1541,Feuil2!$A$2:$M$1241,9,FALSE)," ")</f>
        <v xml:space="preserve"> </v>
      </c>
      <c r="K1541" s="1" t="str">
        <f>IF(B1541=0,VLOOKUP(A1541,Feuil2!$A$2:$M$1241,10,FALSE)," ")</f>
        <v xml:space="preserve"> </v>
      </c>
      <c r="L1541" s="1"/>
      <c r="M1541" s="1"/>
      <c r="N1541" s="1"/>
      <c r="O1541" s="8" t="str">
        <f>IF(B1541=0,VLOOKUP(A1541,Feuil2!$A$2:$M$1241,13,FALSE)," ")</f>
        <v xml:space="preserve"> </v>
      </c>
    </row>
    <row r="1542" spans="1:15" x14ac:dyDescent="0.3">
      <c r="A1542" s="1">
        <v>1961</v>
      </c>
      <c r="B1542" s="1">
        <v>0</v>
      </c>
      <c r="C1542" s="1" t="str">
        <f>IF(B1542=0,VLOOKUP(A1542,Feuil2!$A$2:$M$1241,2,FALSE)," ")</f>
        <v>HEDFI</v>
      </c>
      <c r="D1542" s="1" t="str">
        <f>IF(B1542=0,VLOOKUP(A1542,Feuil2!$A$2:$M$1241,3,FALSE)," ")</f>
        <v>ANIS</v>
      </c>
      <c r="E1542" s="5">
        <f>IF(B1542=0,VLOOKUP(A1542,Feuil2!$A$2:$M$1241,6,FALSE)," ")</f>
        <v>29992</v>
      </c>
      <c r="F1542" s="1" t="str">
        <f>IF(B1542=0,VLOOKUP(A1542,Feuil2!$A$2:$M$1241,12,FALSE)," ")</f>
        <v>H</v>
      </c>
      <c r="G1542" s="1" t="s">
        <v>15</v>
      </c>
      <c r="H1542" s="1" t="s">
        <v>16</v>
      </c>
      <c r="I1542" s="6">
        <f>IF(B1542=0,VLOOKUP(A1542,Feuil2!$A$2:$M$1241,7,FALSE)," ")</f>
        <v>7614433</v>
      </c>
      <c r="J1542" s="1" t="str">
        <f>IF(B1542=0,VLOOKUP(A1542,Feuil2!$A$2:$M$1241,9,FALSE)," ")</f>
        <v>El Hdaya Hajeb Layoun</v>
      </c>
      <c r="K1542" s="1" t="str">
        <f>IF(B1542=0,VLOOKUP(A1542,Feuil2!$A$2:$M$1241,10,FALSE)," ")</f>
        <v>Kairouan</v>
      </c>
      <c r="L1542" s="1"/>
      <c r="M1542" s="1">
        <v>98793661</v>
      </c>
      <c r="N1542" s="1"/>
      <c r="O1542" s="8" t="str">
        <f>IF(B1542=0,VLOOKUP(A1542,Feuil2!$A$2:$M$1241,13,FALSE)," ")</f>
        <v>05048000116500460004</v>
      </c>
    </row>
    <row r="1543" spans="1:15" x14ac:dyDescent="0.3">
      <c r="A1543" s="1">
        <v>1961</v>
      </c>
      <c r="B1543" s="1">
        <v>1</v>
      </c>
      <c r="C1543" s="1" t="s">
        <v>93</v>
      </c>
      <c r="D1543" s="1" t="s">
        <v>1441</v>
      </c>
      <c r="E1543" s="5">
        <v>30513</v>
      </c>
      <c r="F1543" s="1" t="s">
        <v>17</v>
      </c>
      <c r="G1543" s="1" t="s">
        <v>15</v>
      </c>
      <c r="H1543" s="1" t="s">
        <v>16</v>
      </c>
      <c r="I1543" s="6" t="str">
        <f>IF(B1543=0,VLOOKUP(A1543,Feuil2!$A$2:$M$1241,7,FALSE)," ")</f>
        <v xml:space="preserve"> </v>
      </c>
      <c r="J1543" s="1" t="str">
        <f>IF(B1543=0,VLOOKUP(A1543,Feuil2!$A$2:$M$1241,9,FALSE)," ")</f>
        <v xml:space="preserve"> </v>
      </c>
      <c r="K1543" s="1" t="str">
        <f>IF(B1543=0,VLOOKUP(A1543,Feuil2!$A$2:$M$1241,10,FALSE)," ")</f>
        <v xml:space="preserve"> </v>
      </c>
      <c r="L1543" s="1"/>
      <c r="M1543" s="1"/>
      <c r="N1543" s="1"/>
      <c r="O1543" s="8" t="str">
        <f>IF(B1543=0,VLOOKUP(A1543,Feuil2!$A$2:$M$1241,13,FALSE)," ")</f>
        <v xml:space="preserve"> </v>
      </c>
    </row>
    <row r="1544" spans="1:15" x14ac:dyDescent="0.3">
      <c r="A1544" s="1">
        <v>1961</v>
      </c>
      <c r="B1544" s="1">
        <v>2</v>
      </c>
      <c r="C1544" s="1" t="s">
        <v>93</v>
      </c>
      <c r="D1544" s="1" t="s">
        <v>2347</v>
      </c>
      <c r="E1544" s="5">
        <v>41775</v>
      </c>
      <c r="F1544" s="1" t="s">
        <v>506</v>
      </c>
      <c r="G1544" s="1" t="str">
        <f>IF(B1544=0,VLOOKUP(A1544,Feuil2!$A$2:$M$1241,11,FALSE)," ")</f>
        <v xml:space="preserve"> </v>
      </c>
      <c r="H1544" s="1" t="s">
        <v>16</v>
      </c>
      <c r="I1544" s="6" t="str">
        <f>IF(B1544=0,VLOOKUP(A1544,Feuil2!$A$2:$M$1241,7,FALSE)," ")</f>
        <v xml:space="preserve"> </v>
      </c>
      <c r="J1544" s="1" t="str">
        <f>IF(B1544=0,VLOOKUP(A1544,Feuil2!$A$2:$M$1241,9,FALSE)," ")</f>
        <v xml:space="preserve"> </v>
      </c>
      <c r="K1544" s="1" t="str">
        <f>IF(B1544=0,VLOOKUP(A1544,Feuil2!$A$2:$M$1241,10,FALSE)," ")</f>
        <v xml:space="preserve"> </v>
      </c>
      <c r="L1544" s="1"/>
      <c r="M1544" s="1"/>
      <c r="N1544" s="1"/>
      <c r="O1544" s="8" t="str">
        <f>IF(B1544=0,VLOOKUP(A1544,Feuil2!$A$2:$M$1241,13,FALSE)," ")</f>
        <v xml:space="preserve"> </v>
      </c>
    </row>
    <row r="1545" spans="1:15" x14ac:dyDescent="0.3">
      <c r="A1545" s="1">
        <v>1961</v>
      </c>
      <c r="B1545" s="1">
        <v>3</v>
      </c>
      <c r="C1545" s="1" t="s">
        <v>93</v>
      </c>
      <c r="D1545" s="1" t="s">
        <v>2751</v>
      </c>
      <c r="E1545" s="5">
        <v>42675</v>
      </c>
      <c r="F1545" s="1" t="s">
        <v>17</v>
      </c>
      <c r="G1545" s="1" t="str">
        <f>IF(B1545=0,VLOOKUP(A1545,Feuil2!$A$2:$M$1241,11,FALSE)," ")</f>
        <v xml:space="preserve"> </v>
      </c>
      <c r="H1545" s="1" t="s">
        <v>16</v>
      </c>
      <c r="I1545" s="6" t="str">
        <f>IF(B1545=0,VLOOKUP(A1545,Feuil2!$A$2:$M$1241,7,FALSE)," ")</f>
        <v xml:space="preserve"> </v>
      </c>
      <c r="J1545" s="1" t="str">
        <f>IF(B1545=0,VLOOKUP(A1545,Feuil2!$A$2:$M$1241,9,FALSE)," ")</f>
        <v xml:space="preserve"> </v>
      </c>
      <c r="K1545" s="1" t="str">
        <f>IF(B1545=0,VLOOKUP(A1545,Feuil2!$A$2:$M$1241,10,FALSE)," ")</f>
        <v xml:space="preserve"> </v>
      </c>
      <c r="L1545" s="1"/>
      <c r="M1545" s="1"/>
      <c r="N1545" s="1"/>
      <c r="O1545" s="8" t="str">
        <f>IF(B1545=0,VLOOKUP(A1545,Feuil2!$A$2:$M$1241,13,FALSE)," ")</f>
        <v xml:space="preserve"> </v>
      </c>
    </row>
    <row r="1546" spans="1:15" x14ac:dyDescent="0.3">
      <c r="A1546" s="1">
        <v>1969</v>
      </c>
      <c r="B1546" s="1">
        <v>0</v>
      </c>
      <c r="C1546" s="1" t="str">
        <f>IF(B1546=0,VLOOKUP(A1546,Feuil2!$A$2:$M$1241,2,FALSE)," ")</f>
        <v>BOUKADDIDA</v>
      </c>
      <c r="D1546" s="1" t="str">
        <f>IF(B1546=0,VLOOKUP(A1546,Feuil2!$A$2:$M$1241,3,FALSE)," ")</f>
        <v>MEHREZ</v>
      </c>
      <c r="E1546" s="5">
        <f>IF(B1546=0,VLOOKUP(A1546,Feuil2!$A$2:$M$1241,6,FALSE)," ")</f>
        <v>31253</v>
      </c>
      <c r="F1546" s="1" t="str">
        <f>IF(B1546=0,VLOOKUP(A1546,Feuil2!$A$2:$M$1241,12,FALSE)," ")</f>
        <v>H</v>
      </c>
      <c r="G1546" s="1" t="str">
        <f>IF(B1546=0,VLOOKUP(A1546,Feuil2!$A$2:$M$1241,11,FALSE)," ")</f>
        <v>M</v>
      </c>
      <c r="H1546" s="1" t="s">
        <v>16</v>
      </c>
      <c r="I1546" s="6">
        <f>IF(B1546=0,VLOOKUP(A1546,Feuil2!$A$2:$M$1241,7,FALSE)," ")</f>
        <v>8491416</v>
      </c>
      <c r="J1546" s="1" t="str">
        <f>IF(B1546=0,VLOOKUP(A1546,Feuil2!$A$2:$M$1241,9,FALSE)," ")</f>
        <v>Rue Taieb Hachicha</v>
      </c>
      <c r="K1546" s="1" t="str">
        <f>IF(B1546=0,VLOOKUP(A1546,Feuil2!$A$2:$M$1241,10,FALSE)," ")</f>
        <v>Msaken 4070</v>
      </c>
      <c r="L1546" s="1">
        <v>4070</v>
      </c>
      <c r="M1546" s="1">
        <v>98793567</v>
      </c>
      <c r="N1546" s="1"/>
      <c r="O1546" s="8" t="str">
        <f>IF(B1546=0,VLOOKUP(A1546,Feuil2!$A$2:$M$1241,13,FALSE)," ")</f>
        <v>17503000000153658287</v>
      </c>
    </row>
    <row r="1547" spans="1:15" x14ac:dyDescent="0.3">
      <c r="A1547" s="1">
        <v>1969</v>
      </c>
      <c r="B1547" s="1">
        <v>1</v>
      </c>
      <c r="C1547" s="1" t="s">
        <v>123</v>
      </c>
      <c r="D1547" s="1" t="s">
        <v>2464</v>
      </c>
      <c r="E1547" s="5">
        <v>31504</v>
      </c>
      <c r="F1547" s="1" t="s">
        <v>17</v>
      </c>
      <c r="G1547" s="1" t="s">
        <v>15</v>
      </c>
      <c r="H1547" s="1" t="s">
        <v>16</v>
      </c>
      <c r="I1547" s="6" t="str">
        <f>IF(B1547=0,VLOOKUP(A1547,Feuil2!$A$2:$M$1241,7,FALSE)," ")</f>
        <v xml:space="preserve"> </v>
      </c>
      <c r="J1547" s="1" t="str">
        <f>IF(B1547=0,VLOOKUP(A1547,Feuil2!$A$2:$M$1241,9,FALSE)," ")</f>
        <v xml:space="preserve"> </v>
      </c>
      <c r="K1547" s="1" t="str">
        <f>IF(B1547=0,VLOOKUP(A1547,Feuil2!$A$2:$M$1241,10,FALSE)," ")</f>
        <v xml:space="preserve"> </v>
      </c>
      <c r="L1547" s="1"/>
      <c r="M1547" s="1"/>
      <c r="N1547" s="1"/>
      <c r="O1547" s="8" t="str">
        <f>IF(B1547=0,VLOOKUP(A1547,Feuil2!$A$2:$M$1241,13,FALSE)," ")</f>
        <v xml:space="preserve"> </v>
      </c>
    </row>
    <row r="1548" spans="1:15" x14ac:dyDescent="0.3">
      <c r="A1548" s="1">
        <v>1969</v>
      </c>
      <c r="B1548" s="1">
        <v>2</v>
      </c>
      <c r="C1548" s="1" t="s">
        <v>631</v>
      </c>
      <c r="D1548" s="1" t="s">
        <v>89</v>
      </c>
      <c r="E1548" s="5">
        <v>42194</v>
      </c>
      <c r="F1548" s="1" t="s">
        <v>506</v>
      </c>
      <c r="G1548" s="1" t="str">
        <f>IF(B1548=0,VLOOKUP(A1548,Feuil2!$A$2:$M$1241,11,FALSE)," ")</f>
        <v xml:space="preserve"> </v>
      </c>
      <c r="H1548" s="1" t="s">
        <v>16</v>
      </c>
      <c r="I1548" s="6" t="str">
        <f>IF(B1548=0,VLOOKUP(A1548,Feuil2!$A$2:$M$1241,7,FALSE)," ")</f>
        <v xml:space="preserve"> </v>
      </c>
      <c r="J1548" s="1" t="str">
        <f>IF(B1548=0,VLOOKUP(A1548,Feuil2!$A$2:$M$1241,9,FALSE)," ")</f>
        <v xml:space="preserve"> </v>
      </c>
      <c r="K1548" s="1" t="str">
        <f>IF(B1548=0,VLOOKUP(A1548,Feuil2!$A$2:$M$1241,10,FALSE)," ")</f>
        <v xml:space="preserve"> </v>
      </c>
      <c r="L1548" s="1"/>
      <c r="M1548" s="1"/>
      <c r="N1548" s="1"/>
      <c r="O1548" s="8" t="str">
        <f>IF(B1548=0,VLOOKUP(A1548,Feuil2!$A$2:$M$1241,13,FALSE)," ")</f>
        <v xml:space="preserve"> </v>
      </c>
    </row>
    <row r="1549" spans="1:15" x14ac:dyDescent="0.3">
      <c r="A1549" s="1">
        <v>1969</v>
      </c>
      <c r="B1549" s="1">
        <v>3</v>
      </c>
      <c r="C1549" s="1" t="s">
        <v>631</v>
      </c>
      <c r="D1549" s="1" t="s">
        <v>2533</v>
      </c>
      <c r="E1549" s="5">
        <v>43190</v>
      </c>
      <c r="F1549" s="1" t="s">
        <v>506</v>
      </c>
      <c r="G1549" s="1" t="str">
        <f>IF(B1549=0,VLOOKUP(A1549,Feuil2!$A$2:$M$1241,11,FALSE)," ")</f>
        <v xml:space="preserve"> </v>
      </c>
      <c r="H1549" s="1" t="s">
        <v>16</v>
      </c>
      <c r="I1549" s="6" t="str">
        <f>IF(B1549=0,VLOOKUP(A1549,Feuil2!$A$2:$M$1241,7,FALSE)," ")</f>
        <v xml:space="preserve"> </v>
      </c>
      <c r="J1549" s="1" t="str">
        <f>IF(B1549=0,VLOOKUP(A1549,Feuil2!$A$2:$M$1241,9,FALSE)," ")</f>
        <v xml:space="preserve"> </v>
      </c>
      <c r="K1549" s="1" t="str">
        <f>IF(B1549=0,VLOOKUP(A1549,Feuil2!$A$2:$M$1241,10,FALSE)," ")</f>
        <v xml:space="preserve"> </v>
      </c>
      <c r="L1549" s="1"/>
      <c r="M1549" s="1"/>
      <c r="N1549" s="1"/>
      <c r="O1549" s="8" t="str">
        <f>IF(B1549=0,VLOOKUP(A1549,Feuil2!$A$2:$M$1241,13,FALSE)," ")</f>
        <v xml:space="preserve"> </v>
      </c>
    </row>
    <row r="1550" spans="1:15" x14ac:dyDescent="0.3">
      <c r="A1550" s="1">
        <v>1969</v>
      </c>
      <c r="B1550" s="1">
        <v>4</v>
      </c>
      <c r="C1550" s="1" t="s">
        <v>631</v>
      </c>
      <c r="D1550" s="1" t="s">
        <v>2864</v>
      </c>
      <c r="E1550" s="5">
        <v>44609</v>
      </c>
      <c r="F1550" s="1" t="s">
        <v>17</v>
      </c>
      <c r="G1550" s="1"/>
      <c r="H1550" s="1"/>
      <c r="I1550" s="6"/>
      <c r="J1550" s="1"/>
      <c r="K1550" s="1"/>
      <c r="L1550" s="1"/>
      <c r="M1550" s="1"/>
      <c r="N1550" s="1"/>
      <c r="O1550" s="8"/>
    </row>
    <row r="1551" spans="1:15" x14ac:dyDescent="0.3">
      <c r="A1551" s="1">
        <v>1973</v>
      </c>
      <c r="B1551" s="1">
        <v>0</v>
      </c>
      <c r="C1551" s="1" t="str">
        <f>IF(B1551=0,VLOOKUP(A1551,Feuil2!$A$2:$M$1241,2,FALSE)," ")</f>
        <v>EL ABED</v>
      </c>
      <c r="D1551" s="1" t="str">
        <f>IF(B1551=0,VLOOKUP(A1551,Feuil2!$A$2:$M$1241,3,FALSE)," ")</f>
        <v>AMIRA</v>
      </c>
      <c r="E1551" s="5">
        <f>IF(B1551=0,VLOOKUP(A1551,Feuil2!$A$2:$M$1241,6,FALSE)," ")</f>
        <v>31983</v>
      </c>
      <c r="F1551" s="1" t="str">
        <f>IF(B1551=0,VLOOKUP(A1551,Feuil2!$A$2:$M$1241,12,FALSE)," ")</f>
        <v>F</v>
      </c>
      <c r="G1551" s="1" t="str">
        <f>IF(B1551=0,VLOOKUP(A1551,Feuil2!$A$2:$M$1241,11,FALSE)," ")</f>
        <v>M</v>
      </c>
      <c r="H1551" s="1" t="s">
        <v>16</v>
      </c>
      <c r="I1551" s="6">
        <f>IF(B1551=0,VLOOKUP(A1551,Feuil2!$A$2:$M$1241,7,FALSE)," ")</f>
        <v>9266899</v>
      </c>
      <c r="J1551" s="1" t="str">
        <f>IF(B1551=0,VLOOKUP(A1551,Feuil2!$A$2:$M$1241,9,FALSE)," ")</f>
        <v>Rue Mongi Bali</v>
      </c>
      <c r="K1551" s="1" t="str">
        <f>IF(B1551=0,VLOOKUP(A1551,Feuil2!$A$2:$M$1241,10,FALSE)," ")</f>
        <v>Msaken 4070</v>
      </c>
      <c r="L1551" s="1">
        <v>4070</v>
      </c>
      <c r="M1551" s="1">
        <v>98793570</v>
      </c>
      <c r="N1551" s="1"/>
      <c r="O1551" s="8" t="str">
        <f>IF(B1551=0,VLOOKUP(A1551,Feuil2!$A$2:$M$1241,13,FALSE)," ")</f>
        <v>08507000262003635038</v>
      </c>
    </row>
    <row r="1552" spans="1:15" x14ac:dyDescent="0.3">
      <c r="A1552" s="1">
        <v>1973</v>
      </c>
      <c r="B1552" s="1">
        <v>1</v>
      </c>
      <c r="C1552" s="1" t="s">
        <v>1269</v>
      </c>
      <c r="D1552" s="1" t="s">
        <v>2752</v>
      </c>
      <c r="E1552" s="5">
        <v>31934</v>
      </c>
      <c r="F1552" s="1" t="s">
        <v>506</v>
      </c>
      <c r="G1552" s="1" t="s">
        <v>15</v>
      </c>
      <c r="H1552" s="1" t="s">
        <v>16</v>
      </c>
      <c r="I1552" s="6" t="str">
        <f>IF(B1552=0,VLOOKUP(A1552,Feuil2!$A$2:$M$1241,7,FALSE)," ")</f>
        <v xml:space="preserve"> </v>
      </c>
      <c r="J1552" s="1" t="str">
        <f>IF(B1552=0,VLOOKUP(A1552,Feuil2!$A$2:$M$1241,9,FALSE)," ")</f>
        <v xml:space="preserve"> </v>
      </c>
      <c r="K1552" s="1" t="str">
        <f>IF(B1552=0,VLOOKUP(A1552,Feuil2!$A$2:$M$1241,10,FALSE)," ")</f>
        <v xml:space="preserve"> </v>
      </c>
      <c r="L1552" s="1"/>
      <c r="M1552" s="1"/>
      <c r="N1552" s="1"/>
      <c r="O1552" s="8" t="str">
        <f>IF(B1552=0,VLOOKUP(A1552,Feuil2!$A$2:$M$1241,13,FALSE)," ")</f>
        <v xml:space="preserve"> </v>
      </c>
    </row>
    <row r="1553" spans="1:15" x14ac:dyDescent="0.3">
      <c r="A1553" s="1">
        <v>1973</v>
      </c>
      <c r="B1553" s="1">
        <v>2</v>
      </c>
      <c r="C1553" s="1" t="s">
        <v>161</v>
      </c>
      <c r="D1553" s="1" t="s">
        <v>287</v>
      </c>
      <c r="E1553" s="5">
        <v>42354</v>
      </c>
      <c r="F1553" s="1" t="s">
        <v>506</v>
      </c>
      <c r="G1553" s="1" t="str">
        <f>IF(B1553=0,VLOOKUP(A1553,Feuil2!$A$2:$M$1241,11,FALSE)," ")</f>
        <v xml:space="preserve"> </v>
      </c>
      <c r="H1553" s="1" t="s">
        <v>16</v>
      </c>
      <c r="I1553" s="6" t="str">
        <f>IF(B1553=0,VLOOKUP(A1553,Feuil2!$A$2:$M$1241,7,FALSE)," ")</f>
        <v xml:space="preserve"> </v>
      </c>
      <c r="J1553" s="1" t="str">
        <f>IF(B1553=0,VLOOKUP(A1553,Feuil2!$A$2:$M$1241,9,FALSE)," ")</f>
        <v xml:space="preserve"> </v>
      </c>
      <c r="K1553" s="1" t="str">
        <f>IF(B1553=0,VLOOKUP(A1553,Feuil2!$A$2:$M$1241,10,FALSE)," ")</f>
        <v xml:space="preserve"> </v>
      </c>
      <c r="L1553" s="1"/>
      <c r="M1553" s="1"/>
      <c r="N1553" s="1"/>
      <c r="O1553" s="8" t="str">
        <f>IF(B1553=0,VLOOKUP(A1553,Feuil2!$A$2:$M$1241,13,FALSE)," ")</f>
        <v xml:space="preserve"> </v>
      </c>
    </row>
    <row r="1554" spans="1:15" x14ac:dyDescent="0.3">
      <c r="A1554" s="1">
        <v>1973</v>
      </c>
      <c r="B1554" s="1">
        <v>3</v>
      </c>
      <c r="C1554" s="1" t="s">
        <v>161</v>
      </c>
      <c r="D1554" s="1" t="s">
        <v>2753</v>
      </c>
      <c r="E1554" s="5">
        <v>43692</v>
      </c>
      <c r="F1554" s="1" t="s">
        <v>17</v>
      </c>
      <c r="G1554" s="1" t="str">
        <f>IF(B1554=0,VLOOKUP(A1554,Feuil2!$A$2:$M$1241,11,FALSE)," ")</f>
        <v xml:space="preserve"> </v>
      </c>
      <c r="H1554" s="1" t="s">
        <v>16</v>
      </c>
      <c r="I1554" s="6" t="str">
        <f>IF(B1554=0,VLOOKUP(A1554,Feuil2!$A$2:$M$1241,7,FALSE)," ")</f>
        <v xml:space="preserve"> </v>
      </c>
      <c r="J1554" s="1" t="str">
        <f>IF(B1554=0,VLOOKUP(A1554,Feuil2!$A$2:$M$1241,9,FALSE)," ")</f>
        <v xml:space="preserve"> </v>
      </c>
      <c r="K1554" s="1" t="str">
        <f>IF(B1554=0,VLOOKUP(A1554,Feuil2!$A$2:$M$1241,10,FALSE)," ")</f>
        <v xml:space="preserve"> </v>
      </c>
      <c r="L1554" s="1"/>
      <c r="M1554" s="1"/>
      <c r="N1554" s="1"/>
      <c r="O1554" s="8" t="str">
        <f>IF(B1554=0,VLOOKUP(A1554,Feuil2!$A$2:$M$1241,13,FALSE)," ")</f>
        <v xml:space="preserve"> </v>
      </c>
    </row>
    <row r="1555" spans="1:15" x14ac:dyDescent="0.3">
      <c r="A1555" s="1">
        <v>1974</v>
      </c>
      <c r="B1555" s="1">
        <v>0</v>
      </c>
      <c r="C1555" s="1" t="str">
        <f>IF(B1555=0,VLOOKUP(A1555,Feuil2!$A$2:$M$1241,2,FALSE)," ")</f>
        <v>GUELLIME</v>
      </c>
      <c r="D1555" s="1" t="str">
        <f>IF(B1555=0,VLOOKUP(A1555,Feuil2!$A$2:$M$1241,3,FALSE)," ")</f>
        <v>MONDHER</v>
      </c>
      <c r="E1555" s="5">
        <f>IF(B1555=0,VLOOKUP(A1555,Feuil2!$A$2:$M$1241,6,FALSE)," ")</f>
        <v>31252</v>
      </c>
      <c r="F1555" s="1" t="str">
        <f>IF(B1555=0,VLOOKUP(A1555,Feuil2!$A$2:$M$1241,12,FALSE)," ")</f>
        <v>H</v>
      </c>
      <c r="G1555" s="1" t="str">
        <f>IF(B1555=0,VLOOKUP(A1555,Feuil2!$A$2:$M$1241,11,FALSE)," ")</f>
        <v>M</v>
      </c>
      <c r="H1555" s="1" t="s">
        <v>16</v>
      </c>
      <c r="I1555" s="6">
        <f>IF(B1555=0,VLOOKUP(A1555,Feuil2!$A$2:$M$1241,7,FALSE)," ")</f>
        <v>8493187</v>
      </c>
      <c r="J1555" s="1" t="str">
        <f>IF(B1555=0,VLOOKUP(A1555,Feuil2!$A$2:$M$1241,9,FALSE)," ")</f>
        <v>Rue Arafet</v>
      </c>
      <c r="K1555" s="1" t="str">
        <f>IF(B1555=0,VLOOKUP(A1555,Feuil2!$A$2:$M$1241,10,FALSE)," ")</f>
        <v>Msaken 4070</v>
      </c>
      <c r="L1555" s="1">
        <v>4070</v>
      </c>
      <c r="M1555" s="1">
        <v>98793571</v>
      </c>
      <c r="N1555" s="1"/>
      <c r="O1555" s="8" t="str">
        <f>IF(B1555=0,VLOOKUP(A1555,Feuil2!$A$2:$M$1241,13,FALSE)," ")</f>
        <v>25018000000014103772</v>
      </c>
    </row>
    <row r="1556" spans="1:15" x14ac:dyDescent="0.3">
      <c r="A1556" s="1">
        <v>1974</v>
      </c>
      <c r="B1556" s="1">
        <v>1</v>
      </c>
      <c r="C1556" s="1" t="s">
        <v>342</v>
      </c>
      <c r="D1556" s="1" t="s">
        <v>2682</v>
      </c>
      <c r="E1556" s="5">
        <v>31360</v>
      </c>
      <c r="F1556" s="1" t="s">
        <v>17</v>
      </c>
      <c r="G1556" s="1" t="s">
        <v>15</v>
      </c>
      <c r="H1556" s="1" t="s">
        <v>16</v>
      </c>
      <c r="I1556" s="6" t="str">
        <f>IF(B1556=0,VLOOKUP(A1556,Feuil2!$A$2:$M$1241,7,FALSE)," ")</f>
        <v xml:space="preserve"> </v>
      </c>
      <c r="J1556" s="1" t="str">
        <f>IF(B1556=0,VLOOKUP(A1556,Feuil2!$A$2:$M$1241,9,FALSE)," ")</f>
        <v xml:space="preserve"> </v>
      </c>
      <c r="K1556" s="1" t="str">
        <f>IF(B1556=0,VLOOKUP(A1556,Feuil2!$A$2:$M$1241,10,FALSE)," ")</f>
        <v xml:space="preserve"> </v>
      </c>
      <c r="L1556" s="1"/>
      <c r="M1556" s="1"/>
      <c r="N1556" s="1"/>
      <c r="O1556" s="8" t="str">
        <f>IF(B1556=0,VLOOKUP(A1556,Feuil2!$A$2:$M$1241,13,FALSE)," ")</f>
        <v xml:space="preserve"> </v>
      </c>
    </row>
    <row r="1557" spans="1:15" x14ac:dyDescent="0.3">
      <c r="A1557" s="1">
        <v>1974</v>
      </c>
      <c r="B1557" s="1">
        <v>2</v>
      </c>
      <c r="C1557" s="1" t="s">
        <v>1921</v>
      </c>
      <c r="D1557" s="1" t="s">
        <v>149</v>
      </c>
      <c r="E1557" s="5">
        <v>42716</v>
      </c>
      <c r="F1557" s="1" t="s">
        <v>506</v>
      </c>
      <c r="G1557" s="1" t="str">
        <f>IF(B1557=0,VLOOKUP(A1557,Feuil2!$A$2:$M$1241,11,FALSE)," ")</f>
        <v xml:space="preserve"> </v>
      </c>
      <c r="H1557" s="1" t="s">
        <v>16</v>
      </c>
      <c r="I1557" s="6" t="str">
        <f>IF(B1557=0,VLOOKUP(A1557,Feuil2!$A$2:$M$1241,7,FALSE)," ")</f>
        <v xml:space="preserve"> </v>
      </c>
      <c r="J1557" s="1" t="str">
        <f>IF(B1557=0,VLOOKUP(A1557,Feuil2!$A$2:$M$1241,9,FALSE)," ")</f>
        <v xml:space="preserve"> </v>
      </c>
      <c r="K1557" s="1" t="str">
        <f>IF(B1557=0,VLOOKUP(A1557,Feuil2!$A$2:$M$1241,10,FALSE)," ")</f>
        <v xml:space="preserve"> </v>
      </c>
      <c r="L1557" s="1"/>
      <c r="M1557" s="1"/>
      <c r="N1557" s="1"/>
      <c r="O1557" s="8" t="str">
        <f>IF(B1557=0,VLOOKUP(A1557,Feuil2!$A$2:$M$1241,13,FALSE)," ")</f>
        <v xml:space="preserve"> </v>
      </c>
    </row>
    <row r="1558" spans="1:15" x14ac:dyDescent="0.3">
      <c r="A1558" s="1">
        <v>1978</v>
      </c>
      <c r="B1558" s="1">
        <v>0</v>
      </c>
      <c r="C1558" s="1" t="str">
        <f>IF(B1558=0,VLOOKUP(A1558,Feuil2!$A$2:$M$1241,2,FALSE)," ")</f>
        <v>MAHJOUB</v>
      </c>
      <c r="D1558" s="1" t="str">
        <f>IF(B1558=0,VLOOKUP(A1558,Feuil2!$A$2:$M$1241,3,FALSE)," ")</f>
        <v>AHMED</v>
      </c>
      <c r="E1558" s="5">
        <f>IF(B1558=0,VLOOKUP(A1558,Feuil2!$A$2:$M$1241,6,FALSE)," ")</f>
        <v>31650</v>
      </c>
      <c r="F1558" s="1" t="str">
        <f>IF(B1558=0,VLOOKUP(A1558,Feuil2!$A$2:$M$1241,12,FALSE)," ")</f>
        <v>H</v>
      </c>
      <c r="G1558" s="1" t="str">
        <f>IF(B1558=0,VLOOKUP(A1558,Feuil2!$A$2:$M$1241,11,FALSE)," ")</f>
        <v>M</v>
      </c>
      <c r="H1558" s="1" t="s">
        <v>16</v>
      </c>
      <c r="I1558" s="6">
        <f>IF(B1558=0,VLOOKUP(A1558,Feuil2!$A$2:$M$1241,7,FALSE)," ")</f>
        <v>9254563</v>
      </c>
      <c r="J1558" s="1" t="str">
        <f>IF(B1558=0,VLOOKUP(A1558,Feuil2!$A$2:$M$1241,9,FALSE)," ")</f>
        <v>29, Rue de la mosquÃ©e</v>
      </c>
      <c r="K1558" s="1" t="str">
        <f>IF(B1558=0,VLOOKUP(A1558,Feuil2!$A$2:$M$1241,10,FALSE)," ")</f>
        <v>Msaken 4070</v>
      </c>
      <c r="L1558" s="1">
        <v>4070</v>
      </c>
      <c r="M1558" s="1">
        <v>98793573</v>
      </c>
      <c r="N1558" s="1"/>
      <c r="O1558" s="8" t="str">
        <f>IF(B1558=0,VLOOKUP(A1558,Feuil2!$A$2:$M$1241,13,FALSE)," ")</f>
        <v>01018058111001166030</v>
      </c>
    </row>
    <row r="1559" spans="1:15" x14ac:dyDescent="0.3">
      <c r="A1559" s="1">
        <v>1978</v>
      </c>
      <c r="B1559" s="1">
        <v>1</v>
      </c>
      <c r="C1559" s="1" t="s">
        <v>121</v>
      </c>
      <c r="D1559" s="1" t="s">
        <v>2322</v>
      </c>
      <c r="E1559" s="5">
        <v>32590</v>
      </c>
      <c r="F1559" s="1" t="s">
        <v>17</v>
      </c>
      <c r="G1559" s="1" t="s">
        <v>15</v>
      </c>
      <c r="H1559" s="1" t="s">
        <v>16</v>
      </c>
      <c r="I1559" s="6" t="str">
        <f>IF(B1559=0,VLOOKUP(A1559,Feuil2!$A$2:$M$1241,7,FALSE)," ")</f>
        <v xml:space="preserve"> </v>
      </c>
      <c r="J1559" s="1" t="str">
        <f>IF(B1559=0,VLOOKUP(A1559,Feuil2!$A$2:$M$1241,9,FALSE)," ")</f>
        <v xml:space="preserve"> </v>
      </c>
      <c r="K1559" s="1" t="str">
        <f>IF(B1559=0,VLOOKUP(A1559,Feuil2!$A$2:$M$1241,10,FALSE)," ")</f>
        <v xml:space="preserve"> </v>
      </c>
      <c r="L1559" s="1"/>
      <c r="M1559" s="1"/>
      <c r="N1559" s="1"/>
      <c r="O1559" s="8" t="str">
        <f>IF(B1559=0,VLOOKUP(A1559,Feuil2!$A$2:$M$1241,13,FALSE)," ")</f>
        <v xml:space="preserve"> </v>
      </c>
    </row>
    <row r="1560" spans="1:15" x14ac:dyDescent="0.3">
      <c r="A1560" s="1">
        <v>1978</v>
      </c>
      <c r="B1560" s="1">
        <v>2</v>
      </c>
      <c r="C1560" s="1" t="s">
        <v>19</v>
      </c>
      <c r="D1560" s="1" t="s">
        <v>2754</v>
      </c>
      <c r="E1560" s="5">
        <v>42537</v>
      </c>
      <c r="F1560" s="1" t="s">
        <v>506</v>
      </c>
      <c r="G1560" s="1" t="str">
        <f>IF(B1560=0,VLOOKUP(A1560,Feuil2!$A$2:$M$1241,11,FALSE)," ")</f>
        <v xml:space="preserve"> </v>
      </c>
      <c r="H1560" s="1" t="s">
        <v>16</v>
      </c>
      <c r="I1560" s="6" t="str">
        <f>IF(B1560=0,VLOOKUP(A1560,Feuil2!$A$2:$M$1241,7,FALSE)," ")</f>
        <v xml:space="preserve"> </v>
      </c>
      <c r="J1560" s="1" t="str">
        <f>IF(B1560=0,VLOOKUP(A1560,Feuil2!$A$2:$M$1241,9,FALSE)," ")</f>
        <v xml:space="preserve"> </v>
      </c>
      <c r="K1560" s="1" t="str">
        <f>IF(B1560=0,VLOOKUP(A1560,Feuil2!$A$2:$M$1241,10,FALSE)," ")</f>
        <v xml:space="preserve"> </v>
      </c>
      <c r="L1560" s="1"/>
      <c r="M1560" s="1"/>
      <c r="N1560" s="1"/>
      <c r="O1560" s="8" t="str">
        <f>IF(B1560=0,VLOOKUP(A1560,Feuil2!$A$2:$M$1241,13,FALSE)," ")</f>
        <v xml:space="preserve"> </v>
      </c>
    </row>
    <row r="1561" spans="1:15" x14ac:dyDescent="0.3">
      <c r="A1561" s="1">
        <v>1978</v>
      </c>
      <c r="B1561" s="1">
        <v>3</v>
      </c>
      <c r="C1561" s="1" t="s">
        <v>19</v>
      </c>
      <c r="D1561" s="1" t="s">
        <v>2530</v>
      </c>
      <c r="E1561" s="5">
        <v>42537</v>
      </c>
      <c r="F1561" s="1" t="s">
        <v>506</v>
      </c>
      <c r="G1561" s="1" t="str">
        <f>IF(B1561=0,VLOOKUP(A1561,Feuil2!$A$2:$M$1241,11,FALSE)," ")</f>
        <v xml:space="preserve"> </v>
      </c>
      <c r="H1561" s="1" t="s">
        <v>16</v>
      </c>
      <c r="I1561" s="6" t="str">
        <f>IF(B1561=0,VLOOKUP(A1561,Feuil2!$A$2:$M$1241,7,FALSE)," ")</f>
        <v xml:space="preserve"> </v>
      </c>
      <c r="J1561" s="1" t="str">
        <f>IF(B1561=0,VLOOKUP(A1561,Feuil2!$A$2:$M$1241,9,FALSE)," ")</f>
        <v xml:space="preserve"> </v>
      </c>
      <c r="K1561" s="1" t="str">
        <f>IF(B1561=0,VLOOKUP(A1561,Feuil2!$A$2:$M$1241,10,FALSE)," ")</f>
        <v xml:space="preserve"> </v>
      </c>
      <c r="L1561" s="1"/>
      <c r="M1561" s="1"/>
      <c r="N1561" s="1"/>
      <c r="O1561" s="8" t="str">
        <f>IF(B1561=0,VLOOKUP(A1561,Feuil2!$A$2:$M$1241,13,FALSE)," ")</f>
        <v xml:space="preserve"> </v>
      </c>
    </row>
    <row r="1562" spans="1:15" x14ac:dyDescent="0.3">
      <c r="A1562" s="1">
        <v>1978</v>
      </c>
      <c r="B1562" s="1">
        <v>4</v>
      </c>
      <c r="C1562" s="1" t="s">
        <v>19</v>
      </c>
      <c r="D1562" s="1" t="s">
        <v>2737</v>
      </c>
      <c r="E1562" s="5">
        <v>43085</v>
      </c>
      <c r="F1562" s="1" t="s">
        <v>506</v>
      </c>
      <c r="G1562" s="1" t="str">
        <f>IF(B1562=0,VLOOKUP(A1562,Feuil2!$A$2:$M$1241,11,FALSE)," ")</f>
        <v xml:space="preserve"> </v>
      </c>
      <c r="H1562" s="1" t="s">
        <v>16</v>
      </c>
      <c r="I1562" s="6" t="str">
        <f>IF(B1562=0,VLOOKUP(A1562,Feuil2!$A$2:$M$1241,7,FALSE)," ")</f>
        <v xml:space="preserve"> </v>
      </c>
      <c r="J1562" s="1" t="str">
        <f>IF(B1562=0,VLOOKUP(A1562,Feuil2!$A$2:$M$1241,9,FALSE)," ")</f>
        <v xml:space="preserve"> </v>
      </c>
      <c r="K1562" s="1" t="str">
        <f>IF(B1562=0,VLOOKUP(A1562,Feuil2!$A$2:$M$1241,10,FALSE)," ")</f>
        <v xml:space="preserve"> </v>
      </c>
      <c r="L1562" s="1"/>
      <c r="M1562" s="1"/>
      <c r="N1562" s="1"/>
      <c r="O1562" s="8" t="str">
        <f>IF(B1562=0,VLOOKUP(A1562,Feuil2!$A$2:$M$1241,13,FALSE)," ")</f>
        <v xml:space="preserve"> </v>
      </c>
    </row>
    <row r="1563" spans="1:15" x14ac:dyDescent="0.3">
      <c r="A1563" s="1">
        <v>1978</v>
      </c>
      <c r="B1563" s="1">
        <v>5</v>
      </c>
      <c r="C1563" s="1" t="s">
        <v>19</v>
      </c>
      <c r="D1563" s="1" t="s">
        <v>2842</v>
      </c>
      <c r="E1563" s="5">
        <v>44531</v>
      </c>
      <c r="F1563" s="1" t="s">
        <v>506</v>
      </c>
      <c r="G1563" s="1"/>
      <c r="H1563" s="1" t="s">
        <v>16</v>
      </c>
      <c r="I1563" s="6"/>
      <c r="J1563" s="1"/>
      <c r="K1563" s="1"/>
      <c r="L1563" s="1"/>
      <c r="M1563" s="1"/>
      <c r="N1563" s="1"/>
      <c r="O1563" s="8"/>
    </row>
    <row r="1564" spans="1:15" x14ac:dyDescent="0.3">
      <c r="A1564" s="1">
        <v>1979</v>
      </c>
      <c r="B1564" s="1">
        <v>0</v>
      </c>
      <c r="C1564" s="1" t="str">
        <f>IF(B1564=0,VLOOKUP(A1564,Feuil2!$A$2:$M$1241,2,FALSE)," ")</f>
        <v>LANDOULSI</v>
      </c>
      <c r="D1564" s="1" t="str">
        <f>IF(B1564=0,VLOOKUP(A1564,Feuil2!$A$2:$M$1241,3,FALSE)," ")</f>
        <v>MOHAMED SAHBI</v>
      </c>
      <c r="E1564" s="5">
        <f>IF(B1564=0,VLOOKUP(A1564,Feuil2!$A$2:$M$1241,6,FALSE)," ")</f>
        <v>33443</v>
      </c>
      <c r="F1564" s="1" t="str">
        <f>IF(B1564=0,VLOOKUP(A1564,Feuil2!$A$2:$M$1241,12,FALSE)," ")</f>
        <v>H</v>
      </c>
      <c r="G1564" s="1" t="str">
        <f>IF(B1564=0,VLOOKUP(A1564,Feuil2!$A$2:$M$1241,11,FALSE)," ")</f>
        <v>M</v>
      </c>
      <c r="H1564" s="1" t="s">
        <v>16</v>
      </c>
      <c r="I1564" s="6">
        <f>IF(B1564=0,VLOOKUP(A1564,Feuil2!$A$2:$M$1241,7,FALSE)," ")</f>
        <v>9293955</v>
      </c>
      <c r="J1564" s="1" t="str">
        <f>IF(B1564=0,VLOOKUP(A1564,Feuil2!$A$2:$M$1241,9,FALSE)," ")</f>
        <v>Rue Dar Essalem Route de Knaies</v>
      </c>
      <c r="K1564" s="1" t="str">
        <f>IF(B1564=0,VLOOKUP(A1564,Feuil2!$A$2:$M$1241,10,FALSE)," ")</f>
        <v>Msaken 4070</v>
      </c>
      <c r="L1564" s="1">
        <v>4070</v>
      </c>
      <c r="M1564" s="1">
        <v>24137844</v>
      </c>
      <c r="N1564" s="1"/>
      <c r="O1564" s="8" t="str">
        <f>IF(B1564=0,VLOOKUP(A1564,Feuil2!$A$2:$M$1241,13,FALSE)," ")</f>
        <v>24010026346251110172</v>
      </c>
    </row>
    <row r="1565" spans="1:15" x14ac:dyDescent="0.3">
      <c r="A1565" s="1">
        <v>1979</v>
      </c>
      <c r="B1565" s="1">
        <v>1</v>
      </c>
      <c r="C1565" s="1" t="s">
        <v>29</v>
      </c>
      <c r="D1565" s="1" t="s">
        <v>2660</v>
      </c>
      <c r="E1565" s="5">
        <v>34823</v>
      </c>
      <c r="F1565" s="1" t="s">
        <v>17</v>
      </c>
      <c r="G1565" s="1" t="s">
        <v>15</v>
      </c>
      <c r="H1565" s="1" t="s">
        <v>16</v>
      </c>
      <c r="I1565" s="6" t="str">
        <f>IF(B1565=0,VLOOKUP(A1565,Feuil2!$A$2:$M$1241,7,FALSE)," ")</f>
        <v xml:space="preserve"> </v>
      </c>
      <c r="J1565" s="1" t="str">
        <f>IF(B1565=0,VLOOKUP(A1565,Feuil2!$A$2:$M$1241,9,FALSE)," ")</f>
        <v xml:space="preserve"> </v>
      </c>
      <c r="K1565" s="1" t="str">
        <f>IF(B1565=0,VLOOKUP(A1565,Feuil2!$A$2:$M$1241,10,FALSE)," ")</f>
        <v xml:space="preserve"> </v>
      </c>
      <c r="L1565" s="1"/>
      <c r="M1565" s="1"/>
      <c r="N1565" s="1"/>
      <c r="O1565" s="8" t="str">
        <f>IF(B1565=0,VLOOKUP(A1565,Feuil2!$A$2:$M$1241,13,FALSE)," ")</f>
        <v xml:space="preserve"> </v>
      </c>
    </row>
    <row r="1566" spans="1:15" x14ac:dyDescent="0.3">
      <c r="A1566" s="1">
        <v>1979</v>
      </c>
      <c r="B1566" s="1">
        <v>2</v>
      </c>
      <c r="C1566" s="1" t="s">
        <v>549</v>
      </c>
      <c r="D1566" s="1" t="s">
        <v>2755</v>
      </c>
      <c r="E1566" s="5">
        <v>42542</v>
      </c>
      <c r="F1566" s="1" t="s">
        <v>17</v>
      </c>
      <c r="G1566" s="1" t="str">
        <f>IF(B1566=0,VLOOKUP(A1566,Feuil2!$A$2:$M$1241,11,FALSE)," ")</f>
        <v xml:space="preserve"> </v>
      </c>
      <c r="H1566" s="1" t="s">
        <v>16</v>
      </c>
      <c r="I1566" s="6" t="str">
        <f>IF(B1566=0,VLOOKUP(A1566,Feuil2!$A$2:$M$1241,7,FALSE)," ")</f>
        <v xml:space="preserve"> </v>
      </c>
      <c r="J1566" s="1" t="str">
        <f>IF(B1566=0,VLOOKUP(A1566,Feuil2!$A$2:$M$1241,9,FALSE)," ")</f>
        <v xml:space="preserve"> </v>
      </c>
      <c r="K1566" s="1" t="str">
        <f>IF(B1566=0,VLOOKUP(A1566,Feuil2!$A$2:$M$1241,10,FALSE)," ")</f>
        <v xml:space="preserve"> </v>
      </c>
      <c r="L1566" s="1"/>
      <c r="M1566" s="1"/>
      <c r="N1566" s="1"/>
      <c r="O1566" s="8" t="str">
        <f>IF(B1566=0,VLOOKUP(A1566,Feuil2!$A$2:$M$1241,13,FALSE)," ")</f>
        <v xml:space="preserve"> </v>
      </c>
    </row>
    <row r="1567" spans="1:15" x14ac:dyDescent="0.3">
      <c r="A1567" s="1">
        <v>1979</v>
      </c>
      <c r="B1567" s="1">
        <v>3</v>
      </c>
      <c r="C1567" s="1" t="s">
        <v>549</v>
      </c>
      <c r="D1567" s="1" t="s">
        <v>2811</v>
      </c>
      <c r="E1567" s="5">
        <v>44341</v>
      </c>
      <c r="F1567" s="1" t="s">
        <v>17</v>
      </c>
      <c r="G1567" s="1"/>
      <c r="H1567" s="1"/>
      <c r="I1567" s="6"/>
      <c r="J1567" s="1"/>
      <c r="K1567" s="1"/>
      <c r="L1567" s="1"/>
      <c r="M1567" s="1"/>
      <c r="N1567" s="1"/>
      <c r="O1567" s="8"/>
    </row>
    <row r="1568" spans="1:15" x14ac:dyDescent="0.3">
      <c r="A1568" s="1">
        <v>1981</v>
      </c>
      <c r="B1568" s="1">
        <v>0</v>
      </c>
      <c r="C1568" s="1" t="str">
        <f>IF(B1568=0,VLOOKUP(A1568,Feuil2!$A$2:$M$1241,2,FALSE)," ")</f>
        <v>GAALOUL</v>
      </c>
      <c r="D1568" s="1" t="str">
        <f>IF(B1568=0,VLOOKUP(A1568,Feuil2!$A$2:$M$1241,3,FALSE)," ")</f>
        <v>MAROUAN</v>
      </c>
      <c r="E1568" s="5">
        <f>IF(B1568=0,VLOOKUP(A1568,Feuil2!$A$2:$M$1241,6,FALSE)," ")</f>
        <v>33162</v>
      </c>
      <c r="F1568" s="1" t="str">
        <f>IF(B1568=0,VLOOKUP(A1568,Feuil2!$A$2:$M$1241,12,FALSE)," ")</f>
        <v>H</v>
      </c>
      <c r="G1568" s="1" t="str">
        <f>IF(B1568=0,VLOOKUP(A1568,Feuil2!$A$2:$M$1241,11,FALSE)," ")</f>
        <v>C</v>
      </c>
      <c r="H1568" s="1" t="s">
        <v>16</v>
      </c>
      <c r="I1568" s="6">
        <f>IF(B1568=0,VLOOKUP(A1568,Feuil2!$A$2:$M$1241,7,FALSE)," ")</f>
        <v>9304859</v>
      </c>
      <c r="J1568" s="1" t="str">
        <f>IF(B1568=0,VLOOKUP(A1568,Feuil2!$A$2:$M$1241,9,FALSE)," ")</f>
        <v>NULL</v>
      </c>
      <c r="K1568" s="1" t="str">
        <f>IF(B1568=0,VLOOKUP(A1568,Feuil2!$A$2:$M$1241,10,FALSE)," ")</f>
        <v>Moureddine</v>
      </c>
      <c r="L1568" s="1"/>
      <c r="M1568" s="1">
        <v>27291047</v>
      </c>
      <c r="N1568" s="1"/>
      <c r="O1568" s="8" t="str">
        <f>IF(B1568=0,VLOOKUP(A1568,Feuil2!$A$2:$M$1241,13,FALSE)," ")</f>
        <v>12064000000234476868</v>
      </c>
    </row>
    <row r="1569" spans="1:16" x14ac:dyDescent="0.3">
      <c r="A1569" s="1">
        <v>1987</v>
      </c>
      <c r="B1569" s="1">
        <v>0</v>
      </c>
      <c r="C1569" s="1" t="str">
        <f>IF(B1569=0,VLOOKUP(A1569,Feuil2!$A$2:$M$1241,2,FALSE)," ")</f>
        <v>BAYA</v>
      </c>
      <c r="D1569" s="1" t="str">
        <f>IF(B1569=0,VLOOKUP(A1569,Feuil2!$A$2:$M$1241,3,FALSE)," ")</f>
        <v>SAIFEDDINE</v>
      </c>
      <c r="E1569" s="5">
        <f>IF(B1569=0,VLOOKUP(A1569,Feuil2!$A$2:$M$1241,6,FALSE)," ")</f>
        <v>32686</v>
      </c>
      <c r="F1569" s="1" t="str">
        <f>IF(B1569=0,VLOOKUP(A1569,Feuil2!$A$2:$M$1241,12,FALSE)," ")</f>
        <v>H</v>
      </c>
      <c r="G1569" s="1" t="str">
        <f>IF(B1569=0,VLOOKUP(A1569,Feuil2!$A$2:$M$1241,11,FALSE)," ")</f>
        <v>C</v>
      </c>
      <c r="H1569" s="1" t="s">
        <v>16</v>
      </c>
      <c r="I1569" s="6">
        <f>IF(B1569=0,VLOOKUP(A1569,Feuil2!$A$2:$M$1241,7,FALSE)," ")</f>
        <v>9260794</v>
      </c>
      <c r="J1569" s="1" t="str">
        <f>IF(B1569=0,VLOOKUP(A1569,Feuil2!$A$2:$M$1241,9,FALSE)," ")</f>
        <v>467, Rue 1Juin</v>
      </c>
      <c r="K1569" s="1" t="str">
        <f>IF(B1569=0,VLOOKUP(A1569,Feuil2!$A$2:$M$1241,10,FALSE)," ")</f>
        <v>Msaken 4070</v>
      </c>
      <c r="L1569" s="1">
        <v>4070</v>
      </c>
      <c r="M1569" s="1">
        <v>52222644</v>
      </c>
      <c r="N1569" s="1"/>
      <c r="O1569" s="8" t="str">
        <f>IF(B1569=0,VLOOKUP(A1569,Feuil2!$A$2:$M$1241,13,FALSE)," ")</f>
        <v>24010029745251110133</v>
      </c>
    </row>
    <row r="1570" spans="1:16" x14ac:dyDescent="0.3">
      <c r="A1570" s="1">
        <v>1987</v>
      </c>
      <c r="B1570" s="1">
        <v>1</v>
      </c>
      <c r="C1570" s="1" t="s">
        <v>112</v>
      </c>
      <c r="D1570" s="1" t="s">
        <v>2367</v>
      </c>
      <c r="E1570" s="5">
        <v>31775</v>
      </c>
      <c r="F1570" s="1" t="s">
        <v>17</v>
      </c>
      <c r="G1570" s="1"/>
      <c r="H1570" s="1"/>
      <c r="I1570" s="6"/>
      <c r="J1570" s="1"/>
      <c r="K1570" s="1"/>
      <c r="L1570" s="1"/>
      <c r="M1570" s="1"/>
      <c r="N1570" s="1"/>
      <c r="O1570" s="8"/>
    </row>
    <row r="1571" spans="1:16" x14ac:dyDescent="0.3">
      <c r="A1571" s="1">
        <v>1989</v>
      </c>
      <c r="B1571" s="1">
        <v>0</v>
      </c>
      <c r="C1571" s="1" t="str">
        <f>IF(B1571=0,VLOOKUP(A1571,Feuil2!$A$2:$M$1241,2,FALSE)," ")</f>
        <v>MZOUGHI</v>
      </c>
      <c r="D1571" s="1" t="str">
        <f>IF(B1571=0,VLOOKUP(A1571,Feuil2!$A$2:$M$1241,3,FALSE)," ")</f>
        <v>MOHAMED</v>
      </c>
      <c r="E1571" s="5">
        <f>IF(B1571=0,VLOOKUP(A1571,Feuil2!$A$2:$M$1241,6,FALSE)," ")</f>
        <v>32196</v>
      </c>
      <c r="F1571" s="1" t="str">
        <f>IF(B1571=0,VLOOKUP(A1571,Feuil2!$A$2:$M$1241,12,FALSE)," ")</f>
        <v>H</v>
      </c>
      <c r="G1571" s="1" t="str">
        <f>IF(B1571=0,VLOOKUP(A1571,Feuil2!$A$2:$M$1241,11,FALSE)," ")</f>
        <v>M</v>
      </c>
      <c r="H1571" s="1" t="s">
        <v>16</v>
      </c>
      <c r="I1571" s="6">
        <f>IF(B1571=0,VLOOKUP(A1571,Feuil2!$A$2:$M$1241,7,FALSE)," ")</f>
        <v>9273173</v>
      </c>
      <c r="J1571" s="1" t="str">
        <f>IF(B1571=0,VLOOKUP(A1571,Feuil2!$A$2:$M$1241,9,FALSE)," ")</f>
        <v>Rue Imam Hambali</v>
      </c>
      <c r="K1571" s="1" t="str">
        <f>IF(B1571=0,VLOOKUP(A1571,Feuil2!$A$2:$M$1241,10,FALSE)," ")</f>
        <v>Messadine 4013</v>
      </c>
      <c r="L1571" s="1"/>
      <c r="M1571" s="1">
        <v>20592558</v>
      </c>
      <c r="N1571" s="1"/>
      <c r="O1571" s="8" t="str">
        <f>IF(B1571=0,VLOOKUP(A1571,Feuil2!$A$2:$M$1241,13,FALSE)," ")</f>
        <v>08507000262004027791</v>
      </c>
    </row>
    <row r="1572" spans="1:16" x14ac:dyDescent="0.3">
      <c r="A1572" s="1">
        <v>1989</v>
      </c>
      <c r="B1572" s="1">
        <v>1</v>
      </c>
      <c r="C1572" s="1" t="s">
        <v>2756</v>
      </c>
      <c r="D1572" s="1" t="s">
        <v>2757</v>
      </c>
      <c r="E1572" s="5">
        <v>33556</v>
      </c>
      <c r="F1572" s="1" t="s">
        <v>17</v>
      </c>
      <c r="G1572" s="1" t="s">
        <v>15</v>
      </c>
      <c r="H1572" s="1" t="s">
        <v>16</v>
      </c>
      <c r="I1572" s="6" t="str">
        <f>IF(B1572=0,VLOOKUP(A1572,Feuil2!$A$2:$M$1241,7,FALSE)," ")</f>
        <v xml:space="preserve"> </v>
      </c>
      <c r="J1572" s="1" t="str">
        <f>IF(B1572=0,VLOOKUP(A1572,Feuil2!$A$2:$M$1241,9,FALSE)," ")</f>
        <v xml:space="preserve"> </v>
      </c>
      <c r="K1572" s="1" t="str">
        <f>IF(B1572=0,VLOOKUP(A1572,Feuil2!$A$2:$M$1241,10,FALSE)," ")</f>
        <v xml:space="preserve"> </v>
      </c>
      <c r="L1572" s="1"/>
      <c r="M1572" s="1"/>
      <c r="N1572" s="1"/>
      <c r="O1572" s="8" t="str">
        <f>IF(B1572=0,VLOOKUP(A1572,Feuil2!$A$2:$M$1241,13,FALSE)," ")</f>
        <v xml:space="preserve"> </v>
      </c>
    </row>
    <row r="1573" spans="1:16" x14ac:dyDescent="0.3">
      <c r="A1573" s="1">
        <v>1989</v>
      </c>
      <c r="B1573" s="1">
        <v>2</v>
      </c>
      <c r="C1573" s="1" t="s">
        <v>265</v>
      </c>
      <c r="D1573" s="1" t="s">
        <v>26</v>
      </c>
      <c r="E1573" s="5">
        <v>41873</v>
      </c>
      <c r="F1573" s="1" t="s">
        <v>506</v>
      </c>
      <c r="G1573" s="1" t="str">
        <f>IF(B1573=0,VLOOKUP(A1573,Feuil2!$A$2:$M$1241,11,FALSE)," ")</f>
        <v xml:space="preserve"> </v>
      </c>
      <c r="H1573" s="1" t="s">
        <v>16</v>
      </c>
      <c r="I1573" s="6" t="str">
        <f>IF(B1573=0,VLOOKUP(A1573,Feuil2!$A$2:$M$1241,7,FALSE)," ")</f>
        <v xml:space="preserve"> </v>
      </c>
      <c r="J1573" s="1" t="str">
        <f>IF(B1573=0,VLOOKUP(A1573,Feuil2!$A$2:$M$1241,9,FALSE)," ")</f>
        <v xml:space="preserve"> </v>
      </c>
      <c r="K1573" s="1" t="str">
        <f>IF(B1573=0,VLOOKUP(A1573,Feuil2!$A$2:$M$1241,10,FALSE)," ")</f>
        <v xml:space="preserve"> </v>
      </c>
      <c r="L1573" s="1"/>
      <c r="M1573" s="1"/>
      <c r="N1573" s="1"/>
      <c r="O1573" s="8" t="str">
        <f>IF(B1573=0,VLOOKUP(A1573,Feuil2!$A$2:$M$1241,13,FALSE)," ")</f>
        <v xml:space="preserve"> </v>
      </c>
    </row>
    <row r="1574" spans="1:16" x14ac:dyDescent="0.3">
      <c r="A1574" s="1">
        <v>1989</v>
      </c>
      <c r="B1574" s="1">
        <v>3</v>
      </c>
      <c r="C1574" s="1" t="s">
        <v>265</v>
      </c>
      <c r="D1574" s="1" t="s">
        <v>61</v>
      </c>
      <c r="E1574" s="5">
        <v>42847</v>
      </c>
      <c r="F1574" s="1" t="s">
        <v>506</v>
      </c>
      <c r="G1574" s="1" t="str">
        <f>IF(B1574=0,VLOOKUP(A1574,Feuil2!$A$2:$M$1241,11,FALSE)," ")</f>
        <v xml:space="preserve"> </v>
      </c>
      <c r="H1574" s="1" t="s">
        <v>16</v>
      </c>
      <c r="I1574" s="6" t="str">
        <f>IF(B1574=0,VLOOKUP(A1574,Feuil2!$A$2:$M$1241,7,FALSE)," ")</f>
        <v xml:space="preserve"> </v>
      </c>
      <c r="J1574" s="1" t="str">
        <f>IF(B1574=0,VLOOKUP(A1574,Feuil2!$A$2:$M$1241,9,FALSE)," ")</f>
        <v xml:space="preserve"> </v>
      </c>
      <c r="K1574" s="1" t="str">
        <f>IF(B1574=0,VLOOKUP(A1574,Feuil2!$A$2:$M$1241,10,FALSE)," ")</f>
        <v xml:space="preserve"> </v>
      </c>
      <c r="L1574" s="1"/>
      <c r="M1574" s="1"/>
      <c r="N1574" s="1"/>
      <c r="O1574" s="8" t="str">
        <f>IF(B1574=0,VLOOKUP(A1574,Feuil2!$A$2:$M$1241,13,FALSE)," ")</f>
        <v xml:space="preserve"> </v>
      </c>
    </row>
    <row r="1575" spans="1:16" x14ac:dyDescent="0.3">
      <c r="A1575" s="1">
        <v>1992</v>
      </c>
      <c r="B1575" s="1">
        <v>0</v>
      </c>
      <c r="C1575" s="1" t="str">
        <f>IF(B1575=0,VLOOKUP(A1575,Feuil2!$A$2:$M$1241,2,FALSE)," ")</f>
        <v>EL ABED</v>
      </c>
      <c r="D1575" s="1" t="str">
        <f>IF(B1575=0,VLOOKUP(A1575,Feuil2!$A$2:$M$1241,3,FALSE)," ")</f>
        <v>WALID</v>
      </c>
      <c r="E1575" s="5">
        <f>IF(B1575=0,VLOOKUP(A1575,Feuil2!$A$2:$M$1241,6,FALSE)," ")</f>
        <v>29355</v>
      </c>
      <c r="F1575" s="1" t="str">
        <f>IF(B1575=0,VLOOKUP(A1575,Feuil2!$A$2:$M$1241,12,FALSE)," ")</f>
        <v>H</v>
      </c>
      <c r="G1575" s="1" t="str">
        <f>IF(B1575=0,VLOOKUP(A1575,Feuil2!$A$2:$M$1241,11,FALSE)," ")</f>
        <v>M</v>
      </c>
      <c r="H1575" s="1" t="s">
        <v>16</v>
      </c>
      <c r="I1575" s="6">
        <f>IF(B1575=0,VLOOKUP(A1575,Feuil2!$A$2:$M$1241,7,FALSE)," ")</f>
        <v>5590275</v>
      </c>
      <c r="J1575" s="1" t="str">
        <f>IF(B1575=0,VLOOKUP(A1575,Feuil2!$A$2:$M$1241,9,FALSE)," ")</f>
        <v>22, Rue 20 Mars</v>
      </c>
      <c r="K1575" s="1" t="str">
        <f>IF(B1575=0,VLOOKUP(A1575,Feuil2!$A$2:$M$1241,10,FALSE)," ")</f>
        <v>Msaken 4070</v>
      </c>
      <c r="L1575" s="1">
        <v>4070</v>
      </c>
      <c r="M1575" s="1">
        <v>26832821</v>
      </c>
      <c r="N1575" s="1"/>
      <c r="O1575" s="8" t="str">
        <f>IF(B1575=0,VLOOKUP(A1575,Feuil2!$A$2:$M$1241,13,FALSE)," ")</f>
        <v>12505000000215223766</v>
      </c>
      <c r="P1575" t="s">
        <v>2805</v>
      </c>
    </row>
    <row r="1576" spans="1:16" x14ac:dyDescent="0.3">
      <c r="A1576" s="1">
        <v>1992</v>
      </c>
      <c r="B1576" s="1">
        <v>1</v>
      </c>
      <c r="C1576" s="1" t="s">
        <v>2758</v>
      </c>
      <c r="D1576" s="1" t="s">
        <v>2714</v>
      </c>
      <c r="E1576" s="5">
        <v>31977</v>
      </c>
      <c r="F1576" s="1" t="s">
        <v>17</v>
      </c>
      <c r="G1576" s="1" t="s">
        <v>15</v>
      </c>
      <c r="H1576" s="1" t="s">
        <v>16</v>
      </c>
      <c r="I1576" s="6" t="str">
        <f>IF(B1576=0,VLOOKUP(A1576,Feuil2!$A$2:$M$1241,7,FALSE)," ")</f>
        <v xml:space="preserve"> </v>
      </c>
      <c r="J1576" s="1" t="str">
        <f>IF(B1576=0,VLOOKUP(A1576,Feuil2!$A$2:$M$1241,9,FALSE)," ")</f>
        <v xml:space="preserve"> </v>
      </c>
      <c r="K1576" s="1" t="str">
        <f>IF(B1576=0,VLOOKUP(A1576,Feuil2!$A$2:$M$1241,10,FALSE)," ")</f>
        <v xml:space="preserve"> </v>
      </c>
      <c r="L1576" s="1"/>
      <c r="M1576" s="1"/>
      <c r="N1576" s="1"/>
      <c r="O1576" s="8" t="str">
        <f>IF(B1576=0,VLOOKUP(A1576,Feuil2!$A$2:$M$1241,13,FALSE)," ")</f>
        <v xml:space="preserve"> </v>
      </c>
    </row>
    <row r="1577" spans="1:16" x14ac:dyDescent="0.3">
      <c r="A1577" s="1">
        <v>1992</v>
      </c>
      <c r="B1577" s="1">
        <v>2</v>
      </c>
      <c r="C1577" s="1" t="s">
        <v>161</v>
      </c>
      <c r="D1577" s="1" t="s">
        <v>441</v>
      </c>
      <c r="E1577" s="5">
        <v>41525</v>
      </c>
      <c r="F1577" s="1" t="s">
        <v>506</v>
      </c>
      <c r="G1577" s="1" t="str">
        <f>IF(B1577=0,VLOOKUP(A1577,Feuil2!$A$2:$M$1241,11,FALSE)," ")</f>
        <v xml:space="preserve"> </v>
      </c>
      <c r="H1577" s="1" t="s">
        <v>16</v>
      </c>
      <c r="I1577" s="6" t="str">
        <f>IF(B1577=0,VLOOKUP(A1577,Feuil2!$A$2:$M$1241,7,FALSE)," ")</f>
        <v xml:space="preserve"> </v>
      </c>
      <c r="J1577" s="1" t="str">
        <f>IF(B1577=0,VLOOKUP(A1577,Feuil2!$A$2:$M$1241,9,FALSE)," ")</f>
        <v xml:space="preserve"> </v>
      </c>
      <c r="K1577" s="1" t="str">
        <f>IF(B1577=0,VLOOKUP(A1577,Feuil2!$A$2:$M$1241,10,FALSE)," ")</f>
        <v xml:space="preserve"> </v>
      </c>
      <c r="L1577" s="1"/>
      <c r="M1577" s="1"/>
      <c r="N1577" s="1"/>
      <c r="O1577" s="8" t="str">
        <f>IF(B1577=0,VLOOKUP(A1577,Feuil2!$A$2:$M$1241,13,FALSE)," ")</f>
        <v xml:space="preserve"> </v>
      </c>
    </row>
    <row r="1578" spans="1:16" x14ac:dyDescent="0.3">
      <c r="A1578" s="1">
        <v>1992</v>
      </c>
      <c r="B1578" s="1">
        <v>3</v>
      </c>
      <c r="C1578" s="1" t="s">
        <v>161</v>
      </c>
      <c r="D1578" s="1" t="s">
        <v>2759</v>
      </c>
      <c r="E1578" s="5">
        <v>43868</v>
      </c>
      <c r="F1578" s="1" t="s">
        <v>17</v>
      </c>
      <c r="G1578" s="1" t="str">
        <f>IF(B1578=0,VLOOKUP(A1578,Feuil2!$A$2:$M$1241,11,FALSE)," ")</f>
        <v xml:space="preserve"> </v>
      </c>
      <c r="H1578" s="1" t="s">
        <v>16</v>
      </c>
      <c r="I1578" s="6" t="str">
        <f>IF(B1578=0,VLOOKUP(A1578,Feuil2!$A$2:$M$1241,7,FALSE)," ")</f>
        <v xml:space="preserve"> </v>
      </c>
      <c r="J1578" s="1" t="str">
        <f>IF(B1578=0,VLOOKUP(A1578,Feuil2!$A$2:$M$1241,9,FALSE)," ")</f>
        <v xml:space="preserve"> </v>
      </c>
      <c r="K1578" s="1" t="str">
        <f>IF(B1578=0,VLOOKUP(A1578,Feuil2!$A$2:$M$1241,10,FALSE)," ")</f>
        <v xml:space="preserve"> </v>
      </c>
      <c r="L1578" s="1"/>
      <c r="M1578" s="1"/>
      <c r="N1578" s="1"/>
      <c r="O1578" s="8" t="str">
        <f>IF(B1578=0,VLOOKUP(A1578,Feuil2!$A$2:$M$1241,13,FALSE)," ")</f>
        <v xml:space="preserve"> </v>
      </c>
    </row>
    <row r="1579" spans="1:16" x14ac:dyDescent="0.3">
      <c r="A1579" s="1">
        <v>1993</v>
      </c>
      <c r="B1579" s="1">
        <v>0</v>
      </c>
      <c r="C1579" s="1" t="str">
        <f>IF(B1579=0,VLOOKUP(A1579,Feuil2!$A$2:$M$1241,2,FALSE)," ")</f>
        <v>OUNI</v>
      </c>
      <c r="D1579" s="1" t="str">
        <f>IF(B1579=0,VLOOKUP(A1579,Feuil2!$A$2:$M$1241,3,FALSE)," ")</f>
        <v>MEHDI</v>
      </c>
      <c r="E1579" s="5">
        <f>IF(B1579=0,VLOOKUP(A1579,Feuil2!$A$2:$M$1241,6,FALSE)," ")</f>
        <v>31953</v>
      </c>
      <c r="F1579" s="1" t="str">
        <f>IF(B1579=0,VLOOKUP(A1579,Feuil2!$A$2:$M$1241,12,FALSE)," ")</f>
        <v>H</v>
      </c>
      <c r="G1579" s="1" t="str">
        <f>IF(B1579=0,VLOOKUP(A1579,Feuil2!$A$2:$M$1241,11,FALSE)," ")</f>
        <v>C</v>
      </c>
      <c r="H1579" s="1" t="s">
        <v>16</v>
      </c>
      <c r="I1579" s="6">
        <f>IF(B1579=0,VLOOKUP(A1579,Feuil2!$A$2:$M$1241,7,FALSE)," ")</f>
        <v>9250324</v>
      </c>
      <c r="J1579" s="1" t="str">
        <f>IF(B1579=0,VLOOKUP(A1579,Feuil2!$A$2:$M$1241,9,FALSE)," ")</f>
        <v>Rue 3033 Tfala CitÃ© Laouina</v>
      </c>
      <c r="K1579" s="1" t="str">
        <f>IF(B1579=0,VLOOKUP(A1579,Feuil2!$A$2:$M$1241,10,FALSE)," ")</f>
        <v>Sousse</v>
      </c>
      <c r="L1579" s="1"/>
      <c r="M1579" s="1">
        <v>24961409</v>
      </c>
      <c r="N1579" s="1"/>
      <c r="O1579" s="8" t="str">
        <f>IF(B1579=0,VLOOKUP(A1579,Feuil2!$A$2:$M$1241,13,FALSE)," ")</f>
        <v>04500043002065485137</v>
      </c>
    </row>
    <row r="1580" spans="1:16" x14ac:dyDescent="0.3">
      <c r="A1580" s="1">
        <v>1995</v>
      </c>
      <c r="B1580" s="1">
        <v>0</v>
      </c>
      <c r="C1580" s="1" t="str">
        <f>IF(B1580=0,VLOOKUP(A1580,Feuil2!$A$2:$M$1241,2,FALSE)," ")</f>
        <v>ACHECHE</v>
      </c>
      <c r="D1580" s="1" t="str">
        <f>IF(B1580=0,VLOOKUP(A1580,Feuil2!$A$2:$M$1241,3,FALSE)," ")</f>
        <v>HAMDA NACEUR</v>
      </c>
      <c r="E1580" s="5">
        <f>IF(B1580=0,VLOOKUP(A1580,Feuil2!$A$2:$M$1241,6,FALSE)," ")</f>
        <v>33537</v>
      </c>
      <c r="F1580" s="1" t="str">
        <f>IF(B1580=0,VLOOKUP(A1580,Feuil2!$A$2:$M$1241,12,FALSE)," ")</f>
        <v>H</v>
      </c>
      <c r="G1580" s="1" t="str">
        <f>IF(B1580=0,VLOOKUP(A1580,Feuil2!$A$2:$M$1241,11,FALSE)," ")</f>
        <v>C</v>
      </c>
      <c r="H1580" s="1" t="s">
        <v>16</v>
      </c>
      <c r="I1580" s="6">
        <f>IF(B1580=0,VLOOKUP(A1580,Feuil2!$A$2:$M$1241,7,FALSE)," ")</f>
        <v>9322668</v>
      </c>
      <c r="J1580" s="1" t="str">
        <f>IF(B1580=0,VLOOKUP(A1580,Feuil2!$A$2:$M$1241,9,FALSE)," ")</f>
        <v>Rue Imam Malek</v>
      </c>
      <c r="K1580" s="1" t="str">
        <f>IF(B1580=0,VLOOKUP(A1580,Feuil2!$A$2:$M$1241,10,FALSE)," ")</f>
        <v>Msaken 4070</v>
      </c>
      <c r="L1580" s="1">
        <v>4070</v>
      </c>
      <c r="M1580" s="1">
        <v>27548866</v>
      </c>
      <c r="N1580" s="1"/>
      <c r="O1580" s="8" t="str">
        <f>IF(B1580=0,VLOOKUP(A1580,Feuil2!$A$2:$M$1241,13,FALSE)," ")</f>
        <v>11020002280500878847</v>
      </c>
    </row>
    <row r="1581" spans="1:16" x14ac:dyDescent="0.3">
      <c r="A1581" s="1">
        <v>2005</v>
      </c>
      <c r="B1581" s="1">
        <v>0</v>
      </c>
      <c r="C1581" s="1" t="str">
        <f>IF(B1581=0,VLOOKUP(A1581,Feuil2!$A$2:$M$1241,2,FALSE)," ")</f>
        <v>ESSAFI</v>
      </c>
      <c r="D1581" s="1" t="str">
        <f>IF(B1581=0,VLOOKUP(A1581,Feuil2!$A$2:$M$1241,3,FALSE)," ")</f>
        <v>FEHMI</v>
      </c>
      <c r="E1581" s="5">
        <f>IF(B1581=0,VLOOKUP(A1581,Feuil2!$A$2:$M$1241,6,FALSE)," ")</f>
        <v>34275</v>
      </c>
      <c r="F1581" s="1" t="str">
        <f>IF(B1581=0,VLOOKUP(A1581,Feuil2!$A$2:$M$1241,12,FALSE)," ")</f>
        <v>H</v>
      </c>
      <c r="G1581" s="1" t="str">
        <f>IF(B1581=0,VLOOKUP(A1581,Feuil2!$A$2:$M$1241,11,FALSE)," ")</f>
        <v>C</v>
      </c>
      <c r="H1581" s="1" t="s">
        <v>16</v>
      </c>
      <c r="I1581" s="6">
        <f>IF(B1581=0,VLOOKUP(A1581,Feuil2!$A$2:$M$1241,7,FALSE)," ")</f>
        <v>9332948</v>
      </c>
      <c r="J1581" s="1" t="str">
        <f>IF(B1581=0,VLOOKUP(A1581,Feuil2!$A$2:$M$1241,9,FALSE)," ")</f>
        <v>Boujriwel</v>
      </c>
      <c r="K1581" s="1" t="str">
        <f>IF(B1581=0,VLOOKUP(A1581,Feuil2!$A$2:$M$1241,10,FALSE)," ")</f>
        <v>Msaken 4070</v>
      </c>
      <c r="L1581" s="1">
        <v>4070</v>
      </c>
      <c r="M1581" s="1">
        <v>20286892</v>
      </c>
      <c r="N1581" s="1"/>
      <c r="O1581" s="8" t="str">
        <f>IF(B1581=0,VLOOKUP(A1581,Feuil2!$A$2:$M$1241,13,FALSE)," ")</f>
        <v>12505000000221937039</v>
      </c>
    </row>
    <row r="1582" spans="1:16" x14ac:dyDescent="0.3">
      <c r="A1582" s="1">
        <v>2008</v>
      </c>
      <c r="B1582" s="1">
        <v>0</v>
      </c>
      <c r="C1582" s="1" t="str">
        <f>IF(B1582=0,VLOOKUP(A1582,Feuil2!$A$2:$M$1241,2,FALSE)," ")</f>
        <v>HAFSIA</v>
      </c>
      <c r="D1582" s="1" t="str">
        <f>IF(B1582=0,VLOOKUP(A1582,Feuil2!$A$2:$M$1241,3,FALSE)," ")</f>
        <v>ANIS</v>
      </c>
      <c r="E1582" s="5">
        <f>IF(B1582=0,VLOOKUP(A1582,Feuil2!$A$2:$M$1241,6,FALSE)," ")</f>
        <v>34185</v>
      </c>
      <c r="F1582" s="1" t="str">
        <f>IF(B1582=0,VLOOKUP(A1582,Feuil2!$A$2:$M$1241,12,FALSE)," ")</f>
        <v>H</v>
      </c>
      <c r="G1582" s="1" t="str">
        <f>IF(B1582=0,VLOOKUP(A1582,Feuil2!$A$2:$M$1241,11,FALSE)," ")</f>
        <v>C</v>
      </c>
      <c r="H1582" s="1" t="s">
        <v>16</v>
      </c>
      <c r="I1582" s="6">
        <f>IF(B1582=0,VLOOKUP(A1582,Feuil2!$A$2:$M$1241,7,FALSE)," ")</f>
        <v>9303047</v>
      </c>
      <c r="J1582" s="1" t="str">
        <f>IF(B1582=0,VLOOKUP(A1582,Feuil2!$A$2:$M$1241,9,FALSE)," ")</f>
        <v>NULL</v>
      </c>
      <c r="K1582" s="1" t="str">
        <f>IF(B1582=0,VLOOKUP(A1582,Feuil2!$A$2:$M$1241,10,FALSE)," ")</f>
        <v>Msaken 4070</v>
      </c>
      <c r="L1582" s="1">
        <v>4070</v>
      </c>
      <c r="M1582" s="1">
        <v>54841698</v>
      </c>
      <c r="N1582" s="1"/>
      <c r="O1582" s="8" t="str">
        <f>IF(B1582=0,VLOOKUP(A1582,Feuil2!$A$2:$M$1241,13,FALSE)," ")</f>
        <v>12058000000222041641</v>
      </c>
    </row>
    <row r="1583" spans="1:16" x14ac:dyDescent="0.3">
      <c r="A1583" s="1">
        <v>2013</v>
      </c>
      <c r="B1583" s="1">
        <v>0</v>
      </c>
      <c r="C1583" s="1" t="str">
        <f>IF(B1583=0,VLOOKUP(A1583,Feuil2!$A$2:$M$1241,2,FALSE)," ")</f>
        <v>BEL HADJ ALI</v>
      </c>
      <c r="D1583" s="1" t="str">
        <f>IF(B1583=0,VLOOKUP(A1583,Feuil2!$A$2:$M$1241,3,FALSE)," ")</f>
        <v>MOHAMED ALI</v>
      </c>
      <c r="E1583" s="5">
        <f>IF(B1583=0,VLOOKUP(A1583,Feuil2!$A$2:$M$1241,6,FALSE)," ")</f>
        <v>32063</v>
      </c>
      <c r="F1583" s="1" t="str">
        <f>IF(B1583=0,VLOOKUP(A1583,Feuil2!$A$2:$M$1241,12,FALSE)," ")</f>
        <v>H</v>
      </c>
      <c r="G1583" s="1" t="str">
        <f>IF(B1583=0,VLOOKUP(A1583,Feuil2!$A$2:$M$1241,11,FALSE)," ")</f>
        <v>M</v>
      </c>
      <c r="H1583" s="1" t="s">
        <v>16</v>
      </c>
      <c r="I1583" s="6">
        <f>IF(B1583=0,VLOOKUP(A1583,Feuil2!$A$2:$M$1241,7,FALSE)," ")</f>
        <v>8496106</v>
      </c>
      <c r="J1583" s="1" t="str">
        <f>IF(B1583=0,VLOOKUP(A1583,Feuil2!$A$2:$M$1241,9,FALSE)," ")</f>
        <v>Rue Makka</v>
      </c>
      <c r="K1583" s="1" t="str">
        <f>IF(B1583=0,VLOOKUP(A1583,Feuil2!$A$2:$M$1241,10,FALSE)," ")</f>
        <v>Messadine 4013</v>
      </c>
      <c r="L1583" s="1"/>
      <c r="M1583" s="1">
        <v>98793780</v>
      </c>
      <c r="N1583" s="1"/>
      <c r="O1583" s="8" t="str">
        <f>IF(B1583=0,VLOOKUP(A1583,Feuil2!$A$2:$M$1241,13,FALSE)," ")</f>
        <v>08507000262005174040</v>
      </c>
    </row>
    <row r="1584" spans="1:16" x14ac:dyDescent="0.3">
      <c r="A1584" s="1">
        <v>2013</v>
      </c>
      <c r="B1584" s="1">
        <v>1</v>
      </c>
      <c r="C1584" s="1" t="s">
        <v>2760</v>
      </c>
      <c r="D1584" s="1" t="s">
        <v>2761</v>
      </c>
      <c r="E1584" s="5">
        <v>32918</v>
      </c>
      <c r="F1584" s="1" t="s">
        <v>17</v>
      </c>
      <c r="G1584" s="1" t="s">
        <v>15</v>
      </c>
      <c r="H1584" s="1" t="s">
        <v>16</v>
      </c>
      <c r="I1584" s="6" t="str">
        <f>IF(B1584=0,VLOOKUP(A1584,Feuil2!$A$2:$M$1241,7,FALSE)," ")</f>
        <v xml:space="preserve"> </v>
      </c>
      <c r="J1584" s="1" t="str">
        <f>IF(B1584=0,VLOOKUP(A1584,Feuil2!$A$2:$M$1241,9,FALSE)," ")</f>
        <v xml:space="preserve"> </v>
      </c>
      <c r="K1584" s="1" t="str">
        <f>IF(B1584=0,VLOOKUP(A1584,Feuil2!$A$2:$M$1241,10,FALSE)," ")</f>
        <v xml:space="preserve"> </v>
      </c>
      <c r="L1584" s="1"/>
      <c r="M1584" s="1"/>
      <c r="N1584" s="1"/>
      <c r="O1584" s="8" t="str">
        <f>IF(B1584=0,VLOOKUP(A1584,Feuil2!$A$2:$M$1241,13,FALSE)," ")</f>
        <v xml:space="preserve"> </v>
      </c>
    </row>
    <row r="1585" spans="1:16" x14ac:dyDescent="0.3">
      <c r="A1585" s="1">
        <v>2013</v>
      </c>
      <c r="B1585" s="1">
        <v>2</v>
      </c>
      <c r="C1585" s="1" t="s">
        <v>799</v>
      </c>
      <c r="D1585" s="1" t="s">
        <v>2099</v>
      </c>
      <c r="E1585" s="5">
        <v>42552</v>
      </c>
      <c r="F1585" s="1" t="str">
        <f>IF(B1585=0,VLOOKUP(A1585,Feuil2!$A$2:$M$1241,12,FALSE)," ")</f>
        <v xml:space="preserve"> </v>
      </c>
      <c r="G1585" s="1" t="str">
        <f>IF(B1585=0,VLOOKUP(A1585,Feuil2!$A$2:$M$1241,11,FALSE)," ")</f>
        <v xml:space="preserve"> </v>
      </c>
      <c r="H1585" s="1" t="s">
        <v>16</v>
      </c>
      <c r="I1585" s="6" t="str">
        <f>IF(B1585=0,VLOOKUP(A1585,Feuil2!$A$2:$M$1241,7,FALSE)," ")</f>
        <v xml:space="preserve"> </v>
      </c>
      <c r="J1585" s="1" t="str">
        <f>IF(B1585=0,VLOOKUP(A1585,Feuil2!$A$2:$M$1241,9,FALSE)," ")</f>
        <v xml:space="preserve"> </v>
      </c>
      <c r="K1585" s="1" t="str">
        <f>IF(B1585=0,VLOOKUP(A1585,Feuil2!$A$2:$M$1241,10,FALSE)," ")</f>
        <v xml:space="preserve"> </v>
      </c>
      <c r="L1585" s="1"/>
      <c r="M1585" s="1"/>
      <c r="N1585" s="1"/>
      <c r="O1585" s="8" t="str">
        <f>IF(B1585=0,VLOOKUP(A1585,Feuil2!$A$2:$M$1241,13,FALSE)," ")</f>
        <v xml:space="preserve"> </v>
      </c>
    </row>
    <row r="1586" spans="1:16" x14ac:dyDescent="0.3">
      <c r="A1586" s="1">
        <v>2014</v>
      </c>
      <c r="B1586" s="1">
        <v>0</v>
      </c>
      <c r="C1586" s="1" t="str">
        <f>IF(B1586=0,VLOOKUP(A1586,Feuil2!$A$2:$M$1241,2,FALSE)," ")</f>
        <v>JARRAR</v>
      </c>
      <c r="D1586" s="1" t="str">
        <f>IF(B1586=0,VLOOKUP(A1586,Feuil2!$A$2:$M$1241,3,FALSE)," ")</f>
        <v>MEHDI</v>
      </c>
      <c r="E1586" s="5">
        <f>IF(B1586=0,VLOOKUP(A1586,Feuil2!$A$2:$M$1241,6,FALSE)," ")</f>
        <v>33756</v>
      </c>
      <c r="F1586" s="1" t="str">
        <f>IF(B1586=0,VLOOKUP(A1586,Feuil2!$A$2:$M$1241,12,FALSE)," ")</f>
        <v>H</v>
      </c>
      <c r="G1586" s="1" t="s">
        <v>15</v>
      </c>
      <c r="H1586" s="1" t="s">
        <v>16</v>
      </c>
      <c r="I1586" s="6">
        <f>IF(B1586=0,VLOOKUP(A1586,Feuil2!$A$2:$M$1241,7,FALSE)," ")</f>
        <v>9308295</v>
      </c>
      <c r="J1586" s="1" t="str">
        <f>IF(B1586=0,VLOOKUP(A1586,Feuil2!$A$2:$M$1241,9,FALSE)," ")</f>
        <v>Rue Bel Hassen</v>
      </c>
      <c r="K1586" s="1" t="str">
        <f>IF(B1586=0,VLOOKUP(A1586,Feuil2!$A$2:$M$1241,10,FALSE)," ")</f>
        <v>Msaken 4070</v>
      </c>
      <c r="L1586" s="1">
        <v>4070</v>
      </c>
      <c r="M1586" s="1">
        <v>29575475</v>
      </c>
      <c r="N1586" s="1"/>
      <c r="O1586" s="8" t="str">
        <f>IF(B1586=0,VLOOKUP(A1586,Feuil2!$A$2:$M$1241,13,FALSE)," ")</f>
        <v>24010064971251110108</v>
      </c>
    </row>
    <row r="1587" spans="1:16" x14ac:dyDescent="0.3">
      <c r="A1587" s="1">
        <v>2014</v>
      </c>
      <c r="B1587" s="1">
        <v>1</v>
      </c>
      <c r="C1587" s="1" t="s">
        <v>318</v>
      </c>
      <c r="D1587" s="1" t="s">
        <v>449</v>
      </c>
      <c r="E1587" s="5">
        <v>34337</v>
      </c>
      <c r="F1587" s="1" t="s">
        <v>17</v>
      </c>
      <c r="G1587" s="1" t="s">
        <v>15</v>
      </c>
      <c r="H1587" s="1" t="s">
        <v>16</v>
      </c>
      <c r="I1587" s="6" t="str">
        <f>IF(B1587=0,VLOOKUP(A1587,Feuil2!$A$2:$M$1241,7,FALSE)," ")</f>
        <v xml:space="preserve"> </v>
      </c>
      <c r="J1587" s="1" t="str">
        <f>IF(B1587=0,VLOOKUP(A1587,Feuil2!$A$2:$M$1241,9,FALSE)," ")</f>
        <v xml:space="preserve"> </v>
      </c>
      <c r="K1587" s="1" t="str">
        <f>IF(B1587=0,VLOOKUP(A1587,Feuil2!$A$2:$M$1241,10,FALSE)," ")</f>
        <v xml:space="preserve"> </v>
      </c>
      <c r="L1587" s="1"/>
      <c r="M1587" s="1"/>
      <c r="N1587" s="1"/>
      <c r="O1587" s="8" t="str">
        <f>IF(B1587=0,VLOOKUP(A1587,Feuil2!$A$2:$M$1241,13,FALSE)," ")</f>
        <v xml:space="preserve"> </v>
      </c>
    </row>
    <row r="1588" spans="1:16" x14ac:dyDescent="0.3">
      <c r="A1588" s="1">
        <v>2014</v>
      </c>
      <c r="B1588" s="1">
        <v>2</v>
      </c>
      <c r="C1588" s="1" t="s">
        <v>33</v>
      </c>
      <c r="D1588" s="1" t="s">
        <v>2851</v>
      </c>
      <c r="E1588" s="5">
        <v>44558</v>
      </c>
      <c r="F1588" s="1" t="s">
        <v>17</v>
      </c>
      <c r="G1588" s="1"/>
      <c r="H1588" s="1"/>
      <c r="I1588" s="6"/>
      <c r="J1588" s="1"/>
      <c r="K1588" s="1"/>
      <c r="L1588" s="1"/>
      <c r="M1588" s="1"/>
      <c r="N1588" s="1"/>
      <c r="O1588" s="8"/>
    </row>
    <row r="1589" spans="1:16" x14ac:dyDescent="0.3">
      <c r="A1589" s="1">
        <v>2022</v>
      </c>
      <c r="B1589" s="1">
        <v>0</v>
      </c>
      <c r="C1589" s="1" t="str">
        <f>IF(B1589=0,VLOOKUP(A1589,Feuil2!$A$2:$M$1241,2,FALSE)," ")</f>
        <v>BOUHLEL</v>
      </c>
      <c r="D1589" s="1" t="str">
        <f>IF(B1589=0,VLOOKUP(A1589,Feuil2!$A$2:$M$1241,3,FALSE)," ")</f>
        <v>YOUSSEF</v>
      </c>
      <c r="E1589" s="5">
        <f>IF(B1589=0,VLOOKUP(A1589,Feuil2!$A$2:$M$1241,6,FALSE)," ")</f>
        <v>34780</v>
      </c>
      <c r="F1589" s="1" t="str">
        <f>IF(B1589=0,VLOOKUP(A1589,Feuil2!$A$2:$M$1241,12,FALSE)," ")</f>
        <v>H</v>
      </c>
      <c r="G1589" s="1" t="str">
        <f>IF(B1589=0,VLOOKUP(A1589,Feuil2!$A$2:$M$1241,11,FALSE)," ")</f>
        <v>C</v>
      </c>
      <c r="H1589" s="1" t="s">
        <v>16</v>
      </c>
      <c r="I1589" s="6">
        <f>IF(B1589=0,VLOOKUP(A1589,Feuil2!$A$2:$M$1241,7,FALSE)," ")</f>
        <v>9322478</v>
      </c>
      <c r="J1589" s="1" t="str">
        <f>IF(B1589=0,VLOOKUP(A1589,Feuil2!$A$2:$M$1241,9,FALSE)," ")</f>
        <v>17, Rue des Oranges</v>
      </c>
      <c r="K1589" s="1" t="str">
        <f>IF(B1589=0,VLOOKUP(A1589,Feuil2!$A$2:$M$1241,10,FALSE)," ")</f>
        <v>Msaken 4070</v>
      </c>
      <c r="L1589" s="1">
        <v>4070</v>
      </c>
      <c r="M1589" s="1"/>
      <c r="N1589" s="1"/>
      <c r="O1589" s="8" t="str">
        <f>IF(B1589=0,VLOOKUP(A1589,Feuil2!$A$2:$M$1241,13,FALSE)," ")</f>
        <v>08507000264004969690</v>
      </c>
    </row>
    <row r="1590" spans="1:16" x14ac:dyDescent="0.3">
      <c r="A1590" s="1">
        <v>2024</v>
      </c>
      <c r="B1590" s="1">
        <v>0</v>
      </c>
      <c r="C1590" s="1" t="str">
        <f>IF(B1590=0,VLOOKUP(A1590,Feuil2!$A$2:$M$1241,2,FALSE)," ")</f>
        <v>GUEZGUEZ</v>
      </c>
      <c r="D1590" s="1" t="str">
        <f>IF(B1590=0,VLOOKUP(A1590,Feuil2!$A$2:$M$1241,3,FALSE)," ")</f>
        <v>MOHAMED</v>
      </c>
      <c r="E1590" s="5">
        <f>IF(B1590=0,VLOOKUP(A1590,Feuil2!$A$2:$M$1241,6,FALSE)," ")</f>
        <v>34472</v>
      </c>
      <c r="F1590" s="1" t="str">
        <f>IF(B1590=0,VLOOKUP(A1590,Feuil2!$A$2:$M$1241,12,FALSE)," ")</f>
        <v>H</v>
      </c>
      <c r="G1590" s="1" t="str">
        <f>IF(B1590=0,VLOOKUP(A1590,Feuil2!$A$2:$M$1241,11,FALSE)," ")</f>
        <v>C</v>
      </c>
      <c r="H1590" s="1" t="s">
        <v>16</v>
      </c>
      <c r="I1590" s="6">
        <f>IF(B1590=0,VLOOKUP(A1590,Feuil2!$A$2:$M$1241,7,FALSE)," ")</f>
        <v>9322165</v>
      </c>
      <c r="J1590" s="1" t="str">
        <f>IF(B1590=0,VLOOKUP(A1590,Feuil2!$A$2:$M$1241,9,FALSE)," ")</f>
        <v>Rue Salah Hafsa</v>
      </c>
      <c r="K1590" s="1" t="str">
        <f>IF(B1590=0,VLOOKUP(A1590,Feuil2!$A$2:$M$1241,10,FALSE)," ")</f>
        <v>Msaken 4070</v>
      </c>
      <c r="L1590" s="1">
        <v>4070</v>
      </c>
      <c r="M1590" s="1"/>
      <c r="N1590" s="1"/>
      <c r="O1590" s="8" t="str">
        <f>IF(B1590=0,VLOOKUP(A1590,Feuil2!$A$2:$M$1241,13,FALSE)," ")</f>
        <v>10506040207888078835</v>
      </c>
    </row>
    <row r="1591" spans="1:16" x14ac:dyDescent="0.3">
      <c r="A1591" s="17">
        <v>2027</v>
      </c>
      <c r="B1591" s="17">
        <v>0</v>
      </c>
      <c r="C1591" s="17" t="str">
        <f>IF(B1591=0,VLOOKUP(A1591,Feuil2!$A$2:$M$1241,2,FALSE)," ")</f>
        <v>KHELIFA</v>
      </c>
      <c r="D1591" s="17" t="str">
        <f>IF(B1591=0,VLOOKUP(A1591,Feuil2!$A$2:$M$1241,3,FALSE)," ")</f>
        <v>ABDELLATIF</v>
      </c>
      <c r="E1591" s="18">
        <f>IF(B1591=0,VLOOKUP(A1591,Feuil2!$A$2:$M$1241,6,FALSE)," ")</f>
        <v>32426</v>
      </c>
      <c r="F1591" s="17" t="str">
        <f>IF(B1591=0,VLOOKUP(A1591,Feuil2!$A$2:$M$1241,12,FALSE)," ")</f>
        <v>H</v>
      </c>
      <c r="G1591" s="17" t="s">
        <v>15</v>
      </c>
      <c r="H1591" s="17" t="s">
        <v>16</v>
      </c>
      <c r="I1591" s="19">
        <f>IF(B1591=0,VLOOKUP(A1591,Feuil2!$A$2:$M$1241,7,FALSE)," ")</f>
        <v>9263504</v>
      </c>
      <c r="J1591" s="17" t="str">
        <f>IF(B1591=0,VLOOKUP(A1591,Feuil2!$A$2:$M$1241,9,FALSE)," ")</f>
        <v>77, Rue Ettakwa</v>
      </c>
      <c r="K1591" s="17" t="str">
        <f>IF(B1591=0,VLOOKUP(A1591,Feuil2!$A$2:$M$1241,10,FALSE)," ")</f>
        <v>Msaken 4070</v>
      </c>
      <c r="L1591" s="17">
        <v>4070</v>
      </c>
      <c r="M1591" s="17">
        <v>98793781</v>
      </c>
      <c r="N1591" s="17"/>
      <c r="O1591" s="20" t="str">
        <f>IF(B1591=0,VLOOKUP(A1591,Feuil2!$A$2:$M$1241,13,FALSE)," ")</f>
        <v>07408005310559836767</v>
      </c>
    </row>
    <row r="1592" spans="1:16" x14ac:dyDescent="0.3">
      <c r="A1592" s="1">
        <v>2027</v>
      </c>
      <c r="B1592" s="1">
        <v>1</v>
      </c>
      <c r="C1592" s="1" t="s">
        <v>776</v>
      </c>
      <c r="D1592" s="1" t="s">
        <v>2517</v>
      </c>
      <c r="E1592" s="5">
        <v>33038</v>
      </c>
      <c r="F1592" s="1" t="s">
        <v>17</v>
      </c>
      <c r="G1592" s="1" t="s">
        <v>15</v>
      </c>
      <c r="H1592" s="1" t="s">
        <v>16</v>
      </c>
      <c r="I1592" s="6" t="str">
        <f>IF(B1592=0,VLOOKUP(A1592,Feuil2!$A$2:$M$1241,7,FALSE)," ")</f>
        <v xml:space="preserve"> </v>
      </c>
      <c r="J1592" s="1" t="str">
        <f>IF(B1592=0,VLOOKUP(A1592,Feuil2!$A$2:$M$1241,9,FALSE)," ")</f>
        <v xml:space="preserve"> </v>
      </c>
      <c r="K1592" s="1" t="str">
        <f>IF(B1592=0,VLOOKUP(A1592,Feuil2!$A$2:$M$1241,10,FALSE)," ")</f>
        <v xml:space="preserve"> </v>
      </c>
      <c r="L1592" s="1"/>
      <c r="M1592" s="1"/>
      <c r="N1592" s="1"/>
      <c r="O1592" s="8" t="str">
        <f>IF(B1592=0,VLOOKUP(A1592,Feuil2!$A$2:$M$1241,13,FALSE)," ")</f>
        <v xml:space="preserve"> </v>
      </c>
    </row>
    <row r="1593" spans="1:16" x14ac:dyDescent="0.3">
      <c r="A1593" s="1">
        <v>2027</v>
      </c>
      <c r="B1593" s="1">
        <v>2</v>
      </c>
      <c r="C1593" s="1" t="s">
        <v>339</v>
      </c>
      <c r="D1593" s="1" t="s">
        <v>287</v>
      </c>
      <c r="E1593" s="5">
        <v>43649</v>
      </c>
      <c r="F1593" s="1" t="s">
        <v>506</v>
      </c>
      <c r="G1593" s="1" t="str">
        <f>IF(B1593=0,VLOOKUP(A1593,Feuil2!$A$2:$M$1241,11,FALSE)," ")</f>
        <v xml:space="preserve"> </v>
      </c>
      <c r="H1593" s="1" t="s">
        <v>16</v>
      </c>
      <c r="I1593" s="6" t="str">
        <f>IF(B1593=0,VLOOKUP(A1593,Feuil2!$A$2:$M$1241,7,FALSE)," ")</f>
        <v xml:space="preserve"> </v>
      </c>
      <c r="J1593" s="1" t="str">
        <f>IF(B1593=0,VLOOKUP(A1593,Feuil2!$A$2:$M$1241,9,FALSE)," ")</f>
        <v xml:space="preserve"> </v>
      </c>
      <c r="K1593" s="1" t="str">
        <f>IF(B1593=0,VLOOKUP(A1593,Feuil2!$A$2:$M$1241,10,FALSE)," ")</f>
        <v xml:space="preserve"> </v>
      </c>
      <c r="L1593" s="1"/>
      <c r="M1593" s="1"/>
      <c r="N1593" s="1"/>
      <c r="O1593" s="8" t="str">
        <f>IF(B1593=0,VLOOKUP(A1593,Feuil2!$A$2:$M$1241,13,FALSE)," ")</f>
        <v xml:space="preserve"> </v>
      </c>
    </row>
    <row r="1594" spans="1:16" x14ac:dyDescent="0.3">
      <c r="A1594" s="17">
        <v>2038</v>
      </c>
      <c r="B1594" s="17">
        <v>0</v>
      </c>
      <c r="C1594" s="17" t="str">
        <f>IF(B1594=0,VLOOKUP(A1594,Feuil2!$A$2:$M$1241,2,FALSE)," ")</f>
        <v>ZID</v>
      </c>
      <c r="D1594" s="17" t="str">
        <f>IF(B1594=0,VLOOKUP(A1594,Feuil2!$A$2:$M$1241,3,FALSE)," ")</f>
        <v>MOHAMED</v>
      </c>
      <c r="E1594" s="18">
        <f>IF(B1594=0,VLOOKUP(A1594,Feuil2!$A$2:$M$1241,6,FALSE)," ")</f>
        <v>32512</v>
      </c>
      <c r="F1594" s="17" t="str">
        <f>IF(B1594=0,VLOOKUP(A1594,Feuil2!$A$2:$M$1241,12,FALSE)," ")</f>
        <v>H</v>
      </c>
      <c r="G1594" s="17" t="str">
        <f>IF(B1594=0,VLOOKUP(A1594,Feuil2!$A$2:$M$1241,11,FALSE)," ")</f>
        <v>C</v>
      </c>
      <c r="H1594" s="17" t="s">
        <v>16</v>
      </c>
      <c r="I1594" s="19">
        <f>IF(B1594=0,VLOOKUP(A1594,Feuil2!$A$2:$M$1241,7,FALSE)," ")</f>
        <v>9285452</v>
      </c>
      <c r="J1594" s="17" t="str">
        <f>IF(B1594=0,VLOOKUP(A1594,Feuil2!$A$2:$M$1241,9,FALSE)," ")</f>
        <v>El Bchachma Kondar</v>
      </c>
      <c r="K1594" s="17" t="str">
        <f>IF(B1594=0,VLOOKUP(A1594,Feuil2!$A$2:$M$1241,10,FALSE)," ")</f>
        <v>Sousse</v>
      </c>
      <c r="L1594" s="17"/>
      <c r="M1594" s="17">
        <v>98793789</v>
      </c>
      <c r="N1594" s="17"/>
      <c r="O1594" s="20" t="str">
        <f>IF(B1594=0,VLOOKUP(A1594,Feuil2!$A$2:$M$1241,13,FALSE)," ")</f>
        <v>08905000092005403052</v>
      </c>
    </row>
    <row r="1595" spans="1:16" x14ac:dyDescent="0.3">
      <c r="A1595" s="1">
        <v>2040</v>
      </c>
      <c r="B1595" s="1">
        <v>0</v>
      </c>
      <c r="C1595" s="1" t="str">
        <f>IF(B1595=0,VLOOKUP(A1595,Feuil2!$A$2:$M$1241,2,FALSE)," ")</f>
        <v>GHEZAL</v>
      </c>
      <c r="D1595" s="1" t="str">
        <f>IF(B1595=0,VLOOKUP(A1595,Feuil2!$A$2:$M$1241,3,FALSE)," ")</f>
        <v>YOUSSEF</v>
      </c>
      <c r="E1595" s="5">
        <f>IF(B1595=0,VLOOKUP(A1595,Feuil2!$A$2:$M$1241,6,FALSE)," ")</f>
        <v>32478</v>
      </c>
      <c r="F1595" s="1" t="str">
        <f>IF(B1595=0,VLOOKUP(A1595,Feuil2!$A$2:$M$1241,12,FALSE)," ")</f>
        <v>H</v>
      </c>
      <c r="G1595" s="1" t="s">
        <v>15</v>
      </c>
      <c r="H1595" s="1" t="s">
        <v>16</v>
      </c>
      <c r="I1595" s="6">
        <f>IF(B1595=0,VLOOKUP(A1595,Feuil2!$A$2:$M$1241,7,FALSE)," ")</f>
        <v>9280892</v>
      </c>
      <c r="J1595" s="1" t="str">
        <f>IF(B1595=0,VLOOKUP(A1595,Feuil2!$A$2:$M$1241,9,FALSE)," ")</f>
        <v>53, Rue Aziza Othmana</v>
      </c>
      <c r="K1595" s="1" t="str">
        <f>IF(B1595=0,VLOOKUP(A1595,Feuil2!$A$2:$M$1241,10,FALSE)," ")</f>
        <v>Msaken 4070</v>
      </c>
      <c r="L1595" s="1">
        <v>4070</v>
      </c>
      <c r="M1595" s="1">
        <v>98793789</v>
      </c>
      <c r="N1595" s="1"/>
      <c r="O1595" s="8" t="str">
        <f>IF(B1595=0,VLOOKUP(A1595,Feuil2!$A$2:$M$1241,13,FALSE)," ")</f>
        <v>08507000262006017067</v>
      </c>
      <c r="P1595" t="s">
        <v>2805</v>
      </c>
    </row>
    <row r="1596" spans="1:16" x14ac:dyDescent="0.3">
      <c r="A1596" s="1">
        <v>2040</v>
      </c>
      <c r="B1596" s="1">
        <v>1</v>
      </c>
      <c r="C1596" s="1" t="s">
        <v>776</v>
      </c>
      <c r="D1596" s="1" t="s">
        <v>2407</v>
      </c>
      <c r="E1596" s="5">
        <v>33464</v>
      </c>
      <c r="F1596" s="1" t="s">
        <v>17</v>
      </c>
      <c r="G1596" s="1" t="s">
        <v>15</v>
      </c>
      <c r="H1596" s="1" t="s">
        <v>16</v>
      </c>
      <c r="I1596" s="6" t="str">
        <f>IF(B1596=0,VLOOKUP(A1596,Feuil2!$A$2:$M$1241,7,FALSE)," ")</f>
        <v xml:space="preserve"> </v>
      </c>
      <c r="J1596" s="1" t="str">
        <f>IF(B1596=0,VLOOKUP(A1596,Feuil2!$A$2:$M$1241,9,FALSE)," ")</f>
        <v xml:space="preserve"> </v>
      </c>
      <c r="K1596" s="1" t="str">
        <f>IF(B1596=0,VLOOKUP(A1596,Feuil2!$A$2:$M$1241,10,FALSE)," ")</f>
        <v xml:space="preserve"> </v>
      </c>
      <c r="L1596" s="1"/>
      <c r="M1596" s="1"/>
      <c r="N1596" s="1"/>
      <c r="O1596" s="8" t="str">
        <f>IF(B1596=0,VLOOKUP(A1596,Feuil2!$A$2:$M$1241,13,FALSE)," ")</f>
        <v xml:space="preserve"> </v>
      </c>
    </row>
    <row r="1597" spans="1:16" x14ac:dyDescent="0.3">
      <c r="A1597" s="1">
        <v>2040</v>
      </c>
      <c r="B1597" s="1">
        <v>2</v>
      </c>
      <c r="C1597" s="1" t="s">
        <v>112</v>
      </c>
      <c r="D1597" s="1" t="s">
        <v>107</v>
      </c>
      <c r="E1597" s="5">
        <v>43920</v>
      </c>
      <c r="F1597" s="1" t="s">
        <v>506</v>
      </c>
      <c r="G1597" s="1" t="str">
        <f>IF(B1597=0,VLOOKUP(A1597,Feuil2!$A$2:$M$1241,11,FALSE)," ")</f>
        <v xml:space="preserve"> </v>
      </c>
      <c r="H1597" s="1" t="s">
        <v>16</v>
      </c>
      <c r="I1597" s="6" t="str">
        <f>IF(B1597=0,VLOOKUP(A1597,Feuil2!$A$2:$M$1241,7,FALSE)," ")</f>
        <v xml:space="preserve"> </v>
      </c>
      <c r="J1597" s="1" t="str">
        <f>IF(B1597=0,VLOOKUP(A1597,Feuil2!$A$2:$M$1241,9,FALSE)," ")</f>
        <v xml:space="preserve"> </v>
      </c>
      <c r="K1597" s="1" t="str">
        <f>IF(B1597=0,VLOOKUP(A1597,Feuil2!$A$2:$M$1241,10,FALSE)," ")</f>
        <v xml:space="preserve"> </v>
      </c>
      <c r="L1597" s="1"/>
      <c r="M1597" s="1"/>
      <c r="N1597" s="1"/>
      <c r="O1597" s="8" t="str">
        <f>IF(B1597=0,VLOOKUP(A1597,Feuil2!$A$2:$M$1241,13,FALSE)," ")</f>
        <v xml:space="preserve"> </v>
      </c>
    </row>
    <row r="1598" spans="1:16" x14ac:dyDescent="0.3">
      <c r="A1598" s="1">
        <v>1619</v>
      </c>
      <c r="B1598" s="1">
        <v>0</v>
      </c>
      <c r="C1598" s="1" t="str">
        <f>IF(B1598=0,VLOOKUP(A1598,Feuil2!$A$2:$M$1241,2,FALSE)," ")</f>
        <v>CHTIOUI</v>
      </c>
      <c r="D1598" s="1" t="str">
        <f>IF(B1598=0,VLOOKUP(A1598,Feuil2!$A$2:$M$1241,3,FALSE)," ")</f>
        <v>FETHI</v>
      </c>
      <c r="E1598" s="5">
        <f>IF(B1598=0,VLOOKUP(A1598,Feuil2!$A$2:$M$1241,6,FALSE)," ")</f>
        <v>25762</v>
      </c>
      <c r="F1598" s="1" t="str">
        <f>IF(B1598=0,VLOOKUP(A1598,Feuil2!$A$2:$M$1241,12,FALSE)," ")</f>
        <v>H</v>
      </c>
      <c r="G1598" s="1" t="str">
        <f>IF(B1598=0,VLOOKUP(A1598,Feuil2!$A$2:$M$1241,11,FALSE)," ")</f>
        <v>M</v>
      </c>
      <c r="H1598" s="1" t="s">
        <v>16</v>
      </c>
      <c r="I1598" s="6">
        <f>IF(B1598=0,VLOOKUP(A1598,Feuil2!$A$2:$M$1241,7,FALSE)," ")</f>
        <v>5514585</v>
      </c>
      <c r="J1598" s="1" t="str">
        <f>IF(B1598=0,VLOOKUP(A1598,Feuil2!$A$2:$M$1241,9,FALSE)," ")</f>
        <v>22,Rue des Aghlabites</v>
      </c>
      <c r="K1598" s="1" t="str">
        <f>IF(B1598=0,VLOOKUP(A1598,Feuil2!$A$2:$M$1241,10,FALSE)," ")</f>
        <v>Msaken 4070</v>
      </c>
      <c r="L1598" s="1">
        <v>4014</v>
      </c>
      <c r="M1598" s="1">
        <v>22257571</v>
      </c>
      <c r="N1598" s="1"/>
      <c r="O1598" s="8" t="str">
        <f>IF(B1598=0,VLOOKUP(A1598,Feuil2!$A$2:$M$1241,13,FALSE)," ")</f>
        <v>05048000116500463593</v>
      </c>
    </row>
    <row r="1599" spans="1:16" x14ac:dyDescent="0.3">
      <c r="A1599" s="1">
        <v>2050</v>
      </c>
      <c r="B1599" s="1">
        <v>0</v>
      </c>
      <c r="C1599" s="1" t="str">
        <f>IF(B1599=0,VLOOKUP(A1599,Feuil2!$A$2:$M$1241,2,FALSE)," ")</f>
        <v>ATTIA</v>
      </c>
      <c r="D1599" s="1" t="str">
        <f>IF(B1599=0,VLOOKUP(A1599,Feuil2!$A$2:$M$1241,3,FALSE)," ")</f>
        <v>WISSEM</v>
      </c>
      <c r="E1599" s="5">
        <f>IF(B1599=0,VLOOKUP(A1599,Feuil2!$A$2:$M$1241,6,FALSE)," ")</f>
        <v>34031</v>
      </c>
      <c r="F1599" s="1" t="str">
        <f>IF(B1599=0,VLOOKUP(A1599,Feuil2!$A$2:$M$1241,12,FALSE)," ")</f>
        <v>H</v>
      </c>
      <c r="G1599" s="1" t="str">
        <f>IF(B1599=0,VLOOKUP(A1599,Feuil2!$A$2:$M$1241,11,FALSE)," ")</f>
        <v>C</v>
      </c>
      <c r="H1599" s="1" t="s">
        <v>16</v>
      </c>
      <c r="I1599" s="6">
        <f>IF(B1599=0,VLOOKUP(A1599,Feuil2!$A$2:$M$1241,7,FALSE)," ")</f>
        <v>9307931</v>
      </c>
      <c r="J1599" s="1" t="str">
        <f>IF(B1599=0,VLOOKUP(A1599,Feuil2!$A$2:$M$1241,9,FALSE)," ")</f>
        <v>Rue Taieb Hachicha</v>
      </c>
      <c r="K1599" s="1" t="str">
        <f>IF(B1599=0,VLOOKUP(A1599,Feuil2!$A$2:$M$1241,10,FALSE)," ")</f>
        <v>Msaken 4070</v>
      </c>
      <c r="L1599" s="1">
        <v>4070</v>
      </c>
      <c r="M1599" s="1">
        <v>52751445</v>
      </c>
      <c r="N1599" s="1"/>
      <c r="O1599" s="8" t="str">
        <f>IF(B1599=0,VLOOKUP(A1599,Feuil2!$A$2:$M$1241,13,FALSE)," ")</f>
        <v>08507000262004886338</v>
      </c>
    </row>
    <row r="1600" spans="1:16" x14ac:dyDescent="0.3">
      <c r="A1600" s="1">
        <v>2051</v>
      </c>
      <c r="B1600" s="1">
        <v>0</v>
      </c>
      <c r="C1600" s="1" t="str">
        <f>IF(B1600=0,VLOOKUP(A1600,Feuil2!$A$2:$M$1241,2,FALSE)," ")</f>
        <v>SLIMENE</v>
      </c>
      <c r="D1600" s="1" t="str">
        <f>IF(B1600=0,VLOOKUP(A1600,Feuil2!$A$2:$M$1241,3,FALSE)," ")</f>
        <v>ANIS</v>
      </c>
      <c r="E1600" s="5">
        <f>IF(B1600=0,VLOOKUP(A1600,Feuil2!$A$2:$M$1241,6,FALSE)," ")</f>
        <v>32392</v>
      </c>
      <c r="F1600" s="1" t="str">
        <f>IF(B1600=0,VLOOKUP(A1600,Feuil2!$A$2:$M$1241,12,FALSE)," ")</f>
        <v>H</v>
      </c>
      <c r="G1600" s="1" t="str">
        <f>IF(B1600=0,VLOOKUP(A1600,Feuil2!$A$2:$M$1241,11,FALSE)," ")</f>
        <v>M</v>
      </c>
      <c r="H1600" s="1" t="s">
        <v>16</v>
      </c>
      <c r="I1600" s="6">
        <f>IF(B1600=0,VLOOKUP(A1600,Feuil2!$A$2:$M$1241,7,FALSE)," ")</f>
        <v>9266919</v>
      </c>
      <c r="J1600" s="1" t="str">
        <f>IF(B1600=0,VLOOKUP(A1600,Feuil2!$A$2:$M$1241,9,FALSE)," ")</f>
        <v>Beni rabiaa</v>
      </c>
      <c r="K1600" s="1" t="str">
        <f>IF(B1600=0,VLOOKUP(A1600,Feuil2!$A$2:$M$1241,10,FALSE)," ")</f>
        <v>BÃ©ni Rabiaa 4015</v>
      </c>
      <c r="L1600" s="1"/>
      <c r="M1600" s="1"/>
      <c r="N1600" s="1"/>
      <c r="O1600" s="8" t="str">
        <f>IF(B1600=0,VLOOKUP(A1600,Feuil2!$A$2:$M$1241,13,FALSE)," ")</f>
        <v>07408005310559870911</v>
      </c>
    </row>
    <row r="1601" spans="1:15" x14ac:dyDescent="0.3">
      <c r="A1601" s="1">
        <v>2051</v>
      </c>
      <c r="B1601" s="1">
        <v>1</v>
      </c>
      <c r="C1601" s="1" t="str">
        <f>IF(B1601=0,VLOOKUP(A1601,Feuil2!$A$2:$M$1241,2,FALSE)," ")</f>
        <v xml:space="preserve"> </v>
      </c>
      <c r="D1601" s="1" t="s">
        <v>2327</v>
      </c>
      <c r="E1601" s="5">
        <v>30069</v>
      </c>
      <c r="F1601" s="1" t="s">
        <v>17</v>
      </c>
      <c r="G1601" s="1" t="s">
        <v>15</v>
      </c>
      <c r="H1601" s="1" t="s">
        <v>16</v>
      </c>
      <c r="I1601" s="6" t="str">
        <f>IF(B1601=0,VLOOKUP(A1601,Feuil2!$A$2:$M$1241,7,FALSE)," ")</f>
        <v xml:space="preserve"> </v>
      </c>
      <c r="J1601" s="1" t="str">
        <f>IF(B1601=0,VLOOKUP(A1601,Feuil2!$A$2:$M$1241,9,FALSE)," ")</f>
        <v xml:space="preserve"> </v>
      </c>
      <c r="K1601" s="1" t="str">
        <f>IF(B1601=0,VLOOKUP(A1601,Feuil2!$A$2:$M$1241,10,FALSE)," ")</f>
        <v xml:space="preserve"> </v>
      </c>
      <c r="L1601" s="1"/>
      <c r="M1601" s="1"/>
      <c r="N1601" s="1"/>
      <c r="O1601" s="8" t="str">
        <f>IF(B1601=0,VLOOKUP(A1601,Feuil2!$A$2:$M$1241,13,FALSE)," ")</f>
        <v xml:space="preserve"> </v>
      </c>
    </row>
    <row r="1602" spans="1:15" x14ac:dyDescent="0.3">
      <c r="A1602" s="1">
        <v>2051</v>
      </c>
      <c r="B1602" s="1">
        <v>2</v>
      </c>
      <c r="C1602" s="1" t="s">
        <v>329</v>
      </c>
      <c r="D1602" s="1" t="s">
        <v>2695</v>
      </c>
      <c r="E1602" s="5">
        <v>42127</v>
      </c>
      <c r="F1602" s="1" t="s">
        <v>17</v>
      </c>
      <c r="G1602" s="1" t="str">
        <f>IF(B1602=0,VLOOKUP(A1602,Feuil2!$A$2:$M$1241,11,FALSE)," ")</f>
        <v xml:space="preserve"> </v>
      </c>
      <c r="H1602" s="1" t="s">
        <v>16</v>
      </c>
      <c r="I1602" s="6" t="str">
        <f>IF(B1602=0,VLOOKUP(A1602,Feuil2!$A$2:$M$1241,7,FALSE)," ")</f>
        <v xml:space="preserve"> </v>
      </c>
      <c r="J1602" s="1" t="str">
        <f>IF(B1602=0,VLOOKUP(A1602,Feuil2!$A$2:$M$1241,9,FALSE)," ")</f>
        <v xml:space="preserve"> </v>
      </c>
      <c r="K1602" s="1" t="str">
        <f>IF(B1602=0,VLOOKUP(A1602,Feuil2!$A$2:$M$1241,10,FALSE)," ")</f>
        <v xml:space="preserve"> </v>
      </c>
      <c r="L1602" s="1"/>
      <c r="M1602" s="1"/>
      <c r="N1602" s="1"/>
      <c r="O1602" s="8" t="str">
        <f>IF(B1602=0,VLOOKUP(A1602,Feuil2!$A$2:$M$1241,13,FALSE)," ")</f>
        <v xml:space="preserve"> </v>
      </c>
    </row>
    <row r="1603" spans="1:15" x14ac:dyDescent="0.3">
      <c r="A1603" s="1">
        <v>2051</v>
      </c>
      <c r="B1603" s="1">
        <v>3</v>
      </c>
      <c r="C1603" s="1" t="s">
        <v>329</v>
      </c>
      <c r="D1603" s="1" t="s">
        <v>447</v>
      </c>
      <c r="E1603" s="5">
        <v>43599</v>
      </c>
      <c r="F1603" s="1" t="s">
        <v>506</v>
      </c>
      <c r="G1603" s="1" t="str">
        <f>IF(B1603=0,VLOOKUP(A1603,Feuil2!$A$2:$M$1241,11,FALSE)," ")</f>
        <v xml:space="preserve"> </v>
      </c>
      <c r="H1603" s="1" t="s">
        <v>16</v>
      </c>
      <c r="I1603" s="6" t="str">
        <f>IF(B1603=0,VLOOKUP(A1603,Feuil2!$A$2:$M$1241,7,FALSE)," ")</f>
        <v xml:space="preserve"> </v>
      </c>
      <c r="J1603" s="1" t="str">
        <f>IF(B1603=0,VLOOKUP(A1603,Feuil2!$A$2:$M$1241,9,FALSE)," ")</f>
        <v xml:space="preserve"> </v>
      </c>
      <c r="K1603" s="1" t="str">
        <f>IF(B1603=0,VLOOKUP(A1603,Feuil2!$A$2:$M$1241,10,FALSE)," ")</f>
        <v xml:space="preserve"> </v>
      </c>
      <c r="L1603" s="1"/>
      <c r="M1603" s="1"/>
      <c r="N1603" s="1"/>
      <c r="O1603" s="8" t="str">
        <f>IF(B1603=0,VLOOKUP(A1603,Feuil2!$A$2:$M$1241,13,FALSE)," ")</f>
        <v xml:space="preserve"> </v>
      </c>
    </row>
    <row r="1604" spans="1:15" x14ac:dyDescent="0.3">
      <c r="A1604" s="1">
        <v>2053</v>
      </c>
      <c r="B1604" s="1">
        <v>0</v>
      </c>
      <c r="C1604" s="1" t="str">
        <f>IF(B1604=0,VLOOKUP(A1604,Feuil2!$A$2:$M$1241,2,FALSE)," ")</f>
        <v>SAID</v>
      </c>
      <c r="D1604" s="1" t="str">
        <f>IF(B1604=0,VLOOKUP(A1604,Feuil2!$A$2:$M$1241,3,FALSE)," ")</f>
        <v>YASSINE</v>
      </c>
      <c r="E1604" s="5">
        <f>IF(B1604=0,VLOOKUP(A1604,Feuil2!$A$2:$M$1241,6,FALSE)," ")</f>
        <v>35317</v>
      </c>
      <c r="F1604" s="1" t="str">
        <f>IF(B1604=0,VLOOKUP(A1604,Feuil2!$A$2:$M$1241,12,FALSE)," ")</f>
        <v>H</v>
      </c>
      <c r="G1604" s="1" t="str">
        <f>IF(B1604=0,VLOOKUP(A1604,Feuil2!$A$2:$M$1241,11,FALSE)," ")</f>
        <v>C</v>
      </c>
      <c r="H1604" s="1" t="s">
        <v>16</v>
      </c>
      <c r="I1604" s="6">
        <f>IF(B1604=0,VLOOKUP(A1604,Feuil2!$A$2:$M$1241,7,FALSE)," ")</f>
        <v>12806995</v>
      </c>
      <c r="J1604" s="1" t="str">
        <f>IF(B1604=0,VLOOKUP(A1604,Feuil2!$A$2:$M$1241,9,FALSE)," ")</f>
        <v>34 Route de Tunis</v>
      </c>
      <c r="K1604" s="1" t="str">
        <f>IF(B1604=0,VLOOKUP(A1604,Feuil2!$A$2:$M$1241,10,FALSE)," ")</f>
        <v>Hammam Sousse</v>
      </c>
      <c r="L1604" s="1"/>
      <c r="M1604" s="1">
        <v>26205778</v>
      </c>
      <c r="N1604" s="1"/>
      <c r="O1604" s="8" t="str">
        <f>IF(B1604=0,VLOOKUP(A1604,Feuil2!$A$2:$M$1241,13,FALSE)," ")</f>
        <v>14802802100707291179</v>
      </c>
    </row>
    <row r="1605" spans="1:15" x14ac:dyDescent="0.3">
      <c r="A1605" s="1">
        <v>2054</v>
      </c>
      <c r="B1605" s="1">
        <v>0</v>
      </c>
      <c r="C1605" s="1" t="str">
        <f>IF(B1605=0,VLOOKUP(A1605,Feuil2!$A$2:$M$1241,2,FALSE)," ")</f>
        <v>BAYA</v>
      </c>
      <c r="D1605" s="1" t="str">
        <f>IF(B1605=0,VLOOKUP(A1605,Feuil2!$A$2:$M$1241,3,FALSE)," ")</f>
        <v>HASSINE</v>
      </c>
      <c r="E1605" s="5">
        <f>IF(B1605=0,VLOOKUP(A1605,Feuil2!$A$2:$M$1241,6,FALSE)," ")</f>
        <v>33760</v>
      </c>
      <c r="F1605" s="1" t="str">
        <f>IF(B1605=0,VLOOKUP(A1605,Feuil2!$A$2:$M$1241,12,FALSE)," ")</f>
        <v>H</v>
      </c>
      <c r="G1605" s="1" t="str">
        <f>IF(B1605=0,VLOOKUP(A1605,Feuil2!$A$2:$M$1241,11,FALSE)," ")</f>
        <v>C</v>
      </c>
      <c r="H1605" s="1" t="s">
        <v>16</v>
      </c>
      <c r="I1605" s="6">
        <f>IF(B1605=0,VLOOKUP(A1605,Feuil2!$A$2:$M$1241,7,FALSE)," ")</f>
        <v>9315710</v>
      </c>
      <c r="J1605" s="1" t="str">
        <f>IF(B1605=0,VLOOKUP(A1605,Feuil2!$A$2:$M$1241,9,FALSE)," ")</f>
        <v>Rue Sidi Bel Hassen</v>
      </c>
      <c r="K1605" s="1" t="str">
        <f>IF(B1605=0,VLOOKUP(A1605,Feuil2!$A$2:$M$1241,10,FALSE)," ")</f>
        <v>Msaken 4070</v>
      </c>
      <c r="L1605" s="1">
        <v>4070</v>
      </c>
      <c r="M1605" s="1">
        <v>27088836</v>
      </c>
      <c r="N1605" s="1"/>
      <c r="O1605" s="8" t="str">
        <f>IF(B1605=0,VLOOKUP(A1605,Feuil2!$A$2:$M$1241,13,FALSE)," ")</f>
        <v>01018058111022445405</v>
      </c>
    </row>
    <row r="1606" spans="1:15" x14ac:dyDescent="0.3">
      <c r="A1606" s="1">
        <v>2059</v>
      </c>
      <c r="B1606" s="1">
        <v>0</v>
      </c>
      <c r="C1606" s="1" t="str">
        <f>IF(B1606=0,VLOOKUP(A1606,Feuil2!$A$2:$M$1241,2,FALSE)," ")</f>
        <v>LAHDHIRI</v>
      </c>
      <c r="D1606" s="1" t="str">
        <f>IF(B1606=0,VLOOKUP(A1606,Feuil2!$A$2:$M$1241,3,FALSE)," ")</f>
        <v>KACEM</v>
      </c>
      <c r="E1606" s="5">
        <f>IF(B1606=0,VLOOKUP(A1606,Feuil2!$A$2:$M$1241,6,FALSE)," ")</f>
        <v>34437</v>
      </c>
      <c r="F1606" s="1" t="str">
        <f>IF(B1606=0,VLOOKUP(A1606,Feuil2!$A$2:$M$1241,12,FALSE)," ")</f>
        <v>H</v>
      </c>
      <c r="G1606" s="1" t="str">
        <f>IF(B1606=0,VLOOKUP(A1606,Feuil2!$A$2:$M$1241,11,FALSE)," ")</f>
        <v>C</v>
      </c>
      <c r="H1606" s="1" t="s">
        <v>16</v>
      </c>
      <c r="I1606" s="6">
        <f>IF(B1606=0,VLOOKUP(A1606,Feuil2!$A$2:$M$1241,7,FALSE)," ")</f>
        <v>9344393</v>
      </c>
      <c r="J1606" s="1" t="str">
        <f>IF(B1606=0,VLOOKUP(A1606,Feuil2!$A$2:$M$1241,9,FALSE)," ")</f>
        <v>Rue Chikh Ladheri</v>
      </c>
      <c r="K1606" s="1" t="str">
        <f>IF(B1606=0,VLOOKUP(A1606,Feuil2!$A$2:$M$1241,10,FALSE)," ")</f>
        <v>Msaken 4070</v>
      </c>
      <c r="L1606" s="1">
        <v>4070</v>
      </c>
      <c r="M1606" s="1">
        <v>21394652</v>
      </c>
      <c r="N1606" s="1"/>
      <c r="O1606" s="8" t="str">
        <f>IF(B1606=0,VLOOKUP(A1606,Feuil2!$A$2:$M$1241,13,FALSE)," ")</f>
        <v>12058000013307118056</v>
      </c>
    </row>
    <row r="1607" spans="1:15" x14ac:dyDescent="0.3">
      <c r="A1607" s="1">
        <v>2065</v>
      </c>
      <c r="B1607" s="1">
        <v>0</v>
      </c>
      <c r="C1607" s="1" t="str">
        <f>IF(B1607=0,VLOOKUP(A1607,Feuil2!$A$2:$M$1241,2,FALSE)," ")</f>
        <v>CHIHAOUI</v>
      </c>
      <c r="D1607" s="1" t="str">
        <f>IF(B1607=0,VLOOKUP(A1607,Feuil2!$A$2:$M$1241,3,FALSE)," ")</f>
        <v>ALAAEDDINE</v>
      </c>
      <c r="E1607" s="5">
        <f>IF(B1607=0,VLOOKUP(A1607,Feuil2!$A$2:$M$1241,6,FALSE)," ")</f>
        <v>34574</v>
      </c>
      <c r="F1607" s="1" t="str">
        <f>IF(B1607=0,VLOOKUP(A1607,Feuil2!$A$2:$M$1241,12,FALSE)," ")</f>
        <v>H</v>
      </c>
      <c r="G1607" s="1" t="str">
        <f>IF(B1607=0,VLOOKUP(A1607,Feuil2!$A$2:$M$1241,11,FALSE)," ")</f>
        <v>C</v>
      </c>
      <c r="H1607" s="1" t="s">
        <v>16</v>
      </c>
      <c r="I1607" s="6">
        <f>IF(B1607=0,VLOOKUP(A1607,Feuil2!$A$2:$M$1241,7,FALSE)," ")</f>
        <v>12804261</v>
      </c>
      <c r="J1607" s="1" t="str">
        <f>IF(B1607=0,VLOOKUP(A1607,Feuil2!$A$2:$M$1241,9,FALSE)," ")</f>
        <v>11, Rue Essada</v>
      </c>
      <c r="K1607" s="1" t="str">
        <f>IF(B1607=0,VLOOKUP(A1607,Feuil2!$A$2:$M$1241,10,FALSE)," ")</f>
        <v>CitÃ© Ezzouhour</v>
      </c>
      <c r="L1607" s="1"/>
      <c r="M1607" s="1">
        <v>21659365</v>
      </c>
      <c r="N1607" s="1"/>
      <c r="O1607" s="8" t="str">
        <f>IF(B1607=0,VLOOKUP(A1607,Feuil2!$A$2:$M$1241,13,FALSE)," ")</f>
        <v>10506040208339278894</v>
      </c>
    </row>
    <row r="1608" spans="1:15" x14ac:dyDescent="0.3">
      <c r="A1608" s="1">
        <v>2071</v>
      </c>
      <c r="B1608" s="1">
        <v>0</v>
      </c>
      <c r="C1608" s="1" t="str">
        <f>IF(B1608=0,VLOOKUP(A1608,Feuil2!$A$2:$M$1241,2,FALSE)," ")</f>
        <v>TRIAA</v>
      </c>
      <c r="D1608" s="1" t="str">
        <f>IF(B1608=0,VLOOKUP(A1608,Feuil2!$A$2:$M$1241,3,FALSE)," ")</f>
        <v>FARES</v>
      </c>
      <c r="E1608" s="5">
        <f>IF(B1608=0,VLOOKUP(A1608,Feuil2!$A$2:$M$1241,6,FALSE)," ")</f>
        <v>33773</v>
      </c>
      <c r="F1608" s="1" t="str">
        <f>IF(B1608=0,VLOOKUP(A1608,Feuil2!$A$2:$M$1241,12,FALSE)," ")</f>
        <v>H</v>
      </c>
      <c r="G1608" s="1" t="s">
        <v>15</v>
      </c>
      <c r="H1608" s="1" t="s">
        <v>16</v>
      </c>
      <c r="I1608" s="6">
        <f>IF(B1608=0,VLOOKUP(A1608,Feuil2!$A$2:$M$1241,7,FALSE)," ")</f>
        <v>9321840</v>
      </c>
      <c r="J1608" s="1" t="str">
        <f>IF(B1608=0,VLOOKUP(A1608,Feuil2!$A$2:$M$1241,9,FALSE)," ")</f>
        <v>Rue Iran Saryach</v>
      </c>
      <c r="K1608" s="1" t="str">
        <f>IF(B1608=0,VLOOKUP(A1608,Feuil2!$A$2:$M$1241,10,FALSE)," ")</f>
        <v>Msaken 4070</v>
      </c>
      <c r="L1608" s="1">
        <v>4070</v>
      </c>
      <c r="M1608" s="1"/>
      <c r="N1608" s="1"/>
      <c r="O1608" s="8" t="str">
        <f>IF(B1608=0,VLOOKUP(A1608,Feuil2!$A$2:$M$1241,13,FALSE)," ")</f>
        <v>08507000262006685397</v>
      </c>
    </row>
    <row r="1609" spans="1:15" x14ac:dyDescent="0.3">
      <c r="A1609" s="1">
        <v>2071</v>
      </c>
      <c r="B1609" s="1">
        <v>1</v>
      </c>
      <c r="C1609" s="1" t="s">
        <v>121</v>
      </c>
      <c r="D1609" s="1" t="s">
        <v>749</v>
      </c>
      <c r="E1609" s="5">
        <v>35935</v>
      </c>
      <c r="F1609" s="1" t="s">
        <v>17</v>
      </c>
      <c r="G1609" s="1" t="s">
        <v>15</v>
      </c>
      <c r="H1609" s="1" t="s">
        <v>16</v>
      </c>
      <c r="I1609" s="6" t="str">
        <f>IF(B1609=0,VLOOKUP(A1609,Feuil2!$A$2:$M$1241,7,FALSE)," ")</f>
        <v xml:space="preserve"> </v>
      </c>
      <c r="J1609" s="1" t="str">
        <f>IF(B1609=0,VLOOKUP(A1609,Feuil2!$A$2:$M$1241,9,FALSE)," ")</f>
        <v xml:space="preserve"> </v>
      </c>
      <c r="K1609" s="1" t="str">
        <f>IF(B1609=0,VLOOKUP(A1609,Feuil2!$A$2:$M$1241,10,FALSE)," ")</f>
        <v xml:space="preserve"> </v>
      </c>
      <c r="L1609" s="1"/>
      <c r="M1609" s="1"/>
      <c r="N1609" s="1"/>
      <c r="O1609" s="8" t="str">
        <f>IF(B1609=0,VLOOKUP(A1609,Feuil2!$A$2:$M$1241,13,FALSE)," ")</f>
        <v xml:space="preserve"> </v>
      </c>
    </row>
    <row r="1610" spans="1:15" x14ac:dyDescent="0.3">
      <c r="A1610" s="17">
        <v>2073</v>
      </c>
      <c r="B1610" s="17">
        <v>0</v>
      </c>
      <c r="C1610" s="17" t="str">
        <f>IF(B1610=0,VLOOKUP(A1610,Feuil2!$A$2:$M$1241,2,FALSE)," ")</f>
        <v>LANDOLSI</v>
      </c>
      <c r="D1610" s="17" t="str">
        <f>IF(B1610=0,VLOOKUP(A1610,Feuil2!$A$2:$M$1241,3,FALSE)," ")</f>
        <v>AFEF</v>
      </c>
      <c r="E1610" s="18">
        <f>IF(B1610=0,VLOOKUP(A1610,Feuil2!$A$2:$M$1241,6,FALSE)," ")</f>
        <v>32637</v>
      </c>
      <c r="F1610" s="17" t="str">
        <f>IF(B1610=0,VLOOKUP(A1610,Feuil2!$A$2:$M$1241,12,FALSE)," ")</f>
        <v>F</v>
      </c>
      <c r="G1610" s="17" t="str">
        <f>IF(B1610=0,VLOOKUP(A1610,Feuil2!$A$2:$M$1241,11,FALSE)," ")</f>
        <v>C</v>
      </c>
      <c r="H1610" s="17" t="s">
        <v>16</v>
      </c>
      <c r="I1610" s="19">
        <f>IF(B1610=0,VLOOKUP(A1610,Feuil2!$A$2:$M$1241,7,FALSE)," ")</f>
        <v>9291772</v>
      </c>
      <c r="J1610" s="17" t="str">
        <f>IF(B1610=0,VLOOKUP(A1610,Feuil2!$A$2:$M$1241,9,FALSE)," ")</f>
        <v>Rue des Oranges</v>
      </c>
      <c r="K1610" s="17" t="str">
        <f>IF(B1610=0,VLOOKUP(A1610,Feuil2!$A$2:$M$1241,10,FALSE)," ")</f>
        <v>Msaken 4070</v>
      </c>
      <c r="L1610" s="17">
        <v>4070</v>
      </c>
      <c r="M1610" s="17">
        <v>98793813</v>
      </c>
      <c r="N1610" s="17"/>
      <c r="O1610" s="20" t="str">
        <f>IF(B1610=0,VLOOKUP(A1610,Feuil2!$A$2:$M$1241,13,FALSE)," ")</f>
        <v>14014014100704177843</v>
      </c>
    </row>
    <row r="1611" spans="1:15" x14ac:dyDescent="0.3">
      <c r="A1611" s="17">
        <v>2074</v>
      </c>
      <c r="B1611" s="17">
        <v>0</v>
      </c>
      <c r="C1611" s="17" t="str">
        <f>IF(B1611=0,VLOOKUP(A1611,Feuil2!$A$2:$M$1241,2,FALSE)," ")</f>
        <v>CHEHAIBI</v>
      </c>
      <c r="D1611" s="17" t="str">
        <f>IF(B1611=0,VLOOKUP(A1611,Feuil2!$A$2:$M$1241,3,FALSE)," ")</f>
        <v>MOHAMED</v>
      </c>
      <c r="E1611" s="18">
        <f>IF(B1611=0,VLOOKUP(A1611,Feuil2!$A$2:$M$1241,6,FALSE)," ")</f>
        <v>33248</v>
      </c>
      <c r="F1611" s="17" t="str">
        <f>IF(B1611=0,VLOOKUP(A1611,Feuil2!$A$2:$M$1241,12,FALSE)," ")</f>
        <v>H</v>
      </c>
      <c r="G1611" s="17" t="str">
        <f>IF(B1611=0,VLOOKUP(A1611,Feuil2!$A$2:$M$1241,11,FALSE)," ")</f>
        <v>C</v>
      </c>
      <c r="H1611" s="17" t="s">
        <v>16</v>
      </c>
      <c r="I1611" s="19">
        <f>IF(B1611=0,VLOOKUP(A1611,Feuil2!$A$2:$M$1241,7,FALSE)," ")</f>
        <v>7747324</v>
      </c>
      <c r="J1611" s="17" t="str">
        <f>IF(B1611=0,VLOOKUP(A1611,Feuil2!$A$2:$M$1241,9,FALSE)," ")</f>
        <v>02, Rue Oghanda</v>
      </c>
      <c r="K1611" s="17" t="str">
        <f>IF(B1611=0,VLOOKUP(A1611,Feuil2!$A$2:$M$1241,10,FALSE)," ")</f>
        <v>Kairouan</v>
      </c>
      <c r="L1611" s="17"/>
      <c r="M1611" s="17">
        <v>98793814</v>
      </c>
      <c r="N1611" s="17"/>
      <c r="O1611" s="20" t="str">
        <f>IF(B1611=0,VLOOKUP(A1611,Feuil2!$A$2:$M$1241,13,FALSE)," ")</f>
        <v>04605033003998982785</v>
      </c>
    </row>
    <row r="1612" spans="1:15" x14ac:dyDescent="0.3">
      <c r="A1612" s="1">
        <v>2084</v>
      </c>
      <c r="B1612" s="1">
        <v>0</v>
      </c>
      <c r="C1612" s="1" t="str">
        <f>IF(B1612=0,VLOOKUP(A1612,Feuil2!$A$2:$M$1241,2,FALSE)," ")</f>
        <v>HELALI</v>
      </c>
      <c r="D1612" s="1" t="str">
        <f>IF(B1612=0,VLOOKUP(A1612,Feuil2!$A$2:$M$1241,3,FALSE)," ")</f>
        <v>Emna</v>
      </c>
      <c r="E1612" s="5">
        <f>IF(B1612=0,VLOOKUP(A1612,Feuil2!$A$2:$M$1241,6,FALSE)," ")</f>
        <v>32286</v>
      </c>
      <c r="F1612" s="1" t="str">
        <f>IF(B1612=0,VLOOKUP(A1612,Feuil2!$A$2:$M$1241,12,FALSE)," ")</f>
        <v>F</v>
      </c>
      <c r="G1612" s="1" t="str">
        <f>IF(B1612=0,VLOOKUP(A1612,Feuil2!$A$2:$M$1241,11,FALSE)," ")</f>
        <v>C</v>
      </c>
      <c r="H1612" s="1" t="s">
        <v>16</v>
      </c>
      <c r="I1612" s="6">
        <f>IF(B1612=0,VLOOKUP(A1612,Feuil2!$A$2:$M$1241,7,FALSE)," ")</f>
        <v>9276085</v>
      </c>
      <c r="J1612" s="1" t="str">
        <f>IF(B1612=0,VLOOKUP(A1612,Feuil2!$A$2:$M$1241,9,FALSE)," ")</f>
        <v>Rue sidi bel Hasan</v>
      </c>
      <c r="K1612" s="1" t="str">
        <f>IF(B1612=0,VLOOKUP(A1612,Feuil2!$A$2:$M$1241,10,FALSE)," ")</f>
        <v>Msaken 4070</v>
      </c>
      <c r="L1612" s="1">
        <v>4070</v>
      </c>
      <c r="M1612" s="1">
        <v>98793839</v>
      </c>
      <c r="N1612" s="1"/>
      <c r="O1612" s="8" t="str">
        <f>IF(B1612=0,VLOOKUP(A1612,Feuil2!$A$2:$M$1241,13,FALSE)," ")</f>
        <v>12505000013309243484</v>
      </c>
    </row>
    <row r="1613" spans="1:15" x14ac:dyDescent="0.3">
      <c r="A1613" s="17">
        <v>2086</v>
      </c>
      <c r="B1613" s="17">
        <v>0</v>
      </c>
      <c r="C1613" s="17" t="str">
        <f>IF(B1613=0,VLOOKUP(A1613,Feuil2!$A$2:$M$1241,2,FALSE)," ")</f>
        <v>YASSINE</v>
      </c>
      <c r="D1613" s="17" t="str">
        <f>IF(B1613=0,VLOOKUP(A1613,Feuil2!$A$2:$M$1241,3,FALSE)," ")</f>
        <v>JADLAOUI</v>
      </c>
      <c r="E1613" s="18">
        <f>IF(B1613=0,VLOOKUP(A1613,Feuil2!$A$2:$M$1241,6,FALSE)," ")</f>
        <v>33070</v>
      </c>
      <c r="F1613" s="17" t="str">
        <f>IF(B1613=0,VLOOKUP(A1613,Feuil2!$A$2:$M$1241,12,FALSE)," ")</f>
        <v>H</v>
      </c>
      <c r="G1613" s="17" t="str">
        <f>IF(B1613=0,VLOOKUP(A1613,Feuil2!$A$2:$M$1241,11,FALSE)," ")</f>
        <v>C</v>
      </c>
      <c r="H1613" s="17" t="s">
        <v>16</v>
      </c>
      <c r="I1613" s="19">
        <f>IF(B1613=0,VLOOKUP(A1613,Feuil2!$A$2:$M$1241,7,FALSE)," ")</f>
        <v>9957604</v>
      </c>
      <c r="J1613" s="17" t="str">
        <f>IF(B1613=0,VLOOKUP(A1613,Feuil2!$A$2:$M$1241,9,FALSE)," ")</f>
        <v>RUE NOUHOUDH ALMITLAOUI</v>
      </c>
      <c r="K1613" s="17" t="str">
        <f>IF(B1613=0,VLOOKUP(A1613,Feuil2!$A$2:$M$1241,10,FALSE)," ")</f>
        <v>Gafsa</v>
      </c>
      <c r="L1613" s="17"/>
      <c r="M1613" s="17">
        <v>98793841</v>
      </c>
      <c r="N1613" s="17"/>
      <c r="O1613" s="20" t="str">
        <f>IF(B1613=0,VLOOKUP(A1613,Feuil2!$A$2:$M$1241,13,FALSE)," ")</f>
        <v>17801000000125885611</v>
      </c>
    </row>
    <row r="1614" spans="1:15" x14ac:dyDescent="0.3">
      <c r="A1614" s="1">
        <v>2090</v>
      </c>
      <c r="B1614" s="1">
        <v>0</v>
      </c>
      <c r="C1614" s="1" t="str">
        <f>IF(B1614=0,VLOOKUP(A1614,Feuil2!$A$2:$M$1241,2,FALSE)," ")</f>
        <v>WAJDI</v>
      </c>
      <c r="D1614" s="1" t="str">
        <f>IF(B1614=0,VLOOKUP(A1614,Feuil2!$A$2:$M$1241,3,FALSE)," ")</f>
        <v>HMIDA</v>
      </c>
      <c r="E1614" s="5">
        <f>IF(B1614=0,VLOOKUP(A1614,Feuil2!$A$2:$M$1241,6,FALSE)," ")</f>
        <v>34254</v>
      </c>
      <c r="F1614" s="1" t="str">
        <f>IF(B1614=0,VLOOKUP(A1614,Feuil2!$A$2:$M$1241,12,FALSE)," ")</f>
        <v>H</v>
      </c>
      <c r="G1614" s="1" t="str">
        <f>IF(B1614=0,VLOOKUP(A1614,Feuil2!$A$2:$M$1241,11,FALSE)," ")</f>
        <v>C</v>
      </c>
      <c r="H1614" s="1" t="s">
        <v>16</v>
      </c>
      <c r="I1614" s="6">
        <f>IF(B1614=0,VLOOKUP(A1614,Feuil2!$A$2:$M$1241,7,FALSE)," ")</f>
        <v>13231230</v>
      </c>
      <c r="J1614" s="1" t="str">
        <f>IF(B1614=0,VLOOKUP(A1614,Feuil2!$A$2:$M$1241,9,FALSE)," ")</f>
        <v>RUE EZDIHAR</v>
      </c>
      <c r="K1614" s="1" t="str">
        <f>IF(B1614=0,VLOOKUP(A1614,Feuil2!$A$2:$M$1241,10,FALSE)," ")</f>
        <v>NULL</v>
      </c>
      <c r="L1614" s="1"/>
      <c r="M1614" s="1">
        <v>98793844</v>
      </c>
      <c r="N1614" s="1"/>
      <c r="O1614" s="8" t="str">
        <f>IF(B1614=0,VLOOKUP(A1614,Feuil2!$A$2:$M$1241,13,FALSE)," ")</f>
        <v>08500000204008757858</v>
      </c>
    </row>
    <row r="1615" spans="1:15" x14ac:dyDescent="0.3">
      <c r="A1615" s="1">
        <v>2092</v>
      </c>
      <c r="B1615" s="1">
        <v>0</v>
      </c>
      <c r="C1615" s="1" t="str">
        <f>IF(B1615=0,VLOOKUP(A1615,Feuil2!$A$2:$M$1241,2,FALSE)," ")</f>
        <v>MOHAMED YASSINE</v>
      </c>
      <c r="D1615" s="1" t="str">
        <f>IF(B1615=0,VLOOKUP(A1615,Feuil2!$A$2:$M$1241,3,FALSE)," ")</f>
        <v>SBAII</v>
      </c>
      <c r="E1615" s="5">
        <f>IF(B1615=0,VLOOKUP(A1615,Feuil2!$A$2:$M$1241,6,FALSE)," ")</f>
        <v>34337</v>
      </c>
      <c r="F1615" s="1" t="str">
        <f>IF(B1615=0,VLOOKUP(A1615,Feuil2!$A$2:$M$1241,12,FALSE)," ")</f>
        <v>H</v>
      </c>
      <c r="G1615" s="1" t="str">
        <f>IF(B1615=0,VLOOKUP(A1615,Feuil2!$A$2:$M$1241,11,FALSE)," ")</f>
        <v>C</v>
      </c>
      <c r="H1615" s="1" t="s">
        <v>16</v>
      </c>
      <c r="I1615" s="6">
        <f>IF(B1615=0,VLOOKUP(A1615,Feuil2!$A$2:$M$1241,7,FALSE)," ")</f>
        <v>9345189</v>
      </c>
      <c r="J1615" s="1" t="str">
        <f>IF(B1615=0,VLOOKUP(A1615,Feuil2!$A$2:$M$1241,9,FALSE)," ")</f>
        <v>RUE RIBAT MSAKEN</v>
      </c>
      <c r="K1615" s="1" t="str">
        <f>IF(B1615=0,VLOOKUP(A1615,Feuil2!$A$2:$M$1241,10,FALSE)," ")</f>
        <v>Sousse</v>
      </c>
      <c r="L1615" s="1"/>
      <c r="M1615" s="1">
        <v>98793846</v>
      </c>
      <c r="N1615" s="1"/>
      <c r="O1615" s="8" t="str">
        <f>IF(B1615=0,VLOOKUP(A1615,Feuil2!$A$2:$M$1241,13,FALSE)," ")</f>
        <v>32026788101086969132</v>
      </c>
    </row>
    <row r="1616" spans="1:15" x14ac:dyDescent="0.3">
      <c r="A1616" s="1">
        <v>2096</v>
      </c>
      <c r="B1616" s="1">
        <v>0</v>
      </c>
      <c r="C1616" s="1" t="str">
        <f>IF(B1616=0,VLOOKUP(A1616,Feuil2!$A$2:$M$1241,2,FALSE)," ")</f>
        <v>GHASSEN</v>
      </c>
      <c r="D1616" s="1" t="str">
        <f>IF(B1616=0,VLOOKUP(A1616,Feuil2!$A$2:$M$1241,3,FALSE)," ")</f>
        <v>TLILI</v>
      </c>
      <c r="E1616" s="5">
        <f>IF(B1616=0,VLOOKUP(A1616,Feuil2!$A$2:$M$1241,6,FALSE)," ")</f>
        <v>34114</v>
      </c>
      <c r="F1616" s="1" t="str">
        <f>IF(B1616=0,VLOOKUP(A1616,Feuil2!$A$2:$M$1241,12,FALSE)," ")</f>
        <v>H</v>
      </c>
      <c r="G1616" s="1" t="str">
        <f>IF(B1616=0,VLOOKUP(A1616,Feuil2!$A$2:$M$1241,11,FALSE)," ")</f>
        <v>C</v>
      </c>
      <c r="H1616" s="1" t="s">
        <v>16</v>
      </c>
      <c r="I1616" s="6">
        <f>IF(B1616=0,VLOOKUP(A1616,Feuil2!$A$2:$M$1241,7,FALSE)," ")</f>
        <v>9983828</v>
      </c>
      <c r="J1616" s="1" t="str">
        <f>IF(B1616=0,VLOOKUP(A1616,Feuil2!$A$2:$M$1241,9,FALSE)," ")</f>
        <v>RUE 04-12-52 KSAR</v>
      </c>
      <c r="K1616" s="1" t="str">
        <f>IF(B1616=0,VLOOKUP(A1616,Feuil2!$A$2:$M$1241,10,FALSE)," ")</f>
        <v>Gafsa</v>
      </c>
      <c r="L1616" s="1"/>
      <c r="M1616" s="1">
        <v>98793850</v>
      </c>
      <c r="N1616" s="1"/>
      <c r="O1616" s="8" t="str">
        <f>IF(B1616=0,VLOOKUP(A1616,Feuil2!$A$2:$M$1241,13,FALSE)," ")</f>
        <v>04079164005448577605</v>
      </c>
    </row>
    <row r="1617" spans="1:15" x14ac:dyDescent="0.3">
      <c r="A1617" s="1">
        <v>2100</v>
      </c>
      <c r="B1617" s="1">
        <v>0</v>
      </c>
      <c r="C1617" s="1" t="str">
        <f>IF(B1617=0,VLOOKUP(A1617,Feuil2!$A$2:$M$1241,2,FALSE)," ")</f>
        <v>MLAYEH</v>
      </c>
      <c r="D1617" s="1" t="str">
        <f>IF(B1617=0,VLOOKUP(A1617,Feuil2!$A$2:$M$1241,3,FALSE)," ")</f>
        <v>NEZIHA</v>
      </c>
      <c r="E1617" s="5">
        <f>IF(B1617=0,VLOOKUP(A1617,Feuil2!$A$2:$M$1241,6,FALSE)," ")</f>
        <v>27289</v>
      </c>
      <c r="F1617" s="1" t="str">
        <f>IF(B1617=0,VLOOKUP(A1617,Feuil2!$A$2:$M$1241,12,FALSE)," ")</f>
        <v>F</v>
      </c>
      <c r="G1617" s="1" t="str">
        <f>IF(B1617=0,VLOOKUP(A1617,Feuil2!$A$2:$M$1241,11,FALSE)," ")</f>
        <v>M</v>
      </c>
      <c r="H1617" s="1" t="s">
        <v>16</v>
      </c>
      <c r="I1617" s="6">
        <f>IF(B1617=0,VLOOKUP(A1617,Feuil2!$A$2:$M$1241,7,FALSE)," ")</f>
        <v>5554723</v>
      </c>
      <c r="J1617" s="1" t="str">
        <f>IF(B1617=0,VLOOKUP(A1617,Feuil2!$A$2:$M$1241,9,FALSE)," ")</f>
        <v>79 RUE ELWIFAK</v>
      </c>
      <c r="K1617" s="1" t="str">
        <f>IF(B1617=0,VLOOKUP(A1617,Feuil2!$A$2:$M$1241,10,FALSE)," ")</f>
        <v>Msaken 4070</v>
      </c>
      <c r="L1617" s="1">
        <v>4070</v>
      </c>
      <c r="M1617" s="1">
        <v>93076553</v>
      </c>
      <c r="N1617" s="1"/>
      <c r="O1617" s="8" t="str">
        <f>IF(B1617=0,VLOOKUP(A1617,Feuil2!$A$2:$M$1241,13,FALSE)," ")</f>
        <v>25066000000054778950</v>
      </c>
    </row>
    <row r="1618" spans="1:15" x14ac:dyDescent="0.3">
      <c r="A1618" s="1">
        <v>2100</v>
      </c>
      <c r="B1618" s="1">
        <v>1</v>
      </c>
      <c r="C1618" s="1" t="s">
        <v>703</v>
      </c>
      <c r="D1618" s="1" t="s">
        <v>478</v>
      </c>
      <c r="E1618" s="5">
        <v>26142</v>
      </c>
      <c r="F1618" s="1" t="s">
        <v>506</v>
      </c>
      <c r="G1618" s="1" t="s">
        <v>15</v>
      </c>
      <c r="H1618" s="1" t="s">
        <v>16</v>
      </c>
      <c r="I1618" s="6" t="str">
        <f>IF(B1618=0,VLOOKUP(A1618,Feuil2!$A$2:$M$1241,7,FALSE)," ")</f>
        <v xml:space="preserve"> </v>
      </c>
      <c r="J1618" s="1" t="str">
        <f>IF(B1618=0,VLOOKUP(A1618,Feuil2!$A$2:$M$1241,9,FALSE)," ")</f>
        <v xml:space="preserve"> </v>
      </c>
      <c r="K1618" s="1" t="str">
        <f>IF(B1618=0,VLOOKUP(A1618,Feuil2!$A$2:$M$1241,10,FALSE)," ")</f>
        <v xml:space="preserve"> </v>
      </c>
      <c r="L1618" s="1"/>
      <c r="M1618" s="1"/>
      <c r="N1618" s="1"/>
      <c r="O1618" s="8" t="str">
        <f>IF(B1618=0,VLOOKUP(A1618,Feuil2!$A$2:$M$1241,13,FALSE)," ")</f>
        <v xml:space="preserve"> </v>
      </c>
    </row>
    <row r="1619" spans="1:15" x14ac:dyDescent="0.3">
      <c r="A1619" s="1">
        <v>2100</v>
      </c>
      <c r="B1619" s="1">
        <v>2</v>
      </c>
      <c r="C1619" s="1" t="s">
        <v>317</v>
      </c>
      <c r="D1619" s="1" t="s">
        <v>2383</v>
      </c>
      <c r="E1619" s="5">
        <v>37135</v>
      </c>
      <c r="F1619" s="1" t="s">
        <v>17</v>
      </c>
      <c r="G1619" s="1" t="str">
        <f>IF(B1619=0,VLOOKUP(A1619,Feuil2!$A$2:$M$1241,11,FALSE)," ")</f>
        <v xml:space="preserve"> </v>
      </c>
      <c r="H1619" s="1" t="s">
        <v>16</v>
      </c>
      <c r="I1619" s="6" t="str">
        <f>IF(B1619=0,VLOOKUP(A1619,Feuil2!$A$2:$M$1241,7,FALSE)," ")</f>
        <v xml:space="preserve"> </v>
      </c>
      <c r="J1619" s="1" t="str">
        <f>IF(B1619=0,VLOOKUP(A1619,Feuil2!$A$2:$M$1241,9,FALSE)," ")</f>
        <v xml:space="preserve"> </v>
      </c>
      <c r="K1619" s="1" t="str">
        <f>IF(B1619=0,VLOOKUP(A1619,Feuil2!$A$2:$M$1241,10,FALSE)," ")</f>
        <v xml:space="preserve"> </v>
      </c>
      <c r="L1619" s="1"/>
      <c r="M1619" s="1"/>
      <c r="N1619" s="1"/>
      <c r="O1619" s="8" t="str">
        <f>IF(B1619=0,VLOOKUP(A1619,Feuil2!$A$2:$M$1241,13,FALSE)," ")</f>
        <v xml:space="preserve"> </v>
      </c>
    </row>
    <row r="1620" spans="1:15" x14ac:dyDescent="0.3">
      <c r="A1620" s="1">
        <v>2100</v>
      </c>
      <c r="B1620" s="1">
        <v>3</v>
      </c>
      <c r="C1620" s="1" t="s">
        <v>317</v>
      </c>
      <c r="D1620" s="5" t="s">
        <v>441</v>
      </c>
      <c r="E1620" s="5">
        <v>37829</v>
      </c>
      <c r="F1620" s="1" t="s">
        <v>506</v>
      </c>
      <c r="G1620" s="1" t="str">
        <f>IF(B1620=0,VLOOKUP(A1620,Feuil2!$A$2:$M$1241,11,FALSE)," ")</f>
        <v xml:space="preserve"> </v>
      </c>
      <c r="H1620" s="1" t="s">
        <v>16</v>
      </c>
      <c r="I1620" s="6" t="str">
        <f>IF(B1620=0,VLOOKUP(A1620,Feuil2!$A$2:$M$1241,7,FALSE)," ")</f>
        <v xml:space="preserve"> </v>
      </c>
      <c r="J1620" s="1" t="str">
        <f>IF(B1620=0,VLOOKUP(A1620,Feuil2!$A$2:$M$1241,9,FALSE)," ")</f>
        <v xml:space="preserve"> </v>
      </c>
      <c r="K1620" s="1" t="str">
        <f>IF(B1620=0,VLOOKUP(A1620,Feuil2!$A$2:$M$1241,10,FALSE)," ")</f>
        <v xml:space="preserve"> </v>
      </c>
      <c r="L1620" s="1"/>
      <c r="M1620" s="1"/>
      <c r="N1620" s="1"/>
      <c r="O1620" s="8" t="str">
        <f>IF(B1620=0,VLOOKUP(A1620,Feuil2!$A$2:$M$1241,13,FALSE)," ")</f>
        <v xml:space="preserve"> </v>
      </c>
    </row>
    <row r="1621" spans="1:15" x14ac:dyDescent="0.3">
      <c r="A1621" s="1">
        <v>2100</v>
      </c>
      <c r="B1621" s="1">
        <v>4</v>
      </c>
      <c r="C1621" s="1" t="s">
        <v>317</v>
      </c>
      <c r="D1621" s="1" t="s">
        <v>2641</v>
      </c>
      <c r="E1621" s="5">
        <v>39338</v>
      </c>
      <c r="F1621" s="1" t="s">
        <v>17</v>
      </c>
      <c r="G1621" s="1" t="str">
        <f>IF(B1621=0,VLOOKUP(A1621,Feuil2!$A$2:$M$1241,11,FALSE)," ")</f>
        <v xml:space="preserve"> </v>
      </c>
      <c r="H1621" s="1" t="s">
        <v>16</v>
      </c>
      <c r="I1621" s="6" t="str">
        <f>IF(B1621=0,VLOOKUP(A1621,Feuil2!$A$2:$M$1241,7,FALSE)," ")</f>
        <v xml:space="preserve"> </v>
      </c>
      <c r="J1621" s="1" t="str">
        <f>IF(B1621=0,VLOOKUP(A1621,Feuil2!$A$2:$M$1241,9,FALSE)," ")</f>
        <v xml:space="preserve"> </v>
      </c>
      <c r="K1621" s="1" t="str">
        <f>IF(B1621=0,VLOOKUP(A1621,Feuil2!$A$2:$M$1241,10,FALSE)," ")</f>
        <v xml:space="preserve"> </v>
      </c>
      <c r="L1621" s="1"/>
      <c r="M1621" s="1"/>
      <c r="N1621" s="1"/>
      <c r="O1621" s="8" t="str">
        <f>IF(B1621=0,VLOOKUP(A1621,Feuil2!$A$2:$M$1241,13,FALSE)," ")</f>
        <v xml:space="preserve"> </v>
      </c>
    </row>
    <row r="1622" spans="1:15" x14ac:dyDescent="0.3">
      <c r="A1622" s="17">
        <v>2101</v>
      </c>
      <c r="B1622" s="17">
        <v>0</v>
      </c>
      <c r="C1622" s="17" t="str">
        <f>IF(B1622=0,VLOOKUP(A1622,Feuil2!$A$2:$M$1241,2,FALSE)," ")</f>
        <v>KORTAS</v>
      </c>
      <c r="D1622" s="17" t="str">
        <f>IF(B1622=0,VLOOKUP(A1622,Feuil2!$A$2:$M$1241,3,FALSE)," ")</f>
        <v>SAWSSEN</v>
      </c>
      <c r="E1622" s="18">
        <f>IF(B1622=0,VLOOKUP(A1622,Feuil2!$A$2:$M$1241,6,FALSE)," ")</f>
        <v>34104</v>
      </c>
      <c r="F1622" s="17" t="str">
        <f>IF(B1622=0,VLOOKUP(A1622,Feuil2!$A$2:$M$1241,12,FALSE)," ")</f>
        <v>F</v>
      </c>
      <c r="G1622" s="17" t="str">
        <f>IF(B1622=0,VLOOKUP(A1622,Feuil2!$A$2:$M$1241,11,FALSE)," ")</f>
        <v>C</v>
      </c>
      <c r="H1622" s="17" t="s">
        <v>16</v>
      </c>
      <c r="I1622" s="19">
        <f>IF(B1622=0,VLOOKUP(A1622,Feuil2!$A$2:$M$1241,7,FALSE)," ")</f>
        <v>9335387</v>
      </c>
      <c r="J1622" s="17" t="str">
        <f>IF(B1622=0,VLOOKUP(A1622,Feuil2!$A$2:$M$1241,9,FALSE)," ")</f>
        <v>RUE ELMANDRA</v>
      </c>
      <c r="K1622" s="17" t="str">
        <f>IF(B1622=0,VLOOKUP(A1622,Feuil2!$A$2:$M$1241,10,FALSE)," ")</f>
        <v>Akouda</v>
      </c>
      <c r="L1622" s="17"/>
      <c r="M1622" s="17">
        <v>98793854</v>
      </c>
      <c r="N1622" s="17"/>
      <c r="O1622" s="20" t="str">
        <f>IF(B1622=0,VLOOKUP(A1622,Feuil2!$A$2:$M$1241,13,FALSE)," ")</f>
        <v>17503000000238933606</v>
      </c>
    </row>
    <row r="1623" spans="1:15" x14ac:dyDescent="0.3">
      <c r="A1623" s="1">
        <v>2102</v>
      </c>
      <c r="B1623" s="1">
        <v>0</v>
      </c>
      <c r="C1623" s="1" t="str">
        <f>IF(B1623=0,VLOOKUP(A1623,Feuil2!$A$2:$M$1241,2,FALSE)," ")</f>
        <v>BENAMER</v>
      </c>
      <c r="D1623" s="1" t="str">
        <f>IF(B1623=0,VLOOKUP(A1623,Feuil2!$A$2:$M$1241,3,FALSE)," ")</f>
        <v>MARWA</v>
      </c>
      <c r="E1623" s="5">
        <f>IF(B1623=0,VLOOKUP(A1623,Feuil2!$A$2:$M$1241,6,FALSE)," ")</f>
        <v>33241</v>
      </c>
      <c r="F1623" s="1" t="str">
        <f>IF(B1623=0,VLOOKUP(A1623,Feuil2!$A$2:$M$1241,12,FALSE)," ")</f>
        <v>F</v>
      </c>
      <c r="G1623" s="1" t="s">
        <v>15</v>
      </c>
      <c r="H1623" s="1" t="s">
        <v>16</v>
      </c>
      <c r="I1623" s="6">
        <f>IF(B1623=0,VLOOKUP(A1623,Feuil2!$A$2:$M$1241,7,FALSE)," ")</f>
        <v>9906502</v>
      </c>
      <c r="J1623" s="1" t="str">
        <f>IF(B1623=0,VLOOKUP(A1623,Feuil2!$A$2:$M$1241,9,FALSE)," ")</f>
        <v>03 RUE AL ONS</v>
      </c>
      <c r="K1623" s="1" t="str">
        <f>IF(B1623=0,VLOOKUP(A1623,Feuil2!$A$2:$M$1241,10,FALSE)," ")</f>
        <v>NULL</v>
      </c>
      <c r="L1623" s="1"/>
      <c r="M1623" s="1">
        <v>98793827</v>
      </c>
      <c r="N1623" s="1"/>
      <c r="O1623" s="8" t="str">
        <f>IF(B1623=0,VLOOKUP(A1623,Feuil2!$A$2:$M$1241,13,FALSE)," ")</f>
        <v>17206000000127743358</v>
      </c>
    </row>
    <row r="1624" spans="1:15" x14ac:dyDescent="0.3">
      <c r="A1624" s="1">
        <v>2102</v>
      </c>
      <c r="B1624" s="1">
        <v>1</v>
      </c>
      <c r="C1624" s="1" t="s">
        <v>2798</v>
      </c>
      <c r="D1624" s="1" t="s">
        <v>435</v>
      </c>
      <c r="E1624" s="5">
        <v>31949</v>
      </c>
      <c r="F1624" s="1" t="s">
        <v>506</v>
      </c>
      <c r="G1624" s="1" t="s">
        <v>15</v>
      </c>
      <c r="H1624" s="1" t="s">
        <v>16</v>
      </c>
      <c r="I1624" s="6" t="str">
        <f>IF(B1624=0,VLOOKUP(A1624,Feuil2!$A$2:$M$1241,7,FALSE)," ")</f>
        <v xml:space="preserve"> </v>
      </c>
      <c r="J1624" s="1" t="str">
        <f>IF(B1624=0,VLOOKUP(A1624,Feuil2!$A$2:$M$1241,9,FALSE)," ")</f>
        <v xml:space="preserve"> </v>
      </c>
      <c r="K1624" s="1" t="str">
        <f>IF(B1624=0,VLOOKUP(A1624,Feuil2!$A$2:$M$1241,10,FALSE)," ")</f>
        <v xml:space="preserve"> </v>
      </c>
      <c r="L1624" s="1"/>
      <c r="M1624" s="1"/>
      <c r="N1624" s="1"/>
      <c r="O1624" s="8" t="str">
        <f>IF(B1624=0,VLOOKUP(A1624,Feuil2!$A$2:$M$1241,13,FALSE)," ")</f>
        <v xml:space="preserve"> </v>
      </c>
    </row>
    <row r="1625" spans="1:15" x14ac:dyDescent="0.3">
      <c r="A1625" s="1">
        <v>2102</v>
      </c>
      <c r="B1625" s="1">
        <v>2</v>
      </c>
      <c r="C1625" s="1" t="s">
        <v>2798</v>
      </c>
      <c r="D1625" s="1" t="s">
        <v>2799</v>
      </c>
      <c r="E1625" s="5">
        <v>44113</v>
      </c>
      <c r="F1625" s="1" t="s">
        <v>17</v>
      </c>
      <c r="G1625" s="1"/>
      <c r="H1625" s="1"/>
      <c r="I1625" s="6"/>
      <c r="J1625" s="1"/>
      <c r="K1625" s="1"/>
      <c r="L1625" s="1"/>
      <c r="M1625" s="1"/>
      <c r="N1625" s="1"/>
      <c r="O1625" s="8"/>
    </row>
    <row r="1626" spans="1:15" x14ac:dyDescent="0.3">
      <c r="A1626" s="1">
        <v>2109</v>
      </c>
      <c r="B1626" s="1">
        <v>0</v>
      </c>
      <c r="C1626" s="1" t="str">
        <f>IF(B1626=0,VLOOKUP(A1626,Feuil2!$A$2:$M$1241,2,FALSE)," ")</f>
        <v>MANSOURI</v>
      </c>
      <c r="D1626" s="1" t="str">
        <f>IF(B1626=0,VLOOKUP(A1626,Feuil2!$A$2:$M$1241,3,FALSE)," ")</f>
        <v>TAKOUA</v>
      </c>
      <c r="E1626" s="5">
        <f>IF(B1626=0,VLOOKUP(A1626,Feuil2!$A$2:$M$1241,6,FALSE)," ")</f>
        <v>33829</v>
      </c>
      <c r="F1626" s="1" t="str">
        <f>IF(B1626=0,VLOOKUP(A1626,Feuil2!$A$2:$M$1241,12,FALSE)," ")</f>
        <v>F</v>
      </c>
      <c r="G1626" s="1" t="str">
        <f>IF(B1626=0,VLOOKUP(A1626,Feuil2!$A$2:$M$1241,11,FALSE)," ")</f>
        <v>C</v>
      </c>
      <c r="H1626" s="1" t="s">
        <v>16</v>
      </c>
      <c r="I1626" s="6">
        <f>IF(B1626=0,VLOOKUP(A1626,Feuil2!$A$2:$M$1241,7,FALSE)," ")</f>
        <v>9315355</v>
      </c>
      <c r="J1626" s="1" t="str">
        <f>IF(B1626=0,VLOOKUP(A1626,Feuil2!$A$2:$M$1241,9,FALSE)," ")</f>
        <v>279 Rue 5112 citÃ© Erriadh</v>
      </c>
      <c r="K1626" s="1" t="str">
        <f>IF(B1626=0,VLOOKUP(A1626,Feuil2!$A$2:$M$1241,10,FALSE)," ")</f>
        <v>Sousse</v>
      </c>
      <c r="L1626" s="1"/>
      <c r="M1626" s="1">
        <v>98793830</v>
      </c>
      <c r="N1626" s="1"/>
      <c r="O1626" s="8" t="str">
        <f>IF(B1626=0,VLOOKUP(A1626,Feuil2!$A$2:$M$1241,13,FALSE)," ")</f>
        <v>17503000000174702728</v>
      </c>
    </row>
    <row r="1627" spans="1:15" x14ac:dyDescent="0.3">
      <c r="A1627" s="1">
        <v>2115</v>
      </c>
      <c r="B1627" s="1">
        <v>0</v>
      </c>
      <c r="C1627" s="1" t="str">
        <f>IF(B1627=0,VLOOKUP(A1627,Feuil2!$A$2:$M$1241,2,FALSE)," ")</f>
        <v>BAATI</v>
      </c>
      <c r="D1627" s="1" t="str">
        <f>IF(B1627=0,VLOOKUP(A1627,Feuil2!$A$2:$M$1241,3,FALSE)," ")</f>
        <v>OTHMAN</v>
      </c>
      <c r="E1627" s="5">
        <f>IF(B1627=0,VLOOKUP(A1627,Feuil2!$A$2:$M$1241,6,FALSE)," ")</f>
        <v>33823</v>
      </c>
      <c r="F1627" s="1" t="str">
        <f>IF(B1627=0,VLOOKUP(A1627,Feuil2!$A$2:$M$1241,12,FALSE)," ")</f>
        <v>H</v>
      </c>
      <c r="G1627" s="1" t="str">
        <f>IF(B1627=0,VLOOKUP(A1627,Feuil2!$A$2:$M$1241,11,FALSE)," ")</f>
        <v>C</v>
      </c>
      <c r="H1627" s="1" t="s">
        <v>16</v>
      </c>
      <c r="I1627" s="6">
        <f>IF(B1627=0,VLOOKUP(A1627,Feuil2!$A$2:$M$1241,7,FALSE)," ")</f>
        <v>11018279</v>
      </c>
      <c r="J1627" s="1" t="str">
        <f>IF(B1627=0,VLOOKUP(A1627,Feuil2!$A$2:$M$1241,9,FALSE)," ")</f>
        <v>Route  Al Ain km 1, Sfax</v>
      </c>
      <c r="K1627" s="1" t="str">
        <f>IF(B1627=0,VLOOKUP(A1627,Feuil2!$A$2:$M$1241,10,FALSE)," ")</f>
        <v>NULL</v>
      </c>
      <c r="L1627" s="1"/>
      <c r="M1627" s="1">
        <v>98793836</v>
      </c>
      <c r="N1627" s="1"/>
      <c r="O1627" s="8" t="str">
        <f>IF(B1627=0,VLOOKUP(A1627,Feuil2!$A$2:$M$1241,13,FALSE)," ")</f>
        <v>08705000412012882006</v>
      </c>
    </row>
    <row r="1628" spans="1:15" x14ac:dyDescent="0.3">
      <c r="A1628" s="1">
        <v>2118</v>
      </c>
      <c r="B1628" s="1">
        <v>0</v>
      </c>
      <c r="C1628" s="1" t="str">
        <f>IF(B1628=0,VLOOKUP(A1628,Feuil2!$A$2:$M$1241,2,FALSE)," ")</f>
        <v>HAMZA</v>
      </c>
      <c r="D1628" s="1" t="str">
        <f>IF(B1628=0,VLOOKUP(A1628,Feuil2!$A$2:$M$1241,3,FALSE)," ")</f>
        <v>HAMILA</v>
      </c>
      <c r="E1628" s="5">
        <f>IF(B1628=0,VLOOKUP(A1628,Feuil2!$A$2:$M$1241,6,FALSE)," ")</f>
        <v>34370</v>
      </c>
      <c r="F1628" s="1" t="str">
        <f>IF(B1628=0,VLOOKUP(A1628,Feuil2!$A$2:$M$1241,12,FALSE)," ")</f>
        <v>H</v>
      </c>
      <c r="G1628" s="1" t="str">
        <f>IF(B1628=0,VLOOKUP(A1628,Feuil2!$A$2:$M$1241,11,FALSE)," ")</f>
        <v>C</v>
      </c>
      <c r="H1628" s="1" t="s">
        <v>16</v>
      </c>
      <c r="I1628" s="6">
        <f>IF(B1628=0,VLOOKUP(A1628,Feuil2!$A$2:$M$1241,7,FALSE)," ")</f>
        <v>9315895</v>
      </c>
      <c r="J1628" s="1" t="str">
        <f>IF(B1628=0,VLOOKUP(A1628,Feuil2!$A$2:$M$1241,9,FALSE)," ")</f>
        <v>54 rue alwaha</v>
      </c>
      <c r="K1628" s="1" t="str">
        <f>IF(B1628=0,VLOOKUP(A1628,Feuil2!$A$2:$M$1241,10,FALSE)," ")</f>
        <v>Msaken 4070</v>
      </c>
      <c r="L1628" s="1">
        <v>4070</v>
      </c>
      <c r="M1628" s="1">
        <v>28009745</v>
      </c>
      <c r="N1628" s="1"/>
      <c r="O1628" s="8" t="str">
        <f>IF(B1628=0,VLOOKUP(A1628,Feuil2!$A$2:$M$1241,13,FALSE)," ")</f>
        <v>05048000116500453893</v>
      </c>
    </row>
    <row r="1629" spans="1:15" x14ac:dyDescent="0.3">
      <c r="A1629" s="1">
        <v>2120</v>
      </c>
      <c r="B1629" s="1">
        <v>0</v>
      </c>
      <c r="C1629" s="1" t="str">
        <f>IF(B1629=0,VLOOKUP(A1629,Feuil2!$A$2:$M$1241,2,FALSE)," ")</f>
        <v>OMOR</v>
      </c>
      <c r="D1629" s="1" t="str">
        <f>IF(B1629=0,VLOOKUP(A1629,Feuil2!$A$2:$M$1241,3,FALSE)," ")</f>
        <v>BEN AHMED</v>
      </c>
      <c r="E1629" s="5">
        <f>IF(B1629=0,VLOOKUP(A1629,Feuil2!$A$2:$M$1241,6,FALSE)," ")</f>
        <v>35427</v>
      </c>
      <c r="F1629" s="1" t="s">
        <v>506</v>
      </c>
      <c r="G1629" s="1" t="s">
        <v>16</v>
      </c>
      <c r="H1629" s="1" t="s">
        <v>16</v>
      </c>
      <c r="I1629" s="6">
        <f>IF(B1629=0,VLOOKUP(A1629,Feuil2!$A$2:$M$1241,7,FALSE)," ")</f>
        <v>6988354</v>
      </c>
      <c r="J1629" s="1" t="str">
        <f>IF(B1629=0,VLOOKUP(A1629,Feuil2!$A$2:$M$1241,9,FALSE)," ")</f>
        <v>NULL</v>
      </c>
      <c r="K1629" s="1" t="str">
        <f>IF(B1629=0,VLOOKUP(A1629,Feuil2!$A$2:$M$1241,10,FALSE)," ")</f>
        <v>NULL</v>
      </c>
      <c r="L1629" s="1"/>
      <c r="M1629" s="1">
        <v>52019638</v>
      </c>
      <c r="N1629" s="1"/>
      <c r="O1629" s="8" t="str">
        <f>IF(B1629=0,VLOOKUP(A1629,Feuil2!$A$2:$M$1241,13,FALSE)," ")</f>
        <v>04505037005612605559</v>
      </c>
    </row>
    <row r="1630" spans="1:15" x14ac:dyDescent="0.3">
      <c r="A1630" s="1">
        <v>2123</v>
      </c>
      <c r="B1630" s="1">
        <v>0</v>
      </c>
      <c r="C1630" s="1" t="str">
        <f>IF(B1630=0,VLOOKUP(A1630,Feuil2!$A$2:$M$1241,2,FALSE)," ")</f>
        <v>HICHEM</v>
      </c>
      <c r="D1630" s="1" t="str">
        <f>IF(B1630=0,VLOOKUP(A1630,Feuil2!$A$2:$M$1241,3,FALSE)," ")</f>
        <v>AFRIT</v>
      </c>
      <c r="E1630" s="5">
        <f>IF(B1630=0,VLOOKUP(A1630,Feuil2!$A$2:$M$1241,6,FALSE)," ")</f>
        <v>35005</v>
      </c>
      <c r="F1630" s="1" t="str">
        <f>IF(B1630=0,VLOOKUP(A1630,Feuil2!$A$2:$M$1241,12,FALSE)," ")</f>
        <v>H</v>
      </c>
      <c r="G1630" s="1" t="str">
        <f>IF(B1630=0,VLOOKUP(A1630,Feuil2!$A$2:$M$1241,11,FALSE)," ")</f>
        <v>C</v>
      </c>
      <c r="H1630" s="1" t="s">
        <v>16</v>
      </c>
      <c r="I1630" s="6">
        <f>IF(B1630=0,VLOOKUP(A1630,Feuil2!$A$2:$M$1241,7,FALSE)," ")</f>
        <v>12809673</v>
      </c>
      <c r="J1630" s="1" t="str">
        <f>IF(B1630=0,VLOOKUP(A1630,Feuil2!$A$2:$M$1241,9,FALSE)," ")</f>
        <v>RUE SIDI AABAR</v>
      </c>
      <c r="K1630" s="1" t="str">
        <f>IF(B1630=0,VLOOKUP(A1630,Feuil2!$A$2:$M$1241,10,FALSE)," ")</f>
        <v>Msaken 4070</v>
      </c>
      <c r="L1630" s="1">
        <v>4070</v>
      </c>
      <c r="M1630" s="1">
        <v>29007637</v>
      </c>
      <c r="N1630" s="1"/>
      <c r="O1630" s="8" t="str">
        <f>IF(B1630=0,VLOOKUP(A1630,Feuil2!$A$2:$M$1241,13,FALSE)," ")</f>
        <v>12058000013308673063</v>
      </c>
    </row>
    <row r="1631" spans="1:15" x14ac:dyDescent="0.3">
      <c r="A1631" s="1">
        <v>2125</v>
      </c>
      <c r="B1631" s="1">
        <v>0</v>
      </c>
      <c r="C1631" s="1" t="str">
        <f>IF(B1631=0,VLOOKUP(A1631,Feuil2!$A$2:$M$1241,2,FALSE)," ")</f>
        <v>ACHRAF</v>
      </c>
      <c r="D1631" s="1" t="str">
        <f>IF(B1631=0,VLOOKUP(A1631,Feuil2!$A$2:$M$1241,3,FALSE)," ")</f>
        <v>HASSEN</v>
      </c>
      <c r="E1631" s="5">
        <f>IF(B1631=0,VLOOKUP(A1631,Feuil2!$A$2:$M$1241,6,FALSE)," ")</f>
        <v>34470</v>
      </c>
      <c r="F1631" s="1" t="str">
        <f>IF(B1631=0,VLOOKUP(A1631,Feuil2!$A$2:$M$1241,12,FALSE)," ")</f>
        <v>H</v>
      </c>
      <c r="G1631" s="1" t="s">
        <v>15</v>
      </c>
      <c r="H1631" s="1" t="s">
        <v>16</v>
      </c>
      <c r="I1631" s="6">
        <f>IF(B1631=0,VLOOKUP(A1631,Feuil2!$A$2:$M$1241,7,FALSE)," ")</f>
        <v>9342686</v>
      </c>
      <c r="J1631" s="1" t="str">
        <f>IF(B1631=0,VLOOKUP(A1631,Feuil2!$A$2:$M$1241,9,FALSE)," ")</f>
        <v>BEN RABIA</v>
      </c>
      <c r="K1631" s="1" t="str">
        <f>IF(B1631=0,VLOOKUP(A1631,Feuil2!$A$2:$M$1241,10,FALSE)," ")</f>
        <v>Msaken 4070</v>
      </c>
      <c r="L1631" s="1">
        <v>4070</v>
      </c>
      <c r="M1631" s="1">
        <v>53157431</v>
      </c>
      <c r="N1631" s="1"/>
      <c r="O1631" s="8" t="str">
        <f>IF(B1631=0,VLOOKUP(A1631,Feuil2!$A$2:$M$1241,13,FALSE)," ")</f>
        <v>04204067003573024115</v>
      </c>
    </row>
    <row r="1632" spans="1:15" x14ac:dyDescent="0.3">
      <c r="A1632" s="1">
        <v>2125</v>
      </c>
      <c r="B1632" s="1">
        <v>1</v>
      </c>
      <c r="C1632" s="1" t="s">
        <v>1286</v>
      </c>
      <c r="D1632" s="1" t="s">
        <v>2569</v>
      </c>
      <c r="E1632" s="5">
        <v>36553</v>
      </c>
      <c r="F1632" s="1" t="s">
        <v>17</v>
      </c>
      <c r="G1632" s="1" t="s">
        <v>15</v>
      </c>
      <c r="H1632" s="1"/>
      <c r="I1632" s="6"/>
      <c r="J1632" s="1"/>
      <c r="K1632" s="1"/>
      <c r="L1632" s="1"/>
      <c r="M1632" s="1"/>
      <c r="N1632" s="1"/>
      <c r="O1632" s="8"/>
    </row>
    <row r="1633" spans="1:15" x14ac:dyDescent="0.3">
      <c r="A1633" s="1">
        <v>2128</v>
      </c>
      <c r="B1633" s="1">
        <v>0</v>
      </c>
      <c r="C1633" s="1" t="str">
        <f>IF(B1633=0,VLOOKUP(A1633,Feuil2!$A$2:$M$1241,2,FALSE)," ")</f>
        <v>ILYES</v>
      </c>
      <c r="D1633" s="1" t="str">
        <f>IF(B1633=0,VLOOKUP(A1633,Feuil2!$A$2:$M$1241,3,FALSE)," ")</f>
        <v>DHIFALLAH</v>
      </c>
      <c r="E1633" s="5">
        <f>IF(B1633=0,VLOOKUP(A1633,Feuil2!$A$2:$M$1241,6,FALSE)," ")</f>
        <v>31286</v>
      </c>
      <c r="F1633" s="1" t="str">
        <f>IF(B1633=0,VLOOKUP(A1633,Feuil2!$A$2:$M$1241,12,FALSE)," ")</f>
        <v>H</v>
      </c>
      <c r="G1633" s="1" t="str">
        <f>IF(B1633=0,VLOOKUP(A1633,Feuil2!$A$2:$M$1241,11,FALSE)," ")</f>
        <v>C</v>
      </c>
      <c r="H1633" s="1" t="s">
        <v>16</v>
      </c>
      <c r="I1633" s="6">
        <f>IF(B1633=0,VLOOKUP(A1633,Feuil2!$A$2:$M$1241,7,FALSE)," ")</f>
        <v>8482588</v>
      </c>
      <c r="J1633" s="1" t="str">
        <f>IF(B1633=0,VLOOKUP(A1633,Feuil2!$A$2:$M$1241,9,FALSE)," ")</f>
        <v>Rue CHIKH ALI BEN AMEUR Kalaa Kebira</v>
      </c>
      <c r="K1633" s="1" t="str">
        <f>IF(B1633=0,VLOOKUP(A1633,Feuil2!$A$2:$M$1241,10,FALSE)," ")</f>
        <v>Sousse</v>
      </c>
      <c r="L1633" s="1"/>
      <c r="M1633" s="1">
        <v>97178385</v>
      </c>
      <c r="N1633" s="1"/>
      <c r="O1633" s="8" t="str">
        <f>IF(B1633=0,VLOOKUP(A1633,Feuil2!$A$2:$M$1241,13,FALSE)," ")</f>
        <v>01500023111077521174</v>
      </c>
    </row>
    <row r="1634" spans="1:15" x14ac:dyDescent="0.3">
      <c r="A1634" s="1">
        <v>2131</v>
      </c>
      <c r="B1634" s="1">
        <v>0</v>
      </c>
      <c r="C1634" s="1" t="str">
        <f>IF(B1634=0,VLOOKUP(A1634,Feuil2!$A$2:$M$1241,2,FALSE)," ")</f>
        <v>HASSEN</v>
      </c>
      <c r="D1634" s="1" t="str">
        <f>IF(B1634=0,VLOOKUP(A1634,Feuil2!$A$2:$M$1241,3,FALSE)," ")</f>
        <v>BAYA</v>
      </c>
      <c r="E1634" s="5">
        <f>IF(B1634=0,VLOOKUP(A1634,Feuil2!$A$2:$M$1241,6,FALSE)," ")</f>
        <v>33760</v>
      </c>
      <c r="F1634" s="1" t="str">
        <f>IF(B1634=0,VLOOKUP(A1634,Feuil2!$A$2:$M$1241,12,FALSE)," ")</f>
        <v>H</v>
      </c>
      <c r="G1634" s="1" t="str">
        <f>IF(B1634=0,VLOOKUP(A1634,Feuil2!$A$2:$M$1241,11,FALSE)," ")</f>
        <v>C</v>
      </c>
      <c r="H1634" s="1" t="s">
        <v>16</v>
      </c>
      <c r="I1634" s="6">
        <f>IF(B1634=0,VLOOKUP(A1634,Feuil2!$A$2:$M$1241,7,FALSE)," ")</f>
        <v>9315711</v>
      </c>
      <c r="J1634" s="1" t="str">
        <f>IF(B1634=0,VLOOKUP(A1634,Feuil2!$A$2:$M$1241,9,FALSE)," ")</f>
        <v>RUE SIDI BEL HESSAN</v>
      </c>
      <c r="K1634" s="1" t="str">
        <f>IF(B1634=0,VLOOKUP(A1634,Feuil2!$A$2:$M$1241,10,FALSE)," ")</f>
        <v>Msaken 4070</v>
      </c>
      <c r="L1634" s="1">
        <v>4070</v>
      </c>
      <c r="M1634" s="1">
        <v>25432630</v>
      </c>
      <c r="N1634" s="1"/>
      <c r="O1634" s="8" t="str">
        <f>IF(B1634=0,VLOOKUP(A1634,Feuil2!$A$2:$M$1241,13,FALSE)," ")</f>
        <v>01018058113027677808</v>
      </c>
    </row>
    <row r="1635" spans="1:15" x14ac:dyDescent="0.3">
      <c r="A1635" s="1">
        <v>2136</v>
      </c>
      <c r="B1635" s="1">
        <v>0</v>
      </c>
      <c r="C1635" s="1" t="str">
        <f>IF(B1635=0,VLOOKUP(A1635,Feuil2!$A$2:$M$1241,2,FALSE)," ")</f>
        <v>LOTFI</v>
      </c>
      <c r="D1635" s="1" t="str">
        <f>IF(B1635=0,VLOOKUP(A1635,Feuil2!$A$2:$M$1241,3,FALSE)," ")</f>
        <v>NOURI</v>
      </c>
      <c r="E1635" s="5">
        <f>IF(B1635=0,VLOOKUP(A1635,Feuil2!$A$2:$M$1241,6,FALSE)," ")</f>
        <v>35323</v>
      </c>
      <c r="F1635" s="1" t="str">
        <f>IF(B1635=0,VLOOKUP(A1635,Feuil2!$A$2:$M$1241,12,FALSE)," ")</f>
        <v>H</v>
      </c>
      <c r="G1635" s="1" t="str">
        <f>IF(B1635=0,VLOOKUP(A1635,Feuil2!$A$2:$M$1241,11,FALSE)," ")</f>
        <v>C</v>
      </c>
      <c r="H1635" s="1" t="s">
        <v>16</v>
      </c>
      <c r="I1635" s="6">
        <f>IF(B1635=0,VLOOKUP(A1635,Feuil2!$A$2:$M$1241,7,FALSE)," ")</f>
        <v>12829176</v>
      </c>
      <c r="J1635" s="1" t="str">
        <f>IF(B1635=0,VLOOKUP(A1635,Feuil2!$A$2:$M$1241,9,FALSE)," ")</f>
        <v>AOULED AMMAR SIDI EL HENI</v>
      </c>
      <c r="K1635" s="1" t="str">
        <f>IF(B1635=0,VLOOKUP(A1635,Feuil2!$A$2:$M$1241,10,FALSE)," ")</f>
        <v>Sousse</v>
      </c>
      <c r="L1635" s="1"/>
      <c r="M1635" s="1">
        <v>56041657</v>
      </c>
      <c r="N1635" s="1"/>
      <c r="O1635" s="8" t="str">
        <f>IF(B1635=0,VLOOKUP(A1635,Feuil2!$A$2:$M$1241,13,FALSE)," ")</f>
        <v>17503000000231019182</v>
      </c>
    </row>
    <row r="1636" spans="1:15" x14ac:dyDescent="0.3">
      <c r="A1636" s="1">
        <v>2137</v>
      </c>
      <c r="B1636" s="1">
        <v>0</v>
      </c>
      <c r="C1636" s="1" t="str">
        <f>IF(B1636=0,VLOOKUP(A1636,Feuil2!$A$2:$M$1241,2,FALSE)," ")</f>
        <v>MOHAMED</v>
      </c>
      <c r="D1636" s="1" t="str">
        <f>IF(B1636=0,VLOOKUP(A1636,Feuil2!$A$2:$M$1241,3,FALSE)," ")</f>
        <v>BOUZAMOUCHA</v>
      </c>
      <c r="E1636" s="5">
        <f>IF(B1636=0,VLOOKUP(A1636,Feuil2!$A$2:$M$1241,6,FALSE)," ")</f>
        <v>34198</v>
      </c>
      <c r="F1636" s="1" t="str">
        <f>IF(B1636=0,VLOOKUP(A1636,Feuil2!$A$2:$M$1241,12,FALSE)," ")</f>
        <v>H</v>
      </c>
      <c r="G1636" s="1" t="str">
        <f>IF(B1636=0,VLOOKUP(A1636,Feuil2!$A$2:$M$1241,11,FALSE)," ")</f>
        <v>C</v>
      </c>
      <c r="H1636" s="1" t="s">
        <v>16</v>
      </c>
      <c r="I1636" s="6">
        <f>IF(B1636=0,VLOOKUP(A1636,Feuil2!$A$2:$M$1241,7,FALSE)," ")</f>
        <v>9334982</v>
      </c>
      <c r="J1636" s="1" t="str">
        <f>IF(B1636=0,VLOOKUP(A1636,Feuil2!$A$2:$M$1241,9,FALSE)," ")</f>
        <v>RUE HANIBAL MSAKEN</v>
      </c>
      <c r="K1636" s="1" t="str">
        <f>IF(B1636=0,VLOOKUP(A1636,Feuil2!$A$2:$M$1241,10,FALSE)," ")</f>
        <v>Msaken 4070</v>
      </c>
      <c r="L1636" s="1">
        <v>4070</v>
      </c>
      <c r="M1636" s="1">
        <v>21680908</v>
      </c>
      <c r="N1636" s="1"/>
      <c r="O1636" s="8" t="str">
        <f>IF(B1636=0,VLOOKUP(A1636,Feuil2!$A$2:$M$1241,13,FALSE)," ")</f>
        <v>12064000013126694003</v>
      </c>
    </row>
    <row r="1637" spans="1:15" x14ac:dyDescent="0.3">
      <c r="A1637" s="1">
        <v>2139</v>
      </c>
      <c r="B1637" s="1">
        <v>0</v>
      </c>
      <c r="C1637" s="1" t="str">
        <f>IF(B1637=0,VLOOKUP(A1637,Feuil2!$A$2:$M$1241,2,FALSE)," ")</f>
        <v>HATEM</v>
      </c>
      <c r="D1637" s="1" t="str">
        <f>IF(B1637=0,VLOOKUP(A1637,Feuil2!$A$2:$M$1241,3,FALSE)," ")</f>
        <v>NAMOUCHI</v>
      </c>
      <c r="E1637" s="5">
        <f>IF(B1637=0,VLOOKUP(A1637,Feuil2!$A$2:$M$1241,6,FALSE)," ")</f>
        <v>35111</v>
      </c>
      <c r="F1637" s="1" t="str">
        <f>IF(B1637=0,VLOOKUP(A1637,Feuil2!$A$2:$M$1241,12,FALSE)," ")</f>
        <v>H</v>
      </c>
      <c r="G1637" s="1" t="str">
        <f>IF(B1637=0,VLOOKUP(A1637,Feuil2!$A$2:$M$1241,11,FALSE)," ")</f>
        <v>C</v>
      </c>
      <c r="H1637" s="1" t="s">
        <v>16</v>
      </c>
      <c r="I1637" s="6">
        <f>IF(B1637=0,VLOOKUP(A1637,Feuil2!$A$2:$M$1241,7,FALSE)," ")</f>
        <v>9348544</v>
      </c>
      <c r="J1637" s="1" t="str">
        <f>IF(B1637=0,VLOOKUP(A1637,Feuil2!$A$2:$M$1241,9,FALSE)," ")</f>
        <v>TAKROUNA NFIDHA</v>
      </c>
      <c r="K1637" s="1" t="str">
        <f>IF(B1637=0,VLOOKUP(A1637,Feuil2!$A$2:$M$1241,10,FALSE)," ")</f>
        <v>Sousse</v>
      </c>
      <c r="L1637" s="1"/>
      <c r="M1637" s="1">
        <v>53902308</v>
      </c>
      <c r="N1637" s="1"/>
      <c r="O1637" s="8" t="str">
        <f>IF(B1637=0,VLOOKUP(A1637,Feuil2!$A$2:$M$1241,13,FALSE)," ")</f>
        <v>25018000000059071420</v>
      </c>
    </row>
    <row r="1638" spans="1:15" x14ac:dyDescent="0.3">
      <c r="A1638" s="1">
        <v>2141</v>
      </c>
      <c r="B1638" s="1">
        <v>0</v>
      </c>
      <c r="C1638" s="1" t="str">
        <f>IF(B1638=0,VLOOKUP(A1638,Feuil2!$A$2:$M$1241,2,FALSE)," ")</f>
        <v>HAITHEM</v>
      </c>
      <c r="D1638" s="1" t="str">
        <f>IF(B1638=0,VLOOKUP(A1638,Feuil2!$A$2:$M$1241,3,FALSE)," ")</f>
        <v>SRIDI</v>
      </c>
      <c r="E1638" s="5">
        <f>IF(B1638=0,VLOOKUP(A1638,Feuil2!$A$2:$M$1241,6,FALSE)," ")</f>
        <v>32120</v>
      </c>
      <c r="F1638" s="1" t="str">
        <f>IF(B1638=0,VLOOKUP(A1638,Feuil2!$A$2:$M$1241,12,FALSE)," ")</f>
        <v>H</v>
      </c>
      <c r="G1638" s="1" t="str">
        <f>IF(B1638=0,VLOOKUP(A1638,Feuil2!$A$2:$M$1241,11,FALSE)," ")</f>
        <v>M</v>
      </c>
      <c r="H1638" s="1" t="s">
        <v>16</v>
      </c>
      <c r="I1638" s="6">
        <f>IF(B1638=0,VLOOKUP(A1638,Feuil2!$A$2:$M$1241,7,FALSE)," ")</f>
        <v>9274057</v>
      </c>
      <c r="J1638" s="1" t="str">
        <f>IF(B1638=0,VLOOKUP(A1638,Feuil2!$A$2:$M$1241,9,FALSE)," ")</f>
        <v>12 Rue GHORET JUIN MSAKEN</v>
      </c>
      <c r="K1638" s="1" t="str">
        <f>IF(B1638=0,VLOOKUP(A1638,Feuil2!$A$2:$M$1241,10,FALSE)," ")</f>
        <v>Msaken 4070</v>
      </c>
      <c r="L1638" s="1">
        <v>4070</v>
      </c>
      <c r="M1638" s="1">
        <v>24987874</v>
      </c>
      <c r="N1638" s="1"/>
      <c r="O1638" s="8" t="str">
        <f>IF(B1638=0,VLOOKUP(A1638,Feuil2!$A$2:$M$1241,13,FALSE)," ")</f>
        <v>32026788101099022158</v>
      </c>
    </row>
    <row r="1639" spans="1:15" x14ac:dyDescent="0.3">
      <c r="A1639" s="1">
        <v>2141</v>
      </c>
      <c r="B1639" s="1">
        <v>1</v>
      </c>
      <c r="C1639" s="1" t="s">
        <v>2792</v>
      </c>
      <c r="D1639" s="1" t="s">
        <v>2714</v>
      </c>
      <c r="E1639" s="5">
        <v>32211</v>
      </c>
      <c r="F1639" s="1" t="s">
        <v>17</v>
      </c>
      <c r="G1639" s="1" t="s">
        <v>15</v>
      </c>
      <c r="H1639" s="1" t="s">
        <v>16</v>
      </c>
      <c r="I1639" s="6" t="str">
        <f>IF(B1639=0,VLOOKUP(A1639,Feuil2!$A$2:$M$1241,7,FALSE)," ")</f>
        <v xml:space="preserve"> </v>
      </c>
      <c r="J1639" s="1" t="str">
        <f>IF(B1639=0,VLOOKUP(A1639,Feuil2!$A$2:$M$1241,9,FALSE)," ")</f>
        <v xml:space="preserve"> </v>
      </c>
      <c r="K1639" s="1" t="str">
        <f>IF(B1639=0,VLOOKUP(A1639,Feuil2!$A$2:$M$1241,10,FALSE)," ")</f>
        <v xml:space="preserve"> </v>
      </c>
      <c r="L1639" s="1"/>
      <c r="M1639" s="1"/>
      <c r="N1639" s="1"/>
      <c r="O1639" s="8" t="str">
        <f>IF(B1639=0,VLOOKUP(A1639,Feuil2!$A$2:$M$1241,13,FALSE)," ")</f>
        <v xml:space="preserve"> </v>
      </c>
    </row>
    <row r="1640" spans="1:15" x14ac:dyDescent="0.3">
      <c r="A1640" s="1">
        <v>2141</v>
      </c>
      <c r="B1640" s="1">
        <v>2</v>
      </c>
      <c r="C1640" s="1" t="s">
        <v>268</v>
      </c>
      <c r="D1640" s="1" t="s">
        <v>107</v>
      </c>
      <c r="E1640" s="5">
        <v>42750</v>
      </c>
      <c r="F1640" s="1" t="s">
        <v>506</v>
      </c>
      <c r="G1640" s="1" t="str">
        <f>IF(B1640=0,VLOOKUP(A1640,Feuil2!$A$2:$M$1241,11,FALSE)," ")</f>
        <v xml:space="preserve"> </v>
      </c>
      <c r="H1640" s="1" t="s">
        <v>16</v>
      </c>
      <c r="I1640" s="6" t="str">
        <f>IF(B1640=0,VLOOKUP(A1640,Feuil2!$A$2:$M$1241,7,FALSE)," ")</f>
        <v xml:space="preserve"> </v>
      </c>
      <c r="J1640" s="1" t="str">
        <f>IF(B1640=0,VLOOKUP(A1640,Feuil2!$A$2:$M$1241,9,FALSE)," ")</f>
        <v xml:space="preserve"> </v>
      </c>
      <c r="K1640" s="1" t="str">
        <f>IF(B1640=0,VLOOKUP(A1640,Feuil2!$A$2:$M$1241,10,FALSE)," ")</f>
        <v xml:space="preserve"> </v>
      </c>
      <c r="L1640" s="1"/>
      <c r="M1640" s="1"/>
      <c r="N1640" s="1"/>
      <c r="O1640" s="8" t="str">
        <f>IF(B1640=0,VLOOKUP(A1640,Feuil2!$A$2:$M$1241,13,FALSE)," ")</f>
        <v xml:space="preserve"> </v>
      </c>
    </row>
    <row r="1641" spans="1:15" x14ac:dyDescent="0.3">
      <c r="A1641" s="1">
        <v>2141</v>
      </c>
      <c r="B1641" s="1">
        <v>3</v>
      </c>
      <c r="C1641" s="1" t="s">
        <v>268</v>
      </c>
      <c r="D1641" s="1" t="s">
        <v>2791</v>
      </c>
      <c r="E1641" s="5">
        <v>44082</v>
      </c>
      <c r="F1641" s="1" t="s">
        <v>17</v>
      </c>
      <c r="G1641" s="1"/>
      <c r="H1641" s="1"/>
      <c r="I1641" s="6"/>
      <c r="J1641" s="1"/>
      <c r="K1641" s="1"/>
      <c r="L1641" s="1"/>
      <c r="M1641" s="1"/>
      <c r="N1641" s="1"/>
      <c r="O1641" s="8"/>
    </row>
    <row r="1642" spans="1:15" x14ac:dyDescent="0.3">
      <c r="A1642" s="1">
        <v>2144</v>
      </c>
      <c r="B1642" s="1">
        <v>0</v>
      </c>
      <c r="C1642" s="1" t="str">
        <f>IF(B1642=0,VLOOKUP(A1642,Feuil2!$A$2:$M$1241,2,FALSE)," ")</f>
        <v>OMRANE</v>
      </c>
      <c r="D1642" s="1" t="str">
        <f>IF(B1642=0,VLOOKUP(A1642,Feuil2!$A$2:$M$1241,3,FALSE)," ")</f>
        <v>WAEL</v>
      </c>
      <c r="E1642" s="5">
        <f>IF(B1642=0,VLOOKUP(A1642,Feuil2!$A$2:$M$1241,6,FALSE)," ")</f>
        <v>34176</v>
      </c>
      <c r="F1642" s="1" t="str">
        <f>IF(B1642=0,VLOOKUP(A1642,Feuil2!$A$2:$M$1241,12,FALSE)," ")</f>
        <v>H</v>
      </c>
      <c r="G1642" s="1" t="str">
        <f>IF(B1642=0,VLOOKUP(A1642,Feuil2!$A$2:$M$1241,11,FALSE)," ")</f>
        <v>C</v>
      </c>
      <c r="H1642" s="1" t="s">
        <v>16</v>
      </c>
      <c r="I1642" s="6">
        <f>IF(B1642=0,VLOOKUP(A1642,Feuil2!$A$2:$M$1241,7,FALSE)," ")</f>
        <v>9438601</v>
      </c>
      <c r="J1642" s="1" t="str">
        <f>IF(B1642=0,VLOOKUP(A1642,Feuil2!$A$2:$M$1241,9,FALSE)," ")</f>
        <v>RUE JINEN SIDI TAHER KSSOUR SEF</v>
      </c>
      <c r="K1642" s="1" t="str">
        <f>IF(B1642=0,VLOOKUP(A1642,Feuil2!$A$2:$M$1241,10,FALSE)," ")</f>
        <v>Mahdia 5100</v>
      </c>
      <c r="L1642" s="1">
        <v>5100</v>
      </c>
      <c r="M1642" s="1">
        <v>54673346</v>
      </c>
      <c r="N1642" s="1"/>
      <c r="O1642" s="8" t="str">
        <f>IF(B1642=0,VLOOKUP(A1642,Feuil2!$A$2:$M$1241,13,FALSE)," ")</f>
        <v>14007007100713145479</v>
      </c>
    </row>
    <row r="1643" spans="1:15" x14ac:dyDescent="0.3">
      <c r="A1643" s="1">
        <v>2146</v>
      </c>
      <c r="B1643" s="1">
        <v>0</v>
      </c>
      <c r="C1643" s="1" t="str">
        <f>IF(B1643=0,VLOOKUP(A1643,Feuil2!$A$2:$M$1241,2,FALSE)," ")</f>
        <v>SGHAIR</v>
      </c>
      <c r="D1643" s="1" t="str">
        <f>IF(B1643=0,VLOOKUP(A1643,Feuil2!$A$2:$M$1241,3,FALSE)," ")</f>
        <v>AHMED</v>
      </c>
      <c r="E1643" s="5">
        <f>IF(B1643=0,VLOOKUP(A1643,Feuil2!$A$2:$M$1241,6,FALSE)," ")</f>
        <v>35150</v>
      </c>
      <c r="F1643" s="1" t="str">
        <f>IF(B1643=0,VLOOKUP(A1643,Feuil2!$A$2:$M$1241,12,FALSE)," ")</f>
        <v>H</v>
      </c>
      <c r="G1643" s="1" t="str">
        <f>IF(B1643=0,VLOOKUP(A1643,Feuil2!$A$2:$M$1241,11,FALSE)," ")</f>
        <v>C</v>
      </c>
      <c r="H1643" s="1" t="s">
        <v>16</v>
      </c>
      <c r="I1643" s="6">
        <f>IF(B1643=0,VLOOKUP(A1643,Feuil2!$A$2:$M$1241,7,FALSE)," ")</f>
        <v>12821770</v>
      </c>
      <c r="J1643" s="1" t="str">
        <f>IF(B1643=0,VLOOKUP(A1643,Feuil2!$A$2:$M$1241,9,FALSE)," ")</f>
        <v>RUE HEDI CHAKER</v>
      </c>
      <c r="K1643" s="1" t="str">
        <f>IF(B1643=0,VLOOKUP(A1643,Feuil2!$A$2:$M$1241,10,FALSE)," ")</f>
        <v>Msaken 4070</v>
      </c>
      <c r="L1643" s="1">
        <v>4070</v>
      </c>
      <c r="M1643" s="1">
        <v>21229098</v>
      </c>
      <c r="N1643" s="1"/>
      <c r="O1643" s="8" t="str">
        <f>IF(B1643=0,VLOOKUP(A1643,Feuil2!$A$2:$M$1241,13,FALSE)," ")</f>
        <v>10506040516825878816</v>
      </c>
    </row>
    <row r="1644" spans="1:15" x14ac:dyDescent="0.3">
      <c r="A1644" s="1">
        <v>2148</v>
      </c>
      <c r="B1644" s="1">
        <v>0</v>
      </c>
      <c r="C1644" s="1" t="str">
        <f>IF(B1644=0,VLOOKUP(A1644,Feuil2!$A$2:$M$1241,2,FALSE)," ")</f>
        <v>CHIHI</v>
      </c>
      <c r="D1644" s="1" t="str">
        <f>IF(B1644=0,VLOOKUP(A1644,Feuil2!$A$2:$M$1241,3,FALSE)," ")</f>
        <v>HOUSSEM</v>
      </c>
      <c r="E1644" s="5">
        <f>IF(B1644=0,VLOOKUP(A1644,Feuil2!$A$2:$M$1241,6,FALSE)," ")</f>
        <v>34599</v>
      </c>
      <c r="F1644" s="1" t="str">
        <f>IF(B1644=0,VLOOKUP(A1644,Feuil2!$A$2:$M$1241,12,FALSE)," ")</f>
        <v>H</v>
      </c>
      <c r="G1644" s="1" t="str">
        <f>IF(B1644=0,VLOOKUP(A1644,Feuil2!$A$2:$M$1241,11,FALSE)," ")</f>
        <v>C</v>
      </c>
      <c r="H1644" s="1" t="s">
        <v>16</v>
      </c>
      <c r="I1644" s="6">
        <f>IF(B1644=0,VLOOKUP(A1644,Feuil2!$A$2:$M$1241,7,FALSE)," ")</f>
        <v>12816941</v>
      </c>
      <c r="J1644" s="1" t="str">
        <f>IF(B1644=0,VLOOKUP(A1644,Feuil2!$A$2:$M$1241,9,FALSE)," ")</f>
        <v>CITE ALJADID NIB KALTHOUM</v>
      </c>
      <c r="K1644" s="1" t="str">
        <f>IF(B1644=0,VLOOKUP(A1644,Feuil2!$A$2:$M$1241,10,FALSE)," ")</f>
        <v>Msaken 4070</v>
      </c>
      <c r="L1644" s="1">
        <v>4070</v>
      </c>
      <c r="M1644" s="1">
        <v>53929401</v>
      </c>
      <c r="N1644" s="1"/>
      <c r="O1644" s="8" t="str">
        <f>IF(B1644=0,VLOOKUP(A1644,Feuil2!$A$2:$M$1241,13,FALSE)," ")</f>
        <v>12505000013309456496</v>
      </c>
    </row>
    <row r="1645" spans="1:15" x14ac:dyDescent="0.3">
      <c r="A1645" s="1">
        <v>2149</v>
      </c>
      <c r="B1645" s="1">
        <v>0</v>
      </c>
      <c r="C1645" s="1" t="str">
        <f>IF(B1645=0,VLOOKUP(A1645,Feuil2!$A$2:$M$1241,2,FALSE)," ")</f>
        <v>BERRIRI</v>
      </c>
      <c r="D1645" s="1" t="str">
        <f>IF(B1645=0,VLOOKUP(A1645,Feuil2!$A$2:$M$1241,3,FALSE)," ")</f>
        <v>HOUSSEM</v>
      </c>
      <c r="E1645" s="5">
        <f>IF(B1645=0,VLOOKUP(A1645,Feuil2!$A$2:$M$1241,6,FALSE)," ")</f>
        <v>34089</v>
      </c>
      <c r="F1645" s="1" t="str">
        <f>IF(B1645=0,VLOOKUP(A1645,Feuil2!$A$2:$M$1241,12,FALSE)," ")</f>
        <v>H</v>
      </c>
      <c r="G1645" s="1" t="str">
        <f>IF(B1645=0,VLOOKUP(A1645,Feuil2!$A$2:$M$1241,11,FALSE)," ")</f>
        <v>C</v>
      </c>
      <c r="H1645" s="1" t="s">
        <v>16</v>
      </c>
      <c r="I1645" s="6">
        <f>IF(B1645=0,VLOOKUP(A1645,Feuil2!$A$2:$M$1241,7,FALSE)," ")</f>
        <v>9333488</v>
      </c>
      <c r="J1645" s="1" t="str">
        <f>IF(B1645=0,VLOOKUP(A1645,Feuil2!$A$2:$M$1241,9,FALSE)," ")</f>
        <v>16 RUE MOSQUEE</v>
      </c>
      <c r="K1645" s="1" t="str">
        <f>IF(B1645=0,VLOOKUP(A1645,Feuil2!$A$2:$M$1241,10,FALSE)," ")</f>
        <v>Msaken 4070</v>
      </c>
      <c r="L1645" s="1">
        <v>4070</v>
      </c>
      <c r="M1645" s="1">
        <v>24135644</v>
      </c>
      <c r="N1645" s="1"/>
      <c r="O1645" s="8" t="str">
        <f>IF(B1645=0,VLOOKUP(A1645,Feuil2!$A$2:$M$1241,13,FALSE)," ")</f>
        <v>17503000000269285682</v>
      </c>
    </row>
    <row r="1646" spans="1:15" x14ac:dyDescent="0.3">
      <c r="A1646" s="1">
        <v>2151</v>
      </c>
      <c r="B1646" s="1">
        <v>0</v>
      </c>
      <c r="C1646" s="1" t="str">
        <f>IF(B1646=0,VLOOKUP(A1646,Feuil2!$A$2:$M$1241,2,FALSE)," ")</f>
        <v>JELLITI</v>
      </c>
      <c r="D1646" s="1" t="str">
        <f>IF(B1646=0,VLOOKUP(A1646,Feuil2!$A$2:$M$1241,3,FALSE)," ")</f>
        <v>MOHAMED</v>
      </c>
      <c r="E1646" s="5">
        <f>IF(B1646=0,VLOOKUP(A1646,Feuil2!$A$2:$M$1241,6,FALSE)," ")</f>
        <v>33997</v>
      </c>
      <c r="F1646" s="1" t="str">
        <f>IF(B1646=0,VLOOKUP(A1646,Feuil2!$A$2:$M$1241,12,FALSE)," ")</f>
        <v>H</v>
      </c>
      <c r="G1646" s="1" t="str">
        <f>IF(B1646=0,VLOOKUP(A1646,Feuil2!$A$2:$M$1241,11,FALSE)," ")</f>
        <v>C</v>
      </c>
      <c r="H1646" s="1" t="s">
        <v>16</v>
      </c>
      <c r="I1646" s="6">
        <f>IF(B1646=0,VLOOKUP(A1646,Feuil2!$A$2:$M$1241,7,FALSE)," ")</f>
        <v>12808571</v>
      </c>
      <c r="J1646" s="1" t="str">
        <f>IF(B1646=0,VLOOKUP(A1646,Feuil2!$A$2:$M$1241,9,FALSE)," ")</f>
        <v>CHRACHIR KROUSSIYA SIDI EL HENI</v>
      </c>
      <c r="K1646" s="1" t="str">
        <f>IF(B1646=0,VLOOKUP(A1646,Feuil2!$A$2:$M$1241,10,FALSE)," ")</f>
        <v>Sousse</v>
      </c>
      <c r="L1646" s="1"/>
      <c r="M1646" s="1">
        <v>96238975</v>
      </c>
      <c r="N1646" s="1"/>
      <c r="O1646" s="8" t="str">
        <f>IF(B1646=0,VLOOKUP(A1646,Feuil2!$A$2:$M$1241,13,FALSE)," ")</f>
        <v>47013000000006515669</v>
      </c>
    </row>
    <row r="1647" spans="1:15" x14ac:dyDescent="0.3">
      <c r="A1647" s="1">
        <v>2154</v>
      </c>
      <c r="B1647" s="1">
        <v>0</v>
      </c>
      <c r="C1647" s="1" t="str">
        <f>IF(B1647=0,VLOOKUP(A1647,Feuil2!$A$2:$M$1241,2,FALSE)," ")</f>
        <v>BEN AZIZA</v>
      </c>
      <c r="D1647" s="1" t="str">
        <f>IF(B1647=0,VLOOKUP(A1647,Feuil2!$A$2:$M$1241,3,FALSE)," ")</f>
        <v>AYMEN</v>
      </c>
      <c r="E1647" s="5">
        <f>IF(B1647=0,VLOOKUP(A1647,Feuil2!$A$2:$M$1241,6,FALSE)," ")</f>
        <v>34404</v>
      </c>
      <c r="F1647" s="1" t="str">
        <f>IF(B1647=0,VLOOKUP(A1647,Feuil2!$A$2:$M$1241,12,FALSE)," ")</f>
        <v>H</v>
      </c>
      <c r="G1647" s="1" t="str">
        <f>IF(B1647=0,VLOOKUP(A1647,Feuil2!$A$2:$M$1241,11,FALSE)," ")</f>
        <v>C</v>
      </c>
      <c r="H1647" s="1" t="s">
        <v>16</v>
      </c>
      <c r="I1647" s="6">
        <f>IF(B1647=0,VLOOKUP(A1647,Feuil2!$A$2:$M$1241,7,FALSE)," ")</f>
        <v>9315813</v>
      </c>
      <c r="J1647" s="1" t="str">
        <f>IF(B1647=0,VLOOKUP(A1647,Feuil2!$A$2:$M$1241,9,FALSE)," ")</f>
        <v>BENI RABIA MSAKEN</v>
      </c>
      <c r="K1647" s="1" t="str">
        <f>IF(B1647=0,VLOOKUP(A1647,Feuil2!$A$2:$M$1241,10,FALSE)," ")</f>
        <v>Msaken 4070</v>
      </c>
      <c r="L1647" s="1">
        <v>4070</v>
      </c>
      <c r="M1647" s="1">
        <v>97818784</v>
      </c>
      <c r="N1647" s="1"/>
      <c r="O1647" s="8" t="str">
        <f>IF(B1647=0,VLOOKUP(A1647,Feuil2!$A$2:$M$1241,13,FALSE)," ")</f>
        <v>04204067005653247606</v>
      </c>
    </row>
    <row r="1648" spans="1:15" x14ac:dyDescent="0.3">
      <c r="A1648" s="1">
        <v>2159</v>
      </c>
      <c r="B1648" s="1">
        <v>0</v>
      </c>
      <c r="C1648" s="1" t="str">
        <f>IF(B1648=0,VLOOKUP(A1648,Feuil2!$A$2:$M$1241,2,FALSE)," ")</f>
        <v>HADDAJI</v>
      </c>
      <c r="D1648" s="1" t="str">
        <f>IF(B1648=0,VLOOKUP(A1648,Feuil2!$A$2:$M$1241,3,FALSE)," ")</f>
        <v>SAMEH</v>
      </c>
      <c r="E1648" s="5">
        <f>IF(B1648=0,VLOOKUP(A1648,Feuil2!$A$2:$M$1241,6,FALSE)," ")</f>
        <v>34911</v>
      </c>
      <c r="F1648" s="1" t="str">
        <f>IF(B1648=0,VLOOKUP(A1648,Feuil2!$A$2:$M$1241,12,FALSE)," ")</f>
        <v>H</v>
      </c>
      <c r="G1648" s="1" t="str">
        <f>IF(B1648=0,VLOOKUP(A1648,Feuil2!$A$2:$M$1241,11,FALSE)," ")</f>
        <v>C</v>
      </c>
      <c r="H1648" s="1" t="s">
        <v>16</v>
      </c>
      <c r="I1648" s="6">
        <f>IF(B1648=0,VLOOKUP(A1648,Feuil2!$A$2:$M$1241,7,FALSE)," ")</f>
        <v>11918696</v>
      </c>
      <c r="J1648" s="1" t="str">
        <f>IF(B1648=0,VLOOKUP(A1648,Feuil2!$A$2:$M$1241,9,FALSE)," ")</f>
        <v>Sidi El HÃ©ni</v>
      </c>
      <c r="K1648" s="1" t="str">
        <f>IF(B1648=0,VLOOKUP(A1648,Feuil2!$A$2:$M$1241,10,FALSE)," ")</f>
        <v>Sidi El HÃ©ni 4025</v>
      </c>
      <c r="L1648" s="1"/>
      <c r="M1648" s="1"/>
      <c r="N1648" s="1"/>
      <c r="O1648" s="8" t="str">
        <f>IF(B1648=0,VLOOKUP(A1648,Feuil2!$A$2:$M$1241,13,FALSE)," ")</f>
        <v>12505000013306837884</v>
      </c>
    </row>
    <row r="1649" spans="1:15" x14ac:dyDescent="0.3">
      <c r="A1649" s="1">
        <v>2160</v>
      </c>
      <c r="B1649" s="1">
        <v>0</v>
      </c>
      <c r="C1649" s="1" t="str">
        <f>IF(B1649=0,VLOOKUP(A1649,Feuil2!$A$2:$M$1241,2,FALSE)," ")</f>
        <v>BEN HASSAN</v>
      </c>
      <c r="D1649" s="1" t="str">
        <f>IF(B1649=0,VLOOKUP(A1649,Feuil2!$A$2:$M$1241,3,FALSE)," ")</f>
        <v>MAROUANE</v>
      </c>
      <c r="E1649" s="5">
        <f>IF(B1649=0,VLOOKUP(A1649,Feuil2!$A$2:$M$1241,6,FALSE)," ")</f>
        <v>32645</v>
      </c>
      <c r="F1649" s="1" t="str">
        <f>IF(B1649=0,VLOOKUP(A1649,Feuil2!$A$2:$M$1241,12,FALSE)," ")</f>
        <v>H</v>
      </c>
      <c r="G1649" s="1" t="str">
        <f>IF(B1649=0,VLOOKUP(A1649,Feuil2!$A$2:$M$1241,11,FALSE)," ")</f>
        <v>C</v>
      </c>
      <c r="H1649" s="1" t="s">
        <v>16</v>
      </c>
      <c r="I1649" s="6">
        <f>IF(B1649=0,VLOOKUP(A1649,Feuil2!$A$2:$M$1241,7,FALSE)," ")</f>
        <v>9317580</v>
      </c>
      <c r="J1649" s="1" t="str">
        <f>IF(B1649=0,VLOOKUP(A1649,Feuil2!$A$2:$M$1241,9,FALSE)," ")</f>
        <v>Aouled Brahim</v>
      </c>
      <c r="K1649" s="1" t="str">
        <f>IF(B1649=0,VLOOKUP(A1649,Feuil2!$A$2:$M$1241,10,FALSE)," ")</f>
        <v>Sidi El HÃ©ni 4025</v>
      </c>
      <c r="L1649" s="1"/>
      <c r="M1649" s="1">
        <v>29383070</v>
      </c>
      <c r="N1649" s="1"/>
      <c r="O1649" s="8" t="str">
        <f>IF(B1649=0,VLOOKUP(A1649,Feuil2!$A$2:$M$1241,13,FALSE)," ")</f>
        <v>17503000000235800797</v>
      </c>
    </row>
    <row r="1650" spans="1:15" x14ac:dyDescent="0.3">
      <c r="A1650" s="1">
        <v>2162</v>
      </c>
      <c r="B1650" s="1">
        <v>0</v>
      </c>
      <c r="C1650" s="1" t="str">
        <f>IF(B1650=0,VLOOKUP(A1650,Feuil2!$A$2:$M$1241,2,FALSE)," ")</f>
        <v>BEN ATTIA</v>
      </c>
      <c r="D1650" s="1" t="str">
        <f>IF(B1650=0,VLOOKUP(A1650,Feuil2!$A$2:$M$1241,3,FALSE)," ")</f>
        <v>HAMZA</v>
      </c>
      <c r="E1650" s="5">
        <f>IF(B1650=0,VLOOKUP(A1650,Feuil2!$A$2:$M$1241,6,FALSE)," ")</f>
        <v>33973</v>
      </c>
      <c r="F1650" s="1" t="str">
        <f>IF(B1650=0,VLOOKUP(A1650,Feuil2!$A$2:$M$1241,12,FALSE)," ")</f>
        <v>H</v>
      </c>
      <c r="G1650" s="1" t="str">
        <f>IF(B1650=0,VLOOKUP(A1650,Feuil2!$A$2:$M$1241,11,FALSE)," ")</f>
        <v>C</v>
      </c>
      <c r="H1650" s="1" t="s">
        <v>16</v>
      </c>
      <c r="I1650" s="6">
        <f>IF(B1650=0,VLOOKUP(A1650,Feuil2!$A$2:$M$1241,7,FALSE)," ")</f>
        <v>12808344</v>
      </c>
      <c r="J1650" s="1" t="str">
        <f>IF(B1650=0,VLOOKUP(A1650,Feuil2!$A$2:$M$1241,9,FALSE)," ")</f>
        <v>Sidi El Heni</v>
      </c>
      <c r="K1650" s="1" t="str">
        <f>IF(B1650=0,VLOOKUP(A1650,Feuil2!$A$2:$M$1241,10,FALSE)," ")</f>
        <v>Sidi El HÃ©ni 4025</v>
      </c>
      <c r="L1650" s="1"/>
      <c r="M1650" s="1">
        <v>50406127</v>
      </c>
      <c r="N1650" s="1"/>
      <c r="O1650" s="8" t="str">
        <f>IF(B1650=0,VLOOKUP(A1650,Feuil2!$A$2:$M$1241,13,FALSE)," ")</f>
        <v>17503000000259599650</v>
      </c>
    </row>
    <row r="1651" spans="1:15" x14ac:dyDescent="0.3">
      <c r="A1651" s="1">
        <v>2167</v>
      </c>
      <c r="B1651" s="1">
        <v>0</v>
      </c>
      <c r="C1651" s="1" t="str">
        <f>IF(B1651=0,VLOOKUP(A1651,Feuil2!$A$2:$M$1241,2,FALSE)," ")</f>
        <v>BEN HASSINE</v>
      </c>
      <c r="D1651" s="1" t="str">
        <f>IF(B1651=0,VLOOKUP(A1651,Feuil2!$A$2:$M$1241,3,FALSE)," ")</f>
        <v>JIHED</v>
      </c>
      <c r="E1651" s="5">
        <f>IF(B1651=0,VLOOKUP(A1651,Feuil2!$A$2:$M$1241,6,FALSE)," ")</f>
        <v>33926</v>
      </c>
      <c r="F1651" s="1" t="str">
        <f>IF(B1651=0,VLOOKUP(A1651,Feuil2!$A$2:$M$1241,12,FALSE)," ")</f>
        <v>H</v>
      </c>
      <c r="G1651" s="1" t="str">
        <f>IF(B1651=0,VLOOKUP(A1651,Feuil2!$A$2:$M$1241,11,FALSE)," ")</f>
        <v>C</v>
      </c>
      <c r="H1651" s="1" t="s">
        <v>16</v>
      </c>
      <c r="I1651" s="6">
        <f>IF(B1651=0,VLOOKUP(A1651,Feuil2!$A$2:$M$1241,7,FALSE)," ")</f>
        <v>9320963</v>
      </c>
      <c r="J1651" s="1" t="str">
        <f>IF(B1651=0,VLOOKUP(A1651,Feuil2!$A$2:$M$1241,9,FALSE)," ")</f>
        <v>Rue Khaled Ibn Walid</v>
      </c>
      <c r="K1651" s="1" t="str">
        <f>IF(B1651=0,VLOOKUP(A1651,Feuil2!$A$2:$M$1241,10,FALSE)," ")</f>
        <v>Messadine 4013</v>
      </c>
      <c r="L1651" s="1"/>
      <c r="M1651" s="1">
        <v>51063597</v>
      </c>
      <c r="N1651" s="1"/>
      <c r="O1651" s="8" t="str">
        <f>IF(B1651=0,VLOOKUP(A1651,Feuil2!$A$2:$M$1241,13,FALSE)," ")</f>
        <v>14014014100703436084</v>
      </c>
    </row>
    <row r="1652" spans="1:15" x14ac:dyDescent="0.3">
      <c r="A1652" s="1">
        <v>2170</v>
      </c>
      <c r="B1652" s="1">
        <v>0</v>
      </c>
      <c r="C1652" s="1" t="str">
        <f>IF(B1652=0,VLOOKUP(A1652,Feuil2!$A$2:$M$1241,2,FALSE)," ")</f>
        <v>BEN AHMED</v>
      </c>
      <c r="D1652" s="1" t="str">
        <f>IF(B1652=0,VLOOKUP(A1652,Feuil2!$A$2:$M$1241,3,FALSE)," ")</f>
        <v>ANOUAR</v>
      </c>
      <c r="E1652" s="5">
        <f>IF(B1652=0,VLOOKUP(A1652,Feuil2!$A$2:$M$1241,6,FALSE)," ")</f>
        <v>33371</v>
      </c>
      <c r="F1652" s="1" t="str">
        <f>IF(B1652=0,VLOOKUP(A1652,Feuil2!$A$2:$M$1241,12,FALSE)," ")</f>
        <v>H</v>
      </c>
      <c r="G1652" s="1" t="str">
        <f>IF(B1652=0,VLOOKUP(A1652,Feuil2!$A$2:$M$1241,11,FALSE)," ")</f>
        <v>C</v>
      </c>
      <c r="H1652" s="1" t="s">
        <v>16</v>
      </c>
      <c r="I1652" s="6">
        <f>IF(B1652=0,VLOOKUP(A1652,Feuil2!$A$2:$M$1241,7,FALSE)," ")</f>
        <v>9289636</v>
      </c>
      <c r="J1652" s="1" t="str">
        <f>IF(B1652=0,VLOOKUP(A1652,Feuil2!$A$2:$M$1241,9,FALSE)," ")</f>
        <v>Aouled Brahim</v>
      </c>
      <c r="K1652" s="1" t="str">
        <f>IF(B1652=0,VLOOKUP(A1652,Feuil2!$A$2:$M$1241,10,FALSE)," ")</f>
        <v>Sidi El HÃ©ni 4025</v>
      </c>
      <c r="L1652" s="1"/>
      <c r="M1652" s="1">
        <v>27886430</v>
      </c>
      <c r="N1652" s="1"/>
      <c r="O1652" s="8" t="str">
        <f>IF(B1652=0,VLOOKUP(A1652,Feuil2!$A$2:$M$1241,13,FALSE)," ")</f>
        <v>17503000000252910918</v>
      </c>
    </row>
    <row r="1653" spans="1:15" x14ac:dyDescent="0.3">
      <c r="A1653" s="1">
        <v>2171</v>
      </c>
      <c r="B1653" s="1">
        <v>0</v>
      </c>
      <c r="C1653" s="1" t="str">
        <f>IF(B1653=0,VLOOKUP(A1653,Feuil2!$A$2:$M$1241,2,FALSE)," ")</f>
        <v>BEN ELBAKRI</v>
      </c>
      <c r="D1653" s="1" t="str">
        <f>IF(B1653=0,VLOOKUP(A1653,Feuil2!$A$2:$M$1241,3,FALSE)," ")</f>
        <v>HENI</v>
      </c>
      <c r="E1653" s="5">
        <f>IF(B1653=0,VLOOKUP(A1653,Feuil2!$A$2:$M$1241,6,FALSE)," ")</f>
        <v>33946</v>
      </c>
      <c r="F1653" s="1" t="str">
        <f>IF(B1653=0,VLOOKUP(A1653,Feuil2!$A$2:$M$1241,12,FALSE)," ")</f>
        <v>H</v>
      </c>
      <c r="G1653" s="1" t="str">
        <f>IF(B1653=0,VLOOKUP(A1653,Feuil2!$A$2:$M$1241,11,FALSE)," ")</f>
        <v>C</v>
      </c>
      <c r="H1653" s="1" t="s">
        <v>16</v>
      </c>
      <c r="I1653" s="6">
        <f>IF(B1653=0,VLOOKUP(A1653,Feuil2!$A$2:$M$1241,7,FALSE)," ")</f>
        <v>9337441</v>
      </c>
      <c r="J1653" s="1" t="str">
        <f>IF(B1653=0,VLOOKUP(A1653,Feuil2!$A$2:$M$1241,9,FALSE)," ")</f>
        <v>Aouled Abdallah</v>
      </c>
      <c r="K1653" s="1" t="str">
        <f>IF(B1653=0,VLOOKUP(A1653,Feuil2!$A$2:$M$1241,10,FALSE)," ")</f>
        <v>Sidi El HÃ©ni 4025</v>
      </c>
      <c r="L1653" s="1"/>
      <c r="M1653" s="1">
        <v>54419487</v>
      </c>
      <c r="N1653" s="1"/>
      <c r="O1653" s="8" t="str">
        <f>IF(B1653=0,VLOOKUP(A1653,Feuil2!$A$2:$M$1241,13,FALSE)," ")</f>
        <v>17503000000273638945</v>
      </c>
    </row>
    <row r="1654" spans="1:15" x14ac:dyDescent="0.3">
      <c r="A1654" s="1">
        <v>2172</v>
      </c>
      <c r="B1654" s="1">
        <v>0</v>
      </c>
      <c r="C1654" s="1" t="str">
        <f>IF(B1654=0,VLOOKUP(A1654,Feuil2!$A$2:$M$1241,2,FALSE)," ")</f>
        <v>ACHECHE</v>
      </c>
      <c r="D1654" s="1" t="str">
        <f>IF(B1654=0,VLOOKUP(A1654,Feuil2!$A$2:$M$1241,3,FALSE)," ")</f>
        <v>HABIB</v>
      </c>
      <c r="E1654" s="5">
        <f>IF(B1654=0,VLOOKUP(A1654,Feuil2!$A$2:$M$1241,6,FALSE)," ")</f>
        <v>34070</v>
      </c>
      <c r="F1654" s="1" t="str">
        <f>IF(B1654=0,VLOOKUP(A1654,Feuil2!$A$2:$M$1241,12,FALSE)," ")</f>
        <v>H</v>
      </c>
      <c r="G1654" s="1" t="str">
        <f>IF(B1654=0,VLOOKUP(A1654,Feuil2!$A$2:$M$1241,11,FALSE)," ")</f>
        <v>C</v>
      </c>
      <c r="H1654" s="1" t="s">
        <v>16</v>
      </c>
      <c r="I1654" s="6">
        <f>IF(B1654=0,VLOOKUP(A1654,Feuil2!$A$2:$M$1241,7,FALSE)," ")</f>
        <v>9333678</v>
      </c>
      <c r="J1654" s="1" t="str">
        <f>IF(B1654=0,VLOOKUP(A1654,Feuil2!$A$2:$M$1241,9,FALSE)," ")</f>
        <v>Rue Imem Malek</v>
      </c>
      <c r="K1654" s="1" t="str">
        <f>IF(B1654=0,VLOOKUP(A1654,Feuil2!$A$2:$M$1241,10,FALSE)," ")</f>
        <v>Msaken 4070</v>
      </c>
      <c r="L1654" s="1">
        <v>4070</v>
      </c>
      <c r="M1654" s="1">
        <v>23622276</v>
      </c>
      <c r="N1654" s="1"/>
      <c r="O1654" s="8" t="str">
        <f>IF(B1654=0,VLOOKUP(A1654,Feuil2!$A$2:$M$1241,13,FALSE)," ")</f>
        <v>10506040522582778861</v>
      </c>
    </row>
    <row r="1655" spans="1:15" x14ac:dyDescent="0.3">
      <c r="A1655" s="1">
        <v>2177</v>
      </c>
      <c r="B1655" s="1">
        <v>0</v>
      </c>
      <c r="C1655" s="1" t="str">
        <f>IF(B1655=0,VLOOKUP(A1655,Feuil2!$A$2:$M$1241,2,FALSE)," ")</f>
        <v>KAHLOUN</v>
      </c>
      <c r="D1655" s="1" t="str">
        <f>IF(B1655=0,VLOOKUP(A1655,Feuil2!$A$2:$M$1241,3,FALSE)," ")</f>
        <v>FREDJ</v>
      </c>
      <c r="E1655" s="5">
        <f>IF(B1655=0,VLOOKUP(A1655,Feuil2!$A$2:$M$1241,6,FALSE)," ")</f>
        <v>31052</v>
      </c>
      <c r="F1655" s="1" t="str">
        <f>IF(B1655=0,VLOOKUP(A1655,Feuil2!$A$2:$M$1241,12,FALSE)," ")</f>
        <v>H</v>
      </c>
      <c r="G1655" s="1" t="str">
        <f>IF(B1655=0,VLOOKUP(A1655,Feuil2!$A$2:$M$1241,11,FALSE)," ")</f>
        <v>M</v>
      </c>
      <c r="H1655" s="1" t="s">
        <v>16</v>
      </c>
      <c r="I1655" s="6">
        <f>IF(B1655=0,VLOOKUP(A1655,Feuil2!$A$2:$M$1241,7,FALSE)," ")</f>
        <v>8485080</v>
      </c>
      <c r="J1655" s="1" t="str">
        <f>IF(B1655=0,VLOOKUP(A1655,Feuil2!$A$2:$M$1241,9,FALSE)," ")</f>
        <v>Rue Omar Ibn Abdelaziz</v>
      </c>
      <c r="K1655" s="1" t="str">
        <f>IF(B1655=0,VLOOKUP(A1655,Feuil2!$A$2:$M$1241,10,FALSE)," ")</f>
        <v>Messadine 4013</v>
      </c>
      <c r="L1655" s="1"/>
      <c r="M1655" s="1">
        <v>52629312</v>
      </c>
      <c r="N1655" s="1"/>
      <c r="O1655" s="8" t="str">
        <f>IF(B1655=0,VLOOKUP(A1655,Feuil2!$A$2:$M$1241,13,FALSE)," ")</f>
        <v>04128195004748310286</v>
      </c>
    </row>
    <row r="1656" spans="1:15" x14ac:dyDescent="0.3">
      <c r="A1656" s="1">
        <v>2177</v>
      </c>
      <c r="B1656" s="1">
        <v>1</v>
      </c>
      <c r="C1656" s="1" t="s">
        <v>2762</v>
      </c>
      <c r="D1656" s="1" t="s">
        <v>2371</v>
      </c>
      <c r="E1656" s="5">
        <v>32865</v>
      </c>
      <c r="F1656" s="1" t="s">
        <v>17</v>
      </c>
      <c r="G1656" s="1" t="s">
        <v>15</v>
      </c>
      <c r="H1656" s="1" t="s">
        <v>16</v>
      </c>
      <c r="I1656" s="6" t="str">
        <f>IF(B1656=0,VLOOKUP(A1656,Feuil2!$A$2:$M$1241,7,FALSE)," ")</f>
        <v xml:space="preserve"> </v>
      </c>
      <c r="J1656" s="1" t="str">
        <f>IF(B1656=0,VLOOKUP(A1656,Feuil2!$A$2:$M$1241,9,FALSE)," ")</f>
        <v xml:space="preserve"> </v>
      </c>
      <c r="K1656" s="1" t="str">
        <f>IF(B1656=0,VLOOKUP(A1656,Feuil2!$A$2:$M$1241,10,FALSE)," ")</f>
        <v xml:space="preserve"> </v>
      </c>
      <c r="L1656" s="1"/>
      <c r="M1656" s="1"/>
      <c r="N1656" s="1"/>
      <c r="O1656" s="8" t="str">
        <f>IF(B1656=0,VLOOKUP(A1656,Feuil2!$A$2:$M$1241,13,FALSE)," ")</f>
        <v xml:space="preserve"> </v>
      </c>
    </row>
    <row r="1657" spans="1:15" x14ac:dyDescent="0.3">
      <c r="A1657" s="1">
        <v>2177</v>
      </c>
      <c r="B1657" s="1">
        <v>2</v>
      </c>
      <c r="C1657" s="1" t="s">
        <v>453</v>
      </c>
      <c r="D1657" s="1" t="s">
        <v>2763</v>
      </c>
      <c r="E1657" s="5">
        <v>42218</v>
      </c>
      <c r="F1657" s="1" t="s">
        <v>17</v>
      </c>
      <c r="G1657" s="1" t="str">
        <f>IF(B1657=0,VLOOKUP(A1657,Feuil2!$A$2:$M$1241,11,FALSE)," ")</f>
        <v xml:space="preserve"> </v>
      </c>
      <c r="H1657" s="1" t="s">
        <v>16</v>
      </c>
      <c r="I1657" s="6" t="str">
        <f>IF(B1657=0,VLOOKUP(A1657,Feuil2!$A$2:$M$1241,7,FALSE)," ")</f>
        <v xml:space="preserve"> </v>
      </c>
      <c r="J1657" s="1" t="str">
        <f>IF(B1657=0,VLOOKUP(A1657,Feuil2!$A$2:$M$1241,9,FALSE)," ")</f>
        <v xml:space="preserve"> </v>
      </c>
      <c r="K1657" s="1" t="str">
        <f>IF(B1657=0,VLOOKUP(A1657,Feuil2!$A$2:$M$1241,10,FALSE)," ")</f>
        <v xml:space="preserve"> </v>
      </c>
      <c r="L1657" s="1"/>
      <c r="M1657" s="1"/>
      <c r="N1657" s="1"/>
      <c r="O1657" s="8" t="str">
        <f>IF(B1657=0,VLOOKUP(A1657,Feuil2!$A$2:$M$1241,13,FALSE)," ")</f>
        <v xml:space="preserve"> </v>
      </c>
    </row>
    <row r="1658" spans="1:15" x14ac:dyDescent="0.3">
      <c r="A1658" s="1">
        <v>2177</v>
      </c>
      <c r="B1658" s="1">
        <v>3</v>
      </c>
      <c r="C1658" s="1" t="s">
        <v>453</v>
      </c>
      <c r="D1658" s="1" t="s">
        <v>2747</v>
      </c>
      <c r="E1658" s="5">
        <v>43076</v>
      </c>
      <c r="F1658" s="1" t="s">
        <v>17</v>
      </c>
      <c r="G1658" s="1" t="str">
        <f>IF(B1658=0,VLOOKUP(A1658,Feuil2!$A$2:$M$1241,11,FALSE)," ")</f>
        <v xml:space="preserve"> </v>
      </c>
      <c r="H1658" s="1" t="s">
        <v>16</v>
      </c>
      <c r="I1658" s="6" t="str">
        <f>IF(B1658=0,VLOOKUP(A1658,Feuil2!$A$2:$M$1241,7,FALSE)," ")</f>
        <v xml:space="preserve"> </v>
      </c>
      <c r="J1658" s="1" t="str">
        <f>IF(B1658=0,VLOOKUP(A1658,Feuil2!$A$2:$M$1241,9,FALSE)," ")</f>
        <v xml:space="preserve"> </v>
      </c>
      <c r="K1658" s="1" t="str">
        <f>IF(B1658=0,VLOOKUP(A1658,Feuil2!$A$2:$M$1241,10,FALSE)," ")</f>
        <v xml:space="preserve"> </v>
      </c>
      <c r="L1658" s="1"/>
      <c r="M1658" s="1"/>
      <c r="N1658" s="1"/>
      <c r="O1658" s="8" t="str">
        <f>IF(B1658=0,VLOOKUP(A1658,Feuil2!$A$2:$M$1241,13,FALSE)," ")</f>
        <v xml:space="preserve"> </v>
      </c>
    </row>
    <row r="1659" spans="1:15" x14ac:dyDescent="0.3">
      <c r="A1659" s="1">
        <v>2178</v>
      </c>
      <c r="B1659" s="1">
        <v>0</v>
      </c>
      <c r="C1659" s="1" t="str">
        <f>IF(B1659=0,VLOOKUP(A1659,Feuil2!$A$2:$M$1241,2,FALSE)," ")</f>
        <v>DHAOUADI</v>
      </c>
      <c r="D1659" s="1" t="str">
        <f>IF(B1659=0,VLOOKUP(A1659,Feuil2!$A$2:$M$1241,3,FALSE)," ")</f>
        <v>MOHAMED HOSNI</v>
      </c>
      <c r="E1659" s="5">
        <f>IF(B1659=0,VLOOKUP(A1659,Feuil2!$A$2:$M$1241,6,FALSE)," ")</f>
        <v>34982</v>
      </c>
      <c r="F1659" s="1" t="str">
        <f>IF(B1659=0,VLOOKUP(A1659,Feuil2!$A$2:$M$1241,12,FALSE)," ")</f>
        <v>H</v>
      </c>
      <c r="G1659" s="1" t="str">
        <f>IF(B1659=0,VLOOKUP(A1659,Feuil2!$A$2:$M$1241,11,FALSE)," ")</f>
        <v>C</v>
      </c>
      <c r="H1659" s="1" t="s">
        <v>16</v>
      </c>
      <c r="I1659" s="6">
        <f>IF(B1659=0,VLOOKUP(A1659,Feuil2!$A$2:$M$1241,7,FALSE)," ")</f>
        <v>12808126</v>
      </c>
      <c r="J1659" s="1" t="str">
        <f>IF(B1659=0,VLOOKUP(A1659,Feuil2!$A$2:$M$1241,9,FALSE)," ")</f>
        <v>52 Route de Sfax</v>
      </c>
      <c r="K1659" s="1" t="str">
        <f>IF(B1659=0,VLOOKUP(A1659,Feuil2!$A$2:$M$1241,10,FALSE)," ")</f>
        <v>Msaken 4070</v>
      </c>
      <c r="L1659" s="1">
        <v>4070</v>
      </c>
      <c r="M1659" s="1">
        <v>53593895</v>
      </c>
      <c r="N1659" s="1"/>
      <c r="O1659" s="8" t="str">
        <f>IF(B1659=0,VLOOKUP(A1659,Feuil2!$A$2:$M$1241,13,FALSE)," ")</f>
        <v>14014014100704904179</v>
      </c>
    </row>
    <row r="1660" spans="1:15" x14ac:dyDescent="0.3">
      <c r="A1660" s="17">
        <v>2179</v>
      </c>
      <c r="B1660" s="17">
        <v>0</v>
      </c>
      <c r="C1660" s="17" t="str">
        <f>IF(B1660=0,VLOOKUP(A1660,Feuil2!$A$2:$M$1241,2,FALSE)," ")</f>
        <v>BOUHLEL</v>
      </c>
      <c r="D1660" s="17" t="str">
        <f>IF(B1660=0,VLOOKUP(A1660,Feuil2!$A$2:$M$1241,3,FALSE)," ")</f>
        <v>AHMED</v>
      </c>
      <c r="E1660" s="18">
        <f>IF(B1660=0,VLOOKUP(A1660,Feuil2!$A$2:$M$1241,6,FALSE)," ")</f>
        <v>31565</v>
      </c>
      <c r="F1660" s="17" t="str">
        <f>IF(B1660=0,VLOOKUP(A1660,Feuil2!$A$2:$M$1241,12,FALSE)," ")</f>
        <v>H</v>
      </c>
      <c r="G1660" s="17" t="str">
        <f>IF(B1660=0,VLOOKUP(A1660,Feuil2!$A$2:$M$1241,11,FALSE)," ")</f>
        <v>C</v>
      </c>
      <c r="H1660" s="17" t="s">
        <v>16</v>
      </c>
      <c r="I1660" s="19">
        <f>IF(B1660=0,VLOOKUP(A1660,Feuil2!$A$2:$M$1241,7,FALSE)," ")</f>
        <v>9264856</v>
      </c>
      <c r="J1660" s="17" t="str">
        <f>IF(B1660=0,VLOOKUP(A1660,Feuil2!$A$2:$M$1241,9,FALSE)," ")</f>
        <v>Rue Ariana</v>
      </c>
      <c r="K1660" s="17" t="str">
        <f>IF(B1660=0,VLOOKUP(A1660,Feuil2!$A$2:$M$1241,10,FALSE)," ")</f>
        <v>Msaken 4070</v>
      </c>
      <c r="L1660" s="17">
        <v>4070</v>
      </c>
      <c r="M1660" s="17">
        <v>26496934</v>
      </c>
      <c r="N1660" s="17"/>
      <c r="O1660" s="20" t="str">
        <f>IF(B1660=0,VLOOKUP(A1660,Feuil2!$A$2:$M$1241,13,FALSE)," ")</f>
        <v>08507000262004787592</v>
      </c>
    </row>
    <row r="1661" spans="1:15" x14ac:dyDescent="0.3">
      <c r="A1661" s="1">
        <v>2183</v>
      </c>
      <c r="B1661" s="1">
        <v>0</v>
      </c>
      <c r="C1661" s="1" t="str">
        <f>IF(B1661=0,VLOOKUP(A1661,Feuil2!$A$2:$M$1241,2,FALSE)," ")</f>
        <v>ISSAOUI</v>
      </c>
      <c r="D1661" s="1" t="str">
        <f>IF(B1661=0,VLOOKUP(A1661,Feuil2!$A$2:$M$1241,3,FALSE)," ")</f>
        <v>RACHED</v>
      </c>
      <c r="E1661" s="5">
        <f>IF(B1661=0,VLOOKUP(A1661,Feuil2!$A$2:$M$1241,6,FALSE)," ")</f>
        <v>35156</v>
      </c>
      <c r="F1661" s="1" t="str">
        <f>IF(B1661=0,VLOOKUP(A1661,Feuil2!$A$2:$M$1241,12,FALSE)," ")</f>
        <v>H</v>
      </c>
      <c r="G1661" s="1" t="str">
        <f>IF(B1661=0,VLOOKUP(A1661,Feuil2!$A$2:$M$1241,11,FALSE)," ")</f>
        <v>C</v>
      </c>
      <c r="H1661" s="1" t="s">
        <v>16</v>
      </c>
      <c r="I1661" s="6">
        <f>IF(B1661=0,VLOOKUP(A1661,Feuil2!$A$2:$M$1241,7,FALSE)," ")</f>
        <v>12819378</v>
      </c>
      <c r="J1661" s="1" t="str">
        <f>IF(B1661=0,VLOOKUP(A1661,Feuil2!$A$2:$M$1241,9,FALSE)," ")</f>
        <v>Rue Al Imem Ibn Hannibal</v>
      </c>
      <c r="K1661" s="1" t="str">
        <f>IF(B1661=0,VLOOKUP(A1661,Feuil2!$A$2:$M$1241,10,FALSE)," ")</f>
        <v>CitÃ© Erriadh</v>
      </c>
      <c r="L1661" s="1"/>
      <c r="M1661" s="1">
        <v>27918916</v>
      </c>
      <c r="N1661" s="1"/>
      <c r="O1661" s="8" t="str">
        <f>IF(B1661=0,VLOOKUP(A1661,Feuil2!$A$2:$M$1241,13,FALSE)," ")</f>
        <v>17503000000224506117</v>
      </c>
    </row>
    <row r="1662" spans="1:15" x14ac:dyDescent="0.3">
      <c r="A1662" s="1">
        <v>2185</v>
      </c>
      <c r="B1662" s="1">
        <v>0</v>
      </c>
      <c r="C1662" s="1" t="str">
        <f>IF(B1662=0,VLOOKUP(A1662,Feuil2!$A$2:$M$1241,2,FALSE)," ")</f>
        <v>BENYOUSSEF</v>
      </c>
      <c r="D1662" s="1" t="str">
        <f>IF(B1662=0,VLOOKUP(A1662,Feuil2!$A$2:$M$1241,3,FALSE)," ")</f>
        <v>MOHAMED</v>
      </c>
      <c r="E1662" s="5">
        <f>IF(B1662=0,VLOOKUP(A1662,Feuil2!$A$2:$M$1241,6,FALSE)," ")</f>
        <v>34197</v>
      </c>
      <c r="F1662" s="1" t="str">
        <f>IF(B1662=0,VLOOKUP(A1662,Feuil2!$A$2:$M$1241,12,FALSE)," ")</f>
        <v>H</v>
      </c>
      <c r="G1662" s="1" t="str">
        <f>IF(B1662=0,VLOOKUP(A1662,Feuil2!$A$2:$M$1241,11,FALSE)," ")</f>
        <v>C</v>
      </c>
      <c r="H1662" s="1" t="s">
        <v>16</v>
      </c>
      <c r="I1662" s="6">
        <f>IF(B1662=0,VLOOKUP(A1662,Feuil2!$A$2:$M$1241,7,FALSE)," ")</f>
        <v>9342414</v>
      </c>
      <c r="J1662" s="1" t="str">
        <f>IF(B1662=0,VLOOKUP(A1662,Feuil2!$A$2:$M$1241,9,FALSE)," ")</f>
        <v>Boudhebane</v>
      </c>
      <c r="K1662" s="1" t="str">
        <f>IF(B1662=0,VLOOKUP(A1662,Feuil2!$A$2:$M$1241,10,FALSE)," ")</f>
        <v>Msaken 4070</v>
      </c>
      <c r="L1662" s="1">
        <v>4070</v>
      </c>
      <c r="M1662" s="1">
        <v>95621075</v>
      </c>
      <c r="N1662" s="1"/>
      <c r="O1662" s="8" t="str">
        <f>IF(B1662=0,VLOOKUP(A1662,Feuil2!$A$2:$M$1241,13,FALSE)," ")</f>
        <v>04204067005957019208</v>
      </c>
    </row>
    <row r="1663" spans="1:15" x14ac:dyDescent="0.3">
      <c r="A1663" s="17">
        <v>2187</v>
      </c>
      <c r="B1663" s="17">
        <v>0</v>
      </c>
      <c r="C1663" s="17" t="str">
        <f>IF(B1663=0,VLOOKUP(A1663,Feuil2!$A$2:$M$1241,2,FALSE)," ")</f>
        <v>CHATTI</v>
      </c>
      <c r="D1663" s="17" t="str">
        <f>IF(B1663=0,VLOOKUP(A1663,Feuil2!$A$2:$M$1241,3,FALSE)," ")</f>
        <v>ZIED</v>
      </c>
      <c r="E1663" s="18">
        <f>IF(B1663=0,VLOOKUP(A1663,Feuil2!$A$2:$M$1241,6,FALSE)," ")</f>
        <v>30042</v>
      </c>
      <c r="F1663" s="17" t="str">
        <f>IF(B1663=0,VLOOKUP(A1663,Feuil2!$A$2:$M$1241,12,FALSE)," ")</f>
        <v>H</v>
      </c>
      <c r="G1663" s="17" t="str">
        <f>IF(B1663=0,VLOOKUP(A1663,Feuil2!$A$2:$M$1241,11,FALSE)," ")</f>
        <v>M</v>
      </c>
      <c r="H1663" s="17" t="s">
        <v>16</v>
      </c>
      <c r="I1663" s="19">
        <f>IF(B1663=0,VLOOKUP(A1663,Feuil2!$A$2:$M$1241,7,FALSE)," ")</f>
        <v>8463414</v>
      </c>
      <c r="J1663" s="17" t="str">
        <f>IF(B1663=0,VLOOKUP(A1663,Feuil2!$A$2:$M$1241,9,FALSE)," ")</f>
        <v>Aouled Ibrahim</v>
      </c>
      <c r="K1663" s="17" t="str">
        <f>IF(B1663=0,VLOOKUP(A1663,Feuil2!$A$2:$M$1241,10,FALSE)," ")</f>
        <v>Sidi El HÃ©ni 4025</v>
      </c>
      <c r="L1663" s="17"/>
      <c r="M1663" s="17">
        <v>55037566</v>
      </c>
      <c r="N1663" s="17"/>
      <c r="O1663" s="20" t="str">
        <f>IF(B1663=0,VLOOKUP(A1663,Feuil2!$A$2:$M$1241,13,FALSE)," ")</f>
        <v>12505000000235694064</v>
      </c>
    </row>
    <row r="1664" spans="1:15" x14ac:dyDescent="0.3">
      <c r="A1664" s="1">
        <v>2187</v>
      </c>
      <c r="B1664" s="1">
        <v>1</v>
      </c>
      <c r="C1664" s="1" t="s">
        <v>2235</v>
      </c>
      <c r="D1664" s="1" t="s">
        <v>2764</v>
      </c>
      <c r="E1664" s="5">
        <v>33634</v>
      </c>
      <c r="F1664" s="1" t="s">
        <v>17</v>
      </c>
      <c r="G1664" s="1" t="s">
        <v>15</v>
      </c>
      <c r="H1664" s="1" t="s">
        <v>16</v>
      </c>
      <c r="I1664" s="6" t="str">
        <f>IF(B1664=0,VLOOKUP(A1664,Feuil2!$A$2:$M$1241,7,FALSE)," ")</f>
        <v xml:space="preserve"> </v>
      </c>
      <c r="J1664" s="1" t="str">
        <f>IF(B1664=0,VLOOKUP(A1664,Feuil2!$A$2:$M$1241,9,FALSE)," ")</f>
        <v xml:space="preserve"> </v>
      </c>
      <c r="K1664" s="1" t="str">
        <f>IF(B1664=0,VLOOKUP(A1664,Feuil2!$A$2:$M$1241,10,FALSE)," ")</f>
        <v xml:space="preserve"> </v>
      </c>
      <c r="L1664" s="1"/>
      <c r="M1664" s="1"/>
      <c r="N1664" s="1"/>
      <c r="O1664" s="8" t="str">
        <f>IF(B1664=0,VLOOKUP(A1664,Feuil2!$A$2:$M$1241,13,FALSE)," ")</f>
        <v xml:space="preserve"> </v>
      </c>
    </row>
    <row r="1665" spans="1:15" x14ac:dyDescent="0.3">
      <c r="A1665" s="1">
        <v>2187</v>
      </c>
      <c r="B1665" s="1">
        <v>2</v>
      </c>
      <c r="C1665" s="1" t="s">
        <v>71</v>
      </c>
      <c r="D1665" s="1" t="s">
        <v>2765</v>
      </c>
      <c r="E1665" s="5">
        <v>41371</v>
      </c>
      <c r="F1665" s="1" t="s">
        <v>506</v>
      </c>
      <c r="G1665" s="1" t="str">
        <f>IF(B1665=0,VLOOKUP(A1665,Feuil2!$A$2:$M$1241,11,FALSE)," ")</f>
        <v xml:space="preserve"> </v>
      </c>
      <c r="H1665" s="1" t="s">
        <v>16</v>
      </c>
      <c r="I1665" s="6" t="str">
        <f>IF(B1665=0,VLOOKUP(A1665,Feuil2!$A$2:$M$1241,7,FALSE)," ")</f>
        <v xml:space="preserve"> </v>
      </c>
      <c r="J1665" s="1" t="str">
        <f>IF(B1665=0,VLOOKUP(A1665,Feuil2!$A$2:$M$1241,9,FALSE)," ")</f>
        <v xml:space="preserve"> </v>
      </c>
      <c r="K1665" s="1" t="str">
        <f>IF(B1665=0,VLOOKUP(A1665,Feuil2!$A$2:$M$1241,10,FALSE)," ")</f>
        <v xml:space="preserve"> </v>
      </c>
      <c r="L1665" s="1"/>
      <c r="M1665" s="1"/>
      <c r="N1665" s="1"/>
      <c r="O1665" s="8" t="str">
        <f>IF(B1665=0,VLOOKUP(A1665,Feuil2!$A$2:$M$1241,13,FALSE)," ")</f>
        <v xml:space="preserve"> </v>
      </c>
    </row>
    <row r="1666" spans="1:15" x14ac:dyDescent="0.3">
      <c r="A1666" s="1">
        <v>2187</v>
      </c>
      <c r="B1666" s="1">
        <v>3</v>
      </c>
      <c r="C1666" s="1" t="s">
        <v>71</v>
      </c>
      <c r="D1666" s="1" t="s">
        <v>2627</v>
      </c>
      <c r="E1666" s="5">
        <v>41962</v>
      </c>
      <c r="F1666" s="1" t="s">
        <v>506</v>
      </c>
      <c r="G1666" s="1" t="str">
        <f>IF(B1666=0,VLOOKUP(A1666,Feuil2!$A$2:$M$1241,11,FALSE)," ")</f>
        <v xml:space="preserve"> </v>
      </c>
      <c r="H1666" s="1" t="s">
        <v>16</v>
      </c>
      <c r="I1666" s="6" t="str">
        <f>IF(B1666=0,VLOOKUP(A1666,Feuil2!$A$2:$M$1241,7,FALSE)," ")</f>
        <v xml:space="preserve"> </v>
      </c>
      <c r="J1666" s="1" t="str">
        <f>IF(B1666=0,VLOOKUP(A1666,Feuil2!$A$2:$M$1241,9,FALSE)," ")</f>
        <v xml:space="preserve"> </v>
      </c>
      <c r="K1666" s="1" t="str">
        <f>IF(B1666=0,VLOOKUP(A1666,Feuil2!$A$2:$M$1241,10,FALSE)," ")</f>
        <v xml:space="preserve"> </v>
      </c>
      <c r="L1666" s="1"/>
      <c r="M1666" s="1"/>
      <c r="N1666" s="1"/>
      <c r="O1666" s="8" t="str">
        <f>IF(B1666=0,VLOOKUP(A1666,Feuil2!$A$2:$M$1241,13,FALSE)," ")</f>
        <v xml:space="preserve"> </v>
      </c>
    </row>
    <row r="1667" spans="1:15" x14ac:dyDescent="0.3">
      <c r="A1667" s="1">
        <v>2187</v>
      </c>
      <c r="B1667" s="1">
        <v>4</v>
      </c>
      <c r="C1667" s="1" t="s">
        <v>71</v>
      </c>
      <c r="D1667" s="1" t="s">
        <v>2501</v>
      </c>
      <c r="E1667" s="5">
        <v>43482</v>
      </c>
      <c r="F1667" s="1" t="s">
        <v>17</v>
      </c>
      <c r="G1667" s="1" t="str">
        <f>IF(B1667=0,VLOOKUP(A1667,Feuil2!$A$2:$M$1241,11,FALSE)," ")</f>
        <v xml:space="preserve"> </v>
      </c>
      <c r="H1667" s="1" t="s">
        <v>16</v>
      </c>
      <c r="I1667" s="6" t="str">
        <f>IF(B1667=0,VLOOKUP(A1667,Feuil2!$A$2:$M$1241,7,FALSE)," ")</f>
        <v xml:space="preserve"> </v>
      </c>
      <c r="J1667" s="1" t="str">
        <f>IF(B1667=0,VLOOKUP(A1667,Feuil2!$A$2:$M$1241,9,FALSE)," ")</f>
        <v xml:space="preserve"> </v>
      </c>
      <c r="K1667" s="1" t="str">
        <f>IF(B1667=0,VLOOKUP(A1667,Feuil2!$A$2:$M$1241,10,FALSE)," ")</f>
        <v xml:space="preserve"> </v>
      </c>
      <c r="L1667" s="1"/>
      <c r="M1667" s="1"/>
      <c r="N1667" s="1"/>
      <c r="O1667" s="8" t="str">
        <f>IF(B1667=0,VLOOKUP(A1667,Feuil2!$A$2:$M$1241,13,FALSE)," ")</f>
        <v xml:space="preserve"> </v>
      </c>
    </row>
    <row r="1668" spans="1:15" x14ac:dyDescent="0.3">
      <c r="A1668" s="1">
        <v>2206</v>
      </c>
      <c r="B1668" s="1">
        <v>0</v>
      </c>
      <c r="C1668" s="1" t="str">
        <f>IF(B1668=0,VLOOKUP(A1668,Feuil2!$A$2:$M$1241,2,FALSE)," ")</f>
        <v>TOUMI</v>
      </c>
      <c r="D1668" s="1" t="str">
        <f>IF(B1668=0,VLOOKUP(A1668,Feuil2!$A$2:$M$1241,3,FALSE)," ")</f>
        <v>MOHAMED ISMAIL</v>
      </c>
      <c r="E1668" s="5">
        <f>IF(B1668=0,VLOOKUP(A1668,Feuil2!$A$2:$M$1241,6,FALSE)," ")</f>
        <v>33264</v>
      </c>
      <c r="F1668" s="1" t="s">
        <v>506</v>
      </c>
      <c r="G1668" s="1" t="s">
        <v>16</v>
      </c>
      <c r="H1668" s="1" t="s">
        <v>16</v>
      </c>
      <c r="I1668" s="6">
        <f>IF(B1668=0,VLOOKUP(A1668,Feuil2!$A$2:$M$1241,7,FALSE)," ")</f>
        <v>9306311</v>
      </c>
      <c r="J1668" s="1" t="str">
        <f>IF(B1668=0,VLOOKUP(A1668,Feuil2!$A$2:$M$1241,9,FALSE)," ")</f>
        <v>Rue de la Garre</v>
      </c>
      <c r="K1668" s="1" t="str">
        <f>IF(B1668=0,VLOOKUP(A1668,Feuil2!$A$2:$M$1241,10,FALSE)," ")</f>
        <v>Msaken</v>
      </c>
      <c r="L1668" s="1">
        <v>4070</v>
      </c>
      <c r="M1668" s="1">
        <v>25227510</v>
      </c>
      <c r="N1668" s="1"/>
      <c r="O1668" s="8" t="str">
        <f>IF(B1668=0,VLOOKUP(A1668,Feuil2!$A$2:$M$1241,13,FALSE)," ")</f>
        <v>12505000000232863992</v>
      </c>
    </row>
    <row r="1669" spans="1:15" x14ac:dyDescent="0.3">
      <c r="A1669" s="1">
        <v>2237</v>
      </c>
      <c r="B1669" s="1">
        <v>0</v>
      </c>
      <c r="C1669" s="1" t="s">
        <v>776</v>
      </c>
      <c r="D1669" s="1" t="s">
        <v>2766</v>
      </c>
      <c r="E1669" s="5">
        <v>31913</v>
      </c>
      <c r="F1669" s="1" t="s">
        <v>506</v>
      </c>
      <c r="G1669" s="1" t="s">
        <v>16</v>
      </c>
      <c r="H1669" s="1" t="s">
        <v>16</v>
      </c>
      <c r="I1669" s="6" t="e">
        <f>IF(B1669=0,VLOOKUP(A1669,Feuil2!$A$2:$M$1241,7,FALSE)," ")</f>
        <v>#N/A</v>
      </c>
      <c r="J1669" s="1" t="s">
        <v>2770</v>
      </c>
      <c r="K1669" s="1" t="s">
        <v>2256</v>
      </c>
      <c r="L1669" s="1">
        <v>4070</v>
      </c>
      <c r="M1669" s="1">
        <v>26489648</v>
      </c>
      <c r="N1669" s="1"/>
      <c r="O1669" s="8" t="e">
        <f>IF(B1669=0,VLOOKUP(A1669,Feuil2!$A$2:$M$1241,13,FALSE)," ")</f>
        <v>#N/A</v>
      </c>
    </row>
    <row r="1670" spans="1:15" x14ac:dyDescent="0.3">
      <c r="A1670" s="17">
        <v>2238</v>
      </c>
      <c r="B1670" s="17">
        <v>0</v>
      </c>
      <c r="C1670" s="17" t="s">
        <v>2767</v>
      </c>
      <c r="D1670" s="17" t="s">
        <v>2768</v>
      </c>
      <c r="E1670" s="18">
        <v>31704</v>
      </c>
      <c r="F1670" s="17" t="s">
        <v>506</v>
      </c>
      <c r="G1670" s="17" t="s">
        <v>15</v>
      </c>
      <c r="H1670" s="17" t="s">
        <v>16</v>
      </c>
      <c r="I1670" s="19" t="e">
        <f>IF(B1670=0,VLOOKUP(A1670,Feuil2!$A$2:$M$1241,7,FALSE)," ")</f>
        <v>#N/A</v>
      </c>
      <c r="J1670" s="17" t="s">
        <v>2769</v>
      </c>
      <c r="K1670" s="17" t="s">
        <v>2256</v>
      </c>
      <c r="L1670" s="17">
        <v>4070</v>
      </c>
      <c r="M1670" s="17">
        <v>92118916</v>
      </c>
      <c r="N1670" s="17"/>
      <c r="O1670" s="20" t="e">
        <f>IF(B1670=0,VLOOKUP(A1670,Feuil2!$A$2:$M$1241,13,FALSE)," ")</f>
        <v>#N/A</v>
      </c>
    </row>
    <row r="1671" spans="1:15" x14ac:dyDescent="0.3">
      <c r="A1671" s="1">
        <v>2238</v>
      </c>
      <c r="B1671" s="1">
        <v>1</v>
      </c>
      <c r="C1671" s="1" t="str">
        <f>IF(B1671=0,VLOOKUP(A1671,Feuil2!$A$2:$M$1241,2,FALSE)," ")</f>
        <v xml:space="preserve"> </v>
      </c>
      <c r="D1671" s="1" t="s">
        <v>2682</v>
      </c>
      <c r="E1671" s="5">
        <v>31770</v>
      </c>
      <c r="F1671" s="1" t="s">
        <v>17</v>
      </c>
      <c r="G1671" s="1" t="s">
        <v>15</v>
      </c>
      <c r="H1671" s="1" t="s">
        <v>16</v>
      </c>
      <c r="I1671" s="6" t="str">
        <f>IF(B1671=0,VLOOKUP(A1671,Feuil2!$A$2:$M$1241,7,FALSE)," ")</f>
        <v xml:space="preserve"> </v>
      </c>
      <c r="J1671" s="1" t="str">
        <f>IF(B1671=0,VLOOKUP(A1671,Feuil2!$A$2:$M$1241,9,FALSE)," ")</f>
        <v xml:space="preserve"> </v>
      </c>
      <c r="K1671" s="1" t="str">
        <f>IF(B1671=0,VLOOKUP(A1671,Feuil2!$A$2:$M$1241,10,FALSE)," ")</f>
        <v xml:space="preserve"> </v>
      </c>
      <c r="L1671" s="1"/>
      <c r="M1671" s="1"/>
      <c r="N1671" s="1"/>
      <c r="O1671" s="8" t="str">
        <f>IF(B1671=0,VLOOKUP(A1671,Feuil2!$A$2:$M$1241,13,FALSE)," ")</f>
        <v xml:space="preserve"> </v>
      </c>
    </row>
    <row r="1672" spans="1:15" x14ac:dyDescent="0.3">
      <c r="A1672" s="1">
        <v>2238</v>
      </c>
      <c r="B1672" s="1">
        <v>2</v>
      </c>
      <c r="C1672" s="1" t="s">
        <v>2767</v>
      </c>
      <c r="D1672" s="1" t="s">
        <v>2701</v>
      </c>
      <c r="E1672" s="5">
        <v>41810</v>
      </c>
      <c r="F1672" s="1" t="s">
        <v>17</v>
      </c>
      <c r="G1672" s="1" t="str">
        <f>IF(B1672=0,VLOOKUP(A1672,Feuil2!$A$2:$M$1241,11,FALSE)," ")</f>
        <v xml:space="preserve"> </v>
      </c>
      <c r="H1672" s="1" t="s">
        <v>16</v>
      </c>
      <c r="I1672" s="6" t="str">
        <f>IF(B1672=0,VLOOKUP(A1672,Feuil2!$A$2:$M$1241,7,FALSE)," ")</f>
        <v xml:space="preserve"> </v>
      </c>
      <c r="J1672" s="1" t="str">
        <f>IF(B1672=0,VLOOKUP(A1672,Feuil2!$A$2:$M$1241,9,FALSE)," ")</f>
        <v xml:space="preserve"> </v>
      </c>
      <c r="K1672" s="1" t="str">
        <f>IF(B1672=0,VLOOKUP(A1672,Feuil2!$A$2:$M$1241,10,FALSE)," ")</f>
        <v xml:space="preserve"> </v>
      </c>
      <c r="L1672" s="1"/>
      <c r="M1672" s="1"/>
      <c r="N1672" s="1"/>
      <c r="O1672" s="8" t="str">
        <f>IF(B1672=0,VLOOKUP(A1672,Feuil2!$A$2:$M$1241,13,FALSE)," ")</f>
        <v xml:space="preserve"> </v>
      </c>
    </row>
    <row r="1673" spans="1:15" x14ac:dyDescent="0.3">
      <c r="A1673" s="1">
        <v>2238</v>
      </c>
      <c r="B1673" s="1">
        <v>3</v>
      </c>
      <c r="C1673" s="1" t="s">
        <v>2767</v>
      </c>
      <c r="D1673" s="1" t="s">
        <v>2663</v>
      </c>
      <c r="E1673" s="5">
        <v>42574</v>
      </c>
      <c r="F1673" s="1" t="s">
        <v>17</v>
      </c>
      <c r="G1673" s="1" t="str">
        <f>IF(B1673=0,VLOOKUP(A1673,Feuil2!$A$2:$M$1241,11,FALSE)," ")</f>
        <v xml:space="preserve"> </v>
      </c>
      <c r="H1673" s="1" t="s">
        <v>16</v>
      </c>
      <c r="I1673" s="6" t="str">
        <f>IF(B1673=0,VLOOKUP(A1673,Feuil2!$A$2:$M$1241,7,FALSE)," ")</f>
        <v xml:space="preserve"> </v>
      </c>
      <c r="J1673" s="1" t="str">
        <f>IF(B1673=0,VLOOKUP(A1673,Feuil2!$A$2:$M$1241,9,FALSE)," ")</f>
        <v xml:space="preserve"> </v>
      </c>
      <c r="K1673" s="1" t="str">
        <f>IF(B1673=0,VLOOKUP(A1673,Feuil2!$A$2:$M$1241,10,FALSE)," ")</f>
        <v xml:space="preserve"> </v>
      </c>
      <c r="L1673" s="1"/>
      <c r="M1673" s="1"/>
      <c r="N1673" s="1"/>
      <c r="O1673" s="8" t="str">
        <f>IF(B1673=0,VLOOKUP(A1673,Feuil2!$A$2:$M$1241,13,FALSE)," ")</f>
        <v xml:space="preserve"> </v>
      </c>
    </row>
    <row r="1674" spans="1:15" x14ac:dyDescent="0.3">
      <c r="A1674" s="1">
        <v>2238</v>
      </c>
      <c r="B1674" s="1">
        <v>4</v>
      </c>
      <c r="C1674" s="1" t="s">
        <v>2767</v>
      </c>
      <c r="D1674" s="1" t="s">
        <v>2347</v>
      </c>
      <c r="E1674" s="5">
        <v>43319</v>
      </c>
      <c r="F1674" s="1" t="s">
        <v>506</v>
      </c>
      <c r="G1674" s="1" t="str">
        <f>IF(B1674=0,VLOOKUP(A1674,Feuil2!$A$2:$M$1241,11,FALSE)," ")</f>
        <v xml:space="preserve"> </v>
      </c>
      <c r="H1674" s="1" t="s">
        <v>16</v>
      </c>
      <c r="I1674" s="6" t="str">
        <f>IF(B1674=0,VLOOKUP(A1674,Feuil2!$A$2:$M$1241,7,FALSE)," ")</f>
        <v xml:space="preserve"> </v>
      </c>
      <c r="J1674" s="1" t="str">
        <f>IF(B1674=0,VLOOKUP(A1674,Feuil2!$A$2:$M$1241,9,FALSE)," ")</f>
        <v xml:space="preserve"> </v>
      </c>
      <c r="K1674" s="1" t="str">
        <f>IF(B1674=0,VLOOKUP(A1674,Feuil2!$A$2:$M$1241,10,FALSE)," ")</f>
        <v xml:space="preserve"> </v>
      </c>
      <c r="L1674" s="1"/>
      <c r="M1674" s="1"/>
      <c r="N1674" s="1"/>
      <c r="O1674" s="8" t="str">
        <f>IF(B1674=0,VLOOKUP(A1674,Feuil2!$A$2:$M$1241,13,FALSE)," ")</f>
        <v xml:space="preserve"> </v>
      </c>
    </row>
    <row r="1675" spans="1:15" x14ac:dyDescent="0.3">
      <c r="A1675" s="1">
        <v>2238</v>
      </c>
      <c r="B1675" s="1">
        <v>5</v>
      </c>
      <c r="C1675" s="1" t="s">
        <v>2767</v>
      </c>
      <c r="D1675" s="1" t="s">
        <v>2345</v>
      </c>
      <c r="E1675" s="5">
        <v>43855</v>
      </c>
      <c r="F1675" s="1" t="s">
        <v>17</v>
      </c>
      <c r="G1675" s="1" t="str">
        <f>IF(B1675=0,VLOOKUP(A1675,Feuil2!$A$2:$M$1241,11,FALSE)," ")</f>
        <v xml:space="preserve"> </v>
      </c>
      <c r="H1675" s="1" t="s">
        <v>16</v>
      </c>
      <c r="I1675" s="6" t="str">
        <f>IF(B1675=0,VLOOKUP(A1675,Feuil2!$A$2:$M$1241,7,FALSE)," ")</f>
        <v xml:space="preserve"> </v>
      </c>
      <c r="J1675" s="1" t="str">
        <f>IF(B1675=0,VLOOKUP(A1675,Feuil2!$A$2:$M$1241,9,FALSE)," ")</f>
        <v xml:space="preserve"> </v>
      </c>
      <c r="K1675" s="1" t="str">
        <f>IF(B1675=0,VLOOKUP(A1675,Feuil2!$A$2:$M$1241,10,FALSE)," ")</f>
        <v xml:space="preserve"> </v>
      </c>
      <c r="L1675" s="1"/>
      <c r="M1675" s="1"/>
      <c r="N1675" s="1"/>
      <c r="O1675" s="8" t="str">
        <f>IF(B1675=0,VLOOKUP(A1675,Feuil2!$A$2:$M$1241,13,FALSE)," ")</f>
        <v xml:space="preserve"> </v>
      </c>
    </row>
    <row r="1676" spans="1:15" x14ac:dyDescent="0.3">
      <c r="A1676" s="1">
        <v>1706</v>
      </c>
      <c r="B1676" s="1">
        <v>0</v>
      </c>
      <c r="C1676" s="1" t="str">
        <f>IF(B1676=0,VLOOKUP(A1676,Feuil2!$A$2:$M$1241,2,FALSE)," ")</f>
        <v>GRIRA LOKHDHIRI</v>
      </c>
      <c r="D1676" s="1" t="str">
        <f>IF(B1676=0,VLOOKUP(A1676,Feuil2!$A$2:$M$1241,3,FALSE)," ")</f>
        <v>FREDJ</v>
      </c>
      <c r="E1676" s="5">
        <f>IF(B1676=0,VLOOKUP(A1676,Feuil2!$A$2:$M$1241,6,FALSE)," ")</f>
        <v>26722</v>
      </c>
      <c r="F1676" s="1" t="str">
        <f>IF(B1676=0,VLOOKUP(A1676,Feuil2!$A$2:$M$1241,12,FALSE)," ")</f>
        <v>H</v>
      </c>
      <c r="G1676" s="1" t="str">
        <f>IF(B1676=0,VLOOKUP(A1676,Feuil2!$A$2:$M$1241,11,FALSE)," ")</f>
        <v>M</v>
      </c>
      <c r="H1676" s="1" t="s">
        <v>16</v>
      </c>
      <c r="I1676" s="6">
        <f>IF(B1676=0,VLOOKUP(A1676,Feuil2!$A$2:$M$1241,7,FALSE)," ")</f>
        <v>5536013</v>
      </c>
      <c r="J1676" s="1" t="str">
        <f>IF(B1676=0,VLOOKUP(A1676,Feuil2!$A$2:$M$1241,9,FALSE)," ")</f>
        <v>Route de Sfax</v>
      </c>
      <c r="K1676" s="1" t="str">
        <f>IF(B1676=0,VLOOKUP(A1676,Feuil2!$A$2:$M$1241,10,FALSE)," ")</f>
        <v>Msaken 4070</v>
      </c>
      <c r="L1676" s="1">
        <v>4070</v>
      </c>
      <c r="M1676" s="1">
        <v>96542181</v>
      </c>
      <c r="N1676" s="1"/>
      <c r="O1676" s="8" t="str">
        <f>IF(B1676=0,VLOOKUP(A1676,Feuil2!$A$2:$M$1241,13,FALSE)," ")</f>
        <v>10506040205671778894</v>
      </c>
    </row>
    <row r="1677" spans="1:15" x14ac:dyDescent="0.3">
      <c r="A1677" s="1">
        <v>1706</v>
      </c>
      <c r="B1677" s="1">
        <v>1</v>
      </c>
      <c r="C1677" s="1" t="s">
        <v>354</v>
      </c>
      <c r="D1677" s="1" t="s">
        <v>402</v>
      </c>
      <c r="E1677" s="5">
        <v>31314</v>
      </c>
      <c r="F1677" s="1" t="s">
        <v>17</v>
      </c>
      <c r="G1677" s="1" t="s">
        <v>15</v>
      </c>
      <c r="H1677" s="1" t="s">
        <v>16</v>
      </c>
      <c r="I1677" s="6" t="str">
        <f>IF(B1677=0,VLOOKUP(A1677,Feuil2!$A$2:$M$1241,7,FALSE)," ")</f>
        <v xml:space="preserve"> </v>
      </c>
      <c r="J1677" s="1" t="str">
        <f>IF(B1677=0,VLOOKUP(A1677,Feuil2!$A$2:$M$1241,9,FALSE)," ")</f>
        <v xml:space="preserve"> </v>
      </c>
      <c r="K1677" s="1" t="str">
        <f>IF(B1677=0,VLOOKUP(A1677,Feuil2!$A$2:$M$1241,10,FALSE)," ")</f>
        <v xml:space="preserve"> </v>
      </c>
      <c r="L1677" s="1"/>
      <c r="M1677" s="1"/>
      <c r="N1677" s="1"/>
      <c r="O1677" s="8" t="str">
        <f>IF(B1677=0,VLOOKUP(A1677,Feuil2!$A$2:$M$1241,13,FALSE)," ")</f>
        <v xml:space="preserve"> </v>
      </c>
    </row>
    <row r="1678" spans="1:15" x14ac:dyDescent="0.3">
      <c r="A1678" s="1">
        <v>1706</v>
      </c>
      <c r="B1678" s="1">
        <v>2</v>
      </c>
      <c r="C1678" s="1" t="s">
        <v>1602</v>
      </c>
      <c r="D1678" s="1" t="s">
        <v>230</v>
      </c>
      <c r="E1678" s="5">
        <v>39720</v>
      </c>
      <c r="F1678" s="1" t="s">
        <v>506</v>
      </c>
      <c r="G1678" s="1" t="str">
        <f>IF(B1678=0,VLOOKUP(A1678,Feuil2!$A$2:$M$1241,11,FALSE)," ")</f>
        <v xml:space="preserve"> </v>
      </c>
      <c r="H1678" s="1" t="s">
        <v>16</v>
      </c>
      <c r="I1678" s="6" t="str">
        <f>IF(B1678=0,VLOOKUP(A1678,Feuil2!$A$2:$M$1241,7,FALSE)," ")</f>
        <v xml:space="preserve"> </v>
      </c>
      <c r="J1678" s="1" t="str">
        <f>IF(B1678=0,VLOOKUP(A1678,Feuil2!$A$2:$M$1241,9,FALSE)," ")</f>
        <v xml:space="preserve"> </v>
      </c>
      <c r="K1678" s="1" t="str">
        <f>IF(B1678=0,VLOOKUP(A1678,Feuil2!$A$2:$M$1241,10,FALSE)," ")</f>
        <v xml:space="preserve"> </v>
      </c>
      <c r="L1678" s="1"/>
      <c r="M1678" s="1"/>
      <c r="N1678" s="1"/>
      <c r="O1678" s="8" t="str">
        <f>IF(B1678=0,VLOOKUP(A1678,Feuil2!$A$2:$M$1241,13,FALSE)," ")</f>
        <v xml:space="preserve"> </v>
      </c>
    </row>
    <row r="1679" spans="1:15" x14ac:dyDescent="0.3">
      <c r="A1679" s="1">
        <v>1706</v>
      </c>
      <c r="B1679" s="1">
        <v>3</v>
      </c>
      <c r="C1679" s="1" t="s">
        <v>1602</v>
      </c>
      <c r="D1679" s="1" t="s">
        <v>2447</v>
      </c>
      <c r="E1679" s="5">
        <v>40593</v>
      </c>
      <c r="F1679" s="1" t="s">
        <v>17</v>
      </c>
      <c r="G1679" s="1" t="str">
        <f>IF(B1679=0,VLOOKUP(A1679,Feuil2!$A$2:$M$1241,11,FALSE)," ")</f>
        <v xml:space="preserve"> </v>
      </c>
      <c r="H1679" s="1" t="s">
        <v>16</v>
      </c>
      <c r="I1679" s="6" t="str">
        <f>IF(B1679=0,VLOOKUP(A1679,Feuil2!$A$2:$M$1241,7,FALSE)," ")</f>
        <v xml:space="preserve"> </v>
      </c>
      <c r="J1679" s="1" t="str">
        <f>IF(B1679=0,VLOOKUP(A1679,Feuil2!$A$2:$M$1241,9,FALSE)," ")</f>
        <v xml:space="preserve"> </v>
      </c>
      <c r="K1679" s="1" t="str">
        <f>IF(B1679=0,VLOOKUP(A1679,Feuil2!$A$2:$M$1241,10,FALSE)," ")</f>
        <v xml:space="preserve"> </v>
      </c>
      <c r="L1679" s="1"/>
      <c r="M1679" s="1"/>
      <c r="N1679" s="1"/>
      <c r="O1679" s="8" t="str">
        <f>IF(B1679=0,VLOOKUP(A1679,Feuil2!$A$2:$M$1241,13,FALSE)," ")</f>
        <v xml:space="preserve"> </v>
      </c>
    </row>
    <row r="1680" spans="1:15" x14ac:dyDescent="0.3">
      <c r="A1680" s="1">
        <v>1706</v>
      </c>
      <c r="B1680" s="1">
        <v>4</v>
      </c>
      <c r="C1680" s="1" t="s">
        <v>1602</v>
      </c>
      <c r="D1680" s="1" t="s">
        <v>89</v>
      </c>
      <c r="E1680" s="5">
        <v>41250</v>
      </c>
      <c r="F1680" s="1" t="s">
        <v>506</v>
      </c>
      <c r="G1680" s="1" t="str">
        <f>IF(B1680=0,VLOOKUP(A1680,Feuil2!$A$2:$M$1241,11,FALSE)," ")</f>
        <v xml:space="preserve"> </v>
      </c>
      <c r="H1680" s="1" t="s">
        <v>16</v>
      </c>
      <c r="I1680" s="6" t="str">
        <f>IF(B1680=0,VLOOKUP(A1680,Feuil2!$A$2:$M$1241,7,FALSE)," ")</f>
        <v xml:space="preserve"> </v>
      </c>
      <c r="J1680" s="1" t="str">
        <f>IF(B1680=0,VLOOKUP(A1680,Feuil2!$A$2:$M$1241,9,FALSE)," ")</f>
        <v xml:space="preserve"> </v>
      </c>
      <c r="K1680" s="1" t="str">
        <f>IF(B1680=0,VLOOKUP(A1680,Feuil2!$A$2:$M$1241,10,FALSE)," ")</f>
        <v xml:space="preserve"> </v>
      </c>
      <c r="L1680" s="1"/>
      <c r="M1680" s="1"/>
      <c r="N1680" s="1"/>
      <c r="O1680" s="8" t="str">
        <f>IF(B1680=0,VLOOKUP(A1680,Feuil2!$A$2:$M$1241,13,FALSE)," ")</f>
        <v xml:space="preserve"> </v>
      </c>
    </row>
    <row r="1681" spans="1:15" x14ac:dyDescent="0.3">
      <c r="A1681" s="1">
        <v>1706</v>
      </c>
      <c r="B1681" s="1">
        <v>5</v>
      </c>
      <c r="C1681" s="1" t="s">
        <v>1602</v>
      </c>
      <c r="D1681" s="1" t="s">
        <v>2613</v>
      </c>
      <c r="E1681" s="5">
        <v>43393</v>
      </c>
      <c r="F1681" s="1" t="s">
        <v>17</v>
      </c>
      <c r="G1681" s="1" t="str">
        <f>IF(B1681=0,VLOOKUP(A1681,Feuil2!$A$2:$M$1241,11,FALSE)," ")</f>
        <v xml:space="preserve"> </v>
      </c>
      <c r="H1681" s="1" t="s">
        <v>16</v>
      </c>
      <c r="I1681" s="6" t="str">
        <f>IF(B1681=0,VLOOKUP(A1681,Feuil2!$A$2:$M$1241,7,FALSE)," ")</f>
        <v xml:space="preserve"> </v>
      </c>
      <c r="J1681" s="1" t="str">
        <f>IF(B1681=0,VLOOKUP(A1681,Feuil2!$A$2:$M$1241,9,FALSE)," ")</f>
        <v xml:space="preserve"> </v>
      </c>
      <c r="K1681" s="1" t="str">
        <f>IF(B1681=0,VLOOKUP(A1681,Feuil2!$A$2:$M$1241,10,FALSE)," ")</f>
        <v xml:space="preserve"> </v>
      </c>
      <c r="L1681" s="1"/>
      <c r="M1681" s="1"/>
      <c r="N1681" s="1"/>
      <c r="O1681" s="8" t="str">
        <f>IF(B1681=0,VLOOKUP(A1681,Feuil2!$A$2:$M$1241,13,FALSE)," ")</f>
        <v xml:space="preserve"> </v>
      </c>
    </row>
    <row r="1682" spans="1:15" x14ac:dyDescent="0.3">
      <c r="A1682" s="1">
        <v>1590</v>
      </c>
      <c r="B1682" s="1">
        <v>0</v>
      </c>
      <c r="C1682" s="1" t="str">
        <f>IF(B1682=0,VLOOKUP(A1682,Feuil2!$A$2:$M$1241,2,FALSE)," ")</f>
        <v>ABDELLAH</v>
      </c>
      <c r="D1682" s="1" t="str">
        <f>IF(B1682=0,VLOOKUP(A1682,Feuil2!$A$2:$M$1241,3,FALSE)," ")</f>
        <v>HASSINE</v>
      </c>
      <c r="E1682" s="5">
        <f>IF(B1682=0,VLOOKUP(A1682,Feuil2!$A$2:$M$1241,6,FALSE)," ")</f>
        <v>28246</v>
      </c>
      <c r="F1682" s="1" t="str">
        <f>IF(B1682=0,VLOOKUP(A1682,Feuil2!$A$2:$M$1241,12,FALSE)," ")</f>
        <v>H</v>
      </c>
      <c r="G1682" s="1" t="str">
        <f>IF(B1682=0,VLOOKUP(A1682,Feuil2!$A$2:$M$1241,11,FALSE)," ")</f>
        <v>M</v>
      </c>
      <c r="H1682" s="1" t="s">
        <v>16</v>
      </c>
      <c r="I1682" s="6">
        <f>IF(B1682=0,VLOOKUP(A1682,Feuil2!$A$2:$M$1241,7,FALSE)," ")</f>
        <v>5569066</v>
      </c>
      <c r="J1682" s="1" t="str">
        <f>IF(B1682=0,VLOOKUP(A1682,Feuil2!$A$2:$M$1241,9,FALSE)," ")</f>
        <v>142 Rue Khaireddine Bacha</v>
      </c>
      <c r="K1682" s="1" t="str">
        <f>IF(B1682=0,VLOOKUP(A1682,Feuil2!$A$2:$M$1241,10,FALSE)," ")</f>
        <v>Msaken 4070</v>
      </c>
      <c r="L1682" s="1">
        <v>4070</v>
      </c>
      <c r="M1682" s="1">
        <v>26190271</v>
      </c>
      <c r="N1682" s="1"/>
      <c r="O1682" s="10" t="s">
        <v>2786</v>
      </c>
    </row>
    <row r="1683" spans="1:15" x14ac:dyDescent="0.3">
      <c r="A1683" s="1">
        <v>1590</v>
      </c>
      <c r="B1683" s="1">
        <v>1</v>
      </c>
      <c r="C1683" s="1" t="s">
        <v>2784</v>
      </c>
      <c r="D1683" s="1" t="s">
        <v>2785</v>
      </c>
      <c r="E1683" s="5">
        <v>31897</v>
      </c>
      <c r="F1683" s="1" t="s">
        <v>17</v>
      </c>
      <c r="G1683" s="1" t="s">
        <v>15</v>
      </c>
      <c r="H1683" s="1" t="s">
        <v>16</v>
      </c>
      <c r="I1683" s="6" t="str">
        <f>IF(B1683=0,VLOOKUP(A1683,Feuil2!$A$2:$M$1241,7,FALSE)," ")</f>
        <v xml:space="preserve"> </v>
      </c>
      <c r="J1683" s="1" t="str">
        <f>IF(B1683=0,VLOOKUP(A1683,Feuil2!$A$2:$M$1241,9,FALSE)," ")</f>
        <v xml:space="preserve"> </v>
      </c>
      <c r="K1683" s="1" t="str">
        <f>IF(B1683=0,VLOOKUP(A1683,Feuil2!$A$2:$M$1241,10,FALSE)," ")</f>
        <v xml:space="preserve"> </v>
      </c>
      <c r="L1683" s="1"/>
      <c r="M1683" s="1"/>
      <c r="N1683" s="1"/>
      <c r="O1683" s="8" t="str">
        <f>IF(B1683=0,VLOOKUP(A1683,Feuil2!$A$2:$M$1241,13,FALSE)," ")</f>
        <v xml:space="preserve"> </v>
      </c>
    </row>
    <row r="1684" spans="1:15" x14ac:dyDescent="0.3">
      <c r="A1684" s="1">
        <v>1590</v>
      </c>
      <c r="B1684" s="1">
        <v>2</v>
      </c>
      <c r="C1684" s="1" t="s">
        <v>177</v>
      </c>
      <c r="D1684" s="1" t="s">
        <v>441</v>
      </c>
      <c r="E1684" s="5">
        <v>38815</v>
      </c>
      <c r="F1684" s="1" t="s">
        <v>506</v>
      </c>
      <c r="G1684" s="1" t="str">
        <f>IF(B1684=0,VLOOKUP(A1684,Feuil2!$A$2:$M$1241,11,FALSE)," ")</f>
        <v xml:space="preserve"> </v>
      </c>
      <c r="H1684" s="1" t="s">
        <v>16</v>
      </c>
      <c r="I1684" s="6" t="str">
        <f>IF(B1684=0,VLOOKUP(A1684,Feuil2!$A$2:$M$1241,7,FALSE)," ")</f>
        <v xml:space="preserve"> </v>
      </c>
      <c r="J1684" s="1" t="str">
        <f>IF(B1684=0,VLOOKUP(A1684,Feuil2!$A$2:$M$1241,9,FALSE)," ")</f>
        <v xml:space="preserve"> </v>
      </c>
      <c r="K1684" s="1" t="str">
        <f>IF(B1684=0,VLOOKUP(A1684,Feuil2!$A$2:$M$1241,10,FALSE)," ")</f>
        <v xml:space="preserve"> </v>
      </c>
      <c r="L1684" s="1"/>
      <c r="M1684" s="1"/>
      <c r="N1684" s="1"/>
      <c r="O1684" s="8" t="str">
        <f>IF(B1684=0,VLOOKUP(A1684,Feuil2!$A$2:$M$1241,13,FALSE)," ")</f>
        <v xml:space="preserve"> </v>
      </c>
    </row>
    <row r="1685" spans="1:15" x14ac:dyDescent="0.3">
      <c r="A1685" s="1">
        <v>1590</v>
      </c>
      <c r="B1685" s="1">
        <v>3</v>
      </c>
      <c r="C1685" s="1" t="s">
        <v>177</v>
      </c>
      <c r="D1685" s="1" t="s">
        <v>61</v>
      </c>
      <c r="E1685" s="5">
        <v>40216</v>
      </c>
      <c r="F1685" s="1" t="s">
        <v>506</v>
      </c>
      <c r="G1685" s="1" t="str">
        <f>IF(B1685=0,VLOOKUP(A1685,Feuil2!$A$2:$M$1241,11,FALSE)," ")</f>
        <v xml:space="preserve"> </v>
      </c>
      <c r="H1685" s="1" t="s">
        <v>16</v>
      </c>
      <c r="I1685" s="6" t="str">
        <f>IF(B1685=0,VLOOKUP(A1685,Feuil2!$A$2:$M$1241,7,FALSE)," ")</f>
        <v xml:space="preserve"> </v>
      </c>
      <c r="J1685" s="1" t="str">
        <f>IF(B1685=0,VLOOKUP(A1685,Feuil2!$A$2:$M$1241,9,FALSE)," ")</f>
        <v xml:space="preserve"> </v>
      </c>
      <c r="K1685" s="1" t="str">
        <f>IF(B1685=0,VLOOKUP(A1685,Feuil2!$A$2:$M$1241,10,FALSE)," ")</f>
        <v xml:space="preserve"> </v>
      </c>
      <c r="L1685" s="1"/>
      <c r="M1685" s="1"/>
      <c r="N1685" s="1"/>
      <c r="O1685" s="8" t="str">
        <f>IF(B1685=0,VLOOKUP(A1685,Feuil2!$A$2:$M$1241,13,FALSE)," ")</f>
        <v xml:space="preserve"> </v>
      </c>
    </row>
    <row r="1686" spans="1:15" x14ac:dyDescent="0.3">
      <c r="A1686" s="1">
        <v>1590</v>
      </c>
      <c r="B1686" s="1">
        <v>4</v>
      </c>
      <c r="C1686" s="1" t="s">
        <v>177</v>
      </c>
      <c r="D1686" s="1" t="s">
        <v>2552</v>
      </c>
      <c r="E1686" s="5">
        <v>41050</v>
      </c>
      <c r="F1686" s="1" t="s">
        <v>17</v>
      </c>
      <c r="G1686" s="1" t="str">
        <f>IF(B1686=0,VLOOKUP(A1686,Feuil2!$A$2:$M$1241,11,FALSE)," ")</f>
        <v xml:space="preserve"> </v>
      </c>
      <c r="H1686" s="1" t="s">
        <v>16</v>
      </c>
      <c r="I1686" s="6" t="str">
        <f>IF(B1686=0,VLOOKUP(A1686,Feuil2!$A$2:$M$1241,7,FALSE)," ")</f>
        <v xml:space="preserve"> </v>
      </c>
      <c r="J1686" s="1" t="str">
        <f>IF(B1686=0,VLOOKUP(A1686,Feuil2!$A$2:$M$1241,9,FALSE)," ")</f>
        <v xml:space="preserve"> </v>
      </c>
      <c r="K1686" s="1" t="str">
        <f>IF(B1686=0,VLOOKUP(A1686,Feuil2!$A$2:$M$1241,10,FALSE)," ")</f>
        <v xml:space="preserve"> </v>
      </c>
      <c r="L1686" s="1"/>
      <c r="M1686" s="1"/>
      <c r="N1686" s="1"/>
      <c r="O1686" s="8" t="str">
        <f>IF(B1686=0,VLOOKUP(A1686,Feuil2!$A$2:$M$1241,13,FALSE)," ")</f>
        <v xml:space="preserve"> </v>
      </c>
    </row>
    <row r="1687" spans="1:15" x14ac:dyDescent="0.3">
      <c r="A1687" s="1">
        <v>1510</v>
      </c>
      <c r="B1687" s="1">
        <v>0</v>
      </c>
      <c r="C1687" s="1" t="str">
        <f>IF(B1687=0,VLOOKUP(A1687,Feuil2!$A$2:$M$1241,2,FALSE)," ")</f>
        <v>GAALOUL</v>
      </c>
      <c r="D1687" s="1" t="str">
        <f>IF(B1687=0,VLOOKUP(A1687,Feuil2!$A$2:$M$1241,3,FALSE)," ")</f>
        <v>FETHI</v>
      </c>
      <c r="E1687" s="5">
        <f>IF(B1687=0,VLOOKUP(A1687,Feuil2!$A$2:$M$1241,6,FALSE)," ")</f>
        <v>25667</v>
      </c>
      <c r="F1687" s="1" t="str">
        <f>IF(B1687=0,VLOOKUP(A1687,Feuil2!$A$2:$M$1241,12,FALSE)," ")</f>
        <v>H</v>
      </c>
      <c r="G1687" s="1" t="str">
        <f>IF(B1687=0,VLOOKUP(A1687,Feuil2!$A$2:$M$1241,11,FALSE)," ")</f>
        <v>M</v>
      </c>
      <c r="H1687" s="1" t="s">
        <v>16</v>
      </c>
      <c r="I1687" s="6">
        <f>IF(B1687=0,VLOOKUP(A1687,Feuil2!$A$2:$M$1241,7,FALSE)," ")</f>
        <v>5528946</v>
      </c>
      <c r="J1687" s="1" t="str">
        <f>IF(B1687=0,VLOOKUP(A1687,Feuil2!$A$2:$M$1241,9,FALSE)," ")</f>
        <v>94 Rue Sidi Abar</v>
      </c>
      <c r="K1687" s="1" t="str">
        <f>IF(B1687=0,VLOOKUP(A1687,Feuil2!$A$2:$M$1241,10,FALSE)," ")</f>
        <v>Msaken 4070</v>
      </c>
      <c r="L1687" s="1">
        <v>4070</v>
      </c>
      <c r="M1687" s="1">
        <v>28344899</v>
      </c>
      <c r="N1687" s="1"/>
      <c r="O1687" s="8" t="str">
        <f>IF(B1687=0,VLOOKUP(A1687,Feuil2!$A$2:$M$1241,13,FALSE)," ")</f>
        <v>25066000000051739067</v>
      </c>
    </row>
    <row r="1688" spans="1:15" x14ac:dyDescent="0.3">
      <c r="A1688" s="1">
        <v>1510</v>
      </c>
      <c r="B1688" s="1">
        <v>1</v>
      </c>
      <c r="C1688" s="1" t="s">
        <v>2787</v>
      </c>
      <c r="D1688" s="1" t="s">
        <v>2541</v>
      </c>
      <c r="E1688" s="5">
        <v>27773</v>
      </c>
      <c r="F1688" s="1" t="s">
        <v>17</v>
      </c>
      <c r="G1688" s="1" t="s">
        <v>15</v>
      </c>
      <c r="H1688" s="1" t="s">
        <v>16</v>
      </c>
      <c r="I1688" s="6" t="str">
        <f>IF(B1688=0,VLOOKUP(A1688,Feuil2!$A$2:$M$1241,7,FALSE)," ")</f>
        <v xml:space="preserve"> </v>
      </c>
      <c r="J1688" s="1" t="str">
        <f>IF(B1688=0,VLOOKUP(A1688,Feuil2!$A$2:$M$1241,9,FALSE)," ")</f>
        <v xml:space="preserve"> </v>
      </c>
      <c r="K1688" s="1" t="str">
        <f>IF(B1688=0,VLOOKUP(A1688,Feuil2!$A$2:$M$1241,10,FALSE)," ")</f>
        <v xml:space="preserve"> </v>
      </c>
      <c r="L1688" s="1"/>
      <c r="M1688" s="1"/>
      <c r="N1688" s="1"/>
      <c r="O1688" s="8" t="str">
        <f>IF(B1688=0,VLOOKUP(A1688,Feuil2!$A$2:$M$1241,13,FALSE)," ")</f>
        <v xml:space="preserve"> </v>
      </c>
    </row>
    <row r="1689" spans="1:15" x14ac:dyDescent="0.3">
      <c r="A1689" s="1">
        <v>1510</v>
      </c>
      <c r="B1689" s="1">
        <v>2</v>
      </c>
      <c r="C1689" s="1" t="s">
        <v>41</v>
      </c>
      <c r="D1689" s="1" t="s">
        <v>89</v>
      </c>
      <c r="E1689" s="5">
        <v>36710</v>
      </c>
      <c r="F1689" s="1" t="s">
        <v>506</v>
      </c>
      <c r="G1689" s="1" t="str">
        <f>IF(B1689=0,VLOOKUP(A1689,Feuil2!$A$2:$M$1241,11,FALSE)," ")</f>
        <v xml:space="preserve"> </v>
      </c>
      <c r="H1689" s="1" t="s">
        <v>16</v>
      </c>
      <c r="I1689" s="6" t="str">
        <f>IF(B1689=0,VLOOKUP(A1689,Feuil2!$A$2:$M$1241,7,FALSE)," ")</f>
        <v xml:space="preserve"> </v>
      </c>
      <c r="J1689" s="1" t="str">
        <f>IF(B1689=0,VLOOKUP(A1689,Feuil2!$A$2:$M$1241,9,FALSE)," ")</f>
        <v xml:space="preserve"> </v>
      </c>
      <c r="K1689" s="1" t="str">
        <f>IF(B1689=0,VLOOKUP(A1689,Feuil2!$A$2:$M$1241,10,FALSE)," ")</f>
        <v xml:space="preserve"> </v>
      </c>
      <c r="L1689" s="1"/>
      <c r="M1689" s="1"/>
      <c r="N1689" s="1"/>
      <c r="O1689" s="8" t="str">
        <f>IF(B1689=0,VLOOKUP(A1689,Feuil2!$A$2:$M$1241,13,FALSE)," ")</f>
        <v xml:space="preserve"> </v>
      </c>
    </row>
    <row r="1690" spans="1:15" x14ac:dyDescent="0.3">
      <c r="A1690" s="1">
        <v>1510</v>
      </c>
      <c r="B1690" s="1">
        <v>3</v>
      </c>
      <c r="C1690" s="1" t="s">
        <v>41</v>
      </c>
      <c r="D1690" s="1" t="s">
        <v>287</v>
      </c>
      <c r="E1690" s="5">
        <v>37622</v>
      </c>
      <c r="F1690" s="1" t="s">
        <v>506</v>
      </c>
      <c r="G1690" s="1" t="str">
        <f>IF(B1690=0,VLOOKUP(A1690,Feuil2!$A$2:$M$1241,11,FALSE)," ")</f>
        <v xml:space="preserve"> </v>
      </c>
      <c r="H1690" s="1" t="s">
        <v>16</v>
      </c>
      <c r="I1690" s="6" t="str">
        <f>IF(B1690=0,VLOOKUP(A1690,Feuil2!$A$2:$M$1241,7,FALSE)," ")</f>
        <v xml:space="preserve"> </v>
      </c>
      <c r="J1690" s="1" t="str">
        <f>IF(B1690=0,VLOOKUP(A1690,Feuil2!$A$2:$M$1241,9,FALSE)," ")</f>
        <v xml:space="preserve"> </v>
      </c>
      <c r="K1690" s="1" t="str">
        <f>IF(B1690=0,VLOOKUP(A1690,Feuil2!$A$2:$M$1241,10,FALSE)," ")</f>
        <v xml:space="preserve"> </v>
      </c>
      <c r="L1690" s="1"/>
      <c r="M1690" s="1"/>
      <c r="N1690" s="1"/>
      <c r="O1690" s="8" t="str">
        <f>IF(B1690=0,VLOOKUP(A1690,Feuil2!$A$2:$M$1241,13,FALSE)," ")</f>
        <v xml:space="preserve"> </v>
      </c>
    </row>
    <row r="1691" spans="1:15" x14ac:dyDescent="0.3">
      <c r="A1691" s="1">
        <v>1510</v>
      </c>
      <c r="B1691" s="1">
        <v>4</v>
      </c>
      <c r="C1691" s="1" t="s">
        <v>41</v>
      </c>
      <c r="D1691" s="1" t="s">
        <v>2357</v>
      </c>
      <c r="E1691" s="5">
        <v>38052</v>
      </c>
      <c r="F1691" s="1" t="s">
        <v>17</v>
      </c>
      <c r="G1691" s="1" t="str">
        <f>IF(B1691=0,VLOOKUP(A1691,Feuil2!$A$2:$M$1241,11,FALSE)," ")</f>
        <v xml:space="preserve"> </v>
      </c>
      <c r="H1691" s="1" t="s">
        <v>16</v>
      </c>
      <c r="I1691" s="6" t="str">
        <f>IF(B1691=0,VLOOKUP(A1691,Feuil2!$A$2:$M$1241,7,FALSE)," ")</f>
        <v xml:space="preserve"> </v>
      </c>
      <c r="J1691" s="1" t="str">
        <f>IF(B1691=0,VLOOKUP(A1691,Feuil2!$A$2:$M$1241,9,FALSE)," ")</f>
        <v xml:space="preserve"> </v>
      </c>
      <c r="K1691" s="1" t="str">
        <f>IF(B1691=0,VLOOKUP(A1691,Feuil2!$A$2:$M$1241,10,FALSE)," ")</f>
        <v xml:space="preserve"> </v>
      </c>
      <c r="L1691" s="1"/>
      <c r="M1691" s="1"/>
      <c r="N1691" s="1"/>
      <c r="O1691" s="8" t="str">
        <f>IF(B1691=0,VLOOKUP(A1691,Feuil2!$A$2:$M$1241,13,FALSE)," ")</f>
        <v xml:space="preserve"> </v>
      </c>
    </row>
    <row r="1692" spans="1:15" x14ac:dyDescent="0.3">
      <c r="A1692" s="17">
        <v>1589</v>
      </c>
      <c r="B1692" s="17">
        <v>0</v>
      </c>
      <c r="C1692" s="17" t="str">
        <f>IF(B1692=0,VLOOKUP(A1692,Feuil2!$A$2:$M$1241,2,FALSE)," ")</f>
        <v>BAYA</v>
      </c>
      <c r="D1692" s="17" t="str">
        <f>IF(B1692=0,VLOOKUP(A1692,Feuil2!$A$2:$M$1241,3,FALSE)," ")</f>
        <v>ADEL</v>
      </c>
      <c r="E1692" s="18">
        <f>IF(B1692=0,VLOOKUP(A1692,Feuil2!$A$2:$M$1241,6,FALSE)," ")</f>
        <v>22669</v>
      </c>
      <c r="F1692" s="17" t="str">
        <f>IF(B1692=0,VLOOKUP(A1692,Feuil2!$A$2:$M$1241,12,FALSE)," ")</f>
        <v>H</v>
      </c>
      <c r="G1692" s="17" t="str">
        <f>IF(B1692=0,VLOOKUP(A1692,Feuil2!$A$2:$M$1241,11,FALSE)," ")</f>
        <v>C</v>
      </c>
      <c r="H1692" s="17" t="s">
        <v>16</v>
      </c>
      <c r="I1692" s="19">
        <f>IF(B1692=0,VLOOKUP(A1692,Feuil2!$A$2:$M$1241,7,FALSE)," ")</f>
        <v>2951442</v>
      </c>
      <c r="J1692" s="17" t="str">
        <f>IF(B1692=0,VLOOKUP(A1692,Feuil2!$A$2:$M$1241,9,FALSE)," ")</f>
        <v>15 Rue Habib Thameur</v>
      </c>
      <c r="K1692" s="17" t="str">
        <f>IF(B1692=0,VLOOKUP(A1692,Feuil2!$A$2:$M$1241,10,FALSE)," ")</f>
        <v>Msaken 4070</v>
      </c>
      <c r="L1692" s="17">
        <v>4070</v>
      </c>
      <c r="M1692" s="17">
        <v>99631285</v>
      </c>
      <c r="N1692" s="17"/>
      <c r="O1692" s="20" t="str">
        <f>IF(B1692=0,VLOOKUP(A1692,Feuil2!$A$2:$M$1241,13,FALSE)," ")</f>
        <v>12505000580102270923</v>
      </c>
    </row>
    <row r="1693" spans="1:15" x14ac:dyDescent="0.3">
      <c r="A1693" s="1">
        <v>1954</v>
      </c>
      <c r="B1693" s="1">
        <v>0</v>
      </c>
      <c r="C1693" s="1" t="str">
        <f>IF(B1693=0,VLOOKUP(A1693,Feuil2!$A$2:$M$1241,2,FALSE)," ")</f>
        <v>REGAIEG</v>
      </c>
      <c r="D1693" s="1" t="str">
        <f>IF(B1693=0,VLOOKUP(A1693,Feuil2!$A$2:$M$1241,3,FALSE)," ")</f>
        <v>NADER</v>
      </c>
      <c r="E1693" s="5">
        <f>IF(B1693=0,VLOOKUP(A1693,Feuil2!$A$2:$M$1241,6,FALSE)," ")</f>
        <v>31591</v>
      </c>
      <c r="F1693" s="1" t="str">
        <f>IF(B1693=0,VLOOKUP(A1693,Feuil2!$A$2:$M$1241,12,FALSE)," ")</f>
        <v>H</v>
      </c>
      <c r="G1693" s="1" t="str">
        <f>IF(B1693=0,VLOOKUP(A1693,Feuil2!$A$2:$M$1241,11,FALSE)," ")</f>
        <v>C</v>
      </c>
      <c r="H1693" s="1" t="s">
        <v>16</v>
      </c>
      <c r="I1693" s="6">
        <f>IF(B1693=0,VLOOKUP(A1693,Feuil2!$A$2:$M$1241,7,FALSE)," ")</f>
        <v>8486819</v>
      </c>
      <c r="J1693" s="1" t="str">
        <f>IF(B1693=0,VLOOKUP(A1693,Feuil2!$A$2:$M$1241,9,FALSE)," ")</f>
        <v>35, Rue Ahmed Regaieg</v>
      </c>
      <c r="K1693" s="1" t="str">
        <f>IF(B1693=0,VLOOKUP(A1693,Feuil2!$A$2:$M$1241,10,FALSE)," ")</f>
        <v>Msaken 4070</v>
      </c>
      <c r="L1693" s="1">
        <v>4070</v>
      </c>
      <c r="M1693" s="1">
        <v>22598810</v>
      </c>
      <c r="N1693" s="1"/>
      <c r="O1693" s="8" t="str">
        <f>IF(B1693=0,VLOOKUP(A1693,Feuil2!$A$2:$M$1241,13,FALSE)," ")</f>
        <v>12064000000226234584</v>
      </c>
    </row>
    <row r="1694" spans="1:15" x14ac:dyDescent="0.3">
      <c r="A1694" s="1">
        <v>1954</v>
      </c>
      <c r="B1694" s="1">
        <v>1</v>
      </c>
      <c r="C1694" s="1" t="s">
        <v>644</v>
      </c>
      <c r="D1694" s="1" t="s">
        <v>2852</v>
      </c>
      <c r="E1694" s="5">
        <v>35588</v>
      </c>
      <c r="F1694" s="1" t="s">
        <v>17</v>
      </c>
      <c r="G1694" s="1"/>
      <c r="H1694" s="1"/>
      <c r="I1694" s="6"/>
      <c r="J1694" s="1"/>
      <c r="K1694" s="1"/>
      <c r="L1694" s="1"/>
      <c r="M1694" s="1"/>
      <c r="N1694" s="1"/>
      <c r="O1694" s="8"/>
    </row>
    <row r="1695" spans="1:15" x14ac:dyDescent="0.3">
      <c r="A1695" s="1">
        <v>931</v>
      </c>
      <c r="B1695" s="1">
        <v>0</v>
      </c>
      <c r="C1695" s="1" t="str">
        <f>IF(B1695=0,VLOOKUP(A1695,Feuil2!$A$2:$M$1241,2,FALSE)," ")</f>
        <v>KRIFA</v>
      </c>
      <c r="D1695" s="1" t="str">
        <f>IF(B1695=0,VLOOKUP(A1695,Feuil2!$A$2:$M$1241,3,FALSE)," ")</f>
        <v>MOHAMED</v>
      </c>
      <c r="E1695" s="5">
        <f>IF(B1695=0,VLOOKUP(A1695,Feuil2!$A$2:$M$1241,6,FALSE)," ")</f>
        <v>25043</v>
      </c>
      <c r="F1695" s="1" t="str">
        <f>IF(B1695=0,VLOOKUP(A1695,Feuil2!$A$2:$M$1241,12,FALSE)," ")</f>
        <v>H</v>
      </c>
      <c r="G1695" s="1" t="str">
        <f>IF(B1695=0,VLOOKUP(A1695,Feuil2!$A$2:$M$1241,11,FALSE)," ")</f>
        <v>M</v>
      </c>
      <c r="H1695" s="1" t="s">
        <v>16</v>
      </c>
      <c r="I1695" s="6">
        <f>IF(B1695=0,VLOOKUP(A1695,Feuil2!$A$2:$M$1241,7,FALSE)," ")</f>
        <v>2993656</v>
      </c>
      <c r="J1695" s="1" t="str">
        <f>IF(B1695=0,VLOOKUP(A1695,Feuil2!$A$2:$M$1241,9,FALSE)," ")</f>
        <v>42 Rue limam Ben Arfa</v>
      </c>
      <c r="K1695" s="1" t="str">
        <f>IF(B1695=0,VLOOKUP(A1695,Feuil2!$A$2:$M$1241,10,FALSE)," ")</f>
        <v>Msaken 4070</v>
      </c>
      <c r="L1695" s="1">
        <v>4070</v>
      </c>
      <c r="M1695" s="1">
        <v>92921000</v>
      </c>
      <c r="N1695" s="1"/>
      <c r="O1695" s="8" t="str">
        <f>IF(B1695=0,VLOOKUP(A1695,Feuil2!$A$2:$M$1241,13,FALSE)," ")</f>
        <v>05048000116500183069</v>
      </c>
    </row>
    <row r="1696" spans="1:15" x14ac:dyDescent="0.3">
      <c r="A1696" s="1">
        <v>931</v>
      </c>
      <c r="B1696" s="1">
        <v>1</v>
      </c>
      <c r="C1696" s="1" t="s">
        <v>62</v>
      </c>
      <c r="D1696" s="1" t="s">
        <v>2788</v>
      </c>
      <c r="E1696" s="5">
        <v>27722</v>
      </c>
      <c r="F1696" s="1" t="s">
        <v>17</v>
      </c>
      <c r="G1696" s="1" t="s">
        <v>15</v>
      </c>
      <c r="H1696" s="1" t="s">
        <v>16</v>
      </c>
      <c r="I1696" s="6" t="str">
        <f>IF(B1696=0,VLOOKUP(A1696,Feuil2!$A$2:$M$1241,7,FALSE)," ")</f>
        <v xml:space="preserve"> </v>
      </c>
      <c r="J1696" s="1" t="str">
        <f>IF(B1696=0,VLOOKUP(A1696,Feuil2!$A$2:$M$1241,9,FALSE)," ")</f>
        <v xml:space="preserve"> </v>
      </c>
      <c r="K1696" s="1" t="str">
        <f>IF(B1696=0,VLOOKUP(A1696,Feuil2!$A$2:$M$1241,10,FALSE)," ")</f>
        <v xml:space="preserve"> </v>
      </c>
      <c r="L1696" s="1"/>
      <c r="M1696" s="1"/>
      <c r="N1696" s="1"/>
      <c r="O1696" s="8" t="str">
        <f>IF(B1696=0,VLOOKUP(A1696,Feuil2!$A$2:$M$1241,13,FALSE)," ")</f>
        <v xml:space="preserve"> </v>
      </c>
    </row>
    <row r="1697" spans="1:18" x14ac:dyDescent="0.3">
      <c r="A1697" s="1">
        <v>931</v>
      </c>
      <c r="B1697" s="1">
        <v>2</v>
      </c>
      <c r="C1697" s="1" t="s">
        <v>227</v>
      </c>
      <c r="D1697" s="1" t="s">
        <v>2482</v>
      </c>
      <c r="E1697" s="5">
        <v>35942</v>
      </c>
      <c r="F1697" s="1" t="s">
        <v>17</v>
      </c>
      <c r="G1697" s="1" t="str">
        <f>IF(B1697=0,VLOOKUP(A1697,Feuil2!$A$2:$M$1241,11,FALSE)," ")</f>
        <v xml:space="preserve"> </v>
      </c>
      <c r="H1697" s="1" t="s">
        <v>16</v>
      </c>
      <c r="I1697" s="6" t="str">
        <f>IF(B1697=0,VLOOKUP(A1697,Feuil2!$A$2:$M$1241,7,FALSE)," ")</f>
        <v xml:space="preserve"> </v>
      </c>
      <c r="J1697" s="1" t="str">
        <f>IF(B1697=0,VLOOKUP(A1697,Feuil2!$A$2:$M$1241,9,FALSE)," ")</f>
        <v xml:space="preserve"> </v>
      </c>
      <c r="K1697" s="1" t="str">
        <f>IF(B1697=0,VLOOKUP(A1697,Feuil2!$A$2:$M$1241,10,FALSE)," ")</f>
        <v xml:space="preserve"> </v>
      </c>
      <c r="L1697" s="1"/>
      <c r="M1697" s="1"/>
      <c r="N1697" s="1"/>
      <c r="O1697" s="8" t="str">
        <f>IF(B1697=0,VLOOKUP(A1697,Feuil2!$A$2:$M$1241,13,FALSE)," ")</f>
        <v xml:space="preserve"> </v>
      </c>
    </row>
    <row r="1698" spans="1:18" x14ac:dyDescent="0.3">
      <c r="A1698" s="1">
        <v>931</v>
      </c>
      <c r="B1698" s="1">
        <v>3</v>
      </c>
      <c r="C1698" s="1" t="s">
        <v>227</v>
      </c>
      <c r="D1698" s="1" t="s">
        <v>2357</v>
      </c>
      <c r="E1698" s="5">
        <v>36401</v>
      </c>
      <c r="F1698" s="1" t="s">
        <v>17</v>
      </c>
      <c r="G1698" s="1" t="str">
        <f>IF(B1698=0,VLOOKUP(A1698,Feuil2!$A$2:$M$1241,11,FALSE)," ")</f>
        <v xml:space="preserve"> </v>
      </c>
      <c r="H1698" s="1" t="s">
        <v>16</v>
      </c>
      <c r="I1698" s="6" t="str">
        <f>IF(B1698=0,VLOOKUP(A1698,Feuil2!$A$2:$M$1241,7,FALSE)," ")</f>
        <v xml:space="preserve"> </v>
      </c>
      <c r="J1698" s="1" t="str">
        <f>IF(B1698=0,VLOOKUP(A1698,Feuil2!$A$2:$M$1241,9,FALSE)," ")</f>
        <v xml:space="preserve"> </v>
      </c>
      <c r="K1698" s="1" t="str">
        <f>IF(B1698=0,VLOOKUP(A1698,Feuil2!$A$2:$M$1241,10,FALSE)," ")</f>
        <v xml:space="preserve"> </v>
      </c>
      <c r="L1698" s="1"/>
      <c r="M1698" s="1"/>
      <c r="N1698" s="1"/>
      <c r="O1698" s="8" t="str">
        <f>IF(B1698=0,VLOOKUP(A1698,Feuil2!$A$2:$M$1241,13,FALSE)," ")</f>
        <v xml:space="preserve"> </v>
      </c>
    </row>
    <row r="1699" spans="1:18" x14ac:dyDescent="0.3">
      <c r="A1699" s="1">
        <v>931</v>
      </c>
      <c r="B1699" s="1">
        <v>4</v>
      </c>
      <c r="C1699" s="1" t="s">
        <v>227</v>
      </c>
      <c r="D1699" s="1" t="s">
        <v>2789</v>
      </c>
      <c r="E1699" s="5">
        <v>38730</v>
      </c>
      <c r="F1699" s="1" t="s">
        <v>506</v>
      </c>
      <c r="G1699" s="1" t="str">
        <f>IF(B1699=0,VLOOKUP(A1699,Feuil2!$A$2:$M$1241,11,FALSE)," ")</f>
        <v xml:space="preserve"> </v>
      </c>
      <c r="H1699" s="1" t="s">
        <v>16</v>
      </c>
      <c r="I1699" s="6" t="str">
        <f>IF(B1699=0,VLOOKUP(A1699,Feuil2!$A$2:$M$1241,7,FALSE)," ")</f>
        <v xml:space="preserve"> </v>
      </c>
      <c r="J1699" s="1" t="str">
        <f>IF(B1699=0,VLOOKUP(A1699,Feuil2!$A$2:$M$1241,9,FALSE)," ")</f>
        <v xml:space="preserve"> </v>
      </c>
      <c r="K1699" s="1" t="str">
        <f>IF(B1699=0,VLOOKUP(A1699,Feuil2!$A$2:$M$1241,10,FALSE)," ")</f>
        <v xml:space="preserve"> </v>
      </c>
      <c r="L1699" s="1"/>
      <c r="M1699" s="1"/>
      <c r="N1699" s="1"/>
      <c r="O1699" s="8" t="str">
        <f>IF(B1699=0,VLOOKUP(A1699,Feuil2!$A$2:$M$1241,13,FALSE)," ")</f>
        <v xml:space="preserve"> </v>
      </c>
    </row>
    <row r="1700" spans="1:18" x14ac:dyDescent="0.3">
      <c r="A1700" s="1">
        <v>166</v>
      </c>
      <c r="B1700" s="1">
        <v>0</v>
      </c>
      <c r="C1700" s="1" t="str">
        <f>IF(B1700=0,VLOOKUP(A1700,Feuil2!$A$2:$M$1241,2,FALSE)," ")</f>
        <v>GRASSA</v>
      </c>
      <c r="D1700" s="1" t="str">
        <f>IF(B1700=0,VLOOKUP(A1700,Feuil2!$A$2:$M$1241,3,FALSE)," ")</f>
        <v>ABDELHAMID</v>
      </c>
      <c r="E1700" s="5">
        <f>IF(B1700=0,VLOOKUP(A1700,Feuil2!$A$2:$M$1241,6,FALSE)," ")</f>
        <v>23076</v>
      </c>
      <c r="F1700" s="1" t="str">
        <f>IF(B1700=0,VLOOKUP(A1700,Feuil2!$A$2:$M$1241,12,FALSE)," ")</f>
        <v>H</v>
      </c>
      <c r="G1700" s="1" t="str">
        <f>IF(B1700=0,VLOOKUP(A1700,Feuil2!$A$2:$M$1241,11,FALSE)," ")</f>
        <v>M</v>
      </c>
      <c r="H1700" s="1" t="s">
        <v>16</v>
      </c>
      <c r="I1700" s="6">
        <f>IF(B1700=0,VLOOKUP(A1700,Feuil2!$A$2:$M$1241,7,FALSE)," ")</f>
        <v>2949536</v>
      </c>
      <c r="J1700" s="1" t="str">
        <f>IF(B1700=0,VLOOKUP(A1700,Feuil2!$A$2:$M$1241,9,FALSE)," ")</f>
        <v>67 Rue Tazerka</v>
      </c>
      <c r="K1700" s="1" t="str">
        <f>IF(B1700=0,VLOOKUP(A1700,Feuil2!$A$2:$M$1241,10,FALSE)," ")</f>
        <v>Msaken 4070</v>
      </c>
      <c r="L1700" s="1">
        <v>4070</v>
      </c>
      <c r="M1700" s="1">
        <v>98793617</v>
      </c>
      <c r="N1700" s="1"/>
      <c r="O1700" s="8" t="str">
        <f>IF(B1700=0,VLOOKUP(A1700,Feuil2!$A$2:$M$1241,13,FALSE)," ")</f>
        <v>10506040202842478820</v>
      </c>
    </row>
    <row r="1701" spans="1:18" x14ac:dyDescent="0.3">
      <c r="A1701" s="1">
        <v>166</v>
      </c>
      <c r="B1701" s="1">
        <v>1</v>
      </c>
      <c r="C1701" s="1" t="s">
        <v>1602</v>
      </c>
      <c r="D1701" s="1" t="s">
        <v>1094</v>
      </c>
      <c r="E1701" s="5">
        <v>25687</v>
      </c>
      <c r="F1701" s="1" t="s">
        <v>17</v>
      </c>
      <c r="G1701" s="1" t="s">
        <v>15</v>
      </c>
      <c r="H1701" s="1" t="s">
        <v>16</v>
      </c>
      <c r="I1701" s="6" t="str">
        <f>IF(B1701=0,VLOOKUP(A1701,Feuil2!$A$2:$M$1241,7,FALSE)," ")</f>
        <v xml:space="preserve"> </v>
      </c>
      <c r="J1701" s="1" t="str">
        <f>IF(B1701=0,VLOOKUP(A1701,Feuil2!$A$2:$M$1241,9,FALSE)," ")</f>
        <v xml:space="preserve"> </v>
      </c>
      <c r="K1701" s="1" t="str">
        <f>IF(B1701=0,VLOOKUP(A1701,Feuil2!$A$2:$M$1241,10,FALSE)," ")</f>
        <v xml:space="preserve"> </v>
      </c>
      <c r="L1701" s="1"/>
      <c r="M1701" s="1"/>
      <c r="N1701" s="1"/>
      <c r="O1701" s="8" t="str">
        <f>IF(B1701=0,VLOOKUP(A1701,Feuil2!$A$2:$M$1241,13,FALSE)," ")</f>
        <v xml:space="preserve"> </v>
      </c>
    </row>
    <row r="1702" spans="1:18" x14ac:dyDescent="0.3">
      <c r="A1702" s="1">
        <v>166</v>
      </c>
      <c r="B1702" s="1">
        <v>2</v>
      </c>
      <c r="C1702" s="1" t="s">
        <v>386</v>
      </c>
      <c r="D1702" s="1" t="s">
        <v>2581</v>
      </c>
      <c r="E1702" s="5">
        <v>34785</v>
      </c>
      <c r="F1702" s="1" t="s">
        <v>17</v>
      </c>
      <c r="G1702" s="1" t="str">
        <f>IF(B1702=0,VLOOKUP(A1702,Feuil2!$A$2:$M$1241,11,FALSE)," ")</f>
        <v xml:space="preserve"> </v>
      </c>
      <c r="H1702" s="1" t="s">
        <v>16</v>
      </c>
      <c r="I1702" s="6" t="str">
        <f>IF(B1702=0,VLOOKUP(A1702,Feuil2!$A$2:$M$1241,7,FALSE)," ")</f>
        <v xml:space="preserve"> </v>
      </c>
      <c r="J1702" s="1" t="str">
        <f>IF(B1702=0,VLOOKUP(A1702,Feuil2!$A$2:$M$1241,9,FALSE)," ")</f>
        <v xml:space="preserve"> </v>
      </c>
      <c r="K1702" s="1" t="str">
        <f>IF(B1702=0,VLOOKUP(A1702,Feuil2!$A$2:$M$1241,10,FALSE)," ")</f>
        <v xml:space="preserve"> </v>
      </c>
      <c r="L1702" s="1"/>
      <c r="M1702" s="1"/>
      <c r="N1702" s="1"/>
      <c r="O1702" s="8" t="str">
        <f>IF(B1702=0,VLOOKUP(A1702,Feuil2!$A$2:$M$1241,13,FALSE)," ")</f>
        <v xml:space="preserve"> </v>
      </c>
    </row>
    <row r="1703" spans="1:18" x14ac:dyDescent="0.3">
      <c r="A1703" s="1">
        <v>166</v>
      </c>
      <c r="B1703" s="1">
        <v>3</v>
      </c>
      <c r="C1703" s="1" t="s">
        <v>386</v>
      </c>
      <c r="D1703" s="1" t="s">
        <v>2790</v>
      </c>
      <c r="E1703" s="5">
        <v>36555</v>
      </c>
      <c r="F1703" s="1" t="s">
        <v>17</v>
      </c>
      <c r="G1703" s="1" t="str">
        <f>IF(B1703=0,VLOOKUP(A1703,Feuil2!$A$2:$M$1241,11,FALSE)," ")</f>
        <v xml:space="preserve"> </v>
      </c>
      <c r="H1703" s="1" t="s">
        <v>16</v>
      </c>
      <c r="I1703" s="6" t="str">
        <f>IF(B1703=0,VLOOKUP(A1703,Feuil2!$A$2:$M$1241,7,FALSE)," ")</f>
        <v xml:space="preserve"> </v>
      </c>
      <c r="J1703" s="1" t="str">
        <f>IF(B1703=0,VLOOKUP(A1703,Feuil2!$A$2:$M$1241,9,FALSE)," ")</f>
        <v xml:space="preserve"> </v>
      </c>
      <c r="K1703" s="1" t="str">
        <f>IF(B1703=0,VLOOKUP(A1703,Feuil2!$A$2:$M$1241,10,FALSE)," ")</f>
        <v xml:space="preserve"> </v>
      </c>
      <c r="L1703" s="1"/>
      <c r="M1703" s="1"/>
      <c r="N1703" s="1"/>
      <c r="O1703" s="8" t="str">
        <f>IF(B1703=0,VLOOKUP(A1703,Feuil2!$A$2:$M$1241,13,FALSE)," ")</f>
        <v xml:space="preserve"> </v>
      </c>
    </row>
    <row r="1704" spans="1:18" x14ac:dyDescent="0.3">
      <c r="A1704" s="1">
        <v>166</v>
      </c>
      <c r="B1704" s="1">
        <v>4</v>
      </c>
      <c r="C1704" s="1" t="s">
        <v>386</v>
      </c>
      <c r="D1704" s="1" t="s">
        <v>2667</v>
      </c>
      <c r="E1704" s="5">
        <v>38617</v>
      </c>
      <c r="F1704" s="1" t="s">
        <v>17</v>
      </c>
      <c r="G1704" s="1" t="str">
        <f>IF(B1704=0,VLOOKUP(A1704,Feuil2!$A$2:$M$1241,11,FALSE)," ")</f>
        <v xml:space="preserve"> </v>
      </c>
      <c r="H1704" s="1" t="s">
        <v>16</v>
      </c>
      <c r="I1704" s="6" t="str">
        <f>IF(B1704=0,VLOOKUP(A1704,Feuil2!$A$2:$M$1241,7,FALSE)," ")</f>
        <v xml:space="preserve"> </v>
      </c>
      <c r="J1704" s="1" t="str">
        <f>IF(B1704=0,VLOOKUP(A1704,Feuil2!$A$2:$M$1241,9,FALSE)," ")</f>
        <v xml:space="preserve"> </v>
      </c>
      <c r="K1704" s="1" t="str">
        <f>IF(B1704=0,VLOOKUP(A1704,Feuil2!$A$2:$M$1241,10,FALSE)," ")</f>
        <v xml:space="preserve"> </v>
      </c>
      <c r="L1704" s="1"/>
      <c r="M1704" s="1"/>
      <c r="N1704" s="1"/>
      <c r="O1704" s="8" t="str">
        <f>IF(B1704=0,VLOOKUP(A1704,Feuil2!$A$2:$M$1241,13,FALSE)," ")</f>
        <v xml:space="preserve"> </v>
      </c>
    </row>
    <row r="1705" spans="1:18" x14ac:dyDescent="0.3">
      <c r="A1705" s="1">
        <v>145</v>
      </c>
      <c r="B1705" s="1">
        <v>0</v>
      </c>
      <c r="C1705" s="1" t="str">
        <f>IF(B1705=0,VLOOKUP(A1705,Feuil2!$A$2:$M$1241,2,FALSE)," ")</f>
        <v>GAZZAH</v>
      </c>
      <c r="D1705" s="1" t="str">
        <f>IF(B1705=0,VLOOKUP(A1705,Feuil2!$A$2:$M$1241,3,FALSE)," ")</f>
        <v>MAHMOUD</v>
      </c>
      <c r="E1705" s="5">
        <f>IF(B1705=0,VLOOKUP(A1705,Feuil2!$A$2:$M$1241,6,FALSE)," ")</f>
        <v>23476</v>
      </c>
      <c r="F1705" s="1" t="str">
        <f>IF(B1705=0,VLOOKUP(A1705,Feuil2!$A$2:$M$1241,12,FALSE)," ")</f>
        <v>H</v>
      </c>
      <c r="G1705" s="1" t="str">
        <f>IF(B1705=0,VLOOKUP(A1705,Feuil2!$A$2:$M$1241,11,FALSE)," ")</f>
        <v>M</v>
      </c>
      <c r="H1705" s="1" t="s">
        <v>16</v>
      </c>
      <c r="I1705" s="6">
        <f>IF(B1705=0,VLOOKUP(A1705,Feuil2!$A$2:$M$1241,7,FALSE)," ")</f>
        <v>2951833</v>
      </c>
      <c r="J1705" s="1" t="str">
        <f>IF(B1705=0,VLOOKUP(A1705,Feuil2!$A$2:$M$1241,9,FALSE)," ")</f>
        <v>17 Rue Sidi Bel Hassen</v>
      </c>
      <c r="K1705" s="1" t="str">
        <f>IF(B1705=0,VLOOKUP(A1705,Feuil2!$A$2:$M$1241,10,FALSE)," ")</f>
        <v>Msaken 4070</v>
      </c>
      <c r="L1705" s="1">
        <v>4070</v>
      </c>
      <c r="M1705" s="1">
        <v>97523215</v>
      </c>
      <c r="N1705" s="1"/>
      <c r="O1705" s="8" t="str">
        <f>IF(B1705=0,VLOOKUP(A1705,Feuil2!$A$2:$M$1241,13,FALSE)," ")</f>
        <v>10506040202801378853</v>
      </c>
    </row>
    <row r="1706" spans="1:18" x14ac:dyDescent="0.3">
      <c r="A1706" s="1">
        <v>145</v>
      </c>
      <c r="B1706" s="1">
        <v>1</v>
      </c>
      <c r="C1706" s="1" t="s">
        <v>193</v>
      </c>
      <c r="D1706" s="1" t="s">
        <v>2793</v>
      </c>
      <c r="E1706" s="5">
        <v>27902</v>
      </c>
      <c r="F1706" s="1" t="s">
        <v>17</v>
      </c>
      <c r="G1706" s="1" t="s">
        <v>15</v>
      </c>
      <c r="H1706" s="1" t="s">
        <v>16</v>
      </c>
      <c r="I1706" s="6" t="str">
        <f>IF(B1706=0,VLOOKUP(A1706,Feuil2!$A$2:$M$1241,7,FALSE)," ")</f>
        <v xml:space="preserve"> </v>
      </c>
      <c r="J1706" s="1" t="str">
        <f>IF(B1706=0,VLOOKUP(A1706,Feuil2!$A$2:$M$1241,9,FALSE)," ")</f>
        <v xml:space="preserve"> </v>
      </c>
      <c r="K1706" s="1" t="str">
        <f>IF(B1706=0,VLOOKUP(A1706,Feuil2!$A$2:$M$1241,10,FALSE)," ")</f>
        <v xml:space="preserve"> </v>
      </c>
      <c r="L1706" s="1"/>
      <c r="M1706" s="1"/>
      <c r="N1706" s="1"/>
      <c r="O1706" s="8" t="str">
        <f>IF(B1706=0,VLOOKUP(A1706,Feuil2!$A$2:$M$1241,13,FALSE)," ")</f>
        <v xml:space="preserve"> </v>
      </c>
    </row>
    <row r="1707" spans="1:18" x14ac:dyDescent="0.3">
      <c r="A1707" s="1">
        <v>145</v>
      </c>
      <c r="B1707" s="1">
        <v>2</v>
      </c>
      <c r="C1707" s="1" t="s">
        <v>121</v>
      </c>
      <c r="D1707" s="1" t="s">
        <v>34</v>
      </c>
      <c r="E1707" s="5">
        <v>37378</v>
      </c>
      <c r="F1707" s="1" t="s">
        <v>506</v>
      </c>
      <c r="G1707" s="1" t="str">
        <f>IF(B1707=0,VLOOKUP(A1707,Feuil2!$A$2:$M$1241,11,FALSE)," ")</f>
        <v xml:space="preserve"> </v>
      </c>
      <c r="H1707" s="1" t="s">
        <v>16</v>
      </c>
      <c r="I1707" s="6" t="str">
        <f>IF(B1707=0,VLOOKUP(A1707,Feuil2!$A$2:$M$1241,7,FALSE)," ")</f>
        <v xml:space="preserve"> </v>
      </c>
      <c r="J1707" s="1" t="str">
        <f>IF(B1707=0,VLOOKUP(A1707,Feuil2!$A$2:$M$1241,9,FALSE)," ")</f>
        <v xml:space="preserve"> </v>
      </c>
      <c r="K1707" s="1" t="str">
        <f>IF(B1707=0,VLOOKUP(A1707,Feuil2!$A$2:$M$1241,10,FALSE)," ")</f>
        <v xml:space="preserve"> </v>
      </c>
      <c r="L1707" s="1"/>
      <c r="M1707" s="1"/>
      <c r="N1707" s="1"/>
      <c r="O1707" s="8" t="str">
        <f>IF(B1707=0,VLOOKUP(A1707,Feuil2!$A$2:$M$1241,13,FALSE)," ")</f>
        <v xml:space="preserve"> </v>
      </c>
    </row>
    <row r="1708" spans="1:18" x14ac:dyDescent="0.3">
      <c r="A1708" s="1">
        <v>145</v>
      </c>
      <c r="B1708" s="1">
        <v>3</v>
      </c>
      <c r="C1708" s="1" t="s">
        <v>121</v>
      </c>
      <c r="D1708" s="1" t="s">
        <v>402</v>
      </c>
      <c r="E1708" s="5">
        <v>40522</v>
      </c>
      <c r="F1708" s="1" t="s">
        <v>17</v>
      </c>
      <c r="G1708" s="1" t="str">
        <f>IF(B1708=0,VLOOKUP(A1708,Feuil2!$A$2:$M$1241,11,FALSE)," ")</f>
        <v xml:space="preserve"> </v>
      </c>
      <c r="H1708" s="1" t="s">
        <v>16</v>
      </c>
      <c r="I1708" s="6" t="str">
        <f>IF(B1708=0,VLOOKUP(A1708,Feuil2!$A$2:$M$1241,7,FALSE)," ")</f>
        <v xml:space="preserve"> </v>
      </c>
      <c r="J1708" s="1" t="str">
        <f>IF(B1708=0,VLOOKUP(A1708,Feuil2!$A$2:$M$1241,9,FALSE)," ")</f>
        <v xml:space="preserve"> </v>
      </c>
      <c r="K1708" s="1" t="str">
        <f>IF(B1708=0,VLOOKUP(A1708,Feuil2!$A$2:$M$1241,10,FALSE)," ")</f>
        <v xml:space="preserve"> </v>
      </c>
      <c r="L1708" s="1"/>
      <c r="M1708" s="1"/>
      <c r="N1708" s="1"/>
      <c r="O1708" s="8" t="str">
        <f>IF(B1708=0,VLOOKUP(A1708,Feuil2!$A$2:$M$1241,13,FALSE)," ")</f>
        <v xml:space="preserve"> </v>
      </c>
    </row>
    <row r="1709" spans="1:18" x14ac:dyDescent="0.3">
      <c r="A1709" s="1">
        <v>1650</v>
      </c>
      <c r="B1709" s="1">
        <v>0</v>
      </c>
      <c r="C1709" s="1" t="str">
        <f>IF(B1709=0,VLOOKUP(A1709,Feuil2!$A$2:$M$1241,2,FALSE)," ")</f>
        <v>OUAJA</v>
      </c>
      <c r="D1709" s="1" t="str">
        <f>IF(B1709=0,VLOOKUP(A1709,Feuil2!$A$2:$M$1241,3,FALSE)," ")</f>
        <v>RAOUF</v>
      </c>
      <c r="E1709" s="5">
        <f>IF(B1709=0,VLOOKUP(A1709,Feuil2!$A$2:$M$1241,6,FALSE)," ")</f>
        <v>26863</v>
      </c>
      <c r="F1709" s="1" t="str">
        <f>IF(B1709=0,VLOOKUP(A1709,Feuil2!$A$2:$M$1241,12,FALSE)," ")</f>
        <v>H</v>
      </c>
      <c r="G1709" s="1" t="str">
        <f>IF(B1709=0,VLOOKUP(A1709,Feuil2!$A$2:$M$1241,11,FALSE)," ")</f>
        <v>M</v>
      </c>
      <c r="H1709" s="1" t="s">
        <v>16</v>
      </c>
      <c r="I1709" s="6">
        <f>IF(B1709=0,VLOOKUP(A1709,Feuil2!$A$2:$M$1241,7,FALSE)," ")</f>
        <v>5542721</v>
      </c>
      <c r="J1709" s="1" t="str">
        <f>IF(B1709=0,VLOOKUP(A1709,Feuil2!$A$2:$M$1241,9,FALSE)," ")</f>
        <v>17, Rue Jabrane Khalil Jabrane</v>
      </c>
      <c r="K1709" s="1" t="str">
        <f>IF(B1709=0,VLOOKUP(A1709,Feuil2!$A$2:$M$1241,10,FALSE)," ")</f>
        <v>CitÃ© Erriadh</v>
      </c>
      <c r="L1709" s="1"/>
      <c r="M1709" s="1">
        <v>96321421</v>
      </c>
      <c r="N1709" s="1"/>
      <c r="O1709" s="8" t="str">
        <f>IF(B1709=0,VLOOKUP(A1709,Feuil2!$A$2:$M$1241,13,FALSE)," ")</f>
        <v>03220130010100199416</v>
      </c>
    </row>
    <row r="1710" spans="1:18" x14ac:dyDescent="0.3">
      <c r="A1710" s="1">
        <v>1650</v>
      </c>
      <c r="B1710" s="1">
        <v>1</v>
      </c>
      <c r="C1710" s="1" t="s">
        <v>2794</v>
      </c>
      <c r="D1710" s="1" t="s">
        <v>2327</v>
      </c>
      <c r="E1710" s="5">
        <v>28224</v>
      </c>
      <c r="F1710" s="1" t="s">
        <v>17</v>
      </c>
      <c r="G1710" s="1" t="s">
        <v>15</v>
      </c>
      <c r="H1710" s="1" t="s">
        <v>16</v>
      </c>
      <c r="I1710" s="6" t="str">
        <f>IF(B1710=0,VLOOKUP(A1710,Feuil2!$A$2:$M$1241,7,FALSE)," ")</f>
        <v xml:space="preserve"> </v>
      </c>
      <c r="J1710" s="1" t="str">
        <f>IF(B1710=0,VLOOKUP(A1710,Feuil2!$A$2:$M$1241,9,FALSE)," ")</f>
        <v xml:space="preserve"> </v>
      </c>
      <c r="K1710" s="1" t="str">
        <f>IF(B1710=0,VLOOKUP(A1710,Feuil2!$A$2:$M$1241,10,FALSE)," ")</f>
        <v xml:space="preserve"> </v>
      </c>
      <c r="L1710" s="1"/>
      <c r="M1710" s="1"/>
      <c r="N1710" s="1"/>
      <c r="O1710" s="8" t="str">
        <f>IF(B1710=0,VLOOKUP(A1710,Feuil2!$A$2:$M$1241,13,FALSE)," ")</f>
        <v xml:space="preserve"> </v>
      </c>
    </row>
    <row r="1711" spans="1:18" x14ac:dyDescent="0.3">
      <c r="A1711" s="1">
        <v>1650</v>
      </c>
      <c r="B1711" s="1">
        <v>2</v>
      </c>
      <c r="C1711" s="1" t="s">
        <v>292</v>
      </c>
      <c r="D1711" s="1" t="s">
        <v>2579</v>
      </c>
      <c r="E1711" s="5">
        <v>38007</v>
      </c>
      <c r="F1711" s="1" t="s">
        <v>17</v>
      </c>
      <c r="G1711" s="1" t="str">
        <f>IF(B1711=0,VLOOKUP(A1711,Feuil2!$A$2:$M$1241,11,FALSE)," ")</f>
        <v xml:space="preserve"> </v>
      </c>
      <c r="H1711" s="1" t="s">
        <v>16</v>
      </c>
      <c r="I1711" s="6" t="str">
        <f>IF(B1711=0,VLOOKUP(A1711,Feuil2!$A$2:$M$1241,7,FALSE)," ")</f>
        <v xml:space="preserve"> </v>
      </c>
      <c r="J1711" s="1" t="str">
        <f>IF(B1711=0,VLOOKUP(A1711,Feuil2!$A$2:$M$1241,9,FALSE)," ")</f>
        <v xml:space="preserve"> </v>
      </c>
      <c r="K1711" s="1" t="str">
        <f>IF(B1711=0,VLOOKUP(A1711,Feuil2!$A$2:$M$1241,10,FALSE)," ")</f>
        <v xml:space="preserve"> </v>
      </c>
      <c r="L1711" s="1"/>
      <c r="M1711" s="1"/>
      <c r="N1711" s="1"/>
      <c r="O1711" s="8" t="str">
        <f>IF(B1711=0,VLOOKUP(A1711,Feuil2!$A$2:$M$1241,13,FALSE)," ")</f>
        <v xml:space="preserve"> </v>
      </c>
    </row>
    <row r="1712" spans="1:18" s="16" customFormat="1" x14ac:dyDescent="0.3">
      <c r="A1712" s="1">
        <v>1650</v>
      </c>
      <c r="B1712" s="1">
        <v>3</v>
      </c>
      <c r="C1712" s="1" t="s">
        <v>292</v>
      </c>
      <c r="D1712" s="1" t="s">
        <v>107</v>
      </c>
      <c r="E1712" s="5">
        <v>40158</v>
      </c>
      <c r="F1712" s="1" t="s">
        <v>506</v>
      </c>
      <c r="G1712" s="1" t="str">
        <f>IF(B1712=0,VLOOKUP(A1712,Feuil2!$A$2:$M$1241,11,FALSE)," ")</f>
        <v xml:space="preserve"> </v>
      </c>
      <c r="H1712" s="1" t="s">
        <v>16</v>
      </c>
      <c r="I1712" s="6" t="str">
        <f>IF(B1712=0,VLOOKUP(A1712,Feuil2!$A$2:$M$1241,7,FALSE)," ")</f>
        <v xml:space="preserve"> </v>
      </c>
      <c r="J1712" s="1" t="str">
        <f>IF(B1712=0,VLOOKUP(A1712,Feuil2!$A$2:$M$1241,9,FALSE)," ")</f>
        <v xml:space="preserve"> </v>
      </c>
      <c r="K1712" s="1" t="str">
        <f>IF(B1712=0,VLOOKUP(A1712,Feuil2!$A$2:$M$1241,10,FALSE)," ")</f>
        <v xml:space="preserve"> </v>
      </c>
      <c r="L1712" s="1"/>
      <c r="M1712" s="1"/>
      <c r="N1712" s="1"/>
      <c r="O1712" s="8" t="str">
        <f>IF(B1712=0,VLOOKUP(A1712,Feuil2!$A$2:$M$1241,13,FALSE)," ")</f>
        <v xml:space="preserve"> </v>
      </c>
      <c r="P1712"/>
      <c r="Q1712"/>
      <c r="R1712"/>
    </row>
    <row r="1713" spans="1:18" x14ac:dyDescent="0.3">
      <c r="A1713" s="1">
        <v>1702</v>
      </c>
      <c r="B1713" s="1">
        <v>0</v>
      </c>
      <c r="C1713" s="1" t="str">
        <f>IF(B1713=0,VLOOKUP(A1713,Feuil2!$A$2:$M$1241,2,FALSE)," ")</f>
        <v>JAIET</v>
      </c>
      <c r="D1713" s="1" t="str">
        <f>IF(B1713=0,VLOOKUP(A1713,Feuil2!$A$2:$M$1241,3,FALSE)," ")</f>
        <v>WALID</v>
      </c>
      <c r="E1713" s="5">
        <f>IF(B1713=0,VLOOKUP(A1713,Feuil2!$A$2:$M$1241,6,FALSE)," ")</f>
        <v>27979</v>
      </c>
      <c r="F1713" s="1" t="str">
        <f>IF(B1713=0,VLOOKUP(A1713,Feuil2!$A$2:$M$1241,12,FALSE)," ")</f>
        <v>H</v>
      </c>
      <c r="G1713" s="1" t="str">
        <f>IF(B1713=0,VLOOKUP(A1713,Feuil2!$A$2:$M$1241,11,FALSE)," ")</f>
        <v>M</v>
      </c>
      <c r="H1713" s="1" t="s">
        <v>16</v>
      </c>
      <c r="I1713" s="6">
        <f>IF(B1713=0,VLOOKUP(A1713,Feuil2!$A$2:$M$1241,7,FALSE)," ")</f>
        <v>5581997</v>
      </c>
      <c r="J1713" s="1" t="str">
        <f>IF(B1713=0,VLOOKUP(A1713,Feuil2!$A$2:$M$1241,9,FALSE)," ")</f>
        <v>Rue Ibn Khouldoun nÂ°623</v>
      </c>
      <c r="K1713" s="1" t="str">
        <f>IF(B1713=0,VLOOKUP(A1713,Feuil2!$A$2:$M$1241,10,FALSE)," ")</f>
        <v>Sousse</v>
      </c>
      <c r="L1713" s="1"/>
      <c r="M1713" s="1">
        <v>27650880</v>
      </c>
      <c r="N1713" s="1"/>
      <c r="O1713" s="8" t="str">
        <f>IF(B1713=0,VLOOKUP(A1713,Feuil2!$A$2:$M$1241,13,FALSE)," ")</f>
        <v>10506040206911278844</v>
      </c>
    </row>
    <row r="1714" spans="1:18" x14ac:dyDescent="0.3">
      <c r="A1714" s="1">
        <v>1702</v>
      </c>
      <c r="B1714" s="1">
        <v>1</v>
      </c>
      <c r="C1714" s="1" t="s">
        <v>256</v>
      </c>
      <c r="D1714" s="1" t="s">
        <v>2552</v>
      </c>
      <c r="E1714" s="5">
        <v>28787</v>
      </c>
      <c r="F1714" s="1" t="s">
        <v>17</v>
      </c>
      <c r="G1714" s="1" t="s">
        <v>15</v>
      </c>
      <c r="H1714" s="1" t="s">
        <v>16</v>
      </c>
      <c r="I1714" s="6" t="str">
        <f>IF(B1714=0,VLOOKUP(A1714,Feuil2!$A$2:$M$1241,7,FALSE)," ")</f>
        <v xml:space="preserve"> </v>
      </c>
      <c r="J1714" s="1" t="str">
        <f>IF(B1714=0,VLOOKUP(A1714,Feuil2!$A$2:$M$1241,9,FALSE)," ")</f>
        <v xml:space="preserve"> </v>
      </c>
      <c r="K1714" s="1" t="str">
        <f>IF(B1714=0,VLOOKUP(A1714,Feuil2!$A$2:$M$1241,10,FALSE)," ")</f>
        <v xml:space="preserve"> </v>
      </c>
      <c r="L1714" s="1"/>
      <c r="M1714" s="1"/>
      <c r="N1714" s="1"/>
      <c r="O1714" s="8" t="str">
        <f>IF(B1714=0,VLOOKUP(A1714,Feuil2!$A$2:$M$1241,13,FALSE)," ")</f>
        <v xml:space="preserve"> </v>
      </c>
      <c r="P1714" s="16"/>
      <c r="Q1714" s="16"/>
      <c r="R1714" s="16"/>
    </row>
    <row r="1715" spans="1:18" x14ac:dyDescent="0.3">
      <c r="A1715" s="1">
        <v>1702</v>
      </c>
      <c r="B1715" s="1">
        <v>2</v>
      </c>
      <c r="C1715" s="1" t="s">
        <v>471</v>
      </c>
      <c r="D1715" s="1" t="s">
        <v>2500</v>
      </c>
      <c r="E1715" s="5">
        <v>40305</v>
      </c>
      <c r="F1715" s="1" t="s">
        <v>17</v>
      </c>
      <c r="G1715" s="1" t="str">
        <f>IF(B1715=0,VLOOKUP(A1715,Feuil2!$A$2:$M$1241,11,FALSE)," ")</f>
        <v xml:space="preserve"> </v>
      </c>
      <c r="H1715" s="1" t="s">
        <v>16</v>
      </c>
      <c r="I1715" s="6" t="str">
        <f>IF(B1715=0,VLOOKUP(A1715,Feuil2!$A$2:$M$1241,7,FALSE)," ")</f>
        <v xml:space="preserve"> </v>
      </c>
      <c r="J1715" s="1" t="str">
        <f>IF(B1715=0,VLOOKUP(A1715,Feuil2!$A$2:$M$1241,9,FALSE)," ")</f>
        <v xml:space="preserve"> </v>
      </c>
      <c r="K1715" s="1" t="str">
        <f>IF(B1715=0,VLOOKUP(A1715,Feuil2!$A$2:$M$1241,10,FALSE)," ")</f>
        <v xml:space="preserve"> </v>
      </c>
      <c r="L1715" s="1"/>
      <c r="M1715" s="1"/>
      <c r="N1715" s="1"/>
      <c r="O1715" s="8" t="str">
        <f>IF(B1715=0,VLOOKUP(A1715,Feuil2!$A$2:$M$1241,13,FALSE)," ")</f>
        <v xml:space="preserve"> </v>
      </c>
    </row>
    <row r="1716" spans="1:18" x14ac:dyDescent="0.3">
      <c r="A1716" s="1">
        <v>1702</v>
      </c>
      <c r="B1716" s="1">
        <v>3</v>
      </c>
      <c r="C1716" s="1" t="s">
        <v>471</v>
      </c>
      <c r="D1716" s="1" t="s">
        <v>404</v>
      </c>
      <c r="E1716" s="5">
        <v>40781</v>
      </c>
      <c r="F1716" s="1" t="s">
        <v>17</v>
      </c>
      <c r="G1716" s="1" t="str">
        <f>IF(B1716=0,VLOOKUP(A1716,Feuil2!$A$2:$M$1241,11,FALSE)," ")</f>
        <v xml:space="preserve"> </v>
      </c>
      <c r="H1716" s="1" t="s">
        <v>16</v>
      </c>
      <c r="I1716" s="6" t="str">
        <f>IF(B1716=0,VLOOKUP(A1716,Feuil2!$A$2:$M$1241,7,FALSE)," ")</f>
        <v xml:space="preserve"> </v>
      </c>
      <c r="J1716" s="1" t="str">
        <f>IF(B1716=0,VLOOKUP(A1716,Feuil2!$A$2:$M$1241,9,FALSE)," ")</f>
        <v xml:space="preserve"> </v>
      </c>
      <c r="K1716" s="1" t="str">
        <f>IF(B1716=0,VLOOKUP(A1716,Feuil2!$A$2:$M$1241,10,FALSE)," ")</f>
        <v xml:space="preserve"> </v>
      </c>
      <c r="L1716" s="1"/>
      <c r="M1716" s="1"/>
      <c r="N1716" s="1"/>
      <c r="O1716" s="8" t="str">
        <f>IF(B1716=0,VLOOKUP(A1716,Feuil2!$A$2:$M$1241,13,FALSE)," ")</f>
        <v xml:space="preserve"> </v>
      </c>
    </row>
    <row r="1717" spans="1:18" x14ac:dyDescent="0.3">
      <c r="A1717" s="1">
        <v>1737</v>
      </c>
      <c r="B1717" s="1">
        <v>0</v>
      </c>
      <c r="C1717" s="1" t="str">
        <f>IF(B1717=0,VLOOKUP(A1717,Feuil2!$A$2:$M$1241,2,FALSE)," ")</f>
        <v>ALOUANE</v>
      </c>
      <c r="D1717" s="1" t="str">
        <f>IF(B1717=0,VLOOKUP(A1717,Feuil2!$A$2:$M$1241,3,FALSE)," ")</f>
        <v>ABDELKERIM</v>
      </c>
      <c r="E1717" s="5">
        <f>IF(B1717=0,VLOOKUP(A1717,Feuil2!$A$2:$M$1241,6,FALSE)," ")</f>
        <v>28133</v>
      </c>
      <c r="F1717" s="1" t="str">
        <f>IF(B1717=0,VLOOKUP(A1717,Feuil2!$A$2:$M$1241,12,FALSE)," ")</f>
        <v>H</v>
      </c>
      <c r="G1717" s="1" t="str">
        <f>IF(B1717=0,VLOOKUP(A1717,Feuil2!$A$2:$M$1241,11,FALSE)," ")</f>
        <v>M</v>
      </c>
      <c r="H1717" s="1" t="s">
        <v>16</v>
      </c>
      <c r="I1717" s="6">
        <f>IF(B1717=0,VLOOKUP(A1717,Feuil2!$A$2:$M$1241,7,FALSE)," ")</f>
        <v>5590005</v>
      </c>
      <c r="J1717" s="1" t="str">
        <f>IF(B1717=0,VLOOKUP(A1717,Feuil2!$A$2:$M$1241,9,FALSE)," ")</f>
        <v>10 Rue El Amal</v>
      </c>
      <c r="K1717" s="1" t="str">
        <f>IF(B1717=0,VLOOKUP(A1717,Feuil2!$A$2:$M$1241,10,FALSE)," ")</f>
        <v>Msaken 4070</v>
      </c>
      <c r="L1717" s="1">
        <v>4070</v>
      </c>
      <c r="M1717" s="1">
        <v>55403539</v>
      </c>
      <c r="N1717" s="1"/>
      <c r="O1717" s="8" t="str">
        <f>IF(B1717=0,VLOOKUP(A1717,Feuil2!$A$2:$M$1241,13,FALSE)," ")</f>
        <v>03508056010100347296</v>
      </c>
    </row>
    <row r="1718" spans="1:18" x14ac:dyDescent="0.3">
      <c r="A1718" s="1">
        <v>1737</v>
      </c>
      <c r="B1718" s="1">
        <v>1</v>
      </c>
      <c r="C1718" s="1" t="s">
        <v>2795</v>
      </c>
      <c r="D1718" s="1" t="s">
        <v>2367</v>
      </c>
      <c r="E1718" s="5">
        <v>31966</v>
      </c>
      <c r="F1718" s="1" t="s">
        <v>17</v>
      </c>
      <c r="G1718" s="1" t="s">
        <v>15</v>
      </c>
      <c r="H1718" s="1" t="s">
        <v>16</v>
      </c>
      <c r="I1718" s="6" t="str">
        <f>IF(B1718=0,VLOOKUP(A1718,Feuil2!$A$2:$M$1241,7,FALSE)," ")</f>
        <v xml:space="preserve"> </v>
      </c>
      <c r="J1718" s="1" t="str">
        <f>IF(B1718=0,VLOOKUP(A1718,Feuil2!$A$2:$M$1241,9,FALSE)," ")</f>
        <v xml:space="preserve"> </v>
      </c>
      <c r="K1718" s="1" t="str">
        <f>IF(B1718=0,VLOOKUP(A1718,Feuil2!$A$2:$M$1241,10,FALSE)," ")</f>
        <v xml:space="preserve"> </v>
      </c>
      <c r="L1718" s="1"/>
      <c r="M1718" s="1"/>
      <c r="N1718" s="1"/>
      <c r="O1718" s="8" t="str">
        <f>IF(B1718=0,VLOOKUP(A1718,Feuil2!$A$2:$M$1241,13,FALSE)," ")</f>
        <v xml:space="preserve"> </v>
      </c>
    </row>
    <row r="1719" spans="1:18" x14ac:dyDescent="0.3">
      <c r="A1719" s="1">
        <v>1737</v>
      </c>
      <c r="B1719" s="1">
        <v>2</v>
      </c>
      <c r="C1719" s="1" t="s">
        <v>348</v>
      </c>
      <c r="D1719" s="1" t="s">
        <v>125</v>
      </c>
      <c r="E1719" s="5">
        <v>41122</v>
      </c>
      <c r="F1719" s="1" t="s">
        <v>506</v>
      </c>
      <c r="G1719" s="1" t="str">
        <f>IF(B1719=0,VLOOKUP(A1719,Feuil2!$A$2:$M$1241,11,FALSE)," ")</f>
        <v xml:space="preserve"> </v>
      </c>
      <c r="H1719" s="1" t="s">
        <v>16</v>
      </c>
      <c r="I1719" s="6" t="str">
        <f>IF(B1719=0,VLOOKUP(A1719,Feuil2!$A$2:$M$1241,7,FALSE)," ")</f>
        <v xml:space="preserve"> </v>
      </c>
      <c r="J1719" s="1" t="str">
        <f>IF(B1719=0,VLOOKUP(A1719,Feuil2!$A$2:$M$1241,9,FALSE)," ")</f>
        <v xml:space="preserve"> </v>
      </c>
      <c r="K1719" s="1" t="str">
        <f>IF(B1719=0,VLOOKUP(A1719,Feuil2!$A$2:$M$1241,10,FALSE)," ")</f>
        <v xml:space="preserve"> </v>
      </c>
      <c r="L1719" s="1"/>
      <c r="M1719" s="1"/>
      <c r="N1719" s="1"/>
      <c r="O1719" s="8" t="str">
        <f>IF(B1719=0,VLOOKUP(A1719,Feuil2!$A$2:$M$1241,13,FALSE)," ")</f>
        <v xml:space="preserve"> </v>
      </c>
    </row>
    <row r="1720" spans="1:18" x14ac:dyDescent="0.3">
      <c r="A1720" s="1">
        <v>1737</v>
      </c>
      <c r="B1720" s="1">
        <v>3</v>
      </c>
      <c r="C1720" s="1" t="s">
        <v>348</v>
      </c>
      <c r="D1720" s="1" t="s">
        <v>2572</v>
      </c>
      <c r="E1720" s="5">
        <v>42094</v>
      </c>
      <c r="F1720" s="1" t="s">
        <v>506</v>
      </c>
      <c r="G1720" s="1" t="str">
        <f>IF(B1720=0,VLOOKUP(A1720,Feuil2!$A$2:$M$1241,11,FALSE)," ")</f>
        <v xml:space="preserve"> </v>
      </c>
      <c r="H1720" s="1" t="s">
        <v>16</v>
      </c>
      <c r="I1720" s="6" t="str">
        <f>IF(B1720=0,VLOOKUP(A1720,Feuil2!$A$2:$M$1241,7,FALSE)," ")</f>
        <v xml:space="preserve"> </v>
      </c>
      <c r="J1720" s="1" t="str">
        <f>IF(B1720=0,VLOOKUP(A1720,Feuil2!$A$2:$M$1241,9,FALSE)," ")</f>
        <v xml:space="preserve"> </v>
      </c>
      <c r="K1720" s="1" t="str">
        <f>IF(B1720=0,VLOOKUP(A1720,Feuil2!$A$2:$M$1241,10,FALSE)," ")</f>
        <v xml:space="preserve"> </v>
      </c>
      <c r="L1720" s="1"/>
      <c r="M1720" s="1"/>
      <c r="N1720" s="1"/>
      <c r="O1720" s="8" t="str">
        <f>IF(B1720=0,VLOOKUP(A1720,Feuil2!$A$2:$M$1241,13,FALSE)," ")</f>
        <v xml:space="preserve"> </v>
      </c>
    </row>
    <row r="1721" spans="1:18" x14ac:dyDescent="0.3">
      <c r="A1721" s="1">
        <v>919</v>
      </c>
      <c r="B1721" s="1">
        <v>0</v>
      </c>
      <c r="C1721" s="1" t="str">
        <f>IF(B1721=0,VLOOKUP(A1721,Feuil2!$A$2:$M$1241,2,FALSE)," ")</f>
        <v>KARMOUS</v>
      </c>
      <c r="D1721" s="1" t="str">
        <f>IF(B1721=0,VLOOKUP(A1721,Feuil2!$A$2:$M$1241,3,FALSE)," ")</f>
        <v>TAREK</v>
      </c>
      <c r="E1721" s="5">
        <f>IF(B1721=0,VLOOKUP(A1721,Feuil2!$A$2:$M$1241,6,FALSE)," ")</f>
        <v>25512</v>
      </c>
      <c r="F1721" s="1" t="str">
        <f>IF(B1721=0,VLOOKUP(A1721,Feuil2!$A$2:$M$1241,12,FALSE)," ")</f>
        <v>H</v>
      </c>
      <c r="G1721" s="1" t="str">
        <f>IF(B1721=0,VLOOKUP(A1721,Feuil2!$A$2:$M$1241,11,FALSE)," ")</f>
        <v>M</v>
      </c>
      <c r="H1721" s="1" t="s">
        <v>16</v>
      </c>
      <c r="I1721" s="6">
        <f>IF(B1721=0,VLOOKUP(A1721,Feuil2!$A$2:$M$1241,7,FALSE)," ")</f>
        <v>5511335</v>
      </c>
      <c r="J1721" s="1" t="str">
        <f>IF(B1721=0,VLOOKUP(A1721,Feuil2!$A$2:$M$1241,9,FALSE)," ")</f>
        <v>2 Rue El Hana</v>
      </c>
      <c r="K1721" s="1" t="str">
        <f>IF(B1721=0,VLOOKUP(A1721,Feuil2!$A$2:$M$1241,10,FALSE)," ")</f>
        <v>Msaken 4070</v>
      </c>
      <c r="L1721" s="1">
        <v>4070</v>
      </c>
      <c r="M1721" s="1">
        <v>26113713</v>
      </c>
      <c r="N1721" s="1"/>
      <c r="O1721" s="8" t="str">
        <f>IF(B1721=0,VLOOKUP(A1721,Feuil2!$A$2:$M$1241,13,FALSE)," ")</f>
        <v>10506040204105678877</v>
      </c>
    </row>
    <row r="1722" spans="1:18" x14ac:dyDescent="0.3">
      <c r="A1722" s="1">
        <v>919</v>
      </c>
      <c r="B1722" s="1">
        <v>1</v>
      </c>
      <c r="C1722" s="1" t="s">
        <v>644</v>
      </c>
      <c r="D1722" s="1" t="s">
        <v>1008</v>
      </c>
      <c r="E1722" s="5">
        <v>27686</v>
      </c>
      <c r="F1722" s="1" t="s">
        <v>17</v>
      </c>
      <c r="G1722" s="1" t="s">
        <v>15</v>
      </c>
      <c r="H1722" s="1" t="s">
        <v>16</v>
      </c>
      <c r="I1722" s="6" t="str">
        <f>IF(B1722=0,VLOOKUP(A1722,Feuil2!$A$2:$M$1241,7,FALSE)," ")</f>
        <v xml:space="preserve"> </v>
      </c>
      <c r="J1722" s="1" t="str">
        <f>IF(B1722=0,VLOOKUP(A1722,Feuil2!$A$2:$M$1241,9,FALSE)," ")</f>
        <v xml:space="preserve"> </v>
      </c>
      <c r="K1722" s="1" t="str">
        <f>IF(B1722=0,VLOOKUP(A1722,Feuil2!$A$2:$M$1241,10,FALSE)," ")</f>
        <v xml:space="preserve"> </v>
      </c>
      <c r="L1722" s="1"/>
      <c r="M1722" s="1"/>
      <c r="N1722" s="1"/>
      <c r="O1722" s="8" t="str">
        <f>IF(B1722=0,VLOOKUP(A1722,Feuil2!$A$2:$M$1241,13,FALSE)," ")</f>
        <v xml:space="preserve"> </v>
      </c>
    </row>
    <row r="1723" spans="1:18" x14ac:dyDescent="0.3">
      <c r="A1723" s="1">
        <v>919</v>
      </c>
      <c r="B1723" s="1">
        <v>2</v>
      </c>
      <c r="C1723" s="1" t="s">
        <v>203</v>
      </c>
      <c r="D1723" s="1" t="s">
        <v>2499</v>
      </c>
      <c r="E1723" s="5">
        <v>39561</v>
      </c>
      <c r="F1723" s="1" t="s">
        <v>506</v>
      </c>
      <c r="G1723" s="1" t="str">
        <f>IF(B1723=0,VLOOKUP(A1723,Feuil2!$A$2:$M$1241,11,FALSE)," ")</f>
        <v xml:space="preserve"> </v>
      </c>
      <c r="H1723" s="1" t="s">
        <v>16</v>
      </c>
      <c r="I1723" s="6" t="str">
        <f>IF(B1723=0,VLOOKUP(A1723,Feuil2!$A$2:$M$1241,7,FALSE)," ")</f>
        <v xml:space="preserve"> </v>
      </c>
      <c r="J1723" s="1" t="str">
        <f>IF(B1723=0,VLOOKUP(A1723,Feuil2!$A$2:$M$1241,9,FALSE)," ")</f>
        <v xml:space="preserve"> </v>
      </c>
      <c r="K1723" s="1" t="str">
        <f>IF(B1723=0,VLOOKUP(A1723,Feuil2!$A$2:$M$1241,10,FALSE)," ")</f>
        <v xml:space="preserve"> </v>
      </c>
      <c r="L1723" s="1"/>
      <c r="M1723" s="1"/>
      <c r="N1723" s="1"/>
      <c r="O1723" s="8" t="str">
        <f>IF(B1723=0,VLOOKUP(A1723,Feuil2!$A$2:$M$1241,13,FALSE)," ")</f>
        <v xml:space="preserve"> </v>
      </c>
    </row>
    <row r="1724" spans="1:18" x14ac:dyDescent="0.3">
      <c r="A1724" s="1">
        <v>919</v>
      </c>
      <c r="B1724" s="1">
        <v>3</v>
      </c>
      <c r="C1724" s="1" t="s">
        <v>203</v>
      </c>
      <c r="D1724" s="1" t="s">
        <v>61</v>
      </c>
      <c r="E1724" s="5">
        <v>41554</v>
      </c>
      <c r="F1724" s="1" t="s">
        <v>506</v>
      </c>
      <c r="G1724" s="1" t="str">
        <f>IF(B1724=0,VLOOKUP(A1724,Feuil2!$A$2:$M$1241,11,FALSE)," ")</f>
        <v xml:space="preserve"> </v>
      </c>
      <c r="H1724" s="1" t="s">
        <v>16</v>
      </c>
      <c r="I1724" s="6" t="str">
        <f>IF(B1724=0,VLOOKUP(A1724,Feuil2!$A$2:$M$1241,7,FALSE)," ")</f>
        <v xml:space="preserve"> </v>
      </c>
      <c r="J1724" s="1" t="str">
        <f>IF(B1724=0,VLOOKUP(A1724,Feuil2!$A$2:$M$1241,9,FALSE)," ")</f>
        <v xml:space="preserve"> </v>
      </c>
      <c r="K1724" s="1" t="str">
        <f>IF(B1724=0,VLOOKUP(A1724,Feuil2!$A$2:$M$1241,10,FALSE)," ")</f>
        <v xml:space="preserve"> </v>
      </c>
      <c r="L1724" s="1"/>
      <c r="M1724" s="1"/>
      <c r="N1724" s="1"/>
      <c r="O1724" s="8" t="str">
        <f>IF(B1724=0,VLOOKUP(A1724,Feuil2!$A$2:$M$1241,13,FALSE)," ")</f>
        <v xml:space="preserve"> </v>
      </c>
    </row>
    <row r="1725" spans="1:18" x14ac:dyDescent="0.3">
      <c r="A1725" s="1">
        <v>15</v>
      </c>
      <c r="B1725" s="1">
        <v>0</v>
      </c>
      <c r="C1725" s="1" t="str">
        <f>IF(B1725=0,VLOOKUP(A1725,Feuil2!$A$2:$M$1241,2,FALSE)," ")</f>
        <v>ERNEZ</v>
      </c>
      <c r="D1725" s="1" t="str">
        <f>IF(B1725=0,VLOOKUP(A1725,Feuil2!$A$2:$M$1241,3,FALSE)," ")</f>
        <v>ZOUHAIER</v>
      </c>
      <c r="E1725" s="5">
        <f>IF(B1725=0,VLOOKUP(A1725,Feuil2!$A$2:$M$1241,6,FALSE)," ")</f>
        <v>18803</v>
      </c>
      <c r="F1725" s="1" t="str">
        <f>IF(B1725=0,VLOOKUP(A1725,Feuil2!$A$2:$M$1241,12,FALSE)," ")</f>
        <v>H</v>
      </c>
      <c r="G1725" s="1" t="str">
        <f>IF(B1725=0,VLOOKUP(A1725,Feuil2!$A$2:$M$1241,11,FALSE)," ")</f>
        <v>M</v>
      </c>
      <c r="H1725" s="1" t="s">
        <v>16</v>
      </c>
      <c r="I1725" s="6">
        <f>IF(B1725=0,VLOOKUP(A1725,Feuil2!$A$2:$M$1241,7,FALSE)," ")</f>
        <v>2956086</v>
      </c>
      <c r="J1725" s="1" t="str">
        <f>IF(B1725=0,VLOOKUP(A1725,Feuil2!$A$2:$M$1241,9,FALSE)," ")</f>
        <v>Rue El Houlel Essoundoussia Khezama Ouest</v>
      </c>
      <c r="K1725" s="1" t="str">
        <f>IF(B1725=0,VLOOKUP(A1725,Feuil2!$A$2:$M$1241,10,FALSE)," ")</f>
        <v>Sousse</v>
      </c>
      <c r="L1725" s="1">
        <v>4070</v>
      </c>
      <c r="M1725" s="1">
        <v>98793618</v>
      </c>
      <c r="N1725" s="1"/>
      <c r="O1725" s="8" t="e">
        <f>IF(B1725=0,VLOOKUP(A1725,Feuil2!$A$2:$M$1241,13,FALSE)," ")</f>
        <v>#N/A</v>
      </c>
    </row>
    <row r="1726" spans="1:18" x14ac:dyDescent="0.3">
      <c r="A1726" s="1">
        <v>194</v>
      </c>
      <c r="B1726" s="1">
        <v>1</v>
      </c>
      <c r="C1726" s="1" t="s">
        <v>2489</v>
      </c>
      <c r="D1726" s="1" t="s">
        <v>1094</v>
      </c>
      <c r="E1726" s="5">
        <v>26000</v>
      </c>
      <c r="F1726" s="1" t="s">
        <v>17</v>
      </c>
      <c r="G1726" s="1" t="s">
        <v>15</v>
      </c>
      <c r="H1726" s="1" t="s">
        <v>16</v>
      </c>
      <c r="I1726" s="6" t="str">
        <f>IF(B1726=0,VLOOKUP(A1726,Feuil2!$A$2:$M$1241,7,FALSE)," ")</f>
        <v xml:space="preserve"> </v>
      </c>
      <c r="J1726" s="1" t="str">
        <f>IF(B1726=0,VLOOKUP(A1726,Feuil2!$A$2:$M$1241,9,FALSE)," ")</f>
        <v xml:space="preserve"> </v>
      </c>
      <c r="K1726" s="1" t="str">
        <f>IF(B1726=0,VLOOKUP(A1726,Feuil2!$A$2:$M$1241,10,FALSE)," ")</f>
        <v xml:space="preserve"> </v>
      </c>
      <c r="L1726" s="1"/>
      <c r="M1726" s="1"/>
      <c r="N1726" s="1"/>
      <c r="O1726" s="8" t="str">
        <f>IF(B1726=0,VLOOKUP(A1726,Feuil2!$A$2:$M$1241,13,FALSE)," ")</f>
        <v xml:space="preserve"> </v>
      </c>
    </row>
    <row r="1727" spans="1:18" x14ac:dyDescent="0.3">
      <c r="A1727" s="1">
        <v>194</v>
      </c>
      <c r="B1727" s="1">
        <v>2</v>
      </c>
      <c r="C1727" s="1" t="s">
        <v>227</v>
      </c>
      <c r="D1727" s="1" t="s">
        <v>2577</v>
      </c>
      <c r="E1727" s="5">
        <v>34705</v>
      </c>
      <c r="F1727" s="1" t="s">
        <v>506</v>
      </c>
      <c r="G1727" s="1" t="str">
        <f>IF(B1727=0,VLOOKUP(A1727,Feuil2!$A$2:$M$1241,11,FALSE)," ")</f>
        <v xml:space="preserve"> </v>
      </c>
      <c r="H1727" s="1" t="s">
        <v>16</v>
      </c>
      <c r="I1727" s="6" t="str">
        <f>IF(B1727=0,VLOOKUP(A1727,Feuil2!$A$2:$M$1241,7,FALSE)," ")</f>
        <v xml:space="preserve"> </v>
      </c>
      <c r="J1727" s="1" t="str">
        <f>IF(B1727=0,VLOOKUP(A1727,Feuil2!$A$2:$M$1241,9,FALSE)," ")</f>
        <v xml:space="preserve"> </v>
      </c>
      <c r="K1727" s="1" t="str">
        <f>IF(B1727=0,VLOOKUP(A1727,Feuil2!$A$2:$M$1241,10,FALSE)," ")</f>
        <v xml:space="preserve"> </v>
      </c>
      <c r="L1727" s="1"/>
      <c r="M1727" s="1"/>
      <c r="N1727" s="1"/>
      <c r="O1727" s="8" t="str">
        <f>IF(B1727=0,VLOOKUP(A1727,Feuil2!$A$2:$M$1241,13,FALSE)," ")</f>
        <v xml:space="preserve"> </v>
      </c>
    </row>
    <row r="1728" spans="1:18" x14ac:dyDescent="0.3">
      <c r="A1728" s="1">
        <v>194</v>
      </c>
      <c r="B1728" s="1">
        <v>3</v>
      </c>
      <c r="C1728" s="1" t="s">
        <v>227</v>
      </c>
      <c r="D1728" s="1" t="s">
        <v>2380</v>
      </c>
      <c r="E1728" s="5">
        <v>37876</v>
      </c>
      <c r="F1728" s="1" t="s">
        <v>17</v>
      </c>
      <c r="G1728" s="1" t="str">
        <f>IF(B1728=0,VLOOKUP(A1728,Feuil2!$A$2:$M$1241,11,FALSE)," ")</f>
        <v xml:space="preserve"> </v>
      </c>
      <c r="H1728" s="1" t="s">
        <v>16</v>
      </c>
      <c r="I1728" s="6" t="str">
        <f>IF(B1728=0,VLOOKUP(A1728,Feuil2!$A$2:$M$1241,7,FALSE)," ")</f>
        <v xml:space="preserve"> </v>
      </c>
      <c r="J1728" s="1" t="str">
        <f>IF(B1728=0,VLOOKUP(A1728,Feuil2!$A$2:$M$1241,9,FALSE)," ")</f>
        <v xml:space="preserve"> </v>
      </c>
      <c r="K1728" s="1" t="str">
        <f>IF(B1728=0,VLOOKUP(A1728,Feuil2!$A$2:$M$1241,10,FALSE)," ")</f>
        <v xml:space="preserve"> </v>
      </c>
      <c r="L1728" s="1"/>
      <c r="M1728" s="1"/>
      <c r="N1728" s="1"/>
      <c r="O1728" s="8" t="str">
        <f>IF(B1728=0,VLOOKUP(A1728,Feuil2!$A$2:$M$1241,13,FALSE)," ")</f>
        <v xml:space="preserve"> </v>
      </c>
    </row>
    <row r="1729" spans="1:16" x14ac:dyDescent="0.3">
      <c r="A1729" s="1">
        <v>1780</v>
      </c>
      <c r="B1729" s="1">
        <v>0</v>
      </c>
      <c r="C1729" s="1" t="str">
        <f>IF(B1729=0,VLOOKUP(A1729,Feuil2!$A$2:$M$1241,2,FALSE)," ")</f>
        <v>SASSI</v>
      </c>
      <c r="D1729" s="1" t="str">
        <f>IF(B1729=0,VLOOKUP(A1729,Feuil2!$A$2:$M$1241,3,FALSE)," ")</f>
        <v>SAIFELLAH</v>
      </c>
      <c r="E1729" s="5">
        <f>IF(B1729=0,VLOOKUP(A1729,Feuil2!$A$2:$M$1241,6,FALSE)," ")</f>
        <v>25986</v>
      </c>
      <c r="F1729" s="1" t="str">
        <f>IF(B1729=0,VLOOKUP(A1729,Feuil2!$A$2:$M$1241,12,FALSE)," ")</f>
        <v>H</v>
      </c>
      <c r="G1729" s="1" t="str">
        <f>IF(B1729=0,VLOOKUP(A1729,Feuil2!$A$2:$M$1241,11,FALSE)," ")</f>
        <v>M</v>
      </c>
      <c r="H1729" s="1" t="s">
        <v>16</v>
      </c>
      <c r="I1729" s="6">
        <f>IF(B1729=0,VLOOKUP(A1729,Feuil2!$A$2:$M$1241,7,FALSE)," ")</f>
        <v>5529485</v>
      </c>
      <c r="J1729" s="1" t="str">
        <f>IF(B1729=0,VLOOKUP(A1729,Feuil2!$A$2:$M$1241,9,FALSE)," ")</f>
        <v>7 Rue de Mouritani</v>
      </c>
      <c r="K1729" s="1" t="str">
        <f>IF(B1729=0,VLOOKUP(A1729,Feuil2!$A$2:$M$1241,10,FALSE)," ")</f>
        <v>Msaken 4070</v>
      </c>
      <c r="L1729" s="1">
        <v>4070</v>
      </c>
      <c r="M1729" s="1">
        <v>22621860</v>
      </c>
      <c r="N1729" s="1"/>
      <c r="O1729" s="8" t="str">
        <f>IF(B1729=0,VLOOKUP(A1729,Feuil2!$A$2:$M$1241,13,FALSE)," ")</f>
        <v>10506040204842278835</v>
      </c>
    </row>
    <row r="1730" spans="1:16" x14ac:dyDescent="0.3">
      <c r="A1730" s="1">
        <v>1780</v>
      </c>
      <c r="B1730" s="1">
        <v>1</v>
      </c>
      <c r="C1730" s="1" t="s">
        <v>2736</v>
      </c>
      <c r="D1730" s="1" t="s">
        <v>2175</v>
      </c>
      <c r="E1730" s="5">
        <v>27340</v>
      </c>
      <c r="F1730" s="1" t="s">
        <v>17</v>
      </c>
      <c r="G1730" s="1" t="s">
        <v>15</v>
      </c>
      <c r="H1730" s="1" t="s">
        <v>16</v>
      </c>
      <c r="I1730" s="6" t="str">
        <f>IF(B1730=0,VLOOKUP(A1730,Feuil2!$A$2:$M$1241,7,FALSE)," ")</f>
        <v xml:space="preserve"> </v>
      </c>
      <c r="J1730" s="1" t="str">
        <f>IF(B1730=0,VLOOKUP(A1730,Feuil2!$A$2:$M$1241,9,FALSE)," ")</f>
        <v xml:space="preserve"> </v>
      </c>
      <c r="K1730" s="1" t="str">
        <f>IF(B1730=0,VLOOKUP(A1730,Feuil2!$A$2:$M$1241,10,FALSE)," ")</f>
        <v xml:space="preserve"> </v>
      </c>
      <c r="L1730" s="1"/>
      <c r="M1730" s="1"/>
      <c r="N1730" s="1"/>
      <c r="O1730" s="8" t="str">
        <f>IF(B1730=0,VLOOKUP(A1730,Feuil2!$A$2:$M$1241,13,FALSE)," ")</f>
        <v xml:space="preserve"> </v>
      </c>
    </row>
    <row r="1731" spans="1:16" x14ac:dyDescent="0.3">
      <c r="A1731" s="1">
        <v>1780</v>
      </c>
      <c r="B1731" s="1">
        <v>2</v>
      </c>
      <c r="C1731" s="1" t="s">
        <v>104</v>
      </c>
      <c r="D1731" s="1" t="s">
        <v>287</v>
      </c>
      <c r="E1731" s="5">
        <v>39210</v>
      </c>
      <c r="F1731" s="1" t="s">
        <v>506</v>
      </c>
      <c r="G1731" s="1" t="str">
        <f>IF(B1731=0,VLOOKUP(A1731,Feuil2!$A$2:$M$1241,11,FALSE)," ")</f>
        <v xml:space="preserve"> </v>
      </c>
      <c r="H1731" s="1" t="s">
        <v>16</v>
      </c>
      <c r="I1731" s="6" t="str">
        <f>IF(B1731=0,VLOOKUP(A1731,Feuil2!$A$2:$M$1241,7,FALSE)," ")</f>
        <v xml:space="preserve"> </v>
      </c>
      <c r="J1731" s="1" t="str">
        <f>IF(B1731=0,VLOOKUP(A1731,Feuil2!$A$2:$M$1241,9,FALSE)," ")</f>
        <v xml:space="preserve"> </v>
      </c>
      <c r="K1731" s="1" t="str">
        <f>IF(B1731=0,VLOOKUP(A1731,Feuil2!$A$2:$M$1241,10,FALSE)," ")</f>
        <v xml:space="preserve"> </v>
      </c>
      <c r="L1731" s="1"/>
      <c r="M1731" s="1"/>
      <c r="N1731" s="1"/>
      <c r="O1731" s="8" t="str">
        <f>IF(B1731=0,VLOOKUP(A1731,Feuil2!$A$2:$M$1241,13,FALSE)," ")</f>
        <v xml:space="preserve"> </v>
      </c>
    </row>
    <row r="1732" spans="1:16" x14ac:dyDescent="0.3">
      <c r="A1732" s="1">
        <v>1780</v>
      </c>
      <c r="B1732" s="1">
        <v>3</v>
      </c>
      <c r="C1732" s="1" t="s">
        <v>104</v>
      </c>
      <c r="D1732" s="1" t="s">
        <v>2367</v>
      </c>
      <c r="E1732" s="5">
        <v>39861</v>
      </c>
      <c r="F1732" s="1" t="s">
        <v>17</v>
      </c>
      <c r="G1732" s="1" t="str">
        <f>IF(B1732=0,VLOOKUP(A1732,Feuil2!$A$2:$M$1241,11,FALSE)," ")</f>
        <v xml:space="preserve"> </v>
      </c>
      <c r="H1732" s="1" t="s">
        <v>16</v>
      </c>
      <c r="I1732" s="6" t="str">
        <f>IF(B1732=0,VLOOKUP(A1732,Feuil2!$A$2:$M$1241,7,FALSE)," ")</f>
        <v xml:space="preserve"> </v>
      </c>
      <c r="J1732" s="1" t="str">
        <f>IF(B1732=0,VLOOKUP(A1732,Feuil2!$A$2:$M$1241,9,FALSE)," ")</f>
        <v xml:space="preserve"> </v>
      </c>
      <c r="K1732" s="1" t="str">
        <f>IF(B1732=0,VLOOKUP(A1732,Feuil2!$A$2:$M$1241,10,FALSE)," ")</f>
        <v xml:space="preserve"> </v>
      </c>
      <c r="L1732" s="1"/>
      <c r="M1732" s="1"/>
      <c r="N1732" s="1"/>
      <c r="O1732" s="8" t="str">
        <f>IF(B1732=0,VLOOKUP(A1732,Feuil2!$A$2:$M$1241,13,FALSE)," ")</f>
        <v xml:space="preserve"> </v>
      </c>
    </row>
    <row r="1733" spans="1:16" x14ac:dyDescent="0.3">
      <c r="A1733" s="1">
        <v>1780</v>
      </c>
      <c r="B1733" s="1">
        <v>4</v>
      </c>
      <c r="C1733" s="1" t="s">
        <v>104</v>
      </c>
      <c r="D1733" s="1" t="s">
        <v>89</v>
      </c>
      <c r="E1733" s="5">
        <v>40682</v>
      </c>
      <c r="F1733" s="1" t="s">
        <v>506</v>
      </c>
      <c r="G1733" s="1" t="str">
        <f>IF(B1733=0,VLOOKUP(A1733,Feuil2!$A$2:$M$1241,11,FALSE)," ")</f>
        <v xml:space="preserve"> </v>
      </c>
      <c r="H1733" s="1" t="s">
        <v>16</v>
      </c>
      <c r="I1733" s="6" t="str">
        <f>IF(B1733=0,VLOOKUP(A1733,Feuil2!$A$2:$M$1241,7,FALSE)," ")</f>
        <v xml:space="preserve"> </v>
      </c>
      <c r="J1733" s="1" t="str">
        <f>IF(B1733=0,VLOOKUP(A1733,Feuil2!$A$2:$M$1241,9,FALSE)," ")</f>
        <v xml:space="preserve"> </v>
      </c>
      <c r="K1733" s="1" t="str">
        <f>IF(B1733=0,VLOOKUP(A1733,Feuil2!$A$2:$M$1241,10,FALSE)," ")</f>
        <v xml:space="preserve"> </v>
      </c>
      <c r="L1733" s="1"/>
      <c r="M1733" s="1"/>
      <c r="N1733" s="1"/>
      <c r="O1733" s="8" t="str">
        <f>IF(B1733=0,VLOOKUP(A1733,Feuil2!$A$2:$M$1241,13,FALSE)," ")</f>
        <v xml:space="preserve"> </v>
      </c>
    </row>
    <row r="1734" spans="1:16" x14ac:dyDescent="0.3">
      <c r="A1734" s="12">
        <v>1754</v>
      </c>
      <c r="B1734" s="12">
        <v>0</v>
      </c>
      <c r="C1734" s="12" t="str">
        <f>IF(B1734=0,VLOOKUP(A1734,Feuil2!$A$2:$M$1241,2,FALSE)," ")</f>
        <v>MAHJOUB</v>
      </c>
      <c r="D1734" s="12" t="str">
        <f>IF(B1734=0,VLOOKUP(A1734,Feuil2!$A$2:$M$1241,3,FALSE)," ")</f>
        <v>RADHOUANE</v>
      </c>
      <c r="E1734" s="13">
        <f>IF(B1734=0,VLOOKUP(A1734,Feuil2!$A$2:$M$1241,6,FALSE)," ")</f>
        <v>29522</v>
      </c>
      <c r="F1734" s="12" t="str">
        <f>IF(B1734=0,VLOOKUP(A1734,Feuil2!$A$2:$M$1241,12,FALSE)," ")</f>
        <v>H</v>
      </c>
      <c r="G1734" s="12" t="str">
        <f>IF(B1734=0,VLOOKUP(A1734,Feuil2!$A$2:$M$1241,11,FALSE)," ")</f>
        <v>C</v>
      </c>
      <c r="H1734" s="12" t="s">
        <v>16</v>
      </c>
      <c r="I1734" s="14">
        <f>IF(B1734=0,VLOOKUP(A1734,Feuil2!$A$2:$M$1241,7,FALSE)," ")</f>
        <v>8425098</v>
      </c>
      <c r="J1734" s="12" t="str">
        <f>IF(B1734=0,VLOOKUP(A1734,Feuil2!$A$2:$M$1241,9,FALSE)," ")</f>
        <v>NULL</v>
      </c>
      <c r="K1734" s="12" t="str">
        <f>IF(B1734=0,VLOOKUP(A1734,Feuil2!$A$2:$M$1241,10,FALSE)," ")</f>
        <v>CitÃ© Erriadh</v>
      </c>
      <c r="L1734" s="12"/>
      <c r="M1734" s="12">
        <v>97347013</v>
      </c>
      <c r="N1734" s="12"/>
      <c r="O1734" s="15" t="str">
        <f>IF(B1734=0,VLOOKUP(A1734,Feuil2!$A$2:$M$1241,13,FALSE)," ")</f>
        <v>08507000262004868587</v>
      </c>
    </row>
    <row r="1735" spans="1:16" x14ac:dyDescent="0.3">
      <c r="A1735" s="12">
        <v>809</v>
      </c>
      <c r="B1735" s="12">
        <v>0</v>
      </c>
      <c r="C1735" s="12" t="str">
        <f>IF(B1735=0,VLOOKUP(A1735,Feuil2!$A$2:$M$1241,2,FALSE)," ")</f>
        <v>HADJ AMMAR</v>
      </c>
      <c r="D1735" s="12" t="str">
        <f>IF(B1735=0,VLOOKUP(A1735,Feuil2!$A$2:$M$1241,3,FALSE)," ")</f>
        <v>KAMEL</v>
      </c>
      <c r="E1735" s="13">
        <f>IF(B1735=0,VLOOKUP(A1735,Feuil2!$A$2:$M$1241,6,FALSE)," ")</f>
        <v>23613</v>
      </c>
      <c r="F1735" s="12" t="str">
        <f>IF(B1735=0,VLOOKUP(A1735,Feuil2!$A$2:$M$1241,12,FALSE)," ")</f>
        <v>H</v>
      </c>
      <c r="G1735" s="12" t="str">
        <f>IF(B1735=0,VLOOKUP(A1735,Feuil2!$A$2:$M$1241,11,FALSE)," ")</f>
        <v>M</v>
      </c>
      <c r="H1735" s="12" t="s">
        <v>16</v>
      </c>
      <c r="I1735" s="14">
        <f>IF(B1735=0,VLOOKUP(A1735,Feuil2!$A$2:$M$1241,7,FALSE)," ")</f>
        <v>2978228</v>
      </c>
      <c r="J1735" s="12" t="str">
        <f>IF(B1735=0,VLOOKUP(A1735,Feuil2!$A$2:$M$1241,9,FALSE)," ")</f>
        <v>4025 Sidi El Hani</v>
      </c>
      <c r="K1735" s="12" t="str">
        <f>IF(B1735=0,VLOOKUP(A1735,Feuil2!$A$2:$M$1241,10,FALSE)," ")</f>
        <v>Sidi El HÃ©ni 4025</v>
      </c>
      <c r="L1735" s="12"/>
      <c r="M1735" s="12">
        <v>96542859</v>
      </c>
      <c r="N1735" s="12"/>
      <c r="O1735" s="15" t="str">
        <f>IF(B1735=0,VLOOKUP(A1735,Feuil2!$A$2:$M$1241,13,FALSE)," ")</f>
        <v>10506040203833978870</v>
      </c>
    </row>
    <row r="1736" spans="1:16" x14ac:dyDescent="0.3">
      <c r="A1736" s="1">
        <v>809</v>
      </c>
      <c r="B1736" s="1">
        <v>1</v>
      </c>
      <c r="C1736" s="1" t="s">
        <v>965</v>
      </c>
      <c r="D1736" s="1" t="s">
        <v>2348</v>
      </c>
      <c r="E1736" s="5">
        <v>29285</v>
      </c>
      <c r="F1736" s="1" t="s">
        <v>17</v>
      </c>
      <c r="G1736" s="1" t="s">
        <v>15</v>
      </c>
      <c r="H1736" s="1" t="s">
        <v>16</v>
      </c>
      <c r="I1736" s="6" t="str">
        <f>IF(B1736=0,VLOOKUP(A1736,Feuil2!$A$2:$M$1241,7,FALSE)," ")</f>
        <v xml:space="preserve"> </v>
      </c>
      <c r="J1736" s="1" t="str">
        <f>IF(B1736=0,VLOOKUP(A1736,Feuil2!$A$2:$M$1241,9,FALSE)," ")</f>
        <v xml:space="preserve"> </v>
      </c>
      <c r="K1736" s="1" t="str">
        <f>IF(B1736=0,VLOOKUP(A1736,Feuil2!$A$2:$M$1241,10,FALSE)," ")</f>
        <v xml:space="preserve"> </v>
      </c>
      <c r="L1736" s="1"/>
      <c r="M1736" s="1"/>
      <c r="N1736" s="1"/>
      <c r="O1736" s="8" t="str">
        <f>IF(B1736=0,VLOOKUP(A1736,Feuil2!$A$2:$M$1241,13,FALSE)," ")</f>
        <v xml:space="preserve"> </v>
      </c>
    </row>
    <row r="1737" spans="1:16" x14ac:dyDescent="0.3">
      <c r="A1737" s="1">
        <v>809</v>
      </c>
      <c r="B1737" s="1">
        <v>2</v>
      </c>
      <c r="C1737" s="1" t="s">
        <v>1258</v>
      </c>
      <c r="D1737" s="1" t="s">
        <v>39</v>
      </c>
      <c r="E1737" s="5">
        <v>37428</v>
      </c>
      <c r="F1737" s="1" t="s">
        <v>506</v>
      </c>
      <c r="G1737" s="1" t="str">
        <f>IF(B1737=0,VLOOKUP(A1737,Feuil2!$A$2:$M$1241,11,FALSE)," ")</f>
        <v xml:space="preserve"> </v>
      </c>
      <c r="H1737" s="1" t="s">
        <v>16</v>
      </c>
      <c r="I1737" s="6" t="str">
        <f>IF(B1737=0,VLOOKUP(A1737,Feuil2!$A$2:$M$1241,7,FALSE)," ")</f>
        <v xml:space="preserve"> </v>
      </c>
      <c r="J1737" s="1" t="str">
        <f>IF(B1737=0,VLOOKUP(A1737,Feuil2!$A$2:$M$1241,9,FALSE)," ")</f>
        <v xml:space="preserve"> </v>
      </c>
      <c r="K1737" s="1" t="str">
        <f>IF(B1737=0,VLOOKUP(A1737,Feuil2!$A$2:$M$1241,10,FALSE)," ")</f>
        <v xml:space="preserve"> </v>
      </c>
      <c r="L1737" s="1"/>
      <c r="M1737" s="1"/>
      <c r="N1737" s="1"/>
      <c r="O1737" s="8" t="str">
        <f>IF(B1737=0,VLOOKUP(A1737,Feuil2!$A$2:$M$1241,13,FALSE)," ")</f>
        <v xml:space="preserve"> </v>
      </c>
    </row>
    <row r="1738" spans="1:16" x14ac:dyDescent="0.3">
      <c r="A1738" s="1">
        <v>809</v>
      </c>
      <c r="B1738" s="1">
        <v>3</v>
      </c>
      <c r="C1738" s="1" t="s">
        <v>1258</v>
      </c>
      <c r="D1738" s="1" t="s">
        <v>172</v>
      </c>
      <c r="E1738" s="5">
        <v>38489</v>
      </c>
      <c r="F1738" s="1" t="s">
        <v>506</v>
      </c>
      <c r="G1738" s="1" t="str">
        <f>IF(B1738=0,VLOOKUP(A1738,Feuil2!$A$2:$M$1241,11,FALSE)," ")</f>
        <v xml:space="preserve"> </v>
      </c>
      <c r="H1738" s="1" t="s">
        <v>16</v>
      </c>
      <c r="I1738" s="6" t="str">
        <f>IF(B1738=0,VLOOKUP(A1738,Feuil2!$A$2:$M$1241,7,FALSE)," ")</f>
        <v xml:space="preserve"> </v>
      </c>
      <c r="J1738" s="1" t="str">
        <f>IF(B1738=0,VLOOKUP(A1738,Feuil2!$A$2:$M$1241,9,FALSE)," ")</f>
        <v xml:space="preserve"> </v>
      </c>
      <c r="K1738" s="1" t="str">
        <f>IF(B1738=0,VLOOKUP(A1738,Feuil2!$A$2:$M$1241,10,FALSE)," ")</f>
        <v xml:space="preserve"> </v>
      </c>
      <c r="L1738" s="1"/>
      <c r="M1738" s="1"/>
      <c r="N1738" s="1"/>
      <c r="O1738" s="8" t="str">
        <f>IF(B1738=0,VLOOKUP(A1738,Feuil2!$A$2:$M$1241,13,FALSE)," ")</f>
        <v xml:space="preserve"> </v>
      </c>
    </row>
    <row r="1739" spans="1:16" x14ac:dyDescent="0.3">
      <c r="A1739" s="1">
        <v>809</v>
      </c>
      <c r="B1739" s="1">
        <v>4</v>
      </c>
      <c r="C1739" s="1" t="s">
        <v>1258</v>
      </c>
      <c r="D1739" s="1" t="s">
        <v>2332</v>
      </c>
      <c r="E1739" s="5">
        <v>41653</v>
      </c>
      <c r="F1739" s="1" t="s">
        <v>17</v>
      </c>
      <c r="G1739" s="1" t="str">
        <f>IF(B1739=0,VLOOKUP(A1739,Feuil2!$A$2:$M$1241,11,FALSE)," ")</f>
        <v xml:space="preserve"> </v>
      </c>
      <c r="H1739" s="1" t="s">
        <v>16</v>
      </c>
      <c r="I1739" s="6" t="str">
        <f>IF(B1739=0,VLOOKUP(A1739,Feuil2!$A$2:$M$1241,7,FALSE)," ")</f>
        <v xml:space="preserve"> </v>
      </c>
      <c r="J1739" s="1" t="str">
        <f>IF(B1739=0,VLOOKUP(A1739,Feuil2!$A$2:$M$1241,9,FALSE)," ")</f>
        <v xml:space="preserve"> </v>
      </c>
      <c r="K1739" s="1" t="str">
        <f>IF(B1739=0,VLOOKUP(A1739,Feuil2!$A$2:$M$1241,10,FALSE)," ")</f>
        <v xml:space="preserve"> </v>
      </c>
      <c r="L1739" s="1"/>
      <c r="M1739" s="1"/>
      <c r="N1739" s="1"/>
      <c r="O1739" s="8" t="str">
        <f>IF(B1739=0,VLOOKUP(A1739,Feuil2!$A$2:$M$1241,13,FALSE)," ")</f>
        <v xml:space="preserve"> </v>
      </c>
    </row>
    <row r="1740" spans="1:16" x14ac:dyDescent="0.3">
      <c r="A1740" s="12">
        <v>2200</v>
      </c>
      <c r="B1740" s="12">
        <v>0</v>
      </c>
      <c r="C1740" s="12" t="str">
        <f>IF(B1740=0,VLOOKUP(A1740,Feuil2!$A$2:$M$1241,2,FALSE)," ")</f>
        <v>MOHAMED</v>
      </c>
      <c r="D1740" s="12" t="str">
        <f>IF(B1740=0,VLOOKUP(A1740,Feuil2!$A$2:$M$1241,3,FALSE)," ")</f>
        <v>HANI</v>
      </c>
      <c r="E1740" s="13">
        <f>IF(B1740=0,VLOOKUP(A1740,Feuil2!$A$2:$M$1241,6,FALSE)," ")</f>
        <v>32085</v>
      </c>
      <c r="F1740" s="12" t="str">
        <f>IF(B1740=0,VLOOKUP(A1740,Feuil2!$A$2:$M$1241,12,FALSE)," ")</f>
        <v>H</v>
      </c>
      <c r="G1740" s="12" t="str">
        <f>IF(B1740=0,VLOOKUP(A1740,Feuil2!$A$2:$M$1241,11,FALSE)," ")</f>
        <v>M</v>
      </c>
      <c r="H1740" s="12" t="s">
        <v>16</v>
      </c>
      <c r="I1740" s="14">
        <f>IF(B1740=0,VLOOKUP(A1740,Feuil2!$A$2:$M$1241,7,FALSE)," ")</f>
        <v>9279896</v>
      </c>
      <c r="J1740" s="12" t="str">
        <f>IF(B1740=0,VLOOKUP(A1740,Feuil2!$A$2:$M$1241,9,FALSE)," ")</f>
        <v>Aouled kbair</v>
      </c>
      <c r="K1740" s="12" t="str">
        <f>IF(B1740=0,VLOOKUP(A1740,Feuil2!$A$2:$M$1241,10,FALSE)," ")</f>
        <v>Sidi El HÃ©ni 4025</v>
      </c>
      <c r="L1740" s="12"/>
      <c r="M1740" s="12">
        <v>28118302</v>
      </c>
      <c r="N1740" s="12"/>
      <c r="O1740" s="15" t="str">
        <f>IF(B1740=0,VLOOKUP(A1740,Feuil2!$A$2:$M$1241,13,FALSE)," ")</f>
        <v>17503000000133558820</v>
      </c>
    </row>
    <row r="1741" spans="1:16" x14ac:dyDescent="0.3">
      <c r="A1741" s="1">
        <v>2200</v>
      </c>
      <c r="B1741" s="1">
        <v>1</v>
      </c>
      <c r="C1741" s="1" t="s">
        <v>2800</v>
      </c>
      <c r="D1741" s="1" t="s">
        <v>2219</v>
      </c>
      <c r="E1741" s="5">
        <v>33912</v>
      </c>
      <c r="F1741" s="1" t="s">
        <v>17</v>
      </c>
      <c r="G1741" s="1" t="s">
        <v>15</v>
      </c>
      <c r="H1741" s="1" t="s">
        <v>16</v>
      </c>
      <c r="I1741" s="6" t="str">
        <f>IF(B1741=0,VLOOKUP(A1741,Feuil2!$A$2:$M$1241,7,FALSE)," ")</f>
        <v xml:space="preserve"> </v>
      </c>
      <c r="J1741" s="1" t="str">
        <f>IF(B1741=0,VLOOKUP(A1741,Feuil2!$A$2:$M$1241,9,FALSE)," ")</f>
        <v xml:space="preserve"> </v>
      </c>
      <c r="K1741" s="1" t="str">
        <f>IF(B1741=0,VLOOKUP(A1741,Feuil2!$A$2:$M$1241,10,FALSE)," ")</f>
        <v xml:space="preserve"> </v>
      </c>
      <c r="L1741" s="1"/>
      <c r="M1741" s="1"/>
      <c r="N1741" s="1"/>
      <c r="O1741" s="8" t="str">
        <f>IF(B1741=0,VLOOKUP(A1741,Feuil2!$A$2:$M$1241,13,FALSE)," ")</f>
        <v xml:space="preserve"> </v>
      </c>
    </row>
    <row r="1742" spans="1:16" x14ac:dyDescent="0.3">
      <c r="A1742" s="1">
        <v>2200</v>
      </c>
      <c r="B1742" s="1">
        <v>2</v>
      </c>
      <c r="C1742" s="1" t="s">
        <v>34</v>
      </c>
      <c r="D1742" s="1" t="s">
        <v>2533</v>
      </c>
      <c r="E1742" s="5">
        <v>43923</v>
      </c>
      <c r="F1742" s="1" t="s">
        <v>506</v>
      </c>
      <c r="G1742" s="1" t="str">
        <f>IF(B1742=0,VLOOKUP(A1742,Feuil2!$A$2:$M$1241,11,FALSE)," ")</f>
        <v xml:space="preserve"> </v>
      </c>
      <c r="H1742" s="1" t="s">
        <v>16</v>
      </c>
      <c r="I1742" s="6" t="str">
        <f>IF(B1742=0,VLOOKUP(A1742,Feuil2!$A$2:$M$1241,7,FALSE)," ")</f>
        <v xml:space="preserve"> </v>
      </c>
      <c r="J1742" s="1" t="str">
        <f>IF(B1742=0,VLOOKUP(A1742,Feuil2!$A$2:$M$1241,9,FALSE)," ")</f>
        <v xml:space="preserve"> </v>
      </c>
      <c r="K1742" s="1" t="str">
        <f>IF(B1742=0,VLOOKUP(A1742,Feuil2!$A$2:$M$1241,10,FALSE)," ")</f>
        <v xml:space="preserve"> </v>
      </c>
      <c r="L1742" s="1"/>
      <c r="M1742" s="1"/>
      <c r="N1742" s="1"/>
      <c r="O1742" s="8" t="str">
        <f>IF(B1742=0,VLOOKUP(A1742,Feuil2!$A$2:$M$1241,13,FALSE)," ")</f>
        <v xml:space="preserve"> </v>
      </c>
    </row>
    <row r="1743" spans="1:16" x14ac:dyDescent="0.3">
      <c r="A1743" s="12">
        <v>2036</v>
      </c>
      <c r="B1743" s="12">
        <v>0</v>
      </c>
      <c r="C1743" s="12" t="str">
        <f>IF(B1743=0,VLOOKUP(A1743,Feuil2!$A$2:$M$1241,2,FALSE)," ")</f>
        <v>BOUARGOUB</v>
      </c>
      <c r="D1743" s="12" t="str">
        <f>IF(B1743=0,VLOOKUP(A1743,Feuil2!$A$2:$M$1241,3,FALSE)," ")</f>
        <v>IMEDEDDINE</v>
      </c>
      <c r="E1743" s="13">
        <f>IF(B1743=0,VLOOKUP(A1743,Feuil2!$A$2:$M$1241,6,FALSE)," ")</f>
        <v>31442</v>
      </c>
      <c r="F1743" s="12" t="str">
        <f>IF(B1743=0,VLOOKUP(A1743,Feuil2!$A$2:$M$1241,12,FALSE)," ")</f>
        <v>H</v>
      </c>
      <c r="G1743" s="12" t="s">
        <v>15</v>
      </c>
      <c r="H1743" s="12" t="s">
        <v>16</v>
      </c>
      <c r="I1743" s="14">
        <f>IF(B1743=0,VLOOKUP(A1743,Feuil2!$A$2:$M$1241,7,FALSE)," ")</f>
        <v>8471520</v>
      </c>
      <c r="J1743" s="12" t="str">
        <f>IF(B1743=0,VLOOKUP(A1743,Feuil2!$A$2:$M$1241,9,FALSE)," ")</f>
        <v>Rue Jedda</v>
      </c>
      <c r="K1743" s="12" t="str">
        <f>IF(B1743=0,VLOOKUP(A1743,Feuil2!$A$2:$M$1241,10,FALSE)," ")</f>
        <v>Msaken 4070</v>
      </c>
      <c r="L1743" s="12">
        <v>4070</v>
      </c>
      <c r="M1743" s="12">
        <v>22833533</v>
      </c>
      <c r="N1743" s="12"/>
      <c r="O1743" s="23" t="s">
        <v>2803</v>
      </c>
      <c r="P1743" s="24" t="s">
        <v>2810</v>
      </c>
    </row>
    <row r="1744" spans="1:16" x14ac:dyDescent="0.3">
      <c r="A1744" s="1">
        <v>2036</v>
      </c>
      <c r="B1744" s="1">
        <v>1</v>
      </c>
      <c r="C1744" s="1" t="s">
        <v>2471</v>
      </c>
      <c r="D1744" s="1" t="s">
        <v>2551</v>
      </c>
      <c r="E1744" s="5">
        <v>33218</v>
      </c>
      <c r="F1744" s="1" t="s">
        <v>17</v>
      </c>
      <c r="G1744" s="1" t="s">
        <v>15</v>
      </c>
      <c r="H1744" s="1" t="s">
        <v>16</v>
      </c>
      <c r="I1744" s="6" t="str">
        <f>IF(B1744=0,VLOOKUP(A1744,Feuil2!$A$2:$M$1241,7,FALSE)," ")</f>
        <v xml:space="preserve"> </v>
      </c>
      <c r="J1744" s="1" t="str">
        <f>IF(B1744=0,VLOOKUP(A1744,Feuil2!$A$2:$M$1241,9,FALSE)," ")</f>
        <v xml:space="preserve"> </v>
      </c>
      <c r="K1744" s="1" t="str">
        <f>IF(B1744=0,VLOOKUP(A1744,Feuil2!$A$2:$M$1241,10,FALSE)," ")</f>
        <v xml:space="preserve"> </v>
      </c>
      <c r="L1744" s="1"/>
      <c r="M1744" s="1"/>
      <c r="N1744" s="1"/>
      <c r="O1744" s="8" t="str">
        <f>IF(B1744=0,VLOOKUP(A1744,Feuil2!$A$2:$M$1241,13,FALSE)," ")</f>
        <v xml:space="preserve"> </v>
      </c>
    </row>
    <row r="1745" spans="1:15" x14ac:dyDescent="0.3">
      <c r="A1745" s="1">
        <v>2036</v>
      </c>
      <c r="B1745" s="1">
        <v>2</v>
      </c>
      <c r="C1745" s="1" t="s">
        <v>446</v>
      </c>
      <c r="D1745" s="1" t="s">
        <v>2802</v>
      </c>
      <c r="E1745" s="5">
        <v>43607</v>
      </c>
      <c r="F1745" s="1" t="s">
        <v>17</v>
      </c>
      <c r="G1745" s="1" t="str">
        <f>IF(B1745=0,VLOOKUP(A1745,Feuil2!$A$2:$M$1241,11,FALSE)," ")</f>
        <v xml:space="preserve"> </v>
      </c>
      <c r="H1745" s="1" t="s">
        <v>16</v>
      </c>
      <c r="I1745" s="6" t="str">
        <f>IF(B1745=0,VLOOKUP(A1745,Feuil2!$A$2:$M$1241,7,FALSE)," ")</f>
        <v xml:space="preserve"> </v>
      </c>
      <c r="J1745" s="1" t="str">
        <f>IF(B1745=0,VLOOKUP(A1745,Feuil2!$A$2:$M$1241,9,FALSE)," ")</f>
        <v xml:space="preserve"> </v>
      </c>
      <c r="K1745" s="1" t="str">
        <f>IF(B1745=0,VLOOKUP(A1745,Feuil2!$A$2:$M$1241,10,FALSE)," ")</f>
        <v xml:space="preserve"> </v>
      </c>
      <c r="L1745" s="1"/>
      <c r="M1745" s="1"/>
      <c r="N1745" s="1"/>
      <c r="O1745" s="8" t="str">
        <f>IF(B1745=0,VLOOKUP(A1745,Feuil2!$A$2:$M$1241,13,FALSE)," ")</f>
        <v xml:space="preserve"> </v>
      </c>
    </row>
    <row r="1746" spans="1:15" x14ac:dyDescent="0.3">
      <c r="A1746" s="1">
        <v>2036</v>
      </c>
      <c r="B1746" s="1">
        <v>3</v>
      </c>
      <c r="C1746" s="1" t="s">
        <v>446</v>
      </c>
      <c r="D1746" s="1" t="s">
        <v>2817</v>
      </c>
      <c r="E1746" s="5">
        <v>44425</v>
      </c>
      <c r="F1746" s="1" t="s">
        <v>17</v>
      </c>
      <c r="G1746" s="1"/>
      <c r="H1746" s="1"/>
      <c r="I1746" s="6"/>
      <c r="J1746" s="1"/>
      <c r="K1746" s="1"/>
      <c r="L1746" s="1"/>
      <c r="M1746" s="1"/>
      <c r="N1746" s="1"/>
      <c r="O1746" s="8"/>
    </row>
    <row r="1747" spans="1:15" x14ac:dyDescent="0.3">
      <c r="A1747" s="12">
        <v>1576</v>
      </c>
      <c r="B1747" s="12">
        <v>0</v>
      </c>
      <c r="C1747" s="12" t="str">
        <f>IF(B1747=0,VLOOKUP(A1747,Feuil2!$A$2:$M$1241,2,FALSE)," ")</f>
        <v>MNED</v>
      </c>
      <c r="D1747" s="12" t="str">
        <f>IF(B1747=0,VLOOKUP(A1747,Feuil2!$A$2:$M$1241,3,FALSE)," ")</f>
        <v>MOHAMED BEN AHMED</v>
      </c>
      <c r="E1747" s="13">
        <f>IF(B1747=0,VLOOKUP(A1747,Feuil2!$A$2:$M$1241,6,FALSE)," ")</f>
        <v>26301</v>
      </c>
      <c r="F1747" s="12" t="str">
        <f>IF(B1747=0,VLOOKUP(A1747,Feuil2!$A$2:$M$1241,12,FALSE)," ")</f>
        <v>H</v>
      </c>
      <c r="G1747" s="12" t="str">
        <f>IF(B1747=0,VLOOKUP(A1747,Feuil2!$A$2:$M$1241,11,FALSE)," ")</f>
        <v>M</v>
      </c>
      <c r="H1747" s="12" t="s">
        <v>16</v>
      </c>
      <c r="I1747" s="14">
        <f>IF(B1747=0,VLOOKUP(A1747,Feuil2!$A$2:$M$1241,7,FALSE)," ")</f>
        <v>5520953</v>
      </c>
      <c r="J1747" s="12" t="str">
        <f>IF(B1747=0,VLOOKUP(A1747,Feuil2!$A$2:$M$1241,9,FALSE)," ")</f>
        <v>14 Rue du Caire</v>
      </c>
      <c r="K1747" s="12" t="str">
        <f>IF(B1747=0,VLOOKUP(A1747,Feuil2!$A$2:$M$1241,10,FALSE)," ")</f>
        <v>Msaken 4070</v>
      </c>
      <c r="L1747" s="12">
        <v>4070</v>
      </c>
      <c r="M1747" s="12">
        <v>27465550</v>
      </c>
      <c r="N1747" s="12"/>
      <c r="O1747" s="15" t="str">
        <f>IF(B1747=0,VLOOKUP(A1747,Feuil2!$A$2:$M$1241,13,FALSE)," ")</f>
        <v>25018000000016719668</v>
      </c>
    </row>
    <row r="1748" spans="1:15" x14ac:dyDescent="0.3">
      <c r="A1748" s="1">
        <v>1576</v>
      </c>
      <c r="B1748" s="1">
        <v>1</v>
      </c>
      <c r="C1748" s="1" t="s">
        <v>2804</v>
      </c>
      <c r="D1748" s="1" t="s">
        <v>2480</v>
      </c>
      <c r="E1748" s="5">
        <v>27888</v>
      </c>
      <c r="F1748" s="1" t="s">
        <v>17</v>
      </c>
      <c r="G1748" s="1" t="s">
        <v>15</v>
      </c>
      <c r="H1748" s="1" t="s">
        <v>16</v>
      </c>
      <c r="I1748" s="6" t="str">
        <f>IF(B1748=0,VLOOKUP(A1748,Feuil2!$A$2:$M$1241,7,FALSE)," ")</f>
        <v xml:space="preserve"> </v>
      </c>
      <c r="J1748" s="1" t="str">
        <f>IF(B1748=0,VLOOKUP(A1748,Feuil2!$A$2:$M$1241,9,FALSE)," ")</f>
        <v xml:space="preserve"> </v>
      </c>
      <c r="K1748" s="1" t="str">
        <f>IF(B1748=0,VLOOKUP(A1748,Feuil2!$A$2:$M$1241,10,FALSE)," ")</f>
        <v xml:space="preserve"> </v>
      </c>
      <c r="L1748" s="1"/>
      <c r="M1748" s="1"/>
      <c r="N1748" s="1"/>
      <c r="O1748" s="8" t="str">
        <f>IF(B1748=0,VLOOKUP(A1748,Feuil2!$A$2:$M$1241,13,FALSE)," ")</f>
        <v xml:space="preserve"> </v>
      </c>
    </row>
    <row r="1749" spans="1:15" x14ac:dyDescent="0.3">
      <c r="A1749" s="1">
        <v>1576</v>
      </c>
      <c r="B1749" s="1">
        <v>2</v>
      </c>
      <c r="C1749" s="1" t="s">
        <v>470</v>
      </c>
      <c r="D1749" s="1" t="s">
        <v>2627</v>
      </c>
      <c r="E1749" s="5">
        <v>37475</v>
      </c>
      <c r="F1749" s="1" t="s">
        <v>506</v>
      </c>
      <c r="G1749" s="1" t="str">
        <f>IF(B1749=0,VLOOKUP(A1749,Feuil2!$A$2:$M$1241,11,FALSE)," ")</f>
        <v xml:space="preserve"> </v>
      </c>
      <c r="H1749" s="1" t="s">
        <v>16</v>
      </c>
      <c r="I1749" s="6" t="str">
        <f>IF(B1749=0,VLOOKUP(A1749,Feuil2!$A$2:$M$1241,7,FALSE)," ")</f>
        <v xml:space="preserve"> </v>
      </c>
      <c r="J1749" s="1" t="str">
        <f>IF(B1749=0,VLOOKUP(A1749,Feuil2!$A$2:$M$1241,9,FALSE)," ")</f>
        <v xml:space="preserve"> </v>
      </c>
      <c r="K1749" s="1" t="str">
        <f>IF(B1749=0,VLOOKUP(A1749,Feuil2!$A$2:$M$1241,10,FALSE)," ")</f>
        <v xml:space="preserve"> </v>
      </c>
      <c r="L1749" s="1"/>
      <c r="M1749" s="1"/>
      <c r="N1749" s="1"/>
      <c r="O1749" s="8" t="str">
        <f>IF(B1749=0,VLOOKUP(A1749,Feuil2!$A$2:$M$1241,13,FALSE)," ")</f>
        <v xml:space="preserve"> </v>
      </c>
    </row>
    <row r="1750" spans="1:15" x14ac:dyDescent="0.3">
      <c r="A1750" s="1">
        <v>1576</v>
      </c>
      <c r="B1750" s="1">
        <v>3</v>
      </c>
      <c r="C1750" s="1" t="s">
        <v>470</v>
      </c>
      <c r="D1750" s="1" t="s">
        <v>2362</v>
      </c>
      <c r="E1750" s="5">
        <v>38344</v>
      </c>
      <c r="F1750" s="1" t="s">
        <v>17</v>
      </c>
      <c r="G1750" s="1" t="str">
        <f>IF(B1750=0,VLOOKUP(A1750,Feuil2!$A$2:$M$1241,11,FALSE)," ")</f>
        <v xml:space="preserve"> </v>
      </c>
      <c r="H1750" s="1" t="s">
        <v>16</v>
      </c>
      <c r="I1750" s="6" t="str">
        <f>IF(B1750=0,VLOOKUP(A1750,Feuil2!$A$2:$M$1241,7,FALSE)," ")</f>
        <v xml:space="preserve"> </v>
      </c>
      <c r="J1750" s="1" t="str">
        <f>IF(B1750=0,VLOOKUP(A1750,Feuil2!$A$2:$M$1241,9,FALSE)," ")</f>
        <v xml:space="preserve"> </v>
      </c>
      <c r="K1750" s="1" t="str">
        <f>IF(B1750=0,VLOOKUP(A1750,Feuil2!$A$2:$M$1241,10,FALSE)," ")</f>
        <v xml:space="preserve"> </v>
      </c>
      <c r="L1750" s="1"/>
      <c r="M1750" s="1"/>
      <c r="N1750" s="1"/>
      <c r="O1750" s="8" t="str">
        <f>IF(B1750=0,VLOOKUP(A1750,Feuil2!$A$2:$M$1241,13,FALSE)," ")</f>
        <v xml:space="preserve"> </v>
      </c>
    </row>
    <row r="1751" spans="1:15" x14ac:dyDescent="0.3">
      <c r="A1751" s="1">
        <v>1576</v>
      </c>
      <c r="B1751" s="1">
        <v>4</v>
      </c>
      <c r="C1751" s="1" t="s">
        <v>470</v>
      </c>
      <c r="D1751" s="1" t="s">
        <v>280</v>
      </c>
      <c r="E1751" s="5">
        <v>39051</v>
      </c>
      <c r="F1751" s="1" t="s">
        <v>506</v>
      </c>
      <c r="G1751" s="1" t="str">
        <f>IF(B1751=0,VLOOKUP(A1751,Feuil2!$A$2:$M$1241,11,FALSE)," ")</f>
        <v xml:space="preserve"> </v>
      </c>
      <c r="H1751" s="1" t="s">
        <v>16</v>
      </c>
      <c r="I1751" s="6" t="str">
        <f>IF(B1751=0,VLOOKUP(A1751,Feuil2!$A$2:$M$1241,7,FALSE)," ")</f>
        <v xml:space="preserve"> </v>
      </c>
      <c r="J1751" s="1" t="str">
        <f>IF(B1751=0,VLOOKUP(A1751,Feuil2!$A$2:$M$1241,9,FALSE)," ")</f>
        <v xml:space="preserve"> </v>
      </c>
      <c r="K1751" s="1" t="str">
        <f>IF(B1751=0,VLOOKUP(A1751,Feuil2!$A$2:$M$1241,10,FALSE)," ")</f>
        <v xml:space="preserve"> </v>
      </c>
      <c r="L1751" s="1"/>
      <c r="M1751" s="1"/>
      <c r="N1751" s="1"/>
      <c r="O1751" s="8" t="str">
        <f>IF(B1751=0,VLOOKUP(A1751,Feuil2!$A$2:$M$1241,13,FALSE)," ")</f>
        <v xml:space="preserve"> </v>
      </c>
    </row>
    <row r="1752" spans="1:15" x14ac:dyDescent="0.3">
      <c r="A1752" s="1">
        <v>1576</v>
      </c>
      <c r="B1752" s="1">
        <v>5</v>
      </c>
      <c r="C1752" s="1" t="s">
        <v>470</v>
      </c>
      <c r="D1752" s="1" t="s">
        <v>1925</v>
      </c>
      <c r="E1752" s="5">
        <v>41306</v>
      </c>
      <c r="F1752" s="1" t="s">
        <v>17</v>
      </c>
      <c r="G1752" s="1" t="str">
        <f>IF(B1752=0,VLOOKUP(A1752,Feuil2!$A$2:$M$1241,11,FALSE)," ")</f>
        <v xml:space="preserve"> </v>
      </c>
      <c r="H1752" s="1" t="s">
        <v>16</v>
      </c>
      <c r="I1752" s="6" t="str">
        <f>IF(B1752=0,VLOOKUP(A1752,Feuil2!$A$2:$M$1241,7,FALSE)," ")</f>
        <v xml:space="preserve"> </v>
      </c>
      <c r="J1752" s="1" t="str">
        <f>IF(B1752=0,VLOOKUP(A1752,Feuil2!$A$2:$M$1241,9,FALSE)," ")</f>
        <v xml:space="preserve"> </v>
      </c>
      <c r="K1752" s="1" t="str">
        <f>IF(B1752=0,VLOOKUP(A1752,Feuil2!$A$2:$M$1241,10,FALSE)," ")</f>
        <v xml:space="preserve"> </v>
      </c>
      <c r="L1752" s="1"/>
      <c r="M1752" s="1"/>
      <c r="N1752" s="1"/>
      <c r="O1752" s="8" t="str">
        <f>IF(B1752=0,VLOOKUP(A1752,Feuil2!$A$2:$M$1241,13,FALSE)," ")</f>
        <v xml:space="preserve"> </v>
      </c>
    </row>
    <row r="1753" spans="1:15" x14ac:dyDescent="0.3">
      <c r="A1753" s="12">
        <v>2205</v>
      </c>
      <c r="B1753" s="12">
        <v>0</v>
      </c>
      <c r="C1753" s="12" t="str">
        <f>IF(B1753=0,VLOOKUP(A1753,Feuil2!$A$2:$M$1241,2,FALSE)," ")</f>
        <v>GHEZAL</v>
      </c>
      <c r="D1753" s="12" t="str">
        <f>IF(B1753=0,VLOOKUP(A1753,Feuil2!$A$2:$M$1241,3,FALSE)," ")</f>
        <v>AHMED</v>
      </c>
      <c r="E1753" s="13">
        <f>IF(B1753=0,VLOOKUP(A1753,Feuil2!$A$2:$M$1241,6,FALSE)," ")</f>
        <v>33428</v>
      </c>
      <c r="F1753" s="12" t="str">
        <f>IF(B1753=0,VLOOKUP(A1753,Feuil2!$A$2:$M$1241,12,FALSE)," ")</f>
        <v>Homme</v>
      </c>
      <c r="G1753" s="12" t="str">
        <f>IF(B1753=0,VLOOKUP(A1753,Feuil2!$A$2:$M$1241,11,FALSE)," ")</f>
        <v>Celibataire</v>
      </c>
      <c r="H1753" s="12" t="s">
        <v>16</v>
      </c>
      <c r="I1753" s="14">
        <f>IF(B1753=0,VLOOKUP(A1753,Feuil2!$A$2:$M$1241,7,FALSE)," ")</f>
        <v>9310482</v>
      </c>
      <c r="J1753" s="12" t="str">
        <f>IF(B1753=0,VLOOKUP(A1753,Feuil2!$A$2:$M$1241,9,FALSE)," ")</f>
        <v>22 rue Salah Hafsa</v>
      </c>
      <c r="K1753" s="12" t="str">
        <f>IF(B1753=0,VLOOKUP(A1753,Feuil2!$A$2:$M$1241,10,FALSE)," ")</f>
        <v>Msaken</v>
      </c>
      <c r="L1753" s="12"/>
      <c r="M1753" s="12">
        <v>21828841</v>
      </c>
      <c r="N1753" s="12"/>
      <c r="O1753" s="15" t="str">
        <f>IF(B1753=0,VLOOKUP(A1753,Feuil2!$A$2:$M$1241,13,FALSE)," ")</f>
        <v>03508056010902451936</v>
      </c>
    </row>
    <row r="1754" spans="1:15" x14ac:dyDescent="0.3">
      <c r="A1754" s="12">
        <v>1613</v>
      </c>
      <c r="B1754" s="12">
        <v>0</v>
      </c>
      <c r="C1754" s="12" t="str">
        <f>IF(B1754=0,VLOOKUP(A1754,Feuil2!$A$2:$M$1241,2,FALSE)," ")</f>
        <v>BOUKADIDA</v>
      </c>
      <c r="D1754" s="12" t="str">
        <f>IF(B1754=0,VLOOKUP(A1754,Feuil2!$A$2:$M$1241,3,FALSE)," ")</f>
        <v>MOHAMED LAMINE</v>
      </c>
      <c r="E1754" s="13">
        <f>IF(B1754=0,VLOOKUP(A1754,Feuil2!$A$2:$M$1241,6,FALSE)," ")</f>
        <v>28918</v>
      </c>
      <c r="F1754" s="12" t="str">
        <f>IF(B1754=0,VLOOKUP(A1754,Feuil2!$A$2:$M$1241,12,FALSE)," ")</f>
        <v>H</v>
      </c>
      <c r="G1754" s="12" t="str">
        <f>IF(B1754=0,VLOOKUP(A1754,Feuil2!$A$2:$M$1241,11,FALSE)," ")</f>
        <v>M</v>
      </c>
      <c r="H1754" s="12" t="s">
        <v>16</v>
      </c>
      <c r="I1754" s="14">
        <f>IF(B1754=0,VLOOKUP(A1754,Feuil2!$A$2:$M$1241,7,FALSE)," ")</f>
        <v>5549798</v>
      </c>
      <c r="J1754" s="12" t="str">
        <f>IF(B1754=0,VLOOKUP(A1754,Feuil2!$A$2:$M$1241,9,FALSE)," ")</f>
        <v>209, Rue Ali Belhwane</v>
      </c>
      <c r="K1754" s="12" t="str">
        <f>IF(B1754=0,VLOOKUP(A1754,Feuil2!$A$2:$M$1241,10,FALSE)," ")</f>
        <v>Msaken 4070</v>
      </c>
      <c r="L1754" s="12"/>
      <c r="M1754" s="12">
        <v>27369484</v>
      </c>
      <c r="N1754" s="12"/>
      <c r="O1754" s="15" t="str">
        <f>IF(B1754=0,VLOOKUP(A1754,Feuil2!$A$2:$M$1241,13,FALSE)," ")</f>
        <v>05048000116500488037</v>
      </c>
    </row>
    <row r="1755" spans="1:15" x14ac:dyDescent="0.3">
      <c r="A1755" s="1">
        <v>1613</v>
      </c>
      <c r="B1755" s="1">
        <v>1</v>
      </c>
      <c r="C1755" s="1" t="s">
        <v>312</v>
      </c>
      <c r="D1755" s="1" t="s">
        <v>2371</v>
      </c>
      <c r="E1755" s="5">
        <v>31715</v>
      </c>
      <c r="F1755" s="1" t="s">
        <v>17</v>
      </c>
      <c r="G1755" s="1" t="s">
        <v>15</v>
      </c>
      <c r="H1755" s="1" t="s">
        <v>16</v>
      </c>
      <c r="I1755" s="6" t="str">
        <f>IF(B1755=0,VLOOKUP(A1755,Feuil2!$A$2:$M$1241,7,FALSE)," ")</f>
        <v xml:space="preserve"> </v>
      </c>
      <c r="J1755" s="1" t="str">
        <f>IF(B1755=0,VLOOKUP(A1755,Feuil2!$A$2:$M$1241,9,FALSE)," ")</f>
        <v xml:space="preserve"> </v>
      </c>
      <c r="K1755" s="1" t="str">
        <f>IF(B1755=0,VLOOKUP(A1755,Feuil2!$A$2:$M$1241,10,FALSE)," ")</f>
        <v xml:space="preserve"> </v>
      </c>
      <c r="L1755" s="1"/>
      <c r="M1755" s="1"/>
      <c r="N1755" s="1"/>
      <c r="O1755" s="8" t="str">
        <f>IF(B1755=0,VLOOKUP(A1755,Feuil2!$A$2:$M$1241,13,FALSE)," ")</f>
        <v xml:space="preserve"> </v>
      </c>
    </row>
    <row r="1756" spans="1:15" x14ac:dyDescent="0.3">
      <c r="A1756" s="1">
        <v>1613</v>
      </c>
      <c r="B1756" s="1">
        <v>2</v>
      </c>
      <c r="C1756" s="1" t="s">
        <v>1486</v>
      </c>
      <c r="D1756" s="1" t="s">
        <v>2806</v>
      </c>
      <c r="E1756" s="5">
        <v>39279</v>
      </c>
      <c r="F1756" s="1" t="s">
        <v>506</v>
      </c>
      <c r="G1756" s="1" t="str">
        <f>IF(B1756=0,VLOOKUP(A1756,Feuil2!$A$2:$M$1241,11,FALSE)," ")</f>
        <v xml:space="preserve"> </v>
      </c>
      <c r="H1756" s="1" t="s">
        <v>16</v>
      </c>
      <c r="I1756" s="6" t="str">
        <f>IF(B1756=0,VLOOKUP(A1756,Feuil2!$A$2:$M$1241,7,FALSE)," ")</f>
        <v xml:space="preserve"> </v>
      </c>
      <c r="J1756" s="1" t="str">
        <f>IF(B1756=0,VLOOKUP(A1756,Feuil2!$A$2:$M$1241,9,FALSE)," ")</f>
        <v xml:space="preserve"> </v>
      </c>
      <c r="K1756" s="1" t="str">
        <f>IF(B1756=0,VLOOKUP(A1756,Feuil2!$A$2:$M$1241,10,FALSE)," ")</f>
        <v xml:space="preserve"> </v>
      </c>
      <c r="L1756" s="1"/>
      <c r="M1756" s="1"/>
      <c r="N1756" s="1"/>
      <c r="O1756" s="8" t="str">
        <f>IF(B1756=0,VLOOKUP(A1756,Feuil2!$A$2:$M$1241,13,FALSE)," ")</f>
        <v xml:space="preserve"> </v>
      </c>
    </row>
    <row r="1757" spans="1:15" x14ac:dyDescent="0.3">
      <c r="A1757" s="1">
        <v>1613</v>
      </c>
      <c r="B1757" s="1">
        <v>3</v>
      </c>
      <c r="C1757" s="1" t="s">
        <v>1486</v>
      </c>
      <c r="D1757" s="1" t="s">
        <v>2807</v>
      </c>
      <c r="E1757" s="5">
        <v>39873</v>
      </c>
      <c r="F1757" s="1" t="s">
        <v>506</v>
      </c>
      <c r="G1757" s="1" t="str">
        <f>IF(B1757=0,VLOOKUP(A1757,Feuil2!$A$2:$M$1241,11,FALSE)," ")</f>
        <v xml:space="preserve"> </v>
      </c>
      <c r="H1757" s="1" t="s">
        <v>16</v>
      </c>
      <c r="I1757" s="6" t="str">
        <f>IF(B1757=0,VLOOKUP(A1757,Feuil2!$A$2:$M$1241,7,FALSE)," ")</f>
        <v xml:space="preserve"> </v>
      </c>
      <c r="J1757" s="1" t="str">
        <f>IF(B1757=0,VLOOKUP(A1757,Feuil2!$A$2:$M$1241,9,FALSE)," ")</f>
        <v xml:space="preserve"> </v>
      </c>
      <c r="K1757" s="1" t="str">
        <f>IF(B1757=0,VLOOKUP(A1757,Feuil2!$A$2:$M$1241,10,FALSE)," ")</f>
        <v xml:space="preserve"> </v>
      </c>
      <c r="L1757" s="1"/>
      <c r="M1757" s="1"/>
      <c r="N1757" s="1"/>
      <c r="O1757" s="8" t="str">
        <f>IF(B1757=0,VLOOKUP(A1757,Feuil2!$A$2:$M$1241,13,FALSE)," ")</f>
        <v xml:space="preserve"> </v>
      </c>
    </row>
    <row r="1758" spans="1:15" x14ac:dyDescent="0.3">
      <c r="A1758" s="1">
        <v>1613</v>
      </c>
      <c r="B1758" s="1">
        <v>4</v>
      </c>
      <c r="C1758" s="1" t="s">
        <v>1486</v>
      </c>
      <c r="D1758" s="1" t="s">
        <v>2641</v>
      </c>
      <c r="E1758" s="5">
        <v>41133</v>
      </c>
      <c r="F1758" s="1" t="s">
        <v>17</v>
      </c>
      <c r="G1758" s="1" t="str">
        <f>IF(B1758=0,VLOOKUP(A1758,Feuil2!$A$2:$M$1241,11,FALSE)," ")</f>
        <v xml:space="preserve"> </v>
      </c>
      <c r="H1758" s="1" t="s">
        <v>16</v>
      </c>
      <c r="I1758" s="6" t="str">
        <f>IF(B1758=0,VLOOKUP(A1758,Feuil2!$A$2:$M$1241,7,FALSE)," ")</f>
        <v xml:space="preserve"> </v>
      </c>
      <c r="J1758" s="1" t="str">
        <f>IF(B1758=0,VLOOKUP(A1758,Feuil2!$A$2:$M$1241,9,FALSE)," ")</f>
        <v xml:space="preserve"> </v>
      </c>
      <c r="K1758" s="1" t="str">
        <f>IF(B1758=0,VLOOKUP(A1758,Feuil2!$A$2:$M$1241,10,FALSE)," ")</f>
        <v xml:space="preserve"> </v>
      </c>
      <c r="L1758" s="1"/>
      <c r="M1758" s="1"/>
      <c r="N1758" s="1"/>
      <c r="O1758" s="8" t="str">
        <f>IF(B1758=0,VLOOKUP(A1758,Feuil2!$A$2:$M$1241,13,FALSE)," ")</f>
        <v xml:space="preserve"> </v>
      </c>
    </row>
    <row r="1759" spans="1:15" x14ac:dyDescent="0.3">
      <c r="A1759" s="12">
        <v>2319</v>
      </c>
      <c r="B1759" s="12">
        <v>0</v>
      </c>
      <c r="C1759" s="12" t="s">
        <v>394</v>
      </c>
      <c r="D1759" s="12" t="s">
        <v>284</v>
      </c>
      <c r="E1759" s="13">
        <v>34196</v>
      </c>
      <c r="F1759" s="12" t="s">
        <v>506</v>
      </c>
      <c r="G1759" s="12" t="s">
        <v>2257</v>
      </c>
      <c r="H1759" s="12" t="s">
        <v>16</v>
      </c>
      <c r="I1759" s="14">
        <v>9332095</v>
      </c>
      <c r="J1759" s="12" t="s">
        <v>2808</v>
      </c>
      <c r="K1759" s="12" t="s">
        <v>513</v>
      </c>
      <c r="L1759" s="12">
        <v>4070</v>
      </c>
      <c r="M1759" s="12">
        <v>54095882</v>
      </c>
      <c r="N1759" s="12"/>
      <c r="O1759" s="23" t="s">
        <v>2809</v>
      </c>
    </row>
    <row r="1760" spans="1:15" x14ac:dyDescent="0.3">
      <c r="A1760" s="12">
        <v>2210</v>
      </c>
      <c r="B1760" s="12">
        <v>0</v>
      </c>
      <c r="C1760" s="12" t="str">
        <f>IF(B1760=0,VLOOKUP(A1760,Feuil2!$A$2:$M$1241,2,FALSE)," ")</f>
        <v>CHEBIL</v>
      </c>
      <c r="D1760" s="12" t="s">
        <v>2674</v>
      </c>
      <c r="E1760" s="13">
        <f>IF(B1760=0,VLOOKUP(A1760,Feuil2!$A$2:$M$1241,6,FALSE)," ")</f>
        <v>34196</v>
      </c>
      <c r="F1760" s="12" t="str">
        <f>IF(B1760=0,VLOOKUP(A1760,Feuil2!$A$2:$M$1241,12,FALSE)," ")</f>
        <v>Homme</v>
      </c>
      <c r="G1760" s="12" t="str">
        <f>IF(B1760=0,VLOOKUP(A1760,Feuil2!$A$2:$M$1241,11,FALSE)," ")</f>
        <v>Celibataire</v>
      </c>
      <c r="H1760" s="12" t="s">
        <v>16</v>
      </c>
      <c r="I1760" s="14">
        <f>IF(B1760=0,VLOOKUP(A1760,Feuil2!$A$2:$M$1241,7,FALSE)," ")</f>
        <v>9332093</v>
      </c>
      <c r="J1760" s="12" t="str">
        <f>IF(B1760=0,VLOOKUP(A1760,Feuil2!$A$2:$M$1241,9,FALSE)," ")</f>
        <v>51, Rue Saida Khadija</v>
      </c>
      <c r="K1760" s="12" t="str">
        <f>IF(B1760=0,VLOOKUP(A1760,Feuil2!$A$2:$M$1241,10,FALSE)," ")</f>
        <v>Msaken</v>
      </c>
      <c r="L1760" s="12">
        <v>4070</v>
      </c>
      <c r="M1760" s="12">
        <v>98793865</v>
      </c>
      <c r="N1760" s="12"/>
      <c r="O1760" s="15" t="str">
        <f>IF(B1760=0,VLOOKUP(A1760,Feuil2!$A$2:$M$1241,13,FALSE)," ")</f>
        <v>32026788601120499194</v>
      </c>
    </row>
    <row r="1761" spans="1:15" x14ac:dyDescent="0.3">
      <c r="A1761" s="12">
        <v>1990</v>
      </c>
      <c r="B1761" s="12">
        <v>0</v>
      </c>
      <c r="C1761" s="12" t="str">
        <f>IF(B1761=0,VLOOKUP(A1761,Feuil2!$A$2:$M$1241,2,FALSE)," ")</f>
        <v>HEDHILI</v>
      </c>
      <c r="D1761" s="12" t="str">
        <f>IF(B1761=0,VLOOKUP(A1761,Feuil2!$A$2:$M$1241,3,FALSE)," ")</f>
        <v>ZIED</v>
      </c>
      <c r="E1761" s="13">
        <f>IF(B1761=0,VLOOKUP(A1761,Feuil2!$A$2:$M$1241,6,FALSE)," ")</f>
        <v>32084</v>
      </c>
      <c r="F1761" s="12" t="str">
        <f>IF(B1761=0,VLOOKUP(A1761,Feuil2!$A$2:$M$1241,12,FALSE)," ")</f>
        <v>H</v>
      </c>
      <c r="G1761" s="12" t="str">
        <f>IF(B1761=0,VLOOKUP(A1761,Feuil2!$A$2:$M$1241,11,FALSE)," ")</f>
        <v>C</v>
      </c>
      <c r="H1761" s="12" t="s">
        <v>16</v>
      </c>
      <c r="I1761" s="14">
        <f>IF(B1761=0,VLOOKUP(A1761,Feuil2!$A$2:$M$1241,7,FALSE)," ")</f>
        <v>9277250</v>
      </c>
      <c r="J1761" s="12" t="str">
        <f>IF(B1761=0,VLOOKUP(A1761,Feuil2!$A$2:$M$1241,9,FALSE)," ")</f>
        <v>Rue Chikh Ladheri</v>
      </c>
      <c r="K1761" s="12" t="str">
        <f>IF(B1761=0,VLOOKUP(A1761,Feuil2!$A$2:$M$1241,10,FALSE)," ")</f>
        <v>Msaken 4070</v>
      </c>
      <c r="L1761" s="12"/>
      <c r="M1761" s="12">
        <v>98793761</v>
      </c>
      <c r="N1761" s="12"/>
      <c r="O1761" s="15" t="str">
        <f>IF(B1761=0,VLOOKUP(A1761,Feuil2!$A$2:$M$1241,13,FALSE)," ")</f>
        <v>04204067001764950032</v>
      </c>
    </row>
    <row r="1762" spans="1:15" x14ac:dyDescent="0.3">
      <c r="A1762" s="1">
        <v>1990</v>
      </c>
      <c r="B1762" s="1">
        <v>1</v>
      </c>
      <c r="C1762" s="1" t="s">
        <v>2834</v>
      </c>
      <c r="D1762" s="1" t="s">
        <v>2835</v>
      </c>
      <c r="E1762" s="5">
        <v>35099</v>
      </c>
      <c r="F1762" s="1" t="s">
        <v>17</v>
      </c>
      <c r="G1762" s="1"/>
      <c r="H1762" s="1"/>
      <c r="I1762" s="6"/>
      <c r="J1762" s="1"/>
      <c r="K1762" s="1"/>
      <c r="L1762" s="1"/>
      <c r="M1762" s="1"/>
      <c r="N1762" s="1"/>
      <c r="O1762" s="8"/>
    </row>
    <row r="1763" spans="1:15" x14ac:dyDescent="0.3">
      <c r="A1763" s="12">
        <v>2211</v>
      </c>
      <c r="B1763" s="12">
        <v>0</v>
      </c>
      <c r="C1763" s="12" t="str">
        <f>IF(B1763=0,VLOOKUP(A1763,Feuil2!$A$2:$M$1241,2,FALSE)," ")</f>
        <v>BEN SGHAIR</v>
      </c>
      <c r="D1763" s="12" t="str">
        <f>IF(B1763=0,VLOOKUP(A1763,Feuil2!$A$2:$M$1241,3,FALSE)," ")</f>
        <v>Chokri</v>
      </c>
      <c r="E1763" s="13">
        <f>IF(B1763=0,VLOOKUP(A1763,Feuil2!$A$2:$M$1241,6,FALSE)," ")</f>
        <v>32051</v>
      </c>
      <c r="F1763" s="12" t="str">
        <f>IF(B1763=0,VLOOKUP(A1763,Feuil2!$A$2:$M$1241,12,FALSE)," ")</f>
        <v>Homme</v>
      </c>
      <c r="G1763" s="12" t="str">
        <f>IF(B1763=0,VLOOKUP(A1763,Feuil2!$A$2:$M$1241,11,FALSE)," ")</f>
        <v>Marie</v>
      </c>
      <c r="H1763" s="12" t="s">
        <v>16</v>
      </c>
      <c r="I1763" s="14">
        <f>IF(B1763=0,VLOOKUP(A1763,Feuil2!$A$2:$M$1241,7,FALSE)," ")</f>
        <v>8484444</v>
      </c>
      <c r="J1763" s="12" t="str">
        <f>IF(B1763=0,VLOOKUP(A1763,Feuil2!$A$2:$M$1241,9,FALSE)," ")</f>
        <v>Ouled Boubaker</v>
      </c>
      <c r="K1763" s="12" t="str">
        <f>IF(B1763=0,VLOOKUP(A1763,Feuil2!$A$2:$M$1241,10,FALSE)," ")</f>
        <v>Sidi El Heni</v>
      </c>
      <c r="L1763" s="12"/>
      <c r="M1763" s="12">
        <v>23164315</v>
      </c>
      <c r="N1763" s="12"/>
      <c r="O1763" s="15" t="str">
        <f>IF(B1763=0,VLOOKUP(A1763,Feuil2!$A$2:$M$1241,13,FALSE)," ")</f>
        <v>17503000000192171846</v>
      </c>
    </row>
    <row r="1764" spans="1:15" x14ac:dyDescent="0.3">
      <c r="A1764" s="1">
        <v>2211</v>
      </c>
      <c r="B1764" s="1">
        <v>1</v>
      </c>
      <c r="C1764" s="1" t="s">
        <v>1317</v>
      </c>
      <c r="D1764" s="1" t="s">
        <v>1787</v>
      </c>
      <c r="E1764" s="5">
        <v>32125</v>
      </c>
      <c r="F1764" s="1" t="s">
        <v>17</v>
      </c>
      <c r="G1764" s="1" t="str">
        <f>IF(B1764=0,VLOOKUP(A1764,Feuil2!$A$2:$M$1241,11,FALSE)," ")</f>
        <v xml:space="preserve"> </v>
      </c>
      <c r="H1764" s="1" t="s">
        <v>16</v>
      </c>
      <c r="I1764" s="6" t="str">
        <f>IF(B1764=0,VLOOKUP(A1764,Feuil2!$A$2:$M$1241,7,FALSE)," ")</f>
        <v xml:space="preserve"> </v>
      </c>
      <c r="J1764" s="1" t="str">
        <f>IF(B1764=0,VLOOKUP(A1764,Feuil2!$A$2:$M$1241,9,FALSE)," ")</f>
        <v xml:space="preserve"> </v>
      </c>
      <c r="K1764" s="1" t="str">
        <f>IF(B1764=0,VLOOKUP(A1764,Feuil2!$A$2:$M$1241,10,FALSE)," ")</f>
        <v xml:space="preserve"> </v>
      </c>
      <c r="L1764" s="1"/>
      <c r="M1764" s="1"/>
      <c r="N1764" s="1"/>
      <c r="O1764" s="8" t="str">
        <f>IF(B1764=0,VLOOKUP(A1764,Feuil2!$A$2:$M$1241,13,FALSE)," ")</f>
        <v xml:space="preserve"> </v>
      </c>
    </row>
    <row r="1765" spans="1:15" x14ac:dyDescent="0.3">
      <c r="A1765" s="1">
        <v>2211</v>
      </c>
      <c r="B1765" s="1">
        <v>2</v>
      </c>
      <c r="C1765" s="1" t="s">
        <v>2268</v>
      </c>
      <c r="D1765" s="1" t="s">
        <v>2812</v>
      </c>
      <c r="E1765" s="5">
        <v>42874</v>
      </c>
      <c r="F1765" s="1" t="s">
        <v>506</v>
      </c>
      <c r="G1765" s="1" t="str">
        <f>IF(B1765=0,VLOOKUP(A1765,Feuil2!$A$2:$M$1241,11,FALSE)," ")</f>
        <v xml:space="preserve"> </v>
      </c>
      <c r="H1765" s="1" t="s">
        <v>16</v>
      </c>
      <c r="I1765" s="6" t="str">
        <f>IF(B1765=0,VLOOKUP(A1765,Feuil2!$A$2:$M$1241,7,FALSE)," ")</f>
        <v xml:space="preserve"> </v>
      </c>
      <c r="J1765" s="1" t="str">
        <f>IF(B1765=0,VLOOKUP(A1765,Feuil2!$A$2:$M$1241,9,FALSE)," ")</f>
        <v xml:space="preserve"> </v>
      </c>
      <c r="K1765" s="1" t="str">
        <f>IF(B1765=0,VLOOKUP(A1765,Feuil2!$A$2:$M$1241,10,FALSE)," ")</f>
        <v xml:space="preserve"> </v>
      </c>
      <c r="L1765" s="1"/>
      <c r="M1765" s="1"/>
      <c r="N1765" s="1"/>
      <c r="O1765" s="8" t="str">
        <f>IF(B1765=0,VLOOKUP(A1765,Feuil2!$A$2:$M$1241,13,FALSE)," ")</f>
        <v xml:space="preserve"> </v>
      </c>
    </row>
    <row r="1766" spans="1:15" x14ac:dyDescent="0.3">
      <c r="A1766" s="1">
        <v>2211</v>
      </c>
      <c r="B1766" s="1">
        <v>3</v>
      </c>
      <c r="C1766" s="1" t="s">
        <v>2268</v>
      </c>
      <c r="D1766" s="1" t="s">
        <v>2501</v>
      </c>
      <c r="E1766" s="5">
        <v>44037</v>
      </c>
      <c r="F1766" s="1" t="s">
        <v>17</v>
      </c>
      <c r="G1766" s="1" t="str">
        <f>IF(B1766=0,VLOOKUP(A1766,Feuil2!$A$2:$M$1241,11,FALSE)," ")</f>
        <v xml:space="preserve"> </v>
      </c>
      <c r="H1766" s="1" t="s">
        <v>16</v>
      </c>
      <c r="I1766" s="6" t="str">
        <f>IF(B1766=0,VLOOKUP(A1766,Feuil2!$A$2:$M$1241,7,FALSE)," ")</f>
        <v xml:space="preserve"> </v>
      </c>
      <c r="J1766" s="1" t="str">
        <f>IF(B1766=0,VLOOKUP(A1766,Feuil2!$A$2:$M$1241,9,FALSE)," ")</f>
        <v xml:space="preserve"> </v>
      </c>
      <c r="K1766" s="1" t="str">
        <f>IF(B1766=0,VLOOKUP(A1766,Feuil2!$A$2:$M$1241,10,FALSE)," ")</f>
        <v xml:space="preserve"> </v>
      </c>
      <c r="L1766" s="1"/>
      <c r="M1766" s="1"/>
      <c r="N1766" s="1"/>
      <c r="O1766" s="8" t="str">
        <f>IF(B1766=0,VLOOKUP(A1766,Feuil2!$A$2:$M$1241,13,FALSE)," ")</f>
        <v xml:space="preserve"> </v>
      </c>
    </row>
    <row r="1767" spans="1:15" x14ac:dyDescent="0.3">
      <c r="A1767" s="12">
        <v>2198</v>
      </c>
      <c r="B1767" s="12">
        <v>0</v>
      </c>
      <c r="C1767" s="12" t="str">
        <f>IF(B1767=0,VLOOKUP(A1767,Feuil2!$A$2:$M$1241,2,FALSE)," ")</f>
        <v>HAMIDA</v>
      </c>
      <c r="D1767" s="12" t="str">
        <f>IF(B1767=0,VLOOKUP(A1767,Feuil2!$A$2:$M$1241,3,FALSE)," ")</f>
        <v>FEHMI</v>
      </c>
      <c r="E1767" s="13">
        <f>IF(B1767=0,VLOOKUP(A1767,Feuil2!$A$2:$M$1241,6,FALSE)," ")</f>
        <v>32410</v>
      </c>
      <c r="F1767" s="12" t="str">
        <f>IF(B1767=0,VLOOKUP(A1767,Feuil2!$A$2:$M$1241,12,FALSE)," ")</f>
        <v>H</v>
      </c>
      <c r="G1767" s="12" t="str">
        <f>IF(B1767=0,VLOOKUP(A1767,Feuil2!$A$2:$M$1241,11,FALSE)," ")</f>
        <v>M</v>
      </c>
      <c r="H1767" s="12" t="s">
        <v>16</v>
      </c>
      <c r="I1767" s="14">
        <f>IF(B1767=0,VLOOKUP(A1767,Feuil2!$A$2:$M$1241,7,FALSE)," ")</f>
        <v>8495681</v>
      </c>
      <c r="J1767" s="12" t="str">
        <f>IF(B1767=0,VLOOKUP(A1767,Feuil2!$A$2:$M$1241,9,FALSE)," ")</f>
        <v>Beni Rabiaa</v>
      </c>
      <c r="K1767" s="12" t="str">
        <f>IF(B1767=0,VLOOKUP(A1767,Feuil2!$A$2:$M$1241,10,FALSE)," ")</f>
        <v>BÃ©ni Rabiaa 4015</v>
      </c>
      <c r="L1767" s="12"/>
      <c r="M1767" s="12">
        <v>50485983</v>
      </c>
      <c r="N1767" s="12"/>
      <c r="O1767" s="15" t="str">
        <f>IF(B1767=0,VLOOKUP(A1767,Feuil2!$A$2:$M$1241,13,FALSE)," ")</f>
        <v>32026788101114722190</v>
      </c>
    </row>
    <row r="1768" spans="1:15" x14ac:dyDescent="0.3">
      <c r="A1768" s="1">
        <v>2198</v>
      </c>
      <c r="B1768" s="1">
        <v>1</v>
      </c>
      <c r="C1768" s="1" t="s">
        <v>2813</v>
      </c>
      <c r="D1768" s="1" t="s">
        <v>2457</v>
      </c>
      <c r="E1768" s="5">
        <v>35167</v>
      </c>
      <c r="F1768" s="1" t="s">
        <v>17</v>
      </c>
      <c r="G1768" s="1" t="str">
        <f>IF(B1768=0,VLOOKUP(A1768,Feuil2!$A$2:$M$1241,11,FALSE)," ")</f>
        <v xml:space="preserve"> </v>
      </c>
      <c r="H1768" s="1" t="s">
        <v>16</v>
      </c>
      <c r="I1768" s="6" t="str">
        <f>IF(B1768=0,VLOOKUP(A1768,Feuil2!$A$2:$M$1241,7,FALSE)," ")</f>
        <v xml:space="preserve"> </v>
      </c>
      <c r="J1768" s="1" t="str">
        <f>IF(B1768=0,VLOOKUP(A1768,Feuil2!$A$2:$M$1241,9,FALSE)," ")</f>
        <v xml:space="preserve"> </v>
      </c>
      <c r="K1768" s="1" t="str">
        <f>IF(B1768=0,VLOOKUP(A1768,Feuil2!$A$2:$M$1241,10,FALSE)," ")</f>
        <v xml:space="preserve"> </v>
      </c>
      <c r="L1768" s="1"/>
      <c r="M1768" s="1"/>
      <c r="N1768" s="1"/>
      <c r="O1768" s="8" t="str">
        <f>IF(B1768=0,VLOOKUP(A1768,Feuil2!$A$2:$M$1241,13,FALSE)," ")</f>
        <v xml:space="preserve"> </v>
      </c>
    </row>
    <row r="1769" spans="1:15" x14ac:dyDescent="0.3">
      <c r="A1769" s="1">
        <v>2198</v>
      </c>
      <c r="B1769" s="1">
        <v>2</v>
      </c>
      <c r="C1769" s="1" t="s">
        <v>1286</v>
      </c>
      <c r="D1769" s="1" t="s">
        <v>77</v>
      </c>
      <c r="E1769" s="5">
        <v>43320</v>
      </c>
      <c r="F1769" s="1" t="s">
        <v>506</v>
      </c>
      <c r="G1769" s="1" t="str">
        <f>IF(B1769=0,VLOOKUP(A1769,Feuil2!$A$2:$M$1241,11,FALSE)," ")</f>
        <v xml:space="preserve"> </v>
      </c>
      <c r="H1769" s="1" t="s">
        <v>16</v>
      </c>
      <c r="I1769" s="6" t="str">
        <f>IF(B1769=0,VLOOKUP(A1769,Feuil2!$A$2:$M$1241,7,FALSE)," ")</f>
        <v xml:space="preserve"> </v>
      </c>
      <c r="J1769" s="1" t="str">
        <f>IF(B1769=0,VLOOKUP(A1769,Feuil2!$A$2:$M$1241,9,FALSE)," ")</f>
        <v xml:space="preserve"> </v>
      </c>
      <c r="K1769" s="1" t="str">
        <f>IF(B1769=0,VLOOKUP(A1769,Feuil2!$A$2:$M$1241,10,FALSE)," ")</f>
        <v xml:space="preserve"> </v>
      </c>
      <c r="L1769" s="1"/>
      <c r="M1769" s="1"/>
      <c r="N1769" s="1"/>
      <c r="O1769" s="8" t="str">
        <f>IF(B1769=0,VLOOKUP(A1769,Feuil2!$A$2:$M$1241,13,FALSE)," ")</f>
        <v xml:space="preserve"> </v>
      </c>
    </row>
    <row r="1770" spans="1:15" x14ac:dyDescent="0.3">
      <c r="A1770" s="12">
        <v>2271</v>
      </c>
      <c r="B1770" s="12">
        <v>0</v>
      </c>
      <c r="C1770" s="12" t="s">
        <v>2814</v>
      </c>
      <c r="D1770" s="12" t="s">
        <v>1347</v>
      </c>
      <c r="E1770" s="13">
        <v>33084</v>
      </c>
      <c r="F1770" s="12" t="s">
        <v>506</v>
      </c>
      <c r="G1770" s="12" t="s">
        <v>15</v>
      </c>
      <c r="H1770" s="12" t="s">
        <v>16</v>
      </c>
      <c r="I1770" s="14">
        <v>9299218</v>
      </c>
      <c r="J1770" s="12" t="s">
        <v>2815</v>
      </c>
      <c r="K1770" s="12" t="s">
        <v>511</v>
      </c>
      <c r="L1770" s="12"/>
      <c r="M1770" s="12">
        <v>54319494</v>
      </c>
      <c r="N1770" s="12"/>
      <c r="O1770" s="23" t="s">
        <v>2816</v>
      </c>
    </row>
    <row r="1771" spans="1:15" x14ac:dyDescent="0.3">
      <c r="A1771" s="1">
        <v>2271</v>
      </c>
      <c r="B1771" s="1">
        <v>1</v>
      </c>
      <c r="C1771" s="1" t="s">
        <v>467</v>
      </c>
      <c r="D1771" s="1" t="s">
        <v>2672</v>
      </c>
      <c r="E1771" s="5">
        <v>34523</v>
      </c>
      <c r="F1771" s="1" t="s">
        <v>17</v>
      </c>
      <c r="G1771" s="1" t="str">
        <f>IF(B1771=0,VLOOKUP(A1771,Feuil2!$A$2:$M$1241,11,FALSE)," ")</f>
        <v xml:space="preserve"> </v>
      </c>
      <c r="H1771" s="1" t="s">
        <v>16</v>
      </c>
      <c r="I1771" s="6"/>
      <c r="J1771" s="1" t="str">
        <f>IF(B1771=0,VLOOKUP(A1771,Feuil2!$A$2:$M$1241,9,FALSE)," ")</f>
        <v xml:space="preserve"> </v>
      </c>
      <c r="K1771" s="1" t="str">
        <f>IF(B1771=0,VLOOKUP(A1771,Feuil2!$A$2:$M$1241,10,FALSE)," ")</f>
        <v xml:space="preserve"> </v>
      </c>
      <c r="L1771" s="1"/>
      <c r="M1771" s="1"/>
      <c r="N1771" s="1"/>
      <c r="O1771" s="8" t="str">
        <f>IF(B1771=0,VLOOKUP(A1771,Feuil2!$A$2:$M$1241,13,FALSE)," ")</f>
        <v xml:space="preserve"> </v>
      </c>
    </row>
    <row r="1772" spans="1:15" x14ac:dyDescent="0.3">
      <c r="A1772" s="12">
        <v>2195</v>
      </c>
      <c r="B1772" s="12">
        <v>0</v>
      </c>
      <c r="C1772" s="12" t="str">
        <f>IF(B1772=0,VLOOKUP(A1772,Feuil2!$A$2:$M$1241,2,FALSE)," ")</f>
        <v>BOUHLEL</v>
      </c>
      <c r="D1772" s="12" t="str">
        <f>IF(B1772=0,VLOOKUP(A1772,Feuil2!$A$2:$M$1241,3,FALSE)," ")</f>
        <v>MOHAMED</v>
      </c>
      <c r="E1772" s="13">
        <f>IF(B1772=0,VLOOKUP(A1772,Feuil2!$A$2:$M$1241,6,FALSE)," ")</f>
        <v>35986</v>
      </c>
      <c r="F1772" s="12" t="str">
        <f>IF(B1772=0,VLOOKUP(A1772,Feuil2!$A$2:$M$1241,12,FALSE)," ")</f>
        <v>H</v>
      </c>
      <c r="G1772" s="12" t="str">
        <f>IF(B1772=0,VLOOKUP(A1772,Feuil2!$A$2:$M$1241,11,FALSE)," ")</f>
        <v>C</v>
      </c>
      <c r="H1772" s="12" t="s">
        <v>16</v>
      </c>
      <c r="I1772" s="14">
        <f>IF(B1772=0,VLOOKUP(A1772,Feuil2!$A$2:$M$1241,7,FALSE)," ")</f>
        <v>12829755</v>
      </c>
      <c r="J1772" s="12" t="str">
        <f>IF(B1772=0,VLOOKUP(A1772,Feuil2!$A$2:$M$1241,9,FALSE)," ")</f>
        <v>30 Rue les Oranges</v>
      </c>
      <c r="K1772" s="12" t="str">
        <f>IF(B1772=0,VLOOKUP(A1772,Feuil2!$A$2:$M$1241,10,FALSE)," ")</f>
        <v>Msaken 4070</v>
      </c>
      <c r="L1772" s="12"/>
      <c r="M1772" s="12">
        <v>24340299</v>
      </c>
      <c r="N1772" s="12"/>
      <c r="O1772" s="15" t="str">
        <f>IF(B1772=0,VLOOKUP(A1772,Feuil2!$A$2:$M$1241,13,FALSE)," ")</f>
        <v>12505000000235178315</v>
      </c>
    </row>
    <row r="1773" spans="1:15" x14ac:dyDescent="0.3">
      <c r="A1773" s="12">
        <v>2219</v>
      </c>
      <c r="B1773" s="12">
        <v>0</v>
      </c>
      <c r="C1773" s="12" t="str">
        <f>IF(B1773=0,VLOOKUP(A1773,Feuil2!$A$2:$M$1241,2,FALSE)," ")</f>
        <v>JARRAR</v>
      </c>
      <c r="D1773" s="12" t="str">
        <f>IF(B1773=0,VLOOKUP(A1773,Feuil2!$A$2:$M$1241,3,FALSE)," ")</f>
        <v>MOHAMED MAHDI</v>
      </c>
      <c r="E1773" s="13">
        <f>IF(B1773=0,VLOOKUP(A1773,Feuil2!$A$2:$M$1241,6,FALSE)," ")</f>
        <v>35102</v>
      </c>
      <c r="F1773" s="12" t="str">
        <f>IF(B1773=0,VLOOKUP(A1773,Feuil2!$A$2:$M$1241,12,FALSE)," ")</f>
        <v>Homme</v>
      </c>
      <c r="G1773" s="12" t="str">
        <f>IF(B1773=0,VLOOKUP(A1773,Feuil2!$A$2:$M$1241,11,FALSE)," ")</f>
        <v>Celibataire</v>
      </c>
      <c r="H1773" s="12" t="s">
        <v>16</v>
      </c>
      <c r="I1773" s="14">
        <f>IF(B1773=0,VLOOKUP(A1773,Feuil2!$A$2:$M$1241,7,FALSE)," ")</f>
        <v>9341975</v>
      </c>
      <c r="J1773" s="12" t="str">
        <f>IF(B1773=0,VLOOKUP(A1773,Feuil2!$A$2:$M$1241,9,FALSE)," ")</f>
        <v xml:space="preserve">55 ROUTE DE SFAX </v>
      </c>
      <c r="K1773" s="12" t="str">
        <f>IF(B1773=0,VLOOKUP(A1773,Feuil2!$A$2:$M$1241,10,FALSE)," ")</f>
        <v>SOUSSE</v>
      </c>
      <c r="L1773" s="12"/>
      <c r="M1773" s="12">
        <v>21230302</v>
      </c>
      <c r="N1773" s="12"/>
      <c r="O1773" s="23" t="s">
        <v>2818</v>
      </c>
    </row>
    <row r="1774" spans="1:15" x14ac:dyDescent="0.3">
      <c r="A1774" s="12">
        <v>2229</v>
      </c>
      <c r="B1774" s="12">
        <v>0</v>
      </c>
      <c r="C1774" s="12" t="str">
        <f>IF(B1774=0,VLOOKUP(A1774,Feuil2!$A$2:$M$1241,2,FALSE)," ")</f>
        <v>MKHININI</v>
      </c>
      <c r="D1774" s="12" t="str">
        <f>IF(B1774=0,VLOOKUP(A1774,Feuil2!$A$2:$M$1241,3,FALSE)," ")</f>
        <v>BECHIR</v>
      </c>
      <c r="E1774" s="13">
        <f>IF(B1774=0,VLOOKUP(A1774,Feuil2!$A$2:$M$1241,6,FALSE)," ")</f>
        <v>36814</v>
      </c>
      <c r="F1774" s="12" t="str">
        <f>IF(B1774=0,VLOOKUP(A1774,Feuil2!$A$2:$M$1241,12,FALSE)," ")</f>
        <v>Homme</v>
      </c>
      <c r="G1774" s="12" t="str">
        <f>IF(B1774=0,VLOOKUP(A1774,Feuil2!$A$2:$M$1241,11,FALSE)," ")</f>
        <v>Celibataire</v>
      </c>
      <c r="H1774" s="12" t="s">
        <v>16</v>
      </c>
      <c r="I1774" s="14">
        <f>IF(B1774=0,VLOOKUP(A1774,Feuil2!$A$2:$M$1241,7,FALSE)," ")</f>
        <v>12841871</v>
      </c>
      <c r="J1774" s="12" t="str">
        <f>IF(B1774=0,VLOOKUP(A1774,Feuil2!$A$2:$M$1241,9,FALSE)," ")</f>
        <v>RUE EL HADIBIA BIR JDID MSAKEN SOUSSE</v>
      </c>
      <c r="K1774" s="12" t="str">
        <f>IF(B1774=0,VLOOKUP(A1774,Feuil2!$A$2:$M$1241,10,FALSE)," ")</f>
        <v>MSAKEN</v>
      </c>
      <c r="L1774" s="12"/>
      <c r="M1774" s="12">
        <v>20043324</v>
      </c>
      <c r="N1774" s="12"/>
      <c r="O1774" s="23" t="s">
        <v>2819</v>
      </c>
    </row>
    <row r="1775" spans="1:15" x14ac:dyDescent="0.3">
      <c r="A1775" s="12">
        <v>2227</v>
      </c>
      <c r="B1775" s="12">
        <v>0</v>
      </c>
      <c r="C1775" s="12" t="str">
        <f>IF(B1775=0,VLOOKUP(A1775,Feuil2!$A$2:$M$1241,2,FALSE)," ")</f>
        <v>BEN KALIA</v>
      </c>
      <c r="D1775" s="12" t="str">
        <f>IF(B1775=0,VLOOKUP(A1775,Feuil2!$A$2:$M$1241,3,FALSE)," ")</f>
        <v>HAMZA</v>
      </c>
      <c r="E1775" s="13">
        <f>IF(B1775=0,VLOOKUP(A1775,Feuil2!$A$2:$M$1241,6,FALSE)," ")</f>
        <v>36279</v>
      </c>
      <c r="F1775" s="12" t="str">
        <f>IF(B1775=0,VLOOKUP(A1775,Feuil2!$A$2:$M$1241,12,FALSE)," ")</f>
        <v>Homme</v>
      </c>
      <c r="G1775" s="12" t="str">
        <f>IF(B1775=0,VLOOKUP(A1775,Feuil2!$A$2:$M$1241,11,FALSE)," ")</f>
        <v>Celibataire</v>
      </c>
      <c r="H1775" s="12" t="s">
        <v>16</v>
      </c>
      <c r="I1775" s="14">
        <f>IF(B1775=0,VLOOKUP(A1775,Feuil2!$A$2:$M$1241,7,FALSE)," ")</f>
        <v>12854321</v>
      </c>
      <c r="J1775" s="12" t="str">
        <f>IF(B1775=0,VLOOKUP(A1775,Feuil2!$A$2:$M$1241,9,FALSE)," ")</f>
        <v xml:space="preserve">RUE AMOR EL MOKHTAR MSAKEN SOUSSE </v>
      </c>
      <c r="K1775" s="12" t="str">
        <f>IF(B1775=0,VLOOKUP(A1775,Feuil2!$A$2:$M$1241,10,FALSE)," ")</f>
        <v>MSAKEN</v>
      </c>
      <c r="L1775" s="12"/>
      <c r="M1775" s="12">
        <v>26051730</v>
      </c>
      <c r="N1775" s="12"/>
      <c r="O1775" s="23" t="s">
        <v>2820</v>
      </c>
    </row>
    <row r="1776" spans="1:15" x14ac:dyDescent="0.3">
      <c r="A1776" s="12">
        <v>2228</v>
      </c>
      <c r="B1776" s="12">
        <v>0</v>
      </c>
      <c r="C1776" s="12" t="str">
        <f>IF(B1776=0,VLOOKUP(A1776,Feuil2!$A$2:$M$1241,2,FALSE)," ")</f>
        <v>BELKHIRIA</v>
      </c>
      <c r="D1776" s="12" t="str">
        <f>IF(B1776=0,VLOOKUP(A1776,Feuil2!$A$2:$M$1241,3,FALSE)," ")</f>
        <v>SOLYMEN</v>
      </c>
      <c r="E1776" s="13">
        <f>IF(B1776=0,VLOOKUP(A1776,Feuil2!$A$2:$M$1241,6,FALSE)," ")</f>
        <v>35055</v>
      </c>
      <c r="F1776" s="12" t="str">
        <f>IF(B1776=0,VLOOKUP(A1776,Feuil2!$A$2:$M$1241,12,FALSE)," ")</f>
        <v>Homme</v>
      </c>
      <c r="G1776" s="12" t="s">
        <v>15</v>
      </c>
      <c r="H1776" s="12" t="s">
        <v>16</v>
      </c>
      <c r="I1776" s="14">
        <f>IF(B1776=0,VLOOKUP(A1776,Feuil2!$A$2:$M$1241,7,FALSE)," ")</f>
        <v>9341275</v>
      </c>
      <c r="J1776" s="12" t="str">
        <f>IF(B1776=0,VLOOKUP(A1776,Feuil2!$A$2:$M$1241,9,FALSE)," ")</f>
        <v>46 RUE 15 OCTOBER HAY SAADA ZOHOUR SOUSSE</v>
      </c>
      <c r="K1776" s="12" t="str">
        <f>IF(B1776=0,VLOOKUP(A1776,Feuil2!$A$2:$M$1241,10,FALSE)," ")</f>
        <v>SOUSSE</v>
      </c>
      <c r="L1776" s="12"/>
      <c r="M1776" s="12">
        <v>25025406</v>
      </c>
      <c r="N1776" s="12"/>
      <c r="O1776" s="23" t="s">
        <v>2821</v>
      </c>
    </row>
    <row r="1777" spans="1:15" x14ac:dyDescent="0.3">
      <c r="A1777" s="1">
        <v>2228</v>
      </c>
      <c r="B1777" s="1">
        <v>1</v>
      </c>
      <c r="C1777" s="1" t="s">
        <v>2822</v>
      </c>
      <c r="D1777" s="1" t="s">
        <v>2060</v>
      </c>
      <c r="E1777" s="5">
        <v>35862</v>
      </c>
      <c r="F1777" s="1" t="s">
        <v>17</v>
      </c>
      <c r="G1777" s="1" t="str">
        <f>IF(B1777=0,VLOOKUP(A1777,Feuil2!$A$2:$M$1241,11,FALSE)," ")</f>
        <v xml:space="preserve"> </v>
      </c>
      <c r="H1777" s="1" t="s">
        <v>16</v>
      </c>
      <c r="I1777" s="6" t="str">
        <f>IF(B1777=0,VLOOKUP(A1777,Feuil2!$A$2:$M$1241,7,FALSE)," ")</f>
        <v xml:space="preserve"> </v>
      </c>
      <c r="J1777" s="1" t="str">
        <f>IF(B1777=0,VLOOKUP(A1777,Feuil2!$A$2:$M$1241,9,FALSE)," ")</f>
        <v xml:space="preserve"> </v>
      </c>
      <c r="K1777" s="1" t="str">
        <f>IF(B1777=0,VLOOKUP(A1777,Feuil2!$A$2:$M$1241,10,FALSE)," ")</f>
        <v xml:space="preserve"> </v>
      </c>
      <c r="L1777" s="1"/>
      <c r="M1777" s="1"/>
      <c r="N1777" s="1"/>
      <c r="O1777" s="8" t="str">
        <f>IF(B1777=0,VLOOKUP(A1777,Feuil2!$A$2:$M$1241,13,FALSE)," ")</f>
        <v xml:space="preserve"> </v>
      </c>
    </row>
    <row r="1778" spans="1:15" x14ac:dyDescent="0.3">
      <c r="A1778" s="1">
        <v>2228</v>
      </c>
      <c r="B1778" s="1">
        <v>2</v>
      </c>
      <c r="C1778" s="1" t="s">
        <v>1821</v>
      </c>
      <c r="D1778" s="1" t="s">
        <v>2585</v>
      </c>
      <c r="E1778" s="5">
        <v>44037</v>
      </c>
      <c r="F1778" s="1" t="s">
        <v>17</v>
      </c>
      <c r="G1778" s="1" t="str">
        <f>IF(B1778=0,VLOOKUP(A1778,Feuil2!$A$2:$M$1241,11,FALSE)," ")</f>
        <v xml:space="preserve"> </v>
      </c>
      <c r="H1778" s="1" t="s">
        <v>16</v>
      </c>
      <c r="I1778" s="6" t="str">
        <f>IF(B1778=0,VLOOKUP(A1778,Feuil2!$A$2:$M$1241,7,FALSE)," ")</f>
        <v xml:space="preserve"> </v>
      </c>
      <c r="J1778" s="1" t="str">
        <f>IF(B1778=0,VLOOKUP(A1778,Feuil2!$A$2:$M$1241,9,FALSE)," ")</f>
        <v xml:space="preserve"> </v>
      </c>
      <c r="K1778" s="1" t="str">
        <f>IF(B1778=0,VLOOKUP(A1778,Feuil2!$A$2:$M$1241,10,FALSE)," ")</f>
        <v xml:space="preserve"> </v>
      </c>
      <c r="L1778" s="1"/>
      <c r="M1778" s="1"/>
      <c r="N1778" s="1"/>
      <c r="O1778" s="8" t="str">
        <f>IF(B1778=0,VLOOKUP(A1778,Feuil2!$A$2:$M$1241,13,FALSE)," ")</f>
        <v xml:space="preserve"> </v>
      </c>
    </row>
    <row r="1779" spans="1:15" x14ac:dyDescent="0.3">
      <c r="A1779" s="12">
        <v>2213</v>
      </c>
      <c r="B1779" s="12">
        <v>0</v>
      </c>
      <c r="C1779" s="12" t="str">
        <f>IF(B1779=0,VLOOKUP(A1779,Feuil2!$A$2:$M$1241,2,FALSE)," ")</f>
        <v>BERRIRI</v>
      </c>
      <c r="D1779" s="12" t="str">
        <f>IF(B1779=0,VLOOKUP(A1779,Feuil2!$A$2:$M$1241,3,FALSE)," ")</f>
        <v>Mohamed Fredj</v>
      </c>
      <c r="E1779" s="13">
        <f>IF(B1779=0,VLOOKUP(A1779,Feuil2!$A$2:$M$1241,6,FALSE)," ")</f>
        <v>34491</v>
      </c>
      <c r="F1779" s="12" t="str">
        <f>IF(B1779=0,VLOOKUP(A1779,Feuil2!$A$2:$M$1241,12,FALSE)," ")</f>
        <v>Homme</v>
      </c>
      <c r="G1779" s="12" t="s">
        <v>15</v>
      </c>
      <c r="H1779" s="12" t="s">
        <v>16</v>
      </c>
      <c r="I1779" s="14">
        <f>IF(B1779=0,VLOOKUP(A1779,Feuil2!$A$2:$M$1241,7,FALSE)," ")</f>
        <v>9340270</v>
      </c>
      <c r="J1779" s="12" t="str">
        <f>IF(B1779=0,VLOOKUP(A1779,Feuil2!$A$2:$M$1241,9,FALSE)," ")</f>
        <v>Rue El Wafa</v>
      </c>
      <c r="K1779" s="12" t="str">
        <f>IF(B1779=0,VLOOKUP(A1779,Feuil2!$A$2:$M$1241,10,FALSE)," ")</f>
        <v>Msaken</v>
      </c>
      <c r="L1779" s="12"/>
      <c r="M1779" s="12">
        <v>98793688</v>
      </c>
      <c r="N1779" s="12"/>
      <c r="O1779" s="15" t="str">
        <f>IF(B1779=0,VLOOKUP(A1779,Feuil2!$A$2:$M$1241,13,FALSE)," ")</f>
        <v>10506040524136378876</v>
      </c>
    </row>
    <row r="1780" spans="1:15" x14ac:dyDescent="0.3">
      <c r="A1780" s="1">
        <v>2213</v>
      </c>
      <c r="B1780" s="1">
        <v>1</v>
      </c>
      <c r="C1780" s="1" t="s">
        <v>2823</v>
      </c>
      <c r="D1780" s="1" t="s">
        <v>2613</v>
      </c>
      <c r="E1780" s="5">
        <v>36645</v>
      </c>
      <c r="F1780" s="1" t="s">
        <v>17</v>
      </c>
      <c r="G1780" s="1" t="str">
        <f>IF(B1780=0,VLOOKUP(A1780,Feuil2!$A$2:$M$1241,11,FALSE)," ")</f>
        <v xml:space="preserve"> </v>
      </c>
      <c r="H1780" s="1" t="s">
        <v>16</v>
      </c>
      <c r="I1780" s="6" t="str">
        <f>IF(B1780=0,VLOOKUP(A1780,Feuil2!$A$2:$M$1241,7,FALSE)," ")</f>
        <v xml:space="preserve"> </v>
      </c>
      <c r="J1780" s="1" t="str">
        <f>IF(B1780=0,VLOOKUP(A1780,Feuil2!$A$2:$M$1241,9,FALSE)," ")</f>
        <v xml:space="preserve"> </v>
      </c>
      <c r="K1780" s="1" t="str">
        <f>IF(B1780=0,VLOOKUP(A1780,Feuil2!$A$2:$M$1241,10,FALSE)," ")</f>
        <v xml:space="preserve"> </v>
      </c>
      <c r="L1780" s="1"/>
      <c r="M1780" s="1"/>
      <c r="N1780" s="1"/>
      <c r="O1780" s="8" t="str">
        <f>IF(B1780=0,VLOOKUP(A1780,Feuil2!$A$2:$M$1241,13,FALSE)," ")</f>
        <v xml:space="preserve"> </v>
      </c>
    </row>
    <row r="1781" spans="1:15" x14ac:dyDescent="0.3">
      <c r="A1781" s="12">
        <v>2243</v>
      </c>
      <c r="B1781" s="12">
        <v>0</v>
      </c>
      <c r="C1781" s="12" t="s">
        <v>2235</v>
      </c>
      <c r="D1781" s="12" t="s">
        <v>280</v>
      </c>
      <c r="E1781" s="13">
        <v>30897</v>
      </c>
      <c r="F1781" s="12" t="s">
        <v>506</v>
      </c>
      <c r="G1781" s="12" t="s">
        <v>15</v>
      </c>
      <c r="H1781" s="12" t="s">
        <v>16</v>
      </c>
      <c r="I1781" s="14">
        <v>8448925</v>
      </c>
      <c r="J1781" s="12" t="s">
        <v>2824</v>
      </c>
      <c r="K1781" s="12" t="s">
        <v>2825</v>
      </c>
      <c r="L1781" s="12"/>
      <c r="M1781" s="12">
        <v>97140542</v>
      </c>
      <c r="N1781" s="12"/>
      <c r="O1781" s="23" t="s">
        <v>2826</v>
      </c>
    </row>
    <row r="1782" spans="1:15" x14ac:dyDescent="0.3">
      <c r="A1782" s="1">
        <v>2243</v>
      </c>
      <c r="B1782" s="1">
        <v>1</v>
      </c>
      <c r="C1782" s="1" t="s">
        <v>2543</v>
      </c>
      <c r="D1782" s="1" t="s">
        <v>2547</v>
      </c>
      <c r="E1782" s="5">
        <v>33436</v>
      </c>
      <c r="F1782" s="1" t="s">
        <v>17</v>
      </c>
      <c r="G1782" s="1" t="str">
        <f>IF(B1782=0,VLOOKUP(A1782,Feuil2!$A$2:$M$1241,11,FALSE)," ")</f>
        <v xml:space="preserve"> </v>
      </c>
      <c r="H1782" s="1" t="s">
        <v>16</v>
      </c>
      <c r="I1782" s="6" t="str">
        <f>IF(B1782=0,VLOOKUP(A1782,Feuil2!$A$2:$M$1241,7,FALSE)," ")</f>
        <v xml:space="preserve"> </v>
      </c>
      <c r="J1782" s="1" t="str">
        <f>IF(B1782=0,VLOOKUP(A1782,Feuil2!$A$2:$M$1241,9,FALSE)," ")</f>
        <v xml:space="preserve"> </v>
      </c>
      <c r="K1782" s="1" t="str">
        <f>IF(B1782=0,VLOOKUP(A1782,Feuil2!$A$2:$M$1241,10,FALSE)," ")</f>
        <v xml:space="preserve"> </v>
      </c>
      <c r="L1782" s="1"/>
      <c r="M1782" s="1"/>
      <c r="N1782" s="1"/>
      <c r="O1782" s="8" t="str">
        <f>IF(B1782=0,VLOOKUP(A1782,Feuil2!$A$2:$M$1241,13,FALSE)," ")</f>
        <v xml:space="preserve"> </v>
      </c>
    </row>
    <row r="1783" spans="1:15" x14ac:dyDescent="0.3">
      <c r="A1783" s="1">
        <v>2243</v>
      </c>
      <c r="B1783" s="1">
        <v>2</v>
      </c>
      <c r="C1783" s="1" t="s">
        <v>2235</v>
      </c>
      <c r="D1783" s="1" t="s">
        <v>2827</v>
      </c>
      <c r="E1783" s="5">
        <v>41824</v>
      </c>
      <c r="F1783" s="1" t="s">
        <v>506</v>
      </c>
      <c r="G1783" s="1" t="str">
        <f>IF(B1783=0,VLOOKUP(A1783,Feuil2!$A$2:$M$1241,11,FALSE)," ")</f>
        <v xml:space="preserve"> </v>
      </c>
      <c r="H1783" s="1" t="s">
        <v>16</v>
      </c>
      <c r="I1783" s="6" t="str">
        <f>IF(B1783=0,VLOOKUP(A1783,Feuil2!$A$2:$M$1241,7,FALSE)," ")</f>
        <v xml:space="preserve"> </v>
      </c>
      <c r="J1783" s="1" t="str">
        <f>IF(B1783=0,VLOOKUP(A1783,Feuil2!$A$2:$M$1241,9,FALSE)," ")</f>
        <v xml:space="preserve"> </v>
      </c>
      <c r="K1783" s="1" t="str">
        <f>IF(B1783=0,VLOOKUP(A1783,Feuil2!$A$2:$M$1241,10,FALSE)," ")</f>
        <v xml:space="preserve"> </v>
      </c>
      <c r="L1783" s="1"/>
      <c r="M1783" s="1"/>
      <c r="N1783" s="1"/>
      <c r="O1783" s="8" t="str">
        <f>IF(B1783=0,VLOOKUP(A1783,Feuil2!$A$2:$M$1241,13,FALSE)," ")</f>
        <v xml:space="preserve"> </v>
      </c>
    </row>
    <row r="1784" spans="1:15" x14ac:dyDescent="0.3">
      <c r="A1784" s="1">
        <v>2243</v>
      </c>
      <c r="B1784" s="1">
        <v>3</v>
      </c>
      <c r="C1784" s="1" t="s">
        <v>2235</v>
      </c>
      <c r="D1784" s="1" t="s">
        <v>2657</v>
      </c>
      <c r="E1784" s="5">
        <v>42665</v>
      </c>
      <c r="F1784" s="1" t="s">
        <v>506</v>
      </c>
      <c r="G1784" s="1" t="str">
        <f>IF(B1784=0,VLOOKUP(A1784,Feuil2!$A$2:$M$1241,11,FALSE)," ")</f>
        <v xml:space="preserve"> </v>
      </c>
      <c r="H1784" s="1" t="s">
        <v>16</v>
      </c>
      <c r="I1784" s="6" t="str">
        <f>IF(B1784=0,VLOOKUP(A1784,Feuil2!$A$2:$M$1241,7,FALSE)," ")</f>
        <v xml:space="preserve"> </v>
      </c>
      <c r="J1784" s="1" t="str">
        <f>IF(B1784=0,VLOOKUP(A1784,Feuil2!$A$2:$M$1241,9,FALSE)," ")</f>
        <v xml:space="preserve"> </v>
      </c>
      <c r="K1784" s="1" t="str">
        <f>IF(B1784=0,VLOOKUP(A1784,Feuil2!$A$2:$M$1241,10,FALSE)," ")</f>
        <v xml:space="preserve"> </v>
      </c>
      <c r="L1784" s="1"/>
      <c r="M1784" s="1"/>
      <c r="N1784" s="1"/>
      <c r="O1784" s="8" t="str">
        <f>IF(B1784=0,VLOOKUP(A1784,Feuil2!$A$2:$M$1241,13,FALSE)," ")</f>
        <v xml:space="preserve"> </v>
      </c>
    </row>
    <row r="1785" spans="1:15" x14ac:dyDescent="0.3">
      <c r="A1785" s="12">
        <v>2240</v>
      </c>
      <c r="B1785" s="12">
        <v>0</v>
      </c>
      <c r="C1785" s="12" t="s">
        <v>19</v>
      </c>
      <c r="D1785" s="12" t="s">
        <v>2567</v>
      </c>
      <c r="E1785" s="13">
        <v>30904</v>
      </c>
      <c r="F1785" s="12" t="s">
        <v>506</v>
      </c>
      <c r="G1785" s="12" t="s">
        <v>2257</v>
      </c>
      <c r="H1785" s="12" t="s">
        <v>16</v>
      </c>
      <c r="I1785" s="14">
        <v>8445220</v>
      </c>
      <c r="J1785" s="12" t="s">
        <v>2828</v>
      </c>
      <c r="K1785" s="12" t="s">
        <v>2285</v>
      </c>
      <c r="L1785" s="12"/>
      <c r="M1785" s="12">
        <v>24027700</v>
      </c>
      <c r="N1785" s="12"/>
      <c r="O1785" s="23" t="s">
        <v>2829</v>
      </c>
    </row>
    <row r="1786" spans="1:15" x14ac:dyDescent="0.3">
      <c r="A1786" s="12">
        <v>2365</v>
      </c>
      <c r="B1786" s="12">
        <v>0</v>
      </c>
      <c r="C1786" s="12" t="s">
        <v>2830</v>
      </c>
      <c r="D1786" s="12" t="s">
        <v>34</v>
      </c>
      <c r="E1786" s="13">
        <v>33613</v>
      </c>
      <c r="F1786" s="12" t="s">
        <v>506</v>
      </c>
      <c r="G1786" s="12" t="s">
        <v>2257</v>
      </c>
      <c r="H1786" s="12" t="s">
        <v>16</v>
      </c>
      <c r="I1786" s="14">
        <v>6914314</v>
      </c>
      <c r="J1786" s="12" t="s">
        <v>2831</v>
      </c>
      <c r="K1786" s="12" t="s">
        <v>2311</v>
      </c>
      <c r="L1786" s="12"/>
      <c r="M1786" s="12">
        <v>94862878</v>
      </c>
      <c r="N1786" s="12"/>
      <c r="O1786" s="23" t="s">
        <v>2832</v>
      </c>
    </row>
    <row r="1787" spans="1:15" x14ac:dyDescent="0.3">
      <c r="A1787" s="12">
        <v>2272</v>
      </c>
      <c r="B1787" s="12">
        <v>0</v>
      </c>
      <c r="C1787" s="12" t="s">
        <v>2837</v>
      </c>
      <c r="D1787" s="12" t="s">
        <v>2409</v>
      </c>
      <c r="E1787" s="13">
        <v>33543</v>
      </c>
      <c r="F1787" s="12" t="s">
        <v>506</v>
      </c>
      <c r="G1787" s="12" t="s">
        <v>15</v>
      </c>
      <c r="H1787" s="12" t="s">
        <v>16</v>
      </c>
      <c r="I1787" s="14">
        <v>9304489</v>
      </c>
      <c r="J1787" s="12" t="s">
        <v>2838</v>
      </c>
      <c r="K1787" s="12" t="s">
        <v>2291</v>
      </c>
      <c r="L1787" s="12"/>
      <c r="M1787" s="12">
        <v>54880863</v>
      </c>
      <c r="N1787" s="12"/>
      <c r="O1787" s="23" t="s">
        <v>2839</v>
      </c>
    </row>
    <row r="1788" spans="1:15" x14ac:dyDescent="0.3">
      <c r="A1788" s="1">
        <v>2272</v>
      </c>
      <c r="B1788" s="1">
        <v>1</v>
      </c>
      <c r="C1788" s="1" t="s">
        <v>283</v>
      </c>
      <c r="D1788" s="1" t="s">
        <v>2331</v>
      </c>
      <c r="E1788" s="5">
        <v>35711</v>
      </c>
      <c r="F1788" s="1" t="s">
        <v>17</v>
      </c>
      <c r="G1788" s="1" t="str">
        <f>IF(B1788=0,VLOOKUP(A1788,Feuil2!$A$2:$M$1241,11,FALSE)," ")</f>
        <v xml:space="preserve"> </v>
      </c>
      <c r="H1788" s="1" t="s">
        <v>16</v>
      </c>
      <c r="I1788" s="6" t="str">
        <f>IF(B1788=0,VLOOKUP(A1788,Feuil2!$A$2:$M$1241,7,FALSE)," ")</f>
        <v xml:space="preserve"> </v>
      </c>
      <c r="J1788" s="1" t="str">
        <f>IF(B1788=0,VLOOKUP(A1788,Feuil2!$A$2:$M$1241,9,FALSE)," ")</f>
        <v xml:space="preserve"> </v>
      </c>
      <c r="K1788" s="1" t="str">
        <f>IF(B1788=0,VLOOKUP(A1788,Feuil2!$A$2:$M$1241,10,FALSE)," ")</f>
        <v xml:space="preserve"> </v>
      </c>
      <c r="L1788" s="1"/>
      <c r="M1788" s="1"/>
      <c r="N1788" s="1"/>
      <c r="O1788" s="8" t="str">
        <f>IF(B1788=0,VLOOKUP(A1788,Feuil2!$A$2:$M$1241,13,FALSE)," ")</f>
        <v xml:space="preserve"> </v>
      </c>
    </row>
    <row r="1789" spans="1:15" x14ac:dyDescent="0.3">
      <c r="A1789" s="1">
        <v>2272</v>
      </c>
      <c r="B1789" s="1">
        <v>2</v>
      </c>
      <c r="C1789" s="1" t="s">
        <v>2837</v>
      </c>
      <c r="D1789" s="1" t="s">
        <v>441</v>
      </c>
      <c r="E1789" s="5">
        <v>44560</v>
      </c>
      <c r="F1789" s="1" t="s">
        <v>506</v>
      </c>
      <c r="G1789" s="1"/>
      <c r="H1789" s="1" t="s">
        <v>16</v>
      </c>
      <c r="I1789" s="6"/>
      <c r="J1789" s="1"/>
      <c r="K1789" s="1"/>
      <c r="L1789" s="1"/>
      <c r="M1789" s="1"/>
      <c r="N1789" s="1"/>
      <c r="O1789" s="8"/>
    </row>
    <row r="1790" spans="1:15" x14ac:dyDescent="0.3">
      <c r="A1790" s="12">
        <v>2218</v>
      </c>
      <c r="B1790" s="12">
        <v>0</v>
      </c>
      <c r="C1790" s="12" t="str">
        <f>IF(B1790=0,VLOOKUP(A1790,Feuil2!$A$2:$M$1241,2,FALSE)," ")</f>
        <v>BAAZOUG</v>
      </c>
      <c r="D1790" s="12" t="str">
        <f>IF(B1790=0,VLOOKUP(A1790,Feuil2!$A$2:$M$1241,3,FALSE)," ")</f>
        <v>SOFIENE</v>
      </c>
      <c r="E1790" s="13">
        <f>IF(B1790=0,VLOOKUP(A1790,Feuil2!$A$2:$M$1241,6,FALSE)," ")</f>
        <v>34252</v>
      </c>
      <c r="F1790" s="12" t="str">
        <f>IF(B1790=0,VLOOKUP(A1790,Feuil2!$A$2:$M$1241,12,FALSE)," ")</f>
        <v>Homme</v>
      </c>
      <c r="G1790" s="12" t="str">
        <f>IF(B1790=0,VLOOKUP(A1790,Feuil2!$A$2:$M$1241,11,FALSE)," ")</f>
        <v>Celibataire</v>
      </c>
      <c r="H1790" s="12" t="s">
        <v>16</v>
      </c>
      <c r="I1790" s="14">
        <f>IF(B1790=0,VLOOKUP(A1790,Feuil2!$A$2:$M$1241,7,FALSE)," ")</f>
        <v>9342492</v>
      </c>
      <c r="J1790" s="12" t="str">
        <f>IF(B1790=0,VLOOKUP(A1790,Feuil2!$A$2:$M$1241,9,FALSE)," ")</f>
        <v>RUE ZAHRA HAY NOUR</v>
      </c>
      <c r="K1790" s="12" t="str">
        <f>IF(B1790=0,VLOOKUP(A1790,Feuil2!$A$2:$M$1241,10,FALSE)," ")</f>
        <v>MSAKEN</v>
      </c>
      <c r="L1790" s="12"/>
      <c r="M1790" s="12">
        <v>99868383</v>
      </c>
      <c r="N1790" s="12"/>
      <c r="O1790" s="23" t="s">
        <v>2843</v>
      </c>
    </row>
    <row r="1791" spans="1:15" x14ac:dyDescent="0.3">
      <c r="A1791" s="12">
        <v>2258</v>
      </c>
      <c r="B1791" s="12">
        <v>0</v>
      </c>
      <c r="C1791" s="12" t="s">
        <v>372</v>
      </c>
      <c r="D1791" s="12" t="s">
        <v>34</v>
      </c>
      <c r="E1791" s="13">
        <v>36417</v>
      </c>
      <c r="F1791" s="12" t="s">
        <v>2258</v>
      </c>
      <c r="G1791" s="12" t="s">
        <v>2257</v>
      </c>
      <c r="H1791" s="12" t="s">
        <v>16</v>
      </c>
      <c r="I1791" s="14">
        <v>12854216</v>
      </c>
      <c r="J1791" s="12" t="s">
        <v>2844</v>
      </c>
      <c r="K1791" s="12" t="s">
        <v>2285</v>
      </c>
      <c r="L1791" s="12"/>
      <c r="M1791" s="12">
        <v>50437060</v>
      </c>
      <c r="N1791" s="12"/>
      <c r="O1791" s="23" t="s">
        <v>2845</v>
      </c>
    </row>
    <row r="1792" spans="1:15" x14ac:dyDescent="0.3">
      <c r="A1792" s="12">
        <v>2297</v>
      </c>
      <c r="B1792" s="12">
        <v>0</v>
      </c>
      <c r="C1792" s="12" t="s">
        <v>451</v>
      </c>
      <c r="D1792" s="12" t="s">
        <v>89</v>
      </c>
      <c r="E1792" s="13">
        <v>33655</v>
      </c>
      <c r="F1792" s="12" t="s">
        <v>2258</v>
      </c>
      <c r="G1792" s="12" t="s">
        <v>15</v>
      </c>
      <c r="H1792" s="12" t="s">
        <v>16</v>
      </c>
      <c r="I1792" s="14">
        <v>9323139</v>
      </c>
      <c r="J1792" s="12" t="s">
        <v>2846</v>
      </c>
      <c r="K1792" s="12" t="s">
        <v>2285</v>
      </c>
      <c r="L1792" s="12"/>
      <c r="M1792" s="12">
        <v>20830570</v>
      </c>
      <c r="N1792" s="12"/>
      <c r="O1792" s="23" t="s">
        <v>2847</v>
      </c>
    </row>
    <row r="1793" spans="1:15" x14ac:dyDescent="0.3">
      <c r="A1793" s="1">
        <v>2297</v>
      </c>
      <c r="B1793" s="1">
        <v>1</v>
      </c>
      <c r="C1793" s="1" t="s">
        <v>1029</v>
      </c>
      <c r="D1793" s="1" t="s">
        <v>2370</v>
      </c>
      <c r="E1793" s="5">
        <v>35001</v>
      </c>
      <c r="F1793" s="1" t="s">
        <v>17</v>
      </c>
      <c r="G1793" s="1"/>
      <c r="H1793" s="1"/>
      <c r="I1793" s="6"/>
      <c r="J1793" s="1"/>
      <c r="K1793" s="1"/>
      <c r="L1793" s="1"/>
      <c r="M1793" s="1"/>
      <c r="N1793" s="1"/>
      <c r="O1793" s="10"/>
    </row>
    <row r="1794" spans="1:15" x14ac:dyDescent="0.3">
      <c r="A1794" s="1">
        <v>2297</v>
      </c>
      <c r="B1794" s="1">
        <v>2</v>
      </c>
      <c r="C1794" s="1" t="s">
        <v>451</v>
      </c>
      <c r="D1794" s="1" t="s">
        <v>2850</v>
      </c>
      <c r="E1794" s="5">
        <v>43579</v>
      </c>
      <c r="F1794" s="1" t="s">
        <v>17</v>
      </c>
      <c r="G1794" s="1"/>
      <c r="H1794" s="1"/>
      <c r="I1794" s="6"/>
      <c r="J1794" s="1"/>
      <c r="K1794" s="1"/>
      <c r="L1794" s="1"/>
      <c r="M1794" s="1"/>
      <c r="N1794" s="1"/>
      <c r="O1794" s="10"/>
    </row>
    <row r="1795" spans="1:15" x14ac:dyDescent="0.3">
      <c r="A1795" s="12">
        <v>2179</v>
      </c>
      <c r="B1795" s="12">
        <v>0</v>
      </c>
      <c r="C1795" s="12" t="str">
        <f>IF(B1795=0,VLOOKUP(A1795,Feuil2!$A$2:$M$1241,2,FALSE)," ")</f>
        <v>BOUHLEL</v>
      </c>
      <c r="D1795" s="12" t="str">
        <f>IF(B1795=0,VLOOKUP(A1795,Feuil2!$A$2:$M$1241,3,FALSE)," ")</f>
        <v>AHMED</v>
      </c>
      <c r="E1795" s="13">
        <f>IF(B1795=0,VLOOKUP(A1795,Feuil2!$A$2:$M$1241,6,FALSE)," ")</f>
        <v>31565</v>
      </c>
      <c r="F1795" s="12" t="s">
        <v>2258</v>
      </c>
      <c r="G1795" s="12" t="s">
        <v>2257</v>
      </c>
      <c r="H1795" s="12" t="s">
        <v>16</v>
      </c>
      <c r="I1795" s="14">
        <f>IF(B1795=0,VLOOKUP(A1795,Feuil2!$A$2:$M$1241,7,FALSE)," ")</f>
        <v>9264856</v>
      </c>
      <c r="J1795" s="12" t="str">
        <f>IF(B1795=0,VLOOKUP(A1795,Feuil2!$A$2:$M$1241,9,FALSE)," ")</f>
        <v>Rue Ariana</v>
      </c>
      <c r="K1795" s="12" t="str">
        <f>IF(B1795=0,VLOOKUP(A1795,Feuil2!$A$2:$M$1241,10,FALSE)," ")</f>
        <v>Msaken 4070</v>
      </c>
      <c r="L1795" s="12"/>
      <c r="M1795" s="12">
        <v>25658185</v>
      </c>
      <c r="N1795" s="12"/>
      <c r="O1795" s="15" t="str">
        <f>IF(B1795=0,VLOOKUP(A1795,Feuil2!$A$2:$M$1241,13,FALSE)," ")</f>
        <v>08507000262004787592</v>
      </c>
    </row>
    <row r="1796" spans="1:15" x14ac:dyDescent="0.3">
      <c r="A1796" s="12">
        <v>1785</v>
      </c>
      <c r="B1796" s="12">
        <v>0</v>
      </c>
      <c r="C1796" s="12" t="str">
        <f>IF(B1796=0,VLOOKUP(A1796,Feuil2!$A$2:$M$1241,2,FALSE)," ")</f>
        <v>HMIDI</v>
      </c>
      <c r="D1796" s="12" t="str">
        <f>IF(B1796=0,VLOOKUP(A1796,Feuil2!$A$2:$M$1241,3,FALSE)," ")</f>
        <v>SALEM</v>
      </c>
      <c r="E1796" s="13">
        <f>IF(B1796=0,VLOOKUP(A1796,Feuil2!$A$2:$M$1241,6,FALSE)," ")</f>
        <v>26724</v>
      </c>
      <c r="F1796" s="12" t="str">
        <f>IF(B1796=0,VLOOKUP(A1796,Feuil2!$A$2:$M$1241,12,FALSE)," ")</f>
        <v>H</v>
      </c>
      <c r="G1796" s="12" t="str">
        <f>IF(B1796=0,VLOOKUP(A1796,Feuil2!$A$2:$M$1241,11,FALSE)," ")</f>
        <v>M</v>
      </c>
      <c r="H1796" s="12" t="s">
        <v>16</v>
      </c>
      <c r="I1796" s="14">
        <f>IF(B1796=0,VLOOKUP(A1796,Feuil2!$A$2:$M$1241,7,FALSE)," ")</f>
        <v>5538168</v>
      </c>
      <c r="J1796" s="12" t="s">
        <v>2848</v>
      </c>
      <c r="K1796" s="12" t="str">
        <f>IF(B1796=0,VLOOKUP(A1796,Feuil2!$A$2:$M$1241,10,FALSE)," ")</f>
        <v>Knaies 4014</v>
      </c>
      <c r="L1796" s="12"/>
      <c r="M1796" s="12">
        <v>55905517</v>
      </c>
      <c r="N1796" s="12"/>
      <c r="O1796" s="15" t="str">
        <f>IF(B1796=0,VLOOKUP(A1796,Feuil2!$A$2:$M$1241,13,FALSE)," ")</f>
        <v>04204067404000975776</v>
      </c>
    </row>
    <row r="1797" spans="1:15" x14ac:dyDescent="0.3">
      <c r="A1797" s="1">
        <v>1785</v>
      </c>
      <c r="B1797" s="1">
        <v>1</v>
      </c>
      <c r="C1797" s="1" t="s">
        <v>333</v>
      </c>
      <c r="D1797" s="1" t="s">
        <v>2614</v>
      </c>
      <c r="E1797" s="5">
        <v>30077</v>
      </c>
      <c r="F1797" s="1" t="s">
        <v>17</v>
      </c>
      <c r="G1797" s="1" t="str">
        <f>IF(B1797=0,VLOOKUP(A1797,Feuil2!$A$2:$M$1241,11,FALSE)," ")</f>
        <v xml:space="preserve"> </v>
      </c>
      <c r="H1797" s="1" t="s">
        <v>16</v>
      </c>
      <c r="I1797" s="6" t="str">
        <f>IF(B1797=0,VLOOKUP(A1797,Feuil2!$A$2:$M$1241,7,FALSE)," ")</f>
        <v xml:space="preserve"> </v>
      </c>
      <c r="J1797" s="1" t="str">
        <f>IF(B1797=0,VLOOKUP(A1797,Feuil2!$A$2:$M$1241,9,FALSE)," ")</f>
        <v xml:space="preserve"> </v>
      </c>
      <c r="K1797" s="1" t="str">
        <f>IF(B1797=0,VLOOKUP(A1797,Feuil2!$A$2:$M$1241,10,FALSE)," ")</f>
        <v xml:space="preserve"> </v>
      </c>
      <c r="L1797" s="1"/>
      <c r="M1797" s="1"/>
      <c r="N1797" s="1"/>
      <c r="O1797" s="8" t="str">
        <f>IF(B1797=0,VLOOKUP(A1797,Feuil2!$A$2:$M$1241,13,FALSE)," ")</f>
        <v xml:space="preserve"> </v>
      </c>
    </row>
    <row r="1798" spans="1:15" x14ac:dyDescent="0.3">
      <c r="A1798" s="1">
        <v>1785</v>
      </c>
      <c r="B1798" s="1">
        <v>2</v>
      </c>
      <c r="C1798" s="1" t="s">
        <v>349</v>
      </c>
      <c r="D1798" s="1" t="s">
        <v>2351</v>
      </c>
      <c r="E1798" s="5">
        <v>37396</v>
      </c>
      <c r="F1798" s="1" t="s">
        <v>506</v>
      </c>
      <c r="G1798" s="1" t="str">
        <f>IF(B1798=0,VLOOKUP(A1798,Feuil2!$A$2:$M$1241,11,FALSE)," ")</f>
        <v xml:space="preserve"> </v>
      </c>
      <c r="H1798" s="1" t="s">
        <v>16</v>
      </c>
      <c r="I1798" s="6" t="str">
        <f>IF(B1798=0,VLOOKUP(A1798,Feuil2!$A$2:$M$1241,7,FALSE)," ")</f>
        <v xml:space="preserve"> </v>
      </c>
      <c r="J1798" s="1" t="str">
        <f>IF(B1798=0,VLOOKUP(A1798,Feuil2!$A$2:$M$1241,9,FALSE)," ")</f>
        <v xml:space="preserve"> </v>
      </c>
      <c r="K1798" s="1" t="str">
        <f>IF(B1798=0,VLOOKUP(A1798,Feuil2!$A$2:$M$1241,10,FALSE)," ")</f>
        <v xml:space="preserve"> </v>
      </c>
      <c r="L1798" s="1"/>
      <c r="M1798" s="1"/>
      <c r="N1798" s="1"/>
      <c r="O1798" s="8" t="str">
        <f>IF(B1798=0,VLOOKUP(A1798,Feuil2!$A$2:$M$1241,13,FALSE)," ")</f>
        <v xml:space="preserve"> </v>
      </c>
    </row>
    <row r="1799" spans="1:15" x14ac:dyDescent="0.3">
      <c r="A1799" s="1">
        <v>1785</v>
      </c>
      <c r="B1799" s="1">
        <v>3</v>
      </c>
      <c r="C1799" s="1" t="s">
        <v>349</v>
      </c>
      <c r="D1799" s="1" t="s">
        <v>2849</v>
      </c>
      <c r="E1799" s="5">
        <v>38189</v>
      </c>
      <c r="F1799" s="1" t="s">
        <v>506</v>
      </c>
      <c r="G1799" s="1" t="str">
        <f>IF(B1799=0,VLOOKUP(A1799,Feuil2!$A$2:$M$1241,11,FALSE)," ")</f>
        <v xml:space="preserve"> </v>
      </c>
      <c r="H1799" s="1" t="s">
        <v>16</v>
      </c>
      <c r="I1799" s="6" t="str">
        <f>IF(B1799=0,VLOOKUP(A1799,Feuil2!$A$2:$M$1241,7,FALSE)," ")</f>
        <v xml:space="preserve"> </v>
      </c>
      <c r="J1799" s="1" t="str">
        <f>IF(B1799=0,VLOOKUP(A1799,Feuil2!$A$2:$M$1241,9,FALSE)," ")</f>
        <v xml:space="preserve"> </v>
      </c>
      <c r="K1799" s="1" t="str">
        <f>IF(B1799=0,VLOOKUP(A1799,Feuil2!$A$2:$M$1241,10,FALSE)," ")</f>
        <v xml:space="preserve"> </v>
      </c>
      <c r="L1799" s="1"/>
      <c r="M1799" s="1"/>
      <c r="N1799" s="1"/>
      <c r="O1799" s="8" t="str">
        <f>IF(B1799=0,VLOOKUP(A1799,Feuil2!$A$2:$M$1241,13,FALSE)," ")</f>
        <v xml:space="preserve"> </v>
      </c>
    </row>
    <row r="1800" spans="1:15" x14ac:dyDescent="0.3">
      <c r="A1800" s="1">
        <v>1785</v>
      </c>
      <c r="B1800" s="1">
        <v>4</v>
      </c>
      <c r="C1800" s="1" t="s">
        <v>349</v>
      </c>
      <c r="D1800" s="1" t="s">
        <v>287</v>
      </c>
      <c r="E1800" s="5">
        <v>40949</v>
      </c>
      <c r="F1800" s="1" t="s">
        <v>506</v>
      </c>
      <c r="G1800" s="1" t="str">
        <f>IF(B1800=0,VLOOKUP(A1800,Feuil2!$A$2:$M$1241,11,FALSE)," ")</f>
        <v xml:space="preserve"> </v>
      </c>
      <c r="H1800" s="1" t="s">
        <v>16</v>
      </c>
      <c r="I1800" s="6" t="str">
        <f>IF(B1800=0,VLOOKUP(A1800,Feuil2!$A$2:$M$1241,7,FALSE)," ")</f>
        <v xml:space="preserve"> </v>
      </c>
      <c r="J1800" s="1" t="str">
        <f>IF(B1800=0,VLOOKUP(A1800,Feuil2!$A$2:$M$1241,9,FALSE)," ")</f>
        <v xml:space="preserve"> </v>
      </c>
      <c r="K1800" s="1" t="str">
        <f>IF(B1800=0,VLOOKUP(A1800,Feuil2!$A$2:$M$1241,10,FALSE)," ")</f>
        <v xml:space="preserve"> </v>
      </c>
      <c r="L1800" s="1"/>
      <c r="M1800" s="1"/>
      <c r="N1800" s="1"/>
      <c r="O1800" s="8" t="str">
        <f>IF(B1800=0,VLOOKUP(A1800,Feuil2!$A$2:$M$1241,13,FALSE)," ")</f>
        <v xml:space="preserve"> </v>
      </c>
    </row>
    <row r="1801" spans="1:15" x14ac:dyDescent="0.3">
      <c r="A1801" s="12">
        <v>2285</v>
      </c>
      <c r="B1801" s="12">
        <v>0</v>
      </c>
      <c r="C1801" s="12" t="s">
        <v>2867</v>
      </c>
      <c r="D1801" s="12" t="s">
        <v>1444</v>
      </c>
      <c r="E1801" s="13">
        <v>35707</v>
      </c>
      <c r="F1801" s="12" t="s">
        <v>506</v>
      </c>
      <c r="G1801" s="12" t="s">
        <v>2257</v>
      </c>
      <c r="H1801" s="12" t="s">
        <v>16</v>
      </c>
      <c r="I1801" s="14">
        <v>12844204</v>
      </c>
      <c r="J1801" s="12" t="s">
        <v>2868</v>
      </c>
      <c r="K1801" s="12" t="s">
        <v>513</v>
      </c>
      <c r="L1801" s="12"/>
      <c r="M1801" s="12">
        <v>52528330</v>
      </c>
      <c r="N1801" s="12"/>
      <c r="O1801" s="23" t="s">
        <v>2869</v>
      </c>
    </row>
    <row r="1802" spans="1:15" x14ac:dyDescent="0.3">
      <c r="A1802" s="12">
        <v>2184</v>
      </c>
      <c r="B1802" s="12">
        <v>0</v>
      </c>
      <c r="C1802" s="12" t="str">
        <f>IF(B1802=0,VLOOKUP(A1802,Feuil2!$A$2:$M$1241,2,FALSE)," ")</f>
        <v>BEN HADJ HASSINE</v>
      </c>
      <c r="D1802" s="12" t="str">
        <f>IF(B1802=0,VLOOKUP(A1802,Feuil2!$A$2:$M$1241,3,FALSE)," ")</f>
        <v>KHALED</v>
      </c>
      <c r="E1802" s="13">
        <f>IF(B1802=0,VLOOKUP(A1802,Feuil2!$A$2:$M$1241,6,FALSE)," ")</f>
        <v>32933</v>
      </c>
      <c r="F1802" s="12" t="str">
        <f>IF(B1802=0,VLOOKUP(A1802,Feuil2!$A$2:$M$1241,12,FALSE)," ")</f>
        <v>H</v>
      </c>
      <c r="G1802" s="12" t="s">
        <v>15</v>
      </c>
      <c r="H1802" s="12" t="s">
        <v>16</v>
      </c>
      <c r="I1802" s="14">
        <f>IF(B1802=0,VLOOKUP(A1802,Feuil2!$A$2:$M$1241,7,FALSE)," ")</f>
        <v>9323011</v>
      </c>
      <c r="J1802" s="12" t="str">
        <f>IF(B1802=0,VLOOKUP(A1802,Feuil2!$A$2:$M$1241,9,FALSE)," ")</f>
        <v>Aouled Boubaker</v>
      </c>
      <c r="K1802" s="12" t="str">
        <f>IF(B1802=0,VLOOKUP(A1802,Feuil2!$A$2:$M$1241,10,FALSE)," ")</f>
        <v>Sidi El HÃ©ni 4025</v>
      </c>
      <c r="L1802" s="12"/>
      <c r="M1802" s="12">
        <v>55914772</v>
      </c>
      <c r="N1802" s="12"/>
      <c r="O1802" s="15" t="str">
        <f>IF(B1802=0,VLOOKUP(A1802,Feuil2!$A$2:$M$1241,13,FALSE)," ")</f>
        <v>17503000000283914446</v>
      </c>
    </row>
    <row r="1803" spans="1:15" x14ac:dyDescent="0.3">
      <c r="A1803" s="1">
        <v>2184</v>
      </c>
      <c r="B1803" s="1">
        <v>1</v>
      </c>
      <c r="C1803" s="1" t="s">
        <v>2870</v>
      </c>
      <c r="D1803" s="1" t="s">
        <v>2373</v>
      </c>
      <c r="E1803" s="5">
        <v>33751</v>
      </c>
      <c r="F1803" s="1" t="s">
        <v>17</v>
      </c>
      <c r="G1803" s="1" t="s">
        <v>15</v>
      </c>
      <c r="H1803" s="1" t="s">
        <v>16</v>
      </c>
      <c r="I1803" s="6" t="str">
        <f>IF(B1803=0,VLOOKUP(A1803,Feuil2!$A$2:$M$1241,7,FALSE)," ")</f>
        <v xml:space="preserve"> </v>
      </c>
      <c r="J1803" s="1" t="str">
        <f>IF(B1803=0,VLOOKUP(A1803,Feuil2!$A$2:$M$1241,9,FALSE)," ")</f>
        <v xml:space="preserve"> </v>
      </c>
      <c r="K1803" s="1" t="str">
        <f>IF(B1803=0,VLOOKUP(A1803,Feuil2!$A$2:$M$1241,10,FALSE)," ")</f>
        <v xml:space="preserve"> </v>
      </c>
      <c r="L1803" s="1"/>
      <c r="M1803" s="1"/>
      <c r="N1803" s="1"/>
      <c r="O1803" s="8" t="str">
        <f>IF(B1803=0,VLOOKUP(A1803,Feuil2!$A$2:$M$1241,13,FALSE)," ")</f>
        <v xml:space="preserve"> </v>
      </c>
    </row>
    <row r="1804" spans="1:15" x14ac:dyDescent="0.3">
      <c r="A1804" s="12">
        <v>2236</v>
      </c>
      <c r="B1804" s="12">
        <v>0</v>
      </c>
      <c r="C1804" s="12" t="s">
        <v>78</v>
      </c>
      <c r="D1804" s="12" t="s">
        <v>274</v>
      </c>
      <c r="E1804" s="13">
        <v>33515</v>
      </c>
      <c r="F1804" s="12" t="s">
        <v>506</v>
      </c>
      <c r="G1804" s="12" t="s">
        <v>2257</v>
      </c>
      <c r="H1804" s="12" t="s">
        <v>16</v>
      </c>
      <c r="I1804" s="14">
        <v>9315032</v>
      </c>
      <c r="J1804" s="12" t="s">
        <v>2871</v>
      </c>
      <c r="K1804" s="12" t="s">
        <v>513</v>
      </c>
      <c r="L1804" s="12"/>
      <c r="M1804" s="12">
        <v>98793896</v>
      </c>
      <c r="N1804" s="12"/>
      <c r="O1804" s="23" t="s">
        <v>2872</v>
      </c>
    </row>
    <row r="1805" spans="1:15" x14ac:dyDescent="0.3">
      <c r="A1805" s="12">
        <v>2254</v>
      </c>
      <c r="B1805" s="12">
        <v>0</v>
      </c>
      <c r="C1805" s="12" t="s">
        <v>180</v>
      </c>
      <c r="D1805" s="12" t="s">
        <v>110</v>
      </c>
      <c r="E1805" s="13">
        <v>35972</v>
      </c>
      <c r="F1805" s="12" t="s">
        <v>506</v>
      </c>
      <c r="G1805" s="12" t="s">
        <v>2257</v>
      </c>
      <c r="H1805" s="12" t="s">
        <v>16</v>
      </c>
      <c r="I1805" s="14">
        <v>12847640</v>
      </c>
      <c r="J1805" s="12" t="s">
        <v>2873</v>
      </c>
      <c r="K1805" s="12" t="s">
        <v>513</v>
      </c>
      <c r="L1805" s="12"/>
      <c r="M1805" s="12">
        <v>24345821</v>
      </c>
      <c r="N1805" s="12"/>
      <c r="O1805" s="23" t="s">
        <v>2874</v>
      </c>
    </row>
    <row r="1806" spans="1:15" x14ac:dyDescent="0.3">
      <c r="A1806" s="12">
        <v>1713</v>
      </c>
      <c r="B1806" s="12">
        <v>0</v>
      </c>
      <c r="C1806" s="12" t="str">
        <f>IF(B1806=0,VLOOKUP(A1806,Feuil2!$A$2:$M$1241,2,FALSE)," ")</f>
        <v>SAKKA ROUIS</v>
      </c>
      <c r="D1806" s="12" t="str">
        <f>IF(B1806=0,VLOOKUP(A1806,Feuil2!$A$2:$M$1241,3,FALSE)," ")</f>
        <v>MOHAMED MAHER</v>
      </c>
      <c r="E1806" s="13">
        <f>IF(B1806=0,VLOOKUP(A1806,Feuil2!$A$2:$M$1241,6,FALSE)," ")</f>
        <v>28463</v>
      </c>
      <c r="F1806" s="12" t="str">
        <f>IF(B1806=0,VLOOKUP(A1806,Feuil2!$A$2:$M$1241,12,FALSE)," ")</f>
        <v>H</v>
      </c>
      <c r="G1806" s="12" t="s">
        <v>2257</v>
      </c>
      <c r="H1806" s="12" t="s">
        <v>16</v>
      </c>
      <c r="I1806" s="14">
        <f>IF(B1806=0,VLOOKUP(A1806,Feuil2!$A$2:$M$1241,7,FALSE)," ")</f>
        <v>5564944</v>
      </c>
      <c r="J1806" s="12" t="str">
        <f>IF(B1806=0,VLOOKUP(A1806,Feuil2!$A$2:$M$1241,9,FALSE)," ")</f>
        <v>10 Rue Amman</v>
      </c>
      <c r="K1806" s="12" t="str">
        <f>IF(B1806=0,VLOOKUP(A1806,Feuil2!$A$2:$M$1241,10,FALSE)," ")</f>
        <v>Msaken 4070</v>
      </c>
      <c r="L1806" s="12"/>
      <c r="M1806" s="12">
        <v>24526655</v>
      </c>
      <c r="N1806" s="12"/>
      <c r="O1806" s="23" t="s">
        <v>2875</v>
      </c>
    </row>
    <row r="1807" spans="1:15" x14ac:dyDescent="0.3">
      <c r="A1807" s="12">
        <v>2252</v>
      </c>
      <c r="B1807" s="12">
        <v>0</v>
      </c>
      <c r="C1807" s="12" t="s">
        <v>2876</v>
      </c>
      <c r="D1807" s="12" t="s">
        <v>56</v>
      </c>
      <c r="E1807" s="13">
        <v>35113</v>
      </c>
      <c r="F1807" s="12" t="s">
        <v>506</v>
      </c>
      <c r="G1807" s="12" t="s">
        <v>2257</v>
      </c>
      <c r="H1807" s="12" t="s">
        <v>16</v>
      </c>
      <c r="I1807" s="14">
        <v>12805412</v>
      </c>
      <c r="J1807" s="12" t="s">
        <v>2877</v>
      </c>
      <c r="K1807" s="12" t="s">
        <v>513</v>
      </c>
      <c r="L1807" s="12"/>
      <c r="M1807" s="12">
        <v>98793690</v>
      </c>
      <c r="N1807" s="12"/>
      <c r="O1807" s="23" t="s">
        <v>2878</v>
      </c>
    </row>
    <row r="1808" spans="1:15" x14ac:dyDescent="0.3">
      <c r="A1808" s="12">
        <v>2010</v>
      </c>
      <c r="B1808" s="12">
        <v>0</v>
      </c>
      <c r="C1808" s="12" t="str">
        <f>IF(B1808=0,VLOOKUP(A1808,Feuil2!$A$2:$M$1241,2,FALSE)," ")</f>
        <v>BEN ABDELJELIL</v>
      </c>
      <c r="D1808" s="12" t="str">
        <f>IF(B1808=0,VLOOKUP(A1808,Feuil2!$A$2:$M$1241,3,FALSE)," ")</f>
        <v>HOUCEM</v>
      </c>
      <c r="E1808" s="13">
        <f>IF(B1808=0,VLOOKUP(A1808,Feuil2!$A$2:$M$1241,6,FALSE)," ")</f>
        <v>33046</v>
      </c>
      <c r="F1808" s="12" t="str">
        <f>IF(B1808=0,VLOOKUP(A1808,Feuil2!$A$2:$M$1241,12,FALSE)," ")</f>
        <v>H</v>
      </c>
      <c r="G1808" s="12" t="s">
        <v>2257</v>
      </c>
      <c r="H1808" s="12" t="s">
        <v>16</v>
      </c>
      <c r="I1808" s="14">
        <f>IF(B1808=0,VLOOKUP(A1808,Feuil2!$A$2:$M$1241,7,FALSE)," ")</f>
        <v>9284482</v>
      </c>
      <c r="J1808" s="12" t="str">
        <f>IF(B1808=0,VLOOKUP(A1808,Feuil2!$A$2:$M$1241,9,FALSE)," ")</f>
        <v>41, Rue Ali Belhouane</v>
      </c>
      <c r="K1808" s="12" t="str">
        <f>IF(B1808=0,VLOOKUP(A1808,Feuil2!$A$2:$M$1241,10,FALSE)," ")</f>
        <v>Msaken 4070</v>
      </c>
      <c r="L1808" s="12"/>
      <c r="M1808" s="12">
        <v>20040781</v>
      </c>
      <c r="N1808" s="12"/>
      <c r="O1808" s="15" t="str">
        <f>IF(B1808=0,VLOOKUP(A1808,Feuil2!$A$2:$M$1241,13,FALSE)," ")</f>
        <v>08507000264004322118</v>
      </c>
    </row>
    <row r="1809" spans="1:16" x14ac:dyDescent="0.3">
      <c r="A1809" s="12">
        <v>2270</v>
      </c>
      <c r="B1809" s="12">
        <v>0</v>
      </c>
      <c r="C1809" s="12" t="s">
        <v>2880</v>
      </c>
      <c r="D1809" s="12" t="s">
        <v>34</v>
      </c>
      <c r="E1809" s="13">
        <v>34433</v>
      </c>
      <c r="F1809" s="12" t="s">
        <v>506</v>
      </c>
      <c r="G1809" s="12" t="s">
        <v>15</v>
      </c>
      <c r="H1809" s="12" t="s">
        <v>16</v>
      </c>
      <c r="I1809" s="14">
        <v>12802949</v>
      </c>
      <c r="J1809" s="12" t="s">
        <v>2881</v>
      </c>
      <c r="K1809" s="12" t="s">
        <v>513</v>
      </c>
      <c r="L1809" s="12"/>
      <c r="M1809" s="12">
        <v>24254848</v>
      </c>
      <c r="N1809" s="12"/>
      <c r="O1809" s="23" t="s">
        <v>2882</v>
      </c>
    </row>
    <row r="1810" spans="1:16" x14ac:dyDescent="0.3">
      <c r="A1810" s="1">
        <v>2270</v>
      </c>
      <c r="B1810" s="1">
        <v>1</v>
      </c>
      <c r="C1810" s="1" t="s">
        <v>71</v>
      </c>
      <c r="D1810" s="1" t="s">
        <v>2332</v>
      </c>
      <c r="E1810" s="5">
        <v>34377</v>
      </c>
      <c r="F1810" s="1" t="s">
        <v>17</v>
      </c>
      <c r="G1810" s="1" t="s">
        <v>15</v>
      </c>
      <c r="H1810" s="1" t="s">
        <v>16</v>
      </c>
      <c r="I1810" s="6" t="str">
        <f>IF(B1810=0,VLOOKUP(A1810,Feuil2!$A$2:$M$1241,7,FALSE)," ")</f>
        <v xml:space="preserve"> </v>
      </c>
      <c r="J1810" s="1" t="str">
        <f>IF(B1810=0,VLOOKUP(A1810,Feuil2!$A$2:$M$1241,9,FALSE)," ")</f>
        <v xml:space="preserve"> </v>
      </c>
      <c r="K1810" s="1" t="str">
        <f>IF(B1810=0,VLOOKUP(A1810,Feuil2!$A$2:$M$1241,10,FALSE)," ")</f>
        <v xml:space="preserve"> </v>
      </c>
      <c r="L1810" s="1"/>
      <c r="M1810" s="1"/>
      <c r="N1810" s="1"/>
      <c r="O1810" s="8" t="str">
        <f>IF(B1810=0,VLOOKUP(A1810,Feuil2!$A$2:$M$1241,13,FALSE)," ")</f>
        <v xml:space="preserve"> </v>
      </c>
    </row>
    <row r="1811" spans="1:16" x14ac:dyDescent="0.3">
      <c r="A1811" s="1">
        <v>2270</v>
      </c>
      <c r="B1811" s="1">
        <v>2</v>
      </c>
      <c r="C1811" s="1" t="s">
        <v>2880</v>
      </c>
      <c r="D1811" s="1" t="s">
        <v>2807</v>
      </c>
      <c r="E1811" s="5">
        <v>44050</v>
      </c>
      <c r="F1811" s="1" t="s">
        <v>506</v>
      </c>
      <c r="G1811" s="1" t="str">
        <f>IF(B1811=0,VLOOKUP(A1811,Feuil2!$A$2:$M$1241,11,FALSE)," ")</f>
        <v xml:space="preserve"> </v>
      </c>
      <c r="H1811" s="1" t="s">
        <v>16</v>
      </c>
      <c r="I1811" s="6" t="str">
        <f>IF(B1811=0,VLOOKUP(A1811,Feuil2!$A$2:$M$1241,7,FALSE)," ")</f>
        <v xml:space="preserve"> </v>
      </c>
      <c r="J1811" s="1" t="str">
        <f>IF(B1811=0,VLOOKUP(A1811,Feuil2!$A$2:$M$1241,9,FALSE)," ")</f>
        <v xml:space="preserve"> </v>
      </c>
      <c r="K1811" s="1" t="str">
        <f>IF(B1811=0,VLOOKUP(A1811,Feuil2!$A$2:$M$1241,10,FALSE)," ")</f>
        <v xml:space="preserve"> </v>
      </c>
      <c r="L1811" s="1"/>
      <c r="M1811" s="1"/>
      <c r="N1811" s="1"/>
      <c r="O1811" s="8" t="str">
        <f>IF(B1811=0,VLOOKUP(A1811,Feuil2!$A$2:$M$1241,13,FALSE)," ")</f>
        <v xml:space="preserve"> </v>
      </c>
    </row>
    <row r="1812" spans="1:16" x14ac:dyDescent="0.3">
      <c r="A1812" s="12">
        <v>837</v>
      </c>
      <c r="B1812" s="12">
        <v>0</v>
      </c>
      <c r="C1812" s="12" t="str">
        <f>IF(B1812=0,VLOOKUP(A1812,Feuil2!$A$2:$M$1241,2,FALSE)," ")</f>
        <v>BEL HADJ HASSEN</v>
      </c>
      <c r="D1812" s="12" t="str">
        <f>IF(B1812=0,VLOOKUP(A1812,Feuil2!$A$2:$M$1241,3,FALSE)," ")</f>
        <v>ABDELAZIZ</v>
      </c>
      <c r="E1812" s="13">
        <f>IF(B1812=0,VLOOKUP(A1812,Feuil2!$A$2:$M$1241,6,FALSE)," ")</f>
        <v>24223</v>
      </c>
      <c r="F1812" s="12" t="str">
        <f>IF(B1812=0,VLOOKUP(A1812,Feuil2!$A$2:$M$1241,12,FALSE)," ")</f>
        <v>H</v>
      </c>
      <c r="G1812" s="12" t="str">
        <f>IF(B1812=0,VLOOKUP(A1812,Feuil2!$A$2:$M$1241,11,FALSE)," ")</f>
        <v>M</v>
      </c>
      <c r="H1812" s="12" t="s">
        <v>16</v>
      </c>
      <c r="I1812" s="14">
        <f>IF(B1812=0,VLOOKUP(A1812,Feuil2!$A$2:$M$1241,7,FALSE)," ")</f>
        <v>2981355</v>
      </c>
      <c r="J1812" s="12" t="str">
        <f>IF(B1812=0,VLOOKUP(A1812,Feuil2!$A$2:$M$1241,9,FALSE)," ")</f>
        <v>4029 Kroussia</v>
      </c>
      <c r="K1812" s="12" t="str">
        <f>IF(B1812=0,VLOOKUP(A1812,Feuil2!$A$2:$M$1241,10,FALSE)," ")</f>
        <v>Msaken 4070</v>
      </c>
      <c r="L1812" s="12"/>
      <c r="M1812" s="12">
        <v>50007335</v>
      </c>
      <c r="N1812" s="12"/>
      <c r="O1812" s="23" t="s">
        <v>2883</v>
      </c>
    </row>
    <row r="1813" spans="1:16" x14ac:dyDescent="0.3">
      <c r="A1813" s="1">
        <v>837</v>
      </c>
      <c r="B1813" s="1">
        <v>1</v>
      </c>
      <c r="C1813" s="1" t="s">
        <v>2884</v>
      </c>
      <c r="D1813" s="1" t="s">
        <v>2552</v>
      </c>
      <c r="E1813" s="5">
        <v>26665</v>
      </c>
      <c r="F1813" s="1" t="s">
        <v>17</v>
      </c>
      <c r="G1813" s="1" t="s">
        <v>15</v>
      </c>
      <c r="H1813" s="1" t="s">
        <v>16</v>
      </c>
      <c r="I1813" s="6" t="str">
        <f>IF(B1813=0,VLOOKUP(A1813,Feuil2!$A$2:$M$1241,7,FALSE)," ")</f>
        <v xml:space="preserve"> </v>
      </c>
      <c r="J1813" s="1" t="str">
        <f>IF(B1813=0,VLOOKUP(A1813,Feuil2!$A$2:$M$1241,9,FALSE)," ")</f>
        <v xml:space="preserve"> </v>
      </c>
      <c r="K1813" s="1" t="str">
        <f>IF(B1813=0,VLOOKUP(A1813,Feuil2!$A$2:$M$1241,10,FALSE)," ")</f>
        <v xml:space="preserve"> </v>
      </c>
      <c r="L1813" s="1"/>
      <c r="M1813" s="1"/>
      <c r="N1813" s="1"/>
      <c r="O1813" s="8" t="str">
        <f>IF(B1813=0,VLOOKUP(A1813,Feuil2!$A$2:$M$1241,13,FALSE)," ")</f>
        <v xml:space="preserve"> </v>
      </c>
    </row>
    <row r="1814" spans="1:16" x14ac:dyDescent="0.3">
      <c r="A1814" s="1">
        <v>837</v>
      </c>
      <c r="B1814" s="1">
        <v>2</v>
      </c>
      <c r="C1814" s="1" t="s">
        <v>1271</v>
      </c>
      <c r="D1814" s="1" t="s">
        <v>2523</v>
      </c>
      <c r="E1814" s="5">
        <v>35351</v>
      </c>
      <c r="F1814" s="1" t="s">
        <v>17</v>
      </c>
      <c r="G1814" s="1" t="str">
        <f>IF(B1814=0,VLOOKUP(A1814,Feuil2!$A$2:$M$1241,11,FALSE)," ")</f>
        <v xml:space="preserve"> </v>
      </c>
      <c r="H1814" s="1" t="s">
        <v>16</v>
      </c>
      <c r="I1814" s="6" t="str">
        <f>IF(B1814=0,VLOOKUP(A1814,Feuil2!$A$2:$M$1241,7,FALSE)," ")</f>
        <v xml:space="preserve"> </v>
      </c>
      <c r="J1814" s="1" t="str">
        <f>IF(B1814=0,VLOOKUP(A1814,Feuil2!$A$2:$M$1241,9,FALSE)," ")</f>
        <v xml:space="preserve"> </v>
      </c>
      <c r="K1814" s="1" t="str">
        <f>IF(B1814=0,VLOOKUP(A1814,Feuil2!$A$2:$M$1241,10,FALSE)," ")</f>
        <v xml:space="preserve"> </v>
      </c>
      <c r="L1814" s="1"/>
      <c r="M1814" s="1"/>
      <c r="N1814" s="1"/>
      <c r="O1814" s="8" t="str">
        <f>IF(B1814=0,VLOOKUP(A1814,Feuil2!$A$2:$M$1241,13,FALSE)," ")</f>
        <v xml:space="preserve"> </v>
      </c>
    </row>
    <row r="1815" spans="1:16" x14ac:dyDescent="0.3">
      <c r="A1815" s="1">
        <v>837</v>
      </c>
      <c r="B1815" s="1">
        <v>3</v>
      </c>
      <c r="C1815" s="1" t="s">
        <v>1271</v>
      </c>
      <c r="D1815" s="1" t="s">
        <v>230</v>
      </c>
      <c r="E1815" s="5">
        <v>37122</v>
      </c>
      <c r="F1815" s="1" t="s">
        <v>506</v>
      </c>
      <c r="G1815" s="1" t="str">
        <f>IF(B1815=0,VLOOKUP(A1815,Feuil2!$A$2:$M$1241,11,FALSE)," ")</f>
        <v xml:space="preserve"> </v>
      </c>
      <c r="H1815" s="1" t="s">
        <v>16</v>
      </c>
      <c r="I1815" s="6" t="str">
        <f>IF(B1815=0,VLOOKUP(A1815,Feuil2!$A$2:$M$1241,7,FALSE)," ")</f>
        <v xml:space="preserve"> </v>
      </c>
      <c r="J1815" s="1" t="str">
        <f>IF(B1815=0,VLOOKUP(A1815,Feuil2!$A$2:$M$1241,9,FALSE)," ")</f>
        <v xml:space="preserve"> </v>
      </c>
      <c r="K1815" s="1" t="str">
        <f>IF(B1815=0,VLOOKUP(A1815,Feuil2!$A$2:$M$1241,10,FALSE)," ")</f>
        <v xml:space="preserve"> </v>
      </c>
      <c r="L1815" s="1"/>
      <c r="M1815" s="1"/>
      <c r="N1815" s="1"/>
      <c r="O1815" s="8" t="str">
        <f>IF(B1815=0,VLOOKUP(A1815,Feuil2!$A$2:$M$1241,13,FALSE)," ")</f>
        <v xml:space="preserve"> </v>
      </c>
    </row>
    <row r="1816" spans="1:16" x14ac:dyDescent="0.3">
      <c r="A1816" s="1">
        <v>837</v>
      </c>
      <c r="B1816" s="1">
        <v>4</v>
      </c>
      <c r="C1816" s="1" t="s">
        <v>1271</v>
      </c>
      <c r="D1816" s="1" t="s">
        <v>291</v>
      </c>
      <c r="E1816" s="5">
        <v>38830</v>
      </c>
      <c r="F1816" s="1" t="s">
        <v>506</v>
      </c>
      <c r="G1816" s="1" t="str">
        <f>IF(B1816=0,VLOOKUP(A1816,Feuil2!$A$2:$M$1241,11,FALSE)," ")</f>
        <v xml:space="preserve"> </v>
      </c>
      <c r="H1816" s="1" t="s">
        <v>16</v>
      </c>
      <c r="I1816" s="6" t="str">
        <f>IF(B1816=0,VLOOKUP(A1816,Feuil2!$A$2:$M$1241,7,FALSE)," ")</f>
        <v xml:space="preserve"> </v>
      </c>
      <c r="J1816" s="1" t="str">
        <f>IF(B1816=0,VLOOKUP(A1816,Feuil2!$A$2:$M$1241,9,FALSE)," ")</f>
        <v xml:space="preserve"> </v>
      </c>
      <c r="K1816" s="1" t="str">
        <f>IF(B1816=0,VLOOKUP(A1816,Feuil2!$A$2:$M$1241,10,FALSE)," ")</f>
        <v xml:space="preserve"> </v>
      </c>
      <c r="L1816" s="1"/>
      <c r="M1816" s="1"/>
      <c r="N1816" s="1"/>
      <c r="O1816" s="8" t="str">
        <f>IF(B1816=0,VLOOKUP(A1816,Feuil2!$A$2:$M$1241,13,FALSE)," ")</f>
        <v xml:space="preserve"> </v>
      </c>
    </row>
    <row r="1817" spans="1:16" x14ac:dyDescent="0.3">
      <c r="A1817" s="12">
        <v>2312</v>
      </c>
      <c r="B1817" s="12">
        <v>0</v>
      </c>
      <c r="C1817" s="12" t="s">
        <v>446</v>
      </c>
      <c r="D1817" s="12" t="s">
        <v>235</v>
      </c>
      <c r="E1817" s="13">
        <v>33571</v>
      </c>
      <c r="F1817" s="12" t="s">
        <v>506</v>
      </c>
      <c r="G1817" s="12" t="s">
        <v>15</v>
      </c>
      <c r="H1817" s="12" t="s">
        <v>16</v>
      </c>
      <c r="I1817" s="14">
        <v>9343239</v>
      </c>
      <c r="J1817" s="12" t="s">
        <v>2885</v>
      </c>
      <c r="K1817" s="12" t="s">
        <v>513</v>
      </c>
      <c r="L1817" s="12"/>
      <c r="M1817" s="12">
        <v>28159596</v>
      </c>
      <c r="N1817" s="12"/>
      <c r="O1817" s="23" t="s">
        <v>2886</v>
      </c>
      <c r="P1817" s="16"/>
    </row>
    <row r="1818" spans="1:16" x14ac:dyDescent="0.3">
      <c r="A1818" s="1">
        <v>2312</v>
      </c>
      <c r="B1818" s="1">
        <v>1</v>
      </c>
      <c r="C1818" s="1" t="s">
        <v>312</v>
      </c>
      <c r="D1818" s="1" t="s">
        <v>2764</v>
      </c>
      <c r="E1818" s="5">
        <v>35915</v>
      </c>
      <c r="F1818" s="1" t="s">
        <v>17</v>
      </c>
      <c r="G1818" s="1" t="s">
        <v>15</v>
      </c>
      <c r="H1818" s="1" t="s">
        <v>16</v>
      </c>
      <c r="I1818" s="6" t="str">
        <f>IF(B1818=0,VLOOKUP(A1818,Feuil2!$A$2:$M$1241,7,FALSE)," ")</f>
        <v xml:space="preserve"> </v>
      </c>
      <c r="J1818" s="1" t="str">
        <f>IF(B1818=0,VLOOKUP(A1818,Feuil2!$A$2:$M$1241,9,FALSE)," ")</f>
        <v xml:space="preserve"> </v>
      </c>
      <c r="K1818" s="1" t="str">
        <f>IF(B1818=0,VLOOKUP(A1818,Feuil2!$A$2:$M$1241,10,FALSE)," ")</f>
        <v xml:space="preserve"> </v>
      </c>
      <c r="L1818" s="1"/>
      <c r="M1818" s="1"/>
      <c r="N1818" s="1"/>
      <c r="O1818" s="8" t="str">
        <f>IF(B1818=0,VLOOKUP(A1818,Feuil2!$A$2:$M$1241,13,FALSE)," ")</f>
        <v xml:space="preserve"> </v>
      </c>
    </row>
    <row r="1819" spans="1:16" x14ac:dyDescent="0.3">
      <c r="A1819" s="1">
        <v>2312</v>
      </c>
      <c r="B1819" s="1">
        <v>2</v>
      </c>
      <c r="C1819" s="1" t="s">
        <v>446</v>
      </c>
      <c r="D1819" s="1" t="s">
        <v>2887</v>
      </c>
      <c r="E1819" s="5">
        <v>44557</v>
      </c>
      <c r="F1819" s="1" t="s">
        <v>506</v>
      </c>
      <c r="G1819" s="1" t="str">
        <f>IF(B1819=0,VLOOKUP(A1819,Feuil2!$A$2:$M$1241,11,FALSE)," ")</f>
        <v xml:space="preserve"> </v>
      </c>
      <c r="H1819" s="1" t="s">
        <v>16</v>
      </c>
      <c r="I1819" s="6" t="str">
        <f>IF(B1819=0,VLOOKUP(A1819,Feuil2!$A$2:$M$1241,7,FALSE)," ")</f>
        <v xml:space="preserve"> </v>
      </c>
      <c r="J1819" s="1" t="str">
        <f>IF(B1819=0,VLOOKUP(A1819,Feuil2!$A$2:$M$1241,9,FALSE)," ")</f>
        <v xml:space="preserve"> </v>
      </c>
      <c r="K1819" s="1" t="str">
        <f>IF(B1819=0,VLOOKUP(A1819,Feuil2!$A$2:$M$1241,10,FALSE)," ")</f>
        <v xml:space="preserve"> </v>
      </c>
      <c r="L1819" s="1"/>
      <c r="M1819" s="1"/>
      <c r="N1819" s="1"/>
      <c r="O1819" s="8" t="str">
        <f>IF(B1819=0,VLOOKUP(A1819,Feuil2!$A$2:$M$1241,13,FALSE)," ")</f>
        <v xml:space="preserve"> </v>
      </c>
    </row>
    <row r="1820" spans="1:16" x14ac:dyDescent="0.3">
      <c r="A1820" s="1"/>
      <c r="B1820" s="1"/>
      <c r="C1820" s="1" t="e">
        <f>IF(B1820=0,VLOOKUP(A1820,Feuil2!$A$2:$M$1241,2,FALSE)," ")</f>
        <v>#N/A</v>
      </c>
      <c r="D1820" s="1" t="e">
        <f>IF(B1820=0,VLOOKUP(A1820,Feuil2!$A$2:$M$1241,3,FALSE)," ")</f>
        <v>#N/A</v>
      </c>
      <c r="E1820" s="5" t="e">
        <f>IF(B1820=0,VLOOKUP(A1820,Feuil2!$A$2:$M$1241,6,FALSE)," ")</f>
        <v>#N/A</v>
      </c>
      <c r="F1820" s="1" t="e">
        <f>IF(B1820=0,VLOOKUP(A1820,Feuil2!$A$2:$M$1241,12,FALSE)," ")</f>
        <v>#N/A</v>
      </c>
      <c r="G1820" s="1" t="e">
        <f>IF(B1820=0,VLOOKUP(A1820,Feuil2!$A$2:$M$1241,11,FALSE)," ")</f>
        <v>#N/A</v>
      </c>
      <c r="H1820" s="1" t="s">
        <v>16</v>
      </c>
      <c r="I1820" s="6" t="e">
        <f>IF(B1820=0,VLOOKUP(A1820,Feuil2!$A$2:$M$1241,7,FALSE)," ")</f>
        <v>#N/A</v>
      </c>
      <c r="J1820" s="1" t="e">
        <f>IF(B1820=0,VLOOKUP(A1820,Feuil2!$A$2:$M$1241,9,FALSE)," ")</f>
        <v>#N/A</v>
      </c>
      <c r="K1820" s="1" t="e">
        <f>IF(B1820=0,VLOOKUP(A1820,Feuil2!$A$2:$M$1241,10,FALSE)," ")</f>
        <v>#N/A</v>
      </c>
      <c r="L1820" s="1"/>
      <c r="M1820" s="1"/>
      <c r="N1820" s="1"/>
      <c r="O1820" s="8" t="e">
        <f>IF(B1820=0,VLOOKUP(A1820,Feuil2!$A$2:$M$1241,13,FALSE)," ")</f>
        <v>#N/A</v>
      </c>
    </row>
    <row r="1821" spans="1:16" x14ac:dyDescent="0.3">
      <c r="A1821" s="1"/>
      <c r="B1821" s="1"/>
      <c r="C1821" s="1" t="e">
        <f>IF(B1821=0,VLOOKUP(A1821,Feuil2!$A$2:$M$1241,2,FALSE)," ")</f>
        <v>#N/A</v>
      </c>
      <c r="D1821" s="1" t="e">
        <f>IF(B1821=0,VLOOKUP(A1821,Feuil2!$A$2:$M$1241,3,FALSE)," ")</f>
        <v>#N/A</v>
      </c>
      <c r="E1821" s="5" t="e">
        <f>IF(B1821=0,VLOOKUP(A1821,Feuil2!$A$2:$M$1241,6,FALSE)," ")</f>
        <v>#N/A</v>
      </c>
      <c r="F1821" s="1" t="e">
        <f>IF(B1821=0,VLOOKUP(A1821,Feuil2!$A$2:$M$1241,12,FALSE)," ")</f>
        <v>#N/A</v>
      </c>
      <c r="G1821" s="1" t="e">
        <f>IF(B1821=0,VLOOKUP(A1821,Feuil2!$A$2:$M$1241,11,FALSE)," ")</f>
        <v>#N/A</v>
      </c>
      <c r="H1821" s="1" t="s">
        <v>16</v>
      </c>
      <c r="I1821" s="6" t="e">
        <f>IF(B1821=0,VLOOKUP(A1821,Feuil2!$A$2:$M$1241,7,FALSE)," ")</f>
        <v>#N/A</v>
      </c>
      <c r="J1821" s="1" t="e">
        <f>IF(B1821=0,VLOOKUP(A1821,Feuil2!$A$2:$M$1241,9,FALSE)," ")</f>
        <v>#N/A</v>
      </c>
      <c r="K1821" s="1" t="e">
        <f>IF(B1821=0,VLOOKUP(A1821,Feuil2!$A$2:$M$1241,10,FALSE)," ")</f>
        <v>#N/A</v>
      </c>
      <c r="L1821" s="1"/>
      <c r="M1821" s="1"/>
      <c r="N1821" s="1"/>
      <c r="O1821" s="8" t="e">
        <f>IF(B1821=0,VLOOKUP(A1821,Feuil2!$A$2:$M$1241,13,FALSE)," ")</f>
        <v>#N/A</v>
      </c>
    </row>
    <row r="1822" spans="1:16" x14ac:dyDescent="0.3">
      <c r="A1822" s="1"/>
      <c r="B1822" s="1"/>
      <c r="C1822" s="1" t="e">
        <f>IF(B1822=0,VLOOKUP(A1822,Feuil2!$A$2:$M$1241,2,FALSE)," ")</f>
        <v>#N/A</v>
      </c>
      <c r="D1822" s="1" t="e">
        <f>IF(B1822=0,VLOOKUP(A1822,Feuil2!$A$2:$M$1241,3,FALSE)," ")</f>
        <v>#N/A</v>
      </c>
      <c r="E1822" s="5" t="e">
        <f>IF(B1822=0,VLOOKUP(A1822,Feuil2!$A$2:$M$1241,6,FALSE)," ")</f>
        <v>#N/A</v>
      </c>
      <c r="F1822" s="1" t="e">
        <f>IF(B1822=0,VLOOKUP(A1822,Feuil2!$A$2:$M$1241,12,FALSE)," ")</f>
        <v>#N/A</v>
      </c>
      <c r="G1822" s="1" t="e">
        <f>IF(B1822=0,VLOOKUP(A1822,Feuil2!$A$2:$M$1241,11,FALSE)," ")</f>
        <v>#N/A</v>
      </c>
      <c r="H1822" s="1" t="s">
        <v>16</v>
      </c>
      <c r="I1822" s="6" t="e">
        <f>IF(B1822=0,VLOOKUP(A1822,Feuil2!$A$2:$M$1241,7,FALSE)," ")</f>
        <v>#N/A</v>
      </c>
      <c r="J1822" s="1" t="e">
        <f>IF(B1822=0,VLOOKUP(A1822,Feuil2!$A$2:$M$1241,9,FALSE)," ")</f>
        <v>#N/A</v>
      </c>
      <c r="K1822" s="1" t="e">
        <f>IF(B1822=0,VLOOKUP(A1822,Feuil2!$A$2:$M$1241,10,FALSE)," ")</f>
        <v>#N/A</v>
      </c>
      <c r="L1822" s="1"/>
      <c r="M1822" s="1"/>
      <c r="N1822" s="1"/>
      <c r="O1822" s="8" t="e">
        <f>IF(B1822=0,VLOOKUP(A1822,Feuil2!$A$2:$M$1241,13,FALSE)," ")</f>
        <v>#N/A</v>
      </c>
    </row>
    <row r="1823" spans="1:16" x14ac:dyDescent="0.3">
      <c r="A1823" s="1"/>
      <c r="B1823" s="1"/>
      <c r="C1823" s="1" t="e">
        <f>IF(B1823=0,VLOOKUP(A1823,Feuil2!$A$2:$M$1241,2,FALSE)," ")</f>
        <v>#N/A</v>
      </c>
      <c r="D1823" s="1" t="e">
        <f>IF(B1823=0,VLOOKUP(A1823,Feuil2!$A$2:$M$1241,3,FALSE)," ")</f>
        <v>#N/A</v>
      </c>
      <c r="E1823" s="5" t="e">
        <f>IF(B1823=0,VLOOKUP(A1823,Feuil2!$A$2:$M$1241,6,FALSE)," ")</f>
        <v>#N/A</v>
      </c>
      <c r="F1823" s="1" t="e">
        <f>IF(B1823=0,VLOOKUP(A1823,Feuil2!$A$2:$M$1241,12,FALSE)," ")</f>
        <v>#N/A</v>
      </c>
      <c r="G1823" s="1" t="e">
        <f>IF(B1823=0,VLOOKUP(A1823,Feuil2!$A$2:$M$1241,11,FALSE)," ")</f>
        <v>#N/A</v>
      </c>
      <c r="H1823" s="1" t="s">
        <v>16</v>
      </c>
      <c r="I1823" s="6" t="e">
        <f>IF(B1823=0,VLOOKUP(A1823,Feuil2!$A$2:$M$1241,7,FALSE)," ")</f>
        <v>#N/A</v>
      </c>
      <c r="J1823" s="1" t="e">
        <f>IF(B1823=0,VLOOKUP(A1823,Feuil2!$A$2:$M$1241,9,FALSE)," ")</f>
        <v>#N/A</v>
      </c>
      <c r="K1823" s="1" t="e">
        <f>IF(B1823=0,VLOOKUP(A1823,Feuil2!$A$2:$M$1241,10,FALSE)," ")</f>
        <v>#N/A</v>
      </c>
      <c r="L1823" s="1"/>
      <c r="M1823" s="1"/>
      <c r="N1823" s="1"/>
      <c r="O1823" s="8" t="e">
        <f>IF(B1823=0,VLOOKUP(A1823,Feuil2!$A$2:$M$1241,13,FALSE)," ")</f>
        <v>#N/A</v>
      </c>
    </row>
    <row r="1824" spans="1:16" x14ac:dyDescent="0.3">
      <c r="A1824" s="1"/>
      <c r="B1824" s="1"/>
      <c r="C1824" s="1" t="e">
        <f>IF(B1824=0,VLOOKUP(A1824,Feuil2!$A$2:$M$1241,2,FALSE)," ")</f>
        <v>#N/A</v>
      </c>
      <c r="D1824" s="1" t="e">
        <f>IF(B1824=0,VLOOKUP(A1824,Feuil2!$A$2:$M$1241,3,FALSE)," ")</f>
        <v>#N/A</v>
      </c>
      <c r="E1824" s="5" t="e">
        <f>IF(B1824=0,VLOOKUP(A1824,Feuil2!$A$2:$M$1241,6,FALSE)," ")</f>
        <v>#N/A</v>
      </c>
      <c r="F1824" s="1" t="e">
        <f>IF(B1824=0,VLOOKUP(A1824,Feuil2!$A$2:$M$1241,12,FALSE)," ")</f>
        <v>#N/A</v>
      </c>
      <c r="G1824" s="1" t="e">
        <f>IF(B1824=0,VLOOKUP(A1824,Feuil2!$A$2:$M$1241,11,FALSE)," ")</f>
        <v>#N/A</v>
      </c>
      <c r="H1824" s="1" t="s">
        <v>16</v>
      </c>
      <c r="I1824" s="6" t="e">
        <f>IF(B1824=0,VLOOKUP(A1824,Feuil2!$A$2:$M$1241,7,FALSE)," ")</f>
        <v>#N/A</v>
      </c>
      <c r="J1824" s="1" t="e">
        <f>IF(B1824=0,VLOOKUP(A1824,Feuil2!$A$2:$M$1241,9,FALSE)," ")</f>
        <v>#N/A</v>
      </c>
      <c r="K1824" s="1" t="e">
        <f>IF(B1824=0,VLOOKUP(A1824,Feuil2!$A$2:$M$1241,10,FALSE)," ")</f>
        <v>#N/A</v>
      </c>
      <c r="L1824" s="1"/>
      <c r="M1824" s="1"/>
      <c r="N1824" s="1"/>
      <c r="O1824" s="8" t="e">
        <f>IF(B1824=0,VLOOKUP(A1824,Feuil2!$A$2:$M$1241,13,FALSE)," ")</f>
        <v>#N/A</v>
      </c>
    </row>
    <row r="1825" spans="1:15" x14ac:dyDescent="0.3">
      <c r="A1825" s="1"/>
      <c r="B1825" s="1"/>
      <c r="C1825" s="1" t="e">
        <f>IF(B1825=0,VLOOKUP(A1825,Feuil2!$A$2:$M$1241,2,FALSE)," ")</f>
        <v>#N/A</v>
      </c>
      <c r="D1825" s="1" t="e">
        <f>IF(B1825=0,VLOOKUP(A1825,Feuil2!$A$2:$M$1241,3,FALSE)," ")</f>
        <v>#N/A</v>
      </c>
      <c r="E1825" s="5" t="e">
        <f>IF(B1825=0,VLOOKUP(A1825,Feuil2!$A$2:$M$1241,6,FALSE)," ")</f>
        <v>#N/A</v>
      </c>
      <c r="F1825" s="1" t="e">
        <f>IF(B1825=0,VLOOKUP(A1825,Feuil2!$A$2:$M$1241,12,FALSE)," ")</f>
        <v>#N/A</v>
      </c>
      <c r="G1825" s="1" t="e">
        <f>IF(B1825=0,VLOOKUP(A1825,Feuil2!$A$2:$M$1241,11,FALSE)," ")</f>
        <v>#N/A</v>
      </c>
      <c r="H1825" s="1" t="s">
        <v>16</v>
      </c>
      <c r="I1825" s="6" t="e">
        <f>IF(B1825=0,VLOOKUP(A1825,Feuil2!$A$2:$M$1241,7,FALSE)," ")</f>
        <v>#N/A</v>
      </c>
      <c r="J1825" s="1" t="e">
        <f>IF(B1825=0,VLOOKUP(A1825,Feuil2!$A$2:$M$1241,9,FALSE)," ")</f>
        <v>#N/A</v>
      </c>
      <c r="K1825" s="1" t="e">
        <f>IF(B1825=0,VLOOKUP(A1825,Feuil2!$A$2:$M$1241,10,FALSE)," ")</f>
        <v>#N/A</v>
      </c>
      <c r="L1825" s="1"/>
      <c r="M1825" s="1"/>
      <c r="N1825" s="1"/>
      <c r="O1825" s="8" t="e">
        <f>IF(B1825=0,VLOOKUP(A1825,Feuil2!$A$2:$M$1241,13,FALSE)," ")</f>
        <v>#N/A</v>
      </c>
    </row>
    <row r="1826" spans="1:15" x14ac:dyDescent="0.3">
      <c r="A1826" s="1"/>
      <c r="B1826" s="1"/>
      <c r="C1826" s="1" t="e">
        <f>IF(B1826=0,VLOOKUP(A1826,Feuil2!$A$2:$M$1241,2,FALSE)," ")</f>
        <v>#N/A</v>
      </c>
      <c r="D1826" s="1" t="e">
        <f>IF(B1826=0,VLOOKUP(A1826,Feuil2!$A$2:$M$1241,3,FALSE)," ")</f>
        <v>#N/A</v>
      </c>
      <c r="E1826" s="5" t="e">
        <f>IF(B1826=0,VLOOKUP(A1826,Feuil2!$A$2:$M$1241,6,FALSE)," ")</f>
        <v>#N/A</v>
      </c>
      <c r="F1826" s="1" t="e">
        <f>IF(B1826=0,VLOOKUP(A1826,Feuil2!$A$2:$M$1241,12,FALSE)," ")</f>
        <v>#N/A</v>
      </c>
      <c r="G1826" s="1" t="e">
        <f>IF(B1826=0,VLOOKUP(A1826,Feuil2!$A$2:$M$1241,11,FALSE)," ")</f>
        <v>#N/A</v>
      </c>
      <c r="H1826" s="1" t="s">
        <v>16</v>
      </c>
      <c r="I1826" s="6" t="e">
        <f>IF(B1826=0,VLOOKUP(A1826,Feuil2!$A$2:$M$1241,7,FALSE)," ")</f>
        <v>#N/A</v>
      </c>
      <c r="J1826" s="1" t="e">
        <f>IF(B1826=0,VLOOKUP(A1826,Feuil2!$A$2:$M$1241,9,FALSE)," ")</f>
        <v>#N/A</v>
      </c>
      <c r="K1826" s="1" t="e">
        <f>IF(B1826=0,VLOOKUP(A1826,Feuil2!$A$2:$M$1241,10,FALSE)," ")</f>
        <v>#N/A</v>
      </c>
      <c r="L1826" s="1"/>
      <c r="M1826" s="1"/>
      <c r="N1826" s="1"/>
      <c r="O1826" s="8" t="e">
        <f>IF(B1826=0,VLOOKUP(A1826,Feuil2!$A$2:$M$1241,13,FALSE)," ")</f>
        <v>#N/A</v>
      </c>
    </row>
    <row r="1827" spans="1:15" x14ac:dyDescent="0.3">
      <c r="A1827" s="1"/>
      <c r="B1827" s="1"/>
      <c r="C1827" s="1" t="e">
        <f>IF(B1827=0,VLOOKUP(A1827,Feuil2!$A$2:$M$1241,2,FALSE)," ")</f>
        <v>#N/A</v>
      </c>
      <c r="D1827" s="1" t="e">
        <f>IF(B1827=0,VLOOKUP(A1827,Feuil2!$A$2:$M$1241,3,FALSE)," ")</f>
        <v>#N/A</v>
      </c>
      <c r="E1827" s="5" t="e">
        <f>IF(B1827=0,VLOOKUP(A1827,Feuil2!$A$2:$M$1241,6,FALSE)," ")</f>
        <v>#N/A</v>
      </c>
      <c r="F1827" s="1" t="e">
        <f>IF(B1827=0,VLOOKUP(A1827,Feuil2!$A$2:$M$1241,12,FALSE)," ")</f>
        <v>#N/A</v>
      </c>
      <c r="G1827" s="1" t="e">
        <f>IF(B1827=0,VLOOKUP(A1827,Feuil2!$A$2:$M$1241,11,FALSE)," ")</f>
        <v>#N/A</v>
      </c>
      <c r="H1827" s="1" t="s">
        <v>16</v>
      </c>
      <c r="I1827" s="6" t="e">
        <f>IF(B1827=0,VLOOKUP(A1827,Feuil2!$A$2:$M$1241,7,FALSE)," ")</f>
        <v>#N/A</v>
      </c>
      <c r="J1827" s="1" t="e">
        <f>IF(B1827=0,VLOOKUP(A1827,Feuil2!$A$2:$M$1241,9,FALSE)," ")</f>
        <v>#N/A</v>
      </c>
      <c r="K1827" s="1" t="e">
        <f>IF(B1827=0,VLOOKUP(A1827,Feuil2!$A$2:$M$1241,10,FALSE)," ")</f>
        <v>#N/A</v>
      </c>
      <c r="L1827" s="1"/>
      <c r="M1827" s="1"/>
      <c r="N1827" s="1"/>
      <c r="O1827" s="8" t="e">
        <f>IF(B1827=0,VLOOKUP(A1827,Feuil2!$A$2:$M$1241,13,FALSE)," ")</f>
        <v>#N/A</v>
      </c>
    </row>
    <row r="1828" spans="1:15" x14ac:dyDescent="0.3">
      <c r="A1828" s="1"/>
      <c r="B1828" s="1"/>
      <c r="C1828" s="1" t="e">
        <f>IF(B1828=0,VLOOKUP(A1828,Feuil2!$A$2:$M$1241,2,FALSE)," ")</f>
        <v>#N/A</v>
      </c>
      <c r="D1828" s="1" t="e">
        <f>IF(B1828=0,VLOOKUP(A1828,Feuil2!$A$2:$M$1241,3,FALSE)," ")</f>
        <v>#N/A</v>
      </c>
      <c r="E1828" s="5" t="e">
        <f>IF(B1828=0,VLOOKUP(A1828,Feuil2!$A$2:$M$1241,6,FALSE)," ")</f>
        <v>#N/A</v>
      </c>
      <c r="F1828" s="1" t="e">
        <f>IF(B1828=0,VLOOKUP(A1828,Feuil2!$A$2:$M$1241,12,FALSE)," ")</f>
        <v>#N/A</v>
      </c>
      <c r="G1828" s="1" t="e">
        <f>IF(B1828=0,VLOOKUP(A1828,Feuil2!$A$2:$M$1241,11,FALSE)," ")</f>
        <v>#N/A</v>
      </c>
      <c r="H1828" s="1" t="s">
        <v>16</v>
      </c>
      <c r="I1828" s="6" t="e">
        <f>IF(B1828=0,VLOOKUP(A1828,Feuil2!$A$2:$M$1241,7,FALSE)," ")</f>
        <v>#N/A</v>
      </c>
      <c r="J1828" s="1" t="e">
        <f>IF(B1828=0,VLOOKUP(A1828,Feuil2!$A$2:$M$1241,9,FALSE)," ")</f>
        <v>#N/A</v>
      </c>
      <c r="K1828" s="1" t="e">
        <f>IF(B1828=0,VLOOKUP(A1828,Feuil2!$A$2:$M$1241,10,FALSE)," ")</f>
        <v>#N/A</v>
      </c>
      <c r="L1828" s="1"/>
      <c r="M1828" s="1"/>
      <c r="N1828" s="1"/>
      <c r="O1828" s="8" t="e">
        <f>IF(B1828=0,VLOOKUP(A1828,Feuil2!$A$2:$M$1241,13,FALSE)," ")</f>
        <v>#N/A</v>
      </c>
    </row>
    <row r="1829" spans="1:15" x14ac:dyDescent="0.3">
      <c r="A1829" s="1"/>
      <c r="B1829" s="1"/>
      <c r="C1829" s="1" t="e">
        <f>IF(B1829=0,VLOOKUP(A1829,Feuil2!$A$2:$M$1241,2,FALSE)," ")</f>
        <v>#N/A</v>
      </c>
      <c r="D1829" s="1" t="e">
        <f>IF(B1829=0,VLOOKUP(A1829,Feuil2!$A$2:$M$1241,3,FALSE)," ")</f>
        <v>#N/A</v>
      </c>
      <c r="E1829" s="5" t="e">
        <f>IF(B1829=0,VLOOKUP(A1829,Feuil2!$A$2:$M$1241,6,FALSE)," ")</f>
        <v>#N/A</v>
      </c>
      <c r="F1829" s="1" t="e">
        <f>IF(B1829=0,VLOOKUP(A1829,Feuil2!$A$2:$M$1241,12,FALSE)," ")</f>
        <v>#N/A</v>
      </c>
      <c r="G1829" s="1" t="e">
        <f>IF(B1829=0,VLOOKUP(A1829,Feuil2!$A$2:$M$1241,11,FALSE)," ")</f>
        <v>#N/A</v>
      </c>
      <c r="H1829" s="1" t="s">
        <v>16</v>
      </c>
      <c r="I1829" s="6" t="e">
        <f>IF(B1829=0,VLOOKUP(A1829,Feuil2!$A$2:$M$1241,7,FALSE)," ")</f>
        <v>#N/A</v>
      </c>
      <c r="J1829" s="1" t="e">
        <f>IF(B1829=0,VLOOKUP(A1829,Feuil2!$A$2:$M$1241,9,FALSE)," ")</f>
        <v>#N/A</v>
      </c>
      <c r="K1829" s="1" t="e">
        <f>IF(B1829=0,VLOOKUP(A1829,Feuil2!$A$2:$M$1241,10,FALSE)," ")</f>
        <v>#N/A</v>
      </c>
      <c r="L1829" s="1"/>
      <c r="M1829" s="1"/>
      <c r="N1829" s="1"/>
      <c r="O1829" s="8" t="e">
        <f>IF(B1829=0,VLOOKUP(A1829,Feuil2!$A$2:$M$1241,13,FALSE)," ")</f>
        <v>#N/A</v>
      </c>
    </row>
    <row r="1830" spans="1:15" x14ac:dyDescent="0.3">
      <c r="A1830" s="1"/>
      <c r="B1830" s="1"/>
      <c r="C1830" s="1" t="e">
        <f>IF(B1830=0,VLOOKUP(A1830,Feuil2!$A$2:$M$1241,2,FALSE)," ")</f>
        <v>#N/A</v>
      </c>
      <c r="D1830" s="1" t="e">
        <f>IF(B1830=0,VLOOKUP(A1830,Feuil2!$A$2:$M$1241,3,FALSE)," ")</f>
        <v>#N/A</v>
      </c>
      <c r="E1830" s="5" t="e">
        <f>IF(B1830=0,VLOOKUP(A1830,Feuil2!$A$2:$M$1241,6,FALSE)," ")</f>
        <v>#N/A</v>
      </c>
      <c r="F1830" s="1" t="e">
        <f>IF(B1830=0,VLOOKUP(A1830,Feuil2!$A$2:$M$1241,12,FALSE)," ")</f>
        <v>#N/A</v>
      </c>
      <c r="G1830" s="1" t="e">
        <f>IF(B1830=0,VLOOKUP(A1830,Feuil2!$A$2:$M$1241,11,FALSE)," ")</f>
        <v>#N/A</v>
      </c>
      <c r="H1830" s="1" t="s">
        <v>16</v>
      </c>
      <c r="I1830" s="6" t="e">
        <f>IF(B1830=0,VLOOKUP(A1830,Feuil2!$A$2:$M$1241,7,FALSE)," ")</f>
        <v>#N/A</v>
      </c>
      <c r="J1830" s="1" t="e">
        <f>IF(B1830=0,VLOOKUP(A1830,Feuil2!$A$2:$M$1241,9,FALSE)," ")</f>
        <v>#N/A</v>
      </c>
      <c r="K1830" s="1" t="e">
        <f>IF(B1830=0,VLOOKUP(A1830,Feuil2!$A$2:$M$1241,10,FALSE)," ")</f>
        <v>#N/A</v>
      </c>
      <c r="L1830" s="1"/>
      <c r="M1830" s="1"/>
      <c r="N1830" s="1"/>
      <c r="O1830" s="8" t="e">
        <f>IF(B1830=0,VLOOKUP(A1830,Feuil2!$A$2:$M$1241,13,FALSE)," ")</f>
        <v>#N/A</v>
      </c>
    </row>
    <row r="1831" spans="1:15" x14ac:dyDescent="0.3">
      <c r="A1831" s="1"/>
      <c r="B1831" s="1"/>
      <c r="C1831" s="1" t="e">
        <f>IF(B1831=0,VLOOKUP(A1831,Feuil2!$A$2:$M$1241,2,FALSE)," ")</f>
        <v>#N/A</v>
      </c>
      <c r="D1831" s="1" t="e">
        <f>IF(B1831=0,VLOOKUP(A1831,Feuil2!$A$2:$M$1241,3,FALSE)," ")</f>
        <v>#N/A</v>
      </c>
      <c r="E1831" s="5" t="e">
        <f>IF(B1831=0,VLOOKUP(A1831,Feuil2!$A$2:$M$1241,6,FALSE)," ")</f>
        <v>#N/A</v>
      </c>
      <c r="F1831" s="1" t="e">
        <f>IF(B1831=0,VLOOKUP(A1831,Feuil2!$A$2:$M$1241,12,FALSE)," ")</f>
        <v>#N/A</v>
      </c>
      <c r="G1831" s="1" t="e">
        <f>IF(B1831=0,VLOOKUP(A1831,Feuil2!$A$2:$M$1241,11,FALSE)," ")</f>
        <v>#N/A</v>
      </c>
      <c r="H1831" s="1" t="s">
        <v>16</v>
      </c>
      <c r="I1831" s="6" t="e">
        <f>IF(B1831=0,VLOOKUP(A1831,Feuil2!$A$2:$M$1241,7,FALSE)," ")</f>
        <v>#N/A</v>
      </c>
      <c r="J1831" s="1" t="e">
        <f>IF(B1831=0,VLOOKUP(A1831,Feuil2!$A$2:$M$1241,9,FALSE)," ")</f>
        <v>#N/A</v>
      </c>
      <c r="K1831" s="1" t="e">
        <f>IF(B1831=0,VLOOKUP(A1831,Feuil2!$A$2:$M$1241,10,FALSE)," ")</f>
        <v>#N/A</v>
      </c>
      <c r="L1831" s="1"/>
      <c r="M1831" s="1"/>
      <c r="N1831" s="1"/>
      <c r="O1831" s="8" t="e">
        <f>IF(B1831=0,VLOOKUP(A1831,Feuil2!$A$2:$M$1241,13,FALSE)," ")</f>
        <v>#N/A</v>
      </c>
    </row>
    <row r="1832" spans="1:15" x14ac:dyDescent="0.3">
      <c r="A1832" s="1"/>
      <c r="B1832" s="1"/>
      <c r="C1832" s="1" t="e">
        <f>IF(B1832=0,VLOOKUP(A1832,Feuil2!$A$2:$M$1241,2,FALSE)," ")</f>
        <v>#N/A</v>
      </c>
      <c r="D1832" s="1" t="e">
        <f>IF(B1832=0,VLOOKUP(A1832,Feuil2!$A$2:$M$1241,3,FALSE)," ")</f>
        <v>#N/A</v>
      </c>
      <c r="E1832" s="5" t="e">
        <f>IF(B1832=0,VLOOKUP(A1832,Feuil2!$A$2:$M$1241,6,FALSE)," ")</f>
        <v>#N/A</v>
      </c>
      <c r="F1832" s="1" t="e">
        <f>IF(B1832=0,VLOOKUP(A1832,Feuil2!$A$2:$M$1241,12,FALSE)," ")</f>
        <v>#N/A</v>
      </c>
      <c r="G1832" s="1" t="e">
        <f>IF(B1832=0,VLOOKUP(A1832,Feuil2!$A$2:$M$1241,11,FALSE)," ")</f>
        <v>#N/A</v>
      </c>
      <c r="H1832" s="1" t="s">
        <v>16</v>
      </c>
      <c r="I1832" s="6" t="e">
        <f>IF(B1832=0,VLOOKUP(A1832,Feuil2!$A$2:$M$1241,7,FALSE)," ")</f>
        <v>#N/A</v>
      </c>
      <c r="J1832" s="1" t="e">
        <f>IF(B1832=0,VLOOKUP(A1832,Feuil2!$A$2:$M$1241,9,FALSE)," ")</f>
        <v>#N/A</v>
      </c>
      <c r="K1832" s="1" t="e">
        <f>IF(B1832=0,VLOOKUP(A1832,Feuil2!$A$2:$M$1241,10,FALSE)," ")</f>
        <v>#N/A</v>
      </c>
      <c r="L1832" s="1"/>
      <c r="M1832" s="1"/>
      <c r="N1832" s="1"/>
      <c r="O1832" s="8" t="e">
        <f>IF(B1832=0,VLOOKUP(A1832,Feuil2!$A$2:$M$1241,13,FALSE)," ")</f>
        <v>#N/A</v>
      </c>
    </row>
    <row r="1833" spans="1:15" x14ac:dyDescent="0.3">
      <c r="A1833" s="1"/>
      <c r="B1833" s="1"/>
      <c r="C1833" s="1" t="e">
        <f>IF(B1833=0,VLOOKUP(A1833,Feuil2!$A$2:$M$1241,2,FALSE)," ")</f>
        <v>#N/A</v>
      </c>
      <c r="D1833" s="1" t="e">
        <f>IF(B1833=0,VLOOKUP(A1833,Feuil2!$A$2:$M$1241,3,FALSE)," ")</f>
        <v>#N/A</v>
      </c>
      <c r="E1833" s="5" t="e">
        <f>IF(B1833=0,VLOOKUP(A1833,Feuil2!$A$2:$M$1241,6,FALSE)," ")</f>
        <v>#N/A</v>
      </c>
      <c r="F1833" s="1" t="e">
        <f>IF(B1833=0,VLOOKUP(A1833,Feuil2!$A$2:$M$1241,12,FALSE)," ")</f>
        <v>#N/A</v>
      </c>
      <c r="G1833" s="1" t="e">
        <f>IF(B1833=0,VLOOKUP(A1833,Feuil2!$A$2:$M$1241,11,FALSE)," ")</f>
        <v>#N/A</v>
      </c>
      <c r="H1833" s="1" t="s">
        <v>16</v>
      </c>
      <c r="I1833" s="6" t="e">
        <f>IF(B1833=0,VLOOKUP(A1833,Feuil2!$A$2:$M$1241,7,FALSE)," ")</f>
        <v>#N/A</v>
      </c>
      <c r="J1833" s="1" t="e">
        <f>IF(B1833=0,VLOOKUP(A1833,Feuil2!$A$2:$M$1241,9,FALSE)," ")</f>
        <v>#N/A</v>
      </c>
      <c r="K1833" s="1" t="e">
        <f>IF(B1833=0,VLOOKUP(A1833,Feuil2!$A$2:$M$1241,10,FALSE)," ")</f>
        <v>#N/A</v>
      </c>
      <c r="L1833" s="1"/>
      <c r="M1833" s="1"/>
      <c r="N1833" s="1"/>
      <c r="O1833" s="8" t="e">
        <f>IF(B1833=0,VLOOKUP(A1833,Feuil2!$A$2:$M$1241,13,FALSE)," ")</f>
        <v>#N/A</v>
      </c>
    </row>
    <row r="1834" spans="1:15" x14ac:dyDescent="0.3">
      <c r="A1834" s="1"/>
      <c r="B1834" s="1"/>
      <c r="C1834" s="1" t="e">
        <f>IF(B1834=0,VLOOKUP(A1834,Feuil2!$A$2:$M$1241,2,FALSE)," ")</f>
        <v>#N/A</v>
      </c>
      <c r="D1834" s="1" t="e">
        <f>IF(B1834=0,VLOOKUP(A1834,Feuil2!$A$2:$M$1241,3,FALSE)," ")</f>
        <v>#N/A</v>
      </c>
      <c r="E1834" s="5" t="e">
        <f>IF(B1834=0,VLOOKUP(A1834,Feuil2!$A$2:$M$1241,6,FALSE)," ")</f>
        <v>#N/A</v>
      </c>
      <c r="F1834" s="1" t="e">
        <f>IF(B1834=0,VLOOKUP(A1834,Feuil2!$A$2:$M$1241,12,FALSE)," ")</f>
        <v>#N/A</v>
      </c>
      <c r="G1834" s="1" t="e">
        <f>IF(B1834=0,VLOOKUP(A1834,Feuil2!$A$2:$M$1241,11,FALSE)," ")</f>
        <v>#N/A</v>
      </c>
      <c r="H1834" s="1" t="s">
        <v>16</v>
      </c>
      <c r="I1834" s="6" t="e">
        <f>IF(B1834=0,VLOOKUP(A1834,Feuil2!$A$2:$M$1241,7,FALSE)," ")</f>
        <v>#N/A</v>
      </c>
      <c r="J1834" s="1" t="e">
        <f>IF(B1834=0,VLOOKUP(A1834,Feuil2!$A$2:$M$1241,9,FALSE)," ")</f>
        <v>#N/A</v>
      </c>
      <c r="K1834" s="1" t="e">
        <f>IF(B1834=0,VLOOKUP(A1834,Feuil2!$A$2:$M$1241,10,FALSE)," ")</f>
        <v>#N/A</v>
      </c>
      <c r="L1834" s="1"/>
      <c r="M1834" s="1"/>
      <c r="N1834" s="1"/>
      <c r="O1834" s="8" t="e">
        <f>IF(B1834=0,VLOOKUP(A1834,Feuil2!$A$2:$M$1241,13,FALSE)," ")</f>
        <v>#N/A</v>
      </c>
    </row>
    <row r="1835" spans="1:15" x14ac:dyDescent="0.3">
      <c r="A1835" s="1"/>
      <c r="B1835" s="1"/>
      <c r="C1835" s="1" t="e">
        <f>IF(B1835=0,VLOOKUP(A1835,Feuil2!$A$2:$M$1241,2,FALSE)," ")</f>
        <v>#N/A</v>
      </c>
      <c r="D1835" s="1" t="e">
        <f>IF(B1835=0,VLOOKUP(A1835,Feuil2!$A$2:$M$1241,3,FALSE)," ")</f>
        <v>#N/A</v>
      </c>
      <c r="E1835" s="5" t="e">
        <f>IF(B1835=0,VLOOKUP(A1835,Feuil2!$A$2:$M$1241,6,FALSE)," ")</f>
        <v>#N/A</v>
      </c>
      <c r="F1835" s="1" t="e">
        <f>IF(B1835=0,VLOOKUP(A1835,Feuil2!$A$2:$M$1241,12,FALSE)," ")</f>
        <v>#N/A</v>
      </c>
      <c r="G1835" s="1" t="e">
        <f>IF(B1835=0,VLOOKUP(A1835,Feuil2!$A$2:$M$1241,11,FALSE)," ")</f>
        <v>#N/A</v>
      </c>
      <c r="H1835" s="1" t="s">
        <v>16</v>
      </c>
      <c r="I1835" s="6" t="e">
        <f>IF(B1835=0,VLOOKUP(A1835,Feuil2!$A$2:$M$1241,7,FALSE)," ")</f>
        <v>#N/A</v>
      </c>
      <c r="J1835" s="1" t="e">
        <f>IF(B1835=0,VLOOKUP(A1835,Feuil2!$A$2:$M$1241,9,FALSE)," ")</f>
        <v>#N/A</v>
      </c>
      <c r="K1835" s="1" t="e">
        <f>IF(B1835=0,VLOOKUP(A1835,Feuil2!$A$2:$M$1241,10,FALSE)," ")</f>
        <v>#N/A</v>
      </c>
      <c r="L1835" s="1"/>
      <c r="M1835" s="1"/>
      <c r="N1835" s="1"/>
      <c r="O1835" s="8" t="e">
        <f>IF(B1835=0,VLOOKUP(A1835,Feuil2!$A$2:$M$1241,13,FALSE)," ")</f>
        <v>#N/A</v>
      </c>
    </row>
    <row r="1836" spans="1:15" x14ac:dyDescent="0.3">
      <c r="A1836" s="1"/>
      <c r="B1836" s="1"/>
      <c r="C1836" s="1" t="e">
        <f>IF(B1836=0,VLOOKUP(A1836,Feuil2!$A$2:$M$1241,2,FALSE)," ")</f>
        <v>#N/A</v>
      </c>
      <c r="D1836" s="1" t="e">
        <f>IF(B1836=0,VLOOKUP(A1836,Feuil2!$A$2:$M$1241,3,FALSE)," ")</f>
        <v>#N/A</v>
      </c>
      <c r="E1836" s="5" t="e">
        <f>IF(B1836=0,VLOOKUP(A1836,Feuil2!$A$2:$M$1241,6,FALSE)," ")</f>
        <v>#N/A</v>
      </c>
      <c r="F1836" s="1" t="e">
        <f>IF(B1836=0,VLOOKUP(A1836,Feuil2!$A$2:$M$1241,12,FALSE)," ")</f>
        <v>#N/A</v>
      </c>
      <c r="G1836" s="1" t="e">
        <f>IF(B1836=0,VLOOKUP(A1836,Feuil2!$A$2:$M$1241,11,FALSE)," ")</f>
        <v>#N/A</v>
      </c>
      <c r="H1836" s="1" t="s">
        <v>16</v>
      </c>
      <c r="I1836" s="6" t="e">
        <f>IF(B1836=0,VLOOKUP(A1836,Feuil2!$A$2:$M$1241,7,FALSE)," ")</f>
        <v>#N/A</v>
      </c>
      <c r="J1836" s="1" t="e">
        <f>IF(B1836=0,VLOOKUP(A1836,Feuil2!$A$2:$M$1241,9,FALSE)," ")</f>
        <v>#N/A</v>
      </c>
      <c r="K1836" s="1" t="e">
        <f>IF(B1836=0,VLOOKUP(A1836,Feuil2!$A$2:$M$1241,10,FALSE)," ")</f>
        <v>#N/A</v>
      </c>
      <c r="L1836" s="1"/>
      <c r="M1836" s="1"/>
      <c r="N1836" s="1"/>
      <c r="O1836" s="8" t="e">
        <f>IF(B1836=0,VLOOKUP(A1836,Feuil2!$A$2:$M$1241,13,FALSE)," ")</f>
        <v>#N/A</v>
      </c>
    </row>
    <row r="1837" spans="1:15" x14ac:dyDescent="0.3">
      <c r="A1837" s="1"/>
      <c r="B1837" s="1"/>
      <c r="C1837" s="1" t="e">
        <f>IF(B1837=0,VLOOKUP(A1837,Feuil2!$A$2:$M$1241,2,FALSE)," ")</f>
        <v>#N/A</v>
      </c>
      <c r="D1837" s="1" t="e">
        <f>IF(B1837=0,VLOOKUP(A1837,Feuil2!$A$2:$M$1241,3,FALSE)," ")</f>
        <v>#N/A</v>
      </c>
      <c r="E1837" s="5" t="e">
        <f>IF(B1837=0,VLOOKUP(A1837,Feuil2!$A$2:$M$1241,6,FALSE)," ")</f>
        <v>#N/A</v>
      </c>
      <c r="F1837" s="1" t="e">
        <f>IF(B1837=0,VLOOKUP(A1837,Feuil2!$A$2:$M$1241,12,FALSE)," ")</f>
        <v>#N/A</v>
      </c>
      <c r="G1837" s="1" t="e">
        <f>IF(B1837=0,VLOOKUP(A1837,Feuil2!$A$2:$M$1241,11,FALSE)," ")</f>
        <v>#N/A</v>
      </c>
      <c r="H1837" s="1" t="s">
        <v>16</v>
      </c>
      <c r="I1837" s="6" t="e">
        <f>IF(B1837=0,VLOOKUP(A1837,Feuil2!$A$2:$M$1241,7,FALSE)," ")</f>
        <v>#N/A</v>
      </c>
      <c r="J1837" s="1" t="e">
        <f>IF(B1837=0,VLOOKUP(A1837,Feuil2!$A$2:$M$1241,9,FALSE)," ")</f>
        <v>#N/A</v>
      </c>
      <c r="K1837" s="1" t="e">
        <f>IF(B1837=0,VLOOKUP(A1837,Feuil2!$A$2:$M$1241,10,FALSE)," ")</f>
        <v>#N/A</v>
      </c>
      <c r="L1837" s="1"/>
      <c r="M1837" s="1"/>
      <c r="N1837" s="1"/>
      <c r="O1837" s="8" t="e">
        <f>IF(B1837=0,VLOOKUP(A1837,Feuil2!$A$2:$M$1241,13,FALSE)," ")</f>
        <v>#N/A</v>
      </c>
    </row>
    <row r="1838" spans="1:15" x14ac:dyDescent="0.3">
      <c r="A1838" s="1"/>
      <c r="B1838" s="1"/>
      <c r="C1838" s="1" t="e">
        <f>IF(B1838=0,VLOOKUP(A1838,Feuil2!$A$2:$M$1241,2,FALSE)," ")</f>
        <v>#N/A</v>
      </c>
      <c r="D1838" s="1" t="e">
        <f>IF(B1838=0,VLOOKUP(A1838,Feuil2!$A$2:$M$1241,3,FALSE)," ")</f>
        <v>#N/A</v>
      </c>
      <c r="E1838" s="5" t="e">
        <f>IF(B1838=0,VLOOKUP(A1838,Feuil2!$A$2:$M$1241,6,FALSE)," ")</f>
        <v>#N/A</v>
      </c>
      <c r="F1838" s="1" t="e">
        <f>IF(B1838=0,VLOOKUP(A1838,Feuil2!$A$2:$M$1241,12,FALSE)," ")</f>
        <v>#N/A</v>
      </c>
      <c r="G1838" s="1" t="e">
        <f>IF(B1838=0,VLOOKUP(A1838,Feuil2!$A$2:$M$1241,11,FALSE)," ")</f>
        <v>#N/A</v>
      </c>
      <c r="H1838" s="1" t="s">
        <v>16</v>
      </c>
      <c r="I1838" s="6" t="e">
        <f>IF(B1838=0,VLOOKUP(A1838,Feuil2!$A$2:$M$1241,7,FALSE)," ")</f>
        <v>#N/A</v>
      </c>
      <c r="J1838" s="1" t="e">
        <f>IF(B1838=0,VLOOKUP(A1838,Feuil2!$A$2:$M$1241,9,FALSE)," ")</f>
        <v>#N/A</v>
      </c>
      <c r="K1838" s="1" t="e">
        <f>IF(B1838=0,VLOOKUP(A1838,Feuil2!$A$2:$M$1241,10,FALSE)," ")</f>
        <v>#N/A</v>
      </c>
      <c r="L1838" s="1"/>
      <c r="M1838" s="1"/>
      <c r="N1838" s="1"/>
      <c r="O1838" s="8" t="e">
        <f>IF(B1838=0,VLOOKUP(A1838,Feuil2!$A$2:$M$1241,13,FALSE)," ")</f>
        <v>#N/A</v>
      </c>
    </row>
    <row r="1839" spans="1:15" x14ac:dyDescent="0.3">
      <c r="A1839" s="1"/>
      <c r="B1839" s="1"/>
      <c r="C1839" s="1" t="e">
        <f>IF(B1839=0,VLOOKUP(A1839,Feuil2!$A$2:$M$1241,2,FALSE)," ")</f>
        <v>#N/A</v>
      </c>
      <c r="D1839" s="1" t="e">
        <f>IF(B1839=0,VLOOKUP(A1839,Feuil2!$A$2:$M$1241,3,FALSE)," ")</f>
        <v>#N/A</v>
      </c>
      <c r="E1839" s="5" t="e">
        <f>IF(B1839=0,VLOOKUP(A1839,Feuil2!$A$2:$M$1241,6,FALSE)," ")</f>
        <v>#N/A</v>
      </c>
      <c r="F1839" s="1" t="e">
        <f>IF(B1839=0,VLOOKUP(A1839,Feuil2!$A$2:$M$1241,12,FALSE)," ")</f>
        <v>#N/A</v>
      </c>
      <c r="G1839" s="1" t="e">
        <f>IF(B1839=0,VLOOKUP(A1839,Feuil2!$A$2:$M$1241,11,FALSE)," ")</f>
        <v>#N/A</v>
      </c>
      <c r="H1839" s="1" t="s">
        <v>16</v>
      </c>
      <c r="I1839" s="6" t="e">
        <f>IF(B1839=0,VLOOKUP(A1839,Feuil2!$A$2:$M$1241,7,FALSE)," ")</f>
        <v>#N/A</v>
      </c>
      <c r="J1839" s="1" t="e">
        <f>IF(B1839=0,VLOOKUP(A1839,Feuil2!$A$2:$M$1241,9,FALSE)," ")</f>
        <v>#N/A</v>
      </c>
      <c r="K1839" s="1" t="e">
        <f>IF(B1839=0,VLOOKUP(A1839,Feuil2!$A$2:$M$1241,10,FALSE)," ")</f>
        <v>#N/A</v>
      </c>
      <c r="L1839" s="1"/>
      <c r="M1839" s="1"/>
      <c r="N1839" s="1"/>
      <c r="O1839" s="8" t="e">
        <f>IF(B1839=0,VLOOKUP(A1839,Feuil2!$A$2:$M$1241,13,FALSE)," ")</f>
        <v>#N/A</v>
      </c>
    </row>
    <row r="1840" spans="1:15" x14ac:dyDescent="0.3">
      <c r="A1840" s="1"/>
      <c r="B1840" s="1"/>
      <c r="C1840" s="1" t="e">
        <f>IF(B1840=0,VLOOKUP(A1840,Feuil2!$A$2:$M$1241,2,FALSE)," ")</f>
        <v>#N/A</v>
      </c>
      <c r="D1840" s="1" t="e">
        <f>IF(B1840=0,VLOOKUP(A1840,Feuil2!$A$2:$M$1241,3,FALSE)," ")</f>
        <v>#N/A</v>
      </c>
      <c r="E1840" s="5" t="e">
        <f>IF(B1840=0,VLOOKUP(A1840,Feuil2!$A$2:$M$1241,6,FALSE)," ")</f>
        <v>#N/A</v>
      </c>
      <c r="F1840" s="1" t="e">
        <f>IF(B1840=0,VLOOKUP(A1840,Feuil2!$A$2:$M$1241,12,FALSE)," ")</f>
        <v>#N/A</v>
      </c>
      <c r="G1840" s="1" t="e">
        <f>IF(B1840=0,VLOOKUP(A1840,Feuil2!$A$2:$M$1241,11,FALSE)," ")</f>
        <v>#N/A</v>
      </c>
      <c r="H1840" s="1" t="s">
        <v>16</v>
      </c>
      <c r="I1840" s="6" t="e">
        <f>IF(B1840=0,VLOOKUP(A1840,Feuil2!$A$2:$M$1241,7,FALSE)," ")</f>
        <v>#N/A</v>
      </c>
      <c r="J1840" s="1" t="e">
        <f>IF(B1840=0,VLOOKUP(A1840,Feuil2!$A$2:$M$1241,9,FALSE)," ")</f>
        <v>#N/A</v>
      </c>
      <c r="K1840" s="1" t="e">
        <f>IF(B1840=0,VLOOKUP(A1840,Feuil2!$A$2:$M$1241,10,FALSE)," ")</f>
        <v>#N/A</v>
      </c>
      <c r="L1840" s="1"/>
      <c r="M1840" s="1"/>
      <c r="N1840" s="1"/>
      <c r="O1840" s="8" t="e">
        <f>IF(B1840=0,VLOOKUP(A1840,Feuil2!$A$2:$M$1241,13,FALSE)," ")</f>
        <v>#N/A</v>
      </c>
    </row>
    <row r="1841" spans="1:15" x14ac:dyDescent="0.3">
      <c r="A1841" s="1"/>
      <c r="B1841" s="1"/>
      <c r="C1841" s="1" t="e">
        <f>IF(B1841=0,VLOOKUP(A1841,Feuil2!$A$2:$M$1241,2,FALSE)," ")</f>
        <v>#N/A</v>
      </c>
      <c r="D1841" s="1" t="e">
        <f>IF(B1841=0,VLOOKUP(A1841,Feuil2!$A$2:$M$1241,3,FALSE)," ")</f>
        <v>#N/A</v>
      </c>
      <c r="E1841" s="5" t="e">
        <f>IF(B1841=0,VLOOKUP(A1841,Feuil2!$A$2:$M$1241,6,FALSE)," ")</f>
        <v>#N/A</v>
      </c>
      <c r="F1841" s="1" t="e">
        <f>IF(B1841=0,VLOOKUP(A1841,Feuil2!$A$2:$M$1241,12,FALSE)," ")</f>
        <v>#N/A</v>
      </c>
      <c r="G1841" s="1" t="e">
        <f>IF(B1841=0,VLOOKUP(A1841,Feuil2!$A$2:$M$1241,11,FALSE)," ")</f>
        <v>#N/A</v>
      </c>
      <c r="H1841" s="1" t="s">
        <v>16</v>
      </c>
      <c r="I1841" s="6" t="e">
        <f>IF(B1841=0,VLOOKUP(A1841,Feuil2!$A$2:$M$1241,7,FALSE)," ")</f>
        <v>#N/A</v>
      </c>
      <c r="J1841" s="1" t="e">
        <f>IF(B1841=0,VLOOKUP(A1841,Feuil2!$A$2:$M$1241,9,FALSE)," ")</f>
        <v>#N/A</v>
      </c>
      <c r="K1841" s="1" t="e">
        <f>IF(B1841=0,VLOOKUP(A1841,Feuil2!$A$2:$M$1241,10,FALSE)," ")</f>
        <v>#N/A</v>
      </c>
      <c r="L1841" s="1"/>
      <c r="M1841" s="1"/>
      <c r="N1841" s="1"/>
      <c r="O1841" s="8" t="e">
        <f>IF(B1841=0,VLOOKUP(A1841,Feuil2!$A$2:$M$1241,13,FALSE)," ")</f>
        <v>#N/A</v>
      </c>
    </row>
    <row r="1842" spans="1:15" x14ac:dyDescent="0.3">
      <c r="A1842" s="1"/>
      <c r="B1842" s="1"/>
      <c r="C1842" s="1" t="e">
        <f>IF(B1842=0,VLOOKUP(A1842,Feuil2!$A$2:$M$1241,2,FALSE)," ")</f>
        <v>#N/A</v>
      </c>
      <c r="D1842" s="1" t="e">
        <f>IF(B1842=0,VLOOKUP(A1842,Feuil2!$A$2:$M$1241,3,FALSE)," ")</f>
        <v>#N/A</v>
      </c>
      <c r="E1842" s="5" t="e">
        <f>IF(B1842=0,VLOOKUP(A1842,Feuil2!$A$2:$M$1241,6,FALSE)," ")</f>
        <v>#N/A</v>
      </c>
      <c r="F1842" s="1" t="e">
        <f>IF(B1842=0,VLOOKUP(A1842,Feuil2!$A$2:$M$1241,12,FALSE)," ")</f>
        <v>#N/A</v>
      </c>
      <c r="G1842" s="1" t="e">
        <f>IF(B1842=0,VLOOKUP(A1842,Feuil2!$A$2:$M$1241,11,FALSE)," ")</f>
        <v>#N/A</v>
      </c>
      <c r="H1842" s="1" t="s">
        <v>16</v>
      </c>
      <c r="I1842" s="6" t="e">
        <f>IF(B1842=0,VLOOKUP(A1842,Feuil2!$A$2:$M$1241,7,FALSE)," ")</f>
        <v>#N/A</v>
      </c>
      <c r="J1842" s="1" t="e">
        <f>IF(B1842=0,VLOOKUP(A1842,Feuil2!$A$2:$M$1241,9,FALSE)," ")</f>
        <v>#N/A</v>
      </c>
      <c r="K1842" s="1" t="e">
        <f>IF(B1842=0,VLOOKUP(A1842,Feuil2!$A$2:$M$1241,10,FALSE)," ")</f>
        <v>#N/A</v>
      </c>
      <c r="L1842" s="1"/>
      <c r="M1842" s="1"/>
      <c r="N1842" s="1"/>
      <c r="O1842" s="8" t="e">
        <f>IF(B1842=0,VLOOKUP(A1842,Feuil2!$A$2:$M$1241,13,FALSE)," ")</f>
        <v>#N/A</v>
      </c>
    </row>
    <row r="1843" spans="1:15" x14ac:dyDescent="0.3">
      <c r="A1843" s="1"/>
      <c r="B1843" s="1"/>
      <c r="C1843" s="1" t="e">
        <f>IF(B1843=0,VLOOKUP(A1843,Feuil2!$A$2:$M$1241,2,FALSE)," ")</f>
        <v>#N/A</v>
      </c>
      <c r="D1843" s="1" t="e">
        <f>IF(B1843=0,VLOOKUP(A1843,Feuil2!$A$2:$M$1241,3,FALSE)," ")</f>
        <v>#N/A</v>
      </c>
      <c r="E1843" s="5" t="e">
        <f>IF(B1843=0,VLOOKUP(A1843,Feuil2!$A$2:$M$1241,6,FALSE)," ")</f>
        <v>#N/A</v>
      </c>
      <c r="F1843" s="1" t="e">
        <f>IF(B1843=0,VLOOKUP(A1843,Feuil2!$A$2:$M$1241,12,FALSE)," ")</f>
        <v>#N/A</v>
      </c>
      <c r="G1843" s="1" t="e">
        <f>IF(B1843=0,VLOOKUP(A1843,Feuil2!$A$2:$M$1241,11,FALSE)," ")</f>
        <v>#N/A</v>
      </c>
      <c r="H1843" s="1" t="s">
        <v>16</v>
      </c>
      <c r="I1843" s="6" t="e">
        <f>IF(B1843=0,VLOOKUP(A1843,Feuil2!$A$2:$M$1241,7,FALSE)," ")</f>
        <v>#N/A</v>
      </c>
      <c r="J1843" s="1" t="e">
        <f>IF(B1843=0,VLOOKUP(A1843,Feuil2!$A$2:$M$1241,9,FALSE)," ")</f>
        <v>#N/A</v>
      </c>
      <c r="K1843" s="1" t="e">
        <f>IF(B1843=0,VLOOKUP(A1843,Feuil2!$A$2:$M$1241,10,FALSE)," ")</f>
        <v>#N/A</v>
      </c>
      <c r="L1843" s="1"/>
      <c r="M1843" s="1"/>
      <c r="N1843" s="1"/>
      <c r="O1843" s="8" t="e">
        <f>IF(B1843=0,VLOOKUP(A1843,Feuil2!$A$2:$M$1241,13,FALSE)," ")</f>
        <v>#N/A</v>
      </c>
    </row>
    <row r="1844" spans="1:15" x14ac:dyDescent="0.3">
      <c r="A1844" s="1"/>
      <c r="B1844" s="1"/>
      <c r="C1844" s="1" t="e">
        <f>IF(B1844=0,VLOOKUP(A1844,Feuil2!$A$2:$M$1241,2,FALSE)," ")</f>
        <v>#N/A</v>
      </c>
      <c r="D1844" s="1" t="e">
        <f>IF(B1844=0,VLOOKUP(A1844,Feuil2!$A$2:$M$1241,3,FALSE)," ")</f>
        <v>#N/A</v>
      </c>
      <c r="E1844" s="5" t="e">
        <f>IF(B1844=0,VLOOKUP(A1844,Feuil2!$A$2:$M$1241,6,FALSE)," ")</f>
        <v>#N/A</v>
      </c>
      <c r="F1844" s="1" t="e">
        <f>IF(B1844=0,VLOOKUP(A1844,Feuil2!$A$2:$M$1241,12,FALSE)," ")</f>
        <v>#N/A</v>
      </c>
      <c r="G1844" s="1" t="e">
        <f>IF(B1844=0,VLOOKUP(A1844,Feuil2!$A$2:$M$1241,11,FALSE)," ")</f>
        <v>#N/A</v>
      </c>
      <c r="H1844" s="1" t="s">
        <v>16</v>
      </c>
      <c r="I1844" s="6" t="e">
        <f>IF(B1844=0,VLOOKUP(A1844,Feuil2!$A$2:$M$1241,7,FALSE)," ")</f>
        <v>#N/A</v>
      </c>
      <c r="J1844" s="1" t="e">
        <f>IF(B1844=0,VLOOKUP(A1844,Feuil2!$A$2:$M$1241,9,FALSE)," ")</f>
        <v>#N/A</v>
      </c>
      <c r="K1844" s="1" t="e">
        <f>IF(B1844=0,VLOOKUP(A1844,Feuil2!$A$2:$M$1241,10,FALSE)," ")</f>
        <v>#N/A</v>
      </c>
      <c r="L1844" s="1"/>
      <c r="M1844" s="1"/>
      <c r="N1844" s="1"/>
      <c r="O1844" s="8" t="e">
        <f>IF(B1844=0,VLOOKUP(A1844,Feuil2!$A$2:$M$1241,13,FALSE)," ")</f>
        <v>#N/A</v>
      </c>
    </row>
    <row r="1845" spans="1:15" x14ac:dyDescent="0.3">
      <c r="A1845" s="1"/>
      <c r="B1845" s="1"/>
      <c r="C1845" s="1" t="e">
        <f>IF(B1845=0,VLOOKUP(A1845,Feuil2!$A$2:$M$1241,2,FALSE)," ")</f>
        <v>#N/A</v>
      </c>
      <c r="D1845" s="1" t="e">
        <f>IF(B1845=0,VLOOKUP(A1845,Feuil2!$A$2:$M$1241,3,FALSE)," ")</f>
        <v>#N/A</v>
      </c>
      <c r="E1845" s="5" t="e">
        <f>IF(B1845=0,VLOOKUP(A1845,Feuil2!$A$2:$M$1241,6,FALSE)," ")</f>
        <v>#N/A</v>
      </c>
      <c r="F1845" s="1" t="e">
        <f>IF(B1845=0,VLOOKUP(A1845,Feuil2!$A$2:$M$1241,12,FALSE)," ")</f>
        <v>#N/A</v>
      </c>
      <c r="G1845" s="1" t="e">
        <f>IF(B1845=0,VLOOKUP(A1845,Feuil2!$A$2:$M$1241,11,FALSE)," ")</f>
        <v>#N/A</v>
      </c>
      <c r="H1845" s="1" t="s">
        <v>16</v>
      </c>
      <c r="I1845" s="6" t="e">
        <f>IF(B1845=0,VLOOKUP(A1845,Feuil2!$A$2:$M$1241,7,FALSE)," ")</f>
        <v>#N/A</v>
      </c>
      <c r="J1845" s="1" t="e">
        <f>IF(B1845=0,VLOOKUP(A1845,Feuil2!$A$2:$M$1241,9,FALSE)," ")</f>
        <v>#N/A</v>
      </c>
      <c r="K1845" s="1" t="e">
        <f>IF(B1845=0,VLOOKUP(A1845,Feuil2!$A$2:$M$1241,10,FALSE)," ")</f>
        <v>#N/A</v>
      </c>
      <c r="L1845" s="1"/>
      <c r="M1845" s="1"/>
      <c r="N1845" s="1"/>
      <c r="O1845" s="8" t="e">
        <f>IF(B1845=0,VLOOKUP(A1845,Feuil2!$A$2:$M$1241,13,FALSE)," ")</f>
        <v>#N/A</v>
      </c>
    </row>
    <row r="1846" spans="1:15" x14ac:dyDescent="0.3">
      <c r="A1846" s="1"/>
      <c r="B1846" s="1"/>
      <c r="C1846" s="1" t="e">
        <f>IF(B1846=0,VLOOKUP(A1846,Feuil2!$A$2:$M$1241,2,FALSE)," ")</f>
        <v>#N/A</v>
      </c>
      <c r="D1846" s="1" t="e">
        <f>IF(B1846=0,VLOOKUP(A1846,Feuil2!$A$2:$M$1241,3,FALSE)," ")</f>
        <v>#N/A</v>
      </c>
      <c r="E1846" s="5" t="e">
        <f>IF(B1846=0,VLOOKUP(A1846,Feuil2!$A$2:$M$1241,6,FALSE)," ")</f>
        <v>#N/A</v>
      </c>
      <c r="F1846" s="1" t="e">
        <f>IF(B1846=0,VLOOKUP(A1846,Feuil2!$A$2:$M$1241,12,FALSE)," ")</f>
        <v>#N/A</v>
      </c>
      <c r="G1846" s="1" t="e">
        <f>IF(B1846=0,VLOOKUP(A1846,Feuil2!$A$2:$M$1241,11,FALSE)," ")</f>
        <v>#N/A</v>
      </c>
      <c r="H1846" s="1" t="s">
        <v>16</v>
      </c>
      <c r="I1846" s="6" t="e">
        <f>IF(B1846=0,VLOOKUP(A1846,Feuil2!$A$2:$M$1241,7,FALSE)," ")</f>
        <v>#N/A</v>
      </c>
      <c r="J1846" s="1" t="e">
        <f>IF(B1846=0,VLOOKUP(A1846,Feuil2!$A$2:$M$1241,9,FALSE)," ")</f>
        <v>#N/A</v>
      </c>
      <c r="K1846" s="1" t="e">
        <f>IF(B1846=0,VLOOKUP(A1846,Feuil2!$A$2:$M$1241,10,FALSE)," ")</f>
        <v>#N/A</v>
      </c>
      <c r="L1846" s="1"/>
      <c r="M1846" s="1"/>
      <c r="N1846" s="1"/>
      <c r="O1846" s="8" t="e">
        <f>IF(B1846=0,VLOOKUP(A1846,Feuil2!$A$2:$M$1241,13,FALSE)," ")</f>
        <v>#N/A</v>
      </c>
    </row>
    <row r="1847" spans="1:15" x14ac:dyDescent="0.3">
      <c r="A1847" s="1"/>
      <c r="B1847" s="1"/>
      <c r="C1847" s="1" t="e">
        <f>IF(B1847=0,VLOOKUP(A1847,Feuil2!$A$2:$M$1241,2,FALSE)," ")</f>
        <v>#N/A</v>
      </c>
      <c r="D1847" s="1" t="e">
        <f>IF(B1847=0,VLOOKUP(A1847,Feuil2!$A$2:$M$1241,3,FALSE)," ")</f>
        <v>#N/A</v>
      </c>
      <c r="E1847" s="5" t="e">
        <f>IF(B1847=0,VLOOKUP(A1847,Feuil2!$A$2:$M$1241,6,FALSE)," ")</f>
        <v>#N/A</v>
      </c>
      <c r="F1847" s="1" t="e">
        <f>IF(B1847=0,VLOOKUP(A1847,Feuil2!$A$2:$M$1241,12,FALSE)," ")</f>
        <v>#N/A</v>
      </c>
      <c r="G1847" s="1" t="e">
        <f>IF(B1847=0,VLOOKUP(A1847,Feuil2!$A$2:$M$1241,11,FALSE)," ")</f>
        <v>#N/A</v>
      </c>
      <c r="H1847" s="1" t="s">
        <v>16</v>
      </c>
      <c r="I1847" s="6" t="e">
        <f>IF(B1847=0,VLOOKUP(A1847,Feuil2!$A$2:$M$1241,7,FALSE)," ")</f>
        <v>#N/A</v>
      </c>
      <c r="J1847" s="1" t="e">
        <f>IF(B1847=0,VLOOKUP(A1847,Feuil2!$A$2:$M$1241,9,FALSE)," ")</f>
        <v>#N/A</v>
      </c>
      <c r="K1847" s="1" t="e">
        <f>IF(B1847=0,VLOOKUP(A1847,Feuil2!$A$2:$M$1241,10,FALSE)," ")</f>
        <v>#N/A</v>
      </c>
      <c r="L1847" s="1"/>
      <c r="M1847" s="1"/>
      <c r="N1847" s="1"/>
      <c r="O1847" s="8" t="e">
        <f>IF(B1847=0,VLOOKUP(A1847,Feuil2!$A$2:$M$1241,13,FALSE)," ")</f>
        <v>#N/A</v>
      </c>
    </row>
    <row r="1848" spans="1:15" x14ac:dyDescent="0.3">
      <c r="A1848" s="1"/>
      <c r="B1848" s="1"/>
      <c r="C1848" s="1" t="e">
        <f>IF(B1848=0,VLOOKUP(A1848,Feuil2!$A$2:$M$1241,2,FALSE)," ")</f>
        <v>#N/A</v>
      </c>
      <c r="D1848" s="1" t="e">
        <f>IF(B1848=0,VLOOKUP(A1848,Feuil2!$A$2:$M$1241,3,FALSE)," ")</f>
        <v>#N/A</v>
      </c>
      <c r="E1848" s="5" t="e">
        <f>IF(B1848=0,VLOOKUP(A1848,Feuil2!$A$2:$M$1241,6,FALSE)," ")</f>
        <v>#N/A</v>
      </c>
      <c r="F1848" s="1" t="e">
        <f>IF(B1848=0,VLOOKUP(A1848,Feuil2!$A$2:$M$1241,12,FALSE)," ")</f>
        <v>#N/A</v>
      </c>
      <c r="G1848" s="1" t="e">
        <f>IF(B1848=0,VLOOKUP(A1848,Feuil2!$A$2:$M$1241,11,FALSE)," ")</f>
        <v>#N/A</v>
      </c>
      <c r="H1848" s="1" t="s">
        <v>16</v>
      </c>
      <c r="I1848" s="6" t="e">
        <f>IF(B1848=0,VLOOKUP(A1848,Feuil2!$A$2:$M$1241,7,FALSE)," ")</f>
        <v>#N/A</v>
      </c>
      <c r="J1848" s="1" t="e">
        <f>IF(B1848=0,VLOOKUP(A1848,Feuil2!$A$2:$M$1241,9,FALSE)," ")</f>
        <v>#N/A</v>
      </c>
      <c r="K1848" s="1" t="e">
        <f>IF(B1848=0,VLOOKUP(A1848,Feuil2!$A$2:$M$1241,10,FALSE)," ")</f>
        <v>#N/A</v>
      </c>
      <c r="L1848" s="1"/>
      <c r="M1848" s="1"/>
      <c r="N1848" s="1"/>
      <c r="O1848" s="8" t="e">
        <f>IF(B1848=0,VLOOKUP(A1848,Feuil2!$A$2:$M$1241,13,FALSE)," ")</f>
        <v>#N/A</v>
      </c>
    </row>
    <row r="1849" spans="1:15" x14ac:dyDescent="0.3">
      <c r="A1849" s="1"/>
      <c r="B1849" s="1"/>
      <c r="C1849" s="1" t="e">
        <f>IF(B1849=0,VLOOKUP(A1849,Feuil2!$A$2:$M$1241,2,FALSE)," ")</f>
        <v>#N/A</v>
      </c>
      <c r="D1849" s="1" t="e">
        <f>IF(B1849=0,VLOOKUP(A1849,Feuil2!$A$2:$M$1241,3,FALSE)," ")</f>
        <v>#N/A</v>
      </c>
      <c r="E1849" s="5" t="e">
        <f>IF(B1849=0,VLOOKUP(A1849,Feuil2!$A$2:$M$1241,6,FALSE)," ")</f>
        <v>#N/A</v>
      </c>
      <c r="F1849" s="1" t="e">
        <f>IF(B1849=0,VLOOKUP(A1849,Feuil2!$A$2:$M$1241,12,FALSE)," ")</f>
        <v>#N/A</v>
      </c>
      <c r="G1849" s="1" t="e">
        <f>IF(B1849=0,VLOOKUP(A1849,Feuil2!$A$2:$M$1241,11,FALSE)," ")</f>
        <v>#N/A</v>
      </c>
      <c r="H1849" s="1" t="s">
        <v>16</v>
      </c>
      <c r="I1849" s="6" t="e">
        <f>IF(B1849=0,VLOOKUP(A1849,Feuil2!$A$2:$M$1241,7,FALSE)," ")</f>
        <v>#N/A</v>
      </c>
      <c r="J1849" s="1" t="e">
        <f>IF(B1849=0,VLOOKUP(A1849,Feuil2!$A$2:$M$1241,9,FALSE)," ")</f>
        <v>#N/A</v>
      </c>
      <c r="K1849" s="1" t="e">
        <f>IF(B1849=0,VLOOKUP(A1849,Feuil2!$A$2:$M$1241,10,FALSE)," ")</f>
        <v>#N/A</v>
      </c>
      <c r="L1849" s="1"/>
      <c r="M1849" s="1"/>
      <c r="N1849" s="1"/>
      <c r="O1849" s="8" t="e">
        <f>IF(B1849=0,VLOOKUP(A1849,Feuil2!$A$2:$M$1241,13,FALSE)," ")</f>
        <v>#N/A</v>
      </c>
    </row>
    <row r="1850" spans="1:15" x14ac:dyDescent="0.3">
      <c r="A1850" s="1"/>
      <c r="B1850" s="1"/>
      <c r="C1850" s="1" t="e">
        <f>IF(B1850=0,VLOOKUP(A1850,Feuil2!$A$2:$M$1241,2,FALSE)," ")</f>
        <v>#N/A</v>
      </c>
      <c r="D1850" s="1" t="e">
        <f>IF(B1850=0,VLOOKUP(A1850,Feuil2!$A$2:$M$1241,3,FALSE)," ")</f>
        <v>#N/A</v>
      </c>
      <c r="E1850" s="5" t="e">
        <f>IF(B1850=0,VLOOKUP(A1850,Feuil2!$A$2:$M$1241,6,FALSE)," ")</f>
        <v>#N/A</v>
      </c>
      <c r="F1850" s="1" t="e">
        <f>IF(B1850=0,VLOOKUP(A1850,Feuil2!$A$2:$M$1241,12,FALSE)," ")</f>
        <v>#N/A</v>
      </c>
      <c r="G1850" s="1" t="e">
        <f>IF(B1850=0,VLOOKUP(A1850,Feuil2!$A$2:$M$1241,11,FALSE)," ")</f>
        <v>#N/A</v>
      </c>
      <c r="H1850" s="1" t="s">
        <v>16</v>
      </c>
      <c r="I1850" s="6" t="e">
        <f>IF(B1850=0,VLOOKUP(A1850,Feuil2!$A$2:$M$1241,7,FALSE)," ")</f>
        <v>#N/A</v>
      </c>
      <c r="J1850" s="1" t="e">
        <f>IF(B1850=0,VLOOKUP(A1850,Feuil2!$A$2:$M$1241,9,FALSE)," ")</f>
        <v>#N/A</v>
      </c>
      <c r="K1850" s="1" t="e">
        <f>IF(B1850=0,VLOOKUP(A1850,Feuil2!$A$2:$M$1241,10,FALSE)," ")</f>
        <v>#N/A</v>
      </c>
      <c r="L1850" s="1"/>
      <c r="M1850" s="1"/>
      <c r="N1850" s="1"/>
      <c r="O1850" s="8" t="e">
        <f>IF(B1850=0,VLOOKUP(A1850,Feuil2!$A$2:$M$1241,13,FALSE)," ")</f>
        <v>#N/A</v>
      </c>
    </row>
    <row r="1851" spans="1:15" x14ac:dyDescent="0.3">
      <c r="A1851" s="1"/>
      <c r="B1851" s="1"/>
      <c r="C1851" s="1" t="e">
        <f>IF(B1851=0,VLOOKUP(A1851,Feuil2!$A$2:$M$1241,2,FALSE)," ")</f>
        <v>#N/A</v>
      </c>
      <c r="D1851" s="1" t="e">
        <f>IF(B1851=0,VLOOKUP(A1851,Feuil2!$A$2:$M$1241,3,FALSE)," ")</f>
        <v>#N/A</v>
      </c>
      <c r="E1851" s="5" t="e">
        <f>IF(B1851=0,VLOOKUP(A1851,Feuil2!$A$2:$M$1241,6,FALSE)," ")</f>
        <v>#N/A</v>
      </c>
      <c r="F1851" s="1" t="e">
        <f>IF(B1851=0,VLOOKUP(A1851,Feuil2!$A$2:$M$1241,12,FALSE)," ")</f>
        <v>#N/A</v>
      </c>
      <c r="G1851" s="1" t="e">
        <f>IF(B1851=0,VLOOKUP(A1851,Feuil2!$A$2:$M$1241,11,FALSE)," ")</f>
        <v>#N/A</v>
      </c>
      <c r="H1851" s="1" t="s">
        <v>16</v>
      </c>
      <c r="I1851" s="6" t="e">
        <f>IF(B1851=0,VLOOKUP(A1851,Feuil2!$A$2:$M$1241,7,FALSE)," ")</f>
        <v>#N/A</v>
      </c>
      <c r="J1851" s="1" t="e">
        <f>IF(B1851=0,VLOOKUP(A1851,Feuil2!$A$2:$M$1241,9,FALSE)," ")</f>
        <v>#N/A</v>
      </c>
      <c r="K1851" s="1" t="e">
        <f>IF(B1851=0,VLOOKUP(A1851,Feuil2!$A$2:$M$1241,10,FALSE)," ")</f>
        <v>#N/A</v>
      </c>
      <c r="L1851" s="1"/>
      <c r="M1851" s="1"/>
      <c r="N1851" s="1"/>
      <c r="O1851" s="8" t="e">
        <f>IF(B1851=0,VLOOKUP(A1851,Feuil2!$A$2:$M$1241,13,FALSE)," ")</f>
        <v>#N/A</v>
      </c>
    </row>
    <row r="1852" spans="1:15" x14ac:dyDescent="0.3">
      <c r="A1852" s="1"/>
      <c r="B1852" s="1"/>
      <c r="C1852" s="1" t="e">
        <f>IF(B1852=0,VLOOKUP(A1852,Feuil2!$A$2:$M$1241,2,FALSE)," ")</f>
        <v>#N/A</v>
      </c>
      <c r="D1852" s="1" t="e">
        <f>IF(B1852=0,VLOOKUP(A1852,Feuil2!$A$2:$M$1241,3,FALSE)," ")</f>
        <v>#N/A</v>
      </c>
      <c r="E1852" s="5" t="e">
        <f>IF(B1852=0,VLOOKUP(A1852,Feuil2!$A$2:$M$1241,6,FALSE)," ")</f>
        <v>#N/A</v>
      </c>
      <c r="F1852" s="1" t="e">
        <f>IF(B1852=0,VLOOKUP(A1852,Feuil2!$A$2:$M$1241,12,FALSE)," ")</f>
        <v>#N/A</v>
      </c>
      <c r="G1852" s="1" t="e">
        <f>IF(B1852=0,VLOOKUP(A1852,Feuil2!$A$2:$M$1241,11,FALSE)," ")</f>
        <v>#N/A</v>
      </c>
      <c r="H1852" s="1" t="s">
        <v>16</v>
      </c>
      <c r="I1852" s="6" t="e">
        <f>IF(B1852=0,VLOOKUP(A1852,Feuil2!$A$2:$M$1241,7,FALSE)," ")</f>
        <v>#N/A</v>
      </c>
      <c r="J1852" s="1" t="e">
        <f>IF(B1852=0,VLOOKUP(A1852,Feuil2!$A$2:$M$1241,9,FALSE)," ")</f>
        <v>#N/A</v>
      </c>
      <c r="K1852" s="1" t="e">
        <f>IF(B1852=0,VLOOKUP(A1852,Feuil2!$A$2:$M$1241,10,FALSE)," ")</f>
        <v>#N/A</v>
      </c>
      <c r="L1852" s="1"/>
      <c r="M1852" s="1"/>
      <c r="N1852" s="1"/>
      <c r="O1852" s="8" t="e">
        <f>IF(B1852=0,VLOOKUP(A1852,Feuil2!$A$2:$M$1241,13,FALSE)," ")</f>
        <v>#N/A</v>
      </c>
    </row>
    <row r="1853" spans="1:15" x14ac:dyDescent="0.3">
      <c r="A1853" s="1"/>
      <c r="B1853" s="1"/>
      <c r="C1853" s="1" t="e">
        <f>IF(B1853=0,VLOOKUP(A1853,Feuil2!$A$2:$M$1241,2,FALSE)," ")</f>
        <v>#N/A</v>
      </c>
      <c r="D1853" s="1" t="e">
        <f>IF(B1853=0,VLOOKUP(A1853,Feuil2!$A$2:$M$1241,3,FALSE)," ")</f>
        <v>#N/A</v>
      </c>
      <c r="E1853" s="5" t="e">
        <f>IF(B1853=0,VLOOKUP(A1853,Feuil2!$A$2:$M$1241,6,FALSE)," ")</f>
        <v>#N/A</v>
      </c>
      <c r="F1853" s="1" t="e">
        <f>IF(B1853=0,VLOOKUP(A1853,Feuil2!$A$2:$M$1241,12,FALSE)," ")</f>
        <v>#N/A</v>
      </c>
      <c r="G1853" s="1" t="e">
        <f>IF(B1853=0,VLOOKUP(A1853,Feuil2!$A$2:$M$1241,11,FALSE)," ")</f>
        <v>#N/A</v>
      </c>
      <c r="H1853" s="1" t="s">
        <v>16</v>
      </c>
      <c r="I1853" s="6" t="e">
        <f>IF(B1853=0,VLOOKUP(A1853,Feuil2!$A$2:$M$1241,7,FALSE)," ")</f>
        <v>#N/A</v>
      </c>
      <c r="J1853" s="1" t="e">
        <f>IF(B1853=0,VLOOKUP(A1853,Feuil2!$A$2:$M$1241,9,FALSE)," ")</f>
        <v>#N/A</v>
      </c>
      <c r="K1853" s="1" t="e">
        <f>IF(B1853=0,VLOOKUP(A1853,Feuil2!$A$2:$M$1241,10,FALSE)," ")</f>
        <v>#N/A</v>
      </c>
      <c r="L1853" s="1"/>
      <c r="M1853" s="1"/>
      <c r="N1853" s="1"/>
      <c r="O1853" s="8" t="e">
        <f>IF(B1853=0,VLOOKUP(A1853,Feuil2!$A$2:$M$1241,13,FALSE)," ")</f>
        <v>#N/A</v>
      </c>
    </row>
    <row r="1854" spans="1:15" x14ac:dyDescent="0.3">
      <c r="A1854" s="1"/>
      <c r="B1854" s="1"/>
      <c r="C1854" s="1" t="e">
        <f>IF(B1854=0,VLOOKUP(A1854,Feuil2!$A$2:$M$1241,2,FALSE)," ")</f>
        <v>#N/A</v>
      </c>
      <c r="D1854" s="1" t="e">
        <f>IF(B1854=0,VLOOKUP(A1854,Feuil2!$A$2:$M$1241,3,FALSE)," ")</f>
        <v>#N/A</v>
      </c>
      <c r="E1854" s="5" t="e">
        <f>IF(B1854=0,VLOOKUP(A1854,Feuil2!$A$2:$M$1241,6,FALSE)," ")</f>
        <v>#N/A</v>
      </c>
      <c r="F1854" s="1" t="e">
        <f>IF(B1854=0,VLOOKUP(A1854,Feuil2!$A$2:$M$1241,12,FALSE)," ")</f>
        <v>#N/A</v>
      </c>
      <c r="G1854" s="1" t="e">
        <f>IF(B1854=0,VLOOKUP(A1854,Feuil2!$A$2:$M$1241,11,FALSE)," ")</f>
        <v>#N/A</v>
      </c>
      <c r="H1854" s="1" t="s">
        <v>16</v>
      </c>
      <c r="I1854" s="6" t="e">
        <f>IF(B1854=0,VLOOKUP(A1854,Feuil2!$A$2:$M$1241,7,FALSE)," ")</f>
        <v>#N/A</v>
      </c>
      <c r="J1854" s="1" t="e">
        <f>IF(B1854=0,VLOOKUP(A1854,Feuil2!$A$2:$M$1241,9,FALSE)," ")</f>
        <v>#N/A</v>
      </c>
      <c r="K1854" s="1" t="e">
        <f>IF(B1854=0,VLOOKUP(A1854,Feuil2!$A$2:$M$1241,10,FALSE)," ")</f>
        <v>#N/A</v>
      </c>
      <c r="L1854" s="1"/>
      <c r="M1854" s="1"/>
      <c r="N1854" s="1"/>
      <c r="O1854" s="8" t="e">
        <f>IF(B1854=0,VLOOKUP(A1854,Feuil2!$A$2:$M$1241,13,FALSE)," ")</f>
        <v>#N/A</v>
      </c>
    </row>
    <row r="1855" spans="1:15" x14ac:dyDescent="0.3">
      <c r="A1855" s="1"/>
      <c r="B1855" s="1"/>
      <c r="C1855" s="1" t="e">
        <f>IF(B1855=0,VLOOKUP(A1855,Feuil2!$A$2:$M$1241,2,FALSE)," ")</f>
        <v>#N/A</v>
      </c>
      <c r="D1855" s="1" t="e">
        <f>IF(B1855=0,VLOOKUP(A1855,Feuil2!$A$2:$M$1241,3,FALSE)," ")</f>
        <v>#N/A</v>
      </c>
      <c r="E1855" s="5" t="e">
        <f>IF(B1855=0,VLOOKUP(A1855,Feuil2!$A$2:$M$1241,6,FALSE)," ")</f>
        <v>#N/A</v>
      </c>
      <c r="F1855" s="1" t="e">
        <f>IF(B1855=0,VLOOKUP(A1855,Feuil2!$A$2:$M$1241,12,FALSE)," ")</f>
        <v>#N/A</v>
      </c>
      <c r="G1855" s="1" t="e">
        <f>IF(B1855=0,VLOOKUP(A1855,Feuil2!$A$2:$M$1241,11,FALSE)," ")</f>
        <v>#N/A</v>
      </c>
      <c r="H1855" s="1" t="s">
        <v>16</v>
      </c>
      <c r="I1855" s="6" t="e">
        <f>IF(B1855=0,VLOOKUP(A1855,Feuil2!$A$2:$M$1241,7,FALSE)," ")</f>
        <v>#N/A</v>
      </c>
      <c r="J1855" s="1" t="e">
        <f>IF(B1855=0,VLOOKUP(A1855,Feuil2!$A$2:$M$1241,9,FALSE)," ")</f>
        <v>#N/A</v>
      </c>
      <c r="K1855" s="1" t="e">
        <f>IF(B1855=0,VLOOKUP(A1855,Feuil2!$A$2:$M$1241,10,FALSE)," ")</f>
        <v>#N/A</v>
      </c>
      <c r="L1855" s="1"/>
      <c r="M1855" s="1"/>
      <c r="N1855" s="1"/>
      <c r="O1855" s="8" t="e">
        <f>IF(B1855=0,VLOOKUP(A1855,Feuil2!$A$2:$M$1241,13,FALSE)," ")</f>
        <v>#N/A</v>
      </c>
    </row>
    <row r="1856" spans="1:15" x14ac:dyDescent="0.3">
      <c r="A1856" s="1"/>
      <c r="B1856" s="1"/>
      <c r="C1856" s="1" t="e">
        <f>IF(B1856=0,VLOOKUP(A1856,Feuil2!$A$2:$M$1241,2,FALSE)," ")</f>
        <v>#N/A</v>
      </c>
      <c r="D1856" s="1" t="e">
        <f>IF(B1856=0,VLOOKUP(A1856,Feuil2!$A$2:$M$1241,3,FALSE)," ")</f>
        <v>#N/A</v>
      </c>
      <c r="E1856" s="5" t="e">
        <f>IF(B1856=0,VLOOKUP(A1856,Feuil2!$A$2:$M$1241,6,FALSE)," ")</f>
        <v>#N/A</v>
      </c>
      <c r="F1856" s="1" t="e">
        <f>IF(B1856=0,VLOOKUP(A1856,Feuil2!$A$2:$M$1241,12,FALSE)," ")</f>
        <v>#N/A</v>
      </c>
      <c r="G1856" s="1" t="e">
        <f>IF(B1856=0,VLOOKUP(A1856,Feuil2!$A$2:$M$1241,11,FALSE)," ")</f>
        <v>#N/A</v>
      </c>
      <c r="H1856" s="1" t="s">
        <v>16</v>
      </c>
      <c r="I1856" s="6" t="e">
        <f>IF(B1856=0,VLOOKUP(A1856,Feuil2!$A$2:$M$1241,7,FALSE)," ")</f>
        <v>#N/A</v>
      </c>
      <c r="J1856" s="1" t="e">
        <f>IF(B1856=0,VLOOKUP(A1856,Feuil2!$A$2:$M$1241,9,FALSE)," ")</f>
        <v>#N/A</v>
      </c>
      <c r="K1856" s="1" t="e">
        <f>IF(B1856=0,VLOOKUP(A1856,Feuil2!$A$2:$M$1241,10,FALSE)," ")</f>
        <v>#N/A</v>
      </c>
      <c r="L1856" s="1"/>
      <c r="M1856" s="1"/>
      <c r="N1856" s="1"/>
      <c r="O1856" s="8" t="e">
        <f>IF(B1856=0,VLOOKUP(A1856,Feuil2!$A$2:$M$1241,13,FALSE)," ")</f>
        <v>#N/A</v>
      </c>
    </row>
    <row r="1857" spans="1:15" x14ac:dyDescent="0.3">
      <c r="A1857" s="1"/>
      <c r="B1857" s="1"/>
      <c r="C1857" s="1" t="e">
        <f>IF(B1857=0,VLOOKUP(A1857,Feuil2!$A$2:$M$1241,2,FALSE)," ")</f>
        <v>#N/A</v>
      </c>
      <c r="D1857" s="1" t="e">
        <f>IF(B1857=0,VLOOKUP(A1857,Feuil2!$A$2:$M$1241,3,FALSE)," ")</f>
        <v>#N/A</v>
      </c>
      <c r="E1857" s="5" t="e">
        <f>IF(B1857=0,VLOOKUP(A1857,Feuil2!$A$2:$M$1241,6,FALSE)," ")</f>
        <v>#N/A</v>
      </c>
      <c r="F1857" s="1" t="e">
        <f>IF(B1857=0,VLOOKUP(A1857,Feuil2!$A$2:$M$1241,12,FALSE)," ")</f>
        <v>#N/A</v>
      </c>
      <c r="G1857" s="1" t="e">
        <f>IF(B1857=0,VLOOKUP(A1857,Feuil2!$A$2:$M$1241,11,FALSE)," ")</f>
        <v>#N/A</v>
      </c>
      <c r="H1857" s="1" t="s">
        <v>16</v>
      </c>
      <c r="I1857" s="6" t="e">
        <f>IF(B1857=0,VLOOKUP(A1857,Feuil2!$A$2:$M$1241,7,FALSE)," ")</f>
        <v>#N/A</v>
      </c>
      <c r="J1857" s="1" t="e">
        <f>IF(B1857=0,VLOOKUP(A1857,Feuil2!$A$2:$M$1241,9,FALSE)," ")</f>
        <v>#N/A</v>
      </c>
      <c r="K1857" s="1" t="e">
        <f>IF(B1857=0,VLOOKUP(A1857,Feuil2!$A$2:$M$1241,10,FALSE)," ")</f>
        <v>#N/A</v>
      </c>
      <c r="L1857" s="1"/>
      <c r="M1857" s="1"/>
      <c r="N1857" s="1"/>
      <c r="O1857" s="8" t="e">
        <f>IF(B1857=0,VLOOKUP(A1857,Feuil2!$A$2:$M$1241,13,FALSE)," ")</f>
        <v>#N/A</v>
      </c>
    </row>
    <row r="1858" spans="1:15" x14ac:dyDescent="0.3">
      <c r="A1858" s="1"/>
      <c r="B1858" s="1"/>
      <c r="C1858" s="1" t="e">
        <f>IF(B1858=0,VLOOKUP(A1858,Feuil2!$A$2:$M$1241,2,FALSE)," ")</f>
        <v>#N/A</v>
      </c>
      <c r="D1858" s="1" t="e">
        <f>IF(B1858=0,VLOOKUP(A1858,Feuil2!$A$2:$M$1241,3,FALSE)," ")</f>
        <v>#N/A</v>
      </c>
      <c r="E1858" s="5" t="e">
        <f>IF(B1858=0,VLOOKUP(A1858,Feuil2!$A$2:$M$1241,6,FALSE)," ")</f>
        <v>#N/A</v>
      </c>
      <c r="F1858" s="1" t="e">
        <f>IF(B1858=0,VLOOKUP(A1858,Feuil2!$A$2:$M$1241,12,FALSE)," ")</f>
        <v>#N/A</v>
      </c>
      <c r="G1858" s="1" t="e">
        <f>IF(B1858=0,VLOOKUP(A1858,Feuil2!$A$2:$M$1241,11,FALSE)," ")</f>
        <v>#N/A</v>
      </c>
      <c r="H1858" s="1" t="s">
        <v>16</v>
      </c>
      <c r="I1858" s="6" t="e">
        <f>IF(B1858=0,VLOOKUP(A1858,Feuil2!$A$2:$M$1241,7,FALSE)," ")</f>
        <v>#N/A</v>
      </c>
      <c r="J1858" s="1" t="e">
        <f>IF(B1858=0,VLOOKUP(A1858,Feuil2!$A$2:$M$1241,9,FALSE)," ")</f>
        <v>#N/A</v>
      </c>
      <c r="K1858" s="1" t="e">
        <f>IF(B1858=0,VLOOKUP(A1858,Feuil2!$A$2:$M$1241,10,FALSE)," ")</f>
        <v>#N/A</v>
      </c>
      <c r="L1858" s="1"/>
      <c r="M1858" s="1"/>
      <c r="N1858" s="1"/>
      <c r="O1858" s="8" t="e">
        <f>IF(B1858=0,VLOOKUP(A1858,Feuil2!$A$2:$M$1241,13,FALSE)," ")</f>
        <v>#N/A</v>
      </c>
    </row>
    <row r="1859" spans="1:15" x14ac:dyDescent="0.3">
      <c r="A1859" s="1"/>
      <c r="B1859" s="1"/>
      <c r="C1859" s="1" t="e">
        <f>IF(B1859=0,VLOOKUP(A1859,Feuil2!$A$2:$M$1241,2,FALSE)," ")</f>
        <v>#N/A</v>
      </c>
      <c r="D1859" s="1" t="e">
        <f>IF(B1859=0,VLOOKUP(A1859,Feuil2!$A$2:$M$1241,3,FALSE)," ")</f>
        <v>#N/A</v>
      </c>
      <c r="E1859" s="5" t="e">
        <f>IF(B1859=0,VLOOKUP(A1859,Feuil2!$A$2:$M$1241,6,FALSE)," ")</f>
        <v>#N/A</v>
      </c>
      <c r="F1859" s="1" t="e">
        <f>IF(B1859=0,VLOOKUP(A1859,Feuil2!$A$2:$M$1241,12,FALSE)," ")</f>
        <v>#N/A</v>
      </c>
      <c r="G1859" s="1" t="e">
        <f>IF(B1859=0,VLOOKUP(A1859,Feuil2!$A$2:$M$1241,11,FALSE)," ")</f>
        <v>#N/A</v>
      </c>
      <c r="H1859" s="1" t="s">
        <v>16</v>
      </c>
      <c r="I1859" s="6" t="e">
        <f>IF(B1859=0,VLOOKUP(A1859,Feuil2!$A$2:$M$1241,7,FALSE)," ")</f>
        <v>#N/A</v>
      </c>
      <c r="J1859" s="1" t="e">
        <f>IF(B1859=0,VLOOKUP(A1859,Feuil2!$A$2:$M$1241,9,FALSE)," ")</f>
        <v>#N/A</v>
      </c>
      <c r="K1859" s="1" t="e">
        <f>IF(B1859=0,VLOOKUP(A1859,Feuil2!$A$2:$M$1241,10,FALSE)," ")</f>
        <v>#N/A</v>
      </c>
      <c r="L1859" s="1"/>
      <c r="M1859" s="1"/>
      <c r="N1859" s="1"/>
      <c r="O1859" s="8" t="e">
        <f>IF(B1859=0,VLOOKUP(A1859,Feuil2!$A$2:$M$1241,13,FALSE)," ")</f>
        <v>#N/A</v>
      </c>
    </row>
    <row r="1860" spans="1:15" x14ac:dyDescent="0.3">
      <c r="A1860" s="1"/>
      <c r="B1860" s="1"/>
      <c r="C1860" s="1" t="e">
        <f>IF(B1860=0,VLOOKUP(A1860,Feuil2!$A$2:$M$1241,2,FALSE)," ")</f>
        <v>#N/A</v>
      </c>
      <c r="D1860" s="1" t="e">
        <f>IF(B1860=0,VLOOKUP(A1860,Feuil2!$A$2:$M$1241,3,FALSE)," ")</f>
        <v>#N/A</v>
      </c>
      <c r="E1860" s="5" t="e">
        <f>IF(B1860=0,VLOOKUP(A1860,Feuil2!$A$2:$M$1241,6,FALSE)," ")</f>
        <v>#N/A</v>
      </c>
      <c r="F1860" s="1" t="e">
        <f>IF(B1860=0,VLOOKUP(A1860,Feuil2!$A$2:$M$1241,12,FALSE)," ")</f>
        <v>#N/A</v>
      </c>
      <c r="G1860" s="1" t="e">
        <f>IF(B1860=0,VLOOKUP(A1860,Feuil2!$A$2:$M$1241,11,FALSE)," ")</f>
        <v>#N/A</v>
      </c>
      <c r="H1860" s="1" t="s">
        <v>16</v>
      </c>
      <c r="I1860" s="6" t="e">
        <f>IF(B1860=0,VLOOKUP(A1860,Feuil2!$A$2:$M$1241,7,FALSE)," ")</f>
        <v>#N/A</v>
      </c>
      <c r="J1860" s="1" t="e">
        <f>IF(B1860=0,VLOOKUP(A1860,Feuil2!$A$2:$M$1241,9,FALSE)," ")</f>
        <v>#N/A</v>
      </c>
      <c r="K1860" s="1" t="e">
        <f>IF(B1860=0,VLOOKUP(A1860,Feuil2!$A$2:$M$1241,10,FALSE)," ")</f>
        <v>#N/A</v>
      </c>
      <c r="L1860" s="1"/>
      <c r="M1860" s="1"/>
      <c r="N1860" s="1"/>
      <c r="O1860" s="8" t="e">
        <f>IF(B1860=0,VLOOKUP(A1860,Feuil2!$A$2:$M$1241,13,FALSE)," ")</f>
        <v>#N/A</v>
      </c>
    </row>
    <row r="1861" spans="1:15" x14ac:dyDescent="0.3">
      <c r="A1861" s="1"/>
      <c r="B1861" s="1"/>
      <c r="C1861" s="1" t="e">
        <f>IF(B1861=0,VLOOKUP(A1861,Feuil2!$A$2:$M$1241,2,FALSE)," ")</f>
        <v>#N/A</v>
      </c>
      <c r="D1861" s="1" t="e">
        <f>IF(B1861=0,VLOOKUP(A1861,Feuil2!$A$2:$M$1241,3,FALSE)," ")</f>
        <v>#N/A</v>
      </c>
      <c r="E1861" s="5" t="e">
        <f>IF(B1861=0,VLOOKUP(A1861,Feuil2!$A$2:$M$1241,6,FALSE)," ")</f>
        <v>#N/A</v>
      </c>
      <c r="F1861" s="1" t="e">
        <f>IF(B1861=0,VLOOKUP(A1861,Feuil2!$A$2:$M$1241,12,FALSE)," ")</f>
        <v>#N/A</v>
      </c>
      <c r="G1861" s="1" t="e">
        <f>IF(B1861=0,VLOOKUP(A1861,Feuil2!$A$2:$M$1241,11,FALSE)," ")</f>
        <v>#N/A</v>
      </c>
      <c r="H1861" s="1" t="s">
        <v>16</v>
      </c>
      <c r="I1861" s="6" t="e">
        <f>IF(B1861=0,VLOOKUP(A1861,Feuil2!$A$2:$M$1241,7,FALSE)," ")</f>
        <v>#N/A</v>
      </c>
      <c r="J1861" s="1" t="e">
        <f>IF(B1861=0,VLOOKUP(A1861,Feuil2!$A$2:$M$1241,9,FALSE)," ")</f>
        <v>#N/A</v>
      </c>
      <c r="K1861" s="1" t="e">
        <f>IF(B1861=0,VLOOKUP(A1861,Feuil2!$A$2:$M$1241,10,FALSE)," ")</f>
        <v>#N/A</v>
      </c>
      <c r="L1861" s="1"/>
      <c r="M1861" s="1"/>
      <c r="N1861" s="1"/>
      <c r="O1861" s="8" t="e">
        <f>IF(B1861=0,VLOOKUP(A1861,Feuil2!$A$2:$M$1241,13,FALSE)," ")</f>
        <v>#N/A</v>
      </c>
    </row>
    <row r="1862" spans="1:15" x14ac:dyDescent="0.3">
      <c r="A1862" s="1"/>
      <c r="B1862" s="1"/>
      <c r="C1862" s="1" t="e">
        <f>IF(B1862=0,VLOOKUP(A1862,Feuil2!$A$2:$M$1241,2,FALSE)," ")</f>
        <v>#N/A</v>
      </c>
      <c r="D1862" s="1" t="e">
        <f>IF(B1862=0,VLOOKUP(A1862,Feuil2!$A$2:$M$1241,3,FALSE)," ")</f>
        <v>#N/A</v>
      </c>
      <c r="E1862" s="5" t="e">
        <f>IF(B1862=0,VLOOKUP(A1862,Feuil2!$A$2:$M$1241,6,FALSE)," ")</f>
        <v>#N/A</v>
      </c>
      <c r="F1862" s="1" t="e">
        <f>IF(B1862=0,VLOOKUP(A1862,Feuil2!$A$2:$M$1241,12,FALSE)," ")</f>
        <v>#N/A</v>
      </c>
      <c r="G1862" s="1" t="e">
        <f>IF(B1862=0,VLOOKUP(A1862,Feuil2!$A$2:$M$1241,11,FALSE)," ")</f>
        <v>#N/A</v>
      </c>
      <c r="H1862" s="1" t="s">
        <v>16</v>
      </c>
      <c r="I1862" s="6" t="e">
        <f>IF(B1862=0,VLOOKUP(A1862,Feuil2!$A$2:$M$1241,7,FALSE)," ")</f>
        <v>#N/A</v>
      </c>
      <c r="J1862" s="1" t="e">
        <f>IF(B1862=0,VLOOKUP(A1862,Feuil2!$A$2:$M$1241,9,FALSE)," ")</f>
        <v>#N/A</v>
      </c>
      <c r="K1862" s="1" t="e">
        <f>IF(B1862=0,VLOOKUP(A1862,Feuil2!$A$2:$M$1241,10,FALSE)," ")</f>
        <v>#N/A</v>
      </c>
      <c r="L1862" s="1"/>
      <c r="M1862" s="1"/>
      <c r="N1862" s="1"/>
      <c r="O1862" s="8" t="e">
        <f>IF(B1862=0,VLOOKUP(A1862,Feuil2!$A$2:$M$1241,13,FALSE)," ")</f>
        <v>#N/A</v>
      </c>
    </row>
    <row r="1863" spans="1:15" x14ac:dyDescent="0.3">
      <c r="A1863" s="1"/>
      <c r="B1863" s="1"/>
      <c r="C1863" s="1" t="e">
        <f>IF(B1863=0,VLOOKUP(A1863,Feuil2!$A$2:$M$1241,2,FALSE)," ")</f>
        <v>#N/A</v>
      </c>
      <c r="D1863" s="1" t="e">
        <f>IF(B1863=0,VLOOKUP(A1863,Feuil2!$A$2:$M$1241,3,FALSE)," ")</f>
        <v>#N/A</v>
      </c>
      <c r="E1863" s="5" t="e">
        <f>IF(B1863=0,VLOOKUP(A1863,Feuil2!$A$2:$M$1241,6,FALSE)," ")</f>
        <v>#N/A</v>
      </c>
      <c r="F1863" s="1" t="e">
        <f>IF(B1863=0,VLOOKUP(A1863,Feuil2!$A$2:$M$1241,12,FALSE)," ")</f>
        <v>#N/A</v>
      </c>
      <c r="G1863" s="1" t="e">
        <f>IF(B1863=0,VLOOKUP(A1863,Feuil2!$A$2:$M$1241,11,FALSE)," ")</f>
        <v>#N/A</v>
      </c>
      <c r="H1863" s="1" t="s">
        <v>16</v>
      </c>
      <c r="I1863" s="6" t="e">
        <f>IF(B1863=0,VLOOKUP(A1863,Feuil2!$A$2:$M$1241,7,FALSE)," ")</f>
        <v>#N/A</v>
      </c>
      <c r="J1863" s="1" t="e">
        <f>IF(B1863=0,VLOOKUP(A1863,Feuil2!$A$2:$M$1241,9,FALSE)," ")</f>
        <v>#N/A</v>
      </c>
      <c r="K1863" s="1" t="e">
        <f>IF(B1863=0,VLOOKUP(A1863,Feuil2!$A$2:$M$1241,10,FALSE)," ")</f>
        <v>#N/A</v>
      </c>
      <c r="L1863" s="1"/>
      <c r="M1863" s="1"/>
      <c r="N1863" s="1"/>
      <c r="O1863" s="8" t="e">
        <f>IF(B1863=0,VLOOKUP(A1863,Feuil2!$A$2:$M$1241,13,FALSE)," ")</f>
        <v>#N/A</v>
      </c>
    </row>
    <row r="1864" spans="1:15" x14ac:dyDescent="0.3">
      <c r="A1864" s="1"/>
      <c r="B1864" s="1"/>
      <c r="C1864" s="1" t="e">
        <f>IF(B1864=0,VLOOKUP(A1864,Feuil2!$A$2:$M$1241,2,FALSE)," ")</f>
        <v>#N/A</v>
      </c>
      <c r="D1864" s="1" t="e">
        <f>IF(B1864=0,VLOOKUP(A1864,Feuil2!$A$2:$M$1241,3,FALSE)," ")</f>
        <v>#N/A</v>
      </c>
      <c r="E1864" s="5" t="e">
        <f>IF(B1864=0,VLOOKUP(A1864,Feuil2!$A$2:$M$1241,6,FALSE)," ")</f>
        <v>#N/A</v>
      </c>
      <c r="F1864" s="1" t="e">
        <f>IF(B1864=0,VLOOKUP(A1864,Feuil2!$A$2:$M$1241,12,FALSE)," ")</f>
        <v>#N/A</v>
      </c>
      <c r="G1864" s="1" t="e">
        <f>IF(B1864=0,VLOOKUP(A1864,Feuil2!$A$2:$M$1241,11,FALSE)," ")</f>
        <v>#N/A</v>
      </c>
      <c r="H1864" s="1" t="s">
        <v>16</v>
      </c>
      <c r="I1864" s="6" t="e">
        <f>IF(B1864=0,VLOOKUP(A1864,Feuil2!$A$2:$M$1241,7,FALSE)," ")</f>
        <v>#N/A</v>
      </c>
      <c r="J1864" s="1" t="e">
        <f>IF(B1864=0,VLOOKUP(A1864,Feuil2!$A$2:$M$1241,9,FALSE)," ")</f>
        <v>#N/A</v>
      </c>
      <c r="K1864" s="1" t="e">
        <f>IF(B1864=0,VLOOKUP(A1864,Feuil2!$A$2:$M$1241,10,FALSE)," ")</f>
        <v>#N/A</v>
      </c>
      <c r="L1864" s="1"/>
      <c r="M1864" s="1"/>
      <c r="N1864" s="1"/>
      <c r="O1864" s="8" t="e">
        <f>IF(B1864=0,VLOOKUP(A1864,Feuil2!$A$2:$M$1241,13,FALSE)," ")</f>
        <v>#N/A</v>
      </c>
    </row>
    <row r="1865" spans="1:15" x14ac:dyDescent="0.3">
      <c r="A1865" s="1"/>
      <c r="B1865" s="1"/>
      <c r="C1865" s="1" t="e">
        <f>IF(B1865=0,VLOOKUP(A1865,Feuil2!$A$2:$M$1241,2,FALSE)," ")</f>
        <v>#N/A</v>
      </c>
      <c r="D1865" s="1" t="e">
        <f>IF(B1865=0,VLOOKUP(A1865,Feuil2!$A$2:$M$1241,3,FALSE)," ")</f>
        <v>#N/A</v>
      </c>
      <c r="E1865" s="5" t="e">
        <f>IF(B1865=0,VLOOKUP(A1865,Feuil2!$A$2:$M$1241,6,FALSE)," ")</f>
        <v>#N/A</v>
      </c>
      <c r="F1865" s="1" t="e">
        <f>IF(B1865=0,VLOOKUP(A1865,Feuil2!$A$2:$M$1241,12,FALSE)," ")</f>
        <v>#N/A</v>
      </c>
      <c r="G1865" s="1" t="e">
        <f>IF(B1865=0,VLOOKUP(A1865,Feuil2!$A$2:$M$1241,11,FALSE)," ")</f>
        <v>#N/A</v>
      </c>
      <c r="H1865" s="1" t="s">
        <v>16</v>
      </c>
      <c r="I1865" s="6" t="e">
        <f>IF(B1865=0,VLOOKUP(A1865,Feuil2!$A$2:$M$1241,7,FALSE)," ")</f>
        <v>#N/A</v>
      </c>
      <c r="J1865" s="1" t="e">
        <f>IF(B1865=0,VLOOKUP(A1865,Feuil2!$A$2:$M$1241,9,FALSE)," ")</f>
        <v>#N/A</v>
      </c>
      <c r="K1865" s="1" t="e">
        <f>IF(B1865=0,VLOOKUP(A1865,Feuil2!$A$2:$M$1241,10,FALSE)," ")</f>
        <v>#N/A</v>
      </c>
      <c r="L1865" s="1"/>
      <c r="M1865" s="1"/>
      <c r="N1865" s="1"/>
      <c r="O1865" s="8" t="e">
        <f>IF(B1865=0,VLOOKUP(A1865,Feuil2!$A$2:$M$1241,13,FALSE)," ")</f>
        <v>#N/A</v>
      </c>
    </row>
    <row r="1866" spans="1:15" x14ac:dyDescent="0.3">
      <c r="A1866" s="1"/>
      <c r="B1866" s="1"/>
      <c r="C1866" s="1" t="e">
        <f>IF(B1866=0,VLOOKUP(A1866,Feuil2!$A$2:$M$1241,2,FALSE)," ")</f>
        <v>#N/A</v>
      </c>
      <c r="D1866" s="1" t="e">
        <f>IF(B1866=0,VLOOKUP(A1866,Feuil2!$A$2:$M$1241,3,FALSE)," ")</f>
        <v>#N/A</v>
      </c>
      <c r="E1866" s="5" t="e">
        <f>IF(B1866=0,VLOOKUP(A1866,Feuil2!$A$2:$M$1241,6,FALSE)," ")</f>
        <v>#N/A</v>
      </c>
      <c r="F1866" s="1" t="e">
        <f>IF(B1866=0,VLOOKUP(A1866,Feuil2!$A$2:$M$1241,12,FALSE)," ")</f>
        <v>#N/A</v>
      </c>
      <c r="G1866" s="1" t="e">
        <f>IF(B1866=0,VLOOKUP(A1866,Feuil2!$A$2:$M$1241,11,FALSE)," ")</f>
        <v>#N/A</v>
      </c>
      <c r="H1866" s="1" t="s">
        <v>16</v>
      </c>
      <c r="I1866" s="6" t="e">
        <f>IF(B1866=0,VLOOKUP(A1866,Feuil2!$A$2:$M$1241,7,FALSE)," ")</f>
        <v>#N/A</v>
      </c>
      <c r="J1866" s="1" t="e">
        <f>IF(B1866=0,VLOOKUP(A1866,Feuil2!$A$2:$M$1241,9,FALSE)," ")</f>
        <v>#N/A</v>
      </c>
      <c r="K1866" s="1" t="e">
        <f>IF(B1866=0,VLOOKUP(A1866,Feuil2!$A$2:$M$1241,10,FALSE)," ")</f>
        <v>#N/A</v>
      </c>
      <c r="L1866" s="1"/>
      <c r="M1866" s="1"/>
      <c r="N1866" s="1"/>
      <c r="O1866" s="8" t="e">
        <f>IF(B1866=0,VLOOKUP(A1866,Feuil2!$A$2:$M$1241,13,FALSE)," ")</f>
        <v>#N/A</v>
      </c>
    </row>
    <row r="1867" spans="1:15" x14ac:dyDescent="0.3">
      <c r="A1867" s="1"/>
      <c r="B1867" s="1"/>
      <c r="C1867" s="1" t="e">
        <f>IF(B1867=0,VLOOKUP(A1867,Feuil2!$A$2:$M$1241,2,FALSE)," ")</f>
        <v>#N/A</v>
      </c>
      <c r="D1867" s="1" t="e">
        <f>IF(B1867=0,VLOOKUP(A1867,Feuil2!$A$2:$M$1241,3,FALSE)," ")</f>
        <v>#N/A</v>
      </c>
      <c r="E1867" s="5" t="e">
        <f>IF(B1867=0,VLOOKUP(A1867,Feuil2!$A$2:$M$1241,6,FALSE)," ")</f>
        <v>#N/A</v>
      </c>
      <c r="F1867" s="1" t="e">
        <f>IF(B1867=0,VLOOKUP(A1867,Feuil2!$A$2:$M$1241,12,FALSE)," ")</f>
        <v>#N/A</v>
      </c>
      <c r="G1867" s="1" t="e">
        <f>IF(B1867=0,VLOOKUP(A1867,Feuil2!$A$2:$M$1241,11,FALSE)," ")</f>
        <v>#N/A</v>
      </c>
      <c r="H1867" s="1" t="s">
        <v>16</v>
      </c>
      <c r="I1867" s="6" t="e">
        <f>IF(B1867=0,VLOOKUP(A1867,Feuil2!$A$2:$M$1241,7,FALSE)," ")</f>
        <v>#N/A</v>
      </c>
      <c r="J1867" s="1" t="e">
        <f>IF(B1867=0,VLOOKUP(A1867,Feuil2!$A$2:$M$1241,9,FALSE)," ")</f>
        <v>#N/A</v>
      </c>
      <c r="K1867" s="1" t="e">
        <f>IF(B1867=0,VLOOKUP(A1867,Feuil2!$A$2:$M$1241,10,FALSE)," ")</f>
        <v>#N/A</v>
      </c>
      <c r="L1867" s="1"/>
      <c r="M1867" s="1"/>
      <c r="N1867" s="1"/>
      <c r="O1867" s="8" t="e">
        <f>IF(B1867=0,VLOOKUP(A1867,Feuil2!$A$2:$M$1241,13,FALSE)," ")</f>
        <v>#N/A</v>
      </c>
    </row>
    <row r="1868" spans="1:15" x14ac:dyDescent="0.3">
      <c r="A1868" s="1"/>
      <c r="B1868" s="1"/>
      <c r="C1868" s="1" t="e">
        <f>IF(B1868=0,VLOOKUP(A1868,Feuil2!$A$2:$M$1241,2,FALSE)," ")</f>
        <v>#N/A</v>
      </c>
      <c r="D1868" s="1" t="e">
        <f>IF(B1868=0,VLOOKUP(A1868,Feuil2!$A$2:$M$1241,3,FALSE)," ")</f>
        <v>#N/A</v>
      </c>
      <c r="E1868" s="5" t="e">
        <f>IF(B1868=0,VLOOKUP(A1868,Feuil2!$A$2:$M$1241,6,FALSE)," ")</f>
        <v>#N/A</v>
      </c>
      <c r="F1868" s="1" t="e">
        <f>IF(B1868=0,VLOOKUP(A1868,Feuil2!$A$2:$M$1241,12,FALSE)," ")</f>
        <v>#N/A</v>
      </c>
      <c r="G1868" s="1" t="e">
        <f>IF(B1868=0,VLOOKUP(A1868,Feuil2!$A$2:$M$1241,11,FALSE)," ")</f>
        <v>#N/A</v>
      </c>
      <c r="H1868" s="1" t="s">
        <v>16</v>
      </c>
      <c r="I1868" s="6" t="e">
        <f>IF(B1868=0,VLOOKUP(A1868,Feuil2!$A$2:$M$1241,7,FALSE)," ")</f>
        <v>#N/A</v>
      </c>
      <c r="J1868" s="1" t="e">
        <f>IF(B1868=0,VLOOKUP(A1868,Feuil2!$A$2:$M$1241,9,FALSE)," ")</f>
        <v>#N/A</v>
      </c>
      <c r="K1868" s="1" t="e">
        <f>IF(B1868=0,VLOOKUP(A1868,Feuil2!$A$2:$M$1241,10,FALSE)," ")</f>
        <v>#N/A</v>
      </c>
      <c r="L1868" s="1"/>
      <c r="M1868" s="1"/>
      <c r="N1868" s="1"/>
      <c r="O1868" s="8" t="e">
        <f>IF(B1868=0,VLOOKUP(A1868,Feuil2!$A$2:$M$1241,13,FALSE)," ")</f>
        <v>#N/A</v>
      </c>
    </row>
    <row r="1869" spans="1:15" x14ac:dyDescent="0.3">
      <c r="A1869" s="1"/>
      <c r="B1869" s="1"/>
      <c r="C1869" s="1" t="e">
        <f>IF(B1869=0,VLOOKUP(A1869,Feuil2!$A$2:$M$1241,2,FALSE)," ")</f>
        <v>#N/A</v>
      </c>
      <c r="D1869" s="1" t="e">
        <f>IF(B1869=0,VLOOKUP(A1869,Feuil2!$A$2:$M$1241,3,FALSE)," ")</f>
        <v>#N/A</v>
      </c>
      <c r="E1869" s="5" t="e">
        <f>IF(B1869=0,VLOOKUP(A1869,Feuil2!$A$2:$M$1241,6,FALSE)," ")</f>
        <v>#N/A</v>
      </c>
      <c r="F1869" s="1" t="e">
        <f>IF(B1869=0,VLOOKUP(A1869,Feuil2!$A$2:$M$1241,12,FALSE)," ")</f>
        <v>#N/A</v>
      </c>
      <c r="G1869" s="1" t="e">
        <f>IF(B1869=0,VLOOKUP(A1869,Feuil2!$A$2:$M$1241,11,FALSE)," ")</f>
        <v>#N/A</v>
      </c>
      <c r="H1869" s="1" t="s">
        <v>16</v>
      </c>
      <c r="I1869" s="6" t="e">
        <f>IF(B1869=0,VLOOKUP(A1869,Feuil2!$A$2:$M$1241,7,FALSE)," ")</f>
        <v>#N/A</v>
      </c>
      <c r="J1869" s="1" t="e">
        <f>IF(B1869=0,VLOOKUP(A1869,Feuil2!$A$2:$M$1241,9,FALSE)," ")</f>
        <v>#N/A</v>
      </c>
      <c r="K1869" s="1" t="e">
        <f>IF(B1869=0,VLOOKUP(A1869,Feuil2!$A$2:$M$1241,10,FALSE)," ")</f>
        <v>#N/A</v>
      </c>
      <c r="L1869" s="1"/>
      <c r="M1869" s="1"/>
      <c r="N1869" s="1"/>
      <c r="O1869" s="8" t="e">
        <f>IF(B1869=0,VLOOKUP(A1869,Feuil2!$A$2:$M$1241,13,FALSE)," ")</f>
        <v>#N/A</v>
      </c>
    </row>
    <row r="1870" spans="1:15" x14ac:dyDescent="0.3">
      <c r="A1870" s="1"/>
      <c r="B1870" s="1"/>
      <c r="C1870" s="1" t="e">
        <f>IF(B1870=0,VLOOKUP(A1870,Feuil2!$A$2:$M$1241,2,FALSE)," ")</f>
        <v>#N/A</v>
      </c>
      <c r="D1870" s="1" t="e">
        <f>IF(B1870=0,VLOOKUP(A1870,Feuil2!$A$2:$M$1241,3,FALSE)," ")</f>
        <v>#N/A</v>
      </c>
      <c r="E1870" s="5" t="e">
        <f>IF(B1870=0,VLOOKUP(A1870,Feuil2!$A$2:$M$1241,6,FALSE)," ")</f>
        <v>#N/A</v>
      </c>
      <c r="F1870" s="1" t="e">
        <f>IF(B1870=0,VLOOKUP(A1870,Feuil2!$A$2:$M$1241,12,FALSE)," ")</f>
        <v>#N/A</v>
      </c>
      <c r="G1870" s="1" t="e">
        <f>IF(B1870=0,VLOOKUP(A1870,Feuil2!$A$2:$M$1241,11,FALSE)," ")</f>
        <v>#N/A</v>
      </c>
      <c r="H1870" s="1" t="s">
        <v>16</v>
      </c>
      <c r="I1870" s="6" t="e">
        <f>IF(B1870=0,VLOOKUP(A1870,Feuil2!$A$2:$M$1241,7,FALSE)," ")</f>
        <v>#N/A</v>
      </c>
      <c r="J1870" s="1" t="e">
        <f>IF(B1870=0,VLOOKUP(A1870,Feuil2!$A$2:$M$1241,9,FALSE)," ")</f>
        <v>#N/A</v>
      </c>
      <c r="K1870" s="1" t="e">
        <f>IF(B1870=0,VLOOKUP(A1870,Feuil2!$A$2:$M$1241,10,FALSE)," ")</f>
        <v>#N/A</v>
      </c>
      <c r="L1870" s="1"/>
      <c r="M1870" s="1"/>
      <c r="N1870" s="1"/>
      <c r="O1870" s="8" t="e">
        <f>IF(B1870=0,VLOOKUP(A1870,Feuil2!$A$2:$M$1241,13,FALSE)," ")</f>
        <v>#N/A</v>
      </c>
    </row>
    <row r="1871" spans="1:15" x14ac:dyDescent="0.3">
      <c r="A1871" s="1"/>
      <c r="B1871" s="1"/>
      <c r="C1871" s="1" t="e">
        <f>IF(B1871=0,VLOOKUP(A1871,Feuil2!$A$2:$M$1241,2,FALSE)," ")</f>
        <v>#N/A</v>
      </c>
      <c r="D1871" s="1" t="e">
        <f>IF(B1871=0,VLOOKUP(A1871,Feuil2!$A$2:$M$1241,3,FALSE)," ")</f>
        <v>#N/A</v>
      </c>
      <c r="E1871" s="5" t="e">
        <f>IF(B1871=0,VLOOKUP(A1871,Feuil2!$A$2:$M$1241,6,FALSE)," ")</f>
        <v>#N/A</v>
      </c>
      <c r="F1871" s="1" t="e">
        <f>IF(B1871=0,VLOOKUP(A1871,Feuil2!$A$2:$M$1241,12,FALSE)," ")</f>
        <v>#N/A</v>
      </c>
      <c r="G1871" s="1" t="e">
        <f>IF(B1871=0,VLOOKUP(A1871,Feuil2!$A$2:$M$1241,11,FALSE)," ")</f>
        <v>#N/A</v>
      </c>
      <c r="H1871" s="1" t="s">
        <v>16</v>
      </c>
      <c r="I1871" s="6" t="e">
        <f>IF(B1871=0,VLOOKUP(A1871,Feuil2!$A$2:$M$1241,7,FALSE)," ")</f>
        <v>#N/A</v>
      </c>
      <c r="J1871" s="1" t="e">
        <f>IF(B1871=0,VLOOKUP(A1871,Feuil2!$A$2:$M$1241,9,FALSE)," ")</f>
        <v>#N/A</v>
      </c>
      <c r="K1871" s="1" t="e">
        <f>IF(B1871=0,VLOOKUP(A1871,Feuil2!$A$2:$M$1241,10,FALSE)," ")</f>
        <v>#N/A</v>
      </c>
      <c r="L1871" s="1"/>
      <c r="M1871" s="1"/>
      <c r="N1871" s="1"/>
      <c r="O1871" s="8" t="e">
        <f>IF(B1871=0,VLOOKUP(A1871,Feuil2!$A$2:$M$1241,13,FALSE)," ")</f>
        <v>#N/A</v>
      </c>
    </row>
    <row r="1872" spans="1:15" x14ac:dyDescent="0.3">
      <c r="A1872" s="1"/>
      <c r="B1872" s="1"/>
      <c r="C1872" s="1" t="e">
        <f>IF(B1872=0,VLOOKUP(A1872,Feuil2!$A$2:$M$1241,2,FALSE)," ")</f>
        <v>#N/A</v>
      </c>
      <c r="D1872" s="1" t="e">
        <f>IF(B1872=0,VLOOKUP(A1872,Feuil2!$A$2:$M$1241,3,FALSE)," ")</f>
        <v>#N/A</v>
      </c>
      <c r="E1872" s="5" t="e">
        <f>IF(B1872=0,VLOOKUP(A1872,Feuil2!$A$2:$M$1241,6,FALSE)," ")</f>
        <v>#N/A</v>
      </c>
      <c r="F1872" s="1" t="e">
        <f>IF(B1872=0,VLOOKUP(A1872,Feuil2!$A$2:$M$1241,12,FALSE)," ")</f>
        <v>#N/A</v>
      </c>
      <c r="G1872" s="1" t="e">
        <f>IF(B1872=0,VLOOKUP(A1872,Feuil2!$A$2:$M$1241,11,FALSE)," ")</f>
        <v>#N/A</v>
      </c>
      <c r="H1872" s="1" t="s">
        <v>16</v>
      </c>
      <c r="I1872" s="6" t="e">
        <f>IF(B1872=0,VLOOKUP(A1872,Feuil2!$A$2:$M$1241,7,FALSE)," ")</f>
        <v>#N/A</v>
      </c>
      <c r="J1872" s="1" t="e">
        <f>IF(B1872=0,VLOOKUP(A1872,Feuil2!$A$2:$M$1241,9,FALSE)," ")</f>
        <v>#N/A</v>
      </c>
      <c r="K1872" s="1" t="e">
        <f>IF(B1872=0,VLOOKUP(A1872,Feuil2!$A$2:$M$1241,10,FALSE)," ")</f>
        <v>#N/A</v>
      </c>
      <c r="L1872" s="1"/>
      <c r="M1872" s="1"/>
      <c r="N1872" s="1"/>
      <c r="O1872" s="8" t="e">
        <f>IF(B1872=0,VLOOKUP(A1872,Feuil2!$A$2:$M$1241,13,FALSE)," ")</f>
        <v>#N/A</v>
      </c>
    </row>
    <row r="1873" spans="1:15" x14ac:dyDescent="0.3">
      <c r="A1873" s="1"/>
      <c r="B1873" s="1"/>
      <c r="C1873" s="1" t="e">
        <f>IF(B1873=0,VLOOKUP(A1873,Feuil2!$A$2:$M$1241,2,FALSE)," ")</f>
        <v>#N/A</v>
      </c>
      <c r="D1873" s="1" t="e">
        <f>IF(B1873=0,VLOOKUP(A1873,Feuil2!$A$2:$M$1241,3,FALSE)," ")</f>
        <v>#N/A</v>
      </c>
      <c r="E1873" s="5" t="e">
        <f>IF(B1873=0,VLOOKUP(A1873,Feuil2!$A$2:$M$1241,6,FALSE)," ")</f>
        <v>#N/A</v>
      </c>
      <c r="F1873" s="1" t="e">
        <f>IF(B1873=0,VLOOKUP(A1873,Feuil2!$A$2:$M$1241,12,FALSE)," ")</f>
        <v>#N/A</v>
      </c>
      <c r="G1873" s="1" t="e">
        <f>IF(B1873=0,VLOOKUP(A1873,Feuil2!$A$2:$M$1241,11,FALSE)," ")</f>
        <v>#N/A</v>
      </c>
      <c r="H1873" s="1" t="s">
        <v>16</v>
      </c>
      <c r="I1873" s="6" t="e">
        <f>IF(B1873=0,VLOOKUP(A1873,Feuil2!$A$2:$M$1241,7,FALSE)," ")</f>
        <v>#N/A</v>
      </c>
      <c r="J1873" s="1" t="e">
        <f>IF(B1873=0,VLOOKUP(A1873,Feuil2!$A$2:$M$1241,9,FALSE)," ")</f>
        <v>#N/A</v>
      </c>
      <c r="K1873" s="1" t="e">
        <f>IF(B1873=0,VLOOKUP(A1873,Feuil2!$A$2:$M$1241,10,FALSE)," ")</f>
        <v>#N/A</v>
      </c>
      <c r="L1873" s="1"/>
      <c r="M1873" s="1"/>
      <c r="N1873" s="1"/>
      <c r="O1873" s="8" t="e">
        <f>IF(B1873=0,VLOOKUP(A1873,Feuil2!$A$2:$M$1241,13,FALSE)," ")</f>
        <v>#N/A</v>
      </c>
    </row>
    <row r="1874" spans="1:15" x14ac:dyDescent="0.3">
      <c r="A1874" s="1"/>
      <c r="B1874" s="1"/>
      <c r="C1874" s="1" t="e">
        <f>IF(B1874=0,VLOOKUP(A1874,Feuil2!$A$2:$M$1241,2,FALSE)," ")</f>
        <v>#N/A</v>
      </c>
      <c r="D1874" s="1" t="e">
        <f>IF(B1874=0,VLOOKUP(A1874,Feuil2!$A$2:$M$1241,3,FALSE)," ")</f>
        <v>#N/A</v>
      </c>
      <c r="E1874" s="5" t="e">
        <f>IF(B1874=0,VLOOKUP(A1874,Feuil2!$A$2:$M$1241,6,FALSE)," ")</f>
        <v>#N/A</v>
      </c>
      <c r="F1874" s="1" t="e">
        <f>IF(B1874=0,VLOOKUP(A1874,Feuil2!$A$2:$M$1241,12,FALSE)," ")</f>
        <v>#N/A</v>
      </c>
      <c r="G1874" s="1" t="e">
        <f>IF(B1874=0,VLOOKUP(A1874,Feuil2!$A$2:$M$1241,11,FALSE)," ")</f>
        <v>#N/A</v>
      </c>
      <c r="H1874" s="1" t="s">
        <v>16</v>
      </c>
      <c r="I1874" s="6" t="e">
        <f>IF(B1874=0,VLOOKUP(A1874,Feuil2!$A$2:$M$1241,7,FALSE)," ")</f>
        <v>#N/A</v>
      </c>
      <c r="J1874" s="1" t="e">
        <f>IF(B1874=0,VLOOKUP(A1874,Feuil2!$A$2:$M$1241,9,FALSE)," ")</f>
        <v>#N/A</v>
      </c>
      <c r="K1874" s="1" t="e">
        <f>IF(B1874=0,VLOOKUP(A1874,Feuil2!$A$2:$M$1241,10,FALSE)," ")</f>
        <v>#N/A</v>
      </c>
      <c r="L1874" s="1"/>
      <c r="M1874" s="1"/>
      <c r="N1874" s="1"/>
      <c r="O1874" s="8" t="e">
        <f>IF(B1874=0,VLOOKUP(A1874,Feuil2!$A$2:$M$1241,13,FALSE)," ")</f>
        <v>#N/A</v>
      </c>
    </row>
    <row r="1875" spans="1:15" x14ac:dyDescent="0.3">
      <c r="A1875" s="1"/>
      <c r="B1875" s="1"/>
      <c r="C1875" s="1" t="e">
        <f>IF(B1875=0,VLOOKUP(A1875,Feuil2!$A$2:$M$1241,2,FALSE)," ")</f>
        <v>#N/A</v>
      </c>
      <c r="D1875" s="1" t="e">
        <f>IF(B1875=0,VLOOKUP(A1875,Feuil2!$A$2:$M$1241,3,FALSE)," ")</f>
        <v>#N/A</v>
      </c>
      <c r="E1875" s="5" t="e">
        <f>IF(B1875=0,VLOOKUP(A1875,Feuil2!$A$2:$M$1241,6,FALSE)," ")</f>
        <v>#N/A</v>
      </c>
      <c r="F1875" s="1" t="e">
        <f>IF(B1875=0,VLOOKUP(A1875,Feuil2!$A$2:$M$1241,12,FALSE)," ")</f>
        <v>#N/A</v>
      </c>
      <c r="G1875" s="1" t="e">
        <f>IF(B1875=0,VLOOKUP(A1875,Feuil2!$A$2:$M$1241,11,FALSE)," ")</f>
        <v>#N/A</v>
      </c>
      <c r="H1875" s="1" t="s">
        <v>16</v>
      </c>
      <c r="I1875" s="6" t="e">
        <f>IF(B1875=0,VLOOKUP(A1875,Feuil2!$A$2:$M$1241,7,FALSE)," ")</f>
        <v>#N/A</v>
      </c>
      <c r="J1875" s="1" t="e">
        <f>IF(B1875=0,VLOOKUP(A1875,Feuil2!$A$2:$M$1241,9,FALSE)," ")</f>
        <v>#N/A</v>
      </c>
      <c r="K1875" s="1" t="e">
        <f>IF(B1875=0,VLOOKUP(A1875,Feuil2!$A$2:$M$1241,10,FALSE)," ")</f>
        <v>#N/A</v>
      </c>
      <c r="L1875" s="1"/>
      <c r="M1875" s="1"/>
      <c r="N1875" s="1"/>
      <c r="O1875" s="8" t="e">
        <f>IF(B1875=0,VLOOKUP(A1875,Feuil2!$A$2:$M$1241,13,FALSE)," ")</f>
        <v>#N/A</v>
      </c>
    </row>
    <row r="1876" spans="1:15" x14ac:dyDescent="0.3">
      <c r="A1876" s="1"/>
      <c r="B1876" s="1"/>
      <c r="C1876" s="1" t="e">
        <f>IF(B1876=0,VLOOKUP(A1876,Feuil2!$A$2:$M$1241,2,FALSE)," ")</f>
        <v>#N/A</v>
      </c>
      <c r="D1876" s="1" t="e">
        <f>IF(B1876=0,VLOOKUP(A1876,Feuil2!$A$2:$M$1241,3,FALSE)," ")</f>
        <v>#N/A</v>
      </c>
      <c r="E1876" s="5" t="e">
        <f>IF(B1876=0,VLOOKUP(A1876,Feuil2!$A$2:$M$1241,6,FALSE)," ")</f>
        <v>#N/A</v>
      </c>
      <c r="F1876" s="1" t="e">
        <f>IF(B1876=0,VLOOKUP(A1876,Feuil2!$A$2:$M$1241,12,FALSE)," ")</f>
        <v>#N/A</v>
      </c>
      <c r="G1876" s="1" t="e">
        <f>IF(B1876=0,VLOOKUP(A1876,Feuil2!$A$2:$M$1241,11,FALSE)," ")</f>
        <v>#N/A</v>
      </c>
      <c r="H1876" s="1" t="s">
        <v>16</v>
      </c>
      <c r="I1876" s="6" t="e">
        <f>IF(B1876=0,VLOOKUP(A1876,Feuil2!$A$2:$M$1241,7,FALSE)," ")</f>
        <v>#N/A</v>
      </c>
      <c r="J1876" s="1" t="e">
        <f>IF(B1876=0,VLOOKUP(A1876,Feuil2!$A$2:$M$1241,9,FALSE)," ")</f>
        <v>#N/A</v>
      </c>
      <c r="K1876" s="1" t="e">
        <f>IF(B1876=0,VLOOKUP(A1876,Feuil2!$A$2:$M$1241,10,FALSE)," ")</f>
        <v>#N/A</v>
      </c>
      <c r="L1876" s="1"/>
      <c r="M1876" s="1"/>
      <c r="N1876" s="1"/>
      <c r="O1876" s="8" t="e">
        <f>IF(B1876=0,VLOOKUP(A1876,Feuil2!$A$2:$M$1241,13,FALSE)," ")</f>
        <v>#N/A</v>
      </c>
    </row>
    <row r="1877" spans="1:15" x14ac:dyDescent="0.3">
      <c r="A1877" s="1"/>
      <c r="B1877" s="1"/>
      <c r="C1877" s="1" t="e">
        <f>IF(B1877=0,VLOOKUP(A1877,Feuil2!$A$2:$M$1241,2,FALSE)," ")</f>
        <v>#N/A</v>
      </c>
      <c r="D1877" s="1" t="e">
        <f>IF(B1877=0,VLOOKUP(A1877,Feuil2!$A$2:$M$1241,3,FALSE)," ")</f>
        <v>#N/A</v>
      </c>
      <c r="E1877" s="5" t="e">
        <f>IF(B1877=0,VLOOKUP(A1877,Feuil2!$A$2:$M$1241,6,FALSE)," ")</f>
        <v>#N/A</v>
      </c>
      <c r="F1877" s="1" t="e">
        <f>IF(B1877=0,VLOOKUP(A1877,Feuil2!$A$2:$M$1241,12,FALSE)," ")</f>
        <v>#N/A</v>
      </c>
      <c r="G1877" s="1" t="e">
        <f>IF(B1877=0,VLOOKUP(A1877,Feuil2!$A$2:$M$1241,11,FALSE)," ")</f>
        <v>#N/A</v>
      </c>
      <c r="H1877" s="1" t="s">
        <v>16</v>
      </c>
      <c r="I1877" s="6" t="e">
        <f>IF(B1877=0,VLOOKUP(A1877,Feuil2!$A$2:$M$1241,7,FALSE)," ")</f>
        <v>#N/A</v>
      </c>
      <c r="J1877" s="1" t="e">
        <f>IF(B1877=0,VLOOKUP(A1877,Feuil2!$A$2:$M$1241,9,FALSE)," ")</f>
        <v>#N/A</v>
      </c>
      <c r="K1877" s="1" t="e">
        <f>IF(B1877=0,VLOOKUP(A1877,Feuil2!$A$2:$M$1241,10,FALSE)," ")</f>
        <v>#N/A</v>
      </c>
      <c r="L1877" s="1"/>
      <c r="M1877" s="1"/>
      <c r="N1877" s="1"/>
      <c r="O1877" s="8" t="e">
        <f>IF(B1877=0,VLOOKUP(A1877,Feuil2!$A$2:$M$1241,13,FALSE)," ")</f>
        <v>#N/A</v>
      </c>
    </row>
    <row r="1878" spans="1:15" x14ac:dyDescent="0.3">
      <c r="A1878" s="1"/>
      <c r="B1878" s="1"/>
      <c r="C1878" s="1" t="e">
        <f>IF(B1878=0,VLOOKUP(A1878,Feuil2!$A$2:$M$1241,2,FALSE)," ")</f>
        <v>#N/A</v>
      </c>
      <c r="D1878" s="1" t="e">
        <f>IF(B1878=0,VLOOKUP(A1878,Feuil2!$A$2:$M$1241,3,FALSE)," ")</f>
        <v>#N/A</v>
      </c>
      <c r="E1878" s="5" t="e">
        <f>IF(B1878=0,VLOOKUP(A1878,Feuil2!$A$2:$M$1241,6,FALSE)," ")</f>
        <v>#N/A</v>
      </c>
      <c r="F1878" s="1" t="e">
        <f>IF(B1878=0,VLOOKUP(A1878,Feuil2!$A$2:$M$1241,12,FALSE)," ")</f>
        <v>#N/A</v>
      </c>
      <c r="G1878" s="1" t="e">
        <f>IF(B1878=0,VLOOKUP(A1878,Feuil2!$A$2:$M$1241,11,FALSE)," ")</f>
        <v>#N/A</v>
      </c>
      <c r="H1878" s="1" t="s">
        <v>16</v>
      </c>
      <c r="I1878" s="6" t="e">
        <f>IF(B1878=0,VLOOKUP(A1878,Feuil2!$A$2:$M$1241,7,FALSE)," ")</f>
        <v>#N/A</v>
      </c>
      <c r="J1878" s="1" t="e">
        <f>IF(B1878=0,VLOOKUP(A1878,Feuil2!$A$2:$M$1241,9,FALSE)," ")</f>
        <v>#N/A</v>
      </c>
      <c r="K1878" s="1" t="e">
        <f>IF(B1878=0,VLOOKUP(A1878,Feuil2!$A$2:$M$1241,10,FALSE)," ")</f>
        <v>#N/A</v>
      </c>
      <c r="L1878" s="1"/>
      <c r="M1878" s="1"/>
      <c r="N1878" s="1"/>
      <c r="O1878" s="8" t="e">
        <f>IF(B1878=0,VLOOKUP(A1878,Feuil2!$A$2:$M$1241,13,FALSE)," ")</f>
        <v>#N/A</v>
      </c>
    </row>
    <row r="1879" spans="1:15" x14ac:dyDescent="0.3">
      <c r="A1879" s="1"/>
      <c r="B1879" s="1"/>
      <c r="C1879" s="1" t="e">
        <f>IF(B1879=0,VLOOKUP(A1879,Feuil2!$A$2:$M$1241,2,FALSE)," ")</f>
        <v>#N/A</v>
      </c>
      <c r="D1879" s="1" t="e">
        <f>IF(B1879=0,VLOOKUP(A1879,Feuil2!$A$2:$M$1241,3,FALSE)," ")</f>
        <v>#N/A</v>
      </c>
      <c r="E1879" s="5" t="e">
        <f>IF(B1879=0,VLOOKUP(A1879,Feuil2!$A$2:$M$1241,6,FALSE)," ")</f>
        <v>#N/A</v>
      </c>
      <c r="F1879" s="1" t="e">
        <f>IF(B1879=0,VLOOKUP(A1879,Feuil2!$A$2:$M$1241,12,FALSE)," ")</f>
        <v>#N/A</v>
      </c>
      <c r="G1879" s="1" t="e">
        <f>IF(B1879=0,VLOOKUP(A1879,Feuil2!$A$2:$M$1241,11,FALSE)," ")</f>
        <v>#N/A</v>
      </c>
      <c r="H1879" s="1" t="s">
        <v>16</v>
      </c>
      <c r="I1879" s="6" t="e">
        <f>IF(B1879=0,VLOOKUP(A1879,Feuil2!$A$2:$M$1241,7,FALSE)," ")</f>
        <v>#N/A</v>
      </c>
      <c r="J1879" s="1" t="e">
        <f>IF(B1879=0,VLOOKUP(A1879,Feuil2!$A$2:$M$1241,9,FALSE)," ")</f>
        <v>#N/A</v>
      </c>
      <c r="K1879" s="1" t="e">
        <f>IF(B1879=0,VLOOKUP(A1879,Feuil2!$A$2:$M$1241,10,FALSE)," ")</f>
        <v>#N/A</v>
      </c>
      <c r="L1879" s="1"/>
      <c r="M1879" s="1"/>
      <c r="N1879" s="1"/>
      <c r="O1879" s="8" t="e">
        <f>IF(B1879=0,VLOOKUP(A1879,Feuil2!$A$2:$M$1241,13,FALSE)," ")</f>
        <v>#N/A</v>
      </c>
    </row>
    <row r="1880" spans="1:15" x14ac:dyDescent="0.3">
      <c r="A1880" s="1"/>
      <c r="B1880" s="1"/>
      <c r="C1880" s="1" t="e">
        <f>IF(B1880=0,VLOOKUP(A1880,Feuil2!$A$2:$M$1241,2,FALSE)," ")</f>
        <v>#N/A</v>
      </c>
      <c r="D1880" s="1" t="e">
        <f>IF(B1880=0,VLOOKUP(A1880,Feuil2!$A$2:$M$1241,3,FALSE)," ")</f>
        <v>#N/A</v>
      </c>
      <c r="E1880" s="5" t="e">
        <f>IF(B1880=0,VLOOKUP(A1880,Feuil2!$A$2:$M$1241,6,FALSE)," ")</f>
        <v>#N/A</v>
      </c>
      <c r="F1880" s="1" t="e">
        <f>IF(B1880=0,VLOOKUP(A1880,Feuil2!$A$2:$M$1241,12,FALSE)," ")</f>
        <v>#N/A</v>
      </c>
      <c r="G1880" s="1" t="e">
        <f>IF(B1880=0,VLOOKUP(A1880,Feuil2!$A$2:$M$1241,11,FALSE)," ")</f>
        <v>#N/A</v>
      </c>
      <c r="H1880" s="1" t="s">
        <v>16</v>
      </c>
      <c r="I1880" s="6" t="e">
        <f>IF(B1880=0,VLOOKUP(A1880,Feuil2!$A$2:$M$1241,7,FALSE)," ")</f>
        <v>#N/A</v>
      </c>
      <c r="J1880" s="1" t="e">
        <f>IF(B1880=0,VLOOKUP(A1880,Feuil2!$A$2:$M$1241,9,FALSE)," ")</f>
        <v>#N/A</v>
      </c>
      <c r="K1880" s="1" t="e">
        <f>IF(B1880=0,VLOOKUP(A1880,Feuil2!$A$2:$M$1241,10,FALSE)," ")</f>
        <v>#N/A</v>
      </c>
      <c r="L1880" s="1"/>
      <c r="M1880" s="1"/>
      <c r="N1880" s="1"/>
      <c r="O1880" s="8" t="e">
        <f>IF(B1880=0,VLOOKUP(A1880,Feuil2!$A$2:$M$1241,13,FALSE)," ")</f>
        <v>#N/A</v>
      </c>
    </row>
    <row r="1881" spans="1:15" x14ac:dyDescent="0.3">
      <c r="A1881" s="1"/>
      <c r="B1881" s="1"/>
      <c r="C1881" s="1" t="e">
        <f>IF(B1881=0,VLOOKUP(A1881,Feuil2!$A$2:$M$1241,2,FALSE)," ")</f>
        <v>#N/A</v>
      </c>
      <c r="D1881" s="1" t="e">
        <f>IF(B1881=0,VLOOKUP(A1881,Feuil2!$A$2:$M$1241,3,FALSE)," ")</f>
        <v>#N/A</v>
      </c>
      <c r="E1881" s="5" t="e">
        <f>IF(B1881=0,VLOOKUP(A1881,Feuil2!$A$2:$M$1241,6,FALSE)," ")</f>
        <v>#N/A</v>
      </c>
      <c r="F1881" s="1" t="e">
        <f>IF(B1881=0,VLOOKUP(A1881,Feuil2!$A$2:$M$1241,12,FALSE)," ")</f>
        <v>#N/A</v>
      </c>
      <c r="G1881" s="1" t="e">
        <f>IF(B1881=0,VLOOKUP(A1881,Feuil2!$A$2:$M$1241,11,FALSE)," ")</f>
        <v>#N/A</v>
      </c>
      <c r="H1881" s="1" t="s">
        <v>16</v>
      </c>
      <c r="I1881" s="6" t="e">
        <f>IF(B1881=0,VLOOKUP(A1881,Feuil2!$A$2:$M$1241,7,FALSE)," ")</f>
        <v>#N/A</v>
      </c>
      <c r="J1881" s="1" t="e">
        <f>IF(B1881=0,VLOOKUP(A1881,Feuil2!$A$2:$M$1241,9,FALSE)," ")</f>
        <v>#N/A</v>
      </c>
      <c r="K1881" s="1" t="e">
        <f>IF(B1881=0,VLOOKUP(A1881,Feuil2!$A$2:$M$1241,10,FALSE)," ")</f>
        <v>#N/A</v>
      </c>
      <c r="L1881" s="1"/>
      <c r="M1881" s="1"/>
      <c r="N1881" s="1"/>
      <c r="O1881" s="8" t="e">
        <f>IF(B1881=0,VLOOKUP(A1881,Feuil2!$A$2:$M$1241,13,FALSE)," ")</f>
        <v>#N/A</v>
      </c>
    </row>
    <row r="1882" spans="1:15" x14ac:dyDescent="0.3">
      <c r="A1882" s="1"/>
      <c r="B1882" s="1"/>
      <c r="C1882" s="1" t="e">
        <f>IF(B1882=0,VLOOKUP(A1882,Feuil2!$A$2:$M$1241,2,FALSE)," ")</f>
        <v>#N/A</v>
      </c>
      <c r="D1882" s="1" t="e">
        <f>IF(B1882=0,VLOOKUP(A1882,Feuil2!$A$2:$M$1241,3,FALSE)," ")</f>
        <v>#N/A</v>
      </c>
      <c r="E1882" s="5" t="e">
        <f>IF(B1882=0,VLOOKUP(A1882,Feuil2!$A$2:$M$1241,6,FALSE)," ")</f>
        <v>#N/A</v>
      </c>
      <c r="F1882" s="1" t="e">
        <f>IF(B1882=0,VLOOKUP(A1882,Feuil2!$A$2:$M$1241,12,FALSE)," ")</f>
        <v>#N/A</v>
      </c>
      <c r="G1882" s="1" t="e">
        <f>IF(B1882=0,VLOOKUP(A1882,Feuil2!$A$2:$M$1241,11,FALSE)," ")</f>
        <v>#N/A</v>
      </c>
      <c r="H1882" s="1" t="s">
        <v>16</v>
      </c>
      <c r="I1882" s="6" t="e">
        <f>IF(B1882=0,VLOOKUP(A1882,Feuil2!$A$2:$M$1241,7,FALSE)," ")</f>
        <v>#N/A</v>
      </c>
      <c r="J1882" s="1" t="e">
        <f>IF(B1882=0,VLOOKUP(A1882,Feuil2!$A$2:$M$1241,9,FALSE)," ")</f>
        <v>#N/A</v>
      </c>
      <c r="K1882" s="1" t="e">
        <f>IF(B1882=0,VLOOKUP(A1882,Feuil2!$A$2:$M$1241,10,FALSE)," ")</f>
        <v>#N/A</v>
      </c>
      <c r="L1882" s="1"/>
      <c r="M1882" s="1"/>
      <c r="N1882" s="1"/>
      <c r="O1882" s="8" t="e">
        <f>IF(B1882=0,VLOOKUP(A1882,Feuil2!$A$2:$M$1241,13,FALSE)," ")</f>
        <v>#N/A</v>
      </c>
    </row>
    <row r="1883" spans="1:15" x14ac:dyDescent="0.3">
      <c r="A1883" s="1"/>
      <c r="B1883" s="1"/>
      <c r="C1883" s="1" t="e">
        <f>IF(B1883=0,VLOOKUP(A1883,Feuil2!$A$2:$M$1241,2,FALSE)," ")</f>
        <v>#N/A</v>
      </c>
      <c r="D1883" s="1" t="e">
        <f>IF(B1883=0,VLOOKUP(A1883,Feuil2!$A$2:$M$1241,3,FALSE)," ")</f>
        <v>#N/A</v>
      </c>
      <c r="E1883" s="5" t="e">
        <f>IF(B1883=0,VLOOKUP(A1883,Feuil2!$A$2:$M$1241,6,FALSE)," ")</f>
        <v>#N/A</v>
      </c>
      <c r="F1883" s="1" t="e">
        <f>IF(B1883=0,VLOOKUP(A1883,Feuil2!$A$2:$M$1241,12,FALSE)," ")</f>
        <v>#N/A</v>
      </c>
      <c r="G1883" s="1" t="e">
        <f>IF(B1883=0,VLOOKUP(A1883,Feuil2!$A$2:$M$1241,11,FALSE)," ")</f>
        <v>#N/A</v>
      </c>
      <c r="H1883" s="1" t="s">
        <v>16</v>
      </c>
      <c r="I1883" s="6" t="e">
        <f>IF(B1883=0,VLOOKUP(A1883,Feuil2!$A$2:$M$1241,7,FALSE)," ")</f>
        <v>#N/A</v>
      </c>
      <c r="J1883" s="1" t="e">
        <f>IF(B1883=0,VLOOKUP(A1883,Feuil2!$A$2:$M$1241,9,FALSE)," ")</f>
        <v>#N/A</v>
      </c>
      <c r="K1883" s="1" t="e">
        <f>IF(B1883=0,VLOOKUP(A1883,Feuil2!$A$2:$M$1241,10,FALSE)," ")</f>
        <v>#N/A</v>
      </c>
      <c r="L1883" s="1"/>
      <c r="M1883" s="1"/>
      <c r="N1883" s="1"/>
      <c r="O1883" s="8" t="e">
        <f>IF(B1883=0,VLOOKUP(A1883,Feuil2!$A$2:$M$1241,13,FALSE)," ")</f>
        <v>#N/A</v>
      </c>
    </row>
    <row r="1884" spans="1:15" x14ac:dyDescent="0.3">
      <c r="A1884" s="1"/>
      <c r="B1884" s="1"/>
      <c r="C1884" s="1" t="e">
        <f>IF(B1884=0,VLOOKUP(A1884,Feuil2!$A$2:$M$1241,2,FALSE)," ")</f>
        <v>#N/A</v>
      </c>
      <c r="D1884" s="1" t="e">
        <f>IF(B1884=0,VLOOKUP(A1884,Feuil2!$A$2:$M$1241,3,FALSE)," ")</f>
        <v>#N/A</v>
      </c>
      <c r="E1884" s="5" t="e">
        <f>IF(B1884=0,VLOOKUP(A1884,Feuil2!$A$2:$M$1241,6,FALSE)," ")</f>
        <v>#N/A</v>
      </c>
      <c r="F1884" s="1" t="e">
        <f>IF(B1884=0,VLOOKUP(A1884,Feuil2!$A$2:$M$1241,12,FALSE)," ")</f>
        <v>#N/A</v>
      </c>
      <c r="G1884" s="1" t="e">
        <f>IF(B1884=0,VLOOKUP(A1884,Feuil2!$A$2:$M$1241,11,FALSE)," ")</f>
        <v>#N/A</v>
      </c>
      <c r="H1884" s="1" t="s">
        <v>16</v>
      </c>
      <c r="I1884" s="6" t="e">
        <f>IF(B1884=0,VLOOKUP(A1884,Feuil2!$A$2:$M$1241,7,FALSE)," ")</f>
        <v>#N/A</v>
      </c>
      <c r="J1884" s="1" t="e">
        <f>IF(B1884=0,VLOOKUP(A1884,Feuil2!$A$2:$M$1241,9,FALSE)," ")</f>
        <v>#N/A</v>
      </c>
      <c r="K1884" s="1" t="e">
        <f>IF(B1884=0,VLOOKUP(A1884,Feuil2!$A$2:$M$1241,10,FALSE)," ")</f>
        <v>#N/A</v>
      </c>
      <c r="L1884" s="1"/>
      <c r="M1884" s="1"/>
      <c r="N1884" s="1"/>
      <c r="O1884" s="8" t="e">
        <f>IF(B1884=0,VLOOKUP(A1884,Feuil2!$A$2:$M$1241,13,FALSE)," ")</f>
        <v>#N/A</v>
      </c>
    </row>
    <row r="1885" spans="1:15" x14ac:dyDescent="0.3">
      <c r="A1885" s="1"/>
      <c r="B1885" s="1"/>
      <c r="C1885" s="1" t="e">
        <f>IF(B1885=0,VLOOKUP(A1885,Feuil2!$A$2:$M$1241,2,FALSE)," ")</f>
        <v>#N/A</v>
      </c>
      <c r="D1885" s="1" t="e">
        <f>IF(B1885=0,VLOOKUP(A1885,Feuil2!$A$2:$M$1241,3,FALSE)," ")</f>
        <v>#N/A</v>
      </c>
      <c r="E1885" s="5" t="e">
        <f>IF(B1885=0,VLOOKUP(A1885,Feuil2!$A$2:$M$1241,6,FALSE)," ")</f>
        <v>#N/A</v>
      </c>
      <c r="F1885" s="1" t="e">
        <f>IF(B1885=0,VLOOKUP(A1885,Feuil2!$A$2:$M$1241,12,FALSE)," ")</f>
        <v>#N/A</v>
      </c>
      <c r="G1885" s="1" t="e">
        <f>IF(B1885=0,VLOOKUP(A1885,Feuil2!$A$2:$M$1241,11,FALSE)," ")</f>
        <v>#N/A</v>
      </c>
      <c r="H1885" s="1" t="s">
        <v>16</v>
      </c>
      <c r="I1885" s="6" t="e">
        <f>IF(B1885=0,VLOOKUP(A1885,Feuil2!$A$2:$M$1241,7,FALSE)," ")</f>
        <v>#N/A</v>
      </c>
      <c r="J1885" s="1" t="e">
        <f>IF(B1885=0,VLOOKUP(A1885,Feuil2!$A$2:$M$1241,9,FALSE)," ")</f>
        <v>#N/A</v>
      </c>
      <c r="K1885" s="1" t="e">
        <f>IF(B1885=0,VLOOKUP(A1885,Feuil2!$A$2:$M$1241,10,FALSE)," ")</f>
        <v>#N/A</v>
      </c>
      <c r="L1885" s="1"/>
      <c r="M1885" s="1"/>
      <c r="N1885" s="1"/>
      <c r="O1885" s="8" t="e">
        <f>IF(B1885=0,VLOOKUP(A1885,Feuil2!$A$2:$M$1241,13,FALSE)," ")</f>
        <v>#N/A</v>
      </c>
    </row>
    <row r="1886" spans="1:15" x14ac:dyDescent="0.3">
      <c r="A1886" s="1"/>
      <c r="B1886" s="1"/>
      <c r="C1886" s="1" t="e">
        <f>IF(B1886=0,VLOOKUP(A1886,Feuil2!$A$2:$M$1241,2,FALSE)," ")</f>
        <v>#N/A</v>
      </c>
      <c r="D1886" s="1" t="e">
        <f>IF(B1886=0,VLOOKUP(A1886,Feuil2!$A$2:$M$1241,3,FALSE)," ")</f>
        <v>#N/A</v>
      </c>
      <c r="E1886" s="5" t="e">
        <f>IF(B1886=0,VLOOKUP(A1886,Feuil2!$A$2:$M$1241,6,FALSE)," ")</f>
        <v>#N/A</v>
      </c>
      <c r="F1886" s="1" t="e">
        <f>IF(B1886=0,VLOOKUP(A1886,Feuil2!$A$2:$M$1241,12,FALSE)," ")</f>
        <v>#N/A</v>
      </c>
      <c r="G1886" s="1" t="e">
        <f>IF(B1886=0,VLOOKUP(A1886,Feuil2!$A$2:$M$1241,11,FALSE)," ")</f>
        <v>#N/A</v>
      </c>
      <c r="H1886" s="1" t="s">
        <v>16</v>
      </c>
      <c r="I1886" s="6" t="e">
        <f>IF(B1886=0,VLOOKUP(A1886,Feuil2!$A$2:$M$1241,7,FALSE)," ")</f>
        <v>#N/A</v>
      </c>
      <c r="J1886" s="1" t="e">
        <f>IF(B1886=0,VLOOKUP(A1886,Feuil2!$A$2:$M$1241,9,FALSE)," ")</f>
        <v>#N/A</v>
      </c>
      <c r="K1886" s="1" t="e">
        <f>IF(B1886=0,VLOOKUP(A1886,Feuil2!$A$2:$M$1241,10,FALSE)," ")</f>
        <v>#N/A</v>
      </c>
      <c r="L1886" s="1"/>
      <c r="M1886" s="1"/>
      <c r="N1886" s="1"/>
      <c r="O1886" s="8" t="e">
        <f>IF(B1886=0,VLOOKUP(A1886,Feuil2!$A$2:$M$1241,13,FALSE)," ")</f>
        <v>#N/A</v>
      </c>
    </row>
    <row r="1887" spans="1:15" x14ac:dyDescent="0.3">
      <c r="A1887" s="1"/>
      <c r="B1887" s="1"/>
      <c r="C1887" s="1" t="e">
        <f>IF(B1887=0,VLOOKUP(A1887,Feuil2!$A$2:$M$1241,2,FALSE)," ")</f>
        <v>#N/A</v>
      </c>
      <c r="D1887" s="1" t="e">
        <f>IF(B1887=0,VLOOKUP(A1887,Feuil2!$A$2:$M$1241,3,FALSE)," ")</f>
        <v>#N/A</v>
      </c>
      <c r="E1887" s="5" t="e">
        <f>IF(B1887=0,VLOOKUP(A1887,Feuil2!$A$2:$M$1241,6,FALSE)," ")</f>
        <v>#N/A</v>
      </c>
      <c r="F1887" s="1" t="e">
        <f>IF(B1887=0,VLOOKUP(A1887,Feuil2!$A$2:$M$1241,12,FALSE)," ")</f>
        <v>#N/A</v>
      </c>
      <c r="G1887" s="1" t="e">
        <f>IF(B1887=0,VLOOKUP(A1887,Feuil2!$A$2:$M$1241,11,FALSE)," ")</f>
        <v>#N/A</v>
      </c>
      <c r="H1887" s="1" t="s">
        <v>16</v>
      </c>
      <c r="I1887" s="6" t="e">
        <f>IF(B1887=0,VLOOKUP(A1887,Feuil2!$A$2:$M$1241,7,FALSE)," ")</f>
        <v>#N/A</v>
      </c>
      <c r="J1887" s="1" t="e">
        <f>IF(B1887=0,VLOOKUP(A1887,Feuil2!$A$2:$M$1241,9,FALSE)," ")</f>
        <v>#N/A</v>
      </c>
      <c r="K1887" s="1" t="e">
        <f>IF(B1887=0,VLOOKUP(A1887,Feuil2!$A$2:$M$1241,10,FALSE)," ")</f>
        <v>#N/A</v>
      </c>
      <c r="L1887" s="1"/>
      <c r="M1887" s="1"/>
      <c r="N1887" s="1"/>
      <c r="O1887" s="8" t="e">
        <f>IF(B1887=0,VLOOKUP(A1887,Feuil2!$A$2:$M$1241,13,FALSE)," ")</f>
        <v>#N/A</v>
      </c>
    </row>
    <row r="1888" spans="1:15" x14ac:dyDescent="0.3">
      <c r="A1888" s="1"/>
      <c r="B1888" s="1"/>
      <c r="C1888" s="1" t="e">
        <f>IF(B1888=0,VLOOKUP(A1888,Feuil2!$A$2:$M$1241,2,FALSE)," ")</f>
        <v>#N/A</v>
      </c>
      <c r="D1888" s="1" t="e">
        <f>IF(B1888=0,VLOOKUP(A1888,Feuil2!$A$2:$M$1241,3,FALSE)," ")</f>
        <v>#N/A</v>
      </c>
      <c r="E1888" s="5" t="e">
        <f>IF(B1888=0,VLOOKUP(A1888,Feuil2!$A$2:$M$1241,6,FALSE)," ")</f>
        <v>#N/A</v>
      </c>
      <c r="F1888" s="1" t="e">
        <f>IF(B1888=0,VLOOKUP(A1888,Feuil2!$A$2:$M$1241,12,FALSE)," ")</f>
        <v>#N/A</v>
      </c>
      <c r="G1888" s="1" t="e">
        <f>IF(B1888=0,VLOOKUP(A1888,Feuil2!$A$2:$M$1241,11,FALSE)," ")</f>
        <v>#N/A</v>
      </c>
      <c r="H1888" s="1" t="s">
        <v>16</v>
      </c>
      <c r="I1888" s="6" t="e">
        <f>IF(B1888=0,VLOOKUP(A1888,Feuil2!$A$2:$M$1241,7,FALSE)," ")</f>
        <v>#N/A</v>
      </c>
      <c r="J1888" s="1" t="e">
        <f>IF(B1888=0,VLOOKUP(A1888,Feuil2!$A$2:$M$1241,9,FALSE)," ")</f>
        <v>#N/A</v>
      </c>
      <c r="K1888" s="1" t="e">
        <f>IF(B1888=0,VLOOKUP(A1888,Feuil2!$A$2:$M$1241,10,FALSE)," ")</f>
        <v>#N/A</v>
      </c>
      <c r="L1888" s="1"/>
      <c r="M1888" s="1"/>
      <c r="N1888" s="1"/>
      <c r="O1888" s="8" t="e">
        <f>IF(B1888=0,VLOOKUP(A1888,Feuil2!$A$2:$M$1241,13,FALSE)," ")</f>
        <v>#N/A</v>
      </c>
    </row>
    <row r="1889" spans="1:15" x14ac:dyDescent="0.3">
      <c r="A1889" s="1"/>
      <c r="B1889" s="1"/>
      <c r="C1889" s="1" t="e">
        <f>IF(B1889=0,VLOOKUP(A1889,Feuil2!$A$2:$M$1241,2,FALSE)," ")</f>
        <v>#N/A</v>
      </c>
      <c r="D1889" s="1" t="e">
        <f>IF(B1889=0,VLOOKUP(A1889,Feuil2!$A$2:$M$1241,3,FALSE)," ")</f>
        <v>#N/A</v>
      </c>
      <c r="E1889" s="5" t="e">
        <f>IF(B1889=0,VLOOKUP(A1889,Feuil2!$A$2:$M$1241,6,FALSE)," ")</f>
        <v>#N/A</v>
      </c>
      <c r="F1889" s="1" t="e">
        <f>IF(B1889=0,VLOOKUP(A1889,Feuil2!$A$2:$M$1241,12,FALSE)," ")</f>
        <v>#N/A</v>
      </c>
      <c r="G1889" s="1" t="e">
        <f>IF(B1889=0,VLOOKUP(A1889,Feuil2!$A$2:$M$1241,11,FALSE)," ")</f>
        <v>#N/A</v>
      </c>
      <c r="H1889" s="1" t="s">
        <v>16</v>
      </c>
      <c r="I1889" s="6" t="e">
        <f>IF(B1889=0,VLOOKUP(A1889,Feuil2!$A$2:$M$1241,7,FALSE)," ")</f>
        <v>#N/A</v>
      </c>
      <c r="J1889" s="1" t="e">
        <f>IF(B1889=0,VLOOKUP(A1889,Feuil2!$A$2:$M$1241,9,FALSE)," ")</f>
        <v>#N/A</v>
      </c>
      <c r="K1889" s="1" t="e">
        <f>IF(B1889=0,VLOOKUP(A1889,Feuil2!$A$2:$M$1241,10,FALSE)," ")</f>
        <v>#N/A</v>
      </c>
      <c r="L1889" s="1"/>
      <c r="M1889" s="1"/>
      <c r="N1889" s="1"/>
      <c r="O1889" s="8" t="e">
        <f>IF(B1889=0,VLOOKUP(A1889,Feuil2!$A$2:$M$1241,13,FALSE)," ")</f>
        <v>#N/A</v>
      </c>
    </row>
    <row r="1890" spans="1:15" x14ac:dyDescent="0.3">
      <c r="A1890" s="1"/>
      <c r="B1890" s="1"/>
      <c r="C1890" s="1" t="e">
        <f>IF(B1890=0,VLOOKUP(A1890,Feuil2!$A$2:$M$1241,2,FALSE)," ")</f>
        <v>#N/A</v>
      </c>
      <c r="D1890" s="1" t="e">
        <f>IF(B1890=0,VLOOKUP(A1890,Feuil2!$A$2:$M$1241,3,FALSE)," ")</f>
        <v>#N/A</v>
      </c>
      <c r="E1890" s="5" t="e">
        <f>IF(B1890=0,VLOOKUP(A1890,Feuil2!$A$2:$M$1241,6,FALSE)," ")</f>
        <v>#N/A</v>
      </c>
      <c r="F1890" s="1" t="e">
        <f>IF(B1890=0,VLOOKUP(A1890,Feuil2!$A$2:$M$1241,12,FALSE)," ")</f>
        <v>#N/A</v>
      </c>
      <c r="G1890" s="1" t="e">
        <f>IF(B1890=0,VLOOKUP(A1890,Feuil2!$A$2:$M$1241,11,FALSE)," ")</f>
        <v>#N/A</v>
      </c>
      <c r="H1890" s="1" t="s">
        <v>16</v>
      </c>
      <c r="I1890" s="6" t="e">
        <f>IF(B1890=0,VLOOKUP(A1890,Feuil2!$A$2:$M$1241,7,FALSE)," ")</f>
        <v>#N/A</v>
      </c>
      <c r="J1890" s="1" t="e">
        <f>IF(B1890=0,VLOOKUP(A1890,Feuil2!$A$2:$M$1241,9,FALSE)," ")</f>
        <v>#N/A</v>
      </c>
      <c r="K1890" s="1" t="e">
        <f>IF(B1890=0,VLOOKUP(A1890,Feuil2!$A$2:$M$1241,10,FALSE)," ")</f>
        <v>#N/A</v>
      </c>
      <c r="L1890" s="1"/>
      <c r="M1890" s="1"/>
      <c r="N1890" s="1"/>
      <c r="O1890" s="8" t="e">
        <f>IF(B1890=0,VLOOKUP(A1890,Feuil2!$A$2:$M$1241,13,FALSE)," ")</f>
        <v>#N/A</v>
      </c>
    </row>
    <row r="1891" spans="1:15" x14ac:dyDescent="0.3">
      <c r="A1891" s="1"/>
      <c r="B1891" s="1"/>
      <c r="C1891" s="1" t="e">
        <f>IF(B1891=0,VLOOKUP(A1891,Feuil2!$A$2:$M$1241,2,FALSE)," ")</f>
        <v>#N/A</v>
      </c>
      <c r="D1891" s="1" t="e">
        <f>IF(B1891=0,VLOOKUP(A1891,Feuil2!$A$2:$M$1241,3,FALSE)," ")</f>
        <v>#N/A</v>
      </c>
      <c r="E1891" s="5" t="e">
        <f>IF(B1891=0,VLOOKUP(A1891,Feuil2!$A$2:$M$1241,6,FALSE)," ")</f>
        <v>#N/A</v>
      </c>
      <c r="F1891" s="1" t="e">
        <f>IF(B1891=0,VLOOKUP(A1891,Feuil2!$A$2:$M$1241,12,FALSE)," ")</f>
        <v>#N/A</v>
      </c>
      <c r="G1891" s="1" t="e">
        <f>IF(B1891=0,VLOOKUP(A1891,Feuil2!$A$2:$M$1241,11,FALSE)," ")</f>
        <v>#N/A</v>
      </c>
      <c r="H1891" s="1" t="s">
        <v>16</v>
      </c>
      <c r="I1891" s="6" t="e">
        <f>IF(B1891=0,VLOOKUP(A1891,Feuil2!$A$2:$M$1241,7,FALSE)," ")</f>
        <v>#N/A</v>
      </c>
      <c r="J1891" s="1" t="e">
        <f>IF(B1891=0,VLOOKUP(A1891,Feuil2!$A$2:$M$1241,9,FALSE)," ")</f>
        <v>#N/A</v>
      </c>
      <c r="K1891" s="1" t="e">
        <f>IF(B1891=0,VLOOKUP(A1891,Feuil2!$A$2:$M$1241,10,FALSE)," ")</f>
        <v>#N/A</v>
      </c>
      <c r="L1891" s="1"/>
      <c r="M1891" s="1"/>
      <c r="N1891" s="1"/>
      <c r="O1891" s="8" t="e">
        <f>IF(B1891=0,VLOOKUP(A1891,Feuil2!$A$2:$M$1241,13,FALSE)," ")</f>
        <v>#N/A</v>
      </c>
    </row>
    <row r="1892" spans="1:15" x14ac:dyDescent="0.3">
      <c r="A1892" s="1"/>
      <c r="B1892" s="1"/>
      <c r="C1892" s="1" t="e">
        <f>IF(B1892=0,VLOOKUP(A1892,Feuil2!$A$2:$M$1241,2,FALSE)," ")</f>
        <v>#N/A</v>
      </c>
      <c r="D1892" s="1" t="e">
        <f>IF(B1892=0,VLOOKUP(A1892,Feuil2!$A$2:$M$1241,3,FALSE)," ")</f>
        <v>#N/A</v>
      </c>
      <c r="E1892" s="5" t="e">
        <f>IF(B1892=0,VLOOKUP(A1892,Feuil2!$A$2:$M$1241,6,FALSE)," ")</f>
        <v>#N/A</v>
      </c>
      <c r="F1892" s="1" t="e">
        <f>IF(B1892=0,VLOOKUP(A1892,Feuil2!$A$2:$M$1241,12,FALSE)," ")</f>
        <v>#N/A</v>
      </c>
      <c r="G1892" s="1" t="e">
        <f>IF(B1892=0,VLOOKUP(A1892,Feuil2!$A$2:$M$1241,11,FALSE)," ")</f>
        <v>#N/A</v>
      </c>
      <c r="H1892" s="1" t="s">
        <v>16</v>
      </c>
      <c r="I1892" s="6" t="e">
        <f>IF(B1892=0,VLOOKUP(A1892,Feuil2!$A$2:$M$1241,7,FALSE)," ")</f>
        <v>#N/A</v>
      </c>
      <c r="J1892" s="1" t="e">
        <f>IF(B1892=0,VLOOKUP(A1892,Feuil2!$A$2:$M$1241,9,FALSE)," ")</f>
        <v>#N/A</v>
      </c>
      <c r="K1892" s="1" t="e">
        <f>IF(B1892=0,VLOOKUP(A1892,Feuil2!$A$2:$M$1241,10,FALSE)," ")</f>
        <v>#N/A</v>
      </c>
      <c r="L1892" s="1"/>
      <c r="M1892" s="1"/>
      <c r="N1892" s="1"/>
      <c r="O1892" s="8" t="e">
        <f>IF(B1892=0,VLOOKUP(A1892,Feuil2!$A$2:$M$1241,13,FALSE)," ")</f>
        <v>#N/A</v>
      </c>
    </row>
    <row r="1893" spans="1:15" x14ac:dyDescent="0.3">
      <c r="A1893" s="1"/>
      <c r="B1893" s="1"/>
      <c r="C1893" s="1" t="e">
        <f>IF(B1893=0,VLOOKUP(A1893,Feuil2!$A$2:$M$1241,2,FALSE)," ")</f>
        <v>#N/A</v>
      </c>
      <c r="D1893" s="1" t="e">
        <f>IF(B1893=0,VLOOKUP(A1893,Feuil2!$A$2:$M$1241,3,FALSE)," ")</f>
        <v>#N/A</v>
      </c>
      <c r="E1893" s="5" t="e">
        <f>IF(B1893=0,VLOOKUP(A1893,Feuil2!$A$2:$M$1241,6,FALSE)," ")</f>
        <v>#N/A</v>
      </c>
      <c r="F1893" s="1" t="e">
        <f>IF(B1893=0,VLOOKUP(A1893,Feuil2!$A$2:$M$1241,12,FALSE)," ")</f>
        <v>#N/A</v>
      </c>
      <c r="G1893" s="1" t="e">
        <f>IF(B1893=0,VLOOKUP(A1893,Feuil2!$A$2:$M$1241,11,FALSE)," ")</f>
        <v>#N/A</v>
      </c>
      <c r="H1893" s="1" t="s">
        <v>16</v>
      </c>
      <c r="I1893" s="6" t="e">
        <f>IF(B1893=0,VLOOKUP(A1893,Feuil2!$A$2:$M$1241,7,FALSE)," ")</f>
        <v>#N/A</v>
      </c>
      <c r="J1893" s="1" t="e">
        <f>IF(B1893=0,VLOOKUP(A1893,Feuil2!$A$2:$M$1241,9,FALSE)," ")</f>
        <v>#N/A</v>
      </c>
      <c r="K1893" s="1" t="e">
        <f>IF(B1893=0,VLOOKUP(A1893,Feuil2!$A$2:$M$1241,10,FALSE)," ")</f>
        <v>#N/A</v>
      </c>
      <c r="L1893" s="1"/>
      <c r="M1893" s="1"/>
      <c r="N1893" s="1"/>
      <c r="O1893" s="8" t="e">
        <f>IF(B1893=0,VLOOKUP(A1893,Feuil2!$A$2:$M$1241,13,FALSE)," ")</f>
        <v>#N/A</v>
      </c>
    </row>
    <row r="1894" spans="1:15" x14ac:dyDescent="0.3">
      <c r="A1894" s="1"/>
      <c r="B1894" s="1"/>
      <c r="C1894" s="1" t="e">
        <f>IF(B1894=0,VLOOKUP(A1894,Feuil2!$A$2:$M$1241,2,FALSE)," ")</f>
        <v>#N/A</v>
      </c>
      <c r="D1894" s="1" t="e">
        <f>IF(B1894=0,VLOOKUP(A1894,Feuil2!$A$2:$M$1241,3,FALSE)," ")</f>
        <v>#N/A</v>
      </c>
      <c r="E1894" s="5" t="e">
        <f>IF(B1894=0,VLOOKUP(A1894,Feuil2!$A$2:$M$1241,6,FALSE)," ")</f>
        <v>#N/A</v>
      </c>
      <c r="F1894" s="1" t="e">
        <f>IF(B1894=0,VLOOKUP(A1894,Feuil2!$A$2:$M$1241,12,FALSE)," ")</f>
        <v>#N/A</v>
      </c>
      <c r="G1894" s="1" t="e">
        <f>IF(B1894=0,VLOOKUP(A1894,Feuil2!$A$2:$M$1241,11,FALSE)," ")</f>
        <v>#N/A</v>
      </c>
      <c r="H1894" s="1" t="s">
        <v>16</v>
      </c>
      <c r="I1894" s="6" t="e">
        <f>IF(B1894=0,VLOOKUP(A1894,Feuil2!$A$2:$M$1241,7,FALSE)," ")</f>
        <v>#N/A</v>
      </c>
      <c r="J1894" s="1" t="e">
        <f>IF(B1894=0,VLOOKUP(A1894,Feuil2!$A$2:$M$1241,9,FALSE)," ")</f>
        <v>#N/A</v>
      </c>
      <c r="K1894" s="1" t="e">
        <f>IF(B1894=0,VLOOKUP(A1894,Feuil2!$A$2:$M$1241,10,FALSE)," ")</f>
        <v>#N/A</v>
      </c>
      <c r="L1894" s="1"/>
      <c r="M1894" s="1"/>
      <c r="N1894" s="1"/>
      <c r="O1894" s="8" t="e">
        <f>IF(B1894=0,VLOOKUP(A1894,Feuil2!$A$2:$M$1241,13,FALSE)," ")</f>
        <v>#N/A</v>
      </c>
    </row>
    <row r="1895" spans="1:15" x14ac:dyDescent="0.3">
      <c r="A1895" s="1"/>
      <c r="B1895" s="1"/>
      <c r="C1895" s="1" t="e">
        <f>IF(B1895=0,VLOOKUP(A1895,Feuil2!$A$2:$M$1241,2,FALSE)," ")</f>
        <v>#N/A</v>
      </c>
      <c r="D1895" s="1" t="e">
        <f>IF(B1895=0,VLOOKUP(A1895,Feuil2!$A$2:$M$1241,3,FALSE)," ")</f>
        <v>#N/A</v>
      </c>
      <c r="E1895" s="5" t="e">
        <f>IF(B1895=0,VLOOKUP(A1895,Feuil2!$A$2:$M$1241,6,FALSE)," ")</f>
        <v>#N/A</v>
      </c>
      <c r="F1895" s="1" t="e">
        <f>IF(B1895=0,VLOOKUP(A1895,Feuil2!$A$2:$M$1241,12,FALSE)," ")</f>
        <v>#N/A</v>
      </c>
      <c r="G1895" s="1" t="e">
        <f>IF(B1895=0,VLOOKUP(A1895,Feuil2!$A$2:$M$1241,11,FALSE)," ")</f>
        <v>#N/A</v>
      </c>
      <c r="H1895" s="1" t="s">
        <v>16</v>
      </c>
      <c r="I1895" s="6" t="e">
        <f>IF(B1895=0,VLOOKUP(A1895,Feuil2!$A$2:$M$1241,7,FALSE)," ")</f>
        <v>#N/A</v>
      </c>
      <c r="J1895" s="1" t="e">
        <f>IF(B1895=0,VLOOKUP(A1895,Feuil2!$A$2:$M$1241,9,FALSE)," ")</f>
        <v>#N/A</v>
      </c>
      <c r="K1895" s="1" t="e">
        <f>IF(B1895=0,VLOOKUP(A1895,Feuil2!$A$2:$M$1241,10,FALSE)," ")</f>
        <v>#N/A</v>
      </c>
      <c r="L1895" s="1"/>
      <c r="M1895" s="1"/>
      <c r="N1895" s="1"/>
      <c r="O1895" s="8" t="e">
        <f>IF(B1895=0,VLOOKUP(A1895,Feuil2!$A$2:$M$1241,13,FALSE)," ")</f>
        <v>#N/A</v>
      </c>
    </row>
    <row r="1896" spans="1:15" x14ac:dyDescent="0.3">
      <c r="A1896" s="1"/>
      <c r="B1896" s="1"/>
      <c r="C1896" s="1" t="e">
        <f>IF(B1896=0,VLOOKUP(A1896,Feuil2!$A$2:$M$1241,2,FALSE)," ")</f>
        <v>#N/A</v>
      </c>
      <c r="D1896" s="1" t="e">
        <f>IF(B1896=0,VLOOKUP(A1896,Feuil2!$A$2:$M$1241,3,FALSE)," ")</f>
        <v>#N/A</v>
      </c>
      <c r="E1896" s="5" t="e">
        <f>IF(B1896=0,VLOOKUP(A1896,Feuil2!$A$2:$M$1241,6,FALSE)," ")</f>
        <v>#N/A</v>
      </c>
      <c r="F1896" s="1" t="e">
        <f>IF(B1896=0,VLOOKUP(A1896,Feuil2!$A$2:$M$1241,12,FALSE)," ")</f>
        <v>#N/A</v>
      </c>
      <c r="G1896" s="1" t="e">
        <f>IF(B1896=0,VLOOKUP(A1896,Feuil2!$A$2:$M$1241,11,FALSE)," ")</f>
        <v>#N/A</v>
      </c>
      <c r="H1896" s="1" t="s">
        <v>16</v>
      </c>
      <c r="I1896" s="6" t="e">
        <f>IF(B1896=0,VLOOKUP(A1896,Feuil2!$A$2:$M$1241,7,FALSE)," ")</f>
        <v>#N/A</v>
      </c>
      <c r="J1896" s="1" t="e">
        <f>IF(B1896=0,VLOOKUP(A1896,Feuil2!$A$2:$M$1241,9,FALSE)," ")</f>
        <v>#N/A</v>
      </c>
      <c r="K1896" s="1" t="e">
        <f>IF(B1896=0,VLOOKUP(A1896,Feuil2!$A$2:$M$1241,10,FALSE)," ")</f>
        <v>#N/A</v>
      </c>
      <c r="L1896" s="1"/>
      <c r="M1896" s="1"/>
      <c r="N1896" s="1"/>
      <c r="O1896" s="8" t="e">
        <f>IF(B1896=0,VLOOKUP(A1896,Feuil2!$A$2:$M$1241,13,FALSE)," ")</f>
        <v>#N/A</v>
      </c>
    </row>
    <row r="1897" spans="1:15" x14ac:dyDescent="0.3">
      <c r="A1897" s="1"/>
      <c r="B1897" s="1"/>
      <c r="C1897" s="1" t="e">
        <f>IF(B1897=0,VLOOKUP(A1897,Feuil2!$A$2:$M$1241,2,FALSE)," ")</f>
        <v>#N/A</v>
      </c>
      <c r="D1897" s="1" t="e">
        <f>IF(B1897=0,VLOOKUP(A1897,Feuil2!$A$2:$M$1241,3,FALSE)," ")</f>
        <v>#N/A</v>
      </c>
      <c r="E1897" s="5" t="e">
        <f>IF(B1897=0,VLOOKUP(A1897,Feuil2!$A$2:$M$1241,6,FALSE)," ")</f>
        <v>#N/A</v>
      </c>
      <c r="F1897" s="1" t="e">
        <f>IF(B1897=0,VLOOKUP(A1897,Feuil2!$A$2:$M$1241,12,FALSE)," ")</f>
        <v>#N/A</v>
      </c>
      <c r="G1897" s="1" t="e">
        <f>IF(B1897=0,VLOOKUP(A1897,Feuil2!$A$2:$M$1241,11,FALSE)," ")</f>
        <v>#N/A</v>
      </c>
      <c r="H1897" s="1" t="s">
        <v>16</v>
      </c>
      <c r="I1897" s="6" t="e">
        <f>IF(B1897=0,VLOOKUP(A1897,Feuil2!$A$2:$M$1241,7,FALSE)," ")</f>
        <v>#N/A</v>
      </c>
      <c r="J1897" s="1" t="e">
        <f>IF(B1897=0,VLOOKUP(A1897,Feuil2!$A$2:$M$1241,9,FALSE)," ")</f>
        <v>#N/A</v>
      </c>
      <c r="K1897" s="1" t="e">
        <f>IF(B1897=0,VLOOKUP(A1897,Feuil2!$A$2:$M$1241,10,FALSE)," ")</f>
        <v>#N/A</v>
      </c>
      <c r="L1897" s="1"/>
      <c r="M1897" s="1"/>
      <c r="N1897" s="1"/>
      <c r="O1897" s="8" t="e">
        <f>IF(B1897=0,VLOOKUP(A1897,Feuil2!$A$2:$M$1241,13,FALSE)," ")</f>
        <v>#N/A</v>
      </c>
    </row>
    <row r="1898" spans="1:15" x14ac:dyDescent="0.3">
      <c r="A1898" s="1"/>
      <c r="B1898" s="1"/>
      <c r="C1898" s="1" t="e">
        <f>IF(B1898=0,VLOOKUP(A1898,Feuil2!$A$2:$M$1241,2,FALSE)," ")</f>
        <v>#N/A</v>
      </c>
      <c r="D1898" s="1" t="e">
        <f>IF(B1898=0,VLOOKUP(A1898,Feuil2!$A$2:$M$1241,3,FALSE)," ")</f>
        <v>#N/A</v>
      </c>
      <c r="E1898" s="5" t="e">
        <f>IF(B1898=0,VLOOKUP(A1898,Feuil2!$A$2:$M$1241,6,FALSE)," ")</f>
        <v>#N/A</v>
      </c>
      <c r="F1898" s="1" t="e">
        <f>IF(B1898=0,VLOOKUP(A1898,Feuil2!$A$2:$M$1241,12,FALSE)," ")</f>
        <v>#N/A</v>
      </c>
      <c r="G1898" s="1" t="e">
        <f>IF(B1898=0,VLOOKUP(A1898,Feuil2!$A$2:$M$1241,11,FALSE)," ")</f>
        <v>#N/A</v>
      </c>
      <c r="H1898" s="1" t="s">
        <v>16</v>
      </c>
      <c r="I1898" s="6" t="e">
        <f>IF(B1898=0,VLOOKUP(A1898,Feuil2!$A$2:$M$1241,7,FALSE)," ")</f>
        <v>#N/A</v>
      </c>
      <c r="J1898" s="1" t="e">
        <f>IF(B1898=0,VLOOKUP(A1898,Feuil2!$A$2:$M$1241,9,FALSE)," ")</f>
        <v>#N/A</v>
      </c>
      <c r="K1898" s="1" t="e">
        <f>IF(B1898=0,VLOOKUP(A1898,Feuil2!$A$2:$M$1241,10,FALSE)," ")</f>
        <v>#N/A</v>
      </c>
      <c r="L1898" s="1"/>
      <c r="M1898" s="1"/>
      <c r="N1898" s="1"/>
      <c r="O1898" s="8" t="e">
        <f>IF(B1898=0,VLOOKUP(A1898,Feuil2!$A$2:$M$1241,13,FALSE)," ")</f>
        <v>#N/A</v>
      </c>
    </row>
    <row r="1899" spans="1:15" x14ac:dyDescent="0.3">
      <c r="A1899" s="1"/>
      <c r="B1899" s="1"/>
      <c r="C1899" s="1" t="e">
        <f>IF(B1899=0,VLOOKUP(A1899,Feuil2!$A$2:$M$1241,2,FALSE)," ")</f>
        <v>#N/A</v>
      </c>
      <c r="D1899" s="1" t="e">
        <f>IF(B1899=0,VLOOKUP(A1899,Feuil2!$A$2:$M$1241,3,FALSE)," ")</f>
        <v>#N/A</v>
      </c>
      <c r="E1899" s="5" t="e">
        <f>IF(B1899=0,VLOOKUP(A1899,Feuil2!$A$2:$M$1241,6,FALSE)," ")</f>
        <v>#N/A</v>
      </c>
      <c r="F1899" s="1" t="e">
        <f>IF(B1899=0,VLOOKUP(A1899,Feuil2!$A$2:$M$1241,12,FALSE)," ")</f>
        <v>#N/A</v>
      </c>
      <c r="G1899" s="1" t="e">
        <f>IF(B1899=0,VLOOKUP(A1899,Feuil2!$A$2:$M$1241,11,FALSE)," ")</f>
        <v>#N/A</v>
      </c>
      <c r="H1899" s="1" t="s">
        <v>16</v>
      </c>
      <c r="I1899" s="6" t="e">
        <f>IF(B1899=0,VLOOKUP(A1899,Feuil2!$A$2:$M$1241,7,FALSE)," ")</f>
        <v>#N/A</v>
      </c>
      <c r="J1899" s="1" t="e">
        <f>IF(B1899=0,VLOOKUP(A1899,Feuil2!$A$2:$M$1241,9,FALSE)," ")</f>
        <v>#N/A</v>
      </c>
      <c r="K1899" s="1" t="e">
        <f>IF(B1899=0,VLOOKUP(A1899,Feuil2!$A$2:$M$1241,10,FALSE)," ")</f>
        <v>#N/A</v>
      </c>
      <c r="L1899" s="1"/>
      <c r="M1899" s="1"/>
      <c r="N1899" s="1"/>
      <c r="O1899" s="8" t="e">
        <f>IF(B1899=0,VLOOKUP(A1899,Feuil2!$A$2:$M$1241,13,FALSE)," ")</f>
        <v>#N/A</v>
      </c>
    </row>
    <row r="1900" spans="1:15" x14ac:dyDescent="0.3">
      <c r="A1900" s="1"/>
      <c r="B1900" s="1"/>
      <c r="C1900" s="1" t="e">
        <f>IF(B1900=0,VLOOKUP(A1900,Feuil2!$A$2:$M$1241,2,FALSE)," ")</f>
        <v>#N/A</v>
      </c>
      <c r="D1900" s="1" t="e">
        <f>IF(B1900=0,VLOOKUP(A1900,Feuil2!$A$2:$M$1241,3,FALSE)," ")</f>
        <v>#N/A</v>
      </c>
      <c r="E1900" s="5" t="e">
        <f>IF(B1900=0,VLOOKUP(A1900,Feuil2!$A$2:$M$1241,6,FALSE)," ")</f>
        <v>#N/A</v>
      </c>
      <c r="F1900" s="1" t="e">
        <f>IF(B1900=0,VLOOKUP(A1900,Feuil2!$A$2:$M$1241,12,FALSE)," ")</f>
        <v>#N/A</v>
      </c>
      <c r="G1900" s="1" t="e">
        <f>IF(B1900=0,VLOOKUP(A1900,Feuil2!$A$2:$M$1241,11,FALSE)," ")</f>
        <v>#N/A</v>
      </c>
      <c r="H1900" s="1" t="s">
        <v>16</v>
      </c>
      <c r="I1900" s="6" t="e">
        <f>IF(B1900=0,VLOOKUP(A1900,Feuil2!$A$2:$M$1241,7,FALSE)," ")</f>
        <v>#N/A</v>
      </c>
      <c r="J1900" s="1" t="e">
        <f>IF(B1900=0,VLOOKUP(A1900,Feuil2!$A$2:$M$1241,9,FALSE)," ")</f>
        <v>#N/A</v>
      </c>
      <c r="K1900" s="1" t="e">
        <f>IF(B1900=0,VLOOKUP(A1900,Feuil2!$A$2:$M$1241,10,FALSE)," ")</f>
        <v>#N/A</v>
      </c>
      <c r="L1900" s="1"/>
      <c r="M1900" s="1"/>
      <c r="N1900" s="1"/>
      <c r="O1900" s="8" t="e">
        <f>IF(B1900=0,VLOOKUP(A1900,Feuil2!$A$2:$M$1241,13,FALSE)," ")</f>
        <v>#N/A</v>
      </c>
    </row>
    <row r="1901" spans="1:15" x14ac:dyDescent="0.3">
      <c r="A1901" s="1"/>
      <c r="B1901" s="1"/>
      <c r="C1901" s="1" t="e">
        <f>IF(B1901=0,VLOOKUP(A1901,Feuil2!$A$2:$M$1241,2,FALSE)," ")</f>
        <v>#N/A</v>
      </c>
      <c r="D1901" s="1" t="e">
        <f>IF(B1901=0,VLOOKUP(A1901,Feuil2!$A$2:$M$1241,3,FALSE)," ")</f>
        <v>#N/A</v>
      </c>
      <c r="E1901" s="5" t="e">
        <f>IF(B1901=0,VLOOKUP(A1901,Feuil2!$A$2:$M$1241,6,FALSE)," ")</f>
        <v>#N/A</v>
      </c>
      <c r="F1901" s="1" t="e">
        <f>IF(B1901=0,VLOOKUP(A1901,Feuil2!$A$2:$M$1241,12,FALSE)," ")</f>
        <v>#N/A</v>
      </c>
      <c r="G1901" s="1" t="e">
        <f>IF(B1901=0,VLOOKUP(A1901,Feuil2!$A$2:$M$1241,11,FALSE)," ")</f>
        <v>#N/A</v>
      </c>
      <c r="H1901" s="1" t="s">
        <v>16</v>
      </c>
      <c r="I1901" s="6" t="e">
        <f>IF(B1901=0,VLOOKUP(A1901,Feuil2!$A$2:$M$1241,7,FALSE)," ")</f>
        <v>#N/A</v>
      </c>
      <c r="J1901" s="1" t="e">
        <f>IF(B1901=0,VLOOKUP(A1901,Feuil2!$A$2:$M$1241,9,FALSE)," ")</f>
        <v>#N/A</v>
      </c>
      <c r="K1901" s="1" t="e">
        <f>IF(B1901=0,VLOOKUP(A1901,Feuil2!$A$2:$M$1241,10,FALSE)," ")</f>
        <v>#N/A</v>
      </c>
      <c r="L1901" s="1"/>
      <c r="M1901" s="1"/>
      <c r="N1901" s="1"/>
      <c r="O1901" s="8" t="e">
        <f>IF(B1901=0,VLOOKUP(A1901,Feuil2!$A$2:$M$1241,13,FALSE)," ")</f>
        <v>#N/A</v>
      </c>
    </row>
    <row r="1902" spans="1:15" x14ac:dyDescent="0.3">
      <c r="A1902" s="1"/>
      <c r="B1902" s="1"/>
      <c r="C1902" s="1" t="e">
        <f>IF(B1902=0,VLOOKUP(A1902,Feuil2!$A$2:$M$1241,2,FALSE)," ")</f>
        <v>#N/A</v>
      </c>
      <c r="D1902" s="1" t="e">
        <f>IF(B1902=0,VLOOKUP(A1902,Feuil2!$A$2:$M$1241,3,FALSE)," ")</f>
        <v>#N/A</v>
      </c>
      <c r="E1902" s="5" t="e">
        <f>IF(B1902=0,VLOOKUP(A1902,Feuil2!$A$2:$M$1241,6,FALSE)," ")</f>
        <v>#N/A</v>
      </c>
      <c r="F1902" s="1" t="e">
        <f>IF(B1902=0,VLOOKUP(A1902,Feuil2!$A$2:$M$1241,12,FALSE)," ")</f>
        <v>#N/A</v>
      </c>
      <c r="G1902" s="1" t="e">
        <f>IF(B1902=0,VLOOKUP(A1902,Feuil2!$A$2:$M$1241,11,FALSE)," ")</f>
        <v>#N/A</v>
      </c>
      <c r="H1902" s="1" t="s">
        <v>16</v>
      </c>
      <c r="I1902" s="6" t="e">
        <f>IF(B1902=0,VLOOKUP(A1902,Feuil2!$A$2:$M$1241,7,FALSE)," ")</f>
        <v>#N/A</v>
      </c>
      <c r="J1902" s="1" t="e">
        <f>IF(B1902=0,VLOOKUP(A1902,Feuil2!$A$2:$M$1241,9,FALSE)," ")</f>
        <v>#N/A</v>
      </c>
      <c r="K1902" s="1" t="e">
        <f>IF(B1902=0,VLOOKUP(A1902,Feuil2!$A$2:$M$1241,10,FALSE)," ")</f>
        <v>#N/A</v>
      </c>
      <c r="L1902" s="1"/>
      <c r="M1902" s="1"/>
      <c r="N1902" s="1"/>
      <c r="O1902" s="8" t="e">
        <f>IF(B1902=0,VLOOKUP(A1902,Feuil2!$A$2:$M$1241,13,FALSE)," ")</f>
        <v>#N/A</v>
      </c>
    </row>
    <row r="1903" spans="1:15" x14ac:dyDescent="0.3">
      <c r="A1903" s="1"/>
      <c r="B1903" s="1"/>
      <c r="C1903" s="1" t="e">
        <f>IF(B1903=0,VLOOKUP(A1903,Feuil2!$A$2:$M$1241,2,FALSE)," ")</f>
        <v>#N/A</v>
      </c>
      <c r="D1903" s="1" t="e">
        <f>IF(B1903=0,VLOOKUP(A1903,Feuil2!$A$2:$M$1241,3,FALSE)," ")</f>
        <v>#N/A</v>
      </c>
      <c r="E1903" s="5" t="e">
        <f>IF(B1903=0,VLOOKUP(A1903,Feuil2!$A$2:$M$1241,6,FALSE)," ")</f>
        <v>#N/A</v>
      </c>
      <c r="F1903" s="1" t="e">
        <f>IF(B1903=0,VLOOKUP(A1903,Feuil2!$A$2:$M$1241,12,FALSE)," ")</f>
        <v>#N/A</v>
      </c>
      <c r="G1903" s="1" t="e">
        <f>IF(B1903=0,VLOOKUP(A1903,Feuil2!$A$2:$M$1241,11,FALSE)," ")</f>
        <v>#N/A</v>
      </c>
      <c r="H1903" s="1" t="s">
        <v>16</v>
      </c>
      <c r="I1903" s="6" t="e">
        <f>IF(B1903=0,VLOOKUP(A1903,Feuil2!$A$2:$M$1241,7,FALSE)," ")</f>
        <v>#N/A</v>
      </c>
      <c r="J1903" s="1" t="e">
        <f>IF(B1903=0,VLOOKUP(A1903,Feuil2!$A$2:$M$1241,9,FALSE)," ")</f>
        <v>#N/A</v>
      </c>
      <c r="K1903" s="1" t="e">
        <f>IF(B1903=0,VLOOKUP(A1903,Feuil2!$A$2:$M$1241,10,FALSE)," ")</f>
        <v>#N/A</v>
      </c>
      <c r="L1903" s="1"/>
      <c r="M1903" s="1"/>
      <c r="N1903" s="1"/>
      <c r="O1903" s="8" t="e">
        <f>IF(B1903=0,VLOOKUP(A1903,Feuil2!$A$2:$M$1241,13,FALSE)," ")</f>
        <v>#N/A</v>
      </c>
    </row>
    <row r="1904" spans="1:15" x14ac:dyDescent="0.3">
      <c r="A1904" s="1"/>
      <c r="B1904" s="1"/>
      <c r="C1904" s="1" t="e">
        <f>IF(B1904=0,VLOOKUP(A1904,Feuil2!$A$2:$M$1241,2,FALSE)," ")</f>
        <v>#N/A</v>
      </c>
      <c r="D1904" s="1" t="e">
        <f>IF(B1904=0,VLOOKUP(A1904,Feuil2!$A$2:$M$1241,3,FALSE)," ")</f>
        <v>#N/A</v>
      </c>
      <c r="E1904" s="5" t="e">
        <f>IF(B1904=0,VLOOKUP(A1904,Feuil2!$A$2:$M$1241,6,FALSE)," ")</f>
        <v>#N/A</v>
      </c>
      <c r="F1904" s="1" t="e">
        <f>IF(B1904=0,VLOOKUP(A1904,Feuil2!$A$2:$M$1241,12,FALSE)," ")</f>
        <v>#N/A</v>
      </c>
      <c r="G1904" s="1" t="e">
        <f>IF(B1904=0,VLOOKUP(A1904,Feuil2!$A$2:$M$1241,11,FALSE)," ")</f>
        <v>#N/A</v>
      </c>
      <c r="H1904" s="1" t="s">
        <v>16</v>
      </c>
      <c r="I1904" s="6" t="e">
        <f>IF(B1904=0,VLOOKUP(A1904,Feuil2!$A$2:$M$1241,7,FALSE)," ")</f>
        <v>#N/A</v>
      </c>
      <c r="J1904" s="1" t="e">
        <f>IF(B1904=0,VLOOKUP(A1904,Feuil2!$A$2:$M$1241,9,FALSE)," ")</f>
        <v>#N/A</v>
      </c>
      <c r="K1904" s="1" t="e">
        <f>IF(B1904=0,VLOOKUP(A1904,Feuil2!$A$2:$M$1241,10,FALSE)," ")</f>
        <v>#N/A</v>
      </c>
      <c r="L1904" s="1"/>
      <c r="M1904" s="1"/>
      <c r="N1904" s="1"/>
      <c r="O1904" s="8" t="e">
        <f>IF(B1904=0,VLOOKUP(A1904,Feuil2!$A$2:$M$1241,13,FALSE)," ")</f>
        <v>#N/A</v>
      </c>
    </row>
    <row r="1905" spans="1:15" x14ac:dyDescent="0.3">
      <c r="A1905" s="1"/>
      <c r="B1905" s="1"/>
      <c r="C1905" s="1" t="e">
        <f>IF(B1905=0,VLOOKUP(A1905,Feuil2!$A$2:$M$1241,2,FALSE)," ")</f>
        <v>#N/A</v>
      </c>
      <c r="D1905" s="1" t="e">
        <f>IF(B1905=0,VLOOKUP(A1905,Feuil2!$A$2:$M$1241,3,FALSE)," ")</f>
        <v>#N/A</v>
      </c>
      <c r="E1905" s="5" t="e">
        <f>IF(B1905=0,VLOOKUP(A1905,Feuil2!$A$2:$M$1241,6,FALSE)," ")</f>
        <v>#N/A</v>
      </c>
      <c r="F1905" s="1" t="e">
        <f>IF(B1905=0,VLOOKUP(A1905,Feuil2!$A$2:$M$1241,12,FALSE)," ")</f>
        <v>#N/A</v>
      </c>
      <c r="G1905" s="1" t="e">
        <f>IF(B1905=0,VLOOKUP(A1905,Feuil2!$A$2:$M$1241,11,FALSE)," ")</f>
        <v>#N/A</v>
      </c>
      <c r="H1905" s="1" t="s">
        <v>16</v>
      </c>
      <c r="I1905" s="6" t="e">
        <f>IF(B1905=0,VLOOKUP(A1905,Feuil2!$A$2:$M$1241,7,FALSE)," ")</f>
        <v>#N/A</v>
      </c>
      <c r="J1905" s="1" t="e">
        <f>IF(B1905=0,VLOOKUP(A1905,Feuil2!$A$2:$M$1241,9,FALSE)," ")</f>
        <v>#N/A</v>
      </c>
      <c r="K1905" s="1" t="e">
        <f>IF(B1905=0,VLOOKUP(A1905,Feuil2!$A$2:$M$1241,10,FALSE)," ")</f>
        <v>#N/A</v>
      </c>
      <c r="L1905" s="1"/>
      <c r="M1905" s="1"/>
      <c r="N1905" s="1"/>
      <c r="O1905" s="8" t="e">
        <f>IF(B1905=0,VLOOKUP(A1905,Feuil2!$A$2:$M$1241,13,FALSE)," ")</f>
        <v>#N/A</v>
      </c>
    </row>
    <row r="1906" spans="1:15" x14ac:dyDescent="0.3">
      <c r="A1906" s="1"/>
      <c r="B1906" s="1"/>
      <c r="C1906" s="1" t="e">
        <f>IF(B1906=0,VLOOKUP(A1906,Feuil2!$A$2:$M$1241,2,FALSE)," ")</f>
        <v>#N/A</v>
      </c>
      <c r="D1906" s="1" t="e">
        <f>IF(B1906=0,VLOOKUP(A1906,Feuil2!$A$2:$M$1241,3,FALSE)," ")</f>
        <v>#N/A</v>
      </c>
      <c r="E1906" s="5" t="e">
        <f>IF(B1906=0,VLOOKUP(A1906,Feuil2!$A$2:$M$1241,6,FALSE)," ")</f>
        <v>#N/A</v>
      </c>
      <c r="F1906" s="1" t="e">
        <f>IF(B1906=0,VLOOKUP(A1906,Feuil2!$A$2:$M$1241,12,FALSE)," ")</f>
        <v>#N/A</v>
      </c>
      <c r="G1906" s="1" t="e">
        <f>IF(B1906=0,VLOOKUP(A1906,Feuil2!$A$2:$M$1241,11,FALSE)," ")</f>
        <v>#N/A</v>
      </c>
      <c r="H1906" s="1" t="s">
        <v>16</v>
      </c>
      <c r="I1906" s="6" t="e">
        <f>IF(B1906=0,VLOOKUP(A1906,Feuil2!$A$2:$M$1241,7,FALSE)," ")</f>
        <v>#N/A</v>
      </c>
      <c r="J1906" s="1" t="e">
        <f>IF(B1906=0,VLOOKUP(A1906,Feuil2!$A$2:$M$1241,9,FALSE)," ")</f>
        <v>#N/A</v>
      </c>
      <c r="K1906" s="1" t="e">
        <f>IF(B1906=0,VLOOKUP(A1906,Feuil2!$A$2:$M$1241,10,FALSE)," ")</f>
        <v>#N/A</v>
      </c>
      <c r="L1906" s="1"/>
      <c r="M1906" s="1"/>
      <c r="N1906" s="1"/>
      <c r="O1906" s="8" t="e">
        <f>IF(B1906=0,VLOOKUP(A1906,Feuil2!$A$2:$M$1241,13,FALSE)," ")</f>
        <v>#N/A</v>
      </c>
    </row>
    <row r="1907" spans="1:15" x14ac:dyDescent="0.3">
      <c r="A1907" s="1"/>
      <c r="B1907" s="1"/>
      <c r="C1907" s="1" t="e">
        <f>IF(B1907=0,VLOOKUP(A1907,Feuil2!$A$2:$M$1241,2,FALSE)," ")</f>
        <v>#N/A</v>
      </c>
      <c r="D1907" s="1" t="e">
        <f>IF(B1907=0,VLOOKUP(A1907,Feuil2!$A$2:$M$1241,3,FALSE)," ")</f>
        <v>#N/A</v>
      </c>
      <c r="E1907" s="5" t="e">
        <f>IF(B1907=0,VLOOKUP(A1907,Feuil2!$A$2:$M$1241,6,FALSE)," ")</f>
        <v>#N/A</v>
      </c>
      <c r="F1907" s="1" t="e">
        <f>IF(B1907=0,VLOOKUP(A1907,Feuil2!$A$2:$M$1241,12,FALSE)," ")</f>
        <v>#N/A</v>
      </c>
      <c r="G1907" s="1" t="e">
        <f>IF(B1907=0,VLOOKUP(A1907,Feuil2!$A$2:$M$1241,11,FALSE)," ")</f>
        <v>#N/A</v>
      </c>
      <c r="H1907" s="1" t="s">
        <v>16</v>
      </c>
      <c r="I1907" s="6" t="e">
        <f>IF(B1907=0,VLOOKUP(A1907,Feuil2!$A$2:$M$1241,7,FALSE)," ")</f>
        <v>#N/A</v>
      </c>
      <c r="J1907" s="1" t="e">
        <f>IF(B1907=0,VLOOKUP(A1907,Feuil2!$A$2:$M$1241,9,FALSE)," ")</f>
        <v>#N/A</v>
      </c>
      <c r="K1907" s="1" t="e">
        <f>IF(B1907=0,VLOOKUP(A1907,Feuil2!$A$2:$M$1241,10,FALSE)," ")</f>
        <v>#N/A</v>
      </c>
      <c r="L1907" s="1"/>
      <c r="M1907" s="1"/>
      <c r="N1907" s="1"/>
      <c r="O1907" s="8" t="e">
        <f>IF(B1907=0,VLOOKUP(A1907,Feuil2!$A$2:$M$1241,13,FALSE)," ")</f>
        <v>#N/A</v>
      </c>
    </row>
    <row r="1908" spans="1:15" x14ac:dyDescent="0.3">
      <c r="A1908" s="1"/>
      <c r="B1908" s="1"/>
      <c r="C1908" s="1" t="e">
        <f>IF(B1908=0,VLOOKUP(A1908,Feuil2!$A$2:$M$1241,2,FALSE)," ")</f>
        <v>#N/A</v>
      </c>
      <c r="D1908" s="1" t="e">
        <f>IF(B1908=0,VLOOKUP(A1908,Feuil2!$A$2:$M$1241,3,FALSE)," ")</f>
        <v>#N/A</v>
      </c>
      <c r="E1908" s="5" t="e">
        <f>IF(B1908=0,VLOOKUP(A1908,Feuil2!$A$2:$M$1241,6,FALSE)," ")</f>
        <v>#N/A</v>
      </c>
      <c r="F1908" s="1" t="e">
        <f>IF(B1908=0,VLOOKUP(A1908,Feuil2!$A$2:$M$1241,12,FALSE)," ")</f>
        <v>#N/A</v>
      </c>
      <c r="G1908" s="1" t="e">
        <f>IF(B1908=0,VLOOKUP(A1908,Feuil2!$A$2:$M$1241,11,FALSE)," ")</f>
        <v>#N/A</v>
      </c>
      <c r="H1908" s="1" t="s">
        <v>16</v>
      </c>
      <c r="I1908" s="6" t="e">
        <f>IF(B1908=0,VLOOKUP(A1908,Feuil2!$A$2:$M$1241,7,FALSE)," ")</f>
        <v>#N/A</v>
      </c>
      <c r="J1908" s="1" t="e">
        <f>IF(B1908=0,VLOOKUP(A1908,Feuil2!$A$2:$M$1241,9,FALSE)," ")</f>
        <v>#N/A</v>
      </c>
      <c r="K1908" s="1" t="e">
        <f>IF(B1908=0,VLOOKUP(A1908,Feuil2!$A$2:$M$1241,10,FALSE)," ")</f>
        <v>#N/A</v>
      </c>
      <c r="L1908" s="1"/>
      <c r="M1908" s="1"/>
      <c r="N1908" s="1"/>
      <c r="O1908" s="8" t="e">
        <f>IF(B1908=0,VLOOKUP(A1908,Feuil2!$A$2:$M$1241,13,FALSE)," ")</f>
        <v>#N/A</v>
      </c>
    </row>
    <row r="1909" spans="1:15" x14ac:dyDescent="0.3">
      <c r="A1909" s="1"/>
      <c r="B1909" s="1"/>
      <c r="C1909" s="1" t="e">
        <f>IF(B1909=0,VLOOKUP(A1909,Feuil2!$A$2:$M$1241,2,FALSE)," ")</f>
        <v>#N/A</v>
      </c>
      <c r="D1909" s="1" t="e">
        <f>IF(B1909=0,VLOOKUP(A1909,Feuil2!$A$2:$M$1241,3,FALSE)," ")</f>
        <v>#N/A</v>
      </c>
      <c r="E1909" s="5" t="e">
        <f>IF(B1909=0,VLOOKUP(A1909,Feuil2!$A$2:$M$1241,6,FALSE)," ")</f>
        <v>#N/A</v>
      </c>
      <c r="F1909" s="1" t="e">
        <f>IF(B1909=0,VLOOKUP(A1909,Feuil2!$A$2:$M$1241,12,FALSE)," ")</f>
        <v>#N/A</v>
      </c>
      <c r="G1909" s="1" t="e">
        <f>IF(B1909=0,VLOOKUP(A1909,Feuil2!$A$2:$M$1241,11,FALSE)," ")</f>
        <v>#N/A</v>
      </c>
      <c r="H1909" s="1" t="s">
        <v>16</v>
      </c>
      <c r="I1909" s="6" t="e">
        <f>IF(B1909=0,VLOOKUP(A1909,Feuil2!$A$2:$M$1241,7,FALSE)," ")</f>
        <v>#N/A</v>
      </c>
      <c r="J1909" s="1" t="e">
        <f>IF(B1909=0,VLOOKUP(A1909,Feuil2!$A$2:$M$1241,9,FALSE)," ")</f>
        <v>#N/A</v>
      </c>
      <c r="K1909" s="1" t="e">
        <f>IF(B1909=0,VLOOKUP(A1909,Feuil2!$A$2:$M$1241,10,FALSE)," ")</f>
        <v>#N/A</v>
      </c>
      <c r="L1909" s="1"/>
      <c r="M1909" s="1"/>
      <c r="N1909" s="1"/>
      <c r="O1909" s="8" t="e">
        <f>IF(B1909=0,VLOOKUP(A1909,Feuil2!$A$2:$M$1241,13,FALSE)," ")</f>
        <v>#N/A</v>
      </c>
    </row>
    <row r="1910" spans="1:15" x14ac:dyDescent="0.3">
      <c r="A1910" s="1"/>
      <c r="B1910" s="1"/>
      <c r="C1910" s="1" t="e">
        <f>IF(B1910=0,VLOOKUP(A1910,Feuil2!$A$2:$M$1241,2,FALSE)," ")</f>
        <v>#N/A</v>
      </c>
      <c r="D1910" s="1" t="e">
        <f>IF(B1910=0,VLOOKUP(A1910,Feuil2!$A$2:$M$1241,3,FALSE)," ")</f>
        <v>#N/A</v>
      </c>
      <c r="E1910" s="5" t="e">
        <f>IF(B1910=0,VLOOKUP(A1910,Feuil2!$A$2:$M$1241,6,FALSE)," ")</f>
        <v>#N/A</v>
      </c>
      <c r="F1910" s="1" t="e">
        <f>IF(B1910=0,VLOOKUP(A1910,Feuil2!$A$2:$M$1241,12,FALSE)," ")</f>
        <v>#N/A</v>
      </c>
      <c r="G1910" s="1" t="e">
        <f>IF(B1910=0,VLOOKUP(A1910,Feuil2!$A$2:$M$1241,11,FALSE)," ")</f>
        <v>#N/A</v>
      </c>
      <c r="H1910" s="1" t="s">
        <v>16</v>
      </c>
      <c r="I1910" s="6" t="e">
        <f>IF(B1910=0,VLOOKUP(A1910,Feuil2!$A$2:$M$1241,7,FALSE)," ")</f>
        <v>#N/A</v>
      </c>
      <c r="J1910" s="1" t="e">
        <f>IF(B1910=0,VLOOKUP(A1910,Feuil2!$A$2:$M$1241,9,FALSE)," ")</f>
        <v>#N/A</v>
      </c>
      <c r="K1910" s="1" t="e">
        <f>IF(B1910=0,VLOOKUP(A1910,Feuil2!$A$2:$M$1241,10,FALSE)," ")</f>
        <v>#N/A</v>
      </c>
      <c r="L1910" s="1"/>
      <c r="M1910" s="1"/>
      <c r="N1910" s="1"/>
      <c r="O1910" s="8" t="e">
        <f>IF(B1910=0,VLOOKUP(A1910,Feuil2!$A$2:$M$1241,13,FALSE)," ")</f>
        <v>#N/A</v>
      </c>
    </row>
    <row r="1911" spans="1:15" x14ac:dyDescent="0.3">
      <c r="A1911" s="1"/>
      <c r="B1911" s="1"/>
      <c r="C1911" s="1" t="e">
        <f>IF(B1911=0,VLOOKUP(A1911,Feuil2!$A$2:$M$1241,2,FALSE)," ")</f>
        <v>#N/A</v>
      </c>
      <c r="D1911" s="1" t="e">
        <f>IF(B1911=0,VLOOKUP(A1911,Feuil2!$A$2:$M$1241,3,FALSE)," ")</f>
        <v>#N/A</v>
      </c>
      <c r="E1911" s="5" t="e">
        <f>IF(B1911=0,VLOOKUP(A1911,Feuil2!$A$2:$M$1241,6,FALSE)," ")</f>
        <v>#N/A</v>
      </c>
      <c r="F1911" s="1" t="e">
        <f>IF(B1911=0,VLOOKUP(A1911,Feuil2!$A$2:$M$1241,12,FALSE)," ")</f>
        <v>#N/A</v>
      </c>
      <c r="G1911" s="1" t="e">
        <f>IF(B1911=0,VLOOKUP(A1911,Feuil2!$A$2:$M$1241,11,FALSE)," ")</f>
        <v>#N/A</v>
      </c>
      <c r="H1911" s="1" t="s">
        <v>16</v>
      </c>
      <c r="I1911" s="6" t="e">
        <f>IF(B1911=0,VLOOKUP(A1911,Feuil2!$A$2:$M$1241,7,FALSE)," ")</f>
        <v>#N/A</v>
      </c>
      <c r="J1911" s="1" t="e">
        <f>IF(B1911=0,VLOOKUP(A1911,Feuil2!$A$2:$M$1241,9,FALSE)," ")</f>
        <v>#N/A</v>
      </c>
      <c r="K1911" s="1" t="e">
        <f>IF(B1911=0,VLOOKUP(A1911,Feuil2!$A$2:$M$1241,10,FALSE)," ")</f>
        <v>#N/A</v>
      </c>
      <c r="L1911" s="1"/>
      <c r="M1911" s="1"/>
      <c r="N1911" s="1"/>
      <c r="O1911" s="8" t="e">
        <f>IF(B1911=0,VLOOKUP(A1911,Feuil2!$A$2:$M$1241,13,FALSE)," ")</f>
        <v>#N/A</v>
      </c>
    </row>
    <row r="1912" spans="1:15" x14ac:dyDescent="0.3">
      <c r="A1912" s="1"/>
      <c r="B1912" s="1"/>
      <c r="C1912" s="1" t="e">
        <f>IF(B1912=0,VLOOKUP(A1912,Feuil2!$A$2:$M$1241,2,FALSE)," ")</f>
        <v>#N/A</v>
      </c>
      <c r="D1912" s="1" t="e">
        <f>IF(B1912=0,VLOOKUP(A1912,Feuil2!$A$2:$M$1241,3,FALSE)," ")</f>
        <v>#N/A</v>
      </c>
      <c r="E1912" s="5" t="e">
        <f>IF(B1912=0,VLOOKUP(A1912,Feuil2!$A$2:$M$1241,6,FALSE)," ")</f>
        <v>#N/A</v>
      </c>
      <c r="F1912" s="1" t="e">
        <f>IF(B1912=0,VLOOKUP(A1912,Feuil2!$A$2:$M$1241,12,FALSE)," ")</f>
        <v>#N/A</v>
      </c>
      <c r="G1912" s="1" t="e">
        <f>IF(B1912=0,VLOOKUP(A1912,Feuil2!$A$2:$M$1241,11,FALSE)," ")</f>
        <v>#N/A</v>
      </c>
      <c r="H1912" s="1" t="s">
        <v>16</v>
      </c>
      <c r="I1912" s="6" t="e">
        <f>IF(B1912=0,VLOOKUP(A1912,Feuil2!$A$2:$M$1241,7,FALSE)," ")</f>
        <v>#N/A</v>
      </c>
      <c r="J1912" s="1" t="e">
        <f>IF(B1912=0,VLOOKUP(A1912,Feuil2!$A$2:$M$1241,9,FALSE)," ")</f>
        <v>#N/A</v>
      </c>
      <c r="K1912" s="1" t="e">
        <f>IF(B1912=0,VLOOKUP(A1912,Feuil2!$A$2:$M$1241,10,FALSE)," ")</f>
        <v>#N/A</v>
      </c>
      <c r="L1912" s="1"/>
      <c r="M1912" s="1"/>
      <c r="N1912" s="1"/>
      <c r="O1912" s="8" t="e">
        <f>IF(B1912=0,VLOOKUP(A1912,Feuil2!$A$2:$M$1241,13,FALSE)," ")</f>
        <v>#N/A</v>
      </c>
    </row>
    <row r="1913" spans="1:15" x14ac:dyDescent="0.3">
      <c r="A1913" s="1"/>
      <c r="B1913" s="1"/>
      <c r="C1913" s="1" t="e">
        <f>IF(B1913=0,VLOOKUP(A1913,Feuil2!$A$2:$M$1241,2,FALSE)," ")</f>
        <v>#N/A</v>
      </c>
      <c r="D1913" s="1" t="e">
        <f>IF(B1913=0,VLOOKUP(A1913,Feuil2!$A$2:$M$1241,3,FALSE)," ")</f>
        <v>#N/A</v>
      </c>
      <c r="E1913" s="5" t="e">
        <f>IF(B1913=0,VLOOKUP(A1913,Feuil2!$A$2:$M$1241,6,FALSE)," ")</f>
        <v>#N/A</v>
      </c>
      <c r="F1913" s="1" t="e">
        <f>IF(B1913=0,VLOOKUP(A1913,Feuil2!$A$2:$M$1241,12,FALSE)," ")</f>
        <v>#N/A</v>
      </c>
      <c r="G1913" s="1" t="e">
        <f>IF(B1913=0,VLOOKUP(A1913,Feuil2!$A$2:$M$1241,11,FALSE)," ")</f>
        <v>#N/A</v>
      </c>
      <c r="H1913" s="1" t="s">
        <v>16</v>
      </c>
      <c r="I1913" s="6" t="e">
        <f>IF(B1913=0,VLOOKUP(A1913,Feuil2!$A$2:$M$1241,7,FALSE)," ")</f>
        <v>#N/A</v>
      </c>
      <c r="J1913" s="1" t="e">
        <f>IF(B1913=0,VLOOKUP(A1913,Feuil2!$A$2:$M$1241,9,FALSE)," ")</f>
        <v>#N/A</v>
      </c>
      <c r="K1913" s="1" t="e">
        <f>IF(B1913=0,VLOOKUP(A1913,Feuil2!$A$2:$M$1241,10,FALSE)," ")</f>
        <v>#N/A</v>
      </c>
      <c r="L1913" s="1"/>
      <c r="M1913" s="1"/>
      <c r="N1913" s="1"/>
      <c r="O1913" s="8" t="e">
        <f>IF(B1913=0,VLOOKUP(A1913,Feuil2!$A$2:$M$1241,13,FALSE)," ")</f>
        <v>#N/A</v>
      </c>
    </row>
    <row r="1914" spans="1:15" x14ac:dyDescent="0.3">
      <c r="A1914" s="1"/>
      <c r="B1914" s="1"/>
      <c r="C1914" s="1" t="e">
        <f>IF(B1914=0,VLOOKUP(A1914,Feuil2!$A$2:$M$1241,2,FALSE)," ")</f>
        <v>#N/A</v>
      </c>
      <c r="D1914" s="1" t="e">
        <f>IF(B1914=0,VLOOKUP(A1914,Feuil2!$A$2:$M$1241,3,FALSE)," ")</f>
        <v>#N/A</v>
      </c>
      <c r="E1914" s="5" t="e">
        <f>IF(B1914=0,VLOOKUP(A1914,Feuil2!$A$2:$M$1241,6,FALSE)," ")</f>
        <v>#N/A</v>
      </c>
      <c r="F1914" s="1" t="e">
        <f>IF(B1914=0,VLOOKUP(A1914,Feuil2!$A$2:$M$1241,12,FALSE)," ")</f>
        <v>#N/A</v>
      </c>
      <c r="G1914" s="1" t="e">
        <f>IF(B1914=0,VLOOKUP(A1914,Feuil2!$A$2:$M$1241,11,FALSE)," ")</f>
        <v>#N/A</v>
      </c>
      <c r="H1914" s="1" t="s">
        <v>16</v>
      </c>
      <c r="I1914" s="6" t="e">
        <f>IF(B1914=0,VLOOKUP(A1914,Feuil2!$A$2:$M$1241,7,FALSE)," ")</f>
        <v>#N/A</v>
      </c>
      <c r="J1914" s="1" t="e">
        <f>IF(B1914=0,VLOOKUP(A1914,Feuil2!$A$2:$M$1241,9,FALSE)," ")</f>
        <v>#N/A</v>
      </c>
      <c r="K1914" s="1" t="e">
        <f>IF(B1914=0,VLOOKUP(A1914,Feuil2!$A$2:$M$1241,10,FALSE)," ")</f>
        <v>#N/A</v>
      </c>
      <c r="L1914" s="1"/>
      <c r="M1914" s="1"/>
      <c r="N1914" s="1"/>
      <c r="O1914" s="8" t="e">
        <f>IF(B1914=0,VLOOKUP(A1914,Feuil2!$A$2:$M$1241,13,FALSE)," ")</f>
        <v>#N/A</v>
      </c>
    </row>
    <row r="1915" spans="1:15" x14ac:dyDescent="0.3">
      <c r="A1915" s="1"/>
      <c r="B1915" s="1"/>
      <c r="C1915" s="1" t="e">
        <f>IF(B1915=0,VLOOKUP(A1915,Feuil2!$A$2:$M$1241,2,FALSE)," ")</f>
        <v>#N/A</v>
      </c>
      <c r="D1915" s="1" t="e">
        <f>IF(B1915=0,VLOOKUP(A1915,Feuil2!$A$2:$M$1241,3,FALSE)," ")</f>
        <v>#N/A</v>
      </c>
      <c r="E1915" s="5" t="e">
        <f>IF(B1915=0,VLOOKUP(A1915,Feuil2!$A$2:$M$1241,6,FALSE)," ")</f>
        <v>#N/A</v>
      </c>
      <c r="F1915" s="1" t="e">
        <f>IF(B1915=0,VLOOKUP(A1915,Feuil2!$A$2:$M$1241,12,FALSE)," ")</f>
        <v>#N/A</v>
      </c>
      <c r="G1915" s="1" t="e">
        <f>IF(B1915=0,VLOOKUP(A1915,Feuil2!$A$2:$M$1241,11,FALSE)," ")</f>
        <v>#N/A</v>
      </c>
      <c r="H1915" s="1" t="s">
        <v>16</v>
      </c>
      <c r="I1915" s="6" t="e">
        <f>IF(B1915=0,VLOOKUP(A1915,Feuil2!$A$2:$M$1241,7,FALSE)," ")</f>
        <v>#N/A</v>
      </c>
      <c r="J1915" s="1" t="e">
        <f>IF(B1915=0,VLOOKUP(A1915,Feuil2!$A$2:$M$1241,9,FALSE)," ")</f>
        <v>#N/A</v>
      </c>
      <c r="K1915" s="1" t="e">
        <f>IF(B1915=0,VLOOKUP(A1915,Feuil2!$A$2:$M$1241,10,FALSE)," ")</f>
        <v>#N/A</v>
      </c>
      <c r="L1915" s="1"/>
      <c r="M1915" s="1"/>
      <c r="N1915" s="1"/>
      <c r="O1915" s="8" t="e">
        <f>IF(B1915=0,VLOOKUP(A1915,Feuil2!$A$2:$M$1241,13,FALSE)," ")</f>
        <v>#N/A</v>
      </c>
    </row>
    <row r="1916" spans="1:15" x14ac:dyDescent="0.3">
      <c r="A1916" s="1"/>
      <c r="B1916" s="1"/>
      <c r="C1916" s="1" t="e">
        <f>IF(B1916=0,VLOOKUP(A1916,Feuil2!$A$2:$M$1241,2,FALSE)," ")</f>
        <v>#N/A</v>
      </c>
      <c r="D1916" s="1" t="e">
        <f>IF(B1916=0,VLOOKUP(A1916,Feuil2!$A$2:$M$1241,3,FALSE)," ")</f>
        <v>#N/A</v>
      </c>
      <c r="E1916" s="5" t="e">
        <f>IF(B1916=0,VLOOKUP(A1916,Feuil2!$A$2:$M$1241,6,FALSE)," ")</f>
        <v>#N/A</v>
      </c>
      <c r="F1916" s="1" t="e">
        <f>IF(B1916=0,VLOOKUP(A1916,Feuil2!$A$2:$M$1241,12,FALSE)," ")</f>
        <v>#N/A</v>
      </c>
      <c r="G1916" s="1" t="e">
        <f>IF(B1916=0,VLOOKUP(A1916,Feuil2!$A$2:$M$1241,11,FALSE)," ")</f>
        <v>#N/A</v>
      </c>
      <c r="H1916" s="1" t="s">
        <v>16</v>
      </c>
      <c r="I1916" s="6" t="e">
        <f>IF(B1916=0,VLOOKUP(A1916,Feuil2!$A$2:$M$1241,7,FALSE)," ")</f>
        <v>#N/A</v>
      </c>
      <c r="J1916" s="1" t="e">
        <f>IF(B1916=0,VLOOKUP(A1916,Feuil2!$A$2:$M$1241,9,FALSE)," ")</f>
        <v>#N/A</v>
      </c>
      <c r="K1916" s="1" t="e">
        <f>IF(B1916=0,VLOOKUP(A1916,Feuil2!$A$2:$M$1241,10,FALSE)," ")</f>
        <v>#N/A</v>
      </c>
      <c r="L1916" s="1"/>
      <c r="M1916" s="1"/>
      <c r="N1916" s="1"/>
      <c r="O1916" s="8" t="e">
        <f>IF(B1916=0,VLOOKUP(A1916,Feuil2!$A$2:$M$1241,13,FALSE)," ")</f>
        <v>#N/A</v>
      </c>
    </row>
    <row r="1917" spans="1:15" x14ac:dyDescent="0.3">
      <c r="A1917" s="1"/>
      <c r="B1917" s="1"/>
      <c r="C1917" s="1" t="e">
        <f>IF(B1917=0,VLOOKUP(A1917,Feuil2!$A$2:$M$1241,2,FALSE)," ")</f>
        <v>#N/A</v>
      </c>
      <c r="D1917" s="1" t="e">
        <f>IF(B1917=0,VLOOKUP(A1917,Feuil2!$A$2:$M$1241,3,FALSE)," ")</f>
        <v>#N/A</v>
      </c>
      <c r="E1917" s="5" t="e">
        <f>IF(B1917=0,VLOOKUP(A1917,Feuil2!$A$2:$M$1241,6,FALSE)," ")</f>
        <v>#N/A</v>
      </c>
      <c r="F1917" s="1" t="e">
        <f>IF(B1917=0,VLOOKUP(A1917,Feuil2!$A$2:$M$1241,12,FALSE)," ")</f>
        <v>#N/A</v>
      </c>
      <c r="G1917" s="1" t="e">
        <f>IF(B1917=0,VLOOKUP(A1917,Feuil2!$A$2:$M$1241,11,FALSE)," ")</f>
        <v>#N/A</v>
      </c>
      <c r="H1917" s="1" t="s">
        <v>16</v>
      </c>
      <c r="I1917" s="6" t="e">
        <f>IF(B1917=0,VLOOKUP(A1917,Feuil2!$A$2:$M$1241,7,FALSE)," ")</f>
        <v>#N/A</v>
      </c>
      <c r="J1917" s="1" t="e">
        <f>IF(B1917=0,VLOOKUP(A1917,Feuil2!$A$2:$M$1241,9,FALSE)," ")</f>
        <v>#N/A</v>
      </c>
      <c r="K1917" s="1" t="e">
        <f>IF(B1917=0,VLOOKUP(A1917,Feuil2!$A$2:$M$1241,10,FALSE)," ")</f>
        <v>#N/A</v>
      </c>
      <c r="L1917" s="1"/>
      <c r="M1917" s="1"/>
      <c r="N1917" s="1"/>
      <c r="O1917" s="8" t="e">
        <f>IF(B1917=0,VLOOKUP(A1917,Feuil2!$A$2:$M$1241,13,FALSE)," ")</f>
        <v>#N/A</v>
      </c>
    </row>
    <row r="1918" spans="1:15" x14ac:dyDescent="0.3">
      <c r="A1918" s="1"/>
      <c r="B1918" s="1"/>
      <c r="C1918" s="1" t="e">
        <f>IF(B1918=0,VLOOKUP(A1918,Feuil2!$A$2:$M$1241,2,FALSE)," ")</f>
        <v>#N/A</v>
      </c>
      <c r="D1918" s="1" t="e">
        <f>IF(B1918=0,VLOOKUP(A1918,Feuil2!$A$2:$M$1241,3,FALSE)," ")</f>
        <v>#N/A</v>
      </c>
      <c r="E1918" s="5" t="e">
        <f>IF(B1918=0,VLOOKUP(A1918,Feuil2!$A$2:$M$1241,6,FALSE)," ")</f>
        <v>#N/A</v>
      </c>
      <c r="F1918" s="1" t="e">
        <f>IF(B1918=0,VLOOKUP(A1918,Feuil2!$A$2:$M$1241,12,FALSE)," ")</f>
        <v>#N/A</v>
      </c>
      <c r="G1918" s="1" t="e">
        <f>IF(B1918=0,VLOOKUP(A1918,Feuil2!$A$2:$M$1241,11,FALSE)," ")</f>
        <v>#N/A</v>
      </c>
      <c r="H1918" s="1" t="s">
        <v>16</v>
      </c>
      <c r="I1918" s="6" t="e">
        <f>IF(B1918=0,VLOOKUP(A1918,Feuil2!$A$2:$M$1241,7,FALSE)," ")</f>
        <v>#N/A</v>
      </c>
      <c r="J1918" s="1" t="e">
        <f>IF(B1918=0,VLOOKUP(A1918,Feuil2!$A$2:$M$1241,9,FALSE)," ")</f>
        <v>#N/A</v>
      </c>
      <c r="K1918" s="1" t="e">
        <f>IF(B1918=0,VLOOKUP(A1918,Feuil2!$A$2:$M$1241,10,FALSE)," ")</f>
        <v>#N/A</v>
      </c>
      <c r="L1918" s="1"/>
      <c r="M1918" s="1"/>
      <c r="N1918" s="1"/>
      <c r="O1918" s="8" t="e">
        <f>IF(B1918=0,VLOOKUP(A1918,Feuil2!$A$2:$M$1241,13,FALSE)," ")</f>
        <v>#N/A</v>
      </c>
    </row>
    <row r="1919" spans="1:15" x14ac:dyDescent="0.3">
      <c r="A1919" s="1"/>
      <c r="B1919" s="1"/>
      <c r="C1919" s="1" t="e">
        <f>IF(B1919=0,VLOOKUP(A1919,Feuil2!$A$2:$M$1241,2,FALSE)," ")</f>
        <v>#N/A</v>
      </c>
      <c r="D1919" s="1" t="e">
        <f>IF(B1919=0,VLOOKUP(A1919,Feuil2!$A$2:$M$1241,3,FALSE)," ")</f>
        <v>#N/A</v>
      </c>
      <c r="E1919" s="5" t="e">
        <f>IF(B1919=0,VLOOKUP(A1919,Feuil2!$A$2:$M$1241,6,FALSE)," ")</f>
        <v>#N/A</v>
      </c>
      <c r="F1919" s="1" t="e">
        <f>IF(B1919=0,VLOOKUP(A1919,Feuil2!$A$2:$M$1241,12,FALSE)," ")</f>
        <v>#N/A</v>
      </c>
      <c r="G1919" s="1" t="e">
        <f>IF(B1919=0,VLOOKUP(A1919,Feuil2!$A$2:$M$1241,11,FALSE)," ")</f>
        <v>#N/A</v>
      </c>
      <c r="H1919" s="1" t="s">
        <v>16</v>
      </c>
      <c r="I1919" s="6" t="e">
        <f>IF(B1919=0,VLOOKUP(A1919,Feuil2!$A$2:$M$1241,7,FALSE)," ")</f>
        <v>#N/A</v>
      </c>
      <c r="J1919" s="1" t="e">
        <f>IF(B1919=0,VLOOKUP(A1919,Feuil2!$A$2:$M$1241,9,FALSE)," ")</f>
        <v>#N/A</v>
      </c>
      <c r="K1919" s="1" t="e">
        <f>IF(B1919=0,VLOOKUP(A1919,Feuil2!$A$2:$M$1241,10,FALSE)," ")</f>
        <v>#N/A</v>
      </c>
      <c r="L1919" s="1"/>
      <c r="M1919" s="1"/>
      <c r="N1919" s="1"/>
      <c r="O1919" s="8" t="e">
        <f>IF(B1919=0,VLOOKUP(A1919,Feuil2!$A$2:$M$1241,13,FALSE)," ")</f>
        <v>#N/A</v>
      </c>
    </row>
    <row r="1920" spans="1:15" x14ac:dyDescent="0.3">
      <c r="A1920" s="1"/>
      <c r="B1920" s="1"/>
      <c r="C1920" s="1" t="e">
        <f>IF(B1920=0,VLOOKUP(A1920,Feuil2!$A$2:$M$1241,2,FALSE)," ")</f>
        <v>#N/A</v>
      </c>
      <c r="D1920" s="1" t="e">
        <f>IF(B1920=0,VLOOKUP(A1920,Feuil2!$A$2:$M$1241,3,FALSE)," ")</f>
        <v>#N/A</v>
      </c>
      <c r="E1920" s="5" t="e">
        <f>IF(B1920=0,VLOOKUP(A1920,Feuil2!$A$2:$M$1241,6,FALSE)," ")</f>
        <v>#N/A</v>
      </c>
      <c r="F1920" s="1" t="e">
        <f>IF(B1920=0,VLOOKUP(A1920,Feuil2!$A$2:$M$1241,12,FALSE)," ")</f>
        <v>#N/A</v>
      </c>
      <c r="G1920" s="1" t="e">
        <f>IF(B1920=0,VLOOKUP(A1920,Feuil2!$A$2:$M$1241,11,FALSE)," ")</f>
        <v>#N/A</v>
      </c>
      <c r="H1920" s="1" t="s">
        <v>16</v>
      </c>
      <c r="I1920" s="6" t="e">
        <f>IF(B1920=0,VLOOKUP(A1920,Feuil2!$A$2:$M$1241,7,FALSE)," ")</f>
        <v>#N/A</v>
      </c>
      <c r="J1920" s="1" t="e">
        <f>IF(B1920=0,VLOOKUP(A1920,Feuil2!$A$2:$M$1241,9,FALSE)," ")</f>
        <v>#N/A</v>
      </c>
      <c r="K1920" s="1" t="e">
        <f>IF(B1920=0,VLOOKUP(A1920,Feuil2!$A$2:$M$1241,10,FALSE)," ")</f>
        <v>#N/A</v>
      </c>
      <c r="L1920" s="1"/>
      <c r="M1920" s="1"/>
      <c r="N1920" s="1"/>
      <c r="O1920" s="8" t="e">
        <f>IF(B1920=0,VLOOKUP(A1920,Feuil2!$A$2:$M$1241,13,FALSE)," ")</f>
        <v>#N/A</v>
      </c>
    </row>
    <row r="1921" spans="1:15" x14ac:dyDescent="0.3">
      <c r="A1921" s="1"/>
      <c r="B1921" s="1"/>
      <c r="C1921" s="1" t="e">
        <f>IF(B1921=0,VLOOKUP(A1921,Feuil2!$A$2:$M$1241,2,FALSE)," ")</f>
        <v>#N/A</v>
      </c>
      <c r="D1921" s="1" t="e">
        <f>IF(B1921=0,VLOOKUP(A1921,Feuil2!$A$2:$M$1241,3,FALSE)," ")</f>
        <v>#N/A</v>
      </c>
      <c r="E1921" s="5" t="e">
        <f>IF(B1921=0,VLOOKUP(A1921,Feuil2!$A$2:$M$1241,6,FALSE)," ")</f>
        <v>#N/A</v>
      </c>
      <c r="F1921" s="1" t="e">
        <f>IF(B1921=0,VLOOKUP(A1921,Feuil2!$A$2:$M$1241,12,FALSE)," ")</f>
        <v>#N/A</v>
      </c>
      <c r="G1921" s="1" t="e">
        <f>IF(B1921=0,VLOOKUP(A1921,Feuil2!$A$2:$M$1241,11,FALSE)," ")</f>
        <v>#N/A</v>
      </c>
      <c r="H1921" s="1" t="s">
        <v>16</v>
      </c>
      <c r="I1921" s="6" t="e">
        <f>IF(B1921=0,VLOOKUP(A1921,Feuil2!$A$2:$M$1241,7,FALSE)," ")</f>
        <v>#N/A</v>
      </c>
      <c r="J1921" s="1" t="e">
        <f>IF(B1921=0,VLOOKUP(A1921,Feuil2!$A$2:$M$1241,9,FALSE)," ")</f>
        <v>#N/A</v>
      </c>
      <c r="K1921" s="1" t="e">
        <f>IF(B1921=0,VLOOKUP(A1921,Feuil2!$A$2:$M$1241,10,FALSE)," ")</f>
        <v>#N/A</v>
      </c>
      <c r="L1921" s="1"/>
      <c r="M1921" s="1"/>
      <c r="N1921" s="1"/>
      <c r="O1921" s="8" t="e">
        <f>IF(B1921=0,VLOOKUP(A1921,Feuil2!$A$2:$M$1241,13,FALSE)," ")</f>
        <v>#N/A</v>
      </c>
    </row>
    <row r="1922" spans="1:15" x14ac:dyDescent="0.3">
      <c r="A1922" s="1"/>
      <c r="B1922" s="1"/>
      <c r="C1922" s="1" t="e">
        <f>IF(B1922=0,VLOOKUP(A1922,Feuil2!$A$2:$M$1241,2,FALSE)," ")</f>
        <v>#N/A</v>
      </c>
      <c r="D1922" s="1" t="e">
        <f>IF(B1922=0,VLOOKUP(A1922,Feuil2!$A$2:$M$1241,3,FALSE)," ")</f>
        <v>#N/A</v>
      </c>
      <c r="E1922" s="5" t="e">
        <f>IF(B1922=0,VLOOKUP(A1922,Feuil2!$A$2:$M$1241,6,FALSE)," ")</f>
        <v>#N/A</v>
      </c>
      <c r="F1922" s="1" t="e">
        <f>IF(B1922=0,VLOOKUP(A1922,Feuil2!$A$2:$M$1241,12,FALSE)," ")</f>
        <v>#N/A</v>
      </c>
      <c r="G1922" s="1" t="e">
        <f>IF(B1922=0,VLOOKUP(A1922,Feuil2!$A$2:$M$1241,11,FALSE)," ")</f>
        <v>#N/A</v>
      </c>
      <c r="H1922" s="1" t="s">
        <v>16</v>
      </c>
      <c r="I1922" s="6" t="e">
        <f>IF(B1922=0,VLOOKUP(A1922,Feuil2!$A$2:$M$1241,7,FALSE)," ")</f>
        <v>#N/A</v>
      </c>
      <c r="J1922" s="1" t="e">
        <f>IF(B1922=0,VLOOKUP(A1922,Feuil2!$A$2:$M$1241,9,FALSE)," ")</f>
        <v>#N/A</v>
      </c>
      <c r="K1922" s="1" t="e">
        <f>IF(B1922=0,VLOOKUP(A1922,Feuil2!$A$2:$M$1241,10,FALSE)," ")</f>
        <v>#N/A</v>
      </c>
      <c r="L1922" s="1"/>
      <c r="M1922" s="1"/>
      <c r="N1922" s="1"/>
      <c r="O1922" s="8" t="e">
        <f>IF(B1922=0,VLOOKUP(A1922,Feuil2!$A$2:$M$1241,13,FALSE)," ")</f>
        <v>#N/A</v>
      </c>
    </row>
    <row r="1923" spans="1:15" x14ac:dyDescent="0.3">
      <c r="A1923" s="1"/>
      <c r="B1923" s="1"/>
      <c r="C1923" s="1" t="e">
        <f>IF(B1923=0,VLOOKUP(A1923,Feuil2!$A$2:$M$1241,2,FALSE)," ")</f>
        <v>#N/A</v>
      </c>
      <c r="D1923" s="1" t="e">
        <f>IF(B1923=0,VLOOKUP(A1923,Feuil2!$A$2:$M$1241,3,FALSE)," ")</f>
        <v>#N/A</v>
      </c>
      <c r="E1923" s="5" t="e">
        <f>IF(B1923=0,VLOOKUP(A1923,Feuil2!$A$2:$M$1241,6,FALSE)," ")</f>
        <v>#N/A</v>
      </c>
      <c r="F1923" s="1" t="e">
        <f>IF(B1923=0,VLOOKUP(A1923,Feuil2!$A$2:$M$1241,12,FALSE)," ")</f>
        <v>#N/A</v>
      </c>
      <c r="G1923" s="1" t="e">
        <f>IF(B1923=0,VLOOKUP(A1923,Feuil2!$A$2:$M$1241,11,FALSE)," ")</f>
        <v>#N/A</v>
      </c>
      <c r="H1923" s="1" t="s">
        <v>16</v>
      </c>
      <c r="I1923" s="6" t="e">
        <f>IF(B1923=0,VLOOKUP(A1923,Feuil2!$A$2:$M$1241,7,FALSE)," ")</f>
        <v>#N/A</v>
      </c>
      <c r="J1923" s="1" t="e">
        <f>IF(B1923=0,VLOOKUP(A1923,Feuil2!$A$2:$M$1241,9,FALSE)," ")</f>
        <v>#N/A</v>
      </c>
      <c r="K1923" s="1" t="e">
        <f>IF(B1923=0,VLOOKUP(A1923,Feuil2!$A$2:$M$1241,10,FALSE)," ")</f>
        <v>#N/A</v>
      </c>
      <c r="L1923" s="1"/>
      <c r="M1923" s="1"/>
      <c r="N1923" s="1"/>
      <c r="O1923" s="8" t="e">
        <f>IF(B1923=0,VLOOKUP(A1923,Feuil2!$A$2:$M$1241,13,FALSE)," ")</f>
        <v>#N/A</v>
      </c>
    </row>
    <row r="1924" spans="1:15" x14ac:dyDescent="0.3">
      <c r="A1924" s="1"/>
      <c r="B1924" s="1"/>
      <c r="C1924" s="1" t="e">
        <f>IF(B1924=0,VLOOKUP(A1924,Feuil2!$A$2:$M$1241,2,FALSE)," ")</f>
        <v>#N/A</v>
      </c>
      <c r="D1924" s="1" t="e">
        <f>IF(B1924=0,VLOOKUP(A1924,Feuil2!$A$2:$M$1241,3,FALSE)," ")</f>
        <v>#N/A</v>
      </c>
      <c r="E1924" s="5" t="e">
        <f>IF(B1924=0,VLOOKUP(A1924,Feuil2!$A$2:$M$1241,6,FALSE)," ")</f>
        <v>#N/A</v>
      </c>
      <c r="F1924" s="1" t="e">
        <f>IF(B1924=0,VLOOKUP(A1924,Feuil2!$A$2:$M$1241,12,FALSE)," ")</f>
        <v>#N/A</v>
      </c>
      <c r="G1924" s="1" t="e">
        <f>IF(B1924=0,VLOOKUP(A1924,Feuil2!$A$2:$M$1241,11,FALSE)," ")</f>
        <v>#N/A</v>
      </c>
      <c r="H1924" s="1" t="s">
        <v>16</v>
      </c>
      <c r="I1924" s="6" t="e">
        <f>IF(B1924=0,VLOOKUP(A1924,Feuil2!$A$2:$M$1241,7,FALSE)," ")</f>
        <v>#N/A</v>
      </c>
      <c r="J1924" s="1" t="e">
        <f>IF(B1924=0,VLOOKUP(A1924,Feuil2!$A$2:$M$1241,9,FALSE)," ")</f>
        <v>#N/A</v>
      </c>
      <c r="K1924" s="1" t="e">
        <f>IF(B1924=0,VLOOKUP(A1924,Feuil2!$A$2:$M$1241,10,FALSE)," ")</f>
        <v>#N/A</v>
      </c>
      <c r="L1924" s="1"/>
      <c r="M1924" s="1"/>
      <c r="N1924" s="1"/>
      <c r="O1924" s="8" t="e">
        <f>IF(B1924=0,VLOOKUP(A1924,Feuil2!$A$2:$M$1241,13,FALSE)," ")</f>
        <v>#N/A</v>
      </c>
    </row>
    <row r="1925" spans="1:15" x14ac:dyDescent="0.3">
      <c r="A1925" s="1"/>
      <c r="B1925" s="1"/>
      <c r="C1925" s="1" t="e">
        <f>IF(B1925=0,VLOOKUP(A1925,Feuil2!$A$2:$M$1241,2,FALSE)," ")</f>
        <v>#N/A</v>
      </c>
      <c r="D1925" s="1" t="e">
        <f>IF(B1925=0,VLOOKUP(A1925,Feuil2!$A$2:$M$1241,3,FALSE)," ")</f>
        <v>#N/A</v>
      </c>
      <c r="E1925" s="5" t="e">
        <f>IF(B1925=0,VLOOKUP(A1925,Feuil2!$A$2:$M$1241,6,FALSE)," ")</f>
        <v>#N/A</v>
      </c>
      <c r="F1925" s="1" t="e">
        <f>IF(B1925=0,VLOOKUP(A1925,Feuil2!$A$2:$M$1241,12,FALSE)," ")</f>
        <v>#N/A</v>
      </c>
      <c r="G1925" s="1" t="e">
        <f>IF(B1925=0,VLOOKUP(A1925,Feuil2!$A$2:$M$1241,11,FALSE)," ")</f>
        <v>#N/A</v>
      </c>
      <c r="H1925" s="1" t="s">
        <v>16</v>
      </c>
      <c r="I1925" s="6" t="e">
        <f>IF(B1925=0,VLOOKUP(A1925,Feuil2!$A$2:$M$1241,7,FALSE)," ")</f>
        <v>#N/A</v>
      </c>
      <c r="J1925" s="1" t="e">
        <f>IF(B1925=0,VLOOKUP(A1925,Feuil2!$A$2:$M$1241,9,FALSE)," ")</f>
        <v>#N/A</v>
      </c>
      <c r="K1925" s="1" t="e">
        <f>IF(B1925=0,VLOOKUP(A1925,Feuil2!$A$2:$M$1241,10,FALSE)," ")</f>
        <v>#N/A</v>
      </c>
      <c r="L1925" s="1"/>
      <c r="M1925" s="1"/>
      <c r="N1925" s="1"/>
      <c r="O1925" s="8" t="e">
        <f>IF(B1925=0,VLOOKUP(A1925,Feuil2!$A$2:$M$1241,13,FALSE)," ")</f>
        <v>#N/A</v>
      </c>
    </row>
    <row r="1926" spans="1:15" x14ac:dyDescent="0.3">
      <c r="A1926" s="1"/>
      <c r="B1926" s="1"/>
      <c r="C1926" s="1" t="e">
        <f>IF(B1926=0,VLOOKUP(A1926,Feuil2!$A$2:$M$1241,2,FALSE)," ")</f>
        <v>#N/A</v>
      </c>
      <c r="D1926" s="1" t="e">
        <f>IF(B1926=0,VLOOKUP(A1926,Feuil2!$A$2:$M$1241,3,FALSE)," ")</f>
        <v>#N/A</v>
      </c>
      <c r="E1926" s="5" t="e">
        <f>IF(B1926=0,VLOOKUP(A1926,Feuil2!$A$2:$M$1241,6,FALSE)," ")</f>
        <v>#N/A</v>
      </c>
      <c r="F1926" s="1" t="e">
        <f>IF(B1926=0,VLOOKUP(A1926,Feuil2!$A$2:$M$1241,12,FALSE)," ")</f>
        <v>#N/A</v>
      </c>
      <c r="G1926" s="1" t="e">
        <f>IF(B1926=0,VLOOKUP(A1926,Feuil2!$A$2:$M$1241,11,FALSE)," ")</f>
        <v>#N/A</v>
      </c>
      <c r="H1926" s="1" t="s">
        <v>16</v>
      </c>
      <c r="I1926" s="6" t="e">
        <f>IF(B1926=0,VLOOKUP(A1926,Feuil2!$A$2:$M$1241,7,FALSE)," ")</f>
        <v>#N/A</v>
      </c>
      <c r="J1926" s="1" t="e">
        <f>IF(B1926=0,VLOOKUP(A1926,Feuil2!$A$2:$M$1241,9,FALSE)," ")</f>
        <v>#N/A</v>
      </c>
      <c r="K1926" s="1" t="e">
        <f>IF(B1926=0,VLOOKUP(A1926,Feuil2!$A$2:$M$1241,10,FALSE)," ")</f>
        <v>#N/A</v>
      </c>
      <c r="L1926" s="1"/>
      <c r="M1926" s="1"/>
      <c r="N1926" s="1"/>
      <c r="O1926" s="8" t="e">
        <f>IF(B1926=0,VLOOKUP(A1926,Feuil2!$A$2:$M$1241,13,FALSE)," ")</f>
        <v>#N/A</v>
      </c>
    </row>
    <row r="1927" spans="1:15" x14ac:dyDescent="0.3">
      <c r="A1927" s="1"/>
      <c r="B1927" s="1"/>
      <c r="C1927" s="1" t="e">
        <f>IF(B1927=0,VLOOKUP(A1927,Feuil2!$A$2:$M$1241,2,FALSE)," ")</f>
        <v>#N/A</v>
      </c>
      <c r="D1927" s="1" t="e">
        <f>IF(B1927=0,VLOOKUP(A1927,Feuil2!$A$2:$M$1241,3,FALSE)," ")</f>
        <v>#N/A</v>
      </c>
      <c r="E1927" s="5" t="e">
        <f>IF(B1927=0,VLOOKUP(A1927,Feuil2!$A$2:$M$1241,6,FALSE)," ")</f>
        <v>#N/A</v>
      </c>
      <c r="F1927" s="1" t="e">
        <f>IF(B1927=0,VLOOKUP(A1927,Feuil2!$A$2:$M$1241,12,FALSE)," ")</f>
        <v>#N/A</v>
      </c>
      <c r="G1927" s="1" t="e">
        <f>IF(B1927=0,VLOOKUP(A1927,Feuil2!$A$2:$M$1241,11,FALSE)," ")</f>
        <v>#N/A</v>
      </c>
      <c r="H1927" s="1" t="s">
        <v>16</v>
      </c>
      <c r="I1927" s="6" t="e">
        <f>IF(B1927=0,VLOOKUP(A1927,Feuil2!$A$2:$M$1241,7,FALSE)," ")</f>
        <v>#N/A</v>
      </c>
      <c r="J1927" s="1" t="e">
        <f>IF(B1927=0,VLOOKUP(A1927,Feuil2!$A$2:$M$1241,9,FALSE)," ")</f>
        <v>#N/A</v>
      </c>
      <c r="K1927" s="1" t="e">
        <f>IF(B1927=0,VLOOKUP(A1927,Feuil2!$A$2:$M$1241,10,FALSE)," ")</f>
        <v>#N/A</v>
      </c>
      <c r="L1927" s="1"/>
      <c r="M1927" s="1"/>
      <c r="N1927" s="1"/>
      <c r="O1927" s="8" t="e">
        <f>IF(B1927=0,VLOOKUP(A1927,Feuil2!$A$2:$M$1241,13,FALSE)," ")</f>
        <v>#N/A</v>
      </c>
    </row>
    <row r="1928" spans="1:15" x14ac:dyDescent="0.3">
      <c r="A1928" s="1"/>
      <c r="B1928" s="1"/>
      <c r="C1928" s="1" t="e">
        <f>IF(B1928=0,VLOOKUP(A1928,Feuil2!$A$2:$M$1241,2,FALSE)," ")</f>
        <v>#N/A</v>
      </c>
      <c r="D1928" s="1" t="e">
        <f>IF(B1928=0,VLOOKUP(A1928,Feuil2!$A$2:$M$1241,3,FALSE)," ")</f>
        <v>#N/A</v>
      </c>
      <c r="E1928" s="5" t="e">
        <f>IF(B1928=0,VLOOKUP(A1928,Feuil2!$A$2:$M$1241,6,FALSE)," ")</f>
        <v>#N/A</v>
      </c>
      <c r="F1928" s="1" t="e">
        <f>IF(B1928=0,VLOOKUP(A1928,Feuil2!$A$2:$M$1241,12,FALSE)," ")</f>
        <v>#N/A</v>
      </c>
      <c r="G1928" s="1" t="e">
        <f>IF(B1928=0,VLOOKUP(A1928,Feuil2!$A$2:$M$1241,11,FALSE)," ")</f>
        <v>#N/A</v>
      </c>
      <c r="H1928" s="1" t="s">
        <v>16</v>
      </c>
      <c r="I1928" s="6" t="e">
        <f>IF(B1928=0,VLOOKUP(A1928,Feuil2!$A$2:$M$1241,7,FALSE)," ")</f>
        <v>#N/A</v>
      </c>
      <c r="J1928" s="1" t="e">
        <f>IF(B1928=0,VLOOKUP(A1928,Feuil2!$A$2:$M$1241,9,FALSE)," ")</f>
        <v>#N/A</v>
      </c>
      <c r="K1928" s="1" t="e">
        <f>IF(B1928=0,VLOOKUP(A1928,Feuil2!$A$2:$M$1241,10,FALSE)," ")</f>
        <v>#N/A</v>
      </c>
      <c r="L1928" s="1"/>
      <c r="M1928" s="1"/>
      <c r="N1928" s="1"/>
      <c r="O1928" s="8" t="e">
        <f>IF(B1928=0,VLOOKUP(A1928,Feuil2!$A$2:$M$1241,13,FALSE)," ")</f>
        <v>#N/A</v>
      </c>
    </row>
    <row r="1929" spans="1:15" x14ac:dyDescent="0.3">
      <c r="A1929" s="1"/>
      <c r="B1929" s="1"/>
      <c r="C1929" s="1" t="e">
        <f>IF(B1929=0,VLOOKUP(A1929,Feuil2!$A$2:$M$1241,2,FALSE)," ")</f>
        <v>#N/A</v>
      </c>
      <c r="D1929" s="1" t="e">
        <f>IF(B1929=0,VLOOKUP(A1929,Feuil2!$A$2:$M$1241,3,FALSE)," ")</f>
        <v>#N/A</v>
      </c>
      <c r="E1929" s="5" t="e">
        <f>IF(B1929=0,VLOOKUP(A1929,Feuil2!$A$2:$M$1241,6,FALSE)," ")</f>
        <v>#N/A</v>
      </c>
      <c r="F1929" s="1" t="e">
        <f>IF(B1929=0,VLOOKUP(A1929,Feuil2!$A$2:$M$1241,12,FALSE)," ")</f>
        <v>#N/A</v>
      </c>
      <c r="G1929" s="1" t="e">
        <f>IF(B1929=0,VLOOKUP(A1929,Feuil2!$A$2:$M$1241,11,FALSE)," ")</f>
        <v>#N/A</v>
      </c>
      <c r="H1929" s="1" t="s">
        <v>16</v>
      </c>
      <c r="I1929" s="6" t="e">
        <f>IF(B1929=0,VLOOKUP(A1929,Feuil2!$A$2:$M$1241,7,FALSE)," ")</f>
        <v>#N/A</v>
      </c>
      <c r="J1929" s="1" t="e">
        <f>IF(B1929=0,VLOOKUP(A1929,Feuil2!$A$2:$M$1241,9,FALSE)," ")</f>
        <v>#N/A</v>
      </c>
      <c r="K1929" s="1" t="e">
        <f>IF(B1929=0,VLOOKUP(A1929,Feuil2!$A$2:$M$1241,10,FALSE)," ")</f>
        <v>#N/A</v>
      </c>
      <c r="L1929" s="1"/>
      <c r="M1929" s="1"/>
      <c r="N1929" s="1"/>
      <c r="O1929" s="8" t="e">
        <f>IF(B1929=0,VLOOKUP(A1929,Feuil2!$A$2:$M$1241,13,FALSE)," ")</f>
        <v>#N/A</v>
      </c>
    </row>
    <row r="1930" spans="1:15" x14ac:dyDescent="0.3">
      <c r="A1930" s="1"/>
      <c r="B1930" s="1"/>
      <c r="C1930" s="1" t="e">
        <f>IF(B1930=0,VLOOKUP(A1930,Feuil2!$A$2:$M$1241,2,FALSE)," ")</f>
        <v>#N/A</v>
      </c>
      <c r="D1930" s="1" t="e">
        <f>IF(B1930=0,VLOOKUP(A1930,Feuil2!$A$2:$M$1241,3,FALSE)," ")</f>
        <v>#N/A</v>
      </c>
      <c r="E1930" s="5" t="e">
        <f>IF(B1930=0,VLOOKUP(A1930,Feuil2!$A$2:$M$1241,6,FALSE)," ")</f>
        <v>#N/A</v>
      </c>
      <c r="F1930" s="1" t="e">
        <f>IF(B1930=0,VLOOKUP(A1930,Feuil2!$A$2:$M$1241,12,FALSE)," ")</f>
        <v>#N/A</v>
      </c>
      <c r="G1930" s="1" t="e">
        <f>IF(B1930=0,VLOOKUP(A1930,Feuil2!$A$2:$M$1241,11,FALSE)," ")</f>
        <v>#N/A</v>
      </c>
      <c r="H1930" s="1" t="s">
        <v>16</v>
      </c>
      <c r="I1930" s="6" t="e">
        <f>IF(B1930=0,VLOOKUP(A1930,Feuil2!$A$2:$M$1241,7,FALSE)," ")</f>
        <v>#N/A</v>
      </c>
      <c r="J1930" s="1" t="e">
        <f>IF(B1930=0,VLOOKUP(A1930,Feuil2!$A$2:$M$1241,9,FALSE)," ")</f>
        <v>#N/A</v>
      </c>
      <c r="K1930" s="1" t="e">
        <f>IF(B1930=0,VLOOKUP(A1930,Feuil2!$A$2:$M$1241,10,FALSE)," ")</f>
        <v>#N/A</v>
      </c>
      <c r="L1930" s="1"/>
      <c r="M1930" s="1"/>
      <c r="N1930" s="1"/>
      <c r="O1930" s="8" t="e">
        <f>IF(B1930=0,VLOOKUP(A1930,Feuil2!$A$2:$M$1241,13,FALSE)," ")</f>
        <v>#N/A</v>
      </c>
    </row>
    <row r="1931" spans="1:15" x14ac:dyDescent="0.3">
      <c r="A1931" s="1"/>
      <c r="B1931" s="1"/>
      <c r="C1931" s="1" t="e">
        <f>IF(B1931=0,VLOOKUP(A1931,Feuil2!$A$2:$M$1241,2,FALSE)," ")</f>
        <v>#N/A</v>
      </c>
      <c r="D1931" s="1" t="e">
        <f>IF(B1931=0,VLOOKUP(A1931,Feuil2!$A$2:$M$1241,3,FALSE)," ")</f>
        <v>#N/A</v>
      </c>
      <c r="E1931" s="5" t="e">
        <f>IF(B1931=0,VLOOKUP(A1931,Feuil2!$A$2:$M$1241,6,FALSE)," ")</f>
        <v>#N/A</v>
      </c>
      <c r="F1931" s="1" t="e">
        <f>IF(B1931=0,VLOOKUP(A1931,Feuil2!$A$2:$M$1241,12,FALSE)," ")</f>
        <v>#N/A</v>
      </c>
      <c r="G1931" s="1" t="e">
        <f>IF(B1931=0,VLOOKUP(A1931,Feuil2!$A$2:$M$1241,11,FALSE)," ")</f>
        <v>#N/A</v>
      </c>
      <c r="H1931" s="1" t="s">
        <v>16</v>
      </c>
      <c r="I1931" s="6" t="e">
        <f>IF(B1931=0,VLOOKUP(A1931,Feuil2!$A$2:$M$1241,7,FALSE)," ")</f>
        <v>#N/A</v>
      </c>
      <c r="J1931" s="1" t="e">
        <f>IF(B1931=0,VLOOKUP(A1931,Feuil2!$A$2:$M$1241,9,FALSE)," ")</f>
        <v>#N/A</v>
      </c>
      <c r="K1931" s="1" t="e">
        <f>IF(B1931=0,VLOOKUP(A1931,Feuil2!$A$2:$M$1241,10,FALSE)," ")</f>
        <v>#N/A</v>
      </c>
      <c r="L1931" s="1"/>
      <c r="M1931" s="1"/>
      <c r="N1931" s="1"/>
      <c r="O1931" s="8" t="e">
        <f>IF(B1931=0,VLOOKUP(A1931,Feuil2!$A$2:$M$1241,13,FALSE)," ")</f>
        <v>#N/A</v>
      </c>
    </row>
    <row r="1932" spans="1:15" x14ac:dyDescent="0.3">
      <c r="A1932" s="1"/>
      <c r="B1932" s="1"/>
      <c r="C1932" s="1" t="e">
        <f>IF(B1932=0,VLOOKUP(A1932,Feuil2!$A$2:$M$1241,2,FALSE)," ")</f>
        <v>#N/A</v>
      </c>
      <c r="D1932" s="1" t="e">
        <f>IF(B1932=0,VLOOKUP(A1932,Feuil2!$A$2:$M$1241,3,FALSE)," ")</f>
        <v>#N/A</v>
      </c>
      <c r="E1932" s="5" t="e">
        <f>IF(B1932=0,VLOOKUP(A1932,Feuil2!$A$2:$M$1241,6,FALSE)," ")</f>
        <v>#N/A</v>
      </c>
      <c r="F1932" s="1" t="e">
        <f>IF(B1932=0,VLOOKUP(A1932,Feuil2!$A$2:$M$1241,12,FALSE)," ")</f>
        <v>#N/A</v>
      </c>
      <c r="G1932" s="1" t="e">
        <f>IF(B1932=0,VLOOKUP(A1932,Feuil2!$A$2:$M$1241,11,FALSE)," ")</f>
        <v>#N/A</v>
      </c>
      <c r="H1932" s="1" t="s">
        <v>16</v>
      </c>
      <c r="I1932" s="6" t="e">
        <f>IF(B1932=0,VLOOKUP(A1932,Feuil2!$A$2:$M$1241,7,FALSE)," ")</f>
        <v>#N/A</v>
      </c>
      <c r="J1932" s="1" t="e">
        <f>IF(B1932=0,VLOOKUP(A1932,Feuil2!$A$2:$M$1241,9,FALSE)," ")</f>
        <v>#N/A</v>
      </c>
      <c r="K1932" s="1" t="e">
        <f>IF(B1932=0,VLOOKUP(A1932,Feuil2!$A$2:$M$1241,10,FALSE)," ")</f>
        <v>#N/A</v>
      </c>
      <c r="L1932" s="1"/>
      <c r="M1932" s="1"/>
      <c r="N1932" s="1"/>
      <c r="O1932" s="8" t="e">
        <f>IF(B1932=0,VLOOKUP(A1932,Feuil2!$A$2:$M$1241,13,FALSE)," ")</f>
        <v>#N/A</v>
      </c>
    </row>
    <row r="1933" spans="1:15" x14ac:dyDescent="0.3">
      <c r="A1933" s="1"/>
      <c r="B1933" s="1"/>
      <c r="C1933" s="1" t="e">
        <f>IF(B1933=0,VLOOKUP(A1933,Feuil2!$A$2:$M$1241,2,FALSE)," ")</f>
        <v>#N/A</v>
      </c>
      <c r="D1933" s="1" t="e">
        <f>IF(B1933=0,VLOOKUP(A1933,Feuil2!$A$2:$M$1241,3,FALSE)," ")</f>
        <v>#N/A</v>
      </c>
      <c r="E1933" s="5" t="e">
        <f>IF(B1933=0,VLOOKUP(A1933,Feuil2!$A$2:$M$1241,6,FALSE)," ")</f>
        <v>#N/A</v>
      </c>
      <c r="F1933" s="1" t="e">
        <f>IF(B1933=0,VLOOKUP(A1933,Feuil2!$A$2:$M$1241,12,FALSE)," ")</f>
        <v>#N/A</v>
      </c>
      <c r="G1933" s="1" t="e">
        <f>IF(B1933=0,VLOOKUP(A1933,Feuil2!$A$2:$M$1241,11,FALSE)," ")</f>
        <v>#N/A</v>
      </c>
      <c r="H1933" s="1" t="s">
        <v>16</v>
      </c>
      <c r="I1933" s="6" t="e">
        <f>IF(B1933=0,VLOOKUP(A1933,Feuil2!$A$2:$M$1241,7,FALSE)," ")</f>
        <v>#N/A</v>
      </c>
      <c r="J1933" s="1" t="e">
        <f>IF(B1933=0,VLOOKUP(A1933,Feuil2!$A$2:$M$1241,9,FALSE)," ")</f>
        <v>#N/A</v>
      </c>
      <c r="K1933" s="1" t="e">
        <f>IF(B1933=0,VLOOKUP(A1933,Feuil2!$A$2:$M$1241,10,FALSE)," ")</f>
        <v>#N/A</v>
      </c>
      <c r="L1933" s="1"/>
      <c r="M1933" s="1"/>
      <c r="N1933" s="1"/>
      <c r="O1933" s="8" t="e">
        <f>IF(B1933=0,VLOOKUP(A1933,Feuil2!$A$2:$M$1241,13,FALSE)," ")</f>
        <v>#N/A</v>
      </c>
    </row>
    <row r="1934" spans="1:15" x14ac:dyDescent="0.3">
      <c r="A1934" s="1"/>
      <c r="B1934" s="1"/>
      <c r="C1934" s="1" t="e">
        <f>IF(B1934=0,VLOOKUP(A1934,Feuil2!$A$2:$M$1241,2,FALSE)," ")</f>
        <v>#N/A</v>
      </c>
      <c r="D1934" s="1" t="e">
        <f>IF(B1934=0,VLOOKUP(A1934,Feuil2!$A$2:$M$1241,3,FALSE)," ")</f>
        <v>#N/A</v>
      </c>
      <c r="E1934" s="5" t="e">
        <f>IF(B1934=0,VLOOKUP(A1934,Feuil2!$A$2:$M$1241,6,FALSE)," ")</f>
        <v>#N/A</v>
      </c>
      <c r="F1934" s="1" t="e">
        <f>IF(B1934=0,VLOOKUP(A1934,Feuil2!$A$2:$M$1241,12,FALSE)," ")</f>
        <v>#N/A</v>
      </c>
      <c r="G1934" s="1" t="e">
        <f>IF(B1934=0,VLOOKUP(A1934,Feuil2!$A$2:$M$1241,11,FALSE)," ")</f>
        <v>#N/A</v>
      </c>
      <c r="H1934" s="1" t="s">
        <v>16</v>
      </c>
      <c r="I1934" s="6" t="e">
        <f>IF(B1934=0,VLOOKUP(A1934,Feuil2!$A$2:$M$1241,7,FALSE)," ")</f>
        <v>#N/A</v>
      </c>
      <c r="J1934" s="1" t="e">
        <f>IF(B1934=0,VLOOKUP(A1934,Feuil2!$A$2:$M$1241,9,FALSE)," ")</f>
        <v>#N/A</v>
      </c>
      <c r="K1934" s="1" t="e">
        <f>IF(B1934=0,VLOOKUP(A1934,Feuil2!$A$2:$M$1241,10,FALSE)," ")</f>
        <v>#N/A</v>
      </c>
      <c r="L1934" s="1"/>
      <c r="M1934" s="1"/>
      <c r="N1934" s="1"/>
      <c r="O1934" s="8" t="e">
        <f>IF(B1934=0,VLOOKUP(A1934,Feuil2!$A$2:$M$1241,13,FALSE)," ")</f>
        <v>#N/A</v>
      </c>
    </row>
    <row r="1935" spans="1:15" x14ac:dyDescent="0.3">
      <c r="A1935" s="1"/>
      <c r="B1935" s="1"/>
      <c r="C1935" s="1" t="e">
        <f>IF(B1935=0,VLOOKUP(A1935,Feuil2!$A$2:$M$1241,2,FALSE)," ")</f>
        <v>#N/A</v>
      </c>
      <c r="D1935" s="1" t="e">
        <f>IF(B1935=0,VLOOKUP(A1935,Feuil2!$A$2:$M$1241,3,FALSE)," ")</f>
        <v>#N/A</v>
      </c>
      <c r="E1935" s="5" t="e">
        <f>IF(B1935=0,VLOOKUP(A1935,Feuil2!$A$2:$M$1241,6,FALSE)," ")</f>
        <v>#N/A</v>
      </c>
      <c r="F1935" s="1" t="e">
        <f>IF(B1935=0,VLOOKUP(A1935,Feuil2!$A$2:$M$1241,12,FALSE)," ")</f>
        <v>#N/A</v>
      </c>
      <c r="G1935" s="1" t="e">
        <f>IF(B1935=0,VLOOKUP(A1935,Feuil2!$A$2:$M$1241,11,FALSE)," ")</f>
        <v>#N/A</v>
      </c>
      <c r="H1935" s="1" t="s">
        <v>16</v>
      </c>
      <c r="I1935" s="6" t="e">
        <f>IF(B1935=0,VLOOKUP(A1935,Feuil2!$A$2:$M$1241,7,FALSE)," ")</f>
        <v>#N/A</v>
      </c>
      <c r="J1935" s="1" t="e">
        <f>IF(B1935=0,VLOOKUP(A1935,Feuil2!$A$2:$M$1241,9,FALSE)," ")</f>
        <v>#N/A</v>
      </c>
      <c r="K1935" s="1" t="e">
        <f>IF(B1935=0,VLOOKUP(A1935,Feuil2!$A$2:$M$1241,10,FALSE)," ")</f>
        <v>#N/A</v>
      </c>
      <c r="L1935" s="1"/>
      <c r="M1935" s="1"/>
      <c r="N1935" s="1"/>
      <c r="O1935" s="8" t="e">
        <f>IF(B1935=0,VLOOKUP(A1935,Feuil2!$A$2:$M$1241,13,FALSE)," ")</f>
        <v>#N/A</v>
      </c>
    </row>
    <row r="1936" spans="1:15" x14ac:dyDescent="0.3">
      <c r="A1936" s="1"/>
      <c r="B1936" s="1"/>
      <c r="C1936" s="1" t="e">
        <f>IF(B1936=0,VLOOKUP(A1936,Feuil2!$A$2:$M$1241,2,FALSE)," ")</f>
        <v>#N/A</v>
      </c>
      <c r="D1936" s="1" t="e">
        <f>IF(B1936=0,VLOOKUP(A1936,Feuil2!$A$2:$M$1241,3,FALSE)," ")</f>
        <v>#N/A</v>
      </c>
      <c r="E1936" s="5" t="e">
        <f>IF(B1936=0,VLOOKUP(A1936,Feuil2!$A$2:$M$1241,6,FALSE)," ")</f>
        <v>#N/A</v>
      </c>
      <c r="F1936" s="1" t="e">
        <f>IF(B1936=0,VLOOKUP(A1936,Feuil2!$A$2:$M$1241,12,FALSE)," ")</f>
        <v>#N/A</v>
      </c>
      <c r="G1936" s="1" t="e">
        <f>IF(B1936=0,VLOOKUP(A1936,Feuil2!$A$2:$M$1241,11,FALSE)," ")</f>
        <v>#N/A</v>
      </c>
      <c r="H1936" s="1" t="s">
        <v>16</v>
      </c>
      <c r="I1936" s="6" t="e">
        <f>IF(B1936=0,VLOOKUP(A1936,Feuil2!$A$2:$M$1241,7,FALSE)," ")</f>
        <v>#N/A</v>
      </c>
      <c r="J1936" s="1" t="e">
        <f>IF(B1936=0,VLOOKUP(A1936,Feuil2!$A$2:$M$1241,9,FALSE)," ")</f>
        <v>#N/A</v>
      </c>
      <c r="K1936" s="1" t="e">
        <f>IF(B1936=0,VLOOKUP(A1936,Feuil2!$A$2:$M$1241,10,FALSE)," ")</f>
        <v>#N/A</v>
      </c>
      <c r="L1936" s="1"/>
      <c r="M1936" s="1"/>
      <c r="N1936" s="1"/>
      <c r="O1936" s="8" t="e">
        <f>IF(B1936=0,VLOOKUP(A1936,Feuil2!$A$2:$M$1241,13,FALSE)," ")</f>
        <v>#N/A</v>
      </c>
    </row>
    <row r="1937" spans="1:15" x14ac:dyDescent="0.3">
      <c r="A1937" s="1"/>
      <c r="B1937" s="1"/>
      <c r="C1937" s="1" t="e">
        <f>IF(B1937=0,VLOOKUP(A1937,Feuil2!$A$2:$M$1241,2,FALSE)," ")</f>
        <v>#N/A</v>
      </c>
      <c r="D1937" s="1" t="e">
        <f>IF(B1937=0,VLOOKUP(A1937,Feuil2!$A$2:$M$1241,3,FALSE)," ")</f>
        <v>#N/A</v>
      </c>
      <c r="E1937" s="5" t="e">
        <f>IF(B1937=0,VLOOKUP(A1937,Feuil2!$A$2:$M$1241,6,FALSE)," ")</f>
        <v>#N/A</v>
      </c>
      <c r="F1937" s="1" t="e">
        <f>IF(B1937=0,VLOOKUP(A1937,Feuil2!$A$2:$M$1241,12,FALSE)," ")</f>
        <v>#N/A</v>
      </c>
      <c r="G1937" s="1" t="e">
        <f>IF(B1937=0,VLOOKUP(A1937,Feuil2!$A$2:$M$1241,11,FALSE)," ")</f>
        <v>#N/A</v>
      </c>
      <c r="H1937" s="1" t="s">
        <v>16</v>
      </c>
      <c r="I1937" s="6" t="e">
        <f>IF(B1937=0,VLOOKUP(A1937,Feuil2!$A$2:$M$1241,7,FALSE)," ")</f>
        <v>#N/A</v>
      </c>
      <c r="J1937" s="1" t="e">
        <f>IF(B1937=0,VLOOKUP(A1937,Feuil2!$A$2:$M$1241,9,FALSE)," ")</f>
        <v>#N/A</v>
      </c>
      <c r="K1937" s="1" t="e">
        <f>IF(B1937=0,VLOOKUP(A1937,Feuil2!$A$2:$M$1241,10,FALSE)," ")</f>
        <v>#N/A</v>
      </c>
      <c r="L1937" s="1"/>
      <c r="M1937" s="1"/>
      <c r="N1937" s="1"/>
      <c r="O1937" s="8" t="e">
        <f>IF(B1937=0,VLOOKUP(A1937,Feuil2!$A$2:$M$1241,13,FALSE)," ")</f>
        <v>#N/A</v>
      </c>
    </row>
    <row r="1938" spans="1:15" x14ac:dyDescent="0.3">
      <c r="A1938" s="1"/>
      <c r="B1938" s="1"/>
      <c r="C1938" s="1" t="e">
        <f>IF(B1938=0,VLOOKUP(A1938,Feuil2!$A$2:$M$1241,2,FALSE)," ")</f>
        <v>#N/A</v>
      </c>
      <c r="D1938" s="1" t="e">
        <f>IF(B1938=0,VLOOKUP(A1938,Feuil2!$A$2:$M$1241,3,FALSE)," ")</f>
        <v>#N/A</v>
      </c>
      <c r="E1938" s="5" t="e">
        <f>IF(B1938=0,VLOOKUP(A1938,Feuil2!$A$2:$M$1241,6,FALSE)," ")</f>
        <v>#N/A</v>
      </c>
      <c r="F1938" s="1" t="e">
        <f>IF(B1938=0,VLOOKUP(A1938,Feuil2!$A$2:$M$1241,12,FALSE)," ")</f>
        <v>#N/A</v>
      </c>
      <c r="G1938" s="1" t="e">
        <f>IF(B1938=0,VLOOKUP(A1938,Feuil2!$A$2:$M$1241,11,FALSE)," ")</f>
        <v>#N/A</v>
      </c>
      <c r="H1938" s="1" t="s">
        <v>16</v>
      </c>
      <c r="I1938" s="6" t="e">
        <f>IF(B1938=0,VLOOKUP(A1938,Feuil2!$A$2:$M$1241,7,FALSE)," ")</f>
        <v>#N/A</v>
      </c>
      <c r="J1938" s="1" t="e">
        <f>IF(B1938=0,VLOOKUP(A1938,Feuil2!$A$2:$M$1241,9,FALSE)," ")</f>
        <v>#N/A</v>
      </c>
      <c r="K1938" s="1" t="e">
        <f>IF(B1938=0,VLOOKUP(A1938,Feuil2!$A$2:$M$1241,10,FALSE)," ")</f>
        <v>#N/A</v>
      </c>
      <c r="L1938" s="1"/>
      <c r="M1938" s="1"/>
      <c r="N1938" s="1"/>
      <c r="O1938" s="8" t="e">
        <f>IF(B1938=0,VLOOKUP(A1938,Feuil2!$A$2:$M$1241,13,FALSE)," ")</f>
        <v>#N/A</v>
      </c>
    </row>
    <row r="1939" spans="1:15" x14ac:dyDescent="0.3">
      <c r="A1939" s="1"/>
      <c r="B1939" s="1"/>
      <c r="C1939" s="1" t="e">
        <f>IF(B1939=0,VLOOKUP(A1939,Feuil2!$A$2:$M$1241,2,FALSE)," ")</f>
        <v>#N/A</v>
      </c>
      <c r="D1939" s="1" t="e">
        <f>IF(B1939=0,VLOOKUP(A1939,Feuil2!$A$2:$M$1241,3,FALSE)," ")</f>
        <v>#N/A</v>
      </c>
      <c r="E1939" s="5" t="e">
        <f>IF(B1939=0,VLOOKUP(A1939,Feuil2!$A$2:$M$1241,6,FALSE)," ")</f>
        <v>#N/A</v>
      </c>
      <c r="F1939" s="1" t="e">
        <f>IF(B1939=0,VLOOKUP(A1939,Feuil2!$A$2:$M$1241,12,FALSE)," ")</f>
        <v>#N/A</v>
      </c>
      <c r="G1939" s="1" t="e">
        <f>IF(B1939=0,VLOOKUP(A1939,Feuil2!$A$2:$M$1241,11,FALSE)," ")</f>
        <v>#N/A</v>
      </c>
      <c r="H1939" s="1" t="s">
        <v>16</v>
      </c>
      <c r="I1939" s="6" t="e">
        <f>IF(B1939=0,VLOOKUP(A1939,Feuil2!$A$2:$M$1241,7,FALSE)," ")</f>
        <v>#N/A</v>
      </c>
      <c r="J1939" s="1" t="e">
        <f>IF(B1939=0,VLOOKUP(A1939,Feuil2!$A$2:$M$1241,9,FALSE)," ")</f>
        <v>#N/A</v>
      </c>
      <c r="K1939" s="1" t="e">
        <f>IF(B1939=0,VLOOKUP(A1939,Feuil2!$A$2:$M$1241,10,FALSE)," ")</f>
        <v>#N/A</v>
      </c>
      <c r="L1939" s="1"/>
      <c r="M1939" s="1"/>
      <c r="N1939" s="1"/>
      <c r="O1939" s="8" t="e">
        <f>IF(B1939=0,VLOOKUP(A1939,Feuil2!$A$2:$M$1241,13,FALSE)," ")</f>
        <v>#N/A</v>
      </c>
    </row>
    <row r="1940" spans="1:15" x14ac:dyDescent="0.3">
      <c r="A1940" s="1"/>
      <c r="B1940" s="1"/>
      <c r="C1940" s="1" t="e">
        <f>IF(B1940=0,VLOOKUP(A1940,Feuil2!$A$2:$M$1241,2,FALSE)," ")</f>
        <v>#N/A</v>
      </c>
      <c r="D1940" s="1" t="e">
        <f>IF(B1940=0,VLOOKUP(A1940,Feuil2!$A$2:$M$1241,3,FALSE)," ")</f>
        <v>#N/A</v>
      </c>
      <c r="E1940" s="5" t="e">
        <f>IF(B1940=0,VLOOKUP(A1940,Feuil2!$A$2:$M$1241,6,FALSE)," ")</f>
        <v>#N/A</v>
      </c>
      <c r="F1940" s="1" t="e">
        <f>IF(B1940=0,VLOOKUP(A1940,Feuil2!$A$2:$M$1241,12,FALSE)," ")</f>
        <v>#N/A</v>
      </c>
      <c r="G1940" s="1" t="e">
        <f>IF(B1940=0,VLOOKUP(A1940,Feuil2!$A$2:$M$1241,11,FALSE)," ")</f>
        <v>#N/A</v>
      </c>
      <c r="H1940" s="1" t="s">
        <v>16</v>
      </c>
      <c r="I1940" s="6" t="e">
        <f>IF(B1940=0,VLOOKUP(A1940,Feuil2!$A$2:$M$1241,7,FALSE)," ")</f>
        <v>#N/A</v>
      </c>
      <c r="J1940" s="1" t="e">
        <f>IF(B1940=0,VLOOKUP(A1940,Feuil2!$A$2:$M$1241,9,FALSE)," ")</f>
        <v>#N/A</v>
      </c>
      <c r="K1940" s="1" t="e">
        <f>IF(B1940=0,VLOOKUP(A1940,Feuil2!$A$2:$M$1241,10,FALSE)," ")</f>
        <v>#N/A</v>
      </c>
      <c r="L1940" s="1"/>
      <c r="M1940" s="1"/>
      <c r="N1940" s="1"/>
      <c r="O1940" s="8" t="e">
        <f>IF(B1940=0,VLOOKUP(A1940,Feuil2!$A$2:$M$1241,13,FALSE)," ")</f>
        <v>#N/A</v>
      </c>
    </row>
    <row r="1941" spans="1:15" x14ac:dyDescent="0.3">
      <c r="A1941" s="1"/>
      <c r="B1941" s="1"/>
      <c r="C1941" s="1" t="e">
        <f>IF(B1941=0,VLOOKUP(A1941,Feuil2!$A$2:$M$1241,2,FALSE)," ")</f>
        <v>#N/A</v>
      </c>
      <c r="D1941" s="1" t="e">
        <f>IF(B1941=0,VLOOKUP(A1941,Feuil2!$A$2:$M$1241,3,FALSE)," ")</f>
        <v>#N/A</v>
      </c>
      <c r="E1941" s="5" t="e">
        <f>IF(B1941=0,VLOOKUP(A1941,Feuil2!$A$2:$M$1241,6,FALSE)," ")</f>
        <v>#N/A</v>
      </c>
      <c r="F1941" s="1" t="e">
        <f>IF(B1941=0,VLOOKUP(A1941,Feuil2!$A$2:$M$1241,12,FALSE)," ")</f>
        <v>#N/A</v>
      </c>
      <c r="G1941" s="1" t="e">
        <f>IF(B1941=0,VLOOKUP(A1941,Feuil2!$A$2:$M$1241,11,FALSE)," ")</f>
        <v>#N/A</v>
      </c>
      <c r="H1941" s="1" t="s">
        <v>16</v>
      </c>
      <c r="I1941" s="6" t="e">
        <f>IF(B1941=0,VLOOKUP(A1941,Feuil2!$A$2:$M$1241,7,FALSE)," ")</f>
        <v>#N/A</v>
      </c>
      <c r="J1941" s="1" t="e">
        <f>IF(B1941=0,VLOOKUP(A1941,Feuil2!$A$2:$M$1241,9,FALSE)," ")</f>
        <v>#N/A</v>
      </c>
      <c r="K1941" s="1" t="e">
        <f>IF(B1941=0,VLOOKUP(A1941,Feuil2!$A$2:$M$1241,10,FALSE)," ")</f>
        <v>#N/A</v>
      </c>
      <c r="L1941" s="1"/>
      <c r="M1941" s="1"/>
      <c r="N1941" s="1"/>
      <c r="O1941" s="8" t="e">
        <f>IF(B1941=0,VLOOKUP(A1941,Feuil2!$A$2:$M$1241,13,FALSE)," ")</f>
        <v>#N/A</v>
      </c>
    </row>
    <row r="1942" spans="1:15" x14ac:dyDescent="0.3">
      <c r="A1942" s="1"/>
      <c r="B1942" s="1"/>
      <c r="C1942" s="1" t="e">
        <f>IF(B1942=0,VLOOKUP(A1942,Feuil2!$A$2:$M$1241,2,FALSE)," ")</f>
        <v>#N/A</v>
      </c>
      <c r="D1942" s="1" t="e">
        <f>IF(B1942=0,VLOOKUP(A1942,Feuil2!$A$2:$M$1241,3,FALSE)," ")</f>
        <v>#N/A</v>
      </c>
      <c r="E1942" s="5" t="e">
        <f>IF(B1942=0,VLOOKUP(A1942,Feuil2!$A$2:$M$1241,6,FALSE)," ")</f>
        <v>#N/A</v>
      </c>
      <c r="F1942" s="1" t="e">
        <f>IF(B1942=0,VLOOKUP(A1942,Feuil2!$A$2:$M$1241,12,FALSE)," ")</f>
        <v>#N/A</v>
      </c>
      <c r="G1942" s="1" t="e">
        <f>IF(B1942=0,VLOOKUP(A1942,Feuil2!$A$2:$M$1241,11,FALSE)," ")</f>
        <v>#N/A</v>
      </c>
      <c r="H1942" s="1" t="s">
        <v>16</v>
      </c>
      <c r="I1942" s="6" t="e">
        <f>IF(B1942=0,VLOOKUP(A1942,Feuil2!$A$2:$M$1241,7,FALSE)," ")</f>
        <v>#N/A</v>
      </c>
      <c r="J1942" s="1" t="e">
        <f>IF(B1942=0,VLOOKUP(A1942,Feuil2!$A$2:$M$1241,9,FALSE)," ")</f>
        <v>#N/A</v>
      </c>
      <c r="K1942" s="1" t="e">
        <f>IF(B1942=0,VLOOKUP(A1942,Feuil2!$A$2:$M$1241,10,FALSE)," ")</f>
        <v>#N/A</v>
      </c>
      <c r="L1942" s="1"/>
      <c r="M1942" s="1"/>
      <c r="N1942" s="1"/>
      <c r="O1942" s="8" t="e">
        <f>IF(B1942=0,VLOOKUP(A1942,Feuil2!$A$2:$M$1241,13,FALSE)," ")</f>
        <v>#N/A</v>
      </c>
    </row>
    <row r="1943" spans="1:15" x14ac:dyDescent="0.3">
      <c r="A1943" s="1"/>
      <c r="B1943" s="1"/>
      <c r="C1943" s="1" t="e">
        <f>IF(B1943=0,VLOOKUP(A1943,Feuil2!$A$2:$M$1241,2,FALSE)," ")</f>
        <v>#N/A</v>
      </c>
      <c r="D1943" s="1" t="e">
        <f>IF(B1943=0,VLOOKUP(A1943,Feuil2!$A$2:$M$1241,3,FALSE)," ")</f>
        <v>#N/A</v>
      </c>
      <c r="E1943" s="5" t="e">
        <f>IF(B1943=0,VLOOKUP(A1943,Feuil2!$A$2:$M$1241,6,FALSE)," ")</f>
        <v>#N/A</v>
      </c>
      <c r="F1943" s="1" t="e">
        <f>IF(B1943=0,VLOOKUP(A1943,Feuil2!$A$2:$M$1241,12,FALSE)," ")</f>
        <v>#N/A</v>
      </c>
      <c r="G1943" s="1" t="e">
        <f>IF(B1943=0,VLOOKUP(A1943,Feuil2!$A$2:$M$1241,11,FALSE)," ")</f>
        <v>#N/A</v>
      </c>
      <c r="H1943" s="1" t="s">
        <v>16</v>
      </c>
      <c r="I1943" s="6" t="e">
        <f>IF(B1943=0,VLOOKUP(A1943,Feuil2!$A$2:$M$1241,7,FALSE)," ")</f>
        <v>#N/A</v>
      </c>
      <c r="J1943" s="1" t="e">
        <f>IF(B1943=0,VLOOKUP(A1943,Feuil2!$A$2:$M$1241,9,FALSE)," ")</f>
        <v>#N/A</v>
      </c>
      <c r="K1943" s="1" t="e">
        <f>IF(B1943=0,VLOOKUP(A1943,Feuil2!$A$2:$M$1241,10,FALSE)," ")</f>
        <v>#N/A</v>
      </c>
      <c r="L1943" s="1"/>
      <c r="M1943" s="1"/>
      <c r="N1943" s="1"/>
      <c r="O1943" s="8" t="e">
        <f>IF(B1943=0,VLOOKUP(A1943,Feuil2!$A$2:$M$1241,13,FALSE)," ")</f>
        <v>#N/A</v>
      </c>
    </row>
    <row r="1944" spans="1:15" x14ac:dyDescent="0.3">
      <c r="A1944" s="1"/>
      <c r="B1944" s="1"/>
      <c r="C1944" s="1" t="e">
        <f>IF(B1944=0,VLOOKUP(A1944,Feuil2!$A$2:$M$1241,2,FALSE)," ")</f>
        <v>#N/A</v>
      </c>
      <c r="D1944" s="1" t="e">
        <f>IF(B1944=0,VLOOKUP(A1944,Feuil2!$A$2:$M$1241,3,FALSE)," ")</f>
        <v>#N/A</v>
      </c>
      <c r="E1944" s="5" t="e">
        <f>IF(B1944=0,VLOOKUP(A1944,Feuil2!$A$2:$M$1241,6,FALSE)," ")</f>
        <v>#N/A</v>
      </c>
      <c r="F1944" s="1" t="e">
        <f>IF(B1944=0,VLOOKUP(A1944,Feuil2!$A$2:$M$1241,12,FALSE)," ")</f>
        <v>#N/A</v>
      </c>
      <c r="G1944" s="1" t="e">
        <f>IF(B1944=0,VLOOKUP(A1944,Feuil2!$A$2:$M$1241,11,FALSE)," ")</f>
        <v>#N/A</v>
      </c>
      <c r="H1944" s="1" t="s">
        <v>16</v>
      </c>
      <c r="I1944" s="6" t="e">
        <f>IF(B1944=0,VLOOKUP(A1944,Feuil2!$A$2:$M$1241,7,FALSE)," ")</f>
        <v>#N/A</v>
      </c>
      <c r="J1944" s="1" t="e">
        <f>IF(B1944=0,VLOOKUP(A1944,Feuil2!$A$2:$M$1241,9,FALSE)," ")</f>
        <v>#N/A</v>
      </c>
      <c r="K1944" s="1" t="e">
        <f>IF(B1944=0,VLOOKUP(A1944,Feuil2!$A$2:$M$1241,10,FALSE)," ")</f>
        <v>#N/A</v>
      </c>
      <c r="L1944" s="1"/>
      <c r="M1944" s="1"/>
      <c r="N1944" s="1"/>
      <c r="O1944" s="8" t="e">
        <f>IF(B1944=0,VLOOKUP(A1944,Feuil2!$A$2:$M$1241,13,FALSE)," ")</f>
        <v>#N/A</v>
      </c>
    </row>
    <row r="1945" spans="1:15" x14ac:dyDescent="0.3">
      <c r="A1945" s="1"/>
      <c r="B1945" s="1"/>
      <c r="C1945" s="1" t="e">
        <f>IF(B1945=0,VLOOKUP(A1945,Feuil2!$A$2:$M$1241,2,FALSE)," ")</f>
        <v>#N/A</v>
      </c>
      <c r="D1945" s="1" t="e">
        <f>IF(B1945=0,VLOOKUP(A1945,Feuil2!$A$2:$M$1241,3,FALSE)," ")</f>
        <v>#N/A</v>
      </c>
      <c r="E1945" s="5" t="e">
        <f>IF(B1945=0,VLOOKUP(A1945,Feuil2!$A$2:$M$1241,6,FALSE)," ")</f>
        <v>#N/A</v>
      </c>
      <c r="F1945" s="1" t="e">
        <f>IF(B1945=0,VLOOKUP(A1945,Feuil2!$A$2:$M$1241,12,FALSE)," ")</f>
        <v>#N/A</v>
      </c>
      <c r="G1945" s="1" t="e">
        <f>IF(B1945=0,VLOOKUP(A1945,Feuil2!$A$2:$M$1241,11,FALSE)," ")</f>
        <v>#N/A</v>
      </c>
      <c r="H1945" s="1" t="s">
        <v>16</v>
      </c>
      <c r="I1945" s="6" t="e">
        <f>IF(B1945=0,VLOOKUP(A1945,Feuil2!$A$2:$M$1241,7,FALSE)," ")</f>
        <v>#N/A</v>
      </c>
      <c r="J1945" s="1" t="e">
        <f>IF(B1945=0,VLOOKUP(A1945,Feuil2!$A$2:$M$1241,9,FALSE)," ")</f>
        <v>#N/A</v>
      </c>
      <c r="K1945" s="1" t="e">
        <f>IF(B1945=0,VLOOKUP(A1945,Feuil2!$A$2:$M$1241,10,FALSE)," ")</f>
        <v>#N/A</v>
      </c>
      <c r="L1945" s="1"/>
      <c r="M1945" s="1"/>
      <c r="N1945" s="1"/>
      <c r="O1945" s="8" t="e">
        <f>IF(B1945=0,VLOOKUP(A1945,Feuil2!$A$2:$M$1241,13,FALSE)," ")</f>
        <v>#N/A</v>
      </c>
    </row>
    <row r="1946" spans="1:15" x14ac:dyDescent="0.3">
      <c r="A1946" s="1"/>
      <c r="B1946" s="1"/>
      <c r="C1946" s="1" t="e">
        <f>IF(B1946=0,VLOOKUP(A1946,Feuil2!$A$2:$M$1241,2,FALSE)," ")</f>
        <v>#N/A</v>
      </c>
      <c r="D1946" s="1" t="e">
        <f>IF(B1946=0,VLOOKUP(A1946,Feuil2!$A$2:$M$1241,3,FALSE)," ")</f>
        <v>#N/A</v>
      </c>
      <c r="E1946" s="5" t="e">
        <f>IF(B1946=0,VLOOKUP(A1946,Feuil2!$A$2:$M$1241,6,FALSE)," ")</f>
        <v>#N/A</v>
      </c>
      <c r="F1946" s="1" t="e">
        <f>IF(B1946=0,VLOOKUP(A1946,Feuil2!$A$2:$M$1241,12,FALSE)," ")</f>
        <v>#N/A</v>
      </c>
      <c r="G1946" s="1" t="e">
        <f>IF(B1946=0,VLOOKUP(A1946,Feuil2!$A$2:$M$1241,11,FALSE)," ")</f>
        <v>#N/A</v>
      </c>
      <c r="H1946" s="1" t="s">
        <v>16</v>
      </c>
      <c r="I1946" s="6" t="e">
        <f>IF(B1946=0,VLOOKUP(A1946,Feuil2!$A$2:$M$1241,7,FALSE)," ")</f>
        <v>#N/A</v>
      </c>
      <c r="J1946" s="1" t="e">
        <f>IF(B1946=0,VLOOKUP(A1946,Feuil2!$A$2:$M$1241,9,FALSE)," ")</f>
        <v>#N/A</v>
      </c>
      <c r="K1946" s="1" t="e">
        <f>IF(B1946=0,VLOOKUP(A1946,Feuil2!$A$2:$M$1241,10,FALSE)," ")</f>
        <v>#N/A</v>
      </c>
      <c r="L1946" s="1"/>
      <c r="M1946" s="1"/>
      <c r="N1946" s="1"/>
      <c r="O1946" s="8" t="e">
        <f>IF(B1946=0,VLOOKUP(A1946,Feuil2!$A$2:$M$1241,13,FALSE)," ")</f>
        <v>#N/A</v>
      </c>
    </row>
    <row r="1947" spans="1:15" x14ac:dyDescent="0.3">
      <c r="A1947" s="1"/>
      <c r="B1947" s="1"/>
      <c r="C1947" s="1" t="e">
        <f>IF(B1947=0,VLOOKUP(A1947,Feuil2!$A$2:$M$1241,2,FALSE)," ")</f>
        <v>#N/A</v>
      </c>
      <c r="D1947" s="1" t="e">
        <f>IF(B1947=0,VLOOKUP(A1947,Feuil2!$A$2:$M$1241,3,FALSE)," ")</f>
        <v>#N/A</v>
      </c>
      <c r="E1947" s="5" t="e">
        <f>IF(B1947=0,VLOOKUP(A1947,Feuil2!$A$2:$M$1241,6,FALSE)," ")</f>
        <v>#N/A</v>
      </c>
      <c r="F1947" s="1" t="e">
        <f>IF(B1947=0,VLOOKUP(A1947,Feuil2!$A$2:$M$1241,12,FALSE)," ")</f>
        <v>#N/A</v>
      </c>
      <c r="G1947" s="1" t="e">
        <f>IF(B1947=0,VLOOKUP(A1947,Feuil2!$A$2:$M$1241,11,FALSE)," ")</f>
        <v>#N/A</v>
      </c>
      <c r="H1947" s="1" t="s">
        <v>16</v>
      </c>
      <c r="I1947" s="6" t="e">
        <f>IF(B1947=0,VLOOKUP(A1947,Feuil2!$A$2:$M$1241,7,FALSE)," ")</f>
        <v>#N/A</v>
      </c>
      <c r="J1947" s="1" t="e">
        <f>IF(B1947=0,VLOOKUP(A1947,Feuil2!$A$2:$M$1241,9,FALSE)," ")</f>
        <v>#N/A</v>
      </c>
      <c r="K1947" s="1" t="e">
        <f>IF(B1947=0,VLOOKUP(A1947,Feuil2!$A$2:$M$1241,10,FALSE)," ")</f>
        <v>#N/A</v>
      </c>
      <c r="L1947" s="1"/>
      <c r="M1947" s="1"/>
      <c r="N1947" s="1"/>
      <c r="O1947" s="8" t="e">
        <f>IF(B1947=0,VLOOKUP(A1947,Feuil2!$A$2:$M$1241,13,FALSE)," ")</f>
        <v>#N/A</v>
      </c>
    </row>
    <row r="1948" spans="1:15" x14ac:dyDescent="0.3">
      <c r="A1948" s="1"/>
      <c r="B1948" s="1"/>
      <c r="C1948" s="1" t="e">
        <f>IF(B1948=0,VLOOKUP(A1948,Feuil2!$A$2:$M$1241,2,FALSE)," ")</f>
        <v>#N/A</v>
      </c>
      <c r="D1948" s="1" t="e">
        <f>IF(B1948=0,VLOOKUP(A1948,Feuil2!$A$2:$M$1241,3,FALSE)," ")</f>
        <v>#N/A</v>
      </c>
      <c r="E1948" s="5" t="e">
        <f>IF(B1948=0,VLOOKUP(A1948,Feuil2!$A$2:$M$1241,6,FALSE)," ")</f>
        <v>#N/A</v>
      </c>
      <c r="F1948" s="1" t="e">
        <f>IF(B1948=0,VLOOKUP(A1948,Feuil2!$A$2:$M$1241,12,FALSE)," ")</f>
        <v>#N/A</v>
      </c>
      <c r="G1948" s="1" t="e">
        <f>IF(B1948=0,VLOOKUP(A1948,Feuil2!$A$2:$M$1241,11,FALSE)," ")</f>
        <v>#N/A</v>
      </c>
      <c r="H1948" s="1" t="s">
        <v>16</v>
      </c>
      <c r="I1948" s="6" t="e">
        <f>IF(B1948=0,VLOOKUP(A1948,Feuil2!$A$2:$M$1241,7,FALSE)," ")</f>
        <v>#N/A</v>
      </c>
      <c r="J1948" s="1" t="e">
        <f>IF(B1948=0,VLOOKUP(A1948,Feuil2!$A$2:$M$1241,9,FALSE)," ")</f>
        <v>#N/A</v>
      </c>
      <c r="K1948" s="1" t="e">
        <f>IF(B1948=0,VLOOKUP(A1948,Feuil2!$A$2:$M$1241,10,FALSE)," ")</f>
        <v>#N/A</v>
      </c>
      <c r="L1948" s="1"/>
      <c r="M1948" s="1"/>
      <c r="N1948" s="1"/>
      <c r="O1948" s="8" t="e">
        <f>IF(B1948=0,VLOOKUP(A1948,Feuil2!$A$2:$M$1241,13,FALSE)," ")</f>
        <v>#N/A</v>
      </c>
    </row>
    <row r="1949" spans="1:15" x14ac:dyDescent="0.3">
      <c r="A1949" s="1"/>
      <c r="B1949" s="1"/>
      <c r="C1949" s="1" t="e">
        <f>IF(B1949=0,VLOOKUP(A1949,Feuil2!$A$2:$M$1241,2,FALSE)," ")</f>
        <v>#N/A</v>
      </c>
      <c r="D1949" s="1" t="e">
        <f>IF(B1949=0,VLOOKUP(A1949,Feuil2!$A$2:$M$1241,3,FALSE)," ")</f>
        <v>#N/A</v>
      </c>
      <c r="E1949" s="5" t="e">
        <f>IF(B1949=0,VLOOKUP(A1949,Feuil2!$A$2:$M$1241,6,FALSE)," ")</f>
        <v>#N/A</v>
      </c>
      <c r="F1949" s="1" t="e">
        <f>IF(B1949=0,VLOOKUP(A1949,Feuil2!$A$2:$M$1241,12,FALSE)," ")</f>
        <v>#N/A</v>
      </c>
      <c r="G1949" s="1" t="e">
        <f>IF(B1949=0,VLOOKUP(A1949,Feuil2!$A$2:$M$1241,11,FALSE)," ")</f>
        <v>#N/A</v>
      </c>
      <c r="H1949" s="1" t="s">
        <v>16</v>
      </c>
      <c r="I1949" s="6" t="e">
        <f>IF(B1949=0,VLOOKUP(A1949,Feuil2!$A$2:$M$1241,7,FALSE)," ")</f>
        <v>#N/A</v>
      </c>
      <c r="J1949" s="1" t="e">
        <f>IF(B1949=0,VLOOKUP(A1949,Feuil2!$A$2:$M$1241,9,FALSE)," ")</f>
        <v>#N/A</v>
      </c>
      <c r="K1949" s="1" t="e">
        <f>IF(B1949=0,VLOOKUP(A1949,Feuil2!$A$2:$M$1241,10,FALSE)," ")</f>
        <v>#N/A</v>
      </c>
      <c r="L1949" s="1"/>
      <c r="M1949" s="1"/>
      <c r="N1949" s="1"/>
      <c r="O1949" s="8" t="e">
        <f>IF(B1949=0,VLOOKUP(A1949,Feuil2!$A$2:$M$1241,13,FALSE)," ")</f>
        <v>#N/A</v>
      </c>
    </row>
    <row r="1950" spans="1:15" x14ac:dyDescent="0.3">
      <c r="A1950" s="1"/>
      <c r="B1950" s="1"/>
      <c r="C1950" s="1" t="e">
        <f>IF(B1950=0,VLOOKUP(A1950,Feuil2!$A$2:$M$1241,2,FALSE)," ")</f>
        <v>#N/A</v>
      </c>
      <c r="D1950" s="1" t="e">
        <f>IF(B1950=0,VLOOKUP(A1950,Feuil2!$A$2:$M$1241,3,FALSE)," ")</f>
        <v>#N/A</v>
      </c>
      <c r="E1950" s="5" t="e">
        <f>IF(B1950=0,VLOOKUP(A1950,Feuil2!$A$2:$M$1241,6,FALSE)," ")</f>
        <v>#N/A</v>
      </c>
      <c r="F1950" s="1" t="e">
        <f>IF(B1950=0,VLOOKUP(A1950,Feuil2!$A$2:$M$1241,12,FALSE)," ")</f>
        <v>#N/A</v>
      </c>
      <c r="G1950" s="1" t="e">
        <f>IF(B1950=0,VLOOKUP(A1950,Feuil2!$A$2:$M$1241,11,FALSE)," ")</f>
        <v>#N/A</v>
      </c>
      <c r="H1950" s="1" t="s">
        <v>16</v>
      </c>
      <c r="I1950" s="6" t="e">
        <f>IF(B1950=0,VLOOKUP(A1950,Feuil2!$A$2:$M$1241,7,FALSE)," ")</f>
        <v>#N/A</v>
      </c>
      <c r="J1950" s="1" t="e">
        <f>IF(B1950=0,VLOOKUP(A1950,Feuil2!$A$2:$M$1241,9,FALSE)," ")</f>
        <v>#N/A</v>
      </c>
      <c r="K1950" s="1" t="e">
        <f>IF(B1950=0,VLOOKUP(A1950,Feuil2!$A$2:$M$1241,10,FALSE)," ")</f>
        <v>#N/A</v>
      </c>
      <c r="L1950" s="1"/>
      <c r="M1950" s="1"/>
      <c r="N1950" s="1"/>
      <c r="O1950" s="8" t="e">
        <f>IF(B1950=0,VLOOKUP(A1950,Feuil2!$A$2:$M$1241,13,FALSE)," ")</f>
        <v>#N/A</v>
      </c>
    </row>
    <row r="1951" spans="1:15" x14ac:dyDescent="0.3">
      <c r="A1951" s="1"/>
      <c r="B1951" s="1"/>
      <c r="C1951" s="1" t="e">
        <f>IF(B1951=0,VLOOKUP(A1951,Feuil2!$A$2:$M$1241,2,FALSE)," ")</f>
        <v>#N/A</v>
      </c>
      <c r="D1951" s="1" t="e">
        <f>IF(B1951=0,VLOOKUP(A1951,Feuil2!$A$2:$M$1241,3,FALSE)," ")</f>
        <v>#N/A</v>
      </c>
      <c r="E1951" s="5" t="e">
        <f>IF(B1951=0,VLOOKUP(A1951,Feuil2!$A$2:$M$1241,6,FALSE)," ")</f>
        <v>#N/A</v>
      </c>
      <c r="F1951" s="1" t="e">
        <f>IF(B1951=0,VLOOKUP(A1951,Feuil2!$A$2:$M$1241,12,FALSE)," ")</f>
        <v>#N/A</v>
      </c>
      <c r="G1951" s="1" t="e">
        <f>IF(B1951=0,VLOOKUP(A1951,Feuil2!$A$2:$M$1241,11,FALSE)," ")</f>
        <v>#N/A</v>
      </c>
      <c r="H1951" s="1" t="s">
        <v>16</v>
      </c>
      <c r="I1951" s="6" t="e">
        <f>IF(B1951=0,VLOOKUP(A1951,Feuil2!$A$2:$M$1241,7,FALSE)," ")</f>
        <v>#N/A</v>
      </c>
      <c r="J1951" s="1" t="e">
        <f>IF(B1951=0,VLOOKUP(A1951,Feuil2!$A$2:$M$1241,9,FALSE)," ")</f>
        <v>#N/A</v>
      </c>
      <c r="K1951" s="1" t="e">
        <f>IF(B1951=0,VLOOKUP(A1951,Feuil2!$A$2:$M$1241,10,FALSE)," ")</f>
        <v>#N/A</v>
      </c>
      <c r="L1951" s="1"/>
      <c r="M1951" s="1"/>
      <c r="N1951" s="1"/>
      <c r="O1951" s="8" t="e">
        <f>IF(B1951=0,VLOOKUP(A1951,Feuil2!$A$2:$M$1241,13,FALSE)," ")</f>
        <v>#N/A</v>
      </c>
    </row>
    <row r="1952" spans="1:15" x14ac:dyDescent="0.3">
      <c r="A1952" s="1"/>
      <c r="B1952" s="1"/>
      <c r="C1952" s="1" t="e">
        <f>IF(B1952=0,VLOOKUP(A1952,Feuil2!$A$2:$M$1241,2,FALSE)," ")</f>
        <v>#N/A</v>
      </c>
      <c r="D1952" s="1" t="e">
        <f>IF(B1952=0,VLOOKUP(A1952,Feuil2!$A$2:$M$1241,3,FALSE)," ")</f>
        <v>#N/A</v>
      </c>
      <c r="E1952" s="5" t="e">
        <f>IF(B1952=0,VLOOKUP(A1952,Feuil2!$A$2:$M$1241,6,FALSE)," ")</f>
        <v>#N/A</v>
      </c>
      <c r="F1952" s="1" t="e">
        <f>IF(B1952=0,VLOOKUP(A1952,Feuil2!$A$2:$M$1241,12,FALSE)," ")</f>
        <v>#N/A</v>
      </c>
      <c r="G1952" s="1" t="e">
        <f>IF(B1952=0,VLOOKUP(A1952,Feuil2!$A$2:$M$1241,11,FALSE)," ")</f>
        <v>#N/A</v>
      </c>
      <c r="H1952" s="1" t="s">
        <v>16</v>
      </c>
      <c r="I1952" s="6" t="e">
        <f>IF(B1952=0,VLOOKUP(A1952,Feuil2!$A$2:$M$1241,7,FALSE)," ")</f>
        <v>#N/A</v>
      </c>
      <c r="J1952" s="1" t="e">
        <f>IF(B1952=0,VLOOKUP(A1952,Feuil2!$A$2:$M$1241,9,FALSE)," ")</f>
        <v>#N/A</v>
      </c>
      <c r="K1952" s="1" t="e">
        <f>IF(B1952=0,VLOOKUP(A1952,Feuil2!$A$2:$M$1241,10,FALSE)," ")</f>
        <v>#N/A</v>
      </c>
      <c r="L1952" s="1"/>
      <c r="M1952" s="1"/>
      <c r="N1952" s="1"/>
      <c r="O1952" s="8" t="e">
        <f>IF(B1952=0,VLOOKUP(A1952,Feuil2!$A$2:$M$1241,13,FALSE)," ")</f>
        <v>#N/A</v>
      </c>
    </row>
    <row r="1953" spans="1:15" x14ac:dyDescent="0.3">
      <c r="A1953" s="1"/>
      <c r="B1953" s="1"/>
      <c r="C1953" s="1" t="e">
        <f>IF(B1953=0,VLOOKUP(A1953,Feuil2!$A$2:$M$1241,2,FALSE)," ")</f>
        <v>#N/A</v>
      </c>
      <c r="D1953" s="1" t="e">
        <f>IF(B1953=0,VLOOKUP(A1953,Feuil2!$A$2:$M$1241,3,FALSE)," ")</f>
        <v>#N/A</v>
      </c>
      <c r="E1953" s="5" t="e">
        <f>IF(B1953=0,VLOOKUP(A1953,Feuil2!$A$2:$M$1241,6,FALSE)," ")</f>
        <v>#N/A</v>
      </c>
      <c r="F1953" s="1" t="e">
        <f>IF(B1953=0,VLOOKUP(A1953,Feuil2!$A$2:$M$1241,12,FALSE)," ")</f>
        <v>#N/A</v>
      </c>
      <c r="G1953" s="1" t="e">
        <f>IF(B1953=0,VLOOKUP(A1953,Feuil2!$A$2:$M$1241,11,FALSE)," ")</f>
        <v>#N/A</v>
      </c>
      <c r="H1953" s="1" t="s">
        <v>16</v>
      </c>
      <c r="I1953" s="6" t="e">
        <f>IF(B1953=0,VLOOKUP(A1953,Feuil2!$A$2:$M$1241,7,FALSE)," ")</f>
        <v>#N/A</v>
      </c>
      <c r="J1953" s="1" t="e">
        <f>IF(B1953=0,VLOOKUP(A1953,Feuil2!$A$2:$M$1241,9,FALSE)," ")</f>
        <v>#N/A</v>
      </c>
      <c r="K1953" s="1" t="e">
        <f>IF(B1953=0,VLOOKUP(A1953,Feuil2!$A$2:$M$1241,10,FALSE)," ")</f>
        <v>#N/A</v>
      </c>
      <c r="L1953" s="1"/>
      <c r="M1953" s="1"/>
      <c r="N1953" s="1"/>
      <c r="O1953" s="8" t="e">
        <f>IF(B1953=0,VLOOKUP(A1953,Feuil2!$A$2:$M$1241,13,FALSE)," ")</f>
        <v>#N/A</v>
      </c>
    </row>
    <row r="1954" spans="1:15" x14ac:dyDescent="0.3">
      <c r="A1954" s="1"/>
      <c r="B1954" s="1"/>
      <c r="C1954" s="1" t="e">
        <f>IF(B1954=0,VLOOKUP(A1954,Feuil2!$A$2:$M$1241,2,FALSE)," ")</f>
        <v>#N/A</v>
      </c>
      <c r="D1954" s="1" t="e">
        <f>IF(B1954=0,VLOOKUP(A1954,Feuil2!$A$2:$M$1241,3,FALSE)," ")</f>
        <v>#N/A</v>
      </c>
      <c r="E1954" s="5" t="e">
        <f>IF(B1954=0,VLOOKUP(A1954,Feuil2!$A$2:$M$1241,6,FALSE)," ")</f>
        <v>#N/A</v>
      </c>
      <c r="F1954" s="1" t="e">
        <f>IF(B1954=0,VLOOKUP(A1954,Feuil2!$A$2:$M$1241,12,FALSE)," ")</f>
        <v>#N/A</v>
      </c>
      <c r="G1954" s="1" t="e">
        <f>IF(B1954=0,VLOOKUP(A1954,Feuil2!$A$2:$M$1241,11,FALSE)," ")</f>
        <v>#N/A</v>
      </c>
      <c r="H1954" s="1" t="s">
        <v>16</v>
      </c>
      <c r="I1954" s="6" t="e">
        <f>IF(B1954=0,VLOOKUP(A1954,Feuil2!$A$2:$M$1241,7,FALSE)," ")</f>
        <v>#N/A</v>
      </c>
      <c r="J1954" s="1" t="e">
        <f>IF(B1954=0,VLOOKUP(A1954,Feuil2!$A$2:$M$1241,9,FALSE)," ")</f>
        <v>#N/A</v>
      </c>
      <c r="K1954" s="1" t="e">
        <f>IF(B1954=0,VLOOKUP(A1954,Feuil2!$A$2:$M$1241,10,FALSE)," ")</f>
        <v>#N/A</v>
      </c>
      <c r="L1954" s="1"/>
      <c r="M1954" s="1"/>
      <c r="N1954" s="1"/>
      <c r="O1954" s="8" t="e">
        <f>IF(B1954=0,VLOOKUP(A1954,Feuil2!$A$2:$M$1241,13,FALSE)," ")</f>
        <v>#N/A</v>
      </c>
    </row>
    <row r="1955" spans="1:15" x14ac:dyDescent="0.3">
      <c r="A1955" s="1"/>
      <c r="B1955" s="1"/>
      <c r="C1955" s="1" t="e">
        <f>IF(B1955=0,VLOOKUP(A1955,Feuil2!$A$2:$M$1241,2,FALSE)," ")</f>
        <v>#N/A</v>
      </c>
      <c r="D1955" s="1" t="e">
        <f>IF(B1955=0,VLOOKUP(A1955,Feuil2!$A$2:$M$1241,3,FALSE)," ")</f>
        <v>#N/A</v>
      </c>
      <c r="E1955" s="5" t="e">
        <f>IF(B1955=0,VLOOKUP(A1955,Feuil2!$A$2:$M$1241,6,FALSE)," ")</f>
        <v>#N/A</v>
      </c>
      <c r="F1955" s="1" t="e">
        <f>IF(B1955=0,VLOOKUP(A1955,Feuil2!$A$2:$M$1241,12,FALSE)," ")</f>
        <v>#N/A</v>
      </c>
      <c r="G1955" s="1" t="e">
        <f>IF(B1955=0,VLOOKUP(A1955,Feuil2!$A$2:$M$1241,11,FALSE)," ")</f>
        <v>#N/A</v>
      </c>
      <c r="H1955" s="1" t="s">
        <v>16</v>
      </c>
      <c r="I1955" s="6" t="e">
        <f>IF(B1955=0,VLOOKUP(A1955,Feuil2!$A$2:$M$1241,7,FALSE)," ")</f>
        <v>#N/A</v>
      </c>
      <c r="J1955" s="1" t="e">
        <f>IF(B1955=0,VLOOKUP(A1955,Feuil2!$A$2:$M$1241,9,FALSE)," ")</f>
        <v>#N/A</v>
      </c>
      <c r="K1955" s="1" t="e">
        <f>IF(B1955=0,VLOOKUP(A1955,Feuil2!$A$2:$M$1241,10,FALSE)," ")</f>
        <v>#N/A</v>
      </c>
      <c r="L1955" s="1"/>
      <c r="M1955" s="1"/>
      <c r="N1955" s="1"/>
      <c r="O1955" s="8" t="e">
        <f>IF(B1955=0,VLOOKUP(A1955,Feuil2!$A$2:$M$1241,13,FALSE)," ")</f>
        <v>#N/A</v>
      </c>
    </row>
    <row r="1956" spans="1:15" x14ac:dyDescent="0.3">
      <c r="A1956" s="1"/>
      <c r="B1956" s="1"/>
      <c r="C1956" s="1" t="e">
        <f>IF(B1956=0,VLOOKUP(A1956,Feuil2!$A$2:$M$1241,2,FALSE)," ")</f>
        <v>#N/A</v>
      </c>
      <c r="D1956" s="1" t="e">
        <f>IF(B1956=0,VLOOKUP(A1956,Feuil2!$A$2:$M$1241,3,FALSE)," ")</f>
        <v>#N/A</v>
      </c>
      <c r="E1956" s="5" t="e">
        <f>IF(B1956=0,VLOOKUP(A1956,Feuil2!$A$2:$M$1241,6,FALSE)," ")</f>
        <v>#N/A</v>
      </c>
      <c r="F1956" s="1" t="e">
        <f>IF(B1956=0,VLOOKUP(A1956,Feuil2!$A$2:$M$1241,12,FALSE)," ")</f>
        <v>#N/A</v>
      </c>
      <c r="G1956" s="1" t="e">
        <f>IF(B1956=0,VLOOKUP(A1956,Feuil2!$A$2:$M$1241,11,FALSE)," ")</f>
        <v>#N/A</v>
      </c>
      <c r="H1956" s="1" t="s">
        <v>16</v>
      </c>
      <c r="I1956" s="6" t="e">
        <f>IF(B1956=0,VLOOKUP(A1956,Feuil2!$A$2:$M$1241,7,FALSE)," ")</f>
        <v>#N/A</v>
      </c>
      <c r="J1956" s="1" t="e">
        <f>IF(B1956=0,VLOOKUP(A1956,Feuil2!$A$2:$M$1241,9,FALSE)," ")</f>
        <v>#N/A</v>
      </c>
      <c r="K1956" s="1" t="e">
        <f>IF(B1956=0,VLOOKUP(A1956,Feuil2!$A$2:$M$1241,10,FALSE)," ")</f>
        <v>#N/A</v>
      </c>
      <c r="L1956" s="1"/>
      <c r="M1956" s="1"/>
      <c r="N1956" s="1"/>
      <c r="O1956" s="8" t="e">
        <f>IF(B1956=0,VLOOKUP(A1956,Feuil2!$A$2:$M$1241,13,FALSE)," ")</f>
        <v>#N/A</v>
      </c>
    </row>
    <row r="1957" spans="1:15" x14ac:dyDescent="0.3">
      <c r="A1957" s="1"/>
      <c r="B1957" s="1"/>
      <c r="C1957" s="1" t="e">
        <f>IF(B1957=0,VLOOKUP(A1957,Feuil2!$A$2:$M$1241,2,FALSE)," ")</f>
        <v>#N/A</v>
      </c>
      <c r="D1957" s="1" t="e">
        <f>IF(B1957=0,VLOOKUP(A1957,Feuil2!$A$2:$M$1241,3,FALSE)," ")</f>
        <v>#N/A</v>
      </c>
      <c r="E1957" s="5" t="e">
        <f>IF(B1957=0,VLOOKUP(A1957,Feuil2!$A$2:$M$1241,6,FALSE)," ")</f>
        <v>#N/A</v>
      </c>
      <c r="F1957" s="1" t="e">
        <f>IF(B1957=0,VLOOKUP(A1957,Feuil2!$A$2:$M$1241,12,FALSE)," ")</f>
        <v>#N/A</v>
      </c>
      <c r="G1957" s="1" t="e">
        <f>IF(B1957=0,VLOOKUP(A1957,Feuil2!$A$2:$M$1241,11,FALSE)," ")</f>
        <v>#N/A</v>
      </c>
      <c r="H1957" s="1" t="s">
        <v>16</v>
      </c>
      <c r="I1957" s="6" t="e">
        <f>IF(B1957=0,VLOOKUP(A1957,Feuil2!$A$2:$M$1241,7,FALSE)," ")</f>
        <v>#N/A</v>
      </c>
      <c r="J1957" s="1" t="e">
        <f>IF(B1957=0,VLOOKUP(A1957,Feuil2!$A$2:$M$1241,9,FALSE)," ")</f>
        <v>#N/A</v>
      </c>
      <c r="K1957" s="1" t="e">
        <f>IF(B1957=0,VLOOKUP(A1957,Feuil2!$A$2:$M$1241,10,FALSE)," ")</f>
        <v>#N/A</v>
      </c>
      <c r="L1957" s="1"/>
      <c r="M1957" s="1"/>
      <c r="N1957" s="1"/>
      <c r="O1957" s="8" t="e">
        <f>IF(B1957=0,VLOOKUP(A1957,Feuil2!$A$2:$M$1241,13,FALSE)," ")</f>
        <v>#N/A</v>
      </c>
    </row>
    <row r="1958" spans="1:15" x14ac:dyDescent="0.3">
      <c r="A1958" s="1"/>
      <c r="B1958" s="1"/>
      <c r="C1958" s="1" t="e">
        <f>IF(B1958=0,VLOOKUP(A1958,Feuil2!$A$2:$M$1241,2,FALSE)," ")</f>
        <v>#N/A</v>
      </c>
      <c r="D1958" s="1" t="e">
        <f>IF(B1958=0,VLOOKUP(A1958,Feuil2!$A$2:$M$1241,3,FALSE)," ")</f>
        <v>#N/A</v>
      </c>
      <c r="E1958" s="5" t="e">
        <f>IF(B1958=0,VLOOKUP(A1958,Feuil2!$A$2:$M$1241,6,FALSE)," ")</f>
        <v>#N/A</v>
      </c>
      <c r="F1958" s="1" t="e">
        <f>IF(B1958=0,VLOOKUP(A1958,Feuil2!$A$2:$M$1241,12,FALSE)," ")</f>
        <v>#N/A</v>
      </c>
      <c r="G1958" s="1" t="e">
        <f>IF(B1958=0,VLOOKUP(A1958,Feuil2!$A$2:$M$1241,11,FALSE)," ")</f>
        <v>#N/A</v>
      </c>
      <c r="H1958" s="1" t="s">
        <v>16</v>
      </c>
      <c r="I1958" s="6" t="e">
        <f>IF(B1958=0,VLOOKUP(A1958,Feuil2!$A$2:$M$1241,7,FALSE)," ")</f>
        <v>#N/A</v>
      </c>
      <c r="J1958" s="1" t="e">
        <f>IF(B1958=0,VLOOKUP(A1958,Feuil2!$A$2:$M$1241,9,FALSE)," ")</f>
        <v>#N/A</v>
      </c>
      <c r="K1958" s="1" t="e">
        <f>IF(B1958=0,VLOOKUP(A1958,Feuil2!$A$2:$M$1241,10,FALSE)," ")</f>
        <v>#N/A</v>
      </c>
      <c r="L1958" s="1"/>
      <c r="M1958" s="1"/>
      <c r="N1958" s="1"/>
      <c r="O1958" s="8" t="e">
        <f>IF(B1958=0,VLOOKUP(A1958,Feuil2!$A$2:$M$1241,13,FALSE)," ")</f>
        <v>#N/A</v>
      </c>
    </row>
    <row r="1959" spans="1:15" x14ac:dyDescent="0.3">
      <c r="A1959" s="1"/>
      <c r="B1959" s="1"/>
      <c r="C1959" s="1" t="e">
        <f>IF(B1959=0,VLOOKUP(A1959,Feuil2!$A$2:$M$1241,2,FALSE)," ")</f>
        <v>#N/A</v>
      </c>
      <c r="D1959" s="1" t="e">
        <f>IF(B1959=0,VLOOKUP(A1959,Feuil2!$A$2:$M$1241,3,FALSE)," ")</f>
        <v>#N/A</v>
      </c>
      <c r="E1959" s="5" t="e">
        <f>IF(B1959=0,VLOOKUP(A1959,Feuil2!$A$2:$M$1241,6,FALSE)," ")</f>
        <v>#N/A</v>
      </c>
      <c r="F1959" s="1" t="e">
        <f>IF(B1959=0,VLOOKUP(A1959,Feuil2!$A$2:$M$1241,12,FALSE)," ")</f>
        <v>#N/A</v>
      </c>
      <c r="G1959" s="1" t="e">
        <f>IF(B1959=0,VLOOKUP(A1959,Feuil2!$A$2:$M$1241,11,FALSE)," ")</f>
        <v>#N/A</v>
      </c>
      <c r="H1959" s="1" t="s">
        <v>16</v>
      </c>
      <c r="I1959" s="6" t="e">
        <f>IF(B1959=0,VLOOKUP(A1959,Feuil2!$A$2:$M$1241,7,FALSE)," ")</f>
        <v>#N/A</v>
      </c>
      <c r="J1959" s="1" t="e">
        <f>IF(B1959=0,VLOOKUP(A1959,Feuil2!$A$2:$M$1241,9,FALSE)," ")</f>
        <v>#N/A</v>
      </c>
      <c r="K1959" s="1" t="e">
        <f>IF(B1959=0,VLOOKUP(A1959,Feuil2!$A$2:$M$1241,10,FALSE)," ")</f>
        <v>#N/A</v>
      </c>
      <c r="L1959" s="1"/>
      <c r="M1959" s="1"/>
      <c r="N1959" s="1"/>
      <c r="O1959" s="8" t="e">
        <f>IF(B1959=0,VLOOKUP(A1959,Feuil2!$A$2:$M$1241,13,FALSE)," ")</f>
        <v>#N/A</v>
      </c>
    </row>
    <row r="1960" spans="1:15" x14ac:dyDescent="0.3">
      <c r="A1960" s="1"/>
      <c r="B1960" s="1"/>
      <c r="C1960" s="1" t="e">
        <f>IF(B1960=0,VLOOKUP(A1960,Feuil2!$A$2:$M$1241,2,FALSE)," ")</f>
        <v>#N/A</v>
      </c>
      <c r="D1960" s="1" t="e">
        <f>IF(B1960=0,VLOOKUP(A1960,Feuil2!$A$2:$M$1241,3,FALSE)," ")</f>
        <v>#N/A</v>
      </c>
      <c r="E1960" s="5" t="e">
        <f>IF(B1960=0,VLOOKUP(A1960,Feuil2!$A$2:$M$1241,6,FALSE)," ")</f>
        <v>#N/A</v>
      </c>
      <c r="F1960" s="1" t="e">
        <f>IF(B1960=0,VLOOKUP(A1960,Feuil2!$A$2:$M$1241,12,FALSE)," ")</f>
        <v>#N/A</v>
      </c>
      <c r="G1960" s="1" t="e">
        <f>IF(B1960=0,VLOOKUP(A1960,Feuil2!$A$2:$M$1241,11,FALSE)," ")</f>
        <v>#N/A</v>
      </c>
      <c r="H1960" s="1" t="s">
        <v>16</v>
      </c>
      <c r="I1960" s="6" t="e">
        <f>IF(B1960=0,VLOOKUP(A1960,Feuil2!$A$2:$M$1241,7,FALSE)," ")</f>
        <v>#N/A</v>
      </c>
      <c r="J1960" s="1" t="e">
        <f>IF(B1960=0,VLOOKUP(A1960,Feuil2!$A$2:$M$1241,9,FALSE)," ")</f>
        <v>#N/A</v>
      </c>
      <c r="K1960" s="1" t="e">
        <f>IF(B1960=0,VLOOKUP(A1960,Feuil2!$A$2:$M$1241,10,FALSE)," ")</f>
        <v>#N/A</v>
      </c>
      <c r="L1960" s="1"/>
      <c r="M1960" s="1"/>
      <c r="N1960" s="1"/>
      <c r="O1960" s="8" t="e">
        <f>IF(B1960=0,VLOOKUP(A1960,Feuil2!$A$2:$M$1241,13,FALSE)," ")</f>
        <v>#N/A</v>
      </c>
    </row>
    <row r="1961" spans="1:15" x14ac:dyDescent="0.3">
      <c r="A1961" s="1"/>
      <c r="B1961" s="1"/>
      <c r="C1961" s="1" t="e">
        <f>IF(B1961=0,VLOOKUP(A1961,Feuil2!$A$2:$M$1241,2,FALSE)," ")</f>
        <v>#N/A</v>
      </c>
      <c r="D1961" s="1" t="e">
        <f>IF(B1961=0,VLOOKUP(A1961,Feuil2!$A$2:$M$1241,3,FALSE)," ")</f>
        <v>#N/A</v>
      </c>
      <c r="E1961" s="5" t="e">
        <f>IF(B1961=0,VLOOKUP(A1961,Feuil2!$A$2:$M$1241,6,FALSE)," ")</f>
        <v>#N/A</v>
      </c>
      <c r="F1961" s="1" t="e">
        <f>IF(B1961=0,VLOOKUP(A1961,Feuil2!$A$2:$M$1241,12,FALSE)," ")</f>
        <v>#N/A</v>
      </c>
      <c r="G1961" s="1" t="e">
        <f>IF(B1961=0,VLOOKUP(A1961,Feuil2!$A$2:$M$1241,11,FALSE)," ")</f>
        <v>#N/A</v>
      </c>
      <c r="H1961" s="1" t="s">
        <v>16</v>
      </c>
      <c r="I1961" s="6" t="e">
        <f>IF(B1961=0,VLOOKUP(A1961,Feuil2!$A$2:$M$1241,7,FALSE)," ")</f>
        <v>#N/A</v>
      </c>
      <c r="J1961" s="1" t="e">
        <f>IF(B1961=0,VLOOKUP(A1961,Feuil2!$A$2:$M$1241,9,FALSE)," ")</f>
        <v>#N/A</v>
      </c>
      <c r="K1961" s="1" t="e">
        <f>IF(B1961=0,VLOOKUP(A1961,Feuil2!$A$2:$M$1241,10,FALSE)," ")</f>
        <v>#N/A</v>
      </c>
      <c r="L1961" s="1"/>
      <c r="M1961" s="1"/>
      <c r="N1961" s="1"/>
      <c r="O1961" s="8" t="e">
        <f>IF(B1961=0,VLOOKUP(A1961,Feuil2!$A$2:$M$1241,13,FALSE)," ")</f>
        <v>#N/A</v>
      </c>
    </row>
    <row r="1962" spans="1:15" x14ac:dyDescent="0.3">
      <c r="A1962" s="1"/>
      <c r="B1962" s="1"/>
      <c r="C1962" s="1" t="e">
        <f>IF(B1962=0,VLOOKUP(A1962,Feuil2!$A$2:$M$1241,2,FALSE)," ")</f>
        <v>#N/A</v>
      </c>
      <c r="D1962" s="1" t="e">
        <f>IF(B1962=0,VLOOKUP(A1962,Feuil2!$A$2:$M$1241,3,FALSE)," ")</f>
        <v>#N/A</v>
      </c>
      <c r="E1962" s="5" t="e">
        <f>IF(B1962=0,VLOOKUP(A1962,Feuil2!$A$2:$M$1241,6,FALSE)," ")</f>
        <v>#N/A</v>
      </c>
      <c r="F1962" s="1" t="e">
        <f>IF(B1962=0,VLOOKUP(A1962,Feuil2!$A$2:$M$1241,12,FALSE)," ")</f>
        <v>#N/A</v>
      </c>
      <c r="G1962" s="1" t="e">
        <f>IF(B1962=0,VLOOKUP(A1962,Feuil2!$A$2:$M$1241,11,FALSE)," ")</f>
        <v>#N/A</v>
      </c>
      <c r="H1962" s="1" t="s">
        <v>16</v>
      </c>
      <c r="I1962" s="6" t="e">
        <f>IF(B1962=0,VLOOKUP(A1962,Feuil2!$A$2:$M$1241,7,FALSE)," ")</f>
        <v>#N/A</v>
      </c>
      <c r="J1962" s="1" t="e">
        <f>IF(B1962=0,VLOOKUP(A1962,Feuil2!$A$2:$M$1241,9,FALSE)," ")</f>
        <v>#N/A</v>
      </c>
      <c r="K1962" s="1" t="e">
        <f>IF(B1962=0,VLOOKUP(A1962,Feuil2!$A$2:$M$1241,10,FALSE)," ")</f>
        <v>#N/A</v>
      </c>
      <c r="L1962" s="1"/>
      <c r="M1962" s="1"/>
      <c r="N1962" s="1"/>
      <c r="O1962" s="8" t="e">
        <f>IF(B1962=0,VLOOKUP(A1962,Feuil2!$A$2:$M$1241,13,FALSE)," ")</f>
        <v>#N/A</v>
      </c>
    </row>
    <row r="1963" spans="1:15" x14ac:dyDescent="0.3">
      <c r="A1963" s="1"/>
      <c r="B1963" s="1"/>
      <c r="C1963" s="1" t="e">
        <f>IF(B1963=0,VLOOKUP(A1963,Feuil2!$A$2:$M$1241,2,FALSE)," ")</f>
        <v>#N/A</v>
      </c>
      <c r="D1963" s="1" t="e">
        <f>IF(B1963=0,VLOOKUP(A1963,Feuil2!$A$2:$M$1241,3,FALSE)," ")</f>
        <v>#N/A</v>
      </c>
      <c r="E1963" s="5" t="e">
        <f>IF(B1963=0,VLOOKUP(A1963,Feuil2!$A$2:$M$1241,6,FALSE)," ")</f>
        <v>#N/A</v>
      </c>
      <c r="F1963" s="1" t="e">
        <f>IF(B1963=0,VLOOKUP(A1963,Feuil2!$A$2:$M$1241,12,FALSE)," ")</f>
        <v>#N/A</v>
      </c>
      <c r="G1963" s="1" t="e">
        <f>IF(B1963=0,VLOOKUP(A1963,Feuil2!$A$2:$M$1241,11,FALSE)," ")</f>
        <v>#N/A</v>
      </c>
      <c r="H1963" s="1" t="s">
        <v>16</v>
      </c>
      <c r="I1963" s="6" t="e">
        <f>IF(B1963=0,VLOOKUP(A1963,Feuil2!$A$2:$M$1241,7,FALSE)," ")</f>
        <v>#N/A</v>
      </c>
      <c r="J1963" s="1" t="e">
        <f>IF(B1963=0,VLOOKUP(A1963,Feuil2!$A$2:$M$1241,9,FALSE)," ")</f>
        <v>#N/A</v>
      </c>
      <c r="K1963" s="1" t="e">
        <f>IF(B1963=0,VLOOKUP(A1963,Feuil2!$A$2:$M$1241,10,FALSE)," ")</f>
        <v>#N/A</v>
      </c>
      <c r="L1963" s="1"/>
      <c r="M1963" s="1"/>
      <c r="N1963" s="1"/>
      <c r="O1963" s="8" t="e">
        <f>IF(B1963=0,VLOOKUP(A1963,Feuil2!$A$2:$M$1241,13,FALSE)," ")</f>
        <v>#N/A</v>
      </c>
    </row>
    <row r="1964" spans="1:15" x14ac:dyDescent="0.3">
      <c r="A1964" s="1"/>
      <c r="B1964" s="1"/>
      <c r="C1964" s="1" t="e">
        <f>IF(B1964=0,VLOOKUP(A1964,Feuil2!$A$2:$M$1241,2,FALSE)," ")</f>
        <v>#N/A</v>
      </c>
      <c r="D1964" s="1" t="e">
        <f>IF(B1964=0,VLOOKUP(A1964,Feuil2!$A$2:$M$1241,3,FALSE)," ")</f>
        <v>#N/A</v>
      </c>
      <c r="E1964" s="5" t="e">
        <f>IF(B1964=0,VLOOKUP(A1964,Feuil2!$A$2:$M$1241,6,FALSE)," ")</f>
        <v>#N/A</v>
      </c>
      <c r="F1964" s="1" t="e">
        <f>IF(B1964=0,VLOOKUP(A1964,Feuil2!$A$2:$M$1241,12,FALSE)," ")</f>
        <v>#N/A</v>
      </c>
      <c r="G1964" s="1" t="e">
        <f>IF(B1964=0,VLOOKUP(A1964,Feuil2!$A$2:$M$1241,11,FALSE)," ")</f>
        <v>#N/A</v>
      </c>
      <c r="H1964" s="1" t="s">
        <v>16</v>
      </c>
      <c r="I1964" s="6" t="e">
        <f>IF(B1964=0,VLOOKUP(A1964,Feuil2!$A$2:$M$1241,7,FALSE)," ")</f>
        <v>#N/A</v>
      </c>
      <c r="J1964" s="1" t="e">
        <f>IF(B1964=0,VLOOKUP(A1964,Feuil2!$A$2:$M$1241,9,FALSE)," ")</f>
        <v>#N/A</v>
      </c>
      <c r="K1964" s="1" t="e">
        <f>IF(B1964=0,VLOOKUP(A1964,Feuil2!$A$2:$M$1241,10,FALSE)," ")</f>
        <v>#N/A</v>
      </c>
      <c r="L1964" s="1"/>
      <c r="M1964" s="1"/>
      <c r="N1964" s="1"/>
      <c r="O1964" s="8" t="e">
        <f>IF(B1964=0,VLOOKUP(A1964,Feuil2!$A$2:$M$1241,13,FALSE)," ")</f>
        <v>#N/A</v>
      </c>
    </row>
    <row r="1965" spans="1:15" x14ac:dyDescent="0.3">
      <c r="A1965" s="1"/>
      <c r="B1965" s="1"/>
      <c r="C1965" s="1" t="e">
        <f>IF(B1965=0,VLOOKUP(A1965,Feuil2!$A$2:$M$1241,2,FALSE)," ")</f>
        <v>#N/A</v>
      </c>
      <c r="D1965" s="1" t="e">
        <f>IF(B1965=0,VLOOKUP(A1965,Feuil2!$A$2:$M$1241,3,FALSE)," ")</f>
        <v>#N/A</v>
      </c>
      <c r="E1965" s="5" t="e">
        <f>IF(B1965=0,VLOOKUP(A1965,Feuil2!$A$2:$M$1241,6,FALSE)," ")</f>
        <v>#N/A</v>
      </c>
      <c r="F1965" s="1" t="e">
        <f>IF(B1965=0,VLOOKUP(A1965,Feuil2!$A$2:$M$1241,12,FALSE)," ")</f>
        <v>#N/A</v>
      </c>
      <c r="G1965" s="1" t="e">
        <f>IF(B1965=0,VLOOKUP(A1965,Feuil2!$A$2:$M$1241,11,FALSE)," ")</f>
        <v>#N/A</v>
      </c>
      <c r="H1965" s="1" t="s">
        <v>16</v>
      </c>
      <c r="I1965" s="6" t="e">
        <f>IF(B1965=0,VLOOKUP(A1965,Feuil2!$A$2:$M$1241,7,FALSE)," ")</f>
        <v>#N/A</v>
      </c>
      <c r="J1965" s="1" t="e">
        <f>IF(B1965=0,VLOOKUP(A1965,Feuil2!$A$2:$M$1241,9,FALSE)," ")</f>
        <v>#N/A</v>
      </c>
      <c r="K1965" s="1" t="e">
        <f>IF(B1965=0,VLOOKUP(A1965,Feuil2!$A$2:$M$1241,10,FALSE)," ")</f>
        <v>#N/A</v>
      </c>
      <c r="L1965" s="1"/>
      <c r="M1965" s="1"/>
      <c r="N1965" s="1"/>
      <c r="O1965" s="8" t="e">
        <f>IF(B1965=0,VLOOKUP(A1965,Feuil2!$A$2:$M$1241,13,FALSE)," ")</f>
        <v>#N/A</v>
      </c>
    </row>
    <row r="1966" spans="1:15" x14ac:dyDescent="0.3">
      <c r="A1966" s="1"/>
      <c r="B1966" s="1"/>
      <c r="C1966" s="1" t="e">
        <f>IF(B1966=0,VLOOKUP(A1966,Feuil2!$A$2:$M$1241,2,FALSE)," ")</f>
        <v>#N/A</v>
      </c>
      <c r="D1966" s="1" t="e">
        <f>IF(B1966=0,VLOOKUP(A1966,Feuil2!$A$2:$M$1241,3,FALSE)," ")</f>
        <v>#N/A</v>
      </c>
      <c r="E1966" s="5" t="e">
        <f>IF(B1966=0,VLOOKUP(A1966,Feuil2!$A$2:$M$1241,6,FALSE)," ")</f>
        <v>#N/A</v>
      </c>
      <c r="F1966" s="1" t="e">
        <f>IF(B1966=0,VLOOKUP(A1966,Feuil2!$A$2:$M$1241,12,FALSE)," ")</f>
        <v>#N/A</v>
      </c>
      <c r="G1966" s="1" t="e">
        <f>IF(B1966=0,VLOOKUP(A1966,Feuil2!$A$2:$M$1241,11,FALSE)," ")</f>
        <v>#N/A</v>
      </c>
      <c r="H1966" s="1" t="s">
        <v>16</v>
      </c>
      <c r="I1966" s="6" t="e">
        <f>IF(B1966=0,VLOOKUP(A1966,Feuil2!$A$2:$M$1241,7,FALSE)," ")</f>
        <v>#N/A</v>
      </c>
      <c r="J1966" s="1" t="e">
        <f>IF(B1966=0,VLOOKUP(A1966,Feuil2!$A$2:$M$1241,9,FALSE)," ")</f>
        <v>#N/A</v>
      </c>
      <c r="K1966" s="1" t="e">
        <f>IF(B1966=0,VLOOKUP(A1966,Feuil2!$A$2:$M$1241,10,FALSE)," ")</f>
        <v>#N/A</v>
      </c>
      <c r="L1966" s="1"/>
      <c r="M1966" s="1"/>
      <c r="N1966" s="1"/>
      <c r="O1966" s="8" t="e">
        <f>IF(B1966=0,VLOOKUP(A1966,Feuil2!$A$2:$M$1241,13,FALSE)," ")</f>
        <v>#N/A</v>
      </c>
    </row>
    <row r="1967" spans="1:15" x14ac:dyDescent="0.3">
      <c r="A1967" s="1"/>
      <c r="B1967" s="1"/>
      <c r="C1967" s="1" t="e">
        <f>IF(B1967=0,VLOOKUP(A1967,Feuil2!$A$2:$M$1241,2,FALSE)," ")</f>
        <v>#N/A</v>
      </c>
      <c r="D1967" s="1" t="e">
        <f>IF(B1967=0,VLOOKUP(A1967,Feuil2!$A$2:$M$1241,3,FALSE)," ")</f>
        <v>#N/A</v>
      </c>
      <c r="E1967" s="5" t="e">
        <f>IF(B1967=0,VLOOKUP(A1967,Feuil2!$A$2:$M$1241,6,FALSE)," ")</f>
        <v>#N/A</v>
      </c>
      <c r="F1967" s="1" t="e">
        <f>IF(B1967=0,VLOOKUP(A1967,Feuil2!$A$2:$M$1241,12,FALSE)," ")</f>
        <v>#N/A</v>
      </c>
      <c r="G1967" s="1" t="e">
        <f>IF(B1967=0,VLOOKUP(A1967,Feuil2!$A$2:$M$1241,11,FALSE)," ")</f>
        <v>#N/A</v>
      </c>
      <c r="H1967" s="1" t="s">
        <v>16</v>
      </c>
      <c r="I1967" s="6" t="e">
        <f>IF(B1967=0,VLOOKUP(A1967,Feuil2!$A$2:$M$1241,7,FALSE)," ")</f>
        <v>#N/A</v>
      </c>
      <c r="J1967" s="1" t="e">
        <f>IF(B1967=0,VLOOKUP(A1967,Feuil2!$A$2:$M$1241,9,FALSE)," ")</f>
        <v>#N/A</v>
      </c>
      <c r="K1967" s="1" t="e">
        <f>IF(B1967=0,VLOOKUP(A1967,Feuil2!$A$2:$M$1241,10,FALSE)," ")</f>
        <v>#N/A</v>
      </c>
      <c r="L1967" s="1"/>
      <c r="M1967" s="1"/>
      <c r="N1967" s="1"/>
      <c r="O1967" s="8" t="e">
        <f>IF(B1967=0,VLOOKUP(A1967,Feuil2!$A$2:$M$1241,13,FALSE)," ")</f>
        <v>#N/A</v>
      </c>
    </row>
    <row r="1968" spans="1:15" x14ac:dyDescent="0.3">
      <c r="A1968" s="1"/>
      <c r="B1968" s="1"/>
      <c r="C1968" s="1" t="e">
        <f>IF(B1968=0,VLOOKUP(A1968,Feuil2!$A$2:$M$1241,2,FALSE)," ")</f>
        <v>#N/A</v>
      </c>
      <c r="D1968" s="1" t="e">
        <f>IF(B1968=0,VLOOKUP(A1968,Feuil2!$A$2:$M$1241,3,FALSE)," ")</f>
        <v>#N/A</v>
      </c>
      <c r="E1968" s="5" t="e">
        <f>IF(B1968=0,VLOOKUP(A1968,Feuil2!$A$2:$M$1241,6,FALSE)," ")</f>
        <v>#N/A</v>
      </c>
      <c r="F1968" s="1" t="e">
        <f>IF(B1968=0,VLOOKUP(A1968,Feuil2!$A$2:$M$1241,12,FALSE)," ")</f>
        <v>#N/A</v>
      </c>
      <c r="G1968" s="1" t="e">
        <f>IF(B1968=0,VLOOKUP(A1968,Feuil2!$A$2:$M$1241,11,FALSE)," ")</f>
        <v>#N/A</v>
      </c>
      <c r="H1968" s="1" t="s">
        <v>16</v>
      </c>
      <c r="I1968" s="6" t="e">
        <f>IF(B1968=0,VLOOKUP(A1968,Feuil2!$A$2:$M$1241,7,FALSE)," ")</f>
        <v>#N/A</v>
      </c>
      <c r="J1968" s="1" t="e">
        <f>IF(B1968=0,VLOOKUP(A1968,Feuil2!$A$2:$M$1241,9,FALSE)," ")</f>
        <v>#N/A</v>
      </c>
      <c r="K1968" s="1" t="e">
        <f>IF(B1968=0,VLOOKUP(A1968,Feuil2!$A$2:$M$1241,10,FALSE)," ")</f>
        <v>#N/A</v>
      </c>
      <c r="L1968" s="1"/>
      <c r="M1968" s="1"/>
      <c r="N1968" s="1"/>
      <c r="O1968" s="8" t="e">
        <f>IF(B1968=0,VLOOKUP(A1968,Feuil2!$A$2:$M$1241,13,FALSE)," ")</f>
        <v>#N/A</v>
      </c>
    </row>
    <row r="1969" spans="1:15" x14ac:dyDescent="0.3">
      <c r="A1969" s="1"/>
      <c r="B1969" s="1"/>
      <c r="C1969" s="1" t="e">
        <f>IF(B1969=0,VLOOKUP(A1969,Feuil2!$A$2:$M$1241,2,FALSE)," ")</f>
        <v>#N/A</v>
      </c>
      <c r="D1969" s="1" t="e">
        <f>IF(B1969=0,VLOOKUP(A1969,Feuil2!$A$2:$M$1241,3,FALSE)," ")</f>
        <v>#N/A</v>
      </c>
      <c r="E1969" s="5" t="e">
        <f>IF(B1969=0,VLOOKUP(A1969,Feuil2!$A$2:$M$1241,6,FALSE)," ")</f>
        <v>#N/A</v>
      </c>
      <c r="F1969" s="1" t="e">
        <f>IF(B1969=0,VLOOKUP(A1969,Feuil2!$A$2:$M$1241,12,FALSE)," ")</f>
        <v>#N/A</v>
      </c>
      <c r="G1969" s="1" t="e">
        <f>IF(B1969=0,VLOOKUP(A1969,Feuil2!$A$2:$M$1241,11,FALSE)," ")</f>
        <v>#N/A</v>
      </c>
      <c r="H1969" s="1" t="s">
        <v>16</v>
      </c>
      <c r="I1969" s="6" t="e">
        <f>IF(B1969=0,VLOOKUP(A1969,Feuil2!$A$2:$M$1241,7,FALSE)," ")</f>
        <v>#N/A</v>
      </c>
      <c r="J1969" s="1" t="e">
        <f>IF(B1969=0,VLOOKUP(A1969,Feuil2!$A$2:$M$1241,9,FALSE)," ")</f>
        <v>#N/A</v>
      </c>
      <c r="K1969" s="1" t="e">
        <f>IF(B1969=0,VLOOKUP(A1969,Feuil2!$A$2:$M$1241,10,FALSE)," ")</f>
        <v>#N/A</v>
      </c>
      <c r="L1969" s="1"/>
      <c r="M1969" s="1"/>
      <c r="N1969" s="1"/>
      <c r="O1969" s="8" t="e">
        <f>IF(B1969=0,VLOOKUP(A1969,Feuil2!$A$2:$M$1241,13,FALSE)," ")</f>
        <v>#N/A</v>
      </c>
    </row>
    <row r="1970" spans="1:15" x14ac:dyDescent="0.3">
      <c r="A1970" s="1"/>
      <c r="B1970" s="1"/>
      <c r="C1970" s="1" t="e">
        <f>IF(B1970=0,VLOOKUP(A1970,Feuil2!$A$2:$M$1241,2,FALSE)," ")</f>
        <v>#N/A</v>
      </c>
      <c r="D1970" s="1" t="e">
        <f>IF(B1970=0,VLOOKUP(A1970,Feuil2!$A$2:$M$1241,3,FALSE)," ")</f>
        <v>#N/A</v>
      </c>
      <c r="E1970" s="5" t="e">
        <f>IF(B1970=0,VLOOKUP(A1970,Feuil2!$A$2:$M$1241,6,FALSE)," ")</f>
        <v>#N/A</v>
      </c>
      <c r="F1970" s="1" t="e">
        <f>IF(B1970=0,VLOOKUP(A1970,Feuil2!$A$2:$M$1241,12,FALSE)," ")</f>
        <v>#N/A</v>
      </c>
      <c r="G1970" s="1" t="e">
        <f>IF(B1970=0,VLOOKUP(A1970,Feuil2!$A$2:$M$1241,11,FALSE)," ")</f>
        <v>#N/A</v>
      </c>
      <c r="H1970" s="1" t="s">
        <v>16</v>
      </c>
      <c r="I1970" s="6" t="e">
        <f>IF(B1970=0,VLOOKUP(A1970,Feuil2!$A$2:$M$1241,7,FALSE)," ")</f>
        <v>#N/A</v>
      </c>
      <c r="J1970" s="1" t="e">
        <f>IF(B1970=0,VLOOKUP(A1970,Feuil2!$A$2:$M$1241,9,FALSE)," ")</f>
        <v>#N/A</v>
      </c>
      <c r="K1970" s="1" t="e">
        <f>IF(B1970=0,VLOOKUP(A1970,Feuil2!$A$2:$M$1241,10,FALSE)," ")</f>
        <v>#N/A</v>
      </c>
      <c r="L1970" s="1"/>
      <c r="M1970" s="1"/>
      <c r="N1970" s="1"/>
      <c r="O1970" s="8" t="e">
        <f>IF(B1970=0,VLOOKUP(A1970,Feuil2!$A$2:$M$1241,13,FALSE)," ")</f>
        <v>#N/A</v>
      </c>
    </row>
    <row r="1971" spans="1:15" x14ac:dyDescent="0.3">
      <c r="A1971" s="1"/>
      <c r="B1971" s="1"/>
      <c r="C1971" s="1" t="e">
        <f>IF(B1971=0,VLOOKUP(A1971,Feuil2!$A$2:$M$1241,2,FALSE)," ")</f>
        <v>#N/A</v>
      </c>
      <c r="D1971" s="1" t="e">
        <f>IF(B1971=0,VLOOKUP(A1971,Feuil2!$A$2:$M$1241,3,FALSE)," ")</f>
        <v>#N/A</v>
      </c>
      <c r="E1971" s="5" t="e">
        <f>IF(B1971=0,VLOOKUP(A1971,Feuil2!$A$2:$M$1241,6,FALSE)," ")</f>
        <v>#N/A</v>
      </c>
      <c r="F1971" s="1" t="e">
        <f>IF(B1971=0,VLOOKUP(A1971,Feuil2!$A$2:$M$1241,12,FALSE)," ")</f>
        <v>#N/A</v>
      </c>
      <c r="G1971" s="1" t="e">
        <f>IF(B1971=0,VLOOKUP(A1971,Feuil2!$A$2:$M$1241,11,FALSE)," ")</f>
        <v>#N/A</v>
      </c>
      <c r="H1971" s="1" t="s">
        <v>16</v>
      </c>
      <c r="I1971" s="6" t="e">
        <f>IF(B1971=0,VLOOKUP(A1971,Feuil2!$A$2:$M$1241,7,FALSE)," ")</f>
        <v>#N/A</v>
      </c>
      <c r="J1971" s="1" t="e">
        <f>IF(B1971=0,VLOOKUP(A1971,Feuil2!$A$2:$M$1241,9,FALSE)," ")</f>
        <v>#N/A</v>
      </c>
      <c r="K1971" s="1" t="e">
        <f>IF(B1971=0,VLOOKUP(A1971,Feuil2!$A$2:$M$1241,10,FALSE)," ")</f>
        <v>#N/A</v>
      </c>
      <c r="L1971" s="1"/>
      <c r="M1971" s="1"/>
      <c r="N1971" s="1"/>
      <c r="O1971" s="8" t="e">
        <f>IF(B1971=0,VLOOKUP(A1971,Feuil2!$A$2:$M$1241,13,FALSE)," ")</f>
        <v>#N/A</v>
      </c>
    </row>
    <row r="1972" spans="1:15" x14ac:dyDescent="0.3">
      <c r="A1972" s="1"/>
      <c r="B1972" s="1"/>
      <c r="C1972" s="1" t="e">
        <f>IF(B1972=0,VLOOKUP(A1972,Feuil2!$A$2:$M$1241,2,FALSE)," ")</f>
        <v>#N/A</v>
      </c>
      <c r="D1972" s="1" t="e">
        <f>IF(B1972=0,VLOOKUP(A1972,Feuil2!$A$2:$M$1241,3,FALSE)," ")</f>
        <v>#N/A</v>
      </c>
      <c r="E1972" s="5" t="e">
        <f>IF(B1972=0,VLOOKUP(A1972,Feuil2!$A$2:$M$1241,6,FALSE)," ")</f>
        <v>#N/A</v>
      </c>
      <c r="F1972" s="1" t="e">
        <f>IF(B1972=0,VLOOKUP(A1972,Feuil2!$A$2:$M$1241,12,FALSE)," ")</f>
        <v>#N/A</v>
      </c>
      <c r="G1972" s="1" t="e">
        <f>IF(B1972=0,VLOOKUP(A1972,Feuil2!$A$2:$M$1241,11,FALSE)," ")</f>
        <v>#N/A</v>
      </c>
      <c r="H1972" s="1" t="s">
        <v>16</v>
      </c>
      <c r="I1972" s="6" t="e">
        <f>IF(B1972=0,VLOOKUP(A1972,Feuil2!$A$2:$M$1241,7,FALSE)," ")</f>
        <v>#N/A</v>
      </c>
      <c r="J1972" s="1" t="e">
        <f>IF(B1972=0,VLOOKUP(A1972,Feuil2!$A$2:$M$1241,9,FALSE)," ")</f>
        <v>#N/A</v>
      </c>
      <c r="K1972" s="1" t="e">
        <f>IF(B1972=0,VLOOKUP(A1972,Feuil2!$A$2:$M$1241,10,FALSE)," ")</f>
        <v>#N/A</v>
      </c>
      <c r="L1972" s="1"/>
      <c r="M1972" s="1"/>
      <c r="N1972" s="1"/>
      <c r="O1972" s="8" t="e">
        <f>IF(B1972=0,VLOOKUP(A1972,Feuil2!$A$2:$M$1241,13,FALSE)," ")</f>
        <v>#N/A</v>
      </c>
    </row>
    <row r="1973" spans="1:15" x14ac:dyDescent="0.3">
      <c r="A1973" s="1"/>
      <c r="B1973" s="1"/>
      <c r="C1973" s="1" t="e">
        <f>IF(B1973=0,VLOOKUP(A1973,Feuil2!$A$2:$M$1241,2,FALSE)," ")</f>
        <v>#N/A</v>
      </c>
      <c r="D1973" s="1" t="e">
        <f>IF(B1973=0,VLOOKUP(A1973,Feuil2!$A$2:$M$1241,3,FALSE)," ")</f>
        <v>#N/A</v>
      </c>
      <c r="E1973" s="5" t="e">
        <f>IF(B1973=0,VLOOKUP(A1973,Feuil2!$A$2:$M$1241,6,FALSE)," ")</f>
        <v>#N/A</v>
      </c>
      <c r="F1973" s="1" t="e">
        <f>IF(B1973=0,VLOOKUP(A1973,Feuil2!$A$2:$M$1241,12,FALSE)," ")</f>
        <v>#N/A</v>
      </c>
      <c r="G1973" s="1" t="e">
        <f>IF(B1973=0,VLOOKUP(A1973,Feuil2!$A$2:$M$1241,11,FALSE)," ")</f>
        <v>#N/A</v>
      </c>
      <c r="H1973" s="1" t="s">
        <v>16</v>
      </c>
      <c r="I1973" s="6" t="e">
        <f>IF(B1973=0,VLOOKUP(A1973,Feuil2!$A$2:$M$1241,7,FALSE)," ")</f>
        <v>#N/A</v>
      </c>
      <c r="J1973" s="1" t="e">
        <f>IF(B1973=0,VLOOKUP(A1973,Feuil2!$A$2:$M$1241,9,FALSE)," ")</f>
        <v>#N/A</v>
      </c>
      <c r="K1973" s="1" t="e">
        <f>IF(B1973=0,VLOOKUP(A1973,Feuil2!$A$2:$M$1241,10,FALSE)," ")</f>
        <v>#N/A</v>
      </c>
      <c r="L1973" s="1"/>
      <c r="M1973" s="1"/>
      <c r="N1973" s="1"/>
      <c r="O1973" s="8" t="e">
        <f>IF(B1973=0,VLOOKUP(A1973,Feuil2!$A$2:$M$1241,13,FALSE)," ")</f>
        <v>#N/A</v>
      </c>
    </row>
    <row r="1974" spans="1:15" x14ac:dyDescent="0.3">
      <c r="A1974" s="1"/>
      <c r="B1974" s="1"/>
      <c r="C1974" s="1" t="e">
        <f>IF(B1974=0,VLOOKUP(A1974,Feuil2!$A$2:$M$1241,2,FALSE)," ")</f>
        <v>#N/A</v>
      </c>
      <c r="D1974" s="1" t="e">
        <f>IF(B1974=0,VLOOKUP(A1974,Feuil2!$A$2:$M$1241,3,FALSE)," ")</f>
        <v>#N/A</v>
      </c>
      <c r="E1974" s="5" t="e">
        <f>IF(B1974=0,VLOOKUP(A1974,Feuil2!$A$2:$M$1241,6,FALSE)," ")</f>
        <v>#N/A</v>
      </c>
      <c r="F1974" s="1" t="e">
        <f>IF(B1974=0,VLOOKUP(A1974,Feuil2!$A$2:$M$1241,12,FALSE)," ")</f>
        <v>#N/A</v>
      </c>
      <c r="G1974" s="1" t="e">
        <f>IF(B1974=0,VLOOKUP(A1974,Feuil2!$A$2:$M$1241,11,FALSE)," ")</f>
        <v>#N/A</v>
      </c>
      <c r="H1974" s="1" t="s">
        <v>16</v>
      </c>
      <c r="I1974" s="6" t="e">
        <f>IF(B1974=0,VLOOKUP(A1974,Feuil2!$A$2:$M$1241,7,FALSE)," ")</f>
        <v>#N/A</v>
      </c>
      <c r="J1974" s="1" t="e">
        <f>IF(B1974=0,VLOOKUP(A1974,Feuil2!$A$2:$M$1241,9,FALSE)," ")</f>
        <v>#N/A</v>
      </c>
      <c r="K1974" s="1" t="e">
        <f>IF(B1974=0,VLOOKUP(A1974,Feuil2!$A$2:$M$1241,10,FALSE)," ")</f>
        <v>#N/A</v>
      </c>
      <c r="L1974" s="1"/>
      <c r="M1974" s="1"/>
      <c r="N1974" s="1"/>
      <c r="O1974" s="8" t="e">
        <f>IF(B1974=0,VLOOKUP(A1974,Feuil2!$A$2:$M$1241,13,FALSE)," ")</f>
        <v>#N/A</v>
      </c>
    </row>
    <row r="1975" spans="1:15" x14ac:dyDescent="0.3">
      <c r="A1975" s="1"/>
      <c r="B1975" s="1"/>
      <c r="C1975" s="1" t="e">
        <f>IF(B1975=0,VLOOKUP(A1975,Feuil2!$A$2:$M$1241,2,FALSE)," ")</f>
        <v>#N/A</v>
      </c>
      <c r="D1975" s="1" t="e">
        <f>IF(B1975=0,VLOOKUP(A1975,Feuil2!$A$2:$M$1241,3,FALSE)," ")</f>
        <v>#N/A</v>
      </c>
      <c r="E1975" s="5" t="e">
        <f>IF(B1975=0,VLOOKUP(A1975,Feuil2!$A$2:$M$1241,6,FALSE)," ")</f>
        <v>#N/A</v>
      </c>
      <c r="F1975" s="1" t="e">
        <f>IF(B1975=0,VLOOKUP(A1975,Feuil2!$A$2:$M$1241,12,FALSE)," ")</f>
        <v>#N/A</v>
      </c>
      <c r="G1975" s="1" t="e">
        <f>IF(B1975=0,VLOOKUP(A1975,Feuil2!$A$2:$M$1241,11,FALSE)," ")</f>
        <v>#N/A</v>
      </c>
      <c r="H1975" s="1" t="s">
        <v>16</v>
      </c>
      <c r="I1975" s="6" t="e">
        <f>IF(B1975=0,VLOOKUP(A1975,Feuil2!$A$2:$M$1241,7,FALSE)," ")</f>
        <v>#N/A</v>
      </c>
      <c r="J1975" s="1" t="e">
        <f>IF(B1975=0,VLOOKUP(A1975,Feuil2!$A$2:$M$1241,9,FALSE)," ")</f>
        <v>#N/A</v>
      </c>
      <c r="K1975" s="1" t="e">
        <f>IF(B1975=0,VLOOKUP(A1975,Feuil2!$A$2:$M$1241,10,FALSE)," ")</f>
        <v>#N/A</v>
      </c>
      <c r="L1975" s="1"/>
      <c r="M1975" s="1"/>
      <c r="N1975" s="1"/>
      <c r="O1975" s="8" t="e">
        <f>IF(B1975=0,VLOOKUP(A1975,Feuil2!$A$2:$M$1241,13,FALSE)," ")</f>
        <v>#N/A</v>
      </c>
    </row>
    <row r="1976" spans="1:15" x14ac:dyDescent="0.3">
      <c r="A1976" s="1"/>
      <c r="B1976" s="1"/>
      <c r="C1976" s="1" t="e">
        <f>IF(B1976=0,VLOOKUP(A1976,Feuil2!$A$2:$M$1241,2,FALSE)," ")</f>
        <v>#N/A</v>
      </c>
      <c r="D1976" s="1" t="e">
        <f>IF(B1976=0,VLOOKUP(A1976,Feuil2!$A$2:$M$1241,3,FALSE)," ")</f>
        <v>#N/A</v>
      </c>
      <c r="E1976" s="5" t="e">
        <f>IF(B1976=0,VLOOKUP(A1976,Feuil2!$A$2:$M$1241,6,FALSE)," ")</f>
        <v>#N/A</v>
      </c>
      <c r="F1976" s="1" t="e">
        <f>IF(B1976=0,VLOOKUP(A1976,Feuil2!$A$2:$M$1241,12,FALSE)," ")</f>
        <v>#N/A</v>
      </c>
      <c r="G1976" s="1" t="e">
        <f>IF(B1976=0,VLOOKUP(A1976,Feuil2!$A$2:$M$1241,11,FALSE)," ")</f>
        <v>#N/A</v>
      </c>
      <c r="H1976" s="1" t="s">
        <v>16</v>
      </c>
      <c r="I1976" s="6" t="e">
        <f>IF(B1976=0,VLOOKUP(A1976,Feuil2!$A$2:$M$1241,7,FALSE)," ")</f>
        <v>#N/A</v>
      </c>
      <c r="J1976" s="1" t="e">
        <f>IF(B1976=0,VLOOKUP(A1976,Feuil2!$A$2:$M$1241,9,FALSE)," ")</f>
        <v>#N/A</v>
      </c>
      <c r="K1976" s="1" t="e">
        <f>IF(B1976=0,VLOOKUP(A1976,Feuil2!$A$2:$M$1241,10,FALSE)," ")</f>
        <v>#N/A</v>
      </c>
      <c r="L1976" s="1"/>
      <c r="M1976" s="1"/>
      <c r="N1976" s="1"/>
      <c r="O1976" s="8" t="e">
        <f>IF(B1976=0,VLOOKUP(A1976,Feuil2!$A$2:$M$1241,13,FALSE)," ")</f>
        <v>#N/A</v>
      </c>
    </row>
    <row r="1977" spans="1:15" x14ac:dyDescent="0.3">
      <c r="A1977" s="1"/>
      <c r="B1977" s="1"/>
      <c r="C1977" s="1" t="e">
        <f>IF(B1977=0,VLOOKUP(A1977,Feuil2!$A$2:$M$1241,2,FALSE)," ")</f>
        <v>#N/A</v>
      </c>
      <c r="D1977" s="1" t="e">
        <f>IF(B1977=0,VLOOKUP(A1977,Feuil2!$A$2:$M$1241,3,FALSE)," ")</f>
        <v>#N/A</v>
      </c>
      <c r="E1977" s="5" t="e">
        <f>IF(B1977=0,VLOOKUP(A1977,Feuil2!$A$2:$M$1241,6,FALSE)," ")</f>
        <v>#N/A</v>
      </c>
      <c r="F1977" s="1" t="e">
        <f>IF(B1977=0,VLOOKUP(A1977,Feuil2!$A$2:$M$1241,12,FALSE)," ")</f>
        <v>#N/A</v>
      </c>
      <c r="G1977" s="1" t="e">
        <f>IF(B1977=0,VLOOKUP(A1977,Feuil2!$A$2:$M$1241,11,FALSE)," ")</f>
        <v>#N/A</v>
      </c>
      <c r="H1977" s="1" t="s">
        <v>16</v>
      </c>
      <c r="I1977" s="6" t="e">
        <f>IF(B1977=0,VLOOKUP(A1977,Feuil2!$A$2:$M$1241,7,FALSE)," ")</f>
        <v>#N/A</v>
      </c>
      <c r="J1977" s="1" t="e">
        <f>IF(B1977=0,VLOOKUP(A1977,Feuil2!$A$2:$M$1241,9,FALSE)," ")</f>
        <v>#N/A</v>
      </c>
      <c r="K1977" s="1" t="e">
        <f>IF(B1977=0,VLOOKUP(A1977,Feuil2!$A$2:$M$1241,10,FALSE)," ")</f>
        <v>#N/A</v>
      </c>
      <c r="L1977" s="1"/>
      <c r="M1977" s="1"/>
      <c r="N1977" s="1"/>
      <c r="O1977" s="8" t="e">
        <f>IF(B1977=0,VLOOKUP(A1977,Feuil2!$A$2:$M$1241,13,FALSE)," ")</f>
        <v>#N/A</v>
      </c>
    </row>
    <row r="1978" spans="1:15" x14ac:dyDescent="0.3">
      <c r="A1978" s="1"/>
      <c r="B1978" s="1"/>
      <c r="C1978" s="1" t="e">
        <f>IF(B1978=0,VLOOKUP(A1978,Feuil2!$A$2:$M$1241,2,FALSE)," ")</f>
        <v>#N/A</v>
      </c>
      <c r="D1978" s="1" t="e">
        <f>IF(B1978=0,VLOOKUP(A1978,Feuil2!$A$2:$M$1241,3,FALSE)," ")</f>
        <v>#N/A</v>
      </c>
      <c r="E1978" s="5" t="e">
        <f>IF(B1978=0,VLOOKUP(A1978,Feuil2!$A$2:$M$1241,6,FALSE)," ")</f>
        <v>#N/A</v>
      </c>
      <c r="F1978" s="1" t="e">
        <f>IF(B1978=0,VLOOKUP(A1978,Feuil2!$A$2:$M$1241,12,FALSE)," ")</f>
        <v>#N/A</v>
      </c>
      <c r="G1978" s="1" t="e">
        <f>IF(B1978=0,VLOOKUP(A1978,Feuil2!$A$2:$M$1241,11,FALSE)," ")</f>
        <v>#N/A</v>
      </c>
      <c r="H1978" s="1" t="s">
        <v>16</v>
      </c>
      <c r="I1978" s="6" t="e">
        <f>IF(B1978=0,VLOOKUP(A1978,Feuil2!$A$2:$M$1241,7,FALSE)," ")</f>
        <v>#N/A</v>
      </c>
      <c r="J1978" s="1" t="e">
        <f>IF(B1978=0,VLOOKUP(A1978,Feuil2!$A$2:$M$1241,9,FALSE)," ")</f>
        <v>#N/A</v>
      </c>
      <c r="K1978" s="1" t="e">
        <f>IF(B1978=0,VLOOKUP(A1978,Feuil2!$A$2:$M$1241,10,FALSE)," ")</f>
        <v>#N/A</v>
      </c>
      <c r="L1978" s="1"/>
      <c r="M1978" s="1"/>
      <c r="N1978" s="1"/>
      <c r="O1978" s="8" t="e">
        <f>IF(B1978=0,VLOOKUP(A1978,Feuil2!$A$2:$M$1241,13,FALSE)," ")</f>
        <v>#N/A</v>
      </c>
    </row>
    <row r="1979" spans="1:15" x14ac:dyDescent="0.3">
      <c r="A1979" s="1"/>
      <c r="B1979" s="1"/>
      <c r="C1979" s="1" t="e">
        <f>IF(B1979=0,VLOOKUP(A1979,Feuil2!$A$2:$M$1241,2,FALSE)," ")</f>
        <v>#N/A</v>
      </c>
      <c r="D1979" s="1" t="e">
        <f>IF(B1979=0,VLOOKUP(A1979,Feuil2!$A$2:$M$1241,3,FALSE)," ")</f>
        <v>#N/A</v>
      </c>
      <c r="E1979" s="5" t="e">
        <f>IF(B1979=0,VLOOKUP(A1979,Feuil2!$A$2:$M$1241,6,FALSE)," ")</f>
        <v>#N/A</v>
      </c>
      <c r="F1979" s="1" t="e">
        <f>IF(B1979=0,VLOOKUP(A1979,Feuil2!$A$2:$M$1241,12,FALSE)," ")</f>
        <v>#N/A</v>
      </c>
      <c r="G1979" s="1" t="e">
        <f>IF(B1979=0,VLOOKUP(A1979,Feuil2!$A$2:$M$1241,11,FALSE)," ")</f>
        <v>#N/A</v>
      </c>
      <c r="H1979" s="1" t="s">
        <v>16</v>
      </c>
      <c r="I1979" s="6" t="e">
        <f>IF(B1979=0,VLOOKUP(A1979,Feuil2!$A$2:$M$1241,7,FALSE)," ")</f>
        <v>#N/A</v>
      </c>
      <c r="J1979" s="1" t="e">
        <f>IF(B1979=0,VLOOKUP(A1979,Feuil2!$A$2:$M$1241,9,FALSE)," ")</f>
        <v>#N/A</v>
      </c>
      <c r="K1979" s="1" t="e">
        <f>IF(B1979=0,VLOOKUP(A1979,Feuil2!$A$2:$M$1241,10,FALSE)," ")</f>
        <v>#N/A</v>
      </c>
      <c r="L1979" s="1"/>
      <c r="M1979" s="1"/>
      <c r="N1979" s="1"/>
      <c r="O1979" s="8" t="e">
        <f>IF(B1979=0,VLOOKUP(A1979,Feuil2!$A$2:$M$1241,13,FALSE)," ")</f>
        <v>#N/A</v>
      </c>
    </row>
    <row r="1980" spans="1:15" x14ac:dyDescent="0.3">
      <c r="A1980" s="1"/>
      <c r="B1980" s="1"/>
      <c r="C1980" s="1" t="e">
        <f>IF(B1980=0,VLOOKUP(A1980,Feuil2!$A$2:$M$1241,2,FALSE)," ")</f>
        <v>#N/A</v>
      </c>
      <c r="D1980" s="1" t="e">
        <f>IF(B1980=0,VLOOKUP(A1980,Feuil2!$A$2:$M$1241,3,FALSE)," ")</f>
        <v>#N/A</v>
      </c>
      <c r="E1980" s="5" t="e">
        <f>IF(B1980=0,VLOOKUP(A1980,Feuil2!$A$2:$M$1241,6,FALSE)," ")</f>
        <v>#N/A</v>
      </c>
      <c r="F1980" s="1" t="e">
        <f>IF(B1980=0,VLOOKUP(A1980,Feuil2!$A$2:$M$1241,12,FALSE)," ")</f>
        <v>#N/A</v>
      </c>
      <c r="G1980" s="1" t="e">
        <f>IF(B1980=0,VLOOKUP(A1980,Feuil2!$A$2:$M$1241,11,FALSE)," ")</f>
        <v>#N/A</v>
      </c>
      <c r="H1980" s="1" t="s">
        <v>16</v>
      </c>
      <c r="I1980" s="6" t="e">
        <f>IF(B1980=0,VLOOKUP(A1980,Feuil2!$A$2:$M$1241,7,FALSE)," ")</f>
        <v>#N/A</v>
      </c>
      <c r="J1980" s="1" t="e">
        <f>IF(B1980=0,VLOOKUP(A1980,Feuil2!$A$2:$M$1241,9,FALSE)," ")</f>
        <v>#N/A</v>
      </c>
      <c r="K1980" s="1" t="e">
        <f>IF(B1980=0,VLOOKUP(A1980,Feuil2!$A$2:$M$1241,10,FALSE)," ")</f>
        <v>#N/A</v>
      </c>
      <c r="L1980" s="1"/>
      <c r="M1980" s="1"/>
      <c r="N1980" s="1"/>
      <c r="O1980" s="8" t="e">
        <f>IF(B1980=0,VLOOKUP(A1980,Feuil2!$A$2:$M$1241,13,FALSE)," ")</f>
        <v>#N/A</v>
      </c>
    </row>
    <row r="1981" spans="1:15" x14ac:dyDescent="0.3">
      <c r="A1981" s="1"/>
      <c r="B1981" s="1"/>
      <c r="C1981" s="1" t="e">
        <f>IF(B1981=0,VLOOKUP(A1981,Feuil2!$A$2:$M$1241,2,FALSE)," ")</f>
        <v>#N/A</v>
      </c>
      <c r="D1981" s="1" t="e">
        <f>IF(B1981=0,VLOOKUP(A1981,Feuil2!$A$2:$M$1241,3,FALSE)," ")</f>
        <v>#N/A</v>
      </c>
      <c r="E1981" s="5" t="e">
        <f>IF(B1981=0,VLOOKUP(A1981,Feuil2!$A$2:$M$1241,6,FALSE)," ")</f>
        <v>#N/A</v>
      </c>
      <c r="F1981" s="1" t="e">
        <f>IF(B1981=0,VLOOKUP(A1981,Feuil2!$A$2:$M$1241,12,FALSE)," ")</f>
        <v>#N/A</v>
      </c>
      <c r="G1981" s="1" t="e">
        <f>IF(B1981=0,VLOOKUP(A1981,Feuil2!$A$2:$M$1241,11,FALSE)," ")</f>
        <v>#N/A</v>
      </c>
      <c r="H1981" s="1" t="s">
        <v>16</v>
      </c>
      <c r="I1981" s="6" t="e">
        <f>IF(B1981=0,VLOOKUP(A1981,Feuil2!$A$2:$M$1241,7,FALSE)," ")</f>
        <v>#N/A</v>
      </c>
      <c r="J1981" s="1" t="e">
        <f>IF(B1981=0,VLOOKUP(A1981,Feuil2!$A$2:$M$1241,9,FALSE)," ")</f>
        <v>#N/A</v>
      </c>
      <c r="K1981" s="1" t="e">
        <f>IF(B1981=0,VLOOKUP(A1981,Feuil2!$A$2:$M$1241,10,FALSE)," ")</f>
        <v>#N/A</v>
      </c>
      <c r="L1981" s="1"/>
      <c r="M1981" s="1"/>
      <c r="N1981" s="1"/>
      <c r="O1981" s="8" t="e">
        <f>IF(B1981=0,VLOOKUP(A1981,Feuil2!$A$2:$M$1241,13,FALSE)," ")</f>
        <v>#N/A</v>
      </c>
    </row>
    <row r="1982" spans="1:15" x14ac:dyDescent="0.3">
      <c r="A1982" s="1"/>
      <c r="B1982" s="1"/>
      <c r="C1982" s="1" t="e">
        <f>IF(B1982=0,VLOOKUP(A1982,Feuil2!$A$2:$M$1241,2,FALSE)," ")</f>
        <v>#N/A</v>
      </c>
      <c r="D1982" s="1" t="e">
        <f>IF(B1982=0,VLOOKUP(A1982,Feuil2!$A$2:$M$1241,3,FALSE)," ")</f>
        <v>#N/A</v>
      </c>
      <c r="E1982" s="5" t="e">
        <f>IF(B1982=0,VLOOKUP(A1982,Feuil2!$A$2:$M$1241,6,FALSE)," ")</f>
        <v>#N/A</v>
      </c>
      <c r="F1982" s="1" t="e">
        <f>IF(B1982=0,VLOOKUP(A1982,Feuil2!$A$2:$M$1241,12,FALSE)," ")</f>
        <v>#N/A</v>
      </c>
      <c r="G1982" s="1" t="e">
        <f>IF(B1982=0,VLOOKUP(A1982,Feuil2!$A$2:$M$1241,11,FALSE)," ")</f>
        <v>#N/A</v>
      </c>
      <c r="H1982" s="1" t="s">
        <v>16</v>
      </c>
      <c r="I1982" s="6" t="e">
        <f>IF(B1982=0,VLOOKUP(A1982,Feuil2!$A$2:$M$1241,7,FALSE)," ")</f>
        <v>#N/A</v>
      </c>
      <c r="J1982" s="1" t="e">
        <f>IF(B1982=0,VLOOKUP(A1982,Feuil2!$A$2:$M$1241,9,FALSE)," ")</f>
        <v>#N/A</v>
      </c>
      <c r="K1982" s="1" t="e">
        <f>IF(B1982=0,VLOOKUP(A1982,Feuil2!$A$2:$M$1241,10,FALSE)," ")</f>
        <v>#N/A</v>
      </c>
      <c r="L1982" s="1"/>
      <c r="M1982" s="1"/>
      <c r="N1982" s="1"/>
      <c r="O1982" s="8" t="e">
        <f>IF(B1982=0,VLOOKUP(A1982,Feuil2!$A$2:$M$1241,13,FALSE)," ")</f>
        <v>#N/A</v>
      </c>
    </row>
    <row r="1983" spans="1:15" x14ac:dyDescent="0.3">
      <c r="A1983" s="1"/>
      <c r="B1983" s="1"/>
      <c r="C1983" s="1" t="e">
        <f>IF(B1983=0,VLOOKUP(A1983,Feuil2!$A$2:$M$1241,2,FALSE)," ")</f>
        <v>#N/A</v>
      </c>
      <c r="D1983" s="1" t="e">
        <f>IF(B1983=0,VLOOKUP(A1983,Feuil2!$A$2:$M$1241,3,FALSE)," ")</f>
        <v>#N/A</v>
      </c>
      <c r="E1983" s="5" t="e">
        <f>IF(B1983=0,VLOOKUP(A1983,Feuil2!$A$2:$M$1241,6,FALSE)," ")</f>
        <v>#N/A</v>
      </c>
      <c r="F1983" s="1" t="e">
        <f>IF(B1983=0,VLOOKUP(A1983,Feuil2!$A$2:$M$1241,12,FALSE)," ")</f>
        <v>#N/A</v>
      </c>
      <c r="G1983" s="1" t="e">
        <f>IF(B1983=0,VLOOKUP(A1983,Feuil2!$A$2:$M$1241,11,FALSE)," ")</f>
        <v>#N/A</v>
      </c>
      <c r="H1983" s="1" t="s">
        <v>16</v>
      </c>
      <c r="I1983" s="6" t="e">
        <f>IF(B1983=0,VLOOKUP(A1983,Feuil2!$A$2:$M$1241,7,FALSE)," ")</f>
        <v>#N/A</v>
      </c>
      <c r="J1983" s="1" t="e">
        <f>IF(B1983=0,VLOOKUP(A1983,Feuil2!$A$2:$M$1241,9,FALSE)," ")</f>
        <v>#N/A</v>
      </c>
      <c r="K1983" s="1" t="e">
        <f>IF(B1983=0,VLOOKUP(A1983,Feuil2!$A$2:$M$1241,10,FALSE)," ")</f>
        <v>#N/A</v>
      </c>
      <c r="L1983" s="1"/>
      <c r="M1983" s="1"/>
      <c r="N1983" s="1"/>
      <c r="O1983" s="8" t="e">
        <f>IF(B1983=0,VLOOKUP(A1983,Feuil2!$A$2:$M$1241,13,FALSE)," ")</f>
        <v>#N/A</v>
      </c>
    </row>
    <row r="1984" spans="1:15" x14ac:dyDescent="0.3">
      <c r="A1984" s="1"/>
      <c r="B1984" s="1"/>
      <c r="C1984" s="1" t="e">
        <f>IF(B1984=0,VLOOKUP(A1984,Feuil2!$A$2:$M$1241,2,FALSE)," ")</f>
        <v>#N/A</v>
      </c>
      <c r="D1984" s="1" t="e">
        <f>IF(B1984=0,VLOOKUP(A1984,Feuil2!$A$2:$M$1241,3,FALSE)," ")</f>
        <v>#N/A</v>
      </c>
      <c r="E1984" s="5" t="e">
        <f>IF(B1984=0,VLOOKUP(A1984,Feuil2!$A$2:$M$1241,6,FALSE)," ")</f>
        <v>#N/A</v>
      </c>
      <c r="F1984" s="1" t="e">
        <f>IF(B1984=0,VLOOKUP(A1984,Feuil2!$A$2:$M$1241,12,FALSE)," ")</f>
        <v>#N/A</v>
      </c>
      <c r="G1984" s="1" t="e">
        <f>IF(B1984=0,VLOOKUP(A1984,Feuil2!$A$2:$M$1241,11,FALSE)," ")</f>
        <v>#N/A</v>
      </c>
      <c r="H1984" s="1" t="s">
        <v>16</v>
      </c>
      <c r="I1984" s="6" t="e">
        <f>IF(B1984=0,VLOOKUP(A1984,Feuil2!$A$2:$M$1241,7,FALSE)," ")</f>
        <v>#N/A</v>
      </c>
      <c r="J1984" s="1" t="e">
        <f>IF(B1984=0,VLOOKUP(A1984,Feuil2!$A$2:$M$1241,9,FALSE)," ")</f>
        <v>#N/A</v>
      </c>
      <c r="K1984" s="1" t="e">
        <f>IF(B1984=0,VLOOKUP(A1984,Feuil2!$A$2:$M$1241,10,FALSE)," ")</f>
        <v>#N/A</v>
      </c>
      <c r="L1984" s="1"/>
      <c r="M1984" s="1"/>
      <c r="N1984" s="1"/>
      <c r="O1984" s="8" t="e">
        <f>IF(B1984=0,VLOOKUP(A1984,Feuil2!$A$2:$M$1241,13,FALSE)," ")</f>
        <v>#N/A</v>
      </c>
    </row>
    <row r="1985" spans="1:15" x14ac:dyDescent="0.3">
      <c r="A1985" s="1"/>
      <c r="B1985" s="1"/>
      <c r="C1985" s="1" t="e">
        <f>IF(B1985=0,VLOOKUP(A1985,Feuil2!$A$2:$M$1241,2,FALSE)," ")</f>
        <v>#N/A</v>
      </c>
      <c r="D1985" s="1" t="e">
        <f>IF(B1985=0,VLOOKUP(A1985,Feuil2!$A$2:$M$1241,3,FALSE)," ")</f>
        <v>#N/A</v>
      </c>
      <c r="E1985" s="5" t="e">
        <f>IF(B1985=0,VLOOKUP(A1985,Feuil2!$A$2:$M$1241,6,FALSE)," ")</f>
        <v>#N/A</v>
      </c>
      <c r="F1985" s="1" t="e">
        <f>IF(B1985=0,VLOOKUP(A1985,Feuil2!$A$2:$M$1241,12,FALSE)," ")</f>
        <v>#N/A</v>
      </c>
      <c r="G1985" s="1" t="e">
        <f>IF(B1985=0,VLOOKUP(A1985,Feuil2!$A$2:$M$1241,11,FALSE)," ")</f>
        <v>#N/A</v>
      </c>
      <c r="H1985" s="1" t="s">
        <v>16</v>
      </c>
      <c r="I1985" s="6" t="e">
        <f>IF(B1985=0,VLOOKUP(A1985,Feuil2!$A$2:$M$1241,7,FALSE)," ")</f>
        <v>#N/A</v>
      </c>
      <c r="J1985" s="1" t="e">
        <f>IF(B1985=0,VLOOKUP(A1985,Feuil2!$A$2:$M$1241,9,FALSE)," ")</f>
        <v>#N/A</v>
      </c>
      <c r="K1985" s="1" t="e">
        <f>IF(B1985=0,VLOOKUP(A1985,Feuil2!$A$2:$M$1241,10,FALSE)," ")</f>
        <v>#N/A</v>
      </c>
      <c r="L1985" s="1"/>
      <c r="M1985" s="1"/>
      <c r="N1985" s="1"/>
      <c r="O1985" s="8" t="e">
        <f>IF(B1985=0,VLOOKUP(A1985,Feuil2!$A$2:$M$1241,13,FALSE)," ")</f>
        <v>#N/A</v>
      </c>
    </row>
    <row r="1986" spans="1:15" x14ac:dyDescent="0.3">
      <c r="A1986" s="1"/>
      <c r="B1986" s="1"/>
      <c r="C1986" s="1" t="e">
        <f>IF(B1986=0,VLOOKUP(A1986,Feuil2!$A$2:$M$1241,2,FALSE)," ")</f>
        <v>#N/A</v>
      </c>
      <c r="D1986" s="1" t="e">
        <f>IF(B1986=0,VLOOKUP(A1986,Feuil2!$A$2:$M$1241,3,FALSE)," ")</f>
        <v>#N/A</v>
      </c>
      <c r="E1986" s="5" t="e">
        <f>IF(B1986=0,VLOOKUP(A1986,Feuil2!$A$2:$M$1241,6,FALSE)," ")</f>
        <v>#N/A</v>
      </c>
      <c r="F1986" s="1" t="e">
        <f>IF(B1986=0,VLOOKUP(A1986,Feuil2!$A$2:$M$1241,12,FALSE)," ")</f>
        <v>#N/A</v>
      </c>
      <c r="G1986" s="1" t="e">
        <f>IF(B1986=0,VLOOKUP(A1986,Feuil2!$A$2:$M$1241,11,FALSE)," ")</f>
        <v>#N/A</v>
      </c>
      <c r="H1986" s="1" t="s">
        <v>16</v>
      </c>
      <c r="I1986" s="6" t="e">
        <f>IF(B1986=0,VLOOKUP(A1986,Feuil2!$A$2:$M$1241,7,FALSE)," ")</f>
        <v>#N/A</v>
      </c>
      <c r="J1986" s="1" t="e">
        <f>IF(B1986=0,VLOOKUP(A1986,Feuil2!$A$2:$M$1241,9,FALSE)," ")</f>
        <v>#N/A</v>
      </c>
      <c r="K1986" s="1" t="e">
        <f>IF(B1986=0,VLOOKUP(A1986,Feuil2!$A$2:$M$1241,10,FALSE)," ")</f>
        <v>#N/A</v>
      </c>
      <c r="L1986" s="1"/>
      <c r="M1986" s="1"/>
      <c r="N1986" s="1"/>
      <c r="O1986" s="8" t="e">
        <f>IF(B1986=0,VLOOKUP(A1986,Feuil2!$A$2:$M$1241,13,FALSE)," ")</f>
        <v>#N/A</v>
      </c>
    </row>
    <row r="1987" spans="1:15" x14ac:dyDescent="0.3">
      <c r="A1987" s="1"/>
      <c r="B1987" s="1"/>
      <c r="C1987" s="1" t="e">
        <f>IF(B1987=0,VLOOKUP(A1987,Feuil2!$A$2:$M$1241,2,FALSE)," ")</f>
        <v>#N/A</v>
      </c>
      <c r="D1987" s="1" t="e">
        <f>IF(B1987=0,VLOOKUP(A1987,Feuil2!$A$2:$M$1241,3,FALSE)," ")</f>
        <v>#N/A</v>
      </c>
      <c r="E1987" s="5" t="e">
        <f>IF(B1987=0,VLOOKUP(A1987,Feuil2!$A$2:$M$1241,6,FALSE)," ")</f>
        <v>#N/A</v>
      </c>
      <c r="F1987" s="1" t="e">
        <f>IF(B1987=0,VLOOKUP(A1987,Feuil2!$A$2:$M$1241,12,FALSE)," ")</f>
        <v>#N/A</v>
      </c>
      <c r="G1987" s="1" t="e">
        <f>IF(B1987=0,VLOOKUP(A1987,Feuil2!$A$2:$M$1241,11,FALSE)," ")</f>
        <v>#N/A</v>
      </c>
      <c r="H1987" s="1" t="s">
        <v>16</v>
      </c>
      <c r="I1987" s="6" t="e">
        <f>IF(B1987=0,VLOOKUP(A1987,Feuil2!$A$2:$M$1241,7,FALSE)," ")</f>
        <v>#N/A</v>
      </c>
      <c r="J1987" s="1" t="e">
        <f>IF(B1987=0,VLOOKUP(A1987,Feuil2!$A$2:$M$1241,9,FALSE)," ")</f>
        <v>#N/A</v>
      </c>
      <c r="K1987" s="1" t="e">
        <f>IF(B1987=0,VLOOKUP(A1987,Feuil2!$A$2:$M$1241,10,FALSE)," ")</f>
        <v>#N/A</v>
      </c>
      <c r="L1987" s="1"/>
      <c r="M1987" s="1"/>
      <c r="N1987" s="1"/>
      <c r="O1987" s="8" t="e">
        <f>IF(B1987=0,VLOOKUP(A1987,Feuil2!$A$2:$M$1241,13,FALSE)," ")</f>
        <v>#N/A</v>
      </c>
    </row>
    <row r="1988" spans="1:15" x14ac:dyDescent="0.3">
      <c r="A1988" s="1"/>
      <c r="B1988" s="1"/>
      <c r="C1988" s="1" t="e">
        <f>IF(B1988=0,VLOOKUP(A1988,Feuil2!$A$2:$M$1241,2,FALSE)," ")</f>
        <v>#N/A</v>
      </c>
      <c r="D1988" s="1" t="e">
        <f>IF(B1988=0,VLOOKUP(A1988,Feuil2!$A$2:$M$1241,3,FALSE)," ")</f>
        <v>#N/A</v>
      </c>
      <c r="E1988" s="5" t="e">
        <f>IF(B1988=0,VLOOKUP(A1988,Feuil2!$A$2:$M$1241,6,FALSE)," ")</f>
        <v>#N/A</v>
      </c>
      <c r="F1988" s="1" t="e">
        <f>IF(B1988=0,VLOOKUP(A1988,Feuil2!$A$2:$M$1241,12,FALSE)," ")</f>
        <v>#N/A</v>
      </c>
      <c r="G1988" s="1" t="e">
        <f>IF(B1988=0,VLOOKUP(A1988,Feuil2!$A$2:$M$1241,11,FALSE)," ")</f>
        <v>#N/A</v>
      </c>
      <c r="H1988" s="1" t="s">
        <v>16</v>
      </c>
      <c r="I1988" s="6" t="e">
        <f>IF(B1988=0,VLOOKUP(A1988,Feuil2!$A$2:$M$1241,7,FALSE)," ")</f>
        <v>#N/A</v>
      </c>
      <c r="J1988" s="1" t="e">
        <f>IF(B1988=0,VLOOKUP(A1988,Feuil2!$A$2:$M$1241,9,FALSE)," ")</f>
        <v>#N/A</v>
      </c>
      <c r="K1988" s="1" t="e">
        <f>IF(B1988=0,VLOOKUP(A1988,Feuil2!$A$2:$M$1241,10,FALSE)," ")</f>
        <v>#N/A</v>
      </c>
      <c r="L1988" s="1"/>
      <c r="M1988" s="1"/>
      <c r="N1988" s="1"/>
      <c r="O1988" s="8" t="e">
        <f>IF(B1988=0,VLOOKUP(A1988,Feuil2!$A$2:$M$1241,13,FALSE)," ")</f>
        <v>#N/A</v>
      </c>
    </row>
    <row r="1989" spans="1:15" x14ac:dyDescent="0.3">
      <c r="A1989" s="1"/>
      <c r="B1989" s="1"/>
      <c r="C1989" s="1" t="e">
        <f>IF(B1989=0,VLOOKUP(A1989,Feuil2!$A$2:$M$1241,2,FALSE)," ")</f>
        <v>#N/A</v>
      </c>
      <c r="D1989" s="1" t="e">
        <f>IF(B1989=0,VLOOKUP(A1989,Feuil2!$A$2:$M$1241,3,FALSE)," ")</f>
        <v>#N/A</v>
      </c>
      <c r="E1989" s="5" t="e">
        <f>IF(B1989=0,VLOOKUP(A1989,Feuil2!$A$2:$M$1241,6,FALSE)," ")</f>
        <v>#N/A</v>
      </c>
      <c r="F1989" s="1" t="e">
        <f>IF(B1989=0,VLOOKUP(A1989,Feuil2!$A$2:$M$1241,12,FALSE)," ")</f>
        <v>#N/A</v>
      </c>
      <c r="G1989" s="1" t="e">
        <f>IF(B1989=0,VLOOKUP(A1989,Feuil2!$A$2:$M$1241,11,FALSE)," ")</f>
        <v>#N/A</v>
      </c>
      <c r="H1989" s="1" t="s">
        <v>16</v>
      </c>
      <c r="I1989" s="6" t="e">
        <f>IF(B1989=0,VLOOKUP(A1989,Feuil2!$A$2:$M$1241,7,FALSE)," ")</f>
        <v>#N/A</v>
      </c>
      <c r="J1989" s="1" t="e">
        <f>IF(B1989=0,VLOOKUP(A1989,Feuil2!$A$2:$M$1241,9,FALSE)," ")</f>
        <v>#N/A</v>
      </c>
      <c r="K1989" s="1" t="e">
        <f>IF(B1989=0,VLOOKUP(A1989,Feuil2!$A$2:$M$1241,10,FALSE)," ")</f>
        <v>#N/A</v>
      </c>
      <c r="L1989" s="1"/>
      <c r="M1989" s="1"/>
      <c r="N1989" s="1"/>
      <c r="O1989" s="8" t="e">
        <f>IF(B1989=0,VLOOKUP(A1989,Feuil2!$A$2:$M$1241,13,FALSE)," ")</f>
        <v>#N/A</v>
      </c>
    </row>
    <row r="1990" spans="1:15" x14ac:dyDescent="0.3">
      <c r="A1990" s="1"/>
      <c r="B1990" s="1"/>
      <c r="C1990" s="1" t="e">
        <f>IF(B1990=0,VLOOKUP(A1990,Feuil2!$A$2:$M$1241,2,FALSE)," ")</f>
        <v>#N/A</v>
      </c>
      <c r="D1990" s="1" t="e">
        <f>IF(B1990=0,VLOOKUP(A1990,Feuil2!$A$2:$M$1241,3,FALSE)," ")</f>
        <v>#N/A</v>
      </c>
      <c r="E1990" s="5" t="e">
        <f>IF(B1990=0,VLOOKUP(A1990,Feuil2!$A$2:$M$1241,6,FALSE)," ")</f>
        <v>#N/A</v>
      </c>
      <c r="F1990" s="1" t="e">
        <f>IF(B1990=0,VLOOKUP(A1990,Feuil2!$A$2:$M$1241,12,FALSE)," ")</f>
        <v>#N/A</v>
      </c>
      <c r="G1990" s="1" t="e">
        <f>IF(B1990=0,VLOOKUP(A1990,Feuil2!$A$2:$M$1241,11,FALSE)," ")</f>
        <v>#N/A</v>
      </c>
      <c r="H1990" s="1" t="s">
        <v>16</v>
      </c>
      <c r="I1990" s="6" t="e">
        <f>IF(B1990=0,VLOOKUP(A1990,Feuil2!$A$2:$M$1241,7,FALSE)," ")</f>
        <v>#N/A</v>
      </c>
      <c r="J1990" s="1" t="e">
        <f>IF(B1990=0,VLOOKUP(A1990,Feuil2!$A$2:$M$1241,9,FALSE)," ")</f>
        <v>#N/A</v>
      </c>
      <c r="K1990" s="1" t="e">
        <f>IF(B1990=0,VLOOKUP(A1990,Feuil2!$A$2:$M$1241,10,FALSE)," ")</f>
        <v>#N/A</v>
      </c>
      <c r="L1990" s="1"/>
      <c r="M1990" s="1"/>
      <c r="N1990" s="1"/>
      <c r="O1990" s="8" t="e">
        <f>IF(B1990=0,VLOOKUP(A1990,Feuil2!$A$2:$M$1241,13,FALSE)," ")</f>
        <v>#N/A</v>
      </c>
    </row>
    <row r="1991" spans="1:15" x14ac:dyDescent="0.3">
      <c r="A1991" s="1"/>
      <c r="B1991" s="1"/>
      <c r="C1991" s="1" t="e">
        <f>IF(B1991=0,VLOOKUP(A1991,Feuil2!$A$2:$M$1241,2,FALSE)," ")</f>
        <v>#N/A</v>
      </c>
      <c r="D1991" s="1" t="e">
        <f>IF(B1991=0,VLOOKUP(A1991,Feuil2!$A$2:$M$1241,3,FALSE)," ")</f>
        <v>#N/A</v>
      </c>
      <c r="E1991" s="5" t="e">
        <f>IF(B1991=0,VLOOKUP(A1991,Feuil2!$A$2:$M$1241,6,FALSE)," ")</f>
        <v>#N/A</v>
      </c>
      <c r="F1991" s="1" t="e">
        <f>IF(B1991=0,VLOOKUP(A1991,Feuil2!$A$2:$M$1241,12,FALSE)," ")</f>
        <v>#N/A</v>
      </c>
      <c r="G1991" s="1" t="e">
        <f>IF(B1991=0,VLOOKUP(A1991,Feuil2!$A$2:$M$1241,11,FALSE)," ")</f>
        <v>#N/A</v>
      </c>
      <c r="H1991" s="1" t="s">
        <v>16</v>
      </c>
      <c r="I1991" s="6" t="e">
        <f>IF(B1991=0,VLOOKUP(A1991,Feuil2!$A$2:$M$1241,7,FALSE)," ")</f>
        <v>#N/A</v>
      </c>
      <c r="J1991" s="1" t="e">
        <f>IF(B1991=0,VLOOKUP(A1991,Feuil2!$A$2:$M$1241,9,FALSE)," ")</f>
        <v>#N/A</v>
      </c>
      <c r="K1991" s="1" t="e">
        <f>IF(B1991=0,VLOOKUP(A1991,Feuil2!$A$2:$M$1241,10,FALSE)," ")</f>
        <v>#N/A</v>
      </c>
      <c r="L1991" s="1"/>
      <c r="M1991" s="1"/>
      <c r="N1991" s="1"/>
      <c r="O1991" s="8" t="e">
        <f>IF(B1991=0,VLOOKUP(A1991,Feuil2!$A$2:$M$1241,13,FALSE)," ")</f>
        <v>#N/A</v>
      </c>
    </row>
    <row r="1992" spans="1:15" x14ac:dyDescent="0.3">
      <c r="A1992" s="1"/>
      <c r="B1992" s="1"/>
      <c r="C1992" s="1" t="e">
        <f>IF(B1992=0,VLOOKUP(A1992,Feuil2!$A$2:$M$1241,2,FALSE)," ")</f>
        <v>#N/A</v>
      </c>
      <c r="D1992" s="1" t="e">
        <f>IF(B1992=0,VLOOKUP(A1992,Feuil2!$A$2:$M$1241,3,FALSE)," ")</f>
        <v>#N/A</v>
      </c>
      <c r="E1992" s="5" t="e">
        <f>IF(B1992=0,VLOOKUP(A1992,Feuil2!$A$2:$M$1241,6,FALSE)," ")</f>
        <v>#N/A</v>
      </c>
      <c r="F1992" s="1" t="e">
        <f>IF(B1992=0,VLOOKUP(A1992,Feuil2!$A$2:$M$1241,12,FALSE)," ")</f>
        <v>#N/A</v>
      </c>
      <c r="G1992" s="1" t="e">
        <f>IF(B1992=0,VLOOKUP(A1992,Feuil2!$A$2:$M$1241,11,FALSE)," ")</f>
        <v>#N/A</v>
      </c>
      <c r="H1992" s="1" t="s">
        <v>16</v>
      </c>
      <c r="I1992" s="6" t="e">
        <f>IF(B1992=0,VLOOKUP(A1992,Feuil2!$A$2:$M$1241,7,FALSE)," ")</f>
        <v>#N/A</v>
      </c>
      <c r="J1992" s="1" t="e">
        <f>IF(B1992=0,VLOOKUP(A1992,Feuil2!$A$2:$M$1241,9,FALSE)," ")</f>
        <v>#N/A</v>
      </c>
      <c r="K1992" s="1" t="e">
        <f>IF(B1992=0,VLOOKUP(A1992,Feuil2!$A$2:$M$1241,10,FALSE)," ")</f>
        <v>#N/A</v>
      </c>
      <c r="L1992" s="1"/>
      <c r="M1992" s="1"/>
      <c r="N1992" s="1"/>
      <c r="O1992" s="8" t="e">
        <f>IF(B1992=0,VLOOKUP(A1992,Feuil2!$A$2:$M$1241,13,FALSE)," ")</f>
        <v>#N/A</v>
      </c>
    </row>
    <row r="1993" spans="1:15" x14ac:dyDescent="0.3">
      <c r="A1993" s="1"/>
      <c r="B1993" s="1"/>
      <c r="C1993" s="1" t="e">
        <f>IF(B1993=0,VLOOKUP(A1993,Feuil2!$A$2:$M$1241,2,FALSE)," ")</f>
        <v>#N/A</v>
      </c>
      <c r="D1993" s="1" t="e">
        <f>IF(B1993=0,VLOOKUP(A1993,Feuil2!$A$2:$M$1241,3,FALSE)," ")</f>
        <v>#N/A</v>
      </c>
      <c r="E1993" s="5" t="e">
        <f>IF(B1993=0,VLOOKUP(A1993,Feuil2!$A$2:$M$1241,6,FALSE)," ")</f>
        <v>#N/A</v>
      </c>
      <c r="F1993" s="1" t="e">
        <f>IF(B1993=0,VLOOKUP(A1993,Feuil2!$A$2:$M$1241,12,FALSE)," ")</f>
        <v>#N/A</v>
      </c>
      <c r="G1993" s="1" t="e">
        <f>IF(B1993=0,VLOOKUP(A1993,Feuil2!$A$2:$M$1241,11,FALSE)," ")</f>
        <v>#N/A</v>
      </c>
      <c r="H1993" s="1" t="s">
        <v>16</v>
      </c>
      <c r="I1993" s="6" t="e">
        <f>IF(B1993=0,VLOOKUP(A1993,Feuil2!$A$2:$M$1241,7,FALSE)," ")</f>
        <v>#N/A</v>
      </c>
      <c r="J1993" s="1" t="e">
        <f>IF(B1993=0,VLOOKUP(A1993,Feuil2!$A$2:$M$1241,9,FALSE)," ")</f>
        <v>#N/A</v>
      </c>
      <c r="K1993" s="1" t="e">
        <f>IF(B1993=0,VLOOKUP(A1993,Feuil2!$A$2:$M$1241,10,FALSE)," ")</f>
        <v>#N/A</v>
      </c>
      <c r="L1993" s="1"/>
      <c r="M1993" s="1"/>
      <c r="N1993" s="1"/>
      <c r="O1993" s="8" t="e">
        <f>IF(B1993=0,VLOOKUP(A1993,Feuil2!$A$2:$M$1241,13,FALSE)," ")</f>
        <v>#N/A</v>
      </c>
    </row>
    <row r="1994" spans="1:15" x14ac:dyDescent="0.3">
      <c r="A1994" s="1"/>
      <c r="B1994" s="1"/>
      <c r="C1994" s="1" t="e">
        <f>IF(B1994=0,VLOOKUP(A1994,Feuil2!$A$2:$M$1241,2,FALSE)," ")</f>
        <v>#N/A</v>
      </c>
      <c r="D1994" s="1" t="e">
        <f>IF(B1994=0,VLOOKUP(A1994,Feuil2!$A$2:$M$1241,3,FALSE)," ")</f>
        <v>#N/A</v>
      </c>
      <c r="E1994" s="5" t="e">
        <f>IF(B1994=0,VLOOKUP(A1994,Feuil2!$A$2:$M$1241,6,FALSE)," ")</f>
        <v>#N/A</v>
      </c>
      <c r="F1994" s="1" t="e">
        <f>IF(B1994=0,VLOOKUP(A1994,Feuil2!$A$2:$M$1241,12,FALSE)," ")</f>
        <v>#N/A</v>
      </c>
      <c r="G1994" s="1" t="e">
        <f>IF(B1994=0,VLOOKUP(A1994,Feuil2!$A$2:$M$1241,11,FALSE)," ")</f>
        <v>#N/A</v>
      </c>
      <c r="H1994" s="1" t="s">
        <v>16</v>
      </c>
      <c r="I1994" s="6" t="e">
        <f>IF(B1994=0,VLOOKUP(A1994,Feuil2!$A$2:$M$1241,7,FALSE)," ")</f>
        <v>#N/A</v>
      </c>
      <c r="J1994" s="1" t="e">
        <f>IF(B1994=0,VLOOKUP(A1994,Feuil2!$A$2:$M$1241,9,FALSE)," ")</f>
        <v>#N/A</v>
      </c>
      <c r="K1994" s="1" t="e">
        <f>IF(B1994=0,VLOOKUP(A1994,Feuil2!$A$2:$M$1241,10,FALSE)," ")</f>
        <v>#N/A</v>
      </c>
      <c r="L1994" s="1"/>
      <c r="M1994" s="1"/>
      <c r="N1994" s="1"/>
      <c r="O1994" s="8" t="e">
        <f>IF(B1994=0,VLOOKUP(A1994,Feuil2!$A$2:$M$1241,13,FALSE)," ")</f>
        <v>#N/A</v>
      </c>
    </row>
    <row r="1995" spans="1:15" x14ac:dyDescent="0.3">
      <c r="A1995" s="1"/>
      <c r="B1995" s="1"/>
      <c r="C1995" s="1" t="e">
        <f>IF(B1995=0,VLOOKUP(A1995,Feuil2!$A$2:$M$1241,2,FALSE)," ")</f>
        <v>#N/A</v>
      </c>
      <c r="D1995" s="1" t="e">
        <f>IF(B1995=0,VLOOKUP(A1995,Feuil2!$A$2:$M$1241,3,FALSE)," ")</f>
        <v>#N/A</v>
      </c>
      <c r="E1995" s="5" t="e">
        <f>IF(B1995=0,VLOOKUP(A1995,Feuil2!$A$2:$M$1241,6,FALSE)," ")</f>
        <v>#N/A</v>
      </c>
      <c r="F1995" s="1" t="e">
        <f>IF(B1995=0,VLOOKUP(A1995,Feuil2!$A$2:$M$1241,12,FALSE)," ")</f>
        <v>#N/A</v>
      </c>
      <c r="G1995" s="1" t="e">
        <f>IF(B1995=0,VLOOKUP(A1995,Feuil2!$A$2:$M$1241,11,FALSE)," ")</f>
        <v>#N/A</v>
      </c>
      <c r="H1995" s="1" t="s">
        <v>16</v>
      </c>
      <c r="I1995" s="6" t="e">
        <f>IF(B1995=0,VLOOKUP(A1995,Feuil2!$A$2:$M$1241,7,FALSE)," ")</f>
        <v>#N/A</v>
      </c>
      <c r="J1995" s="1" t="e">
        <f>IF(B1995=0,VLOOKUP(A1995,Feuil2!$A$2:$M$1241,9,FALSE)," ")</f>
        <v>#N/A</v>
      </c>
      <c r="K1995" s="1" t="e">
        <f>IF(B1995=0,VLOOKUP(A1995,Feuil2!$A$2:$M$1241,10,FALSE)," ")</f>
        <v>#N/A</v>
      </c>
      <c r="L1995" s="1"/>
      <c r="M1995" s="1"/>
      <c r="N1995" s="1"/>
      <c r="O1995" s="8" t="e">
        <f>IF(B1995=0,VLOOKUP(A1995,Feuil2!$A$2:$M$1241,13,FALSE)," ")</f>
        <v>#N/A</v>
      </c>
    </row>
    <row r="1996" spans="1:15" x14ac:dyDescent="0.3">
      <c r="A1996" s="1"/>
      <c r="B1996" s="1"/>
      <c r="C1996" s="1" t="e">
        <f>IF(B1996=0,VLOOKUP(A1996,Feuil2!$A$2:$M$1241,2,FALSE)," ")</f>
        <v>#N/A</v>
      </c>
      <c r="D1996" s="1" t="e">
        <f>IF(B1996=0,VLOOKUP(A1996,Feuil2!$A$2:$M$1241,3,FALSE)," ")</f>
        <v>#N/A</v>
      </c>
      <c r="E1996" s="5" t="e">
        <f>IF(B1996=0,VLOOKUP(A1996,Feuil2!$A$2:$M$1241,6,FALSE)," ")</f>
        <v>#N/A</v>
      </c>
      <c r="F1996" s="1" t="e">
        <f>IF(B1996=0,VLOOKUP(A1996,Feuil2!$A$2:$M$1241,12,FALSE)," ")</f>
        <v>#N/A</v>
      </c>
      <c r="G1996" s="1" t="e">
        <f>IF(B1996=0,VLOOKUP(A1996,Feuil2!$A$2:$M$1241,11,FALSE)," ")</f>
        <v>#N/A</v>
      </c>
      <c r="H1996" s="1" t="s">
        <v>16</v>
      </c>
      <c r="I1996" s="6" t="e">
        <f>IF(B1996=0,VLOOKUP(A1996,Feuil2!$A$2:$M$1241,7,FALSE)," ")</f>
        <v>#N/A</v>
      </c>
      <c r="J1996" s="1" t="e">
        <f>IF(B1996=0,VLOOKUP(A1996,Feuil2!$A$2:$M$1241,9,FALSE)," ")</f>
        <v>#N/A</v>
      </c>
      <c r="K1996" s="1" t="e">
        <f>IF(B1996=0,VLOOKUP(A1996,Feuil2!$A$2:$M$1241,10,FALSE)," ")</f>
        <v>#N/A</v>
      </c>
      <c r="L1996" s="1"/>
      <c r="M1996" s="1"/>
      <c r="N1996" s="1"/>
      <c r="O1996" s="8" t="e">
        <f>IF(B1996=0,VLOOKUP(A1996,Feuil2!$A$2:$M$1241,13,FALSE)," ")</f>
        <v>#N/A</v>
      </c>
    </row>
    <row r="1997" spans="1:15" x14ac:dyDescent="0.3">
      <c r="A1997" s="1"/>
      <c r="B1997" s="1"/>
      <c r="C1997" s="1" t="e">
        <f>IF(B1997=0,VLOOKUP(A1997,Feuil2!$A$2:$M$1241,2,FALSE)," ")</f>
        <v>#N/A</v>
      </c>
      <c r="D1997" s="1" t="e">
        <f>IF(B1997=0,VLOOKUP(A1997,Feuil2!$A$2:$M$1241,3,FALSE)," ")</f>
        <v>#N/A</v>
      </c>
      <c r="E1997" s="5" t="e">
        <f>IF(B1997=0,VLOOKUP(A1997,Feuil2!$A$2:$M$1241,6,FALSE)," ")</f>
        <v>#N/A</v>
      </c>
      <c r="F1997" s="1" t="e">
        <f>IF(B1997=0,VLOOKUP(A1997,Feuil2!$A$2:$M$1241,12,FALSE)," ")</f>
        <v>#N/A</v>
      </c>
      <c r="G1997" s="1" t="e">
        <f>IF(B1997=0,VLOOKUP(A1997,Feuil2!$A$2:$M$1241,11,FALSE)," ")</f>
        <v>#N/A</v>
      </c>
      <c r="H1997" s="1" t="s">
        <v>16</v>
      </c>
      <c r="I1997" s="6" t="e">
        <f>IF(B1997=0,VLOOKUP(A1997,Feuil2!$A$2:$M$1241,7,FALSE)," ")</f>
        <v>#N/A</v>
      </c>
      <c r="J1997" s="1" t="e">
        <f>IF(B1997=0,VLOOKUP(A1997,Feuil2!$A$2:$M$1241,9,FALSE)," ")</f>
        <v>#N/A</v>
      </c>
      <c r="K1997" s="1" t="e">
        <f>IF(B1997=0,VLOOKUP(A1997,Feuil2!$A$2:$M$1241,10,FALSE)," ")</f>
        <v>#N/A</v>
      </c>
      <c r="L1997" s="1"/>
      <c r="M1997" s="1"/>
      <c r="N1997" s="1"/>
      <c r="O1997" s="8" t="e">
        <f>IF(B1997=0,VLOOKUP(A1997,Feuil2!$A$2:$M$1241,13,FALSE)," ")</f>
        <v>#N/A</v>
      </c>
    </row>
    <row r="1998" spans="1:15" x14ac:dyDescent="0.3">
      <c r="A1998" s="1"/>
      <c r="B1998" s="1"/>
      <c r="C1998" s="1" t="e">
        <f>IF(B1998=0,VLOOKUP(A1998,Feuil2!$A$2:$M$1241,2,FALSE)," ")</f>
        <v>#N/A</v>
      </c>
      <c r="D1998" s="1" t="e">
        <f>IF(B1998=0,VLOOKUP(A1998,Feuil2!$A$2:$M$1241,3,FALSE)," ")</f>
        <v>#N/A</v>
      </c>
      <c r="E1998" s="5" t="e">
        <f>IF(B1998=0,VLOOKUP(A1998,Feuil2!$A$2:$M$1241,6,FALSE)," ")</f>
        <v>#N/A</v>
      </c>
      <c r="F1998" s="1" t="e">
        <f>IF(B1998=0,VLOOKUP(A1998,Feuil2!$A$2:$M$1241,12,FALSE)," ")</f>
        <v>#N/A</v>
      </c>
      <c r="G1998" s="1" t="e">
        <f>IF(B1998=0,VLOOKUP(A1998,Feuil2!$A$2:$M$1241,11,FALSE)," ")</f>
        <v>#N/A</v>
      </c>
      <c r="H1998" s="1" t="s">
        <v>16</v>
      </c>
      <c r="I1998" s="6" t="e">
        <f>IF(B1998=0,VLOOKUP(A1998,Feuil2!$A$2:$M$1241,7,FALSE)," ")</f>
        <v>#N/A</v>
      </c>
      <c r="J1998" s="1" t="e">
        <f>IF(B1998=0,VLOOKUP(A1998,Feuil2!$A$2:$M$1241,9,FALSE)," ")</f>
        <v>#N/A</v>
      </c>
      <c r="K1998" s="1" t="e">
        <f>IF(B1998=0,VLOOKUP(A1998,Feuil2!$A$2:$M$1241,10,FALSE)," ")</f>
        <v>#N/A</v>
      </c>
      <c r="L1998" s="1"/>
      <c r="M1998" s="1"/>
      <c r="N1998" s="1"/>
      <c r="O1998" s="8" t="e">
        <f>IF(B1998=0,VLOOKUP(A1998,Feuil2!$A$2:$M$1241,13,FALSE)," ")</f>
        <v>#N/A</v>
      </c>
    </row>
    <row r="1999" spans="1:15" x14ac:dyDescent="0.3">
      <c r="A1999" s="1"/>
      <c r="B1999" s="1"/>
      <c r="C1999" s="1" t="e">
        <f>IF(B1999=0,VLOOKUP(A1999,Feuil2!$A$2:$M$1241,2,FALSE)," ")</f>
        <v>#N/A</v>
      </c>
      <c r="D1999" s="1" t="e">
        <f>IF(B1999=0,VLOOKUP(A1999,Feuil2!$A$2:$M$1241,3,FALSE)," ")</f>
        <v>#N/A</v>
      </c>
      <c r="E1999" s="5" t="e">
        <f>IF(B1999=0,VLOOKUP(A1999,Feuil2!$A$2:$M$1241,6,FALSE)," ")</f>
        <v>#N/A</v>
      </c>
      <c r="F1999" s="1" t="e">
        <f>IF(B1999=0,VLOOKUP(A1999,Feuil2!$A$2:$M$1241,12,FALSE)," ")</f>
        <v>#N/A</v>
      </c>
      <c r="G1999" s="1" t="e">
        <f>IF(B1999=0,VLOOKUP(A1999,Feuil2!$A$2:$M$1241,11,FALSE)," ")</f>
        <v>#N/A</v>
      </c>
      <c r="H1999" s="1" t="s">
        <v>16</v>
      </c>
      <c r="I1999" s="6" t="e">
        <f>IF(B1999=0,VLOOKUP(A1999,Feuil2!$A$2:$M$1241,7,FALSE)," ")</f>
        <v>#N/A</v>
      </c>
      <c r="J1999" s="1" t="e">
        <f>IF(B1999=0,VLOOKUP(A1999,Feuil2!$A$2:$M$1241,9,FALSE)," ")</f>
        <v>#N/A</v>
      </c>
      <c r="K1999" s="1" t="e">
        <f>IF(B1999=0,VLOOKUP(A1999,Feuil2!$A$2:$M$1241,10,FALSE)," ")</f>
        <v>#N/A</v>
      </c>
      <c r="L1999" s="1"/>
      <c r="M1999" s="1"/>
      <c r="N1999" s="1"/>
      <c r="O1999" s="8" t="e">
        <f>IF(B1999=0,VLOOKUP(A1999,Feuil2!$A$2:$M$1241,13,FALSE)," ")</f>
        <v>#N/A</v>
      </c>
    </row>
    <row r="2000" spans="1:15" x14ac:dyDescent="0.3">
      <c r="A2000" s="1"/>
      <c r="B2000" s="1"/>
      <c r="C2000" s="1" t="e">
        <f>IF(B2000=0,VLOOKUP(A2000,Feuil2!$A$2:$M$1241,2,FALSE)," ")</f>
        <v>#N/A</v>
      </c>
      <c r="D2000" s="1" t="e">
        <f>IF(B2000=0,VLOOKUP(A2000,Feuil2!$A$2:$M$1241,3,FALSE)," ")</f>
        <v>#N/A</v>
      </c>
      <c r="E2000" s="5" t="e">
        <f>IF(B2000=0,VLOOKUP(A2000,Feuil2!$A$2:$M$1241,6,FALSE)," ")</f>
        <v>#N/A</v>
      </c>
      <c r="F2000" s="1" t="e">
        <f>IF(B2000=0,VLOOKUP(A2000,Feuil2!$A$2:$M$1241,12,FALSE)," ")</f>
        <v>#N/A</v>
      </c>
      <c r="G2000" s="1" t="e">
        <f>IF(B2000=0,VLOOKUP(A2000,Feuil2!$A$2:$M$1241,11,FALSE)," ")</f>
        <v>#N/A</v>
      </c>
      <c r="H2000" s="1" t="s">
        <v>16</v>
      </c>
      <c r="I2000" s="6" t="e">
        <f>IF(B2000=0,VLOOKUP(A2000,Feuil2!$A$2:$M$1241,7,FALSE)," ")</f>
        <v>#N/A</v>
      </c>
      <c r="J2000" s="1" t="e">
        <f>IF(B2000=0,VLOOKUP(A2000,Feuil2!$A$2:$M$1241,9,FALSE)," ")</f>
        <v>#N/A</v>
      </c>
      <c r="K2000" s="1" t="e">
        <f>IF(B2000=0,VLOOKUP(A2000,Feuil2!$A$2:$M$1241,10,FALSE)," ")</f>
        <v>#N/A</v>
      </c>
      <c r="L2000" s="1"/>
      <c r="M2000" s="1"/>
      <c r="N2000" s="1"/>
      <c r="O2000" s="8" t="e">
        <f>IF(B2000=0,VLOOKUP(A2000,Feuil2!$A$2:$M$1241,13,FALSE)," ")</f>
        <v>#N/A</v>
      </c>
    </row>
    <row r="2001" spans="1:15" x14ac:dyDescent="0.3">
      <c r="A2001" s="1"/>
      <c r="B2001" s="1"/>
      <c r="C2001" s="1" t="e">
        <f>IF(B2001=0,VLOOKUP(A2001,Feuil2!$A$2:$M$1241,2,FALSE)," ")</f>
        <v>#N/A</v>
      </c>
      <c r="D2001" s="1" t="e">
        <f>IF(B2001=0,VLOOKUP(A2001,Feuil2!$A$2:$M$1241,3,FALSE)," ")</f>
        <v>#N/A</v>
      </c>
      <c r="E2001" s="5" t="e">
        <f>IF(B2001=0,VLOOKUP(A2001,Feuil2!$A$2:$M$1241,6,FALSE)," ")</f>
        <v>#N/A</v>
      </c>
      <c r="F2001" s="1" t="e">
        <f>IF(B2001=0,VLOOKUP(A2001,Feuil2!$A$2:$M$1241,12,FALSE)," ")</f>
        <v>#N/A</v>
      </c>
      <c r="G2001" s="1" t="e">
        <f>IF(B2001=0,VLOOKUP(A2001,Feuil2!$A$2:$M$1241,11,FALSE)," ")</f>
        <v>#N/A</v>
      </c>
      <c r="H2001" s="1" t="s">
        <v>16</v>
      </c>
      <c r="I2001" s="6" t="e">
        <f>IF(B2001=0,VLOOKUP(A2001,Feuil2!$A$2:$M$1241,7,FALSE)," ")</f>
        <v>#N/A</v>
      </c>
      <c r="J2001" s="1" t="e">
        <f>IF(B2001=0,VLOOKUP(A2001,Feuil2!$A$2:$M$1241,9,FALSE)," ")</f>
        <v>#N/A</v>
      </c>
      <c r="K2001" s="1" t="e">
        <f>IF(B2001=0,VLOOKUP(A2001,Feuil2!$A$2:$M$1241,10,FALSE)," ")</f>
        <v>#N/A</v>
      </c>
      <c r="L2001" s="1"/>
      <c r="M2001" s="1"/>
      <c r="N2001" s="1"/>
      <c r="O2001" s="8" t="e">
        <f>IF(B2001=0,VLOOKUP(A2001,Feuil2!$A$2:$M$1241,13,FALSE)," ")</f>
        <v>#N/A</v>
      </c>
    </row>
    <row r="2002" spans="1:15" x14ac:dyDescent="0.3">
      <c r="A2002" s="1"/>
      <c r="B2002" s="1"/>
      <c r="C2002" s="1" t="e">
        <f>IF(B2002=0,VLOOKUP(A2002,Feuil2!$A$2:$M$1241,2,FALSE)," ")</f>
        <v>#N/A</v>
      </c>
      <c r="D2002" s="1" t="e">
        <f>IF(B2002=0,VLOOKUP(A2002,Feuil2!$A$2:$M$1241,3,FALSE)," ")</f>
        <v>#N/A</v>
      </c>
      <c r="E2002" s="5" t="e">
        <f>IF(B2002=0,VLOOKUP(A2002,Feuil2!$A$2:$M$1241,6,FALSE)," ")</f>
        <v>#N/A</v>
      </c>
      <c r="F2002" s="1" t="e">
        <f>IF(B2002=0,VLOOKUP(A2002,Feuil2!$A$2:$M$1241,12,FALSE)," ")</f>
        <v>#N/A</v>
      </c>
      <c r="G2002" s="1" t="e">
        <f>IF(B2002=0,VLOOKUP(A2002,Feuil2!$A$2:$M$1241,11,FALSE)," ")</f>
        <v>#N/A</v>
      </c>
      <c r="H2002" s="1" t="s">
        <v>16</v>
      </c>
      <c r="I2002" s="6" t="e">
        <f>IF(B2002=0,VLOOKUP(A2002,Feuil2!$A$2:$M$1241,7,FALSE)," ")</f>
        <v>#N/A</v>
      </c>
      <c r="J2002" s="1" t="e">
        <f>IF(B2002=0,VLOOKUP(A2002,Feuil2!$A$2:$M$1241,9,FALSE)," ")</f>
        <v>#N/A</v>
      </c>
      <c r="K2002" s="1" t="e">
        <f>IF(B2002=0,VLOOKUP(A2002,Feuil2!$A$2:$M$1241,10,FALSE)," ")</f>
        <v>#N/A</v>
      </c>
      <c r="L2002" s="1"/>
      <c r="M2002" s="1"/>
      <c r="N2002" s="1"/>
      <c r="O2002" s="8" t="e">
        <f>IF(B2002=0,VLOOKUP(A2002,Feuil2!$A$2:$M$1241,13,FALSE)," ")</f>
        <v>#N/A</v>
      </c>
    </row>
    <row r="2003" spans="1:15" x14ac:dyDescent="0.3">
      <c r="A2003" s="1"/>
      <c r="B2003" s="1"/>
      <c r="C2003" s="1" t="e">
        <f>IF(B2003=0,VLOOKUP(A2003,Feuil2!$A$2:$M$1241,2,FALSE)," ")</f>
        <v>#N/A</v>
      </c>
      <c r="D2003" s="1" t="e">
        <f>IF(B2003=0,VLOOKUP(A2003,Feuil2!$A$2:$M$1241,3,FALSE)," ")</f>
        <v>#N/A</v>
      </c>
      <c r="E2003" s="5" t="e">
        <f>IF(B2003=0,VLOOKUP(A2003,Feuil2!$A$2:$M$1241,6,FALSE)," ")</f>
        <v>#N/A</v>
      </c>
      <c r="F2003" s="1" t="e">
        <f>IF(B2003=0,VLOOKUP(A2003,Feuil2!$A$2:$M$1241,12,FALSE)," ")</f>
        <v>#N/A</v>
      </c>
      <c r="G2003" s="1" t="e">
        <f>IF(B2003=0,VLOOKUP(A2003,Feuil2!$A$2:$M$1241,11,FALSE)," ")</f>
        <v>#N/A</v>
      </c>
      <c r="H2003" s="1" t="s">
        <v>16</v>
      </c>
      <c r="I2003" s="6" t="e">
        <f>IF(B2003=0,VLOOKUP(A2003,Feuil2!$A$2:$M$1241,7,FALSE)," ")</f>
        <v>#N/A</v>
      </c>
      <c r="J2003" s="1" t="e">
        <f>IF(B2003=0,VLOOKUP(A2003,Feuil2!$A$2:$M$1241,9,FALSE)," ")</f>
        <v>#N/A</v>
      </c>
      <c r="K2003" s="1" t="e">
        <f>IF(B2003=0,VLOOKUP(A2003,Feuil2!$A$2:$M$1241,10,FALSE)," ")</f>
        <v>#N/A</v>
      </c>
      <c r="L2003" s="1"/>
      <c r="M2003" s="1"/>
      <c r="N2003" s="1"/>
      <c r="O2003" s="8" t="e">
        <f>IF(B2003=0,VLOOKUP(A2003,Feuil2!$A$2:$M$1241,13,FALSE)," ")</f>
        <v>#N/A</v>
      </c>
    </row>
    <row r="2004" spans="1:15" x14ac:dyDescent="0.3">
      <c r="A2004" s="1"/>
      <c r="B2004" s="1"/>
      <c r="C2004" s="1" t="e">
        <f>IF(B2004=0,VLOOKUP(A2004,Feuil2!$A$2:$M$1241,2,FALSE)," ")</f>
        <v>#N/A</v>
      </c>
      <c r="D2004" s="1" t="e">
        <f>IF(B2004=0,VLOOKUP(A2004,Feuil2!$A$2:$M$1241,3,FALSE)," ")</f>
        <v>#N/A</v>
      </c>
      <c r="E2004" s="5" t="e">
        <f>IF(B2004=0,VLOOKUP(A2004,Feuil2!$A$2:$M$1241,6,FALSE)," ")</f>
        <v>#N/A</v>
      </c>
      <c r="F2004" s="1" t="e">
        <f>IF(B2004=0,VLOOKUP(A2004,Feuil2!$A$2:$M$1241,12,FALSE)," ")</f>
        <v>#N/A</v>
      </c>
      <c r="G2004" s="1" t="e">
        <f>IF(B2004=0,VLOOKUP(A2004,Feuil2!$A$2:$M$1241,11,FALSE)," ")</f>
        <v>#N/A</v>
      </c>
      <c r="H2004" s="1" t="s">
        <v>16</v>
      </c>
      <c r="I2004" s="6" t="e">
        <f>IF(B2004=0,VLOOKUP(A2004,Feuil2!$A$2:$M$1241,7,FALSE)," ")</f>
        <v>#N/A</v>
      </c>
      <c r="J2004" s="1" t="e">
        <f>IF(B2004=0,VLOOKUP(A2004,Feuil2!$A$2:$M$1241,9,FALSE)," ")</f>
        <v>#N/A</v>
      </c>
      <c r="K2004" s="1" t="e">
        <f>IF(B2004=0,VLOOKUP(A2004,Feuil2!$A$2:$M$1241,10,FALSE)," ")</f>
        <v>#N/A</v>
      </c>
      <c r="L2004" s="1"/>
      <c r="M2004" s="1"/>
      <c r="N2004" s="1"/>
      <c r="O2004" s="8" t="e">
        <f>IF(B2004=0,VLOOKUP(A2004,Feuil2!$A$2:$M$1241,13,FALSE)," ")</f>
        <v>#N/A</v>
      </c>
    </row>
    <row r="2005" spans="1:15" x14ac:dyDescent="0.3">
      <c r="A2005" s="1"/>
      <c r="B2005" s="1"/>
      <c r="C2005" s="1" t="e">
        <f>IF(B2005=0,VLOOKUP(A2005,Feuil2!$A$2:$M$1241,2,FALSE)," ")</f>
        <v>#N/A</v>
      </c>
      <c r="D2005" s="1" t="e">
        <f>IF(B2005=0,VLOOKUP(A2005,Feuil2!$A$2:$M$1241,3,FALSE)," ")</f>
        <v>#N/A</v>
      </c>
      <c r="E2005" s="5" t="e">
        <f>IF(B2005=0,VLOOKUP(A2005,Feuil2!$A$2:$M$1241,6,FALSE)," ")</f>
        <v>#N/A</v>
      </c>
      <c r="F2005" s="1" t="e">
        <f>IF(B2005=0,VLOOKUP(A2005,Feuil2!$A$2:$M$1241,12,FALSE)," ")</f>
        <v>#N/A</v>
      </c>
      <c r="G2005" s="1" t="e">
        <f>IF(B2005=0,VLOOKUP(A2005,Feuil2!$A$2:$M$1241,11,FALSE)," ")</f>
        <v>#N/A</v>
      </c>
      <c r="H2005" s="1" t="s">
        <v>16</v>
      </c>
      <c r="I2005" s="6" t="e">
        <f>IF(B2005=0,VLOOKUP(A2005,Feuil2!$A$2:$M$1241,7,FALSE)," ")</f>
        <v>#N/A</v>
      </c>
      <c r="J2005" s="1" t="e">
        <f>IF(B2005=0,VLOOKUP(A2005,Feuil2!$A$2:$M$1241,9,FALSE)," ")</f>
        <v>#N/A</v>
      </c>
      <c r="K2005" s="1" t="e">
        <f>IF(B2005=0,VLOOKUP(A2005,Feuil2!$A$2:$M$1241,10,FALSE)," ")</f>
        <v>#N/A</v>
      </c>
      <c r="L2005" s="1"/>
      <c r="M2005" s="1"/>
      <c r="N2005" s="1"/>
      <c r="O2005" s="8" t="e">
        <f>IF(B2005=0,VLOOKUP(A2005,Feuil2!$A$2:$M$1241,13,FALSE)," ")</f>
        <v>#N/A</v>
      </c>
    </row>
    <row r="2006" spans="1:15" x14ac:dyDescent="0.3">
      <c r="A2006" s="1"/>
      <c r="B2006" s="1"/>
      <c r="C2006" s="1" t="e">
        <f>IF(B2006=0,VLOOKUP(A2006,Feuil2!$A$2:$M$1241,2,FALSE)," ")</f>
        <v>#N/A</v>
      </c>
      <c r="D2006" s="1" t="e">
        <f>IF(B2006=0,VLOOKUP(A2006,Feuil2!$A$2:$M$1241,3,FALSE)," ")</f>
        <v>#N/A</v>
      </c>
      <c r="E2006" s="5" t="e">
        <f>IF(B2006=0,VLOOKUP(A2006,Feuil2!$A$2:$M$1241,6,FALSE)," ")</f>
        <v>#N/A</v>
      </c>
      <c r="F2006" s="1" t="e">
        <f>IF(B2006=0,VLOOKUP(A2006,Feuil2!$A$2:$M$1241,12,FALSE)," ")</f>
        <v>#N/A</v>
      </c>
      <c r="G2006" s="1" t="e">
        <f>IF(B2006=0,VLOOKUP(A2006,Feuil2!$A$2:$M$1241,11,FALSE)," ")</f>
        <v>#N/A</v>
      </c>
      <c r="H2006" s="1" t="s">
        <v>16</v>
      </c>
      <c r="I2006" s="6" t="e">
        <f>IF(B2006=0,VLOOKUP(A2006,Feuil2!$A$2:$M$1241,7,FALSE)," ")</f>
        <v>#N/A</v>
      </c>
      <c r="J2006" s="1" t="e">
        <f>IF(B2006=0,VLOOKUP(A2006,Feuil2!$A$2:$M$1241,9,FALSE)," ")</f>
        <v>#N/A</v>
      </c>
      <c r="K2006" s="1" t="e">
        <f>IF(B2006=0,VLOOKUP(A2006,Feuil2!$A$2:$M$1241,10,FALSE)," ")</f>
        <v>#N/A</v>
      </c>
      <c r="L2006" s="1"/>
      <c r="M2006" s="1"/>
      <c r="N2006" s="1"/>
      <c r="O2006" s="8" t="e">
        <f>IF(B2006=0,VLOOKUP(A2006,Feuil2!$A$2:$M$1241,13,FALSE)," ")</f>
        <v>#N/A</v>
      </c>
    </row>
    <row r="2007" spans="1:15" x14ac:dyDescent="0.3">
      <c r="A2007" s="1"/>
      <c r="B2007" s="1"/>
      <c r="C2007" s="1" t="e">
        <f>IF(B2007=0,VLOOKUP(A2007,Feuil2!$A$2:$M$1241,2,FALSE)," ")</f>
        <v>#N/A</v>
      </c>
      <c r="D2007" s="1" t="e">
        <f>IF(B2007=0,VLOOKUP(A2007,Feuil2!$A$2:$M$1241,3,FALSE)," ")</f>
        <v>#N/A</v>
      </c>
      <c r="E2007" s="5" t="e">
        <f>IF(B2007=0,VLOOKUP(A2007,Feuil2!$A$2:$M$1241,6,FALSE)," ")</f>
        <v>#N/A</v>
      </c>
      <c r="F2007" s="1" t="e">
        <f>IF(B2007=0,VLOOKUP(A2007,Feuil2!$A$2:$M$1241,12,FALSE)," ")</f>
        <v>#N/A</v>
      </c>
      <c r="G2007" s="1" t="e">
        <f>IF(B2007=0,VLOOKUP(A2007,Feuil2!$A$2:$M$1241,11,FALSE)," ")</f>
        <v>#N/A</v>
      </c>
      <c r="H2007" s="1" t="s">
        <v>16</v>
      </c>
      <c r="I2007" s="6" t="e">
        <f>IF(B2007=0,VLOOKUP(A2007,Feuil2!$A$2:$M$1241,7,FALSE)," ")</f>
        <v>#N/A</v>
      </c>
      <c r="J2007" s="1" t="e">
        <f>IF(B2007=0,VLOOKUP(A2007,Feuil2!$A$2:$M$1241,9,FALSE)," ")</f>
        <v>#N/A</v>
      </c>
      <c r="K2007" s="1" t="e">
        <f>IF(B2007=0,VLOOKUP(A2007,Feuil2!$A$2:$M$1241,10,FALSE)," ")</f>
        <v>#N/A</v>
      </c>
      <c r="L2007" s="1"/>
      <c r="M2007" s="1"/>
      <c r="N2007" s="1"/>
      <c r="O2007" s="8" t="e">
        <f>IF(B2007=0,VLOOKUP(A2007,Feuil2!$A$2:$M$1241,13,FALSE)," ")</f>
        <v>#N/A</v>
      </c>
    </row>
    <row r="2008" spans="1:15" x14ac:dyDescent="0.3">
      <c r="A2008" s="1"/>
      <c r="B2008" s="1"/>
      <c r="C2008" s="1" t="e">
        <f>IF(B2008=0,VLOOKUP(A2008,Feuil2!$A$2:$M$1241,2,FALSE)," ")</f>
        <v>#N/A</v>
      </c>
      <c r="D2008" s="1" t="e">
        <f>IF(B2008=0,VLOOKUP(A2008,Feuil2!$A$2:$M$1241,3,FALSE)," ")</f>
        <v>#N/A</v>
      </c>
      <c r="E2008" s="5" t="e">
        <f>IF(B2008=0,VLOOKUP(A2008,Feuil2!$A$2:$M$1241,6,FALSE)," ")</f>
        <v>#N/A</v>
      </c>
      <c r="F2008" s="1" t="e">
        <f>IF(B2008=0,VLOOKUP(A2008,Feuil2!$A$2:$M$1241,12,FALSE)," ")</f>
        <v>#N/A</v>
      </c>
      <c r="G2008" s="1" t="e">
        <f>IF(B2008=0,VLOOKUP(A2008,Feuil2!$A$2:$M$1241,11,FALSE)," ")</f>
        <v>#N/A</v>
      </c>
      <c r="H2008" s="1" t="s">
        <v>16</v>
      </c>
      <c r="I2008" s="6" t="e">
        <f>IF(B2008=0,VLOOKUP(A2008,Feuil2!$A$2:$M$1241,7,FALSE)," ")</f>
        <v>#N/A</v>
      </c>
      <c r="J2008" s="1" t="e">
        <f>IF(B2008=0,VLOOKUP(A2008,Feuil2!$A$2:$M$1241,9,FALSE)," ")</f>
        <v>#N/A</v>
      </c>
      <c r="K2008" s="1" t="e">
        <f>IF(B2008=0,VLOOKUP(A2008,Feuil2!$A$2:$M$1241,10,FALSE)," ")</f>
        <v>#N/A</v>
      </c>
      <c r="L2008" s="1"/>
      <c r="M2008" s="1"/>
      <c r="N2008" s="1"/>
      <c r="O2008" s="8" t="e">
        <f>IF(B2008=0,VLOOKUP(A2008,Feuil2!$A$2:$M$1241,13,FALSE)," ")</f>
        <v>#N/A</v>
      </c>
    </row>
    <row r="2009" spans="1:15" x14ac:dyDescent="0.3">
      <c r="A2009" s="1"/>
      <c r="B2009" s="1"/>
      <c r="C2009" s="1" t="e">
        <f>IF(B2009=0,VLOOKUP(A2009,Feuil2!$A$2:$M$1241,2,FALSE)," ")</f>
        <v>#N/A</v>
      </c>
      <c r="D2009" s="1" t="e">
        <f>IF(B2009=0,VLOOKUP(A2009,Feuil2!$A$2:$M$1241,3,FALSE)," ")</f>
        <v>#N/A</v>
      </c>
      <c r="E2009" s="5" t="e">
        <f>IF(B2009=0,VLOOKUP(A2009,Feuil2!$A$2:$M$1241,6,FALSE)," ")</f>
        <v>#N/A</v>
      </c>
      <c r="F2009" s="1" t="e">
        <f>IF(B2009=0,VLOOKUP(A2009,Feuil2!$A$2:$M$1241,12,FALSE)," ")</f>
        <v>#N/A</v>
      </c>
      <c r="G2009" s="1" t="e">
        <f>IF(B2009=0,VLOOKUP(A2009,Feuil2!$A$2:$M$1241,11,FALSE)," ")</f>
        <v>#N/A</v>
      </c>
      <c r="H2009" s="1" t="s">
        <v>16</v>
      </c>
      <c r="I2009" s="6" t="e">
        <f>IF(B2009=0,VLOOKUP(A2009,Feuil2!$A$2:$M$1241,7,FALSE)," ")</f>
        <v>#N/A</v>
      </c>
      <c r="J2009" s="1" t="e">
        <f>IF(B2009=0,VLOOKUP(A2009,Feuil2!$A$2:$M$1241,9,FALSE)," ")</f>
        <v>#N/A</v>
      </c>
      <c r="K2009" s="1" t="e">
        <f>IF(B2009=0,VLOOKUP(A2009,Feuil2!$A$2:$M$1241,10,FALSE)," ")</f>
        <v>#N/A</v>
      </c>
      <c r="L2009" s="1"/>
      <c r="M2009" s="1"/>
      <c r="N2009" s="1"/>
      <c r="O2009" s="8" t="e">
        <f>IF(B2009=0,VLOOKUP(A2009,Feuil2!$A$2:$M$1241,13,FALSE)," ")</f>
        <v>#N/A</v>
      </c>
    </row>
    <row r="2010" spans="1:15" x14ac:dyDescent="0.3">
      <c r="A2010" s="1"/>
      <c r="B2010" s="1"/>
      <c r="C2010" s="1" t="e">
        <f>IF(B2010=0,VLOOKUP(A2010,Feuil2!$A$2:$M$1241,2,FALSE)," ")</f>
        <v>#N/A</v>
      </c>
      <c r="D2010" s="1" t="e">
        <f>IF(B2010=0,VLOOKUP(A2010,Feuil2!$A$2:$M$1241,3,FALSE)," ")</f>
        <v>#N/A</v>
      </c>
      <c r="E2010" s="5" t="e">
        <f>IF(B2010=0,VLOOKUP(A2010,Feuil2!$A$2:$M$1241,6,FALSE)," ")</f>
        <v>#N/A</v>
      </c>
      <c r="F2010" s="1" t="e">
        <f>IF(B2010=0,VLOOKUP(A2010,Feuil2!$A$2:$M$1241,12,FALSE)," ")</f>
        <v>#N/A</v>
      </c>
      <c r="G2010" s="1" t="e">
        <f>IF(B2010=0,VLOOKUP(A2010,Feuil2!$A$2:$M$1241,11,FALSE)," ")</f>
        <v>#N/A</v>
      </c>
      <c r="H2010" s="1" t="s">
        <v>16</v>
      </c>
      <c r="I2010" s="6" t="e">
        <f>IF(B2010=0,VLOOKUP(A2010,Feuil2!$A$2:$M$1241,7,FALSE)," ")</f>
        <v>#N/A</v>
      </c>
      <c r="J2010" s="1" t="e">
        <f>IF(B2010=0,VLOOKUP(A2010,Feuil2!$A$2:$M$1241,9,FALSE)," ")</f>
        <v>#N/A</v>
      </c>
      <c r="K2010" s="1" t="e">
        <f>IF(B2010=0,VLOOKUP(A2010,Feuil2!$A$2:$M$1241,10,FALSE)," ")</f>
        <v>#N/A</v>
      </c>
      <c r="L2010" s="1"/>
      <c r="M2010" s="1"/>
      <c r="N2010" s="1"/>
      <c r="O2010" s="8" t="e">
        <f>IF(B2010=0,VLOOKUP(A2010,Feuil2!$A$2:$M$1241,13,FALSE)," ")</f>
        <v>#N/A</v>
      </c>
    </row>
    <row r="2011" spans="1:15" x14ac:dyDescent="0.3">
      <c r="A2011" s="1"/>
      <c r="B2011" s="1"/>
      <c r="C2011" s="1" t="e">
        <f>IF(B2011=0,VLOOKUP(A2011,Feuil2!$A$2:$M$1241,2,FALSE)," ")</f>
        <v>#N/A</v>
      </c>
      <c r="D2011" s="1" t="e">
        <f>IF(B2011=0,VLOOKUP(A2011,Feuil2!$A$2:$M$1241,3,FALSE)," ")</f>
        <v>#N/A</v>
      </c>
      <c r="E2011" s="5" t="e">
        <f>IF(B2011=0,VLOOKUP(A2011,Feuil2!$A$2:$M$1241,6,FALSE)," ")</f>
        <v>#N/A</v>
      </c>
      <c r="F2011" s="1" t="e">
        <f>IF(B2011=0,VLOOKUP(A2011,Feuil2!$A$2:$M$1241,12,FALSE)," ")</f>
        <v>#N/A</v>
      </c>
      <c r="G2011" s="1" t="e">
        <f>IF(B2011=0,VLOOKUP(A2011,Feuil2!$A$2:$M$1241,11,FALSE)," ")</f>
        <v>#N/A</v>
      </c>
      <c r="H2011" s="1" t="s">
        <v>16</v>
      </c>
      <c r="I2011" s="6" t="e">
        <f>IF(B2011=0,VLOOKUP(A2011,Feuil2!$A$2:$M$1241,7,FALSE)," ")</f>
        <v>#N/A</v>
      </c>
      <c r="J2011" s="1" t="e">
        <f>IF(B2011=0,VLOOKUP(A2011,Feuil2!$A$2:$M$1241,9,FALSE)," ")</f>
        <v>#N/A</v>
      </c>
      <c r="K2011" s="1" t="e">
        <f>IF(B2011=0,VLOOKUP(A2011,Feuil2!$A$2:$M$1241,10,FALSE)," ")</f>
        <v>#N/A</v>
      </c>
      <c r="L2011" s="1"/>
      <c r="M2011" s="1"/>
      <c r="N2011" s="1"/>
      <c r="O2011" s="8" t="e">
        <f>IF(B2011=0,VLOOKUP(A2011,Feuil2!$A$2:$M$1241,13,FALSE)," ")</f>
        <v>#N/A</v>
      </c>
    </row>
    <row r="2012" spans="1:15" x14ac:dyDescent="0.3">
      <c r="A2012" s="1"/>
      <c r="B2012" s="1"/>
      <c r="C2012" s="1" t="e">
        <f>IF(B2012=0,VLOOKUP(A2012,Feuil2!$A$2:$M$1241,2,FALSE)," ")</f>
        <v>#N/A</v>
      </c>
      <c r="D2012" s="1" t="e">
        <f>IF(B2012=0,VLOOKUP(A2012,Feuil2!$A$2:$M$1241,3,FALSE)," ")</f>
        <v>#N/A</v>
      </c>
      <c r="E2012" s="5" t="e">
        <f>IF(B2012=0,VLOOKUP(A2012,Feuil2!$A$2:$M$1241,6,FALSE)," ")</f>
        <v>#N/A</v>
      </c>
      <c r="F2012" s="1" t="e">
        <f>IF(B2012=0,VLOOKUP(A2012,Feuil2!$A$2:$M$1241,12,FALSE)," ")</f>
        <v>#N/A</v>
      </c>
      <c r="G2012" s="1" t="e">
        <f>IF(B2012=0,VLOOKUP(A2012,Feuil2!$A$2:$M$1241,11,FALSE)," ")</f>
        <v>#N/A</v>
      </c>
      <c r="H2012" s="1" t="s">
        <v>16</v>
      </c>
      <c r="I2012" s="6" t="e">
        <f>IF(B2012=0,VLOOKUP(A2012,Feuil2!$A$2:$M$1241,7,FALSE)," ")</f>
        <v>#N/A</v>
      </c>
      <c r="J2012" s="1" t="e">
        <f>IF(B2012=0,VLOOKUP(A2012,Feuil2!$A$2:$M$1241,9,FALSE)," ")</f>
        <v>#N/A</v>
      </c>
      <c r="K2012" s="1" t="e">
        <f>IF(B2012=0,VLOOKUP(A2012,Feuil2!$A$2:$M$1241,10,FALSE)," ")</f>
        <v>#N/A</v>
      </c>
      <c r="L2012" s="1"/>
      <c r="M2012" s="1"/>
      <c r="N2012" s="1"/>
      <c r="O2012" s="8" t="e">
        <f>IF(B2012=0,VLOOKUP(A2012,Feuil2!$A$2:$M$1241,13,FALSE)," ")</f>
        <v>#N/A</v>
      </c>
    </row>
    <row r="2013" spans="1:15" x14ac:dyDescent="0.3">
      <c r="A2013" s="1"/>
      <c r="B2013" s="1"/>
      <c r="C2013" s="1" t="e">
        <f>IF(B2013=0,VLOOKUP(A2013,Feuil2!$A$2:$M$1241,2,FALSE)," ")</f>
        <v>#N/A</v>
      </c>
      <c r="D2013" s="1" t="e">
        <f>IF(B2013=0,VLOOKUP(A2013,Feuil2!$A$2:$M$1241,3,FALSE)," ")</f>
        <v>#N/A</v>
      </c>
      <c r="E2013" s="5" t="e">
        <f>IF(B2013=0,VLOOKUP(A2013,Feuil2!$A$2:$M$1241,6,FALSE)," ")</f>
        <v>#N/A</v>
      </c>
      <c r="F2013" s="1" t="e">
        <f>IF(B2013=0,VLOOKUP(A2013,Feuil2!$A$2:$M$1241,12,FALSE)," ")</f>
        <v>#N/A</v>
      </c>
      <c r="G2013" s="1" t="e">
        <f>IF(B2013=0,VLOOKUP(A2013,Feuil2!$A$2:$M$1241,11,FALSE)," ")</f>
        <v>#N/A</v>
      </c>
      <c r="H2013" s="1" t="s">
        <v>16</v>
      </c>
      <c r="I2013" s="6" t="e">
        <f>IF(B2013=0,VLOOKUP(A2013,Feuil2!$A$2:$M$1241,7,FALSE)," ")</f>
        <v>#N/A</v>
      </c>
      <c r="J2013" s="1" t="e">
        <f>IF(B2013=0,VLOOKUP(A2013,Feuil2!$A$2:$M$1241,9,FALSE)," ")</f>
        <v>#N/A</v>
      </c>
      <c r="K2013" s="1" t="e">
        <f>IF(B2013=0,VLOOKUP(A2013,Feuil2!$A$2:$M$1241,10,FALSE)," ")</f>
        <v>#N/A</v>
      </c>
      <c r="L2013" s="1"/>
      <c r="M2013" s="1"/>
      <c r="N2013" s="1"/>
      <c r="O2013" s="8" t="e">
        <f>IF(B2013=0,VLOOKUP(A2013,Feuil2!$A$2:$M$1241,13,FALSE)," ")</f>
        <v>#N/A</v>
      </c>
    </row>
    <row r="2014" spans="1:15" x14ac:dyDescent="0.3">
      <c r="A2014" s="1"/>
      <c r="B2014" s="1"/>
      <c r="C2014" s="1" t="e">
        <f>IF(B2014=0,VLOOKUP(A2014,Feuil2!$A$2:$M$1241,2,FALSE)," ")</f>
        <v>#N/A</v>
      </c>
      <c r="D2014" s="1" t="e">
        <f>IF(B2014=0,VLOOKUP(A2014,Feuil2!$A$2:$M$1241,3,FALSE)," ")</f>
        <v>#N/A</v>
      </c>
      <c r="E2014" s="5" t="e">
        <f>IF(B2014=0,VLOOKUP(A2014,Feuil2!$A$2:$M$1241,6,FALSE)," ")</f>
        <v>#N/A</v>
      </c>
      <c r="F2014" s="1" t="e">
        <f>IF(B2014=0,VLOOKUP(A2014,Feuil2!$A$2:$M$1241,12,FALSE)," ")</f>
        <v>#N/A</v>
      </c>
      <c r="G2014" s="1" t="e">
        <f>IF(B2014=0,VLOOKUP(A2014,Feuil2!$A$2:$M$1241,11,FALSE)," ")</f>
        <v>#N/A</v>
      </c>
      <c r="H2014" s="1" t="s">
        <v>16</v>
      </c>
      <c r="I2014" s="6" t="e">
        <f>IF(B2014=0,VLOOKUP(A2014,Feuil2!$A$2:$M$1241,7,FALSE)," ")</f>
        <v>#N/A</v>
      </c>
      <c r="J2014" s="1" t="e">
        <f>IF(B2014=0,VLOOKUP(A2014,Feuil2!$A$2:$M$1241,9,FALSE)," ")</f>
        <v>#N/A</v>
      </c>
      <c r="K2014" s="1" t="e">
        <f>IF(B2014=0,VLOOKUP(A2014,Feuil2!$A$2:$M$1241,10,FALSE)," ")</f>
        <v>#N/A</v>
      </c>
      <c r="L2014" s="1"/>
      <c r="M2014" s="1"/>
      <c r="N2014" s="1"/>
      <c r="O2014" s="8" t="e">
        <f>IF(B2014=0,VLOOKUP(A2014,Feuil2!$A$2:$M$1241,13,FALSE)," ")</f>
        <v>#N/A</v>
      </c>
    </row>
    <row r="2015" spans="1:15" x14ac:dyDescent="0.3">
      <c r="A2015" s="1"/>
      <c r="B2015" s="1"/>
      <c r="C2015" s="1" t="e">
        <f>IF(B2015=0,VLOOKUP(A2015,Feuil2!$A$2:$M$1241,2,FALSE)," ")</f>
        <v>#N/A</v>
      </c>
      <c r="D2015" s="1" t="e">
        <f>IF(B2015=0,VLOOKUP(A2015,Feuil2!$A$2:$M$1241,3,FALSE)," ")</f>
        <v>#N/A</v>
      </c>
      <c r="E2015" s="5" t="e">
        <f>IF(B2015=0,VLOOKUP(A2015,Feuil2!$A$2:$M$1241,6,FALSE)," ")</f>
        <v>#N/A</v>
      </c>
      <c r="F2015" s="1" t="e">
        <f>IF(B2015=0,VLOOKUP(A2015,Feuil2!$A$2:$M$1241,12,FALSE)," ")</f>
        <v>#N/A</v>
      </c>
      <c r="G2015" s="1" t="e">
        <f>IF(B2015=0,VLOOKUP(A2015,Feuil2!$A$2:$M$1241,11,FALSE)," ")</f>
        <v>#N/A</v>
      </c>
      <c r="H2015" s="1" t="s">
        <v>16</v>
      </c>
      <c r="I2015" s="6" t="e">
        <f>IF(B2015=0,VLOOKUP(A2015,Feuil2!$A$2:$M$1241,7,FALSE)," ")</f>
        <v>#N/A</v>
      </c>
      <c r="J2015" s="1" t="e">
        <f>IF(B2015=0,VLOOKUP(A2015,Feuil2!$A$2:$M$1241,9,FALSE)," ")</f>
        <v>#N/A</v>
      </c>
      <c r="K2015" s="1" t="e">
        <f>IF(B2015=0,VLOOKUP(A2015,Feuil2!$A$2:$M$1241,10,FALSE)," ")</f>
        <v>#N/A</v>
      </c>
      <c r="L2015" s="1"/>
      <c r="M2015" s="1"/>
      <c r="N2015" s="1"/>
      <c r="O2015" s="8" t="e">
        <f>IF(B2015=0,VLOOKUP(A2015,Feuil2!$A$2:$M$1241,13,FALSE)," ")</f>
        <v>#N/A</v>
      </c>
    </row>
    <row r="2016" spans="1:15" x14ac:dyDescent="0.3">
      <c r="A2016" s="1"/>
      <c r="B2016" s="1"/>
      <c r="C2016" s="1" t="e">
        <f>IF(B2016=0,VLOOKUP(A2016,Feuil2!$A$2:$M$1241,2,FALSE)," ")</f>
        <v>#N/A</v>
      </c>
      <c r="D2016" s="1" t="e">
        <f>IF(B2016=0,VLOOKUP(A2016,Feuil2!$A$2:$M$1241,3,FALSE)," ")</f>
        <v>#N/A</v>
      </c>
      <c r="E2016" s="5" t="e">
        <f>IF(B2016=0,VLOOKUP(A2016,Feuil2!$A$2:$M$1241,6,FALSE)," ")</f>
        <v>#N/A</v>
      </c>
      <c r="F2016" s="1" t="e">
        <f>IF(B2016=0,VLOOKUP(A2016,Feuil2!$A$2:$M$1241,12,FALSE)," ")</f>
        <v>#N/A</v>
      </c>
      <c r="G2016" s="1" t="e">
        <f>IF(B2016=0,VLOOKUP(A2016,Feuil2!$A$2:$M$1241,11,FALSE)," ")</f>
        <v>#N/A</v>
      </c>
      <c r="H2016" s="1" t="s">
        <v>16</v>
      </c>
      <c r="I2016" s="6" t="e">
        <f>IF(B2016=0,VLOOKUP(A2016,Feuil2!$A$2:$M$1241,7,FALSE)," ")</f>
        <v>#N/A</v>
      </c>
      <c r="J2016" s="1" t="e">
        <f>IF(B2016=0,VLOOKUP(A2016,Feuil2!$A$2:$M$1241,9,FALSE)," ")</f>
        <v>#N/A</v>
      </c>
      <c r="K2016" s="1" t="e">
        <f>IF(B2016=0,VLOOKUP(A2016,Feuil2!$A$2:$M$1241,10,FALSE)," ")</f>
        <v>#N/A</v>
      </c>
      <c r="L2016" s="1"/>
      <c r="M2016" s="1"/>
      <c r="N2016" s="1"/>
      <c r="O2016" s="8" t="e">
        <f>IF(B2016=0,VLOOKUP(A2016,Feuil2!$A$2:$M$1241,13,FALSE)," ")</f>
        <v>#N/A</v>
      </c>
    </row>
    <row r="2017" spans="1:15" x14ac:dyDescent="0.3">
      <c r="A2017" s="1"/>
      <c r="B2017" s="1"/>
      <c r="C2017" s="1" t="e">
        <f>IF(B2017=0,VLOOKUP(A2017,Feuil2!$A$2:$M$1241,2,FALSE)," ")</f>
        <v>#N/A</v>
      </c>
      <c r="D2017" s="1" t="e">
        <f>IF(B2017=0,VLOOKUP(A2017,Feuil2!$A$2:$M$1241,3,FALSE)," ")</f>
        <v>#N/A</v>
      </c>
      <c r="E2017" s="5" t="e">
        <f>IF(B2017=0,VLOOKUP(A2017,Feuil2!$A$2:$M$1241,6,FALSE)," ")</f>
        <v>#N/A</v>
      </c>
      <c r="F2017" s="1" t="e">
        <f>IF(B2017=0,VLOOKUP(A2017,Feuil2!$A$2:$M$1241,12,FALSE)," ")</f>
        <v>#N/A</v>
      </c>
      <c r="G2017" s="1" t="e">
        <f>IF(B2017=0,VLOOKUP(A2017,Feuil2!$A$2:$M$1241,11,FALSE)," ")</f>
        <v>#N/A</v>
      </c>
      <c r="H2017" s="1" t="s">
        <v>16</v>
      </c>
      <c r="I2017" s="6" t="e">
        <f>IF(B2017=0,VLOOKUP(A2017,Feuil2!$A$2:$M$1241,7,FALSE)," ")</f>
        <v>#N/A</v>
      </c>
      <c r="J2017" s="1" t="e">
        <f>IF(B2017=0,VLOOKUP(A2017,Feuil2!$A$2:$M$1241,9,FALSE)," ")</f>
        <v>#N/A</v>
      </c>
      <c r="K2017" s="1" t="e">
        <f>IF(B2017=0,VLOOKUP(A2017,Feuil2!$A$2:$M$1241,10,FALSE)," ")</f>
        <v>#N/A</v>
      </c>
      <c r="L2017" s="1"/>
      <c r="M2017" s="1"/>
      <c r="N2017" s="1"/>
      <c r="O2017" s="8" t="e">
        <f>IF(B2017=0,VLOOKUP(A2017,Feuil2!$A$2:$M$1241,13,FALSE)," ")</f>
        <v>#N/A</v>
      </c>
    </row>
    <row r="2018" spans="1:15" x14ac:dyDescent="0.3">
      <c r="A2018" s="1"/>
      <c r="B2018" s="1"/>
      <c r="C2018" s="1" t="e">
        <f>IF(B2018=0,VLOOKUP(A2018,Feuil2!$A$2:$M$1241,2,FALSE)," ")</f>
        <v>#N/A</v>
      </c>
      <c r="D2018" s="1" t="e">
        <f>IF(B2018=0,VLOOKUP(A2018,Feuil2!$A$2:$M$1241,3,FALSE)," ")</f>
        <v>#N/A</v>
      </c>
      <c r="E2018" s="5" t="e">
        <f>IF(B2018=0,VLOOKUP(A2018,Feuil2!$A$2:$M$1241,6,FALSE)," ")</f>
        <v>#N/A</v>
      </c>
      <c r="F2018" s="1" t="e">
        <f>IF(B2018=0,VLOOKUP(A2018,Feuil2!$A$2:$M$1241,12,FALSE)," ")</f>
        <v>#N/A</v>
      </c>
      <c r="G2018" s="1" t="e">
        <f>IF(B2018=0,VLOOKUP(A2018,Feuil2!$A$2:$M$1241,11,FALSE)," ")</f>
        <v>#N/A</v>
      </c>
      <c r="H2018" s="1" t="s">
        <v>16</v>
      </c>
      <c r="I2018" s="6" t="e">
        <f>IF(B2018=0,VLOOKUP(A2018,Feuil2!$A$2:$M$1241,7,FALSE)," ")</f>
        <v>#N/A</v>
      </c>
      <c r="J2018" s="1" t="e">
        <f>IF(B2018=0,VLOOKUP(A2018,Feuil2!$A$2:$M$1241,9,FALSE)," ")</f>
        <v>#N/A</v>
      </c>
      <c r="K2018" s="1" t="e">
        <f>IF(B2018=0,VLOOKUP(A2018,Feuil2!$A$2:$M$1241,10,FALSE)," ")</f>
        <v>#N/A</v>
      </c>
      <c r="L2018" s="1"/>
      <c r="M2018" s="1"/>
      <c r="N2018" s="1"/>
      <c r="O2018" s="8" t="e">
        <f>IF(B2018=0,VLOOKUP(A2018,Feuil2!$A$2:$M$1241,13,FALSE)," ")</f>
        <v>#N/A</v>
      </c>
    </row>
    <row r="2019" spans="1:15" x14ac:dyDescent="0.3">
      <c r="A2019" s="1"/>
      <c r="B2019" s="1"/>
      <c r="C2019" s="1" t="e">
        <f>IF(B2019=0,VLOOKUP(A2019,Feuil2!$A$2:$M$1241,2,FALSE)," ")</f>
        <v>#N/A</v>
      </c>
      <c r="D2019" s="1" t="e">
        <f>IF(B2019=0,VLOOKUP(A2019,Feuil2!$A$2:$M$1241,3,FALSE)," ")</f>
        <v>#N/A</v>
      </c>
      <c r="E2019" s="5" t="e">
        <f>IF(B2019=0,VLOOKUP(A2019,Feuil2!$A$2:$M$1241,6,FALSE)," ")</f>
        <v>#N/A</v>
      </c>
      <c r="F2019" s="1" t="e">
        <f>IF(B2019=0,VLOOKUP(A2019,Feuil2!$A$2:$M$1241,12,FALSE)," ")</f>
        <v>#N/A</v>
      </c>
      <c r="G2019" s="1" t="e">
        <f>IF(B2019=0,VLOOKUP(A2019,Feuil2!$A$2:$M$1241,11,FALSE)," ")</f>
        <v>#N/A</v>
      </c>
      <c r="H2019" s="1" t="s">
        <v>16</v>
      </c>
      <c r="I2019" s="6" t="e">
        <f>IF(B2019=0,VLOOKUP(A2019,Feuil2!$A$2:$M$1241,7,FALSE)," ")</f>
        <v>#N/A</v>
      </c>
      <c r="J2019" s="1" t="e">
        <f>IF(B2019=0,VLOOKUP(A2019,Feuil2!$A$2:$M$1241,9,FALSE)," ")</f>
        <v>#N/A</v>
      </c>
      <c r="K2019" s="1" t="e">
        <f>IF(B2019=0,VLOOKUP(A2019,Feuil2!$A$2:$M$1241,10,FALSE)," ")</f>
        <v>#N/A</v>
      </c>
      <c r="L2019" s="1"/>
      <c r="M2019" s="1"/>
      <c r="N2019" s="1"/>
      <c r="O2019" s="8" t="e">
        <f>IF(B2019=0,VLOOKUP(A2019,Feuil2!$A$2:$M$1241,13,FALSE)," ")</f>
        <v>#N/A</v>
      </c>
    </row>
    <row r="2020" spans="1:15" x14ac:dyDescent="0.3">
      <c r="A2020" s="1"/>
      <c r="B2020" s="1"/>
      <c r="C2020" s="1" t="e">
        <f>IF(B2020=0,VLOOKUP(A2020,Feuil2!$A$2:$M$1241,2,FALSE)," ")</f>
        <v>#N/A</v>
      </c>
      <c r="D2020" s="1" t="e">
        <f>IF(B2020=0,VLOOKUP(A2020,Feuil2!$A$2:$M$1241,3,FALSE)," ")</f>
        <v>#N/A</v>
      </c>
      <c r="E2020" s="5" t="e">
        <f>IF(B2020=0,VLOOKUP(A2020,Feuil2!$A$2:$M$1241,6,FALSE)," ")</f>
        <v>#N/A</v>
      </c>
      <c r="F2020" s="1" t="e">
        <f>IF(B2020=0,VLOOKUP(A2020,Feuil2!$A$2:$M$1241,12,FALSE)," ")</f>
        <v>#N/A</v>
      </c>
      <c r="G2020" s="1" t="e">
        <f>IF(B2020=0,VLOOKUP(A2020,Feuil2!$A$2:$M$1241,11,FALSE)," ")</f>
        <v>#N/A</v>
      </c>
      <c r="H2020" s="1" t="s">
        <v>16</v>
      </c>
      <c r="I2020" s="6" t="e">
        <f>IF(B2020=0,VLOOKUP(A2020,Feuil2!$A$2:$M$1241,7,FALSE)," ")</f>
        <v>#N/A</v>
      </c>
      <c r="J2020" s="1" t="e">
        <f>IF(B2020=0,VLOOKUP(A2020,Feuil2!$A$2:$M$1241,9,FALSE)," ")</f>
        <v>#N/A</v>
      </c>
      <c r="K2020" s="1" t="e">
        <f>IF(B2020=0,VLOOKUP(A2020,Feuil2!$A$2:$M$1241,10,FALSE)," ")</f>
        <v>#N/A</v>
      </c>
      <c r="L2020" s="1"/>
      <c r="M2020" s="1"/>
      <c r="N2020" s="1"/>
      <c r="O2020" s="8" t="e">
        <f>IF(B2020=0,VLOOKUP(A2020,Feuil2!$A$2:$M$1241,13,FALSE)," ")</f>
        <v>#N/A</v>
      </c>
    </row>
    <row r="2021" spans="1:15" x14ac:dyDescent="0.3">
      <c r="A2021" s="1"/>
      <c r="B2021" s="1"/>
      <c r="C2021" s="1" t="e">
        <f>IF(B2021=0,VLOOKUP(A2021,Feuil2!$A$2:$M$1241,2,FALSE)," ")</f>
        <v>#N/A</v>
      </c>
      <c r="D2021" s="1" t="e">
        <f>IF(B2021=0,VLOOKUP(A2021,Feuil2!$A$2:$M$1241,3,FALSE)," ")</f>
        <v>#N/A</v>
      </c>
      <c r="E2021" s="5" t="e">
        <f>IF(B2021=0,VLOOKUP(A2021,Feuil2!$A$2:$M$1241,6,FALSE)," ")</f>
        <v>#N/A</v>
      </c>
      <c r="F2021" s="1" t="e">
        <f>IF(B2021=0,VLOOKUP(A2021,Feuil2!$A$2:$M$1241,12,FALSE)," ")</f>
        <v>#N/A</v>
      </c>
      <c r="G2021" s="1" t="e">
        <f>IF(B2021=0,VLOOKUP(A2021,Feuil2!$A$2:$M$1241,11,FALSE)," ")</f>
        <v>#N/A</v>
      </c>
      <c r="H2021" s="1" t="s">
        <v>16</v>
      </c>
      <c r="I2021" s="6" t="e">
        <f>IF(B2021=0,VLOOKUP(A2021,Feuil2!$A$2:$M$1241,7,FALSE)," ")</f>
        <v>#N/A</v>
      </c>
      <c r="J2021" s="1" t="e">
        <f>IF(B2021=0,VLOOKUP(A2021,Feuil2!$A$2:$M$1241,9,FALSE)," ")</f>
        <v>#N/A</v>
      </c>
      <c r="K2021" s="1" t="e">
        <f>IF(B2021=0,VLOOKUP(A2021,Feuil2!$A$2:$M$1241,10,FALSE)," ")</f>
        <v>#N/A</v>
      </c>
      <c r="L2021" s="1"/>
      <c r="M2021" s="1"/>
      <c r="N2021" s="1"/>
      <c r="O2021" s="8" t="e">
        <f>IF(B2021=0,VLOOKUP(A2021,Feuil2!$A$2:$M$1241,13,FALSE)," ")</f>
        <v>#N/A</v>
      </c>
    </row>
    <row r="2022" spans="1:15" x14ac:dyDescent="0.3">
      <c r="A2022" s="1"/>
      <c r="B2022" s="1"/>
      <c r="C2022" s="1" t="e">
        <f>IF(B2022=0,VLOOKUP(A2022,Feuil2!$A$2:$M$1241,2,FALSE)," ")</f>
        <v>#N/A</v>
      </c>
      <c r="D2022" s="1" t="e">
        <f>IF(B2022=0,VLOOKUP(A2022,Feuil2!$A$2:$M$1241,3,FALSE)," ")</f>
        <v>#N/A</v>
      </c>
      <c r="E2022" s="5" t="e">
        <f>IF(B2022=0,VLOOKUP(A2022,Feuil2!$A$2:$M$1241,6,FALSE)," ")</f>
        <v>#N/A</v>
      </c>
      <c r="F2022" s="1" t="e">
        <f>IF(B2022=0,VLOOKUP(A2022,Feuil2!$A$2:$M$1241,12,FALSE)," ")</f>
        <v>#N/A</v>
      </c>
      <c r="G2022" s="1" t="e">
        <f>IF(B2022=0,VLOOKUP(A2022,Feuil2!$A$2:$M$1241,11,FALSE)," ")</f>
        <v>#N/A</v>
      </c>
      <c r="H2022" s="1" t="s">
        <v>16</v>
      </c>
      <c r="I2022" s="6" t="e">
        <f>IF(B2022=0,VLOOKUP(A2022,Feuil2!$A$2:$M$1241,7,FALSE)," ")</f>
        <v>#N/A</v>
      </c>
      <c r="J2022" s="1" t="e">
        <f>IF(B2022=0,VLOOKUP(A2022,Feuil2!$A$2:$M$1241,9,FALSE)," ")</f>
        <v>#N/A</v>
      </c>
      <c r="K2022" s="1" t="e">
        <f>IF(B2022=0,VLOOKUP(A2022,Feuil2!$A$2:$M$1241,10,FALSE)," ")</f>
        <v>#N/A</v>
      </c>
      <c r="L2022" s="1"/>
      <c r="M2022" s="1"/>
      <c r="N2022" s="1"/>
      <c r="O2022" s="8" t="e">
        <f>IF(B2022=0,VLOOKUP(A2022,Feuil2!$A$2:$M$1241,13,FALSE)," ")</f>
        <v>#N/A</v>
      </c>
    </row>
    <row r="2023" spans="1:15" x14ac:dyDescent="0.3">
      <c r="A2023" s="1"/>
      <c r="B2023" s="1"/>
      <c r="C2023" s="1" t="e">
        <f>IF(B2023=0,VLOOKUP(A2023,Feuil2!$A$2:$M$1241,2,FALSE)," ")</f>
        <v>#N/A</v>
      </c>
      <c r="D2023" s="1" t="e">
        <f>IF(B2023=0,VLOOKUP(A2023,Feuil2!$A$2:$M$1241,3,FALSE)," ")</f>
        <v>#N/A</v>
      </c>
      <c r="E2023" s="5" t="e">
        <f>IF(B2023=0,VLOOKUP(A2023,Feuil2!$A$2:$M$1241,6,FALSE)," ")</f>
        <v>#N/A</v>
      </c>
      <c r="F2023" s="1" t="e">
        <f>IF(B2023=0,VLOOKUP(A2023,Feuil2!$A$2:$M$1241,12,FALSE)," ")</f>
        <v>#N/A</v>
      </c>
      <c r="G2023" s="1" t="e">
        <f>IF(B2023=0,VLOOKUP(A2023,Feuil2!$A$2:$M$1241,11,FALSE)," ")</f>
        <v>#N/A</v>
      </c>
      <c r="H2023" s="1" t="s">
        <v>16</v>
      </c>
      <c r="I2023" s="6" t="e">
        <f>IF(B2023=0,VLOOKUP(A2023,Feuil2!$A$2:$M$1241,7,FALSE)," ")</f>
        <v>#N/A</v>
      </c>
      <c r="J2023" s="1" t="e">
        <f>IF(B2023=0,VLOOKUP(A2023,Feuil2!$A$2:$M$1241,9,FALSE)," ")</f>
        <v>#N/A</v>
      </c>
      <c r="K2023" s="1" t="e">
        <f>IF(B2023=0,VLOOKUP(A2023,Feuil2!$A$2:$M$1241,10,FALSE)," ")</f>
        <v>#N/A</v>
      </c>
      <c r="L2023" s="1"/>
      <c r="M2023" s="1"/>
      <c r="N2023" s="1"/>
      <c r="O2023" s="8" t="e">
        <f>IF(B2023=0,VLOOKUP(A2023,Feuil2!$A$2:$M$1241,13,FALSE)," ")</f>
        <v>#N/A</v>
      </c>
    </row>
    <row r="2024" spans="1:15" x14ac:dyDescent="0.3">
      <c r="A2024" s="1"/>
      <c r="B2024" s="1"/>
      <c r="C2024" s="1" t="e">
        <f>IF(B2024=0,VLOOKUP(A2024,Feuil2!$A$2:$M$1241,2,FALSE)," ")</f>
        <v>#N/A</v>
      </c>
      <c r="D2024" s="1" t="e">
        <f>IF(B2024=0,VLOOKUP(A2024,Feuil2!$A$2:$M$1241,3,FALSE)," ")</f>
        <v>#N/A</v>
      </c>
      <c r="E2024" s="5" t="e">
        <f>IF(B2024=0,VLOOKUP(A2024,Feuil2!$A$2:$M$1241,6,FALSE)," ")</f>
        <v>#N/A</v>
      </c>
      <c r="F2024" s="1" t="e">
        <f>IF(B2024=0,VLOOKUP(A2024,Feuil2!$A$2:$M$1241,12,FALSE)," ")</f>
        <v>#N/A</v>
      </c>
      <c r="G2024" s="1" t="e">
        <f>IF(B2024=0,VLOOKUP(A2024,Feuil2!$A$2:$M$1241,11,FALSE)," ")</f>
        <v>#N/A</v>
      </c>
      <c r="H2024" s="1" t="s">
        <v>16</v>
      </c>
      <c r="I2024" s="6" t="e">
        <f>IF(B2024=0,VLOOKUP(A2024,Feuil2!$A$2:$M$1241,7,FALSE)," ")</f>
        <v>#N/A</v>
      </c>
      <c r="J2024" s="1" t="e">
        <f>IF(B2024=0,VLOOKUP(A2024,Feuil2!$A$2:$M$1241,9,FALSE)," ")</f>
        <v>#N/A</v>
      </c>
      <c r="K2024" s="1" t="e">
        <f>IF(B2024=0,VLOOKUP(A2024,Feuil2!$A$2:$M$1241,10,FALSE)," ")</f>
        <v>#N/A</v>
      </c>
      <c r="L2024" s="1"/>
      <c r="M2024" s="1"/>
      <c r="N2024" s="1"/>
      <c r="O2024" s="8" t="e">
        <f>IF(B2024=0,VLOOKUP(A2024,Feuil2!$A$2:$M$1241,13,FALSE)," ")</f>
        <v>#N/A</v>
      </c>
    </row>
    <row r="2025" spans="1:15" x14ac:dyDescent="0.3">
      <c r="A2025" s="1"/>
      <c r="B2025" s="1"/>
      <c r="C2025" s="1" t="e">
        <f>IF(B2025=0,VLOOKUP(A2025,Feuil2!$A$2:$M$1241,2,FALSE)," ")</f>
        <v>#N/A</v>
      </c>
      <c r="D2025" s="1" t="e">
        <f>IF(B2025=0,VLOOKUP(A2025,Feuil2!$A$2:$M$1241,3,FALSE)," ")</f>
        <v>#N/A</v>
      </c>
      <c r="E2025" s="5" t="e">
        <f>IF(B2025=0,VLOOKUP(A2025,Feuil2!$A$2:$M$1241,6,FALSE)," ")</f>
        <v>#N/A</v>
      </c>
      <c r="F2025" s="1" t="e">
        <f>IF(B2025=0,VLOOKUP(A2025,Feuil2!$A$2:$M$1241,12,FALSE)," ")</f>
        <v>#N/A</v>
      </c>
      <c r="G2025" s="1" t="e">
        <f>IF(B2025=0,VLOOKUP(A2025,Feuil2!$A$2:$M$1241,11,FALSE)," ")</f>
        <v>#N/A</v>
      </c>
      <c r="H2025" s="1" t="s">
        <v>16</v>
      </c>
      <c r="I2025" s="6" t="e">
        <f>IF(B2025=0,VLOOKUP(A2025,Feuil2!$A$2:$M$1241,7,FALSE)," ")</f>
        <v>#N/A</v>
      </c>
      <c r="J2025" s="1" t="e">
        <f>IF(B2025=0,VLOOKUP(A2025,Feuil2!$A$2:$M$1241,9,FALSE)," ")</f>
        <v>#N/A</v>
      </c>
      <c r="K2025" s="1" t="e">
        <f>IF(B2025=0,VLOOKUP(A2025,Feuil2!$A$2:$M$1241,10,FALSE)," ")</f>
        <v>#N/A</v>
      </c>
      <c r="L2025" s="1"/>
      <c r="M2025" s="1"/>
      <c r="N2025" s="1"/>
      <c r="O2025" s="8" t="e">
        <f>IF(B2025=0,VLOOKUP(A2025,Feuil2!$A$2:$M$1241,13,FALSE)," ")</f>
        <v>#N/A</v>
      </c>
    </row>
    <row r="2026" spans="1:15" x14ac:dyDescent="0.3">
      <c r="A2026" s="1"/>
      <c r="B2026" s="1"/>
      <c r="C2026" s="1" t="e">
        <f>IF(B2026=0,VLOOKUP(A2026,Feuil2!$A$2:$M$1241,2,FALSE)," ")</f>
        <v>#N/A</v>
      </c>
      <c r="D2026" s="1" t="e">
        <f>IF(B2026=0,VLOOKUP(A2026,Feuil2!$A$2:$M$1241,3,FALSE)," ")</f>
        <v>#N/A</v>
      </c>
      <c r="E2026" s="5" t="e">
        <f>IF(B2026=0,VLOOKUP(A2026,Feuil2!$A$2:$M$1241,6,FALSE)," ")</f>
        <v>#N/A</v>
      </c>
      <c r="F2026" s="1" t="e">
        <f>IF(B2026=0,VLOOKUP(A2026,Feuil2!$A$2:$M$1241,12,FALSE)," ")</f>
        <v>#N/A</v>
      </c>
      <c r="G2026" s="1" t="e">
        <f>IF(B2026=0,VLOOKUP(A2026,Feuil2!$A$2:$M$1241,11,FALSE)," ")</f>
        <v>#N/A</v>
      </c>
      <c r="H2026" s="1" t="s">
        <v>16</v>
      </c>
      <c r="I2026" s="6" t="e">
        <f>IF(B2026=0,VLOOKUP(A2026,Feuil2!$A$2:$M$1241,7,FALSE)," ")</f>
        <v>#N/A</v>
      </c>
      <c r="J2026" s="1" t="e">
        <f>IF(B2026=0,VLOOKUP(A2026,Feuil2!$A$2:$M$1241,9,FALSE)," ")</f>
        <v>#N/A</v>
      </c>
      <c r="K2026" s="1" t="e">
        <f>IF(B2026=0,VLOOKUP(A2026,Feuil2!$A$2:$M$1241,10,FALSE)," ")</f>
        <v>#N/A</v>
      </c>
      <c r="L2026" s="1"/>
      <c r="M2026" s="1"/>
      <c r="N2026" s="1"/>
      <c r="O2026" s="8" t="e">
        <f>IF(B2026=0,VLOOKUP(A2026,Feuil2!$A$2:$M$1241,13,FALSE)," ")</f>
        <v>#N/A</v>
      </c>
    </row>
    <row r="2027" spans="1:15" x14ac:dyDescent="0.3">
      <c r="A2027" s="1"/>
      <c r="B2027" s="1"/>
      <c r="C2027" s="1" t="e">
        <f>IF(B2027=0,VLOOKUP(A2027,Feuil2!$A$2:$M$1241,2,FALSE)," ")</f>
        <v>#N/A</v>
      </c>
      <c r="D2027" s="1" t="e">
        <f>IF(B2027=0,VLOOKUP(A2027,Feuil2!$A$2:$M$1241,3,FALSE)," ")</f>
        <v>#N/A</v>
      </c>
      <c r="E2027" s="5" t="e">
        <f>IF(B2027=0,VLOOKUP(A2027,Feuil2!$A$2:$M$1241,6,FALSE)," ")</f>
        <v>#N/A</v>
      </c>
      <c r="F2027" s="1" t="e">
        <f>IF(B2027=0,VLOOKUP(A2027,Feuil2!$A$2:$M$1241,12,FALSE)," ")</f>
        <v>#N/A</v>
      </c>
      <c r="G2027" s="1" t="e">
        <f>IF(B2027=0,VLOOKUP(A2027,Feuil2!$A$2:$M$1241,11,FALSE)," ")</f>
        <v>#N/A</v>
      </c>
      <c r="H2027" s="1" t="s">
        <v>16</v>
      </c>
      <c r="I2027" s="6" t="e">
        <f>IF(B2027=0,VLOOKUP(A2027,Feuil2!$A$2:$M$1241,7,FALSE)," ")</f>
        <v>#N/A</v>
      </c>
      <c r="J2027" s="1" t="e">
        <f>IF(B2027=0,VLOOKUP(A2027,Feuil2!$A$2:$M$1241,9,FALSE)," ")</f>
        <v>#N/A</v>
      </c>
      <c r="K2027" s="1" t="e">
        <f>IF(B2027=0,VLOOKUP(A2027,Feuil2!$A$2:$M$1241,10,FALSE)," ")</f>
        <v>#N/A</v>
      </c>
      <c r="L2027" s="1"/>
      <c r="M2027" s="1"/>
      <c r="N2027" s="1"/>
      <c r="O2027" s="8" t="e">
        <f>IF(B2027=0,VLOOKUP(A2027,Feuil2!$A$2:$M$1241,13,FALSE)," ")</f>
        <v>#N/A</v>
      </c>
    </row>
    <row r="2028" spans="1:15" x14ac:dyDescent="0.3">
      <c r="A2028" s="1"/>
      <c r="B2028" s="1"/>
      <c r="C2028" s="1" t="e">
        <f>IF(B2028=0,VLOOKUP(A2028,Feuil2!$A$2:$M$1241,2,FALSE)," ")</f>
        <v>#N/A</v>
      </c>
      <c r="D2028" s="1" t="e">
        <f>IF(B2028=0,VLOOKUP(A2028,Feuil2!$A$2:$M$1241,3,FALSE)," ")</f>
        <v>#N/A</v>
      </c>
      <c r="E2028" s="5" t="e">
        <f>IF(B2028=0,VLOOKUP(A2028,Feuil2!$A$2:$M$1241,6,FALSE)," ")</f>
        <v>#N/A</v>
      </c>
      <c r="F2028" s="1" t="e">
        <f>IF(B2028=0,VLOOKUP(A2028,Feuil2!$A$2:$M$1241,12,FALSE)," ")</f>
        <v>#N/A</v>
      </c>
      <c r="G2028" s="1" t="e">
        <f>IF(B2028=0,VLOOKUP(A2028,Feuil2!$A$2:$M$1241,11,FALSE)," ")</f>
        <v>#N/A</v>
      </c>
      <c r="H2028" s="1" t="s">
        <v>16</v>
      </c>
      <c r="I2028" s="6" t="e">
        <f>IF(B2028=0,VLOOKUP(A2028,Feuil2!$A$2:$M$1241,7,FALSE)," ")</f>
        <v>#N/A</v>
      </c>
      <c r="J2028" s="1" t="e">
        <f>IF(B2028=0,VLOOKUP(A2028,Feuil2!$A$2:$M$1241,9,FALSE)," ")</f>
        <v>#N/A</v>
      </c>
      <c r="K2028" s="1" t="e">
        <f>IF(B2028=0,VLOOKUP(A2028,Feuil2!$A$2:$M$1241,10,FALSE)," ")</f>
        <v>#N/A</v>
      </c>
      <c r="L2028" s="1"/>
      <c r="M2028" s="1"/>
      <c r="N2028" s="1"/>
      <c r="O2028" s="8" t="e">
        <f>IF(B2028=0,VLOOKUP(A2028,Feuil2!$A$2:$M$1241,13,FALSE)," ")</f>
        <v>#N/A</v>
      </c>
    </row>
    <row r="2029" spans="1:15" x14ac:dyDescent="0.3">
      <c r="A2029" s="1"/>
      <c r="B2029" s="1"/>
      <c r="C2029" s="1" t="e">
        <f>IF(B2029=0,VLOOKUP(A2029,Feuil2!$A$2:$M$1241,2,FALSE)," ")</f>
        <v>#N/A</v>
      </c>
      <c r="D2029" s="1" t="e">
        <f>IF(B2029=0,VLOOKUP(A2029,Feuil2!$A$2:$M$1241,3,FALSE)," ")</f>
        <v>#N/A</v>
      </c>
      <c r="E2029" s="5" t="e">
        <f>IF(B2029=0,VLOOKUP(A2029,Feuil2!$A$2:$M$1241,6,FALSE)," ")</f>
        <v>#N/A</v>
      </c>
      <c r="F2029" s="1" t="e">
        <f>IF(B2029=0,VLOOKUP(A2029,Feuil2!$A$2:$M$1241,12,FALSE)," ")</f>
        <v>#N/A</v>
      </c>
      <c r="G2029" s="1" t="e">
        <f>IF(B2029=0,VLOOKUP(A2029,Feuil2!$A$2:$M$1241,11,FALSE)," ")</f>
        <v>#N/A</v>
      </c>
      <c r="H2029" s="1" t="s">
        <v>16</v>
      </c>
      <c r="I2029" s="6" t="e">
        <f>IF(B2029=0,VLOOKUP(A2029,Feuil2!$A$2:$M$1241,7,FALSE)," ")</f>
        <v>#N/A</v>
      </c>
      <c r="J2029" s="1" t="e">
        <f>IF(B2029=0,VLOOKUP(A2029,Feuil2!$A$2:$M$1241,9,FALSE)," ")</f>
        <v>#N/A</v>
      </c>
      <c r="K2029" s="1" t="e">
        <f>IF(B2029=0,VLOOKUP(A2029,Feuil2!$A$2:$M$1241,10,FALSE)," ")</f>
        <v>#N/A</v>
      </c>
      <c r="L2029" s="1"/>
      <c r="M2029" s="1"/>
      <c r="N2029" s="1"/>
      <c r="O2029" s="8" t="e">
        <f>IF(B2029=0,VLOOKUP(A2029,Feuil2!$A$2:$M$1241,13,FALSE)," ")</f>
        <v>#N/A</v>
      </c>
    </row>
    <row r="2030" spans="1:15" x14ac:dyDescent="0.3">
      <c r="A2030" s="1"/>
      <c r="B2030" s="1"/>
      <c r="C2030" s="1" t="e">
        <f>IF(B2030=0,VLOOKUP(A2030,Feuil2!$A$2:$M$1241,2,FALSE)," ")</f>
        <v>#N/A</v>
      </c>
      <c r="D2030" s="1" t="e">
        <f>IF(B2030=0,VLOOKUP(A2030,Feuil2!$A$2:$M$1241,3,FALSE)," ")</f>
        <v>#N/A</v>
      </c>
      <c r="E2030" s="5" t="e">
        <f>IF(B2030=0,VLOOKUP(A2030,Feuil2!$A$2:$M$1241,6,FALSE)," ")</f>
        <v>#N/A</v>
      </c>
      <c r="F2030" s="1" t="e">
        <f>IF(B2030=0,VLOOKUP(A2030,Feuil2!$A$2:$M$1241,12,FALSE)," ")</f>
        <v>#N/A</v>
      </c>
      <c r="G2030" s="1" t="e">
        <f>IF(B2030=0,VLOOKUP(A2030,Feuil2!$A$2:$M$1241,11,FALSE)," ")</f>
        <v>#N/A</v>
      </c>
      <c r="H2030" s="1" t="s">
        <v>16</v>
      </c>
      <c r="I2030" s="6" t="e">
        <f>IF(B2030=0,VLOOKUP(A2030,Feuil2!$A$2:$M$1241,7,FALSE)," ")</f>
        <v>#N/A</v>
      </c>
      <c r="J2030" s="1" t="e">
        <f>IF(B2030=0,VLOOKUP(A2030,Feuil2!$A$2:$M$1241,9,FALSE)," ")</f>
        <v>#N/A</v>
      </c>
      <c r="K2030" s="1" t="e">
        <f>IF(B2030=0,VLOOKUP(A2030,Feuil2!$A$2:$M$1241,10,FALSE)," ")</f>
        <v>#N/A</v>
      </c>
      <c r="L2030" s="1"/>
      <c r="M2030" s="1"/>
      <c r="N2030" s="1"/>
      <c r="O2030" s="8" t="e">
        <f>IF(B2030=0,VLOOKUP(A2030,Feuil2!$A$2:$M$1241,13,FALSE)," ")</f>
        <v>#N/A</v>
      </c>
    </row>
    <row r="2031" spans="1:15" x14ac:dyDescent="0.3">
      <c r="A2031" s="1"/>
      <c r="B2031" s="1"/>
      <c r="C2031" s="1" t="e">
        <f>IF(B2031=0,VLOOKUP(A2031,Feuil2!$A$2:$M$1241,2,FALSE)," ")</f>
        <v>#N/A</v>
      </c>
      <c r="D2031" s="1" t="e">
        <f>IF(B2031=0,VLOOKUP(A2031,Feuil2!$A$2:$M$1241,3,FALSE)," ")</f>
        <v>#N/A</v>
      </c>
      <c r="E2031" s="5" t="e">
        <f>IF(B2031=0,VLOOKUP(A2031,Feuil2!$A$2:$M$1241,6,FALSE)," ")</f>
        <v>#N/A</v>
      </c>
      <c r="F2031" s="1" t="e">
        <f>IF(B2031=0,VLOOKUP(A2031,Feuil2!$A$2:$M$1241,12,FALSE)," ")</f>
        <v>#N/A</v>
      </c>
      <c r="G2031" s="1" t="e">
        <f>IF(B2031=0,VLOOKUP(A2031,Feuil2!$A$2:$M$1241,11,FALSE)," ")</f>
        <v>#N/A</v>
      </c>
      <c r="H2031" s="1" t="s">
        <v>16</v>
      </c>
      <c r="I2031" s="6" t="e">
        <f>IF(B2031=0,VLOOKUP(A2031,Feuil2!$A$2:$M$1241,7,FALSE)," ")</f>
        <v>#N/A</v>
      </c>
      <c r="J2031" s="1" t="e">
        <f>IF(B2031=0,VLOOKUP(A2031,Feuil2!$A$2:$M$1241,9,FALSE)," ")</f>
        <v>#N/A</v>
      </c>
      <c r="K2031" s="1" t="e">
        <f>IF(B2031=0,VLOOKUP(A2031,Feuil2!$A$2:$M$1241,10,FALSE)," ")</f>
        <v>#N/A</v>
      </c>
      <c r="L2031" s="1"/>
      <c r="M2031" s="1"/>
      <c r="N2031" s="1"/>
      <c r="O2031" s="8" t="e">
        <f>IF(B2031=0,VLOOKUP(A2031,Feuil2!$A$2:$M$1241,13,FALSE)," ")</f>
        <v>#N/A</v>
      </c>
    </row>
    <row r="2032" spans="1:15" x14ac:dyDescent="0.3">
      <c r="A2032" s="1"/>
      <c r="B2032" s="1"/>
      <c r="C2032" s="1" t="e">
        <f>IF(B2032=0,VLOOKUP(A2032,Feuil2!$A$2:$M$1241,2,FALSE)," ")</f>
        <v>#N/A</v>
      </c>
      <c r="D2032" s="1" t="e">
        <f>IF(B2032=0,VLOOKUP(A2032,Feuil2!$A$2:$M$1241,3,FALSE)," ")</f>
        <v>#N/A</v>
      </c>
      <c r="E2032" s="5" t="e">
        <f>IF(B2032=0,VLOOKUP(A2032,Feuil2!$A$2:$M$1241,6,FALSE)," ")</f>
        <v>#N/A</v>
      </c>
      <c r="F2032" s="1" t="e">
        <f>IF(B2032=0,VLOOKUP(A2032,Feuil2!$A$2:$M$1241,12,FALSE)," ")</f>
        <v>#N/A</v>
      </c>
      <c r="G2032" s="1" t="e">
        <f>IF(B2032=0,VLOOKUP(A2032,Feuil2!$A$2:$M$1241,11,FALSE)," ")</f>
        <v>#N/A</v>
      </c>
      <c r="H2032" s="1" t="s">
        <v>16</v>
      </c>
      <c r="I2032" s="6" t="e">
        <f>IF(B2032=0,VLOOKUP(A2032,Feuil2!$A$2:$M$1241,7,FALSE)," ")</f>
        <v>#N/A</v>
      </c>
      <c r="J2032" s="1" t="e">
        <f>IF(B2032=0,VLOOKUP(A2032,Feuil2!$A$2:$M$1241,9,FALSE)," ")</f>
        <v>#N/A</v>
      </c>
      <c r="K2032" s="1" t="e">
        <f>IF(B2032=0,VLOOKUP(A2032,Feuil2!$A$2:$M$1241,10,FALSE)," ")</f>
        <v>#N/A</v>
      </c>
      <c r="L2032" s="1"/>
      <c r="M2032" s="1"/>
      <c r="N2032" s="1"/>
      <c r="O2032" s="8" t="e">
        <f>IF(B2032=0,VLOOKUP(A2032,Feuil2!$A$2:$M$1241,13,FALSE)," ")</f>
        <v>#N/A</v>
      </c>
    </row>
    <row r="2033" spans="1:15" x14ac:dyDescent="0.3">
      <c r="A2033" s="1"/>
      <c r="B2033" s="1"/>
      <c r="C2033" s="1" t="e">
        <f>IF(B2033=0,VLOOKUP(A2033,Feuil2!$A$2:$M$1241,2,FALSE)," ")</f>
        <v>#N/A</v>
      </c>
      <c r="D2033" s="1" t="e">
        <f>IF(B2033=0,VLOOKUP(A2033,Feuil2!$A$2:$M$1241,3,FALSE)," ")</f>
        <v>#N/A</v>
      </c>
      <c r="E2033" s="5" t="e">
        <f>IF(B2033=0,VLOOKUP(A2033,Feuil2!$A$2:$M$1241,6,FALSE)," ")</f>
        <v>#N/A</v>
      </c>
      <c r="F2033" s="1" t="e">
        <f>IF(B2033=0,VLOOKUP(A2033,Feuil2!$A$2:$M$1241,12,FALSE)," ")</f>
        <v>#N/A</v>
      </c>
      <c r="G2033" s="1" t="e">
        <f>IF(B2033=0,VLOOKUP(A2033,Feuil2!$A$2:$M$1241,11,FALSE)," ")</f>
        <v>#N/A</v>
      </c>
      <c r="H2033" s="1" t="s">
        <v>16</v>
      </c>
      <c r="I2033" s="6" t="e">
        <f>IF(B2033=0,VLOOKUP(A2033,Feuil2!$A$2:$M$1241,7,FALSE)," ")</f>
        <v>#N/A</v>
      </c>
      <c r="J2033" s="1" t="e">
        <f>IF(B2033=0,VLOOKUP(A2033,Feuil2!$A$2:$M$1241,9,FALSE)," ")</f>
        <v>#N/A</v>
      </c>
      <c r="K2033" s="1" t="e">
        <f>IF(B2033=0,VLOOKUP(A2033,Feuil2!$A$2:$M$1241,10,FALSE)," ")</f>
        <v>#N/A</v>
      </c>
      <c r="L2033" s="1"/>
      <c r="M2033" s="1"/>
      <c r="N2033" s="1"/>
      <c r="O2033" s="8" t="e">
        <f>IF(B2033=0,VLOOKUP(A2033,Feuil2!$A$2:$M$1241,13,FALSE)," ")</f>
        <v>#N/A</v>
      </c>
    </row>
    <row r="2034" spans="1:15" x14ac:dyDescent="0.3">
      <c r="A2034" s="1"/>
      <c r="B2034" s="1"/>
      <c r="C2034" s="1" t="e">
        <f>IF(B2034=0,VLOOKUP(A2034,Feuil2!$A$2:$M$1241,2,FALSE)," ")</f>
        <v>#N/A</v>
      </c>
      <c r="D2034" s="1" t="e">
        <f>IF(B2034=0,VLOOKUP(A2034,Feuil2!$A$2:$M$1241,3,FALSE)," ")</f>
        <v>#N/A</v>
      </c>
      <c r="E2034" s="5" t="e">
        <f>IF(B2034=0,VLOOKUP(A2034,Feuil2!$A$2:$M$1241,6,FALSE)," ")</f>
        <v>#N/A</v>
      </c>
      <c r="F2034" s="1" t="e">
        <f>IF(B2034=0,VLOOKUP(A2034,Feuil2!$A$2:$M$1241,12,FALSE)," ")</f>
        <v>#N/A</v>
      </c>
      <c r="G2034" s="1" t="e">
        <f>IF(B2034=0,VLOOKUP(A2034,Feuil2!$A$2:$M$1241,11,FALSE)," ")</f>
        <v>#N/A</v>
      </c>
      <c r="H2034" s="1" t="s">
        <v>16</v>
      </c>
      <c r="I2034" s="6" t="e">
        <f>IF(B2034=0,VLOOKUP(A2034,Feuil2!$A$2:$M$1241,7,FALSE)," ")</f>
        <v>#N/A</v>
      </c>
      <c r="J2034" s="1" t="e">
        <f>IF(B2034=0,VLOOKUP(A2034,Feuil2!$A$2:$M$1241,9,FALSE)," ")</f>
        <v>#N/A</v>
      </c>
      <c r="K2034" s="1" t="e">
        <f>IF(B2034=0,VLOOKUP(A2034,Feuil2!$A$2:$M$1241,10,FALSE)," ")</f>
        <v>#N/A</v>
      </c>
      <c r="L2034" s="1"/>
      <c r="M2034" s="1"/>
      <c r="N2034" s="1"/>
      <c r="O2034" s="8" t="e">
        <f>IF(B2034=0,VLOOKUP(A2034,Feuil2!$A$2:$M$1241,13,FALSE)," ")</f>
        <v>#N/A</v>
      </c>
    </row>
    <row r="2035" spans="1:15" x14ac:dyDescent="0.3">
      <c r="A2035" s="1"/>
      <c r="B2035" s="1"/>
      <c r="C2035" s="1" t="e">
        <f>IF(B2035=0,VLOOKUP(A2035,Feuil2!$A$2:$M$1241,2,FALSE)," ")</f>
        <v>#N/A</v>
      </c>
      <c r="D2035" s="1" t="e">
        <f>IF(B2035=0,VLOOKUP(A2035,Feuil2!$A$2:$M$1241,3,FALSE)," ")</f>
        <v>#N/A</v>
      </c>
      <c r="E2035" s="5" t="e">
        <f>IF(B2035=0,VLOOKUP(A2035,Feuil2!$A$2:$M$1241,6,FALSE)," ")</f>
        <v>#N/A</v>
      </c>
      <c r="F2035" s="1" t="e">
        <f>IF(B2035=0,VLOOKUP(A2035,Feuil2!$A$2:$M$1241,12,FALSE)," ")</f>
        <v>#N/A</v>
      </c>
      <c r="G2035" s="1" t="e">
        <f>IF(B2035=0,VLOOKUP(A2035,Feuil2!$A$2:$M$1241,11,FALSE)," ")</f>
        <v>#N/A</v>
      </c>
      <c r="H2035" s="1" t="s">
        <v>16</v>
      </c>
      <c r="I2035" s="6" t="e">
        <f>IF(B2035=0,VLOOKUP(A2035,Feuil2!$A$2:$M$1241,7,FALSE)," ")</f>
        <v>#N/A</v>
      </c>
      <c r="J2035" s="1" t="e">
        <f>IF(B2035=0,VLOOKUP(A2035,Feuil2!$A$2:$M$1241,9,FALSE)," ")</f>
        <v>#N/A</v>
      </c>
      <c r="K2035" s="1" t="e">
        <f>IF(B2035=0,VLOOKUP(A2035,Feuil2!$A$2:$M$1241,10,FALSE)," ")</f>
        <v>#N/A</v>
      </c>
      <c r="L2035" s="1"/>
      <c r="M2035" s="1"/>
      <c r="N2035" s="1"/>
      <c r="O2035" s="8" t="e">
        <f>IF(B2035=0,VLOOKUP(A2035,Feuil2!$A$2:$M$1241,13,FALSE)," ")</f>
        <v>#N/A</v>
      </c>
    </row>
    <row r="2036" spans="1:15" x14ac:dyDescent="0.3">
      <c r="A2036" s="1"/>
      <c r="B2036" s="1"/>
      <c r="C2036" s="1" t="e">
        <f>IF(B2036=0,VLOOKUP(A2036,Feuil2!$A$2:$M$1241,2,FALSE)," ")</f>
        <v>#N/A</v>
      </c>
      <c r="D2036" s="1" t="e">
        <f>IF(B2036=0,VLOOKUP(A2036,Feuil2!$A$2:$M$1241,3,FALSE)," ")</f>
        <v>#N/A</v>
      </c>
      <c r="E2036" s="5" t="e">
        <f>IF(B2036=0,VLOOKUP(A2036,Feuil2!$A$2:$M$1241,6,FALSE)," ")</f>
        <v>#N/A</v>
      </c>
      <c r="F2036" s="1" t="e">
        <f>IF(B2036=0,VLOOKUP(A2036,Feuil2!$A$2:$M$1241,12,FALSE)," ")</f>
        <v>#N/A</v>
      </c>
      <c r="G2036" s="1" t="e">
        <f>IF(B2036=0,VLOOKUP(A2036,Feuil2!$A$2:$M$1241,11,FALSE)," ")</f>
        <v>#N/A</v>
      </c>
      <c r="H2036" s="1" t="s">
        <v>16</v>
      </c>
      <c r="I2036" s="6" t="e">
        <f>IF(B2036=0,VLOOKUP(A2036,Feuil2!$A$2:$M$1241,7,FALSE)," ")</f>
        <v>#N/A</v>
      </c>
      <c r="J2036" s="1" t="e">
        <f>IF(B2036=0,VLOOKUP(A2036,Feuil2!$A$2:$M$1241,9,FALSE)," ")</f>
        <v>#N/A</v>
      </c>
      <c r="K2036" s="1" t="e">
        <f>IF(B2036=0,VLOOKUP(A2036,Feuil2!$A$2:$M$1241,10,FALSE)," ")</f>
        <v>#N/A</v>
      </c>
      <c r="L2036" s="1"/>
      <c r="M2036" s="1"/>
      <c r="N2036" s="1"/>
      <c r="O2036" s="8" t="e">
        <f>IF(B2036=0,VLOOKUP(A2036,Feuil2!$A$2:$M$1241,13,FALSE)," ")</f>
        <v>#N/A</v>
      </c>
    </row>
    <row r="2037" spans="1:15" x14ac:dyDescent="0.3">
      <c r="A2037" s="1"/>
      <c r="B2037" s="1"/>
      <c r="C2037" s="1" t="e">
        <f>IF(B2037=0,VLOOKUP(A2037,Feuil2!$A$2:$M$1241,2,FALSE)," ")</f>
        <v>#N/A</v>
      </c>
      <c r="D2037" s="1" t="e">
        <f>IF(B2037=0,VLOOKUP(A2037,Feuil2!$A$2:$M$1241,3,FALSE)," ")</f>
        <v>#N/A</v>
      </c>
      <c r="E2037" s="5" t="e">
        <f>IF(B2037=0,VLOOKUP(A2037,Feuil2!$A$2:$M$1241,6,FALSE)," ")</f>
        <v>#N/A</v>
      </c>
      <c r="F2037" s="1" t="e">
        <f>IF(B2037=0,VLOOKUP(A2037,Feuil2!$A$2:$M$1241,12,FALSE)," ")</f>
        <v>#N/A</v>
      </c>
      <c r="G2037" s="1" t="e">
        <f>IF(B2037=0,VLOOKUP(A2037,Feuil2!$A$2:$M$1241,11,FALSE)," ")</f>
        <v>#N/A</v>
      </c>
      <c r="H2037" s="1" t="s">
        <v>16</v>
      </c>
      <c r="I2037" s="6" t="e">
        <f>IF(B2037=0,VLOOKUP(A2037,Feuil2!$A$2:$M$1241,7,FALSE)," ")</f>
        <v>#N/A</v>
      </c>
      <c r="J2037" s="1" t="e">
        <f>IF(B2037=0,VLOOKUP(A2037,Feuil2!$A$2:$M$1241,9,FALSE)," ")</f>
        <v>#N/A</v>
      </c>
      <c r="K2037" s="1" t="e">
        <f>IF(B2037=0,VLOOKUP(A2037,Feuil2!$A$2:$M$1241,10,FALSE)," ")</f>
        <v>#N/A</v>
      </c>
      <c r="L2037" s="1"/>
      <c r="M2037" s="1"/>
      <c r="N2037" s="1"/>
      <c r="O2037" s="8" t="e">
        <f>IF(B2037=0,VLOOKUP(A2037,Feuil2!$A$2:$M$1241,13,FALSE)," ")</f>
        <v>#N/A</v>
      </c>
    </row>
    <row r="2038" spans="1:15" x14ac:dyDescent="0.3">
      <c r="A2038" s="1"/>
      <c r="B2038" s="1"/>
      <c r="C2038" s="1" t="e">
        <f>IF(B2038=0,VLOOKUP(A2038,Feuil2!$A$2:$M$1241,2,FALSE)," ")</f>
        <v>#N/A</v>
      </c>
      <c r="D2038" s="1" t="e">
        <f>IF(B2038=0,VLOOKUP(A2038,Feuil2!$A$2:$M$1241,3,FALSE)," ")</f>
        <v>#N/A</v>
      </c>
      <c r="E2038" s="5" t="e">
        <f>IF(B2038=0,VLOOKUP(A2038,Feuil2!$A$2:$M$1241,6,FALSE)," ")</f>
        <v>#N/A</v>
      </c>
      <c r="F2038" s="1" t="e">
        <f>IF(B2038=0,VLOOKUP(A2038,Feuil2!$A$2:$M$1241,12,FALSE)," ")</f>
        <v>#N/A</v>
      </c>
      <c r="G2038" s="1" t="e">
        <f>IF(B2038=0,VLOOKUP(A2038,Feuil2!$A$2:$M$1241,11,FALSE)," ")</f>
        <v>#N/A</v>
      </c>
      <c r="H2038" s="1" t="s">
        <v>16</v>
      </c>
      <c r="I2038" s="6" t="e">
        <f>IF(B2038=0,VLOOKUP(A2038,Feuil2!$A$2:$M$1241,7,FALSE)," ")</f>
        <v>#N/A</v>
      </c>
      <c r="J2038" s="1" t="e">
        <f>IF(B2038=0,VLOOKUP(A2038,Feuil2!$A$2:$M$1241,9,FALSE)," ")</f>
        <v>#N/A</v>
      </c>
      <c r="K2038" s="1" t="e">
        <f>IF(B2038=0,VLOOKUP(A2038,Feuil2!$A$2:$M$1241,10,FALSE)," ")</f>
        <v>#N/A</v>
      </c>
      <c r="L2038" s="1"/>
      <c r="M2038" s="1"/>
      <c r="N2038" s="1"/>
      <c r="O2038" s="8" t="e">
        <f>IF(B2038=0,VLOOKUP(A2038,Feuil2!$A$2:$M$1241,13,FALSE)," ")</f>
        <v>#N/A</v>
      </c>
    </row>
    <row r="2039" spans="1:15" x14ac:dyDescent="0.3">
      <c r="A2039" s="1"/>
      <c r="B2039" s="1"/>
      <c r="C2039" s="1" t="e">
        <f>IF(B2039=0,VLOOKUP(A2039,Feuil2!$A$2:$M$1241,2,FALSE)," ")</f>
        <v>#N/A</v>
      </c>
      <c r="D2039" s="1" t="e">
        <f>IF(B2039=0,VLOOKUP(A2039,Feuil2!$A$2:$M$1241,3,FALSE)," ")</f>
        <v>#N/A</v>
      </c>
      <c r="E2039" s="5" t="e">
        <f>IF(B2039=0,VLOOKUP(A2039,Feuil2!$A$2:$M$1241,6,FALSE)," ")</f>
        <v>#N/A</v>
      </c>
      <c r="F2039" s="1" t="e">
        <f>IF(B2039=0,VLOOKUP(A2039,Feuil2!$A$2:$M$1241,12,FALSE)," ")</f>
        <v>#N/A</v>
      </c>
      <c r="G2039" s="1" t="e">
        <f>IF(B2039=0,VLOOKUP(A2039,Feuil2!$A$2:$M$1241,11,FALSE)," ")</f>
        <v>#N/A</v>
      </c>
      <c r="H2039" s="1" t="s">
        <v>16</v>
      </c>
      <c r="I2039" s="6" t="e">
        <f>IF(B2039=0,VLOOKUP(A2039,Feuil2!$A$2:$M$1241,7,FALSE)," ")</f>
        <v>#N/A</v>
      </c>
      <c r="J2039" s="1" t="e">
        <f>IF(B2039=0,VLOOKUP(A2039,Feuil2!$A$2:$M$1241,9,FALSE)," ")</f>
        <v>#N/A</v>
      </c>
      <c r="K2039" s="1" t="e">
        <f>IF(B2039=0,VLOOKUP(A2039,Feuil2!$A$2:$M$1241,10,FALSE)," ")</f>
        <v>#N/A</v>
      </c>
      <c r="L2039" s="1"/>
      <c r="M2039" s="1"/>
      <c r="N2039" s="1"/>
      <c r="O2039" s="8" t="e">
        <f>IF(B2039=0,VLOOKUP(A2039,Feuil2!$A$2:$M$1241,13,FALSE)," ")</f>
        <v>#N/A</v>
      </c>
    </row>
    <row r="2040" spans="1:15" x14ac:dyDescent="0.3">
      <c r="A2040" s="1"/>
      <c r="B2040" s="1"/>
      <c r="C2040" s="1" t="e">
        <f>IF(B2040=0,VLOOKUP(A2040,Feuil2!$A$2:$M$1241,2,FALSE)," ")</f>
        <v>#N/A</v>
      </c>
      <c r="D2040" s="1" t="e">
        <f>IF(B2040=0,VLOOKUP(A2040,Feuil2!$A$2:$M$1241,3,FALSE)," ")</f>
        <v>#N/A</v>
      </c>
      <c r="E2040" s="5" t="e">
        <f>IF(B2040=0,VLOOKUP(A2040,Feuil2!$A$2:$M$1241,6,FALSE)," ")</f>
        <v>#N/A</v>
      </c>
      <c r="F2040" s="1" t="e">
        <f>IF(B2040=0,VLOOKUP(A2040,Feuil2!$A$2:$M$1241,12,FALSE)," ")</f>
        <v>#N/A</v>
      </c>
      <c r="G2040" s="1" t="e">
        <f>IF(B2040=0,VLOOKUP(A2040,Feuil2!$A$2:$M$1241,11,FALSE)," ")</f>
        <v>#N/A</v>
      </c>
      <c r="H2040" s="1" t="s">
        <v>16</v>
      </c>
      <c r="I2040" s="6" t="e">
        <f>IF(B2040=0,VLOOKUP(A2040,Feuil2!$A$2:$M$1241,7,FALSE)," ")</f>
        <v>#N/A</v>
      </c>
      <c r="J2040" s="1" t="e">
        <f>IF(B2040=0,VLOOKUP(A2040,Feuil2!$A$2:$M$1241,9,FALSE)," ")</f>
        <v>#N/A</v>
      </c>
      <c r="K2040" s="1" t="e">
        <f>IF(B2040=0,VLOOKUP(A2040,Feuil2!$A$2:$M$1241,10,FALSE)," ")</f>
        <v>#N/A</v>
      </c>
      <c r="L2040" s="1"/>
      <c r="M2040" s="1"/>
      <c r="N2040" s="1"/>
      <c r="O2040" s="8" t="e">
        <f>IF(B2040=0,VLOOKUP(A2040,Feuil2!$A$2:$M$1241,13,FALSE)," ")</f>
        <v>#N/A</v>
      </c>
    </row>
    <row r="2041" spans="1:15" x14ac:dyDescent="0.3">
      <c r="A2041" s="1"/>
      <c r="B2041" s="1"/>
      <c r="C2041" s="1" t="e">
        <f>IF(B2041=0,VLOOKUP(A2041,Feuil2!$A$2:$M$1241,2,FALSE)," ")</f>
        <v>#N/A</v>
      </c>
      <c r="D2041" s="1" t="e">
        <f>IF(B2041=0,VLOOKUP(A2041,Feuil2!$A$2:$M$1241,3,FALSE)," ")</f>
        <v>#N/A</v>
      </c>
      <c r="E2041" s="5" t="e">
        <f>IF(B2041=0,VLOOKUP(A2041,Feuil2!$A$2:$M$1241,6,FALSE)," ")</f>
        <v>#N/A</v>
      </c>
      <c r="F2041" s="1" t="e">
        <f>IF(B2041=0,VLOOKUP(A2041,Feuil2!$A$2:$M$1241,12,FALSE)," ")</f>
        <v>#N/A</v>
      </c>
      <c r="G2041" s="1" t="e">
        <f>IF(B2041=0,VLOOKUP(A2041,Feuil2!$A$2:$M$1241,11,FALSE)," ")</f>
        <v>#N/A</v>
      </c>
      <c r="H2041" s="1" t="s">
        <v>16</v>
      </c>
      <c r="I2041" s="6" t="e">
        <f>IF(B2041=0,VLOOKUP(A2041,Feuil2!$A$2:$M$1241,7,FALSE)," ")</f>
        <v>#N/A</v>
      </c>
      <c r="J2041" s="1" t="e">
        <f>IF(B2041=0,VLOOKUP(A2041,Feuil2!$A$2:$M$1241,9,FALSE)," ")</f>
        <v>#N/A</v>
      </c>
      <c r="K2041" s="1" t="e">
        <f>IF(B2041=0,VLOOKUP(A2041,Feuil2!$A$2:$M$1241,10,FALSE)," ")</f>
        <v>#N/A</v>
      </c>
      <c r="L2041" s="1"/>
      <c r="M2041" s="1"/>
      <c r="N2041" s="1"/>
      <c r="O2041" s="8" t="e">
        <f>IF(B2041=0,VLOOKUP(A2041,Feuil2!$A$2:$M$1241,13,FALSE)," ")</f>
        <v>#N/A</v>
      </c>
    </row>
    <row r="2042" spans="1:15" x14ac:dyDescent="0.3">
      <c r="A2042" s="1"/>
      <c r="B2042" s="1"/>
      <c r="C2042" s="1" t="e">
        <f>IF(B2042=0,VLOOKUP(A2042,Feuil2!$A$2:$M$1241,2,FALSE)," ")</f>
        <v>#N/A</v>
      </c>
      <c r="D2042" s="1" t="e">
        <f>IF(B2042=0,VLOOKUP(A2042,Feuil2!$A$2:$M$1241,3,FALSE)," ")</f>
        <v>#N/A</v>
      </c>
      <c r="E2042" s="5" t="e">
        <f>IF(B2042=0,VLOOKUP(A2042,Feuil2!$A$2:$M$1241,6,FALSE)," ")</f>
        <v>#N/A</v>
      </c>
      <c r="F2042" s="1" t="e">
        <f>IF(B2042=0,VLOOKUP(A2042,Feuil2!$A$2:$M$1241,12,FALSE)," ")</f>
        <v>#N/A</v>
      </c>
      <c r="G2042" s="1" t="e">
        <f>IF(B2042=0,VLOOKUP(A2042,Feuil2!$A$2:$M$1241,11,FALSE)," ")</f>
        <v>#N/A</v>
      </c>
      <c r="H2042" s="1" t="s">
        <v>16</v>
      </c>
      <c r="I2042" s="6" t="e">
        <f>IF(B2042=0,VLOOKUP(A2042,Feuil2!$A$2:$M$1241,7,FALSE)," ")</f>
        <v>#N/A</v>
      </c>
      <c r="J2042" s="1" t="e">
        <f>IF(B2042=0,VLOOKUP(A2042,Feuil2!$A$2:$M$1241,9,FALSE)," ")</f>
        <v>#N/A</v>
      </c>
      <c r="K2042" s="1" t="e">
        <f>IF(B2042=0,VLOOKUP(A2042,Feuil2!$A$2:$M$1241,10,FALSE)," ")</f>
        <v>#N/A</v>
      </c>
      <c r="L2042" s="1"/>
      <c r="M2042" s="1"/>
      <c r="N2042" s="1"/>
      <c r="O2042" s="8" t="e">
        <f>IF(B2042=0,VLOOKUP(A2042,Feuil2!$A$2:$M$1241,13,FALSE)," ")</f>
        <v>#N/A</v>
      </c>
    </row>
    <row r="2043" spans="1:15" x14ac:dyDescent="0.3">
      <c r="A2043" s="1"/>
      <c r="B2043" s="1"/>
      <c r="C2043" s="1" t="e">
        <f>IF(B2043=0,VLOOKUP(A2043,Feuil2!$A$2:$M$1241,2,FALSE)," ")</f>
        <v>#N/A</v>
      </c>
      <c r="D2043" s="1" t="e">
        <f>IF(B2043=0,VLOOKUP(A2043,Feuil2!$A$2:$M$1241,3,FALSE)," ")</f>
        <v>#N/A</v>
      </c>
      <c r="E2043" s="5" t="e">
        <f>IF(B2043=0,VLOOKUP(A2043,Feuil2!$A$2:$M$1241,6,FALSE)," ")</f>
        <v>#N/A</v>
      </c>
      <c r="F2043" s="1" t="e">
        <f>IF(B2043=0,VLOOKUP(A2043,Feuil2!$A$2:$M$1241,12,FALSE)," ")</f>
        <v>#N/A</v>
      </c>
      <c r="G2043" s="1" t="e">
        <f>IF(B2043=0,VLOOKUP(A2043,Feuil2!$A$2:$M$1241,11,FALSE)," ")</f>
        <v>#N/A</v>
      </c>
      <c r="H2043" s="1" t="s">
        <v>16</v>
      </c>
      <c r="I2043" s="6" t="e">
        <f>IF(B2043=0,VLOOKUP(A2043,Feuil2!$A$2:$M$1241,7,FALSE)," ")</f>
        <v>#N/A</v>
      </c>
      <c r="J2043" s="1" t="e">
        <f>IF(B2043=0,VLOOKUP(A2043,Feuil2!$A$2:$M$1241,9,FALSE)," ")</f>
        <v>#N/A</v>
      </c>
      <c r="K2043" s="1" t="e">
        <f>IF(B2043=0,VLOOKUP(A2043,Feuil2!$A$2:$M$1241,10,FALSE)," ")</f>
        <v>#N/A</v>
      </c>
      <c r="L2043" s="1"/>
      <c r="M2043" s="1"/>
      <c r="N2043" s="1"/>
      <c r="O2043" s="8" t="e">
        <f>IF(B2043=0,VLOOKUP(A2043,Feuil2!$A$2:$M$1241,13,FALSE)," ")</f>
        <v>#N/A</v>
      </c>
    </row>
    <row r="2044" spans="1:15" x14ac:dyDescent="0.3">
      <c r="A2044" s="1"/>
      <c r="B2044" s="1"/>
      <c r="C2044" s="1" t="e">
        <f>IF(B2044=0,VLOOKUP(A2044,Feuil2!$A$2:$M$1241,2,FALSE)," ")</f>
        <v>#N/A</v>
      </c>
      <c r="D2044" s="1" t="e">
        <f>IF(B2044=0,VLOOKUP(A2044,Feuil2!$A$2:$M$1241,3,FALSE)," ")</f>
        <v>#N/A</v>
      </c>
      <c r="E2044" s="5" t="e">
        <f>IF(B2044=0,VLOOKUP(A2044,Feuil2!$A$2:$M$1241,6,FALSE)," ")</f>
        <v>#N/A</v>
      </c>
      <c r="F2044" s="1" t="e">
        <f>IF(B2044=0,VLOOKUP(A2044,Feuil2!$A$2:$M$1241,12,FALSE)," ")</f>
        <v>#N/A</v>
      </c>
      <c r="G2044" s="1" t="e">
        <f>IF(B2044=0,VLOOKUP(A2044,Feuil2!$A$2:$M$1241,11,FALSE)," ")</f>
        <v>#N/A</v>
      </c>
      <c r="H2044" s="1" t="s">
        <v>16</v>
      </c>
      <c r="I2044" s="6" t="e">
        <f>IF(B2044=0,VLOOKUP(A2044,Feuil2!$A$2:$M$1241,7,FALSE)," ")</f>
        <v>#N/A</v>
      </c>
      <c r="J2044" s="1" t="e">
        <f>IF(B2044=0,VLOOKUP(A2044,Feuil2!$A$2:$M$1241,9,FALSE)," ")</f>
        <v>#N/A</v>
      </c>
      <c r="K2044" s="1" t="e">
        <f>IF(B2044=0,VLOOKUP(A2044,Feuil2!$A$2:$M$1241,10,FALSE)," ")</f>
        <v>#N/A</v>
      </c>
      <c r="L2044" s="1"/>
      <c r="M2044" s="1"/>
      <c r="N2044" s="1"/>
      <c r="O2044" s="8" t="e">
        <f>IF(B2044=0,VLOOKUP(A2044,Feuil2!$A$2:$M$1241,13,FALSE)," ")</f>
        <v>#N/A</v>
      </c>
    </row>
    <row r="2045" spans="1:15" x14ac:dyDescent="0.3">
      <c r="A2045" s="1"/>
      <c r="B2045" s="1"/>
      <c r="C2045" s="1" t="e">
        <f>IF(B2045=0,VLOOKUP(A2045,Feuil2!$A$2:$M$1241,2,FALSE)," ")</f>
        <v>#N/A</v>
      </c>
      <c r="D2045" s="1" t="e">
        <f>IF(B2045=0,VLOOKUP(A2045,Feuil2!$A$2:$M$1241,3,FALSE)," ")</f>
        <v>#N/A</v>
      </c>
      <c r="E2045" s="5" t="e">
        <f>IF(B2045=0,VLOOKUP(A2045,Feuil2!$A$2:$M$1241,6,FALSE)," ")</f>
        <v>#N/A</v>
      </c>
      <c r="F2045" s="1" t="e">
        <f>IF(B2045=0,VLOOKUP(A2045,Feuil2!$A$2:$M$1241,12,FALSE)," ")</f>
        <v>#N/A</v>
      </c>
      <c r="G2045" s="1" t="e">
        <f>IF(B2045=0,VLOOKUP(A2045,Feuil2!$A$2:$M$1241,11,FALSE)," ")</f>
        <v>#N/A</v>
      </c>
      <c r="H2045" s="1" t="s">
        <v>16</v>
      </c>
      <c r="I2045" s="6" t="e">
        <f>IF(B2045=0,VLOOKUP(A2045,Feuil2!$A$2:$M$1241,7,FALSE)," ")</f>
        <v>#N/A</v>
      </c>
      <c r="J2045" s="1" t="e">
        <f>IF(B2045=0,VLOOKUP(A2045,Feuil2!$A$2:$M$1241,9,FALSE)," ")</f>
        <v>#N/A</v>
      </c>
      <c r="K2045" s="1" t="e">
        <f>IF(B2045=0,VLOOKUP(A2045,Feuil2!$A$2:$M$1241,10,FALSE)," ")</f>
        <v>#N/A</v>
      </c>
      <c r="L2045" s="1"/>
      <c r="M2045" s="1"/>
      <c r="N2045" s="1"/>
      <c r="O2045" s="8" t="e">
        <f>IF(B2045=0,VLOOKUP(A2045,Feuil2!$A$2:$M$1241,13,FALSE)," ")</f>
        <v>#N/A</v>
      </c>
    </row>
    <row r="2046" spans="1:15" x14ac:dyDescent="0.3">
      <c r="A2046" s="1"/>
      <c r="B2046" s="1"/>
      <c r="C2046" s="1" t="e">
        <f>IF(B2046=0,VLOOKUP(A2046,Feuil2!$A$2:$M$1241,2,FALSE)," ")</f>
        <v>#N/A</v>
      </c>
      <c r="D2046" s="1" t="e">
        <f>IF(B2046=0,VLOOKUP(A2046,Feuil2!$A$2:$M$1241,3,FALSE)," ")</f>
        <v>#N/A</v>
      </c>
      <c r="E2046" s="5" t="e">
        <f>IF(B2046=0,VLOOKUP(A2046,Feuil2!$A$2:$M$1241,6,FALSE)," ")</f>
        <v>#N/A</v>
      </c>
      <c r="F2046" s="1" t="e">
        <f>IF(B2046=0,VLOOKUP(A2046,Feuil2!$A$2:$M$1241,12,FALSE)," ")</f>
        <v>#N/A</v>
      </c>
      <c r="G2046" s="1" t="e">
        <f>IF(B2046=0,VLOOKUP(A2046,Feuil2!$A$2:$M$1241,11,FALSE)," ")</f>
        <v>#N/A</v>
      </c>
      <c r="H2046" s="1" t="s">
        <v>16</v>
      </c>
      <c r="I2046" s="6" t="e">
        <f>IF(B2046=0,VLOOKUP(A2046,Feuil2!$A$2:$M$1241,7,FALSE)," ")</f>
        <v>#N/A</v>
      </c>
      <c r="J2046" s="1" t="e">
        <f>IF(B2046=0,VLOOKUP(A2046,Feuil2!$A$2:$M$1241,9,FALSE)," ")</f>
        <v>#N/A</v>
      </c>
      <c r="K2046" s="1" t="e">
        <f>IF(B2046=0,VLOOKUP(A2046,Feuil2!$A$2:$M$1241,10,FALSE)," ")</f>
        <v>#N/A</v>
      </c>
      <c r="L2046" s="1"/>
      <c r="M2046" s="1"/>
      <c r="N2046" s="1"/>
      <c r="O2046" s="8" t="e">
        <f>IF(B2046=0,VLOOKUP(A2046,Feuil2!$A$2:$M$1241,13,FALSE)," ")</f>
        <v>#N/A</v>
      </c>
    </row>
    <row r="2047" spans="1:15" x14ac:dyDescent="0.3">
      <c r="A2047" s="1"/>
      <c r="B2047" s="1"/>
      <c r="C2047" s="1" t="e">
        <f>IF(B2047=0,VLOOKUP(A2047,Feuil2!$A$2:$M$1241,2,FALSE)," ")</f>
        <v>#N/A</v>
      </c>
      <c r="D2047" s="1" t="e">
        <f>IF(B2047=0,VLOOKUP(A2047,Feuil2!$A$2:$M$1241,3,FALSE)," ")</f>
        <v>#N/A</v>
      </c>
      <c r="E2047" s="5" t="e">
        <f>IF(B2047=0,VLOOKUP(A2047,Feuil2!$A$2:$M$1241,6,FALSE)," ")</f>
        <v>#N/A</v>
      </c>
      <c r="F2047" s="1" t="e">
        <f>IF(B2047=0,VLOOKUP(A2047,Feuil2!$A$2:$M$1241,12,FALSE)," ")</f>
        <v>#N/A</v>
      </c>
      <c r="G2047" s="1" t="e">
        <f>IF(B2047=0,VLOOKUP(A2047,Feuil2!$A$2:$M$1241,11,FALSE)," ")</f>
        <v>#N/A</v>
      </c>
      <c r="H2047" s="1" t="s">
        <v>16</v>
      </c>
      <c r="I2047" s="6" t="e">
        <f>IF(B2047=0,VLOOKUP(A2047,Feuil2!$A$2:$M$1241,7,FALSE)," ")</f>
        <v>#N/A</v>
      </c>
      <c r="J2047" s="1" t="e">
        <f>IF(B2047=0,VLOOKUP(A2047,Feuil2!$A$2:$M$1241,9,FALSE)," ")</f>
        <v>#N/A</v>
      </c>
      <c r="K2047" s="1" t="e">
        <f>IF(B2047=0,VLOOKUP(A2047,Feuil2!$A$2:$M$1241,10,FALSE)," ")</f>
        <v>#N/A</v>
      </c>
      <c r="L2047" s="1"/>
      <c r="M2047" s="1"/>
      <c r="N2047" s="1"/>
      <c r="O2047" s="8" t="e">
        <f>IF(B2047=0,VLOOKUP(A2047,Feuil2!$A$2:$M$1241,13,FALSE)," ")</f>
        <v>#N/A</v>
      </c>
    </row>
    <row r="2048" spans="1:15" x14ac:dyDescent="0.3">
      <c r="A2048" s="1"/>
      <c r="B2048" s="1"/>
      <c r="C2048" s="1" t="e">
        <f>IF(B2048=0,VLOOKUP(A2048,Feuil2!$A$2:$M$1241,2,FALSE)," ")</f>
        <v>#N/A</v>
      </c>
      <c r="D2048" s="1" t="e">
        <f>IF(B2048=0,VLOOKUP(A2048,Feuil2!$A$2:$M$1241,3,FALSE)," ")</f>
        <v>#N/A</v>
      </c>
      <c r="E2048" s="5" t="e">
        <f>IF(B2048=0,VLOOKUP(A2048,Feuil2!$A$2:$M$1241,6,FALSE)," ")</f>
        <v>#N/A</v>
      </c>
      <c r="F2048" s="1" t="e">
        <f>IF(B2048=0,VLOOKUP(A2048,Feuil2!$A$2:$M$1241,12,FALSE)," ")</f>
        <v>#N/A</v>
      </c>
      <c r="G2048" s="1" t="e">
        <f>IF(B2048=0,VLOOKUP(A2048,Feuil2!$A$2:$M$1241,11,FALSE)," ")</f>
        <v>#N/A</v>
      </c>
      <c r="H2048" s="1" t="s">
        <v>16</v>
      </c>
      <c r="I2048" s="6" t="e">
        <f>IF(B2048=0,VLOOKUP(A2048,Feuil2!$A$2:$M$1241,7,FALSE)," ")</f>
        <v>#N/A</v>
      </c>
      <c r="J2048" s="1" t="e">
        <f>IF(B2048=0,VLOOKUP(A2048,Feuil2!$A$2:$M$1241,9,FALSE)," ")</f>
        <v>#N/A</v>
      </c>
      <c r="K2048" s="1" t="e">
        <f>IF(B2048=0,VLOOKUP(A2048,Feuil2!$A$2:$M$1241,10,FALSE)," ")</f>
        <v>#N/A</v>
      </c>
      <c r="L2048" s="1"/>
      <c r="M2048" s="1"/>
      <c r="N2048" s="1"/>
      <c r="O2048" s="8" t="e">
        <f>IF(B2048=0,VLOOKUP(A2048,Feuil2!$A$2:$M$1241,13,FALSE)," ")</f>
        <v>#N/A</v>
      </c>
    </row>
    <row r="2049" spans="1:15" x14ac:dyDescent="0.3">
      <c r="A2049" s="1"/>
      <c r="B2049" s="1"/>
      <c r="C2049" s="1" t="e">
        <f>IF(B2049=0,VLOOKUP(A2049,Feuil2!$A$2:$M$1241,2,FALSE)," ")</f>
        <v>#N/A</v>
      </c>
      <c r="D2049" s="1" t="e">
        <f>IF(B2049=0,VLOOKUP(A2049,Feuil2!$A$2:$M$1241,3,FALSE)," ")</f>
        <v>#N/A</v>
      </c>
      <c r="E2049" s="5" t="e">
        <f>IF(B2049=0,VLOOKUP(A2049,Feuil2!$A$2:$M$1241,6,FALSE)," ")</f>
        <v>#N/A</v>
      </c>
      <c r="F2049" s="1" t="e">
        <f>IF(B2049=0,VLOOKUP(A2049,Feuil2!$A$2:$M$1241,12,FALSE)," ")</f>
        <v>#N/A</v>
      </c>
      <c r="G2049" s="1" t="e">
        <f>IF(B2049=0,VLOOKUP(A2049,Feuil2!$A$2:$M$1241,11,FALSE)," ")</f>
        <v>#N/A</v>
      </c>
      <c r="H2049" s="1" t="s">
        <v>16</v>
      </c>
      <c r="I2049" s="6" t="e">
        <f>IF(B2049=0,VLOOKUP(A2049,Feuil2!$A$2:$M$1241,7,FALSE)," ")</f>
        <v>#N/A</v>
      </c>
      <c r="J2049" s="1" t="e">
        <f>IF(B2049=0,VLOOKUP(A2049,Feuil2!$A$2:$M$1241,9,FALSE)," ")</f>
        <v>#N/A</v>
      </c>
      <c r="K2049" s="1" t="e">
        <f>IF(B2049=0,VLOOKUP(A2049,Feuil2!$A$2:$M$1241,10,FALSE)," ")</f>
        <v>#N/A</v>
      </c>
      <c r="L2049" s="1"/>
      <c r="M2049" s="1"/>
      <c r="N2049" s="1"/>
      <c r="O2049" s="8" t="e">
        <f>IF(B2049=0,VLOOKUP(A2049,Feuil2!$A$2:$M$1241,13,FALSE)," ")</f>
        <v>#N/A</v>
      </c>
    </row>
    <row r="2050" spans="1:15" x14ac:dyDescent="0.3">
      <c r="A2050" s="1"/>
      <c r="B2050" s="1"/>
      <c r="C2050" s="1" t="e">
        <f>IF(B2050=0,VLOOKUP(A2050,Feuil2!$A$2:$M$1241,2,FALSE)," ")</f>
        <v>#N/A</v>
      </c>
      <c r="D2050" s="1" t="e">
        <f>IF(B2050=0,VLOOKUP(A2050,Feuil2!$A$2:$M$1241,3,FALSE)," ")</f>
        <v>#N/A</v>
      </c>
      <c r="E2050" s="5" t="e">
        <f>IF(B2050=0,VLOOKUP(A2050,Feuil2!$A$2:$M$1241,6,FALSE)," ")</f>
        <v>#N/A</v>
      </c>
      <c r="F2050" s="1" t="e">
        <f>IF(B2050=0,VLOOKUP(A2050,Feuil2!$A$2:$M$1241,12,FALSE)," ")</f>
        <v>#N/A</v>
      </c>
      <c r="G2050" s="1" t="e">
        <f>IF(B2050=0,VLOOKUP(A2050,Feuil2!$A$2:$M$1241,11,FALSE)," ")</f>
        <v>#N/A</v>
      </c>
      <c r="H2050" s="1" t="s">
        <v>16</v>
      </c>
      <c r="I2050" s="6" t="e">
        <f>IF(B2050=0,VLOOKUP(A2050,Feuil2!$A$2:$M$1241,7,FALSE)," ")</f>
        <v>#N/A</v>
      </c>
      <c r="J2050" s="1" t="e">
        <f>IF(B2050=0,VLOOKUP(A2050,Feuil2!$A$2:$M$1241,9,FALSE)," ")</f>
        <v>#N/A</v>
      </c>
      <c r="K2050" s="1" t="e">
        <f>IF(B2050=0,VLOOKUP(A2050,Feuil2!$A$2:$M$1241,10,FALSE)," ")</f>
        <v>#N/A</v>
      </c>
      <c r="L2050" s="1"/>
      <c r="M2050" s="1"/>
      <c r="N2050" s="1"/>
      <c r="O2050" s="8" t="e">
        <f>IF(B2050=0,VLOOKUP(A2050,Feuil2!$A$2:$M$1241,13,FALSE)," ")</f>
        <v>#N/A</v>
      </c>
    </row>
    <row r="2051" spans="1:15" x14ac:dyDescent="0.3">
      <c r="A2051" s="1"/>
      <c r="B2051" s="1"/>
      <c r="C2051" s="1" t="e">
        <f>IF(B2051=0,VLOOKUP(A2051,Feuil2!$A$2:$M$1241,2,FALSE)," ")</f>
        <v>#N/A</v>
      </c>
      <c r="D2051" s="1" t="e">
        <f>IF(B2051=0,VLOOKUP(A2051,Feuil2!$A$2:$M$1241,3,FALSE)," ")</f>
        <v>#N/A</v>
      </c>
      <c r="E2051" s="5" t="e">
        <f>IF(B2051=0,VLOOKUP(A2051,Feuil2!$A$2:$M$1241,6,FALSE)," ")</f>
        <v>#N/A</v>
      </c>
      <c r="F2051" s="1" t="e">
        <f>IF(B2051=0,VLOOKUP(A2051,Feuil2!$A$2:$M$1241,12,FALSE)," ")</f>
        <v>#N/A</v>
      </c>
      <c r="G2051" s="1" t="e">
        <f>IF(B2051=0,VLOOKUP(A2051,Feuil2!$A$2:$M$1241,11,FALSE)," ")</f>
        <v>#N/A</v>
      </c>
      <c r="H2051" s="1" t="s">
        <v>16</v>
      </c>
      <c r="I2051" s="6" t="e">
        <f>IF(B2051=0,VLOOKUP(A2051,Feuil2!$A$2:$M$1241,7,FALSE)," ")</f>
        <v>#N/A</v>
      </c>
      <c r="J2051" s="1" t="e">
        <f>IF(B2051=0,VLOOKUP(A2051,Feuil2!$A$2:$M$1241,9,FALSE)," ")</f>
        <v>#N/A</v>
      </c>
      <c r="K2051" s="1" t="e">
        <f>IF(B2051=0,VLOOKUP(A2051,Feuil2!$A$2:$M$1241,10,FALSE)," ")</f>
        <v>#N/A</v>
      </c>
      <c r="L2051" s="1"/>
      <c r="M2051" s="1"/>
      <c r="N2051" s="1"/>
      <c r="O2051" s="8" t="e">
        <f>IF(B2051=0,VLOOKUP(A2051,Feuil2!$A$2:$M$1241,13,FALSE)," ")</f>
        <v>#N/A</v>
      </c>
    </row>
    <row r="2052" spans="1:15" x14ac:dyDescent="0.3">
      <c r="A2052" s="1"/>
      <c r="B2052" s="1"/>
      <c r="C2052" s="1" t="e">
        <f>IF(B2052=0,VLOOKUP(A2052,Feuil2!$A$2:$M$1241,2,FALSE)," ")</f>
        <v>#N/A</v>
      </c>
      <c r="D2052" s="1" t="e">
        <f>IF(B2052=0,VLOOKUP(A2052,Feuil2!$A$2:$M$1241,3,FALSE)," ")</f>
        <v>#N/A</v>
      </c>
      <c r="E2052" s="5" t="e">
        <f>IF(B2052=0,VLOOKUP(A2052,Feuil2!$A$2:$M$1241,6,FALSE)," ")</f>
        <v>#N/A</v>
      </c>
      <c r="F2052" s="1" t="e">
        <f>IF(B2052=0,VLOOKUP(A2052,Feuil2!$A$2:$M$1241,12,FALSE)," ")</f>
        <v>#N/A</v>
      </c>
      <c r="G2052" s="1" t="e">
        <f>IF(B2052=0,VLOOKUP(A2052,Feuil2!$A$2:$M$1241,11,FALSE)," ")</f>
        <v>#N/A</v>
      </c>
      <c r="H2052" s="1" t="s">
        <v>16</v>
      </c>
      <c r="I2052" s="6" t="e">
        <f>IF(B2052=0,VLOOKUP(A2052,Feuil2!$A$2:$M$1241,7,FALSE)," ")</f>
        <v>#N/A</v>
      </c>
      <c r="J2052" s="1" t="e">
        <f>IF(B2052=0,VLOOKUP(A2052,Feuil2!$A$2:$M$1241,9,FALSE)," ")</f>
        <v>#N/A</v>
      </c>
      <c r="K2052" s="1" t="e">
        <f>IF(B2052=0,VLOOKUP(A2052,Feuil2!$A$2:$M$1241,10,FALSE)," ")</f>
        <v>#N/A</v>
      </c>
      <c r="L2052" s="1"/>
      <c r="M2052" s="1"/>
      <c r="N2052" s="1"/>
      <c r="O2052" s="8" t="e">
        <f>IF(B2052=0,VLOOKUP(A2052,Feuil2!$A$2:$M$1241,13,FALSE)," ")</f>
        <v>#N/A</v>
      </c>
    </row>
    <row r="2053" spans="1:15" x14ac:dyDescent="0.3">
      <c r="A2053" s="1"/>
      <c r="B2053" s="1"/>
      <c r="C2053" s="1" t="e">
        <f>IF(B2053=0,VLOOKUP(A2053,Feuil2!$A$2:$M$1241,2,FALSE)," ")</f>
        <v>#N/A</v>
      </c>
      <c r="D2053" s="1" t="e">
        <f>IF(B2053=0,VLOOKUP(A2053,Feuil2!$A$2:$M$1241,3,FALSE)," ")</f>
        <v>#N/A</v>
      </c>
      <c r="E2053" s="5" t="e">
        <f>IF(B2053=0,VLOOKUP(A2053,Feuil2!$A$2:$M$1241,6,FALSE)," ")</f>
        <v>#N/A</v>
      </c>
      <c r="F2053" s="1" t="e">
        <f>IF(B2053=0,VLOOKUP(A2053,Feuil2!$A$2:$M$1241,12,FALSE)," ")</f>
        <v>#N/A</v>
      </c>
      <c r="G2053" s="1" t="e">
        <f>IF(B2053=0,VLOOKUP(A2053,Feuil2!$A$2:$M$1241,11,FALSE)," ")</f>
        <v>#N/A</v>
      </c>
      <c r="H2053" s="1" t="s">
        <v>16</v>
      </c>
      <c r="I2053" s="6" t="e">
        <f>IF(B2053=0,VLOOKUP(A2053,Feuil2!$A$2:$M$1241,7,FALSE)," ")</f>
        <v>#N/A</v>
      </c>
      <c r="J2053" s="1" t="e">
        <f>IF(B2053=0,VLOOKUP(A2053,Feuil2!$A$2:$M$1241,9,FALSE)," ")</f>
        <v>#N/A</v>
      </c>
      <c r="K2053" s="1" t="e">
        <f>IF(B2053=0,VLOOKUP(A2053,Feuil2!$A$2:$M$1241,10,FALSE)," ")</f>
        <v>#N/A</v>
      </c>
      <c r="L2053" s="1"/>
      <c r="M2053" s="1"/>
      <c r="N2053" s="1"/>
      <c r="O2053" s="8" t="e">
        <f>IF(B2053=0,VLOOKUP(A2053,Feuil2!$A$2:$M$1241,13,FALSE)," ")</f>
        <v>#N/A</v>
      </c>
    </row>
    <row r="2054" spans="1:15" x14ac:dyDescent="0.3">
      <c r="A2054" s="1"/>
      <c r="B2054" s="1"/>
      <c r="C2054" s="1" t="e">
        <f>IF(B2054=0,VLOOKUP(A2054,Feuil2!$A$2:$M$1241,2,FALSE)," ")</f>
        <v>#N/A</v>
      </c>
      <c r="D2054" s="1" t="e">
        <f>IF(B2054=0,VLOOKUP(A2054,Feuil2!$A$2:$M$1241,3,FALSE)," ")</f>
        <v>#N/A</v>
      </c>
      <c r="E2054" s="5" t="e">
        <f>IF(B2054=0,VLOOKUP(A2054,Feuil2!$A$2:$M$1241,6,FALSE)," ")</f>
        <v>#N/A</v>
      </c>
      <c r="F2054" s="1" t="e">
        <f>IF(B2054=0,VLOOKUP(A2054,Feuil2!$A$2:$M$1241,12,FALSE)," ")</f>
        <v>#N/A</v>
      </c>
      <c r="G2054" s="1" t="e">
        <f>IF(B2054=0,VLOOKUP(A2054,Feuil2!$A$2:$M$1241,11,FALSE)," ")</f>
        <v>#N/A</v>
      </c>
      <c r="H2054" s="1" t="s">
        <v>16</v>
      </c>
      <c r="I2054" s="6" t="e">
        <f>IF(B2054=0,VLOOKUP(A2054,Feuil2!$A$2:$M$1241,7,FALSE)," ")</f>
        <v>#N/A</v>
      </c>
      <c r="J2054" s="1" t="e">
        <f>IF(B2054=0,VLOOKUP(A2054,Feuil2!$A$2:$M$1241,9,FALSE)," ")</f>
        <v>#N/A</v>
      </c>
      <c r="K2054" s="1" t="e">
        <f>IF(B2054=0,VLOOKUP(A2054,Feuil2!$A$2:$M$1241,10,FALSE)," ")</f>
        <v>#N/A</v>
      </c>
      <c r="L2054" s="1"/>
      <c r="M2054" s="1"/>
      <c r="N2054" s="1"/>
      <c r="O2054" s="8" t="e">
        <f>IF(B2054=0,VLOOKUP(A2054,Feuil2!$A$2:$M$1241,13,FALSE)," ")</f>
        <v>#N/A</v>
      </c>
    </row>
    <row r="2055" spans="1:15" x14ac:dyDescent="0.3">
      <c r="A2055" s="1"/>
      <c r="B2055" s="1"/>
      <c r="C2055" s="1" t="e">
        <f>IF(B2055=0,VLOOKUP(A2055,Feuil2!$A$2:$M$1241,2,FALSE)," ")</f>
        <v>#N/A</v>
      </c>
      <c r="D2055" s="1" t="e">
        <f>IF(B2055=0,VLOOKUP(A2055,Feuil2!$A$2:$M$1241,3,FALSE)," ")</f>
        <v>#N/A</v>
      </c>
      <c r="E2055" s="5" t="e">
        <f>IF(B2055=0,VLOOKUP(A2055,Feuil2!$A$2:$M$1241,6,FALSE)," ")</f>
        <v>#N/A</v>
      </c>
      <c r="F2055" s="1" t="e">
        <f>IF(B2055=0,VLOOKUP(A2055,Feuil2!$A$2:$M$1241,12,FALSE)," ")</f>
        <v>#N/A</v>
      </c>
      <c r="G2055" s="1" t="e">
        <f>IF(B2055=0,VLOOKUP(A2055,Feuil2!$A$2:$M$1241,11,FALSE)," ")</f>
        <v>#N/A</v>
      </c>
      <c r="H2055" s="1" t="s">
        <v>16</v>
      </c>
      <c r="I2055" s="6" t="e">
        <f>IF(B2055=0,VLOOKUP(A2055,Feuil2!$A$2:$M$1241,7,FALSE)," ")</f>
        <v>#N/A</v>
      </c>
      <c r="J2055" s="1" t="e">
        <f>IF(B2055=0,VLOOKUP(A2055,Feuil2!$A$2:$M$1241,9,FALSE)," ")</f>
        <v>#N/A</v>
      </c>
      <c r="K2055" s="1" t="e">
        <f>IF(B2055=0,VLOOKUP(A2055,Feuil2!$A$2:$M$1241,10,FALSE)," ")</f>
        <v>#N/A</v>
      </c>
      <c r="L2055" s="1"/>
      <c r="M2055" s="1"/>
      <c r="N2055" s="1"/>
      <c r="O2055" s="8" t="e">
        <f>IF(B2055=0,VLOOKUP(A2055,Feuil2!$A$2:$M$1241,13,FALSE)," ")</f>
        <v>#N/A</v>
      </c>
    </row>
    <row r="2056" spans="1:15" x14ac:dyDescent="0.3">
      <c r="A2056" s="1"/>
      <c r="B2056" s="1"/>
      <c r="C2056" s="1" t="e">
        <f>IF(B2056=0,VLOOKUP(A2056,Feuil2!$A$2:$M$1241,2,FALSE)," ")</f>
        <v>#N/A</v>
      </c>
      <c r="D2056" s="1" t="e">
        <f>IF(B2056=0,VLOOKUP(A2056,Feuil2!$A$2:$M$1241,3,FALSE)," ")</f>
        <v>#N/A</v>
      </c>
      <c r="E2056" s="5" t="e">
        <f>IF(B2056=0,VLOOKUP(A2056,Feuil2!$A$2:$M$1241,6,FALSE)," ")</f>
        <v>#N/A</v>
      </c>
      <c r="F2056" s="1" t="e">
        <f>IF(B2056=0,VLOOKUP(A2056,Feuil2!$A$2:$M$1241,12,FALSE)," ")</f>
        <v>#N/A</v>
      </c>
      <c r="G2056" s="1" t="e">
        <f>IF(B2056=0,VLOOKUP(A2056,Feuil2!$A$2:$M$1241,11,FALSE)," ")</f>
        <v>#N/A</v>
      </c>
      <c r="H2056" s="1" t="s">
        <v>16</v>
      </c>
      <c r="I2056" s="6" t="e">
        <f>IF(B2056=0,VLOOKUP(A2056,Feuil2!$A$2:$M$1241,7,FALSE)," ")</f>
        <v>#N/A</v>
      </c>
      <c r="J2056" s="1" t="e">
        <f>IF(B2056=0,VLOOKUP(A2056,Feuil2!$A$2:$M$1241,9,FALSE)," ")</f>
        <v>#N/A</v>
      </c>
      <c r="K2056" s="1" t="e">
        <f>IF(B2056=0,VLOOKUP(A2056,Feuil2!$A$2:$M$1241,10,FALSE)," ")</f>
        <v>#N/A</v>
      </c>
      <c r="L2056" s="1"/>
      <c r="M2056" s="1"/>
      <c r="N2056" s="1"/>
      <c r="O2056" s="8" t="e">
        <f>IF(B2056=0,VLOOKUP(A2056,Feuil2!$A$2:$M$1241,13,FALSE)," ")</f>
        <v>#N/A</v>
      </c>
    </row>
    <row r="2057" spans="1:15" x14ac:dyDescent="0.3">
      <c r="A2057" s="1"/>
      <c r="B2057" s="1"/>
      <c r="C2057" s="1" t="e">
        <f>IF(B2057=0,VLOOKUP(A2057,Feuil2!$A$2:$M$1241,2,FALSE)," ")</f>
        <v>#N/A</v>
      </c>
      <c r="D2057" s="1" t="e">
        <f>IF(B2057=0,VLOOKUP(A2057,Feuil2!$A$2:$M$1241,3,FALSE)," ")</f>
        <v>#N/A</v>
      </c>
      <c r="E2057" s="5" t="e">
        <f>IF(B2057=0,VLOOKUP(A2057,Feuil2!$A$2:$M$1241,6,FALSE)," ")</f>
        <v>#N/A</v>
      </c>
      <c r="F2057" s="1" t="e">
        <f>IF(B2057=0,VLOOKUP(A2057,Feuil2!$A$2:$M$1241,12,FALSE)," ")</f>
        <v>#N/A</v>
      </c>
      <c r="G2057" s="1" t="e">
        <f>IF(B2057=0,VLOOKUP(A2057,Feuil2!$A$2:$M$1241,11,FALSE)," ")</f>
        <v>#N/A</v>
      </c>
      <c r="H2057" s="1" t="s">
        <v>16</v>
      </c>
      <c r="I2057" s="6" t="e">
        <f>IF(B2057=0,VLOOKUP(A2057,Feuil2!$A$2:$M$1241,7,FALSE)," ")</f>
        <v>#N/A</v>
      </c>
      <c r="J2057" s="1" t="e">
        <f>IF(B2057=0,VLOOKUP(A2057,Feuil2!$A$2:$M$1241,9,FALSE)," ")</f>
        <v>#N/A</v>
      </c>
      <c r="K2057" s="1" t="e">
        <f>IF(B2057=0,VLOOKUP(A2057,Feuil2!$A$2:$M$1241,10,FALSE)," ")</f>
        <v>#N/A</v>
      </c>
      <c r="L2057" s="1"/>
      <c r="M2057" s="1"/>
      <c r="N2057" s="1"/>
      <c r="O2057" s="8" t="e">
        <f>IF(B2057=0,VLOOKUP(A2057,Feuil2!$A$2:$M$1241,13,FALSE)," ")</f>
        <v>#N/A</v>
      </c>
    </row>
    <row r="2058" spans="1:15" x14ac:dyDescent="0.3">
      <c r="A2058" s="1"/>
      <c r="B2058" s="1"/>
      <c r="C2058" s="1" t="e">
        <f>IF(B2058=0,VLOOKUP(A2058,Feuil2!$A$2:$M$1241,2,FALSE)," ")</f>
        <v>#N/A</v>
      </c>
      <c r="D2058" s="1" t="e">
        <f>IF(B2058=0,VLOOKUP(A2058,Feuil2!$A$2:$M$1241,3,FALSE)," ")</f>
        <v>#N/A</v>
      </c>
      <c r="E2058" s="5" t="e">
        <f>IF(B2058=0,VLOOKUP(A2058,Feuil2!$A$2:$M$1241,6,FALSE)," ")</f>
        <v>#N/A</v>
      </c>
      <c r="F2058" s="1" t="e">
        <f>IF(B2058=0,VLOOKUP(A2058,Feuil2!$A$2:$M$1241,12,FALSE)," ")</f>
        <v>#N/A</v>
      </c>
      <c r="G2058" s="1" t="e">
        <f>IF(B2058=0,VLOOKUP(A2058,Feuil2!$A$2:$M$1241,11,FALSE)," ")</f>
        <v>#N/A</v>
      </c>
      <c r="H2058" s="1" t="s">
        <v>16</v>
      </c>
      <c r="I2058" s="6" t="e">
        <f>IF(B2058=0,VLOOKUP(A2058,Feuil2!$A$2:$M$1241,7,FALSE)," ")</f>
        <v>#N/A</v>
      </c>
      <c r="J2058" s="1" t="e">
        <f>IF(B2058=0,VLOOKUP(A2058,Feuil2!$A$2:$M$1241,9,FALSE)," ")</f>
        <v>#N/A</v>
      </c>
      <c r="K2058" s="1" t="e">
        <f>IF(B2058=0,VLOOKUP(A2058,Feuil2!$A$2:$M$1241,10,FALSE)," ")</f>
        <v>#N/A</v>
      </c>
      <c r="L2058" s="1"/>
      <c r="M2058" s="1"/>
      <c r="N2058" s="1"/>
      <c r="O2058" s="8" t="e">
        <f>IF(B2058=0,VLOOKUP(A2058,Feuil2!$A$2:$M$1241,13,FALSE)," ")</f>
        <v>#N/A</v>
      </c>
    </row>
    <row r="2059" spans="1:15" x14ac:dyDescent="0.3">
      <c r="A2059" s="1"/>
      <c r="B2059" s="1"/>
      <c r="C2059" s="1" t="e">
        <f>IF(B2059=0,VLOOKUP(A2059,Feuil2!$A$2:$M$1241,2,FALSE)," ")</f>
        <v>#N/A</v>
      </c>
      <c r="D2059" s="1" t="e">
        <f>IF(B2059=0,VLOOKUP(A2059,Feuil2!$A$2:$M$1241,3,FALSE)," ")</f>
        <v>#N/A</v>
      </c>
      <c r="E2059" s="5" t="e">
        <f>IF(B2059=0,VLOOKUP(A2059,Feuil2!$A$2:$M$1241,6,FALSE)," ")</f>
        <v>#N/A</v>
      </c>
      <c r="F2059" s="1" t="e">
        <f>IF(B2059=0,VLOOKUP(A2059,Feuil2!$A$2:$M$1241,12,FALSE)," ")</f>
        <v>#N/A</v>
      </c>
      <c r="G2059" s="1" t="e">
        <f>IF(B2059=0,VLOOKUP(A2059,Feuil2!$A$2:$M$1241,11,FALSE)," ")</f>
        <v>#N/A</v>
      </c>
      <c r="H2059" s="1" t="s">
        <v>16</v>
      </c>
      <c r="I2059" s="6" t="e">
        <f>IF(B2059=0,VLOOKUP(A2059,Feuil2!$A$2:$M$1241,7,FALSE)," ")</f>
        <v>#N/A</v>
      </c>
      <c r="J2059" s="1" t="e">
        <f>IF(B2059=0,VLOOKUP(A2059,Feuil2!$A$2:$M$1241,9,FALSE)," ")</f>
        <v>#N/A</v>
      </c>
      <c r="K2059" s="1" t="e">
        <f>IF(B2059=0,VLOOKUP(A2059,Feuil2!$A$2:$M$1241,10,FALSE)," ")</f>
        <v>#N/A</v>
      </c>
      <c r="L2059" s="1"/>
      <c r="M2059" s="1"/>
      <c r="N2059" s="1"/>
      <c r="O2059" s="8" t="e">
        <f>IF(B2059=0,VLOOKUP(A2059,Feuil2!$A$2:$M$1241,13,FALSE)," ")</f>
        <v>#N/A</v>
      </c>
    </row>
    <row r="2060" spans="1:15" x14ac:dyDescent="0.3">
      <c r="A2060" s="1"/>
      <c r="B2060" s="1"/>
      <c r="C2060" s="1" t="e">
        <f>IF(B2060=0,VLOOKUP(A2060,Feuil2!$A$2:$M$1241,2,FALSE)," ")</f>
        <v>#N/A</v>
      </c>
      <c r="D2060" s="1" t="e">
        <f>IF(B2060=0,VLOOKUP(A2060,Feuil2!$A$2:$M$1241,3,FALSE)," ")</f>
        <v>#N/A</v>
      </c>
      <c r="E2060" s="5" t="e">
        <f>IF(B2060=0,VLOOKUP(A2060,Feuil2!$A$2:$M$1241,6,FALSE)," ")</f>
        <v>#N/A</v>
      </c>
      <c r="F2060" s="1" t="e">
        <f>IF(B2060=0,VLOOKUP(A2060,Feuil2!$A$2:$M$1241,12,FALSE)," ")</f>
        <v>#N/A</v>
      </c>
      <c r="G2060" s="1" t="e">
        <f>IF(B2060=0,VLOOKUP(A2060,Feuil2!$A$2:$M$1241,11,FALSE)," ")</f>
        <v>#N/A</v>
      </c>
      <c r="H2060" s="1" t="s">
        <v>16</v>
      </c>
      <c r="I2060" s="6" t="e">
        <f>IF(B2060=0,VLOOKUP(A2060,Feuil2!$A$2:$M$1241,7,FALSE)," ")</f>
        <v>#N/A</v>
      </c>
      <c r="J2060" s="1" t="e">
        <f>IF(B2060=0,VLOOKUP(A2060,Feuil2!$A$2:$M$1241,9,FALSE)," ")</f>
        <v>#N/A</v>
      </c>
      <c r="K2060" s="1" t="e">
        <f>IF(B2060=0,VLOOKUP(A2060,Feuil2!$A$2:$M$1241,10,FALSE)," ")</f>
        <v>#N/A</v>
      </c>
      <c r="L2060" s="1"/>
      <c r="M2060" s="1"/>
      <c r="N2060" s="1"/>
      <c r="O2060" s="8" t="e">
        <f>IF(B2060=0,VLOOKUP(A2060,Feuil2!$A$2:$M$1241,13,FALSE)," ")</f>
        <v>#N/A</v>
      </c>
    </row>
    <row r="2061" spans="1:15" x14ac:dyDescent="0.3">
      <c r="A2061" s="1"/>
      <c r="B2061" s="1"/>
      <c r="C2061" s="1" t="e">
        <f>IF(B2061=0,VLOOKUP(A2061,Feuil2!$A$2:$M$1241,2,FALSE)," ")</f>
        <v>#N/A</v>
      </c>
      <c r="D2061" s="1" t="e">
        <f>IF(B2061=0,VLOOKUP(A2061,Feuil2!$A$2:$M$1241,3,FALSE)," ")</f>
        <v>#N/A</v>
      </c>
      <c r="E2061" s="5" t="e">
        <f>IF(B2061=0,VLOOKUP(A2061,Feuil2!$A$2:$M$1241,6,FALSE)," ")</f>
        <v>#N/A</v>
      </c>
      <c r="F2061" s="1" t="e">
        <f>IF(B2061=0,VLOOKUP(A2061,Feuil2!$A$2:$M$1241,12,FALSE)," ")</f>
        <v>#N/A</v>
      </c>
      <c r="G2061" s="1" t="e">
        <f>IF(B2061=0,VLOOKUP(A2061,Feuil2!$A$2:$M$1241,11,FALSE)," ")</f>
        <v>#N/A</v>
      </c>
      <c r="H2061" s="1" t="s">
        <v>16</v>
      </c>
      <c r="I2061" s="6" t="e">
        <f>IF(B2061=0,VLOOKUP(A2061,Feuil2!$A$2:$M$1241,7,FALSE)," ")</f>
        <v>#N/A</v>
      </c>
      <c r="J2061" s="1" t="e">
        <f>IF(B2061=0,VLOOKUP(A2061,Feuil2!$A$2:$M$1241,9,FALSE)," ")</f>
        <v>#N/A</v>
      </c>
      <c r="K2061" s="1" t="e">
        <f>IF(B2061=0,VLOOKUP(A2061,Feuil2!$A$2:$M$1241,10,FALSE)," ")</f>
        <v>#N/A</v>
      </c>
      <c r="L2061" s="1"/>
      <c r="M2061" s="1"/>
      <c r="N2061" s="1"/>
      <c r="O2061" s="8" t="e">
        <f>IF(B2061=0,VLOOKUP(A2061,Feuil2!$A$2:$M$1241,13,FALSE)," ")</f>
        <v>#N/A</v>
      </c>
    </row>
    <row r="2062" spans="1:15" x14ac:dyDescent="0.3">
      <c r="A2062" s="1"/>
      <c r="B2062" s="1"/>
      <c r="C2062" s="1" t="e">
        <f>IF(B2062=0,VLOOKUP(A2062,Feuil2!$A$2:$M$1241,2,FALSE)," ")</f>
        <v>#N/A</v>
      </c>
      <c r="D2062" s="1" t="e">
        <f>IF(B2062=0,VLOOKUP(A2062,Feuil2!$A$2:$M$1241,3,FALSE)," ")</f>
        <v>#N/A</v>
      </c>
      <c r="E2062" s="5" t="e">
        <f>IF(B2062=0,VLOOKUP(A2062,Feuil2!$A$2:$M$1241,6,FALSE)," ")</f>
        <v>#N/A</v>
      </c>
      <c r="F2062" s="1" t="e">
        <f>IF(B2062=0,VLOOKUP(A2062,Feuil2!$A$2:$M$1241,12,FALSE)," ")</f>
        <v>#N/A</v>
      </c>
      <c r="G2062" s="1" t="e">
        <f>IF(B2062=0,VLOOKUP(A2062,Feuil2!$A$2:$M$1241,11,FALSE)," ")</f>
        <v>#N/A</v>
      </c>
      <c r="H2062" s="1" t="s">
        <v>16</v>
      </c>
      <c r="I2062" s="6" t="e">
        <f>IF(B2062=0,VLOOKUP(A2062,Feuil2!$A$2:$M$1241,7,FALSE)," ")</f>
        <v>#N/A</v>
      </c>
      <c r="J2062" s="1" t="e">
        <f>IF(B2062=0,VLOOKUP(A2062,Feuil2!$A$2:$M$1241,9,FALSE)," ")</f>
        <v>#N/A</v>
      </c>
      <c r="K2062" s="1" t="e">
        <f>IF(B2062=0,VLOOKUP(A2062,Feuil2!$A$2:$M$1241,10,FALSE)," ")</f>
        <v>#N/A</v>
      </c>
      <c r="L2062" s="1"/>
      <c r="M2062" s="1"/>
      <c r="N2062" s="1"/>
      <c r="O2062" s="8" t="e">
        <f>IF(B2062=0,VLOOKUP(A2062,Feuil2!$A$2:$M$1241,13,FALSE)," ")</f>
        <v>#N/A</v>
      </c>
    </row>
    <row r="2063" spans="1:15" x14ac:dyDescent="0.3">
      <c r="A2063" s="1"/>
      <c r="B2063" s="1"/>
      <c r="C2063" s="1" t="e">
        <f>IF(B2063=0,VLOOKUP(A2063,Feuil2!$A$2:$M$1241,2,FALSE)," ")</f>
        <v>#N/A</v>
      </c>
      <c r="D2063" s="1" t="e">
        <f>IF(B2063=0,VLOOKUP(A2063,Feuil2!$A$2:$M$1241,3,FALSE)," ")</f>
        <v>#N/A</v>
      </c>
      <c r="E2063" s="5" t="e">
        <f>IF(B2063=0,VLOOKUP(A2063,Feuil2!$A$2:$M$1241,6,FALSE)," ")</f>
        <v>#N/A</v>
      </c>
      <c r="F2063" s="1" t="e">
        <f>IF(B2063=0,VLOOKUP(A2063,Feuil2!$A$2:$M$1241,12,FALSE)," ")</f>
        <v>#N/A</v>
      </c>
      <c r="G2063" s="1" t="e">
        <f>IF(B2063=0,VLOOKUP(A2063,Feuil2!$A$2:$M$1241,11,FALSE)," ")</f>
        <v>#N/A</v>
      </c>
      <c r="H2063" s="1" t="s">
        <v>16</v>
      </c>
      <c r="I2063" s="6" t="e">
        <f>IF(B2063=0,VLOOKUP(A2063,Feuil2!$A$2:$M$1241,7,FALSE)," ")</f>
        <v>#N/A</v>
      </c>
      <c r="J2063" s="1" t="e">
        <f>IF(B2063=0,VLOOKUP(A2063,Feuil2!$A$2:$M$1241,9,FALSE)," ")</f>
        <v>#N/A</v>
      </c>
      <c r="K2063" s="1" t="e">
        <f>IF(B2063=0,VLOOKUP(A2063,Feuil2!$A$2:$M$1241,10,FALSE)," ")</f>
        <v>#N/A</v>
      </c>
      <c r="L2063" s="1"/>
      <c r="M2063" s="1"/>
      <c r="N2063" s="1"/>
      <c r="O2063" s="8" t="e">
        <f>IF(B2063=0,VLOOKUP(A2063,Feuil2!$A$2:$M$1241,13,FALSE)," ")</f>
        <v>#N/A</v>
      </c>
    </row>
    <row r="2064" spans="1:15" x14ac:dyDescent="0.3">
      <c r="A2064" s="1"/>
      <c r="B2064" s="1"/>
      <c r="C2064" s="1" t="e">
        <f>IF(B2064=0,VLOOKUP(A2064,Feuil2!$A$2:$M$1241,2,FALSE)," ")</f>
        <v>#N/A</v>
      </c>
      <c r="D2064" s="1" t="e">
        <f>IF(B2064=0,VLOOKUP(A2064,Feuil2!$A$2:$M$1241,3,FALSE)," ")</f>
        <v>#N/A</v>
      </c>
      <c r="E2064" s="5" t="e">
        <f>IF(B2064=0,VLOOKUP(A2064,Feuil2!$A$2:$M$1241,6,FALSE)," ")</f>
        <v>#N/A</v>
      </c>
      <c r="F2064" s="1" t="e">
        <f>IF(B2064=0,VLOOKUP(A2064,Feuil2!$A$2:$M$1241,12,FALSE)," ")</f>
        <v>#N/A</v>
      </c>
      <c r="G2064" s="1" t="e">
        <f>IF(B2064=0,VLOOKUP(A2064,Feuil2!$A$2:$M$1241,11,FALSE)," ")</f>
        <v>#N/A</v>
      </c>
      <c r="H2064" s="1" t="s">
        <v>16</v>
      </c>
      <c r="I2064" s="6" t="e">
        <f>IF(B2064=0,VLOOKUP(A2064,Feuil2!$A$2:$M$1241,7,FALSE)," ")</f>
        <v>#N/A</v>
      </c>
      <c r="J2064" s="1" t="e">
        <f>IF(B2064=0,VLOOKUP(A2064,Feuil2!$A$2:$M$1241,9,FALSE)," ")</f>
        <v>#N/A</v>
      </c>
      <c r="K2064" s="1" t="e">
        <f>IF(B2064=0,VLOOKUP(A2064,Feuil2!$A$2:$M$1241,10,FALSE)," ")</f>
        <v>#N/A</v>
      </c>
      <c r="L2064" s="1"/>
      <c r="M2064" s="1"/>
      <c r="N2064" s="1"/>
      <c r="O2064" s="8" t="e">
        <f>IF(B2064=0,VLOOKUP(A2064,Feuil2!$A$2:$M$1241,13,FALSE)," ")</f>
        <v>#N/A</v>
      </c>
    </row>
    <row r="2065" spans="1:15" x14ac:dyDescent="0.3">
      <c r="A2065" s="1"/>
      <c r="B2065" s="1"/>
      <c r="C2065" s="1" t="e">
        <f>IF(B2065=0,VLOOKUP(A2065,Feuil2!$A$2:$M$1241,2,FALSE)," ")</f>
        <v>#N/A</v>
      </c>
      <c r="D2065" s="1" t="e">
        <f>IF(B2065=0,VLOOKUP(A2065,Feuil2!$A$2:$M$1241,3,FALSE)," ")</f>
        <v>#N/A</v>
      </c>
      <c r="E2065" s="5" t="e">
        <f>IF(B2065=0,VLOOKUP(A2065,Feuil2!$A$2:$M$1241,6,FALSE)," ")</f>
        <v>#N/A</v>
      </c>
      <c r="F2065" s="1" t="e">
        <f>IF(B2065=0,VLOOKUP(A2065,Feuil2!$A$2:$M$1241,12,FALSE)," ")</f>
        <v>#N/A</v>
      </c>
      <c r="G2065" s="1" t="e">
        <f>IF(B2065=0,VLOOKUP(A2065,Feuil2!$A$2:$M$1241,11,FALSE)," ")</f>
        <v>#N/A</v>
      </c>
      <c r="H2065" s="1" t="s">
        <v>16</v>
      </c>
      <c r="I2065" s="6" t="e">
        <f>IF(B2065=0,VLOOKUP(A2065,Feuil2!$A$2:$M$1241,7,FALSE)," ")</f>
        <v>#N/A</v>
      </c>
      <c r="J2065" s="1" t="e">
        <f>IF(B2065=0,VLOOKUP(A2065,Feuil2!$A$2:$M$1241,9,FALSE)," ")</f>
        <v>#N/A</v>
      </c>
      <c r="K2065" s="1" t="e">
        <f>IF(B2065=0,VLOOKUP(A2065,Feuil2!$A$2:$M$1241,10,FALSE)," ")</f>
        <v>#N/A</v>
      </c>
      <c r="L2065" s="1"/>
      <c r="M2065" s="1"/>
      <c r="N2065" s="1"/>
      <c r="O2065" s="8" t="e">
        <f>IF(B2065=0,VLOOKUP(A2065,Feuil2!$A$2:$M$1241,13,FALSE)," ")</f>
        <v>#N/A</v>
      </c>
    </row>
    <row r="2066" spans="1:15" x14ac:dyDescent="0.3">
      <c r="A2066" s="1"/>
      <c r="B2066" s="1"/>
      <c r="C2066" s="1" t="e">
        <f>IF(B2066=0,VLOOKUP(A2066,Feuil2!$A$2:$M$1241,2,FALSE)," ")</f>
        <v>#N/A</v>
      </c>
      <c r="D2066" s="1" t="e">
        <f>IF(B2066=0,VLOOKUP(A2066,Feuil2!$A$2:$M$1241,3,FALSE)," ")</f>
        <v>#N/A</v>
      </c>
      <c r="E2066" s="5" t="e">
        <f>IF(B2066=0,VLOOKUP(A2066,Feuil2!$A$2:$M$1241,6,FALSE)," ")</f>
        <v>#N/A</v>
      </c>
      <c r="F2066" s="1" t="e">
        <f>IF(B2066=0,VLOOKUP(A2066,Feuil2!$A$2:$M$1241,12,FALSE)," ")</f>
        <v>#N/A</v>
      </c>
      <c r="G2066" s="1" t="e">
        <f>IF(B2066=0,VLOOKUP(A2066,Feuil2!$A$2:$M$1241,11,FALSE)," ")</f>
        <v>#N/A</v>
      </c>
      <c r="H2066" s="1" t="s">
        <v>16</v>
      </c>
      <c r="I2066" s="6" t="e">
        <f>IF(B2066=0,VLOOKUP(A2066,Feuil2!$A$2:$M$1241,7,FALSE)," ")</f>
        <v>#N/A</v>
      </c>
      <c r="J2066" s="1" t="e">
        <f>IF(B2066=0,VLOOKUP(A2066,Feuil2!$A$2:$M$1241,9,FALSE)," ")</f>
        <v>#N/A</v>
      </c>
      <c r="K2066" s="1" t="e">
        <f>IF(B2066=0,VLOOKUP(A2066,Feuil2!$A$2:$M$1241,10,FALSE)," ")</f>
        <v>#N/A</v>
      </c>
      <c r="L2066" s="1"/>
      <c r="M2066" s="1"/>
      <c r="N2066" s="1"/>
      <c r="O2066" s="8" t="e">
        <f>IF(B2066=0,VLOOKUP(A2066,Feuil2!$A$2:$M$1241,13,FALSE)," ")</f>
        <v>#N/A</v>
      </c>
    </row>
    <row r="2067" spans="1:15" x14ac:dyDescent="0.3">
      <c r="A2067" s="1"/>
      <c r="B2067" s="1"/>
      <c r="C2067" s="1" t="e">
        <f>IF(B2067=0,VLOOKUP(A2067,Feuil2!$A$2:$M$1241,2,FALSE)," ")</f>
        <v>#N/A</v>
      </c>
      <c r="D2067" s="1" t="e">
        <f>IF(B2067=0,VLOOKUP(A2067,Feuil2!$A$2:$M$1241,3,FALSE)," ")</f>
        <v>#N/A</v>
      </c>
      <c r="E2067" s="5" t="e">
        <f>IF(B2067=0,VLOOKUP(A2067,Feuil2!$A$2:$M$1241,6,FALSE)," ")</f>
        <v>#N/A</v>
      </c>
      <c r="F2067" s="1" t="e">
        <f>IF(B2067=0,VLOOKUP(A2067,Feuil2!$A$2:$M$1241,12,FALSE)," ")</f>
        <v>#N/A</v>
      </c>
      <c r="G2067" s="1" t="e">
        <f>IF(B2067=0,VLOOKUP(A2067,Feuil2!$A$2:$M$1241,11,FALSE)," ")</f>
        <v>#N/A</v>
      </c>
      <c r="H2067" s="1" t="s">
        <v>16</v>
      </c>
      <c r="I2067" s="6" t="e">
        <f>IF(B2067=0,VLOOKUP(A2067,Feuil2!$A$2:$M$1241,7,FALSE)," ")</f>
        <v>#N/A</v>
      </c>
      <c r="J2067" s="1" t="e">
        <f>IF(B2067=0,VLOOKUP(A2067,Feuil2!$A$2:$M$1241,9,FALSE)," ")</f>
        <v>#N/A</v>
      </c>
      <c r="K2067" s="1" t="e">
        <f>IF(B2067=0,VLOOKUP(A2067,Feuil2!$A$2:$M$1241,10,FALSE)," ")</f>
        <v>#N/A</v>
      </c>
      <c r="L2067" s="1"/>
      <c r="M2067" s="1"/>
      <c r="N2067" s="1"/>
      <c r="O2067" s="8" t="e">
        <f>IF(B2067=0,VLOOKUP(A2067,Feuil2!$A$2:$M$1241,13,FALSE)," ")</f>
        <v>#N/A</v>
      </c>
    </row>
    <row r="2068" spans="1:15" x14ac:dyDescent="0.3">
      <c r="A2068" s="1"/>
      <c r="B2068" s="1"/>
      <c r="C2068" s="1" t="e">
        <f>IF(B2068=0,VLOOKUP(A2068,Feuil2!$A$2:$M$1241,2,FALSE)," ")</f>
        <v>#N/A</v>
      </c>
      <c r="D2068" s="1" t="e">
        <f>IF(B2068=0,VLOOKUP(A2068,Feuil2!$A$2:$M$1241,3,FALSE)," ")</f>
        <v>#N/A</v>
      </c>
      <c r="E2068" s="5" t="e">
        <f>IF(B2068=0,VLOOKUP(A2068,Feuil2!$A$2:$M$1241,6,FALSE)," ")</f>
        <v>#N/A</v>
      </c>
      <c r="F2068" s="1" t="e">
        <f>IF(B2068=0,VLOOKUP(A2068,Feuil2!$A$2:$M$1241,12,FALSE)," ")</f>
        <v>#N/A</v>
      </c>
      <c r="G2068" s="1" t="e">
        <f>IF(B2068=0,VLOOKUP(A2068,Feuil2!$A$2:$M$1241,11,FALSE)," ")</f>
        <v>#N/A</v>
      </c>
      <c r="H2068" s="1" t="s">
        <v>16</v>
      </c>
      <c r="I2068" s="6" t="e">
        <f>IF(B2068=0,VLOOKUP(A2068,Feuil2!$A$2:$M$1241,7,FALSE)," ")</f>
        <v>#N/A</v>
      </c>
      <c r="J2068" s="1" t="e">
        <f>IF(B2068=0,VLOOKUP(A2068,Feuil2!$A$2:$M$1241,9,FALSE)," ")</f>
        <v>#N/A</v>
      </c>
      <c r="K2068" s="1" t="e">
        <f>IF(B2068=0,VLOOKUP(A2068,Feuil2!$A$2:$M$1241,10,FALSE)," ")</f>
        <v>#N/A</v>
      </c>
      <c r="L2068" s="1"/>
      <c r="M2068" s="1"/>
      <c r="N2068" s="1"/>
      <c r="O2068" s="8" t="e">
        <f>IF(B2068=0,VLOOKUP(A2068,Feuil2!$A$2:$M$1241,13,FALSE)," ")</f>
        <v>#N/A</v>
      </c>
    </row>
    <row r="2069" spans="1:15" x14ac:dyDescent="0.3">
      <c r="A2069" s="1"/>
      <c r="B2069" s="1"/>
      <c r="C2069" s="1" t="e">
        <f>IF(B2069=0,VLOOKUP(A2069,Feuil2!$A$2:$M$1241,2,FALSE)," ")</f>
        <v>#N/A</v>
      </c>
      <c r="D2069" s="1" t="e">
        <f>IF(B2069=0,VLOOKUP(A2069,Feuil2!$A$2:$M$1241,3,FALSE)," ")</f>
        <v>#N/A</v>
      </c>
      <c r="E2069" s="5" t="e">
        <f>IF(B2069=0,VLOOKUP(A2069,Feuil2!$A$2:$M$1241,6,FALSE)," ")</f>
        <v>#N/A</v>
      </c>
      <c r="F2069" s="1" t="e">
        <f>IF(B2069=0,VLOOKUP(A2069,Feuil2!$A$2:$M$1241,12,FALSE)," ")</f>
        <v>#N/A</v>
      </c>
      <c r="G2069" s="1" t="e">
        <f>IF(B2069=0,VLOOKUP(A2069,Feuil2!$A$2:$M$1241,11,FALSE)," ")</f>
        <v>#N/A</v>
      </c>
      <c r="H2069" s="1" t="s">
        <v>16</v>
      </c>
      <c r="I2069" s="6" t="e">
        <f>IF(B2069=0,VLOOKUP(A2069,Feuil2!$A$2:$M$1241,7,FALSE)," ")</f>
        <v>#N/A</v>
      </c>
      <c r="J2069" s="1" t="e">
        <f>IF(B2069=0,VLOOKUP(A2069,Feuil2!$A$2:$M$1241,9,FALSE)," ")</f>
        <v>#N/A</v>
      </c>
      <c r="K2069" s="1" t="e">
        <f>IF(B2069=0,VLOOKUP(A2069,Feuil2!$A$2:$M$1241,10,FALSE)," ")</f>
        <v>#N/A</v>
      </c>
      <c r="L2069" s="1"/>
      <c r="M2069" s="1"/>
      <c r="N2069" s="1"/>
      <c r="O2069" s="8" t="e">
        <f>IF(B2069=0,VLOOKUP(A2069,Feuil2!$A$2:$M$1241,13,FALSE)," ")</f>
        <v>#N/A</v>
      </c>
    </row>
    <row r="2070" spans="1:15" x14ac:dyDescent="0.3">
      <c r="A2070" s="1"/>
      <c r="B2070" s="1"/>
      <c r="C2070" s="1" t="e">
        <f>IF(B2070=0,VLOOKUP(A2070,Feuil2!$A$2:$M$1241,2,FALSE)," ")</f>
        <v>#N/A</v>
      </c>
      <c r="D2070" s="1" t="e">
        <f>IF(B2070=0,VLOOKUP(A2070,Feuil2!$A$2:$M$1241,3,FALSE)," ")</f>
        <v>#N/A</v>
      </c>
      <c r="E2070" s="5" t="e">
        <f>IF(B2070=0,VLOOKUP(A2070,Feuil2!$A$2:$M$1241,6,FALSE)," ")</f>
        <v>#N/A</v>
      </c>
      <c r="F2070" s="1" t="e">
        <f>IF(B2070=0,VLOOKUP(A2070,Feuil2!$A$2:$M$1241,12,FALSE)," ")</f>
        <v>#N/A</v>
      </c>
      <c r="G2070" s="1" t="e">
        <f>IF(B2070=0,VLOOKUP(A2070,Feuil2!$A$2:$M$1241,11,FALSE)," ")</f>
        <v>#N/A</v>
      </c>
      <c r="H2070" s="1" t="s">
        <v>16</v>
      </c>
      <c r="I2070" s="6" t="e">
        <f>IF(B2070=0,VLOOKUP(A2070,Feuil2!$A$2:$M$1241,7,FALSE)," ")</f>
        <v>#N/A</v>
      </c>
      <c r="J2070" s="1" t="e">
        <f>IF(B2070=0,VLOOKUP(A2070,Feuil2!$A$2:$M$1241,9,FALSE)," ")</f>
        <v>#N/A</v>
      </c>
      <c r="K2070" s="1" t="e">
        <f>IF(B2070=0,VLOOKUP(A2070,Feuil2!$A$2:$M$1241,10,FALSE)," ")</f>
        <v>#N/A</v>
      </c>
      <c r="L2070" s="1"/>
      <c r="M2070" s="1"/>
      <c r="N2070" s="1"/>
      <c r="O2070" s="8" t="e">
        <f>IF(B2070=0,VLOOKUP(A2070,Feuil2!$A$2:$M$1241,13,FALSE)," ")</f>
        <v>#N/A</v>
      </c>
    </row>
    <row r="2071" spans="1:15" x14ac:dyDescent="0.3">
      <c r="A2071" s="1"/>
      <c r="B2071" s="1"/>
      <c r="C2071" s="1" t="e">
        <f>IF(B2071=0,VLOOKUP(A2071,Feuil2!$A$2:$M$1241,2,FALSE)," ")</f>
        <v>#N/A</v>
      </c>
      <c r="D2071" s="1" t="e">
        <f>IF(B2071=0,VLOOKUP(A2071,Feuil2!$A$2:$M$1241,3,FALSE)," ")</f>
        <v>#N/A</v>
      </c>
      <c r="E2071" s="5" t="e">
        <f>IF(B2071=0,VLOOKUP(A2071,Feuil2!$A$2:$M$1241,6,FALSE)," ")</f>
        <v>#N/A</v>
      </c>
      <c r="F2071" s="1" t="e">
        <f>IF(B2071=0,VLOOKUP(A2071,Feuil2!$A$2:$M$1241,12,FALSE)," ")</f>
        <v>#N/A</v>
      </c>
      <c r="G2071" s="1" t="e">
        <f>IF(B2071=0,VLOOKUP(A2071,Feuil2!$A$2:$M$1241,11,FALSE)," ")</f>
        <v>#N/A</v>
      </c>
      <c r="H2071" s="1" t="s">
        <v>16</v>
      </c>
      <c r="I2071" s="6" t="e">
        <f>IF(B2071=0,VLOOKUP(A2071,Feuil2!$A$2:$M$1241,7,FALSE)," ")</f>
        <v>#N/A</v>
      </c>
      <c r="J2071" s="1" t="e">
        <f>IF(B2071=0,VLOOKUP(A2071,Feuil2!$A$2:$M$1241,9,FALSE)," ")</f>
        <v>#N/A</v>
      </c>
      <c r="K2071" s="1" t="e">
        <f>IF(B2071=0,VLOOKUP(A2071,Feuil2!$A$2:$M$1241,10,FALSE)," ")</f>
        <v>#N/A</v>
      </c>
      <c r="L2071" s="1"/>
      <c r="M2071" s="1"/>
      <c r="N2071" s="1"/>
      <c r="O2071" s="8" t="e">
        <f>IF(B2071=0,VLOOKUP(A2071,Feuil2!$A$2:$M$1241,13,FALSE)," ")</f>
        <v>#N/A</v>
      </c>
    </row>
    <row r="2072" spans="1:15" x14ac:dyDescent="0.3">
      <c r="A2072" s="1"/>
      <c r="B2072" s="1"/>
      <c r="C2072" s="1" t="e">
        <f>IF(B2072=0,VLOOKUP(A2072,Feuil2!$A$2:$M$1241,2,FALSE)," ")</f>
        <v>#N/A</v>
      </c>
      <c r="D2072" s="1" t="e">
        <f>IF(B2072=0,VLOOKUP(A2072,Feuil2!$A$2:$M$1241,3,FALSE)," ")</f>
        <v>#N/A</v>
      </c>
      <c r="E2072" s="5" t="e">
        <f>IF(B2072=0,VLOOKUP(A2072,Feuil2!$A$2:$M$1241,6,FALSE)," ")</f>
        <v>#N/A</v>
      </c>
      <c r="F2072" s="1" t="e">
        <f>IF(B2072=0,VLOOKUP(A2072,Feuil2!$A$2:$M$1241,12,FALSE)," ")</f>
        <v>#N/A</v>
      </c>
      <c r="G2072" s="1" t="e">
        <f>IF(B2072=0,VLOOKUP(A2072,Feuil2!$A$2:$M$1241,11,FALSE)," ")</f>
        <v>#N/A</v>
      </c>
      <c r="H2072" s="1" t="s">
        <v>16</v>
      </c>
      <c r="I2072" s="6" t="e">
        <f>IF(B2072=0,VLOOKUP(A2072,Feuil2!$A$2:$M$1241,7,FALSE)," ")</f>
        <v>#N/A</v>
      </c>
      <c r="J2072" s="1" t="e">
        <f>IF(B2072=0,VLOOKUP(A2072,Feuil2!$A$2:$M$1241,9,FALSE)," ")</f>
        <v>#N/A</v>
      </c>
      <c r="K2072" s="1" t="e">
        <f>IF(B2072=0,VLOOKUP(A2072,Feuil2!$A$2:$M$1241,10,FALSE)," ")</f>
        <v>#N/A</v>
      </c>
      <c r="L2072" s="1"/>
      <c r="M2072" s="1"/>
      <c r="N2072" s="1"/>
      <c r="O2072" s="8" t="e">
        <f>IF(B2072=0,VLOOKUP(A2072,Feuil2!$A$2:$M$1241,13,FALSE)," ")</f>
        <v>#N/A</v>
      </c>
    </row>
    <row r="2073" spans="1:15" x14ac:dyDescent="0.3">
      <c r="A2073" s="1"/>
      <c r="B2073" s="1"/>
      <c r="C2073" s="1" t="e">
        <f>IF(B2073=0,VLOOKUP(A2073,Feuil2!$A$2:$M$1241,2,FALSE)," ")</f>
        <v>#N/A</v>
      </c>
      <c r="D2073" s="1" t="e">
        <f>IF(B2073=0,VLOOKUP(A2073,Feuil2!$A$2:$M$1241,3,FALSE)," ")</f>
        <v>#N/A</v>
      </c>
      <c r="E2073" s="5" t="e">
        <f>IF(B2073=0,VLOOKUP(A2073,Feuil2!$A$2:$M$1241,6,FALSE)," ")</f>
        <v>#N/A</v>
      </c>
      <c r="F2073" s="1" t="e">
        <f>IF(B2073=0,VLOOKUP(A2073,Feuil2!$A$2:$M$1241,12,FALSE)," ")</f>
        <v>#N/A</v>
      </c>
      <c r="G2073" s="1" t="e">
        <f>IF(B2073=0,VLOOKUP(A2073,Feuil2!$A$2:$M$1241,11,FALSE)," ")</f>
        <v>#N/A</v>
      </c>
      <c r="H2073" s="1" t="s">
        <v>16</v>
      </c>
      <c r="I2073" s="6" t="e">
        <f>IF(B2073=0,VLOOKUP(A2073,Feuil2!$A$2:$M$1241,7,FALSE)," ")</f>
        <v>#N/A</v>
      </c>
      <c r="J2073" s="1" t="e">
        <f>IF(B2073=0,VLOOKUP(A2073,Feuil2!$A$2:$M$1241,9,FALSE)," ")</f>
        <v>#N/A</v>
      </c>
      <c r="K2073" s="1" t="e">
        <f>IF(B2073=0,VLOOKUP(A2073,Feuil2!$A$2:$M$1241,10,FALSE)," ")</f>
        <v>#N/A</v>
      </c>
      <c r="L2073" s="1"/>
      <c r="M2073" s="1"/>
      <c r="N2073" s="1"/>
      <c r="O2073" s="8" t="e">
        <f>IF(B2073=0,VLOOKUP(A2073,Feuil2!$A$2:$M$1241,13,FALSE)," ")</f>
        <v>#N/A</v>
      </c>
    </row>
    <row r="2074" spans="1:15" x14ac:dyDescent="0.3">
      <c r="A2074" s="1"/>
      <c r="B2074" s="1"/>
      <c r="C2074" s="1" t="e">
        <f>IF(B2074=0,VLOOKUP(A2074,Feuil2!$A$2:$M$1241,2,FALSE)," ")</f>
        <v>#N/A</v>
      </c>
      <c r="D2074" s="1" t="e">
        <f>IF(B2074=0,VLOOKUP(A2074,Feuil2!$A$2:$M$1241,3,FALSE)," ")</f>
        <v>#N/A</v>
      </c>
      <c r="E2074" s="5" t="e">
        <f>IF(B2074=0,VLOOKUP(A2074,Feuil2!$A$2:$M$1241,6,FALSE)," ")</f>
        <v>#N/A</v>
      </c>
      <c r="F2074" s="1" t="e">
        <f>IF(B2074=0,VLOOKUP(A2074,Feuil2!$A$2:$M$1241,12,FALSE)," ")</f>
        <v>#N/A</v>
      </c>
      <c r="G2074" s="1" t="e">
        <f>IF(B2074=0,VLOOKUP(A2074,Feuil2!$A$2:$M$1241,11,FALSE)," ")</f>
        <v>#N/A</v>
      </c>
      <c r="H2074" s="1" t="s">
        <v>16</v>
      </c>
      <c r="I2074" s="6" t="e">
        <f>IF(B2074=0,VLOOKUP(A2074,Feuil2!$A$2:$M$1241,7,FALSE)," ")</f>
        <v>#N/A</v>
      </c>
      <c r="J2074" s="1" t="e">
        <f>IF(B2074=0,VLOOKUP(A2074,Feuil2!$A$2:$M$1241,9,FALSE)," ")</f>
        <v>#N/A</v>
      </c>
      <c r="K2074" s="1" t="e">
        <f>IF(B2074=0,VLOOKUP(A2074,Feuil2!$A$2:$M$1241,10,FALSE)," ")</f>
        <v>#N/A</v>
      </c>
      <c r="L2074" s="1"/>
      <c r="M2074" s="1"/>
      <c r="N2074" s="1"/>
      <c r="O2074" s="8" t="e">
        <f>IF(B2074=0,VLOOKUP(A2074,Feuil2!$A$2:$M$1241,13,FALSE)," ")</f>
        <v>#N/A</v>
      </c>
    </row>
    <row r="2075" spans="1:15" x14ac:dyDescent="0.3">
      <c r="A2075" s="1"/>
      <c r="B2075" s="1"/>
      <c r="C2075" s="1" t="e">
        <f>IF(B2075=0,VLOOKUP(A2075,Feuil2!$A$2:$M$1241,2,FALSE)," ")</f>
        <v>#N/A</v>
      </c>
      <c r="D2075" s="1" t="e">
        <f>IF(B2075=0,VLOOKUP(A2075,Feuil2!$A$2:$M$1241,3,FALSE)," ")</f>
        <v>#N/A</v>
      </c>
      <c r="E2075" s="5" t="e">
        <f>IF(B2075=0,VLOOKUP(A2075,Feuil2!$A$2:$M$1241,6,FALSE)," ")</f>
        <v>#N/A</v>
      </c>
      <c r="F2075" s="1" t="e">
        <f>IF(B2075=0,VLOOKUP(A2075,Feuil2!$A$2:$M$1241,12,FALSE)," ")</f>
        <v>#N/A</v>
      </c>
      <c r="G2075" s="1" t="e">
        <f>IF(B2075=0,VLOOKUP(A2075,Feuil2!$A$2:$M$1241,11,FALSE)," ")</f>
        <v>#N/A</v>
      </c>
      <c r="H2075" s="1" t="s">
        <v>16</v>
      </c>
      <c r="I2075" s="6" t="e">
        <f>IF(B2075=0,VLOOKUP(A2075,Feuil2!$A$2:$M$1241,7,FALSE)," ")</f>
        <v>#N/A</v>
      </c>
      <c r="J2075" s="1" t="e">
        <f>IF(B2075=0,VLOOKUP(A2075,Feuil2!$A$2:$M$1241,9,FALSE)," ")</f>
        <v>#N/A</v>
      </c>
      <c r="K2075" s="1" t="e">
        <f>IF(B2075=0,VLOOKUP(A2075,Feuil2!$A$2:$M$1241,10,FALSE)," ")</f>
        <v>#N/A</v>
      </c>
      <c r="L2075" s="1"/>
      <c r="M2075" s="1"/>
      <c r="N2075" s="1"/>
      <c r="O2075" s="8" t="e">
        <f>IF(B2075=0,VLOOKUP(A2075,Feuil2!$A$2:$M$1241,13,FALSE)," ")</f>
        <v>#N/A</v>
      </c>
    </row>
    <row r="2076" spans="1:15" x14ac:dyDescent="0.3">
      <c r="A2076" s="1"/>
      <c r="B2076" s="1"/>
      <c r="C2076" s="1" t="e">
        <f>IF(B2076=0,VLOOKUP(A2076,Feuil2!$A$2:$M$1241,2,FALSE)," ")</f>
        <v>#N/A</v>
      </c>
      <c r="D2076" s="1" t="e">
        <f>IF(B2076=0,VLOOKUP(A2076,Feuil2!$A$2:$M$1241,3,FALSE)," ")</f>
        <v>#N/A</v>
      </c>
      <c r="E2076" s="5" t="e">
        <f>IF(B2076=0,VLOOKUP(A2076,Feuil2!$A$2:$M$1241,6,FALSE)," ")</f>
        <v>#N/A</v>
      </c>
      <c r="F2076" s="1" t="e">
        <f>IF(B2076=0,VLOOKUP(A2076,Feuil2!$A$2:$M$1241,12,FALSE)," ")</f>
        <v>#N/A</v>
      </c>
      <c r="G2076" s="1" t="e">
        <f>IF(B2076=0,VLOOKUP(A2076,Feuil2!$A$2:$M$1241,11,FALSE)," ")</f>
        <v>#N/A</v>
      </c>
      <c r="H2076" s="1" t="s">
        <v>16</v>
      </c>
      <c r="I2076" s="6" t="e">
        <f>IF(B2076=0,VLOOKUP(A2076,Feuil2!$A$2:$M$1241,7,FALSE)," ")</f>
        <v>#N/A</v>
      </c>
      <c r="J2076" s="1" t="e">
        <f>IF(B2076=0,VLOOKUP(A2076,Feuil2!$A$2:$M$1241,9,FALSE)," ")</f>
        <v>#N/A</v>
      </c>
      <c r="K2076" s="1" t="e">
        <f>IF(B2076=0,VLOOKUP(A2076,Feuil2!$A$2:$M$1241,10,FALSE)," ")</f>
        <v>#N/A</v>
      </c>
      <c r="L2076" s="1"/>
      <c r="M2076" s="1"/>
      <c r="N2076" s="1"/>
      <c r="O2076" s="8" t="e">
        <f>IF(B2076=0,VLOOKUP(A2076,Feuil2!$A$2:$M$1241,13,FALSE)," ")</f>
        <v>#N/A</v>
      </c>
    </row>
    <row r="2077" spans="1:15" x14ac:dyDescent="0.3">
      <c r="A2077" s="1"/>
      <c r="B2077" s="1"/>
      <c r="C2077" s="1" t="e">
        <f>IF(B2077=0,VLOOKUP(A2077,Feuil2!$A$2:$M$1241,2,FALSE)," ")</f>
        <v>#N/A</v>
      </c>
      <c r="D2077" s="1" t="e">
        <f>IF(B2077=0,VLOOKUP(A2077,Feuil2!$A$2:$M$1241,3,FALSE)," ")</f>
        <v>#N/A</v>
      </c>
      <c r="E2077" s="5" t="e">
        <f>IF(B2077=0,VLOOKUP(A2077,Feuil2!$A$2:$M$1241,6,FALSE)," ")</f>
        <v>#N/A</v>
      </c>
      <c r="F2077" s="1" t="e">
        <f>IF(B2077=0,VLOOKUP(A2077,Feuil2!$A$2:$M$1241,12,FALSE)," ")</f>
        <v>#N/A</v>
      </c>
      <c r="G2077" s="1" t="e">
        <f>IF(B2077=0,VLOOKUP(A2077,Feuil2!$A$2:$M$1241,11,FALSE)," ")</f>
        <v>#N/A</v>
      </c>
      <c r="H2077" s="1" t="s">
        <v>16</v>
      </c>
      <c r="I2077" s="6" t="e">
        <f>IF(B2077=0,VLOOKUP(A2077,Feuil2!$A$2:$M$1241,7,FALSE)," ")</f>
        <v>#N/A</v>
      </c>
      <c r="J2077" s="1" t="e">
        <f>IF(B2077=0,VLOOKUP(A2077,Feuil2!$A$2:$M$1241,9,FALSE)," ")</f>
        <v>#N/A</v>
      </c>
      <c r="K2077" s="1" t="e">
        <f>IF(B2077=0,VLOOKUP(A2077,Feuil2!$A$2:$M$1241,10,FALSE)," ")</f>
        <v>#N/A</v>
      </c>
      <c r="L2077" s="1"/>
      <c r="M2077" s="1"/>
      <c r="N2077" s="1"/>
      <c r="O2077" s="8" t="e">
        <f>IF(B2077=0,VLOOKUP(A2077,Feuil2!$A$2:$M$1241,13,FALSE)," ")</f>
        <v>#N/A</v>
      </c>
    </row>
    <row r="2078" spans="1:15" x14ac:dyDescent="0.3">
      <c r="A2078" s="1"/>
      <c r="B2078" s="1"/>
      <c r="C2078" s="1" t="e">
        <f>IF(B2078=0,VLOOKUP(A2078,Feuil2!$A$2:$M$1241,2,FALSE)," ")</f>
        <v>#N/A</v>
      </c>
      <c r="D2078" s="1" t="e">
        <f>IF(B2078=0,VLOOKUP(A2078,Feuil2!$A$2:$M$1241,3,FALSE)," ")</f>
        <v>#N/A</v>
      </c>
      <c r="E2078" s="5" t="e">
        <f>IF(B2078=0,VLOOKUP(A2078,Feuil2!$A$2:$M$1241,6,FALSE)," ")</f>
        <v>#N/A</v>
      </c>
      <c r="F2078" s="1" t="e">
        <f>IF(B2078=0,VLOOKUP(A2078,Feuil2!$A$2:$M$1241,12,FALSE)," ")</f>
        <v>#N/A</v>
      </c>
      <c r="G2078" s="1" t="e">
        <f>IF(B2078=0,VLOOKUP(A2078,Feuil2!$A$2:$M$1241,11,FALSE)," ")</f>
        <v>#N/A</v>
      </c>
      <c r="H2078" s="1" t="s">
        <v>16</v>
      </c>
      <c r="I2078" s="6" t="e">
        <f>IF(B2078=0,VLOOKUP(A2078,Feuil2!$A$2:$M$1241,7,FALSE)," ")</f>
        <v>#N/A</v>
      </c>
      <c r="J2078" s="1" t="e">
        <f>IF(B2078=0,VLOOKUP(A2078,Feuil2!$A$2:$M$1241,9,FALSE)," ")</f>
        <v>#N/A</v>
      </c>
      <c r="K2078" s="1" t="e">
        <f>IF(B2078=0,VLOOKUP(A2078,Feuil2!$A$2:$M$1241,10,FALSE)," ")</f>
        <v>#N/A</v>
      </c>
      <c r="L2078" s="1"/>
      <c r="M2078" s="1"/>
      <c r="N2078" s="1"/>
      <c r="O2078" s="8" t="e">
        <f>IF(B2078=0,VLOOKUP(A2078,Feuil2!$A$2:$M$1241,13,FALSE)," ")</f>
        <v>#N/A</v>
      </c>
    </row>
    <row r="2079" spans="1:15" x14ac:dyDescent="0.3">
      <c r="A2079" s="1"/>
      <c r="B2079" s="1"/>
      <c r="C2079" s="1" t="e">
        <f>IF(B2079=0,VLOOKUP(A2079,Feuil2!$A$2:$M$1241,2,FALSE)," ")</f>
        <v>#N/A</v>
      </c>
      <c r="D2079" s="1" t="e">
        <f>IF(B2079=0,VLOOKUP(A2079,Feuil2!$A$2:$M$1241,3,FALSE)," ")</f>
        <v>#N/A</v>
      </c>
      <c r="E2079" s="5" t="e">
        <f>IF(B2079=0,VLOOKUP(A2079,Feuil2!$A$2:$M$1241,6,FALSE)," ")</f>
        <v>#N/A</v>
      </c>
      <c r="F2079" s="1" t="e">
        <f>IF(B2079=0,VLOOKUP(A2079,Feuil2!$A$2:$M$1241,12,FALSE)," ")</f>
        <v>#N/A</v>
      </c>
      <c r="G2079" s="1" t="e">
        <f>IF(B2079=0,VLOOKUP(A2079,Feuil2!$A$2:$M$1241,11,FALSE)," ")</f>
        <v>#N/A</v>
      </c>
      <c r="H2079" s="1" t="s">
        <v>16</v>
      </c>
      <c r="I2079" s="6" t="e">
        <f>IF(B2079=0,VLOOKUP(A2079,Feuil2!$A$2:$M$1241,7,FALSE)," ")</f>
        <v>#N/A</v>
      </c>
      <c r="J2079" s="1" t="e">
        <f>IF(B2079=0,VLOOKUP(A2079,Feuil2!$A$2:$M$1241,9,FALSE)," ")</f>
        <v>#N/A</v>
      </c>
      <c r="K2079" s="1" t="e">
        <f>IF(B2079=0,VLOOKUP(A2079,Feuil2!$A$2:$M$1241,10,FALSE)," ")</f>
        <v>#N/A</v>
      </c>
      <c r="L2079" s="1"/>
      <c r="M2079" s="1"/>
      <c r="N2079" s="1"/>
      <c r="O2079" s="8" t="e">
        <f>IF(B2079=0,VLOOKUP(A2079,Feuil2!$A$2:$M$1241,13,FALSE)," ")</f>
        <v>#N/A</v>
      </c>
    </row>
    <row r="2080" spans="1:15" x14ac:dyDescent="0.3">
      <c r="A2080" s="1"/>
      <c r="B2080" s="1"/>
      <c r="C2080" s="1" t="e">
        <f>IF(B2080=0,VLOOKUP(A2080,Feuil2!$A$2:$M$1241,2,FALSE)," ")</f>
        <v>#N/A</v>
      </c>
      <c r="D2080" s="1" t="e">
        <f>IF(B2080=0,VLOOKUP(A2080,Feuil2!$A$2:$M$1241,3,FALSE)," ")</f>
        <v>#N/A</v>
      </c>
      <c r="E2080" s="5" t="e">
        <f>IF(B2080=0,VLOOKUP(A2080,Feuil2!$A$2:$M$1241,6,FALSE)," ")</f>
        <v>#N/A</v>
      </c>
      <c r="F2080" s="1" t="e">
        <f>IF(B2080=0,VLOOKUP(A2080,Feuil2!$A$2:$M$1241,12,FALSE)," ")</f>
        <v>#N/A</v>
      </c>
      <c r="G2080" s="1" t="e">
        <f>IF(B2080=0,VLOOKUP(A2080,Feuil2!$A$2:$M$1241,11,FALSE)," ")</f>
        <v>#N/A</v>
      </c>
      <c r="H2080" s="1" t="s">
        <v>16</v>
      </c>
      <c r="I2080" s="6" t="e">
        <f>IF(B2080=0,VLOOKUP(A2080,Feuil2!$A$2:$M$1241,7,FALSE)," ")</f>
        <v>#N/A</v>
      </c>
      <c r="J2080" s="1" t="e">
        <f>IF(B2080=0,VLOOKUP(A2080,Feuil2!$A$2:$M$1241,9,FALSE)," ")</f>
        <v>#N/A</v>
      </c>
      <c r="K2080" s="1" t="e">
        <f>IF(B2080=0,VLOOKUP(A2080,Feuil2!$A$2:$M$1241,10,FALSE)," ")</f>
        <v>#N/A</v>
      </c>
      <c r="L2080" s="1"/>
      <c r="M2080" s="1"/>
      <c r="N2080" s="1"/>
      <c r="O2080" s="8" t="e">
        <f>IF(B2080=0,VLOOKUP(A2080,Feuil2!$A$2:$M$1241,13,FALSE)," ")</f>
        <v>#N/A</v>
      </c>
    </row>
    <row r="2081" spans="1:15" x14ac:dyDescent="0.3">
      <c r="A2081" s="1"/>
      <c r="B2081" s="1"/>
      <c r="C2081" s="1" t="e">
        <f>IF(B2081=0,VLOOKUP(A2081,Feuil2!$A$2:$M$1241,2,FALSE)," ")</f>
        <v>#N/A</v>
      </c>
      <c r="D2081" s="1" t="e">
        <f>IF(B2081=0,VLOOKUP(A2081,Feuil2!$A$2:$M$1241,3,FALSE)," ")</f>
        <v>#N/A</v>
      </c>
      <c r="E2081" s="5" t="e">
        <f>IF(B2081=0,VLOOKUP(A2081,Feuil2!$A$2:$M$1241,6,FALSE)," ")</f>
        <v>#N/A</v>
      </c>
      <c r="F2081" s="1" t="e">
        <f>IF(B2081=0,VLOOKUP(A2081,Feuil2!$A$2:$M$1241,12,FALSE)," ")</f>
        <v>#N/A</v>
      </c>
      <c r="G2081" s="1" t="e">
        <f>IF(B2081=0,VLOOKUP(A2081,Feuil2!$A$2:$M$1241,11,FALSE)," ")</f>
        <v>#N/A</v>
      </c>
      <c r="H2081" s="1" t="s">
        <v>16</v>
      </c>
      <c r="I2081" s="6" t="e">
        <f>IF(B2081=0,VLOOKUP(A2081,Feuil2!$A$2:$M$1241,7,FALSE)," ")</f>
        <v>#N/A</v>
      </c>
      <c r="J2081" s="1" t="e">
        <f>IF(B2081=0,VLOOKUP(A2081,Feuil2!$A$2:$M$1241,9,FALSE)," ")</f>
        <v>#N/A</v>
      </c>
      <c r="K2081" s="1" t="e">
        <f>IF(B2081=0,VLOOKUP(A2081,Feuil2!$A$2:$M$1241,10,FALSE)," ")</f>
        <v>#N/A</v>
      </c>
      <c r="L2081" s="1"/>
      <c r="M2081" s="1"/>
      <c r="N2081" s="1"/>
      <c r="O2081" s="8" t="e">
        <f>IF(B2081=0,VLOOKUP(A2081,Feuil2!$A$2:$M$1241,13,FALSE)," ")</f>
        <v>#N/A</v>
      </c>
    </row>
    <row r="2082" spans="1:15" x14ac:dyDescent="0.3">
      <c r="A2082" s="1"/>
      <c r="B2082" s="1"/>
      <c r="C2082" s="1" t="e">
        <f>IF(B2082=0,VLOOKUP(A2082,Feuil2!$A$2:$M$1241,2,FALSE)," ")</f>
        <v>#N/A</v>
      </c>
      <c r="D2082" s="1" t="e">
        <f>IF(B2082=0,VLOOKUP(A2082,Feuil2!$A$2:$M$1241,3,FALSE)," ")</f>
        <v>#N/A</v>
      </c>
      <c r="E2082" s="5" t="e">
        <f>IF(B2082=0,VLOOKUP(A2082,Feuil2!$A$2:$M$1241,6,FALSE)," ")</f>
        <v>#N/A</v>
      </c>
      <c r="F2082" s="1" t="e">
        <f>IF(B2082=0,VLOOKUP(A2082,Feuil2!$A$2:$M$1241,12,FALSE)," ")</f>
        <v>#N/A</v>
      </c>
      <c r="G2082" s="1" t="e">
        <f>IF(B2082=0,VLOOKUP(A2082,Feuil2!$A$2:$M$1241,11,FALSE)," ")</f>
        <v>#N/A</v>
      </c>
      <c r="H2082" s="1" t="s">
        <v>16</v>
      </c>
      <c r="I2082" s="6" t="e">
        <f>IF(B2082=0,VLOOKUP(A2082,Feuil2!$A$2:$M$1241,7,FALSE)," ")</f>
        <v>#N/A</v>
      </c>
      <c r="J2082" s="1" t="e">
        <f>IF(B2082=0,VLOOKUP(A2082,Feuil2!$A$2:$M$1241,9,FALSE)," ")</f>
        <v>#N/A</v>
      </c>
      <c r="K2082" s="1" t="e">
        <f>IF(B2082=0,VLOOKUP(A2082,Feuil2!$A$2:$M$1241,10,FALSE)," ")</f>
        <v>#N/A</v>
      </c>
      <c r="L2082" s="1"/>
      <c r="M2082" s="1"/>
      <c r="N2082" s="1"/>
      <c r="O2082" s="8" t="e">
        <f>IF(B2082=0,VLOOKUP(A2082,Feuil2!$A$2:$M$1241,13,FALSE)," ")</f>
        <v>#N/A</v>
      </c>
    </row>
    <row r="2083" spans="1:15" x14ac:dyDescent="0.3">
      <c r="A2083" s="1"/>
      <c r="B2083" s="1"/>
      <c r="C2083" s="1" t="e">
        <f>IF(B2083=0,VLOOKUP(A2083,Feuil2!$A$2:$M$1241,2,FALSE)," ")</f>
        <v>#N/A</v>
      </c>
      <c r="D2083" s="1" t="e">
        <f>IF(B2083=0,VLOOKUP(A2083,Feuil2!$A$2:$M$1241,3,FALSE)," ")</f>
        <v>#N/A</v>
      </c>
      <c r="E2083" s="5" t="e">
        <f>IF(B2083=0,VLOOKUP(A2083,Feuil2!$A$2:$M$1241,6,FALSE)," ")</f>
        <v>#N/A</v>
      </c>
      <c r="F2083" s="1" t="e">
        <f>IF(B2083=0,VLOOKUP(A2083,Feuil2!$A$2:$M$1241,12,FALSE)," ")</f>
        <v>#N/A</v>
      </c>
      <c r="G2083" s="1" t="e">
        <f>IF(B2083=0,VLOOKUP(A2083,Feuil2!$A$2:$M$1241,11,FALSE)," ")</f>
        <v>#N/A</v>
      </c>
      <c r="H2083" s="1" t="s">
        <v>16</v>
      </c>
      <c r="I2083" s="6" t="e">
        <f>IF(B2083=0,VLOOKUP(A2083,Feuil2!$A$2:$M$1241,7,FALSE)," ")</f>
        <v>#N/A</v>
      </c>
      <c r="J2083" s="1" t="e">
        <f>IF(B2083=0,VLOOKUP(A2083,Feuil2!$A$2:$M$1241,9,FALSE)," ")</f>
        <v>#N/A</v>
      </c>
      <c r="K2083" s="1" t="e">
        <f>IF(B2083=0,VLOOKUP(A2083,Feuil2!$A$2:$M$1241,10,FALSE)," ")</f>
        <v>#N/A</v>
      </c>
      <c r="L2083" s="1"/>
      <c r="M2083" s="1"/>
      <c r="N2083" s="1"/>
      <c r="O2083" s="8" t="e">
        <f>IF(B2083=0,VLOOKUP(A2083,Feuil2!$A$2:$M$1241,13,FALSE)," ")</f>
        <v>#N/A</v>
      </c>
    </row>
    <row r="2084" spans="1:15" x14ac:dyDescent="0.3">
      <c r="A2084" s="1"/>
      <c r="B2084" s="1"/>
      <c r="C2084" s="1" t="e">
        <f>IF(B2084=0,VLOOKUP(A2084,Feuil2!$A$2:$M$1241,2,FALSE)," ")</f>
        <v>#N/A</v>
      </c>
      <c r="D2084" s="1" t="e">
        <f>IF(B2084=0,VLOOKUP(A2084,Feuil2!$A$2:$M$1241,3,FALSE)," ")</f>
        <v>#N/A</v>
      </c>
      <c r="E2084" s="5" t="e">
        <f>IF(B2084=0,VLOOKUP(A2084,Feuil2!$A$2:$M$1241,6,FALSE)," ")</f>
        <v>#N/A</v>
      </c>
      <c r="F2084" s="1" t="e">
        <f>IF(B2084=0,VLOOKUP(A2084,Feuil2!$A$2:$M$1241,12,FALSE)," ")</f>
        <v>#N/A</v>
      </c>
      <c r="G2084" s="1" t="e">
        <f>IF(B2084=0,VLOOKUP(A2084,Feuil2!$A$2:$M$1241,11,FALSE)," ")</f>
        <v>#N/A</v>
      </c>
      <c r="H2084" s="1" t="s">
        <v>16</v>
      </c>
      <c r="I2084" s="6" t="e">
        <f>IF(B2084=0,VLOOKUP(A2084,Feuil2!$A$2:$M$1241,7,FALSE)," ")</f>
        <v>#N/A</v>
      </c>
      <c r="J2084" s="1" t="e">
        <f>IF(B2084=0,VLOOKUP(A2084,Feuil2!$A$2:$M$1241,9,FALSE)," ")</f>
        <v>#N/A</v>
      </c>
      <c r="K2084" s="1" t="e">
        <f>IF(B2084=0,VLOOKUP(A2084,Feuil2!$A$2:$M$1241,10,FALSE)," ")</f>
        <v>#N/A</v>
      </c>
      <c r="L2084" s="1"/>
      <c r="M2084" s="1"/>
      <c r="N2084" s="1"/>
      <c r="O2084" s="8" t="e">
        <f>IF(B2084=0,VLOOKUP(A2084,Feuil2!$A$2:$M$1241,13,FALSE)," ")</f>
        <v>#N/A</v>
      </c>
    </row>
    <row r="2085" spans="1:15" x14ac:dyDescent="0.3">
      <c r="A2085" s="1"/>
      <c r="B2085" s="1"/>
      <c r="C2085" s="1" t="e">
        <f>IF(B2085=0,VLOOKUP(A2085,Feuil2!$A$2:$M$1241,2,FALSE)," ")</f>
        <v>#N/A</v>
      </c>
      <c r="D2085" s="1" t="e">
        <f>IF(B2085=0,VLOOKUP(A2085,Feuil2!$A$2:$M$1241,3,FALSE)," ")</f>
        <v>#N/A</v>
      </c>
      <c r="E2085" s="5" t="e">
        <f>IF(B2085=0,VLOOKUP(A2085,Feuil2!$A$2:$M$1241,6,FALSE)," ")</f>
        <v>#N/A</v>
      </c>
      <c r="F2085" s="1" t="e">
        <f>IF(B2085=0,VLOOKUP(A2085,Feuil2!$A$2:$M$1241,12,FALSE)," ")</f>
        <v>#N/A</v>
      </c>
      <c r="G2085" s="1" t="e">
        <f>IF(B2085=0,VLOOKUP(A2085,Feuil2!$A$2:$M$1241,11,FALSE)," ")</f>
        <v>#N/A</v>
      </c>
      <c r="H2085" s="1" t="s">
        <v>16</v>
      </c>
      <c r="I2085" s="6" t="e">
        <f>IF(B2085=0,VLOOKUP(A2085,Feuil2!$A$2:$M$1241,7,FALSE)," ")</f>
        <v>#N/A</v>
      </c>
      <c r="J2085" s="1" t="e">
        <f>IF(B2085=0,VLOOKUP(A2085,Feuil2!$A$2:$M$1241,9,FALSE)," ")</f>
        <v>#N/A</v>
      </c>
      <c r="K2085" s="1" t="e">
        <f>IF(B2085=0,VLOOKUP(A2085,Feuil2!$A$2:$M$1241,10,FALSE)," ")</f>
        <v>#N/A</v>
      </c>
      <c r="L2085" s="1"/>
      <c r="M2085" s="1"/>
      <c r="N2085" s="1"/>
      <c r="O2085" s="8" t="e">
        <f>IF(B2085=0,VLOOKUP(A2085,Feuil2!$A$2:$M$1241,13,FALSE)," ")</f>
        <v>#N/A</v>
      </c>
    </row>
    <row r="2086" spans="1:15" x14ac:dyDescent="0.3">
      <c r="A2086" s="1"/>
      <c r="B2086" s="1"/>
      <c r="C2086" s="1" t="e">
        <f>IF(B2086=0,VLOOKUP(A2086,Feuil2!$A$2:$M$1241,2,FALSE)," ")</f>
        <v>#N/A</v>
      </c>
      <c r="D2086" s="1" t="e">
        <f>IF(B2086=0,VLOOKUP(A2086,Feuil2!$A$2:$M$1241,3,FALSE)," ")</f>
        <v>#N/A</v>
      </c>
      <c r="E2086" s="5" t="e">
        <f>IF(B2086=0,VLOOKUP(A2086,Feuil2!$A$2:$M$1241,6,FALSE)," ")</f>
        <v>#N/A</v>
      </c>
      <c r="F2086" s="1" t="e">
        <f>IF(B2086=0,VLOOKUP(A2086,Feuil2!$A$2:$M$1241,12,FALSE)," ")</f>
        <v>#N/A</v>
      </c>
      <c r="G2086" s="1" t="e">
        <f>IF(B2086=0,VLOOKUP(A2086,Feuil2!$A$2:$M$1241,11,FALSE)," ")</f>
        <v>#N/A</v>
      </c>
      <c r="H2086" s="1" t="s">
        <v>16</v>
      </c>
      <c r="I2086" s="6" t="e">
        <f>IF(B2086=0,VLOOKUP(A2086,Feuil2!$A$2:$M$1241,7,FALSE)," ")</f>
        <v>#N/A</v>
      </c>
      <c r="J2086" s="1" t="e">
        <f>IF(B2086=0,VLOOKUP(A2086,Feuil2!$A$2:$M$1241,9,FALSE)," ")</f>
        <v>#N/A</v>
      </c>
      <c r="K2086" s="1" t="e">
        <f>IF(B2086=0,VLOOKUP(A2086,Feuil2!$A$2:$M$1241,10,FALSE)," ")</f>
        <v>#N/A</v>
      </c>
      <c r="L2086" s="1"/>
      <c r="M2086" s="1"/>
      <c r="N2086" s="1"/>
      <c r="O2086" s="8" t="e">
        <f>IF(B2086=0,VLOOKUP(A2086,Feuil2!$A$2:$M$1241,13,FALSE)," ")</f>
        <v>#N/A</v>
      </c>
    </row>
    <row r="2087" spans="1:15" x14ac:dyDescent="0.3">
      <c r="A2087" s="1"/>
      <c r="B2087" s="1"/>
      <c r="C2087" s="1" t="e">
        <f>IF(B2087=0,VLOOKUP(A2087,Feuil2!$A$2:$M$1241,2,FALSE)," ")</f>
        <v>#N/A</v>
      </c>
      <c r="D2087" s="1" t="e">
        <f>IF(B2087=0,VLOOKUP(A2087,Feuil2!$A$2:$M$1241,3,FALSE)," ")</f>
        <v>#N/A</v>
      </c>
      <c r="E2087" s="5" t="e">
        <f>IF(B2087=0,VLOOKUP(A2087,Feuil2!$A$2:$M$1241,6,FALSE)," ")</f>
        <v>#N/A</v>
      </c>
      <c r="F2087" s="1" t="e">
        <f>IF(B2087=0,VLOOKUP(A2087,Feuil2!$A$2:$M$1241,12,FALSE)," ")</f>
        <v>#N/A</v>
      </c>
      <c r="G2087" s="1" t="e">
        <f>IF(B2087=0,VLOOKUP(A2087,Feuil2!$A$2:$M$1241,11,FALSE)," ")</f>
        <v>#N/A</v>
      </c>
      <c r="H2087" s="1" t="s">
        <v>16</v>
      </c>
      <c r="I2087" s="6" t="e">
        <f>IF(B2087=0,VLOOKUP(A2087,Feuil2!$A$2:$M$1241,7,FALSE)," ")</f>
        <v>#N/A</v>
      </c>
      <c r="J2087" s="1" t="e">
        <f>IF(B2087=0,VLOOKUP(A2087,Feuil2!$A$2:$M$1241,9,FALSE)," ")</f>
        <v>#N/A</v>
      </c>
      <c r="K2087" s="1" t="e">
        <f>IF(B2087=0,VLOOKUP(A2087,Feuil2!$A$2:$M$1241,10,FALSE)," ")</f>
        <v>#N/A</v>
      </c>
      <c r="L2087" s="1"/>
      <c r="M2087" s="1"/>
      <c r="N2087" s="1"/>
      <c r="O2087" s="8" t="e">
        <f>IF(B2087=0,VLOOKUP(A2087,Feuil2!$A$2:$M$1241,13,FALSE)," ")</f>
        <v>#N/A</v>
      </c>
    </row>
    <row r="2088" spans="1:15" x14ac:dyDescent="0.3">
      <c r="A2088" s="1"/>
      <c r="B2088" s="1"/>
      <c r="C2088" s="1" t="e">
        <f>IF(B2088=0,VLOOKUP(A2088,Feuil2!$A$2:$M$1241,2,FALSE)," ")</f>
        <v>#N/A</v>
      </c>
      <c r="D2088" s="1" t="e">
        <f>IF(B2088=0,VLOOKUP(A2088,Feuil2!$A$2:$M$1241,3,FALSE)," ")</f>
        <v>#N/A</v>
      </c>
      <c r="E2088" s="5" t="e">
        <f>IF(B2088=0,VLOOKUP(A2088,Feuil2!$A$2:$M$1241,6,FALSE)," ")</f>
        <v>#N/A</v>
      </c>
      <c r="F2088" s="1" t="e">
        <f>IF(B2088=0,VLOOKUP(A2088,Feuil2!$A$2:$M$1241,12,FALSE)," ")</f>
        <v>#N/A</v>
      </c>
      <c r="G2088" s="1" t="e">
        <f>IF(B2088=0,VLOOKUP(A2088,Feuil2!$A$2:$M$1241,11,FALSE)," ")</f>
        <v>#N/A</v>
      </c>
      <c r="H2088" s="1" t="s">
        <v>16</v>
      </c>
      <c r="I2088" s="6" t="e">
        <f>IF(B2088=0,VLOOKUP(A2088,Feuil2!$A$2:$M$1241,7,FALSE)," ")</f>
        <v>#N/A</v>
      </c>
      <c r="J2088" s="1" t="e">
        <f>IF(B2088=0,VLOOKUP(A2088,Feuil2!$A$2:$M$1241,9,FALSE)," ")</f>
        <v>#N/A</v>
      </c>
      <c r="K2088" s="1" t="e">
        <f>IF(B2088=0,VLOOKUP(A2088,Feuil2!$A$2:$M$1241,10,FALSE)," ")</f>
        <v>#N/A</v>
      </c>
      <c r="L2088" s="1"/>
      <c r="M2088" s="1"/>
      <c r="N2088" s="1"/>
      <c r="O2088" s="8" t="e">
        <f>IF(B2088=0,VLOOKUP(A2088,Feuil2!$A$2:$M$1241,13,FALSE)," ")</f>
        <v>#N/A</v>
      </c>
    </row>
    <row r="2089" spans="1:15" x14ac:dyDescent="0.3">
      <c r="A2089" s="1"/>
      <c r="B2089" s="1"/>
      <c r="C2089" s="1" t="e">
        <f>IF(B2089=0,VLOOKUP(A2089,Feuil2!$A$2:$M$1241,2,FALSE)," ")</f>
        <v>#N/A</v>
      </c>
      <c r="D2089" s="1" t="e">
        <f>IF(B2089=0,VLOOKUP(A2089,Feuil2!$A$2:$M$1241,3,FALSE)," ")</f>
        <v>#N/A</v>
      </c>
      <c r="E2089" s="5" t="e">
        <f>IF(B2089=0,VLOOKUP(A2089,Feuil2!$A$2:$M$1241,6,FALSE)," ")</f>
        <v>#N/A</v>
      </c>
      <c r="F2089" s="1" t="e">
        <f>IF(B2089=0,VLOOKUP(A2089,Feuil2!$A$2:$M$1241,12,FALSE)," ")</f>
        <v>#N/A</v>
      </c>
      <c r="G2089" s="1" t="e">
        <f>IF(B2089=0,VLOOKUP(A2089,Feuil2!$A$2:$M$1241,11,FALSE)," ")</f>
        <v>#N/A</v>
      </c>
      <c r="H2089" s="1" t="s">
        <v>16</v>
      </c>
      <c r="I2089" s="6" t="e">
        <f>IF(B2089=0,VLOOKUP(A2089,Feuil2!$A$2:$M$1241,7,FALSE)," ")</f>
        <v>#N/A</v>
      </c>
      <c r="J2089" s="1" t="e">
        <f>IF(B2089=0,VLOOKUP(A2089,Feuil2!$A$2:$M$1241,9,FALSE)," ")</f>
        <v>#N/A</v>
      </c>
      <c r="K2089" s="1" t="e">
        <f>IF(B2089=0,VLOOKUP(A2089,Feuil2!$A$2:$M$1241,10,FALSE)," ")</f>
        <v>#N/A</v>
      </c>
      <c r="L2089" s="1"/>
      <c r="M2089" s="1"/>
      <c r="N2089" s="1"/>
      <c r="O2089" s="8" t="e">
        <f>IF(B2089=0,VLOOKUP(A2089,Feuil2!$A$2:$M$1241,13,FALSE)," ")</f>
        <v>#N/A</v>
      </c>
    </row>
    <row r="2090" spans="1:15" x14ac:dyDescent="0.3">
      <c r="A2090" s="1"/>
      <c r="B2090" s="1"/>
      <c r="C2090" s="1" t="e">
        <f>IF(B2090=0,VLOOKUP(A2090,Feuil2!$A$2:$M$1241,2,FALSE)," ")</f>
        <v>#N/A</v>
      </c>
      <c r="D2090" s="1" t="e">
        <f>IF(B2090=0,VLOOKUP(A2090,Feuil2!$A$2:$M$1241,3,FALSE)," ")</f>
        <v>#N/A</v>
      </c>
      <c r="E2090" s="5" t="e">
        <f>IF(B2090=0,VLOOKUP(A2090,Feuil2!$A$2:$M$1241,6,FALSE)," ")</f>
        <v>#N/A</v>
      </c>
      <c r="F2090" s="1" t="e">
        <f>IF(B2090=0,VLOOKUP(A2090,Feuil2!$A$2:$M$1241,12,FALSE)," ")</f>
        <v>#N/A</v>
      </c>
      <c r="G2090" s="1" t="e">
        <f>IF(B2090=0,VLOOKUP(A2090,Feuil2!$A$2:$M$1241,11,FALSE)," ")</f>
        <v>#N/A</v>
      </c>
      <c r="H2090" s="1" t="s">
        <v>16</v>
      </c>
      <c r="I2090" s="6" t="e">
        <f>IF(B2090=0,VLOOKUP(A2090,Feuil2!$A$2:$M$1241,7,FALSE)," ")</f>
        <v>#N/A</v>
      </c>
      <c r="J2090" s="1" t="e">
        <f>IF(B2090=0,VLOOKUP(A2090,Feuil2!$A$2:$M$1241,9,FALSE)," ")</f>
        <v>#N/A</v>
      </c>
      <c r="K2090" s="1" t="e">
        <f>IF(B2090=0,VLOOKUP(A2090,Feuil2!$A$2:$M$1241,10,FALSE)," ")</f>
        <v>#N/A</v>
      </c>
      <c r="L2090" s="1"/>
      <c r="M2090" s="1"/>
      <c r="N2090" s="1"/>
      <c r="O2090" s="8" t="e">
        <f>IF(B2090=0,VLOOKUP(A2090,Feuil2!$A$2:$M$1241,13,FALSE)," ")</f>
        <v>#N/A</v>
      </c>
    </row>
    <row r="2091" spans="1:15" x14ac:dyDescent="0.3">
      <c r="A2091" s="1"/>
      <c r="B2091" s="1"/>
      <c r="C2091" s="1" t="e">
        <f>IF(B2091=0,VLOOKUP(A2091,Feuil2!$A$2:$M$1241,2,FALSE)," ")</f>
        <v>#N/A</v>
      </c>
      <c r="D2091" s="1" t="e">
        <f>IF(B2091=0,VLOOKUP(A2091,Feuil2!$A$2:$M$1241,3,FALSE)," ")</f>
        <v>#N/A</v>
      </c>
      <c r="E2091" s="5" t="e">
        <f>IF(B2091=0,VLOOKUP(A2091,Feuil2!$A$2:$M$1241,6,FALSE)," ")</f>
        <v>#N/A</v>
      </c>
      <c r="F2091" s="1" t="e">
        <f>IF(B2091=0,VLOOKUP(A2091,Feuil2!$A$2:$M$1241,12,FALSE)," ")</f>
        <v>#N/A</v>
      </c>
      <c r="G2091" s="1" t="e">
        <f>IF(B2091=0,VLOOKUP(A2091,Feuil2!$A$2:$M$1241,11,FALSE)," ")</f>
        <v>#N/A</v>
      </c>
      <c r="H2091" s="1" t="s">
        <v>16</v>
      </c>
      <c r="I2091" s="6" t="e">
        <f>IF(B2091=0,VLOOKUP(A2091,Feuil2!$A$2:$M$1241,7,FALSE)," ")</f>
        <v>#N/A</v>
      </c>
      <c r="J2091" s="1" t="e">
        <f>IF(B2091=0,VLOOKUP(A2091,Feuil2!$A$2:$M$1241,9,FALSE)," ")</f>
        <v>#N/A</v>
      </c>
      <c r="K2091" s="1" t="e">
        <f>IF(B2091=0,VLOOKUP(A2091,Feuil2!$A$2:$M$1241,10,FALSE)," ")</f>
        <v>#N/A</v>
      </c>
      <c r="L2091" s="1"/>
      <c r="M2091" s="1"/>
      <c r="N2091" s="1"/>
      <c r="O2091" s="8" t="e">
        <f>IF(B2091=0,VLOOKUP(A2091,Feuil2!$A$2:$M$1241,13,FALSE)," ")</f>
        <v>#N/A</v>
      </c>
    </row>
    <row r="2092" spans="1:15" x14ac:dyDescent="0.3">
      <c r="A2092" s="1"/>
      <c r="B2092" s="1"/>
      <c r="C2092" s="1" t="e">
        <f>IF(B2092=0,VLOOKUP(A2092,Feuil2!$A$2:$M$1241,2,FALSE)," ")</f>
        <v>#N/A</v>
      </c>
      <c r="D2092" s="1" t="e">
        <f>IF(B2092=0,VLOOKUP(A2092,Feuil2!$A$2:$M$1241,3,FALSE)," ")</f>
        <v>#N/A</v>
      </c>
      <c r="E2092" s="5" t="e">
        <f>IF(B2092=0,VLOOKUP(A2092,Feuil2!$A$2:$M$1241,6,FALSE)," ")</f>
        <v>#N/A</v>
      </c>
      <c r="F2092" s="1" t="e">
        <f>IF(B2092=0,VLOOKUP(A2092,Feuil2!$A$2:$M$1241,12,FALSE)," ")</f>
        <v>#N/A</v>
      </c>
      <c r="G2092" s="1" t="e">
        <f>IF(B2092=0,VLOOKUP(A2092,Feuil2!$A$2:$M$1241,11,FALSE)," ")</f>
        <v>#N/A</v>
      </c>
      <c r="H2092" s="1" t="s">
        <v>16</v>
      </c>
      <c r="I2092" s="6" t="e">
        <f>IF(B2092=0,VLOOKUP(A2092,Feuil2!$A$2:$M$1241,7,FALSE)," ")</f>
        <v>#N/A</v>
      </c>
      <c r="J2092" s="1" t="e">
        <f>IF(B2092=0,VLOOKUP(A2092,Feuil2!$A$2:$M$1241,9,FALSE)," ")</f>
        <v>#N/A</v>
      </c>
      <c r="K2092" s="1" t="e">
        <f>IF(B2092=0,VLOOKUP(A2092,Feuil2!$A$2:$M$1241,10,FALSE)," ")</f>
        <v>#N/A</v>
      </c>
      <c r="L2092" s="1"/>
      <c r="M2092" s="1"/>
      <c r="N2092" s="1"/>
      <c r="O2092" s="8" t="e">
        <f>IF(B2092=0,VLOOKUP(A2092,Feuil2!$A$2:$M$1241,13,FALSE)," ")</f>
        <v>#N/A</v>
      </c>
    </row>
    <row r="2093" spans="1:15" x14ac:dyDescent="0.3">
      <c r="A2093" s="1"/>
      <c r="B2093" s="1"/>
      <c r="C2093" s="1" t="e">
        <f>IF(B2093=0,VLOOKUP(A2093,Feuil2!$A$2:$M$1241,2,FALSE)," ")</f>
        <v>#N/A</v>
      </c>
      <c r="D2093" s="1" t="e">
        <f>IF(B2093=0,VLOOKUP(A2093,Feuil2!$A$2:$M$1241,3,FALSE)," ")</f>
        <v>#N/A</v>
      </c>
      <c r="E2093" s="5" t="e">
        <f>IF(B2093=0,VLOOKUP(A2093,Feuil2!$A$2:$M$1241,6,FALSE)," ")</f>
        <v>#N/A</v>
      </c>
      <c r="F2093" s="1" t="e">
        <f>IF(B2093=0,VLOOKUP(A2093,Feuil2!$A$2:$M$1241,12,FALSE)," ")</f>
        <v>#N/A</v>
      </c>
      <c r="G2093" s="1" t="e">
        <f>IF(B2093=0,VLOOKUP(A2093,Feuil2!$A$2:$M$1241,11,FALSE)," ")</f>
        <v>#N/A</v>
      </c>
      <c r="H2093" s="1" t="s">
        <v>16</v>
      </c>
      <c r="I2093" s="6" t="e">
        <f>IF(B2093=0,VLOOKUP(A2093,Feuil2!$A$2:$M$1241,7,FALSE)," ")</f>
        <v>#N/A</v>
      </c>
      <c r="J2093" s="1" t="e">
        <f>IF(B2093=0,VLOOKUP(A2093,Feuil2!$A$2:$M$1241,9,FALSE)," ")</f>
        <v>#N/A</v>
      </c>
      <c r="K2093" s="1" t="e">
        <f>IF(B2093=0,VLOOKUP(A2093,Feuil2!$A$2:$M$1241,10,FALSE)," ")</f>
        <v>#N/A</v>
      </c>
      <c r="L2093" s="1"/>
      <c r="M2093" s="1"/>
      <c r="N2093" s="1"/>
      <c r="O2093" s="8" t="e">
        <f>IF(B2093=0,VLOOKUP(A2093,Feuil2!$A$2:$M$1241,13,FALSE)," ")</f>
        <v>#N/A</v>
      </c>
    </row>
    <row r="2094" spans="1:15" x14ac:dyDescent="0.3">
      <c r="A2094" s="1"/>
      <c r="B2094" s="1"/>
      <c r="C2094" s="1" t="e">
        <f>IF(B2094=0,VLOOKUP(A2094,Feuil2!$A$2:$M$1241,2,FALSE)," ")</f>
        <v>#N/A</v>
      </c>
      <c r="D2094" s="1" t="e">
        <f>IF(B2094=0,VLOOKUP(A2094,Feuil2!$A$2:$M$1241,3,FALSE)," ")</f>
        <v>#N/A</v>
      </c>
      <c r="E2094" s="5" t="e">
        <f>IF(B2094=0,VLOOKUP(A2094,Feuil2!$A$2:$M$1241,6,FALSE)," ")</f>
        <v>#N/A</v>
      </c>
      <c r="F2094" s="1" t="e">
        <f>IF(B2094=0,VLOOKUP(A2094,Feuil2!$A$2:$M$1241,12,FALSE)," ")</f>
        <v>#N/A</v>
      </c>
      <c r="G2094" s="1" t="e">
        <f>IF(B2094=0,VLOOKUP(A2094,Feuil2!$A$2:$M$1241,11,FALSE)," ")</f>
        <v>#N/A</v>
      </c>
      <c r="H2094" s="1" t="s">
        <v>16</v>
      </c>
      <c r="I2094" s="6" t="e">
        <f>IF(B2094=0,VLOOKUP(A2094,Feuil2!$A$2:$M$1241,7,FALSE)," ")</f>
        <v>#N/A</v>
      </c>
      <c r="J2094" s="1" t="e">
        <f>IF(B2094=0,VLOOKUP(A2094,Feuil2!$A$2:$M$1241,9,FALSE)," ")</f>
        <v>#N/A</v>
      </c>
      <c r="K2094" s="1" t="e">
        <f>IF(B2094=0,VLOOKUP(A2094,Feuil2!$A$2:$M$1241,10,FALSE)," ")</f>
        <v>#N/A</v>
      </c>
      <c r="L2094" s="1"/>
      <c r="M2094" s="1"/>
      <c r="N2094" s="1"/>
      <c r="O2094" s="8" t="e">
        <f>IF(B2094=0,VLOOKUP(A2094,Feuil2!$A$2:$M$1241,13,FALSE)," ")</f>
        <v>#N/A</v>
      </c>
    </row>
    <row r="2095" spans="1:15" x14ac:dyDescent="0.3">
      <c r="A2095" s="1"/>
      <c r="B2095" s="1"/>
      <c r="C2095" s="1" t="e">
        <f>IF(B2095=0,VLOOKUP(A2095,Feuil2!$A$2:$M$1241,2,FALSE)," ")</f>
        <v>#N/A</v>
      </c>
      <c r="D2095" s="1" t="e">
        <f>IF(B2095=0,VLOOKUP(A2095,Feuil2!$A$2:$M$1241,3,FALSE)," ")</f>
        <v>#N/A</v>
      </c>
      <c r="E2095" s="5" t="e">
        <f>IF(B2095=0,VLOOKUP(A2095,Feuil2!$A$2:$M$1241,6,FALSE)," ")</f>
        <v>#N/A</v>
      </c>
      <c r="F2095" s="1" t="e">
        <f>IF(B2095=0,VLOOKUP(A2095,Feuil2!$A$2:$M$1241,12,FALSE)," ")</f>
        <v>#N/A</v>
      </c>
      <c r="G2095" s="1" t="e">
        <f>IF(B2095=0,VLOOKUP(A2095,Feuil2!$A$2:$M$1241,11,FALSE)," ")</f>
        <v>#N/A</v>
      </c>
      <c r="H2095" s="1" t="s">
        <v>16</v>
      </c>
      <c r="I2095" s="6" t="e">
        <f>IF(B2095=0,VLOOKUP(A2095,Feuil2!$A$2:$M$1241,7,FALSE)," ")</f>
        <v>#N/A</v>
      </c>
      <c r="J2095" s="1" t="e">
        <f>IF(B2095=0,VLOOKUP(A2095,Feuil2!$A$2:$M$1241,9,FALSE)," ")</f>
        <v>#N/A</v>
      </c>
      <c r="K2095" s="1" t="e">
        <f>IF(B2095=0,VLOOKUP(A2095,Feuil2!$A$2:$M$1241,10,FALSE)," ")</f>
        <v>#N/A</v>
      </c>
      <c r="L2095" s="1"/>
      <c r="M2095" s="1"/>
      <c r="N2095" s="1"/>
      <c r="O2095" s="8" t="e">
        <f>IF(B2095=0,VLOOKUP(A2095,Feuil2!$A$2:$M$1241,13,FALSE)," ")</f>
        <v>#N/A</v>
      </c>
    </row>
    <row r="2096" spans="1:15" x14ac:dyDescent="0.3">
      <c r="A2096" s="1"/>
      <c r="B2096" s="1"/>
      <c r="C2096" s="1" t="e">
        <f>IF(B2096=0,VLOOKUP(A2096,Feuil2!$A$2:$M$1241,2,FALSE)," ")</f>
        <v>#N/A</v>
      </c>
      <c r="D2096" s="1" t="e">
        <f>IF(B2096=0,VLOOKUP(A2096,Feuil2!$A$2:$M$1241,3,FALSE)," ")</f>
        <v>#N/A</v>
      </c>
      <c r="E2096" s="5" t="e">
        <f>IF(B2096=0,VLOOKUP(A2096,Feuil2!$A$2:$M$1241,6,FALSE)," ")</f>
        <v>#N/A</v>
      </c>
      <c r="F2096" s="1" t="e">
        <f>IF(B2096=0,VLOOKUP(A2096,Feuil2!$A$2:$M$1241,12,FALSE)," ")</f>
        <v>#N/A</v>
      </c>
      <c r="G2096" s="1" t="e">
        <f>IF(B2096=0,VLOOKUP(A2096,Feuil2!$A$2:$M$1241,11,FALSE)," ")</f>
        <v>#N/A</v>
      </c>
      <c r="H2096" s="1" t="s">
        <v>16</v>
      </c>
      <c r="I2096" s="6" t="e">
        <f>IF(B2096=0,VLOOKUP(A2096,Feuil2!$A$2:$M$1241,7,FALSE)," ")</f>
        <v>#N/A</v>
      </c>
      <c r="J2096" s="1" t="e">
        <f>IF(B2096=0,VLOOKUP(A2096,Feuil2!$A$2:$M$1241,9,FALSE)," ")</f>
        <v>#N/A</v>
      </c>
      <c r="K2096" s="1" t="e">
        <f>IF(B2096=0,VLOOKUP(A2096,Feuil2!$A$2:$M$1241,10,FALSE)," ")</f>
        <v>#N/A</v>
      </c>
      <c r="L2096" s="1"/>
      <c r="M2096" s="1"/>
      <c r="N2096" s="1"/>
      <c r="O2096" s="8" t="e">
        <f>IF(B2096=0,VLOOKUP(A2096,Feuil2!$A$2:$M$1241,13,FALSE)," ")</f>
        <v>#N/A</v>
      </c>
    </row>
    <row r="2097" spans="1:15" x14ac:dyDescent="0.3">
      <c r="A2097" s="1"/>
      <c r="B2097" s="1"/>
      <c r="C2097" s="1" t="e">
        <f>IF(B2097=0,VLOOKUP(A2097,Feuil2!$A$2:$M$1241,2,FALSE)," ")</f>
        <v>#N/A</v>
      </c>
      <c r="D2097" s="1" t="e">
        <f>IF(B2097=0,VLOOKUP(A2097,Feuil2!$A$2:$M$1241,3,FALSE)," ")</f>
        <v>#N/A</v>
      </c>
      <c r="E2097" s="5" t="e">
        <f>IF(B2097=0,VLOOKUP(A2097,Feuil2!$A$2:$M$1241,6,FALSE)," ")</f>
        <v>#N/A</v>
      </c>
      <c r="F2097" s="1" t="e">
        <f>IF(B2097=0,VLOOKUP(A2097,Feuil2!$A$2:$M$1241,12,FALSE)," ")</f>
        <v>#N/A</v>
      </c>
      <c r="G2097" s="1" t="e">
        <f>IF(B2097=0,VLOOKUP(A2097,Feuil2!$A$2:$M$1241,11,FALSE)," ")</f>
        <v>#N/A</v>
      </c>
      <c r="H2097" s="1" t="s">
        <v>16</v>
      </c>
      <c r="I2097" s="6" t="e">
        <f>IF(B2097=0,VLOOKUP(A2097,Feuil2!$A$2:$M$1241,7,FALSE)," ")</f>
        <v>#N/A</v>
      </c>
      <c r="J2097" s="1" t="e">
        <f>IF(B2097=0,VLOOKUP(A2097,Feuil2!$A$2:$M$1241,9,FALSE)," ")</f>
        <v>#N/A</v>
      </c>
      <c r="K2097" s="1" t="e">
        <f>IF(B2097=0,VLOOKUP(A2097,Feuil2!$A$2:$M$1241,10,FALSE)," ")</f>
        <v>#N/A</v>
      </c>
      <c r="L2097" s="1"/>
      <c r="M2097" s="1"/>
      <c r="N2097" s="1"/>
      <c r="O2097" s="8" t="e">
        <f>IF(B2097=0,VLOOKUP(A2097,Feuil2!$A$2:$M$1241,13,FALSE)," ")</f>
        <v>#N/A</v>
      </c>
    </row>
    <row r="2098" spans="1:15" x14ac:dyDescent="0.3">
      <c r="A2098" s="1"/>
      <c r="B2098" s="1"/>
      <c r="C2098" s="1" t="e">
        <f>IF(B2098=0,VLOOKUP(A2098,Feuil2!$A$2:$M$1241,2,FALSE)," ")</f>
        <v>#N/A</v>
      </c>
      <c r="D2098" s="1" t="e">
        <f>IF(B2098=0,VLOOKUP(A2098,Feuil2!$A$2:$M$1241,3,FALSE)," ")</f>
        <v>#N/A</v>
      </c>
      <c r="E2098" s="5" t="e">
        <f>IF(B2098=0,VLOOKUP(A2098,Feuil2!$A$2:$M$1241,6,FALSE)," ")</f>
        <v>#N/A</v>
      </c>
      <c r="F2098" s="1" t="e">
        <f>IF(B2098=0,VLOOKUP(A2098,Feuil2!$A$2:$M$1241,12,FALSE)," ")</f>
        <v>#N/A</v>
      </c>
      <c r="G2098" s="1" t="e">
        <f>IF(B2098=0,VLOOKUP(A2098,Feuil2!$A$2:$M$1241,11,FALSE)," ")</f>
        <v>#N/A</v>
      </c>
      <c r="H2098" s="1" t="s">
        <v>16</v>
      </c>
      <c r="I2098" s="6" t="e">
        <f>IF(B2098=0,VLOOKUP(A2098,Feuil2!$A$2:$M$1241,7,FALSE)," ")</f>
        <v>#N/A</v>
      </c>
      <c r="J2098" s="1" t="e">
        <f>IF(B2098=0,VLOOKUP(A2098,Feuil2!$A$2:$M$1241,9,FALSE)," ")</f>
        <v>#N/A</v>
      </c>
      <c r="K2098" s="1" t="e">
        <f>IF(B2098=0,VLOOKUP(A2098,Feuil2!$A$2:$M$1241,10,FALSE)," ")</f>
        <v>#N/A</v>
      </c>
      <c r="L2098" s="1"/>
      <c r="M2098" s="1"/>
      <c r="N2098" s="1"/>
      <c r="O2098" s="8" t="e">
        <f>IF(B2098=0,VLOOKUP(A2098,Feuil2!$A$2:$M$1241,13,FALSE)," ")</f>
        <v>#N/A</v>
      </c>
    </row>
    <row r="2099" spans="1:15" x14ac:dyDescent="0.3">
      <c r="A2099" s="1"/>
      <c r="B2099" s="1"/>
      <c r="C2099" s="1" t="e">
        <f>IF(B2099=0,VLOOKUP(A2099,Feuil2!$A$2:$M$1241,2,FALSE)," ")</f>
        <v>#N/A</v>
      </c>
      <c r="D2099" s="1" t="e">
        <f>IF(B2099=0,VLOOKUP(A2099,Feuil2!$A$2:$M$1241,3,FALSE)," ")</f>
        <v>#N/A</v>
      </c>
      <c r="E2099" s="5" t="e">
        <f>IF(B2099=0,VLOOKUP(A2099,Feuil2!$A$2:$M$1241,6,FALSE)," ")</f>
        <v>#N/A</v>
      </c>
      <c r="F2099" s="1" t="e">
        <f>IF(B2099=0,VLOOKUP(A2099,Feuil2!$A$2:$M$1241,12,FALSE)," ")</f>
        <v>#N/A</v>
      </c>
      <c r="G2099" s="1" t="e">
        <f>IF(B2099=0,VLOOKUP(A2099,Feuil2!$A$2:$M$1241,11,FALSE)," ")</f>
        <v>#N/A</v>
      </c>
      <c r="H2099" s="1" t="s">
        <v>16</v>
      </c>
      <c r="I2099" s="6" t="e">
        <f>IF(B2099=0,VLOOKUP(A2099,Feuil2!$A$2:$M$1241,7,FALSE)," ")</f>
        <v>#N/A</v>
      </c>
      <c r="J2099" s="1" t="e">
        <f>IF(B2099=0,VLOOKUP(A2099,Feuil2!$A$2:$M$1241,9,FALSE)," ")</f>
        <v>#N/A</v>
      </c>
      <c r="K2099" s="1" t="e">
        <f>IF(B2099=0,VLOOKUP(A2099,Feuil2!$A$2:$M$1241,10,FALSE)," ")</f>
        <v>#N/A</v>
      </c>
      <c r="L2099" s="1"/>
      <c r="M2099" s="1"/>
      <c r="N2099" s="1"/>
      <c r="O2099" s="8" t="e">
        <f>IF(B2099=0,VLOOKUP(A2099,Feuil2!$A$2:$M$1241,13,FALSE)," ")</f>
        <v>#N/A</v>
      </c>
    </row>
    <row r="2100" spans="1:15" x14ac:dyDescent="0.3">
      <c r="A2100" s="1"/>
      <c r="B2100" s="1"/>
      <c r="C2100" s="1" t="e">
        <f>IF(B2100=0,VLOOKUP(A2100,Feuil2!$A$2:$M$1241,2,FALSE)," ")</f>
        <v>#N/A</v>
      </c>
      <c r="D2100" s="1" t="e">
        <f>IF(B2100=0,VLOOKUP(A2100,Feuil2!$A$2:$M$1241,3,FALSE)," ")</f>
        <v>#N/A</v>
      </c>
      <c r="E2100" s="5" t="e">
        <f>IF(B2100=0,VLOOKUP(A2100,Feuil2!$A$2:$M$1241,6,FALSE)," ")</f>
        <v>#N/A</v>
      </c>
      <c r="F2100" s="1" t="e">
        <f>IF(B2100=0,VLOOKUP(A2100,Feuil2!$A$2:$M$1241,12,FALSE)," ")</f>
        <v>#N/A</v>
      </c>
      <c r="G2100" s="1" t="e">
        <f>IF(B2100=0,VLOOKUP(A2100,Feuil2!$A$2:$M$1241,11,FALSE)," ")</f>
        <v>#N/A</v>
      </c>
      <c r="H2100" s="1" t="s">
        <v>16</v>
      </c>
      <c r="I2100" s="6" t="e">
        <f>IF(B2100=0,VLOOKUP(A2100,Feuil2!$A$2:$M$1241,7,FALSE)," ")</f>
        <v>#N/A</v>
      </c>
      <c r="J2100" s="1" t="e">
        <f>IF(B2100=0,VLOOKUP(A2100,Feuil2!$A$2:$M$1241,9,FALSE)," ")</f>
        <v>#N/A</v>
      </c>
      <c r="K2100" s="1" t="e">
        <f>IF(B2100=0,VLOOKUP(A2100,Feuil2!$A$2:$M$1241,10,FALSE)," ")</f>
        <v>#N/A</v>
      </c>
      <c r="L2100" s="1"/>
      <c r="M2100" s="1"/>
      <c r="N2100" s="1"/>
      <c r="O2100" s="8" t="e">
        <f>IF(B2100=0,VLOOKUP(A2100,Feuil2!$A$2:$M$1241,13,FALSE)," ")</f>
        <v>#N/A</v>
      </c>
    </row>
    <row r="2101" spans="1:15" x14ac:dyDescent="0.3">
      <c r="A2101" s="1"/>
      <c r="B2101" s="1"/>
      <c r="C2101" s="1" t="e">
        <f>IF(B2101=0,VLOOKUP(A2101,Feuil2!$A$2:$M$1241,2,FALSE)," ")</f>
        <v>#N/A</v>
      </c>
      <c r="D2101" s="1" t="e">
        <f>IF(B2101=0,VLOOKUP(A2101,Feuil2!$A$2:$M$1241,3,FALSE)," ")</f>
        <v>#N/A</v>
      </c>
      <c r="E2101" s="5" t="e">
        <f>IF(B2101=0,VLOOKUP(A2101,Feuil2!$A$2:$M$1241,6,FALSE)," ")</f>
        <v>#N/A</v>
      </c>
      <c r="F2101" s="1" t="e">
        <f>IF(B2101=0,VLOOKUP(A2101,Feuil2!$A$2:$M$1241,12,FALSE)," ")</f>
        <v>#N/A</v>
      </c>
      <c r="G2101" s="1" t="e">
        <f>IF(B2101=0,VLOOKUP(A2101,Feuil2!$A$2:$M$1241,11,FALSE)," ")</f>
        <v>#N/A</v>
      </c>
      <c r="H2101" s="1" t="s">
        <v>16</v>
      </c>
      <c r="I2101" s="6" t="e">
        <f>IF(B2101=0,VLOOKUP(A2101,Feuil2!$A$2:$M$1241,7,FALSE)," ")</f>
        <v>#N/A</v>
      </c>
      <c r="J2101" s="1" t="e">
        <f>IF(B2101=0,VLOOKUP(A2101,Feuil2!$A$2:$M$1241,9,FALSE)," ")</f>
        <v>#N/A</v>
      </c>
      <c r="K2101" s="1" t="e">
        <f>IF(B2101=0,VLOOKUP(A2101,Feuil2!$A$2:$M$1241,10,FALSE)," ")</f>
        <v>#N/A</v>
      </c>
      <c r="L2101" s="1"/>
      <c r="M2101" s="1"/>
      <c r="N2101" s="1"/>
      <c r="O2101" s="8" t="e">
        <f>IF(B2101=0,VLOOKUP(A2101,Feuil2!$A$2:$M$1241,13,FALSE)," ")</f>
        <v>#N/A</v>
      </c>
    </row>
    <row r="2102" spans="1:15" x14ac:dyDescent="0.3">
      <c r="A2102" s="1"/>
      <c r="B2102" s="1"/>
      <c r="C2102" s="1" t="e">
        <f>IF(B2102=0,VLOOKUP(A2102,Feuil2!$A$2:$M$1241,2,FALSE)," ")</f>
        <v>#N/A</v>
      </c>
      <c r="D2102" s="1" t="e">
        <f>IF(B2102=0,VLOOKUP(A2102,Feuil2!$A$2:$M$1241,3,FALSE)," ")</f>
        <v>#N/A</v>
      </c>
      <c r="E2102" s="5" t="e">
        <f>IF(B2102=0,VLOOKUP(A2102,Feuil2!$A$2:$M$1241,6,FALSE)," ")</f>
        <v>#N/A</v>
      </c>
      <c r="F2102" s="1" t="e">
        <f>IF(B2102=0,VLOOKUP(A2102,Feuil2!$A$2:$M$1241,12,FALSE)," ")</f>
        <v>#N/A</v>
      </c>
      <c r="G2102" s="1" t="e">
        <f>IF(B2102=0,VLOOKUP(A2102,Feuil2!$A$2:$M$1241,11,FALSE)," ")</f>
        <v>#N/A</v>
      </c>
      <c r="H2102" s="1" t="s">
        <v>16</v>
      </c>
      <c r="I2102" s="6" t="e">
        <f>IF(B2102=0,VLOOKUP(A2102,Feuil2!$A$2:$M$1241,7,FALSE)," ")</f>
        <v>#N/A</v>
      </c>
      <c r="J2102" s="1" t="e">
        <f>IF(B2102=0,VLOOKUP(A2102,Feuil2!$A$2:$M$1241,9,FALSE)," ")</f>
        <v>#N/A</v>
      </c>
      <c r="K2102" s="1" t="e">
        <f>IF(B2102=0,VLOOKUP(A2102,Feuil2!$A$2:$M$1241,10,FALSE)," ")</f>
        <v>#N/A</v>
      </c>
      <c r="L2102" s="1"/>
      <c r="M2102" s="1"/>
      <c r="N2102" s="1"/>
      <c r="O2102" s="8" t="e">
        <f>IF(B2102=0,VLOOKUP(A2102,Feuil2!$A$2:$M$1241,13,FALSE)," ")</f>
        <v>#N/A</v>
      </c>
    </row>
    <row r="2103" spans="1:15" x14ac:dyDescent="0.3">
      <c r="A2103" s="1"/>
      <c r="B2103" s="1"/>
      <c r="C2103" s="1" t="e">
        <f>IF(B2103=0,VLOOKUP(A2103,Feuil2!$A$2:$M$1241,2,FALSE)," ")</f>
        <v>#N/A</v>
      </c>
      <c r="D2103" s="1" t="e">
        <f>IF(B2103=0,VLOOKUP(A2103,Feuil2!$A$2:$M$1241,3,FALSE)," ")</f>
        <v>#N/A</v>
      </c>
      <c r="E2103" s="5" t="e">
        <f>IF(B2103=0,VLOOKUP(A2103,Feuil2!$A$2:$M$1241,6,FALSE)," ")</f>
        <v>#N/A</v>
      </c>
      <c r="F2103" s="1" t="e">
        <f>IF(B2103=0,VLOOKUP(A2103,Feuil2!$A$2:$M$1241,12,FALSE)," ")</f>
        <v>#N/A</v>
      </c>
      <c r="G2103" s="1" t="e">
        <f>IF(B2103=0,VLOOKUP(A2103,Feuil2!$A$2:$M$1241,11,FALSE)," ")</f>
        <v>#N/A</v>
      </c>
      <c r="H2103" s="1" t="s">
        <v>16</v>
      </c>
      <c r="I2103" s="6" t="e">
        <f>IF(B2103=0,VLOOKUP(A2103,Feuil2!$A$2:$M$1241,7,FALSE)," ")</f>
        <v>#N/A</v>
      </c>
      <c r="J2103" s="1" t="e">
        <f>IF(B2103=0,VLOOKUP(A2103,Feuil2!$A$2:$M$1241,9,FALSE)," ")</f>
        <v>#N/A</v>
      </c>
      <c r="K2103" s="1" t="e">
        <f>IF(B2103=0,VLOOKUP(A2103,Feuil2!$A$2:$M$1241,10,FALSE)," ")</f>
        <v>#N/A</v>
      </c>
      <c r="L2103" s="1"/>
      <c r="M2103" s="1"/>
      <c r="N2103" s="1"/>
      <c r="O2103" s="8" t="e">
        <f>IF(B2103=0,VLOOKUP(A2103,Feuil2!$A$2:$M$1241,13,FALSE)," ")</f>
        <v>#N/A</v>
      </c>
    </row>
    <row r="2104" spans="1:15" x14ac:dyDescent="0.3">
      <c r="A2104" s="1"/>
      <c r="B2104" s="1"/>
      <c r="C2104" s="1" t="e">
        <f>IF(B2104=0,VLOOKUP(A2104,Feuil2!$A$2:$M$1241,2,FALSE)," ")</f>
        <v>#N/A</v>
      </c>
      <c r="D2104" s="1" t="e">
        <f>IF(B2104=0,VLOOKUP(A2104,Feuil2!$A$2:$M$1241,3,FALSE)," ")</f>
        <v>#N/A</v>
      </c>
      <c r="E2104" s="5" t="e">
        <f>IF(B2104=0,VLOOKUP(A2104,Feuil2!$A$2:$M$1241,6,FALSE)," ")</f>
        <v>#N/A</v>
      </c>
      <c r="F2104" s="1" t="e">
        <f>IF(B2104=0,VLOOKUP(A2104,Feuil2!$A$2:$M$1241,12,FALSE)," ")</f>
        <v>#N/A</v>
      </c>
      <c r="G2104" s="1" t="e">
        <f>IF(B2104=0,VLOOKUP(A2104,Feuil2!$A$2:$M$1241,11,FALSE)," ")</f>
        <v>#N/A</v>
      </c>
      <c r="H2104" s="1" t="s">
        <v>16</v>
      </c>
      <c r="I2104" s="6" t="e">
        <f>IF(B2104=0,VLOOKUP(A2104,Feuil2!$A$2:$M$1241,7,FALSE)," ")</f>
        <v>#N/A</v>
      </c>
      <c r="J2104" s="1" t="e">
        <f>IF(B2104=0,VLOOKUP(A2104,Feuil2!$A$2:$M$1241,9,FALSE)," ")</f>
        <v>#N/A</v>
      </c>
      <c r="K2104" s="1" t="e">
        <f>IF(B2104=0,VLOOKUP(A2104,Feuil2!$A$2:$M$1241,10,FALSE)," ")</f>
        <v>#N/A</v>
      </c>
      <c r="L2104" s="1"/>
      <c r="M2104" s="1"/>
      <c r="N2104" s="1"/>
      <c r="O2104" s="8" t="e">
        <f>IF(B2104=0,VLOOKUP(A2104,Feuil2!$A$2:$M$1241,13,FALSE)," ")</f>
        <v>#N/A</v>
      </c>
    </row>
    <row r="2105" spans="1:15" x14ac:dyDescent="0.3">
      <c r="A2105" s="1"/>
      <c r="B2105" s="1"/>
      <c r="C2105" s="1" t="e">
        <f>IF(B2105=0,VLOOKUP(A2105,Feuil2!$A$2:$M$1241,2,FALSE)," ")</f>
        <v>#N/A</v>
      </c>
      <c r="D2105" s="1" t="e">
        <f>IF(B2105=0,VLOOKUP(A2105,Feuil2!$A$2:$M$1241,3,FALSE)," ")</f>
        <v>#N/A</v>
      </c>
      <c r="E2105" s="5" t="e">
        <f>IF(B2105=0,VLOOKUP(A2105,Feuil2!$A$2:$M$1241,6,FALSE)," ")</f>
        <v>#N/A</v>
      </c>
      <c r="F2105" s="1" t="e">
        <f>IF(B2105=0,VLOOKUP(A2105,Feuil2!$A$2:$M$1241,12,FALSE)," ")</f>
        <v>#N/A</v>
      </c>
      <c r="G2105" s="1" t="e">
        <f>IF(B2105=0,VLOOKUP(A2105,Feuil2!$A$2:$M$1241,11,FALSE)," ")</f>
        <v>#N/A</v>
      </c>
      <c r="H2105" s="1" t="s">
        <v>16</v>
      </c>
      <c r="I2105" s="6" t="e">
        <f>IF(B2105=0,VLOOKUP(A2105,Feuil2!$A$2:$M$1241,7,FALSE)," ")</f>
        <v>#N/A</v>
      </c>
      <c r="J2105" s="1" t="e">
        <f>IF(B2105=0,VLOOKUP(A2105,Feuil2!$A$2:$M$1241,9,FALSE)," ")</f>
        <v>#N/A</v>
      </c>
      <c r="K2105" s="1" t="e">
        <f>IF(B2105=0,VLOOKUP(A2105,Feuil2!$A$2:$M$1241,10,FALSE)," ")</f>
        <v>#N/A</v>
      </c>
      <c r="L2105" s="1"/>
      <c r="M2105" s="1"/>
      <c r="N2105" s="1"/>
      <c r="O2105" s="8" t="e">
        <f>IF(B2105=0,VLOOKUP(A2105,Feuil2!$A$2:$M$1241,13,FALSE)," ")</f>
        <v>#N/A</v>
      </c>
    </row>
    <row r="2106" spans="1:15" x14ac:dyDescent="0.3">
      <c r="A2106" s="1"/>
      <c r="B2106" s="1"/>
      <c r="C2106" s="1" t="e">
        <f>IF(B2106=0,VLOOKUP(A2106,Feuil2!$A$2:$M$1241,2,FALSE)," ")</f>
        <v>#N/A</v>
      </c>
      <c r="D2106" s="1" t="e">
        <f>IF(B2106=0,VLOOKUP(A2106,Feuil2!$A$2:$M$1241,3,FALSE)," ")</f>
        <v>#N/A</v>
      </c>
      <c r="E2106" s="5" t="e">
        <f>IF(B2106=0,VLOOKUP(A2106,Feuil2!$A$2:$M$1241,6,FALSE)," ")</f>
        <v>#N/A</v>
      </c>
      <c r="F2106" s="1" t="e">
        <f>IF(B2106=0,VLOOKUP(A2106,Feuil2!$A$2:$M$1241,12,FALSE)," ")</f>
        <v>#N/A</v>
      </c>
      <c r="G2106" s="1" t="e">
        <f>IF(B2106=0,VLOOKUP(A2106,Feuil2!$A$2:$M$1241,11,FALSE)," ")</f>
        <v>#N/A</v>
      </c>
      <c r="H2106" s="1" t="s">
        <v>16</v>
      </c>
      <c r="I2106" s="6" t="e">
        <f>IF(B2106=0,VLOOKUP(A2106,Feuil2!$A$2:$M$1241,7,FALSE)," ")</f>
        <v>#N/A</v>
      </c>
      <c r="J2106" s="1" t="e">
        <f>IF(B2106=0,VLOOKUP(A2106,Feuil2!$A$2:$M$1241,9,FALSE)," ")</f>
        <v>#N/A</v>
      </c>
      <c r="K2106" s="1" t="e">
        <f>IF(B2106=0,VLOOKUP(A2106,Feuil2!$A$2:$M$1241,10,FALSE)," ")</f>
        <v>#N/A</v>
      </c>
      <c r="L2106" s="1"/>
      <c r="M2106" s="1"/>
      <c r="N2106" s="1"/>
      <c r="O2106" s="8" t="e">
        <f>IF(B2106=0,VLOOKUP(A2106,Feuil2!$A$2:$M$1241,13,FALSE)," ")</f>
        <v>#N/A</v>
      </c>
    </row>
    <row r="2107" spans="1:15" x14ac:dyDescent="0.3">
      <c r="A2107" s="1"/>
      <c r="B2107" s="1"/>
      <c r="C2107" s="1" t="e">
        <f>IF(B2107=0,VLOOKUP(A2107,Feuil2!$A$2:$M$1241,2,FALSE)," ")</f>
        <v>#N/A</v>
      </c>
      <c r="D2107" s="1" t="e">
        <f>IF(B2107=0,VLOOKUP(A2107,Feuil2!$A$2:$M$1241,3,FALSE)," ")</f>
        <v>#N/A</v>
      </c>
      <c r="E2107" s="5" t="e">
        <f>IF(B2107=0,VLOOKUP(A2107,Feuil2!$A$2:$M$1241,6,FALSE)," ")</f>
        <v>#N/A</v>
      </c>
      <c r="F2107" s="1" t="e">
        <f>IF(B2107=0,VLOOKUP(A2107,Feuil2!$A$2:$M$1241,12,FALSE)," ")</f>
        <v>#N/A</v>
      </c>
      <c r="G2107" s="1" t="e">
        <f>IF(B2107=0,VLOOKUP(A2107,Feuil2!$A$2:$M$1241,11,FALSE)," ")</f>
        <v>#N/A</v>
      </c>
      <c r="H2107" s="1" t="s">
        <v>16</v>
      </c>
      <c r="I2107" s="6" t="e">
        <f>IF(B2107=0,VLOOKUP(A2107,Feuil2!$A$2:$M$1241,7,FALSE)," ")</f>
        <v>#N/A</v>
      </c>
      <c r="J2107" s="1" t="e">
        <f>IF(B2107=0,VLOOKUP(A2107,Feuil2!$A$2:$M$1241,9,FALSE)," ")</f>
        <v>#N/A</v>
      </c>
      <c r="K2107" s="1" t="e">
        <f>IF(B2107=0,VLOOKUP(A2107,Feuil2!$A$2:$M$1241,10,FALSE)," ")</f>
        <v>#N/A</v>
      </c>
      <c r="L2107" s="1"/>
      <c r="M2107" s="1"/>
      <c r="N2107" s="1"/>
      <c r="O2107" s="8" t="e">
        <f>IF(B2107=0,VLOOKUP(A2107,Feuil2!$A$2:$M$1241,13,FALSE)," ")</f>
        <v>#N/A</v>
      </c>
    </row>
    <row r="2108" spans="1:15" x14ac:dyDescent="0.3">
      <c r="A2108" s="1"/>
      <c r="B2108" s="1"/>
      <c r="C2108" s="1" t="e">
        <f>IF(B2108=0,VLOOKUP(A2108,Feuil2!$A$2:$M$1241,2,FALSE)," ")</f>
        <v>#N/A</v>
      </c>
      <c r="D2108" s="1" t="e">
        <f>IF(B2108=0,VLOOKUP(A2108,Feuil2!$A$2:$M$1241,3,FALSE)," ")</f>
        <v>#N/A</v>
      </c>
      <c r="E2108" s="5" t="e">
        <f>IF(B2108=0,VLOOKUP(A2108,Feuil2!$A$2:$M$1241,6,FALSE)," ")</f>
        <v>#N/A</v>
      </c>
      <c r="F2108" s="1" t="e">
        <f>IF(B2108=0,VLOOKUP(A2108,Feuil2!$A$2:$M$1241,12,FALSE)," ")</f>
        <v>#N/A</v>
      </c>
      <c r="G2108" s="1" t="e">
        <f>IF(B2108=0,VLOOKUP(A2108,Feuil2!$A$2:$M$1241,11,FALSE)," ")</f>
        <v>#N/A</v>
      </c>
      <c r="H2108" s="1" t="s">
        <v>16</v>
      </c>
      <c r="I2108" s="6" t="e">
        <f>IF(B2108=0,VLOOKUP(A2108,Feuil2!$A$2:$M$1241,7,FALSE)," ")</f>
        <v>#N/A</v>
      </c>
      <c r="J2108" s="1" t="e">
        <f>IF(B2108=0,VLOOKUP(A2108,Feuil2!$A$2:$M$1241,9,FALSE)," ")</f>
        <v>#N/A</v>
      </c>
      <c r="K2108" s="1" t="e">
        <f>IF(B2108=0,VLOOKUP(A2108,Feuil2!$A$2:$M$1241,10,FALSE)," ")</f>
        <v>#N/A</v>
      </c>
      <c r="L2108" s="1"/>
      <c r="M2108" s="1"/>
      <c r="N2108" s="1"/>
      <c r="O2108" s="8" t="e">
        <f>IF(B2108=0,VLOOKUP(A2108,Feuil2!$A$2:$M$1241,13,FALSE)," ")</f>
        <v>#N/A</v>
      </c>
    </row>
    <row r="2109" spans="1:15" x14ac:dyDescent="0.3">
      <c r="A2109" s="1"/>
      <c r="B2109" s="1"/>
      <c r="C2109" s="1" t="e">
        <f>IF(B2109=0,VLOOKUP(A2109,Feuil2!$A$2:$M$1241,2,FALSE)," ")</f>
        <v>#N/A</v>
      </c>
      <c r="D2109" s="1" t="e">
        <f>IF(B2109=0,VLOOKUP(A2109,Feuil2!$A$2:$M$1241,3,FALSE)," ")</f>
        <v>#N/A</v>
      </c>
      <c r="E2109" s="5" t="e">
        <f>IF(B2109=0,VLOOKUP(A2109,Feuil2!$A$2:$M$1241,6,FALSE)," ")</f>
        <v>#N/A</v>
      </c>
      <c r="F2109" s="1" t="e">
        <f>IF(B2109=0,VLOOKUP(A2109,Feuil2!$A$2:$M$1241,12,FALSE)," ")</f>
        <v>#N/A</v>
      </c>
      <c r="G2109" s="1" t="e">
        <f>IF(B2109=0,VLOOKUP(A2109,Feuil2!$A$2:$M$1241,11,FALSE)," ")</f>
        <v>#N/A</v>
      </c>
      <c r="H2109" s="1" t="s">
        <v>16</v>
      </c>
      <c r="I2109" s="6" t="e">
        <f>IF(B2109=0,VLOOKUP(A2109,Feuil2!$A$2:$M$1241,7,FALSE)," ")</f>
        <v>#N/A</v>
      </c>
      <c r="J2109" s="1" t="e">
        <f>IF(B2109=0,VLOOKUP(A2109,Feuil2!$A$2:$M$1241,9,FALSE)," ")</f>
        <v>#N/A</v>
      </c>
      <c r="K2109" s="1" t="e">
        <f>IF(B2109=0,VLOOKUP(A2109,Feuil2!$A$2:$M$1241,10,FALSE)," ")</f>
        <v>#N/A</v>
      </c>
      <c r="L2109" s="1"/>
      <c r="M2109" s="1"/>
      <c r="N2109" s="1"/>
      <c r="O2109" s="8" t="e">
        <f>IF(B2109=0,VLOOKUP(A2109,Feuil2!$A$2:$M$1241,13,FALSE)," ")</f>
        <v>#N/A</v>
      </c>
    </row>
    <row r="2110" spans="1:15" x14ac:dyDescent="0.3">
      <c r="A2110" s="1"/>
      <c r="B2110" s="1"/>
      <c r="C2110" s="1" t="e">
        <f>IF(B2110=0,VLOOKUP(A2110,Feuil2!$A$2:$M$1241,2,FALSE)," ")</f>
        <v>#N/A</v>
      </c>
      <c r="D2110" s="1" t="e">
        <f>IF(B2110=0,VLOOKUP(A2110,Feuil2!$A$2:$M$1241,3,FALSE)," ")</f>
        <v>#N/A</v>
      </c>
      <c r="E2110" s="5" t="e">
        <f>IF(B2110=0,VLOOKUP(A2110,Feuil2!$A$2:$M$1241,6,FALSE)," ")</f>
        <v>#N/A</v>
      </c>
      <c r="F2110" s="1" t="e">
        <f>IF(B2110=0,VLOOKUP(A2110,Feuil2!$A$2:$M$1241,12,FALSE)," ")</f>
        <v>#N/A</v>
      </c>
      <c r="G2110" s="1" t="e">
        <f>IF(B2110=0,VLOOKUP(A2110,Feuil2!$A$2:$M$1241,11,FALSE)," ")</f>
        <v>#N/A</v>
      </c>
      <c r="H2110" s="1" t="s">
        <v>16</v>
      </c>
      <c r="I2110" s="6" t="e">
        <f>IF(B2110=0,VLOOKUP(A2110,Feuil2!$A$2:$M$1241,7,FALSE)," ")</f>
        <v>#N/A</v>
      </c>
      <c r="J2110" s="1" t="e">
        <f>IF(B2110=0,VLOOKUP(A2110,Feuil2!$A$2:$M$1241,9,FALSE)," ")</f>
        <v>#N/A</v>
      </c>
      <c r="K2110" s="1" t="e">
        <f>IF(B2110=0,VLOOKUP(A2110,Feuil2!$A$2:$M$1241,10,FALSE)," ")</f>
        <v>#N/A</v>
      </c>
      <c r="L2110" s="1"/>
      <c r="M2110" s="1"/>
      <c r="N2110" s="1"/>
      <c r="O2110" s="8" t="e">
        <f>IF(B2110=0,VLOOKUP(A2110,Feuil2!$A$2:$M$1241,13,FALSE)," ")</f>
        <v>#N/A</v>
      </c>
    </row>
    <row r="2111" spans="1:15" x14ac:dyDescent="0.3">
      <c r="A2111" s="1"/>
      <c r="B2111" s="1"/>
      <c r="C2111" s="1" t="e">
        <f>IF(B2111=0,VLOOKUP(A2111,Feuil2!$A$2:$M$1241,2,FALSE)," ")</f>
        <v>#N/A</v>
      </c>
      <c r="D2111" s="1" t="e">
        <f>IF(B2111=0,VLOOKUP(A2111,Feuil2!$A$2:$M$1241,3,FALSE)," ")</f>
        <v>#N/A</v>
      </c>
      <c r="E2111" s="5" t="e">
        <f>IF(B2111=0,VLOOKUP(A2111,Feuil2!$A$2:$M$1241,6,FALSE)," ")</f>
        <v>#N/A</v>
      </c>
      <c r="F2111" s="1" t="e">
        <f>IF(B2111=0,VLOOKUP(A2111,Feuil2!$A$2:$M$1241,12,FALSE)," ")</f>
        <v>#N/A</v>
      </c>
      <c r="G2111" s="1" t="e">
        <f>IF(B2111=0,VLOOKUP(A2111,Feuil2!$A$2:$M$1241,11,FALSE)," ")</f>
        <v>#N/A</v>
      </c>
      <c r="H2111" s="1" t="s">
        <v>16</v>
      </c>
      <c r="I2111" s="6" t="e">
        <f>IF(B2111=0,VLOOKUP(A2111,Feuil2!$A$2:$M$1241,7,FALSE)," ")</f>
        <v>#N/A</v>
      </c>
      <c r="J2111" s="1" t="e">
        <f>IF(B2111=0,VLOOKUP(A2111,Feuil2!$A$2:$M$1241,9,FALSE)," ")</f>
        <v>#N/A</v>
      </c>
      <c r="K2111" s="1" t="e">
        <f>IF(B2111=0,VLOOKUP(A2111,Feuil2!$A$2:$M$1241,10,FALSE)," ")</f>
        <v>#N/A</v>
      </c>
      <c r="L2111" s="1"/>
      <c r="M2111" s="1"/>
      <c r="N2111" s="1"/>
      <c r="O2111" s="8" t="e">
        <f>IF(B2111=0,VLOOKUP(A2111,Feuil2!$A$2:$M$1241,13,FALSE)," ")</f>
        <v>#N/A</v>
      </c>
    </row>
    <row r="2112" spans="1:15" x14ac:dyDescent="0.3">
      <c r="A2112" s="1"/>
      <c r="B2112" s="1"/>
      <c r="C2112" s="1" t="e">
        <f>IF(B2112=0,VLOOKUP(A2112,Feuil2!$A$2:$M$1241,2,FALSE)," ")</f>
        <v>#N/A</v>
      </c>
      <c r="D2112" s="1" t="e">
        <f>IF(B2112=0,VLOOKUP(A2112,Feuil2!$A$2:$M$1241,3,FALSE)," ")</f>
        <v>#N/A</v>
      </c>
      <c r="E2112" s="5" t="e">
        <f>IF(B2112=0,VLOOKUP(A2112,Feuil2!$A$2:$M$1241,6,FALSE)," ")</f>
        <v>#N/A</v>
      </c>
      <c r="F2112" s="1" t="e">
        <f>IF(B2112=0,VLOOKUP(A2112,Feuil2!$A$2:$M$1241,12,FALSE)," ")</f>
        <v>#N/A</v>
      </c>
      <c r="G2112" s="1" t="e">
        <f>IF(B2112=0,VLOOKUP(A2112,Feuil2!$A$2:$M$1241,11,FALSE)," ")</f>
        <v>#N/A</v>
      </c>
      <c r="H2112" s="1" t="s">
        <v>16</v>
      </c>
      <c r="I2112" s="6" t="e">
        <f>IF(B2112=0,VLOOKUP(A2112,Feuil2!$A$2:$M$1241,7,FALSE)," ")</f>
        <v>#N/A</v>
      </c>
      <c r="J2112" s="1" t="e">
        <f>IF(B2112=0,VLOOKUP(A2112,Feuil2!$A$2:$M$1241,9,FALSE)," ")</f>
        <v>#N/A</v>
      </c>
      <c r="K2112" s="1" t="e">
        <f>IF(B2112=0,VLOOKUP(A2112,Feuil2!$A$2:$M$1241,10,FALSE)," ")</f>
        <v>#N/A</v>
      </c>
      <c r="L2112" s="1"/>
      <c r="M2112" s="1"/>
      <c r="N2112" s="1"/>
      <c r="O2112" s="8" t="e">
        <f>IF(B2112=0,VLOOKUP(A2112,Feuil2!$A$2:$M$1241,13,FALSE)," ")</f>
        <v>#N/A</v>
      </c>
    </row>
    <row r="2113" spans="1:15" x14ac:dyDescent="0.3">
      <c r="A2113" s="1"/>
      <c r="B2113" s="1"/>
      <c r="C2113" s="1" t="e">
        <f>IF(B2113=0,VLOOKUP(A2113,Feuil2!$A$2:$M$1241,2,FALSE)," ")</f>
        <v>#N/A</v>
      </c>
      <c r="D2113" s="1" t="e">
        <f>IF(B2113=0,VLOOKUP(A2113,Feuil2!$A$2:$M$1241,3,FALSE)," ")</f>
        <v>#N/A</v>
      </c>
      <c r="E2113" s="5" t="e">
        <f>IF(B2113=0,VLOOKUP(A2113,Feuil2!$A$2:$M$1241,6,FALSE)," ")</f>
        <v>#N/A</v>
      </c>
      <c r="F2113" s="1" t="e">
        <f>IF(B2113=0,VLOOKUP(A2113,Feuil2!$A$2:$M$1241,12,FALSE)," ")</f>
        <v>#N/A</v>
      </c>
      <c r="G2113" s="1" t="e">
        <f>IF(B2113=0,VLOOKUP(A2113,Feuil2!$A$2:$M$1241,11,FALSE)," ")</f>
        <v>#N/A</v>
      </c>
      <c r="H2113" s="1" t="s">
        <v>16</v>
      </c>
      <c r="I2113" s="6" t="e">
        <f>IF(B2113=0,VLOOKUP(A2113,Feuil2!$A$2:$M$1241,7,FALSE)," ")</f>
        <v>#N/A</v>
      </c>
      <c r="J2113" s="1" t="e">
        <f>IF(B2113=0,VLOOKUP(A2113,Feuil2!$A$2:$M$1241,9,FALSE)," ")</f>
        <v>#N/A</v>
      </c>
      <c r="K2113" s="1" t="e">
        <f>IF(B2113=0,VLOOKUP(A2113,Feuil2!$A$2:$M$1241,10,FALSE)," ")</f>
        <v>#N/A</v>
      </c>
      <c r="L2113" s="1"/>
      <c r="M2113" s="1"/>
      <c r="N2113" s="1"/>
      <c r="O2113" s="8" t="e">
        <f>IF(B2113=0,VLOOKUP(A2113,Feuil2!$A$2:$M$1241,13,FALSE)," ")</f>
        <v>#N/A</v>
      </c>
    </row>
    <row r="2114" spans="1:15" x14ac:dyDescent="0.3">
      <c r="A2114" s="1"/>
      <c r="B2114" s="1"/>
      <c r="C2114" s="1" t="e">
        <f>IF(B2114=0,VLOOKUP(A2114,Feuil2!$A$2:$M$1241,2,FALSE)," ")</f>
        <v>#N/A</v>
      </c>
      <c r="D2114" s="1" t="e">
        <f>IF(B2114=0,VLOOKUP(A2114,Feuil2!$A$2:$M$1241,3,FALSE)," ")</f>
        <v>#N/A</v>
      </c>
      <c r="E2114" s="5" t="e">
        <f>IF(B2114=0,VLOOKUP(A2114,Feuil2!$A$2:$M$1241,6,FALSE)," ")</f>
        <v>#N/A</v>
      </c>
      <c r="F2114" s="1" t="e">
        <f>IF(B2114=0,VLOOKUP(A2114,Feuil2!$A$2:$M$1241,12,FALSE)," ")</f>
        <v>#N/A</v>
      </c>
      <c r="G2114" s="1" t="e">
        <f>IF(B2114=0,VLOOKUP(A2114,Feuil2!$A$2:$M$1241,11,FALSE)," ")</f>
        <v>#N/A</v>
      </c>
      <c r="H2114" s="1" t="s">
        <v>16</v>
      </c>
      <c r="I2114" s="6" t="e">
        <f>IF(B2114=0,VLOOKUP(A2114,Feuil2!$A$2:$M$1241,7,FALSE)," ")</f>
        <v>#N/A</v>
      </c>
      <c r="J2114" s="1" t="e">
        <f>IF(B2114=0,VLOOKUP(A2114,Feuil2!$A$2:$M$1241,9,FALSE)," ")</f>
        <v>#N/A</v>
      </c>
      <c r="K2114" s="1" t="e">
        <f>IF(B2114=0,VLOOKUP(A2114,Feuil2!$A$2:$M$1241,10,FALSE)," ")</f>
        <v>#N/A</v>
      </c>
      <c r="L2114" s="1"/>
      <c r="M2114" s="1"/>
      <c r="N2114" s="1"/>
      <c r="O2114" s="8" t="e">
        <f>IF(B2114=0,VLOOKUP(A2114,Feuil2!$A$2:$M$1241,13,FALSE)," ")</f>
        <v>#N/A</v>
      </c>
    </row>
    <row r="2115" spans="1:15" x14ac:dyDescent="0.3">
      <c r="A2115" s="1"/>
      <c r="B2115" s="1"/>
      <c r="C2115" s="1" t="e">
        <f>IF(B2115=0,VLOOKUP(A2115,Feuil2!$A$2:$M$1241,2,FALSE)," ")</f>
        <v>#N/A</v>
      </c>
      <c r="D2115" s="1" t="e">
        <f>IF(B2115=0,VLOOKUP(A2115,Feuil2!$A$2:$M$1241,3,FALSE)," ")</f>
        <v>#N/A</v>
      </c>
      <c r="E2115" s="5" t="e">
        <f>IF(B2115=0,VLOOKUP(A2115,Feuil2!$A$2:$M$1241,6,FALSE)," ")</f>
        <v>#N/A</v>
      </c>
      <c r="F2115" s="1" t="e">
        <f>IF(B2115=0,VLOOKUP(A2115,Feuil2!$A$2:$M$1241,12,FALSE)," ")</f>
        <v>#N/A</v>
      </c>
      <c r="G2115" s="1" t="e">
        <f>IF(B2115=0,VLOOKUP(A2115,Feuil2!$A$2:$M$1241,11,FALSE)," ")</f>
        <v>#N/A</v>
      </c>
      <c r="H2115" s="1" t="s">
        <v>16</v>
      </c>
      <c r="I2115" s="6" t="e">
        <f>IF(B2115=0,VLOOKUP(A2115,Feuil2!$A$2:$M$1241,7,FALSE)," ")</f>
        <v>#N/A</v>
      </c>
      <c r="J2115" s="1" t="e">
        <f>IF(B2115=0,VLOOKUP(A2115,Feuil2!$A$2:$M$1241,9,FALSE)," ")</f>
        <v>#N/A</v>
      </c>
      <c r="K2115" s="1" t="e">
        <f>IF(B2115=0,VLOOKUP(A2115,Feuil2!$A$2:$M$1241,10,FALSE)," ")</f>
        <v>#N/A</v>
      </c>
      <c r="L2115" s="1"/>
      <c r="M2115" s="1"/>
      <c r="N2115" s="1"/>
      <c r="O2115" s="8" t="e">
        <f>IF(B2115=0,VLOOKUP(A2115,Feuil2!$A$2:$M$1241,13,FALSE)," ")</f>
        <v>#N/A</v>
      </c>
    </row>
    <row r="2116" spans="1:15" x14ac:dyDescent="0.3">
      <c r="A2116" s="1"/>
      <c r="B2116" s="1"/>
      <c r="C2116" s="1" t="e">
        <f>IF(B2116=0,VLOOKUP(A2116,Feuil2!$A$2:$M$1241,2,FALSE)," ")</f>
        <v>#N/A</v>
      </c>
      <c r="D2116" s="1" t="e">
        <f>IF(B2116=0,VLOOKUP(A2116,Feuil2!$A$2:$M$1241,3,FALSE)," ")</f>
        <v>#N/A</v>
      </c>
      <c r="E2116" s="5" t="e">
        <f>IF(B2116=0,VLOOKUP(A2116,Feuil2!$A$2:$M$1241,6,FALSE)," ")</f>
        <v>#N/A</v>
      </c>
      <c r="F2116" s="1" t="e">
        <f>IF(B2116=0,VLOOKUP(A2116,Feuil2!$A$2:$M$1241,12,FALSE)," ")</f>
        <v>#N/A</v>
      </c>
      <c r="G2116" s="1" t="e">
        <f>IF(B2116=0,VLOOKUP(A2116,Feuil2!$A$2:$M$1241,11,FALSE)," ")</f>
        <v>#N/A</v>
      </c>
      <c r="H2116" s="1" t="s">
        <v>16</v>
      </c>
      <c r="I2116" s="6" t="e">
        <f>IF(B2116=0,VLOOKUP(A2116,Feuil2!$A$2:$M$1241,7,FALSE)," ")</f>
        <v>#N/A</v>
      </c>
      <c r="J2116" s="1" t="e">
        <f>IF(B2116=0,VLOOKUP(A2116,Feuil2!$A$2:$M$1241,9,FALSE)," ")</f>
        <v>#N/A</v>
      </c>
      <c r="K2116" s="1" t="e">
        <f>IF(B2116=0,VLOOKUP(A2116,Feuil2!$A$2:$M$1241,10,FALSE)," ")</f>
        <v>#N/A</v>
      </c>
      <c r="L2116" s="1"/>
      <c r="M2116" s="1"/>
      <c r="N2116" s="1"/>
      <c r="O2116" s="8" t="e">
        <f>IF(B2116=0,VLOOKUP(A2116,Feuil2!$A$2:$M$1241,13,FALSE)," ")</f>
        <v>#N/A</v>
      </c>
    </row>
    <row r="2117" spans="1:15" x14ac:dyDescent="0.3">
      <c r="A2117" s="1"/>
      <c r="B2117" s="1"/>
      <c r="C2117" s="1" t="e">
        <f>IF(B2117=0,VLOOKUP(A2117,Feuil2!$A$2:$M$1241,2,FALSE)," ")</f>
        <v>#N/A</v>
      </c>
      <c r="D2117" s="1" t="e">
        <f>IF(B2117=0,VLOOKUP(A2117,Feuil2!$A$2:$M$1241,3,FALSE)," ")</f>
        <v>#N/A</v>
      </c>
      <c r="E2117" s="5" t="e">
        <f>IF(B2117=0,VLOOKUP(A2117,Feuil2!$A$2:$M$1241,6,FALSE)," ")</f>
        <v>#N/A</v>
      </c>
      <c r="F2117" s="1" t="e">
        <f>IF(B2117=0,VLOOKUP(A2117,Feuil2!$A$2:$M$1241,12,FALSE)," ")</f>
        <v>#N/A</v>
      </c>
      <c r="G2117" s="1" t="e">
        <f>IF(B2117=0,VLOOKUP(A2117,Feuil2!$A$2:$M$1241,11,FALSE)," ")</f>
        <v>#N/A</v>
      </c>
      <c r="H2117" s="1" t="s">
        <v>16</v>
      </c>
      <c r="I2117" s="6" t="e">
        <f>IF(B2117=0,VLOOKUP(A2117,Feuil2!$A$2:$M$1241,7,FALSE)," ")</f>
        <v>#N/A</v>
      </c>
      <c r="J2117" s="1" t="e">
        <f>IF(B2117=0,VLOOKUP(A2117,Feuil2!$A$2:$M$1241,9,FALSE)," ")</f>
        <v>#N/A</v>
      </c>
      <c r="K2117" s="1" t="e">
        <f>IF(B2117=0,VLOOKUP(A2117,Feuil2!$A$2:$M$1241,10,FALSE)," ")</f>
        <v>#N/A</v>
      </c>
      <c r="L2117" s="1"/>
      <c r="M2117" s="1"/>
      <c r="N2117" s="1"/>
      <c r="O2117" s="8" t="e">
        <f>IF(B2117=0,VLOOKUP(A2117,Feuil2!$A$2:$M$1241,13,FALSE)," ")</f>
        <v>#N/A</v>
      </c>
    </row>
    <row r="2118" spans="1:15" x14ac:dyDescent="0.3">
      <c r="A2118" s="1"/>
      <c r="B2118" s="1"/>
      <c r="C2118" s="1" t="e">
        <f>IF(B2118=0,VLOOKUP(A2118,Feuil2!$A$2:$M$1241,2,FALSE)," ")</f>
        <v>#N/A</v>
      </c>
      <c r="D2118" s="1" t="e">
        <f>IF(B2118=0,VLOOKUP(A2118,Feuil2!$A$2:$M$1241,3,FALSE)," ")</f>
        <v>#N/A</v>
      </c>
      <c r="E2118" s="5" t="e">
        <f>IF(B2118=0,VLOOKUP(A2118,Feuil2!$A$2:$M$1241,6,FALSE)," ")</f>
        <v>#N/A</v>
      </c>
      <c r="F2118" s="1" t="e">
        <f>IF(B2118=0,VLOOKUP(A2118,Feuil2!$A$2:$M$1241,12,FALSE)," ")</f>
        <v>#N/A</v>
      </c>
      <c r="G2118" s="1" t="e">
        <f>IF(B2118=0,VLOOKUP(A2118,Feuil2!$A$2:$M$1241,11,FALSE)," ")</f>
        <v>#N/A</v>
      </c>
      <c r="H2118" s="1" t="s">
        <v>16</v>
      </c>
      <c r="I2118" s="6" t="e">
        <f>IF(B2118=0,VLOOKUP(A2118,Feuil2!$A$2:$M$1241,7,FALSE)," ")</f>
        <v>#N/A</v>
      </c>
      <c r="J2118" s="1" t="e">
        <f>IF(B2118=0,VLOOKUP(A2118,Feuil2!$A$2:$M$1241,9,FALSE)," ")</f>
        <v>#N/A</v>
      </c>
      <c r="K2118" s="1" t="e">
        <f>IF(B2118=0,VLOOKUP(A2118,Feuil2!$A$2:$M$1241,10,FALSE)," ")</f>
        <v>#N/A</v>
      </c>
      <c r="L2118" s="1"/>
      <c r="M2118" s="1"/>
      <c r="N2118" s="1"/>
      <c r="O2118" s="8" t="e">
        <f>IF(B2118=0,VLOOKUP(A2118,Feuil2!$A$2:$M$1241,13,FALSE)," ")</f>
        <v>#N/A</v>
      </c>
    </row>
    <row r="2119" spans="1:15" x14ac:dyDescent="0.3">
      <c r="A2119" s="1"/>
      <c r="B2119" s="1"/>
      <c r="C2119" s="1" t="e">
        <f>IF(B2119=0,VLOOKUP(A2119,Feuil2!$A$2:$M$1241,2,FALSE)," ")</f>
        <v>#N/A</v>
      </c>
      <c r="D2119" s="1" t="e">
        <f>IF(B2119=0,VLOOKUP(A2119,Feuil2!$A$2:$M$1241,3,FALSE)," ")</f>
        <v>#N/A</v>
      </c>
      <c r="E2119" s="5" t="e">
        <f>IF(B2119=0,VLOOKUP(A2119,Feuil2!$A$2:$M$1241,6,FALSE)," ")</f>
        <v>#N/A</v>
      </c>
      <c r="F2119" s="1" t="e">
        <f>IF(B2119=0,VLOOKUP(A2119,Feuil2!$A$2:$M$1241,12,FALSE)," ")</f>
        <v>#N/A</v>
      </c>
      <c r="G2119" s="1" t="e">
        <f>IF(B2119=0,VLOOKUP(A2119,Feuil2!$A$2:$M$1241,11,FALSE)," ")</f>
        <v>#N/A</v>
      </c>
      <c r="H2119" s="1" t="s">
        <v>16</v>
      </c>
      <c r="I2119" s="6" t="e">
        <f>IF(B2119=0,VLOOKUP(A2119,Feuil2!$A$2:$M$1241,7,FALSE)," ")</f>
        <v>#N/A</v>
      </c>
      <c r="J2119" s="1" t="e">
        <f>IF(B2119=0,VLOOKUP(A2119,Feuil2!$A$2:$M$1241,9,FALSE)," ")</f>
        <v>#N/A</v>
      </c>
      <c r="K2119" s="1" t="e">
        <f>IF(B2119=0,VLOOKUP(A2119,Feuil2!$A$2:$M$1241,10,FALSE)," ")</f>
        <v>#N/A</v>
      </c>
      <c r="L2119" s="1"/>
      <c r="M2119" s="1"/>
      <c r="N2119" s="1"/>
      <c r="O2119" s="8" t="e">
        <f>IF(B2119=0,VLOOKUP(A2119,Feuil2!$A$2:$M$1241,13,FALSE)," ")</f>
        <v>#N/A</v>
      </c>
    </row>
    <row r="2120" spans="1:15" x14ac:dyDescent="0.3">
      <c r="A2120" s="1"/>
      <c r="B2120" s="1"/>
      <c r="C2120" s="1" t="e">
        <f>IF(B2120=0,VLOOKUP(A2120,Feuil2!$A$2:$M$1241,2,FALSE)," ")</f>
        <v>#N/A</v>
      </c>
      <c r="D2120" s="1" t="e">
        <f>IF(B2120=0,VLOOKUP(A2120,Feuil2!$A$2:$M$1241,3,FALSE)," ")</f>
        <v>#N/A</v>
      </c>
      <c r="E2120" s="5" t="e">
        <f>IF(B2120=0,VLOOKUP(A2120,Feuil2!$A$2:$M$1241,6,FALSE)," ")</f>
        <v>#N/A</v>
      </c>
      <c r="F2120" s="1" t="e">
        <f>IF(B2120=0,VLOOKUP(A2120,Feuil2!$A$2:$M$1241,12,FALSE)," ")</f>
        <v>#N/A</v>
      </c>
      <c r="G2120" s="1" t="e">
        <f>IF(B2120=0,VLOOKUP(A2120,Feuil2!$A$2:$M$1241,11,FALSE)," ")</f>
        <v>#N/A</v>
      </c>
      <c r="H2120" s="1" t="s">
        <v>16</v>
      </c>
      <c r="I2120" s="6" t="e">
        <f>IF(B2120=0,VLOOKUP(A2120,Feuil2!$A$2:$M$1241,7,FALSE)," ")</f>
        <v>#N/A</v>
      </c>
      <c r="J2120" s="1" t="e">
        <f>IF(B2120=0,VLOOKUP(A2120,Feuil2!$A$2:$M$1241,9,FALSE)," ")</f>
        <v>#N/A</v>
      </c>
      <c r="K2120" s="1" t="e">
        <f>IF(B2120=0,VLOOKUP(A2120,Feuil2!$A$2:$M$1241,10,FALSE)," ")</f>
        <v>#N/A</v>
      </c>
      <c r="L2120" s="1"/>
      <c r="M2120" s="1"/>
      <c r="N2120" s="1"/>
      <c r="O2120" s="8" t="e">
        <f>IF(B2120=0,VLOOKUP(A2120,Feuil2!$A$2:$M$1241,13,FALSE)," ")</f>
        <v>#N/A</v>
      </c>
    </row>
    <row r="2121" spans="1:15" x14ac:dyDescent="0.3">
      <c r="A2121" s="1"/>
      <c r="B2121" s="1"/>
      <c r="C2121" s="1" t="e">
        <f>IF(B2121=0,VLOOKUP(A2121,Feuil2!$A$2:$M$1241,2,FALSE)," ")</f>
        <v>#N/A</v>
      </c>
      <c r="D2121" s="1" t="e">
        <f>IF(B2121=0,VLOOKUP(A2121,Feuil2!$A$2:$M$1241,3,FALSE)," ")</f>
        <v>#N/A</v>
      </c>
      <c r="E2121" s="5" t="e">
        <f>IF(B2121=0,VLOOKUP(A2121,Feuil2!$A$2:$M$1241,6,FALSE)," ")</f>
        <v>#N/A</v>
      </c>
      <c r="F2121" s="1" t="e">
        <f>IF(B2121=0,VLOOKUP(A2121,Feuil2!$A$2:$M$1241,12,FALSE)," ")</f>
        <v>#N/A</v>
      </c>
      <c r="G2121" s="1" t="e">
        <f>IF(B2121=0,VLOOKUP(A2121,Feuil2!$A$2:$M$1241,11,FALSE)," ")</f>
        <v>#N/A</v>
      </c>
      <c r="H2121" s="1" t="s">
        <v>16</v>
      </c>
      <c r="I2121" s="6" t="e">
        <f>IF(B2121=0,VLOOKUP(A2121,Feuil2!$A$2:$M$1241,7,FALSE)," ")</f>
        <v>#N/A</v>
      </c>
      <c r="J2121" s="1" t="e">
        <f>IF(B2121=0,VLOOKUP(A2121,Feuil2!$A$2:$M$1241,9,FALSE)," ")</f>
        <v>#N/A</v>
      </c>
      <c r="K2121" s="1" t="e">
        <f>IF(B2121=0,VLOOKUP(A2121,Feuil2!$A$2:$M$1241,10,FALSE)," ")</f>
        <v>#N/A</v>
      </c>
      <c r="L2121" s="1"/>
      <c r="M2121" s="1"/>
      <c r="N2121" s="1"/>
      <c r="O2121" s="8" t="e">
        <f>IF(B2121=0,VLOOKUP(A2121,Feuil2!$A$2:$M$1241,13,FALSE)," ")</f>
        <v>#N/A</v>
      </c>
    </row>
    <row r="2122" spans="1:15" x14ac:dyDescent="0.3">
      <c r="A2122" s="1"/>
      <c r="B2122" s="1"/>
      <c r="C2122" s="1" t="e">
        <f>IF(B2122=0,VLOOKUP(A2122,Feuil2!$A$2:$M$1241,2,FALSE)," ")</f>
        <v>#N/A</v>
      </c>
      <c r="D2122" s="1" t="e">
        <f>IF(B2122=0,VLOOKUP(A2122,Feuil2!$A$2:$M$1241,3,FALSE)," ")</f>
        <v>#N/A</v>
      </c>
      <c r="E2122" s="5" t="e">
        <f>IF(B2122=0,VLOOKUP(A2122,Feuil2!$A$2:$M$1241,6,FALSE)," ")</f>
        <v>#N/A</v>
      </c>
      <c r="F2122" s="1" t="e">
        <f>IF(B2122=0,VLOOKUP(A2122,Feuil2!$A$2:$M$1241,12,FALSE)," ")</f>
        <v>#N/A</v>
      </c>
      <c r="G2122" s="1" t="e">
        <f>IF(B2122=0,VLOOKUP(A2122,Feuil2!$A$2:$M$1241,11,FALSE)," ")</f>
        <v>#N/A</v>
      </c>
      <c r="H2122" s="1" t="s">
        <v>16</v>
      </c>
      <c r="I2122" s="6" t="e">
        <f>IF(B2122=0,VLOOKUP(A2122,Feuil2!$A$2:$M$1241,7,FALSE)," ")</f>
        <v>#N/A</v>
      </c>
      <c r="J2122" s="1" t="e">
        <f>IF(B2122=0,VLOOKUP(A2122,Feuil2!$A$2:$M$1241,9,FALSE)," ")</f>
        <v>#N/A</v>
      </c>
      <c r="K2122" s="1" t="e">
        <f>IF(B2122=0,VLOOKUP(A2122,Feuil2!$A$2:$M$1241,10,FALSE)," ")</f>
        <v>#N/A</v>
      </c>
      <c r="L2122" s="1"/>
      <c r="M2122" s="1"/>
      <c r="N2122" s="1"/>
      <c r="O2122" s="8" t="e">
        <f>IF(B2122=0,VLOOKUP(A2122,Feuil2!$A$2:$M$1241,13,FALSE)," ")</f>
        <v>#N/A</v>
      </c>
    </row>
    <row r="2123" spans="1:15" x14ac:dyDescent="0.3">
      <c r="A2123" s="1"/>
      <c r="B2123" s="1"/>
      <c r="C2123" s="1" t="e">
        <f>IF(B2123=0,VLOOKUP(A2123,Feuil2!$A$2:$M$1241,2,FALSE)," ")</f>
        <v>#N/A</v>
      </c>
      <c r="D2123" s="1" t="e">
        <f>IF(B2123=0,VLOOKUP(A2123,Feuil2!$A$2:$M$1241,3,FALSE)," ")</f>
        <v>#N/A</v>
      </c>
      <c r="E2123" s="5" t="e">
        <f>IF(B2123=0,VLOOKUP(A2123,Feuil2!$A$2:$M$1241,6,FALSE)," ")</f>
        <v>#N/A</v>
      </c>
      <c r="F2123" s="1" t="e">
        <f>IF(B2123=0,VLOOKUP(A2123,Feuil2!$A$2:$M$1241,12,FALSE)," ")</f>
        <v>#N/A</v>
      </c>
      <c r="G2123" s="1" t="e">
        <f>IF(B2123=0,VLOOKUP(A2123,Feuil2!$A$2:$M$1241,11,FALSE)," ")</f>
        <v>#N/A</v>
      </c>
      <c r="H2123" s="1" t="s">
        <v>16</v>
      </c>
      <c r="I2123" s="6" t="e">
        <f>IF(B2123=0,VLOOKUP(A2123,Feuil2!$A$2:$M$1241,7,FALSE)," ")</f>
        <v>#N/A</v>
      </c>
      <c r="J2123" s="1" t="e">
        <f>IF(B2123=0,VLOOKUP(A2123,Feuil2!$A$2:$M$1241,9,FALSE)," ")</f>
        <v>#N/A</v>
      </c>
      <c r="K2123" s="1" t="e">
        <f>IF(B2123=0,VLOOKUP(A2123,Feuil2!$A$2:$M$1241,10,FALSE)," ")</f>
        <v>#N/A</v>
      </c>
      <c r="L2123" s="1"/>
      <c r="M2123" s="1"/>
      <c r="N2123" s="1"/>
      <c r="O2123" s="8" t="e">
        <f>IF(B2123=0,VLOOKUP(A2123,Feuil2!$A$2:$M$1241,13,FALSE)," ")</f>
        <v>#N/A</v>
      </c>
    </row>
    <row r="2124" spans="1:15" x14ac:dyDescent="0.3">
      <c r="A2124" s="1"/>
      <c r="B2124" s="1"/>
      <c r="C2124" s="1" t="e">
        <f>IF(B2124=0,VLOOKUP(A2124,Feuil2!$A$2:$M$1241,2,FALSE)," ")</f>
        <v>#N/A</v>
      </c>
      <c r="D2124" s="1" t="e">
        <f>IF(B2124=0,VLOOKUP(A2124,Feuil2!$A$2:$M$1241,3,FALSE)," ")</f>
        <v>#N/A</v>
      </c>
      <c r="E2124" s="5" t="e">
        <f>IF(B2124=0,VLOOKUP(A2124,Feuil2!$A$2:$M$1241,6,FALSE)," ")</f>
        <v>#N/A</v>
      </c>
      <c r="F2124" s="1" t="e">
        <f>IF(B2124=0,VLOOKUP(A2124,Feuil2!$A$2:$M$1241,12,FALSE)," ")</f>
        <v>#N/A</v>
      </c>
      <c r="G2124" s="1" t="e">
        <f>IF(B2124=0,VLOOKUP(A2124,Feuil2!$A$2:$M$1241,11,FALSE)," ")</f>
        <v>#N/A</v>
      </c>
      <c r="H2124" s="1" t="s">
        <v>16</v>
      </c>
      <c r="I2124" s="6" t="e">
        <f>IF(B2124=0,VLOOKUP(A2124,Feuil2!$A$2:$M$1241,7,FALSE)," ")</f>
        <v>#N/A</v>
      </c>
      <c r="J2124" s="1" t="e">
        <f>IF(B2124=0,VLOOKUP(A2124,Feuil2!$A$2:$M$1241,9,FALSE)," ")</f>
        <v>#N/A</v>
      </c>
      <c r="K2124" s="1" t="e">
        <f>IF(B2124=0,VLOOKUP(A2124,Feuil2!$A$2:$M$1241,10,FALSE)," ")</f>
        <v>#N/A</v>
      </c>
      <c r="L2124" s="1"/>
      <c r="M2124" s="1"/>
      <c r="N2124" s="1"/>
      <c r="O2124" s="8" t="e">
        <f>IF(B2124=0,VLOOKUP(A2124,Feuil2!$A$2:$M$1241,13,FALSE)," ")</f>
        <v>#N/A</v>
      </c>
    </row>
    <row r="2125" spans="1:15" x14ac:dyDescent="0.3">
      <c r="A2125" s="1"/>
      <c r="B2125" s="1"/>
      <c r="C2125" s="1" t="e">
        <f>IF(B2125=0,VLOOKUP(A2125,Feuil2!$A$2:$M$1241,2,FALSE)," ")</f>
        <v>#N/A</v>
      </c>
      <c r="D2125" s="1" t="e">
        <f>IF(B2125=0,VLOOKUP(A2125,Feuil2!$A$2:$M$1241,3,FALSE)," ")</f>
        <v>#N/A</v>
      </c>
      <c r="E2125" s="5" t="e">
        <f>IF(B2125=0,VLOOKUP(A2125,Feuil2!$A$2:$M$1241,6,FALSE)," ")</f>
        <v>#N/A</v>
      </c>
      <c r="F2125" s="1" t="e">
        <f>IF(B2125=0,VLOOKUP(A2125,Feuil2!$A$2:$M$1241,12,FALSE)," ")</f>
        <v>#N/A</v>
      </c>
      <c r="G2125" s="1" t="e">
        <f>IF(B2125=0,VLOOKUP(A2125,Feuil2!$A$2:$M$1241,11,FALSE)," ")</f>
        <v>#N/A</v>
      </c>
      <c r="H2125" s="1" t="s">
        <v>16</v>
      </c>
      <c r="I2125" s="6" t="e">
        <f>IF(B2125=0,VLOOKUP(A2125,Feuil2!$A$2:$M$1241,7,FALSE)," ")</f>
        <v>#N/A</v>
      </c>
      <c r="J2125" s="1" t="e">
        <f>IF(B2125=0,VLOOKUP(A2125,Feuil2!$A$2:$M$1241,9,FALSE)," ")</f>
        <v>#N/A</v>
      </c>
      <c r="K2125" s="1" t="e">
        <f>IF(B2125=0,VLOOKUP(A2125,Feuil2!$A$2:$M$1241,10,FALSE)," ")</f>
        <v>#N/A</v>
      </c>
      <c r="L2125" s="1"/>
      <c r="M2125" s="1"/>
      <c r="N2125" s="1"/>
      <c r="O2125" s="8" t="e">
        <f>IF(B2125=0,VLOOKUP(A2125,Feuil2!$A$2:$M$1241,13,FALSE)," ")</f>
        <v>#N/A</v>
      </c>
    </row>
    <row r="2126" spans="1:15" x14ac:dyDescent="0.3">
      <c r="A2126" s="1"/>
      <c r="B2126" s="1"/>
      <c r="C2126" s="1" t="e">
        <f>IF(B2126=0,VLOOKUP(A2126,Feuil2!$A$2:$M$1241,2,FALSE)," ")</f>
        <v>#N/A</v>
      </c>
      <c r="D2126" s="1" t="e">
        <f>IF(B2126=0,VLOOKUP(A2126,Feuil2!$A$2:$M$1241,3,FALSE)," ")</f>
        <v>#N/A</v>
      </c>
      <c r="E2126" s="5" t="e">
        <f>IF(B2126=0,VLOOKUP(A2126,Feuil2!$A$2:$M$1241,6,FALSE)," ")</f>
        <v>#N/A</v>
      </c>
      <c r="F2126" s="1" t="e">
        <f>IF(B2126=0,VLOOKUP(A2126,Feuil2!$A$2:$M$1241,12,FALSE)," ")</f>
        <v>#N/A</v>
      </c>
      <c r="G2126" s="1" t="e">
        <f>IF(B2126=0,VLOOKUP(A2126,Feuil2!$A$2:$M$1241,11,FALSE)," ")</f>
        <v>#N/A</v>
      </c>
      <c r="H2126" s="1" t="s">
        <v>16</v>
      </c>
      <c r="I2126" s="6" t="e">
        <f>IF(B2126=0,VLOOKUP(A2126,Feuil2!$A$2:$M$1241,7,FALSE)," ")</f>
        <v>#N/A</v>
      </c>
      <c r="J2126" s="1" t="e">
        <f>IF(B2126=0,VLOOKUP(A2126,Feuil2!$A$2:$M$1241,9,FALSE)," ")</f>
        <v>#N/A</v>
      </c>
      <c r="K2126" s="1" t="e">
        <f>IF(B2126=0,VLOOKUP(A2126,Feuil2!$A$2:$M$1241,10,FALSE)," ")</f>
        <v>#N/A</v>
      </c>
      <c r="L2126" s="1"/>
      <c r="M2126" s="1"/>
      <c r="N2126" s="1"/>
      <c r="O2126" s="8" t="e">
        <f>IF(B2126=0,VLOOKUP(A2126,Feuil2!$A$2:$M$1241,13,FALSE)," ")</f>
        <v>#N/A</v>
      </c>
    </row>
    <row r="2127" spans="1:15" x14ac:dyDescent="0.3">
      <c r="A2127" s="1"/>
      <c r="B2127" s="1"/>
      <c r="C2127" s="1" t="e">
        <f>IF(B2127=0,VLOOKUP(A2127,Feuil2!$A$2:$M$1241,2,FALSE)," ")</f>
        <v>#N/A</v>
      </c>
      <c r="D2127" s="1" t="e">
        <f>IF(B2127=0,VLOOKUP(A2127,Feuil2!$A$2:$M$1241,3,FALSE)," ")</f>
        <v>#N/A</v>
      </c>
      <c r="E2127" s="5" t="e">
        <f>IF(B2127=0,VLOOKUP(A2127,Feuil2!$A$2:$M$1241,6,FALSE)," ")</f>
        <v>#N/A</v>
      </c>
      <c r="F2127" s="1" t="e">
        <f>IF(B2127=0,VLOOKUP(A2127,Feuil2!$A$2:$M$1241,12,FALSE)," ")</f>
        <v>#N/A</v>
      </c>
      <c r="G2127" s="1" t="e">
        <f>IF(B2127=0,VLOOKUP(A2127,Feuil2!$A$2:$M$1241,11,FALSE)," ")</f>
        <v>#N/A</v>
      </c>
      <c r="H2127" s="1" t="s">
        <v>16</v>
      </c>
      <c r="I2127" s="6" t="e">
        <f>IF(B2127=0,VLOOKUP(A2127,Feuil2!$A$2:$M$1241,7,FALSE)," ")</f>
        <v>#N/A</v>
      </c>
      <c r="J2127" s="1" t="e">
        <f>IF(B2127=0,VLOOKUP(A2127,Feuil2!$A$2:$M$1241,9,FALSE)," ")</f>
        <v>#N/A</v>
      </c>
      <c r="K2127" s="1" t="e">
        <f>IF(B2127=0,VLOOKUP(A2127,Feuil2!$A$2:$M$1241,10,FALSE)," ")</f>
        <v>#N/A</v>
      </c>
      <c r="L2127" s="1"/>
      <c r="M2127" s="1"/>
      <c r="N2127" s="1"/>
      <c r="O2127" s="8" t="e">
        <f>IF(B2127=0,VLOOKUP(A2127,Feuil2!$A$2:$M$1241,13,FALSE)," ")</f>
        <v>#N/A</v>
      </c>
    </row>
    <row r="2128" spans="1:15" x14ac:dyDescent="0.3">
      <c r="A2128" s="1"/>
      <c r="B2128" s="1"/>
      <c r="C2128" s="1" t="e">
        <f>IF(B2128=0,VLOOKUP(A2128,Feuil2!$A$2:$M$1241,2,FALSE)," ")</f>
        <v>#N/A</v>
      </c>
      <c r="D2128" s="1" t="e">
        <f>IF(B2128=0,VLOOKUP(A2128,Feuil2!$A$2:$M$1241,3,FALSE)," ")</f>
        <v>#N/A</v>
      </c>
      <c r="E2128" s="5" t="e">
        <f>IF(B2128=0,VLOOKUP(A2128,Feuil2!$A$2:$M$1241,6,FALSE)," ")</f>
        <v>#N/A</v>
      </c>
      <c r="F2128" s="1" t="e">
        <f>IF(B2128=0,VLOOKUP(A2128,Feuil2!$A$2:$M$1241,12,FALSE)," ")</f>
        <v>#N/A</v>
      </c>
      <c r="G2128" s="1" t="e">
        <f>IF(B2128=0,VLOOKUP(A2128,Feuil2!$A$2:$M$1241,11,FALSE)," ")</f>
        <v>#N/A</v>
      </c>
      <c r="H2128" s="1" t="s">
        <v>16</v>
      </c>
      <c r="I2128" s="6" t="e">
        <f>IF(B2128=0,VLOOKUP(A2128,Feuil2!$A$2:$M$1241,7,FALSE)," ")</f>
        <v>#N/A</v>
      </c>
      <c r="J2128" s="1" t="e">
        <f>IF(B2128=0,VLOOKUP(A2128,Feuil2!$A$2:$M$1241,9,FALSE)," ")</f>
        <v>#N/A</v>
      </c>
      <c r="K2128" s="1" t="e">
        <f>IF(B2128=0,VLOOKUP(A2128,Feuil2!$A$2:$M$1241,10,FALSE)," ")</f>
        <v>#N/A</v>
      </c>
      <c r="L2128" s="1"/>
      <c r="M2128" s="1"/>
      <c r="N2128" s="1"/>
      <c r="O2128" s="8" t="e">
        <f>IF(B2128=0,VLOOKUP(A2128,Feuil2!$A$2:$M$1241,13,FALSE)," ")</f>
        <v>#N/A</v>
      </c>
    </row>
    <row r="2129" spans="1:15" x14ac:dyDescent="0.3">
      <c r="A2129" s="1"/>
      <c r="B2129" s="1"/>
      <c r="C2129" s="1" t="e">
        <f>IF(B2129=0,VLOOKUP(A2129,Feuil2!$A$2:$M$1241,2,FALSE)," ")</f>
        <v>#N/A</v>
      </c>
      <c r="D2129" s="1" t="e">
        <f>IF(B2129=0,VLOOKUP(A2129,Feuil2!$A$2:$M$1241,3,FALSE)," ")</f>
        <v>#N/A</v>
      </c>
      <c r="E2129" s="5" t="e">
        <f>IF(B2129=0,VLOOKUP(A2129,Feuil2!$A$2:$M$1241,6,FALSE)," ")</f>
        <v>#N/A</v>
      </c>
      <c r="F2129" s="1" t="e">
        <f>IF(B2129=0,VLOOKUP(A2129,Feuil2!$A$2:$M$1241,12,FALSE)," ")</f>
        <v>#N/A</v>
      </c>
      <c r="G2129" s="1" t="e">
        <f>IF(B2129=0,VLOOKUP(A2129,Feuil2!$A$2:$M$1241,11,FALSE)," ")</f>
        <v>#N/A</v>
      </c>
      <c r="H2129" s="1" t="s">
        <v>16</v>
      </c>
      <c r="I2129" s="6" t="e">
        <f>IF(B2129=0,VLOOKUP(A2129,Feuil2!$A$2:$M$1241,7,FALSE)," ")</f>
        <v>#N/A</v>
      </c>
      <c r="J2129" s="1" t="e">
        <f>IF(B2129=0,VLOOKUP(A2129,Feuil2!$A$2:$M$1241,9,FALSE)," ")</f>
        <v>#N/A</v>
      </c>
      <c r="K2129" s="1" t="e">
        <f>IF(B2129=0,VLOOKUP(A2129,Feuil2!$A$2:$M$1241,10,FALSE)," ")</f>
        <v>#N/A</v>
      </c>
      <c r="L2129" s="1"/>
      <c r="M2129" s="1"/>
      <c r="N2129" s="1"/>
      <c r="O2129" s="8" t="e">
        <f>IF(B2129=0,VLOOKUP(A2129,Feuil2!$A$2:$M$1241,13,FALSE)," ")</f>
        <v>#N/A</v>
      </c>
    </row>
    <row r="2130" spans="1:15" x14ac:dyDescent="0.3">
      <c r="A2130" s="1"/>
      <c r="B2130" s="1"/>
      <c r="C2130" s="1" t="e">
        <f>IF(B2130=0,VLOOKUP(A2130,Feuil2!$A$2:$M$1241,2,FALSE)," ")</f>
        <v>#N/A</v>
      </c>
      <c r="D2130" s="1" t="e">
        <f>IF(B2130=0,VLOOKUP(A2130,Feuil2!$A$2:$M$1241,3,FALSE)," ")</f>
        <v>#N/A</v>
      </c>
      <c r="E2130" s="5" t="e">
        <f>IF(B2130=0,VLOOKUP(A2130,Feuil2!$A$2:$M$1241,6,FALSE)," ")</f>
        <v>#N/A</v>
      </c>
      <c r="F2130" s="1" t="e">
        <f>IF(B2130=0,VLOOKUP(A2130,Feuil2!$A$2:$M$1241,12,FALSE)," ")</f>
        <v>#N/A</v>
      </c>
      <c r="G2130" s="1" t="e">
        <f>IF(B2130=0,VLOOKUP(A2130,Feuil2!$A$2:$M$1241,11,FALSE)," ")</f>
        <v>#N/A</v>
      </c>
      <c r="H2130" s="1" t="s">
        <v>16</v>
      </c>
      <c r="I2130" s="6" t="e">
        <f>IF(B2130=0,VLOOKUP(A2130,Feuil2!$A$2:$M$1241,7,FALSE)," ")</f>
        <v>#N/A</v>
      </c>
      <c r="J2130" s="1" t="e">
        <f>IF(B2130=0,VLOOKUP(A2130,Feuil2!$A$2:$M$1241,9,FALSE)," ")</f>
        <v>#N/A</v>
      </c>
      <c r="K2130" s="1" t="e">
        <f>IF(B2130=0,VLOOKUP(A2130,Feuil2!$A$2:$M$1241,10,FALSE)," ")</f>
        <v>#N/A</v>
      </c>
      <c r="L2130" s="1"/>
      <c r="M2130" s="1"/>
      <c r="N2130" s="1"/>
      <c r="O2130" s="8" t="e">
        <f>IF(B2130=0,VLOOKUP(A2130,Feuil2!$A$2:$M$1241,13,FALSE)," ")</f>
        <v>#N/A</v>
      </c>
    </row>
    <row r="2131" spans="1:15" x14ac:dyDescent="0.3">
      <c r="A2131" s="1"/>
      <c r="B2131" s="1"/>
      <c r="C2131" s="1" t="e">
        <f>IF(B2131=0,VLOOKUP(A2131,Feuil2!$A$2:$M$1241,2,FALSE)," ")</f>
        <v>#N/A</v>
      </c>
      <c r="D2131" s="1" t="e">
        <f>IF(B2131=0,VLOOKUP(A2131,Feuil2!$A$2:$M$1241,3,FALSE)," ")</f>
        <v>#N/A</v>
      </c>
      <c r="E2131" s="5" t="e">
        <f>IF(B2131=0,VLOOKUP(A2131,Feuil2!$A$2:$M$1241,6,FALSE)," ")</f>
        <v>#N/A</v>
      </c>
      <c r="F2131" s="1" t="e">
        <f>IF(B2131=0,VLOOKUP(A2131,Feuil2!$A$2:$M$1241,12,FALSE)," ")</f>
        <v>#N/A</v>
      </c>
      <c r="G2131" s="1" t="e">
        <f>IF(B2131=0,VLOOKUP(A2131,Feuil2!$A$2:$M$1241,11,FALSE)," ")</f>
        <v>#N/A</v>
      </c>
      <c r="H2131" s="1" t="s">
        <v>16</v>
      </c>
      <c r="I2131" s="6" t="e">
        <f>IF(B2131=0,VLOOKUP(A2131,Feuil2!$A$2:$M$1241,7,FALSE)," ")</f>
        <v>#N/A</v>
      </c>
      <c r="J2131" s="1" t="e">
        <f>IF(B2131=0,VLOOKUP(A2131,Feuil2!$A$2:$M$1241,9,FALSE)," ")</f>
        <v>#N/A</v>
      </c>
      <c r="K2131" s="1" t="e">
        <f>IF(B2131=0,VLOOKUP(A2131,Feuil2!$A$2:$M$1241,10,FALSE)," ")</f>
        <v>#N/A</v>
      </c>
      <c r="L2131" s="1"/>
      <c r="M2131" s="1"/>
      <c r="N2131" s="1"/>
      <c r="O2131" s="8" t="e">
        <f>IF(B2131=0,VLOOKUP(A2131,Feuil2!$A$2:$M$1241,13,FALSE)," ")</f>
        <v>#N/A</v>
      </c>
    </row>
    <row r="2132" spans="1:15" x14ac:dyDescent="0.3">
      <c r="A2132" s="1"/>
      <c r="B2132" s="1"/>
      <c r="C2132" s="1" t="e">
        <f>IF(B2132=0,VLOOKUP(A2132,Feuil2!$A$2:$M$1241,2,FALSE)," ")</f>
        <v>#N/A</v>
      </c>
      <c r="D2132" s="1" t="e">
        <f>IF(B2132=0,VLOOKUP(A2132,Feuil2!$A$2:$M$1241,3,FALSE)," ")</f>
        <v>#N/A</v>
      </c>
      <c r="E2132" s="5" t="e">
        <f>IF(B2132=0,VLOOKUP(A2132,Feuil2!$A$2:$M$1241,6,FALSE)," ")</f>
        <v>#N/A</v>
      </c>
      <c r="F2132" s="1" t="e">
        <f>IF(B2132=0,VLOOKUP(A2132,Feuil2!$A$2:$M$1241,12,FALSE)," ")</f>
        <v>#N/A</v>
      </c>
      <c r="G2132" s="1" t="e">
        <f>IF(B2132=0,VLOOKUP(A2132,Feuil2!$A$2:$M$1241,11,FALSE)," ")</f>
        <v>#N/A</v>
      </c>
      <c r="H2132" s="1" t="s">
        <v>16</v>
      </c>
      <c r="I2132" s="6" t="e">
        <f>IF(B2132=0,VLOOKUP(A2132,Feuil2!$A$2:$M$1241,7,FALSE)," ")</f>
        <v>#N/A</v>
      </c>
      <c r="J2132" s="1" t="e">
        <f>IF(B2132=0,VLOOKUP(A2132,Feuil2!$A$2:$M$1241,9,FALSE)," ")</f>
        <v>#N/A</v>
      </c>
      <c r="K2132" s="1" t="e">
        <f>IF(B2132=0,VLOOKUP(A2132,Feuil2!$A$2:$M$1241,10,FALSE)," ")</f>
        <v>#N/A</v>
      </c>
      <c r="L2132" s="1"/>
      <c r="M2132" s="1"/>
      <c r="N2132" s="1"/>
      <c r="O2132" s="8" t="e">
        <f>IF(B2132=0,VLOOKUP(A2132,Feuil2!$A$2:$M$1241,13,FALSE)," ")</f>
        <v>#N/A</v>
      </c>
    </row>
    <row r="2133" spans="1:15" x14ac:dyDescent="0.3">
      <c r="A2133" s="1"/>
      <c r="B2133" s="1"/>
      <c r="C2133" s="1" t="e">
        <f>IF(B2133=0,VLOOKUP(A2133,Feuil2!$A$2:$M$1241,2,FALSE)," ")</f>
        <v>#N/A</v>
      </c>
      <c r="D2133" s="1" t="e">
        <f>IF(B2133=0,VLOOKUP(A2133,Feuil2!$A$2:$M$1241,3,FALSE)," ")</f>
        <v>#N/A</v>
      </c>
      <c r="E2133" s="5" t="e">
        <f>IF(B2133=0,VLOOKUP(A2133,Feuil2!$A$2:$M$1241,6,FALSE)," ")</f>
        <v>#N/A</v>
      </c>
      <c r="F2133" s="1" t="e">
        <f>IF(B2133=0,VLOOKUP(A2133,Feuil2!$A$2:$M$1241,12,FALSE)," ")</f>
        <v>#N/A</v>
      </c>
      <c r="G2133" s="1" t="e">
        <f>IF(B2133=0,VLOOKUP(A2133,Feuil2!$A$2:$M$1241,11,FALSE)," ")</f>
        <v>#N/A</v>
      </c>
      <c r="H2133" s="1" t="s">
        <v>16</v>
      </c>
      <c r="I2133" s="6" t="e">
        <f>IF(B2133=0,VLOOKUP(A2133,Feuil2!$A$2:$M$1241,7,FALSE)," ")</f>
        <v>#N/A</v>
      </c>
      <c r="J2133" s="1" t="e">
        <f>IF(B2133=0,VLOOKUP(A2133,Feuil2!$A$2:$M$1241,9,FALSE)," ")</f>
        <v>#N/A</v>
      </c>
      <c r="K2133" s="1" t="e">
        <f>IF(B2133=0,VLOOKUP(A2133,Feuil2!$A$2:$M$1241,10,FALSE)," ")</f>
        <v>#N/A</v>
      </c>
      <c r="L2133" s="1"/>
      <c r="M2133" s="1"/>
      <c r="N2133" s="1"/>
      <c r="O2133" s="8" t="e">
        <f>IF(B2133=0,VLOOKUP(A2133,Feuil2!$A$2:$M$1241,13,FALSE)," ")</f>
        <v>#N/A</v>
      </c>
    </row>
    <row r="2134" spans="1:15" x14ac:dyDescent="0.3">
      <c r="A2134" s="1"/>
      <c r="B2134" s="1"/>
      <c r="C2134" s="1" t="e">
        <f>IF(B2134=0,VLOOKUP(A2134,Feuil2!$A$2:$M$1241,2,FALSE)," ")</f>
        <v>#N/A</v>
      </c>
      <c r="D2134" s="1" t="e">
        <f>IF(B2134=0,VLOOKUP(A2134,Feuil2!$A$2:$M$1241,3,FALSE)," ")</f>
        <v>#N/A</v>
      </c>
      <c r="E2134" s="5" t="e">
        <f>IF(B2134=0,VLOOKUP(A2134,Feuil2!$A$2:$M$1241,6,FALSE)," ")</f>
        <v>#N/A</v>
      </c>
      <c r="F2134" s="1" t="e">
        <f>IF(B2134=0,VLOOKUP(A2134,Feuil2!$A$2:$M$1241,12,FALSE)," ")</f>
        <v>#N/A</v>
      </c>
      <c r="G2134" s="1" t="e">
        <f>IF(B2134=0,VLOOKUP(A2134,Feuil2!$A$2:$M$1241,11,FALSE)," ")</f>
        <v>#N/A</v>
      </c>
      <c r="H2134" s="1" t="s">
        <v>16</v>
      </c>
      <c r="I2134" s="6" t="e">
        <f>IF(B2134=0,VLOOKUP(A2134,Feuil2!$A$2:$M$1241,7,FALSE)," ")</f>
        <v>#N/A</v>
      </c>
      <c r="J2134" s="1" t="e">
        <f>IF(B2134=0,VLOOKUP(A2134,Feuil2!$A$2:$M$1241,9,FALSE)," ")</f>
        <v>#N/A</v>
      </c>
      <c r="K2134" s="1" t="e">
        <f>IF(B2134=0,VLOOKUP(A2134,Feuil2!$A$2:$M$1241,10,FALSE)," ")</f>
        <v>#N/A</v>
      </c>
      <c r="L2134" s="1"/>
      <c r="M2134" s="1"/>
      <c r="N2134" s="1"/>
      <c r="O2134" s="8" t="e">
        <f>IF(B2134=0,VLOOKUP(A2134,Feuil2!$A$2:$M$1241,13,FALSE)," ")</f>
        <v>#N/A</v>
      </c>
    </row>
    <row r="2135" spans="1:15" x14ac:dyDescent="0.3">
      <c r="A2135" s="1"/>
      <c r="B2135" s="1"/>
      <c r="C2135" s="1" t="e">
        <f>IF(B2135=0,VLOOKUP(A2135,Feuil2!$A$2:$M$1241,2,FALSE)," ")</f>
        <v>#N/A</v>
      </c>
      <c r="D2135" s="1" t="e">
        <f>IF(B2135=0,VLOOKUP(A2135,Feuil2!$A$2:$M$1241,3,FALSE)," ")</f>
        <v>#N/A</v>
      </c>
      <c r="E2135" s="5" t="e">
        <f>IF(B2135=0,VLOOKUP(A2135,Feuil2!$A$2:$M$1241,6,FALSE)," ")</f>
        <v>#N/A</v>
      </c>
      <c r="F2135" s="1" t="e">
        <f>IF(B2135=0,VLOOKUP(A2135,Feuil2!$A$2:$M$1241,12,FALSE)," ")</f>
        <v>#N/A</v>
      </c>
      <c r="G2135" s="1" t="e">
        <f>IF(B2135=0,VLOOKUP(A2135,Feuil2!$A$2:$M$1241,11,FALSE)," ")</f>
        <v>#N/A</v>
      </c>
      <c r="H2135" s="1" t="s">
        <v>16</v>
      </c>
      <c r="I2135" s="6" t="e">
        <f>IF(B2135=0,VLOOKUP(A2135,Feuil2!$A$2:$M$1241,7,FALSE)," ")</f>
        <v>#N/A</v>
      </c>
      <c r="J2135" s="1" t="e">
        <f>IF(B2135=0,VLOOKUP(A2135,Feuil2!$A$2:$M$1241,9,FALSE)," ")</f>
        <v>#N/A</v>
      </c>
      <c r="K2135" s="1" t="e">
        <f>IF(B2135=0,VLOOKUP(A2135,Feuil2!$A$2:$M$1241,10,FALSE)," ")</f>
        <v>#N/A</v>
      </c>
      <c r="L2135" s="1"/>
      <c r="M2135" s="1"/>
      <c r="N2135" s="1"/>
      <c r="O2135" s="8" t="e">
        <f>IF(B2135=0,VLOOKUP(A2135,Feuil2!$A$2:$M$1241,13,FALSE)," ")</f>
        <v>#N/A</v>
      </c>
    </row>
    <row r="2136" spans="1:15" x14ac:dyDescent="0.3">
      <c r="A2136" s="1"/>
      <c r="B2136" s="1"/>
      <c r="C2136" s="1" t="e">
        <f>IF(B2136=0,VLOOKUP(A2136,Feuil2!$A$2:$M$1241,2,FALSE)," ")</f>
        <v>#N/A</v>
      </c>
      <c r="D2136" s="1" t="e">
        <f>IF(B2136=0,VLOOKUP(A2136,Feuil2!$A$2:$M$1241,3,FALSE)," ")</f>
        <v>#N/A</v>
      </c>
      <c r="E2136" s="5" t="e">
        <f>IF(B2136=0,VLOOKUP(A2136,Feuil2!$A$2:$M$1241,6,FALSE)," ")</f>
        <v>#N/A</v>
      </c>
      <c r="F2136" s="1" t="e">
        <f>IF(B2136=0,VLOOKUP(A2136,Feuil2!$A$2:$M$1241,12,FALSE)," ")</f>
        <v>#N/A</v>
      </c>
      <c r="G2136" s="1" t="e">
        <f>IF(B2136=0,VLOOKUP(A2136,Feuil2!$A$2:$M$1241,11,FALSE)," ")</f>
        <v>#N/A</v>
      </c>
      <c r="H2136" s="1" t="s">
        <v>16</v>
      </c>
      <c r="I2136" s="6" t="e">
        <f>IF(B2136=0,VLOOKUP(A2136,Feuil2!$A$2:$M$1241,7,FALSE)," ")</f>
        <v>#N/A</v>
      </c>
      <c r="J2136" s="1" t="e">
        <f>IF(B2136=0,VLOOKUP(A2136,Feuil2!$A$2:$M$1241,9,FALSE)," ")</f>
        <v>#N/A</v>
      </c>
      <c r="K2136" s="1" t="e">
        <f>IF(B2136=0,VLOOKUP(A2136,Feuil2!$A$2:$M$1241,10,FALSE)," ")</f>
        <v>#N/A</v>
      </c>
      <c r="L2136" s="1"/>
      <c r="M2136" s="1"/>
      <c r="N2136" s="1"/>
      <c r="O2136" s="8" t="e">
        <f>IF(B2136=0,VLOOKUP(A2136,Feuil2!$A$2:$M$1241,13,FALSE)," ")</f>
        <v>#N/A</v>
      </c>
    </row>
    <row r="2137" spans="1:15" x14ac:dyDescent="0.3">
      <c r="A2137" s="1"/>
      <c r="B2137" s="1"/>
      <c r="C2137" s="1" t="e">
        <f>IF(B2137=0,VLOOKUP(A2137,Feuil2!$A$2:$M$1241,2,FALSE)," ")</f>
        <v>#N/A</v>
      </c>
      <c r="D2137" s="1" t="e">
        <f>IF(B2137=0,VLOOKUP(A2137,Feuil2!$A$2:$M$1241,3,FALSE)," ")</f>
        <v>#N/A</v>
      </c>
      <c r="E2137" s="5" t="e">
        <f>IF(B2137=0,VLOOKUP(A2137,Feuil2!$A$2:$M$1241,6,FALSE)," ")</f>
        <v>#N/A</v>
      </c>
      <c r="F2137" s="1" t="e">
        <f>IF(B2137=0,VLOOKUP(A2137,Feuil2!$A$2:$M$1241,12,FALSE)," ")</f>
        <v>#N/A</v>
      </c>
      <c r="G2137" s="1" t="e">
        <f>IF(B2137=0,VLOOKUP(A2137,Feuil2!$A$2:$M$1241,11,FALSE)," ")</f>
        <v>#N/A</v>
      </c>
      <c r="H2137" s="1" t="s">
        <v>16</v>
      </c>
      <c r="I2137" s="6" t="e">
        <f>IF(B2137=0,VLOOKUP(A2137,Feuil2!$A$2:$M$1241,7,FALSE)," ")</f>
        <v>#N/A</v>
      </c>
      <c r="J2137" s="1" t="e">
        <f>IF(B2137=0,VLOOKUP(A2137,Feuil2!$A$2:$M$1241,9,FALSE)," ")</f>
        <v>#N/A</v>
      </c>
      <c r="K2137" s="1" t="e">
        <f>IF(B2137=0,VLOOKUP(A2137,Feuil2!$A$2:$M$1241,10,FALSE)," ")</f>
        <v>#N/A</v>
      </c>
      <c r="L2137" s="1"/>
      <c r="M2137" s="1"/>
      <c r="N2137" s="1"/>
      <c r="O2137" s="8" t="e">
        <f>IF(B2137=0,VLOOKUP(A2137,Feuil2!$A$2:$M$1241,13,FALSE)," ")</f>
        <v>#N/A</v>
      </c>
    </row>
    <row r="2138" spans="1:15" x14ac:dyDescent="0.3">
      <c r="A2138" s="1"/>
      <c r="B2138" s="1"/>
      <c r="C2138" s="1" t="e">
        <f>IF(B2138=0,VLOOKUP(A2138,Feuil2!$A$2:$M$1241,2,FALSE)," ")</f>
        <v>#N/A</v>
      </c>
      <c r="D2138" s="1" t="e">
        <f>IF(B2138=0,VLOOKUP(A2138,Feuil2!$A$2:$M$1241,3,FALSE)," ")</f>
        <v>#N/A</v>
      </c>
      <c r="E2138" s="5" t="e">
        <f>IF(B2138=0,VLOOKUP(A2138,Feuil2!$A$2:$M$1241,6,FALSE)," ")</f>
        <v>#N/A</v>
      </c>
      <c r="F2138" s="1" t="e">
        <f>IF(B2138=0,VLOOKUP(A2138,Feuil2!$A$2:$M$1241,12,FALSE)," ")</f>
        <v>#N/A</v>
      </c>
      <c r="G2138" s="1" t="e">
        <f>IF(B2138=0,VLOOKUP(A2138,Feuil2!$A$2:$M$1241,11,FALSE)," ")</f>
        <v>#N/A</v>
      </c>
      <c r="H2138" s="1" t="s">
        <v>16</v>
      </c>
      <c r="I2138" s="6" t="e">
        <f>IF(B2138=0,VLOOKUP(A2138,Feuil2!$A$2:$M$1241,7,FALSE)," ")</f>
        <v>#N/A</v>
      </c>
      <c r="J2138" s="1" t="e">
        <f>IF(B2138=0,VLOOKUP(A2138,Feuil2!$A$2:$M$1241,9,FALSE)," ")</f>
        <v>#N/A</v>
      </c>
      <c r="K2138" s="1" t="e">
        <f>IF(B2138=0,VLOOKUP(A2138,Feuil2!$A$2:$M$1241,10,FALSE)," ")</f>
        <v>#N/A</v>
      </c>
      <c r="L2138" s="1"/>
      <c r="M2138" s="1"/>
      <c r="N2138" s="1"/>
      <c r="O2138" s="8" t="e">
        <f>IF(B2138=0,VLOOKUP(A2138,Feuil2!$A$2:$M$1241,13,FALSE)," ")</f>
        <v>#N/A</v>
      </c>
    </row>
    <row r="2139" spans="1:15" x14ac:dyDescent="0.3">
      <c r="A2139" s="1"/>
      <c r="B2139" s="1"/>
      <c r="C2139" s="1" t="e">
        <f>IF(B2139=0,VLOOKUP(A2139,Feuil2!$A$2:$M$1241,2,FALSE)," ")</f>
        <v>#N/A</v>
      </c>
      <c r="D2139" s="1" t="e">
        <f>IF(B2139=0,VLOOKUP(A2139,Feuil2!$A$2:$M$1241,3,FALSE)," ")</f>
        <v>#N/A</v>
      </c>
      <c r="E2139" s="5" t="e">
        <f>IF(B2139=0,VLOOKUP(A2139,Feuil2!$A$2:$M$1241,6,FALSE)," ")</f>
        <v>#N/A</v>
      </c>
      <c r="F2139" s="1" t="e">
        <f>IF(B2139=0,VLOOKUP(A2139,Feuil2!$A$2:$M$1241,12,FALSE)," ")</f>
        <v>#N/A</v>
      </c>
      <c r="G2139" s="1" t="e">
        <f>IF(B2139=0,VLOOKUP(A2139,Feuil2!$A$2:$M$1241,11,FALSE)," ")</f>
        <v>#N/A</v>
      </c>
      <c r="H2139" s="1" t="s">
        <v>16</v>
      </c>
      <c r="I2139" s="6" t="e">
        <f>IF(B2139=0,VLOOKUP(A2139,Feuil2!$A$2:$M$1241,7,FALSE)," ")</f>
        <v>#N/A</v>
      </c>
      <c r="J2139" s="1" t="e">
        <f>IF(B2139=0,VLOOKUP(A2139,Feuil2!$A$2:$M$1241,9,FALSE)," ")</f>
        <v>#N/A</v>
      </c>
      <c r="K2139" s="1" t="e">
        <f>IF(B2139=0,VLOOKUP(A2139,Feuil2!$A$2:$M$1241,10,FALSE)," ")</f>
        <v>#N/A</v>
      </c>
      <c r="L2139" s="1"/>
      <c r="M2139" s="1"/>
      <c r="N2139" s="1"/>
      <c r="O2139" s="8" t="e">
        <f>IF(B2139=0,VLOOKUP(A2139,Feuil2!$A$2:$M$1241,13,FALSE)," ")</f>
        <v>#N/A</v>
      </c>
    </row>
    <row r="2140" spans="1:15" x14ac:dyDescent="0.3">
      <c r="A2140" s="1"/>
      <c r="B2140" s="1"/>
      <c r="C2140" s="1" t="e">
        <f>IF(B2140=0,VLOOKUP(A2140,Feuil2!$A$2:$M$1241,2,FALSE)," ")</f>
        <v>#N/A</v>
      </c>
      <c r="D2140" s="1" t="e">
        <f>IF(B2140=0,VLOOKUP(A2140,Feuil2!$A$2:$M$1241,3,FALSE)," ")</f>
        <v>#N/A</v>
      </c>
      <c r="E2140" s="5" t="e">
        <f>IF(B2140=0,VLOOKUP(A2140,Feuil2!$A$2:$M$1241,6,FALSE)," ")</f>
        <v>#N/A</v>
      </c>
      <c r="F2140" s="1" t="e">
        <f>IF(B2140=0,VLOOKUP(A2140,Feuil2!$A$2:$M$1241,12,FALSE)," ")</f>
        <v>#N/A</v>
      </c>
      <c r="G2140" s="1" t="e">
        <f>IF(B2140=0,VLOOKUP(A2140,Feuil2!$A$2:$M$1241,11,FALSE)," ")</f>
        <v>#N/A</v>
      </c>
      <c r="H2140" s="1" t="s">
        <v>16</v>
      </c>
      <c r="I2140" s="6" t="e">
        <f>IF(B2140=0,VLOOKUP(A2140,Feuil2!$A$2:$M$1241,7,FALSE)," ")</f>
        <v>#N/A</v>
      </c>
      <c r="J2140" s="1" t="e">
        <f>IF(B2140=0,VLOOKUP(A2140,Feuil2!$A$2:$M$1241,9,FALSE)," ")</f>
        <v>#N/A</v>
      </c>
      <c r="K2140" s="1" t="e">
        <f>IF(B2140=0,VLOOKUP(A2140,Feuil2!$A$2:$M$1241,10,FALSE)," ")</f>
        <v>#N/A</v>
      </c>
      <c r="L2140" s="1"/>
      <c r="M2140" s="1"/>
      <c r="N2140" s="1"/>
      <c r="O2140" s="8" t="e">
        <f>IF(B2140=0,VLOOKUP(A2140,Feuil2!$A$2:$M$1241,13,FALSE)," ")</f>
        <v>#N/A</v>
      </c>
    </row>
    <row r="2141" spans="1:15" x14ac:dyDescent="0.3">
      <c r="A2141" s="1"/>
      <c r="B2141" s="1"/>
      <c r="C2141" s="1" t="e">
        <f>IF(B2141=0,VLOOKUP(A2141,Feuil2!$A$2:$M$1241,2,FALSE)," ")</f>
        <v>#N/A</v>
      </c>
      <c r="D2141" s="1" t="e">
        <f>IF(B2141=0,VLOOKUP(A2141,Feuil2!$A$2:$M$1241,3,FALSE)," ")</f>
        <v>#N/A</v>
      </c>
      <c r="E2141" s="5" t="e">
        <f>IF(B2141=0,VLOOKUP(A2141,Feuil2!$A$2:$M$1241,6,FALSE)," ")</f>
        <v>#N/A</v>
      </c>
      <c r="F2141" s="1" t="e">
        <f>IF(B2141=0,VLOOKUP(A2141,Feuil2!$A$2:$M$1241,12,FALSE)," ")</f>
        <v>#N/A</v>
      </c>
      <c r="G2141" s="1" t="e">
        <f>IF(B2141=0,VLOOKUP(A2141,Feuil2!$A$2:$M$1241,11,FALSE)," ")</f>
        <v>#N/A</v>
      </c>
      <c r="H2141" s="1" t="s">
        <v>16</v>
      </c>
      <c r="I2141" s="6" t="e">
        <f>IF(B2141=0,VLOOKUP(A2141,Feuil2!$A$2:$M$1241,7,FALSE)," ")</f>
        <v>#N/A</v>
      </c>
      <c r="J2141" s="1" t="e">
        <f>IF(B2141=0,VLOOKUP(A2141,Feuil2!$A$2:$M$1241,9,FALSE)," ")</f>
        <v>#N/A</v>
      </c>
      <c r="K2141" s="1" t="e">
        <f>IF(B2141=0,VLOOKUP(A2141,Feuil2!$A$2:$M$1241,10,FALSE)," ")</f>
        <v>#N/A</v>
      </c>
      <c r="L2141" s="1"/>
      <c r="M2141" s="1"/>
      <c r="N2141" s="1"/>
      <c r="O2141" s="8" t="e">
        <f>IF(B2141=0,VLOOKUP(A2141,Feuil2!$A$2:$M$1241,13,FALSE)," ")</f>
        <v>#N/A</v>
      </c>
    </row>
    <row r="2142" spans="1:15" x14ac:dyDescent="0.3">
      <c r="A2142" s="1"/>
      <c r="B2142" s="1"/>
      <c r="C2142" s="1" t="e">
        <f>IF(B2142=0,VLOOKUP(A2142,Feuil2!$A$2:$M$1241,2,FALSE)," ")</f>
        <v>#N/A</v>
      </c>
      <c r="D2142" s="1" t="e">
        <f>IF(B2142=0,VLOOKUP(A2142,Feuil2!$A$2:$M$1241,3,FALSE)," ")</f>
        <v>#N/A</v>
      </c>
      <c r="E2142" s="5" t="e">
        <f>IF(B2142=0,VLOOKUP(A2142,Feuil2!$A$2:$M$1241,6,FALSE)," ")</f>
        <v>#N/A</v>
      </c>
      <c r="F2142" s="1" t="e">
        <f>IF(B2142=0,VLOOKUP(A2142,Feuil2!$A$2:$M$1241,12,FALSE)," ")</f>
        <v>#N/A</v>
      </c>
      <c r="G2142" s="1" t="e">
        <f>IF(B2142=0,VLOOKUP(A2142,Feuil2!$A$2:$M$1241,11,FALSE)," ")</f>
        <v>#N/A</v>
      </c>
      <c r="H2142" s="1" t="s">
        <v>16</v>
      </c>
      <c r="I2142" s="6" t="e">
        <f>IF(B2142=0,VLOOKUP(A2142,Feuil2!$A$2:$M$1241,7,FALSE)," ")</f>
        <v>#N/A</v>
      </c>
      <c r="J2142" s="1" t="e">
        <f>IF(B2142=0,VLOOKUP(A2142,Feuil2!$A$2:$M$1241,9,FALSE)," ")</f>
        <v>#N/A</v>
      </c>
      <c r="K2142" s="1" t="e">
        <f>IF(B2142=0,VLOOKUP(A2142,Feuil2!$A$2:$M$1241,10,FALSE)," ")</f>
        <v>#N/A</v>
      </c>
      <c r="L2142" s="1"/>
      <c r="M2142" s="1"/>
      <c r="N2142" s="1"/>
      <c r="O2142" s="8" t="e">
        <f>IF(B2142=0,VLOOKUP(A2142,Feuil2!$A$2:$M$1241,13,FALSE)," ")</f>
        <v>#N/A</v>
      </c>
    </row>
    <row r="2143" spans="1:15" x14ac:dyDescent="0.3">
      <c r="A2143" s="1"/>
      <c r="B2143" s="1"/>
      <c r="C2143" s="1" t="e">
        <f>IF(B2143=0,VLOOKUP(A2143,Feuil2!$A$2:$M$1241,2,FALSE)," ")</f>
        <v>#N/A</v>
      </c>
      <c r="D2143" s="1" t="e">
        <f>IF(B2143=0,VLOOKUP(A2143,Feuil2!$A$2:$M$1241,3,FALSE)," ")</f>
        <v>#N/A</v>
      </c>
      <c r="E2143" s="5" t="e">
        <f>IF(B2143=0,VLOOKUP(A2143,Feuil2!$A$2:$M$1241,6,FALSE)," ")</f>
        <v>#N/A</v>
      </c>
      <c r="F2143" s="1" t="e">
        <f>IF(B2143=0,VLOOKUP(A2143,Feuil2!$A$2:$M$1241,12,FALSE)," ")</f>
        <v>#N/A</v>
      </c>
      <c r="G2143" s="1" t="e">
        <f>IF(B2143=0,VLOOKUP(A2143,Feuil2!$A$2:$M$1241,11,FALSE)," ")</f>
        <v>#N/A</v>
      </c>
      <c r="H2143" s="1" t="s">
        <v>16</v>
      </c>
      <c r="I2143" s="6" t="e">
        <f>IF(B2143=0,VLOOKUP(A2143,Feuil2!$A$2:$M$1241,7,FALSE)," ")</f>
        <v>#N/A</v>
      </c>
      <c r="J2143" s="1" t="e">
        <f>IF(B2143=0,VLOOKUP(A2143,Feuil2!$A$2:$M$1241,9,FALSE)," ")</f>
        <v>#N/A</v>
      </c>
      <c r="K2143" s="1" t="e">
        <f>IF(B2143=0,VLOOKUP(A2143,Feuil2!$A$2:$M$1241,10,FALSE)," ")</f>
        <v>#N/A</v>
      </c>
      <c r="L2143" s="1"/>
      <c r="M2143" s="1"/>
      <c r="N2143" s="1"/>
      <c r="O2143" s="8" t="e">
        <f>IF(B2143=0,VLOOKUP(A2143,Feuil2!$A$2:$M$1241,13,FALSE)," ")</f>
        <v>#N/A</v>
      </c>
    </row>
    <row r="2144" spans="1:15" x14ac:dyDescent="0.3">
      <c r="A2144" s="1"/>
      <c r="B2144" s="1"/>
      <c r="C2144" s="1" t="e">
        <f>IF(B2144=0,VLOOKUP(A2144,Feuil2!$A$2:$M$1241,2,FALSE)," ")</f>
        <v>#N/A</v>
      </c>
      <c r="D2144" s="1" t="e">
        <f>IF(B2144=0,VLOOKUP(A2144,Feuil2!$A$2:$M$1241,3,FALSE)," ")</f>
        <v>#N/A</v>
      </c>
      <c r="E2144" s="5" t="e">
        <f>IF(B2144=0,VLOOKUP(A2144,Feuil2!$A$2:$M$1241,6,FALSE)," ")</f>
        <v>#N/A</v>
      </c>
      <c r="F2144" s="1" t="e">
        <f>IF(B2144=0,VLOOKUP(A2144,Feuil2!$A$2:$M$1241,12,FALSE)," ")</f>
        <v>#N/A</v>
      </c>
      <c r="G2144" s="1" t="e">
        <f>IF(B2144=0,VLOOKUP(A2144,Feuil2!$A$2:$M$1241,11,FALSE)," ")</f>
        <v>#N/A</v>
      </c>
      <c r="H2144" s="1" t="s">
        <v>16</v>
      </c>
      <c r="I2144" s="6" t="e">
        <f>IF(B2144=0,VLOOKUP(A2144,Feuil2!$A$2:$M$1241,7,FALSE)," ")</f>
        <v>#N/A</v>
      </c>
      <c r="J2144" s="1" t="e">
        <f>IF(B2144=0,VLOOKUP(A2144,Feuil2!$A$2:$M$1241,9,FALSE)," ")</f>
        <v>#N/A</v>
      </c>
      <c r="K2144" s="1" t="e">
        <f>IF(B2144=0,VLOOKUP(A2144,Feuil2!$A$2:$M$1241,10,FALSE)," ")</f>
        <v>#N/A</v>
      </c>
      <c r="L2144" s="1"/>
      <c r="M2144" s="1"/>
      <c r="N2144" s="1"/>
      <c r="O2144" s="8" t="e">
        <f>IF(B2144=0,VLOOKUP(A2144,Feuil2!$A$2:$M$1241,13,FALSE)," ")</f>
        <v>#N/A</v>
      </c>
    </row>
    <row r="2145" spans="1:15" x14ac:dyDescent="0.3">
      <c r="A2145" s="1"/>
      <c r="B2145" s="1"/>
      <c r="C2145" s="1" t="e">
        <f>IF(B2145=0,VLOOKUP(A2145,Feuil2!$A$2:$M$1241,2,FALSE)," ")</f>
        <v>#N/A</v>
      </c>
      <c r="D2145" s="1" t="e">
        <f>IF(B2145=0,VLOOKUP(A2145,Feuil2!$A$2:$M$1241,3,FALSE)," ")</f>
        <v>#N/A</v>
      </c>
      <c r="E2145" s="5" t="e">
        <f>IF(B2145=0,VLOOKUP(A2145,Feuil2!$A$2:$M$1241,6,FALSE)," ")</f>
        <v>#N/A</v>
      </c>
      <c r="F2145" s="1" t="e">
        <f>IF(B2145=0,VLOOKUP(A2145,Feuil2!$A$2:$M$1241,12,FALSE)," ")</f>
        <v>#N/A</v>
      </c>
      <c r="G2145" s="1" t="e">
        <f>IF(B2145=0,VLOOKUP(A2145,Feuil2!$A$2:$M$1241,11,FALSE)," ")</f>
        <v>#N/A</v>
      </c>
      <c r="H2145" s="1" t="s">
        <v>16</v>
      </c>
      <c r="I2145" s="6" t="e">
        <f>IF(B2145=0,VLOOKUP(A2145,Feuil2!$A$2:$M$1241,7,FALSE)," ")</f>
        <v>#N/A</v>
      </c>
      <c r="J2145" s="1" t="e">
        <f>IF(B2145=0,VLOOKUP(A2145,Feuil2!$A$2:$M$1241,9,FALSE)," ")</f>
        <v>#N/A</v>
      </c>
      <c r="K2145" s="1" t="e">
        <f>IF(B2145=0,VLOOKUP(A2145,Feuil2!$A$2:$M$1241,10,FALSE)," ")</f>
        <v>#N/A</v>
      </c>
      <c r="L2145" s="1"/>
      <c r="M2145" s="1"/>
      <c r="N2145" s="1"/>
      <c r="O2145" s="8" t="e">
        <f>IF(B2145=0,VLOOKUP(A2145,Feuil2!$A$2:$M$1241,13,FALSE)," ")</f>
        <v>#N/A</v>
      </c>
    </row>
    <row r="2146" spans="1:15" x14ac:dyDescent="0.3">
      <c r="A2146" s="1"/>
      <c r="B2146" s="1"/>
      <c r="C2146" s="1" t="e">
        <f>IF(B2146=0,VLOOKUP(A2146,Feuil2!$A$2:$M$1241,2,FALSE)," ")</f>
        <v>#N/A</v>
      </c>
      <c r="D2146" s="1" t="e">
        <f>IF(B2146=0,VLOOKUP(A2146,Feuil2!$A$2:$M$1241,3,FALSE)," ")</f>
        <v>#N/A</v>
      </c>
      <c r="E2146" s="5" t="e">
        <f>IF(B2146=0,VLOOKUP(A2146,Feuil2!$A$2:$M$1241,6,FALSE)," ")</f>
        <v>#N/A</v>
      </c>
      <c r="F2146" s="1" t="e">
        <f>IF(B2146=0,VLOOKUP(A2146,Feuil2!$A$2:$M$1241,12,FALSE)," ")</f>
        <v>#N/A</v>
      </c>
      <c r="G2146" s="1" t="e">
        <f>IF(B2146=0,VLOOKUP(A2146,Feuil2!$A$2:$M$1241,11,FALSE)," ")</f>
        <v>#N/A</v>
      </c>
      <c r="H2146" s="1" t="s">
        <v>16</v>
      </c>
      <c r="I2146" s="6" t="e">
        <f>IF(B2146=0,VLOOKUP(A2146,Feuil2!$A$2:$M$1241,7,FALSE)," ")</f>
        <v>#N/A</v>
      </c>
      <c r="J2146" s="1" t="e">
        <f>IF(B2146=0,VLOOKUP(A2146,Feuil2!$A$2:$M$1241,9,FALSE)," ")</f>
        <v>#N/A</v>
      </c>
      <c r="K2146" s="1" t="e">
        <f>IF(B2146=0,VLOOKUP(A2146,Feuil2!$A$2:$M$1241,10,FALSE)," ")</f>
        <v>#N/A</v>
      </c>
      <c r="L2146" s="1"/>
      <c r="M2146" s="1"/>
      <c r="N2146" s="1"/>
      <c r="O2146" s="8" t="e">
        <f>IF(B2146=0,VLOOKUP(A2146,Feuil2!$A$2:$M$1241,13,FALSE)," ")</f>
        <v>#N/A</v>
      </c>
    </row>
    <row r="2147" spans="1:15" x14ac:dyDescent="0.3">
      <c r="A2147" s="1"/>
      <c r="B2147" s="1"/>
      <c r="C2147" s="1" t="e">
        <f>IF(B2147=0,VLOOKUP(A2147,Feuil2!$A$2:$M$1241,2,FALSE)," ")</f>
        <v>#N/A</v>
      </c>
      <c r="D2147" s="1" t="e">
        <f>IF(B2147=0,VLOOKUP(A2147,Feuil2!$A$2:$M$1241,3,FALSE)," ")</f>
        <v>#N/A</v>
      </c>
      <c r="E2147" s="5" t="e">
        <f>IF(B2147=0,VLOOKUP(A2147,Feuil2!$A$2:$M$1241,6,FALSE)," ")</f>
        <v>#N/A</v>
      </c>
      <c r="F2147" s="1" t="e">
        <f>IF(B2147=0,VLOOKUP(A2147,Feuil2!$A$2:$M$1241,12,FALSE)," ")</f>
        <v>#N/A</v>
      </c>
      <c r="G2147" s="1" t="e">
        <f>IF(B2147=0,VLOOKUP(A2147,Feuil2!$A$2:$M$1241,11,FALSE)," ")</f>
        <v>#N/A</v>
      </c>
      <c r="H2147" s="1" t="s">
        <v>16</v>
      </c>
      <c r="I2147" s="6" t="e">
        <f>IF(B2147=0,VLOOKUP(A2147,Feuil2!$A$2:$M$1241,7,FALSE)," ")</f>
        <v>#N/A</v>
      </c>
      <c r="J2147" s="1" t="e">
        <f>IF(B2147=0,VLOOKUP(A2147,Feuil2!$A$2:$M$1241,9,FALSE)," ")</f>
        <v>#N/A</v>
      </c>
      <c r="K2147" s="1" t="e">
        <f>IF(B2147=0,VLOOKUP(A2147,Feuil2!$A$2:$M$1241,10,FALSE)," ")</f>
        <v>#N/A</v>
      </c>
      <c r="L2147" s="1"/>
      <c r="M2147" s="1"/>
      <c r="N2147" s="1"/>
      <c r="O2147" s="8" t="e">
        <f>IF(B2147=0,VLOOKUP(A2147,Feuil2!$A$2:$M$1241,13,FALSE)," ")</f>
        <v>#N/A</v>
      </c>
    </row>
    <row r="2148" spans="1:15" x14ac:dyDescent="0.3">
      <c r="A2148" s="1"/>
      <c r="B2148" s="1"/>
      <c r="C2148" s="1" t="e">
        <f>IF(B2148=0,VLOOKUP(A2148,Feuil2!$A$2:$M$1241,2,FALSE)," ")</f>
        <v>#N/A</v>
      </c>
      <c r="D2148" s="1" t="e">
        <f>IF(B2148=0,VLOOKUP(A2148,Feuil2!$A$2:$M$1241,3,FALSE)," ")</f>
        <v>#N/A</v>
      </c>
      <c r="E2148" s="5" t="e">
        <f>IF(B2148=0,VLOOKUP(A2148,Feuil2!$A$2:$M$1241,6,FALSE)," ")</f>
        <v>#N/A</v>
      </c>
      <c r="F2148" s="1" t="e">
        <f>IF(B2148=0,VLOOKUP(A2148,Feuil2!$A$2:$M$1241,12,FALSE)," ")</f>
        <v>#N/A</v>
      </c>
      <c r="G2148" s="1" t="e">
        <f>IF(B2148=0,VLOOKUP(A2148,Feuil2!$A$2:$M$1241,11,FALSE)," ")</f>
        <v>#N/A</v>
      </c>
      <c r="H2148" s="1" t="s">
        <v>16</v>
      </c>
      <c r="I2148" s="6" t="e">
        <f>IF(B2148=0,VLOOKUP(A2148,Feuil2!$A$2:$M$1241,7,FALSE)," ")</f>
        <v>#N/A</v>
      </c>
      <c r="J2148" s="1" t="e">
        <f>IF(B2148=0,VLOOKUP(A2148,Feuil2!$A$2:$M$1241,9,FALSE)," ")</f>
        <v>#N/A</v>
      </c>
      <c r="K2148" s="1" t="e">
        <f>IF(B2148=0,VLOOKUP(A2148,Feuil2!$A$2:$M$1241,10,FALSE)," ")</f>
        <v>#N/A</v>
      </c>
      <c r="L2148" s="1"/>
      <c r="M2148" s="1"/>
      <c r="N2148" s="1"/>
      <c r="O2148" s="8" t="e">
        <f>IF(B2148=0,VLOOKUP(A2148,Feuil2!$A$2:$M$1241,13,FALSE)," ")</f>
        <v>#N/A</v>
      </c>
    </row>
    <row r="2149" spans="1:15" x14ac:dyDescent="0.3">
      <c r="A2149" s="1"/>
      <c r="B2149" s="1"/>
      <c r="C2149" s="1" t="e">
        <f>IF(B2149=0,VLOOKUP(A2149,Feuil2!$A$2:$M$1241,2,FALSE)," ")</f>
        <v>#N/A</v>
      </c>
      <c r="D2149" s="1" t="e">
        <f>IF(B2149=0,VLOOKUP(A2149,Feuil2!$A$2:$M$1241,3,FALSE)," ")</f>
        <v>#N/A</v>
      </c>
      <c r="E2149" s="5" t="e">
        <f>IF(B2149=0,VLOOKUP(A2149,Feuil2!$A$2:$M$1241,6,FALSE)," ")</f>
        <v>#N/A</v>
      </c>
      <c r="F2149" s="1" t="e">
        <f>IF(B2149=0,VLOOKUP(A2149,Feuil2!$A$2:$M$1241,12,FALSE)," ")</f>
        <v>#N/A</v>
      </c>
      <c r="G2149" s="1" t="e">
        <f>IF(B2149=0,VLOOKUP(A2149,Feuil2!$A$2:$M$1241,11,FALSE)," ")</f>
        <v>#N/A</v>
      </c>
      <c r="H2149" s="1" t="s">
        <v>16</v>
      </c>
      <c r="I2149" s="6" t="e">
        <f>IF(B2149=0,VLOOKUP(A2149,Feuil2!$A$2:$M$1241,7,FALSE)," ")</f>
        <v>#N/A</v>
      </c>
      <c r="J2149" s="1" t="e">
        <f>IF(B2149=0,VLOOKUP(A2149,Feuil2!$A$2:$M$1241,9,FALSE)," ")</f>
        <v>#N/A</v>
      </c>
      <c r="K2149" s="1" t="e">
        <f>IF(B2149=0,VLOOKUP(A2149,Feuil2!$A$2:$M$1241,10,FALSE)," ")</f>
        <v>#N/A</v>
      </c>
      <c r="L2149" s="1"/>
      <c r="M2149" s="1"/>
      <c r="N2149" s="1"/>
      <c r="O2149" s="8" t="e">
        <f>IF(B2149=0,VLOOKUP(A2149,Feuil2!$A$2:$M$1241,13,FALSE)," ")</f>
        <v>#N/A</v>
      </c>
    </row>
    <row r="2150" spans="1:15" x14ac:dyDescent="0.3">
      <c r="A2150" s="1"/>
      <c r="B2150" s="1"/>
      <c r="C2150" s="1" t="e">
        <f>IF(B2150=0,VLOOKUP(A2150,Feuil2!$A$2:$M$1241,2,FALSE)," ")</f>
        <v>#N/A</v>
      </c>
      <c r="D2150" s="1" t="e">
        <f>IF(B2150=0,VLOOKUP(A2150,Feuil2!$A$2:$M$1241,3,FALSE)," ")</f>
        <v>#N/A</v>
      </c>
      <c r="E2150" s="5" t="e">
        <f>IF(B2150=0,VLOOKUP(A2150,Feuil2!$A$2:$M$1241,6,FALSE)," ")</f>
        <v>#N/A</v>
      </c>
      <c r="F2150" s="1" t="e">
        <f>IF(B2150=0,VLOOKUP(A2150,Feuil2!$A$2:$M$1241,12,FALSE)," ")</f>
        <v>#N/A</v>
      </c>
      <c r="G2150" s="1" t="e">
        <f>IF(B2150=0,VLOOKUP(A2150,Feuil2!$A$2:$M$1241,11,FALSE)," ")</f>
        <v>#N/A</v>
      </c>
      <c r="H2150" s="1" t="s">
        <v>16</v>
      </c>
      <c r="I2150" s="6" t="e">
        <f>IF(B2150=0,VLOOKUP(A2150,Feuil2!$A$2:$M$1241,7,FALSE)," ")</f>
        <v>#N/A</v>
      </c>
      <c r="J2150" s="1" t="e">
        <f>IF(B2150=0,VLOOKUP(A2150,Feuil2!$A$2:$M$1241,9,FALSE)," ")</f>
        <v>#N/A</v>
      </c>
      <c r="K2150" s="1" t="e">
        <f>IF(B2150=0,VLOOKUP(A2150,Feuil2!$A$2:$M$1241,10,FALSE)," ")</f>
        <v>#N/A</v>
      </c>
      <c r="L2150" s="1"/>
      <c r="M2150" s="1"/>
      <c r="N2150" s="1"/>
      <c r="O2150" s="8" t="e">
        <f>IF(B2150=0,VLOOKUP(A2150,Feuil2!$A$2:$M$1241,13,FALSE)," ")</f>
        <v>#N/A</v>
      </c>
    </row>
    <row r="2151" spans="1:15" x14ac:dyDescent="0.3">
      <c r="A2151" s="1"/>
      <c r="B2151" s="1"/>
      <c r="C2151" s="1" t="e">
        <f>IF(B2151=0,VLOOKUP(A2151,Feuil2!$A$2:$M$1241,2,FALSE)," ")</f>
        <v>#N/A</v>
      </c>
      <c r="D2151" s="1" t="e">
        <f>IF(B2151=0,VLOOKUP(A2151,Feuil2!$A$2:$M$1241,3,FALSE)," ")</f>
        <v>#N/A</v>
      </c>
      <c r="E2151" s="5" t="e">
        <f>IF(B2151=0,VLOOKUP(A2151,Feuil2!$A$2:$M$1241,6,FALSE)," ")</f>
        <v>#N/A</v>
      </c>
      <c r="F2151" s="1" t="e">
        <f>IF(B2151=0,VLOOKUP(A2151,Feuil2!$A$2:$M$1241,12,FALSE)," ")</f>
        <v>#N/A</v>
      </c>
      <c r="G2151" s="1" t="e">
        <f>IF(B2151=0,VLOOKUP(A2151,Feuil2!$A$2:$M$1241,11,FALSE)," ")</f>
        <v>#N/A</v>
      </c>
      <c r="H2151" s="1" t="s">
        <v>16</v>
      </c>
      <c r="I2151" s="6" t="e">
        <f>IF(B2151=0,VLOOKUP(A2151,Feuil2!$A$2:$M$1241,7,FALSE)," ")</f>
        <v>#N/A</v>
      </c>
      <c r="J2151" s="1" t="e">
        <f>IF(B2151=0,VLOOKUP(A2151,Feuil2!$A$2:$M$1241,9,FALSE)," ")</f>
        <v>#N/A</v>
      </c>
      <c r="K2151" s="1" t="e">
        <f>IF(B2151=0,VLOOKUP(A2151,Feuil2!$A$2:$M$1241,10,FALSE)," ")</f>
        <v>#N/A</v>
      </c>
      <c r="L2151" s="1"/>
      <c r="M2151" s="1"/>
      <c r="N2151" s="1"/>
      <c r="O2151" s="8" t="e">
        <f>IF(B2151=0,VLOOKUP(A2151,Feuil2!$A$2:$M$1241,13,FALSE)," ")</f>
        <v>#N/A</v>
      </c>
    </row>
    <row r="2152" spans="1:15" x14ac:dyDescent="0.3">
      <c r="A2152" s="1"/>
      <c r="B2152" s="1"/>
      <c r="C2152" s="1" t="e">
        <f>IF(B2152=0,VLOOKUP(A2152,Feuil2!$A$2:$M$1241,2,FALSE)," ")</f>
        <v>#N/A</v>
      </c>
      <c r="D2152" s="1" t="e">
        <f>IF(B2152=0,VLOOKUP(A2152,Feuil2!$A$2:$M$1241,3,FALSE)," ")</f>
        <v>#N/A</v>
      </c>
      <c r="E2152" s="5" t="e">
        <f>IF(B2152=0,VLOOKUP(A2152,Feuil2!$A$2:$M$1241,6,FALSE)," ")</f>
        <v>#N/A</v>
      </c>
      <c r="F2152" s="1" t="e">
        <f>IF(B2152=0,VLOOKUP(A2152,Feuil2!$A$2:$M$1241,12,FALSE)," ")</f>
        <v>#N/A</v>
      </c>
      <c r="G2152" s="1" t="e">
        <f>IF(B2152=0,VLOOKUP(A2152,Feuil2!$A$2:$M$1241,11,FALSE)," ")</f>
        <v>#N/A</v>
      </c>
      <c r="H2152" s="1" t="s">
        <v>16</v>
      </c>
      <c r="I2152" s="6" t="e">
        <f>IF(B2152=0,VLOOKUP(A2152,Feuil2!$A$2:$M$1241,7,FALSE)," ")</f>
        <v>#N/A</v>
      </c>
      <c r="J2152" s="1" t="e">
        <f>IF(B2152=0,VLOOKUP(A2152,Feuil2!$A$2:$M$1241,9,FALSE)," ")</f>
        <v>#N/A</v>
      </c>
      <c r="K2152" s="1" t="e">
        <f>IF(B2152=0,VLOOKUP(A2152,Feuil2!$A$2:$M$1241,10,FALSE)," ")</f>
        <v>#N/A</v>
      </c>
      <c r="L2152" s="1"/>
      <c r="M2152" s="1"/>
      <c r="N2152" s="1"/>
      <c r="O2152" s="8" t="e">
        <f>IF(B2152=0,VLOOKUP(A2152,Feuil2!$A$2:$M$1241,13,FALSE)," ")</f>
        <v>#N/A</v>
      </c>
    </row>
    <row r="2153" spans="1:15" x14ac:dyDescent="0.3">
      <c r="A2153" s="1"/>
      <c r="B2153" s="1"/>
      <c r="C2153" s="1" t="e">
        <f>IF(B2153=0,VLOOKUP(A2153,Feuil2!$A$2:$M$1241,2,FALSE)," ")</f>
        <v>#N/A</v>
      </c>
      <c r="D2153" s="1" t="e">
        <f>IF(B2153=0,VLOOKUP(A2153,Feuil2!$A$2:$M$1241,3,FALSE)," ")</f>
        <v>#N/A</v>
      </c>
      <c r="E2153" s="5" t="e">
        <f>IF(B2153=0,VLOOKUP(A2153,Feuil2!$A$2:$M$1241,6,FALSE)," ")</f>
        <v>#N/A</v>
      </c>
      <c r="F2153" s="1" t="e">
        <f>IF(B2153=0,VLOOKUP(A2153,Feuil2!$A$2:$M$1241,12,FALSE)," ")</f>
        <v>#N/A</v>
      </c>
      <c r="G2153" s="1" t="e">
        <f>IF(B2153=0,VLOOKUP(A2153,Feuil2!$A$2:$M$1241,11,FALSE)," ")</f>
        <v>#N/A</v>
      </c>
      <c r="H2153" s="1" t="s">
        <v>16</v>
      </c>
      <c r="I2153" s="6" t="e">
        <f>IF(B2153=0,VLOOKUP(A2153,Feuil2!$A$2:$M$1241,7,FALSE)," ")</f>
        <v>#N/A</v>
      </c>
      <c r="J2153" s="1" t="e">
        <f>IF(B2153=0,VLOOKUP(A2153,Feuil2!$A$2:$M$1241,9,FALSE)," ")</f>
        <v>#N/A</v>
      </c>
      <c r="K2153" s="1" t="e">
        <f>IF(B2153=0,VLOOKUP(A2153,Feuil2!$A$2:$M$1241,10,FALSE)," ")</f>
        <v>#N/A</v>
      </c>
      <c r="L2153" s="1"/>
      <c r="M2153" s="1"/>
      <c r="N2153" s="1"/>
      <c r="O2153" s="8" t="e">
        <f>IF(B2153=0,VLOOKUP(A2153,Feuil2!$A$2:$M$1241,13,FALSE)," ")</f>
        <v>#N/A</v>
      </c>
    </row>
    <row r="2154" spans="1:15" x14ac:dyDescent="0.3">
      <c r="A2154" s="1"/>
      <c r="B2154" s="1"/>
      <c r="C2154" s="1" t="e">
        <f>IF(B2154=0,VLOOKUP(A2154,Feuil2!$A$2:$M$1241,2,FALSE)," ")</f>
        <v>#N/A</v>
      </c>
      <c r="D2154" s="1" t="e">
        <f>IF(B2154=0,VLOOKUP(A2154,Feuil2!$A$2:$M$1241,3,FALSE)," ")</f>
        <v>#N/A</v>
      </c>
      <c r="E2154" s="5" t="e">
        <f>IF(B2154=0,VLOOKUP(A2154,Feuil2!$A$2:$M$1241,6,FALSE)," ")</f>
        <v>#N/A</v>
      </c>
      <c r="F2154" s="1" t="e">
        <f>IF(B2154=0,VLOOKUP(A2154,Feuil2!$A$2:$M$1241,12,FALSE)," ")</f>
        <v>#N/A</v>
      </c>
      <c r="G2154" s="1" t="e">
        <f>IF(B2154=0,VLOOKUP(A2154,Feuil2!$A$2:$M$1241,11,FALSE)," ")</f>
        <v>#N/A</v>
      </c>
      <c r="H2154" s="1" t="s">
        <v>16</v>
      </c>
      <c r="I2154" s="6" t="e">
        <f>IF(B2154=0,VLOOKUP(A2154,Feuil2!$A$2:$M$1241,7,FALSE)," ")</f>
        <v>#N/A</v>
      </c>
      <c r="J2154" s="1" t="e">
        <f>IF(B2154=0,VLOOKUP(A2154,Feuil2!$A$2:$M$1241,9,FALSE)," ")</f>
        <v>#N/A</v>
      </c>
      <c r="K2154" s="1" t="e">
        <f>IF(B2154=0,VLOOKUP(A2154,Feuil2!$A$2:$M$1241,10,FALSE)," ")</f>
        <v>#N/A</v>
      </c>
      <c r="L2154" s="1"/>
      <c r="M2154" s="1"/>
      <c r="N2154" s="1"/>
      <c r="O2154" s="8" t="e">
        <f>IF(B2154=0,VLOOKUP(A2154,Feuil2!$A$2:$M$1241,13,FALSE)," ")</f>
        <v>#N/A</v>
      </c>
    </row>
    <row r="2155" spans="1:15" x14ac:dyDescent="0.3">
      <c r="A2155" s="1"/>
      <c r="B2155" s="1"/>
      <c r="C2155" s="1" t="e">
        <f>IF(B2155=0,VLOOKUP(A2155,Feuil2!$A$2:$M$1241,2,FALSE)," ")</f>
        <v>#N/A</v>
      </c>
      <c r="D2155" s="1" t="e">
        <f>IF(B2155=0,VLOOKUP(A2155,Feuil2!$A$2:$M$1241,3,FALSE)," ")</f>
        <v>#N/A</v>
      </c>
      <c r="E2155" s="5" t="e">
        <f>IF(B2155=0,VLOOKUP(A2155,Feuil2!$A$2:$M$1241,6,FALSE)," ")</f>
        <v>#N/A</v>
      </c>
      <c r="F2155" s="1" t="e">
        <f>IF(B2155=0,VLOOKUP(A2155,Feuil2!$A$2:$M$1241,12,FALSE)," ")</f>
        <v>#N/A</v>
      </c>
      <c r="G2155" s="1" t="e">
        <f>IF(B2155=0,VLOOKUP(A2155,Feuil2!$A$2:$M$1241,11,FALSE)," ")</f>
        <v>#N/A</v>
      </c>
      <c r="H2155" s="1" t="s">
        <v>16</v>
      </c>
      <c r="I2155" s="6" t="e">
        <f>IF(B2155=0,VLOOKUP(A2155,Feuil2!$A$2:$M$1241,7,FALSE)," ")</f>
        <v>#N/A</v>
      </c>
      <c r="J2155" s="1" t="e">
        <f>IF(B2155=0,VLOOKUP(A2155,Feuil2!$A$2:$M$1241,9,FALSE)," ")</f>
        <v>#N/A</v>
      </c>
      <c r="K2155" s="1" t="e">
        <f>IF(B2155=0,VLOOKUP(A2155,Feuil2!$A$2:$M$1241,10,FALSE)," ")</f>
        <v>#N/A</v>
      </c>
      <c r="L2155" s="1"/>
      <c r="M2155" s="1"/>
      <c r="N2155" s="1"/>
      <c r="O2155" s="8" t="e">
        <f>IF(B2155=0,VLOOKUP(A2155,Feuil2!$A$2:$M$1241,13,FALSE)," ")</f>
        <v>#N/A</v>
      </c>
    </row>
    <row r="2156" spans="1:15" x14ac:dyDescent="0.3">
      <c r="A2156" s="1"/>
      <c r="B2156" s="1"/>
      <c r="C2156" s="1" t="e">
        <f>IF(B2156=0,VLOOKUP(A2156,Feuil2!$A$2:$M$1241,2,FALSE)," ")</f>
        <v>#N/A</v>
      </c>
      <c r="D2156" s="1" t="e">
        <f>IF(B2156=0,VLOOKUP(A2156,Feuil2!$A$2:$M$1241,3,FALSE)," ")</f>
        <v>#N/A</v>
      </c>
      <c r="E2156" s="5" t="e">
        <f>IF(B2156=0,VLOOKUP(A2156,Feuil2!$A$2:$M$1241,6,FALSE)," ")</f>
        <v>#N/A</v>
      </c>
      <c r="F2156" s="1" t="e">
        <f>IF(B2156=0,VLOOKUP(A2156,Feuil2!$A$2:$M$1241,12,FALSE)," ")</f>
        <v>#N/A</v>
      </c>
      <c r="G2156" s="1" t="e">
        <f>IF(B2156=0,VLOOKUP(A2156,Feuil2!$A$2:$M$1241,11,FALSE)," ")</f>
        <v>#N/A</v>
      </c>
      <c r="H2156" s="1" t="s">
        <v>16</v>
      </c>
      <c r="I2156" s="6" t="e">
        <f>IF(B2156=0,VLOOKUP(A2156,Feuil2!$A$2:$M$1241,7,FALSE)," ")</f>
        <v>#N/A</v>
      </c>
      <c r="J2156" s="1" t="e">
        <f>IF(B2156=0,VLOOKUP(A2156,Feuil2!$A$2:$M$1241,9,FALSE)," ")</f>
        <v>#N/A</v>
      </c>
      <c r="K2156" s="1" t="e">
        <f>IF(B2156=0,VLOOKUP(A2156,Feuil2!$A$2:$M$1241,10,FALSE)," ")</f>
        <v>#N/A</v>
      </c>
      <c r="L2156" s="1"/>
      <c r="M2156" s="1"/>
      <c r="N2156" s="1"/>
      <c r="O2156" s="8" t="e">
        <f>IF(B2156=0,VLOOKUP(A2156,Feuil2!$A$2:$M$1241,13,FALSE)," ")</f>
        <v>#N/A</v>
      </c>
    </row>
    <row r="2157" spans="1:15" x14ac:dyDescent="0.3">
      <c r="A2157" s="1"/>
      <c r="B2157" s="1"/>
      <c r="C2157" s="1" t="e">
        <f>IF(B2157=0,VLOOKUP(A2157,Feuil2!$A$2:$M$1241,2,FALSE)," ")</f>
        <v>#N/A</v>
      </c>
      <c r="D2157" s="1" t="e">
        <f>IF(B2157=0,VLOOKUP(A2157,Feuil2!$A$2:$M$1241,3,FALSE)," ")</f>
        <v>#N/A</v>
      </c>
      <c r="E2157" s="5" t="e">
        <f>IF(B2157=0,VLOOKUP(A2157,Feuil2!$A$2:$M$1241,6,FALSE)," ")</f>
        <v>#N/A</v>
      </c>
      <c r="F2157" s="1" t="e">
        <f>IF(B2157=0,VLOOKUP(A2157,Feuil2!$A$2:$M$1241,12,FALSE)," ")</f>
        <v>#N/A</v>
      </c>
      <c r="G2157" s="1" t="e">
        <f>IF(B2157=0,VLOOKUP(A2157,Feuil2!$A$2:$M$1241,11,FALSE)," ")</f>
        <v>#N/A</v>
      </c>
      <c r="H2157" s="1" t="s">
        <v>16</v>
      </c>
      <c r="I2157" s="6" t="e">
        <f>IF(B2157=0,VLOOKUP(A2157,Feuil2!$A$2:$M$1241,7,FALSE)," ")</f>
        <v>#N/A</v>
      </c>
      <c r="J2157" s="1" t="e">
        <f>IF(B2157=0,VLOOKUP(A2157,Feuil2!$A$2:$M$1241,9,FALSE)," ")</f>
        <v>#N/A</v>
      </c>
      <c r="K2157" s="1" t="e">
        <f>IF(B2157=0,VLOOKUP(A2157,Feuil2!$A$2:$M$1241,10,FALSE)," ")</f>
        <v>#N/A</v>
      </c>
      <c r="L2157" s="1"/>
      <c r="M2157" s="1"/>
      <c r="N2157" s="1"/>
      <c r="O2157" s="8" t="e">
        <f>IF(B2157=0,VLOOKUP(A2157,Feuil2!$A$2:$M$1241,13,FALSE)," ")</f>
        <v>#N/A</v>
      </c>
    </row>
    <row r="2158" spans="1:15" x14ac:dyDescent="0.3">
      <c r="A2158" s="1"/>
      <c r="B2158" s="1"/>
      <c r="C2158" s="1" t="e">
        <f>IF(B2158=0,VLOOKUP(A2158,Feuil2!$A$2:$M$1241,2,FALSE)," ")</f>
        <v>#N/A</v>
      </c>
      <c r="D2158" s="1" t="e">
        <f>IF(B2158=0,VLOOKUP(A2158,Feuil2!$A$2:$M$1241,3,FALSE)," ")</f>
        <v>#N/A</v>
      </c>
      <c r="E2158" s="5" t="e">
        <f>IF(B2158=0,VLOOKUP(A2158,Feuil2!$A$2:$M$1241,6,FALSE)," ")</f>
        <v>#N/A</v>
      </c>
      <c r="F2158" s="1" t="e">
        <f>IF(B2158=0,VLOOKUP(A2158,Feuil2!$A$2:$M$1241,12,FALSE)," ")</f>
        <v>#N/A</v>
      </c>
      <c r="G2158" s="1" t="e">
        <f>IF(B2158=0,VLOOKUP(A2158,Feuil2!$A$2:$M$1241,11,FALSE)," ")</f>
        <v>#N/A</v>
      </c>
      <c r="H2158" s="1" t="s">
        <v>16</v>
      </c>
      <c r="I2158" s="6" t="e">
        <f>IF(B2158=0,VLOOKUP(A2158,Feuil2!$A$2:$M$1241,7,FALSE)," ")</f>
        <v>#N/A</v>
      </c>
      <c r="J2158" s="1" t="e">
        <f>IF(B2158=0,VLOOKUP(A2158,Feuil2!$A$2:$M$1241,9,FALSE)," ")</f>
        <v>#N/A</v>
      </c>
      <c r="K2158" s="1" t="e">
        <f>IF(B2158=0,VLOOKUP(A2158,Feuil2!$A$2:$M$1241,10,FALSE)," ")</f>
        <v>#N/A</v>
      </c>
      <c r="L2158" s="1"/>
      <c r="M2158" s="1"/>
      <c r="N2158" s="1"/>
      <c r="O2158" s="8" t="e">
        <f>IF(B2158=0,VLOOKUP(A2158,Feuil2!$A$2:$M$1241,13,FALSE)," ")</f>
        <v>#N/A</v>
      </c>
    </row>
    <row r="2159" spans="1:15" x14ac:dyDescent="0.3">
      <c r="A2159" s="1"/>
      <c r="B2159" s="1"/>
      <c r="C2159" s="1" t="e">
        <f>IF(B2159=0,VLOOKUP(A2159,Feuil2!$A$2:$M$1241,2,FALSE)," ")</f>
        <v>#N/A</v>
      </c>
      <c r="D2159" s="1" t="e">
        <f>IF(B2159=0,VLOOKUP(A2159,Feuil2!$A$2:$M$1241,3,FALSE)," ")</f>
        <v>#N/A</v>
      </c>
      <c r="E2159" s="5" t="e">
        <f>IF(B2159=0,VLOOKUP(A2159,Feuil2!$A$2:$M$1241,6,FALSE)," ")</f>
        <v>#N/A</v>
      </c>
      <c r="F2159" s="1" t="e">
        <f>IF(B2159=0,VLOOKUP(A2159,Feuil2!$A$2:$M$1241,12,FALSE)," ")</f>
        <v>#N/A</v>
      </c>
      <c r="G2159" s="1" t="e">
        <f>IF(B2159=0,VLOOKUP(A2159,Feuil2!$A$2:$M$1241,11,FALSE)," ")</f>
        <v>#N/A</v>
      </c>
      <c r="H2159" s="1" t="s">
        <v>16</v>
      </c>
      <c r="I2159" s="6" t="e">
        <f>IF(B2159=0,VLOOKUP(A2159,Feuil2!$A$2:$M$1241,7,FALSE)," ")</f>
        <v>#N/A</v>
      </c>
      <c r="J2159" s="1" t="e">
        <f>IF(B2159=0,VLOOKUP(A2159,Feuil2!$A$2:$M$1241,9,FALSE)," ")</f>
        <v>#N/A</v>
      </c>
      <c r="K2159" s="1" t="e">
        <f>IF(B2159=0,VLOOKUP(A2159,Feuil2!$A$2:$M$1241,10,FALSE)," ")</f>
        <v>#N/A</v>
      </c>
      <c r="L2159" s="1"/>
      <c r="M2159" s="1"/>
      <c r="N2159" s="1"/>
      <c r="O2159" s="8" t="e">
        <f>IF(B2159=0,VLOOKUP(A2159,Feuil2!$A$2:$M$1241,13,FALSE)," ")</f>
        <v>#N/A</v>
      </c>
    </row>
    <row r="2160" spans="1:15" x14ac:dyDescent="0.3">
      <c r="A2160" s="1"/>
      <c r="B2160" s="1"/>
      <c r="C2160" s="1" t="e">
        <f>IF(B2160=0,VLOOKUP(A2160,Feuil2!$A$2:$M$1241,2,FALSE)," ")</f>
        <v>#N/A</v>
      </c>
      <c r="D2160" s="1" t="e">
        <f>IF(B2160=0,VLOOKUP(A2160,Feuil2!$A$2:$M$1241,3,FALSE)," ")</f>
        <v>#N/A</v>
      </c>
      <c r="E2160" s="5" t="e">
        <f>IF(B2160=0,VLOOKUP(A2160,Feuil2!$A$2:$M$1241,6,FALSE)," ")</f>
        <v>#N/A</v>
      </c>
      <c r="F2160" s="1" t="e">
        <f>IF(B2160=0,VLOOKUP(A2160,Feuil2!$A$2:$M$1241,12,FALSE)," ")</f>
        <v>#N/A</v>
      </c>
      <c r="G2160" s="1" t="e">
        <f>IF(B2160=0,VLOOKUP(A2160,Feuil2!$A$2:$M$1241,11,FALSE)," ")</f>
        <v>#N/A</v>
      </c>
      <c r="H2160" s="1" t="s">
        <v>16</v>
      </c>
      <c r="I2160" s="6" t="e">
        <f>IF(B2160=0,VLOOKUP(A2160,Feuil2!$A$2:$M$1241,7,FALSE)," ")</f>
        <v>#N/A</v>
      </c>
      <c r="J2160" s="1" t="e">
        <f>IF(B2160=0,VLOOKUP(A2160,Feuil2!$A$2:$M$1241,9,FALSE)," ")</f>
        <v>#N/A</v>
      </c>
      <c r="K2160" s="1" t="e">
        <f>IF(B2160=0,VLOOKUP(A2160,Feuil2!$A$2:$M$1241,10,FALSE)," ")</f>
        <v>#N/A</v>
      </c>
      <c r="L2160" s="1"/>
      <c r="M2160" s="1"/>
      <c r="N2160" s="1"/>
      <c r="O2160" s="8" t="e">
        <f>IF(B2160=0,VLOOKUP(A2160,Feuil2!$A$2:$M$1241,13,FALSE)," ")</f>
        <v>#N/A</v>
      </c>
    </row>
    <row r="2161" spans="1:15" x14ac:dyDescent="0.3">
      <c r="A2161" s="1"/>
      <c r="B2161" s="1"/>
      <c r="C2161" s="1" t="e">
        <f>IF(B2161=0,VLOOKUP(A2161,Feuil2!$A$2:$M$1241,2,FALSE)," ")</f>
        <v>#N/A</v>
      </c>
      <c r="D2161" s="1" t="e">
        <f>IF(B2161=0,VLOOKUP(A2161,Feuil2!$A$2:$M$1241,3,FALSE)," ")</f>
        <v>#N/A</v>
      </c>
      <c r="E2161" s="5" t="e">
        <f>IF(B2161=0,VLOOKUP(A2161,Feuil2!$A$2:$M$1241,6,FALSE)," ")</f>
        <v>#N/A</v>
      </c>
      <c r="F2161" s="1" t="e">
        <f>IF(B2161=0,VLOOKUP(A2161,Feuil2!$A$2:$M$1241,12,FALSE)," ")</f>
        <v>#N/A</v>
      </c>
      <c r="G2161" s="1" t="e">
        <f>IF(B2161=0,VLOOKUP(A2161,Feuil2!$A$2:$M$1241,11,FALSE)," ")</f>
        <v>#N/A</v>
      </c>
      <c r="H2161" s="1" t="s">
        <v>16</v>
      </c>
      <c r="I2161" s="6" t="e">
        <f>IF(B2161=0,VLOOKUP(A2161,Feuil2!$A$2:$M$1241,7,FALSE)," ")</f>
        <v>#N/A</v>
      </c>
      <c r="J2161" s="1" t="e">
        <f>IF(B2161=0,VLOOKUP(A2161,Feuil2!$A$2:$M$1241,9,FALSE)," ")</f>
        <v>#N/A</v>
      </c>
      <c r="K2161" s="1" t="e">
        <f>IF(B2161=0,VLOOKUP(A2161,Feuil2!$A$2:$M$1241,10,FALSE)," ")</f>
        <v>#N/A</v>
      </c>
      <c r="L2161" s="1"/>
      <c r="M2161" s="1"/>
      <c r="N2161" s="1"/>
      <c r="O2161" s="8" t="e">
        <f>IF(B2161=0,VLOOKUP(A2161,Feuil2!$A$2:$M$1241,13,FALSE)," ")</f>
        <v>#N/A</v>
      </c>
    </row>
    <row r="2162" spans="1:15" x14ac:dyDescent="0.3">
      <c r="A2162" s="1"/>
      <c r="B2162" s="1"/>
      <c r="C2162" s="1" t="e">
        <f>IF(B2162=0,VLOOKUP(A2162,Feuil2!$A$2:$M$1241,2,FALSE)," ")</f>
        <v>#N/A</v>
      </c>
      <c r="D2162" s="1" t="e">
        <f>IF(B2162=0,VLOOKUP(A2162,Feuil2!$A$2:$M$1241,3,FALSE)," ")</f>
        <v>#N/A</v>
      </c>
      <c r="E2162" s="5" t="e">
        <f>IF(B2162=0,VLOOKUP(A2162,Feuil2!$A$2:$M$1241,6,FALSE)," ")</f>
        <v>#N/A</v>
      </c>
      <c r="F2162" s="1" t="e">
        <f>IF(B2162=0,VLOOKUP(A2162,Feuil2!$A$2:$M$1241,12,FALSE)," ")</f>
        <v>#N/A</v>
      </c>
      <c r="G2162" s="1" t="e">
        <f>IF(B2162=0,VLOOKUP(A2162,Feuil2!$A$2:$M$1241,11,FALSE)," ")</f>
        <v>#N/A</v>
      </c>
      <c r="H2162" s="1" t="s">
        <v>16</v>
      </c>
      <c r="I2162" s="6" t="e">
        <f>IF(B2162=0,VLOOKUP(A2162,Feuil2!$A$2:$M$1241,7,FALSE)," ")</f>
        <v>#N/A</v>
      </c>
      <c r="J2162" s="1" t="e">
        <f>IF(B2162=0,VLOOKUP(A2162,Feuil2!$A$2:$M$1241,9,FALSE)," ")</f>
        <v>#N/A</v>
      </c>
      <c r="K2162" s="1" t="e">
        <f>IF(B2162=0,VLOOKUP(A2162,Feuil2!$A$2:$M$1241,10,FALSE)," ")</f>
        <v>#N/A</v>
      </c>
      <c r="L2162" s="1"/>
      <c r="M2162" s="1"/>
      <c r="N2162" s="1"/>
      <c r="O2162" s="8" t="e">
        <f>IF(B2162=0,VLOOKUP(A2162,Feuil2!$A$2:$M$1241,13,FALSE)," ")</f>
        <v>#N/A</v>
      </c>
    </row>
    <row r="2163" spans="1:15" x14ac:dyDescent="0.3">
      <c r="A2163" s="1"/>
      <c r="B2163" s="1"/>
      <c r="C2163" s="1" t="e">
        <f>IF(B2163=0,VLOOKUP(A2163,Feuil2!$A$2:$M$1241,2,FALSE)," ")</f>
        <v>#N/A</v>
      </c>
      <c r="D2163" s="1" t="e">
        <f>IF(B2163=0,VLOOKUP(A2163,Feuil2!$A$2:$M$1241,3,FALSE)," ")</f>
        <v>#N/A</v>
      </c>
      <c r="E2163" s="5" t="e">
        <f>IF(B2163=0,VLOOKUP(A2163,Feuil2!$A$2:$M$1241,6,FALSE)," ")</f>
        <v>#N/A</v>
      </c>
      <c r="F2163" s="1" t="e">
        <f>IF(B2163=0,VLOOKUP(A2163,Feuil2!$A$2:$M$1241,12,FALSE)," ")</f>
        <v>#N/A</v>
      </c>
      <c r="G2163" s="1" t="e">
        <f>IF(B2163=0,VLOOKUP(A2163,Feuil2!$A$2:$M$1241,11,FALSE)," ")</f>
        <v>#N/A</v>
      </c>
      <c r="H2163" s="1" t="s">
        <v>16</v>
      </c>
      <c r="I2163" s="6" t="e">
        <f>IF(B2163=0,VLOOKUP(A2163,Feuil2!$A$2:$M$1241,7,FALSE)," ")</f>
        <v>#N/A</v>
      </c>
      <c r="J2163" s="1" t="e">
        <f>IF(B2163=0,VLOOKUP(A2163,Feuil2!$A$2:$M$1241,9,FALSE)," ")</f>
        <v>#N/A</v>
      </c>
      <c r="K2163" s="1" t="e">
        <f>IF(B2163=0,VLOOKUP(A2163,Feuil2!$A$2:$M$1241,10,FALSE)," ")</f>
        <v>#N/A</v>
      </c>
      <c r="L2163" s="1"/>
      <c r="M2163" s="1"/>
      <c r="N2163" s="1"/>
      <c r="O2163" s="8" t="e">
        <f>IF(B2163=0,VLOOKUP(A2163,Feuil2!$A$2:$M$1241,13,FALSE)," ")</f>
        <v>#N/A</v>
      </c>
    </row>
    <row r="2164" spans="1:15" x14ac:dyDescent="0.3">
      <c r="A2164" s="1"/>
      <c r="B2164" s="1"/>
      <c r="C2164" s="1" t="e">
        <f>IF(B2164=0,VLOOKUP(A2164,Feuil2!$A$2:$M$1241,2,FALSE)," ")</f>
        <v>#N/A</v>
      </c>
      <c r="D2164" s="1" t="e">
        <f>IF(B2164=0,VLOOKUP(A2164,Feuil2!$A$2:$M$1241,3,FALSE)," ")</f>
        <v>#N/A</v>
      </c>
      <c r="E2164" s="5" t="e">
        <f>IF(B2164=0,VLOOKUP(A2164,Feuil2!$A$2:$M$1241,6,FALSE)," ")</f>
        <v>#N/A</v>
      </c>
      <c r="F2164" s="1" t="e">
        <f>IF(B2164=0,VLOOKUP(A2164,Feuil2!$A$2:$M$1241,12,FALSE)," ")</f>
        <v>#N/A</v>
      </c>
      <c r="G2164" s="1" t="e">
        <f>IF(B2164=0,VLOOKUP(A2164,Feuil2!$A$2:$M$1241,11,FALSE)," ")</f>
        <v>#N/A</v>
      </c>
      <c r="H2164" s="1" t="s">
        <v>16</v>
      </c>
      <c r="I2164" s="6" t="e">
        <f>IF(B2164=0,VLOOKUP(A2164,Feuil2!$A$2:$M$1241,7,FALSE)," ")</f>
        <v>#N/A</v>
      </c>
      <c r="J2164" s="1" t="e">
        <f>IF(B2164=0,VLOOKUP(A2164,Feuil2!$A$2:$M$1241,9,FALSE)," ")</f>
        <v>#N/A</v>
      </c>
      <c r="K2164" s="1" t="e">
        <f>IF(B2164=0,VLOOKUP(A2164,Feuil2!$A$2:$M$1241,10,FALSE)," ")</f>
        <v>#N/A</v>
      </c>
      <c r="L2164" s="1"/>
      <c r="M2164" s="1"/>
      <c r="N2164" s="1"/>
      <c r="O2164" s="8" t="e">
        <f>IF(B2164=0,VLOOKUP(A2164,Feuil2!$A$2:$M$1241,13,FALSE)," ")</f>
        <v>#N/A</v>
      </c>
    </row>
    <row r="2165" spans="1:15" x14ac:dyDescent="0.3">
      <c r="A2165" s="1"/>
      <c r="B2165" s="1"/>
      <c r="C2165" s="1" t="e">
        <f>IF(B2165=0,VLOOKUP(A2165,Feuil2!$A$2:$M$1241,2,FALSE)," ")</f>
        <v>#N/A</v>
      </c>
      <c r="D2165" s="1" t="e">
        <f>IF(B2165=0,VLOOKUP(A2165,Feuil2!$A$2:$M$1241,3,FALSE)," ")</f>
        <v>#N/A</v>
      </c>
      <c r="E2165" s="5" t="e">
        <f>IF(B2165=0,VLOOKUP(A2165,Feuil2!$A$2:$M$1241,6,FALSE)," ")</f>
        <v>#N/A</v>
      </c>
      <c r="F2165" s="1" t="e">
        <f>IF(B2165=0,VLOOKUP(A2165,Feuil2!$A$2:$M$1241,12,FALSE)," ")</f>
        <v>#N/A</v>
      </c>
      <c r="G2165" s="1" t="e">
        <f>IF(B2165=0,VLOOKUP(A2165,Feuil2!$A$2:$M$1241,11,FALSE)," ")</f>
        <v>#N/A</v>
      </c>
      <c r="H2165" s="1" t="s">
        <v>16</v>
      </c>
      <c r="I2165" s="6" t="e">
        <f>IF(B2165=0,VLOOKUP(A2165,Feuil2!$A$2:$M$1241,7,FALSE)," ")</f>
        <v>#N/A</v>
      </c>
      <c r="J2165" s="1" t="e">
        <f>IF(B2165=0,VLOOKUP(A2165,Feuil2!$A$2:$M$1241,9,FALSE)," ")</f>
        <v>#N/A</v>
      </c>
      <c r="K2165" s="1" t="e">
        <f>IF(B2165=0,VLOOKUP(A2165,Feuil2!$A$2:$M$1241,10,FALSE)," ")</f>
        <v>#N/A</v>
      </c>
      <c r="L2165" s="1"/>
      <c r="M2165" s="1"/>
      <c r="N2165" s="1"/>
      <c r="O2165" s="8" t="e">
        <f>IF(B2165=0,VLOOKUP(A2165,Feuil2!$A$2:$M$1241,13,FALSE)," ")</f>
        <v>#N/A</v>
      </c>
    </row>
    <row r="2166" spans="1:15" x14ac:dyDescent="0.3">
      <c r="A2166" s="1"/>
      <c r="B2166" s="1"/>
      <c r="C2166" s="1" t="e">
        <f>IF(B2166=0,VLOOKUP(A2166,Feuil2!$A$2:$M$1241,2,FALSE)," ")</f>
        <v>#N/A</v>
      </c>
      <c r="D2166" s="1" t="e">
        <f>IF(B2166=0,VLOOKUP(A2166,Feuil2!$A$2:$M$1241,3,FALSE)," ")</f>
        <v>#N/A</v>
      </c>
      <c r="E2166" s="5" t="e">
        <f>IF(B2166=0,VLOOKUP(A2166,Feuil2!$A$2:$M$1241,6,FALSE)," ")</f>
        <v>#N/A</v>
      </c>
      <c r="F2166" s="1" t="e">
        <f>IF(B2166=0,VLOOKUP(A2166,Feuil2!$A$2:$M$1241,12,FALSE)," ")</f>
        <v>#N/A</v>
      </c>
      <c r="G2166" s="1" t="e">
        <f>IF(B2166=0,VLOOKUP(A2166,Feuil2!$A$2:$M$1241,11,FALSE)," ")</f>
        <v>#N/A</v>
      </c>
      <c r="H2166" s="1" t="s">
        <v>16</v>
      </c>
      <c r="I2166" s="6" t="e">
        <f>IF(B2166=0,VLOOKUP(A2166,Feuil2!$A$2:$M$1241,7,FALSE)," ")</f>
        <v>#N/A</v>
      </c>
      <c r="J2166" s="1" t="e">
        <f>IF(B2166=0,VLOOKUP(A2166,Feuil2!$A$2:$M$1241,9,FALSE)," ")</f>
        <v>#N/A</v>
      </c>
      <c r="K2166" s="1" t="e">
        <f>IF(B2166=0,VLOOKUP(A2166,Feuil2!$A$2:$M$1241,10,FALSE)," ")</f>
        <v>#N/A</v>
      </c>
      <c r="L2166" s="1"/>
      <c r="M2166" s="1"/>
      <c r="N2166" s="1"/>
      <c r="O2166" s="8" t="e">
        <f>IF(B2166=0,VLOOKUP(A2166,Feuil2!$A$2:$M$1241,13,FALSE)," ")</f>
        <v>#N/A</v>
      </c>
    </row>
    <row r="2167" spans="1:15" x14ac:dyDescent="0.3">
      <c r="A2167" s="1"/>
      <c r="B2167" s="1"/>
      <c r="C2167" s="1" t="e">
        <f>IF(B2167=0,VLOOKUP(A2167,Feuil2!$A$2:$M$1241,2,FALSE)," ")</f>
        <v>#N/A</v>
      </c>
      <c r="D2167" s="1" t="e">
        <f>IF(B2167=0,VLOOKUP(A2167,Feuil2!$A$2:$M$1241,3,FALSE)," ")</f>
        <v>#N/A</v>
      </c>
      <c r="E2167" s="5" t="e">
        <f>IF(B2167=0,VLOOKUP(A2167,Feuil2!$A$2:$M$1241,6,FALSE)," ")</f>
        <v>#N/A</v>
      </c>
      <c r="F2167" s="1" t="e">
        <f>IF(B2167=0,VLOOKUP(A2167,Feuil2!$A$2:$M$1241,12,FALSE)," ")</f>
        <v>#N/A</v>
      </c>
      <c r="G2167" s="1" t="e">
        <f>IF(B2167=0,VLOOKUP(A2167,Feuil2!$A$2:$M$1241,11,FALSE)," ")</f>
        <v>#N/A</v>
      </c>
      <c r="H2167" s="1" t="s">
        <v>16</v>
      </c>
      <c r="I2167" s="6" t="e">
        <f>IF(B2167=0,VLOOKUP(A2167,Feuil2!$A$2:$M$1241,7,FALSE)," ")</f>
        <v>#N/A</v>
      </c>
      <c r="J2167" s="1" t="e">
        <f>IF(B2167=0,VLOOKUP(A2167,Feuil2!$A$2:$M$1241,9,FALSE)," ")</f>
        <v>#N/A</v>
      </c>
      <c r="K2167" s="1" t="e">
        <f>IF(B2167=0,VLOOKUP(A2167,Feuil2!$A$2:$M$1241,10,FALSE)," ")</f>
        <v>#N/A</v>
      </c>
      <c r="L2167" s="1"/>
      <c r="M2167" s="1"/>
      <c r="N2167" s="1"/>
      <c r="O2167" s="8" t="e">
        <f>IF(B2167=0,VLOOKUP(A2167,Feuil2!$A$2:$M$1241,13,FALSE)," ")</f>
        <v>#N/A</v>
      </c>
    </row>
    <row r="2168" spans="1:15" x14ac:dyDescent="0.3">
      <c r="A2168" s="1"/>
      <c r="B2168" s="1"/>
      <c r="C2168" s="1" t="e">
        <f>IF(B2168=0,VLOOKUP(A2168,Feuil2!$A$2:$M$1241,2,FALSE)," ")</f>
        <v>#N/A</v>
      </c>
      <c r="D2168" s="1" t="e">
        <f>IF(B2168=0,VLOOKUP(A2168,Feuil2!$A$2:$M$1241,3,FALSE)," ")</f>
        <v>#N/A</v>
      </c>
      <c r="E2168" s="5" t="e">
        <f>IF(B2168=0,VLOOKUP(A2168,Feuil2!$A$2:$M$1241,6,FALSE)," ")</f>
        <v>#N/A</v>
      </c>
      <c r="F2168" s="1" t="e">
        <f>IF(B2168=0,VLOOKUP(A2168,Feuil2!$A$2:$M$1241,12,FALSE)," ")</f>
        <v>#N/A</v>
      </c>
      <c r="G2168" s="1" t="e">
        <f>IF(B2168=0,VLOOKUP(A2168,Feuil2!$A$2:$M$1241,11,FALSE)," ")</f>
        <v>#N/A</v>
      </c>
      <c r="H2168" s="1" t="s">
        <v>16</v>
      </c>
      <c r="I2168" s="6" t="e">
        <f>IF(B2168=0,VLOOKUP(A2168,Feuil2!$A$2:$M$1241,7,FALSE)," ")</f>
        <v>#N/A</v>
      </c>
      <c r="J2168" s="1" t="e">
        <f>IF(B2168=0,VLOOKUP(A2168,Feuil2!$A$2:$M$1241,9,FALSE)," ")</f>
        <v>#N/A</v>
      </c>
      <c r="K2168" s="1" t="e">
        <f>IF(B2168=0,VLOOKUP(A2168,Feuil2!$A$2:$M$1241,10,FALSE)," ")</f>
        <v>#N/A</v>
      </c>
      <c r="L2168" s="1"/>
      <c r="M2168" s="1"/>
      <c r="N2168" s="1"/>
      <c r="O2168" s="8" t="e">
        <f>IF(B2168=0,VLOOKUP(A2168,Feuil2!$A$2:$M$1241,13,FALSE)," ")</f>
        <v>#N/A</v>
      </c>
    </row>
    <row r="2169" spans="1:15" x14ac:dyDescent="0.3">
      <c r="A2169" s="1"/>
      <c r="B2169" s="1"/>
      <c r="C2169" s="1" t="e">
        <f>IF(B2169=0,VLOOKUP(A2169,Feuil2!$A$2:$M$1241,2,FALSE)," ")</f>
        <v>#N/A</v>
      </c>
      <c r="D2169" s="1" t="e">
        <f>IF(B2169=0,VLOOKUP(A2169,Feuil2!$A$2:$M$1241,3,FALSE)," ")</f>
        <v>#N/A</v>
      </c>
      <c r="E2169" s="5" t="e">
        <f>IF(B2169=0,VLOOKUP(A2169,Feuil2!$A$2:$M$1241,6,FALSE)," ")</f>
        <v>#N/A</v>
      </c>
      <c r="F2169" s="1" t="e">
        <f>IF(B2169=0,VLOOKUP(A2169,Feuil2!$A$2:$M$1241,12,FALSE)," ")</f>
        <v>#N/A</v>
      </c>
      <c r="G2169" s="1" t="e">
        <f>IF(B2169=0,VLOOKUP(A2169,Feuil2!$A$2:$M$1241,11,FALSE)," ")</f>
        <v>#N/A</v>
      </c>
      <c r="H2169" s="1" t="s">
        <v>16</v>
      </c>
      <c r="I2169" s="6" t="e">
        <f>IF(B2169=0,VLOOKUP(A2169,Feuil2!$A$2:$M$1241,7,FALSE)," ")</f>
        <v>#N/A</v>
      </c>
      <c r="J2169" s="1" t="e">
        <f>IF(B2169=0,VLOOKUP(A2169,Feuil2!$A$2:$M$1241,9,FALSE)," ")</f>
        <v>#N/A</v>
      </c>
      <c r="K2169" s="1" t="e">
        <f>IF(B2169=0,VLOOKUP(A2169,Feuil2!$A$2:$M$1241,10,FALSE)," ")</f>
        <v>#N/A</v>
      </c>
      <c r="L2169" s="1"/>
      <c r="M2169" s="1"/>
      <c r="N2169" s="1"/>
      <c r="O2169" s="8" t="e">
        <f>IF(B2169=0,VLOOKUP(A2169,Feuil2!$A$2:$M$1241,13,FALSE)," ")</f>
        <v>#N/A</v>
      </c>
    </row>
    <row r="2170" spans="1:15" x14ac:dyDescent="0.3">
      <c r="A2170" s="1"/>
      <c r="B2170" s="1"/>
      <c r="C2170" s="1" t="e">
        <f>IF(B2170=0,VLOOKUP(A2170,Feuil2!$A$2:$M$1241,2,FALSE)," ")</f>
        <v>#N/A</v>
      </c>
      <c r="D2170" s="1" t="e">
        <f>IF(B2170=0,VLOOKUP(A2170,Feuil2!$A$2:$M$1241,3,FALSE)," ")</f>
        <v>#N/A</v>
      </c>
      <c r="E2170" s="5" t="e">
        <f>IF(B2170=0,VLOOKUP(A2170,Feuil2!$A$2:$M$1241,6,FALSE)," ")</f>
        <v>#N/A</v>
      </c>
      <c r="F2170" s="1" t="e">
        <f>IF(B2170=0,VLOOKUP(A2170,Feuil2!$A$2:$M$1241,12,FALSE)," ")</f>
        <v>#N/A</v>
      </c>
      <c r="G2170" s="1" t="e">
        <f>IF(B2170=0,VLOOKUP(A2170,Feuil2!$A$2:$M$1241,11,FALSE)," ")</f>
        <v>#N/A</v>
      </c>
      <c r="H2170" s="1" t="s">
        <v>16</v>
      </c>
      <c r="I2170" s="6" t="e">
        <f>IF(B2170=0,VLOOKUP(A2170,Feuil2!$A$2:$M$1241,7,FALSE)," ")</f>
        <v>#N/A</v>
      </c>
      <c r="J2170" s="1" t="e">
        <f>IF(B2170=0,VLOOKUP(A2170,Feuil2!$A$2:$M$1241,9,FALSE)," ")</f>
        <v>#N/A</v>
      </c>
      <c r="K2170" s="1" t="e">
        <f>IF(B2170=0,VLOOKUP(A2170,Feuil2!$A$2:$M$1241,10,FALSE)," ")</f>
        <v>#N/A</v>
      </c>
      <c r="L2170" s="1"/>
      <c r="M2170" s="1"/>
      <c r="N2170" s="1"/>
      <c r="O2170" s="8" t="e">
        <f>IF(B2170=0,VLOOKUP(A2170,Feuil2!$A$2:$M$1241,13,FALSE)," ")</f>
        <v>#N/A</v>
      </c>
    </row>
    <row r="2171" spans="1:15" x14ac:dyDescent="0.3">
      <c r="A2171" s="1"/>
      <c r="B2171" s="1"/>
      <c r="C2171" s="1" t="e">
        <f>IF(B2171=0,VLOOKUP(A2171,Feuil2!$A$2:$M$1241,2,FALSE)," ")</f>
        <v>#N/A</v>
      </c>
      <c r="D2171" s="1" t="e">
        <f>IF(B2171=0,VLOOKUP(A2171,Feuil2!$A$2:$M$1241,3,FALSE)," ")</f>
        <v>#N/A</v>
      </c>
      <c r="E2171" s="5" t="e">
        <f>IF(B2171=0,VLOOKUP(A2171,Feuil2!$A$2:$M$1241,6,FALSE)," ")</f>
        <v>#N/A</v>
      </c>
      <c r="F2171" s="1" t="e">
        <f>IF(B2171=0,VLOOKUP(A2171,Feuil2!$A$2:$M$1241,12,FALSE)," ")</f>
        <v>#N/A</v>
      </c>
      <c r="G2171" s="1" t="e">
        <f>IF(B2171=0,VLOOKUP(A2171,Feuil2!$A$2:$M$1241,11,FALSE)," ")</f>
        <v>#N/A</v>
      </c>
      <c r="H2171" s="1" t="s">
        <v>16</v>
      </c>
      <c r="I2171" s="6" t="e">
        <f>IF(B2171=0,VLOOKUP(A2171,Feuil2!$A$2:$M$1241,7,FALSE)," ")</f>
        <v>#N/A</v>
      </c>
      <c r="J2171" s="1" t="e">
        <f>IF(B2171=0,VLOOKUP(A2171,Feuil2!$A$2:$M$1241,9,FALSE)," ")</f>
        <v>#N/A</v>
      </c>
      <c r="K2171" s="1" t="e">
        <f>IF(B2171=0,VLOOKUP(A2171,Feuil2!$A$2:$M$1241,10,FALSE)," ")</f>
        <v>#N/A</v>
      </c>
      <c r="L2171" s="1"/>
      <c r="M2171" s="1"/>
      <c r="N2171" s="1"/>
      <c r="O2171" s="8" t="e">
        <f>IF(B2171=0,VLOOKUP(A2171,Feuil2!$A$2:$M$1241,13,FALSE)," ")</f>
        <v>#N/A</v>
      </c>
    </row>
    <row r="2172" spans="1:15" x14ac:dyDescent="0.3">
      <c r="A2172" s="1"/>
      <c r="B2172" s="1"/>
      <c r="C2172" s="1" t="e">
        <f>IF(B2172=0,VLOOKUP(A2172,Feuil2!$A$2:$M$1241,2,FALSE)," ")</f>
        <v>#N/A</v>
      </c>
      <c r="D2172" s="1" t="e">
        <f>IF(B2172=0,VLOOKUP(A2172,Feuil2!$A$2:$M$1241,3,FALSE)," ")</f>
        <v>#N/A</v>
      </c>
      <c r="E2172" s="5" t="e">
        <f>IF(B2172=0,VLOOKUP(A2172,Feuil2!$A$2:$M$1241,6,FALSE)," ")</f>
        <v>#N/A</v>
      </c>
      <c r="F2172" s="1" t="e">
        <f>IF(B2172=0,VLOOKUP(A2172,Feuil2!$A$2:$M$1241,12,FALSE)," ")</f>
        <v>#N/A</v>
      </c>
      <c r="G2172" s="1" t="e">
        <f>IF(B2172=0,VLOOKUP(A2172,Feuil2!$A$2:$M$1241,11,FALSE)," ")</f>
        <v>#N/A</v>
      </c>
      <c r="H2172" s="1" t="s">
        <v>16</v>
      </c>
      <c r="I2172" s="6" t="e">
        <f>IF(B2172=0,VLOOKUP(A2172,Feuil2!$A$2:$M$1241,7,FALSE)," ")</f>
        <v>#N/A</v>
      </c>
      <c r="J2172" s="1" t="e">
        <f>IF(B2172=0,VLOOKUP(A2172,Feuil2!$A$2:$M$1241,9,FALSE)," ")</f>
        <v>#N/A</v>
      </c>
      <c r="K2172" s="1" t="e">
        <f>IF(B2172=0,VLOOKUP(A2172,Feuil2!$A$2:$M$1241,10,FALSE)," ")</f>
        <v>#N/A</v>
      </c>
      <c r="L2172" s="1"/>
      <c r="M2172" s="1"/>
      <c r="N2172" s="1"/>
      <c r="O2172" s="8" t="e">
        <f>IF(B2172=0,VLOOKUP(A2172,Feuil2!$A$2:$M$1241,13,FALSE)," ")</f>
        <v>#N/A</v>
      </c>
    </row>
    <row r="2173" spans="1:15" x14ac:dyDescent="0.3">
      <c r="A2173" s="1"/>
      <c r="B2173" s="1"/>
      <c r="C2173" s="1" t="e">
        <f>IF(B2173=0,VLOOKUP(A2173,Feuil2!$A$2:$M$1241,2,FALSE)," ")</f>
        <v>#N/A</v>
      </c>
      <c r="D2173" s="1" t="e">
        <f>IF(B2173=0,VLOOKUP(A2173,Feuil2!$A$2:$M$1241,3,FALSE)," ")</f>
        <v>#N/A</v>
      </c>
      <c r="E2173" s="5" t="e">
        <f>IF(B2173=0,VLOOKUP(A2173,Feuil2!$A$2:$M$1241,6,FALSE)," ")</f>
        <v>#N/A</v>
      </c>
      <c r="F2173" s="1" t="e">
        <f>IF(B2173=0,VLOOKUP(A2173,Feuil2!$A$2:$M$1241,12,FALSE)," ")</f>
        <v>#N/A</v>
      </c>
      <c r="G2173" s="1" t="e">
        <f>IF(B2173=0,VLOOKUP(A2173,Feuil2!$A$2:$M$1241,11,FALSE)," ")</f>
        <v>#N/A</v>
      </c>
      <c r="H2173" s="1" t="s">
        <v>16</v>
      </c>
      <c r="I2173" s="6" t="e">
        <f>IF(B2173=0,VLOOKUP(A2173,Feuil2!$A$2:$M$1241,7,FALSE)," ")</f>
        <v>#N/A</v>
      </c>
      <c r="J2173" s="1" t="e">
        <f>IF(B2173=0,VLOOKUP(A2173,Feuil2!$A$2:$M$1241,9,FALSE)," ")</f>
        <v>#N/A</v>
      </c>
      <c r="K2173" s="1" t="e">
        <f>IF(B2173=0,VLOOKUP(A2173,Feuil2!$A$2:$M$1241,10,FALSE)," ")</f>
        <v>#N/A</v>
      </c>
      <c r="L2173" s="1"/>
      <c r="M2173" s="1"/>
      <c r="N2173" s="1"/>
      <c r="O2173" s="8" t="e">
        <f>IF(B2173=0,VLOOKUP(A2173,Feuil2!$A$2:$M$1241,13,FALSE)," ")</f>
        <v>#N/A</v>
      </c>
    </row>
    <row r="2174" spans="1:15" x14ac:dyDescent="0.3">
      <c r="A2174" s="1"/>
      <c r="B2174" s="1"/>
      <c r="C2174" s="1" t="e">
        <f>IF(B2174=0,VLOOKUP(A2174,Feuil2!$A$2:$M$1241,2,FALSE)," ")</f>
        <v>#N/A</v>
      </c>
      <c r="D2174" s="1" t="e">
        <f>IF(B2174=0,VLOOKUP(A2174,Feuil2!$A$2:$M$1241,3,FALSE)," ")</f>
        <v>#N/A</v>
      </c>
      <c r="E2174" s="5" t="e">
        <f>IF(B2174=0,VLOOKUP(A2174,Feuil2!$A$2:$M$1241,6,FALSE)," ")</f>
        <v>#N/A</v>
      </c>
      <c r="F2174" s="1" t="e">
        <f>IF(B2174=0,VLOOKUP(A2174,Feuil2!$A$2:$M$1241,12,FALSE)," ")</f>
        <v>#N/A</v>
      </c>
      <c r="G2174" s="1" t="e">
        <f>IF(B2174=0,VLOOKUP(A2174,Feuil2!$A$2:$M$1241,11,FALSE)," ")</f>
        <v>#N/A</v>
      </c>
      <c r="H2174" s="1" t="s">
        <v>16</v>
      </c>
      <c r="I2174" s="6" t="e">
        <f>IF(B2174=0,VLOOKUP(A2174,Feuil2!$A$2:$M$1241,7,FALSE)," ")</f>
        <v>#N/A</v>
      </c>
      <c r="J2174" s="1" t="e">
        <f>IF(B2174=0,VLOOKUP(A2174,Feuil2!$A$2:$M$1241,9,FALSE)," ")</f>
        <v>#N/A</v>
      </c>
      <c r="K2174" s="1" t="e">
        <f>IF(B2174=0,VLOOKUP(A2174,Feuil2!$A$2:$M$1241,10,FALSE)," ")</f>
        <v>#N/A</v>
      </c>
      <c r="L2174" s="1"/>
      <c r="M2174" s="1"/>
      <c r="N2174" s="1"/>
      <c r="O2174" s="8" t="e">
        <f>IF(B2174=0,VLOOKUP(A2174,Feuil2!$A$2:$M$1241,13,FALSE)," ")</f>
        <v>#N/A</v>
      </c>
    </row>
    <row r="2175" spans="1:15" x14ac:dyDescent="0.3">
      <c r="A2175" s="1"/>
      <c r="B2175" s="1"/>
      <c r="C2175" s="1" t="e">
        <f>IF(B2175=0,VLOOKUP(A2175,Feuil2!$A$2:$M$1241,2,FALSE)," ")</f>
        <v>#N/A</v>
      </c>
      <c r="D2175" s="1" t="e">
        <f>IF(B2175=0,VLOOKUP(A2175,Feuil2!$A$2:$M$1241,3,FALSE)," ")</f>
        <v>#N/A</v>
      </c>
      <c r="E2175" s="5" t="e">
        <f>IF(B2175=0,VLOOKUP(A2175,Feuil2!$A$2:$M$1241,6,FALSE)," ")</f>
        <v>#N/A</v>
      </c>
      <c r="F2175" s="1" t="e">
        <f>IF(B2175=0,VLOOKUP(A2175,Feuil2!$A$2:$M$1241,12,FALSE)," ")</f>
        <v>#N/A</v>
      </c>
      <c r="G2175" s="1" t="e">
        <f>IF(B2175=0,VLOOKUP(A2175,Feuil2!$A$2:$M$1241,11,FALSE)," ")</f>
        <v>#N/A</v>
      </c>
      <c r="H2175" s="1" t="s">
        <v>16</v>
      </c>
      <c r="I2175" s="6" t="e">
        <f>IF(B2175=0,VLOOKUP(A2175,Feuil2!$A$2:$M$1241,7,FALSE)," ")</f>
        <v>#N/A</v>
      </c>
      <c r="J2175" s="1" t="e">
        <f>IF(B2175=0,VLOOKUP(A2175,Feuil2!$A$2:$M$1241,9,FALSE)," ")</f>
        <v>#N/A</v>
      </c>
      <c r="K2175" s="1" t="e">
        <f>IF(B2175=0,VLOOKUP(A2175,Feuil2!$A$2:$M$1241,10,FALSE)," ")</f>
        <v>#N/A</v>
      </c>
      <c r="L2175" s="1"/>
      <c r="M2175" s="1"/>
      <c r="N2175" s="1"/>
      <c r="O2175" s="8" t="e">
        <f>IF(B2175=0,VLOOKUP(A2175,Feuil2!$A$2:$M$1241,13,FALSE)," ")</f>
        <v>#N/A</v>
      </c>
    </row>
    <row r="2176" spans="1:15" x14ac:dyDescent="0.3">
      <c r="A2176" s="1"/>
      <c r="B2176" s="1"/>
      <c r="C2176" s="1" t="e">
        <f>IF(B2176=0,VLOOKUP(A2176,Feuil2!$A$2:$M$1241,2,FALSE)," ")</f>
        <v>#N/A</v>
      </c>
      <c r="D2176" s="1" t="e">
        <f>IF(B2176=0,VLOOKUP(A2176,Feuil2!$A$2:$M$1241,3,FALSE)," ")</f>
        <v>#N/A</v>
      </c>
      <c r="E2176" s="5" t="e">
        <f>IF(B2176=0,VLOOKUP(A2176,Feuil2!$A$2:$M$1241,6,FALSE)," ")</f>
        <v>#N/A</v>
      </c>
      <c r="F2176" s="1" t="e">
        <f>IF(B2176=0,VLOOKUP(A2176,Feuil2!$A$2:$M$1241,12,FALSE)," ")</f>
        <v>#N/A</v>
      </c>
      <c r="G2176" s="1" t="e">
        <f>IF(B2176=0,VLOOKUP(A2176,Feuil2!$A$2:$M$1241,11,FALSE)," ")</f>
        <v>#N/A</v>
      </c>
      <c r="H2176" s="1" t="s">
        <v>16</v>
      </c>
      <c r="I2176" s="6" t="e">
        <f>IF(B2176=0,VLOOKUP(A2176,Feuil2!$A$2:$M$1241,7,FALSE)," ")</f>
        <v>#N/A</v>
      </c>
      <c r="J2176" s="1" t="e">
        <f>IF(B2176=0,VLOOKUP(A2176,Feuil2!$A$2:$M$1241,9,FALSE)," ")</f>
        <v>#N/A</v>
      </c>
      <c r="K2176" s="1" t="e">
        <f>IF(B2176=0,VLOOKUP(A2176,Feuil2!$A$2:$M$1241,10,FALSE)," ")</f>
        <v>#N/A</v>
      </c>
      <c r="L2176" s="1"/>
      <c r="M2176" s="1"/>
      <c r="N2176" s="1"/>
      <c r="O2176" s="8" t="e">
        <f>IF(B2176=0,VLOOKUP(A2176,Feuil2!$A$2:$M$1241,13,FALSE)," ")</f>
        <v>#N/A</v>
      </c>
    </row>
    <row r="2177" spans="1:15" x14ac:dyDescent="0.3">
      <c r="A2177" s="1"/>
      <c r="B2177" s="1"/>
      <c r="C2177" s="1" t="e">
        <f>IF(B2177=0,VLOOKUP(A2177,Feuil2!$A$2:$M$1241,2,FALSE)," ")</f>
        <v>#N/A</v>
      </c>
      <c r="D2177" s="1" t="e">
        <f>IF(B2177=0,VLOOKUP(A2177,Feuil2!$A$2:$M$1241,3,FALSE)," ")</f>
        <v>#N/A</v>
      </c>
      <c r="E2177" s="5" t="e">
        <f>IF(B2177=0,VLOOKUP(A2177,Feuil2!$A$2:$M$1241,6,FALSE)," ")</f>
        <v>#N/A</v>
      </c>
      <c r="F2177" s="1" t="e">
        <f>IF(B2177=0,VLOOKUP(A2177,Feuil2!$A$2:$M$1241,12,FALSE)," ")</f>
        <v>#N/A</v>
      </c>
      <c r="G2177" s="1" t="e">
        <f>IF(B2177=0,VLOOKUP(A2177,Feuil2!$A$2:$M$1241,11,FALSE)," ")</f>
        <v>#N/A</v>
      </c>
      <c r="H2177" s="1" t="s">
        <v>16</v>
      </c>
      <c r="I2177" s="6" t="e">
        <f>IF(B2177=0,VLOOKUP(A2177,Feuil2!$A$2:$M$1241,7,FALSE)," ")</f>
        <v>#N/A</v>
      </c>
      <c r="J2177" s="1" t="e">
        <f>IF(B2177=0,VLOOKUP(A2177,Feuil2!$A$2:$M$1241,9,FALSE)," ")</f>
        <v>#N/A</v>
      </c>
      <c r="K2177" s="1" t="e">
        <f>IF(B2177=0,VLOOKUP(A2177,Feuil2!$A$2:$M$1241,10,FALSE)," ")</f>
        <v>#N/A</v>
      </c>
      <c r="L2177" s="1"/>
      <c r="M2177" s="1"/>
      <c r="N2177" s="1"/>
      <c r="O2177" s="8" t="e">
        <f>IF(B2177=0,VLOOKUP(A2177,Feuil2!$A$2:$M$1241,13,FALSE)," ")</f>
        <v>#N/A</v>
      </c>
    </row>
    <row r="2178" spans="1:15" x14ac:dyDescent="0.3">
      <c r="A2178" s="1"/>
      <c r="B2178" s="1"/>
      <c r="C2178" s="1" t="e">
        <f>IF(B2178=0,VLOOKUP(A2178,Feuil2!$A$2:$M$1241,2,FALSE)," ")</f>
        <v>#N/A</v>
      </c>
      <c r="D2178" s="1" t="e">
        <f>IF(B2178=0,VLOOKUP(A2178,Feuil2!$A$2:$M$1241,3,FALSE)," ")</f>
        <v>#N/A</v>
      </c>
      <c r="E2178" s="5" t="e">
        <f>IF(B2178=0,VLOOKUP(A2178,Feuil2!$A$2:$M$1241,6,FALSE)," ")</f>
        <v>#N/A</v>
      </c>
      <c r="F2178" s="1" t="e">
        <f>IF(B2178=0,VLOOKUP(A2178,Feuil2!$A$2:$M$1241,12,FALSE)," ")</f>
        <v>#N/A</v>
      </c>
      <c r="G2178" s="1" t="e">
        <f>IF(B2178=0,VLOOKUP(A2178,Feuil2!$A$2:$M$1241,11,FALSE)," ")</f>
        <v>#N/A</v>
      </c>
      <c r="H2178" s="1" t="s">
        <v>16</v>
      </c>
      <c r="I2178" s="6" t="e">
        <f>IF(B2178=0,VLOOKUP(A2178,Feuil2!$A$2:$M$1241,7,FALSE)," ")</f>
        <v>#N/A</v>
      </c>
      <c r="J2178" s="1" t="e">
        <f>IF(B2178=0,VLOOKUP(A2178,Feuil2!$A$2:$M$1241,9,FALSE)," ")</f>
        <v>#N/A</v>
      </c>
      <c r="K2178" s="1" t="e">
        <f>IF(B2178=0,VLOOKUP(A2178,Feuil2!$A$2:$M$1241,10,FALSE)," ")</f>
        <v>#N/A</v>
      </c>
      <c r="L2178" s="1"/>
      <c r="M2178" s="1"/>
      <c r="N2178" s="1"/>
      <c r="O2178" s="8" t="e">
        <f>IF(B2178=0,VLOOKUP(A2178,Feuil2!$A$2:$M$1241,13,FALSE)," ")</f>
        <v>#N/A</v>
      </c>
    </row>
    <row r="2179" spans="1:15" x14ac:dyDescent="0.3">
      <c r="A2179" s="1"/>
      <c r="B2179" s="1"/>
      <c r="C2179" s="1" t="e">
        <f>IF(B2179=0,VLOOKUP(A2179,Feuil2!$A$2:$M$1241,2,FALSE)," ")</f>
        <v>#N/A</v>
      </c>
      <c r="D2179" s="1" t="e">
        <f>IF(B2179=0,VLOOKUP(A2179,Feuil2!$A$2:$M$1241,3,FALSE)," ")</f>
        <v>#N/A</v>
      </c>
      <c r="E2179" s="5" t="e">
        <f>IF(B2179=0,VLOOKUP(A2179,Feuil2!$A$2:$M$1241,6,FALSE)," ")</f>
        <v>#N/A</v>
      </c>
      <c r="F2179" s="1" t="e">
        <f>IF(B2179=0,VLOOKUP(A2179,Feuil2!$A$2:$M$1241,12,FALSE)," ")</f>
        <v>#N/A</v>
      </c>
      <c r="G2179" s="1" t="e">
        <f>IF(B2179=0,VLOOKUP(A2179,Feuil2!$A$2:$M$1241,11,FALSE)," ")</f>
        <v>#N/A</v>
      </c>
      <c r="H2179" s="1" t="s">
        <v>16</v>
      </c>
      <c r="I2179" s="6" t="e">
        <f>IF(B2179=0,VLOOKUP(A2179,Feuil2!$A$2:$M$1241,7,FALSE)," ")</f>
        <v>#N/A</v>
      </c>
      <c r="J2179" s="1" t="e">
        <f>IF(B2179=0,VLOOKUP(A2179,Feuil2!$A$2:$M$1241,9,FALSE)," ")</f>
        <v>#N/A</v>
      </c>
      <c r="K2179" s="1" t="e">
        <f>IF(B2179=0,VLOOKUP(A2179,Feuil2!$A$2:$M$1241,10,FALSE)," ")</f>
        <v>#N/A</v>
      </c>
      <c r="L2179" s="1"/>
      <c r="M2179" s="1"/>
      <c r="N2179" s="1"/>
      <c r="O2179" s="8" t="e">
        <f>IF(B2179=0,VLOOKUP(A2179,Feuil2!$A$2:$M$1241,13,FALSE)," ")</f>
        <v>#N/A</v>
      </c>
    </row>
    <row r="2180" spans="1:15" x14ac:dyDescent="0.3">
      <c r="A2180" s="1"/>
      <c r="B2180" s="1"/>
      <c r="C2180" s="1" t="e">
        <f>IF(B2180=0,VLOOKUP(A2180,Feuil2!$A$2:$M$1241,2,FALSE)," ")</f>
        <v>#N/A</v>
      </c>
      <c r="D2180" s="1" t="e">
        <f>IF(B2180=0,VLOOKUP(A2180,Feuil2!$A$2:$M$1241,3,FALSE)," ")</f>
        <v>#N/A</v>
      </c>
      <c r="E2180" s="5" t="e">
        <f>IF(B2180=0,VLOOKUP(A2180,Feuil2!$A$2:$M$1241,6,FALSE)," ")</f>
        <v>#N/A</v>
      </c>
      <c r="F2180" s="1" t="e">
        <f>IF(B2180=0,VLOOKUP(A2180,Feuil2!$A$2:$M$1241,12,FALSE)," ")</f>
        <v>#N/A</v>
      </c>
      <c r="G2180" s="1" t="e">
        <f>IF(B2180=0,VLOOKUP(A2180,Feuil2!$A$2:$M$1241,11,FALSE)," ")</f>
        <v>#N/A</v>
      </c>
      <c r="H2180" s="1" t="s">
        <v>16</v>
      </c>
      <c r="I2180" s="6" t="e">
        <f>IF(B2180=0,VLOOKUP(A2180,Feuil2!$A$2:$M$1241,7,FALSE)," ")</f>
        <v>#N/A</v>
      </c>
      <c r="J2180" s="1" t="e">
        <f>IF(B2180=0,VLOOKUP(A2180,Feuil2!$A$2:$M$1241,9,FALSE)," ")</f>
        <v>#N/A</v>
      </c>
      <c r="K2180" s="1" t="e">
        <f>IF(B2180=0,VLOOKUP(A2180,Feuil2!$A$2:$M$1241,10,FALSE)," ")</f>
        <v>#N/A</v>
      </c>
      <c r="L2180" s="1"/>
      <c r="M2180" s="1"/>
      <c r="N2180" s="1"/>
      <c r="O2180" s="8" t="e">
        <f>IF(B2180=0,VLOOKUP(A2180,Feuil2!$A$2:$M$1241,13,FALSE)," ")</f>
        <v>#N/A</v>
      </c>
    </row>
    <row r="2181" spans="1:15" x14ac:dyDescent="0.3">
      <c r="A2181" s="1"/>
      <c r="B2181" s="1"/>
      <c r="C2181" s="1" t="e">
        <f>IF(B2181=0,VLOOKUP(A2181,Feuil2!$A$2:$M$1241,2,FALSE)," ")</f>
        <v>#N/A</v>
      </c>
      <c r="D2181" s="1" t="e">
        <f>IF(B2181=0,VLOOKUP(A2181,Feuil2!$A$2:$M$1241,3,FALSE)," ")</f>
        <v>#N/A</v>
      </c>
      <c r="E2181" s="5" t="e">
        <f>IF(B2181=0,VLOOKUP(A2181,Feuil2!$A$2:$M$1241,6,FALSE)," ")</f>
        <v>#N/A</v>
      </c>
      <c r="F2181" s="1" t="e">
        <f>IF(B2181=0,VLOOKUP(A2181,Feuil2!$A$2:$M$1241,12,FALSE)," ")</f>
        <v>#N/A</v>
      </c>
      <c r="G2181" s="1" t="e">
        <f>IF(B2181=0,VLOOKUP(A2181,Feuil2!$A$2:$M$1241,11,FALSE)," ")</f>
        <v>#N/A</v>
      </c>
      <c r="H2181" s="1" t="s">
        <v>16</v>
      </c>
      <c r="I2181" s="6" t="e">
        <f>IF(B2181=0,VLOOKUP(A2181,Feuil2!$A$2:$M$1241,7,FALSE)," ")</f>
        <v>#N/A</v>
      </c>
      <c r="J2181" s="1" t="e">
        <f>IF(B2181=0,VLOOKUP(A2181,Feuil2!$A$2:$M$1241,9,FALSE)," ")</f>
        <v>#N/A</v>
      </c>
      <c r="K2181" s="1" t="e">
        <f>IF(B2181=0,VLOOKUP(A2181,Feuil2!$A$2:$M$1241,10,FALSE)," ")</f>
        <v>#N/A</v>
      </c>
      <c r="L2181" s="1"/>
      <c r="M2181" s="1"/>
      <c r="N2181" s="1"/>
      <c r="O2181" s="8" t="e">
        <f>IF(B2181=0,VLOOKUP(A2181,Feuil2!$A$2:$M$1241,13,FALSE)," ")</f>
        <v>#N/A</v>
      </c>
    </row>
    <row r="2182" spans="1:15" x14ac:dyDescent="0.3">
      <c r="A2182" s="1"/>
      <c r="B2182" s="1"/>
      <c r="C2182" s="1" t="e">
        <f>IF(B2182=0,VLOOKUP(A2182,Feuil2!$A$2:$M$1241,2,FALSE)," ")</f>
        <v>#N/A</v>
      </c>
      <c r="D2182" s="1" t="e">
        <f>IF(B2182=0,VLOOKUP(A2182,Feuil2!$A$2:$M$1241,3,FALSE)," ")</f>
        <v>#N/A</v>
      </c>
      <c r="E2182" s="5" t="e">
        <f>IF(B2182=0,VLOOKUP(A2182,Feuil2!$A$2:$M$1241,6,FALSE)," ")</f>
        <v>#N/A</v>
      </c>
      <c r="F2182" s="1" t="e">
        <f>IF(B2182=0,VLOOKUP(A2182,Feuil2!$A$2:$M$1241,12,FALSE)," ")</f>
        <v>#N/A</v>
      </c>
      <c r="G2182" s="1" t="e">
        <f>IF(B2182=0,VLOOKUP(A2182,Feuil2!$A$2:$M$1241,11,FALSE)," ")</f>
        <v>#N/A</v>
      </c>
      <c r="H2182" s="1" t="s">
        <v>16</v>
      </c>
      <c r="I2182" s="6" t="e">
        <f>IF(B2182=0,VLOOKUP(A2182,Feuil2!$A$2:$M$1241,7,FALSE)," ")</f>
        <v>#N/A</v>
      </c>
      <c r="J2182" s="1" t="e">
        <f>IF(B2182=0,VLOOKUP(A2182,Feuil2!$A$2:$M$1241,9,FALSE)," ")</f>
        <v>#N/A</v>
      </c>
      <c r="K2182" s="1" t="e">
        <f>IF(B2182=0,VLOOKUP(A2182,Feuil2!$A$2:$M$1241,10,FALSE)," ")</f>
        <v>#N/A</v>
      </c>
      <c r="L2182" s="1"/>
      <c r="M2182" s="1"/>
      <c r="N2182" s="1"/>
      <c r="O2182" s="8" t="e">
        <f>IF(B2182=0,VLOOKUP(A2182,Feuil2!$A$2:$M$1241,13,FALSE)," ")</f>
        <v>#N/A</v>
      </c>
    </row>
    <row r="2183" spans="1:15" x14ac:dyDescent="0.3">
      <c r="A2183" s="1"/>
      <c r="B2183" s="1"/>
      <c r="C2183" s="1" t="e">
        <f>IF(B2183=0,VLOOKUP(A2183,Feuil2!$A$2:$M$1241,2,FALSE)," ")</f>
        <v>#N/A</v>
      </c>
      <c r="D2183" s="1" t="e">
        <f>IF(B2183=0,VLOOKUP(A2183,Feuil2!$A$2:$M$1241,3,FALSE)," ")</f>
        <v>#N/A</v>
      </c>
      <c r="E2183" s="5" t="e">
        <f>IF(B2183=0,VLOOKUP(A2183,Feuil2!$A$2:$M$1241,6,FALSE)," ")</f>
        <v>#N/A</v>
      </c>
      <c r="F2183" s="1" t="e">
        <f>IF(B2183=0,VLOOKUP(A2183,Feuil2!$A$2:$M$1241,12,FALSE)," ")</f>
        <v>#N/A</v>
      </c>
      <c r="G2183" s="1" t="e">
        <f>IF(B2183=0,VLOOKUP(A2183,Feuil2!$A$2:$M$1241,11,FALSE)," ")</f>
        <v>#N/A</v>
      </c>
      <c r="H2183" s="1" t="s">
        <v>16</v>
      </c>
      <c r="I2183" s="6" t="e">
        <f>IF(B2183=0,VLOOKUP(A2183,Feuil2!$A$2:$M$1241,7,FALSE)," ")</f>
        <v>#N/A</v>
      </c>
      <c r="J2183" s="1" t="e">
        <f>IF(B2183=0,VLOOKUP(A2183,Feuil2!$A$2:$M$1241,9,FALSE)," ")</f>
        <v>#N/A</v>
      </c>
      <c r="K2183" s="1" t="e">
        <f>IF(B2183=0,VLOOKUP(A2183,Feuil2!$A$2:$M$1241,10,FALSE)," ")</f>
        <v>#N/A</v>
      </c>
      <c r="L2183" s="1"/>
      <c r="M2183" s="1"/>
      <c r="N2183" s="1"/>
      <c r="O2183" s="8" t="e">
        <f>IF(B2183=0,VLOOKUP(A2183,Feuil2!$A$2:$M$1241,13,FALSE)," ")</f>
        <v>#N/A</v>
      </c>
    </row>
    <row r="2184" spans="1:15" x14ac:dyDescent="0.3">
      <c r="A2184" s="1"/>
      <c r="B2184" s="1"/>
      <c r="C2184" s="1" t="e">
        <f>IF(B2184=0,VLOOKUP(A2184,Feuil2!$A$2:$M$1241,2,FALSE)," ")</f>
        <v>#N/A</v>
      </c>
      <c r="D2184" s="1" t="e">
        <f>IF(B2184=0,VLOOKUP(A2184,Feuil2!$A$2:$M$1241,3,FALSE)," ")</f>
        <v>#N/A</v>
      </c>
      <c r="E2184" s="5" t="e">
        <f>IF(B2184=0,VLOOKUP(A2184,Feuil2!$A$2:$M$1241,6,FALSE)," ")</f>
        <v>#N/A</v>
      </c>
      <c r="F2184" s="1" t="e">
        <f>IF(B2184=0,VLOOKUP(A2184,Feuil2!$A$2:$M$1241,12,FALSE)," ")</f>
        <v>#N/A</v>
      </c>
      <c r="G2184" s="1" t="e">
        <f>IF(B2184=0,VLOOKUP(A2184,Feuil2!$A$2:$M$1241,11,FALSE)," ")</f>
        <v>#N/A</v>
      </c>
      <c r="H2184" s="1" t="s">
        <v>16</v>
      </c>
      <c r="I2184" s="6" t="e">
        <f>IF(B2184=0,VLOOKUP(A2184,Feuil2!$A$2:$M$1241,7,FALSE)," ")</f>
        <v>#N/A</v>
      </c>
      <c r="J2184" s="1" t="e">
        <f>IF(B2184=0,VLOOKUP(A2184,Feuil2!$A$2:$M$1241,9,FALSE)," ")</f>
        <v>#N/A</v>
      </c>
      <c r="K2184" s="1" t="e">
        <f>IF(B2184=0,VLOOKUP(A2184,Feuil2!$A$2:$M$1241,10,FALSE)," ")</f>
        <v>#N/A</v>
      </c>
      <c r="L2184" s="1"/>
      <c r="M2184" s="1"/>
      <c r="N2184" s="1"/>
      <c r="O2184" s="8" t="e">
        <f>IF(B2184=0,VLOOKUP(A2184,Feuil2!$A$2:$M$1241,13,FALSE)," ")</f>
        <v>#N/A</v>
      </c>
    </row>
    <row r="2185" spans="1:15" x14ac:dyDescent="0.3">
      <c r="A2185" s="1"/>
      <c r="B2185" s="1"/>
      <c r="C2185" s="1" t="e">
        <f>IF(B2185=0,VLOOKUP(A2185,Feuil2!$A$2:$M$1241,2,FALSE)," ")</f>
        <v>#N/A</v>
      </c>
      <c r="D2185" s="1" t="e">
        <f>IF(B2185=0,VLOOKUP(A2185,Feuil2!$A$2:$M$1241,3,FALSE)," ")</f>
        <v>#N/A</v>
      </c>
      <c r="E2185" s="5" t="e">
        <f>IF(B2185=0,VLOOKUP(A2185,Feuil2!$A$2:$M$1241,6,FALSE)," ")</f>
        <v>#N/A</v>
      </c>
      <c r="F2185" s="1" t="e">
        <f>IF(B2185=0,VLOOKUP(A2185,Feuil2!$A$2:$M$1241,12,FALSE)," ")</f>
        <v>#N/A</v>
      </c>
      <c r="G2185" s="1" t="e">
        <f>IF(B2185=0,VLOOKUP(A2185,Feuil2!$A$2:$M$1241,11,FALSE)," ")</f>
        <v>#N/A</v>
      </c>
      <c r="H2185" s="1" t="s">
        <v>16</v>
      </c>
      <c r="I2185" s="6" t="e">
        <f>IF(B2185=0,VLOOKUP(A2185,Feuil2!$A$2:$M$1241,7,FALSE)," ")</f>
        <v>#N/A</v>
      </c>
      <c r="J2185" s="1" t="e">
        <f>IF(B2185=0,VLOOKUP(A2185,Feuil2!$A$2:$M$1241,9,FALSE)," ")</f>
        <v>#N/A</v>
      </c>
      <c r="K2185" s="1" t="e">
        <f>IF(B2185=0,VLOOKUP(A2185,Feuil2!$A$2:$M$1241,10,FALSE)," ")</f>
        <v>#N/A</v>
      </c>
      <c r="L2185" s="1"/>
      <c r="M2185" s="1"/>
      <c r="N2185" s="1"/>
      <c r="O2185" s="8" t="e">
        <f>IF(B2185=0,VLOOKUP(A2185,Feuil2!$A$2:$M$1241,13,FALSE)," ")</f>
        <v>#N/A</v>
      </c>
    </row>
    <row r="2186" spans="1:15" x14ac:dyDescent="0.3">
      <c r="A2186" s="1"/>
      <c r="B2186" s="1"/>
      <c r="C2186" s="1" t="e">
        <f>IF(B2186=0,VLOOKUP(A2186,Feuil2!$A$2:$M$1241,2,FALSE)," ")</f>
        <v>#N/A</v>
      </c>
      <c r="D2186" s="1" t="e">
        <f>IF(B2186=0,VLOOKUP(A2186,Feuil2!$A$2:$M$1241,3,FALSE)," ")</f>
        <v>#N/A</v>
      </c>
      <c r="E2186" s="5" t="e">
        <f>IF(B2186=0,VLOOKUP(A2186,Feuil2!$A$2:$M$1241,6,FALSE)," ")</f>
        <v>#N/A</v>
      </c>
      <c r="F2186" s="1" t="e">
        <f>IF(B2186=0,VLOOKUP(A2186,Feuil2!$A$2:$M$1241,12,FALSE)," ")</f>
        <v>#N/A</v>
      </c>
      <c r="G2186" s="1" t="e">
        <f>IF(B2186=0,VLOOKUP(A2186,Feuil2!$A$2:$M$1241,11,FALSE)," ")</f>
        <v>#N/A</v>
      </c>
      <c r="H2186" s="1" t="s">
        <v>16</v>
      </c>
      <c r="I2186" s="6" t="e">
        <f>IF(B2186=0,VLOOKUP(A2186,Feuil2!$A$2:$M$1241,7,FALSE)," ")</f>
        <v>#N/A</v>
      </c>
      <c r="J2186" s="1" t="e">
        <f>IF(B2186=0,VLOOKUP(A2186,Feuil2!$A$2:$M$1241,9,FALSE)," ")</f>
        <v>#N/A</v>
      </c>
      <c r="K2186" s="1" t="e">
        <f>IF(B2186=0,VLOOKUP(A2186,Feuil2!$A$2:$M$1241,10,FALSE)," ")</f>
        <v>#N/A</v>
      </c>
      <c r="L2186" s="1"/>
      <c r="M2186" s="1"/>
      <c r="N2186" s="1"/>
      <c r="O2186" s="8" t="e">
        <f>IF(B2186=0,VLOOKUP(A2186,Feuil2!$A$2:$M$1241,13,FALSE)," ")</f>
        <v>#N/A</v>
      </c>
    </row>
    <row r="2187" spans="1:15" x14ac:dyDescent="0.3">
      <c r="A2187" s="1"/>
      <c r="B2187" s="1"/>
      <c r="C2187" s="1" t="e">
        <f>IF(B2187=0,VLOOKUP(A2187,Feuil2!$A$2:$M$1241,2,FALSE)," ")</f>
        <v>#N/A</v>
      </c>
      <c r="D2187" s="1" t="e">
        <f>IF(B2187=0,VLOOKUP(A2187,Feuil2!$A$2:$M$1241,3,FALSE)," ")</f>
        <v>#N/A</v>
      </c>
      <c r="E2187" s="5" t="e">
        <f>IF(B2187=0,VLOOKUP(A2187,Feuil2!$A$2:$M$1241,6,FALSE)," ")</f>
        <v>#N/A</v>
      </c>
      <c r="F2187" s="1" t="e">
        <f>IF(B2187=0,VLOOKUP(A2187,Feuil2!$A$2:$M$1241,12,FALSE)," ")</f>
        <v>#N/A</v>
      </c>
      <c r="G2187" s="1" t="e">
        <f>IF(B2187=0,VLOOKUP(A2187,Feuil2!$A$2:$M$1241,11,FALSE)," ")</f>
        <v>#N/A</v>
      </c>
      <c r="H2187" s="1" t="s">
        <v>16</v>
      </c>
      <c r="I2187" s="6" t="e">
        <f>IF(B2187=0,VLOOKUP(A2187,Feuil2!$A$2:$M$1241,7,FALSE)," ")</f>
        <v>#N/A</v>
      </c>
      <c r="J2187" s="1" t="e">
        <f>IF(B2187=0,VLOOKUP(A2187,Feuil2!$A$2:$M$1241,9,FALSE)," ")</f>
        <v>#N/A</v>
      </c>
      <c r="K2187" s="1" t="e">
        <f>IF(B2187=0,VLOOKUP(A2187,Feuil2!$A$2:$M$1241,10,FALSE)," ")</f>
        <v>#N/A</v>
      </c>
      <c r="L2187" s="1"/>
      <c r="M2187" s="1"/>
      <c r="N2187" s="1"/>
      <c r="O2187" s="8" t="e">
        <f>IF(B2187=0,VLOOKUP(A2187,Feuil2!$A$2:$M$1241,13,FALSE)," ")</f>
        <v>#N/A</v>
      </c>
    </row>
    <row r="2188" spans="1:15" x14ac:dyDescent="0.3">
      <c r="A2188" s="1"/>
      <c r="B2188" s="1"/>
      <c r="C2188" s="1" t="e">
        <f>IF(B2188=0,VLOOKUP(A2188,Feuil2!$A$2:$M$1241,2,FALSE)," ")</f>
        <v>#N/A</v>
      </c>
      <c r="D2188" s="1" t="e">
        <f>IF(B2188=0,VLOOKUP(A2188,Feuil2!$A$2:$M$1241,3,FALSE)," ")</f>
        <v>#N/A</v>
      </c>
      <c r="E2188" s="5" t="e">
        <f>IF(B2188=0,VLOOKUP(A2188,Feuil2!$A$2:$M$1241,6,FALSE)," ")</f>
        <v>#N/A</v>
      </c>
      <c r="F2188" s="1" t="e">
        <f>IF(B2188=0,VLOOKUP(A2188,Feuil2!$A$2:$M$1241,12,FALSE)," ")</f>
        <v>#N/A</v>
      </c>
      <c r="G2188" s="1" t="e">
        <f>IF(B2188=0,VLOOKUP(A2188,Feuil2!$A$2:$M$1241,11,FALSE)," ")</f>
        <v>#N/A</v>
      </c>
      <c r="H2188" s="1" t="s">
        <v>16</v>
      </c>
      <c r="I2188" s="6" t="e">
        <f>IF(B2188=0,VLOOKUP(A2188,Feuil2!$A$2:$M$1241,7,FALSE)," ")</f>
        <v>#N/A</v>
      </c>
      <c r="J2188" s="1" t="e">
        <f>IF(B2188=0,VLOOKUP(A2188,Feuil2!$A$2:$M$1241,9,FALSE)," ")</f>
        <v>#N/A</v>
      </c>
      <c r="K2188" s="1" t="e">
        <f>IF(B2188=0,VLOOKUP(A2188,Feuil2!$A$2:$M$1241,10,FALSE)," ")</f>
        <v>#N/A</v>
      </c>
      <c r="L2188" s="1"/>
      <c r="M2188" s="1"/>
      <c r="N2188" s="1"/>
      <c r="O2188" s="8" t="e">
        <f>IF(B2188=0,VLOOKUP(A2188,Feuil2!$A$2:$M$1241,13,FALSE)," ")</f>
        <v>#N/A</v>
      </c>
    </row>
    <row r="2189" spans="1:15" x14ac:dyDescent="0.3">
      <c r="A2189" s="1"/>
      <c r="B2189" s="1"/>
      <c r="C2189" s="1" t="e">
        <f>IF(B2189=0,VLOOKUP(A2189,Feuil2!$A$2:$M$1241,2,FALSE)," ")</f>
        <v>#N/A</v>
      </c>
      <c r="D2189" s="1" t="e">
        <f>IF(B2189=0,VLOOKUP(A2189,Feuil2!$A$2:$M$1241,3,FALSE)," ")</f>
        <v>#N/A</v>
      </c>
      <c r="E2189" s="5" t="e">
        <f>IF(B2189=0,VLOOKUP(A2189,Feuil2!$A$2:$M$1241,6,FALSE)," ")</f>
        <v>#N/A</v>
      </c>
      <c r="F2189" s="1" t="e">
        <f>IF(B2189=0,VLOOKUP(A2189,Feuil2!$A$2:$M$1241,12,FALSE)," ")</f>
        <v>#N/A</v>
      </c>
      <c r="G2189" s="1" t="e">
        <f>IF(B2189=0,VLOOKUP(A2189,Feuil2!$A$2:$M$1241,11,FALSE)," ")</f>
        <v>#N/A</v>
      </c>
      <c r="H2189" s="1" t="s">
        <v>16</v>
      </c>
      <c r="I2189" s="6" t="e">
        <f>IF(B2189=0,VLOOKUP(A2189,Feuil2!$A$2:$M$1241,7,FALSE)," ")</f>
        <v>#N/A</v>
      </c>
      <c r="J2189" s="1" t="e">
        <f>IF(B2189=0,VLOOKUP(A2189,Feuil2!$A$2:$M$1241,9,FALSE)," ")</f>
        <v>#N/A</v>
      </c>
      <c r="K2189" s="1" t="e">
        <f>IF(B2189=0,VLOOKUP(A2189,Feuil2!$A$2:$M$1241,10,FALSE)," ")</f>
        <v>#N/A</v>
      </c>
      <c r="L2189" s="1"/>
      <c r="M2189" s="1"/>
      <c r="N2189" s="1"/>
      <c r="O2189" s="8" t="e">
        <f>IF(B2189=0,VLOOKUP(A2189,Feuil2!$A$2:$M$1241,13,FALSE)," ")</f>
        <v>#N/A</v>
      </c>
    </row>
    <row r="2190" spans="1:15" x14ac:dyDescent="0.3">
      <c r="A2190" s="1"/>
      <c r="B2190" s="1"/>
      <c r="C2190" s="1" t="e">
        <f>IF(B2190=0,VLOOKUP(A2190,Feuil2!$A$2:$M$1241,2,FALSE)," ")</f>
        <v>#N/A</v>
      </c>
      <c r="D2190" s="1" t="e">
        <f>IF(B2190=0,VLOOKUP(A2190,Feuil2!$A$2:$M$1241,3,FALSE)," ")</f>
        <v>#N/A</v>
      </c>
      <c r="E2190" s="5" t="e">
        <f>IF(B2190=0,VLOOKUP(A2190,Feuil2!$A$2:$M$1241,6,FALSE)," ")</f>
        <v>#N/A</v>
      </c>
      <c r="F2190" s="1" t="e">
        <f>IF(B2190=0,VLOOKUP(A2190,Feuil2!$A$2:$M$1241,12,FALSE)," ")</f>
        <v>#N/A</v>
      </c>
      <c r="G2190" s="1" t="e">
        <f>IF(B2190=0,VLOOKUP(A2190,Feuil2!$A$2:$M$1241,11,FALSE)," ")</f>
        <v>#N/A</v>
      </c>
      <c r="H2190" s="1" t="s">
        <v>16</v>
      </c>
      <c r="I2190" s="6" t="e">
        <f>IF(B2190=0,VLOOKUP(A2190,Feuil2!$A$2:$M$1241,7,FALSE)," ")</f>
        <v>#N/A</v>
      </c>
      <c r="J2190" s="1" t="e">
        <f>IF(B2190=0,VLOOKUP(A2190,Feuil2!$A$2:$M$1241,9,FALSE)," ")</f>
        <v>#N/A</v>
      </c>
      <c r="K2190" s="1" t="e">
        <f>IF(B2190=0,VLOOKUP(A2190,Feuil2!$A$2:$M$1241,10,FALSE)," ")</f>
        <v>#N/A</v>
      </c>
      <c r="L2190" s="1"/>
      <c r="M2190" s="1"/>
      <c r="N2190" s="1"/>
      <c r="O2190" s="8" t="e">
        <f>IF(B2190=0,VLOOKUP(A2190,Feuil2!$A$2:$M$1241,13,FALSE)," ")</f>
        <v>#N/A</v>
      </c>
    </row>
    <row r="2191" spans="1:15" x14ac:dyDescent="0.3">
      <c r="A2191" s="1"/>
      <c r="B2191" s="1"/>
      <c r="C2191" s="1" t="e">
        <f>IF(B2191=0,VLOOKUP(A2191,Feuil2!$A$2:$M$1241,2,FALSE)," ")</f>
        <v>#N/A</v>
      </c>
      <c r="D2191" s="1" t="e">
        <f>IF(B2191=0,VLOOKUP(A2191,Feuil2!$A$2:$M$1241,3,FALSE)," ")</f>
        <v>#N/A</v>
      </c>
      <c r="E2191" s="5" t="e">
        <f>IF(B2191=0,VLOOKUP(A2191,Feuil2!$A$2:$M$1241,6,FALSE)," ")</f>
        <v>#N/A</v>
      </c>
      <c r="F2191" s="1" t="e">
        <f>IF(B2191=0,VLOOKUP(A2191,Feuil2!$A$2:$M$1241,12,FALSE)," ")</f>
        <v>#N/A</v>
      </c>
      <c r="G2191" s="1" t="e">
        <f>IF(B2191=0,VLOOKUP(A2191,Feuil2!$A$2:$M$1241,11,FALSE)," ")</f>
        <v>#N/A</v>
      </c>
      <c r="H2191" s="1" t="s">
        <v>16</v>
      </c>
      <c r="I2191" s="6" t="e">
        <f>IF(B2191=0,VLOOKUP(A2191,Feuil2!$A$2:$M$1241,7,FALSE)," ")</f>
        <v>#N/A</v>
      </c>
      <c r="J2191" s="1" t="e">
        <f>IF(B2191=0,VLOOKUP(A2191,Feuil2!$A$2:$M$1241,9,FALSE)," ")</f>
        <v>#N/A</v>
      </c>
      <c r="K2191" s="1" t="e">
        <f>IF(B2191=0,VLOOKUP(A2191,Feuil2!$A$2:$M$1241,10,FALSE)," ")</f>
        <v>#N/A</v>
      </c>
      <c r="L2191" s="1"/>
      <c r="M2191" s="1"/>
      <c r="N2191" s="1"/>
      <c r="O2191" s="8" t="e">
        <f>IF(B2191=0,VLOOKUP(A2191,Feuil2!$A$2:$M$1241,13,FALSE)," ")</f>
        <v>#N/A</v>
      </c>
    </row>
    <row r="2192" spans="1:15" x14ac:dyDescent="0.3">
      <c r="A2192" s="1"/>
      <c r="B2192" s="1"/>
      <c r="C2192" s="1" t="e">
        <f>IF(B2192=0,VLOOKUP(A2192,Feuil2!$A$2:$M$1241,2,FALSE)," ")</f>
        <v>#N/A</v>
      </c>
      <c r="D2192" s="1" t="e">
        <f>IF(B2192=0,VLOOKUP(A2192,Feuil2!$A$2:$M$1241,3,FALSE)," ")</f>
        <v>#N/A</v>
      </c>
      <c r="E2192" s="5" t="e">
        <f>IF(B2192=0,VLOOKUP(A2192,Feuil2!$A$2:$M$1241,6,FALSE)," ")</f>
        <v>#N/A</v>
      </c>
      <c r="F2192" s="1" t="e">
        <f>IF(B2192=0,VLOOKUP(A2192,Feuil2!$A$2:$M$1241,12,FALSE)," ")</f>
        <v>#N/A</v>
      </c>
      <c r="G2192" s="1" t="e">
        <f>IF(B2192=0,VLOOKUP(A2192,Feuil2!$A$2:$M$1241,11,FALSE)," ")</f>
        <v>#N/A</v>
      </c>
      <c r="H2192" s="1" t="s">
        <v>16</v>
      </c>
      <c r="I2192" s="6" t="e">
        <f>IF(B2192=0,VLOOKUP(A2192,Feuil2!$A$2:$M$1241,7,FALSE)," ")</f>
        <v>#N/A</v>
      </c>
      <c r="J2192" s="1" t="e">
        <f>IF(B2192=0,VLOOKUP(A2192,Feuil2!$A$2:$M$1241,9,FALSE)," ")</f>
        <v>#N/A</v>
      </c>
      <c r="K2192" s="1" t="e">
        <f>IF(B2192=0,VLOOKUP(A2192,Feuil2!$A$2:$M$1241,10,FALSE)," ")</f>
        <v>#N/A</v>
      </c>
      <c r="L2192" s="1"/>
      <c r="M2192" s="1"/>
      <c r="N2192" s="1"/>
      <c r="O2192" s="8" t="e">
        <f>IF(B2192=0,VLOOKUP(A2192,Feuil2!$A$2:$M$1241,13,FALSE)," ")</f>
        <v>#N/A</v>
      </c>
    </row>
    <row r="2193" spans="1:15" x14ac:dyDescent="0.3">
      <c r="A2193" s="1"/>
      <c r="B2193" s="1"/>
      <c r="C2193" s="1" t="e">
        <f>IF(B2193=0,VLOOKUP(A2193,Feuil2!$A$2:$M$1241,2,FALSE)," ")</f>
        <v>#N/A</v>
      </c>
      <c r="D2193" s="1" t="e">
        <f>IF(B2193=0,VLOOKUP(A2193,Feuil2!$A$2:$M$1241,3,FALSE)," ")</f>
        <v>#N/A</v>
      </c>
      <c r="E2193" s="5" t="e">
        <f>IF(B2193=0,VLOOKUP(A2193,Feuil2!$A$2:$M$1241,6,FALSE)," ")</f>
        <v>#N/A</v>
      </c>
      <c r="F2193" s="1" t="e">
        <f>IF(B2193=0,VLOOKUP(A2193,Feuil2!$A$2:$M$1241,12,FALSE)," ")</f>
        <v>#N/A</v>
      </c>
      <c r="G2193" s="1" t="e">
        <f>IF(B2193=0,VLOOKUP(A2193,Feuil2!$A$2:$M$1241,11,FALSE)," ")</f>
        <v>#N/A</v>
      </c>
      <c r="H2193" s="1" t="s">
        <v>16</v>
      </c>
      <c r="I2193" s="6" t="e">
        <f>IF(B2193=0,VLOOKUP(A2193,Feuil2!$A$2:$M$1241,7,FALSE)," ")</f>
        <v>#N/A</v>
      </c>
      <c r="J2193" s="1" t="e">
        <f>IF(B2193=0,VLOOKUP(A2193,Feuil2!$A$2:$M$1241,9,FALSE)," ")</f>
        <v>#N/A</v>
      </c>
      <c r="K2193" s="1" t="e">
        <f>IF(B2193=0,VLOOKUP(A2193,Feuil2!$A$2:$M$1241,10,FALSE)," ")</f>
        <v>#N/A</v>
      </c>
      <c r="L2193" s="1"/>
      <c r="M2193" s="1"/>
      <c r="N2193" s="1"/>
      <c r="O2193" s="8" t="e">
        <f>IF(B2193=0,VLOOKUP(A2193,Feuil2!$A$2:$M$1241,13,FALSE)," ")</f>
        <v>#N/A</v>
      </c>
    </row>
    <row r="2194" spans="1:15" x14ac:dyDescent="0.3">
      <c r="A2194" s="1"/>
      <c r="B2194" s="1"/>
      <c r="C2194" s="1" t="e">
        <f>IF(B2194=0,VLOOKUP(A2194,Feuil2!$A$2:$M$1241,2,FALSE)," ")</f>
        <v>#N/A</v>
      </c>
      <c r="D2194" s="1" t="e">
        <f>IF(B2194=0,VLOOKUP(A2194,Feuil2!$A$2:$M$1241,3,FALSE)," ")</f>
        <v>#N/A</v>
      </c>
      <c r="E2194" s="5" t="e">
        <f>IF(B2194=0,VLOOKUP(A2194,Feuil2!$A$2:$M$1241,6,FALSE)," ")</f>
        <v>#N/A</v>
      </c>
      <c r="F2194" s="1" t="e">
        <f>IF(B2194=0,VLOOKUP(A2194,Feuil2!$A$2:$M$1241,12,FALSE)," ")</f>
        <v>#N/A</v>
      </c>
      <c r="G2194" s="1" t="e">
        <f>IF(B2194=0,VLOOKUP(A2194,Feuil2!$A$2:$M$1241,11,FALSE)," ")</f>
        <v>#N/A</v>
      </c>
      <c r="H2194" s="1" t="s">
        <v>16</v>
      </c>
      <c r="I2194" s="6" t="e">
        <f>IF(B2194=0,VLOOKUP(A2194,Feuil2!$A$2:$M$1241,7,FALSE)," ")</f>
        <v>#N/A</v>
      </c>
      <c r="J2194" s="1" t="e">
        <f>IF(B2194=0,VLOOKUP(A2194,Feuil2!$A$2:$M$1241,9,FALSE)," ")</f>
        <v>#N/A</v>
      </c>
      <c r="K2194" s="1" t="e">
        <f>IF(B2194=0,VLOOKUP(A2194,Feuil2!$A$2:$M$1241,10,FALSE)," ")</f>
        <v>#N/A</v>
      </c>
      <c r="L2194" s="1"/>
      <c r="M2194" s="1"/>
      <c r="N2194" s="1"/>
      <c r="O2194" s="8" t="e">
        <f>IF(B2194=0,VLOOKUP(A2194,Feuil2!$A$2:$M$1241,13,FALSE)," ")</f>
        <v>#N/A</v>
      </c>
    </row>
    <row r="2195" spans="1:15" x14ac:dyDescent="0.3">
      <c r="A2195" s="1"/>
      <c r="B2195" s="1"/>
      <c r="C2195" s="1" t="e">
        <f>IF(B2195=0,VLOOKUP(A2195,Feuil2!$A$2:$M$1241,2,FALSE)," ")</f>
        <v>#N/A</v>
      </c>
      <c r="D2195" s="1" t="e">
        <f>IF(B2195=0,VLOOKUP(A2195,Feuil2!$A$2:$M$1241,3,FALSE)," ")</f>
        <v>#N/A</v>
      </c>
      <c r="E2195" s="5" t="e">
        <f>IF(B2195=0,VLOOKUP(A2195,Feuil2!$A$2:$M$1241,6,FALSE)," ")</f>
        <v>#N/A</v>
      </c>
      <c r="F2195" s="1" t="e">
        <f>IF(B2195=0,VLOOKUP(A2195,Feuil2!$A$2:$M$1241,12,FALSE)," ")</f>
        <v>#N/A</v>
      </c>
      <c r="G2195" s="1" t="e">
        <f>IF(B2195=0,VLOOKUP(A2195,Feuil2!$A$2:$M$1241,11,FALSE)," ")</f>
        <v>#N/A</v>
      </c>
      <c r="H2195" s="1" t="s">
        <v>16</v>
      </c>
      <c r="I2195" s="6" t="e">
        <f>IF(B2195=0,VLOOKUP(A2195,Feuil2!$A$2:$M$1241,7,FALSE)," ")</f>
        <v>#N/A</v>
      </c>
      <c r="J2195" s="1" t="e">
        <f>IF(B2195=0,VLOOKUP(A2195,Feuil2!$A$2:$M$1241,9,FALSE)," ")</f>
        <v>#N/A</v>
      </c>
      <c r="K2195" s="1" t="e">
        <f>IF(B2195=0,VLOOKUP(A2195,Feuil2!$A$2:$M$1241,10,FALSE)," ")</f>
        <v>#N/A</v>
      </c>
      <c r="L2195" s="1"/>
      <c r="M2195" s="1"/>
      <c r="N2195" s="1"/>
      <c r="O2195" s="8" t="e">
        <f>IF(B2195=0,VLOOKUP(A2195,Feuil2!$A$2:$M$1241,13,FALSE)," ")</f>
        <v>#N/A</v>
      </c>
    </row>
    <row r="2196" spans="1:15" x14ac:dyDescent="0.3">
      <c r="A2196" s="1"/>
      <c r="B2196" s="1"/>
      <c r="C2196" s="1" t="e">
        <f>IF(B2196=0,VLOOKUP(A2196,Feuil2!$A$2:$M$1241,2,FALSE)," ")</f>
        <v>#N/A</v>
      </c>
      <c r="D2196" s="1" t="e">
        <f>IF(B2196=0,VLOOKUP(A2196,Feuil2!$A$2:$M$1241,3,FALSE)," ")</f>
        <v>#N/A</v>
      </c>
      <c r="E2196" s="5" t="e">
        <f>IF(B2196=0,VLOOKUP(A2196,Feuil2!$A$2:$M$1241,6,FALSE)," ")</f>
        <v>#N/A</v>
      </c>
      <c r="F2196" s="1" t="e">
        <f>IF(B2196=0,VLOOKUP(A2196,Feuil2!$A$2:$M$1241,12,FALSE)," ")</f>
        <v>#N/A</v>
      </c>
      <c r="G2196" s="1" t="e">
        <f>IF(B2196=0,VLOOKUP(A2196,Feuil2!$A$2:$M$1241,11,FALSE)," ")</f>
        <v>#N/A</v>
      </c>
      <c r="H2196" s="1" t="s">
        <v>16</v>
      </c>
      <c r="I2196" s="6" t="e">
        <f>IF(B2196=0,VLOOKUP(A2196,Feuil2!$A$2:$M$1241,7,FALSE)," ")</f>
        <v>#N/A</v>
      </c>
      <c r="J2196" s="1" t="e">
        <f>IF(B2196=0,VLOOKUP(A2196,Feuil2!$A$2:$M$1241,9,FALSE)," ")</f>
        <v>#N/A</v>
      </c>
      <c r="K2196" s="1" t="e">
        <f>IF(B2196=0,VLOOKUP(A2196,Feuil2!$A$2:$M$1241,10,FALSE)," ")</f>
        <v>#N/A</v>
      </c>
      <c r="L2196" s="1"/>
      <c r="M2196" s="1"/>
      <c r="N2196" s="1"/>
      <c r="O2196" s="8" t="e">
        <f>IF(B2196=0,VLOOKUP(A2196,Feuil2!$A$2:$M$1241,13,FALSE)," ")</f>
        <v>#N/A</v>
      </c>
    </row>
    <row r="2197" spans="1:15" x14ac:dyDescent="0.3">
      <c r="A2197" s="1"/>
      <c r="B2197" s="1"/>
      <c r="C2197" s="1" t="e">
        <f>IF(B2197=0,VLOOKUP(A2197,Feuil2!$A$2:$M$1241,2,FALSE)," ")</f>
        <v>#N/A</v>
      </c>
      <c r="D2197" s="1" t="e">
        <f>IF(B2197=0,VLOOKUP(A2197,Feuil2!$A$2:$M$1241,3,FALSE)," ")</f>
        <v>#N/A</v>
      </c>
      <c r="E2197" s="5" t="e">
        <f>IF(B2197=0,VLOOKUP(A2197,Feuil2!$A$2:$M$1241,6,FALSE)," ")</f>
        <v>#N/A</v>
      </c>
      <c r="F2197" s="1" t="e">
        <f>IF(B2197=0,VLOOKUP(A2197,Feuil2!$A$2:$M$1241,12,FALSE)," ")</f>
        <v>#N/A</v>
      </c>
      <c r="G2197" s="1" t="e">
        <f>IF(B2197=0,VLOOKUP(A2197,Feuil2!$A$2:$M$1241,11,FALSE)," ")</f>
        <v>#N/A</v>
      </c>
      <c r="H2197" s="1" t="s">
        <v>16</v>
      </c>
      <c r="I2197" s="6" t="e">
        <f>IF(B2197=0,VLOOKUP(A2197,Feuil2!$A$2:$M$1241,7,FALSE)," ")</f>
        <v>#N/A</v>
      </c>
      <c r="J2197" s="1" t="e">
        <f>IF(B2197=0,VLOOKUP(A2197,Feuil2!$A$2:$M$1241,9,FALSE)," ")</f>
        <v>#N/A</v>
      </c>
      <c r="K2197" s="1" t="e">
        <f>IF(B2197=0,VLOOKUP(A2197,Feuil2!$A$2:$M$1241,10,FALSE)," ")</f>
        <v>#N/A</v>
      </c>
      <c r="L2197" s="1"/>
      <c r="M2197" s="1"/>
      <c r="N2197" s="1"/>
      <c r="O2197" s="8" t="e">
        <f>IF(B2197=0,VLOOKUP(A2197,Feuil2!$A$2:$M$1241,13,FALSE)," ")</f>
        <v>#N/A</v>
      </c>
    </row>
    <row r="2198" spans="1:15" x14ac:dyDescent="0.3">
      <c r="A2198" s="1"/>
      <c r="B2198" s="1"/>
      <c r="C2198" s="1" t="e">
        <f>IF(B2198=0,VLOOKUP(A2198,Feuil2!$A$2:$M$1241,2,FALSE)," ")</f>
        <v>#N/A</v>
      </c>
      <c r="D2198" s="1" t="e">
        <f>IF(B2198=0,VLOOKUP(A2198,Feuil2!$A$2:$M$1241,3,FALSE)," ")</f>
        <v>#N/A</v>
      </c>
      <c r="E2198" s="5" t="e">
        <f>IF(B2198=0,VLOOKUP(A2198,Feuil2!$A$2:$M$1241,6,FALSE)," ")</f>
        <v>#N/A</v>
      </c>
      <c r="F2198" s="1" t="e">
        <f>IF(B2198=0,VLOOKUP(A2198,Feuil2!$A$2:$M$1241,12,FALSE)," ")</f>
        <v>#N/A</v>
      </c>
      <c r="G2198" s="1" t="e">
        <f>IF(B2198=0,VLOOKUP(A2198,Feuil2!$A$2:$M$1241,11,FALSE)," ")</f>
        <v>#N/A</v>
      </c>
      <c r="H2198" s="1" t="s">
        <v>16</v>
      </c>
      <c r="I2198" s="6" t="e">
        <f>IF(B2198=0,VLOOKUP(A2198,Feuil2!$A$2:$M$1241,7,FALSE)," ")</f>
        <v>#N/A</v>
      </c>
      <c r="J2198" s="1" t="e">
        <f>IF(B2198=0,VLOOKUP(A2198,Feuil2!$A$2:$M$1241,9,FALSE)," ")</f>
        <v>#N/A</v>
      </c>
      <c r="K2198" s="1" t="e">
        <f>IF(B2198=0,VLOOKUP(A2198,Feuil2!$A$2:$M$1241,10,FALSE)," ")</f>
        <v>#N/A</v>
      </c>
      <c r="L2198" s="1"/>
      <c r="M2198" s="1"/>
      <c r="N2198" s="1"/>
      <c r="O2198" s="8" t="e">
        <f>IF(B2198=0,VLOOKUP(A2198,Feuil2!$A$2:$M$1241,13,FALSE)," ")</f>
        <v>#N/A</v>
      </c>
    </row>
    <row r="2199" spans="1:15" x14ac:dyDescent="0.3">
      <c r="A2199" s="1"/>
      <c r="B2199" s="1"/>
      <c r="C2199" s="1" t="e">
        <f>IF(B2199=0,VLOOKUP(A2199,Feuil2!$A$2:$M$1241,2,FALSE)," ")</f>
        <v>#N/A</v>
      </c>
      <c r="D2199" s="1" t="e">
        <f>IF(B2199=0,VLOOKUP(A2199,Feuil2!$A$2:$M$1241,3,FALSE)," ")</f>
        <v>#N/A</v>
      </c>
      <c r="E2199" s="5" t="e">
        <f>IF(B2199=0,VLOOKUP(A2199,Feuil2!$A$2:$M$1241,6,FALSE)," ")</f>
        <v>#N/A</v>
      </c>
      <c r="F2199" s="1" t="e">
        <f>IF(B2199=0,VLOOKUP(A2199,Feuil2!$A$2:$M$1241,12,FALSE)," ")</f>
        <v>#N/A</v>
      </c>
      <c r="G2199" s="1" t="e">
        <f>IF(B2199=0,VLOOKUP(A2199,Feuil2!$A$2:$M$1241,11,FALSE)," ")</f>
        <v>#N/A</v>
      </c>
      <c r="H2199" s="1" t="s">
        <v>16</v>
      </c>
      <c r="I2199" s="6" t="e">
        <f>IF(B2199=0,VLOOKUP(A2199,Feuil2!$A$2:$M$1241,7,FALSE)," ")</f>
        <v>#N/A</v>
      </c>
      <c r="J2199" s="1" t="e">
        <f>IF(B2199=0,VLOOKUP(A2199,Feuil2!$A$2:$M$1241,9,FALSE)," ")</f>
        <v>#N/A</v>
      </c>
      <c r="K2199" s="1" t="e">
        <f>IF(B2199=0,VLOOKUP(A2199,Feuil2!$A$2:$M$1241,10,FALSE)," ")</f>
        <v>#N/A</v>
      </c>
      <c r="L2199" s="1"/>
      <c r="M2199" s="1"/>
      <c r="N2199" s="1"/>
      <c r="O2199" s="8" t="e">
        <f>IF(B2199=0,VLOOKUP(A2199,Feuil2!$A$2:$M$1241,13,FALSE)," ")</f>
        <v>#N/A</v>
      </c>
    </row>
    <row r="2200" spans="1:15" x14ac:dyDescent="0.3">
      <c r="A2200" s="1"/>
      <c r="B2200" s="1"/>
      <c r="C2200" s="1" t="e">
        <f>IF(B2200=0,VLOOKUP(A2200,Feuil2!$A$2:$M$1241,2,FALSE)," ")</f>
        <v>#N/A</v>
      </c>
      <c r="D2200" s="1" t="e">
        <f>IF(B2200=0,VLOOKUP(A2200,Feuil2!$A$2:$M$1241,3,FALSE)," ")</f>
        <v>#N/A</v>
      </c>
      <c r="E2200" s="5" t="e">
        <f>IF(B2200=0,VLOOKUP(A2200,Feuil2!$A$2:$M$1241,6,FALSE)," ")</f>
        <v>#N/A</v>
      </c>
      <c r="F2200" s="1" t="e">
        <f>IF(B2200=0,VLOOKUP(A2200,Feuil2!$A$2:$M$1241,12,FALSE)," ")</f>
        <v>#N/A</v>
      </c>
      <c r="G2200" s="1" t="e">
        <f>IF(B2200=0,VLOOKUP(A2200,Feuil2!$A$2:$M$1241,11,FALSE)," ")</f>
        <v>#N/A</v>
      </c>
      <c r="H2200" s="1" t="s">
        <v>16</v>
      </c>
      <c r="I2200" s="6" t="e">
        <f>IF(B2200=0,VLOOKUP(A2200,Feuil2!$A$2:$M$1241,7,FALSE)," ")</f>
        <v>#N/A</v>
      </c>
      <c r="J2200" s="1" t="e">
        <f>IF(B2200=0,VLOOKUP(A2200,Feuil2!$A$2:$M$1241,9,FALSE)," ")</f>
        <v>#N/A</v>
      </c>
      <c r="K2200" s="1" t="e">
        <f>IF(B2200=0,VLOOKUP(A2200,Feuil2!$A$2:$M$1241,10,FALSE)," ")</f>
        <v>#N/A</v>
      </c>
      <c r="L2200" s="1"/>
      <c r="M2200" s="1"/>
      <c r="N2200" s="1"/>
      <c r="O2200" s="8" t="e">
        <f>IF(B2200=0,VLOOKUP(A2200,Feuil2!$A$2:$M$1241,13,FALSE)," ")</f>
        <v>#N/A</v>
      </c>
    </row>
    <row r="2201" spans="1:15" x14ac:dyDescent="0.3">
      <c r="A2201" s="1"/>
      <c r="B2201" s="1"/>
      <c r="C2201" s="1" t="e">
        <f>IF(B2201=0,VLOOKUP(A2201,Feuil2!$A$2:$M$1241,2,FALSE)," ")</f>
        <v>#N/A</v>
      </c>
      <c r="D2201" s="1" t="e">
        <f>IF(B2201=0,VLOOKUP(A2201,Feuil2!$A$2:$M$1241,3,FALSE)," ")</f>
        <v>#N/A</v>
      </c>
      <c r="E2201" s="5" t="e">
        <f>IF(B2201=0,VLOOKUP(A2201,Feuil2!$A$2:$M$1241,6,FALSE)," ")</f>
        <v>#N/A</v>
      </c>
      <c r="F2201" s="1" t="e">
        <f>IF(B2201=0,VLOOKUP(A2201,Feuil2!$A$2:$M$1241,12,FALSE)," ")</f>
        <v>#N/A</v>
      </c>
      <c r="G2201" s="1" t="e">
        <f>IF(B2201=0,VLOOKUP(A2201,Feuil2!$A$2:$M$1241,11,FALSE)," ")</f>
        <v>#N/A</v>
      </c>
      <c r="H2201" s="1" t="s">
        <v>16</v>
      </c>
      <c r="I2201" s="6" t="e">
        <f>IF(B2201=0,VLOOKUP(A2201,Feuil2!$A$2:$M$1241,7,FALSE)," ")</f>
        <v>#N/A</v>
      </c>
      <c r="J2201" s="1" t="e">
        <f>IF(B2201=0,VLOOKUP(A2201,Feuil2!$A$2:$M$1241,9,FALSE)," ")</f>
        <v>#N/A</v>
      </c>
      <c r="K2201" s="1" t="e">
        <f>IF(B2201=0,VLOOKUP(A2201,Feuil2!$A$2:$M$1241,10,FALSE)," ")</f>
        <v>#N/A</v>
      </c>
      <c r="L2201" s="1"/>
      <c r="M2201" s="1"/>
      <c r="N2201" s="1"/>
      <c r="O2201" s="8" t="e">
        <f>IF(B2201=0,VLOOKUP(A2201,Feuil2!$A$2:$M$1241,13,FALSE)," ")</f>
        <v>#N/A</v>
      </c>
    </row>
    <row r="2202" spans="1:15" x14ac:dyDescent="0.3">
      <c r="A2202" s="1"/>
      <c r="B2202" s="1"/>
      <c r="C2202" s="1" t="e">
        <f>IF(B2202=0,VLOOKUP(A2202,Feuil2!$A$2:$M$1241,2,FALSE)," ")</f>
        <v>#N/A</v>
      </c>
      <c r="D2202" s="1" t="e">
        <f>IF(B2202=0,VLOOKUP(A2202,Feuil2!$A$2:$M$1241,3,FALSE)," ")</f>
        <v>#N/A</v>
      </c>
      <c r="E2202" s="5" t="e">
        <f>IF(B2202=0,VLOOKUP(A2202,Feuil2!$A$2:$M$1241,6,FALSE)," ")</f>
        <v>#N/A</v>
      </c>
      <c r="F2202" s="1" t="e">
        <f>IF(B2202=0,VLOOKUP(A2202,Feuil2!$A$2:$M$1241,12,FALSE)," ")</f>
        <v>#N/A</v>
      </c>
      <c r="G2202" s="1" t="e">
        <f>IF(B2202=0,VLOOKUP(A2202,Feuil2!$A$2:$M$1241,11,FALSE)," ")</f>
        <v>#N/A</v>
      </c>
      <c r="H2202" s="1" t="s">
        <v>16</v>
      </c>
      <c r="I2202" s="6" t="e">
        <f>IF(B2202=0,VLOOKUP(A2202,Feuil2!$A$2:$M$1241,7,FALSE)," ")</f>
        <v>#N/A</v>
      </c>
      <c r="J2202" s="1" t="e">
        <f>IF(B2202=0,VLOOKUP(A2202,Feuil2!$A$2:$M$1241,9,FALSE)," ")</f>
        <v>#N/A</v>
      </c>
      <c r="K2202" s="1" t="e">
        <f>IF(B2202=0,VLOOKUP(A2202,Feuil2!$A$2:$M$1241,10,FALSE)," ")</f>
        <v>#N/A</v>
      </c>
      <c r="L2202" s="1"/>
      <c r="M2202" s="1"/>
      <c r="N2202" s="1"/>
      <c r="O2202" s="8" t="e">
        <f>IF(B2202=0,VLOOKUP(A2202,Feuil2!$A$2:$M$1241,13,FALSE)," ")</f>
        <v>#N/A</v>
      </c>
    </row>
    <row r="2203" spans="1:15" x14ac:dyDescent="0.3">
      <c r="A2203" s="1"/>
      <c r="B2203" s="1"/>
      <c r="C2203" s="1" t="e">
        <f>IF(B2203=0,VLOOKUP(A2203,Feuil2!$A$2:$M$1241,2,FALSE)," ")</f>
        <v>#N/A</v>
      </c>
      <c r="D2203" s="1" t="e">
        <f>IF(B2203=0,VLOOKUP(A2203,Feuil2!$A$2:$M$1241,3,FALSE)," ")</f>
        <v>#N/A</v>
      </c>
      <c r="E2203" s="5" t="e">
        <f>IF(B2203=0,VLOOKUP(A2203,Feuil2!$A$2:$M$1241,6,FALSE)," ")</f>
        <v>#N/A</v>
      </c>
      <c r="F2203" s="1" t="e">
        <f>IF(B2203=0,VLOOKUP(A2203,Feuil2!$A$2:$M$1241,12,FALSE)," ")</f>
        <v>#N/A</v>
      </c>
      <c r="G2203" s="1" t="e">
        <f>IF(B2203=0,VLOOKUP(A2203,Feuil2!$A$2:$M$1241,11,FALSE)," ")</f>
        <v>#N/A</v>
      </c>
      <c r="H2203" s="1" t="s">
        <v>16</v>
      </c>
      <c r="I2203" s="6" t="e">
        <f>IF(B2203=0,VLOOKUP(A2203,Feuil2!$A$2:$M$1241,7,FALSE)," ")</f>
        <v>#N/A</v>
      </c>
      <c r="J2203" s="1" t="e">
        <f>IF(B2203=0,VLOOKUP(A2203,Feuil2!$A$2:$M$1241,9,FALSE)," ")</f>
        <v>#N/A</v>
      </c>
      <c r="K2203" s="1" t="e">
        <f>IF(B2203=0,VLOOKUP(A2203,Feuil2!$A$2:$M$1241,10,FALSE)," ")</f>
        <v>#N/A</v>
      </c>
      <c r="L2203" s="1"/>
      <c r="M2203" s="1"/>
      <c r="N2203" s="1"/>
      <c r="O2203" s="8" t="e">
        <f>IF(B2203=0,VLOOKUP(A2203,Feuil2!$A$2:$M$1241,13,FALSE)," ")</f>
        <v>#N/A</v>
      </c>
    </row>
    <row r="2204" spans="1:15" x14ac:dyDescent="0.3">
      <c r="A2204" s="1"/>
      <c r="B2204" s="1"/>
      <c r="C2204" s="1" t="e">
        <f>IF(B2204=0,VLOOKUP(A2204,Feuil2!$A$2:$M$1241,2,FALSE)," ")</f>
        <v>#N/A</v>
      </c>
      <c r="D2204" s="1" t="e">
        <f>IF(B2204=0,VLOOKUP(A2204,Feuil2!$A$2:$M$1241,3,FALSE)," ")</f>
        <v>#N/A</v>
      </c>
      <c r="E2204" s="5" t="e">
        <f>IF(B2204=0,VLOOKUP(A2204,Feuil2!$A$2:$M$1241,6,FALSE)," ")</f>
        <v>#N/A</v>
      </c>
      <c r="F2204" s="1" t="e">
        <f>IF(B2204=0,VLOOKUP(A2204,Feuil2!$A$2:$M$1241,12,FALSE)," ")</f>
        <v>#N/A</v>
      </c>
      <c r="G2204" s="1" t="e">
        <f>IF(B2204=0,VLOOKUP(A2204,Feuil2!$A$2:$M$1241,11,FALSE)," ")</f>
        <v>#N/A</v>
      </c>
      <c r="H2204" s="1" t="s">
        <v>16</v>
      </c>
      <c r="I2204" s="6" t="e">
        <f>IF(B2204=0,VLOOKUP(A2204,Feuil2!$A$2:$M$1241,7,FALSE)," ")</f>
        <v>#N/A</v>
      </c>
      <c r="J2204" s="1" t="e">
        <f>IF(B2204=0,VLOOKUP(A2204,Feuil2!$A$2:$M$1241,9,FALSE)," ")</f>
        <v>#N/A</v>
      </c>
      <c r="K2204" s="1" t="e">
        <f>IF(B2204=0,VLOOKUP(A2204,Feuil2!$A$2:$M$1241,10,FALSE)," ")</f>
        <v>#N/A</v>
      </c>
      <c r="L2204" s="1"/>
      <c r="M2204" s="1"/>
      <c r="N2204" s="1"/>
      <c r="O2204" s="8" t="e">
        <f>IF(B2204=0,VLOOKUP(A2204,Feuil2!$A$2:$M$1241,13,FALSE)," ")</f>
        <v>#N/A</v>
      </c>
    </row>
    <row r="2205" spans="1:15" x14ac:dyDescent="0.3">
      <c r="A2205" s="1"/>
      <c r="B2205" s="1"/>
      <c r="C2205" s="1" t="e">
        <f>IF(B2205=0,VLOOKUP(A2205,Feuil2!$A$2:$M$1241,2,FALSE)," ")</f>
        <v>#N/A</v>
      </c>
      <c r="D2205" s="1" t="e">
        <f>IF(B2205=0,VLOOKUP(A2205,Feuil2!$A$2:$M$1241,3,FALSE)," ")</f>
        <v>#N/A</v>
      </c>
      <c r="E2205" s="5" t="e">
        <f>IF(B2205=0,VLOOKUP(A2205,Feuil2!$A$2:$M$1241,6,FALSE)," ")</f>
        <v>#N/A</v>
      </c>
      <c r="F2205" s="1" t="e">
        <f>IF(B2205=0,VLOOKUP(A2205,Feuil2!$A$2:$M$1241,12,FALSE)," ")</f>
        <v>#N/A</v>
      </c>
      <c r="G2205" s="1" t="e">
        <f>IF(B2205=0,VLOOKUP(A2205,Feuil2!$A$2:$M$1241,11,FALSE)," ")</f>
        <v>#N/A</v>
      </c>
      <c r="H2205" s="1" t="s">
        <v>16</v>
      </c>
      <c r="I2205" s="6" t="e">
        <f>IF(B2205=0,VLOOKUP(A2205,Feuil2!$A$2:$M$1241,7,FALSE)," ")</f>
        <v>#N/A</v>
      </c>
      <c r="J2205" s="1" t="e">
        <f>IF(B2205=0,VLOOKUP(A2205,Feuil2!$A$2:$M$1241,9,FALSE)," ")</f>
        <v>#N/A</v>
      </c>
      <c r="K2205" s="1" t="e">
        <f>IF(B2205=0,VLOOKUP(A2205,Feuil2!$A$2:$M$1241,10,FALSE)," ")</f>
        <v>#N/A</v>
      </c>
      <c r="L2205" s="1"/>
      <c r="M2205" s="1"/>
      <c r="N2205" s="1"/>
      <c r="O2205" s="8" t="e">
        <f>IF(B2205=0,VLOOKUP(A2205,Feuil2!$A$2:$M$1241,13,FALSE)," ")</f>
        <v>#N/A</v>
      </c>
    </row>
    <row r="2206" spans="1:15" x14ac:dyDescent="0.3">
      <c r="A2206" s="1"/>
      <c r="B2206" s="1"/>
      <c r="C2206" s="1" t="e">
        <f>IF(B2206=0,VLOOKUP(A2206,Feuil2!$A$2:$M$1241,2,FALSE)," ")</f>
        <v>#N/A</v>
      </c>
      <c r="D2206" s="1" t="e">
        <f>IF(B2206=0,VLOOKUP(A2206,Feuil2!$A$2:$M$1241,3,FALSE)," ")</f>
        <v>#N/A</v>
      </c>
      <c r="E2206" s="5" t="e">
        <f>IF(B2206=0,VLOOKUP(A2206,Feuil2!$A$2:$M$1241,6,FALSE)," ")</f>
        <v>#N/A</v>
      </c>
      <c r="F2206" s="1" t="e">
        <f>IF(B2206=0,VLOOKUP(A2206,Feuil2!$A$2:$M$1241,12,FALSE)," ")</f>
        <v>#N/A</v>
      </c>
      <c r="G2206" s="1" t="e">
        <f>IF(B2206=0,VLOOKUP(A2206,Feuil2!$A$2:$M$1241,11,FALSE)," ")</f>
        <v>#N/A</v>
      </c>
      <c r="H2206" s="1" t="s">
        <v>16</v>
      </c>
      <c r="I2206" s="6" t="e">
        <f>IF(B2206=0,VLOOKUP(A2206,Feuil2!$A$2:$M$1241,7,FALSE)," ")</f>
        <v>#N/A</v>
      </c>
      <c r="J2206" s="1" t="e">
        <f>IF(B2206=0,VLOOKUP(A2206,Feuil2!$A$2:$M$1241,9,FALSE)," ")</f>
        <v>#N/A</v>
      </c>
      <c r="K2206" s="1" t="e">
        <f>IF(B2206=0,VLOOKUP(A2206,Feuil2!$A$2:$M$1241,10,FALSE)," ")</f>
        <v>#N/A</v>
      </c>
      <c r="L2206" s="1"/>
      <c r="M2206" s="1"/>
      <c r="N2206" s="1"/>
      <c r="O2206" s="8" t="e">
        <f>IF(B2206=0,VLOOKUP(A2206,Feuil2!$A$2:$M$1241,13,FALSE)," ")</f>
        <v>#N/A</v>
      </c>
    </row>
    <row r="2207" spans="1:15" x14ac:dyDescent="0.3">
      <c r="A2207" s="1"/>
      <c r="B2207" s="1"/>
      <c r="C2207" s="1" t="e">
        <f>IF(B2207=0,VLOOKUP(A2207,Feuil2!$A$2:$M$1241,2,FALSE)," ")</f>
        <v>#N/A</v>
      </c>
      <c r="D2207" s="1" t="e">
        <f>IF(B2207=0,VLOOKUP(A2207,Feuil2!$A$2:$M$1241,3,FALSE)," ")</f>
        <v>#N/A</v>
      </c>
      <c r="E2207" s="5" t="e">
        <f>IF(B2207=0,VLOOKUP(A2207,Feuil2!$A$2:$M$1241,6,FALSE)," ")</f>
        <v>#N/A</v>
      </c>
      <c r="F2207" s="1" t="e">
        <f>IF(B2207=0,VLOOKUP(A2207,Feuil2!$A$2:$M$1241,12,FALSE)," ")</f>
        <v>#N/A</v>
      </c>
      <c r="G2207" s="1" t="e">
        <f>IF(B2207=0,VLOOKUP(A2207,Feuil2!$A$2:$M$1241,11,FALSE)," ")</f>
        <v>#N/A</v>
      </c>
      <c r="H2207" s="1" t="s">
        <v>16</v>
      </c>
      <c r="I2207" s="6" t="e">
        <f>IF(B2207=0,VLOOKUP(A2207,Feuil2!$A$2:$M$1241,7,FALSE)," ")</f>
        <v>#N/A</v>
      </c>
      <c r="J2207" s="1" t="e">
        <f>IF(B2207=0,VLOOKUP(A2207,Feuil2!$A$2:$M$1241,9,FALSE)," ")</f>
        <v>#N/A</v>
      </c>
      <c r="K2207" s="1" t="e">
        <f>IF(B2207=0,VLOOKUP(A2207,Feuil2!$A$2:$M$1241,10,FALSE)," ")</f>
        <v>#N/A</v>
      </c>
      <c r="L2207" s="1"/>
      <c r="M2207" s="1"/>
      <c r="N2207" s="1"/>
      <c r="O2207" s="8" t="e">
        <f>IF(B2207=0,VLOOKUP(A2207,Feuil2!$A$2:$M$1241,13,FALSE)," ")</f>
        <v>#N/A</v>
      </c>
    </row>
    <row r="2208" spans="1:15" x14ac:dyDescent="0.3">
      <c r="A2208" s="1"/>
      <c r="B2208" s="1"/>
      <c r="C2208" s="1" t="e">
        <f>IF(B2208=0,VLOOKUP(A2208,Feuil2!$A$2:$M$1241,2,FALSE)," ")</f>
        <v>#N/A</v>
      </c>
      <c r="D2208" s="1" t="e">
        <f>IF(B2208=0,VLOOKUP(A2208,Feuil2!$A$2:$M$1241,3,FALSE)," ")</f>
        <v>#N/A</v>
      </c>
      <c r="E2208" s="5" t="e">
        <f>IF(B2208=0,VLOOKUP(A2208,Feuil2!$A$2:$M$1241,6,FALSE)," ")</f>
        <v>#N/A</v>
      </c>
      <c r="F2208" s="1" t="e">
        <f>IF(B2208=0,VLOOKUP(A2208,Feuil2!$A$2:$M$1241,12,FALSE)," ")</f>
        <v>#N/A</v>
      </c>
      <c r="G2208" s="1" t="e">
        <f>IF(B2208=0,VLOOKUP(A2208,Feuil2!$A$2:$M$1241,11,FALSE)," ")</f>
        <v>#N/A</v>
      </c>
      <c r="H2208" s="1" t="s">
        <v>16</v>
      </c>
      <c r="I2208" s="6" t="e">
        <f>IF(B2208=0,VLOOKUP(A2208,Feuil2!$A$2:$M$1241,7,FALSE)," ")</f>
        <v>#N/A</v>
      </c>
      <c r="J2208" s="1" t="e">
        <f>IF(B2208=0,VLOOKUP(A2208,Feuil2!$A$2:$M$1241,9,FALSE)," ")</f>
        <v>#N/A</v>
      </c>
      <c r="K2208" s="1" t="e">
        <f>IF(B2208=0,VLOOKUP(A2208,Feuil2!$A$2:$M$1241,10,FALSE)," ")</f>
        <v>#N/A</v>
      </c>
      <c r="L2208" s="1"/>
      <c r="M2208" s="1"/>
      <c r="N2208" s="1"/>
      <c r="O2208" s="8" t="e">
        <f>IF(B2208=0,VLOOKUP(A2208,Feuil2!$A$2:$M$1241,13,FALSE)," ")</f>
        <v>#N/A</v>
      </c>
    </row>
    <row r="2209" spans="1:15" x14ac:dyDescent="0.3">
      <c r="A2209" s="1"/>
      <c r="B2209" s="1"/>
      <c r="C2209" s="1" t="e">
        <f>IF(B2209=0,VLOOKUP(A2209,Feuil2!$A$2:$M$1241,2,FALSE)," ")</f>
        <v>#N/A</v>
      </c>
      <c r="D2209" s="1" t="e">
        <f>IF(B2209=0,VLOOKUP(A2209,Feuil2!$A$2:$M$1241,3,FALSE)," ")</f>
        <v>#N/A</v>
      </c>
      <c r="E2209" s="5" t="e">
        <f>IF(B2209=0,VLOOKUP(A2209,Feuil2!$A$2:$M$1241,6,FALSE)," ")</f>
        <v>#N/A</v>
      </c>
      <c r="F2209" s="1" t="e">
        <f>IF(B2209=0,VLOOKUP(A2209,Feuil2!$A$2:$M$1241,12,FALSE)," ")</f>
        <v>#N/A</v>
      </c>
      <c r="G2209" s="1" t="e">
        <f>IF(B2209=0,VLOOKUP(A2209,Feuil2!$A$2:$M$1241,11,FALSE)," ")</f>
        <v>#N/A</v>
      </c>
      <c r="H2209" s="1" t="s">
        <v>16</v>
      </c>
      <c r="I2209" s="6" t="e">
        <f>IF(B2209=0,VLOOKUP(A2209,Feuil2!$A$2:$M$1241,7,FALSE)," ")</f>
        <v>#N/A</v>
      </c>
      <c r="J2209" s="1" t="e">
        <f>IF(B2209=0,VLOOKUP(A2209,Feuil2!$A$2:$M$1241,9,FALSE)," ")</f>
        <v>#N/A</v>
      </c>
      <c r="K2209" s="1" t="e">
        <f>IF(B2209=0,VLOOKUP(A2209,Feuil2!$A$2:$M$1241,10,FALSE)," ")</f>
        <v>#N/A</v>
      </c>
      <c r="L2209" s="1"/>
      <c r="M2209" s="1"/>
      <c r="N2209" s="1"/>
      <c r="O2209" s="8" t="e">
        <f>IF(B2209=0,VLOOKUP(A2209,Feuil2!$A$2:$M$1241,13,FALSE)," ")</f>
        <v>#N/A</v>
      </c>
    </row>
    <row r="2210" spans="1:15" x14ac:dyDescent="0.3">
      <c r="A2210" s="1"/>
      <c r="B2210" s="1"/>
      <c r="C2210" s="1" t="e">
        <f>IF(B2210=0,VLOOKUP(A2210,Feuil2!$A$2:$M$1241,2,FALSE)," ")</f>
        <v>#N/A</v>
      </c>
      <c r="D2210" s="1" t="e">
        <f>IF(B2210=0,VLOOKUP(A2210,Feuil2!$A$2:$M$1241,3,FALSE)," ")</f>
        <v>#N/A</v>
      </c>
      <c r="E2210" s="5" t="e">
        <f>IF(B2210=0,VLOOKUP(A2210,Feuil2!$A$2:$M$1241,6,FALSE)," ")</f>
        <v>#N/A</v>
      </c>
      <c r="F2210" s="1" t="e">
        <f>IF(B2210=0,VLOOKUP(A2210,Feuil2!$A$2:$M$1241,12,FALSE)," ")</f>
        <v>#N/A</v>
      </c>
      <c r="G2210" s="1" t="e">
        <f>IF(B2210=0,VLOOKUP(A2210,Feuil2!$A$2:$M$1241,11,FALSE)," ")</f>
        <v>#N/A</v>
      </c>
      <c r="H2210" s="1" t="s">
        <v>16</v>
      </c>
      <c r="I2210" s="6" t="e">
        <f>IF(B2210=0,VLOOKUP(A2210,Feuil2!$A$2:$M$1241,7,FALSE)," ")</f>
        <v>#N/A</v>
      </c>
      <c r="J2210" s="1" t="e">
        <f>IF(B2210=0,VLOOKUP(A2210,Feuil2!$A$2:$M$1241,9,FALSE)," ")</f>
        <v>#N/A</v>
      </c>
      <c r="K2210" s="1" t="e">
        <f>IF(B2210=0,VLOOKUP(A2210,Feuil2!$A$2:$M$1241,10,FALSE)," ")</f>
        <v>#N/A</v>
      </c>
      <c r="L2210" s="1"/>
      <c r="M2210" s="1"/>
      <c r="N2210" s="1"/>
      <c r="O2210" s="8" t="e">
        <f>IF(B2210=0,VLOOKUP(A2210,Feuil2!$A$2:$M$1241,13,FALSE)," ")</f>
        <v>#N/A</v>
      </c>
    </row>
    <row r="2211" spans="1:15" x14ac:dyDescent="0.3">
      <c r="A2211" s="1"/>
      <c r="B2211" s="1"/>
      <c r="C2211" s="1" t="e">
        <f>IF(B2211=0,VLOOKUP(A2211,Feuil2!$A$2:$M$1241,2,FALSE)," ")</f>
        <v>#N/A</v>
      </c>
      <c r="D2211" s="1" t="e">
        <f>IF(B2211=0,VLOOKUP(A2211,Feuil2!$A$2:$M$1241,3,FALSE)," ")</f>
        <v>#N/A</v>
      </c>
      <c r="E2211" s="5" t="e">
        <f>IF(B2211=0,VLOOKUP(A2211,Feuil2!$A$2:$M$1241,6,FALSE)," ")</f>
        <v>#N/A</v>
      </c>
      <c r="F2211" s="1" t="e">
        <f>IF(B2211=0,VLOOKUP(A2211,Feuil2!$A$2:$M$1241,12,FALSE)," ")</f>
        <v>#N/A</v>
      </c>
      <c r="G2211" s="1" t="e">
        <f>IF(B2211=0,VLOOKUP(A2211,Feuil2!$A$2:$M$1241,11,FALSE)," ")</f>
        <v>#N/A</v>
      </c>
      <c r="H2211" s="1" t="s">
        <v>16</v>
      </c>
      <c r="I2211" s="6" t="e">
        <f>IF(B2211=0,VLOOKUP(A2211,Feuil2!$A$2:$M$1241,7,FALSE)," ")</f>
        <v>#N/A</v>
      </c>
      <c r="J2211" s="1" t="e">
        <f>IF(B2211=0,VLOOKUP(A2211,Feuil2!$A$2:$M$1241,9,FALSE)," ")</f>
        <v>#N/A</v>
      </c>
      <c r="K2211" s="1" t="e">
        <f>IF(B2211=0,VLOOKUP(A2211,Feuil2!$A$2:$M$1241,10,FALSE)," ")</f>
        <v>#N/A</v>
      </c>
      <c r="L2211" s="1"/>
      <c r="M2211" s="1"/>
      <c r="N2211" s="1"/>
      <c r="O2211" s="8" t="e">
        <f>IF(B2211=0,VLOOKUP(A2211,Feuil2!$A$2:$M$1241,13,FALSE)," ")</f>
        <v>#N/A</v>
      </c>
    </row>
    <row r="2212" spans="1:15" x14ac:dyDescent="0.3">
      <c r="A2212" s="1"/>
      <c r="B2212" s="1"/>
      <c r="C2212" s="1" t="e">
        <f>IF(B2212=0,VLOOKUP(A2212,Feuil2!$A$2:$M$1241,2,FALSE)," ")</f>
        <v>#N/A</v>
      </c>
      <c r="D2212" s="1" t="e">
        <f>IF(B2212=0,VLOOKUP(A2212,Feuil2!$A$2:$M$1241,3,FALSE)," ")</f>
        <v>#N/A</v>
      </c>
      <c r="E2212" s="5" t="e">
        <f>IF(B2212=0,VLOOKUP(A2212,Feuil2!$A$2:$M$1241,6,FALSE)," ")</f>
        <v>#N/A</v>
      </c>
      <c r="F2212" s="1" t="e">
        <f>IF(B2212=0,VLOOKUP(A2212,Feuil2!$A$2:$M$1241,12,FALSE)," ")</f>
        <v>#N/A</v>
      </c>
      <c r="G2212" s="1" t="e">
        <f>IF(B2212=0,VLOOKUP(A2212,Feuil2!$A$2:$M$1241,11,FALSE)," ")</f>
        <v>#N/A</v>
      </c>
      <c r="H2212" s="1" t="s">
        <v>16</v>
      </c>
      <c r="I2212" s="6" t="e">
        <f>IF(B2212=0,VLOOKUP(A2212,Feuil2!$A$2:$M$1241,7,FALSE)," ")</f>
        <v>#N/A</v>
      </c>
      <c r="J2212" s="1" t="e">
        <f>IF(B2212=0,VLOOKUP(A2212,Feuil2!$A$2:$M$1241,9,FALSE)," ")</f>
        <v>#N/A</v>
      </c>
      <c r="K2212" s="1" t="e">
        <f>IF(B2212=0,VLOOKUP(A2212,Feuil2!$A$2:$M$1241,10,FALSE)," ")</f>
        <v>#N/A</v>
      </c>
      <c r="L2212" s="1"/>
      <c r="M2212" s="1"/>
      <c r="N2212" s="1"/>
      <c r="O2212" s="8" t="e">
        <f>IF(B2212=0,VLOOKUP(A2212,Feuil2!$A$2:$M$1241,13,FALSE)," ")</f>
        <v>#N/A</v>
      </c>
    </row>
    <row r="2213" spans="1:15" x14ac:dyDescent="0.3">
      <c r="A2213" s="1"/>
      <c r="B2213" s="1"/>
      <c r="C2213" s="1" t="e">
        <f>IF(B2213=0,VLOOKUP(A2213,Feuil2!$A$2:$M$1241,2,FALSE)," ")</f>
        <v>#N/A</v>
      </c>
      <c r="D2213" s="1" t="e">
        <f>IF(B2213=0,VLOOKUP(A2213,Feuil2!$A$2:$M$1241,3,FALSE)," ")</f>
        <v>#N/A</v>
      </c>
      <c r="E2213" s="5" t="e">
        <f>IF(B2213=0,VLOOKUP(A2213,Feuil2!$A$2:$M$1241,6,FALSE)," ")</f>
        <v>#N/A</v>
      </c>
      <c r="F2213" s="1" t="e">
        <f>IF(B2213=0,VLOOKUP(A2213,Feuil2!$A$2:$M$1241,12,FALSE)," ")</f>
        <v>#N/A</v>
      </c>
      <c r="G2213" s="1" t="e">
        <f>IF(B2213=0,VLOOKUP(A2213,Feuil2!$A$2:$M$1241,11,FALSE)," ")</f>
        <v>#N/A</v>
      </c>
      <c r="H2213" s="1" t="s">
        <v>16</v>
      </c>
      <c r="I2213" s="6" t="e">
        <f>IF(B2213=0,VLOOKUP(A2213,Feuil2!$A$2:$M$1241,7,FALSE)," ")</f>
        <v>#N/A</v>
      </c>
      <c r="J2213" s="1" t="e">
        <f>IF(B2213=0,VLOOKUP(A2213,Feuil2!$A$2:$M$1241,9,FALSE)," ")</f>
        <v>#N/A</v>
      </c>
      <c r="K2213" s="1" t="e">
        <f>IF(B2213=0,VLOOKUP(A2213,Feuil2!$A$2:$M$1241,10,FALSE)," ")</f>
        <v>#N/A</v>
      </c>
      <c r="L2213" s="1"/>
      <c r="M2213" s="1"/>
      <c r="N2213" s="1"/>
      <c r="O2213" s="8" t="e">
        <f>IF(B2213=0,VLOOKUP(A2213,Feuil2!$A$2:$M$1241,13,FALSE)," ")</f>
        <v>#N/A</v>
      </c>
    </row>
    <row r="2214" spans="1:15" x14ac:dyDescent="0.3">
      <c r="A2214" s="1"/>
      <c r="B2214" s="1"/>
      <c r="C2214" s="1" t="e">
        <f>IF(B2214=0,VLOOKUP(A2214,Feuil2!$A$2:$M$1241,2,FALSE)," ")</f>
        <v>#N/A</v>
      </c>
      <c r="D2214" s="1" t="e">
        <f>IF(B2214=0,VLOOKUP(A2214,Feuil2!$A$2:$M$1241,3,FALSE)," ")</f>
        <v>#N/A</v>
      </c>
      <c r="E2214" s="5" t="e">
        <f>IF(B2214=0,VLOOKUP(A2214,Feuil2!$A$2:$M$1241,6,FALSE)," ")</f>
        <v>#N/A</v>
      </c>
      <c r="F2214" s="1" t="e">
        <f>IF(B2214=0,VLOOKUP(A2214,Feuil2!$A$2:$M$1241,12,FALSE)," ")</f>
        <v>#N/A</v>
      </c>
      <c r="G2214" s="1" t="e">
        <f>IF(B2214=0,VLOOKUP(A2214,Feuil2!$A$2:$M$1241,11,FALSE)," ")</f>
        <v>#N/A</v>
      </c>
      <c r="H2214" s="1" t="s">
        <v>16</v>
      </c>
      <c r="I2214" s="6" t="e">
        <f>IF(B2214=0,VLOOKUP(A2214,Feuil2!$A$2:$M$1241,7,FALSE)," ")</f>
        <v>#N/A</v>
      </c>
      <c r="J2214" s="1" t="e">
        <f>IF(B2214=0,VLOOKUP(A2214,Feuil2!$A$2:$M$1241,9,FALSE)," ")</f>
        <v>#N/A</v>
      </c>
      <c r="K2214" s="1" t="e">
        <f>IF(B2214=0,VLOOKUP(A2214,Feuil2!$A$2:$M$1241,10,FALSE)," ")</f>
        <v>#N/A</v>
      </c>
      <c r="L2214" s="1"/>
      <c r="M2214" s="1"/>
      <c r="N2214" s="1"/>
      <c r="O2214" s="8" t="e">
        <f>IF(B2214=0,VLOOKUP(A2214,Feuil2!$A$2:$M$1241,13,FALSE)," ")</f>
        <v>#N/A</v>
      </c>
    </row>
    <row r="2215" spans="1:15" x14ac:dyDescent="0.3">
      <c r="A2215" s="1"/>
      <c r="B2215" s="1"/>
      <c r="C2215" s="1" t="e">
        <f>IF(B2215=0,VLOOKUP(A2215,Feuil2!$A$2:$M$1241,2,FALSE)," ")</f>
        <v>#N/A</v>
      </c>
      <c r="D2215" s="1" t="e">
        <f>IF(B2215=0,VLOOKUP(A2215,Feuil2!$A$2:$M$1241,3,FALSE)," ")</f>
        <v>#N/A</v>
      </c>
      <c r="E2215" s="5" t="e">
        <f>IF(B2215=0,VLOOKUP(A2215,Feuil2!$A$2:$M$1241,6,FALSE)," ")</f>
        <v>#N/A</v>
      </c>
      <c r="F2215" s="1" t="e">
        <f>IF(B2215=0,VLOOKUP(A2215,Feuil2!$A$2:$M$1241,12,FALSE)," ")</f>
        <v>#N/A</v>
      </c>
      <c r="G2215" s="1" t="e">
        <f>IF(B2215=0,VLOOKUP(A2215,Feuil2!$A$2:$M$1241,11,FALSE)," ")</f>
        <v>#N/A</v>
      </c>
      <c r="H2215" s="1" t="s">
        <v>16</v>
      </c>
      <c r="I2215" s="6" t="e">
        <f>IF(B2215=0,VLOOKUP(A2215,Feuil2!$A$2:$M$1241,7,FALSE)," ")</f>
        <v>#N/A</v>
      </c>
      <c r="J2215" s="1" t="e">
        <f>IF(B2215=0,VLOOKUP(A2215,Feuil2!$A$2:$M$1241,9,FALSE)," ")</f>
        <v>#N/A</v>
      </c>
      <c r="K2215" s="1" t="e">
        <f>IF(B2215=0,VLOOKUP(A2215,Feuil2!$A$2:$M$1241,10,FALSE)," ")</f>
        <v>#N/A</v>
      </c>
      <c r="L2215" s="1"/>
      <c r="M2215" s="1"/>
      <c r="N2215" s="1"/>
      <c r="O2215" s="8" t="e">
        <f>IF(B2215=0,VLOOKUP(A2215,Feuil2!$A$2:$M$1241,13,FALSE)," ")</f>
        <v>#N/A</v>
      </c>
    </row>
    <row r="2216" spans="1:15" x14ac:dyDescent="0.3">
      <c r="A2216" s="1"/>
      <c r="B2216" s="1"/>
      <c r="C2216" s="1" t="e">
        <f>IF(B2216=0,VLOOKUP(A2216,Feuil2!$A$2:$M$1241,2,FALSE)," ")</f>
        <v>#N/A</v>
      </c>
      <c r="D2216" s="1" t="e">
        <f>IF(B2216=0,VLOOKUP(A2216,Feuil2!$A$2:$M$1241,3,FALSE)," ")</f>
        <v>#N/A</v>
      </c>
      <c r="E2216" s="5" t="e">
        <f>IF(B2216=0,VLOOKUP(A2216,Feuil2!$A$2:$M$1241,6,FALSE)," ")</f>
        <v>#N/A</v>
      </c>
      <c r="F2216" s="1" t="e">
        <f>IF(B2216=0,VLOOKUP(A2216,Feuil2!$A$2:$M$1241,12,FALSE)," ")</f>
        <v>#N/A</v>
      </c>
      <c r="G2216" s="1" t="e">
        <f>IF(B2216=0,VLOOKUP(A2216,Feuil2!$A$2:$M$1241,11,FALSE)," ")</f>
        <v>#N/A</v>
      </c>
      <c r="H2216" s="1" t="s">
        <v>16</v>
      </c>
      <c r="I2216" s="6" t="e">
        <f>IF(B2216=0,VLOOKUP(A2216,Feuil2!$A$2:$M$1241,7,FALSE)," ")</f>
        <v>#N/A</v>
      </c>
      <c r="J2216" s="1" t="e">
        <f>IF(B2216=0,VLOOKUP(A2216,Feuil2!$A$2:$M$1241,9,FALSE)," ")</f>
        <v>#N/A</v>
      </c>
      <c r="K2216" s="1" t="e">
        <f>IF(B2216=0,VLOOKUP(A2216,Feuil2!$A$2:$M$1241,10,FALSE)," ")</f>
        <v>#N/A</v>
      </c>
      <c r="L2216" s="1"/>
      <c r="M2216" s="1"/>
      <c r="N2216" s="1"/>
      <c r="O2216" s="8" t="e">
        <f>IF(B2216=0,VLOOKUP(A2216,Feuil2!$A$2:$M$1241,13,FALSE)," ")</f>
        <v>#N/A</v>
      </c>
    </row>
    <row r="2217" spans="1:15" x14ac:dyDescent="0.3">
      <c r="A2217" s="1"/>
      <c r="B2217" s="1"/>
      <c r="C2217" s="1" t="e">
        <f>IF(B2217=0,VLOOKUP(A2217,Feuil2!$A$2:$M$1241,2,FALSE)," ")</f>
        <v>#N/A</v>
      </c>
      <c r="D2217" s="1" t="e">
        <f>IF(B2217=0,VLOOKUP(A2217,Feuil2!$A$2:$M$1241,3,FALSE)," ")</f>
        <v>#N/A</v>
      </c>
      <c r="E2217" s="5" t="e">
        <f>IF(B2217=0,VLOOKUP(A2217,Feuil2!$A$2:$M$1241,6,FALSE)," ")</f>
        <v>#N/A</v>
      </c>
      <c r="F2217" s="1" t="e">
        <f>IF(B2217=0,VLOOKUP(A2217,Feuil2!$A$2:$M$1241,12,FALSE)," ")</f>
        <v>#N/A</v>
      </c>
      <c r="G2217" s="1" t="e">
        <f>IF(B2217=0,VLOOKUP(A2217,Feuil2!$A$2:$M$1241,11,FALSE)," ")</f>
        <v>#N/A</v>
      </c>
      <c r="H2217" s="1" t="s">
        <v>16</v>
      </c>
      <c r="I2217" s="6" t="e">
        <f>IF(B2217=0,VLOOKUP(A2217,Feuil2!$A$2:$M$1241,7,FALSE)," ")</f>
        <v>#N/A</v>
      </c>
      <c r="J2217" s="1" t="e">
        <f>IF(B2217=0,VLOOKUP(A2217,Feuil2!$A$2:$M$1241,9,FALSE)," ")</f>
        <v>#N/A</v>
      </c>
      <c r="K2217" s="1" t="e">
        <f>IF(B2217=0,VLOOKUP(A2217,Feuil2!$A$2:$M$1241,10,FALSE)," ")</f>
        <v>#N/A</v>
      </c>
      <c r="L2217" s="1"/>
      <c r="M2217" s="1"/>
      <c r="N2217" s="1"/>
      <c r="O2217" s="8" t="e">
        <f>IF(B2217=0,VLOOKUP(A2217,Feuil2!$A$2:$M$1241,13,FALSE)," ")</f>
        <v>#N/A</v>
      </c>
    </row>
    <row r="2218" spans="1:15" x14ac:dyDescent="0.3">
      <c r="A2218" s="1"/>
      <c r="B2218" s="1"/>
      <c r="C2218" s="1" t="e">
        <f>IF(B2218=0,VLOOKUP(A2218,Feuil2!$A$2:$M$1241,2,FALSE)," ")</f>
        <v>#N/A</v>
      </c>
      <c r="D2218" s="1" t="e">
        <f>IF(B2218=0,VLOOKUP(A2218,Feuil2!$A$2:$M$1241,3,FALSE)," ")</f>
        <v>#N/A</v>
      </c>
      <c r="E2218" s="5" t="e">
        <f>IF(B2218=0,VLOOKUP(A2218,Feuil2!$A$2:$M$1241,6,FALSE)," ")</f>
        <v>#N/A</v>
      </c>
      <c r="F2218" s="1" t="e">
        <f>IF(B2218=0,VLOOKUP(A2218,Feuil2!$A$2:$M$1241,12,FALSE)," ")</f>
        <v>#N/A</v>
      </c>
      <c r="G2218" s="1" t="e">
        <f>IF(B2218=0,VLOOKUP(A2218,Feuil2!$A$2:$M$1241,11,FALSE)," ")</f>
        <v>#N/A</v>
      </c>
      <c r="H2218" s="1" t="s">
        <v>16</v>
      </c>
      <c r="I2218" s="6" t="e">
        <f>IF(B2218=0,VLOOKUP(A2218,Feuil2!$A$2:$M$1241,7,FALSE)," ")</f>
        <v>#N/A</v>
      </c>
      <c r="J2218" s="1" t="e">
        <f>IF(B2218=0,VLOOKUP(A2218,Feuil2!$A$2:$M$1241,9,FALSE)," ")</f>
        <v>#N/A</v>
      </c>
      <c r="K2218" s="1" t="e">
        <f>IF(B2218=0,VLOOKUP(A2218,Feuil2!$A$2:$M$1241,10,FALSE)," ")</f>
        <v>#N/A</v>
      </c>
      <c r="L2218" s="1"/>
      <c r="M2218" s="1"/>
      <c r="N2218" s="1"/>
      <c r="O2218" s="8" t="e">
        <f>IF(B2218=0,VLOOKUP(A2218,Feuil2!$A$2:$M$1241,13,FALSE)," ")</f>
        <v>#N/A</v>
      </c>
    </row>
    <row r="2219" spans="1:15" x14ac:dyDescent="0.3">
      <c r="A2219" s="1"/>
      <c r="B2219" s="1"/>
      <c r="C2219" s="1" t="e">
        <f>IF(B2219=0,VLOOKUP(A2219,Feuil2!$A$2:$M$1241,2,FALSE)," ")</f>
        <v>#N/A</v>
      </c>
      <c r="D2219" s="1" t="e">
        <f>IF(B2219=0,VLOOKUP(A2219,Feuil2!$A$2:$M$1241,3,FALSE)," ")</f>
        <v>#N/A</v>
      </c>
      <c r="E2219" s="5" t="e">
        <f>IF(B2219=0,VLOOKUP(A2219,Feuil2!$A$2:$M$1241,6,FALSE)," ")</f>
        <v>#N/A</v>
      </c>
      <c r="F2219" s="1" t="e">
        <f>IF(B2219=0,VLOOKUP(A2219,Feuil2!$A$2:$M$1241,12,FALSE)," ")</f>
        <v>#N/A</v>
      </c>
      <c r="G2219" s="1" t="e">
        <f>IF(B2219=0,VLOOKUP(A2219,Feuil2!$A$2:$M$1241,11,FALSE)," ")</f>
        <v>#N/A</v>
      </c>
      <c r="H2219" s="1" t="s">
        <v>16</v>
      </c>
      <c r="I2219" s="6" t="e">
        <f>IF(B2219=0,VLOOKUP(A2219,Feuil2!$A$2:$M$1241,7,FALSE)," ")</f>
        <v>#N/A</v>
      </c>
      <c r="J2219" s="1" t="e">
        <f>IF(B2219=0,VLOOKUP(A2219,Feuil2!$A$2:$M$1241,9,FALSE)," ")</f>
        <v>#N/A</v>
      </c>
      <c r="K2219" s="1" t="e">
        <f>IF(B2219=0,VLOOKUP(A2219,Feuil2!$A$2:$M$1241,10,FALSE)," ")</f>
        <v>#N/A</v>
      </c>
      <c r="L2219" s="1"/>
      <c r="M2219" s="1"/>
      <c r="N2219" s="1"/>
      <c r="O2219" s="8" t="e">
        <f>IF(B2219=0,VLOOKUP(A2219,Feuil2!$A$2:$M$1241,13,FALSE)," ")</f>
        <v>#N/A</v>
      </c>
    </row>
    <row r="2220" spans="1:15" x14ac:dyDescent="0.3">
      <c r="A2220" s="1"/>
      <c r="B2220" s="1"/>
      <c r="C2220" s="1" t="e">
        <f>IF(B2220=0,VLOOKUP(A2220,Feuil2!$A$2:$M$1241,2,FALSE)," ")</f>
        <v>#N/A</v>
      </c>
      <c r="D2220" s="1" t="e">
        <f>IF(B2220=0,VLOOKUP(A2220,Feuil2!$A$2:$M$1241,3,FALSE)," ")</f>
        <v>#N/A</v>
      </c>
      <c r="E2220" s="5" t="e">
        <f>IF(B2220=0,VLOOKUP(A2220,Feuil2!$A$2:$M$1241,6,FALSE)," ")</f>
        <v>#N/A</v>
      </c>
      <c r="F2220" s="1" t="e">
        <f>IF(B2220=0,VLOOKUP(A2220,Feuil2!$A$2:$M$1241,12,FALSE)," ")</f>
        <v>#N/A</v>
      </c>
      <c r="G2220" s="1" t="e">
        <f>IF(B2220=0,VLOOKUP(A2220,Feuil2!$A$2:$M$1241,11,FALSE)," ")</f>
        <v>#N/A</v>
      </c>
      <c r="H2220" s="1" t="s">
        <v>16</v>
      </c>
      <c r="I2220" s="6" t="e">
        <f>IF(B2220=0,VLOOKUP(A2220,Feuil2!$A$2:$M$1241,7,FALSE)," ")</f>
        <v>#N/A</v>
      </c>
      <c r="J2220" s="1" t="e">
        <f>IF(B2220=0,VLOOKUP(A2220,Feuil2!$A$2:$M$1241,9,FALSE)," ")</f>
        <v>#N/A</v>
      </c>
      <c r="K2220" s="1" t="e">
        <f>IF(B2220=0,VLOOKUP(A2220,Feuil2!$A$2:$M$1241,10,FALSE)," ")</f>
        <v>#N/A</v>
      </c>
      <c r="L2220" s="1"/>
      <c r="M2220" s="1"/>
      <c r="N2220" s="1"/>
      <c r="O2220" s="8" t="e">
        <f>IF(B2220=0,VLOOKUP(A2220,Feuil2!$A$2:$M$1241,13,FALSE)," ")</f>
        <v>#N/A</v>
      </c>
    </row>
    <row r="2221" spans="1:15" x14ac:dyDescent="0.3">
      <c r="A2221" s="1"/>
      <c r="B2221" s="1"/>
      <c r="C2221" s="1" t="e">
        <f>IF(B2221=0,VLOOKUP(A2221,Feuil2!$A$2:$M$1241,2,FALSE)," ")</f>
        <v>#N/A</v>
      </c>
      <c r="D2221" s="1" t="e">
        <f>IF(B2221=0,VLOOKUP(A2221,Feuil2!$A$2:$M$1241,3,FALSE)," ")</f>
        <v>#N/A</v>
      </c>
      <c r="E2221" s="5" t="e">
        <f>IF(B2221=0,VLOOKUP(A2221,Feuil2!$A$2:$M$1241,6,FALSE)," ")</f>
        <v>#N/A</v>
      </c>
      <c r="F2221" s="1" t="e">
        <f>IF(B2221=0,VLOOKUP(A2221,Feuil2!$A$2:$M$1241,12,FALSE)," ")</f>
        <v>#N/A</v>
      </c>
      <c r="G2221" s="1" t="e">
        <f>IF(B2221=0,VLOOKUP(A2221,Feuil2!$A$2:$M$1241,11,FALSE)," ")</f>
        <v>#N/A</v>
      </c>
      <c r="H2221" s="1" t="s">
        <v>16</v>
      </c>
      <c r="I2221" s="6" t="e">
        <f>IF(B2221=0,VLOOKUP(A2221,Feuil2!$A$2:$M$1241,7,FALSE)," ")</f>
        <v>#N/A</v>
      </c>
      <c r="J2221" s="1" t="e">
        <f>IF(B2221=0,VLOOKUP(A2221,Feuil2!$A$2:$M$1241,9,FALSE)," ")</f>
        <v>#N/A</v>
      </c>
      <c r="K2221" s="1" t="e">
        <f>IF(B2221=0,VLOOKUP(A2221,Feuil2!$A$2:$M$1241,10,FALSE)," ")</f>
        <v>#N/A</v>
      </c>
      <c r="L2221" s="1"/>
      <c r="M2221" s="1"/>
      <c r="N2221" s="1"/>
      <c r="O2221" s="8" t="e">
        <f>IF(B2221=0,VLOOKUP(A2221,Feuil2!$A$2:$M$1241,13,FALSE)," ")</f>
        <v>#N/A</v>
      </c>
    </row>
    <row r="2222" spans="1:15" x14ac:dyDescent="0.3">
      <c r="A2222" s="1"/>
      <c r="B2222" s="1"/>
      <c r="C2222" s="1" t="e">
        <f>IF(B2222=0,VLOOKUP(A2222,Feuil2!$A$2:$M$1241,2,FALSE)," ")</f>
        <v>#N/A</v>
      </c>
      <c r="D2222" s="1" t="e">
        <f>IF(B2222=0,VLOOKUP(A2222,Feuil2!$A$2:$M$1241,3,FALSE)," ")</f>
        <v>#N/A</v>
      </c>
      <c r="E2222" s="5" t="e">
        <f>IF(B2222=0,VLOOKUP(A2222,Feuil2!$A$2:$M$1241,6,FALSE)," ")</f>
        <v>#N/A</v>
      </c>
      <c r="F2222" s="1" t="e">
        <f>IF(B2222=0,VLOOKUP(A2222,Feuil2!$A$2:$M$1241,12,FALSE)," ")</f>
        <v>#N/A</v>
      </c>
      <c r="G2222" s="1" t="e">
        <f>IF(B2222=0,VLOOKUP(A2222,Feuil2!$A$2:$M$1241,11,FALSE)," ")</f>
        <v>#N/A</v>
      </c>
      <c r="H2222" s="1" t="s">
        <v>16</v>
      </c>
      <c r="I2222" s="6" t="e">
        <f>IF(B2222=0,VLOOKUP(A2222,Feuil2!$A$2:$M$1241,7,FALSE)," ")</f>
        <v>#N/A</v>
      </c>
      <c r="J2222" s="1" t="e">
        <f>IF(B2222=0,VLOOKUP(A2222,Feuil2!$A$2:$M$1241,9,FALSE)," ")</f>
        <v>#N/A</v>
      </c>
      <c r="K2222" s="1" t="e">
        <f>IF(B2222=0,VLOOKUP(A2222,Feuil2!$A$2:$M$1241,10,FALSE)," ")</f>
        <v>#N/A</v>
      </c>
      <c r="L2222" s="1"/>
      <c r="M2222" s="1"/>
      <c r="N2222" s="1"/>
      <c r="O2222" s="8" t="e">
        <f>IF(B2222=0,VLOOKUP(A2222,Feuil2!$A$2:$M$1241,13,FALSE)," ")</f>
        <v>#N/A</v>
      </c>
    </row>
    <row r="2223" spans="1:15" x14ac:dyDescent="0.3">
      <c r="A2223" s="1"/>
      <c r="B2223" s="1"/>
      <c r="C2223" s="1" t="e">
        <f>IF(B2223=0,VLOOKUP(A2223,Feuil2!$A$2:$M$1241,2,FALSE)," ")</f>
        <v>#N/A</v>
      </c>
      <c r="D2223" s="1" t="e">
        <f>IF(B2223=0,VLOOKUP(A2223,Feuil2!$A$2:$M$1241,3,FALSE)," ")</f>
        <v>#N/A</v>
      </c>
      <c r="E2223" s="5" t="e">
        <f>IF(B2223=0,VLOOKUP(A2223,Feuil2!$A$2:$M$1241,6,FALSE)," ")</f>
        <v>#N/A</v>
      </c>
      <c r="F2223" s="1" t="e">
        <f>IF(B2223=0,VLOOKUP(A2223,Feuil2!$A$2:$M$1241,12,FALSE)," ")</f>
        <v>#N/A</v>
      </c>
      <c r="G2223" s="1" t="e">
        <f>IF(B2223=0,VLOOKUP(A2223,Feuil2!$A$2:$M$1241,11,FALSE)," ")</f>
        <v>#N/A</v>
      </c>
      <c r="H2223" s="1" t="s">
        <v>16</v>
      </c>
      <c r="I2223" s="6" t="e">
        <f>IF(B2223=0,VLOOKUP(A2223,Feuil2!$A$2:$M$1241,7,FALSE)," ")</f>
        <v>#N/A</v>
      </c>
      <c r="J2223" s="1" t="e">
        <f>IF(B2223=0,VLOOKUP(A2223,Feuil2!$A$2:$M$1241,9,FALSE)," ")</f>
        <v>#N/A</v>
      </c>
      <c r="K2223" s="1" t="e">
        <f>IF(B2223=0,VLOOKUP(A2223,Feuil2!$A$2:$M$1241,10,FALSE)," ")</f>
        <v>#N/A</v>
      </c>
      <c r="L2223" s="1"/>
      <c r="M2223" s="1"/>
      <c r="N2223" s="1"/>
      <c r="O2223" s="8" t="e">
        <f>IF(B2223=0,VLOOKUP(A2223,Feuil2!$A$2:$M$1241,13,FALSE)," ")</f>
        <v>#N/A</v>
      </c>
    </row>
    <row r="2224" spans="1:15" x14ac:dyDescent="0.3">
      <c r="A2224" s="1"/>
      <c r="B2224" s="1"/>
      <c r="C2224" s="1" t="e">
        <f>IF(B2224=0,VLOOKUP(A2224,Feuil2!$A$2:$M$1241,2,FALSE)," ")</f>
        <v>#N/A</v>
      </c>
      <c r="D2224" s="1" t="e">
        <f>IF(B2224=0,VLOOKUP(A2224,Feuil2!$A$2:$M$1241,3,FALSE)," ")</f>
        <v>#N/A</v>
      </c>
      <c r="E2224" s="5" t="e">
        <f>IF(B2224=0,VLOOKUP(A2224,Feuil2!$A$2:$M$1241,6,FALSE)," ")</f>
        <v>#N/A</v>
      </c>
      <c r="F2224" s="1" t="e">
        <f>IF(B2224=0,VLOOKUP(A2224,Feuil2!$A$2:$M$1241,12,FALSE)," ")</f>
        <v>#N/A</v>
      </c>
      <c r="G2224" s="1" t="e">
        <f>IF(B2224=0,VLOOKUP(A2224,Feuil2!$A$2:$M$1241,11,FALSE)," ")</f>
        <v>#N/A</v>
      </c>
      <c r="H2224" s="1" t="s">
        <v>16</v>
      </c>
      <c r="I2224" s="6" t="e">
        <f>IF(B2224=0,VLOOKUP(A2224,Feuil2!$A$2:$M$1241,7,FALSE)," ")</f>
        <v>#N/A</v>
      </c>
      <c r="J2224" s="1" t="e">
        <f>IF(B2224=0,VLOOKUP(A2224,Feuil2!$A$2:$M$1241,9,FALSE)," ")</f>
        <v>#N/A</v>
      </c>
      <c r="K2224" s="1" t="e">
        <f>IF(B2224=0,VLOOKUP(A2224,Feuil2!$A$2:$M$1241,10,FALSE)," ")</f>
        <v>#N/A</v>
      </c>
      <c r="L2224" s="1"/>
      <c r="M2224" s="1"/>
      <c r="N2224" s="1"/>
      <c r="O2224" s="8" t="e">
        <f>IF(B2224=0,VLOOKUP(A2224,Feuil2!$A$2:$M$1241,13,FALSE)," ")</f>
        <v>#N/A</v>
      </c>
    </row>
    <row r="2225" spans="1:15" x14ac:dyDescent="0.3">
      <c r="A2225" s="1"/>
      <c r="B2225" s="1"/>
      <c r="C2225" s="1" t="e">
        <f>IF(B2225=0,VLOOKUP(A2225,Feuil2!$A$2:$M$1241,2,FALSE)," ")</f>
        <v>#N/A</v>
      </c>
      <c r="D2225" s="1" t="e">
        <f>IF(B2225=0,VLOOKUP(A2225,Feuil2!$A$2:$M$1241,3,FALSE)," ")</f>
        <v>#N/A</v>
      </c>
      <c r="E2225" s="5" t="e">
        <f>IF(B2225=0,VLOOKUP(A2225,Feuil2!$A$2:$M$1241,6,FALSE)," ")</f>
        <v>#N/A</v>
      </c>
      <c r="F2225" s="1" t="e">
        <f>IF(B2225=0,VLOOKUP(A2225,Feuil2!$A$2:$M$1241,12,FALSE)," ")</f>
        <v>#N/A</v>
      </c>
      <c r="G2225" s="1" t="e">
        <f>IF(B2225=0,VLOOKUP(A2225,Feuil2!$A$2:$M$1241,11,FALSE)," ")</f>
        <v>#N/A</v>
      </c>
      <c r="H2225" s="1" t="s">
        <v>16</v>
      </c>
      <c r="I2225" s="6" t="e">
        <f>IF(B2225=0,VLOOKUP(A2225,Feuil2!$A$2:$M$1241,7,FALSE)," ")</f>
        <v>#N/A</v>
      </c>
      <c r="J2225" s="1" t="e">
        <f>IF(B2225=0,VLOOKUP(A2225,Feuil2!$A$2:$M$1241,9,FALSE)," ")</f>
        <v>#N/A</v>
      </c>
      <c r="K2225" s="1" t="e">
        <f>IF(B2225=0,VLOOKUP(A2225,Feuil2!$A$2:$M$1241,10,FALSE)," ")</f>
        <v>#N/A</v>
      </c>
      <c r="L2225" s="1"/>
      <c r="M2225" s="1"/>
      <c r="N2225" s="1"/>
      <c r="O2225" s="8" t="e">
        <f>IF(B2225=0,VLOOKUP(A2225,Feuil2!$A$2:$M$1241,13,FALSE)," ")</f>
        <v>#N/A</v>
      </c>
    </row>
    <row r="2226" spans="1:15" x14ac:dyDescent="0.3">
      <c r="A2226" s="1"/>
      <c r="B2226" s="1"/>
      <c r="C2226" s="1" t="e">
        <f>IF(B2226=0,VLOOKUP(A2226,Feuil2!$A$2:$M$1241,2,FALSE)," ")</f>
        <v>#N/A</v>
      </c>
      <c r="D2226" s="1" t="e">
        <f>IF(B2226=0,VLOOKUP(A2226,Feuil2!$A$2:$M$1241,3,FALSE)," ")</f>
        <v>#N/A</v>
      </c>
      <c r="E2226" s="5" t="e">
        <f>IF(B2226=0,VLOOKUP(A2226,Feuil2!$A$2:$M$1241,6,FALSE)," ")</f>
        <v>#N/A</v>
      </c>
      <c r="F2226" s="1" t="e">
        <f>IF(B2226=0,VLOOKUP(A2226,Feuil2!$A$2:$M$1241,12,FALSE)," ")</f>
        <v>#N/A</v>
      </c>
      <c r="G2226" s="1" t="e">
        <f>IF(B2226=0,VLOOKUP(A2226,Feuil2!$A$2:$M$1241,11,FALSE)," ")</f>
        <v>#N/A</v>
      </c>
      <c r="H2226" s="1" t="s">
        <v>16</v>
      </c>
      <c r="I2226" s="6" t="e">
        <f>IF(B2226=0,VLOOKUP(A2226,Feuil2!$A$2:$M$1241,7,FALSE)," ")</f>
        <v>#N/A</v>
      </c>
      <c r="J2226" s="1" t="e">
        <f>IF(B2226=0,VLOOKUP(A2226,Feuil2!$A$2:$M$1241,9,FALSE)," ")</f>
        <v>#N/A</v>
      </c>
      <c r="K2226" s="1" t="e">
        <f>IF(B2226=0,VLOOKUP(A2226,Feuil2!$A$2:$M$1241,10,FALSE)," ")</f>
        <v>#N/A</v>
      </c>
      <c r="L2226" s="1"/>
      <c r="M2226" s="1"/>
      <c r="N2226" s="1"/>
      <c r="O2226" s="8" t="e">
        <f>IF(B2226=0,VLOOKUP(A2226,Feuil2!$A$2:$M$1241,13,FALSE)," ")</f>
        <v>#N/A</v>
      </c>
    </row>
    <row r="2227" spans="1:15" x14ac:dyDescent="0.3">
      <c r="A2227" s="1"/>
      <c r="B2227" s="1"/>
      <c r="C2227" s="1" t="e">
        <f>IF(B2227=0,VLOOKUP(A2227,Feuil2!$A$2:$M$1241,2,FALSE)," ")</f>
        <v>#N/A</v>
      </c>
      <c r="D2227" s="1" t="e">
        <f>IF(B2227=0,VLOOKUP(A2227,Feuil2!$A$2:$M$1241,3,FALSE)," ")</f>
        <v>#N/A</v>
      </c>
      <c r="E2227" s="5" t="e">
        <f>IF(B2227=0,VLOOKUP(A2227,Feuil2!$A$2:$M$1241,6,FALSE)," ")</f>
        <v>#N/A</v>
      </c>
      <c r="F2227" s="1" t="e">
        <f>IF(B2227=0,VLOOKUP(A2227,Feuil2!$A$2:$M$1241,12,FALSE)," ")</f>
        <v>#N/A</v>
      </c>
      <c r="G2227" s="1" t="e">
        <f>IF(B2227=0,VLOOKUP(A2227,Feuil2!$A$2:$M$1241,11,FALSE)," ")</f>
        <v>#N/A</v>
      </c>
      <c r="H2227" s="1" t="s">
        <v>16</v>
      </c>
      <c r="I2227" s="6" t="e">
        <f>IF(B2227=0,VLOOKUP(A2227,Feuil2!$A$2:$M$1241,7,FALSE)," ")</f>
        <v>#N/A</v>
      </c>
      <c r="J2227" s="1" t="e">
        <f>IF(B2227=0,VLOOKUP(A2227,Feuil2!$A$2:$M$1241,9,FALSE)," ")</f>
        <v>#N/A</v>
      </c>
      <c r="K2227" s="1" t="e">
        <f>IF(B2227=0,VLOOKUP(A2227,Feuil2!$A$2:$M$1241,10,FALSE)," ")</f>
        <v>#N/A</v>
      </c>
      <c r="L2227" s="1"/>
      <c r="M2227" s="1"/>
      <c r="N2227" s="1"/>
      <c r="O2227" s="8" t="e">
        <f>IF(B2227=0,VLOOKUP(A2227,Feuil2!$A$2:$M$1241,13,FALSE)," ")</f>
        <v>#N/A</v>
      </c>
    </row>
    <row r="2228" spans="1:15" x14ac:dyDescent="0.3">
      <c r="A2228" s="1"/>
      <c r="B2228" s="1"/>
      <c r="C2228" s="1" t="e">
        <f>IF(B2228=0,VLOOKUP(A2228,Feuil2!$A$2:$M$1241,2,FALSE)," ")</f>
        <v>#N/A</v>
      </c>
      <c r="D2228" s="1" t="e">
        <f>IF(B2228=0,VLOOKUP(A2228,Feuil2!$A$2:$M$1241,3,FALSE)," ")</f>
        <v>#N/A</v>
      </c>
      <c r="E2228" s="5" t="e">
        <f>IF(B2228=0,VLOOKUP(A2228,Feuil2!$A$2:$M$1241,6,FALSE)," ")</f>
        <v>#N/A</v>
      </c>
      <c r="F2228" s="1" t="e">
        <f>IF(B2228=0,VLOOKUP(A2228,Feuil2!$A$2:$M$1241,12,FALSE)," ")</f>
        <v>#N/A</v>
      </c>
      <c r="G2228" s="1" t="e">
        <f>IF(B2228=0,VLOOKUP(A2228,Feuil2!$A$2:$M$1241,11,FALSE)," ")</f>
        <v>#N/A</v>
      </c>
      <c r="H2228" s="1" t="s">
        <v>16</v>
      </c>
      <c r="I2228" s="6" t="e">
        <f>IF(B2228=0,VLOOKUP(A2228,Feuil2!$A$2:$M$1241,7,FALSE)," ")</f>
        <v>#N/A</v>
      </c>
      <c r="J2228" s="1" t="e">
        <f>IF(B2228=0,VLOOKUP(A2228,Feuil2!$A$2:$M$1241,9,FALSE)," ")</f>
        <v>#N/A</v>
      </c>
      <c r="K2228" s="1" t="e">
        <f>IF(B2228=0,VLOOKUP(A2228,Feuil2!$A$2:$M$1241,10,FALSE)," ")</f>
        <v>#N/A</v>
      </c>
      <c r="L2228" s="1"/>
      <c r="M2228" s="1"/>
      <c r="N2228" s="1"/>
      <c r="O2228" s="8" t="e">
        <f>IF(B2228=0,VLOOKUP(A2228,Feuil2!$A$2:$M$1241,13,FALSE)," ")</f>
        <v>#N/A</v>
      </c>
    </row>
    <row r="2229" spans="1:15" x14ac:dyDescent="0.3">
      <c r="A2229" s="1"/>
      <c r="B2229" s="1"/>
      <c r="C2229" s="1" t="e">
        <f>IF(B2229=0,VLOOKUP(A2229,Feuil2!$A$2:$M$1241,2,FALSE)," ")</f>
        <v>#N/A</v>
      </c>
      <c r="D2229" s="1" t="e">
        <f>IF(B2229=0,VLOOKUP(A2229,Feuil2!$A$2:$M$1241,3,FALSE)," ")</f>
        <v>#N/A</v>
      </c>
      <c r="E2229" s="5" t="e">
        <f>IF(B2229=0,VLOOKUP(A2229,Feuil2!$A$2:$M$1241,6,FALSE)," ")</f>
        <v>#N/A</v>
      </c>
      <c r="F2229" s="1" t="e">
        <f>IF(B2229=0,VLOOKUP(A2229,Feuil2!$A$2:$M$1241,12,FALSE)," ")</f>
        <v>#N/A</v>
      </c>
      <c r="G2229" s="1" t="e">
        <f>IF(B2229=0,VLOOKUP(A2229,Feuil2!$A$2:$M$1241,11,FALSE)," ")</f>
        <v>#N/A</v>
      </c>
      <c r="H2229" s="1" t="s">
        <v>16</v>
      </c>
      <c r="I2229" s="6" t="e">
        <f>IF(B2229=0,VLOOKUP(A2229,Feuil2!$A$2:$M$1241,7,FALSE)," ")</f>
        <v>#N/A</v>
      </c>
      <c r="J2229" s="1" t="e">
        <f>IF(B2229=0,VLOOKUP(A2229,Feuil2!$A$2:$M$1241,9,FALSE)," ")</f>
        <v>#N/A</v>
      </c>
      <c r="K2229" s="1" t="e">
        <f>IF(B2229=0,VLOOKUP(A2229,Feuil2!$A$2:$M$1241,10,FALSE)," ")</f>
        <v>#N/A</v>
      </c>
      <c r="L2229" s="1"/>
      <c r="M2229" s="1"/>
      <c r="N2229" s="1"/>
      <c r="O2229" s="8" t="e">
        <f>IF(B2229=0,VLOOKUP(A2229,Feuil2!$A$2:$M$1241,13,FALSE)," ")</f>
        <v>#N/A</v>
      </c>
    </row>
    <row r="2230" spans="1:15" x14ac:dyDescent="0.3">
      <c r="A2230" s="1"/>
      <c r="B2230" s="1"/>
      <c r="C2230" s="1" t="e">
        <f>IF(B2230=0,VLOOKUP(A2230,Feuil2!$A$2:$M$1241,2,FALSE)," ")</f>
        <v>#N/A</v>
      </c>
      <c r="D2230" s="1" t="e">
        <f>IF(B2230=0,VLOOKUP(A2230,Feuil2!$A$2:$M$1241,3,FALSE)," ")</f>
        <v>#N/A</v>
      </c>
      <c r="E2230" s="5" t="e">
        <f>IF(B2230=0,VLOOKUP(A2230,Feuil2!$A$2:$M$1241,6,FALSE)," ")</f>
        <v>#N/A</v>
      </c>
      <c r="F2230" s="1" t="e">
        <f>IF(B2230=0,VLOOKUP(A2230,Feuil2!$A$2:$M$1241,12,FALSE)," ")</f>
        <v>#N/A</v>
      </c>
      <c r="G2230" s="1" t="e">
        <f>IF(B2230=0,VLOOKUP(A2230,Feuil2!$A$2:$M$1241,11,FALSE)," ")</f>
        <v>#N/A</v>
      </c>
      <c r="H2230" s="1" t="s">
        <v>16</v>
      </c>
      <c r="I2230" s="6" t="e">
        <f>IF(B2230=0,VLOOKUP(A2230,Feuil2!$A$2:$M$1241,7,FALSE)," ")</f>
        <v>#N/A</v>
      </c>
      <c r="J2230" s="1" t="e">
        <f>IF(B2230=0,VLOOKUP(A2230,Feuil2!$A$2:$M$1241,9,FALSE)," ")</f>
        <v>#N/A</v>
      </c>
      <c r="K2230" s="1" t="e">
        <f>IF(B2230=0,VLOOKUP(A2230,Feuil2!$A$2:$M$1241,10,FALSE)," ")</f>
        <v>#N/A</v>
      </c>
      <c r="L2230" s="1"/>
      <c r="M2230" s="1"/>
      <c r="N2230" s="1"/>
      <c r="O2230" s="8" t="e">
        <f>IF(B2230=0,VLOOKUP(A2230,Feuil2!$A$2:$M$1241,13,FALSE)," ")</f>
        <v>#N/A</v>
      </c>
    </row>
    <row r="2231" spans="1:15" x14ac:dyDescent="0.3">
      <c r="A2231" s="1"/>
      <c r="B2231" s="1"/>
      <c r="C2231" s="1" t="e">
        <f>IF(B2231=0,VLOOKUP(A2231,Feuil2!$A$2:$M$1241,2,FALSE)," ")</f>
        <v>#N/A</v>
      </c>
      <c r="D2231" s="1" t="e">
        <f>IF(B2231=0,VLOOKUP(A2231,Feuil2!$A$2:$M$1241,3,FALSE)," ")</f>
        <v>#N/A</v>
      </c>
      <c r="E2231" s="5" t="e">
        <f>IF(B2231=0,VLOOKUP(A2231,Feuil2!$A$2:$M$1241,6,FALSE)," ")</f>
        <v>#N/A</v>
      </c>
      <c r="F2231" s="1" t="e">
        <f>IF(B2231=0,VLOOKUP(A2231,Feuil2!$A$2:$M$1241,12,FALSE)," ")</f>
        <v>#N/A</v>
      </c>
      <c r="G2231" s="1" t="e">
        <f>IF(B2231=0,VLOOKUP(A2231,Feuil2!$A$2:$M$1241,11,FALSE)," ")</f>
        <v>#N/A</v>
      </c>
      <c r="H2231" s="1" t="s">
        <v>16</v>
      </c>
      <c r="I2231" s="6" t="e">
        <f>IF(B2231=0,VLOOKUP(A2231,Feuil2!$A$2:$M$1241,7,FALSE)," ")</f>
        <v>#N/A</v>
      </c>
      <c r="J2231" s="1" t="e">
        <f>IF(B2231=0,VLOOKUP(A2231,Feuil2!$A$2:$M$1241,9,FALSE)," ")</f>
        <v>#N/A</v>
      </c>
      <c r="K2231" s="1" t="e">
        <f>IF(B2231=0,VLOOKUP(A2231,Feuil2!$A$2:$M$1241,10,FALSE)," ")</f>
        <v>#N/A</v>
      </c>
      <c r="L2231" s="1"/>
      <c r="M2231" s="1"/>
      <c r="N2231" s="1"/>
      <c r="O2231" s="8" t="e">
        <f>IF(B2231=0,VLOOKUP(A2231,Feuil2!$A$2:$M$1241,13,FALSE)," ")</f>
        <v>#N/A</v>
      </c>
    </row>
    <row r="2232" spans="1:15" x14ac:dyDescent="0.3">
      <c r="A2232" s="1"/>
      <c r="B2232" s="1"/>
      <c r="C2232" s="1" t="e">
        <f>IF(B2232=0,VLOOKUP(A2232,Feuil2!$A$2:$M$1241,2,FALSE)," ")</f>
        <v>#N/A</v>
      </c>
      <c r="D2232" s="1" t="e">
        <f>IF(B2232=0,VLOOKUP(A2232,Feuil2!$A$2:$M$1241,3,FALSE)," ")</f>
        <v>#N/A</v>
      </c>
      <c r="E2232" s="5" t="e">
        <f>IF(B2232=0,VLOOKUP(A2232,Feuil2!$A$2:$M$1241,6,FALSE)," ")</f>
        <v>#N/A</v>
      </c>
      <c r="F2232" s="1" t="e">
        <f>IF(B2232=0,VLOOKUP(A2232,Feuil2!$A$2:$M$1241,12,FALSE)," ")</f>
        <v>#N/A</v>
      </c>
      <c r="G2232" s="1" t="e">
        <f>IF(B2232=0,VLOOKUP(A2232,Feuil2!$A$2:$M$1241,11,FALSE)," ")</f>
        <v>#N/A</v>
      </c>
      <c r="H2232" s="1" t="s">
        <v>16</v>
      </c>
      <c r="I2232" s="6" t="e">
        <f>IF(B2232=0,VLOOKUP(A2232,Feuil2!$A$2:$M$1241,7,FALSE)," ")</f>
        <v>#N/A</v>
      </c>
      <c r="J2232" s="1" t="e">
        <f>IF(B2232=0,VLOOKUP(A2232,Feuil2!$A$2:$M$1241,9,FALSE)," ")</f>
        <v>#N/A</v>
      </c>
      <c r="K2232" s="1" t="e">
        <f>IF(B2232=0,VLOOKUP(A2232,Feuil2!$A$2:$M$1241,10,FALSE)," ")</f>
        <v>#N/A</v>
      </c>
      <c r="L2232" s="1"/>
      <c r="M2232" s="1"/>
      <c r="N2232" s="1"/>
      <c r="O2232" s="8" t="e">
        <f>IF(B2232=0,VLOOKUP(A2232,Feuil2!$A$2:$M$1241,13,FALSE)," ")</f>
        <v>#N/A</v>
      </c>
    </row>
    <row r="2233" spans="1:15" x14ac:dyDescent="0.3">
      <c r="A2233" s="1"/>
      <c r="B2233" s="1"/>
      <c r="C2233" s="1" t="e">
        <f>IF(B2233=0,VLOOKUP(A2233,Feuil2!$A$2:$M$1241,2,FALSE)," ")</f>
        <v>#N/A</v>
      </c>
      <c r="D2233" s="1" t="e">
        <f>IF(B2233=0,VLOOKUP(A2233,Feuil2!$A$2:$M$1241,3,FALSE)," ")</f>
        <v>#N/A</v>
      </c>
      <c r="E2233" s="5" t="e">
        <f>IF(B2233=0,VLOOKUP(A2233,Feuil2!$A$2:$M$1241,6,FALSE)," ")</f>
        <v>#N/A</v>
      </c>
      <c r="F2233" s="1" t="e">
        <f>IF(B2233=0,VLOOKUP(A2233,Feuil2!$A$2:$M$1241,12,FALSE)," ")</f>
        <v>#N/A</v>
      </c>
      <c r="G2233" s="1" t="e">
        <f>IF(B2233=0,VLOOKUP(A2233,Feuil2!$A$2:$M$1241,11,FALSE)," ")</f>
        <v>#N/A</v>
      </c>
      <c r="H2233" s="1" t="s">
        <v>16</v>
      </c>
      <c r="I2233" s="6" t="e">
        <f>IF(B2233=0,VLOOKUP(A2233,Feuil2!$A$2:$M$1241,7,FALSE)," ")</f>
        <v>#N/A</v>
      </c>
      <c r="J2233" s="1" t="e">
        <f>IF(B2233=0,VLOOKUP(A2233,Feuil2!$A$2:$M$1241,9,FALSE)," ")</f>
        <v>#N/A</v>
      </c>
      <c r="K2233" s="1" t="e">
        <f>IF(B2233=0,VLOOKUP(A2233,Feuil2!$A$2:$M$1241,10,FALSE)," ")</f>
        <v>#N/A</v>
      </c>
      <c r="L2233" s="1"/>
      <c r="M2233" s="1"/>
      <c r="N2233" s="1"/>
      <c r="O2233" s="8" t="e">
        <f>IF(B2233=0,VLOOKUP(A2233,Feuil2!$A$2:$M$1241,13,FALSE)," ")</f>
        <v>#N/A</v>
      </c>
    </row>
    <row r="2234" spans="1:15" x14ac:dyDescent="0.3">
      <c r="A2234" s="1"/>
      <c r="B2234" s="1"/>
      <c r="C2234" s="1" t="e">
        <f>IF(B2234=0,VLOOKUP(A2234,Feuil2!$A$2:$M$1241,2,FALSE)," ")</f>
        <v>#N/A</v>
      </c>
      <c r="D2234" s="1" t="e">
        <f>IF(B2234=0,VLOOKUP(A2234,Feuil2!$A$2:$M$1241,3,FALSE)," ")</f>
        <v>#N/A</v>
      </c>
      <c r="E2234" s="5" t="e">
        <f>IF(B2234=0,VLOOKUP(A2234,Feuil2!$A$2:$M$1241,6,FALSE)," ")</f>
        <v>#N/A</v>
      </c>
      <c r="F2234" s="1" t="e">
        <f>IF(B2234=0,VLOOKUP(A2234,Feuil2!$A$2:$M$1241,12,FALSE)," ")</f>
        <v>#N/A</v>
      </c>
      <c r="G2234" s="1" t="e">
        <f>IF(B2234=0,VLOOKUP(A2234,Feuil2!$A$2:$M$1241,11,FALSE)," ")</f>
        <v>#N/A</v>
      </c>
      <c r="H2234" s="1" t="s">
        <v>16</v>
      </c>
      <c r="I2234" s="6" t="e">
        <f>IF(B2234=0,VLOOKUP(A2234,Feuil2!$A$2:$M$1241,7,FALSE)," ")</f>
        <v>#N/A</v>
      </c>
      <c r="J2234" s="1" t="e">
        <f>IF(B2234=0,VLOOKUP(A2234,Feuil2!$A$2:$M$1241,9,FALSE)," ")</f>
        <v>#N/A</v>
      </c>
      <c r="K2234" s="1" t="e">
        <f>IF(B2234=0,VLOOKUP(A2234,Feuil2!$A$2:$M$1241,10,FALSE)," ")</f>
        <v>#N/A</v>
      </c>
      <c r="L2234" s="1"/>
      <c r="M2234" s="1"/>
      <c r="N2234" s="1"/>
      <c r="O2234" s="8" t="e">
        <f>IF(B2234=0,VLOOKUP(A2234,Feuil2!$A$2:$M$1241,13,FALSE)," ")</f>
        <v>#N/A</v>
      </c>
    </row>
    <row r="2235" spans="1:15" x14ac:dyDescent="0.3">
      <c r="A2235" s="1"/>
      <c r="B2235" s="1"/>
      <c r="C2235" s="1" t="e">
        <f>IF(B2235=0,VLOOKUP(A2235,Feuil2!$A$2:$M$1241,2,FALSE)," ")</f>
        <v>#N/A</v>
      </c>
      <c r="D2235" s="1" t="e">
        <f>IF(B2235=0,VLOOKUP(A2235,Feuil2!$A$2:$M$1241,3,FALSE)," ")</f>
        <v>#N/A</v>
      </c>
      <c r="E2235" s="5" t="e">
        <f>IF(B2235=0,VLOOKUP(A2235,Feuil2!$A$2:$M$1241,6,FALSE)," ")</f>
        <v>#N/A</v>
      </c>
      <c r="F2235" s="1" t="e">
        <f>IF(B2235=0,VLOOKUP(A2235,Feuil2!$A$2:$M$1241,12,FALSE)," ")</f>
        <v>#N/A</v>
      </c>
      <c r="G2235" s="1" t="e">
        <f>IF(B2235=0,VLOOKUP(A2235,Feuil2!$A$2:$M$1241,11,FALSE)," ")</f>
        <v>#N/A</v>
      </c>
      <c r="H2235" s="1" t="s">
        <v>16</v>
      </c>
      <c r="I2235" s="6" t="e">
        <f>IF(B2235=0,VLOOKUP(A2235,Feuil2!$A$2:$M$1241,7,FALSE)," ")</f>
        <v>#N/A</v>
      </c>
      <c r="J2235" s="1" t="e">
        <f>IF(B2235=0,VLOOKUP(A2235,Feuil2!$A$2:$M$1241,9,FALSE)," ")</f>
        <v>#N/A</v>
      </c>
      <c r="K2235" s="1" t="e">
        <f>IF(B2235=0,VLOOKUP(A2235,Feuil2!$A$2:$M$1241,10,FALSE)," ")</f>
        <v>#N/A</v>
      </c>
      <c r="L2235" s="1"/>
      <c r="M2235" s="1"/>
      <c r="N2235" s="1"/>
      <c r="O2235" s="8" t="e">
        <f>IF(B2235=0,VLOOKUP(A2235,Feuil2!$A$2:$M$1241,13,FALSE)," ")</f>
        <v>#N/A</v>
      </c>
    </row>
    <row r="2236" spans="1:15" x14ac:dyDescent="0.3">
      <c r="A2236" s="1"/>
      <c r="B2236" s="1"/>
      <c r="C2236" s="1" t="e">
        <f>IF(B2236=0,VLOOKUP(A2236,Feuil2!$A$2:$M$1241,2,FALSE)," ")</f>
        <v>#N/A</v>
      </c>
      <c r="D2236" s="1" t="e">
        <f>IF(B2236=0,VLOOKUP(A2236,Feuil2!$A$2:$M$1241,3,FALSE)," ")</f>
        <v>#N/A</v>
      </c>
      <c r="E2236" s="5" t="e">
        <f>IF(B2236=0,VLOOKUP(A2236,Feuil2!$A$2:$M$1241,6,FALSE)," ")</f>
        <v>#N/A</v>
      </c>
      <c r="F2236" s="1" t="e">
        <f>IF(B2236=0,VLOOKUP(A2236,Feuil2!$A$2:$M$1241,12,FALSE)," ")</f>
        <v>#N/A</v>
      </c>
      <c r="G2236" s="1" t="e">
        <f>IF(B2236=0,VLOOKUP(A2236,Feuil2!$A$2:$M$1241,11,FALSE)," ")</f>
        <v>#N/A</v>
      </c>
      <c r="H2236" s="1" t="s">
        <v>16</v>
      </c>
      <c r="I2236" s="6" t="e">
        <f>IF(B2236=0,VLOOKUP(A2236,Feuil2!$A$2:$M$1241,7,FALSE)," ")</f>
        <v>#N/A</v>
      </c>
      <c r="J2236" s="1" t="e">
        <f>IF(B2236=0,VLOOKUP(A2236,Feuil2!$A$2:$M$1241,9,FALSE)," ")</f>
        <v>#N/A</v>
      </c>
      <c r="K2236" s="1" t="e">
        <f>IF(B2236=0,VLOOKUP(A2236,Feuil2!$A$2:$M$1241,10,FALSE)," ")</f>
        <v>#N/A</v>
      </c>
      <c r="L2236" s="1"/>
      <c r="M2236" s="1"/>
      <c r="N2236" s="1"/>
      <c r="O2236" s="8" t="e">
        <f>IF(B2236=0,VLOOKUP(A2236,Feuil2!$A$2:$M$1241,13,FALSE)," ")</f>
        <v>#N/A</v>
      </c>
    </row>
    <row r="2237" spans="1:15" x14ac:dyDescent="0.3">
      <c r="A2237" s="1"/>
      <c r="B2237" s="1"/>
      <c r="C2237" s="1" t="e">
        <f>IF(B2237=0,VLOOKUP(A2237,Feuil2!$A$2:$M$1241,2,FALSE)," ")</f>
        <v>#N/A</v>
      </c>
      <c r="D2237" s="1" t="e">
        <f>IF(B2237=0,VLOOKUP(A2237,Feuil2!$A$2:$M$1241,3,FALSE)," ")</f>
        <v>#N/A</v>
      </c>
      <c r="E2237" s="5" t="e">
        <f>IF(B2237=0,VLOOKUP(A2237,Feuil2!$A$2:$M$1241,6,FALSE)," ")</f>
        <v>#N/A</v>
      </c>
      <c r="F2237" s="1" t="e">
        <f>IF(B2237=0,VLOOKUP(A2237,Feuil2!$A$2:$M$1241,12,FALSE)," ")</f>
        <v>#N/A</v>
      </c>
      <c r="G2237" s="1" t="e">
        <f>IF(B2237=0,VLOOKUP(A2237,Feuil2!$A$2:$M$1241,11,FALSE)," ")</f>
        <v>#N/A</v>
      </c>
      <c r="H2237" s="1" t="s">
        <v>16</v>
      </c>
      <c r="I2237" s="6" t="e">
        <f>IF(B2237=0,VLOOKUP(A2237,Feuil2!$A$2:$M$1241,7,FALSE)," ")</f>
        <v>#N/A</v>
      </c>
      <c r="J2237" s="1" t="e">
        <f>IF(B2237=0,VLOOKUP(A2237,Feuil2!$A$2:$M$1241,9,FALSE)," ")</f>
        <v>#N/A</v>
      </c>
      <c r="K2237" s="1" t="e">
        <f>IF(B2237=0,VLOOKUP(A2237,Feuil2!$A$2:$M$1241,10,FALSE)," ")</f>
        <v>#N/A</v>
      </c>
      <c r="L2237" s="1"/>
      <c r="M2237" s="1"/>
      <c r="N2237" s="1"/>
      <c r="O2237" s="8" t="e">
        <f>IF(B2237=0,VLOOKUP(A2237,Feuil2!$A$2:$M$1241,13,FALSE)," ")</f>
        <v>#N/A</v>
      </c>
    </row>
    <row r="2238" spans="1:15" x14ac:dyDescent="0.3">
      <c r="A2238" s="1"/>
      <c r="B2238" s="1"/>
      <c r="C2238" s="1" t="e">
        <f>IF(B2238=0,VLOOKUP(A2238,Feuil2!$A$2:$M$1241,2,FALSE)," ")</f>
        <v>#N/A</v>
      </c>
      <c r="D2238" s="1" t="e">
        <f>IF(B2238=0,VLOOKUP(A2238,Feuil2!$A$2:$M$1241,3,FALSE)," ")</f>
        <v>#N/A</v>
      </c>
      <c r="E2238" s="5" t="e">
        <f>IF(B2238=0,VLOOKUP(A2238,Feuil2!$A$2:$M$1241,6,FALSE)," ")</f>
        <v>#N/A</v>
      </c>
      <c r="F2238" s="1" t="e">
        <f>IF(B2238=0,VLOOKUP(A2238,Feuil2!$A$2:$M$1241,12,FALSE)," ")</f>
        <v>#N/A</v>
      </c>
      <c r="G2238" s="1" t="e">
        <f>IF(B2238=0,VLOOKUP(A2238,Feuil2!$A$2:$M$1241,11,FALSE)," ")</f>
        <v>#N/A</v>
      </c>
      <c r="H2238" s="1" t="s">
        <v>16</v>
      </c>
      <c r="I2238" s="6" t="e">
        <f>IF(B2238=0,VLOOKUP(A2238,Feuil2!$A$2:$M$1241,7,FALSE)," ")</f>
        <v>#N/A</v>
      </c>
      <c r="J2238" s="1" t="e">
        <f>IF(B2238=0,VLOOKUP(A2238,Feuil2!$A$2:$M$1241,9,FALSE)," ")</f>
        <v>#N/A</v>
      </c>
      <c r="K2238" s="1" t="e">
        <f>IF(B2238=0,VLOOKUP(A2238,Feuil2!$A$2:$M$1241,10,FALSE)," ")</f>
        <v>#N/A</v>
      </c>
      <c r="L2238" s="1"/>
      <c r="M2238" s="1"/>
      <c r="N2238" s="1"/>
      <c r="O2238" s="8" t="e">
        <f>IF(B2238=0,VLOOKUP(A2238,Feuil2!$A$2:$M$1241,13,FALSE)," ")</f>
        <v>#N/A</v>
      </c>
    </row>
    <row r="2239" spans="1:15" x14ac:dyDescent="0.3">
      <c r="A2239" s="1"/>
      <c r="B2239" s="1"/>
      <c r="C2239" s="1" t="e">
        <f>IF(B2239=0,VLOOKUP(A2239,Feuil2!$A$2:$M$1241,2,FALSE)," ")</f>
        <v>#N/A</v>
      </c>
      <c r="D2239" s="1" t="e">
        <f>IF(B2239=0,VLOOKUP(A2239,Feuil2!$A$2:$M$1241,3,FALSE)," ")</f>
        <v>#N/A</v>
      </c>
      <c r="E2239" s="5" t="e">
        <f>IF(B2239=0,VLOOKUP(A2239,Feuil2!$A$2:$M$1241,6,FALSE)," ")</f>
        <v>#N/A</v>
      </c>
      <c r="F2239" s="1" t="e">
        <f>IF(B2239=0,VLOOKUP(A2239,Feuil2!$A$2:$M$1241,12,FALSE)," ")</f>
        <v>#N/A</v>
      </c>
      <c r="G2239" s="1" t="e">
        <f>IF(B2239=0,VLOOKUP(A2239,Feuil2!$A$2:$M$1241,11,FALSE)," ")</f>
        <v>#N/A</v>
      </c>
      <c r="H2239" s="1" t="s">
        <v>16</v>
      </c>
      <c r="I2239" s="6" t="e">
        <f>IF(B2239=0,VLOOKUP(A2239,Feuil2!$A$2:$M$1241,7,FALSE)," ")</f>
        <v>#N/A</v>
      </c>
      <c r="J2239" s="1" t="e">
        <f>IF(B2239=0,VLOOKUP(A2239,Feuil2!$A$2:$M$1241,9,FALSE)," ")</f>
        <v>#N/A</v>
      </c>
      <c r="K2239" s="1" t="e">
        <f>IF(B2239=0,VLOOKUP(A2239,Feuil2!$A$2:$M$1241,10,FALSE)," ")</f>
        <v>#N/A</v>
      </c>
      <c r="L2239" s="1"/>
      <c r="M2239" s="1"/>
      <c r="N2239" s="1"/>
      <c r="O2239" s="8" t="e">
        <f>IF(B2239=0,VLOOKUP(A2239,Feuil2!$A$2:$M$1241,13,FALSE)," ")</f>
        <v>#N/A</v>
      </c>
    </row>
    <row r="2240" spans="1:15" x14ac:dyDescent="0.3">
      <c r="A2240" s="1"/>
      <c r="B2240" s="1"/>
      <c r="C2240" s="1" t="e">
        <f>IF(B2240=0,VLOOKUP(A2240,Feuil2!$A$2:$M$1241,2,FALSE)," ")</f>
        <v>#N/A</v>
      </c>
      <c r="D2240" s="1" t="e">
        <f>IF(B2240=0,VLOOKUP(A2240,Feuil2!$A$2:$M$1241,3,FALSE)," ")</f>
        <v>#N/A</v>
      </c>
      <c r="E2240" s="5" t="e">
        <f>IF(B2240=0,VLOOKUP(A2240,Feuil2!$A$2:$M$1241,6,FALSE)," ")</f>
        <v>#N/A</v>
      </c>
      <c r="F2240" s="1" t="e">
        <f>IF(B2240=0,VLOOKUP(A2240,Feuil2!$A$2:$M$1241,12,FALSE)," ")</f>
        <v>#N/A</v>
      </c>
      <c r="G2240" s="1" t="e">
        <f>IF(B2240=0,VLOOKUP(A2240,Feuil2!$A$2:$M$1241,11,FALSE)," ")</f>
        <v>#N/A</v>
      </c>
      <c r="H2240" s="1" t="s">
        <v>16</v>
      </c>
      <c r="I2240" s="6" t="e">
        <f>IF(B2240=0,VLOOKUP(A2240,Feuil2!$A$2:$M$1241,7,FALSE)," ")</f>
        <v>#N/A</v>
      </c>
      <c r="J2240" s="1" t="e">
        <f>IF(B2240=0,VLOOKUP(A2240,Feuil2!$A$2:$M$1241,9,FALSE)," ")</f>
        <v>#N/A</v>
      </c>
      <c r="K2240" s="1" t="e">
        <f>IF(B2240=0,VLOOKUP(A2240,Feuil2!$A$2:$M$1241,10,FALSE)," ")</f>
        <v>#N/A</v>
      </c>
      <c r="L2240" s="1"/>
      <c r="M2240" s="1"/>
      <c r="N2240" s="1"/>
      <c r="O2240" s="8" t="e">
        <f>IF(B2240=0,VLOOKUP(A2240,Feuil2!$A$2:$M$1241,13,FALSE)," ")</f>
        <v>#N/A</v>
      </c>
    </row>
    <row r="2241" spans="1:15" x14ac:dyDescent="0.3">
      <c r="A2241" s="1"/>
      <c r="B2241" s="1"/>
      <c r="C2241" s="1" t="e">
        <f>IF(B2241=0,VLOOKUP(A2241,Feuil2!$A$2:$M$1241,2,FALSE)," ")</f>
        <v>#N/A</v>
      </c>
      <c r="D2241" s="1" t="e">
        <f>IF(B2241=0,VLOOKUP(A2241,Feuil2!$A$2:$M$1241,3,FALSE)," ")</f>
        <v>#N/A</v>
      </c>
      <c r="E2241" s="5" t="e">
        <f>IF(B2241=0,VLOOKUP(A2241,Feuil2!$A$2:$M$1241,6,FALSE)," ")</f>
        <v>#N/A</v>
      </c>
      <c r="F2241" s="1" t="e">
        <f>IF(B2241=0,VLOOKUP(A2241,Feuil2!$A$2:$M$1241,12,FALSE)," ")</f>
        <v>#N/A</v>
      </c>
      <c r="G2241" s="1" t="e">
        <f>IF(B2241=0,VLOOKUP(A2241,Feuil2!$A$2:$M$1241,11,FALSE)," ")</f>
        <v>#N/A</v>
      </c>
      <c r="H2241" s="1" t="s">
        <v>16</v>
      </c>
      <c r="I2241" s="6" t="e">
        <f>IF(B2241=0,VLOOKUP(A2241,Feuil2!$A$2:$M$1241,7,FALSE)," ")</f>
        <v>#N/A</v>
      </c>
      <c r="J2241" s="1" t="e">
        <f>IF(B2241=0,VLOOKUP(A2241,Feuil2!$A$2:$M$1241,9,FALSE)," ")</f>
        <v>#N/A</v>
      </c>
      <c r="K2241" s="1" t="e">
        <f>IF(B2241=0,VLOOKUP(A2241,Feuil2!$A$2:$M$1241,10,FALSE)," ")</f>
        <v>#N/A</v>
      </c>
      <c r="L2241" s="1"/>
      <c r="M2241" s="1"/>
      <c r="N2241" s="1"/>
      <c r="O2241" s="8" t="e">
        <f>IF(B2241=0,VLOOKUP(A2241,Feuil2!$A$2:$M$1241,13,FALSE)," ")</f>
        <v>#N/A</v>
      </c>
    </row>
    <row r="2242" spans="1:15" x14ac:dyDescent="0.3">
      <c r="A2242" s="1"/>
      <c r="B2242" s="1"/>
      <c r="C2242" s="1" t="e">
        <f>IF(B2242=0,VLOOKUP(A2242,Feuil2!$A$2:$M$1241,2,FALSE)," ")</f>
        <v>#N/A</v>
      </c>
      <c r="D2242" s="1" t="e">
        <f>IF(B2242=0,VLOOKUP(A2242,Feuil2!$A$2:$M$1241,3,FALSE)," ")</f>
        <v>#N/A</v>
      </c>
      <c r="E2242" s="5" t="e">
        <f>IF(B2242=0,VLOOKUP(A2242,Feuil2!$A$2:$M$1241,6,FALSE)," ")</f>
        <v>#N/A</v>
      </c>
      <c r="F2242" s="1" t="e">
        <f>IF(B2242=0,VLOOKUP(A2242,Feuil2!$A$2:$M$1241,12,FALSE)," ")</f>
        <v>#N/A</v>
      </c>
      <c r="G2242" s="1" t="e">
        <f>IF(B2242=0,VLOOKUP(A2242,Feuil2!$A$2:$M$1241,11,FALSE)," ")</f>
        <v>#N/A</v>
      </c>
      <c r="H2242" s="1" t="s">
        <v>16</v>
      </c>
      <c r="I2242" s="6" t="e">
        <f>IF(B2242=0,VLOOKUP(A2242,Feuil2!$A$2:$M$1241,7,FALSE)," ")</f>
        <v>#N/A</v>
      </c>
      <c r="J2242" s="1" t="e">
        <f>IF(B2242=0,VLOOKUP(A2242,Feuil2!$A$2:$M$1241,9,FALSE)," ")</f>
        <v>#N/A</v>
      </c>
      <c r="K2242" s="1" t="e">
        <f>IF(B2242=0,VLOOKUP(A2242,Feuil2!$A$2:$M$1241,10,FALSE)," ")</f>
        <v>#N/A</v>
      </c>
      <c r="L2242" s="1"/>
      <c r="M2242" s="1"/>
      <c r="N2242" s="1"/>
      <c r="O2242" s="8" t="e">
        <f>IF(B2242=0,VLOOKUP(A2242,Feuil2!$A$2:$M$1241,13,FALSE)," ")</f>
        <v>#N/A</v>
      </c>
    </row>
    <row r="2243" spans="1:15" x14ac:dyDescent="0.3">
      <c r="A2243" s="1"/>
      <c r="B2243" s="1"/>
      <c r="C2243" s="1" t="e">
        <f>IF(B2243=0,VLOOKUP(A2243,Feuil2!$A$2:$M$1241,2,FALSE)," ")</f>
        <v>#N/A</v>
      </c>
      <c r="D2243" s="1" t="e">
        <f>IF(B2243=0,VLOOKUP(A2243,Feuil2!$A$2:$M$1241,3,FALSE)," ")</f>
        <v>#N/A</v>
      </c>
      <c r="E2243" s="5" t="e">
        <f>IF(B2243=0,VLOOKUP(A2243,Feuil2!$A$2:$M$1241,6,FALSE)," ")</f>
        <v>#N/A</v>
      </c>
      <c r="F2243" s="1" t="e">
        <f>IF(B2243=0,VLOOKUP(A2243,Feuil2!$A$2:$M$1241,12,FALSE)," ")</f>
        <v>#N/A</v>
      </c>
      <c r="G2243" s="1" t="e">
        <f>IF(B2243=0,VLOOKUP(A2243,Feuil2!$A$2:$M$1241,11,FALSE)," ")</f>
        <v>#N/A</v>
      </c>
      <c r="H2243" s="1" t="s">
        <v>16</v>
      </c>
      <c r="I2243" s="6" t="e">
        <f>IF(B2243=0,VLOOKUP(A2243,Feuil2!$A$2:$M$1241,7,FALSE)," ")</f>
        <v>#N/A</v>
      </c>
      <c r="J2243" s="1" t="e">
        <f>IF(B2243=0,VLOOKUP(A2243,Feuil2!$A$2:$M$1241,9,FALSE)," ")</f>
        <v>#N/A</v>
      </c>
      <c r="K2243" s="1" t="e">
        <f>IF(B2243=0,VLOOKUP(A2243,Feuil2!$A$2:$M$1241,10,FALSE)," ")</f>
        <v>#N/A</v>
      </c>
      <c r="L2243" s="1"/>
      <c r="M2243" s="1"/>
      <c r="N2243" s="1"/>
      <c r="O2243" s="8" t="e">
        <f>IF(B2243=0,VLOOKUP(A2243,Feuil2!$A$2:$M$1241,13,FALSE)," ")</f>
        <v>#N/A</v>
      </c>
    </row>
    <row r="2244" spans="1:15" x14ac:dyDescent="0.3">
      <c r="A2244" s="1"/>
      <c r="B2244" s="1"/>
      <c r="C2244" s="1" t="e">
        <f>IF(B2244=0,VLOOKUP(A2244,Feuil2!$A$2:$M$1241,2,FALSE)," ")</f>
        <v>#N/A</v>
      </c>
      <c r="D2244" s="1" t="e">
        <f>IF(B2244=0,VLOOKUP(A2244,Feuil2!$A$2:$M$1241,3,FALSE)," ")</f>
        <v>#N/A</v>
      </c>
      <c r="E2244" s="5" t="e">
        <f>IF(B2244=0,VLOOKUP(A2244,Feuil2!$A$2:$M$1241,6,FALSE)," ")</f>
        <v>#N/A</v>
      </c>
      <c r="F2244" s="1" t="e">
        <f>IF(B2244=0,VLOOKUP(A2244,Feuil2!$A$2:$M$1241,12,FALSE)," ")</f>
        <v>#N/A</v>
      </c>
      <c r="G2244" s="1" t="e">
        <f>IF(B2244=0,VLOOKUP(A2244,Feuil2!$A$2:$M$1241,11,FALSE)," ")</f>
        <v>#N/A</v>
      </c>
      <c r="H2244" s="1" t="s">
        <v>16</v>
      </c>
      <c r="I2244" s="6" t="e">
        <f>IF(B2244=0,VLOOKUP(A2244,Feuil2!$A$2:$M$1241,7,FALSE)," ")</f>
        <v>#N/A</v>
      </c>
      <c r="J2244" s="1" t="e">
        <f>IF(B2244=0,VLOOKUP(A2244,Feuil2!$A$2:$M$1241,9,FALSE)," ")</f>
        <v>#N/A</v>
      </c>
      <c r="K2244" s="1" t="e">
        <f>IF(B2244=0,VLOOKUP(A2244,Feuil2!$A$2:$M$1241,10,FALSE)," ")</f>
        <v>#N/A</v>
      </c>
      <c r="L2244" s="1"/>
      <c r="M2244" s="1"/>
      <c r="N2244" s="1"/>
      <c r="O2244" s="8" t="e">
        <f>IF(B2244=0,VLOOKUP(A2244,Feuil2!$A$2:$M$1241,13,FALSE)," ")</f>
        <v>#N/A</v>
      </c>
    </row>
    <row r="2245" spans="1:15" x14ac:dyDescent="0.3">
      <c r="A2245" s="1"/>
      <c r="B2245" s="1"/>
      <c r="C2245" s="1" t="e">
        <f>IF(B2245=0,VLOOKUP(A2245,Feuil2!$A$2:$M$1241,2,FALSE)," ")</f>
        <v>#N/A</v>
      </c>
      <c r="D2245" s="1" t="e">
        <f>IF(B2245=0,VLOOKUP(A2245,Feuil2!$A$2:$M$1241,3,FALSE)," ")</f>
        <v>#N/A</v>
      </c>
      <c r="E2245" s="5" t="e">
        <f>IF(B2245=0,VLOOKUP(A2245,Feuil2!$A$2:$M$1241,6,FALSE)," ")</f>
        <v>#N/A</v>
      </c>
      <c r="F2245" s="1" t="e">
        <f>IF(B2245=0,VLOOKUP(A2245,Feuil2!$A$2:$M$1241,12,FALSE)," ")</f>
        <v>#N/A</v>
      </c>
      <c r="G2245" s="1" t="e">
        <f>IF(B2245=0,VLOOKUP(A2245,Feuil2!$A$2:$M$1241,11,FALSE)," ")</f>
        <v>#N/A</v>
      </c>
      <c r="H2245" s="1" t="s">
        <v>16</v>
      </c>
      <c r="I2245" s="6" t="e">
        <f>IF(B2245=0,VLOOKUP(A2245,Feuil2!$A$2:$M$1241,7,FALSE)," ")</f>
        <v>#N/A</v>
      </c>
      <c r="J2245" s="1" t="e">
        <f>IF(B2245=0,VLOOKUP(A2245,Feuil2!$A$2:$M$1241,9,FALSE)," ")</f>
        <v>#N/A</v>
      </c>
      <c r="K2245" s="1" t="e">
        <f>IF(B2245=0,VLOOKUP(A2245,Feuil2!$A$2:$M$1241,10,FALSE)," ")</f>
        <v>#N/A</v>
      </c>
      <c r="L2245" s="1"/>
      <c r="M2245" s="1"/>
      <c r="N2245" s="1"/>
      <c r="O2245" s="8" t="e">
        <f>IF(B2245=0,VLOOKUP(A2245,Feuil2!$A$2:$M$1241,13,FALSE)," ")</f>
        <v>#N/A</v>
      </c>
    </row>
    <row r="2246" spans="1:15" x14ac:dyDescent="0.3">
      <c r="A2246" s="1"/>
      <c r="B2246" s="1"/>
      <c r="C2246" s="1" t="e">
        <f>IF(B2246=0,VLOOKUP(A2246,Feuil2!$A$2:$M$1241,2,FALSE)," ")</f>
        <v>#N/A</v>
      </c>
      <c r="D2246" s="1" t="e">
        <f>IF(B2246=0,VLOOKUP(A2246,Feuil2!$A$2:$M$1241,3,FALSE)," ")</f>
        <v>#N/A</v>
      </c>
      <c r="E2246" s="5" t="e">
        <f>IF(B2246=0,VLOOKUP(A2246,Feuil2!$A$2:$M$1241,6,FALSE)," ")</f>
        <v>#N/A</v>
      </c>
      <c r="F2246" s="1" t="e">
        <f>IF(B2246=0,VLOOKUP(A2246,Feuil2!$A$2:$M$1241,12,FALSE)," ")</f>
        <v>#N/A</v>
      </c>
      <c r="G2246" s="1" t="e">
        <f>IF(B2246=0,VLOOKUP(A2246,Feuil2!$A$2:$M$1241,11,FALSE)," ")</f>
        <v>#N/A</v>
      </c>
      <c r="H2246" s="1" t="s">
        <v>16</v>
      </c>
      <c r="I2246" s="6" t="e">
        <f>IF(B2246=0,VLOOKUP(A2246,Feuil2!$A$2:$M$1241,7,FALSE)," ")</f>
        <v>#N/A</v>
      </c>
      <c r="J2246" s="1" t="e">
        <f>IF(B2246=0,VLOOKUP(A2246,Feuil2!$A$2:$M$1241,9,FALSE)," ")</f>
        <v>#N/A</v>
      </c>
      <c r="K2246" s="1" t="e">
        <f>IF(B2246=0,VLOOKUP(A2246,Feuil2!$A$2:$M$1241,10,FALSE)," ")</f>
        <v>#N/A</v>
      </c>
      <c r="L2246" s="1"/>
      <c r="M2246" s="1"/>
      <c r="N2246" s="1"/>
      <c r="O2246" s="8" t="e">
        <f>IF(B2246=0,VLOOKUP(A2246,Feuil2!$A$2:$M$1241,13,FALSE)," ")</f>
        <v>#N/A</v>
      </c>
    </row>
    <row r="2247" spans="1:15" x14ac:dyDescent="0.3">
      <c r="A2247" s="1"/>
      <c r="B2247" s="1"/>
      <c r="C2247" s="1" t="e">
        <f>IF(B2247=0,VLOOKUP(A2247,Feuil2!$A$2:$M$1241,2,FALSE)," ")</f>
        <v>#N/A</v>
      </c>
      <c r="D2247" s="1" t="e">
        <f>IF(B2247=0,VLOOKUP(A2247,Feuil2!$A$2:$M$1241,3,FALSE)," ")</f>
        <v>#N/A</v>
      </c>
      <c r="E2247" s="5" t="e">
        <f>IF(B2247=0,VLOOKUP(A2247,Feuil2!$A$2:$M$1241,6,FALSE)," ")</f>
        <v>#N/A</v>
      </c>
      <c r="F2247" s="1" t="e">
        <f>IF(B2247=0,VLOOKUP(A2247,Feuil2!$A$2:$M$1241,12,FALSE)," ")</f>
        <v>#N/A</v>
      </c>
      <c r="G2247" s="1" t="e">
        <f>IF(B2247=0,VLOOKUP(A2247,Feuil2!$A$2:$M$1241,11,FALSE)," ")</f>
        <v>#N/A</v>
      </c>
      <c r="H2247" s="1" t="s">
        <v>16</v>
      </c>
      <c r="I2247" s="6" t="e">
        <f>IF(B2247=0,VLOOKUP(A2247,Feuil2!$A$2:$M$1241,7,FALSE)," ")</f>
        <v>#N/A</v>
      </c>
      <c r="J2247" s="1" t="e">
        <f>IF(B2247=0,VLOOKUP(A2247,Feuil2!$A$2:$M$1241,9,FALSE)," ")</f>
        <v>#N/A</v>
      </c>
      <c r="K2247" s="1" t="e">
        <f>IF(B2247=0,VLOOKUP(A2247,Feuil2!$A$2:$M$1241,10,FALSE)," ")</f>
        <v>#N/A</v>
      </c>
      <c r="L2247" s="1"/>
      <c r="M2247" s="1"/>
      <c r="N2247" s="1"/>
      <c r="O2247" s="8" t="e">
        <f>IF(B2247=0,VLOOKUP(A2247,Feuil2!$A$2:$M$1241,13,FALSE)," ")</f>
        <v>#N/A</v>
      </c>
    </row>
    <row r="2248" spans="1:15" x14ac:dyDescent="0.3">
      <c r="A2248" s="1"/>
      <c r="B2248" s="1"/>
      <c r="C2248" s="1" t="e">
        <f>IF(B2248=0,VLOOKUP(A2248,Feuil2!$A$2:$M$1241,2,FALSE)," ")</f>
        <v>#N/A</v>
      </c>
      <c r="D2248" s="1" t="e">
        <f>IF(B2248=0,VLOOKUP(A2248,Feuil2!$A$2:$M$1241,3,FALSE)," ")</f>
        <v>#N/A</v>
      </c>
      <c r="E2248" s="5" t="e">
        <f>IF(B2248=0,VLOOKUP(A2248,Feuil2!$A$2:$M$1241,6,FALSE)," ")</f>
        <v>#N/A</v>
      </c>
      <c r="F2248" s="1" t="e">
        <f>IF(B2248=0,VLOOKUP(A2248,Feuil2!$A$2:$M$1241,12,FALSE)," ")</f>
        <v>#N/A</v>
      </c>
      <c r="G2248" s="1" t="e">
        <f>IF(B2248=0,VLOOKUP(A2248,Feuil2!$A$2:$M$1241,11,FALSE)," ")</f>
        <v>#N/A</v>
      </c>
      <c r="H2248" s="1" t="s">
        <v>16</v>
      </c>
      <c r="I2248" s="6" t="e">
        <f>IF(B2248=0,VLOOKUP(A2248,Feuil2!$A$2:$M$1241,7,FALSE)," ")</f>
        <v>#N/A</v>
      </c>
      <c r="J2248" s="1" t="e">
        <f>IF(B2248=0,VLOOKUP(A2248,Feuil2!$A$2:$M$1241,9,FALSE)," ")</f>
        <v>#N/A</v>
      </c>
      <c r="K2248" s="1" t="e">
        <f>IF(B2248=0,VLOOKUP(A2248,Feuil2!$A$2:$M$1241,10,FALSE)," ")</f>
        <v>#N/A</v>
      </c>
      <c r="L2248" s="1"/>
      <c r="M2248" s="1"/>
      <c r="N2248" s="1"/>
      <c r="O2248" s="8" t="e">
        <f>IF(B2248=0,VLOOKUP(A2248,Feuil2!$A$2:$M$1241,13,FALSE)," ")</f>
        <v>#N/A</v>
      </c>
    </row>
    <row r="2249" spans="1:15" x14ac:dyDescent="0.3">
      <c r="A2249" s="1"/>
      <c r="B2249" s="1"/>
      <c r="C2249" s="1" t="e">
        <f>IF(B2249=0,VLOOKUP(A2249,Feuil2!$A$2:$M$1241,2,FALSE)," ")</f>
        <v>#N/A</v>
      </c>
      <c r="D2249" s="1" t="e">
        <f>IF(B2249=0,VLOOKUP(A2249,Feuil2!$A$2:$M$1241,3,FALSE)," ")</f>
        <v>#N/A</v>
      </c>
      <c r="E2249" s="5" t="e">
        <f>IF(B2249=0,VLOOKUP(A2249,Feuil2!$A$2:$M$1241,6,FALSE)," ")</f>
        <v>#N/A</v>
      </c>
      <c r="F2249" s="1" t="e">
        <f>IF(B2249=0,VLOOKUP(A2249,Feuil2!$A$2:$M$1241,12,FALSE)," ")</f>
        <v>#N/A</v>
      </c>
      <c r="G2249" s="1" t="e">
        <f>IF(B2249=0,VLOOKUP(A2249,Feuil2!$A$2:$M$1241,11,FALSE)," ")</f>
        <v>#N/A</v>
      </c>
      <c r="H2249" s="1" t="s">
        <v>16</v>
      </c>
      <c r="I2249" s="6" t="e">
        <f>IF(B2249=0,VLOOKUP(A2249,Feuil2!$A$2:$M$1241,7,FALSE)," ")</f>
        <v>#N/A</v>
      </c>
      <c r="J2249" s="1" t="e">
        <f>IF(B2249=0,VLOOKUP(A2249,Feuil2!$A$2:$M$1241,9,FALSE)," ")</f>
        <v>#N/A</v>
      </c>
      <c r="K2249" s="1" t="e">
        <f>IF(B2249=0,VLOOKUP(A2249,Feuil2!$A$2:$M$1241,10,FALSE)," ")</f>
        <v>#N/A</v>
      </c>
      <c r="L2249" s="1"/>
      <c r="M2249" s="1"/>
      <c r="N2249" s="1"/>
      <c r="O2249" s="8" t="e">
        <f>IF(B2249=0,VLOOKUP(A2249,Feuil2!$A$2:$M$1241,13,FALSE)," ")</f>
        <v>#N/A</v>
      </c>
    </row>
    <row r="2250" spans="1:15" x14ac:dyDescent="0.3">
      <c r="A2250" s="1"/>
      <c r="B2250" s="1"/>
      <c r="C2250" s="1" t="e">
        <f>IF(B2250=0,VLOOKUP(A2250,Feuil2!$A$2:$M$1241,2,FALSE)," ")</f>
        <v>#N/A</v>
      </c>
      <c r="D2250" s="1" t="e">
        <f>IF(B2250=0,VLOOKUP(A2250,Feuil2!$A$2:$M$1241,3,FALSE)," ")</f>
        <v>#N/A</v>
      </c>
      <c r="E2250" s="5" t="e">
        <f>IF(B2250=0,VLOOKUP(A2250,Feuil2!$A$2:$M$1241,6,FALSE)," ")</f>
        <v>#N/A</v>
      </c>
      <c r="F2250" s="1" t="e">
        <f>IF(B2250=0,VLOOKUP(A2250,Feuil2!$A$2:$M$1241,12,FALSE)," ")</f>
        <v>#N/A</v>
      </c>
      <c r="G2250" s="1" t="e">
        <f>IF(B2250=0,VLOOKUP(A2250,Feuil2!$A$2:$M$1241,11,FALSE)," ")</f>
        <v>#N/A</v>
      </c>
      <c r="H2250" s="1" t="s">
        <v>16</v>
      </c>
      <c r="I2250" s="6" t="e">
        <f>IF(B2250=0,VLOOKUP(A2250,Feuil2!$A$2:$M$1241,7,FALSE)," ")</f>
        <v>#N/A</v>
      </c>
      <c r="J2250" s="1" t="e">
        <f>IF(B2250=0,VLOOKUP(A2250,Feuil2!$A$2:$M$1241,9,FALSE)," ")</f>
        <v>#N/A</v>
      </c>
      <c r="K2250" s="1" t="e">
        <f>IF(B2250=0,VLOOKUP(A2250,Feuil2!$A$2:$M$1241,10,FALSE)," ")</f>
        <v>#N/A</v>
      </c>
      <c r="L2250" s="1"/>
      <c r="M2250" s="1"/>
      <c r="N2250" s="1"/>
      <c r="O2250" s="8" t="e">
        <f>IF(B2250=0,VLOOKUP(A2250,Feuil2!$A$2:$M$1241,13,FALSE)," ")</f>
        <v>#N/A</v>
      </c>
    </row>
    <row r="2251" spans="1:15" x14ac:dyDescent="0.3">
      <c r="A2251" s="1"/>
      <c r="B2251" s="1"/>
      <c r="C2251" s="1" t="e">
        <f>IF(B2251=0,VLOOKUP(A2251,Feuil2!$A$2:$M$1241,2,FALSE)," ")</f>
        <v>#N/A</v>
      </c>
      <c r="D2251" s="1" t="e">
        <f>IF(B2251=0,VLOOKUP(A2251,Feuil2!$A$2:$M$1241,3,FALSE)," ")</f>
        <v>#N/A</v>
      </c>
      <c r="E2251" s="5" t="e">
        <f>IF(B2251=0,VLOOKUP(A2251,Feuil2!$A$2:$M$1241,6,FALSE)," ")</f>
        <v>#N/A</v>
      </c>
      <c r="F2251" s="1" t="e">
        <f>IF(B2251=0,VLOOKUP(A2251,Feuil2!$A$2:$M$1241,12,FALSE)," ")</f>
        <v>#N/A</v>
      </c>
      <c r="G2251" s="1" t="e">
        <f>IF(B2251=0,VLOOKUP(A2251,Feuil2!$A$2:$M$1241,11,FALSE)," ")</f>
        <v>#N/A</v>
      </c>
      <c r="H2251" s="1" t="s">
        <v>16</v>
      </c>
      <c r="I2251" s="6" t="e">
        <f>IF(B2251=0,VLOOKUP(A2251,Feuil2!$A$2:$M$1241,7,FALSE)," ")</f>
        <v>#N/A</v>
      </c>
      <c r="J2251" s="1" t="e">
        <f>IF(B2251=0,VLOOKUP(A2251,Feuil2!$A$2:$M$1241,9,FALSE)," ")</f>
        <v>#N/A</v>
      </c>
      <c r="K2251" s="1" t="e">
        <f>IF(B2251=0,VLOOKUP(A2251,Feuil2!$A$2:$M$1241,10,FALSE)," ")</f>
        <v>#N/A</v>
      </c>
      <c r="L2251" s="1"/>
      <c r="M2251" s="1"/>
      <c r="N2251" s="1"/>
      <c r="O2251" s="8" t="e">
        <f>IF(B2251=0,VLOOKUP(A2251,Feuil2!$A$2:$M$1241,13,FALSE)," ")</f>
        <v>#N/A</v>
      </c>
    </row>
    <row r="2252" spans="1:15" x14ac:dyDescent="0.3">
      <c r="A2252" s="1"/>
      <c r="B2252" s="1"/>
      <c r="C2252" s="1" t="e">
        <f>IF(B2252=0,VLOOKUP(A2252,Feuil2!$A$2:$M$1241,2,FALSE)," ")</f>
        <v>#N/A</v>
      </c>
      <c r="D2252" s="1" t="e">
        <f>IF(B2252=0,VLOOKUP(A2252,Feuil2!$A$2:$M$1241,3,FALSE)," ")</f>
        <v>#N/A</v>
      </c>
      <c r="E2252" s="5" t="e">
        <f>IF(B2252=0,VLOOKUP(A2252,Feuil2!$A$2:$M$1241,6,FALSE)," ")</f>
        <v>#N/A</v>
      </c>
      <c r="F2252" s="1" t="e">
        <f>IF(B2252=0,VLOOKUP(A2252,Feuil2!$A$2:$M$1241,12,FALSE)," ")</f>
        <v>#N/A</v>
      </c>
      <c r="G2252" s="1" t="e">
        <f>IF(B2252=0,VLOOKUP(A2252,Feuil2!$A$2:$M$1241,11,FALSE)," ")</f>
        <v>#N/A</v>
      </c>
      <c r="H2252" s="1" t="s">
        <v>16</v>
      </c>
      <c r="I2252" s="6" t="e">
        <f>IF(B2252=0,VLOOKUP(A2252,Feuil2!$A$2:$M$1241,7,FALSE)," ")</f>
        <v>#N/A</v>
      </c>
      <c r="J2252" s="1" t="e">
        <f>IF(B2252=0,VLOOKUP(A2252,Feuil2!$A$2:$M$1241,9,FALSE)," ")</f>
        <v>#N/A</v>
      </c>
      <c r="K2252" s="1" t="e">
        <f>IF(B2252=0,VLOOKUP(A2252,Feuil2!$A$2:$M$1241,10,FALSE)," ")</f>
        <v>#N/A</v>
      </c>
      <c r="L2252" s="1"/>
      <c r="M2252" s="1"/>
      <c r="N2252" s="1"/>
      <c r="O2252" s="8" t="e">
        <f>IF(B2252=0,VLOOKUP(A2252,Feuil2!$A$2:$M$1241,13,FALSE)," ")</f>
        <v>#N/A</v>
      </c>
    </row>
    <row r="2253" spans="1:15" x14ac:dyDescent="0.3">
      <c r="A2253" s="1"/>
      <c r="B2253" s="1"/>
      <c r="C2253" s="1" t="e">
        <f>IF(B2253=0,VLOOKUP(A2253,Feuil2!$A$2:$M$1241,2,FALSE)," ")</f>
        <v>#N/A</v>
      </c>
      <c r="D2253" s="1" t="e">
        <f>IF(B2253=0,VLOOKUP(A2253,Feuil2!$A$2:$M$1241,3,FALSE)," ")</f>
        <v>#N/A</v>
      </c>
      <c r="E2253" s="5" t="e">
        <f>IF(B2253=0,VLOOKUP(A2253,Feuil2!$A$2:$M$1241,6,FALSE)," ")</f>
        <v>#N/A</v>
      </c>
      <c r="F2253" s="1" t="e">
        <f>IF(B2253=0,VLOOKUP(A2253,Feuil2!$A$2:$M$1241,12,FALSE)," ")</f>
        <v>#N/A</v>
      </c>
      <c r="G2253" s="1" t="e">
        <f>IF(B2253=0,VLOOKUP(A2253,Feuil2!$A$2:$M$1241,11,FALSE)," ")</f>
        <v>#N/A</v>
      </c>
      <c r="H2253" s="1" t="s">
        <v>16</v>
      </c>
      <c r="I2253" s="6" t="e">
        <f>IF(B2253=0,VLOOKUP(A2253,Feuil2!$A$2:$M$1241,7,FALSE)," ")</f>
        <v>#N/A</v>
      </c>
      <c r="J2253" s="1" t="e">
        <f>IF(B2253=0,VLOOKUP(A2253,Feuil2!$A$2:$M$1241,9,FALSE)," ")</f>
        <v>#N/A</v>
      </c>
      <c r="K2253" s="1" t="e">
        <f>IF(B2253=0,VLOOKUP(A2253,Feuil2!$A$2:$M$1241,10,FALSE)," ")</f>
        <v>#N/A</v>
      </c>
      <c r="L2253" s="1"/>
      <c r="M2253" s="1"/>
      <c r="N2253" s="1"/>
      <c r="O2253" s="8" t="e">
        <f>IF(B2253=0,VLOOKUP(A2253,Feuil2!$A$2:$M$1241,13,FALSE)," ")</f>
        <v>#N/A</v>
      </c>
    </row>
    <row r="2254" spans="1:15" x14ac:dyDescent="0.3">
      <c r="A2254" s="1"/>
      <c r="B2254" s="1"/>
      <c r="C2254" s="1" t="e">
        <f>IF(B2254=0,VLOOKUP(A2254,Feuil2!$A$2:$M$1241,2,FALSE)," ")</f>
        <v>#N/A</v>
      </c>
      <c r="D2254" s="1" t="e">
        <f>IF(B2254=0,VLOOKUP(A2254,Feuil2!$A$2:$M$1241,3,FALSE)," ")</f>
        <v>#N/A</v>
      </c>
      <c r="E2254" s="5" t="e">
        <f>IF(B2254=0,VLOOKUP(A2254,Feuil2!$A$2:$M$1241,6,FALSE)," ")</f>
        <v>#N/A</v>
      </c>
      <c r="F2254" s="1" t="e">
        <f>IF(B2254=0,VLOOKUP(A2254,Feuil2!$A$2:$M$1241,12,FALSE)," ")</f>
        <v>#N/A</v>
      </c>
      <c r="G2254" s="1" t="e">
        <f>IF(B2254=0,VLOOKUP(A2254,Feuil2!$A$2:$M$1241,11,FALSE)," ")</f>
        <v>#N/A</v>
      </c>
      <c r="H2254" s="1" t="s">
        <v>16</v>
      </c>
      <c r="I2254" s="6" t="e">
        <f>IF(B2254=0,VLOOKUP(A2254,Feuil2!$A$2:$M$1241,7,FALSE)," ")</f>
        <v>#N/A</v>
      </c>
      <c r="J2254" s="1" t="e">
        <f>IF(B2254=0,VLOOKUP(A2254,Feuil2!$A$2:$M$1241,9,FALSE)," ")</f>
        <v>#N/A</v>
      </c>
      <c r="K2254" s="1" t="e">
        <f>IF(B2254=0,VLOOKUP(A2254,Feuil2!$A$2:$M$1241,10,FALSE)," ")</f>
        <v>#N/A</v>
      </c>
      <c r="L2254" s="1"/>
      <c r="M2254" s="1"/>
      <c r="N2254" s="1"/>
      <c r="O2254" s="8" t="e">
        <f>IF(B2254=0,VLOOKUP(A2254,Feuil2!$A$2:$M$1241,13,FALSE)," ")</f>
        <v>#N/A</v>
      </c>
    </row>
    <row r="2255" spans="1:15" x14ac:dyDescent="0.3">
      <c r="A2255" s="1"/>
      <c r="B2255" s="1"/>
      <c r="C2255" s="1" t="e">
        <f>IF(B2255=0,VLOOKUP(A2255,Feuil2!$A$2:$M$1241,2,FALSE)," ")</f>
        <v>#N/A</v>
      </c>
      <c r="D2255" s="1" t="e">
        <f>IF(B2255=0,VLOOKUP(A2255,Feuil2!$A$2:$M$1241,3,FALSE)," ")</f>
        <v>#N/A</v>
      </c>
      <c r="E2255" s="5" t="e">
        <f>IF(B2255=0,VLOOKUP(A2255,Feuil2!$A$2:$M$1241,6,FALSE)," ")</f>
        <v>#N/A</v>
      </c>
      <c r="F2255" s="1" t="e">
        <f>IF(B2255=0,VLOOKUP(A2255,Feuil2!$A$2:$M$1241,12,FALSE)," ")</f>
        <v>#N/A</v>
      </c>
      <c r="G2255" s="1" t="e">
        <f>IF(B2255=0,VLOOKUP(A2255,Feuil2!$A$2:$M$1241,11,FALSE)," ")</f>
        <v>#N/A</v>
      </c>
      <c r="H2255" s="1" t="s">
        <v>16</v>
      </c>
      <c r="I2255" s="6" t="e">
        <f>IF(B2255=0,VLOOKUP(A2255,Feuil2!$A$2:$M$1241,7,FALSE)," ")</f>
        <v>#N/A</v>
      </c>
      <c r="J2255" s="1" t="e">
        <f>IF(B2255=0,VLOOKUP(A2255,Feuil2!$A$2:$M$1241,9,FALSE)," ")</f>
        <v>#N/A</v>
      </c>
      <c r="K2255" s="1" t="e">
        <f>IF(B2255=0,VLOOKUP(A2255,Feuil2!$A$2:$M$1241,10,FALSE)," ")</f>
        <v>#N/A</v>
      </c>
      <c r="L2255" s="1"/>
      <c r="M2255" s="1"/>
      <c r="N2255" s="1"/>
      <c r="O2255" s="8" t="e">
        <f>IF(B2255=0,VLOOKUP(A2255,Feuil2!$A$2:$M$1241,13,FALSE)," ")</f>
        <v>#N/A</v>
      </c>
    </row>
    <row r="2256" spans="1:15" x14ac:dyDescent="0.3">
      <c r="A2256" s="1"/>
      <c r="B2256" s="1"/>
      <c r="C2256" s="1" t="e">
        <f>IF(B2256=0,VLOOKUP(A2256,Feuil2!$A$2:$M$1241,2,FALSE)," ")</f>
        <v>#N/A</v>
      </c>
      <c r="D2256" s="1" t="e">
        <f>IF(B2256=0,VLOOKUP(A2256,Feuil2!$A$2:$M$1241,3,FALSE)," ")</f>
        <v>#N/A</v>
      </c>
      <c r="E2256" s="5" t="e">
        <f>IF(B2256=0,VLOOKUP(A2256,Feuil2!$A$2:$M$1241,6,FALSE)," ")</f>
        <v>#N/A</v>
      </c>
      <c r="F2256" s="1" t="e">
        <f>IF(B2256=0,VLOOKUP(A2256,Feuil2!$A$2:$M$1241,12,FALSE)," ")</f>
        <v>#N/A</v>
      </c>
      <c r="G2256" s="1" t="e">
        <f>IF(B2256=0,VLOOKUP(A2256,Feuil2!$A$2:$M$1241,11,FALSE)," ")</f>
        <v>#N/A</v>
      </c>
      <c r="H2256" s="1" t="s">
        <v>16</v>
      </c>
      <c r="I2256" s="6" t="e">
        <f>IF(B2256=0,VLOOKUP(A2256,Feuil2!$A$2:$M$1241,7,FALSE)," ")</f>
        <v>#N/A</v>
      </c>
      <c r="J2256" s="1" t="e">
        <f>IF(B2256=0,VLOOKUP(A2256,Feuil2!$A$2:$M$1241,9,FALSE)," ")</f>
        <v>#N/A</v>
      </c>
      <c r="K2256" s="1" t="e">
        <f>IF(B2256=0,VLOOKUP(A2256,Feuil2!$A$2:$M$1241,10,FALSE)," ")</f>
        <v>#N/A</v>
      </c>
      <c r="L2256" s="1"/>
      <c r="M2256" s="1"/>
      <c r="N2256" s="1"/>
      <c r="O2256" s="8" t="e">
        <f>IF(B2256=0,VLOOKUP(A2256,Feuil2!$A$2:$M$1241,13,FALSE)," ")</f>
        <v>#N/A</v>
      </c>
    </row>
    <row r="2257" spans="1:15" x14ac:dyDescent="0.3">
      <c r="A2257" s="1"/>
      <c r="B2257" s="1"/>
      <c r="C2257" s="1" t="e">
        <f>IF(B2257=0,VLOOKUP(A2257,Feuil2!$A$2:$M$1241,2,FALSE)," ")</f>
        <v>#N/A</v>
      </c>
      <c r="D2257" s="1" t="e">
        <f>IF(B2257=0,VLOOKUP(A2257,Feuil2!$A$2:$M$1241,3,FALSE)," ")</f>
        <v>#N/A</v>
      </c>
      <c r="E2257" s="5" t="e">
        <f>IF(B2257=0,VLOOKUP(A2257,Feuil2!$A$2:$M$1241,6,FALSE)," ")</f>
        <v>#N/A</v>
      </c>
      <c r="F2257" s="1" t="e">
        <f>IF(B2257=0,VLOOKUP(A2257,Feuil2!$A$2:$M$1241,12,FALSE)," ")</f>
        <v>#N/A</v>
      </c>
      <c r="G2257" s="1" t="e">
        <f>IF(B2257=0,VLOOKUP(A2257,Feuil2!$A$2:$M$1241,11,FALSE)," ")</f>
        <v>#N/A</v>
      </c>
      <c r="H2257" s="1" t="s">
        <v>16</v>
      </c>
      <c r="I2257" s="6" t="e">
        <f>IF(B2257=0,VLOOKUP(A2257,Feuil2!$A$2:$M$1241,7,FALSE)," ")</f>
        <v>#N/A</v>
      </c>
      <c r="J2257" s="1" t="e">
        <f>IF(B2257=0,VLOOKUP(A2257,Feuil2!$A$2:$M$1241,9,FALSE)," ")</f>
        <v>#N/A</v>
      </c>
      <c r="K2257" s="1" t="e">
        <f>IF(B2257=0,VLOOKUP(A2257,Feuil2!$A$2:$M$1241,10,FALSE)," ")</f>
        <v>#N/A</v>
      </c>
      <c r="L2257" s="1"/>
      <c r="M2257" s="1"/>
      <c r="N2257" s="1"/>
      <c r="O2257" s="8" t="e">
        <f>IF(B2257=0,VLOOKUP(A2257,Feuil2!$A$2:$M$1241,13,FALSE)," ")</f>
        <v>#N/A</v>
      </c>
    </row>
    <row r="2258" spans="1:15" x14ac:dyDescent="0.3">
      <c r="A2258" s="1"/>
      <c r="B2258" s="1"/>
      <c r="C2258" s="1" t="e">
        <f>IF(B2258=0,VLOOKUP(A2258,Feuil2!$A$2:$M$1241,2,FALSE)," ")</f>
        <v>#N/A</v>
      </c>
      <c r="D2258" s="1" t="e">
        <f>IF(B2258=0,VLOOKUP(A2258,Feuil2!$A$2:$M$1241,3,FALSE)," ")</f>
        <v>#N/A</v>
      </c>
      <c r="E2258" s="5" t="e">
        <f>IF(B2258=0,VLOOKUP(A2258,Feuil2!$A$2:$M$1241,6,FALSE)," ")</f>
        <v>#N/A</v>
      </c>
      <c r="F2258" s="1" t="e">
        <f>IF(B2258=0,VLOOKUP(A2258,Feuil2!$A$2:$M$1241,12,FALSE)," ")</f>
        <v>#N/A</v>
      </c>
      <c r="G2258" s="1" t="e">
        <f>IF(B2258=0,VLOOKUP(A2258,Feuil2!$A$2:$M$1241,11,FALSE)," ")</f>
        <v>#N/A</v>
      </c>
      <c r="H2258" s="1" t="s">
        <v>16</v>
      </c>
      <c r="I2258" s="6" t="e">
        <f>IF(B2258=0,VLOOKUP(A2258,Feuil2!$A$2:$M$1241,7,FALSE)," ")</f>
        <v>#N/A</v>
      </c>
      <c r="J2258" s="1" t="e">
        <f>IF(B2258=0,VLOOKUP(A2258,Feuil2!$A$2:$M$1241,9,FALSE)," ")</f>
        <v>#N/A</v>
      </c>
      <c r="K2258" s="1" t="e">
        <f>IF(B2258=0,VLOOKUP(A2258,Feuil2!$A$2:$M$1241,10,FALSE)," ")</f>
        <v>#N/A</v>
      </c>
      <c r="L2258" s="1"/>
      <c r="M2258" s="1"/>
      <c r="N2258" s="1"/>
      <c r="O2258" s="8" t="e">
        <f>IF(B2258=0,VLOOKUP(A2258,Feuil2!$A$2:$M$1241,13,FALSE)," ")</f>
        <v>#N/A</v>
      </c>
    </row>
    <row r="2259" spans="1:15" x14ac:dyDescent="0.3">
      <c r="A2259" s="1"/>
      <c r="B2259" s="1"/>
      <c r="C2259" s="1" t="e">
        <f>IF(B2259=0,VLOOKUP(A2259,Feuil2!$A$2:$M$1241,2,FALSE)," ")</f>
        <v>#N/A</v>
      </c>
      <c r="D2259" s="1" t="e">
        <f>IF(B2259=0,VLOOKUP(A2259,Feuil2!$A$2:$M$1241,3,FALSE)," ")</f>
        <v>#N/A</v>
      </c>
      <c r="E2259" s="5" t="e">
        <f>IF(B2259=0,VLOOKUP(A2259,Feuil2!$A$2:$M$1241,6,FALSE)," ")</f>
        <v>#N/A</v>
      </c>
      <c r="F2259" s="1" t="e">
        <f>IF(B2259=0,VLOOKUP(A2259,Feuil2!$A$2:$M$1241,12,FALSE)," ")</f>
        <v>#N/A</v>
      </c>
      <c r="G2259" s="1" t="e">
        <f>IF(B2259=0,VLOOKUP(A2259,Feuil2!$A$2:$M$1241,11,FALSE)," ")</f>
        <v>#N/A</v>
      </c>
      <c r="H2259" s="1" t="s">
        <v>16</v>
      </c>
      <c r="I2259" s="6" t="e">
        <f>IF(B2259=0,VLOOKUP(A2259,Feuil2!$A$2:$M$1241,7,FALSE)," ")</f>
        <v>#N/A</v>
      </c>
      <c r="J2259" s="1" t="e">
        <f>IF(B2259=0,VLOOKUP(A2259,Feuil2!$A$2:$M$1241,9,FALSE)," ")</f>
        <v>#N/A</v>
      </c>
      <c r="K2259" s="1" t="e">
        <f>IF(B2259=0,VLOOKUP(A2259,Feuil2!$A$2:$M$1241,10,FALSE)," ")</f>
        <v>#N/A</v>
      </c>
      <c r="L2259" s="1"/>
      <c r="M2259" s="1"/>
      <c r="N2259" s="1"/>
      <c r="O2259" s="8" t="e">
        <f>IF(B2259=0,VLOOKUP(A2259,Feuil2!$A$2:$M$1241,13,FALSE)," ")</f>
        <v>#N/A</v>
      </c>
    </row>
    <row r="2260" spans="1:15" x14ac:dyDescent="0.3">
      <c r="A2260" s="1"/>
      <c r="B2260" s="1"/>
      <c r="C2260" s="1" t="e">
        <f>IF(B2260=0,VLOOKUP(A2260,Feuil2!$A$2:$M$1241,2,FALSE)," ")</f>
        <v>#N/A</v>
      </c>
      <c r="D2260" s="1" t="e">
        <f>IF(B2260=0,VLOOKUP(A2260,Feuil2!$A$2:$M$1241,3,FALSE)," ")</f>
        <v>#N/A</v>
      </c>
      <c r="E2260" s="5" t="e">
        <f>IF(B2260=0,VLOOKUP(A2260,Feuil2!$A$2:$M$1241,6,FALSE)," ")</f>
        <v>#N/A</v>
      </c>
      <c r="F2260" s="1" t="e">
        <f>IF(B2260=0,VLOOKUP(A2260,Feuil2!$A$2:$M$1241,12,FALSE)," ")</f>
        <v>#N/A</v>
      </c>
      <c r="G2260" s="1" t="e">
        <f>IF(B2260=0,VLOOKUP(A2260,Feuil2!$A$2:$M$1241,11,FALSE)," ")</f>
        <v>#N/A</v>
      </c>
      <c r="H2260" s="1" t="s">
        <v>16</v>
      </c>
      <c r="I2260" s="6" t="e">
        <f>IF(B2260=0,VLOOKUP(A2260,Feuil2!$A$2:$M$1241,7,FALSE)," ")</f>
        <v>#N/A</v>
      </c>
      <c r="J2260" s="1" t="e">
        <f>IF(B2260=0,VLOOKUP(A2260,Feuil2!$A$2:$M$1241,9,FALSE)," ")</f>
        <v>#N/A</v>
      </c>
      <c r="K2260" s="1" t="e">
        <f>IF(B2260=0,VLOOKUP(A2260,Feuil2!$A$2:$M$1241,10,FALSE)," ")</f>
        <v>#N/A</v>
      </c>
      <c r="L2260" s="1"/>
      <c r="M2260" s="1"/>
      <c r="N2260" s="1"/>
      <c r="O2260" s="8" t="e">
        <f>IF(B2260=0,VLOOKUP(A2260,Feuil2!$A$2:$M$1241,13,FALSE)," ")</f>
        <v>#N/A</v>
      </c>
    </row>
    <row r="2261" spans="1:15" x14ac:dyDescent="0.3">
      <c r="A2261" s="1"/>
      <c r="B2261" s="1"/>
      <c r="C2261" s="1" t="e">
        <f>IF(B2261=0,VLOOKUP(A2261,Feuil2!$A$2:$M$1241,2,FALSE)," ")</f>
        <v>#N/A</v>
      </c>
      <c r="D2261" s="1" t="e">
        <f>IF(B2261=0,VLOOKUP(A2261,Feuil2!$A$2:$M$1241,3,FALSE)," ")</f>
        <v>#N/A</v>
      </c>
      <c r="E2261" s="5" t="e">
        <f>IF(B2261=0,VLOOKUP(A2261,Feuil2!$A$2:$M$1241,6,FALSE)," ")</f>
        <v>#N/A</v>
      </c>
      <c r="F2261" s="1" t="e">
        <f>IF(B2261=0,VLOOKUP(A2261,Feuil2!$A$2:$M$1241,12,FALSE)," ")</f>
        <v>#N/A</v>
      </c>
      <c r="G2261" s="1" t="e">
        <f>IF(B2261=0,VLOOKUP(A2261,Feuil2!$A$2:$M$1241,11,FALSE)," ")</f>
        <v>#N/A</v>
      </c>
      <c r="H2261" s="1" t="s">
        <v>16</v>
      </c>
      <c r="I2261" s="6" t="e">
        <f>IF(B2261=0,VLOOKUP(A2261,Feuil2!$A$2:$M$1241,7,FALSE)," ")</f>
        <v>#N/A</v>
      </c>
      <c r="J2261" s="1" t="e">
        <f>IF(B2261=0,VLOOKUP(A2261,Feuil2!$A$2:$M$1241,9,FALSE)," ")</f>
        <v>#N/A</v>
      </c>
      <c r="K2261" s="1" t="e">
        <f>IF(B2261=0,VLOOKUP(A2261,Feuil2!$A$2:$M$1241,10,FALSE)," ")</f>
        <v>#N/A</v>
      </c>
      <c r="L2261" s="1"/>
      <c r="M2261" s="1"/>
      <c r="N2261" s="1"/>
      <c r="O2261" s="8" t="e">
        <f>IF(B2261=0,VLOOKUP(A2261,Feuil2!$A$2:$M$1241,13,FALSE)," ")</f>
        <v>#N/A</v>
      </c>
    </row>
    <row r="2262" spans="1:15" x14ac:dyDescent="0.3">
      <c r="A2262" s="1"/>
      <c r="B2262" s="1"/>
      <c r="C2262" s="1" t="e">
        <f>IF(B2262=0,VLOOKUP(A2262,Feuil2!$A$2:$M$1241,2,FALSE)," ")</f>
        <v>#N/A</v>
      </c>
      <c r="D2262" s="1" t="e">
        <f>IF(B2262=0,VLOOKUP(A2262,Feuil2!$A$2:$M$1241,3,FALSE)," ")</f>
        <v>#N/A</v>
      </c>
      <c r="E2262" s="5" t="e">
        <f>IF(B2262=0,VLOOKUP(A2262,Feuil2!$A$2:$M$1241,6,FALSE)," ")</f>
        <v>#N/A</v>
      </c>
      <c r="F2262" s="1" t="e">
        <f>IF(B2262=0,VLOOKUP(A2262,Feuil2!$A$2:$M$1241,12,FALSE)," ")</f>
        <v>#N/A</v>
      </c>
      <c r="G2262" s="1" t="e">
        <f>IF(B2262=0,VLOOKUP(A2262,Feuil2!$A$2:$M$1241,11,FALSE)," ")</f>
        <v>#N/A</v>
      </c>
      <c r="H2262" s="1" t="s">
        <v>16</v>
      </c>
      <c r="I2262" s="6" t="e">
        <f>IF(B2262=0,VLOOKUP(A2262,Feuil2!$A$2:$M$1241,7,FALSE)," ")</f>
        <v>#N/A</v>
      </c>
      <c r="J2262" s="1" t="e">
        <f>IF(B2262=0,VLOOKUP(A2262,Feuil2!$A$2:$M$1241,9,FALSE)," ")</f>
        <v>#N/A</v>
      </c>
      <c r="K2262" s="1" t="e">
        <f>IF(B2262=0,VLOOKUP(A2262,Feuil2!$A$2:$M$1241,10,FALSE)," ")</f>
        <v>#N/A</v>
      </c>
      <c r="L2262" s="1"/>
      <c r="M2262" s="1"/>
      <c r="N2262" s="1"/>
      <c r="O2262" s="8" t="e">
        <f>IF(B2262=0,VLOOKUP(A2262,Feuil2!$A$2:$M$1241,13,FALSE)," ")</f>
        <v>#N/A</v>
      </c>
    </row>
    <row r="2263" spans="1:15" x14ac:dyDescent="0.3">
      <c r="A2263" s="1"/>
      <c r="B2263" s="1"/>
      <c r="C2263" s="1" t="e">
        <f>IF(B2263=0,VLOOKUP(A2263,Feuil2!$A$2:$M$1241,2,FALSE)," ")</f>
        <v>#N/A</v>
      </c>
      <c r="D2263" s="1" t="e">
        <f>IF(B2263=0,VLOOKUP(A2263,Feuil2!$A$2:$M$1241,3,FALSE)," ")</f>
        <v>#N/A</v>
      </c>
      <c r="E2263" s="5" t="e">
        <f>IF(B2263=0,VLOOKUP(A2263,Feuil2!$A$2:$M$1241,6,FALSE)," ")</f>
        <v>#N/A</v>
      </c>
      <c r="F2263" s="1" t="e">
        <f>IF(B2263=0,VLOOKUP(A2263,Feuil2!$A$2:$M$1241,12,FALSE)," ")</f>
        <v>#N/A</v>
      </c>
      <c r="G2263" s="1" t="e">
        <f>IF(B2263=0,VLOOKUP(A2263,Feuil2!$A$2:$M$1241,11,FALSE)," ")</f>
        <v>#N/A</v>
      </c>
      <c r="H2263" s="1" t="s">
        <v>16</v>
      </c>
      <c r="I2263" s="6" t="e">
        <f>IF(B2263=0,VLOOKUP(A2263,Feuil2!$A$2:$M$1241,7,FALSE)," ")</f>
        <v>#N/A</v>
      </c>
      <c r="J2263" s="1" t="e">
        <f>IF(B2263=0,VLOOKUP(A2263,Feuil2!$A$2:$M$1241,9,FALSE)," ")</f>
        <v>#N/A</v>
      </c>
      <c r="K2263" s="1" t="e">
        <f>IF(B2263=0,VLOOKUP(A2263,Feuil2!$A$2:$M$1241,10,FALSE)," ")</f>
        <v>#N/A</v>
      </c>
      <c r="L2263" s="1"/>
      <c r="M2263" s="1"/>
      <c r="N2263" s="1"/>
      <c r="O2263" s="8" t="e">
        <f>IF(B2263=0,VLOOKUP(A2263,Feuil2!$A$2:$M$1241,13,FALSE)," ")</f>
        <v>#N/A</v>
      </c>
    </row>
    <row r="2264" spans="1:15" x14ac:dyDescent="0.3">
      <c r="A2264" s="1"/>
      <c r="B2264" s="1"/>
      <c r="C2264" s="1" t="e">
        <f>IF(B2264=0,VLOOKUP(A2264,Feuil2!$A$2:$M$1241,2,FALSE)," ")</f>
        <v>#N/A</v>
      </c>
      <c r="D2264" s="1" t="e">
        <f>IF(B2264=0,VLOOKUP(A2264,Feuil2!$A$2:$M$1241,3,FALSE)," ")</f>
        <v>#N/A</v>
      </c>
      <c r="E2264" s="5" t="e">
        <f>IF(B2264=0,VLOOKUP(A2264,Feuil2!$A$2:$M$1241,6,FALSE)," ")</f>
        <v>#N/A</v>
      </c>
      <c r="F2264" s="1" t="e">
        <f>IF(B2264=0,VLOOKUP(A2264,Feuil2!$A$2:$M$1241,12,FALSE)," ")</f>
        <v>#N/A</v>
      </c>
      <c r="G2264" s="1" t="e">
        <f>IF(B2264=0,VLOOKUP(A2264,Feuil2!$A$2:$M$1241,11,FALSE)," ")</f>
        <v>#N/A</v>
      </c>
      <c r="H2264" s="1" t="s">
        <v>16</v>
      </c>
      <c r="I2264" s="6" t="e">
        <f>IF(B2264=0,VLOOKUP(A2264,Feuil2!$A$2:$M$1241,7,FALSE)," ")</f>
        <v>#N/A</v>
      </c>
      <c r="J2264" s="1" t="e">
        <f>IF(B2264=0,VLOOKUP(A2264,Feuil2!$A$2:$M$1241,9,FALSE)," ")</f>
        <v>#N/A</v>
      </c>
      <c r="K2264" s="1" t="e">
        <f>IF(B2264=0,VLOOKUP(A2264,Feuil2!$A$2:$M$1241,10,FALSE)," ")</f>
        <v>#N/A</v>
      </c>
      <c r="L2264" s="1"/>
      <c r="M2264" s="1"/>
      <c r="N2264" s="1"/>
      <c r="O2264" s="8" t="e">
        <f>IF(B2264=0,VLOOKUP(A2264,Feuil2!$A$2:$M$1241,13,FALSE)," ")</f>
        <v>#N/A</v>
      </c>
    </row>
    <row r="2265" spans="1:15" x14ac:dyDescent="0.3">
      <c r="A2265" s="1"/>
      <c r="B2265" s="1"/>
      <c r="C2265" s="1" t="e">
        <f>IF(B2265=0,VLOOKUP(A2265,Feuil2!$A$2:$M$1241,2,FALSE)," ")</f>
        <v>#N/A</v>
      </c>
      <c r="D2265" s="1" t="e">
        <f>IF(B2265=0,VLOOKUP(A2265,Feuil2!$A$2:$M$1241,3,FALSE)," ")</f>
        <v>#N/A</v>
      </c>
      <c r="E2265" s="5" t="e">
        <f>IF(B2265=0,VLOOKUP(A2265,Feuil2!$A$2:$M$1241,6,FALSE)," ")</f>
        <v>#N/A</v>
      </c>
      <c r="F2265" s="1" t="e">
        <f>IF(B2265=0,VLOOKUP(A2265,Feuil2!$A$2:$M$1241,12,FALSE)," ")</f>
        <v>#N/A</v>
      </c>
      <c r="G2265" s="1" t="e">
        <f>IF(B2265=0,VLOOKUP(A2265,Feuil2!$A$2:$M$1241,11,FALSE)," ")</f>
        <v>#N/A</v>
      </c>
      <c r="H2265" s="1" t="s">
        <v>16</v>
      </c>
      <c r="I2265" s="6" t="e">
        <f>IF(B2265=0,VLOOKUP(A2265,Feuil2!$A$2:$M$1241,7,FALSE)," ")</f>
        <v>#N/A</v>
      </c>
      <c r="J2265" s="1" t="e">
        <f>IF(B2265=0,VLOOKUP(A2265,Feuil2!$A$2:$M$1241,9,FALSE)," ")</f>
        <v>#N/A</v>
      </c>
      <c r="K2265" s="1" t="e">
        <f>IF(B2265=0,VLOOKUP(A2265,Feuil2!$A$2:$M$1241,10,FALSE)," ")</f>
        <v>#N/A</v>
      </c>
      <c r="L2265" s="1"/>
      <c r="M2265" s="1"/>
      <c r="N2265" s="1"/>
      <c r="O2265" s="8" t="e">
        <f>IF(B2265=0,VLOOKUP(A2265,Feuil2!$A$2:$M$1241,13,FALSE)," ")</f>
        <v>#N/A</v>
      </c>
    </row>
    <row r="2266" spans="1:15" x14ac:dyDescent="0.3">
      <c r="A2266" s="1"/>
      <c r="B2266" s="1"/>
      <c r="C2266" s="1" t="e">
        <f>IF(B2266=0,VLOOKUP(A2266,Feuil2!$A$2:$M$1241,2,FALSE)," ")</f>
        <v>#N/A</v>
      </c>
      <c r="D2266" s="1" t="e">
        <f>IF(B2266=0,VLOOKUP(A2266,Feuil2!$A$2:$M$1241,3,FALSE)," ")</f>
        <v>#N/A</v>
      </c>
      <c r="E2266" s="5" t="e">
        <f>IF(B2266=0,VLOOKUP(A2266,Feuil2!$A$2:$M$1241,6,FALSE)," ")</f>
        <v>#N/A</v>
      </c>
      <c r="F2266" s="1" t="e">
        <f>IF(B2266=0,VLOOKUP(A2266,Feuil2!$A$2:$M$1241,12,FALSE)," ")</f>
        <v>#N/A</v>
      </c>
      <c r="G2266" s="1" t="e">
        <f>IF(B2266=0,VLOOKUP(A2266,Feuil2!$A$2:$M$1241,11,FALSE)," ")</f>
        <v>#N/A</v>
      </c>
      <c r="H2266" s="1" t="s">
        <v>16</v>
      </c>
      <c r="I2266" s="6" t="e">
        <f>IF(B2266=0,VLOOKUP(A2266,Feuil2!$A$2:$M$1241,7,FALSE)," ")</f>
        <v>#N/A</v>
      </c>
      <c r="J2266" s="1" t="e">
        <f>IF(B2266=0,VLOOKUP(A2266,Feuil2!$A$2:$M$1241,9,FALSE)," ")</f>
        <v>#N/A</v>
      </c>
      <c r="K2266" s="1" t="e">
        <f>IF(B2266=0,VLOOKUP(A2266,Feuil2!$A$2:$M$1241,10,FALSE)," ")</f>
        <v>#N/A</v>
      </c>
      <c r="L2266" s="1"/>
      <c r="M2266" s="1"/>
      <c r="N2266" s="1"/>
      <c r="O2266" s="8" t="e">
        <f>IF(B2266=0,VLOOKUP(A2266,Feuil2!$A$2:$M$1241,13,FALSE)," ")</f>
        <v>#N/A</v>
      </c>
    </row>
    <row r="2267" spans="1:15" x14ac:dyDescent="0.3">
      <c r="A2267" s="1"/>
      <c r="B2267" s="1"/>
      <c r="C2267" s="1" t="e">
        <f>IF(B2267=0,VLOOKUP(A2267,Feuil2!$A$2:$M$1241,2,FALSE)," ")</f>
        <v>#N/A</v>
      </c>
      <c r="D2267" s="1" t="e">
        <f>IF(B2267=0,VLOOKUP(A2267,Feuil2!$A$2:$M$1241,3,FALSE)," ")</f>
        <v>#N/A</v>
      </c>
      <c r="E2267" s="5" t="e">
        <f>IF(B2267=0,VLOOKUP(A2267,Feuil2!$A$2:$M$1241,6,FALSE)," ")</f>
        <v>#N/A</v>
      </c>
      <c r="F2267" s="1" t="e">
        <f>IF(B2267=0,VLOOKUP(A2267,Feuil2!$A$2:$M$1241,12,FALSE)," ")</f>
        <v>#N/A</v>
      </c>
      <c r="G2267" s="1" t="e">
        <f>IF(B2267=0,VLOOKUP(A2267,Feuil2!$A$2:$M$1241,11,FALSE)," ")</f>
        <v>#N/A</v>
      </c>
      <c r="H2267" s="1" t="s">
        <v>16</v>
      </c>
      <c r="I2267" s="6" t="e">
        <f>IF(B2267=0,VLOOKUP(A2267,Feuil2!$A$2:$M$1241,7,FALSE)," ")</f>
        <v>#N/A</v>
      </c>
      <c r="J2267" s="1" t="e">
        <f>IF(B2267=0,VLOOKUP(A2267,Feuil2!$A$2:$M$1241,9,FALSE)," ")</f>
        <v>#N/A</v>
      </c>
      <c r="K2267" s="1" t="e">
        <f>IF(B2267=0,VLOOKUP(A2267,Feuil2!$A$2:$M$1241,10,FALSE)," ")</f>
        <v>#N/A</v>
      </c>
      <c r="L2267" s="1"/>
      <c r="M2267" s="1"/>
      <c r="N2267" s="1"/>
      <c r="O2267" s="8" t="e">
        <f>IF(B2267=0,VLOOKUP(A2267,Feuil2!$A$2:$M$1241,13,FALSE)," ")</f>
        <v>#N/A</v>
      </c>
    </row>
    <row r="2268" spans="1:15" x14ac:dyDescent="0.3">
      <c r="A2268" s="1"/>
      <c r="B2268" s="1"/>
      <c r="C2268" s="1" t="e">
        <f>IF(B2268=0,VLOOKUP(A2268,Feuil2!$A$2:$M$1241,2,FALSE)," ")</f>
        <v>#N/A</v>
      </c>
      <c r="D2268" s="1" t="e">
        <f>IF(B2268=0,VLOOKUP(A2268,Feuil2!$A$2:$M$1241,3,FALSE)," ")</f>
        <v>#N/A</v>
      </c>
      <c r="E2268" s="5" t="e">
        <f>IF(B2268=0,VLOOKUP(A2268,Feuil2!$A$2:$M$1241,6,FALSE)," ")</f>
        <v>#N/A</v>
      </c>
      <c r="F2268" s="1" t="e">
        <f>IF(B2268=0,VLOOKUP(A2268,Feuil2!$A$2:$M$1241,12,FALSE)," ")</f>
        <v>#N/A</v>
      </c>
      <c r="G2268" s="1" t="e">
        <f>IF(B2268=0,VLOOKUP(A2268,Feuil2!$A$2:$M$1241,11,FALSE)," ")</f>
        <v>#N/A</v>
      </c>
      <c r="H2268" s="1" t="s">
        <v>16</v>
      </c>
      <c r="I2268" s="6" t="e">
        <f>IF(B2268=0,VLOOKUP(A2268,Feuil2!$A$2:$M$1241,7,FALSE)," ")</f>
        <v>#N/A</v>
      </c>
      <c r="J2268" s="1" t="e">
        <f>IF(B2268=0,VLOOKUP(A2268,Feuil2!$A$2:$M$1241,9,FALSE)," ")</f>
        <v>#N/A</v>
      </c>
      <c r="K2268" s="1" t="e">
        <f>IF(B2268=0,VLOOKUP(A2268,Feuil2!$A$2:$M$1241,10,FALSE)," ")</f>
        <v>#N/A</v>
      </c>
      <c r="L2268" s="1"/>
      <c r="M2268" s="1"/>
      <c r="N2268" s="1"/>
      <c r="O2268" s="8" t="e">
        <f>IF(B2268=0,VLOOKUP(A2268,Feuil2!$A$2:$M$1241,13,FALSE)," ")</f>
        <v>#N/A</v>
      </c>
    </row>
    <row r="2269" spans="1:15" x14ac:dyDescent="0.3">
      <c r="A2269" s="1"/>
      <c r="B2269" s="1"/>
      <c r="C2269" s="1" t="e">
        <f>IF(B2269=0,VLOOKUP(A2269,Feuil2!$A$2:$M$1241,2,FALSE)," ")</f>
        <v>#N/A</v>
      </c>
      <c r="D2269" s="1" t="e">
        <f>IF(B2269=0,VLOOKUP(A2269,Feuil2!$A$2:$M$1241,3,FALSE)," ")</f>
        <v>#N/A</v>
      </c>
      <c r="E2269" s="5" t="e">
        <f>IF(B2269=0,VLOOKUP(A2269,Feuil2!$A$2:$M$1241,6,FALSE)," ")</f>
        <v>#N/A</v>
      </c>
      <c r="F2269" s="1" t="e">
        <f>IF(B2269=0,VLOOKUP(A2269,Feuil2!$A$2:$M$1241,12,FALSE)," ")</f>
        <v>#N/A</v>
      </c>
      <c r="G2269" s="1" t="e">
        <f>IF(B2269=0,VLOOKUP(A2269,Feuil2!$A$2:$M$1241,11,FALSE)," ")</f>
        <v>#N/A</v>
      </c>
      <c r="H2269" s="1" t="s">
        <v>16</v>
      </c>
      <c r="I2269" s="6" t="e">
        <f>IF(B2269=0,VLOOKUP(A2269,Feuil2!$A$2:$M$1241,7,FALSE)," ")</f>
        <v>#N/A</v>
      </c>
      <c r="J2269" s="1" t="e">
        <f>IF(B2269=0,VLOOKUP(A2269,Feuil2!$A$2:$M$1241,9,FALSE)," ")</f>
        <v>#N/A</v>
      </c>
      <c r="K2269" s="1" t="e">
        <f>IF(B2269=0,VLOOKUP(A2269,Feuil2!$A$2:$M$1241,10,FALSE)," ")</f>
        <v>#N/A</v>
      </c>
      <c r="L2269" s="1"/>
      <c r="M2269" s="1"/>
      <c r="N2269" s="1"/>
      <c r="O2269" s="8" t="e">
        <f>IF(B2269=0,VLOOKUP(A2269,Feuil2!$A$2:$M$1241,13,FALSE)," ")</f>
        <v>#N/A</v>
      </c>
    </row>
    <row r="2270" spans="1:15" x14ac:dyDescent="0.3">
      <c r="A2270" s="1"/>
      <c r="B2270" s="1"/>
      <c r="C2270" s="1" t="e">
        <f>IF(B2270=0,VLOOKUP(A2270,Feuil2!$A$2:$M$1241,2,FALSE)," ")</f>
        <v>#N/A</v>
      </c>
      <c r="D2270" s="1" t="e">
        <f>IF(B2270=0,VLOOKUP(A2270,Feuil2!$A$2:$M$1241,3,FALSE)," ")</f>
        <v>#N/A</v>
      </c>
      <c r="E2270" s="5" t="e">
        <f>IF(B2270=0,VLOOKUP(A2270,Feuil2!$A$2:$M$1241,6,FALSE)," ")</f>
        <v>#N/A</v>
      </c>
      <c r="F2270" s="1" t="e">
        <f>IF(B2270=0,VLOOKUP(A2270,Feuil2!$A$2:$M$1241,12,FALSE)," ")</f>
        <v>#N/A</v>
      </c>
      <c r="G2270" s="1" t="e">
        <f>IF(B2270=0,VLOOKUP(A2270,Feuil2!$A$2:$M$1241,11,FALSE)," ")</f>
        <v>#N/A</v>
      </c>
      <c r="H2270" s="1" t="s">
        <v>16</v>
      </c>
      <c r="I2270" s="6" t="e">
        <f>IF(B2270=0,VLOOKUP(A2270,Feuil2!$A$2:$M$1241,7,FALSE)," ")</f>
        <v>#N/A</v>
      </c>
      <c r="J2270" s="1" t="e">
        <f>IF(B2270=0,VLOOKUP(A2270,Feuil2!$A$2:$M$1241,9,FALSE)," ")</f>
        <v>#N/A</v>
      </c>
      <c r="K2270" s="1" t="e">
        <f>IF(B2270=0,VLOOKUP(A2270,Feuil2!$A$2:$M$1241,10,FALSE)," ")</f>
        <v>#N/A</v>
      </c>
      <c r="L2270" s="1"/>
      <c r="M2270" s="1"/>
      <c r="N2270" s="1"/>
      <c r="O2270" s="8" t="e">
        <f>IF(B2270=0,VLOOKUP(A2270,Feuil2!$A$2:$M$1241,13,FALSE)," ")</f>
        <v>#N/A</v>
      </c>
    </row>
    <row r="2271" spans="1:15" x14ac:dyDescent="0.3">
      <c r="A2271" s="1"/>
      <c r="B2271" s="1"/>
      <c r="C2271" s="1" t="e">
        <f>IF(B2271=0,VLOOKUP(A2271,Feuil2!$A$2:$M$1241,2,FALSE)," ")</f>
        <v>#N/A</v>
      </c>
      <c r="D2271" s="1" t="e">
        <f>IF(B2271=0,VLOOKUP(A2271,Feuil2!$A$2:$M$1241,3,FALSE)," ")</f>
        <v>#N/A</v>
      </c>
      <c r="E2271" s="5" t="e">
        <f>IF(B2271=0,VLOOKUP(A2271,Feuil2!$A$2:$M$1241,6,FALSE)," ")</f>
        <v>#N/A</v>
      </c>
      <c r="F2271" s="1" t="e">
        <f>IF(B2271=0,VLOOKUP(A2271,Feuil2!$A$2:$M$1241,12,FALSE)," ")</f>
        <v>#N/A</v>
      </c>
      <c r="G2271" s="1" t="e">
        <f>IF(B2271=0,VLOOKUP(A2271,Feuil2!$A$2:$M$1241,11,FALSE)," ")</f>
        <v>#N/A</v>
      </c>
      <c r="H2271" s="1" t="s">
        <v>16</v>
      </c>
      <c r="I2271" s="6" t="e">
        <f>IF(B2271=0,VLOOKUP(A2271,Feuil2!$A$2:$M$1241,7,FALSE)," ")</f>
        <v>#N/A</v>
      </c>
      <c r="J2271" s="1" t="e">
        <f>IF(B2271=0,VLOOKUP(A2271,Feuil2!$A$2:$M$1241,9,FALSE)," ")</f>
        <v>#N/A</v>
      </c>
      <c r="K2271" s="1" t="e">
        <f>IF(B2271=0,VLOOKUP(A2271,Feuil2!$A$2:$M$1241,10,FALSE)," ")</f>
        <v>#N/A</v>
      </c>
      <c r="L2271" s="1"/>
      <c r="M2271" s="1"/>
      <c r="N2271" s="1"/>
      <c r="O2271" s="8" t="e">
        <f>IF(B2271=0,VLOOKUP(A2271,Feuil2!$A$2:$M$1241,13,FALSE)," ")</f>
        <v>#N/A</v>
      </c>
    </row>
    <row r="2272" spans="1:15" x14ac:dyDescent="0.3">
      <c r="A2272" s="1"/>
      <c r="B2272" s="1"/>
      <c r="C2272" s="1" t="e">
        <f>IF(B2272=0,VLOOKUP(A2272,Feuil2!$A$2:$M$1241,2,FALSE)," ")</f>
        <v>#N/A</v>
      </c>
      <c r="D2272" s="1" t="e">
        <f>IF(B2272=0,VLOOKUP(A2272,Feuil2!$A$2:$M$1241,3,FALSE)," ")</f>
        <v>#N/A</v>
      </c>
      <c r="E2272" s="5" t="e">
        <f>IF(B2272=0,VLOOKUP(A2272,Feuil2!$A$2:$M$1241,6,FALSE)," ")</f>
        <v>#N/A</v>
      </c>
      <c r="F2272" s="1" t="e">
        <f>IF(B2272=0,VLOOKUP(A2272,Feuil2!$A$2:$M$1241,12,FALSE)," ")</f>
        <v>#N/A</v>
      </c>
      <c r="G2272" s="1" t="e">
        <f>IF(B2272=0,VLOOKUP(A2272,Feuil2!$A$2:$M$1241,11,FALSE)," ")</f>
        <v>#N/A</v>
      </c>
      <c r="H2272" s="1" t="s">
        <v>16</v>
      </c>
      <c r="I2272" s="6" t="e">
        <f>IF(B2272=0,VLOOKUP(A2272,Feuil2!$A$2:$M$1241,7,FALSE)," ")</f>
        <v>#N/A</v>
      </c>
      <c r="J2272" s="1" t="e">
        <f>IF(B2272=0,VLOOKUP(A2272,Feuil2!$A$2:$M$1241,9,FALSE)," ")</f>
        <v>#N/A</v>
      </c>
      <c r="K2272" s="1" t="e">
        <f>IF(B2272=0,VLOOKUP(A2272,Feuil2!$A$2:$M$1241,10,FALSE)," ")</f>
        <v>#N/A</v>
      </c>
      <c r="L2272" s="1"/>
      <c r="M2272" s="1"/>
      <c r="N2272" s="1"/>
      <c r="O2272" s="8" t="e">
        <f>IF(B2272=0,VLOOKUP(A2272,Feuil2!$A$2:$M$1241,13,FALSE)," ")</f>
        <v>#N/A</v>
      </c>
    </row>
    <row r="2273" spans="1:15" x14ac:dyDescent="0.3">
      <c r="A2273" s="1"/>
      <c r="B2273" s="1"/>
      <c r="C2273" s="1" t="e">
        <f>IF(B2273=0,VLOOKUP(A2273,Feuil2!$A$2:$M$1241,2,FALSE)," ")</f>
        <v>#N/A</v>
      </c>
      <c r="D2273" s="1" t="e">
        <f>IF(B2273=0,VLOOKUP(A2273,Feuil2!$A$2:$M$1241,3,FALSE)," ")</f>
        <v>#N/A</v>
      </c>
      <c r="E2273" s="5" t="e">
        <f>IF(B2273=0,VLOOKUP(A2273,Feuil2!$A$2:$M$1241,6,FALSE)," ")</f>
        <v>#N/A</v>
      </c>
      <c r="F2273" s="1" t="e">
        <f>IF(B2273=0,VLOOKUP(A2273,Feuil2!$A$2:$M$1241,12,FALSE)," ")</f>
        <v>#N/A</v>
      </c>
      <c r="G2273" s="1" t="e">
        <f>IF(B2273=0,VLOOKUP(A2273,Feuil2!$A$2:$M$1241,11,FALSE)," ")</f>
        <v>#N/A</v>
      </c>
      <c r="H2273" s="1" t="s">
        <v>16</v>
      </c>
      <c r="I2273" s="6" t="e">
        <f>IF(B2273=0,VLOOKUP(A2273,Feuil2!$A$2:$M$1241,7,FALSE)," ")</f>
        <v>#N/A</v>
      </c>
      <c r="J2273" s="1" t="e">
        <f>IF(B2273=0,VLOOKUP(A2273,Feuil2!$A$2:$M$1241,9,FALSE)," ")</f>
        <v>#N/A</v>
      </c>
      <c r="K2273" s="1" t="e">
        <f>IF(B2273=0,VLOOKUP(A2273,Feuil2!$A$2:$M$1241,10,FALSE)," ")</f>
        <v>#N/A</v>
      </c>
      <c r="L2273" s="1"/>
      <c r="M2273" s="1"/>
      <c r="N2273" s="1"/>
      <c r="O2273" s="8" t="e">
        <f>IF(B2273=0,VLOOKUP(A2273,Feuil2!$A$2:$M$1241,13,FALSE)," ")</f>
        <v>#N/A</v>
      </c>
    </row>
    <row r="2274" spans="1:15" x14ac:dyDescent="0.3">
      <c r="A2274" s="1"/>
      <c r="B2274" s="1"/>
      <c r="C2274" s="1" t="e">
        <f>IF(B2274=0,VLOOKUP(A2274,Feuil2!$A$2:$M$1241,2,FALSE)," ")</f>
        <v>#N/A</v>
      </c>
      <c r="D2274" s="1" t="e">
        <f>IF(B2274=0,VLOOKUP(A2274,Feuil2!$A$2:$M$1241,3,FALSE)," ")</f>
        <v>#N/A</v>
      </c>
      <c r="E2274" s="5" t="e">
        <f>IF(B2274=0,VLOOKUP(A2274,Feuil2!$A$2:$M$1241,6,FALSE)," ")</f>
        <v>#N/A</v>
      </c>
      <c r="F2274" s="1" t="e">
        <f>IF(B2274=0,VLOOKUP(A2274,Feuil2!$A$2:$M$1241,12,FALSE)," ")</f>
        <v>#N/A</v>
      </c>
      <c r="G2274" s="1" t="e">
        <f>IF(B2274=0,VLOOKUP(A2274,Feuil2!$A$2:$M$1241,11,FALSE)," ")</f>
        <v>#N/A</v>
      </c>
      <c r="H2274" s="1" t="s">
        <v>16</v>
      </c>
      <c r="I2274" s="6" t="e">
        <f>IF(B2274=0,VLOOKUP(A2274,Feuil2!$A$2:$M$1241,7,FALSE)," ")</f>
        <v>#N/A</v>
      </c>
      <c r="J2274" s="1" t="e">
        <f>IF(B2274=0,VLOOKUP(A2274,Feuil2!$A$2:$M$1241,9,FALSE)," ")</f>
        <v>#N/A</v>
      </c>
      <c r="K2274" s="1" t="e">
        <f>IF(B2274=0,VLOOKUP(A2274,Feuil2!$A$2:$M$1241,10,FALSE)," ")</f>
        <v>#N/A</v>
      </c>
      <c r="L2274" s="1"/>
      <c r="M2274" s="1"/>
      <c r="N2274" s="1"/>
      <c r="O2274" s="8" t="e">
        <f>IF(B2274=0,VLOOKUP(A2274,Feuil2!$A$2:$M$1241,13,FALSE)," ")</f>
        <v>#N/A</v>
      </c>
    </row>
    <row r="2275" spans="1:15" x14ac:dyDescent="0.3">
      <c r="A2275" s="1"/>
      <c r="B2275" s="1"/>
      <c r="C2275" s="1" t="e">
        <f>IF(B2275=0,VLOOKUP(A2275,Feuil2!$A$2:$M$1241,2,FALSE)," ")</f>
        <v>#N/A</v>
      </c>
      <c r="D2275" s="1" t="e">
        <f>IF(B2275=0,VLOOKUP(A2275,Feuil2!$A$2:$M$1241,3,FALSE)," ")</f>
        <v>#N/A</v>
      </c>
      <c r="E2275" s="5" t="e">
        <f>IF(B2275=0,VLOOKUP(A2275,Feuil2!$A$2:$M$1241,6,FALSE)," ")</f>
        <v>#N/A</v>
      </c>
      <c r="F2275" s="1" t="e">
        <f>IF(B2275=0,VLOOKUP(A2275,Feuil2!$A$2:$M$1241,12,FALSE)," ")</f>
        <v>#N/A</v>
      </c>
      <c r="G2275" s="1" t="e">
        <f>IF(B2275=0,VLOOKUP(A2275,Feuil2!$A$2:$M$1241,11,FALSE)," ")</f>
        <v>#N/A</v>
      </c>
      <c r="H2275" s="1" t="s">
        <v>16</v>
      </c>
      <c r="I2275" s="6" t="e">
        <f>IF(B2275=0,VLOOKUP(A2275,Feuil2!$A$2:$M$1241,7,FALSE)," ")</f>
        <v>#N/A</v>
      </c>
      <c r="J2275" s="1" t="e">
        <f>IF(B2275=0,VLOOKUP(A2275,Feuil2!$A$2:$M$1241,9,FALSE)," ")</f>
        <v>#N/A</v>
      </c>
      <c r="K2275" s="1" t="e">
        <f>IF(B2275=0,VLOOKUP(A2275,Feuil2!$A$2:$M$1241,10,FALSE)," ")</f>
        <v>#N/A</v>
      </c>
      <c r="L2275" s="1"/>
      <c r="M2275" s="1"/>
      <c r="N2275" s="1"/>
      <c r="O2275" s="8" t="e">
        <f>IF(B2275=0,VLOOKUP(A2275,Feuil2!$A$2:$M$1241,13,FALSE)," ")</f>
        <v>#N/A</v>
      </c>
    </row>
    <row r="2276" spans="1:15" x14ac:dyDescent="0.3">
      <c r="A2276" s="1"/>
      <c r="B2276" s="1"/>
      <c r="C2276" s="1" t="e">
        <f>IF(B2276=0,VLOOKUP(A2276,Feuil2!$A$2:$M$1241,2,FALSE)," ")</f>
        <v>#N/A</v>
      </c>
      <c r="D2276" s="1" t="e">
        <f>IF(B2276=0,VLOOKUP(A2276,Feuil2!$A$2:$M$1241,3,FALSE)," ")</f>
        <v>#N/A</v>
      </c>
      <c r="E2276" s="5" t="e">
        <f>IF(B2276=0,VLOOKUP(A2276,Feuil2!$A$2:$M$1241,6,FALSE)," ")</f>
        <v>#N/A</v>
      </c>
      <c r="F2276" s="1" t="e">
        <f>IF(B2276=0,VLOOKUP(A2276,Feuil2!$A$2:$M$1241,12,FALSE)," ")</f>
        <v>#N/A</v>
      </c>
      <c r="G2276" s="1" t="e">
        <f>IF(B2276=0,VLOOKUP(A2276,Feuil2!$A$2:$M$1241,11,FALSE)," ")</f>
        <v>#N/A</v>
      </c>
      <c r="H2276" s="1" t="s">
        <v>16</v>
      </c>
      <c r="I2276" s="6" t="e">
        <f>IF(B2276=0,VLOOKUP(A2276,Feuil2!$A$2:$M$1241,7,FALSE)," ")</f>
        <v>#N/A</v>
      </c>
      <c r="J2276" s="1" t="e">
        <f>IF(B2276=0,VLOOKUP(A2276,Feuil2!$A$2:$M$1241,9,FALSE)," ")</f>
        <v>#N/A</v>
      </c>
      <c r="K2276" s="1" t="e">
        <f>IF(B2276=0,VLOOKUP(A2276,Feuil2!$A$2:$M$1241,10,FALSE)," ")</f>
        <v>#N/A</v>
      </c>
      <c r="L2276" s="1"/>
      <c r="M2276" s="1"/>
      <c r="N2276" s="1"/>
      <c r="O2276" s="8" t="e">
        <f>IF(B2276=0,VLOOKUP(A2276,Feuil2!$A$2:$M$1241,13,FALSE)," ")</f>
        <v>#N/A</v>
      </c>
    </row>
  </sheetData>
  <sortState xmlns:xlrd2="http://schemas.microsoft.com/office/spreadsheetml/2017/richdata2" ref="A420:T421">
    <sortCondition ref="A420:A4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Feuil2</vt:lpstr>
      <vt:lpstr>Feuil3</vt:lpstr>
      <vt:lpstr>Feuil4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arous</dc:creator>
  <cp:lastModifiedBy>Malek Fhima</cp:lastModifiedBy>
  <cp:lastPrinted>2024-09-25T13:39:02Z</cp:lastPrinted>
  <dcterms:created xsi:type="dcterms:W3CDTF">2017-12-25T11:15:09Z</dcterms:created>
  <dcterms:modified xsi:type="dcterms:W3CDTF">2026-07-03T17:31:17Z</dcterms:modified>
</cp:coreProperties>
</file>